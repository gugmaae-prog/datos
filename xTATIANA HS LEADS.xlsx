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S LEADS" sheetId="1" r:id="rId4"/>
    <sheet state="visible" name="DAILY LEADS" sheetId="2" r:id="rId5"/>
    <sheet state="visible" name="ACT 1 ACT 2 DATA" sheetId="3" r:id="rId6"/>
    <sheet state="visible" name="The Cove Data" sheetId="4" r:id="rId7"/>
    <sheet state="visible" name="VIDA DUBAI MARINA" sheetId="5" r:id="rId8"/>
    <sheet state="visible" name="SPECIAL LEADS TO CALL" sheetId="6" r:id="rId9"/>
    <sheet state="visible" name="Secondary" sheetId="7" r:id="rId10"/>
    <sheet state="visible" name="PRIME VIEWS" sheetId="8" r:id="rId11"/>
    <sheet state="visible" name="NSHAMA KIOSK" sheetId="9" r:id="rId12"/>
    <sheet state="visible" name="JBR OWNERS" sheetId="10" r:id="rId13"/>
    <sheet state="visible" name="EMAAR KIOSK LEADS" sheetId="11" r:id="rId14"/>
    <sheet state="visible" name="follow up leads" sheetId="12" r:id="rId15"/>
    <sheet state="hidden" name="BEACH VISTA" sheetId="13" r:id="rId16"/>
  </sheets>
  <definedNames>
    <definedName hidden="1" localSheetId="0" name="_xlnm._FilterDatabase">'HS LEADS'!$F$1:$F$2479</definedName>
    <definedName hidden="1" localSheetId="8" name="_xlnm._FilterDatabase">'NSHAMA KIOSK'!$M$1:$M$1001</definedName>
    <definedName hidden="1" localSheetId="10" name="_xlnm._FilterDatabase">'EMAAR KIOSK LEADS'!$Q$1:$Q$993</definedName>
  </definedNames>
  <calcPr/>
</workbook>
</file>

<file path=xl/sharedStrings.xml><?xml version="1.0" encoding="utf-8"?>
<sst xmlns="http://schemas.openxmlformats.org/spreadsheetml/2006/main" count="21512" uniqueCount="9519">
  <si>
    <t>Name</t>
  </si>
  <si>
    <t>Email</t>
  </si>
  <si>
    <t>Phone</t>
  </si>
  <si>
    <t>PROJECT</t>
  </si>
  <si>
    <t>status</t>
  </si>
  <si>
    <t>vishnu</t>
  </si>
  <si>
    <t>chakaravarthy.vishnu@gmail.com</t>
  </si>
  <si>
    <t>+919080302973</t>
  </si>
  <si>
    <t>SUNRISE BAY</t>
  </si>
  <si>
    <t>Follow up again on the 15th Sept. Email and Whatsapp sent</t>
  </si>
  <si>
    <t>brian anthony brodie</t>
  </si>
  <si>
    <t>b.brodie@sky.com</t>
  </si>
  <si>
    <t>07956693790</t>
  </si>
  <si>
    <t>Email &amp; Whatsapp sent, no answer</t>
  </si>
  <si>
    <t>Nadeem Qureshi</t>
  </si>
  <si>
    <t>nqureshi25@hotmail.com</t>
  </si>
  <si>
    <t>Email sent</t>
  </si>
  <si>
    <t>Richard Weilers</t>
  </si>
  <si>
    <t>Richard.weilers@tsogosun.com</t>
  </si>
  <si>
    <t>0508886983</t>
  </si>
  <si>
    <t>Stefan Hagstam</t>
  </si>
  <si>
    <t>h_stam3@yahoo.com</t>
  </si>
  <si>
    <t>055-9418490</t>
  </si>
  <si>
    <t>Email sent, no answer</t>
  </si>
  <si>
    <t>Dr. Jörg Hackenbuchner</t>
  </si>
  <si>
    <t>hackenbuchner@gmx.at</t>
  </si>
  <si>
    <t>+971505048740</t>
  </si>
  <si>
    <t>wrong person/not interested</t>
  </si>
  <si>
    <t xml:space="preserve">Shareen Taiyab </t>
  </si>
  <si>
    <t>shareennisha@yahoo.com</t>
  </si>
  <si>
    <t xml:space="preserve">  +1(650)741-8493</t>
  </si>
  <si>
    <t>Dr.shadab mirza</t>
  </si>
  <si>
    <t xml:space="preserve"> shadabmirza80@yahoo.com</t>
  </si>
  <si>
    <t>00966-556624938</t>
  </si>
  <si>
    <t>Email &amp; WhatsApp sent, no answer</t>
  </si>
  <si>
    <t>Abdul Aziz saeed abdulrab alghalebi</t>
  </si>
  <si>
    <t xml:space="preserve"> galebo192@yahoo.com</t>
  </si>
  <si>
    <t>00971506163060</t>
  </si>
  <si>
    <t>Email sent, not interested</t>
  </si>
  <si>
    <t>Khalifah Aldabbous</t>
  </si>
  <si>
    <t>kaldabbous@yahoo.com</t>
  </si>
  <si>
    <t>Fareem</t>
  </si>
  <si>
    <t>fareem@emirates.net.ae</t>
  </si>
  <si>
    <t>Dalia</t>
  </si>
  <si>
    <t>dsfarahat@yahoo.com</t>
  </si>
  <si>
    <t xml:space="preserve">khurshedsddeqe@gmail.com </t>
  </si>
  <si>
    <t>0508287236</t>
  </si>
  <si>
    <t>Email sent, not a working number</t>
  </si>
  <si>
    <t>Ali Mohammadbeygi</t>
  </si>
  <si>
    <t>ali.mohammadbeygi@yahoo.com</t>
  </si>
  <si>
    <t>Nick</t>
  </si>
  <si>
    <t>nemodbx@gmail.com</t>
  </si>
  <si>
    <t>+34 649 39 79 93</t>
  </si>
  <si>
    <t>Nibelchouchane</t>
  </si>
  <si>
    <t>Nibelchou@gmail.com</t>
  </si>
  <si>
    <t>أبوريتال</t>
  </si>
  <si>
    <t>abw685128@gmail.com</t>
  </si>
  <si>
    <t>Faten omar</t>
  </si>
  <si>
    <t>Omareng99faten@yahoo.com</t>
  </si>
  <si>
    <t>‭00 962 7 9142 0801‬</t>
  </si>
  <si>
    <t>Khaldoun Malkawi</t>
  </si>
  <si>
    <t>khaldoun@sanabelintl.com</t>
  </si>
  <si>
    <t xml:space="preserve">Achyut </t>
  </si>
  <si>
    <t xml:space="preserve">asimtiwari35@gmail.com </t>
  </si>
  <si>
    <t>0508612505</t>
  </si>
  <si>
    <t xml:space="preserve">Email &amp; Whatsapp sent, no answer </t>
  </si>
  <si>
    <t xml:space="preserve">Saddam Hussain </t>
  </si>
  <si>
    <t xml:space="preserve">saddamhussin03email@gmail.com </t>
  </si>
  <si>
    <t>0551642124</t>
  </si>
  <si>
    <t xml:space="preserve">hamza ali </t>
  </si>
  <si>
    <t xml:space="preserve">ha054219@gmail.com </t>
  </si>
  <si>
    <t>+923412531767</t>
  </si>
  <si>
    <t>Email sent, speaks only urdu</t>
  </si>
  <si>
    <t xml:space="preserve">Zain abbas </t>
  </si>
  <si>
    <t xml:space="preserve">zain49695@gmail.com </t>
  </si>
  <si>
    <t>03112394019</t>
  </si>
  <si>
    <t xml:space="preserve">Callistus </t>
  </si>
  <si>
    <t xml:space="preserve">youngmexico100@yahoo.com </t>
  </si>
  <si>
    <t>+2348133972864</t>
  </si>
  <si>
    <t>Email &amp; Whatsapp sent</t>
  </si>
  <si>
    <t xml:space="preserve">Muhammad aslam </t>
  </si>
  <si>
    <t>O3333158726</t>
  </si>
  <si>
    <t>Not a working number</t>
  </si>
  <si>
    <t xml:space="preserve">M.A.Q </t>
  </si>
  <si>
    <t xml:space="preserve">fungun2008@hotmail.com </t>
  </si>
  <si>
    <t>923200060001</t>
  </si>
  <si>
    <t>RAJAGOPALAN S RAMAMIRTHAM</t>
  </si>
  <si>
    <t>leela_raj_2000@yahoo.com</t>
  </si>
  <si>
    <t>00919163704178</t>
  </si>
  <si>
    <t xml:space="preserve">Fazal khaliq </t>
  </si>
  <si>
    <t xml:space="preserve">fazalkhaliq7788@gmail.com </t>
  </si>
  <si>
    <t>00923462357650</t>
  </si>
  <si>
    <t xml:space="preserve">Suresh Kumar </t>
  </si>
  <si>
    <t xml:space="preserve">Sureshsk2510667@gmail.com </t>
  </si>
  <si>
    <t>: 03332510667</t>
  </si>
  <si>
    <t xml:space="preserve">Nusrat Shahab </t>
  </si>
  <si>
    <t xml:space="preserve"> rainbowflygirl@gmail.com </t>
  </si>
  <si>
    <t>02132568331--03018290654</t>
  </si>
  <si>
    <t xml:space="preserve">Ahad Saleem </t>
  </si>
  <si>
    <t xml:space="preserve"> ahadsaleemshaikh@gmail.com </t>
  </si>
  <si>
    <t xml:space="preserve"> 03363480684</t>
  </si>
  <si>
    <t xml:space="preserve">Shahid Qamar </t>
  </si>
  <si>
    <t xml:space="preserve">Shahidqumar777@gmail.com </t>
  </si>
  <si>
    <t>03012000514</t>
  </si>
  <si>
    <t xml:space="preserve">Muhammad Saqib </t>
  </si>
  <si>
    <t xml:space="preserve"> saqibchaudhary.4843@gmail.com </t>
  </si>
  <si>
    <t xml:space="preserve">Muhammad Rashid </t>
  </si>
  <si>
    <t xml:space="preserve"> mrashidlaghari@yahoo.com </t>
  </si>
  <si>
    <t xml:space="preserve">Shan shafe </t>
  </si>
  <si>
    <t>03067426795</t>
  </si>
  <si>
    <t>03420993336</t>
  </si>
  <si>
    <t>ziad farem</t>
  </si>
  <si>
    <t xml:space="preserve"> z_farem@yahoo.com</t>
  </si>
  <si>
    <t>00971552410885</t>
  </si>
  <si>
    <t>Email &amp; Whatsapp sent, spoke on the phone</t>
  </si>
  <si>
    <t>Luis</t>
  </si>
  <si>
    <t>luis.praxmarer@isg-one.com</t>
  </si>
  <si>
    <t>+4369912200066</t>
  </si>
  <si>
    <t>Diab Rbihat</t>
  </si>
  <si>
    <t>diabRbihat@yahoo.com</t>
  </si>
  <si>
    <t>+962799070010</t>
  </si>
  <si>
    <t>Abdul</t>
  </si>
  <si>
    <t>akf@smartcrowd.property</t>
  </si>
  <si>
    <t>+971 508419099</t>
  </si>
  <si>
    <t>Email sent &amp; Whatsapp sent, no answer</t>
  </si>
  <si>
    <t>Aziz Alammari</t>
  </si>
  <si>
    <t>azizalammari@yahoo.com</t>
  </si>
  <si>
    <t>00966555404915</t>
  </si>
  <si>
    <t>Fraih Alqubaisi</t>
  </si>
  <si>
    <t>fraih@binfraih.com</t>
  </si>
  <si>
    <t>Ahmad Al Baddad</t>
  </si>
  <si>
    <t>ahmad_baddad@hotmail.com</t>
  </si>
  <si>
    <t>Hammam H Alsamman</t>
  </si>
  <si>
    <t>hmam_sa@hotmail.com</t>
  </si>
  <si>
    <t>Hamad Saud</t>
  </si>
  <si>
    <t>hmoody-99@hotmail.com</t>
  </si>
  <si>
    <t>Nancy Varouqa</t>
  </si>
  <si>
    <t>nancyvarouqa@yahoo.com</t>
  </si>
  <si>
    <t>Mohammed Kateeb</t>
  </si>
  <si>
    <t>mkateeb@gmail.com</t>
  </si>
  <si>
    <t>96599991042</t>
  </si>
  <si>
    <t>Hamdan Kablawi</t>
  </si>
  <si>
    <t>hamdan1961@hotmail.com</t>
  </si>
  <si>
    <t>+966541253325</t>
  </si>
  <si>
    <t>Ahmad Alameer</t>
  </si>
  <si>
    <t>ahmad@alameerarch.com</t>
  </si>
  <si>
    <t>+96550944444</t>
  </si>
  <si>
    <t>Rainer Lehner</t>
  </si>
  <si>
    <t>Rainer.Lehner@asiacapitalre.com</t>
  </si>
  <si>
    <t>0557065082</t>
  </si>
  <si>
    <t>Email &amp; Whatsapp sent, not interested</t>
  </si>
  <si>
    <t>Aneesa Kazi</t>
  </si>
  <si>
    <t xml:space="preserve"> mm@bluesco.com</t>
  </si>
  <si>
    <t>+15083331058</t>
  </si>
  <si>
    <t>Email &amp; Whatsapp sent, interested in 2br</t>
  </si>
  <si>
    <t>Afzal Khan</t>
  </si>
  <si>
    <t>afzalkhan10@hotmail.co.uk</t>
  </si>
  <si>
    <t>+447811164564</t>
  </si>
  <si>
    <t xml:space="preserve">Morteza Mohammad qasem </t>
  </si>
  <si>
    <t>mortezallc80@yahoo.com</t>
  </si>
  <si>
    <t>0564922093</t>
  </si>
  <si>
    <t>Ahmed ali</t>
  </si>
  <si>
    <t>fedtoursat@gmail.com</t>
  </si>
  <si>
    <t>+971506268809</t>
  </si>
  <si>
    <t>ELIE SAAB</t>
  </si>
  <si>
    <t>Ali Torab</t>
  </si>
  <si>
    <t>atorab20@gmail.com</t>
  </si>
  <si>
    <t>971567564444</t>
  </si>
  <si>
    <t>not interested</t>
  </si>
  <si>
    <t>tdnfr</t>
  </si>
  <si>
    <t>ass12@gmil.com</t>
  </si>
  <si>
    <t>966531259290</t>
  </si>
  <si>
    <t>not a working number</t>
  </si>
  <si>
    <t>Fatima Hazza</t>
  </si>
  <si>
    <t>fhazza@gmail.com</t>
  </si>
  <si>
    <t>9660505856915</t>
  </si>
  <si>
    <t>M.S</t>
  </si>
  <si>
    <t>M.S@gmail.com</t>
  </si>
  <si>
    <t>9715523-5896</t>
  </si>
  <si>
    <t>Email sent, wrong number</t>
  </si>
  <si>
    <t>Phntom Sunil Gill</t>
  </si>
  <si>
    <t>sunilgill0512@gmail.com</t>
  </si>
  <si>
    <t>6014918-5620</t>
  </si>
  <si>
    <t>Jenny Rose</t>
  </si>
  <si>
    <t>Jenny.malmros0501@gmail.com</t>
  </si>
  <si>
    <t>97150650-1068</t>
  </si>
  <si>
    <t>S___A</t>
  </si>
  <si>
    <t>saud.alawadi@gtckuwait.com</t>
  </si>
  <si>
    <t>96566662062</t>
  </si>
  <si>
    <t>Lina Abbas</t>
  </si>
  <si>
    <t>lina.a.abbas@gmail.com</t>
  </si>
  <si>
    <t>Nicola Kelly</t>
  </si>
  <si>
    <t>Nicolajane33@gmail.com</t>
  </si>
  <si>
    <t>Email sent &amp; whatsapp sent</t>
  </si>
  <si>
    <t>alireza sohrabi</t>
  </si>
  <si>
    <t>sehrabialireza@gmail.com</t>
  </si>
  <si>
    <t>Email &amp; whatsapp sent</t>
  </si>
  <si>
    <t>Jacky Goergler</t>
  </si>
  <si>
    <t>jackygoergler1@hotmail.com</t>
  </si>
  <si>
    <t>Poornima Das Mehta</t>
  </si>
  <si>
    <t>poornimadasmehta@gmail.com</t>
  </si>
  <si>
    <t>Asma</t>
  </si>
  <si>
    <t>asma.n.alhamdan@hotmail.com</t>
  </si>
  <si>
    <t>Zeina Bawab</t>
  </si>
  <si>
    <t>Qtzeina@yahoo.com</t>
  </si>
  <si>
    <t>Shahid Rasheed</t>
  </si>
  <si>
    <t>see_me_thru@hotmail.com</t>
  </si>
  <si>
    <t>Dua'a Al-Shareef</t>
  </si>
  <si>
    <t>dalshareef@live.com</t>
  </si>
  <si>
    <t>966553320320</t>
  </si>
  <si>
    <t>Mohammed ibrahim</t>
  </si>
  <si>
    <t>mohammed1011330@gmail.com</t>
  </si>
  <si>
    <t>Pranav Sehgal</t>
  </si>
  <si>
    <t>pranavsehgal@yahoo.com</t>
  </si>
  <si>
    <t>David Andrade</t>
  </si>
  <si>
    <t>drae101101@aol.com</t>
  </si>
  <si>
    <t>Saad AL Harthi</t>
  </si>
  <si>
    <t>saudi1515@gmail.com</t>
  </si>
  <si>
    <t>M Farook</t>
  </si>
  <si>
    <t>mkfarook@hotmail.com</t>
  </si>
  <si>
    <t>+971508502595</t>
  </si>
  <si>
    <t>bhavna manglani</t>
  </si>
  <si>
    <t>bhavnamanohar@gmail.com</t>
  </si>
  <si>
    <t>+971504530408</t>
  </si>
  <si>
    <t>Rami Faouzi</t>
  </si>
  <si>
    <t>rami.mfaouzi@gmail.com</t>
  </si>
  <si>
    <t>Malik Bilal</t>
  </si>
  <si>
    <t>malikkhura007@gmail.com</t>
  </si>
  <si>
    <t>Rawail Gul</t>
  </si>
  <si>
    <t>rawailgul83@gmail.com</t>
  </si>
  <si>
    <t>Hamad Al Ameri</t>
  </si>
  <si>
    <t>hamad@trojanholding.ae</t>
  </si>
  <si>
    <t xml:space="preserve"> 0506669555</t>
  </si>
  <si>
    <t>BEACH VISTA</t>
  </si>
  <si>
    <t>Gianluca Dalo</t>
  </si>
  <si>
    <t>Gianluca.dalo@aluk.com</t>
  </si>
  <si>
    <t>0556129439</t>
  </si>
  <si>
    <t>Alamin Othman</t>
  </si>
  <si>
    <t>othmana21@gmail.com</t>
  </si>
  <si>
    <t>2405583754</t>
  </si>
  <si>
    <t>Asghar Ali Sheikh</t>
  </si>
  <si>
    <t xml:space="preserve"> royalcommunication2013@hotmail.com</t>
  </si>
  <si>
    <t xml:space="preserve"> 00923002149666</t>
  </si>
  <si>
    <t>details sent about 1br south beach</t>
  </si>
  <si>
    <t>naeem</t>
  </si>
  <si>
    <t>malir@aol.com</t>
  </si>
  <si>
    <t xml:space="preserve"> 1 860 817 1574</t>
  </si>
  <si>
    <t xml:space="preserve">email sent </t>
  </si>
  <si>
    <t>sanober</t>
  </si>
  <si>
    <t>arifafroz@ymail.com</t>
  </si>
  <si>
    <t>00919573262836</t>
  </si>
  <si>
    <t>no answer</t>
  </si>
  <si>
    <t>Mr. Faiyaz M Kurji</t>
  </si>
  <si>
    <t xml:space="preserve">Faiyazkurji@yahoo.com </t>
  </si>
  <si>
    <t>+242722786500</t>
  </si>
  <si>
    <t>doesnt speak english</t>
  </si>
  <si>
    <t>khaled taher</t>
  </si>
  <si>
    <t xml:space="preserve"> khaledtaher69@yahoo.com</t>
  </si>
  <si>
    <t>0504581599</t>
  </si>
  <si>
    <t>abdurahiman</t>
  </si>
  <si>
    <t>clinicajman@gmail.com</t>
  </si>
  <si>
    <t>0506344323</t>
  </si>
  <si>
    <t>details sent about south beach</t>
  </si>
  <si>
    <t>HARISH KHURANA</t>
  </si>
  <si>
    <t>khuranaharish44@gmail.com</t>
  </si>
  <si>
    <t>+91 9936542260</t>
  </si>
  <si>
    <t>Muzaffar Bahlulov</t>
  </si>
  <si>
    <t>eurasian@emirates.net.ae</t>
  </si>
  <si>
    <t>0506501957</t>
  </si>
  <si>
    <t>Makram Jaibaji</t>
  </si>
  <si>
    <t>eng_makram_m@yahoo.com</t>
  </si>
  <si>
    <t>+962780800040</t>
  </si>
  <si>
    <t>MM Masi</t>
  </si>
  <si>
    <t>meermohammedmasiuddin@gmail.com</t>
  </si>
  <si>
    <t>+918555878627</t>
  </si>
  <si>
    <t>Harish Khurana</t>
  </si>
  <si>
    <t>+919936542260</t>
  </si>
  <si>
    <t>Akhtar hussain</t>
  </si>
  <si>
    <t>akhtar.7@hotmail.co.uk</t>
  </si>
  <si>
    <t>0044 777 2657 666</t>
  </si>
  <si>
    <t>Ali ruhayel</t>
  </si>
  <si>
    <t>Ali.ruhayel@gmail.com</t>
  </si>
  <si>
    <t xml:space="preserve"> 0096594785519</t>
  </si>
  <si>
    <t xml:space="preserve">Adil Elahmer </t>
  </si>
  <si>
    <t>adil.elahmer@yahoo.com</t>
  </si>
  <si>
    <t>0502515916</t>
  </si>
  <si>
    <t>Khalid alsalman</t>
  </si>
  <si>
    <t>alsalmankhalid@yahoo.com</t>
  </si>
  <si>
    <t>00966505454888</t>
  </si>
  <si>
    <t xml:space="preserve">Abdulrahman Esene </t>
  </si>
  <si>
    <t>rahmanesene@yahoo.com</t>
  </si>
  <si>
    <t>+12024926673</t>
  </si>
  <si>
    <t>Patrick Fernandes</t>
  </si>
  <si>
    <t>patrick.fernandes@mrunderwriting.com</t>
  </si>
  <si>
    <t>+971504544035</t>
  </si>
  <si>
    <t>Aaref Ahmed</t>
  </si>
  <si>
    <t>dxb757@gmail.com</t>
  </si>
  <si>
    <t>0501211911</t>
  </si>
  <si>
    <t>Maher Al Rawi</t>
  </si>
  <si>
    <t>maher_alrawi@yahoo.com</t>
  </si>
  <si>
    <t>0508012113</t>
  </si>
  <si>
    <t>moatassem mohamed mahmoud mohamed moussa</t>
  </si>
  <si>
    <t>moatassem_moussa@yahoo.com</t>
  </si>
  <si>
    <t>0555369950</t>
  </si>
  <si>
    <t>HBS Puri</t>
  </si>
  <si>
    <t>Juniorpuri@aol.com</t>
  </si>
  <si>
    <t>+971501590601</t>
  </si>
  <si>
    <t>Ali Alani</t>
  </si>
  <si>
    <t>alialani2002@yahoo.com</t>
  </si>
  <si>
    <t>0506553361</t>
  </si>
  <si>
    <t>Mahesh Pamnani</t>
  </si>
  <si>
    <t>Sunnypamnani143@gmail.com</t>
  </si>
  <si>
    <t>+919328822244</t>
  </si>
  <si>
    <t>Majed zakout</t>
  </si>
  <si>
    <t>mzakout@artecint.com</t>
  </si>
  <si>
    <t>0506241269</t>
  </si>
  <si>
    <t>Fal</t>
  </si>
  <si>
    <t>fal@kamprave.com</t>
  </si>
  <si>
    <t xml:space="preserve"> 0522234555</t>
  </si>
  <si>
    <t>Zaim Ebeido</t>
  </si>
  <si>
    <t>zebeido@yahoo.com</t>
  </si>
  <si>
    <t>966503438139</t>
  </si>
  <si>
    <t>Suhail Fadin</t>
  </si>
  <si>
    <t>17417@live.com</t>
  </si>
  <si>
    <t>+966590017417</t>
  </si>
  <si>
    <t>Aysha Amanullah</t>
  </si>
  <si>
    <t>ayshaamanullah@yahoo.co.uk</t>
  </si>
  <si>
    <t>0558813760</t>
  </si>
  <si>
    <t>Raj jain</t>
  </si>
  <si>
    <t>Hitech_jain@yahoo.com</t>
  </si>
  <si>
    <t>9873684950</t>
  </si>
  <si>
    <t xml:space="preserve"> Kevin Flowers</t>
  </si>
  <si>
    <t>kevin@tfqarchitects.co.uk</t>
  </si>
  <si>
    <t>0044 7802 794204</t>
  </si>
  <si>
    <t xml:space="preserve">Vikram Yadav </t>
  </si>
  <si>
    <t xml:space="preserve">Meghalyatravels@yahoo.com </t>
  </si>
  <si>
    <t>09873335399</t>
  </si>
  <si>
    <t>Anil Dhir</t>
  </si>
  <si>
    <t xml:space="preserve">multidot61@yahoo.in </t>
  </si>
  <si>
    <t>9810097506</t>
  </si>
  <si>
    <t>Lorenzo</t>
  </si>
  <si>
    <t>lorenzo@edilpisoni.it</t>
  </si>
  <si>
    <t xml:space="preserve"> +39 335257331</t>
  </si>
  <si>
    <t>Abhijeet Guha</t>
  </si>
  <si>
    <t xml:space="preserve"> abhijeet.guha.96@gmail.com</t>
  </si>
  <si>
    <t>0589501250</t>
  </si>
  <si>
    <t>Petkow</t>
  </si>
  <si>
    <t>Petio9@abv.bg</t>
  </si>
  <si>
    <t>00359897000000</t>
  </si>
  <si>
    <t>Taiwo Ayoola</t>
  </si>
  <si>
    <t>taiwoayoola81@gmail.com</t>
  </si>
  <si>
    <t>+2349034756280</t>
  </si>
  <si>
    <t>Ganiyu Quasim Oluwatosin</t>
  </si>
  <si>
    <t>Lentex4real@yahoo.com</t>
  </si>
  <si>
    <t>08122647080</t>
  </si>
  <si>
    <t xml:space="preserve">
Email sent</t>
  </si>
  <si>
    <t>Muhammad zubair</t>
  </si>
  <si>
    <t>Muhammadzubair389@gmail.com</t>
  </si>
  <si>
    <t xml:space="preserve"> 0504874282</t>
  </si>
  <si>
    <t>Mustafa Ainen</t>
  </si>
  <si>
    <t>mustafa.ainen@gmail.com</t>
  </si>
  <si>
    <t>0505587078</t>
  </si>
  <si>
    <t>MOHAMMED YUSUF ABDULLAHI</t>
  </si>
  <si>
    <t>mohyusufus@yahoo.com</t>
  </si>
  <si>
    <t>0559869000</t>
  </si>
  <si>
    <t>Deepak Aggarwal</t>
  </si>
  <si>
    <t>Goldancherdk@hotmail.com</t>
  </si>
  <si>
    <t>00919215806001</t>
  </si>
  <si>
    <t>Mohammed</t>
  </si>
  <si>
    <t>mohammed.dawani@unb.ae</t>
  </si>
  <si>
    <t>+971566524698</t>
  </si>
  <si>
    <t>Dan</t>
  </si>
  <si>
    <t>Dkoottatep@gmail.com</t>
  </si>
  <si>
    <t>+971554437332</t>
  </si>
  <si>
    <t xml:space="preserve"> Amit Chanchal</t>
  </si>
  <si>
    <t xml:space="preserve"> amitbatschanchal@gmail.com</t>
  </si>
  <si>
    <t>0522036617</t>
  </si>
  <si>
    <t>Sanjeev Coelho</t>
  </si>
  <si>
    <t>coelho@hok.com / Sanjeev.coelho@hok.com</t>
  </si>
  <si>
    <t>+971508410126</t>
  </si>
  <si>
    <t>Irinova Diana Montenegro</t>
  </si>
  <si>
    <t>irinova.montenegro@gmail.com</t>
  </si>
  <si>
    <t>LA MER</t>
  </si>
  <si>
    <t>Alicia Borishade</t>
  </si>
  <si>
    <t>alicia.borishade@gmail.com</t>
  </si>
  <si>
    <t>Email sent, looking to buy for next year.</t>
  </si>
  <si>
    <t>Tawfeek Ahmed Abdeldayem</t>
  </si>
  <si>
    <t>tifoahmed@gmail.com</t>
  </si>
  <si>
    <t>Amir Saeed</t>
  </si>
  <si>
    <t>amirbutt64@hotmail.com</t>
  </si>
  <si>
    <t>Pawan Yadav</t>
  </si>
  <si>
    <t>pawan.yadav21@gmail.com</t>
  </si>
  <si>
    <t>Email sent, not interested at the moment.</t>
  </si>
  <si>
    <t>Alison Lim</t>
  </si>
  <si>
    <t>globe_capital@singnet.com</t>
  </si>
  <si>
    <t>Affari Events</t>
  </si>
  <si>
    <t>angelika@affarievents.com</t>
  </si>
  <si>
    <t>YOUSIF ALJANABI</t>
  </si>
  <si>
    <t>yousif200832@gmail.com</t>
  </si>
  <si>
    <t>امال سمارة</t>
  </si>
  <si>
    <t>amalsamara977@gmail.com</t>
  </si>
  <si>
    <t>Mohit Pande</t>
  </si>
  <si>
    <t>mohittpandey@hotmail.com</t>
  </si>
  <si>
    <t>971529198559</t>
  </si>
  <si>
    <t>Hany Omran</t>
  </si>
  <si>
    <t>hany.nycomed@gmail.com</t>
  </si>
  <si>
    <t>Usman Muhammad</t>
  </si>
  <si>
    <t>u.mtuail@gmail.com</t>
  </si>
  <si>
    <t xml:space="preserve">Email sent &amp; Whatsapp sent, seems interested </t>
  </si>
  <si>
    <t>Roald Tvedt</t>
  </si>
  <si>
    <t>roald.tvedt@yahoo.com</t>
  </si>
  <si>
    <t>Rima Khayyat</t>
  </si>
  <si>
    <t>rimakhayyat@gmail.com</t>
  </si>
  <si>
    <t>Mohammed Hamza</t>
  </si>
  <si>
    <t>mhamza@itqans.com</t>
  </si>
  <si>
    <t>Email &amp; whatsapp sent, seems interested</t>
  </si>
  <si>
    <t>Houda Zbiri</t>
  </si>
  <si>
    <t>houdazbiri000@hotmail.com</t>
  </si>
  <si>
    <t>Shail</t>
  </si>
  <si>
    <t>moonshailendra@gmail.com</t>
  </si>
  <si>
    <t>Ahsan</t>
  </si>
  <si>
    <t>ahsan@gmail.com</t>
  </si>
  <si>
    <t>Nirmala Jose</t>
  </si>
  <si>
    <t>nirmalajbahrain@gmail.com</t>
  </si>
  <si>
    <t>Wafaomar Omar</t>
  </si>
  <si>
    <t>wafaey7@gmail.com</t>
  </si>
  <si>
    <t>Mobarak Al Harthi</t>
  </si>
  <si>
    <t>al6aifi@hotmail.com</t>
  </si>
  <si>
    <t>KhaliD AbdulGhani</t>
  </si>
  <si>
    <t>khag74@yahoo.com</t>
  </si>
  <si>
    <t>Emad Ul Haq</t>
  </si>
  <si>
    <t>Emad6263@gmail.com</t>
  </si>
  <si>
    <t>Jakir Hossain</t>
  </si>
  <si>
    <t>jakirhossain554400@gmail.com</t>
  </si>
  <si>
    <t>Shanu Singla</t>
  </si>
  <si>
    <t>kaanchishanu@gmail.com</t>
  </si>
  <si>
    <t>Heba Almashehari</t>
  </si>
  <si>
    <t>heba_hamed_@hotmail.com</t>
  </si>
  <si>
    <t>bu rashed</t>
  </si>
  <si>
    <t>al_yammahi_82@hotmail.com</t>
  </si>
  <si>
    <t>+971504442042</t>
  </si>
  <si>
    <t>Imtiaz Hasan</t>
  </si>
  <si>
    <t>imtiazhasan966@gmail.com</t>
  </si>
  <si>
    <t>966506045002</t>
  </si>
  <si>
    <t>Ranaalsheddi🌹❤️</t>
  </si>
  <si>
    <t>ranaalsheddi@hotmail.com</t>
  </si>
  <si>
    <t>Email &amp; whatsapp sent, speaks only arabic</t>
  </si>
  <si>
    <t>علي احمد السيد</t>
  </si>
  <si>
    <t>Aliaelsaied1988@gmail.com</t>
  </si>
  <si>
    <t>Irshad Contracror</t>
  </si>
  <si>
    <t>irshadmcontractor@hotmail.com</t>
  </si>
  <si>
    <t>Email  &amp; whatsapp sent</t>
  </si>
  <si>
    <t>Hussain AlZamani</t>
  </si>
  <si>
    <t>hamdanzamani@hotmail.com</t>
  </si>
  <si>
    <t>Abo Yaamen</t>
  </si>
  <si>
    <t>aboloai40@gmail.com</t>
  </si>
  <si>
    <t>966559223839</t>
  </si>
  <si>
    <t>email sent</t>
  </si>
  <si>
    <t>Jos Joy</t>
  </si>
  <si>
    <t>josejoym@hotmail.com</t>
  </si>
  <si>
    <t>Kamal Uddin Hussain</t>
  </si>
  <si>
    <t>kamal79uddin@gmail.com</t>
  </si>
  <si>
    <t>Enas Shrouf AlGhoul</t>
  </si>
  <si>
    <t>neso.1986@yahoo.com</t>
  </si>
  <si>
    <t>email and whatsapp sent</t>
  </si>
  <si>
    <t>Chand Mohammad</t>
  </si>
  <si>
    <t>mansuri431@gmail.com</t>
  </si>
  <si>
    <t>Patrick Poetzsch</t>
  </si>
  <si>
    <t>patrickpoetzsch@gmail.com</t>
  </si>
  <si>
    <t>Nandini Nadarajah</t>
  </si>
  <si>
    <t>nandini_nadarajah@live.com</t>
  </si>
  <si>
    <t>Amar Srivastava</t>
  </si>
  <si>
    <t>amarsrivastava01@gmail.com</t>
  </si>
  <si>
    <t>عاصم</t>
  </si>
  <si>
    <t>asem_666@hotmail.com</t>
  </si>
  <si>
    <t>Name : Dolly Habbal</t>
  </si>
  <si>
    <t>Email :  dollyhabbal@yahoo.com</t>
  </si>
  <si>
    <t>Email sent, interested in al barari 2 br</t>
  </si>
  <si>
    <t>Avinash Maharaj</t>
  </si>
  <si>
    <t>aviprime@gmail.com</t>
  </si>
  <si>
    <t>email &amp; whatsapp sent</t>
  </si>
  <si>
    <t>Sasha Merali</t>
  </si>
  <si>
    <t>nigarmerali@gmail.com</t>
  </si>
  <si>
    <t>Pravin Majithia</t>
  </si>
  <si>
    <t>pravin572002@yahoo.co.in</t>
  </si>
  <si>
    <t>email sent, follow up again in October.</t>
  </si>
  <si>
    <t>Khaled Chahed</t>
  </si>
  <si>
    <t>khaledchahed@googlemail.com</t>
  </si>
  <si>
    <t>AAAJ6773@HOTMAIL.COM</t>
  </si>
  <si>
    <t>aaaj7175@gmail.com</t>
  </si>
  <si>
    <t>Khulood</t>
  </si>
  <si>
    <t>uae_lady01@yahoo.com</t>
  </si>
  <si>
    <t>Fawaz sama</t>
  </si>
  <si>
    <t>Fawaz.sama@gmail.com</t>
  </si>
  <si>
    <t>971505595308</t>
  </si>
  <si>
    <t>Whatsapp &amp; Email sent</t>
  </si>
  <si>
    <t>Amna Al Hammadi</t>
  </si>
  <si>
    <t>amnaalhammadi@icloud.com</t>
  </si>
  <si>
    <t>Nabil Moustafa</t>
  </si>
  <si>
    <t>nabilaltal@yahoo.com</t>
  </si>
  <si>
    <t>Sami Shaw</t>
  </si>
  <si>
    <t>shawlzahi@gmail.com</t>
  </si>
  <si>
    <t>speaks only hindu</t>
  </si>
  <si>
    <t>Iain Barnetson</t>
  </si>
  <si>
    <t>iain.barnetson@gmail.com</t>
  </si>
  <si>
    <t>Yogendra Kumar Malhotra</t>
  </si>
  <si>
    <t>malhotra1949@gmail.com</t>
  </si>
  <si>
    <t>email sent, not a working number</t>
  </si>
  <si>
    <t>warren king</t>
  </si>
  <si>
    <t>WKMARCH@GMAIL.COM</t>
  </si>
  <si>
    <t>Amrita Sethi</t>
  </si>
  <si>
    <t>amritachana@hotmail.com</t>
  </si>
  <si>
    <t>Brendan Carbery</t>
  </si>
  <si>
    <t>b_carbery@hotmail.com</t>
  </si>
  <si>
    <t>Yousif Ajaji</t>
  </si>
  <si>
    <t>ajajiy1@gmail.com</t>
  </si>
  <si>
    <t>agent</t>
  </si>
  <si>
    <t>Raghuvinder Singh</t>
  </si>
  <si>
    <t>raghuvindra.yadav@gmail.com</t>
  </si>
  <si>
    <t>+9198991 17659</t>
  </si>
  <si>
    <t>Omer Haider</t>
  </si>
  <si>
    <t>omerhaider1@gmail.com</t>
  </si>
  <si>
    <t>wants secondary market</t>
  </si>
  <si>
    <t>Sulaiman Khan</t>
  </si>
  <si>
    <t>saamistar@icloud.com</t>
  </si>
  <si>
    <t>Ginny</t>
  </si>
  <si>
    <t>drvandanasolanki@gmail.com</t>
  </si>
  <si>
    <t>Muhammad Daniyal</t>
  </si>
  <si>
    <t>m.daniyal87@gmail.com</t>
  </si>
  <si>
    <t>Sajid Khimji</t>
  </si>
  <si>
    <t>sajid.khimji@gmail.com</t>
  </si>
  <si>
    <t>محمد بن سلطان</t>
  </si>
  <si>
    <t>m.s.m29@hotmail.com</t>
  </si>
  <si>
    <t>not intersted</t>
  </si>
  <si>
    <t>Martin Beaudry</t>
  </si>
  <si>
    <t>martinbeaudry2016@gmail.com</t>
  </si>
  <si>
    <t>Hiam Almaatouk Aga</t>
  </si>
  <si>
    <t>hiam.aga@gmail.com</t>
  </si>
  <si>
    <t>Rana Sajid Ali Khan</t>
  </si>
  <si>
    <t>Ranasajid713@yahoo.com</t>
  </si>
  <si>
    <t>shahid Ahmed khalil</t>
  </si>
  <si>
    <t>adeelfashion@gmail.com</t>
  </si>
  <si>
    <t>looking for 3br south beach</t>
  </si>
  <si>
    <t>Yakub Kolia</t>
  </si>
  <si>
    <t>yakubkolia@gmail.com</t>
  </si>
  <si>
    <t>interested in secondary market</t>
  </si>
  <si>
    <t>Hamed Bahman</t>
  </si>
  <si>
    <t>hamed@esmailbahman.com</t>
  </si>
  <si>
    <t>Abj 71</t>
  </si>
  <si>
    <t>abdulbaset.aljanahi@gmail.com</t>
  </si>
  <si>
    <t>Adel Abassi</t>
  </si>
  <si>
    <t>Adel@gmail.com</t>
  </si>
  <si>
    <t>Muneem Khan</t>
  </si>
  <si>
    <t>muneemkhan123@gmail.com</t>
  </si>
  <si>
    <t>00971504941249</t>
  </si>
  <si>
    <t>call back later</t>
  </si>
  <si>
    <t>Sam Mashta</t>
  </si>
  <si>
    <t>drsmashta@yahoo.co.uk</t>
  </si>
  <si>
    <t>00447888681786</t>
  </si>
  <si>
    <t>Nasir</t>
  </si>
  <si>
    <t>mozang70@hotmail.com</t>
  </si>
  <si>
    <t>Asif A Rehmatulla</t>
  </si>
  <si>
    <t>asif@rhdc.com</t>
  </si>
  <si>
    <t>Carlos Hamdan</t>
  </si>
  <si>
    <t>cjamdan@gmail.com</t>
  </si>
  <si>
    <t>Al Mondo</t>
  </si>
  <si>
    <t>salehaky@yahoo.com</t>
  </si>
  <si>
    <t>Ben Thompson</t>
  </si>
  <si>
    <t>Ben.academy@hotmail.com</t>
  </si>
  <si>
    <t>0012022560363</t>
  </si>
  <si>
    <t>Mounib Hatab</t>
  </si>
  <si>
    <t>M.Hatab@futurepipe.com</t>
  </si>
  <si>
    <t xml:space="preserve"> 971506442611</t>
  </si>
  <si>
    <t>MARINA VISTA</t>
  </si>
  <si>
    <t>whatsapp sent</t>
  </si>
  <si>
    <t xml:space="preserve">JAMAL KHALAF </t>
  </si>
  <si>
    <t xml:space="preserve"> jamal.khalaf@hotmail.com</t>
  </si>
  <si>
    <t>Mohd Mushtaq Ahmed</t>
  </si>
  <si>
    <t>mohdmushtaq70@hotmail.com</t>
  </si>
  <si>
    <t>Ejaz Syed</t>
  </si>
  <si>
    <t>flyboyjazi@yahoo.com</t>
  </si>
  <si>
    <t>Ramon Reyes</t>
  </si>
  <si>
    <t>ramonreyes1126@gmail.com</t>
  </si>
  <si>
    <t>Abdul Latif</t>
  </si>
  <si>
    <t>latif_bk@yahoo.com</t>
  </si>
  <si>
    <t>Ratheesh Chekkaravilai</t>
  </si>
  <si>
    <t>ratheeshs703@gmail.com</t>
  </si>
  <si>
    <t>Anilkumar Vaniyarmoola</t>
  </si>
  <si>
    <t>anilkumar2554@gmail.com</t>
  </si>
  <si>
    <t>9/1/0208</t>
  </si>
  <si>
    <t>Jivan Gurung</t>
  </si>
  <si>
    <t>jivang160@gmail.com</t>
  </si>
  <si>
    <t xml:space="preserve">Nicholas Watson </t>
  </si>
  <si>
    <t xml:space="preserve"> drnjwatson@yahoo.com </t>
  </si>
  <si>
    <t xml:space="preserve">0509432679 </t>
  </si>
  <si>
    <t xml:space="preserve">Othman </t>
  </si>
  <si>
    <t>otoman_m@yahoo.com</t>
  </si>
  <si>
    <t>Email sent, call after 2pm</t>
  </si>
  <si>
    <t>Munirul Islam</t>
  </si>
  <si>
    <t>drmunirdr@gmail.com</t>
  </si>
  <si>
    <t>Email sent, arabic speaking</t>
  </si>
  <si>
    <t>Жусупмамат Кожобеков</t>
  </si>
  <si>
    <t>zusuaka@gmail.com</t>
  </si>
  <si>
    <t>Mohan Navtej</t>
  </si>
  <si>
    <t>mohannavtej123@gmail.com</t>
  </si>
  <si>
    <t>عبدالله المنصور</t>
  </si>
  <si>
    <t>mr.lover_38@hotmail.com</t>
  </si>
  <si>
    <t>Habib Sarfaraj</t>
  </si>
  <si>
    <t>hsrik1981r@gmail.com</t>
  </si>
  <si>
    <t>Sammar Adhikari</t>
  </si>
  <si>
    <t>adhikarisammar50@gmail.com</t>
  </si>
  <si>
    <t>郭德恆</t>
  </si>
  <si>
    <t>dehenkwo@gmsil.com</t>
  </si>
  <si>
    <t>886953186836</t>
  </si>
  <si>
    <t>Sunny Poon</t>
  </si>
  <si>
    <t>spoonkapitol@163.com</t>
  </si>
  <si>
    <t>Guol Wei</t>
  </si>
  <si>
    <t>guolsync@gmail.com</t>
  </si>
  <si>
    <t>Faridh Mohammed</t>
  </si>
  <si>
    <t>faridamohammed143@gmail.com</t>
  </si>
  <si>
    <t>00966500398712</t>
  </si>
  <si>
    <t>Ali Moh'd Hayki</t>
  </si>
  <si>
    <t>haykiam@yahoo.com</t>
  </si>
  <si>
    <t>00966541996114</t>
  </si>
  <si>
    <t>Abdur Rashid</t>
  </si>
  <si>
    <t>rashidabdur574@gmail.com</t>
  </si>
  <si>
    <t>00966508405855</t>
  </si>
  <si>
    <t>Merlita Macalde</t>
  </si>
  <si>
    <t>merlitamacalde4@gmail.com</t>
  </si>
  <si>
    <t>00966552316067</t>
  </si>
  <si>
    <t>Yussif Baba</t>
  </si>
  <si>
    <t>bbmfmm79@gmail.com</t>
  </si>
  <si>
    <t>00966566943852</t>
  </si>
  <si>
    <t>Sentu Seikh</t>
  </si>
  <si>
    <t>sentuseikh3906@gmail.com</t>
  </si>
  <si>
    <t>Azhar Kiani</t>
  </si>
  <si>
    <t>azhar78669@gmail.com</t>
  </si>
  <si>
    <t>Mebrihit Berihu</t>
  </si>
  <si>
    <t>mebrihitberihu0536391629@gmail.com</t>
  </si>
  <si>
    <t>May Shagroon</t>
  </si>
  <si>
    <t>amayamoon@yahoo.com</t>
  </si>
  <si>
    <t>المهندس حسن مدني</t>
  </si>
  <si>
    <t>eng.aborodeen@gmail.com</t>
  </si>
  <si>
    <t>Reem Ka</t>
  </si>
  <si>
    <t>reemk77@gmail.com</t>
  </si>
  <si>
    <t>00966563333552</t>
  </si>
  <si>
    <t>محمد جميل كتبي</t>
  </si>
  <si>
    <t>mjkutbi@hotmail.com</t>
  </si>
  <si>
    <t>Haji Rosty Makkah</t>
  </si>
  <si>
    <t>rostysleh1@mail.com</t>
  </si>
  <si>
    <t>855975550937</t>
  </si>
  <si>
    <t>MD Mati Bur</t>
  </si>
  <si>
    <t>motibur720@gmail.com</t>
  </si>
  <si>
    <t>00966577939426</t>
  </si>
  <si>
    <t>Balakrishnan Krishnan</t>
  </si>
  <si>
    <t>balakrishnanbala897@gmail.com</t>
  </si>
  <si>
    <t>00966509493394</t>
  </si>
  <si>
    <t>Nadeem Ahmed</t>
  </si>
  <si>
    <t>nadeem55566@yahoo.com</t>
  </si>
  <si>
    <t>00966557785742</t>
  </si>
  <si>
    <t>Email sent, number out of service</t>
  </si>
  <si>
    <t>A.Aziz Al-Jassem</t>
  </si>
  <si>
    <t>aaljassem@gmail.com</t>
  </si>
  <si>
    <t>0096599011491</t>
  </si>
  <si>
    <t>Email sent, whatsapp sent</t>
  </si>
  <si>
    <t>黃禎詮</t>
  </si>
  <si>
    <t>huangjenchiuan@gmail.com</t>
  </si>
  <si>
    <t>Jennifer Chen</t>
  </si>
  <si>
    <t>lovechen0311@gmail.com</t>
  </si>
  <si>
    <t>Don Loo</t>
  </si>
  <si>
    <t>don@dcvision.com.sg</t>
  </si>
  <si>
    <t>Louis</t>
  </si>
  <si>
    <t>basketball_f@hotmail.com</t>
  </si>
  <si>
    <t>Jhen Wendam Alaban</t>
  </si>
  <si>
    <t>jhenalaban@yahoo.com</t>
  </si>
  <si>
    <t>+6590358583</t>
  </si>
  <si>
    <t>Jowel Rana</t>
  </si>
  <si>
    <t>jowel9955@gmail.com</t>
  </si>
  <si>
    <t xml:space="preserve"> +966583698849</t>
  </si>
  <si>
    <t>Sharifawina Jum</t>
  </si>
  <si>
    <t xml:space="preserve"> fatimadarwinjoe@gmail.com</t>
  </si>
  <si>
    <t>+97334513158</t>
  </si>
  <si>
    <t>Mohamed-Khaliif Abdulahi Ahmed</t>
  </si>
  <si>
    <t>Sayidkhaliifaa@hotmail.com</t>
  </si>
  <si>
    <t xml:space="preserve"> +252634416184</t>
  </si>
  <si>
    <t>Shabani Amiri</t>
  </si>
  <si>
    <t>amirishabani906@gmail.com</t>
  </si>
  <si>
    <t xml:space="preserve"> +243817518798</t>
  </si>
  <si>
    <t>Email sent, speaks french</t>
  </si>
  <si>
    <t>مجيب الاحمدي</t>
  </si>
  <si>
    <t>torkyx2014@gmail.com</t>
  </si>
  <si>
    <t>داود یوسفی</t>
  </si>
  <si>
    <t>davood561338@gmail.com</t>
  </si>
  <si>
    <t>Fazal Shareef</t>
  </si>
  <si>
    <t>fazalshareef2004@yahoo.com</t>
  </si>
  <si>
    <t>Pandiyaraj Kalusulingam</t>
  </si>
  <si>
    <t>kpandiyaraj_safety@yahoo.co.in</t>
  </si>
  <si>
    <t>Nasiru Yusuf</t>
  </si>
  <si>
    <t>nasiru903@yahoo.com</t>
  </si>
  <si>
    <t>Muhammad Riaz Goraya</t>
  </si>
  <si>
    <t>gorayariaz@gmail.com</t>
  </si>
  <si>
    <t>Abdullah Kehinde</t>
  </si>
  <si>
    <t>kennyabdu123@gmail.com</t>
  </si>
  <si>
    <t>Saleem Khan</t>
  </si>
  <si>
    <t>www.salim763@gmail.com</t>
  </si>
  <si>
    <t>Sıtkı Özel</t>
  </si>
  <si>
    <t>sitkiozel17@gmail.com</t>
  </si>
  <si>
    <t>+905323835086</t>
  </si>
  <si>
    <t>Ahmet Halavuk</t>
  </si>
  <si>
    <t>ahalavuk@yuksel.net</t>
  </si>
  <si>
    <t>MUBARAK ALMUHAINI</t>
  </si>
  <si>
    <t>25mubarak25@gmail.com</t>
  </si>
  <si>
    <t>Mithun Nayak</t>
  </si>
  <si>
    <t>mithunmaya555@gmail.com</t>
  </si>
  <si>
    <t>Amirataza Amirataza</t>
  </si>
  <si>
    <t>amirataza4@gmail.com</t>
  </si>
  <si>
    <t>Kanagaraj Kandasamy</t>
  </si>
  <si>
    <t>k.kanagaraj74@gmail.com</t>
  </si>
  <si>
    <t>Abubeker Ali</t>
  </si>
  <si>
    <t>ajajjrk@gmail.com</t>
  </si>
  <si>
    <t>966533831218</t>
  </si>
  <si>
    <t>Istiyar Hossain</t>
  </si>
  <si>
    <t>rajkhanraj35@gmail.com</t>
  </si>
  <si>
    <t>Ian Makins</t>
  </si>
  <si>
    <t>makinsif@aol.com</t>
  </si>
  <si>
    <t>Butoy Tabonares</t>
  </si>
  <si>
    <t>ettabo0609@gmail.com</t>
  </si>
  <si>
    <t>Mahesh Panchal</t>
  </si>
  <si>
    <t>mahesh.panchal1971@gmail.com</t>
  </si>
  <si>
    <t>Saqib Suleman Malik</t>
  </si>
  <si>
    <t>saqibsulemanmalik@gmail.com</t>
  </si>
  <si>
    <t>Mansur Rayan</t>
  </si>
  <si>
    <t>mansur221195@gmail.com</t>
  </si>
  <si>
    <t>Ishtiaqkhan Khan</t>
  </si>
  <si>
    <t>ishtiaq.khan28@yahoo.com</t>
  </si>
  <si>
    <t>Khorshed Alam</t>
  </si>
  <si>
    <t>khorshedpup@gmail.com</t>
  </si>
  <si>
    <t>Golnaz Vahedi</t>
  </si>
  <si>
    <t>eleen.zad@hi2.in</t>
  </si>
  <si>
    <t>saleemkhan12584@gmail.com</t>
  </si>
  <si>
    <t>Abdur Razzak</t>
  </si>
  <si>
    <t>abdurrazzak202@gmail.com</t>
  </si>
  <si>
    <t>Abdulla poonthiruthy</t>
  </si>
  <si>
    <t>aansari08@gmail.com</t>
  </si>
  <si>
    <t>Abeer A.</t>
  </si>
  <si>
    <t>amarentes@gmail.com</t>
  </si>
  <si>
    <t>Haji M Qaisar</t>
  </si>
  <si>
    <t>janq3414@gmail.com</t>
  </si>
  <si>
    <t>Mustafa Zaman</t>
  </si>
  <si>
    <t>zaman.sm1977@gmail.com</t>
  </si>
  <si>
    <t>Bob Hamid Gueye</t>
  </si>
  <si>
    <t>gueyart@hotmail.com</t>
  </si>
  <si>
    <t>Eman Ghanem</t>
  </si>
  <si>
    <t>green_black_unmanly@yahoo.com</t>
  </si>
  <si>
    <t>David Cannon</t>
  </si>
  <si>
    <t>dcannon4@hotmail.com</t>
  </si>
  <si>
    <t>Aslam Khan</t>
  </si>
  <si>
    <t>ak3288931@gmail.com</t>
  </si>
  <si>
    <t>Antony Shajan</t>
  </si>
  <si>
    <t>shajanq8530@gmail.com</t>
  </si>
  <si>
    <t>Arman Thakur</t>
  </si>
  <si>
    <t>wasim771thakur@gmail.com</t>
  </si>
  <si>
    <t>00919058420014</t>
  </si>
  <si>
    <t>Email sent, calls not available</t>
  </si>
  <si>
    <t>Skali Babu</t>
  </si>
  <si>
    <t>sayedkasim1777@gmail.com</t>
  </si>
  <si>
    <t>00919937076575</t>
  </si>
  <si>
    <t>Email sent, doesnt speak english</t>
  </si>
  <si>
    <t>Mabs Mohamed</t>
  </si>
  <si>
    <t>mabsmohamed@yahoo.com</t>
  </si>
  <si>
    <t>Vibhaas Manngala</t>
  </si>
  <si>
    <t xml:space="preserve"> vibhasmangla@hotmail.com</t>
  </si>
  <si>
    <t>Nasser Youssef</t>
  </si>
  <si>
    <t>Waheed</t>
  </si>
  <si>
    <t>madeehaw@gmail.com</t>
  </si>
  <si>
    <t>00966507271512</t>
  </si>
  <si>
    <t>周國珠</t>
  </si>
  <si>
    <t>cathy@bestemerald.com.tw</t>
  </si>
  <si>
    <t>+886916221153</t>
  </si>
  <si>
    <t>Pan Athena</t>
  </si>
  <si>
    <t>a0900200902@gmail.com</t>
  </si>
  <si>
    <t>+8860916380623</t>
  </si>
  <si>
    <t>wrong email and number</t>
  </si>
  <si>
    <t>Almhends Hussain Madny</t>
  </si>
  <si>
    <t>+966555506029</t>
  </si>
  <si>
    <t>呂玉玫</t>
  </si>
  <si>
    <t>amandalu8888@yahoo.com</t>
  </si>
  <si>
    <t>+886911010118</t>
  </si>
  <si>
    <t>張瀘華</t>
  </si>
  <si>
    <t>Alice.c.luhua@gmail.com</t>
  </si>
  <si>
    <t>+8860972779398</t>
  </si>
  <si>
    <t>Ho YuhChao</t>
  </si>
  <si>
    <t>ho.yuhchao@gmail.com</t>
  </si>
  <si>
    <t>+886933592509</t>
  </si>
  <si>
    <t>陳美廷</t>
  </si>
  <si>
    <t>minuan678@gmail.com</t>
  </si>
  <si>
    <t>+886901333933</t>
  </si>
  <si>
    <t>Ken Calo Chen</t>
  </si>
  <si>
    <t>grace4globe@gmail.com</t>
  </si>
  <si>
    <t>+886918650680</t>
  </si>
  <si>
    <t>Robert Husseini</t>
  </si>
  <si>
    <t>hgroup91@hotmail.com</t>
  </si>
  <si>
    <t>LA RIVE</t>
  </si>
  <si>
    <t xml:space="preserve"> Josip Fuduric</t>
  </si>
  <si>
    <t>fuduric@fuduric.de</t>
  </si>
  <si>
    <t>0049-172-6235076</t>
  </si>
  <si>
    <t>Elie Saab by Emar</t>
  </si>
  <si>
    <t>Fiona</t>
  </si>
  <si>
    <t>fiona1601@gmail.com</t>
  </si>
  <si>
    <t>Mobile Number: ----</t>
  </si>
  <si>
    <t>Elie Saab by Emaar</t>
  </si>
  <si>
    <t>STEPHEN LEDREW</t>
  </si>
  <si>
    <t>stephenledrew@hotmail.com</t>
  </si>
  <si>
    <t>IL PROJECT: Sunrise Bay by Emaar</t>
  </si>
  <si>
    <t>Shabbir Gulamhusen</t>
  </si>
  <si>
    <t>Bharmal@eim.ae</t>
  </si>
  <si>
    <t>MINA RASHID</t>
  </si>
  <si>
    <t>Parag rau</t>
  </si>
  <si>
    <t>parag22@emirates.net.ae</t>
  </si>
  <si>
    <t>JAYESH VALLABH</t>
  </si>
  <si>
    <t>jayind@hotmail.com</t>
  </si>
  <si>
    <t>Alia nasser</t>
  </si>
  <si>
    <t>Alia.nasser@ hotmail.com</t>
  </si>
  <si>
    <t>wrong Email, whatsapp sent</t>
  </si>
  <si>
    <t>Francois Faure</t>
  </si>
  <si>
    <t>maatintl@hotmail.com</t>
  </si>
  <si>
    <t>Haftom Gebreslisea</t>
  </si>
  <si>
    <t>yousefroyal2020@hotmail.com</t>
  </si>
  <si>
    <t>Umar Rajput</t>
  </si>
  <si>
    <t>umer_saleem135@yahoo.com</t>
  </si>
  <si>
    <t>Khan Sajawal</t>
  </si>
  <si>
    <t>ma1227250@gmail.com</t>
  </si>
  <si>
    <t>Aneesurrahman Rahman</t>
  </si>
  <si>
    <t>aneesurrahman81@yahoo.com</t>
  </si>
  <si>
    <t>Marwan Hamadeh</t>
  </si>
  <si>
    <t>hamadeh.marwan@gmail.com</t>
  </si>
  <si>
    <t>Atif Gondal Kashm Ka</t>
  </si>
  <si>
    <t>atifshahzad303@gmail.com</t>
  </si>
  <si>
    <t>email sent, wrong number</t>
  </si>
  <si>
    <t>Sangram Singh</t>
  </si>
  <si>
    <t>drsangrams@gmail.com</t>
  </si>
  <si>
    <t>Ibm Ullal</t>
  </si>
  <si>
    <t>ibm_ullal@yahoo.com</t>
  </si>
  <si>
    <t>Maurizio Barolo</t>
  </si>
  <si>
    <t>mauriziobarolo@hotmail.com</t>
  </si>
  <si>
    <t>Humayoon Teekay</t>
  </si>
  <si>
    <t>humayoon@eim.ae</t>
  </si>
  <si>
    <t>Jawad Rafique</t>
  </si>
  <si>
    <t>international381@yahoo.com</t>
  </si>
  <si>
    <t>Saif Elmhdy</t>
  </si>
  <si>
    <t>saifelmhdy_83@yahoo.com</t>
  </si>
  <si>
    <t>Payer Ahamed Salim</t>
  </si>
  <si>
    <t>payerahaned2526@gnail.com</t>
  </si>
  <si>
    <t>Viral Shah</t>
  </si>
  <si>
    <t>shahvs@saharapcc.com</t>
  </si>
  <si>
    <t>Antony Lawrence</t>
  </si>
  <si>
    <t>antony.lawrence61@gmail.com</t>
  </si>
  <si>
    <t>HaMDa</t>
  </si>
  <si>
    <t>gulfgirl2012@gmail.com</t>
  </si>
  <si>
    <t>Jacinto Palapar</t>
  </si>
  <si>
    <t>jsp_200553@yahoo.com</t>
  </si>
  <si>
    <t>R.U. Gohary</t>
  </si>
  <si>
    <t>r.u.gohary@outlook.com</t>
  </si>
  <si>
    <t>Pino Mercurio +41786534061</t>
  </si>
  <si>
    <t>info@mercurio-realestate.com</t>
  </si>
  <si>
    <t>Email &amp; whatsapp sent, looking to buy after 1-2 months</t>
  </si>
  <si>
    <t>Masud Rana</t>
  </si>
  <si>
    <t>masud19rana84@gmail.com</t>
  </si>
  <si>
    <t>Fahad Alshammari</t>
  </si>
  <si>
    <t>fs00034@gmail.com</t>
  </si>
  <si>
    <t>Sylvester Tay</t>
  </si>
  <si>
    <t>st8601@gmail.com</t>
  </si>
  <si>
    <t>Abdul Hakeem</t>
  </si>
  <si>
    <t>cvahakeem@gmail.com</t>
  </si>
  <si>
    <t>Abdallah Almosleh</t>
  </si>
  <si>
    <t>almosleh105@hotmail.com</t>
  </si>
  <si>
    <t>Abu Umar</t>
  </si>
  <si>
    <t>abuumar08011986@mail.ru</t>
  </si>
  <si>
    <t>M Nadeem M Nadeem</t>
  </si>
  <si>
    <t>usmanmakkah30@gmail.com</t>
  </si>
  <si>
    <t>Idris Olumide Shobanke</t>
  </si>
  <si>
    <t>kontactolu@yahoo.com</t>
  </si>
  <si>
    <t>Arash.Rz</t>
  </si>
  <si>
    <t>aras.rostami068@gmail.com</t>
  </si>
  <si>
    <t>wrong email,  whatsapp sent</t>
  </si>
  <si>
    <t>Abawi Sulieman</t>
  </si>
  <si>
    <t>Abawis@yahoo.com</t>
  </si>
  <si>
    <t>Suboor Siddiqui</t>
  </si>
  <si>
    <t>saboorsweety@yahoo.co.in</t>
  </si>
  <si>
    <t>AK</t>
  </si>
  <si>
    <t>akhann@gmail.com</t>
  </si>
  <si>
    <t>971565463223</t>
  </si>
  <si>
    <t>Syed Anwar Hussain</t>
  </si>
  <si>
    <t>alnariman@hotmail.com</t>
  </si>
  <si>
    <t>Hua Wei</t>
  </si>
  <si>
    <t>280565285@qq.com</t>
  </si>
  <si>
    <t>Bala Bala</t>
  </si>
  <si>
    <t>bala.r9360@gmail.com</t>
  </si>
  <si>
    <t>Zaheer Ahmad</t>
  </si>
  <si>
    <t>ZAHEER6207000@gmail.com</t>
  </si>
  <si>
    <t>aialhammad</t>
  </si>
  <si>
    <t>aia1023@gmail.com</t>
  </si>
  <si>
    <t>Samira Mousa</t>
  </si>
  <si>
    <t>samiramousa88@gmail.com</t>
  </si>
  <si>
    <t>Qazi Qazi</t>
  </si>
  <si>
    <t>Qazibaba7329@gmail.com</t>
  </si>
  <si>
    <t>wrong email, doesnt speak english</t>
  </si>
  <si>
    <t>سلطان الحميدي</t>
  </si>
  <si>
    <t>salhamidi@gmail.com</t>
  </si>
  <si>
    <t>17.7.2019</t>
  </si>
  <si>
    <t>Usman Rana</t>
  </si>
  <si>
    <t>usmanrana157335@gmail.com</t>
  </si>
  <si>
    <t>Rrahul Verma</t>
  </si>
  <si>
    <t>verrma.rahul@gmail.com</t>
  </si>
  <si>
    <t>Anitnas iL Gnitay</t>
  </si>
  <si>
    <t>tinalee20100701@hotmail.com</t>
  </si>
  <si>
    <t>Irfan Shaikh</t>
  </si>
  <si>
    <t>ishaikh74@yahoo.com</t>
  </si>
  <si>
    <t>Nishad Mohammed</t>
  </si>
  <si>
    <t>nishadm1978@gmail.com</t>
  </si>
  <si>
    <t>Monika Khanna</t>
  </si>
  <si>
    <t>monica17khanna@gmail.com</t>
  </si>
  <si>
    <t>waelel sayed</t>
  </si>
  <si>
    <t>waelelsayed71@gmail.com</t>
  </si>
  <si>
    <t>Abudhabi</t>
  </si>
  <si>
    <t>h.alhammadi84@yahoo.com</t>
  </si>
  <si>
    <t>7.18.2019</t>
  </si>
  <si>
    <t>Veezo Khattak</t>
  </si>
  <si>
    <t>drveezo62@gmail.com</t>
  </si>
  <si>
    <t>Koushik Das</t>
  </si>
  <si>
    <t>koushikdas3012@gmail.com</t>
  </si>
  <si>
    <t>Prakash Mishra</t>
  </si>
  <si>
    <t>mayankgupta2411999@gmail.com</t>
  </si>
  <si>
    <t>Ak Fahad khan</t>
  </si>
  <si>
    <t>janok9846@gmail.com</t>
  </si>
  <si>
    <t>Sajawalicious</t>
  </si>
  <si>
    <t>m.sajawal6625@gmail.com</t>
  </si>
  <si>
    <t>Qaiser Mehmood</t>
  </si>
  <si>
    <t>Hamayun6349@gmail.com</t>
  </si>
  <si>
    <t>JAYESH SHAH</t>
  </si>
  <si>
    <t>JAYESHSHAH@yahoo.co.in</t>
  </si>
  <si>
    <t>lina</t>
  </si>
  <si>
    <t>lina_5876@mail.ru</t>
  </si>
  <si>
    <t>00971545253184</t>
  </si>
  <si>
    <t>Maithahmad</t>
  </si>
  <si>
    <t>Maithahmad@hotmail.com</t>
  </si>
  <si>
    <t>00971508080255</t>
  </si>
  <si>
    <t>7.19.2019</t>
  </si>
  <si>
    <t>Asmaa Alsuhail</t>
  </si>
  <si>
    <t>asmaa_suhail@yahoo.com</t>
  </si>
  <si>
    <t>00971509327119</t>
  </si>
  <si>
    <t>Sasha</t>
  </si>
  <si>
    <t>lesa@unitaris.com</t>
  </si>
  <si>
    <t>00971501113263</t>
  </si>
  <si>
    <t>interested to buy after december</t>
  </si>
  <si>
    <t>sinmar Al-sayed</t>
  </si>
  <si>
    <t>sinmar73@gmail.com</t>
  </si>
  <si>
    <t>Anees Urrehman</t>
  </si>
  <si>
    <t>aneesattaurrehman@gmail.com</t>
  </si>
  <si>
    <t>Abeer Khan</t>
  </si>
  <si>
    <t>abeerabid689@yahoo.com</t>
  </si>
  <si>
    <t>Nan</t>
  </si>
  <si>
    <t>rish.1997@gmail.com</t>
  </si>
  <si>
    <t>Nigam ____Sawhney</t>
  </si>
  <si>
    <t>nigamsawhney12@gmail.com</t>
  </si>
  <si>
    <t>Arshad Mahr</t>
  </si>
  <si>
    <t>arshadmahr@mahrgroup.com</t>
  </si>
  <si>
    <t>7.23.2019</t>
  </si>
  <si>
    <t>athina yamanda</t>
  </si>
  <si>
    <t>faizaathina@gmail.com</t>
  </si>
  <si>
    <t>Sidahmed Bensafi</t>
  </si>
  <si>
    <t>sidahmedbensafi@gmail.com</t>
  </si>
  <si>
    <t>Abd</t>
  </si>
  <si>
    <t>abd_shatnawi@yahoo.com</t>
  </si>
  <si>
    <t>+962 7 7734 2240</t>
  </si>
  <si>
    <t>BLUEWATERS</t>
  </si>
  <si>
    <t>Majed</t>
  </si>
  <si>
    <t>al_meleak@yahoo.com</t>
  </si>
  <si>
    <t>967000000000</t>
  </si>
  <si>
    <t>wrong number</t>
  </si>
  <si>
    <t>aa.merchandiser@yahoo.com</t>
  </si>
  <si>
    <t>+92 321 2241900</t>
  </si>
  <si>
    <t>Junaid</t>
  </si>
  <si>
    <t>jqbgd834@gmail.com</t>
  </si>
  <si>
    <t>+92 321 3337090</t>
  </si>
  <si>
    <t>Ramesh</t>
  </si>
  <si>
    <t>rameshagarwal6866@gmail.com</t>
  </si>
  <si>
    <t>+91 99111 69960</t>
  </si>
  <si>
    <t>Zeeshan</t>
  </si>
  <si>
    <t>saif.estate110@gmail.com</t>
  </si>
  <si>
    <t>+92 321 2675986</t>
  </si>
  <si>
    <t>Prasen</t>
  </si>
  <si>
    <t>prasenhome@hotmail.com</t>
  </si>
  <si>
    <t>123000000</t>
  </si>
  <si>
    <t>Dave</t>
  </si>
  <si>
    <t>zealinternationals@gmail.com</t>
  </si>
  <si>
    <t>+91 94260 32371</t>
  </si>
  <si>
    <t>Sheharyar</t>
  </si>
  <si>
    <t>shery4186@gmail.com</t>
  </si>
  <si>
    <t>+92 321 4525462</t>
  </si>
  <si>
    <t>Nasri</t>
  </si>
  <si>
    <t>nasri_1@hotmail.com</t>
  </si>
  <si>
    <t>+971 50 101 9627</t>
  </si>
  <si>
    <t>Sebastian Parathanal Augustine</t>
  </si>
  <si>
    <t>sabastian@ngkntk.ae</t>
  </si>
  <si>
    <t>Mohamed Elshahawy</t>
  </si>
  <si>
    <t>m.elshahawy@yahoo.com</t>
  </si>
  <si>
    <t>Srikar Souda</t>
  </si>
  <si>
    <t>srksou@gmail.com</t>
  </si>
  <si>
    <t>not interested at the moment</t>
  </si>
  <si>
    <t>Merve Diken Durmus</t>
  </si>
  <si>
    <t>diken.m@pg.com</t>
  </si>
  <si>
    <t>CH Imtiaz Ahmad Bhullar</t>
  </si>
  <si>
    <t>binasghar786@gmail.com</t>
  </si>
  <si>
    <t>call back on 12th sept</t>
  </si>
  <si>
    <t>Haytham Shahin</t>
  </si>
  <si>
    <t>hhhs@aucegypt.edu</t>
  </si>
  <si>
    <t>Jose Herrera</t>
  </si>
  <si>
    <t>jeherrera1614@gami.com</t>
  </si>
  <si>
    <t>John Mathew</t>
  </si>
  <si>
    <t>shotfisher@gmail.com</t>
  </si>
  <si>
    <t>Adeel Memon</t>
  </si>
  <si>
    <t>adeelmemon99@hotmail.com</t>
  </si>
  <si>
    <t>Samy Dayel</t>
  </si>
  <si>
    <t>samydayel@yahoo.com</t>
  </si>
  <si>
    <t>Jabeen Bano</t>
  </si>
  <si>
    <t>jabs_12@yahoo.co.in</t>
  </si>
  <si>
    <t>Sunil Balgu</t>
  </si>
  <si>
    <t>sunil.balgu@orientexchange.com</t>
  </si>
  <si>
    <t>971506569587</t>
  </si>
  <si>
    <t>Shoaib Muhammad</t>
  </si>
  <si>
    <t>shoaib_16w@hotmail.com</t>
  </si>
  <si>
    <t>Tariq Tariqq</t>
  </si>
  <si>
    <t>info@rehabmedical.ae</t>
  </si>
  <si>
    <t>Aftab Memon</t>
  </si>
  <si>
    <t>draftabmemon@yahoo.com</t>
  </si>
  <si>
    <t>Reza Burney</t>
  </si>
  <si>
    <t>rburney55@hotmail.com</t>
  </si>
  <si>
    <t>Rohit Saxena</t>
  </si>
  <si>
    <t>rohit.saxena17@gmail.com</t>
  </si>
  <si>
    <t>Ibrahim Gad</t>
  </si>
  <si>
    <t>ibmagad1@yahoo.com</t>
  </si>
  <si>
    <t>Mohammed Mutib</t>
  </si>
  <si>
    <t>mutib_jk@hotmail.com</t>
  </si>
  <si>
    <t>Mohamed Abdel Magied</t>
  </si>
  <si>
    <t>momie46@hotmail.com</t>
  </si>
  <si>
    <t>Faran Neaz Syed</t>
  </si>
  <si>
    <t>thefaran@gmail.com</t>
  </si>
  <si>
    <t>966551404810</t>
  </si>
  <si>
    <t>Carlito Brigante</t>
  </si>
  <si>
    <t>carlito_112@yahoo.com</t>
  </si>
  <si>
    <t>Youhan Doctor</t>
  </si>
  <si>
    <t>doctor.youhan@gmail.com</t>
  </si>
  <si>
    <t>Osama Bani-Ata</t>
  </si>
  <si>
    <t>osama_baniata@yahoo.com</t>
  </si>
  <si>
    <t>Chris Davey</t>
  </si>
  <si>
    <t>cdaveyoz@gmail.com</t>
  </si>
  <si>
    <t>Sahar Yassin</t>
  </si>
  <si>
    <t>saharyassin2010@hotmail.com</t>
  </si>
  <si>
    <t>Rami Nazer</t>
  </si>
  <si>
    <t>chi2009rev@gmail.com</t>
  </si>
  <si>
    <t>Ray Kenny</t>
  </si>
  <si>
    <t>raykenny20@gmail.com</t>
  </si>
  <si>
    <t>Sathyan Pk</t>
  </si>
  <si>
    <t>sathyandubai@yahoo.com</t>
  </si>
  <si>
    <t>Gary Macara</t>
  </si>
  <si>
    <t>gary.macara@gmail.com</t>
  </si>
  <si>
    <t>Jabbar Abdul</t>
  </si>
  <si>
    <t>jabskbl@gmail.com</t>
  </si>
  <si>
    <t>Terry Borden</t>
  </si>
  <si>
    <t>terry@moodgcc.ae</t>
  </si>
  <si>
    <t>Samrat Sharma</t>
  </si>
  <si>
    <t>samrat.sharma22@gmail.com</t>
  </si>
  <si>
    <t>wants to buy maybe in 2020</t>
  </si>
  <si>
    <t>Omar Farooq</t>
  </si>
  <si>
    <t>oimitaz@gmail.com</t>
  </si>
  <si>
    <t>Shakeel Ansari</t>
  </si>
  <si>
    <t>musafir28@hotmail.com</t>
  </si>
  <si>
    <t>call at 5pm</t>
  </si>
  <si>
    <t>Asad Memon</t>
  </si>
  <si>
    <t>asad.memon001@gmail.com</t>
  </si>
  <si>
    <t>Seema Khan</t>
  </si>
  <si>
    <t>seemakhan.dr@outlook.com</t>
  </si>
  <si>
    <t>Mohamed Shasha'a</t>
  </si>
  <si>
    <t>mrshashaa@gmail.com</t>
  </si>
  <si>
    <t>not intereted</t>
  </si>
  <si>
    <t>واسق کمال</t>
  </si>
  <si>
    <t>wasiq16@hotmail.com</t>
  </si>
  <si>
    <t>Ramkumar Paranjothi</t>
  </si>
  <si>
    <t>ramkumar.paranjothi@gmail.com</t>
  </si>
  <si>
    <t>Richard Nakhle</t>
  </si>
  <si>
    <t>richard_nakhla@yahoo.com</t>
  </si>
  <si>
    <t>Bassem Mohammed</t>
  </si>
  <si>
    <t>bassemmohammed@yahoo.com</t>
  </si>
  <si>
    <t>+9710502402808</t>
  </si>
  <si>
    <t>Rahim Quadri</t>
  </si>
  <si>
    <t>rahimquadri@gmail.com</t>
  </si>
  <si>
    <t>971569212033</t>
  </si>
  <si>
    <t>Kamal Sachdeva</t>
  </si>
  <si>
    <t>kamal.sachdeva@gmail.com</t>
  </si>
  <si>
    <t>Salwa Azar</t>
  </si>
  <si>
    <t>azar.salwa@gmail.com</t>
  </si>
  <si>
    <t>Jameel Ahmad</t>
  </si>
  <si>
    <t>ahjamil@hotmail.com</t>
  </si>
  <si>
    <t>Ayman Mohammad</t>
  </si>
  <si>
    <t>ayman_r12@hotmail.com</t>
  </si>
  <si>
    <t>Avnit Mahensaria</t>
  </si>
  <si>
    <t>avnit4u@yahoo.com</t>
  </si>
  <si>
    <t>Harith Mohamed Al Lamki</t>
  </si>
  <si>
    <t>creativemagicbdm@gmail.com</t>
  </si>
  <si>
    <t>اسماعيل رجب محمد</t>
  </si>
  <si>
    <t>asqdf223344@gmail.com</t>
  </si>
  <si>
    <t>Tahira Usman</t>
  </si>
  <si>
    <t>tahira.usman123@gmail.com</t>
  </si>
  <si>
    <t>DrAdel Alshamry</t>
  </si>
  <si>
    <t>uaecsr@gmail.com</t>
  </si>
  <si>
    <t>Chetan Rane</t>
  </si>
  <si>
    <t>cbr1783@gmail.com</t>
  </si>
  <si>
    <t>Hossam El Fayoume</t>
  </si>
  <si>
    <t>pestol2001@hotmail.com</t>
  </si>
  <si>
    <t>Ges Rolo</t>
  </si>
  <si>
    <t>gester740@gmail.com</t>
  </si>
  <si>
    <t>Zaid Jawad</t>
  </si>
  <si>
    <t>zedjawad@gmail.com</t>
  </si>
  <si>
    <t>Vikas Jain</t>
  </si>
  <si>
    <t>vikasj.jain@ssoeglobal.com</t>
  </si>
  <si>
    <t>Jepoy Poncardas</t>
  </si>
  <si>
    <t>jp_athena@yahoo.com</t>
  </si>
  <si>
    <t>Syed Tabish</t>
  </si>
  <si>
    <t>tabish_zaidi786@hotmail.com</t>
  </si>
  <si>
    <t>Robert Irving</t>
  </si>
  <si>
    <t>robertgkirving@live.com.au</t>
  </si>
  <si>
    <t>Imtiaz Javed</t>
  </si>
  <si>
    <t>imtiazjaved.gt@gmail.com</t>
  </si>
  <si>
    <t>Sa'ed Kawar</t>
  </si>
  <si>
    <t>sayid.qawar@gmail.com</t>
  </si>
  <si>
    <t>Babar Ishaq</t>
  </si>
  <si>
    <t>babar.descon@yahoo.com</t>
  </si>
  <si>
    <t>Omar Alam</t>
  </si>
  <si>
    <t>omar_ph3@hotmail.com</t>
  </si>
  <si>
    <t>Steve Flavill</t>
  </si>
  <si>
    <t>flavillsteve@hotmail.com</t>
  </si>
  <si>
    <t>Peter Youssef Gerges</t>
  </si>
  <si>
    <t>peter_youssef7@hotmail.com</t>
  </si>
  <si>
    <t>971551475440</t>
  </si>
  <si>
    <t>Manoj Kumar</t>
  </si>
  <si>
    <t>manojalvain@gmail.com</t>
  </si>
  <si>
    <t>Bryan Pacucci</t>
  </si>
  <si>
    <t>bpacucci@yahoo.com</t>
  </si>
  <si>
    <t>Muhammad Asim</t>
  </si>
  <si>
    <t>info@ahtservicesllc.com</t>
  </si>
  <si>
    <t>SHaron Dolan</t>
  </si>
  <si>
    <t>shazd85@yahoo.co.uk</t>
  </si>
  <si>
    <t>wrong number, email sent</t>
  </si>
  <si>
    <t>Keith Levers</t>
  </si>
  <si>
    <t>kthlevers@aol.com</t>
  </si>
  <si>
    <t>whatsapp &amp; email sent</t>
  </si>
  <si>
    <t>Sundeep Hazari</t>
  </si>
  <si>
    <t>h.sandy@gmail.com</t>
  </si>
  <si>
    <t>call 12.30</t>
  </si>
  <si>
    <t>Ahmed Al-Mohammadi</t>
  </si>
  <si>
    <t>ahmedalmohammady@gmail.com</t>
  </si>
  <si>
    <t>Armin Jafari</t>
  </si>
  <si>
    <t>arminjafari@yahoo.com</t>
  </si>
  <si>
    <t>Toby Adams</t>
  </si>
  <si>
    <t>tobyhdadams@googlemail.com</t>
  </si>
  <si>
    <t>Abdullah Sarayrah</t>
  </si>
  <si>
    <t>asarayrah@gmail.com</t>
  </si>
  <si>
    <t>whatsapp and email sent</t>
  </si>
  <si>
    <t>John M Rees</t>
  </si>
  <si>
    <t>jmrees1367@gmail.com</t>
  </si>
  <si>
    <t>Saad Al Gherman</t>
  </si>
  <si>
    <t>saadgsa@yahoo.com</t>
  </si>
  <si>
    <t>Ash Juggernauth</t>
  </si>
  <si>
    <t>ashjuggernauth@hotmail.com</t>
  </si>
  <si>
    <t>Vladan Stojčić</t>
  </si>
  <si>
    <t>vladanstojcic@gmail.com</t>
  </si>
  <si>
    <t>Stephen Baugh</t>
  </si>
  <si>
    <t>s_baugh23@hotmail.com</t>
  </si>
  <si>
    <t>Subhash Babu</t>
  </si>
  <si>
    <t>subhashbabu81@gmail.com</t>
  </si>
  <si>
    <t>Randafarhat</t>
  </si>
  <si>
    <t>randa4287@yahoo.com</t>
  </si>
  <si>
    <t>0557680902</t>
  </si>
  <si>
    <t>Ayche Abed</t>
  </si>
  <si>
    <t>hih708012@gmail.com</t>
  </si>
  <si>
    <t>Sami Ullah</t>
  </si>
  <si>
    <t>samiu8082@gmail.com</t>
  </si>
  <si>
    <t>Sikandar Hussain</t>
  </si>
  <si>
    <t>poolibutt555@gmail.com</t>
  </si>
  <si>
    <t>Gareth Spring</t>
  </si>
  <si>
    <t>gvspring@gmail.com</t>
  </si>
  <si>
    <t>عبد الله عبيدات</t>
  </si>
  <si>
    <t>gufrfytfr1984@gmail.com</t>
  </si>
  <si>
    <t>Meraas</t>
  </si>
  <si>
    <t>ahmdalhbyshy80@gmail.com</t>
  </si>
  <si>
    <t>Swati Singh</t>
  </si>
  <si>
    <t>swatinokia8@gmail.com</t>
  </si>
  <si>
    <t>Jeni Arul</t>
  </si>
  <si>
    <t>jeniarulthas@yahoo.com</t>
  </si>
  <si>
    <t>Ensherah Mohammed</t>
  </si>
  <si>
    <t>ensherah2015@gmail.com</t>
  </si>
  <si>
    <t>speaks arabic</t>
  </si>
  <si>
    <t>Andres De Leon</t>
  </si>
  <si>
    <t>andres@hyperloop.global</t>
  </si>
  <si>
    <t>34682735549</t>
  </si>
  <si>
    <t>Bassem Zayed</t>
  </si>
  <si>
    <t>Bassem.zayed@yahoo.com</t>
  </si>
  <si>
    <t>971554052906</t>
  </si>
  <si>
    <t>Naveed Khowaja</t>
  </si>
  <si>
    <t>naveed.jumani@hotmail.com</t>
  </si>
  <si>
    <t>9710568994179</t>
  </si>
  <si>
    <t>Dhawal Darji</t>
  </si>
  <si>
    <t>Dhawaldarji10@gmail.com</t>
  </si>
  <si>
    <t>Ziad Khoury</t>
  </si>
  <si>
    <t>ziadkh75@yahoo.com</t>
  </si>
  <si>
    <t>Mauro Vaccaro</t>
  </si>
  <si>
    <t>mauro.vaccaro@hotmail.it</t>
  </si>
  <si>
    <t>interested in blue water</t>
  </si>
  <si>
    <t>Moeid Arshad</t>
  </si>
  <si>
    <t>moeid.arshad@gmail.com</t>
  </si>
  <si>
    <t>Chris Browne</t>
  </si>
  <si>
    <t>brownechris90@hotmail.com</t>
  </si>
  <si>
    <t>Madhusudan Dattachaudhuri</t>
  </si>
  <si>
    <t>mdcin@yahoo.com</t>
  </si>
  <si>
    <t>VIVEK SHARMA</t>
  </si>
  <si>
    <t>vivek0010@gmail.com</t>
  </si>
  <si>
    <t>Kristina Mizesko Lauderdale</t>
  </si>
  <si>
    <t>klauderdale@cruiseone.com</t>
  </si>
  <si>
    <t>Shakeel Patel</t>
  </si>
  <si>
    <t>shakeelahmed.patel@gmail.com</t>
  </si>
  <si>
    <t>Lalit Kothari</t>
  </si>
  <si>
    <t>Kotharitrading@hotmail.com</t>
  </si>
  <si>
    <t>Faizan Shakir</t>
  </si>
  <si>
    <t>faizan.shakir@gmail.com</t>
  </si>
  <si>
    <t>971527149320</t>
  </si>
  <si>
    <t>budget 1.3 for 2br, collective 2,0</t>
  </si>
  <si>
    <t>Karim Mahmoud</t>
  </si>
  <si>
    <t>karim.taha@bakerhughes.com</t>
  </si>
  <si>
    <t>Ali Dika</t>
  </si>
  <si>
    <t>alidika2@gmail.com</t>
  </si>
  <si>
    <t>call 5,30</t>
  </si>
  <si>
    <t>Jason Mather</t>
  </si>
  <si>
    <t>jason.mather@jci.com</t>
  </si>
  <si>
    <t>Milind Chavan</t>
  </si>
  <si>
    <t>chavmili@hotmail.com</t>
  </si>
  <si>
    <t>Charbel Sattouf</t>
  </si>
  <si>
    <t>charbelsattouf@hotmail.com</t>
  </si>
  <si>
    <t>Ghaith Adel Shamayleh</t>
  </si>
  <si>
    <t>ghaith.shamayleh@gmail.com</t>
  </si>
  <si>
    <t>Mehdi Mehdi</t>
  </si>
  <si>
    <t>mhamel2013@gmail.com</t>
  </si>
  <si>
    <t>will call back</t>
  </si>
  <si>
    <t>Minerva Santos</t>
  </si>
  <si>
    <t>dramanalsantos93@yahoo.com</t>
  </si>
  <si>
    <t>Ashraf Wahib</t>
  </si>
  <si>
    <t>ashrafwahib@hotmail.com</t>
  </si>
  <si>
    <t>whatsapp sent, call back on sunday 15th</t>
  </si>
  <si>
    <t>Rizwan Khan</t>
  </si>
  <si>
    <t>drrksk3@gmail.com</t>
  </si>
  <si>
    <t>966508699608</t>
  </si>
  <si>
    <t>whatsapp sent, not intereted</t>
  </si>
  <si>
    <t>Ibrahim Siddiqui</t>
  </si>
  <si>
    <t>muhammad_ibrahim11411@yahoo.com</t>
  </si>
  <si>
    <t>Vivek Munge</t>
  </si>
  <si>
    <t>vivekmunge@gmail.com</t>
  </si>
  <si>
    <t>971506126590</t>
  </si>
  <si>
    <t>Hany Ahmed</t>
  </si>
  <si>
    <t>hany.ahmed100@gmail.com</t>
  </si>
  <si>
    <t>Imran Raees</t>
  </si>
  <si>
    <t>imran_raees@gmail.com</t>
  </si>
  <si>
    <t>يوسف حلي</t>
  </si>
  <si>
    <t>yusef486@gmail.com</t>
  </si>
  <si>
    <t>96899725559</t>
  </si>
  <si>
    <t>Quinton Roast</t>
  </si>
  <si>
    <t>quintonroast@hotmail.com</t>
  </si>
  <si>
    <t>Ismail Zaveri</t>
  </si>
  <si>
    <t>ismailzaveri@gmail.com</t>
  </si>
  <si>
    <t>Indira Tahmiscija</t>
  </si>
  <si>
    <t>itahmiscija@gmail.com</t>
  </si>
  <si>
    <t>971504571643</t>
  </si>
  <si>
    <t>Neil Serridge</t>
  </si>
  <si>
    <t>neilserridge@hotmail.com</t>
  </si>
  <si>
    <t>Hafeeja Shaik</t>
  </si>
  <si>
    <t>hafeeja123@gmail.com</t>
  </si>
  <si>
    <t>Madiha Waqas</t>
  </si>
  <si>
    <t>s.madihagohar@gmail.com</t>
  </si>
  <si>
    <t>Emad F Mohamed</t>
  </si>
  <si>
    <t>alomda1000@hotmail.com</t>
  </si>
  <si>
    <t>Suchit Gulati</t>
  </si>
  <si>
    <t>suchit.gulati@gmail.com</t>
  </si>
  <si>
    <t>براء الشبلي</t>
  </si>
  <si>
    <t>alshibli2001@hotmail.com</t>
  </si>
  <si>
    <t>Mujeeb Ccmr</t>
  </si>
  <si>
    <t>Mujeebccmr@gmail.com</t>
  </si>
  <si>
    <t>um nassre80</t>
  </si>
  <si>
    <t>ahlamy80@hotmail.com</t>
  </si>
  <si>
    <t>971556892000</t>
  </si>
  <si>
    <t>Sheni Adel</t>
  </si>
  <si>
    <t>aadel.ats@gmail.com</t>
  </si>
  <si>
    <t>971506504740</t>
  </si>
  <si>
    <t>Rabindra Rajkarnikar</t>
  </si>
  <si>
    <t>rabinrjk017@gmail.com</t>
  </si>
  <si>
    <t>Saira Noman</t>
  </si>
  <si>
    <t>sairanoman111@gmail.com</t>
  </si>
  <si>
    <t>9710556679459</t>
  </si>
  <si>
    <t>Kulesh De Silva</t>
  </si>
  <si>
    <t>kuleshd@gmail.com</t>
  </si>
  <si>
    <t>Linda Abasi</t>
  </si>
  <si>
    <t>abasilinda@yahoo.com</t>
  </si>
  <si>
    <t>Salman Haider</t>
  </si>
  <si>
    <t>salman_vr@hotmail.com</t>
  </si>
  <si>
    <t>call on saturday 14th sept</t>
  </si>
  <si>
    <t>Johanna Harju Staples</t>
  </si>
  <si>
    <t>johanna_harju@hotmail.com</t>
  </si>
  <si>
    <t>9710555555555</t>
  </si>
  <si>
    <t>Maria Mars</t>
  </si>
  <si>
    <t>kaoukeb@live.com</t>
  </si>
  <si>
    <t>+971504151858</t>
  </si>
  <si>
    <t>Muzaffar Pakhmore</t>
  </si>
  <si>
    <t>muzaffar.pakhmore@gmail.com</t>
  </si>
  <si>
    <t>Jitender Kumar Singla</t>
  </si>
  <si>
    <t>jitender250@yahoo.co.in</t>
  </si>
  <si>
    <t>Neyaz Ahmed</t>
  </si>
  <si>
    <t>ahneyaz@gmail.com</t>
  </si>
  <si>
    <t>Monjur Karim</t>
  </si>
  <si>
    <t>monjurkarim@yahoo.com.sg</t>
  </si>
  <si>
    <t>Enzo Piccarozzi</t>
  </si>
  <si>
    <t>blak_ezon@hotmail.it</t>
  </si>
  <si>
    <t>Mamdouh Jamal Abu Hijleh</t>
  </si>
  <si>
    <t>mamdoh_abu_hejleh@yahoo.com</t>
  </si>
  <si>
    <t>Nilesh Gourshettiwar</t>
  </si>
  <si>
    <t>nileshgour@rediff.com</t>
  </si>
  <si>
    <t>Eugene Jaca</t>
  </si>
  <si>
    <t>tre_col32@yahoo.com</t>
  </si>
  <si>
    <t>Nathalie Zoute</t>
  </si>
  <si>
    <t>nathaliecoughlan@yahoo.co.uk</t>
  </si>
  <si>
    <t>33783793539</t>
  </si>
  <si>
    <t>Chadi Dagher</t>
  </si>
  <si>
    <t>shadymaniac86@hotmail.com</t>
  </si>
  <si>
    <t>Khalid Ahmed</t>
  </si>
  <si>
    <t>khalidahmed09k@gmail.com</t>
  </si>
  <si>
    <t>George Kmeid</t>
  </si>
  <si>
    <t>kmeidgeorges@hotmail.com</t>
  </si>
  <si>
    <t>John Farrell</t>
  </si>
  <si>
    <t>john.mechelec@hotmail.com</t>
  </si>
  <si>
    <t>2 br, al barsha, battuta, dubai hills,secondary market</t>
  </si>
  <si>
    <t>Amit Tiwari</t>
  </si>
  <si>
    <t>mukti.misra@gmail.com</t>
  </si>
  <si>
    <t>Simon Pitkin</t>
  </si>
  <si>
    <t>simon.pitkin@hotmail.co.uk</t>
  </si>
  <si>
    <t>Sultan Tadros</t>
  </si>
  <si>
    <t>tadros.sh@pg.com</t>
  </si>
  <si>
    <t>9710505516383</t>
  </si>
  <si>
    <t>Anna Anneka</t>
  </si>
  <si>
    <t>anneka.82@mail.ru</t>
  </si>
  <si>
    <t>ahmad bilal azhar</t>
  </si>
  <si>
    <t>ahmadbilalazhar@yahoo.com</t>
  </si>
  <si>
    <t>Name: Junping Qi</t>
  </si>
  <si>
    <t>Email: charlesqi. egp@hotmail.com</t>
  </si>
  <si>
    <t>Mobile:</t>
  </si>
  <si>
    <t>Saher A. Gilani</t>
  </si>
  <si>
    <t>sahergilani@gmail.com</t>
  </si>
  <si>
    <t>Samuel Koilpitchai</t>
  </si>
  <si>
    <t>samuel10482@yahoo.co.in</t>
  </si>
  <si>
    <t>Jitender Khurana</t>
  </si>
  <si>
    <t>jitender.khurana@gmail.com</t>
  </si>
  <si>
    <t>Vimi Jham</t>
  </si>
  <si>
    <t>vimijham@rediffmail.com</t>
  </si>
  <si>
    <t>Paul Jardine</t>
  </si>
  <si>
    <t>paul.jardine@gmail.com</t>
  </si>
  <si>
    <t>Adrianne Jackson</t>
  </si>
  <si>
    <t>abjackson_1026@yahoo.com</t>
  </si>
  <si>
    <t>Sadek Hanifi</t>
  </si>
  <si>
    <t>sadeqhanifi@hotmail.com</t>
  </si>
  <si>
    <t>Rana Hawwa</t>
  </si>
  <si>
    <t>rana.hawa@hotmail.com</t>
  </si>
  <si>
    <t>commercial retail space</t>
  </si>
  <si>
    <t>Shahul</t>
  </si>
  <si>
    <t>ibukka_27@yahoo.com</t>
  </si>
  <si>
    <t>Topbeauty Ladiessalon</t>
  </si>
  <si>
    <t>topbeautyshj@gmail.com</t>
  </si>
  <si>
    <t>Nighat Jan</t>
  </si>
  <si>
    <t>nigsjaan@gmail.com</t>
  </si>
  <si>
    <t>Jimmy Goh</t>
  </si>
  <si>
    <t>jimmygoh.27@gmail.com</t>
  </si>
  <si>
    <t>Iman Fattoum</t>
  </si>
  <si>
    <t>imanfattoum@yahoo.com</t>
  </si>
  <si>
    <t>Zahida Abdullah</t>
  </si>
  <si>
    <t>zahidaferoz@hotmail.com</t>
  </si>
  <si>
    <t>Alireza</t>
  </si>
  <si>
    <t>Azizi445@gmail.com</t>
  </si>
  <si>
    <t>Alia Vojnikovic</t>
  </si>
  <si>
    <t>alia_gull45@yahoo.com</t>
  </si>
  <si>
    <t>Raymond Elkhoury</t>
  </si>
  <si>
    <t>elprimo34@msn.com</t>
  </si>
  <si>
    <t>Ahmed Yahya</t>
  </si>
  <si>
    <t>ahmed_y_ahmed@yahoo.com</t>
  </si>
  <si>
    <t>Jay Bedford</t>
  </si>
  <si>
    <t>jamesbedford21@hotmail.co.uk</t>
  </si>
  <si>
    <t>العايض</t>
  </si>
  <si>
    <t>ahgb2@hotmail.com</t>
  </si>
  <si>
    <t>Hitesh Punjabi</t>
  </si>
  <si>
    <t>hitesh153@hotmail.com</t>
  </si>
  <si>
    <t>Saif Saeed alrayssi</t>
  </si>
  <si>
    <t>sss88.sss88@gmail.com</t>
  </si>
  <si>
    <t>971503422208</t>
  </si>
  <si>
    <t>Manju Joseph</t>
  </si>
  <si>
    <t>manjoseph@hotmail.com</t>
  </si>
  <si>
    <t>97142614570</t>
  </si>
  <si>
    <t>Nermeen Mahdy</t>
  </si>
  <si>
    <t>nermeenmahdy@outlook.com</t>
  </si>
  <si>
    <t>9710566076565</t>
  </si>
  <si>
    <t>Maged Girgis</t>
  </si>
  <si>
    <t>magedgirgis9@gmail.com</t>
  </si>
  <si>
    <t>منحاش</t>
  </si>
  <si>
    <t>ajfchb2@hotmail.com</t>
  </si>
  <si>
    <t>Asim Yamin</t>
  </si>
  <si>
    <t>asimyam@yahoo.com</t>
  </si>
  <si>
    <t>Abdullah Alnasser</t>
  </si>
  <si>
    <t>aaan2012in@gmail.com</t>
  </si>
  <si>
    <t>email sent &amp; whatsapp sent</t>
  </si>
  <si>
    <t>Ahmad Ashkanani</t>
  </si>
  <si>
    <t>amsaa61@gmail.com</t>
  </si>
  <si>
    <t>Rubaiyat Islam</t>
  </si>
  <si>
    <t>islamrubaiyat@yahoo.co.uk</t>
  </si>
  <si>
    <t>Hamsah</t>
  </si>
  <si>
    <t>hamsah@anmagroup.com</t>
  </si>
  <si>
    <t>Khalid Mahmood Zia</t>
  </si>
  <si>
    <t>khmazi@hotmail.com</t>
  </si>
  <si>
    <t>Andy Andy</t>
  </si>
  <si>
    <t>andy.fitmodel@yahoo.com</t>
  </si>
  <si>
    <t>interested in secondary market,budget 500k studio</t>
  </si>
  <si>
    <t>Mian Asif Masood</t>
  </si>
  <si>
    <t>asifdxb@yahoo.com</t>
  </si>
  <si>
    <t>Philip Holloway</t>
  </si>
  <si>
    <t>philhollowayinuk@aol.com</t>
  </si>
  <si>
    <t>971502390304</t>
  </si>
  <si>
    <t>Asaraf Muhammed</t>
  </si>
  <si>
    <t>asaraf378@gmail.com</t>
  </si>
  <si>
    <t>Yinka Ayoola</t>
  </si>
  <si>
    <t>yinka_ayoolar@yahoo.com</t>
  </si>
  <si>
    <t>Tanya Astley</t>
  </si>
  <si>
    <t>tanya.astley@hotmail.com</t>
  </si>
  <si>
    <t>Shehan Jay</t>
  </si>
  <si>
    <t>shehanj76@hotmail.co.uk</t>
  </si>
  <si>
    <t>Firas Hajj</t>
  </si>
  <si>
    <t>firas.h.m@hotmail.com</t>
  </si>
  <si>
    <t>call again between 1-2pm</t>
  </si>
  <si>
    <t>Aln Alsen</t>
  </si>
  <si>
    <t>alsen354@gmail.com</t>
  </si>
  <si>
    <t>Kiran Franco</t>
  </si>
  <si>
    <t>kfsequeira@gmail.com</t>
  </si>
  <si>
    <t>Laila Javed Pai</t>
  </si>
  <si>
    <t>lailajaved@gmail.com</t>
  </si>
  <si>
    <t>Betsy Joy Jonathan</t>
  </si>
  <si>
    <t>joybetsy@gmail.com</t>
  </si>
  <si>
    <t>Poul Kage</t>
  </si>
  <si>
    <t>shadikallas@yahoo.com</t>
  </si>
  <si>
    <t>Sultan Muhammad</t>
  </si>
  <si>
    <t>sultanopii@yahoo.com</t>
  </si>
  <si>
    <t>Abdulrahman Albabtain</t>
  </si>
  <si>
    <t>albabtainama@Hotmail.com</t>
  </si>
  <si>
    <t>Anthony Keyrouz</t>
  </si>
  <si>
    <t>anthonykeyrouz@hotmail.com</t>
  </si>
  <si>
    <t>Zaher Shehayeb</t>
  </si>
  <si>
    <t>yanker79@hotmail.com</t>
  </si>
  <si>
    <t>Nusra Alansari</t>
  </si>
  <si>
    <t>nasraalansari@yahoo.com</t>
  </si>
  <si>
    <t>Ekhlass Alghanmi</t>
  </si>
  <si>
    <t>ekhlass-alghanmi@hotmail.com</t>
  </si>
  <si>
    <t>Ekta Salahuddin</t>
  </si>
  <si>
    <t>ektamittal.a@gmail.com</t>
  </si>
  <si>
    <t>email and whatsapp sent, looking to invest in 2020</t>
  </si>
  <si>
    <t>Patrick Tardieu</t>
  </si>
  <si>
    <t>patf2th@yahoo.co.uk</t>
  </si>
  <si>
    <t>Moustafa Abou El Enein</t>
  </si>
  <si>
    <t>m.m.abou.el.enein@gmail.com</t>
  </si>
  <si>
    <t>Ahmed ZOUARI</t>
  </si>
  <si>
    <t>damido.dubai@gmail.com</t>
  </si>
  <si>
    <t>2br, budget max 800k secondary market, sent to akash</t>
  </si>
  <si>
    <t>Hassan 🌐</t>
  </si>
  <si>
    <t>Hassanmostafarrady@gmail.com</t>
  </si>
  <si>
    <t>Muhammad Faisal</t>
  </si>
  <si>
    <t>faisalgenii@gmail.com</t>
  </si>
  <si>
    <t>Backer Kerala</t>
  </si>
  <si>
    <t>backarchn@gmail.com</t>
  </si>
  <si>
    <t>Sam Memana Thomas</t>
  </si>
  <si>
    <t>noisydrummer@hotmail.com</t>
  </si>
  <si>
    <t>Asad Ullah</t>
  </si>
  <si>
    <t>asadtfc@gmail.com</t>
  </si>
  <si>
    <t>Roshan Hameed</t>
  </si>
  <si>
    <t>roshan@alassiaglbal.com</t>
  </si>
  <si>
    <t>Alaa Alrazzaz</t>
  </si>
  <si>
    <t>alaa.alrazzaz@gmail.com</t>
  </si>
  <si>
    <t>whatsapp sent, interested in 2020</t>
  </si>
  <si>
    <t>Marcelino Vaz</t>
  </si>
  <si>
    <t>vazmarcel@gmail.com</t>
  </si>
  <si>
    <t>Nauman Yousaf Ch</t>
  </si>
  <si>
    <t>nauman2010@gmail.com</t>
  </si>
  <si>
    <t>albabtainama@hotmail.com</t>
  </si>
  <si>
    <t>966505423144</t>
  </si>
  <si>
    <t>abubeker</t>
  </si>
  <si>
    <t>yon1173@yahoo.com</t>
  </si>
  <si>
    <t>966500208217</t>
  </si>
  <si>
    <t>Milind Morajkar</t>
  </si>
  <si>
    <t>mmmorajkar@gmail.com</t>
  </si>
  <si>
    <t>971505546186</t>
  </si>
  <si>
    <t>Wassim Said</t>
  </si>
  <si>
    <t>wassimsaid@gmail.com</t>
  </si>
  <si>
    <t>Muhammaddin Memon</t>
  </si>
  <si>
    <t>m.din@sbd.com.pk</t>
  </si>
  <si>
    <t>Chaitanya Golla</t>
  </si>
  <si>
    <t>chaitu_nike@yahoo.co.in</t>
  </si>
  <si>
    <t>not  interested</t>
  </si>
  <si>
    <t>First Name: Habib bhatti</t>
  </si>
  <si>
    <t>Email: Habibbhatti@hotmail.com</t>
  </si>
  <si>
    <t>Mobile Number: 07956842487</t>
  </si>
  <si>
    <t>speaks only arabic</t>
  </si>
  <si>
    <t>First Name: Diar Alkhayat</t>
  </si>
  <si>
    <t>Email: diar.alkhayat@beko-iraq.com</t>
  </si>
  <si>
    <t>Mobile Number: 009647504450244</t>
  </si>
  <si>
    <t>Mitesh Chauhan</t>
  </si>
  <si>
    <t>miteshdchauhan@gmail.com</t>
  </si>
  <si>
    <t>Syed Shujat</t>
  </si>
  <si>
    <t>shujat23@gmail.com</t>
  </si>
  <si>
    <t>whatsapp semt</t>
  </si>
  <si>
    <t>Elias Abboud</t>
  </si>
  <si>
    <t>dr_eliasaboud@hotmail.com</t>
  </si>
  <si>
    <t>Khalil Ahmed</t>
  </si>
  <si>
    <t>khalil.ahmad6263@gmail.com</t>
  </si>
  <si>
    <t>Suneel Mahamuni</t>
  </si>
  <si>
    <t>suneelmm@gmail.com</t>
  </si>
  <si>
    <t xml:space="preserve">1-2 months, 2-3 br, 600-1m </t>
  </si>
  <si>
    <t>Laxman D Bhatia</t>
  </si>
  <si>
    <t>laxmandbhatia@yahoo.com</t>
  </si>
  <si>
    <t>Mubasheer Chekkil</t>
  </si>
  <si>
    <t>mubasheer.chekkil@rashedalmas.com</t>
  </si>
  <si>
    <t>not interested at th moment</t>
  </si>
  <si>
    <t>Syed Faisal Hussain</t>
  </si>
  <si>
    <t>syed_faisal86@hotmail.com</t>
  </si>
  <si>
    <t>Lolit Barretto-Canete Cua</t>
  </si>
  <si>
    <t>lolitcc57@gmail.com</t>
  </si>
  <si>
    <t>مصممة ديكور ...انتصار النجار</t>
  </si>
  <si>
    <t>entssar535@gmil.com</t>
  </si>
  <si>
    <t>Roshni Arora</t>
  </si>
  <si>
    <t>simrin_arora@hotmail.com</t>
  </si>
  <si>
    <t>Alwaafi</t>
  </si>
  <si>
    <t>alwafi101@hotmail.com</t>
  </si>
  <si>
    <t>Ahmed Ali</t>
  </si>
  <si>
    <t>ahmedno11@yahoo.com</t>
  </si>
  <si>
    <t>Andrew Stepien</t>
  </si>
  <si>
    <t>andrew.stepien@ae.abb.com</t>
  </si>
  <si>
    <t>wants 3br townhouse/apartment ready mid 2020</t>
  </si>
  <si>
    <t>Mher Samuelian</t>
  </si>
  <si>
    <t>mhersamuelian@hotmail.com</t>
  </si>
  <si>
    <t>Azam Durrani</t>
  </si>
  <si>
    <t>azam.durrani@outlook.com</t>
  </si>
  <si>
    <t>Nilesh Dhakan</t>
  </si>
  <si>
    <t>nilesh@amoragold.com</t>
  </si>
  <si>
    <t>Suman Duggirla</t>
  </si>
  <si>
    <t>duggirala.suman@gmail.com</t>
  </si>
  <si>
    <t>Isam Taiyara</t>
  </si>
  <si>
    <t>isamtaiyara@hotmail.com</t>
  </si>
  <si>
    <t>Vineet Virmani</t>
  </si>
  <si>
    <t>virmanivineet@gmail.com</t>
  </si>
  <si>
    <t>Mohammed Shakir</t>
  </si>
  <si>
    <t>mshakir78@gmail.com</t>
  </si>
  <si>
    <t>Hani Omar</t>
  </si>
  <si>
    <t>hani79om@yahoo.com</t>
  </si>
  <si>
    <t>Tehseen Viqar</t>
  </si>
  <si>
    <t>tehseenviqar@gmail.com</t>
  </si>
  <si>
    <t xml:space="preserve">interested in studio </t>
  </si>
  <si>
    <t>Karl Crofton</t>
  </si>
  <si>
    <t>karlcrofton@gmail.com</t>
  </si>
  <si>
    <t>call back 26th sept</t>
  </si>
  <si>
    <t>Osama Abdelfattah</t>
  </si>
  <si>
    <t>osamaomran29@hotmail.com</t>
  </si>
  <si>
    <t>Mike Abdu</t>
  </si>
  <si>
    <t>mikeabdu@hotmail.com</t>
  </si>
  <si>
    <t>Awad El-Ghitani</t>
  </si>
  <si>
    <t>aghitani62@hotmail.com</t>
  </si>
  <si>
    <t>budget 500k</t>
  </si>
  <si>
    <t>Jahangir Sher Khan</t>
  </si>
  <si>
    <t>jsk022@hotmail.com</t>
  </si>
  <si>
    <t>Sharjeel Hassan Vijdani</t>
  </si>
  <si>
    <t>vijdani@gmail.com</t>
  </si>
  <si>
    <t>Hary Jany Hassan</t>
  </si>
  <si>
    <t>ggg1977@yahoo.com</t>
  </si>
  <si>
    <t>Maher Hantouli</t>
  </si>
  <si>
    <t>maher@tareqco.com</t>
  </si>
  <si>
    <t>د. جنان النعيمي</t>
  </si>
  <si>
    <t>jananalnuaimi@gmail.com</t>
  </si>
  <si>
    <t>Sohail Siddique</t>
  </si>
  <si>
    <t>tariqsohail2001@hotmail.com</t>
  </si>
  <si>
    <t>Eyad Haddad</t>
  </si>
  <si>
    <t>eyadhaddad@gmail.com</t>
  </si>
  <si>
    <t>Malek Chiboub Charfi</t>
  </si>
  <si>
    <t>chiboubmalek@yahoo.fr</t>
  </si>
  <si>
    <t>Fatimah bevi</t>
  </si>
  <si>
    <t>Bshazbeauty@gmail.com</t>
  </si>
  <si>
    <t>Anjum Rehman</t>
  </si>
  <si>
    <t>phulpoto.rehman1@gmail.com</t>
  </si>
  <si>
    <t>Nitin Modi</t>
  </si>
  <si>
    <t>nitinrmodi27@gmail.com</t>
  </si>
  <si>
    <t>Hamad al hammadi</t>
  </si>
  <si>
    <t>hamad.alhammadi88@gmail.com</t>
  </si>
  <si>
    <t>Vera R. Kassab</t>
  </si>
  <si>
    <t>verakassabhage@hotmail.com</t>
  </si>
  <si>
    <t>Trish Dela Cruz</t>
  </si>
  <si>
    <t>trish_prettygurl_8@yahoo.com</t>
  </si>
  <si>
    <t>ابوعماد السراجي</t>
  </si>
  <si>
    <t>abamad2011@hotmail.com</t>
  </si>
  <si>
    <t>Shamim ahmad</t>
  </si>
  <si>
    <t>Shamim1969@gmail.com</t>
  </si>
  <si>
    <t xml:space="preserve">townhouses 3 br, 1,6M, close to batutta </t>
  </si>
  <si>
    <t>Rahul Ghumatkar</t>
  </si>
  <si>
    <t>ghumatkar_rahul@rediffmail.com</t>
  </si>
  <si>
    <t>Khalid Alsaifi</t>
  </si>
  <si>
    <t>wbmoon10@gmail.com</t>
  </si>
  <si>
    <t>Maja Fiszer-Błachowicz</t>
  </si>
  <si>
    <t>majafiszer@yahoo.com</t>
  </si>
  <si>
    <t>interested in 2020</t>
  </si>
  <si>
    <t>Michel Hage</t>
  </si>
  <si>
    <t>Michelelhage@hotmail.com</t>
  </si>
  <si>
    <t>Trini Leon</t>
  </si>
  <si>
    <t>trinatelimon@gmail.com</t>
  </si>
  <si>
    <t>Thibaud</t>
  </si>
  <si>
    <t>thrippe@hotmail.fr</t>
  </si>
  <si>
    <t>Mohammad Almousawy</t>
  </si>
  <si>
    <t>mohamedmousaahmed1988@gmail.com</t>
  </si>
  <si>
    <t>Youvraj Naicker</t>
  </si>
  <si>
    <t>youvee6k@gmail.com</t>
  </si>
  <si>
    <t>Shoaib Aamir</t>
  </si>
  <si>
    <t>Shoaibmoon2009@yahoo.com</t>
  </si>
  <si>
    <t>Ralph Dsouza</t>
  </si>
  <si>
    <t>ralphvoltas@gmail.con</t>
  </si>
  <si>
    <t>Volodymyr Babych</t>
  </si>
  <si>
    <t>babichdoc@gmail.com</t>
  </si>
  <si>
    <t>Ihab Badr</t>
  </si>
  <si>
    <t>ihab002@hotmail.com</t>
  </si>
  <si>
    <t>Nizar Zahran</t>
  </si>
  <si>
    <t>zahranni@yahoo.com</t>
  </si>
  <si>
    <t>Christine Broadfoot</t>
  </si>
  <si>
    <t>broadfootc@gmail.com</t>
  </si>
  <si>
    <t>Rajesh Dhingra</t>
  </si>
  <si>
    <t>dhingra.1975@gmail.com</t>
  </si>
  <si>
    <t>Mohammad Alrais</t>
  </si>
  <si>
    <t>Mohammad.alrais@gmail.com</t>
  </si>
  <si>
    <t>Fahad Nadeem</t>
  </si>
  <si>
    <t>fahadnadeem82@gmail.com</t>
  </si>
  <si>
    <t>Syed Razi Ur Rehman</t>
  </si>
  <si>
    <t>razishahsrs@yahoo.com</t>
  </si>
  <si>
    <t>Caroline Ng Shi Yun</t>
  </si>
  <si>
    <t>caroline.ng.sy@gmail.com</t>
  </si>
  <si>
    <t>Effat Yassin</t>
  </si>
  <si>
    <t>niceangel6@hotmail.com</t>
  </si>
  <si>
    <t>Kaisar Jan</t>
  </si>
  <si>
    <t>kaisarjan122@gmail.com</t>
  </si>
  <si>
    <t>Federico Piro</t>
  </si>
  <si>
    <t>federicopiro@yahoo.it</t>
  </si>
  <si>
    <t>Omar Zaouiri</t>
  </si>
  <si>
    <t>ozaouiri@yahoo.com</t>
  </si>
  <si>
    <t>Glenda M. Domingo</t>
  </si>
  <si>
    <t>gm27domingo@gmail.com</t>
  </si>
  <si>
    <t>Abhay Pande</t>
  </si>
  <si>
    <t>abhaypande@hotmail.com</t>
  </si>
  <si>
    <t>Bibin Balakrishnan</t>
  </si>
  <si>
    <t>bibinb85@gmail.com</t>
  </si>
  <si>
    <t>call again after 3pm</t>
  </si>
  <si>
    <t>Juanita Maria</t>
  </si>
  <si>
    <t>Juanitalinde13@gmail.com</t>
  </si>
  <si>
    <t>Abdul Mohsen</t>
  </si>
  <si>
    <t>captain-akm@hotmail.com</t>
  </si>
  <si>
    <t>Nzaar Ihsan</t>
  </si>
  <si>
    <t>nzaar@yahoo.com</t>
  </si>
  <si>
    <t>Ashraf Biddah</t>
  </si>
  <si>
    <t>biddah@gmail.com]</t>
  </si>
  <si>
    <t>Haiat Fattal</t>
  </si>
  <si>
    <t>haiat.fattal@gmail.com</t>
  </si>
  <si>
    <t>Adel Moursy</t>
  </si>
  <si>
    <t>adel.moursy@gmail.com</t>
  </si>
  <si>
    <t>Ruel Mabilangan</t>
  </si>
  <si>
    <t>rhuelm@yahoo.com</t>
  </si>
  <si>
    <t>whatsapp sent, collective 2.0</t>
  </si>
  <si>
    <t>Nafeesa Chandra</t>
  </si>
  <si>
    <t>nafeesa.chandra@gmail.com</t>
  </si>
  <si>
    <t>GB Alina GB</t>
  </si>
  <si>
    <t>g_g1703@icloud.com</t>
  </si>
  <si>
    <t>Rahul</t>
  </si>
  <si>
    <t>rahultulpule@hotmail.com</t>
  </si>
  <si>
    <t>971559020650</t>
  </si>
  <si>
    <t>call back on 19th</t>
  </si>
  <si>
    <t>fathima mohamed</t>
  </si>
  <si>
    <t>drfathima2001@hotmail.com</t>
  </si>
  <si>
    <t>Mobile Number: 505919683</t>
  </si>
  <si>
    <t>Habibbhatti</t>
  </si>
  <si>
    <t>Habibbhatti@hotmail.vom</t>
  </si>
  <si>
    <t xml:space="preserve"> Dr. Lina Kouatly</t>
  </si>
  <si>
    <t>lina@lunatus-me.com</t>
  </si>
  <si>
    <t>Mubarak Din Ahmad</t>
  </si>
  <si>
    <t>mubarakdinahmad@yahoo.com</t>
  </si>
  <si>
    <t>9710503550918</t>
  </si>
  <si>
    <t>Kavitha Deepak</t>
  </si>
  <si>
    <t>008kavita@gmail.com</t>
  </si>
  <si>
    <t>971506877362</t>
  </si>
  <si>
    <t>Ethel Aguilar</t>
  </si>
  <si>
    <t>aethellyn@yahoo.com</t>
  </si>
  <si>
    <t>Warren D'Souza</t>
  </si>
  <si>
    <t>dsouza.warren@gmail.com</t>
  </si>
  <si>
    <t>Rachid Boulafdal</t>
  </si>
  <si>
    <t>Rachid.boulafdal@gmail.com</t>
  </si>
  <si>
    <t>Amrish Kumar</t>
  </si>
  <si>
    <t>kumar.amrish@gmail.com</t>
  </si>
  <si>
    <t>Saroya Jut</t>
  </si>
  <si>
    <t>instaboostgram@gmail.com</t>
  </si>
  <si>
    <t>2br downtown area 1,5M, Ready to move in</t>
  </si>
  <si>
    <t>Khin Lapyie Linn</t>
  </si>
  <si>
    <t>khin.linn@dnata.com</t>
  </si>
  <si>
    <t>call in 1hour</t>
  </si>
  <si>
    <t>Tarun Agarwal</t>
  </si>
  <si>
    <t>tpagg@hotmail.com</t>
  </si>
  <si>
    <t>sarmad mahdi</t>
  </si>
  <si>
    <t>sarmad1973@hotmail.com</t>
  </si>
  <si>
    <t>How much for 2 bed + maid with full / partial sea view ?</t>
  </si>
  <si>
    <t>Bobby Valchev</t>
  </si>
  <si>
    <t>bobbyvalchev33@gmail.com</t>
  </si>
  <si>
    <t>budget below 1M</t>
  </si>
  <si>
    <t>Tony</t>
  </si>
  <si>
    <t>japanasif@yahoo.com</t>
  </si>
  <si>
    <t>Rajnish Damodaran</t>
  </si>
  <si>
    <t>r.damodaran@hotmail.com</t>
  </si>
  <si>
    <t>wong number</t>
  </si>
  <si>
    <t>Syed Parvez</t>
  </si>
  <si>
    <t>syedparvez@gmail.com</t>
  </si>
  <si>
    <t>Simona Catanescu</t>
  </si>
  <si>
    <t>scatanescu@yahoo.com</t>
  </si>
  <si>
    <t>Olga Laiuha</t>
  </si>
  <si>
    <t>laiuha@hotmail.com</t>
  </si>
  <si>
    <t>Tharu Syed</t>
  </si>
  <si>
    <t>tharuworld@yahoo.co.in</t>
  </si>
  <si>
    <t>Patrick Chebli</t>
  </si>
  <si>
    <t>pchebli@hotmail.com</t>
  </si>
  <si>
    <t>studio-1br, witihin 6months, downtown</t>
  </si>
  <si>
    <t>Ahmad Aljairoudi</t>
  </si>
  <si>
    <t>a.jerudi@gmail.com</t>
  </si>
  <si>
    <t>1br, ready, downtown/business bay, payment plan</t>
  </si>
  <si>
    <t>Tarik El Farouki</t>
  </si>
  <si>
    <t>Tarik.elfarouki@dpworld.com</t>
  </si>
  <si>
    <t>9710507146536</t>
  </si>
  <si>
    <t>Sathya Kothari</t>
  </si>
  <si>
    <t>sathyack1@yahoo.co.in</t>
  </si>
  <si>
    <t>Giovanni Betti</t>
  </si>
  <si>
    <t>bettigio@hotmail.com</t>
  </si>
  <si>
    <t>not intereted at the moment</t>
  </si>
  <si>
    <t>Ashraf Abdul Baki Farag</t>
  </si>
  <si>
    <t>ashraflotus77@yahoo.com</t>
  </si>
  <si>
    <t>Nilam Pereira</t>
  </si>
  <si>
    <t>nilamp@outlook.com</t>
  </si>
  <si>
    <t>971 474 48653</t>
  </si>
  <si>
    <t>Sherif Abdel - Tawab</t>
  </si>
  <si>
    <t>sheriftawab@hotmail.com</t>
  </si>
  <si>
    <t>971 556008948</t>
  </si>
  <si>
    <t>Rajesh Prabhakaran</t>
  </si>
  <si>
    <t>rajesh050@yahoo.com</t>
  </si>
  <si>
    <t>971 565 31069</t>
  </si>
  <si>
    <t>Stephen Collins</t>
  </si>
  <si>
    <t>steve.e.collins@hotmail.co.uk</t>
  </si>
  <si>
    <t>Lotfi Bencheikh</t>
  </si>
  <si>
    <t>lbench100@gmail.com</t>
  </si>
  <si>
    <t>Osama Asad</t>
  </si>
  <si>
    <t>osmart78@hotmail.com</t>
  </si>
  <si>
    <t>+966547777167</t>
  </si>
  <si>
    <t>Guillermo Villafañe</t>
  </si>
  <si>
    <t>elguille78@hotmail.com</t>
  </si>
  <si>
    <t>+9710561302379</t>
  </si>
  <si>
    <t>Hammad Hasan Sheikh</t>
  </si>
  <si>
    <t>hammadsheikh@hotmail.com</t>
  </si>
  <si>
    <t>Mohsin Feroz</t>
  </si>
  <si>
    <t>mohsinferoz@hotmail.com</t>
  </si>
  <si>
    <t>12.30 call back</t>
  </si>
  <si>
    <t>Khaled Bader AlKhuzam</t>
  </si>
  <si>
    <t>khaled@kk-kw.com</t>
  </si>
  <si>
    <t>Ahmed Allam</t>
  </si>
  <si>
    <t>eng.a.allam@gmail.com</t>
  </si>
  <si>
    <t>Epi Ups</t>
  </si>
  <si>
    <t>edmund@epi-ups.com</t>
  </si>
  <si>
    <t>Fouad Mahmoud Radwan</t>
  </si>
  <si>
    <t>fouadradwan@gmail.com</t>
  </si>
  <si>
    <t>Akshay Aggarwal</t>
  </si>
  <si>
    <t>akki17022@gmail.com</t>
  </si>
  <si>
    <t>M Jawed Nathani</t>
  </si>
  <si>
    <t>Mj.nathani@gmail.com</t>
  </si>
  <si>
    <t>Mis KAe</t>
  </si>
  <si>
    <t>fairykren@yahoo.com</t>
  </si>
  <si>
    <t>Haneef Cool</t>
  </si>
  <si>
    <t>bmdhanief@gmail.com</t>
  </si>
  <si>
    <t>Quazi Junaid Ahmed</t>
  </si>
  <si>
    <t>quazijunaid@gmail.com</t>
  </si>
  <si>
    <t>interested but has problem with transfering money from bangladesh</t>
  </si>
  <si>
    <t>Habibib Bhatti</t>
  </si>
  <si>
    <t>habibbhatti@hotmail.com</t>
  </si>
  <si>
    <t>Syed Zahid Ali</t>
  </si>
  <si>
    <t>zahid.ali@live.com</t>
  </si>
  <si>
    <t>Ahmad Shahzad</t>
  </si>
  <si>
    <t>ashah88@hotmail.com</t>
  </si>
  <si>
    <t>Fawzia Halim Rahman</t>
  </si>
  <si>
    <t>fhalimrahman@gmail.com</t>
  </si>
  <si>
    <t>Emad Mansoor</t>
  </si>
  <si>
    <t>md@damasgroupe.com</t>
  </si>
  <si>
    <t>Ahmed Rashad</t>
  </si>
  <si>
    <t>rashada1111@gmail.com</t>
  </si>
  <si>
    <t>Ansar Qureshi</t>
  </si>
  <si>
    <t>ansar_q@hotmail.com</t>
  </si>
  <si>
    <t>Abdul Khader</t>
  </si>
  <si>
    <t>Mohd.shakib.ikn@gmail.com</t>
  </si>
  <si>
    <t>Muhammed Rayees</t>
  </si>
  <si>
    <t>s4surgicals@gmail.com</t>
  </si>
  <si>
    <t>Shemon Alam</t>
  </si>
  <si>
    <t>speeddriveinfo@gmail.com</t>
  </si>
  <si>
    <t>keep following up when he comes to dubai</t>
  </si>
  <si>
    <t>Eyad Musharbash</t>
  </si>
  <si>
    <t>eyadmusharbash@hotmail.com</t>
  </si>
  <si>
    <t>Hazem Dawud</t>
  </si>
  <si>
    <t>hazemdawud2002@yahoo.com</t>
  </si>
  <si>
    <t>Zeeshan Muhammad</t>
  </si>
  <si>
    <t>homezee@gmail.com</t>
  </si>
  <si>
    <t>Shamel Elsayed</t>
  </si>
  <si>
    <t>shamel19@yahoo.com</t>
  </si>
  <si>
    <t>call at 3 pm</t>
  </si>
  <si>
    <t>Mohan Chayappil</t>
  </si>
  <si>
    <t>mohanchayappil@yahoo.co.in</t>
  </si>
  <si>
    <t>aljadeedexhibition@gmail.com</t>
  </si>
  <si>
    <t>Madhumati Barki</t>
  </si>
  <si>
    <t>drmadhug@gmail.com</t>
  </si>
  <si>
    <t>Mushtaq Ahmed</t>
  </si>
  <si>
    <t>mushtaqbds@yahoo.com</t>
  </si>
  <si>
    <t>Jony Erst</t>
  </si>
  <si>
    <t>jonyhirst@gmail.com</t>
  </si>
  <si>
    <t>Kaiser Rafiq</t>
  </si>
  <si>
    <t>kaisernycusa@yahoo.com</t>
  </si>
  <si>
    <t>mooon</t>
  </si>
  <si>
    <t>mooonbaba999@gmail.com</t>
  </si>
  <si>
    <t>Muhammad Fahim Nagaria</t>
  </si>
  <si>
    <t>fahimnagaria@hotmail.com</t>
  </si>
  <si>
    <t>Ilyas Sachora</t>
  </si>
  <si>
    <t>mhdilyas114@gmail.com</t>
  </si>
  <si>
    <t>Marie</t>
  </si>
  <si>
    <t>Mj.sordan06@gmail.com</t>
  </si>
  <si>
    <t>00971561330985</t>
  </si>
  <si>
    <t>Kashif</t>
  </si>
  <si>
    <t>Dubaiproperty53@gmail.com</t>
  </si>
  <si>
    <t>00971556698867</t>
  </si>
  <si>
    <t>Raheel</t>
  </si>
  <si>
    <t>Raheeldurrani@yahoo.com</t>
  </si>
  <si>
    <t>00971521029400</t>
  </si>
  <si>
    <t>Eden</t>
  </si>
  <si>
    <t>Eden_ramos07@yahoo.con</t>
  </si>
  <si>
    <t>00971545628420</t>
  </si>
  <si>
    <t>Akinwumi Ajayi</t>
  </si>
  <si>
    <t>akinajayi@yahoo.com</t>
  </si>
  <si>
    <t>+2348177770285</t>
  </si>
  <si>
    <t>Jaiswal, Gaurav</t>
  </si>
  <si>
    <t>gauravjaiswal93@gmail.com</t>
  </si>
  <si>
    <t>Port de La Mer</t>
  </si>
  <si>
    <t>Hasnain Qazi-</t>
  </si>
  <si>
    <t>celeste.tai.me@gmail.com</t>
  </si>
  <si>
    <t>Raj Raj</t>
  </si>
  <si>
    <t>naturesea011@gmail.com</t>
  </si>
  <si>
    <t>(+971) 553803668</t>
  </si>
  <si>
    <t>email sent with details</t>
  </si>
  <si>
    <t>Amer Nabulsi</t>
  </si>
  <si>
    <t>nabulsi.amer@gmail.com</t>
  </si>
  <si>
    <t>(+971) 553330055</t>
  </si>
  <si>
    <t>interested in downtown 1-2br payment plan</t>
  </si>
  <si>
    <t>Ailsa Pollard-</t>
  </si>
  <si>
    <t>ailsa.pollard@dnata.com</t>
  </si>
  <si>
    <t>(+971) 509509942</t>
  </si>
  <si>
    <t>Mirko Rubeis-</t>
  </si>
  <si>
    <t>rubeis.mirko@bcg.com</t>
  </si>
  <si>
    <t>interested in 1 br, la voile</t>
  </si>
  <si>
    <t>Jiang Tom-</t>
  </si>
  <si>
    <t>jzhifei@gmail.com</t>
  </si>
  <si>
    <t>Tom Jiang</t>
  </si>
  <si>
    <t>tom.jiang@5i5j.com</t>
  </si>
  <si>
    <t>Jean Tandong Enow-</t>
  </si>
  <si>
    <t>jeantandong@gmail.com</t>
  </si>
  <si>
    <t>NAJEEB MOHAMMED AL MANA-03/09/2018</t>
  </si>
  <si>
    <t>almana6@gmail.com</t>
  </si>
  <si>
    <t>Ma. Fatima Catli</t>
  </si>
  <si>
    <t>catli_ma.fatima@yahoo.com</t>
  </si>
  <si>
    <t>number not valid, email sent</t>
  </si>
  <si>
    <t>Irina Offersen-</t>
  </si>
  <si>
    <t>irina.offersen@yahoo.com</t>
  </si>
  <si>
    <t>Riane Chouia-</t>
  </si>
  <si>
    <t>ms.rayan94@hotmail.com</t>
  </si>
  <si>
    <t>Isabel Estember</t>
  </si>
  <si>
    <t>isabel.estember@gmail.com</t>
  </si>
  <si>
    <t>not available, email sent</t>
  </si>
  <si>
    <t>Nour Abdullah-</t>
  </si>
  <si>
    <t>yowbunny@gmail.com</t>
  </si>
  <si>
    <t>call</t>
  </si>
  <si>
    <t>Gaffar Faroug EL Mubarak</t>
  </si>
  <si>
    <t>jaffac38@yahoo.com</t>
  </si>
  <si>
    <t>Rubelyn Petallo-</t>
  </si>
  <si>
    <t>rubelynpetallo1979@gmail.com</t>
  </si>
  <si>
    <t>Amelia Bria</t>
  </si>
  <si>
    <t>amelia_bria@yahoo.com</t>
  </si>
  <si>
    <t>Danny Nadeem-</t>
  </si>
  <si>
    <t>adnan.naadeem@gmail.com</t>
  </si>
  <si>
    <t>Helal AlKuwaiti</t>
  </si>
  <si>
    <t>helal@eim.ae</t>
  </si>
  <si>
    <t>Noura Al Darmaki-</t>
  </si>
  <si>
    <t>noura.hazza@gmail.com</t>
  </si>
  <si>
    <t>call back at 5</t>
  </si>
  <si>
    <t>Celeste Tai-</t>
  </si>
  <si>
    <t>Syed Wajahat Ali</t>
  </si>
  <si>
    <t>mewaji@hotmail.com</t>
  </si>
  <si>
    <t>call back at 6</t>
  </si>
  <si>
    <t>Jonathan Gumboc</t>
  </si>
  <si>
    <t>ngchiu10@gmail.com</t>
  </si>
  <si>
    <t>Walid Ayoub-</t>
  </si>
  <si>
    <t>waleedayoub2001@yahoo.com</t>
  </si>
  <si>
    <t>(+971) 566881833</t>
  </si>
  <si>
    <t>call back tomorrow 3pm</t>
  </si>
  <si>
    <t>Ajaz Sheikh-</t>
  </si>
  <si>
    <t>ajaz@zumarestaurant.com</t>
  </si>
  <si>
    <t>Robert Thomas-</t>
  </si>
  <si>
    <t>robert.thomas@core-me.com</t>
  </si>
  <si>
    <t>Ashraqat Kamel</t>
  </si>
  <si>
    <t>ash.top3@top3.ae</t>
  </si>
  <si>
    <t>ahmed adil-</t>
  </si>
  <si>
    <t>pro@aldourigroup.com</t>
  </si>
  <si>
    <t>Catalin Safta-</t>
  </si>
  <si>
    <t>safta.catalin@gmail.com</t>
  </si>
  <si>
    <t>Shabbir Ahmed</t>
  </si>
  <si>
    <t>shabbir3940@gmail.com</t>
  </si>
  <si>
    <t>(+971) 564088372</t>
  </si>
  <si>
    <t>works in dp</t>
  </si>
  <si>
    <t>Adel Gazarin-</t>
  </si>
  <si>
    <t>adel.gazarin@live.com</t>
  </si>
  <si>
    <t>whatsapp sent, interested in 1-2</t>
  </si>
  <si>
    <t>khalifa alfalasi</t>
  </si>
  <si>
    <t>khalifa4141@gmail.com</t>
  </si>
  <si>
    <t>Sujoy Cherian</t>
  </si>
  <si>
    <t>sujoy.cherian@gmail.com</t>
  </si>
  <si>
    <t>Hopper, Ben</t>
  </si>
  <si>
    <t>ben.hopper@gmail.com</t>
  </si>
  <si>
    <t>(+971) 0528058732</t>
  </si>
  <si>
    <t>Hany Aly</t>
  </si>
  <si>
    <t>hanyalaa@yahoo.com</t>
  </si>
  <si>
    <t>(+971) 0559530544</t>
  </si>
  <si>
    <t>Gregory Frith-</t>
  </si>
  <si>
    <t>gregoryfrith@gmail.com</t>
  </si>
  <si>
    <t>(+852) 90928796</t>
  </si>
  <si>
    <t>Ahmed Saleh</t>
  </si>
  <si>
    <t>ahmed.ibrahimsaleh79@gmail.com</t>
  </si>
  <si>
    <t>(+971) 506009511</t>
  </si>
  <si>
    <t>Mohamed Alhosani-</t>
  </si>
  <si>
    <t>mi.alhosani4@gmail.com</t>
  </si>
  <si>
    <t>(+971) 0507274000</t>
  </si>
  <si>
    <t>Shumaila Butt-</t>
  </si>
  <si>
    <t>shumailabutt89@yahoo.com</t>
  </si>
  <si>
    <t>(+971) 562157958</t>
  </si>
  <si>
    <t>Abdulla Almadhaani-</t>
  </si>
  <si>
    <t>aalmadhani@gmail.com</t>
  </si>
  <si>
    <t>(+971) 0553373388</t>
  </si>
  <si>
    <t>Andy Pattenden-</t>
  </si>
  <si>
    <t>andy@q7aircargo.com</t>
  </si>
  <si>
    <t>(+971) 563702370</t>
  </si>
  <si>
    <t>Abmad Zayed-</t>
  </si>
  <si>
    <t>a7m555@hotmail.com</t>
  </si>
  <si>
    <t>(+971) 0505515563</t>
  </si>
  <si>
    <t>ryan sta isabel-</t>
  </si>
  <si>
    <t>staisabelryan@yahoo.com</t>
  </si>
  <si>
    <t>(+971) 507598675</t>
  </si>
  <si>
    <t>clarita Atallah-</t>
  </si>
  <si>
    <t>clarita@karenmillen-uae.com</t>
  </si>
  <si>
    <t>(+971) 50 6452474</t>
  </si>
  <si>
    <t>Manal Essam-</t>
  </si>
  <si>
    <t>manal.essam@dmc.ae</t>
  </si>
  <si>
    <t>(+971) 0506261106</t>
  </si>
  <si>
    <t>KAILASH SAJNANI-</t>
  </si>
  <si>
    <t>sajnanig@emirates.net.ae</t>
  </si>
  <si>
    <t>(+971) 506457698</t>
  </si>
  <si>
    <t>Tahir Jawed-</t>
  </si>
  <si>
    <t>tj5922@gmail.com</t>
  </si>
  <si>
    <t>(+971) 509432790</t>
  </si>
  <si>
    <t>Majid Alhouli-</t>
  </si>
  <si>
    <t>majid.alhouli@ayhoo.com</t>
  </si>
  <si>
    <t>(+971) 971505000080</t>
  </si>
  <si>
    <t>aysha h-</t>
  </si>
  <si>
    <t>queenloosha@live.com</t>
  </si>
  <si>
    <t>(+971) 551444455</t>
  </si>
  <si>
    <t>Roshan Shingadia-</t>
  </si>
  <si>
    <t>roshan-shingadia@hotmail.co.uk</t>
  </si>
  <si>
    <t>(+44) 7956657979</t>
  </si>
  <si>
    <t>Yasser Al Lahham</t>
  </si>
  <si>
    <t>swisstopof@hotmail.com</t>
  </si>
  <si>
    <t>(+41) 764501750</t>
  </si>
  <si>
    <t>Ghaghada, Jayddev</t>
  </si>
  <si>
    <t>jayddev@ghaghada.com</t>
  </si>
  <si>
    <t>(+971) 566052796</t>
  </si>
  <si>
    <t>Lirie Shabanaj-</t>
  </si>
  <si>
    <t>lirie@indusre.ae</t>
  </si>
  <si>
    <t>(+971) 971507636384</t>
  </si>
  <si>
    <t>MARIO SIENI-</t>
  </si>
  <si>
    <t>sienimario@gmail.com</t>
  </si>
  <si>
    <t>Italy (+39) 3485522364</t>
  </si>
  <si>
    <t>Atul Kumar-</t>
  </si>
  <si>
    <t>hmssty@emirates.net.ae</t>
  </si>
  <si>
    <t>(+971) 506254574</t>
  </si>
  <si>
    <t>Huda Ali-</t>
  </si>
  <si>
    <t>hudaali89@live.com</t>
  </si>
  <si>
    <t xml:space="preserve"> (+1) 6478186695</t>
  </si>
  <si>
    <t>Noora Al Jassim-</t>
  </si>
  <si>
    <t>noora.aljassim@gmail.com</t>
  </si>
  <si>
    <t>(+971) 0555433376</t>
  </si>
  <si>
    <t>call at 5</t>
  </si>
  <si>
    <t>Khalil Eid-</t>
  </si>
  <si>
    <t>khalil.eid@hotmail.com</t>
  </si>
  <si>
    <t>(+971) 501891275</t>
  </si>
  <si>
    <t>interested in 1 br</t>
  </si>
  <si>
    <t>Zarak Khan-07/09/2018</t>
  </si>
  <si>
    <t>zarak.khan@hotmail.com</t>
  </si>
  <si>
    <t>(+971) 568950618</t>
  </si>
  <si>
    <t>email sent, might be interested</t>
  </si>
  <si>
    <t>Deepa Sud-07/09/2018</t>
  </si>
  <si>
    <t>deepa_sud@yahoo.com</t>
  </si>
  <si>
    <t>(+971) 552167567</t>
  </si>
  <si>
    <t>Said Sayadanzadeh-07/09/2018</t>
  </si>
  <si>
    <t>ssayadan@yahoo.com</t>
  </si>
  <si>
    <t>(+971) 5528872</t>
  </si>
  <si>
    <t>Elizabeth Dunne-07/09/2018</t>
  </si>
  <si>
    <t>elizabethdunnebl@gmail.com</t>
  </si>
  <si>
    <t>(+971) 551468120</t>
  </si>
  <si>
    <t>Theyab Nasser-07/09/2018</t>
  </si>
  <si>
    <t>aston55@windowslive.com</t>
  </si>
  <si>
    <t>(+971) 0505533395</t>
  </si>
  <si>
    <t>Alexander Wensky-07/09/2018</t>
  </si>
  <si>
    <t>info@premium-management.eu</t>
  </si>
  <si>
    <t>(+41) 793104505</t>
  </si>
  <si>
    <t>Rand Abdullah-07/09/2018</t>
  </si>
  <si>
    <t>randabdullah85@hotmail.com</t>
  </si>
  <si>
    <t>(+971) 544056987</t>
  </si>
  <si>
    <t>Sam Bettsworth-07/09/2018</t>
  </si>
  <si>
    <t>sambv123@hotmail.co.uk</t>
  </si>
  <si>
    <t>(+44) 07515353442</t>
  </si>
  <si>
    <t>Julia Stockmeier-07/09/2018</t>
  </si>
  <si>
    <t>julia.stockmeier@hotmail.com</t>
  </si>
  <si>
    <t>(+971) 05065578</t>
  </si>
  <si>
    <t>Ermin Ramovic-07/09/2018</t>
  </si>
  <si>
    <t>ermin@ramovic.se</t>
  </si>
  <si>
    <t>(+46) 736990800</t>
  </si>
  <si>
    <t>umaid Ahmad-07/09/2018</t>
  </si>
  <si>
    <t>umaida@live.com</t>
  </si>
  <si>
    <t>(+44) 7463006088</t>
  </si>
  <si>
    <t>Udit Narang-07/09/2018</t>
  </si>
  <si>
    <t>udnarang@gmail.com</t>
  </si>
  <si>
    <t>(+971) 564756007</t>
  </si>
  <si>
    <t>looking for a studio for 500k</t>
  </si>
  <si>
    <t>Amgad Nassif-08/09/2018</t>
  </si>
  <si>
    <t>amminaoffice@yahoo.com</t>
  </si>
  <si>
    <t>interested in 1-2br</t>
  </si>
  <si>
    <t>Imran Khan-08/09/2018</t>
  </si>
  <si>
    <t>imrankhan5@hotmail.com</t>
  </si>
  <si>
    <t>Ken Docherty-08/09/2018</t>
  </si>
  <si>
    <t>kendocherty@hotmail.com</t>
  </si>
  <si>
    <t>interested in 2 br</t>
  </si>
  <si>
    <t>Wael Abdulhadi-08/09/2018</t>
  </si>
  <si>
    <t>waelhadi@hotmail.com</t>
  </si>
  <si>
    <t>Tarek Nahl-08/09/2018</t>
  </si>
  <si>
    <t>tarek.nahl@yahoo.com</t>
  </si>
  <si>
    <t>Rashed Alhammadi-08/09/2018</t>
  </si>
  <si>
    <t>bohzaa3@eim.ae</t>
  </si>
  <si>
    <t>Majid Khalid-08/09/2018</t>
  </si>
  <si>
    <t>majed@majed.co</t>
  </si>
  <si>
    <t>already bought</t>
  </si>
  <si>
    <t>Wafa Zuhair-08/09/2018</t>
  </si>
  <si>
    <t>awz_wm@hotmail.com</t>
  </si>
  <si>
    <t>joachim Back-08/09/2018</t>
  </si>
  <si>
    <t>joachim@back.de</t>
  </si>
  <si>
    <t>(+49) 01712860388</t>
  </si>
  <si>
    <t>Sonja Hagen-08/09/2018</t>
  </si>
  <si>
    <t>hagensonja90@gmail.com</t>
  </si>
  <si>
    <t>may daguio-08/09/2018</t>
  </si>
  <si>
    <t>sassy_gemeni@yahoo.com</t>
  </si>
  <si>
    <t>John Lewis-08/09/2018</t>
  </si>
  <si>
    <t>john.lewis@clydeco.ae</t>
  </si>
  <si>
    <t>kushal khanna-08/09/2018</t>
  </si>
  <si>
    <t>khushal_khanna@yahoo.com</t>
  </si>
  <si>
    <t>(+91) 9884089511</t>
  </si>
  <si>
    <t xml:space="preserve">whatsapp sent, </t>
  </si>
  <si>
    <t>matteo mosco-08/09/2018</t>
  </si>
  <si>
    <t>matteo_mosca@yahoo.com</t>
  </si>
  <si>
    <t>(+358) 458084880</t>
  </si>
  <si>
    <t>irina karadjian-08/09/2018</t>
  </si>
  <si>
    <t>ikaradjian@yahoo.com</t>
  </si>
  <si>
    <t>(+1) 8189832760</t>
  </si>
  <si>
    <t>ziad qweitin-08/09/2018</t>
  </si>
  <si>
    <t>zqweitin@gmail.com</t>
  </si>
  <si>
    <t>louis louie-l@hotmail.co.uk-08/09/2018</t>
  </si>
  <si>
    <t>louie-l@hotmail.co.uk</t>
  </si>
  <si>
    <t>(+44) 7882321446</t>
  </si>
  <si>
    <t>faatima minty-08/09/2018</t>
  </si>
  <si>
    <t>fminty@yahoo.com</t>
  </si>
  <si>
    <t>(+27) 0827416870</t>
  </si>
  <si>
    <t>reham abed-08/09/2018</t>
  </si>
  <si>
    <t>abedreham799@gmail.com</t>
  </si>
  <si>
    <t>mohamed alzuraiqi-08/09/2018</t>
  </si>
  <si>
    <t>twi@eim.ae</t>
  </si>
  <si>
    <t>adrian Ignatescu-08/09/2018</t>
  </si>
  <si>
    <t>adi.ignatescu@gmail.com</t>
  </si>
  <si>
    <t>(+44) 7493235229</t>
  </si>
  <si>
    <t>send him details about different projects under 1M for 1br</t>
  </si>
  <si>
    <t>mohamed iqbal-08/09/2018</t>
  </si>
  <si>
    <t>rania fakih-08/09/2018</t>
  </si>
  <si>
    <t>rania.fakih@hotmail.com</t>
  </si>
  <si>
    <t>said choubraji-08/09/2018</t>
  </si>
  <si>
    <t>said@chourbaji.de</t>
  </si>
  <si>
    <t>(+49) 17610090061</t>
  </si>
  <si>
    <t>ahmed baeshen-08/09/2018</t>
  </si>
  <si>
    <t>ahmed.m.baeshen@gmail.com</t>
  </si>
  <si>
    <t>maher kalthoum-08/09/2018</t>
  </si>
  <si>
    <t>maherk@gmail.com</t>
  </si>
  <si>
    <t>saeed anwar-08/09/2018</t>
  </si>
  <si>
    <t>saeedbangash08@gmail.com</t>
  </si>
  <si>
    <t>Mohammed Khan-9/9/2018</t>
  </si>
  <si>
    <t>muneebmk@hotmail.com</t>
  </si>
  <si>
    <t>Rishabh Pingault-9/9/2018</t>
  </si>
  <si>
    <t>rishabh.pingault@hotmail.com</t>
  </si>
  <si>
    <t>Ahmed Abdullah-16/09/2018</t>
  </si>
  <si>
    <t>albadani414@gmail.com</t>
  </si>
  <si>
    <t>Saif Al katbi-17/09/2018</t>
  </si>
  <si>
    <t>s6199001@gmail.com</t>
  </si>
  <si>
    <t>Omer N/A-28/09/2018</t>
  </si>
  <si>
    <t>na@na.na</t>
  </si>
  <si>
    <t>Samy Bin Yakhluf-28/09/2018</t>
  </si>
  <si>
    <t>by.group10@gmail.com</t>
  </si>
  <si>
    <t>Khalid Hassan-28/09/2018</t>
  </si>
  <si>
    <t>khalid5.balooshi@gmail.com</t>
  </si>
  <si>
    <t xml:space="preserve">wants a plot for 10 000sqft </t>
  </si>
  <si>
    <t>Lucie Marfoq-29/09/2018</t>
  </si>
  <si>
    <t>marfoq.lucie@hotmail.fr</t>
  </si>
  <si>
    <t>Kamal N/A-30/09/2018</t>
  </si>
  <si>
    <t>tareq@homezone.ae</t>
  </si>
  <si>
    <t>Muhammed Farhan-30/09/2018</t>
  </si>
  <si>
    <t>farhanayyoob@gmail.com</t>
  </si>
  <si>
    <t>Lakshman Muktani-30/09/2018</t>
  </si>
  <si>
    <t>Hani Rustom-01/10/2018</t>
  </si>
  <si>
    <t>hanirustom@hotmail.com</t>
  </si>
  <si>
    <t>Janice Rego-03/10/2018</t>
  </si>
  <si>
    <t>janicerego@hotmail.com</t>
  </si>
  <si>
    <t>Abeer Yousef-04/10/2018</t>
  </si>
  <si>
    <t>abeeryousef88@hotmail.com</t>
  </si>
  <si>
    <t>no mobile entered</t>
  </si>
  <si>
    <t>Khawla Bumuhair-05/10/2018</t>
  </si>
  <si>
    <t>kalbumuhair@etisalat.ae</t>
  </si>
  <si>
    <t>Rana Adel-05/10/2018</t>
  </si>
  <si>
    <t>rana.adel2112@gmail.com</t>
  </si>
  <si>
    <t>Andrea A-08/10/2018</t>
  </si>
  <si>
    <t>alowais@emirates.net.ae</t>
  </si>
  <si>
    <t>971 4 2214561</t>
  </si>
  <si>
    <t>Rafeq Fakih-08/10/2018</t>
  </si>
  <si>
    <t>rafiqfakih@mcdonalds-uae.com</t>
  </si>
  <si>
    <t>Mohammed abuhataab-08/10/2018</t>
  </si>
  <si>
    <t>m.bahaa66@gmail.com</t>
  </si>
  <si>
    <t>Nizha Zahrawi-08/10/2018</t>
  </si>
  <si>
    <t>nzstore01@gmail.com</t>
  </si>
  <si>
    <t>Umair Qazi-09/10/2018</t>
  </si>
  <si>
    <t>umair.qazi@dxbe.ae</t>
  </si>
  <si>
    <t>Shelly S-10/9/2018</t>
  </si>
  <si>
    <t>shelly2507@live.com</t>
  </si>
  <si>
    <t>(987) 370-6308</t>
  </si>
  <si>
    <t>Ahmed Alsaeedi-09/10/2018</t>
  </si>
  <si>
    <t xml:space="preserve">alsaeediahmed@yahoo.com
</t>
  </si>
  <si>
    <t>Mobile +971506334554</t>
  </si>
  <si>
    <t>Mohammad Ahmad-03/01/2019</t>
  </si>
  <si>
    <t>altarrrah@gmail.com</t>
  </si>
  <si>
    <t>hiten GOHEL-03/01/2019</t>
  </si>
  <si>
    <t>sales@gohilemporium.co.uk</t>
  </si>
  <si>
    <t>looking for a good distress deals, 3br, 2,5-3M budget</t>
  </si>
  <si>
    <t>Ashwani Kohli-08/01/2019</t>
  </si>
  <si>
    <t>akpksk@hotmail.com</t>
  </si>
  <si>
    <t>Maged Soliman-08/01/2019</t>
  </si>
  <si>
    <t>maged.magdy89@gmail.com</t>
  </si>
  <si>
    <t>Sunny Kanda-09/01/2019</t>
  </si>
  <si>
    <t>nidhi_indianuk_@yahoo.co.uk</t>
  </si>
  <si>
    <t>Elmar Sultanov-10/01/2019</t>
  </si>
  <si>
    <t>366zsa@gmail.com</t>
  </si>
  <si>
    <t>Adnan Janjua-14/01/2019</t>
  </si>
  <si>
    <t>adnanjanjua1@hotmail.com</t>
  </si>
  <si>
    <t>Tanzina Sharmin-14/01/2019</t>
  </si>
  <si>
    <t>tanz.sharmin@gmail.com</t>
  </si>
  <si>
    <t>00971 56 734 4676</t>
  </si>
  <si>
    <t>toufik mouhoub-16/01/2019</t>
  </si>
  <si>
    <t>benrafi2@gmail.com</t>
  </si>
  <si>
    <t>ali almarzouqi-16/01/2019</t>
  </si>
  <si>
    <t>a13a7@hotmail.com</t>
  </si>
  <si>
    <t>Mohammed Almutairi-1/20/2019</t>
  </si>
  <si>
    <t>nnovziyad@gmail.com</t>
  </si>
  <si>
    <t>Menghini, Luigi</t>
  </si>
  <si>
    <t>aqilkhara@gmail.com</t>
  </si>
  <si>
    <t>Selhami, Frederic</t>
  </si>
  <si>
    <t>menghini@gmail.com</t>
  </si>
  <si>
    <t>abu dargham, michael</t>
  </si>
  <si>
    <t>na@na.com</t>
  </si>
  <si>
    <t>Aranjo, Keegan</t>
  </si>
  <si>
    <t>keegan71xp@gmail.com</t>
  </si>
  <si>
    <t>Bal riyami, Badriya</t>
  </si>
  <si>
    <t>b.alreyami@gmail.com</t>
  </si>
  <si>
    <t>m, Mariem</t>
  </si>
  <si>
    <t>mariam.umadam@gmail.com</t>
  </si>
  <si>
    <t>Dearden, Adam</t>
  </si>
  <si>
    <t>dearden_19593@hotmail.co.uk</t>
  </si>
  <si>
    <t>borgstedt, Yann</t>
  </si>
  <si>
    <t>yb@pelichetexpo.com</t>
  </si>
  <si>
    <t>Al Khoori, Khalid</t>
  </si>
  <si>
    <t>khalid.khoori@hotmail.com</t>
  </si>
  <si>
    <t>AVISSE, Aymeric</t>
  </si>
  <si>
    <t>aymeric-and-leila@hotmail.fr</t>
  </si>
  <si>
    <t>Ali, Syed</t>
  </si>
  <si>
    <t>hurr.ali@gmail.com</t>
  </si>
  <si>
    <t>R, Rana</t>
  </si>
  <si>
    <t>rana.t927@gmail.com</t>
  </si>
  <si>
    <t>interested in 2br</t>
  </si>
  <si>
    <t>Lehmann, Hagen</t>
  </si>
  <si>
    <t>hagen.lehmann@immoscoring.de</t>
  </si>
  <si>
    <t>Adel, Mohamed</t>
  </si>
  <si>
    <t>call at 11am</t>
  </si>
  <si>
    <t>Nawaz, Javed</t>
  </si>
  <si>
    <t>javednawaz007@yahoo.com</t>
  </si>
  <si>
    <t>Port de La Mer La Rive</t>
  </si>
  <si>
    <t>Azam, Muhammad</t>
  </si>
  <si>
    <t>Ahmed, Juwel</t>
  </si>
  <si>
    <t>juwela136@gmail.com</t>
  </si>
  <si>
    <t>Khan, Ayaz</t>
  </si>
  <si>
    <t>ayazkhanyaqoobekhail@gmail.com</t>
  </si>
  <si>
    <t>Khan, Saeed</t>
  </si>
  <si>
    <t>crescent.sk@gmail.com</t>
  </si>
  <si>
    <t>Pathan, Hassan</t>
  </si>
  <si>
    <t>zoyan123@yahoo.com</t>
  </si>
  <si>
    <t>Rizwan, Muhammad</t>
  </si>
  <si>
    <t>saqj.rizwan178@gmail.com</t>
  </si>
  <si>
    <t>Imran Sajid, Imran Sajid</t>
  </si>
  <si>
    <t>imransajid0404440@gmail.com</t>
  </si>
  <si>
    <t>speaks urdu</t>
  </si>
  <si>
    <t>Khan, Hamad</t>
  </si>
  <si>
    <t>kk576878@gmail.com</t>
  </si>
  <si>
    <t>Jans, Wim</t>
  </si>
  <si>
    <t>wim.jans@skynet.be</t>
  </si>
  <si>
    <t>Tahir, Abdullah</t>
  </si>
  <si>
    <t>abdullahtahir85@gmail.com</t>
  </si>
  <si>
    <t>Khan, Mohammed</t>
  </si>
  <si>
    <t>docmk23@hotmail.com</t>
  </si>
  <si>
    <t>Dumitrescu, Sebastian</t>
  </si>
  <si>
    <t>sdx@uniasia.ae</t>
  </si>
  <si>
    <t>Patadiya, Bhavesh</t>
  </si>
  <si>
    <t>bmpatadiya@gmail.com</t>
  </si>
  <si>
    <t>Ettarfaoui, Lakbir</t>
  </si>
  <si>
    <t>ett_lakbir@yahoo.fr</t>
  </si>
  <si>
    <t>interested in 1-2-3 br</t>
  </si>
  <si>
    <t>NAWAZ, SALEEM</t>
  </si>
  <si>
    <t>saleemnawz@yahoo.com</t>
  </si>
  <si>
    <t>Amstad, Fredy</t>
  </si>
  <si>
    <t>fredy_amstad@yahoo.com</t>
  </si>
  <si>
    <t>Sabtain Ali, Syed</t>
  </si>
  <si>
    <t>syedsabtain3626@gmail.com</t>
  </si>
  <si>
    <t>Sabir, Shoaib</t>
  </si>
  <si>
    <t>shoaibsabir1238@gmail.com</t>
  </si>
  <si>
    <t>Manna, Maan</t>
  </si>
  <si>
    <t>dxb2000@hotmail.com</t>
  </si>
  <si>
    <t>Altenaiji, Mohammed</t>
  </si>
  <si>
    <t>altenaiji79555@hotmail.com</t>
  </si>
  <si>
    <t>AlMazrouei, Mohamed</t>
  </si>
  <si>
    <t>mfalmazrouei@gmail.com</t>
  </si>
  <si>
    <t>Adeyemi, Segun</t>
  </si>
  <si>
    <t>oluvictory406@yahoo.com</t>
  </si>
  <si>
    <t>Esber, Siad</t>
  </si>
  <si>
    <t>siad.esber@web.de</t>
  </si>
  <si>
    <t>sobhani, shahram</t>
  </si>
  <si>
    <t>shahramsobhany@gmail.com</t>
  </si>
  <si>
    <t>Al Saeed, Hamad</t>
  </si>
  <si>
    <t>alsaeed.hamad@gmail.com</t>
  </si>
  <si>
    <t>Pick, Paul</t>
  </si>
  <si>
    <t>abct1955@hotmail.com</t>
  </si>
  <si>
    <t>Ashraf Muhammad Ashraf, Muhammad</t>
  </si>
  <si>
    <t>muhammadashraf112220@gmail.com</t>
  </si>
  <si>
    <t>speaks only urdu</t>
  </si>
  <si>
    <t>Akram, Imran</t>
  </si>
  <si>
    <t>imran0307mughal@gmail.com</t>
  </si>
  <si>
    <t>singh, sanjay</t>
  </si>
  <si>
    <t>sanjay19651965@rediffmail.com</t>
  </si>
  <si>
    <t>Shahzad, Amir</t>
  </si>
  <si>
    <t>as4104685@gmail.com</t>
  </si>
  <si>
    <t>Tareen, Imran</t>
  </si>
  <si>
    <t>Memon, Abdul</t>
  </si>
  <si>
    <t>abdul.memon@hotmail.co.uk</t>
  </si>
  <si>
    <t>Al Agla, Fatma</t>
  </si>
  <si>
    <t>aglafa@gmail.com</t>
  </si>
  <si>
    <t>Aljasmi, Ayesha</t>
  </si>
  <si>
    <t>aisha7777@hotmail.com</t>
  </si>
  <si>
    <t>email sent about 1 br</t>
  </si>
  <si>
    <t>John, Crystal</t>
  </si>
  <si>
    <t>jyteensam@gmail.com</t>
  </si>
  <si>
    <t>Alqahtani, Ali</t>
  </si>
  <si>
    <t>mujarry@hotmail.com</t>
  </si>
  <si>
    <t>Abdullah, Ahmed</t>
  </si>
  <si>
    <t>alrebdia@gmail.com</t>
  </si>
  <si>
    <t>Cianci, Antonio</t>
  </si>
  <si>
    <t>italsale@yahoo.it</t>
  </si>
  <si>
    <t>call back end of the month sept</t>
  </si>
  <si>
    <t>Woodall, Sandra</t>
  </si>
  <si>
    <t>s.woodall.uk@gmail.com</t>
  </si>
  <si>
    <t>Patturu, Srinivasarao</t>
  </si>
  <si>
    <t>sri@sridesign.in</t>
  </si>
  <si>
    <t>91 99666 00027</t>
  </si>
  <si>
    <t>interested after 1month in October/November</t>
  </si>
  <si>
    <t>Alqahtani, Musaad</t>
  </si>
  <si>
    <t>musaadalmashhour@gmail.com</t>
  </si>
  <si>
    <t>Kalsey, Bikram</t>
  </si>
  <si>
    <t>bikramkalsey@gmail.com</t>
  </si>
  <si>
    <t>call at 1.30</t>
  </si>
  <si>
    <t>Jain, Rohit</t>
  </si>
  <si>
    <t>rohitjain.rj@gmail.com</t>
  </si>
  <si>
    <t>91 98111 15987</t>
  </si>
  <si>
    <t>Alharbi, Ahmad</t>
  </si>
  <si>
    <t>ahmad.h.005@gmail.com</t>
  </si>
  <si>
    <t>Bashir, Adil</t>
  </si>
  <si>
    <t>adilbashir@hotmail.com</t>
  </si>
  <si>
    <t>intersted in 1-2 br</t>
  </si>
  <si>
    <t>Al Hussain, Yasser</t>
  </si>
  <si>
    <t>nite_3x@live.com</t>
  </si>
  <si>
    <t xml:space="preserve">call tomorrow 25th </t>
  </si>
  <si>
    <t>Alyahya, Faisal</t>
  </si>
  <si>
    <t>dr.faisal.alyahya@gmail.com</t>
  </si>
  <si>
    <t>966 56 470 4440</t>
  </si>
  <si>
    <t>Chabria, Nitin</t>
  </si>
  <si>
    <t>nchabria@mysoreammonia.com</t>
  </si>
  <si>
    <t>91 93230 34433</t>
  </si>
  <si>
    <t>call tomorrow 25th morning</t>
  </si>
  <si>
    <t>Bagga, Ashish</t>
  </si>
  <si>
    <t>ashishbagga@hotmail.com</t>
  </si>
  <si>
    <t>Bin Touq, Abdulla</t>
  </si>
  <si>
    <t>abdulla.bintouq@gmail.com</t>
  </si>
  <si>
    <t>971 50 551 8181</t>
  </si>
  <si>
    <t>Alhabsy, Lyutha</t>
  </si>
  <si>
    <t>lyalhabsy@gmail.com</t>
  </si>
  <si>
    <t>Bobinmaker, Mehernosh</t>
  </si>
  <si>
    <t>mehernooshm@yahoo.com</t>
  </si>
  <si>
    <t>91 98222 95944</t>
  </si>
  <si>
    <t>Ajani, Rohitkumar</t>
  </si>
  <si>
    <t>rohitajani743@gmail.com</t>
  </si>
  <si>
    <t>Akram, Sheik</t>
  </si>
  <si>
    <t>Hefny, Noha</t>
  </si>
  <si>
    <t>noha@litdxb.com</t>
  </si>
  <si>
    <t>Iqbal, Jamshed</t>
  </si>
  <si>
    <t>vbs.lhr@gmail.com</t>
  </si>
  <si>
    <t>SOMAIYA, RAJA</t>
  </si>
  <si>
    <t>rajasomaiya@hotmail.com</t>
  </si>
  <si>
    <t>Sarwar, Muhammad Farooq</t>
  </si>
  <si>
    <t>farooqsarwar1431@gmail.com</t>
  </si>
  <si>
    <t>Raza, Azam</t>
  </si>
  <si>
    <t>azam.raza7732@gmail.com</t>
  </si>
  <si>
    <t>Iftikhar, Ali</t>
  </si>
  <si>
    <t>cool_a2006@hotmail.com</t>
  </si>
  <si>
    <t>Awan, Asghar</t>
  </si>
  <si>
    <t>m_asghar78@yahoo.com</t>
  </si>
  <si>
    <t>Shehzad, Raheem</t>
  </si>
  <si>
    <t>raheemshehzad88@gmail.com</t>
  </si>
  <si>
    <t>Khayal, Zaman</t>
  </si>
  <si>
    <t>khayalzaman@hotmail.com</t>
  </si>
  <si>
    <t>Warraich, Shafeeq</t>
  </si>
  <si>
    <t>chohdarishafeeq@gmail.com</t>
  </si>
  <si>
    <t>Mehmood, Ghazala</t>
  </si>
  <si>
    <t>gazalamehmood123@gmail.com</t>
  </si>
  <si>
    <t>Gill, Shahbaz</t>
  </si>
  <si>
    <t>shahbazgill0@gmail.com</t>
  </si>
  <si>
    <t>Malik, Irfan</t>
  </si>
  <si>
    <t>malik0irfan@gmail.com</t>
  </si>
  <si>
    <t>Khara, Aqeel</t>
  </si>
  <si>
    <t>Khan, Imran</t>
  </si>
  <si>
    <t>imrankhan@email.com</t>
  </si>
  <si>
    <t>Ali, Mumtaz</t>
  </si>
  <si>
    <t>mumtazal640@gmail.com</t>
  </si>
  <si>
    <t>Soomro, Hamid Ali</t>
  </si>
  <si>
    <t>fauirhamidali@gmail.com</t>
  </si>
  <si>
    <t>Subhan, Muhammad</t>
  </si>
  <si>
    <t>mathiurehman1@gmail.com</t>
  </si>
  <si>
    <t>d</t>
  </si>
  <si>
    <t>Shah, Jaffar</t>
  </si>
  <si>
    <t>jaffarshah55@gmail.com</t>
  </si>
  <si>
    <t>Shah Paracha, Hazrat</t>
  </si>
  <si>
    <t>shahmatta3@gmai.com</t>
  </si>
  <si>
    <t>Mehmood, Abrar</t>
  </si>
  <si>
    <t>abrarmehmood786@gmail.com</t>
  </si>
  <si>
    <t>Kaka, Jalal</t>
  </si>
  <si>
    <t>jalaldin860@gmail.com</t>
  </si>
  <si>
    <t>Sattar, Abdul</t>
  </si>
  <si>
    <t>sattsrassi@gmail.com</t>
  </si>
  <si>
    <t>mastour</t>
  </si>
  <si>
    <t>mastjeddah2@gmail.com</t>
  </si>
  <si>
    <t>BAYSHORE</t>
  </si>
  <si>
    <t>Shihab Eldin Mohi Eldin Eltayeb Elgimiabi</t>
  </si>
  <si>
    <t>gimi312@hotmail.com</t>
  </si>
  <si>
    <t>Nabil Alfaghouri</t>
  </si>
  <si>
    <t>alfaghouri@gmail.com</t>
  </si>
  <si>
    <t>call on 30th sept</t>
  </si>
  <si>
    <t>Vishnu Kalra</t>
  </si>
  <si>
    <t>vishhnukalra@gmail.com</t>
  </si>
  <si>
    <t>9710552656224</t>
  </si>
  <si>
    <t>call on 29th sept</t>
  </si>
  <si>
    <t>Hanan</t>
  </si>
  <si>
    <t>ben_harez@hotmail.com</t>
  </si>
  <si>
    <t>971509083306</t>
  </si>
  <si>
    <t>Alfeel Motors │ الفـيل موتورز</t>
  </si>
  <si>
    <t>hatim98@hotmail.com</t>
  </si>
  <si>
    <t>96892890903</t>
  </si>
  <si>
    <t>Hamed Issa</t>
  </si>
  <si>
    <t>hamed_4@hotmail.com</t>
  </si>
  <si>
    <t>96566604508</t>
  </si>
  <si>
    <t>Saqibnazir Nazir</t>
  </si>
  <si>
    <t>saqibnazir50@yahoo.com</t>
  </si>
  <si>
    <t>interested in 2br dubai creek</t>
  </si>
  <si>
    <t>Abdou Hamed</t>
  </si>
  <si>
    <t>abdo_elord2007@yahoo.com</t>
  </si>
  <si>
    <t>Mohamed Ragab</t>
  </si>
  <si>
    <t>moh_ragab1977@hotmail.com</t>
  </si>
  <si>
    <t>+9660598457292</t>
  </si>
  <si>
    <t>DUBAI CREEK HARBOUR</t>
  </si>
  <si>
    <t>Naif Bedaiwy</t>
  </si>
  <si>
    <t>naifoo@gmail.com</t>
  </si>
  <si>
    <t>+966555119900</t>
  </si>
  <si>
    <t>Eldiyar Zhumabaev</t>
  </si>
  <si>
    <t>ejumabaev@rambler.ru</t>
  </si>
  <si>
    <t>+966590596755</t>
  </si>
  <si>
    <t>Badee Kalam</t>
  </si>
  <si>
    <t>badee80@yahoo.com</t>
  </si>
  <si>
    <t>+962796093344</t>
  </si>
  <si>
    <t>Birjan Ak-dari</t>
  </si>
  <si>
    <t>birjik@bk.ru</t>
  </si>
  <si>
    <t>Faisal AlSabah</t>
  </si>
  <si>
    <t>f_alsabah@hotmail.com</t>
  </si>
  <si>
    <t>Ahmedalkaabi</t>
  </si>
  <si>
    <t>Ahmed.alkaabi@banagas.com.bh</t>
  </si>
  <si>
    <t>Najwa Al Nazer</t>
  </si>
  <si>
    <t>nanousha28@hotmail.com</t>
  </si>
  <si>
    <t>Davood</t>
  </si>
  <si>
    <t>D.babaee39@gmail.com</t>
  </si>
  <si>
    <t>Maher</t>
  </si>
  <si>
    <t>maher795@hotmail.com</t>
  </si>
  <si>
    <t>Leena Khalifa</t>
  </si>
  <si>
    <t>leenakhalifa@yahoo.com</t>
  </si>
  <si>
    <t>Hisham Aljamil</t>
  </si>
  <si>
    <t>hisham.aljamil@bidfood.ae</t>
  </si>
  <si>
    <t>Jeremy Reynolds</t>
  </si>
  <si>
    <t>jeremy@reynoldsuk.com</t>
  </si>
  <si>
    <t>call 1st of october</t>
  </si>
  <si>
    <t>hayatrizki</t>
  </si>
  <si>
    <t>hayat.rizki@gmail.com</t>
  </si>
  <si>
    <t>Amedeo Matacena</t>
  </si>
  <si>
    <t>amedeomatacena98@gmail.com</t>
  </si>
  <si>
    <t>ابووسيم الشامخ</t>
  </si>
  <si>
    <t>alshamekh555@hotmail.com</t>
  </si>
  <si>
    <t>Ismail GM Sait</t>
  </si>
  <si>
    <t>igmsait@gmail.com</t>
  </si>
  <si>
    <t>Farha Ziyad</t>
  </si>
  <si>
    <t>farhanif252@gmail.com</t>
  </si>
  <si>
    <t>Sadaf Zaidi</t>
  </si>
  <si>
    <t>sadafsamreenshell@gmail.com</t>
  </si>
  <si>
    <t>Shahzad Gul</t>
  </si>
  <si>
    <t>drshahzadgull@gmail.com</t>
  </si>
  <si>
    <t>intersted 1 br dubai creek</t>
  </si>
  <si>
    <t>Mohamed alshbab</t>
  </si>
  <si>
    <t>mohd8338@hotmail.com</t>
  </si>
  <si>
    <t>v.5000</t>
  </si>
  <si>
    <t>cv70@mail.com</t>
  </si>
  <si>
    <t>0561442144</t>
  </si>
  <si>
    <t>Waleed Alvi</t>
  </si>
  <si>
    <t>waleedalvi.pmp@yahoo.com</t>
  </si>
  <si>
    <t>+966569847588</t>
  </si>
  <si>
    <t>Alby</t>
  </si>
  <si>
    <t>settimomarina@gmail.com</t>
  </si>
  <si>
    <t>971527517247</t>
  </si>
  <si>
    <t>Sarah Rahim</t>
  </si>
  <si>
    <t>oroweng@gmail.com</t>
  </si>
  <si>
    <t>85362835115</t>
  </si>
  <si>
    <t>ARABIAN RACNHES III</t>
  </si>
  <si>
    <t>Daniel Flowers</t>
  </si>
  <si>
    <t>danielolu@hotmail.com</t>
  </si>
  <si>
    <t>Arda Aral</t>
  </si>
  <si>
    <t>arda.aral@gmail.com</t>
  </si>
  <si>
    <t>not looking at themoment</t>
  </si>
  <si>
    <t>Noordeen</t>
  </si>
  <si>
    <t>naldeen@emirates.net.ae</t>
  </si>
  <si>
    <t>not looking at the moment</t>
  </si>
  <si>
    <t>Pyerali Merchant</t>
  </si>
  <si>
    <t>Alghadeerflowers@gmail.com</t>
  </si>
  <si>
    <t>Bharwani</t>
  </si>
  <si>
    <t>lmdaj@hotmail.com</t>
  </si>
  <si>
    <t>50475-4961</t>
  </si>
  <si>
    <t>8536283-5115</t>
  </si>
  <si>
    <t>Sara</t>
  </si>
  <si>
    <t>Alsarriuae@gmail.com</t>
  </si>
  <si>
    <t>Ghaleb bidawi</t>
  </si>
  <si>
    <t>Ghbidawi@gmail.com</t>
  </si>
  <si>
    <t>Pgrs Rs</t>
  </si>
  <si>
    <t>pg32mdrs@gmail.com</t>
  </si>
  <si>
    <t>Erin Harrington</t>
  </si>
  <si>
    <t>E7rins@hotmail.com</t>
  </si>
  <si>
    <t>971056220-2505</t>
  </si>
  <si>
    <t>Shally Vohra Taneja</t>
  </si>
  <si>
    <t>shally4181@gmail.com</t>
  </si>
  <si>
    <t>+971508059014</t>
  </si>
  <si>
    <t>send to akash</t>
  </si>
  <si>
    <t>Urfan Sharif</t>
  </si>
  <si>
    <t>urfansharif@gmail.com</t>
  </si>
  <si>
    <t>call later</t>
  </si>
  <si>
    <t>Katia Hassan</t>
  </si>
  <si>
    <t>kathy_hassan@hotmail.com</t>
  </si>
  <si>
    <t>Piyal Deb</t>
  </si>
  <si>
    <t>piyald@hotmail.com</t>
  </si>
  <si>
    <t>Marwan Shurrab</t>
  </si>
  <si>
    <t>mmmaroo@hotmail.com</t>
  </si>
  <si>
    <t>Zahra Ratanshi</t>
  </si>
  <si>
    <t>zkr@omantrading.com</t>
  </si>
  <si>
    <t>Iram Asim</t>
  </si>
  <si>
    <t>iramasim2000@gmail.com</t>
  </si>
  <si>
    <t>Mark Plank</t>
  </si>
  <si>
    <t>markplank_uk@yahoo.co.uk</t>
  </si>
  <si>
    <t>Kimberley Christiansen Forrest</t>
  </si>
  <si>
    <t>kimberley.christiansen@gmail.com</t>
  </si>
  <si>
    <t>Jawad Shaikh</t>
  </si>
  <si>
    <t>jawadshaikh1968@yahoo.com</t>
  </si>
  <si>
    <t>Jowell Mungcal</t>
  </si>
  <si>
    <t>Jowell@iconceptint.com</t>
  </si>
  <si>
    <t>Johanna Ferrari</t>
  </si>
  <si>
    <t>joferrari@hotmail.com</t>
  </si>
  <si>
    <t>nick</t>
  </si>
  <si>
    <t>nsahajwani88@gmail.com</t>
  </si>
  <si>
    <t>Diana Wilde</t>
  </si>
  <si>
    <t>diana@wearefuel.com</t>
  </si>
  <si>
    <t>Cheryl Sheppard</t>
  </si>
  <si>
    <t>cheryl@brothersdrinks.co.uk</t>
  </si>
  <si>
    <t>Sachin Gupta</t>
  </si>
  <si>
    <t>sachin7994@gmail.com</t>
  </si>
  <si>
    <t>Noona Amiri</t>
  </si>
  <si>
    <t>noonanafousi@googlemail.com</t>
  </si>
  <si>
    <t>Dania Ehtesham Zahid</t>
  </si>
  <si>
    <t>ridingpegasus@gmail.com</t>
  </si>
  <si>
    <t>Raná Raouf Farag</t>
  </si>
  <si>
    <t>ivy403@gmail.com</t>
  </si>
  <si>
    <t>Khuslaram suthar</t>
  </si>
  <si>
    <t>Khuslaram@gmail.com</t>
  </si>
  <si>
    <t>Richard Castle</t>
  </si>
  <si>
    <t>richardekoot2@gmail.com</t>
  </si>
  <si>
    <t>971528087145</t>
  </si>
  <si>
    <t>Rami Abiad</t>
  </si>
  <si>
    <t>rami_abiad@yahoo.com</t>
  </si>
  <si>
    <t>971505544914</t>
  </si>
  <si>
    <t>Lisa Stenbro</t>
  </si>
  <si>
    <t>lisavstenbro@gmail.com</t>
  </si>
  <si>
    <t>Chantal Marisa Horton</t>
  </si>
  <si>
    <t>Chantal@fluidmovesintl.com</t>
  </si>
  <si>
    <t>Karim Mess</t>
  </si>
  <si>
    <t>karim.mess@gmail.com</t>
  </si>
  <si>
    <t>Sukow Komath</t>
  </si>
  <si>
    <t>sukowkomath@gmail.com</t>
  </si>
  <si>
    <t>Nadine Anshasi</t>
  </si>
  <si>
    <t>nadoon21@hotmail.com</t>
  </si>
  <si>
    <t>Hanlie Oelofsen</t>
  </si>
  <si>
    <t>hanlie.oelofsen@gmail.com</t>
  </si>
  <si>
    <t>Lizl Potgieter</t>
  </si>
  <si>
    <t>lizl_zenith@hotmail.com</t>
  </si>
  <si>
    <t>+27722248279</t>
  </si>
  <si>
    <t>Ahmed K Alsagga</t>
  </si>
  <si>
    <t>alsagga.com@hotmail.com</t>
  </si>
  <si>
    <t>Latif Saad</t>
  </si>
  <si>
    <t>latif711@yahoo.com</t>
  </si>
  <si>
    <t>Kareem Ruhi</t>
  </si>
  <si>
    <t>kareemruhi@gmail.com</t>
  </si>
  <si>
    <t>Anum Khan</t>
  </si>
  <si>
    <t>aanumk10@gmail.com</t>
  </si>
  <si>
    <t>Sneha Jaikumar</t>
  </si>
  <si>
    <t>sneha_zubi2001@yahoo.com</t>
  </si>
  <si>
    <t>يوسف غرشة</t>
  </si>
  <si>
    <t>hcdsa34@gamil.com</t>
  </si>
  <si>
    <t>Danya Adnan</t>
  </si>
  <si>
    <t>danya_mansoor@hotmail.com</t>
  </si>
  <si>
    <t>Amin</t>
  </si>
  <si>
    <t>Jahanzaibamin@hotmail.com</t>
  </si>
  <si>
    <t>Raffy Narvaez</t>
  </si>
  <si>
    <t>rafael90025@gmail.com</t>
  </si>
  <si>
    <t>Abdalla Mohmmed</t>
  </si>
  <si>
    <t>abdallaomohammed@gmail.com</t>
  </si>
  <si>
    <t>Omolola Ogunmiluwa</t>
  </si>
  <si>
    <t>lola4bimbo@gmail.com</t>
  </si>
  <si>
    <t>Ramy Adham</t>
  </si>
  <si>
    <t>ramytuff@aucegypt.edu</t>
  </si>
  <si>
    <t>Neera Sumit Mittal</t>
  </si>
  <si>
    <t>agarwal.neera5@gmail.com</t>
  </si>
  <si>
    <t>9710558368187</t>
  </si>
  <si>
    <t>Gaurav Ajmani</t>
  </si>
  <si>
    <t>gaurav_ajmani@hotmail.com</t>
  </si>
  <si>
    <t>Agnes Wahito</t>
  </si>
  <si>
    <t>wahitoh@gmail.com</t>
  </si>
  <si>
    <t>محمداحمد المري</t>
  </si>
  <si>
    <t>binhammad123456@gmail.com</t>
  </si>
  <si>
    <t>Ashleigh Naisbitt</t>
  </si>
  <si>
    <t>ashnaisbitt@yahoo.co.uk</t>
  </si>
  <si>
    <t>Abdul Rahman</t>
  </si>
  <si>
    <t>abdulrahman7786@gmail.com</t>
  </si>
  <si>
    <t>Manu Baloochi</t>
  </si>
  <si>
    <t>saez120@hotmail.com</t>
  </si>
  <si>
    <t>Ahmed Selim</t>
  </si>
  <si>
    <t>Ahd.selim18@gmail.com</t>
  </si>
  <si>
    <t>Wissam Awada</t>
  </si>
  <si>
    <t>wissamawada@hotmail.com</t>
  </si>
  <si>
    <t>Jenny Bennett Economou</t>
  </si>
  <si>
    <t>jeconomou3@gmail.com</t>
  </si>
  <si>
    <t>Rakan Ali</t>
  </si>
  <si>
    <t>rakanboys123456@gmail.com</t>
  </si>
  <si>
    <t>Jamaan Alfadhil</t>
  </si>
  <si>
    <t>jm6_alfadhil@hotmail.com</t>
  </si>
  <si>
    <t>Michelle Johnson</t>
  </si>
  <si>
    <t>michellejohnson@web.de</t>
  </si>
  <si>
    <t>Haitham Goud</t>
  </si>
  <si>
    <t>hythm_gouda@hotmail.com</t>
  </si>
  <si>
    <t>Juno</t>
  </si>
  <si>
    <t>jerylneo@gmail.com</t>
  </si>
  <si>
    <t>Naveed S Aziz</t>
  </si>
  <si>
    <t>naveed.aziz@gsse.com.sa</t>
  </si>
  <si>
    <t>Ali Khan</t>
  </si>
  <si>
    <t>kavin_ksa@hotmail.com</t>
  </si>
  <si>
    <t>Kenneth Heney</t>
  </si>
  <si>
    <t>kennethheney@yahoo.co.uk</t>
  </si>
  <si>
    <t>Cheryl Barrett</t>
  </si>
  <si>
    <t>cherylb@me.com</t>
  </si>
  <si>
    <t>971529819985</t>
  </si>
  <si>
    <t>Kaleem Akhtar</t>
  </si>
  <si>
    <t>kaleemakhtar76@yahoo.com</t>
  </si>
  <si>
    <t>Asad Veettuvalappil</t>
  </si>
  <si>
    <t>azadvs1@gmail.com</t>
  </si>
  <si>
    <t>Carmela Wetterhall</t>
  </si>
  <si>
    <t>carmela.wetterhall@gmail.com</t>
  </si>
  <si>
    <t>Christina stefou</t>
  </si>
  <si>
    <t>+971 55 534 2870</t>
  </si>
  <si>
    <t>Mohamed Ahmed ElSaraf</t>
  </si>
  <si>
    <t>melsaraf@yahoo.com</t>
  </si>
  <si>
    <t>kamran.m.janbazlo</t>
  </si>
  <si>
    <t>kambizkhani66@gmail.com</t>
  </si>
  <si>
    <t>Husain Noori</t>
  </si>
  <si>
    <t>husainmsnoori786@gmail.com</t>
  </si>
  <si>
    <t>KehrerdeVenus</t>
  </si>
  <si>
    <t>joyce-2046@outlook.com</t>
  </si>
  <si>
    <t>wael Alabdulqader</t>
  </si>
  <si>
    <t>wael@ewan.com.kw</t>
  </si>
  <si>
    <t>Younus Khan</t>
  </si>
  <si>
    <t>younusullahi@gmail.com</t>
  </si>
  <si>
    <t>Mohammad Turkmani</t>
  </si>
  <si>
    <t>mtr-arch@hotmail.com</t>
  </si>
  <si>
    <t>Awais Aziz</t>
  </si>
  <si>
    <t>awaisaziz.aa@gmail.com</t>
  </si>
  <si>
    <t>Amanda Martins Menezes</t>
  </si>
  <si>
    <t>amanda_martins2003@yahoo.co.in</t>
  </si>
  <si>
    <t>هديان العبيدي</t>
  </si>
  <si>
    <t>had@hotmail.com</t>
  </si>
  <si>
    <t>971504429050</t>
  </si>
  <si>
    <t>Marion Larmandier</t>
  </si>
  <si>
    <t>ilovecapferret@hotmail.com</t>
  </si>
  <si>
    <t>Arifullah</t>
  </si>
  <si>
    <t>Arifullah@gmail.com</t>
  </si>
  <si>
    <t>Rania Elkheshen Eid</t>
  </si>
  <si>
    <t>raniaek@hotmail.com</t>
  </si>
  <si>
    <t>Mdnizamul Haque</t>
  </si>
  <si>
    <t>mdnizamul62@gmail.com</t>
  </si>
  <si>
    <t>966509296212</t>
  </si>
  <si>
    <t>MOHAMED EHTESHAMUDDIN</t>
  </si>
  <si>
    <t>mohamedehtesham@yahoo.com</t>
  </si>
  <si>
    <t>Iftequar</t>
  </si>
  <si>
    <t>ifti345@gmail.com</t>
  </si>
  <si>
    <t>Talha Shakeel</t>
  </si>
  <si>
    <t>talhashakeelkhan@gmail.com</t>
  </si>
  <si>
    <t>Tanya Adnan Ali</t>
  </si>
  <si>
    <t>tanyaadnanali@yahoo.com</t>
  </si>
  <si>
    <t>Pankaj Sharma</t>
  </si>
  <si>
    <t>Pankajs10@gmail.com</t>
  </si>
  <si>
    <t>Omar</t>
  </si>
  <si>
    <t>Fluxy007@hotmail.com</t>
  </si>
  <si>
    <t>saresa</t>
  </si>
  <si>
    <t>saresa3012@gmail.com</t>
  </si>
  <si>
    <t>SAVITRI</t>
  </si>
  <si>
    <t>savitrimenon@yahoo.com</t>
  </si>
  <si>
    <t>Mohammed zulfiqar Ali Khan</t>
  </si>
  <si>
    <t>alizulfiquar65@gmail.com</t>
  </si>
  <si>
    <t>Amar Hussain</t>
  </si>
  <si>
    <t>amarhussain77@gmail.com</t>
  </si>
  <si>
    <t>Eman Salah</t>
  </si>
  <si>
    <t>eman_salah2@hotmail.com</t>
  </si>
  <si>
    <t>971505830043</t>
  </si>
  <si>
    <t>Biswajit Bala</t>
  </si>
  <si>
    <t>biswajitbala7@yahoo.com</t>
  </si>
  <si>
    <t>Romelio</t>
  </si>
  <si>
    <t>romelio6@gmail.com</t>
  </si>
  <si>
    <t>Jagrit</t>
  </si>
  <si>
    <t>jagrit19@gmail.com</t>
  </si>
  <si>
    <t>Manoj</t>
  </si>
  <si>
    <t>yesten71@gmail.com</t>
  </si>
  <si>
    <t>055-8345566</t>
  </si>
  <si>
    <t>Shafiq Lone</t>
  </si>
  <si>
    <t>shaflone@hotmail.com</t>
  </si>
  <si>
    <t>yousef saif saifullah</t>
  </si>
  <si>
    <t>yousefsaif1982@gmail.com</t>
  </si>
  <si>
    <t>MD SHAHID PERWEZ</t>
  </si>
  <si>
    <t>shahed@iliamedicalk.com</t>
  </si>
  <si>
    <t>Doudou</t>
  </si>
  <si>
    <t>Doudou321@gmail.com</t>
  </si>
  <si>
    <t>Rajesh</t>
  </si>
  <si>
    <t>Rajeshd5000@gmail.com</t>
  </si>
  <si>
    <t>Tahir lakhani</t>
  </si>
  <si>
    <t>tahairr6mn@yahoo.com</t>
  </si>
  <si>
    <t>Gaia Lucchini</t>
  </si>
  <si>
    <t>Gaja.lucchini@gmail.com</t>
  </si>
  <si>
    <t>971557915489</t>
  </si>
  <si>
    <t>Hashmat Khan</t>
  </si>
  <si>
    <t>satdubai2400@gmail.com</t>
  </si>
  <si>
    <t>Asim Ali</t>
  </si>
  <si>
    <t>Directtradinguk@aol.com</t>
  </si>
  <si>
    <t>Zubair Mohammed</t>
  </si>
  <si>
    <t>zubair_md@yahoo.com</t>
  </si>
  <si>
    <t>Talib Khan</t>
  </si>
  <si>
    <t>talibkhan@gmail.com</t>
  </si>
  <si>
    <t>Naser</t>
  </si>
  <si>
    <t>naser52@yahoo.com</t>
  </si>
  <si>
    <t>Balbir</t>
  </si>
  <si>
    <t>balbir745@gmail.com</t>
  </si>
  <si>
    <t>SURESH KUMAR VARIKKOTTIL</t>
  </si>
  <si>
    <t>suresh@carlogavazziarabia.com</t>
  </si>
  <si>
    <t>Irina Damac Cxm Amir</t>
  </si>
  <si>
    <t>amir11@gmail.com</t>
  </si>
  <si>
    <t>alfonso de stefano</t>
  </si>
  <si>
    <t>fondes73@hotmail.com</t>
  </si>
  <si>
    <t>971566890575</t>
  </si>
  <si>
    <t>Rajeash</t>
  </si>
  <si>
    <t>rajeash67@yahoo.com</t>
  </si>
  <si>
    <t>NAVNEET</t>
  </si>
  <si>
    <t>NAVNEET1282@GMAIL.COM</t>
  </si>
  <si>
    <t>munir</t>
  </si>
  <si>
    <t>munsr2@hotmail.com</t>
  </si>
  <si>
    <t>Saad</t>
  </si>
  <si>
    <t>sm_alahmed@hotmail.com</t>
  </si>
  <si>
    <t>Saleem uddin</t>
  </si>
  <si>
    <t>Faazuddin24@gmail.com</t>
  </si>
  <si>
    <t>Surat Sharma</t>
  </si>
  <si>
    <t>Suratsharma12@yahoo.com</t>
  </si>
  <si>
    <t>ahmad</t>
  </si>
  <si>
    <t>ahmaddecoration@hotmail.com</t>
  </si>
  <si>
    <t>vinod</t>
  </si>
  <si>
    <t>mr_vinodv@hotmail.com</t>
  </si>
  <si>
    <t>John Paul</t>
  </si>
  <si>
    <t>pauljx2000@yahoo.com</t>
  </si>
  <si>
    <t>Farhan</t>
  </si>
  <si>
    <t>drfarhan117@gmail.com</t>
  </si>
  <si>
    <t>Abdul khaliq</t>
  </si>
  <si>
    <t>abdulkhaliq9535@gmail.com</t>
  </si>
  <si>
    <t>Zakki</t>
  </si>
  <si>
    <t>Zakkionline@gmail.com</t>
  </si>
  <si>
    <t>Elyas Mridha</t>
  </si>
  <si>
    <t>mridhaelyas@gmail.com</t>
  </si>
  <si>
    <t>à¤›à¥‹à¤Ÿà¥‚ à¤°à¤¾à¤® à¤¸à¤¿à</t>
  </si>
  <si>
    <t>mdrajugee@gmail.com</t>
  </si>
  <si>
    <t>Jameel Khan</t>
  </si>
  <si>
    <t>kzamil631@gmail.com</t>
  </si>
  <si>
    <t>Shoukat Hussain</t>
  </si>
  <si>
    <t>shouukk@gmail.com</t>
  </si>
  <si>
    <t>Brajesh Jaiswal</t>
  </si>
  <si>
    <t>brajeshjaiswal5@gmail.com</t>
  </si>
  <si>
    <t>Raziuddin Khan</t>
  </si>
  <si>
    <t>raziuddink1234@gmail.com</t>
  </si>
  <si>
    <t>Hitihopiya Horomiyaa Jimaa</t>
  </si>
  <si>
    <t>ioper7268@gmail.com</t>
  </si>
  <si>
    <t>Sahana</t>
  </si>
  <si>
    <t>sahana625@gmail.com</t>
  </si>
  <si>
    <t>Abu Majid</t>
  </si>
  <si>
    <t>abumajid88@gmail.com</t>
  </si>
  <si>
    <t>Niaz Maseed</t>
  </si>
  <si>
    <t>niaz567@gmail.com</t>
  </si>
  <si>
    <t>riz</t>
  </si>
  <si>
    <t>rizmemon_313@yahoo.com</t>
  </si>
  <si>
    <t>Anwaruddin khan</t>
  </si>
  <si>
    <t>anwaruddinkhan.tonk@gmail.com</t>
  </si>
  <si>
    <t>Mohammed altaf kha</t>
  </si>
  <si>
    <t>Mohammedaltafkhan4u@gmail.com</t>
  </si>
  <si>
    <t>Chenna reddy</t>
  </si>
  <si>
    <t>Chenna1970@gmail.com</t>
  </si>
  <si>
    <t>Syed Ashraf</t>
  </si>
  <si>
    <t>ashraf@mustwa.com</t>
  </si>
  <si>
    <t>Vivek</t>
  </si>
  <si>
    <t>Vivek@abvsolutionsltd.com</t>
  </si>
  <si>
    <t>Shamas</t>
  </si>
  <si>
    <t>Shamaszafar121@gmail.com</t>
  </si>
  <si>
    <t>Amit shetty</t>
  </si>
  <si>
    <t>Amit.shetty@gmail.come</t>
  </si>
  <si>
    <t>Kamal Uddin</t>
  </si>
  <si>
    <t>kamaluddinnazrul@gmail.com</t>
  </si>
  <si>
    <t>Rajeev Kumar</t>
  </si>
  <si>
    <t>rajivbena@gmail.com</t>
  </si>
  <si>
    <t>Ashadul Molla</t>
  </si>
  <si>
    <t>mdashadul937@gmail.com</t>
  </si>
  <si>
    <t>ramdesh@rediffmail.com</t>
  </si>
  <si>
    <t>Aseid</t>
  </si>
  <si>
    <t>aseidmalik@walkerwise.co.uk</t>
  </si>
  <si>
    <t>Asghar Nawaz Khan</t>
  </si>
  <si>
    <t>asghararamco@yahoo.com</t>
  </si>
  <si>
    <t>George Mutuota</t>
  </si>
  <si>
    <t>gkmutuota@yahoo.com</t>
  </si>
  <si>
    <t>Shah saud</t>
  </si>
  <si>
    <t>Greatsaud@yahoo.com</t>
  </si>
  <si>
    <t>Koko Khan</t>
  </si>
  <si>
    <t>kokokhan012@hotmail.com</t>
  </si>
  <si>
    <t>Sameer Lateef</t>
  </si>
  <si>
    <t>sameer.lateef@hotmail.com</t>
  </si>
  <si>
    <t>rebak hamd</t>
  </si>
  <si>
    <t>rebak_hamd@gmail.com</t>
  </si>
  <si>
    <t>Sheikh Zubair</t>
  </si>
  <si>
    <t>mirajleatherint@gmail.com</t>
  </si>
  <si>
    <t>Rafik Bendas</t>
  </si>
  <si>
    <t>rafik@adcigroup.com</t>
  </si>
  <si>
    <t>Zishan Haider</t>
  </si>
  <si>
    <t>drzishanhaider@hotmail.com</t>
  </si>
  <si>
    <t>Sayyada shakira</t>
  </si>
  <si>
    <t>Sayyadashakira@gmail.com</t>
  </si>
  <si>
    <t>Boby</t>
  </si>
  <si>
    <t>joseph.boby@gmail.com</t>
  </si>
  <si>
    <t>CA Rahul Srivastava</t>
  </si>
  <si>
    <t>carahulsrivastava@gmail.com</t>
  </si>
  <si>
    <t>Amjad Hussain</t>
  </si>
  <si>
    <t>amjadh@aktcorp.com</t>
  </si>
  <si>
    <t>Sami seddiq</t>
  </si>
  <si>
    <t>s_seddiq@yahoo.com</t>
  </si>
  <si>
    <t>Raj</t>
  </si>
  <si>
    <t>nrreddy8@yahoo.co.in</t>
  </si>
  <si>
    <t>Pablo</t>
  </si>
  <si>
    <t>pablomxgp@hotmail.com</t>
  </si>
  <si>
    <t>Naveen Ranka</t>
  </si>
  <si>
    <t>rankanaveen29@gmail.com</t>
  </si>
  <si>
    <t>Julia mahe</t>
  </si>
  <si>
    <t>juliamahe007@gmail.com</t>
  </si>
  <si>
    <t>Suresh Singhvi</t>
  </si>
  <si>
    <t>sureshsinghvi@gmail.com</t>
  </si>
  <si>
    <t>ahmed samir</t>
  </si>
  <si>
    <t>asamirmoustafa@gmail.com</t>
  </si>
  <si>
    <t>sultan</t>
  </si>
  <si>
    <t>sultan012@gmail.com</t>
  </si>
  <si>
    <t>esam almuzaini</t>
  </si>
  <si>
    <t>esammuz@hotmail.com</t>
  </si>
  <si>
    <t>Simon</t>
  </si>
  <si>
    <t>Smcindxb@gmail.com</t>
  </si>
  <si>
    <t>Abdulla</t>
  </si>
  <si>
    <t>abdulla_alsamarrai@hotmail.com</t>
  </si>
  <si>
    <t>Yousuf</t>
  </si>
  <si>
    <t>yousuf336@gmail.com</t>
  </si>
  <si>
    <t>Sultan</t>
  </si>
  <si>
    <t>Suly_4_sum@hotmail.co.uk</t>
  </si>
  <si>
    <t>Mohamed</t>
  </si>
  <si>
    <t>almegbali@gmail.com</t>
  </si>
  <si>
    <t>Sahar altayeb</t>
  </si>
  <si>
    <t>saharaltayebalfaki@hotmail.com</t>
  </si>
  <si>
    <t>Ben</t>
  </si>
  <si>
    <t>Ben.e.mclean@dhl.com</t>
  </si>
  <si>
    <t>Milutin Stojanac</t>
  </si>
  <si>
    <t>stojanac.milutin018@gmail.com</t>
  </si>
  <si>
    <t>Upendar Yadav</t>
  </si>
  <si>
    <t>upendrayadav28143@gmail.com</t>
  </si>
  <si>
    <t>Karthik KN</t>
  </si>
  <si>
    <t>navakarthik0@gmail.com</t>
  </si>
  <si>
    <t>Forhad Ahamed</t>
  </si>
  <si>
    <t>farhanbaba2014@gmail.com</t>
  </si>
  <si>
    <t>Mohammed Josim</t>
  </si>
  <si>
    <t>mj6128407@gmail.com</t>
  </si>
  <si>
    <t>karl</t>
  </si>
  <si>
    <t>pen68@live.com</t>
  </si>
  <si>
    <t>DR . Shwetha Amin</t>
  </si>
  <si>
    <t>shwethaharii@gmail.com</t>
  </si>
  <si>
    <t>Abdullah Alhabib</t>
  </si>
  <si>
    <t>Hab695@gmail.com</t>
  </si>
  <si>
    <t>Pragna Vijay H.</t>
  </si>
  <si>
    <t>pragnavs@gmail.com</t>
  </si>
  <si>
    <t>Ibrahim</t>
  </si>
  <si>
    <t>ibrahimshaikh031@gmail.com</t>
  </si>
  <si>
    <t>Kenan Aljazairi</t>
  </si>
  <si>
    <t>kenanjaz@yahoo.com</t>
  </si>
  <si>
    <t>966504259611</t>
  </si>
  <si>
    <t>K S Priyan</t>
  </si>
  <si>
    <t>springs1139@gmail.com</t>
  </si>
  <si>
    <t>Jafor Ali</t>
  </si>
  <si>
    <t>jaforali4757@gmail.com</t>
  </si>
  <si>
    <t>Main Uddin</t>
  </si>
  <si>
    <t>mdmainuddin636@gmail.com</t>
  </si>
  <si>
    <t>Shaji Salahudeen</t>
  </si>
  <si>
    <t>shaji56@gmail.com</t>
  </si>
  <si>
    <t>Shatha Alghamdi</t>
  </si>
  <si>
    <t>coast2sand@hotmail.com</t>
  </si>
  <si>
    <t>96655175-1075</t>
  </si>
  <si>
    <t>TAM️️️</t>
  </si>
  <si>
    <t>tamalameri89@gmail.com</t>
  </si>
  <si>
    <t>97152849-4430</t>
  </si>
  <si>
    <t>Atif Osman</t>
  </si>
  <si>
    <t>atifosman2000@yahoo.com</t>
  </si>
  <si>
    <t>97156271-3611</t>
  </si>
  <si>
    <t>kaya</t>
  </si>
  <si>
    <t>xianzicuimc@gmail.com</t>
  </si>
  <si>
    <t>96654327-7392</t>
  </si>
  <si>
    <t>Thomas Keith</t>
  </si>
  <si>
    <t>keith42kt@aol.com</t>
  </si>
  <si>
    <t>703819-9005</t>
  </si>
  <si>
    <t>Ridwaan Jhetam</t>
  </si>
  <si>
    <t>rjhetam@gmail.com</t>
  </si>
  <si>
    <t>97156682-6258</t>
  </si>
  <si>
    <t>Ahmed khan</t>
  </si>
  <si>
    <t>raheemkhan77759@gmail.com</t>
  </si>
  <si>
    <t>57695-7310</t>
  </si>
  <si>
    <t>Ateeq R Mogal</t>
  </si>
  <si>
    <t>ateeqrmogal@yahoo.co.in</t>
  </si>
  <si>
    <t>96654422-4556</t>
  </si>
  <si>
    <t>Mariam</t>
  </si>
  <si>
    <t>Mariam99@gmail.com</t>
  </si>
  <si>
    <t>96659995-9017</t>
  </si>
  <si>
    <t>Mohamed Merad</t>
  </si>
  <si>
    <t>mmerad11@yahoo.com</t>
  </si>
  <si>
    <t>55752-7810</t>
  </si>
  <si>
    <t>ANR KRISHNAN</t>
  </si>
  <si>
    <t>anr5047@hotmail.com</t>
  </si>
  <si>
    <t>96650475-4033</t>
  </si>
  <si>
    <t>Denis D'Monte</t>
  </si>
  <si>
    <t>denis.dmonte1972@gmail.com</t>
  </si>
  <si>
    <t>888860-0041</t>
  </si>
  <si>
    <t>Munawar</t>
  </si>
  <si>
    <t>Mpasha@adnoc.ae</t>
  </si>
  <si>
    <t>97156911-9605</t>
  </si>
  <si>
    <t>Muhammad Hanif</t>
  </si>
  <si>
    <t>mhhanif@hotmail.com</t>
  </si>
  <si>
    <t>50624-6110</t>
  </si>
  <si>
    <t>ALI AL GHITTA</t>
  </si>
  <si>
    <t>alghitta@mailme.ae</t>
  </si>
  <si>
    <t>9733509-7203</t>
  </si>
  <si>
    <t>Altaf Abdull Khadar</t>
  </si>
  <si>
    <t>aak@aprecopower.com</t>
  </si>
  <si>
    <t>96655764-3336</t>
  </si>
  <si>
    <t>Ken alli</t>
  </si>
  <si>
    <t>Ken.alli512@gmail.com</t>
  </si>
  <si>
    <t>96650122-5188</t>
  </si>
  <si>
    <t>Ricardo Roda</t>
  </si>
  <si>
    <t>reykardoso@gmail.com</t>
  </si>
  <si>
    <t>96653391-2723</t>
  </si>
  <si>
    <t>nasim fakih</t>
  </si>
  <si>
    <t>firdos_faki@hotmail.com</t>
  </si>
  <si>
    <t>25470834-3282</t>
  </si>
  <si>
    <t>Samira</t>
  </si>
  <si>
    <t>Sam01charkaoui@gmail.com</t>
  </si>
  <si>
    <t>00050-5598</t>
  </si>
  <si>
    <t>Ageel fageehi</t>
  </si>
  <si>
    <t>Ageel0309@gmail.com</t>
  </si>
  <si>
    <t>96650316-7699</t>
  </si>
  <si>
    <t>Mohammed Imran Khan</t>
  </si>
  <si>
    <t>loginimran@gmail.com</t>
  </si>
  <si>
    <t>Sharifa alkatheeri</t>
  </si>
  <si>
    <t>bentad4ever@hotmail.com</t>
  </si>
  <si>
    <t>+971508755572</t>
  </si>
  <si>
    <t>Mehboob Mirza</t>
  </si>
  <si>
    <t>mehboob_mirza@msn.com</t>
  </si>
  <si>
    <t>+971501054626</t>
  </si>
  <si>
    <t>Mohammad Shams</t>
  </si>
  <si>
    <t>shams_jsr@yahoo.com</t>
  </si>
  <si>
    <t>+971502518799</t>
  </si>
  <si>
    <t>Rodmar Ylagan</t>
  </si>
  <si>
    <t>calixmarquiz25@gmail.com</t>
  </si>
  <si>
    <t>Ayaan</t>
  </si>
  <si>
    <t>ayaan74@gmail.com</t>
  </si>
  <si>
    <t>776022-5624</t>
  </si>
  <si>
    <t>Mir Roshan Ali</t>
  </si>
  <si>
    <t>rsnali73@yahoo.com</t>
  </si>
  <si>
    <t>97155996-6771</t>
  </si>
  <si>
    <t>Abusaad</t>
  </si>
  <si>
    <t>abusaad.050@gmail.com</t>
  </si>
  <si>
    <t>96650500-0000</t>
  </si>
  <si>
    <t>Jie jie Vergara</t>
  </si>
  <si>
    <t>vergara12@gmail.com</t>
  </si>
  <si>
    <t>96653800-0000</t>
  </si>
  <si>
    <t>shiras</t>
  </si>
  <si>
    <t>shiraazzy@gmail.com</t>
  </si>
  <si>
    <t>50228-8126</t>
  </si>
  <si>
    <t>Saad Al-Subaie</t>
  </si>
  <si>
    <t>saadz2010@hotmail.com</t>
  </si>
  <si>
    <t>abdullah7ayaz@gmail.coM</t>
  </si>
  <si>
    <t>00966501018753</t>
  </si>
  <si>
    <t>Kamel</t>
  </si>
  <si>
    <t>K@khelmi.com</t>
  </si>
  <si>
    <t>00966504912333</t>
  </si>
  <si>
    <t>Port De La Mer</t>
  </si>
  <si>
    <t>Al Loulou, Mousa</t>
  </si>
  <si>
    <t>sykon_llc@yahoo.com</t>
  </si>
  <si>
    <t>(+971) 561090900</t>
  </si>
  <si>
    <t>interested in 1-2 br</t>
  </si>
  <si>
    <t>Shahzad, Mohammad</t>
  </si>
  <si>
    <t>shahzad.gnit@gmail.com</t>
  </si>
  <si>
    <t>intereted to buy something after 3 months</t>
  </si>
  <si>
    <t>Ahmed, Imtyaz</t>
  </si>
  <si>
    <t>imtyaz.ahmed2010@gmail.com</t>
  </si>
  <si>
    <t>Bhatia, Vikram</t>
  </si>
  <si>
    <t>vikrambhatia50@gmail.com</t>
  </si>
  <si>
    <t>already in contact</t>
  </si>
  <si>
    <t>Singh, Rajinder</t>
  </si>
  <si>
    <t>rajindersingh071985@gmail.com</t>
  </si>
  <si>
    <t>Steinebach, Julia</t>
  </si>
  <si>
    <t>steinebach@berkano-invest.ru</t>
  </si>
  <si>
    <t>Alhemeiri, Ahmed</t>
  </si>
  <si>
    <t>amsu87@gmail.com</t>
  </si>
  <si>
    <t>interested in 1br investment not too expencive</t>
  </si>
  <si>
    <t>Imran, Rao imran</t>
  </si>
  <si>
    <t xml:space="preserve">	raoimran225@gmail.com
</t>
  </si>
  <si>
    <t>Fernandes, Clarence</t>
  </si>
  <si>
    <t>clarence.fernandes24@gmail.com</t>
  </si>
  <si>
    <t>Pascaline, Patric</t>
  </si>
  <si>
    <t>ppascaline@gmail.com</t>
  </si>
  <si>
    <t>88ِ0502700277, عبدالله</t>
  </si>
  <si>
    <t>bo3li2700@gmail.com</t>
  </si>
  <si>
    <t>Chawathe, Ketaki</t>
  </si>
  <si>
    <t>kchawathe@gmail.com</t>
  </si>
  <si>
    <t>dealing with someone from the company already</t>
  </si>
  <si>
    <t>Baig, Masood</t>
  </si>
  <si>
    <t>mabaig@hotmail.com</t>
  </si>
  <si>
    <t>3 br apartment in port de la mer</t>
  </si>
  <si>
    <t>Selymes-Stockdale, Eliasabeth</t>
  </si>
  <si>
    <t>selymes.stockdale@gmail.com</t>
  </si>
  <si>
    <t>(+36) 309366965</t>
  </si>
  <si>
    <t xml:space="preserve">10 th october in dubai </t>
  </si>
  <si>
    <t>Goode, Daniel</t>
  </si>
  <si>
    <t>danielsgoode@gmail.com</t>
  </si>
  <si>
    <t>(+971) 568361067</t>
  </si>
  <si>
    <t>Almulla, Jade</t>
  </si>
  <si>
    <t>jadealmulla@gmail.com</t>
  </si>
  <si>
    <t>(+971) 557771572</t>
  </si>
  <si>
    <t>Alnaqbi, Ali</t>
  </si>
  <si>
    <t>alimhmmmd@hotmail.com</t>
  </si>
  <si>
    <t>(+971) 503995303</t>
  </si>
  <si>
    <t>Poppeliers, Herman</t>
  </si>
  <si>
    <t>info@beringhem.com</t>
  </si>
  <si>
    <t>(+31) 653181129</t>
  </si>
  <si>
    <t>looking for VERY DISTRESS deals</t>
  </si>
  <si>
    <t>Kader, Naja</t>
  </si>
  <si>
    <t>naja_ak@hotmail.com</t>
  </si>
  <si>
    <t>(+971) 528996940</t>
  </si>
  <si>
    <t>McGlinchey, Adam</t>
  </si>
  <si>
    <t>adamgaelic@gmail.com</t>
  </si>
  <si>
    <t>(+44) 7476333042</t>
  </si>
  <si>
    <t>Tinwala, Husain Taher</t>
  </si>
  <si>
    <t>husaintinz@gmail.com</t>
  </si>
  <si>
    <t>Alshwaishi, Mohammad</t>
  </si>
  <si>
    <t>mo.f.sh@hotmail.com</t>
  </si>
  <si>
    <t>call at 5 pm</t>
  </si>
  <si>
    <t>Taha, Valia</t>
  </si>
  <si>
    <t>valiataha@hotmail.com</t>
  </si>
  <si>
    <t>Bagay, Jessica</t>
  </si>
  <si>
    <t>info@almosherrealestate.com</t>
  </si>
  <si>
    <t>Al hamed, Mohammed Abu baker</t>
  </si>
  <si>
    <t>alhamed.mohammed51@gmail.com</t>
  </si>
  <si>
    <t>(+971) 0506599388</t>
  </si>
  <si>
    <t>Al Zarouni, Tariq</t>
  </si>
  <si>
    <t>055 4604602</t>
  </si>
  <si>
    <t>r, rose</t>
  </si>
  <si>
    <t>Poddar, Sunil Poddar</t>
  </si>
  <si>
    <t>spoddar2101@gmail.com</t>
  </si>
  <si>
    <t>(+91) 7738660080</t>
  </si>
  <si>
    <t>Tayob, Firdous</t>
  </si>
  <si>
    <t>firdoustayob@icloud.com</t>
  </si>
  <si>
    <t>(+971) 582619693</t>
  </si>
  <si>
    <t>Sultan, Shiraz</t>
  </si>
  <si>
    <t>shiraz@prudentpropertyinvestments.com</t>
  </si>
  <si>
    <t>(+44) 7393352773</t>
  </si>
  <si>
    <t>Schimmel, Arjan</t>
  </si>
  <si>
    <t>arjan.schimmel@gmail.com</t>
  </si>
  <si>
    <t>(+971) 564146680</t>
  </si>
  <si>
    <t>daqqa, mohamed</t>
  </si>
  <si>
    <t>mohdabudagga@gmail.com</t>
  </si>
  <si>
    <t>(+971) 0505717929</t>
  </si>
  <si>
    <t>Saeed, Mezna</t>
  </si>
  <si>
    <t>050 4585327</t>
  </si>
  <si>
    <t>Pradeep, Tulika</t>
  </si>
  <si>
    <t>tulikap07@gmail.com</t>
  </si>
  <si>
    <t>(+971) 554703157</t>
  </si>
  <si>
    <t>Hamad, Ghassan</t>
  </si>
  <si>
    <t>al_andalus_c@hotmail.com</t>
  </si>
  <si>
    <t>(+962) 0799411199</t>
  </si>
  <si>
    <t>Christian, Richard</t>
  </si>
  <si>
    <t>richard.christian@m3k.com.au</t>
  </si>
  <si>
    <t>(+61) 0455044144</t>
  </si>
  <si>
    <t>Almashrea, Khawla</t>
  </si>
  <si>
    <t>khawla.almashrea@gmail.com</t>
  </si>
  <si>
    <t>(+971) 0561466675</t>
  </si>
  <si>
    <t>call 4.30pm</t>
  </si>
  <si>
    <t>Rosales-Cocks, Lloyd</t>
  </si>
  <si>
    <t>eljay00@gmail.com</t>
  </si>
  <si>
    <t>(+971) 501007423</t>
  </si>
  <si>
    <t>Morozov, Grigoriy</t>
  </si>
  <si>
    <t>grisha_moroz24@bk.ru</t>
  </si>
  <si>
    <t>(+7) 9684394949</t>
  </si>
  <si>
    <t>Al Qaisst, Omer</t>
  </si>
  <si>
    <t>omarqaissy@gmail.com</t>
  </si>
  <si>
    <t>(+971) 502610039</t>
  </si>
  <si>
    <t>5 min</t>
  </si>
  <si>
    <t>Alobaid, Mohammed</t>
  </si>
  <si>
    <t>alobaidms@hotmail.com</t>
  </si>
  <si>
    <t>(+966) 564444456</t>
  </si>
  <si>
    <t>La Macchia, Michele</t>
  </si>
  <si>
    <t>servizidimpresa@gmail.com</t>
  </si>
  <si>
    <t>Khassenov, Malik</t>
  </si>
  <si>
    <t>khassenov.malik@gmail.com</t>
  </si>
  <si>
    <t>abdullah, Adham</t>
  </si>
  <si>
    <t>aatlh@hotmail.com</t>
  </si>
  <si>
    <t>Sheikholeslami, Arash</t>
  </si>
  <si>
    <t>arash_991@yahoo.com</t>
  </si>
  <si>
    <t>Al Saadi, Mohammed</t>
  </si>
  <si>
    <t>mohammadsaadi@ymail.com</t>
  </si>
  <si>
    <t>Alexander, Ashwin</t>
  </si>
  <si>
    <t>ashwindxb@yahoo.com</t>
  </si>
  <si>
    <t>(050) 455-8184</t>
  </si>
  <si>
    <t>Kazim, Fahim</t>
  </si>
  <si>
    <t>fkmr8dub@eim.ae</t>
  </si>
  <si>
    <t>Hassan, Othman</t>
  </si>
  <si>
    <t>othmannba2000@gmail.com</t>
  </si>
  <si>
    <t>Gadeyne, Dries</t>
  </si>
  <si>
    <t>driesgadeyne@googlemail.com</t>
  </si>
  <si>
    <t>call evening</t>
  </si>
  <si>
    <t>Nasser, Mohamme</t>
  </si>
  <si>
    <t>md.o.nasser@gmail.com</t>
  </si>
  <si>
    <t>Gadriwala, Huzefa</t>
  </si>
  <si>
    <t>huzefa.gadriwala@gmail.com</t>
  </si>
  <si>
    <t>Desai, Sharma</t>
  </si>
  <si>
    <t>shardasharma18@gmail.com</t>
  </si>
  <si>
    <t>call 1st october</t>
  </si>
  <si>
    <t>صالح, أحمد</t>
  </si>
  <si>
    <t>aalgamddi@gmail.com</t>
  </si>
  <si>
    <t>Kalra, Virat</t>
  </si>
  <si>
    <t>millstoreindia@gmail.com</t>
  </si>
  <si>
    <t>(+91) 9911669033</t>
  </si>
  <si>
    <t xml:space="preserve">1st december in Dubai, villas, </t>
  </si>
  <si>
    <t>Patel, Nirav</t>
  </si>
  <si>
    <t>osrnirav1988@gmail.com</t>
  </si>
  <si>
    <t>Aggarwal, Vikram</t>
  </si>
  <si>
    <t>vikram1861@gmail.com</t>
  </si>
  <si>
    <t>Muhammad, Farooq</t>
  </si>
  <si>
    <t>Mabin, Mathew</t>
  </si>
  <si>
    <t>mathew.mabin@gmail.com</t>
  </si>
  <si>
    <t>call 1st october morning</t>
  </si>
  <si>
    <t>Alali, Abdulla</t>
  </si>
  <si>
    <t>alali_abdulla@hotmail.com</t>
  </si>
  <si>
    <t>Rana, Suhail</t>
  </si>
  <si>
    <t>suhailrana@outlook.com</t>
  </si>
  <si>
    <t>Al-hassan, Nader</t>
  </si>
  <si>
    <t>halawt0016@gmail.com</t>
  </si>
  <si>
    <t>Khan, Quat</t>
  </si>
  <si>
    <t>quatkhan71@gmail.com</t>
  </si>
  <si>
    <t>Kumar, Niraj</t>
  </si>
  <si>
    <t>kumarniraj89@gmail.com</t>
  </si>
  <si>
    <t>Abuamer, Lina</t>
  </si>
  <si>
    <t>abuamerlina@gmail.com</t>
  </si>
  <si>
    <t>sekhar, mohan</t>
  </si>
  <si>
    <t>sekhar@disidubai.com</t>
  </si>
  <si>
    <t>(+971) 506536997</t>
  </si>
  <si>
    <t>Saxena, Viresh</t>
  </si>
  <si>
    <t>viresh.saxena@honeywell.com</t>
  </si>
  <si>
    <t>Malak, Shehbaz</t>
  </si>
  <si>
    <t>shehbazmalak0@gmail.com</t>
  </si>
  <si>
    <t>roy, raj</t>
  </si>
  <si>
    <t>dbaraj@gmail.com</t>
  </si>
  <si>
    <t>A, Alexandr</t>
  </si>
  <si>
    <t>alex-868@mail.ru</t>
  </si>
  <si>
    <t>contact second week of october</t>
  </si>
  <si>
    <t>Saleem, Muhammad</t>
  </si>
  <si>
    <t>muhammad.saleem4mss@gmail.com</t>
  </si>
  <si>
    <t>Sorathia, Naved</t>
  </si>
  <si>
    <t>naved_sorathia@hotmail.com</t>
  </si>
  <si>
    <t>Hassan, Nadia</t>
  </si>
  <si>
    <t>nadia.s.hassan1@gmail.com</t>
  </si>
  <si>
    <t>Alsarraf, Ammar</t>
  </si>
  <si>
    <t>mech_engineer03@hotmail.com</t>
  </si>
  <si>
    <t>1br/ 3 br villa in la mer</t>
  </si>
  <si>
    <t>Mulani, Kumar</t>
  </si>
  <si>
    <t>kumarbmulani@gmail.com</t>
  </si>
  <si>
    <t>Ahmad, Mohammad</t>
  </si>
  <si>
    <t>wwww@gmail.com</t>
  </si>
  <si>
    <t>(056) 600-3339</t>
  </si>
  <si>
    <t>Kalangi, Uday</t>
  </si>
  <si>
    <t>issacuday@gmail.com</t>
  </si>
  <si>
    <t>971 555861245</t>
  </si>
  <si>
    <t>Bailey, Marcus</t>
  </si>
  <si>
    <t>baileymarcus@hotmail.com</t>
  </si>
  <si>
    <t>Almheiri, Khalid</t>
  </si>
  <si>
    <t>k.almehairi@live.com</t>
  </si>
  <si>
    <t>Alfalahi, Zayed</t>
  </si>
  <si>
    <t>m8ad@hotmail.com</t>
  </si>
  <si>
    <t>Abdullah, Mohamed</t>
  </si>
  <si>
    <t>mohamed@bulahejgroup.com</t>
  </si>
  <si>
    <t>Ahmed, Ibrar</t>
  </si>
  <si>
    <t>ibrarahmed2022@yahoo.com</t>
  </si>
  <si>
    <t>Wish, Mahi</t>
  </si>
  <si>
    <t>mahiwish4@gmail.com</t>
  </si>
  <si>
    <t>Orozco, Enrique</t>
  </si>
  <si>
    <t>enor49@hotmail.com</t>
  </si>
  <si>
    <t>Alkhechen, Yara</t>
  </si>
  <si>
    <t>yara_kheshen@outlook.com</t>
  </si>
  <si>
    <t>Bhojani, Sajjad</t>
  </si>
  <si>
    <t>mohammad.bhojani@azadea.com</t>
  </si>
  <si>
    <t>Ali, Fatma</t>
  </si>
  <si>
    <t>itsfasx2@gmail.com</t>
  </si>
  <si>
    <t>not intereswted</t>
  </si>
  <si>
    <t>Elitaoui, Bahaa</t>
  </si>
  <si>
    <t>bahaa.itaoui@hotmail.com</t>
  </si>
  <si>
    <t>Alkhaja, Reef</t>
  </si>
  <si>
    <t>reef.khaja@gmail.com</t>
  </si>
  <si>
    <t>elsisi, hussein</t>
  </si>
  <si>
    <t>helsisi68@hotmail.com</t>
  </si>
  <si>
    <t>Tabbaa, Anas</t>
  </si>
  <si>
    <t>a_t83@hotmail.com</t>
  </si>
  <si>
    <t>Momani, Kefah</t>
  </si>
  <si>
    <t>kefah.bc@gmail.com</t>
  </si>
  <si>
    <t>Magnawa, Pamela</t>
  </si>
  <si>
    <t>andreifulls072686@gmail.com</t>
  </si>
  <si>
    <t>no money</t>
  </si>
  <si>
    <t>Mathew, Lal</t>
  </si>
  <si>
    <t>lalmv@hotmail.com</t>
  </si>
  <si>
    <t>Alali, Capt. Khalid</t>
  </si>
  <si>
    <t>alali_khaled@hotmail.com</t>
  </si>
  <si>
    <t>Ali, Rania</t>
  </si>
  <si>
    <t>nomail@mail.com</t>
  </si>
  <si>
    <t>(056) 947-9600</t>
  </si>
  <si>
    <t>habib, khusro</t>
  </si>
  <si>
    <t>khusro_habib@yahoo.com</t>
  </si>
  <si>
    <t>Hettwer, Karl</t>
  </si>
  <si>
    <t>hettwer-duisburg1@freenet.de</t>
  </si>
  <si>
    <t>(+49) 01722424359</t>
  </si>
  <si>
    <t>Ghanem, Omar</t>
  </si>
  <si>
    <t>omarahmed2248@yahoo.com</t>
  </si>
  <si>
    <t>Sayar, Ali</t>
  </si>
  <si>
    <t>lamborghini2015@hotmail.com</t>
  </si>
  <si>
    <t>Alhashmi, Fatima</t>
  </si>
  <si>
    <t>bntzayed2004@hotmail.com</t>
  </si>
  <si>
    <t>Alattas, Abdulla</t>
  </si>
  <si>
    <t>aa1821@gmail.com</t>
  </si>
  <si>
    <t>Hakeem, Mazen</t>
  </si>
  <si>
    <t>mthakeem@outlook.com</t>
  </si>
  <si>
    <t xml:space="preserve">interested in 2br </t>
  </si>
  <si>
    <t>Gillani, Qaiser</t>
  </si>
  <si>
    <t>gillaniqaiser@gmail.com</t>
  </si>
  <si>
    <t>meet with him in january when he comes to dubai, 2br south beach</t>
  </si>
  <si>
    <t>Babovic, Tara</t>
  </si>
  <si>
    <t>babovic_t@thebusinessyear.com</t>
  </si>
  <si>
    <t>A, Ayesha</t>
  </si>
  <si>
    <t>Y, Yitayaln</t>
  </si>
  <si>
    <t>ytmesfin20@gmail.com</t>
  </si>
  <si>
    <t>Mystery shopper by Meraas</t>
  </si>
  <si>
    <t>Frontini, Andrea</t>
  </si>
  <si>
    <t>lfrontini@yahoo.it</t>
  </si>
  <si>
    <t>1br in la voile with better deal</t>
  </si>
  <si>
    <t>Sud, Raju</t>
  </si>
  <si>
    <t>rajusud@indman.com</t>
  </si>
  <si>
    <t>Al Sheishakly, Mousaied</t>
  </si>
  <si>
    <t>aftab@usa.com</t>
  </si>
  <si>
    <t>call back 3-4</t>
  </si>
  <si>
    <t>Pulatova, Dilnoza</t>
  </si>
  <si>
    <t>pulatovadilnoza3@gmail.com</t>
  </si>
  <si>
    <t>(+971) 505931551</t>
  </si>
  <si>
    <t>Barot, Bhav</t>
  </si>
  <si>
    <t>bbarot@icloud.com</t>
  </si>
  <si>
    <t>(+971) 521212814</t>
  </si>
  <si>
    <t>Aoun, Ahmad</t>
  </si>
  <si>
    <t>ahmad.aoun@me.knightfrank.com</t>
  </si>
  <si>
    <t>AlSuwaidi, Layla</t>
  </si>
  <si>
    <t>layla.alsuwaidi@gmail.com</t>
  </si>
  <si>
    <t>Hussain, Murtada</t>
  </si>
  <si>
    <t>m11157@live.com</t>
  </si>
  <si>
    <t>(+971) 504452808</t>
  </si>
  <si>
    <t>Khazzoum, Johnny</t>
  </si>
  <si>
    <t>johnnykhazzoum@gmail.com</t>
  </si>
  <si>
    <t>(+971) 0555569911</t>
  </si>
  <si>
    <t>Al Dahman, Abdul Rahman</t>
  </si>
  <si>
    <t>activetrans@hotmail.com</t>
  </si>
  <si>
    <t>(+971) 567347663</t>
  </si>
  <si>
    <t>Patsanza, Nigel</t>
  </si>
  <si>
    <t>nigelpatsanza@yahoo.com</t>
  </si>
  <si>
    <t>(+263) 777111225</t>
  </si>
  <si>
    <t>coming to dubai in mid november, 1br, south beach</t>
  </si>
  <si>
    <t>Stojanovic, Nemo</t>
  </si>
  <si>
    <t>nexdurex@yahoo.com</t>
  </si>
  <si>
    <t>(+971) 563209909</t>
  </si>
  <si>
    <t>Quezada, Nelson</t>
  </si>
  <si>
    <t>nelsonquezada@hotmail.cl</t>
  </si>
  <si>
    <t>(+56) 964736750</t>
  </si>
  <si>
    <t>Patterson, Dareen</t>
  </si>
  <si>
    <t>darren.patterson@propertyconnect.com</t>
  </si>
  <si>
    <t>+61 427 534 959</t>
  </si>
  <si>
    <t>Kotthuri, Shyam</t>
  </si>
  <si>
    <t>kotthuri@gmail.com</t>
  </si>
  <si>
    <t>(+971) 0529132323</t>
  </si>
  <si>
    <t>El Housseiny, Johanna</t>
  </si>
  <si>
    <t>johanna@applause.ae</t>
  </si>
  <si>
    <t>(+971) 509009795</t>
  </si>
  <si>
    <t>in contact with another person from meraas</t>
  </si>
  <si>
    <t>Krechiem, Karima</t>
  </si>
  <si>
    <t>karima@keen-knowledge.com</t>
  </si>
  <si>
    <t>(+971) 056 158 20 12</t>
  </si>
  <si>
    <t>Gurnani, Anoop</t>
  </si>
  <si>
    <t>agurnani@gmail.com</t>
  </si>
  <si>
    <t>(+971) 555388903</t>
  </si>
  <si>
    <t>Shemeer, Mohammed</t>
  </si>
  <si>
    <t>mohammedshemeerkhan@gmail.com</t>
  </si>
  <si>
    <t>+971559161149</t>
  </si>
  <si>
    <t>Clayson, Nick</t>
  </si>
  <si>
    <t>nick.clayson@nortonrose.com</t>
  </si>
  <si>
    <t>(+44) 7841423112</t>
  </si>
  <si>
    <t>Alsuwaidi, Tariq</t>
  </si>
  <si>
    <t>tariq5622@hotmail.com</t>
  </si>
  <si>
    <t>(+971) 506338833</t>
  </si>
  <si>
    <t>alnowaiser, mazen</t>
  </si>
  <si>
    <t>mz2001mz@hotmail.com</t>
  </si>
  <si>
    <t>(+966) 0505627800</t>
  </si>
  <si>
    <t>Bashir, Ahmed</t>
  </si>
  <si>
    <t>ahmed_bashir@live.com</t>
  </si>
  <si>
    <t>(+971) 508555029</t>
  </si>
  <si>
    <t>gulzar, gracia</t>
  </si>
  <si>
    <t>graciagulzar@hotmail.com</t>
  </si>
  <si>
    <t>(+971) 505744135</t>
  </si>
  <si>
    <t>Khelifi, Mourad</t>
  </si>
  <si>
    <t>mourad_khelifi@baxter.com</t>
  </si>
  <si>
    <t>(+971) 506529756</t>
  </si>
  <si>
    <t>Golchin, Ahmad</t>
  </si>
  <si>
    <t>golchin@pharsfilm.com</t>
  </si>
  <si>
    <t>Alzaabi, Ali</t>
  </si>
  <si>
    <t>k.1o@live.com</t>
  </si>
  <si>
    <t>(050) 861-5575</t>
  </si>
  <si>
    <t>AlMukhaizeem, Mona</t>
  </si>
  <si>
    <t>mona@sirdab-lab.com</t>
  </si>
  <si>
    <t>(+965) 99600045</t>
  </si>
  <si>
    <t>Rodriguez Dovale, Antonio</t>
  </si>
  <si>
    <t>toni.rodriguez.dovale@hotmail.com</t>
  </si>
  <si>
    <t>(+34) 661923016</t>
  </si>
  <si>
    <t>Mashoonya, Maria</t>
  </si>
  <si>
    <t>maria@mashoonya.com</t>
  </si>
  <si>
    <t>(+971) 525597076</t>
  </si>
  <si>
    <t>Nowak, Daniel</t>
  </si>
  <si>
    <t>daniel@nowak.ae</t>
  </si>
  <si>
    <t>058507222</t>
  </si>
  <si>
    <t>Merbah, Nassim</t>
  </si>
  <si>
    <t>nassim.ah.merbah@gmail.com</t>
  </si>
  <si>
    <t>(+974) 33019054</t>
  </si>
  <si>
    <t>Salem, Mohammed</t>
  </si>
  <si>
    <t>smh4806888@hotmail.com</t>
  </si>
  <si>
    <t>(050) 480-6888</t>
  </si>
  <si>
    <t>interested in april/may</t>
  </si>
  <si>
    <t>Tyeb, Ali</t>
  </si>
  <si>
    <t>atyebkhan@gmail.com</t>
  </si>
  <si>
    <t>interested end of the month</t>
  </si>
  <si>
    <t>Tomaszewski, Marek</t>
  </si>
  <si>
    <t>marektoms@gmail.com</t>
  </si>
  <si>
    <t>Shekhar, Chandar</t>
  </si>
  <si>
    <t>drshekhar.jadhav@yahoo.com</t>
  </si>
  <si>
    <t>Aggarwal, Alok</t>
  </si>
  <si>
    <t>alok@kwalitydevelopers.com</t>
  </si>
  <si>
    <t>Alhourany, Tawfik</t>
  </si>
  <si>
    <t>Y, Yash</t>
  </si>
  <si>
    <t>Haski, Olivier</t>
  </si>
  <si>
    <t>olivier.haski@yahoo.fr</t>
  </si>
  <si>
    <t>ADAIRE</t>
  </si>
  <si>
    <t>ben salah Billal</t>
  </si>
  <si>
    <t>bilalbs92@hotmail.com</t>
  </si>
  <si>
    <t>Sam, Nazim</t>
  </si>
  <si>
    <t>manelconstruction5@gmail.com</t>
  </si>
  <si>
    <t>Encanto, Warlon</t>
  </si>
  <si>
    <t>coronel.warlon27@gmail.com</t>
  </si>
  <si>
    <t>EMAIL ONLY</t>
  </si>
  <si>
    <t>tapp, isabel</t>
  </si>
  <si>
    <t>isabeltapp@alldetails.net</t>
  </si>
  <si>
    <t>Bushirin, Muna</t>
  </si>
  <si>
    <t>Salah, Saif</t>
  </si>
  <si>
    <t>saif@orientdesertrealestate.com</t>
  </si>
  <si>
    <t>wrong nnumber</t>
  </si>
  <si>
    <t>Muhammad, Hafiz</t>
  </si>
  <si>
    <t>Alday, Monica</t>
  </si>
  <si>
    <t>Jamil, Khawar</t>
  </si>
  <si>
    <t>Almalek, Naama</t>
  </si>
  <si>
    <t>Sewani, Ravi</t>
  </si>
  <si>
    <t>Sahu, Dhaneshwar Kumar</t>
  </si>
  <si>
    <t>sdhanesh97@gmail.com</t>
  </si>
  <si>
    <t>r, raphael</t>
  </si>
  <si>
    <t>call 6th october</t>
  </si>
  <si>
    <t>Kaushalya, Shehan</t>
  </si>
  <si>
    <t>kaushalya422@gmail.com</t>
  </si>
  <si>
    <t>(+94) 055438234</t>
  </si>
  <si>
    <t>Kumar, Ramesh</t>
  </si>
  <si>
    <t>ramesh@lincdubai.com</t>
  </si>
  <si>
    <t>(+971) 504537458</t>
  </si>
  <si>
    <t>Alegre, Rui</t>
  </si>
  <si>
    <t>rui.alegre@cale.pt</t>
  </si>
  <si>
    <t>(+971) 564808252</t>
  </si>
  <si>
    <t>Sa, Mona</t>
  </si>
  <si>
    <t>sadoun1@hotmail.com</t>
  </si>
  <si>
    <t>(+971) 0503820398</t>
  </si>
  <si>
    <t>Houari, Samir</t>
  </si>
  <si>
    <t>h.samir01@gmail.com</t>
  </si>
  <si>
    <t>(+971) 0521157000</t>
  </si>
  <si>
    <t>not interseted</t>
  </si>
  <si>
    <t>Bin karam, Saif</t>
  </si>
  <si>
    <t>saifbinkaram600@gmail.com</t>
  </si>
  <si>
    <t>(+971) 00971501735000</t>
  </si>
  <si>
    <t>Smith, Adrian</t>
  </si>
  <si>
    <t>adriangsmith@sky.com</t>
  </si>
  <si>
    <t>Kababji, Teodora</t>
  </si>
  <si>
    <t>teodorakababji@hotmail.con</t>
  </si>
  <si>
    <t>Bozic, Dario</t>
  </si>
  <si>
    <t>dariouae@gmail.com</t>
  </si>
  <si>
    <t>Idrissova, Nailya</t>
  </si>
  <si>
    <t>nailya.idrissova@gmail.com</t>
  </si>
  <si>
    <t>Sharma, Priyanka</t>
  </si>
  <si>
    <t>priyanka.priya07@gmail.com</t>
  </si>
  <si>
    <t>Lapietra, Laurent</t>
  </si>
  <si>
    <t>laurent@algt-me.com</t>
  </si>
  <si>
    <t>Tan, Ryan</t>
  </si>
  <si>
    <t>ryantanzikai@gmail.com</t>
  </si>
  <si>
    <t>Alblooshi, Khalfan</t>
  </si>
  <si>
    <t>khalfan_salem@hotmail.com</t>
  </si>
  <si>
    <t>Seimanidis, Lambrini</t>
  </si>
  <si>
    <t>lambrinilitsa@gmail.com</t>
  </si>
  <si>
    <t>Efendiev, Mustafa</t>
  </si>
  <si>
    <t>mustafaefendiev@icloud.com</t>
  </si>
  <si>
    <t xml:space="preserve">already bought </t>
  </si>
  <si>
    <t>Nazeerkhan, Bilal</t>
  </si>
  <si>
    <t>bilal.tengree@gmail.com</t>
  </si>
  <si>
    <t>Naddour, Issa</t>
  </si>
  <si>
    <t>issanaddour@yahoo.com</t>
  </si>
  <si>
    <t>Fatima, Fatima</t>
  </si>
  <si>
    <t>ENRIQUE BOFILL, JOSE</t>
  </si>
  <si>
    <t>jebofm@gmail.com</t>
  </si>
  <si>
    <t>Abdellatif, Eman</t>
  </si>
  <si>
    <t>eman.abdellatif@network.global</t>
  </si>
  <si>
    <t>971 56 818 5547</t>
  </si>
  <si>
    <t>Ali Sultan, Mohammed</t>
  </si>
  <si>
    <t>mohamed@wjtowell.com</t>
  </si>
  <si>
    <t>Hamdan, Ahmed</t>
  </si>
  <si>
    <t>theghost.ae@gmail.com</t>
  </si>
  <si>
    <t>Albaddad, Wafa H.</t>
  </si>
  <si>
    <t>moath.mkk@gmail.com</t>
  </si>
  <si>
    <t>Haridas, Harry</t>
  </si>
  <si>
    <t>harryneh@hotmail.com</t>
  </si>
  <si>
    <t>majeed, obaid</t>
  </si>
  <si>
    <t>ubaidmajeed477@gmail.com</t>
  </si>
  <si>
    <t>D KAR, D KAR</t>
  </si>
  <si>
    <t>adeo101@yahoo.co.uk</t>
  </si>
  <si>
    <t>khan, Rayees</t>
  </si>
  <si>
    <t>rayeeskhan@live.com</t>
  </si>
  <si>
    <t>wnats to buy directly from Meraas</t>
  </si>
  <si>
    <t>Bashir, Zubair</t>
  </si>
  <si>
    <t>zubair.asia.2017@gmail.com</t>
  </si>
  <si>
    <t>Emam, Aya</t>
  </si>
  <si>
    <t>ayawael@hotmail.com</t>
  </si>
  <si>
    <t>call back at 6pm</t>
  </si>
  <si>
    <t>Alyammahi, Mohamed</t>
  </si>
  <si>
    <t>4smile@live.com</t>
  </si>
  <si>
    <t>al seyam, abdel aziz</t>
  </si>
  <si>
    <t>a.sefyan4@gmail.com</t>
  </si>
  <si>
    <t>Salama, Rasha</t>
  </si>
  <si>
    <t>rashasalama77@gmail.com</t>
  </si>
  <si>
    <t xml:space="preserve">not interested </t>
  </si>
  <si>
    <t>AL-Sulaim, Kefah</t>
  </si>
  <si>
    <t>kef-sulaim@hotmail.com</t>
  </si>
  <si>
    <t>8.6.2019</t>
  </si>
  <si>
    <t>Omar omar</t>
  </si>
  <si>
    <t>Omarals@hotmail.com</t>
  </si>
  <si>
    <t>JBR 1</t>
  </si>
  <si>
    <t>Nicola</t>
  </si>
  <si>
    <t>3464939-7993</t>
  </si>
  <si>
    <t>Muhammed shakir</t>
  </si>
  <si>
    <t xml:space="preserve"> mshakir167@gmail.com</t>
  </si>
  <si>
    <t>00971509495970</t>
  </si>
  <si>
    <t>1 JBR 3 DP</t>
  </si>
  <si>
    <t>Zulfiqar Ahmed</t>
  </si>
  <si>
    <t>Email: zayousfani@hotmail.com</t>
  </si>
  <si>
    <t>Phone: 00923458888788</t>
  </si>
  <si>
    <t>8.7.2019</t>
  </si>
  <si>
    <t>Hany Hammad</t>
  </si>
  <si>
    <t>Hanyhammad@hotmail.com</t>
  </si>
  <si>
    <t>+20100116912</t>
  </si>
  <si>
    <t xml:space="preserve"> 1 JBR DP</t>
  </si>
  <si>
    <t>Gary</t>
  </si>
  <si>
    <t>Ghahuja@hotmail.com</t>
  </si>
  <si>
    <t>+14166170760</t>
  </si>
  <si>
    <t>Michele</t>
  </si>
  <si>
    <t>atlantahair@hotmail.com</t>
  </si>
  <si>
    <t>+16477733841</t>
  </si>
  <si>
    <t>Rocco A. Panza</t>
  </si>
  <si>
    <t>rpanza@mercurywood.com</t>
  </si>
  <si>
    <t>+14166787626</t>
  </si>
  <si>
    <t>FIRZOK ATTAULLAH</t>
  </si>
  <si>
    <t>firzok@yahoo.com</t>
  </si>
  <si>
    <t>00923002029838</t>
  </si>
  <si>
    <t>8.8.19</t>
  </si>
  <si>
    <t>кнalid</t>
  </si>
  <si>
    <t>Khalidam999@icloud.com</t>
  </si>
  <si>
    <t>+971564434333</t>
  </si>
  <si>
    <t>Ahmed 237</t>
  </si>
  <si>
    <t>ahmed458732@hotmail.com</t>
  </si>
  <si>
    <t>+971 50 580 8929</t>
  </si>
  <si>
    <t>Mohamed Badr</t>
  </si>
  <si>
    <t>Egoxygen@yahoo.com</t>
  </si>
  <si>
    <t>+201222157632</t>
  </si>
  <si>
    <t>Kaleigh Sauer</t>
  </si>
  <si>
    <t>wilfred.stracke33@yatdew.com</t>
  </si>
  <si>
    <t>+447700900780</t>
  </si>
  <si>
    <t>Adnan Adam</t>
  </si>
  <si>
    <t xml:space="preserve"> AdnanAdam@ymail.com</t>
  </si>
  <si>
    <t>00971565025472</t>
  </si>
  <si>
    <t xml:space="preserve"> Ines</t>
  </si>
  <si>
    <t>enas_ek@yahoo.com</t>
  </si>
  <si>
    <t>+971507154780</t>
  </si>
  <si>
    <t>8.13.19</t>
  </si>
  <si>
    <t>Ikhlaq Sarwar</t>
  </si>
  <si>
    <t>Ikki_sarwar@hotmail.com</t>
  </si>
  <si>
    <t>00447753187860</t>
  </si>
  <si>
    <t>Ify Obaze</t>
  </si>
  <si>
    <t>ifyobaze@yahoo.com</t>
  </si>
  <si>
    <t>+447469883220</t>
  </si>
  <si>
    <t>8.13.2019</t>
  </si>
  <si>
    <t xml:space="preserve"> Khaled Alabdullatif</t>
  </si>
  <si>
    <t xml:space="preserve"> abdellatif.k.f@gmail.com</t>
  </si>
  <si>
    <t>+971563936617</t>
  </si>
  <si>
    <t>1 JBR</t>
  </si>
  <si>
    <t>Soniya K</t>
  </si>
  <si>
    <t>info@sprocketscience.net</t>
  </si>
  <si>
    <t xml:space="preserve"> 0506254759</t>
  </si>
  <si>
    <t xml:space="preserve"> 1 JBR</t>
  </si>
  <si>
    <t>Dubai</t>
  </si>
  <si>
    <t>0566035131</t>
  </si>
  <si>
    <t>Sinead Winston</t>
  </si>
  <si>
    <t>Sineadwinston@yahoo.com</t>
  </si>
  <si>
    <t>00971559802465</t>
  </si>
  <si>
    <t>Og</t>
  </si>
  <si>
    <t>Oghoghomanuwa@yahoo.com</t>
  </si>
  <si>
    <t>+14036905210</t>
  </si>
  <si>
    <t xml:space="preserve">1 JBR </t>
  </si>
  <si>
    <t>Semiu osunbiyi</t>
  </si>
  <si>
    <t>s.osunbiyi@gmail.com</t>
  </si>
  <si>
    <t>+14379918538</t>
  </si>
  <si>
    <t>Khaled Alabdullatif</t>
  </si>
  <si>
    <t>abdellatif.k.f@gmail.com</t>
  </si>
  <si>
    <t>Ali Ali</t>
  </si>
  <si>
    <t>Ali@bluerockjobs.co.uk</t>
  </si>
  <si>
    <t>+447890285870</t>
  </si>
  <si>
    <t>Khalid</t>
  </si>
  <si>
    <t xml:space="preserve"> Kdgtc@hotmail.com</t>
  </si>
  <si>
    <t xml:space="preserve"> +96560088775</t>
  </si>
  <si>
    <t xml:space="preserve"> Mrs Priscilla Bedell</t>
  </si>
  <si>
    <t>nanshet@hotmail.com</t>
  </si>
  <si>
    <t>0509288296</t>
  </si>
  <si>
    <t xml:space="preserve"> Mr Wilcox</t>
  </si>
  <si>
    <t xml:space="preserve"> jwilcox2008@gmail.com</t>
  </si>
  <si>
    <t xml:space="preserve"> 00447973193987</t>
  </si>
  <si>
    <t>Sept. 2-19</t>
  </si>
  <si>
    <t xml:space="preserve"> GEORGE</t>
  </si>
  <si>
    <t>yory4444@yahoo.com</t>
  </si>
  <si>
    <t xml:space="preserve">+306974965677
</t>
  </si>
  <si>
    <t>Date</t>
  </si>
  <si>
    <t>Project</t>
  </si>
  <si>
    <t>Mobile</t>
  </si>
  <si>
    <t>Inquiry / 1st Feedback</t>
  </si>
  <si>
    <t>Second Feedback</t>
  </si>
  <si>
    <t>2-sept-19</t>
  </si>
  <si>
    <t>Ease by Emaar</t>
  </si>
  <si>
    <t>Hassan Alfalluji</t>
  </si>
  <si>
    <t>poet.falluji@yahoo.com</t>
  </si>
  <si>
    <t>Not an existing number</t>
  </si>
  <si>
    <t>3-sept-19</t>
  </si>
  <si>
    <t>Arabian ranches 3</t>
  </si>
  <si>
    <t>Ahmed</t>
  </si>
  <si>
    <t>elkhateeb46@hotmail.com</t>
  </si>
  <si>
    <t>interested in townhouses arabian ranches</t>
  </si>
  <si>
    <t>call him on saturday 7th sept.</t>
  </si>
  <si>
    <t>7-sept-19</t>
  </si>
  <si>
    <t>FX-project</t>
  </si>
  <si>
    <t>Anwar Kabir Sheikh</t>
  </si>
  <si>
    <t>ribakrawna@gmail.com</t>
  </si>
  <si>
    <t>still not interested</t>
  </si>
  <si>
    <t>Pranav Kapoor</t>
  </si>
  <si>
    <t>kapr.pranav@gmail.com</t>
  </si>
  <si>
    <t>Not interested</t>
  </si>
  <si>
    <t>Yusel Ecioglu</t>
  </si>
  <si>
    <t>yucelochiohlu@gmail.com</t>
  </si>
  <si>
    <t>South Beach</t>
  </si>
  <si>
    <t>Mohamed Hayate</t>
  </si>
  <si>
    <t>oko611343@gmail.com</t>
  </si>
  <si>
    <t>email sent, no answer, speaks arabic</t>
  </si>
  <si>
    <t>south beach</t>
  </si>
  <si>
    <t>Khin Mg Myint</t>
  </si>
  <si>
    <t>khinmyintmg9@gmail.com</t>
  </si>
  <si>
    <t>Khan Pak</t>
  </si>
  <si>
    <t>kpak6037@gmail.com</t>
  </si>
  <si>
    <t>not a working number, email sent</t>
  </si>
  <si>
    <t>ap project</t>
  </si>
  <si>
    <t>Babar Junaid</t>
  </si>
  <si>
    <t>babarjunaid9@gmail.com</t>
  </si>
  <si>
    <t>number doesnt exist, email sent</t>
  </si>
  <si>
    <t>8-sept-19</t>
  </si>
  <si>
    <t>Ahmed Shanin</t>
  </si>
  <si>
    <t>ahmed.shanin@aol.com</t>
  </si>
  <si>
    <t>no answer, whatsapp sent</t>
  </si>
  <si>
    <t>collective 2,0</t>
  </si>
  <si>
    <t>suresh arumugam</t>
  </si>
  <si>
    <t>hserus.net@gmail.com</t>
  </si>
  <si>
    <t>budget 800k-1m</t>
  </si>
  <si>
    <t>Interested maybe later</t>
  </si>
  <si>
    <t>Roy Barghout</t>
  </si>
  <si>
    <t>rbt@eaglehills.com</t>
  </si>
  <si>
    <t xml:space="preserve"> interested, june 2020, apartment, 3-4, terrace, 1,5M</t>
  </si>
  <si>
    <t>looking for dstress</t>
  </si>
  <si>
    <t>arabian ranches 3</t>
  </si>
  <si>
    <t>Syed Masroor Hasan</t>
  </si>
  <si>
    <t>masroorhasan62@gmail.com</t>
  </si>
  <si>
    <t>putting things on hold</t>
  </si>
  <si>
    <t>Sept 14-2019</t>
  </si>
  <si>
    <t>SURF</t>
  </si>
  <si>
    <t>Srisusilawati bt tahami</t>
  </si>
  <si>
    <t>mylovezeshanku@gmail.com</t>
  </si>
  <si>
    <t>14-sept-19</t>
  </si>
  <si>
    <t>Ahmed Binabri</t>
  </si>
  <si>
    <t>ahmedbinabri@yahoo.com</t>
  </si>
  <si>
    <t>Mohd Ashif Reza</t>
  </si>
  <si>
    <t>asifraja6863@gmail.com</t>
  </si>
  <si>
    <t>no answer, email sent</t>
  </si>
  <si>
    <t>call in 1h</t>
  </si>
  <si>
    <t>DCH EMAAR OFFER</t>
  </si>
  <si>
    <t>ahmedbinabri1@yahoo.com</t>
  </si>
  <si>
    <t>15-sept-19</t>
  </si>
  <si>
    <t>Tanweer Zaman</t>
  </si>
  <si>
    <t>dtihzaman@gmail.com</t>
  </si>
  <si>
    <t>17-Sept-19</t>
  </si>
  <si>
    <t xml:space="preserve"> Vinodh Kumar</t>
  </si>
  <si>
    <t>vinodkumarmvinodhk@gmail.com</t>
  </si>
  <si>
    <t xml:space="preserve"> 0506810310</t>
  </si>
  <si>
    <t>speaks hindi</t>
  </si>
  <si>
    <t>Sawar</t>
  </si>
  <si>
    <t xml:space="preserve"> sawarkhan515@gmail.com</t>
  </si>
  <si>
    <t xml:space="preserve"> 0503590294</t>
  </si>
  <si>
    <t>22-Sept-19</t>
  </si>
  <si>
    <t>EMAAR OFFER</t>
  </si>
  <si>
    <t>Asghar</t>
  </si>
  <si>
    <t>Gasdasa@gmail.com</t>
  </si>
  <si>
    <t xml:space="preserve"> 0564548754</t>
  </si>
  <si>
    <t>Gohar Ali</t>
  </si>
  <si>
    <t xml:space="preserve"> gohar@gmail.com</t>
  </si>
  <si>
    <t>0557664535</t>
  </si>
  <si>
    <t>Dr. Salwa Badie Salem Elkholy</t>
  </si>
  <si>
    <t>postsalwa@yahoo.com</t>
  </si>
  <si>
    <t>2400551</t>
  </si>
  <si>
    <t>LA VOILE</t>
  </si>
  <si>
    <t>Jinjoo Kim</t>
  </si>
  <si>
    <t>30kimjinjoo@naver.com</t>
  </si>
  <si>
    <t>2_bed_apartments</t>
  </si>
  <si>
    <t>Ehab mohamed</t>
  </si>
  <si>
    <t>Ehab222@gmail.com</t>
  </si>
  <si>
    <t>3_bed_apartments, speaks arabic</t>
  </si>
  <si>
    <t>ease by emaar</t>
  </si>
  <si>
    <t>kt mohammed</t>
  </si>
  <si>
    <t>ktmohammed222@gmail.com</t>
  </si>
  <si>
    <t>number not valid</t>
  </si>
  <si>
    <t>DOWNTOWN DUBAI</t>
  </si>
  <si>
    <t xml:space="preserve"> Adam Bsisou</t>
  </si>
  <si>
    <t xml:space="preserve"> adambsisou77@gmail.co.com</t>
  </si>
  <si>
    <t>+962797876101</t>
  </si>
  <si>
    <t>Mohammad Tarawneh</t>
  </si>
  <si>
    <t>tarawnehm2000@yahoo.com</t>
  </si>
  <si>
    <t>in touch with zohaib</t>
  </si>
  <si>
    <t>VIDA DUBAI RESIDENCES</t>
  </si>
  <si>
    <t xml:space="preserve"> Abu majid</t>
  </si>
  <si>
    <t xml:space="preserve"> Arabian_brokers@yahoo.com</t>
  </si>
  <si>
    <t xml:space="preserve"> 00971507844440</t>
  </si>
  <si>
    <t>broker</t>
  </si>
  <si>
    <t xml:space="preserve">DOWNTOWN OFFER </t>
  </si>
  <si>
    <t>Reah Rafer</t>
  </si>
  <si>
    <t>reah.rafer@yahoo.com</t>
  </si>
  <si>
    <t>budget 600-700k</t>
  </si>
  <si>
    <t xml:space="preserve">Downtown Dubai </t>
  </si>
  <si>
    <t>Geeta Gomes</t>
  </si>
  <si>
    <t>Geeta.gomes@emirates.com</t>
  </si>
  <si>
    <t>need to postpone due covid19</t>
  </si>
  <si>
    <t>Mohammad Ayub</t>
  </si>
  <si>
    <t>ayub.engr@yahoo.com</t>
  </si>
  <si>
    <t>حسن علي محمد البلوشي</t>
  </si>
  <si>
    <t>ham_5s@hotmil.com</t>
  </si>
  <si>
    <t>1_bed_apartment</t>
  </si>
  <si>
    <t>Anna Markiel</t>
  </si>
  <si>
    <t>anna.markiel@gmail.com</t>
  </si>
  <si>
    <t>in UK, currently not interested</t>
  </si>
  <si>
    <t>PARAMOUNT by Damac</t>
  </si>
  <si>
    <t>Muhammad Raza</t>
  </si>
  <si>
    <t>engr_razz@hotmail.com</t>
  </si>
  <si>
    <t xml:space="preserve">1 br, ready by April, close to JLT </t>
  </si>
  <si>
    <t>lost all his money not intersted</t>
  </si>
  <si>
    <t>Ras Hid</t>
  </si>
  <si>
    <t>rashidv@gmail.com</t>
  </si>
  <si>
    <t>Looking for a 1br, Meraki</t>
  </si>
  <si>
    <t>Hazem Emam</t>
  </si>
  <si>
    <t>hazem_emam1980@hotmail.com</t>
  </si>
  <si>
    <t>whatsapp sent of paramount</t>
  </si>
  <si>
    <t>looking to rent beginning of jan 2021</t>
  </si>
  <si>
    <t>Jef Asdi</t>
  </si>
  <si>
    <t>jafar_asadi20@yahoo.com</t>
  </si>
  <si>
    <t>ready townhouse, 10%, 3-4br - 1,3-1,5M</t>
  </si>
  <si>
    <t>Ehab Girgis</t>
  </si>
  <si>
    <t>ehabfayek@hotmail.com</t>
  </si>
  <si>
    <t>rajfancy2007@rediffmail.com</t>
  </si>
  <si>
    <t>3pm call</t>
  </si>
  <si>
    <t>Pritesh Thakker</t>
  </si>
  <si>
    <t>pritcc1@gmail.com</t>
  </si>
  <si>
    <t>interested in 1br paramount</t>
  </si>
  <si>
    <t>whatsapp sent, no reply</t>
  </si>
  <si>
    <t>Sheikh Khalil</t>
  </si>
  <si>
    <t xml:space="preserve"> skanazir@hotmail.com</t>
  </si>
  <si>
    <t xml:space="preserve"> +971 50 5536270</t>
  </si>
  <si>
    <t>organize a meeting</t>
  </si>
  <si>
    <t>has changed his mind</t>
  </si>
  <si>
    <t>suhail zaineldeen</t>
  </si>
  <si>
    <t>suhailzdeen@gmail.com</t>
  </si>
  <si>
    <t xml:space="preserve"> +971509660066</t>
  </si>
  <si>
    <t>Looking for 1-2 br, Paramount</t>
  </si>
  <si>
    <t>any good, interested in july-august</t>
  </si>
  <si>
    <t xml:space="preserve"> Mahmoud</t>
  </si>
  <si>
    <t xml:space="preserve"> mahmoud_eliwa2003@yahoo.com</t>
  </si>
  <si>
    <t>0552220388</t>
  </si>
  <si>
    <t>M shaukat</t>
  </si>
  <si>
    <t>Shaukat1944@hotmail.com</t>
  </si>
  <si>
    <t xml:space="preserve"> +61294492075</t>
  </si>
  <si>
    <t>Gopinath rao</t>
  </si>
  <si>
    <t xml:space="preserve"> go_rao@yahoo.com</t>
  </si>
  <si>
    <t>00971502445313</t>
  </si>
  <si>
    <t>interested in JLT 1br</t>
  </si>
  <si>
    <t>Saeed Khan</t>
  </si>
  <si>
    <t>karmaan@live.co.uk</t>
  </si>
  <si>
    <t>looking for 1-2 br in downtown</t>
  </si>
  <si>
    <t>DUBAI CREEK</t>
  </si>
  <si>
    <t>Hafiz Vakil</t>
  </si>
  <si>
    <t>hhvakil@yahoo.com</t>
  </si>
  <si>
    <t>Subrata Singh</t>
  </si>
  <si>
    <t>subrata.singh@hotmail.com</t>
  </si>
  <si>
    <t>Amit Daftary</t>
  </si>
  <si>
    <t>amitaug23@gmail.com</t>
  </si>
  <si>
    <t>doyah</t>
  </si>
  <si>
    <t>douah.el@outlook.com</t>
  </si>
  <si>
    <t>Laith</t>
  </si>
  <si>
    <t>kadoora@hotmail.com</t>
  </si>
  <si>
    <t>PARAMOUNT by DAMAC</t>
  </si>
  <si>
    <t>Олег Ган</t>
  </si>
  <si>
    <t>oleg_gan@list.ru</t>
  </si>
  <si>
    <t>Zaid Afsar</t>
  </si>
  <si>
    <t>zaidafsar85@gmail.com</t>
  </si>
  <si>
    <t>ARABIAN RANCHES III</t>
  </si>
  <si>
    <t>Sarteep Kader</t>
  </si>
  <si>
    <t>sarteep@hotmail.com</t>
  </si>
  <si>
    <t>+447783715936</t>
  </si>
  <si>
    <t>looking to buy after selling property in uk</t>
  </si>
  <si>
    <t>looking for cheap deal for TH</t>
  </si>
  <si>
    <t>Shery</t>
  </si>
  <si>
    <t>shery.alattar@gmail.com</t>
  </si>
  <si>
    <t>٠٥٠٦٨٦٠٩٩٠</t>
  </si>
  <si>
    <t>WILTON - ELLINGTON</t>
  </si>
  <si>
    <t>Kumar Jite</t>
  </si>
  <si>
    <t>kumawatjk@gmail.com</t>
  </si>
  <si>
    <t>still in touch with him</t>
  </si>
  <si>
    <t>ELLINGTON UK EVENT</t>
  </si>
  <si>
    <t>Fazal Shah</t>
  </si>
  <si>
    <t>fazalshah@hotmail.co.uk</t>
  </si>
  <si>
    <t>Cheri Buckfield</t>
  </si>
  <si>
    <t>cheribuckfield@yahoo.co.uk</t>
  </si>
  <si>
    <t xml:space="preserve"> flax59@msn.com</t>
  </si>
  <si>
    <t>DAMAC RESIDENZE</t>
  </si>
  <si>
    <t>Dijana Likic Brkic</t>
  </si>
  <si>
    <t>dldubai2007@gmail.com</t>
  </si>
  <si>
    <t>+38762957513</t>
  </si>
  <si>
    <t>UKR</t>
  </si>
  <si>
    <t>EMAAR SIGNATURE LINE</t>
  </si>
  <si>
    <t xml:space="preserve"> Ali Abbas</t>
  </si>
  <si>
    <t>aliabbas18@hotmail.com</t>
  </si>
  <si>
    <t xml:space="preserve"> 0400402388</t>
  </si>
  <si>
    <t>not a working number, have sent an email</t>
  </si>
  <si>
    <t>no reply</t>
  </si>
  <si>
    <t>PARAMOUNT BY DAMAC</t>
  </si>
  <si>
    <t>Abdirizak Noor</t>
  </si>
  <si>
    <t>magan96@gmail.com</t>
  </si>
  <si>
    <t>WILTON BY ELLINGTON</t>
  </si>
  <si>
    <t>alhashmi360@gmail.com</t>
  </si>
  <si>
    <t>Krishna Gayatri</t>
  </si>
  <si>
    <t>krishna.gayatri@gmail.com</t>
  </si>
  <si>
    <t>Mazeen Samsudeen</t>
  </si>
  <si>
    <t>mazeenmax@hotmail.com</t>
  </si>
  <si>
    <t>He bought already</t>
  </si>
  <si>
    <t>DAMAC OFFER</t>
  </si>
  <si>
    <t>Ankur Aggarwal</t>
  </si>
  <si>
    <t>iarmour.ankur@gmail.com</t>
  </si>
  <si>
    <t>plz send me details for all..need to compare</t>
  </si>
  <si>
    <t>not an existing number</t>
  </si>
  <si>
    <t>Kamal Adel Alnaser</t>
  </si>
  <si>
    <t>alnaserkamal@yahoo.com</t>
  </si>
  <si>
    <t>1_bedroom</t>
  </si>
  <si>
    <t>David Joseph</t>
  </si>
  <si>
    <t>reliablekings@gmail.com</t>
  </si>
  <si>
    <t>3_bedroom</t>
  </si>
  <si>
    <t>James Mackie</t>
  </si>
  <si>
    <t>James@mackbuild.co.uk</t>
  </si>
  <si>
    <t>we are still in touch</t>
  </si>
  <si>
    <t>Muhammad Arif Khan</t>
  </si>
  <si>
    <t>aakash_00721@yahoo.com</t>
  </si>
  <si>
    <t>Mohammed Farhood</t>
  </si>
  <si>
    <t>Mohammed@unicareakad.con</t>
  </si>
  <si>
    <t>ended up buying in sharjah</t>
  </si>
  <si>
    <t>PORT DE LA MER</t>
  </si>
  <si>
    <t>Saleh Almuharrami</t>
  </si>
  <si>
    <t>sbh_666@hotmail.com</t>
  </si>
  <si>
    <t>05 5 666 60 79</t>
  </si>
  <si>
    <t>Collective</t>
  </si>
  <si>
    <t>Rolin Luis</t>
  </si>
  <si>
    <t>rolinluis@gmail.com</t>
  </si>
  <si>
    <t>05 0 971 04 56</t>
  </si>
  <si>
    <t>3 bed with budget of 2 min</t>
  </si>
  <si>
    <t>William</t>
  </si>
  <si>
    <t>williambrough55@yahoo.com</t>
  </si>
  <si>
    <t xml:space="preserve"> +971 50-556-5684</t>
  </si>
  <si>
    <t>DOWNTOWN EMAAR</t>
  </si>
  <si>
    <t>Rashmi Ullah Baruah</t>
  </si>
  <si>
    <t>rvbaruah@gmail.com</t>
  </si>
  <si>
    <t xml:space="preserve"> arif</t>
  </si>
  <si>
    <t>arif050@yahoo.com</t>
  </si>
  <si>
    <t xml:space="preserve"> 0503120301</t>
  </si>
  <si>
    <t>showing some interest</t>
  </si>
  <si>
    <t xml:space="preserve"> Abdul sattar shirzadi</t>
  </si>
  <si>
    <t>Abdulsattarshirzadi@gmail.com</t>
  </si>
  <si>
    <t xml:space="preserve"> +971 52-957-1815</t>
  </si>
  <si>
    <t>not answering phone</t>
  </si>
  <si>
    <t>The Valley</t>
  </si>
  <si>
    <t>SOFIANE DABBECH</t>
  </si>
  <si>
    <t>sofiene.debbeche@hotmail.com</t>
  </si>
  <si>
    <t>already got property</t>
  </si>
  <si>
    <t>sayeed</t>
  </si>
  <si>
    <t>sayeedansari@yahoo.com</t>
  </si>
  <si>
    <t>Murthy Sanam</t>
  </si>
  <si>
    <t>THE VALLEY</t>
  </si>
  <si>
    <t>Ida Miranda</t>
  </si>
  <si>
    <t>idarosa.miranda@gmail.com</t>
  </si>
  <si>
    <t>Mekus King</t>
  </si>
  <si>
    <t>mekam90@msn.com</t>
  </si>
  <si>
    <t xml:space="preserve">following up </t>
  </si>
  <si>
    <t>+971 50-466-8792</t>
  </si>
  <si>
    <t>2 bedroom villa for 1 m</t>
  </si>
  <si>
    <t>Said Salhani</t>
  </si>
  <si>
    <t>Dr_salhani@hotmail.com</t>
  </si>
  <si>
    <t>still in touch</t>
  </si>
  <si>
    <t>اسامة صبحي علوان</t>
  </si>
  <si>
    <t>osama.alwan@yahoo.com</t>
  </si>
  <si>
    <t>Guillermo Macarron</t>
  </si>
  <si>
    <t>willy_macfer@yahoo.com</t>
  </si>
  <si>
    <t>Avick</t>
  </si>
  <si>
    <t>musatolisy@gmail.com</t>
  </si>
  <si>
    <t>not interested now but maybe later</t>
  </si>
  <si>
    <t>Issufo Sulemane Aboobakar Faquir</t>
  </si>
  <si>
    <t>isafaquir@gmail.com</t>
  </si>
  <si>
    <t>Stoian Marian</t>
  </si>
  <si>
    <t>grstoplogistic@gmail.com</t>
  </si>
  <si>
    <t>Thomas Vergis Biju</t>
  </si>
  <si>
    <t>sales@almarayacars.com</t>
  </si>
  <si>
    <t>Tharwat Sowareduhab</t>
  </si>
  <si>
    <t>tharwatk2000@hotmail.com</t>
  </si>
  <si>
    <t>Luay Kawasme</t>
  </si>
  <si>
    <t>Lkawasme@gmail.com</t>
  </si>
  <si>
    <t>VIDA CREEK BEACH</t>
  </si>
  <si>
    <t>Biju Oommen</t>
  </si>
  <si>
    <t>kbiju88@gmail.com</t>
  </si>
  <si>
    <t>Arsalaan Aref</t>
  </si>
  <si>
    <t>arsalan.arf@gmail.com</t>
  </si>
  <si>
    <t>Karan Arora</t>
  </si>
  <si>
    <t>25.arora@gmail.com</t>
  </si>
  <si>
    <t>stay in touch</t>
  </si>
  <si>
    <t>Adnan</t>
  </si>
  <si>
    <t>ebteda786@yahoo.com</t>
  </si>
  <si>
    <t>still following up</t>
  </si>
  <si>
    <t>Harka Bahadur Beswokrma</t>
  </si>
  <si>
    <t>harkabk760@yahoo.com</t>
  </si>
  <si>
    <t>Debabrata Dey</t>
  </si>
  <si>
    <t>ddey.1984@outlook.com</t>
  </si>
  <si>
    <t>EMAAR DOWNTOWN DIAMOND PROJECT 25/75 OFFER</t>
  </si>
  <si>
    <t>Rodney Holt</t>
  </si>
  <si>
    <t>rodney.j.holt@gmail.com</t>
  </si>
  <si>
    <t>Akoya 1M Villa</t>
  </si>
  <si>
    <t>Kannu Mehra</t>
  </si>
  <si>
    <t>kannu.mehra62@gmail.com</t>
  </si>
  <si>
    <t>PARAMOUNT HOTEL</t>
  </si>
  <si>
    <t>Adham Ghazi</t>
  </si>
  <si>
    <t>larex1989@hotmail.com</t>
  </si>
  <si>
    <t>seems interested on 1 bed aparmtnet in parmount</t>
  </si>
  <si>
    <t>Reem A Ch</t>
  </si>
  <si>
    <t>rimabouchahine@hotmail.com</t>
  </si>
  <si>
    <t>Nasir Sadaqat</t>
  </si>
  <si>
    <t>nasir.sadaqat@gmail.com</t>
  </si>
  <si>
    <t xml:space="preserve">BELGRAVIA </t>
  </si>
  <si>
    <t>Abdulhai Abdullatif</t>
  </si>
  <si>
    <t>salabedintechnical@gmail.com</t>
  </si>
  <si>
    <t>Balla!!!</t>
  </si>
  <si>
    <t>Mrsamura1@outlook.com</t>
  </si>
  <si>
    <t>no answer, ive sent whatsapp</t>
  </si>
  <si>
    <t>خالد نواز</t>
  </si>
  <si>
    <t>khalidnawaz288@yahoo.com</t>
  </si>
  <si>
    <t>nasrin</t>
  </si>
  <si>
    <t>black_pearl_1969@yahoo.com</t>
  </si>
  <si>
    <t>Imad Estephan</t>
  </si>
  <si>
    <t>imad.estephan@gmail.com</t>
  </si>
  <si>
    <t>interested to sell his property and buy something else</t>
  </si>
  <si>
    <t>normski</t>
  </si>
  <si>
    <t>nchapwanya@yahoo.co.uk</t>
  </si>
  <si>
    <t>Fatima Hanou</t>
  </si>
  <si>
    <t>elmalikatours@gmail.com</t>
  </si>
  <si>
    <t>interested in dch</t>
  </si>
  <si>
    <t xml:space="preserve">LOFT ISLAND </t>
  </si>
  <si>
    <t>Al-shams</t>
  </si>
  <si>
    <t>shamsa_almurar@hotmail.com</t>
  </si>
  <si>
    <t>looking for a villa</t>
  </si>
  <si>
    <t>would be interested in the future, but for now, asked to send the pictures and details</t>
  </si>
  <si>
    <t>Frank Ab</t>
  </si>
  <si>
    <t>abbassi_fur@hotmail.com</t>
  </si>
  <si>
    <t>Ihab H. Mikhael</t>
  </si>
  <si>
    <t>ihabmikhael@hotmail.com</t>
  </si>
  <si>
    <t>Daniel Frank Corbin</t>
  </si>
  <si>
    <t>Frank@remiccorp.com</t>
  </si>
  <si>
    <t>Hamza Dhamee</t>
  </si>
  <si>
    <t>hamza@hamzadhamee.com</t>
  </si>
  <si>
    <t>+15145606060</t>
  </si>
  <si>
    <t>interested in 1 bedroom in downtown</t>
  </si>
  <si>
    <t>Tafadzwa Murefu</t>
  </si>
  <si>
    <t>tafadzwamurefu@gmail.com</t>
  </si>
  <si>
    <t>+4407367320200</t>
  </si>
  <si>
    <t>interested in 2-3 br apartmetn next to the beach</t>
  </si>
  <si>
    <t>BURJ CROWN</t>
  </si>
  <si>
    <t>Harjeet S Hanspal</t>
  </si>
  <si>
    <t>harjeetsh@yahoo.com</t>
  </si>
  <si>
    <t>ive called but no answer and no whatspp</t>
  </si>
  <si>
    <t>Zarqa Ansar</t>
  </si>
  <si>
    <t>zarqaansar10@hotmail.com</t>
  </si>
  <si>
    <t>Iain McFarlane</t>
  </si>
  <si>
    <t>iainmcfarlane@rocketmail.com</t>
  </si>
  <si>
    <t>call back again</t>
  </si>
  <si>
    <t>Amir Hussain</t>
  </si>
  <si>
    <t>amirhussain68@yahoo.co.uk</t>
  </si>
  <si>
    <t>Александр</t>
  </si>
  <si>
    <t>9198919@mail.ru</t>
  </si>
  <si>
    <t>+79219198919</t>
  </si>
  <si>
    <t>4_br_apartment</t>
  </si>
  <si>
    <t>Philippe Bresciani</t>
  </si>
  <si>
    <t>phb999@mail.ru</t>
  </si>
  <si>
    <t>+330607838909</t>
  </si>
  <si>
    <t>3_br_apartment</t>
  </si>
  <si>
    <t>Raziya Remtulla</t>
  </si>
  <si>
    <t>salimhkremtulla@msn.com</t>
  </si>
  <si>
    <t>+16479887251</t>
  </si>
  <si>
    <t>1_br_apartment</t>
  </si>
  <si>
    <t>Helder Beleza</t>
  </si>
  <si>
    <t>beleza.helder@gmail.com</t>
  </si>
  <si>
    <t>+14168366646</t>
  </si>
  <si>
    <t>WILTON by Ellington</t>
  </si>
  <si>
    <t>S@!F</t>
  </si>
  <si>
    <t>saifsyedmohammad@gmail.com</t>
  </si>
  <si>
    <t>have taken to emaar and damac next</t>
  </si>
  <si>
    <t>Jag Gill</t>
  </si>
  <si>
    <t>jaggill01@gmail.com</t>
  </si>
  <si>
    <t>+19055159070</t>
  </si>
  <si>
    <t>whatsapp send but call again</t>
  </si>
  <si>
    <t>Naïade Anahïza</t>
  </si>
  <si>
    <t>naziadmoraby@googlemail.com</t>
  </si>
  <si>
    <t>payment_plan_and_prices</t>
  </si>
  <si>
    <t>Saptarshi Sarkhel</t>
  </si>
  <si>
    <t>saptarshi.sarkhel09@gmail.com</t>
  </si>
  <si>
    <t>2_bedrooms</t>
  </si>
  <si>
    <t>CREEK PENTHOUSE</t>
  </si>
  <si>
    <t>Mohammad Salahuddin</t>
  </si>
  <si>
    <t>mssaleem2013@gmail.com</t>
  </si>
  <si>
    <t>penthouse_in_dubai_creek</t>
  </si>
  <si>
    <t>keep following up</t>
  </si>
  <si>
    <t>PRIVE IN BUSINESS BAY</t>
  </si>
  <si>
    <t>Ashraf Alhammouri</t>
  </si>
  <si>
    <t>kamal43@gmail.com</t>
  </si>
  <si>
    <t>1 bedroom in business bay</t>
  </si>
  <si>
    <t>interested later after covid</t>
  </si>
  <si>
    <t>Zachariah Thomas</t>
  </si>
  <si>
    <t>rajuzach@yahoo.com</t>
  </si>
  <si>
    <t>coming mid february, 1 bed in BB</t>
  </si>
  <si>
    <t>Faisal Sulaiman</t>
  </si>
  <si>
    <t>fpullattayil@gmail.com</t>
  </si>
  <si>
    <t>budget less than 1 m dirhams, 2 bed</t>
  </si>
  <si>
    <t>عمرو عاشور</t>
  </si>
  <si>
    <t>amroashor@gmail.com</t>
  </si>
  <si>
    <t>ع</t>
  </si>
  <si>
    <t>SA</t>
  </si>
  <si>
    <t>TILAL AL GHAF</t>
  </si>
  <si>
    <t>Salman Moh</t>
  </si>
  <si>
    <t>saboreema@gmail.com</t>
  </si>
  <si>
    <t>Number out of service, ive sent whatsapp</t>
  </si>
  <si>
    <t>BEACH ISLE</t>
  </si>
  <si>
    <t>Name: Mash Khan</t>
  </si>
  <si>
    <t>mashkhan@emirates.net.ae</t>
  </si>
  <si>
    <t>+5103319514</t>
  </si>
  <si>
    <t>ive sent email but no reply till now, number wrong</t>
  </si>
  <si>
    <t>Mesut Ozturk</t>
  </si>
  <si>
    <t>mesutozturk123@gmail.com</t>
  </si>
  <si>
    <t>waiting for him to come to dubai</t>
  </si>
  <si>
    <t>needs to save more money and wait</t>
  </si>
  <si>
    <t>VIDA DUBAI MALL</t>
  </si>
  <si>
    <t>Amzad Khan</t>
  </si>
  <si>
    <t>amzadkhan322322@gmail.com</t>
  </si>
  <si>
    <t>0581771247</t>
  </si>
  <si>
    <t>didnt answer</t>
  </si>
  <si>
    <t>Michel Farhat</t>
  </si>
  <si>
    <t>farhat25@hotmail.com</t>
  </si>
  <si>
    <t>0566860603</t>
  </si>
  <si>
    <t>interested in hotel apartments low budget</t>
  </si>
  <si>
    <t>Sami Al Mufleh</t>
  </si>
  <si>
    <t>sami@hillsadvertising.com</t>
  </si>
  <si>
    <t>0506429725</t>
  </si>
  <si>
    <t xml:space="preserve">2-3 br sky collection address sky view, 2101 tower 1, sheikh zayed view, </t>
  </si>
  <si>
    <t>PRIVE BUSINESS BAY</t>
  </si>
  <si>
    <t>Patxi Saez</t>
  </si>
  <si>
    <t>psaezol@gmail.com</t>
  </si>
  <si>
    <t>0034 696972086, 2-3 bedroom, prive</t>
  </si>
  <si>
    <t>MJL</t>
  </si>
  <si>
    <t>Muhammad Waqas</t>
  </si>
  <si>
    <t>waqas4121989@gmail.com</t>
  </si>
  <si>
    <t>outside the country, but interested in 1 br investment</t>
  </si>
  <si>
    <t>Elan-maf-B</t>
  </si>
  <si>
    <t>erkin</t>
  </si>
  <si>
    <t>erkinjohn@gmail.com</t>
  </si>
  <si>
    <t>'0540050522</t>
  </si>
  <si>
    <t>number not going through, email sent</t>
  </si>
  <si>
    <t>Feb 2 -2020</t>
  </si>
  <si>
    <t>Downtown Views II</t>
  </si>
  <si>
    <t>hhardabajh@altayer.com</t>
  </si>
  <si>
    <t xml:space="preserve"> +971 55-590-2811</t>
  </si>
  <si>
    <t xml:space="preserve">low budget and ready, </t>
  </si>
  <si>
    <t>Feb 3-2020</t>
  </si>
  <si>
    <t>ARABIAN RANCHES RUBA III</t>
  </si>
  <si>
    <t>Joe Raheb</t>
  </si>
  <si>
    <t>joe.raheb@gmail.com</t>
  </si>
  <si>
    <t>+96597273760</t>
  </si>
  <si>
    <t>meeting second week of february</t>
  </si>
  <si>
    <t>Feb 4-2020</t>
  </si>
  <si>
    <t>Jamila Fulgencio</t>
  </si>
  <si>
    <t>jamilavalentino620@gmail.com</t>
  </si>
  <si>
    <t>+971508584477</t>
  </si>
  <si>
    <t>interested but not ready yet</t>
  </si>
  <si>
    <t>Sitara Wafa</t>
  </si>
  <si>
    <t>Sitarawafa@gmail.com</t>
  </si>
  <si>
    <t>+9710551270801</t>
  </si>
  <si>
    <t>looking for a cheap townhouse</t>
  </si>
  <si>
    <t>4_bedroom apartment, or townhouse, ready,</t>
  </si>
  <si>
    <t>interested in 1 br investment but has to wait</t>
  </si>
  <si>
    <t>Feb-8-2020</t>
  </si>
  <si>
    <t>Abdullah Saeed</t>
  </si>
  <si>
    <t>abadi747@yahoo.com</t>
  </si>
  <si>
    <t>interested, but in saudi currently.</t>
  </si>
  <si>
    <t>Gerardo Abalde</t>
  </si>
  <si>
    <t>gerardoabalde@gmail.com</t>
  </si>
  <si>
    <t>543489591760</t>
  </si>
  <si>
    <t>DAMAC ALA CARTE VILLA</t>
  </si>
  <si>
    <t>MD Jakaria</t>
  </si>
  <si>
    <t>rokchina999@gmail.com</t>
  </si>
  <si>
    <t>whatsapp sent, no answer</t>
  </si>
  <si>
    <t>Dominik Klimken</t>
  </si>
  <si>
    <t>dominik.klimken@gmail.com</t>
  </si>
  <si>
    <t>Babulal</t>
  </si>
  <si>
    <t>mithanibj@gmail.com</t>
  </si>
  <si>
    <t>interested but busy now, needs more time</t>
  </si>
  <si>
    <t>Abid Mahmood</t>
  </si>
  <si>
    <t>abidnoor416@yahoo.com</t>
  </si>
  <si>
    <t>+966569037086</t>
  </si>
  <si>
    <t>Sheikh Azhar</t>
  </si>
  <si>
    <t>sheikhaz2002@yahoo.com</t>
  </si>
  <si>
    <t>+966501459372</t>
  </si>
  <si>
    <t>Francis Trent</t>
  </si>
  <si>
    <t>trent.francis@emirates.com</t>
  </si>
  <si>
    <t>+9710558625391</t>
  </si>
  <si>
    <t>interested in 1-2br apartment next to the water</t>
  </si>
  <si>
    <t>has put things on hold</t>
  </si>
  <si>
    <t>EMAAR BEACHFRONT</t>
  </si>
  <si>
    <t>Mohammed forhad alam</t>
  </si>
  <si>
    <t>forhad_al@yahoo.com</t>
  </si>
  <si>
    <t>+966533584770</t>
  </si>
  <si>
    <t>3 bedroom in beach front</t>
  </si>
  <si>
    <t xml:space="preserve">Rajan Singh
</t>
  </si>
  <si>
    <t>rajansmtours@gmail.com</t>
  </si>
  <si>
    <t>intersted in dch, will call back later</t>
  </si>
  <si>
    <t>call in october</t>
  </si>
  <si>
    <t>Anders af Ericson</t>
  </si>
  <si>
    <t>andersafericson@gmail.com</t>
  </si>
  <si>
    <t>Ibad Faruqui</t>
  </si>
  <si>
    <t>faruquiibad@gmail.com</t>
  </si>
  <si>
    <t>Riyas Riyas</t>
  </si>
  <si>
    <t>Riyas1233@gmail.com</t>
  </si>
  <si>
    <t>Md Ansar Shaikh</t>
  </si>
  <si>
    <t>mbansarshaikh9323@gmail.com</t>
  </si>
  <si>
    <t>TIILAL AL GHAF</t>
  </si>
  <si>
    <t xml:space="preserve">Valya </t>
  </si>
  <si>
    <t>val.eu74@gmail.com</t>
  </si>
  <si>
    <t xml:space="preserve">mohammed ibrahim </t>
  </si>
  <si>
    <t>architect.m.o@gmail.com</t>
  </si>
  <si>
    <t>interested in tilal al ghaf</t>
  </si>
  <si>
    <t>needs more details</t>
  </si>
  <si>
    <t>EMAAR BEACH FRONT</t>
  </si>
  <si>
    <t>Nicole Fid</t>
  </si>
  <si>
    <t>zakirfid@gmail.com</t>
  </si>
  <si>
    <t>+9710552587452</t>
  </si>
  <si>
    <t>Shakeel Ahmed</t>
  </si>
  <si>
    <t>shakeedpakahmed@gmail.com</t>
  </si>
  <si>
    <t>+966548572981</t>
  </si>
  <si>
    <t>coming in april, interested in beachfront or any other good location</t>
  </si>
  <si>
    <t xml:space="preserve">VIDA DUBAI MALL </t>
  </si>
  <si>
    <t>Ovaice ZAroo</t>
  </si>
  <si>
    <t>ovaicezaroo@gmail.com</t>
  </si>
  <si>
    <t>interested in downtown area 2br, coming on 24th</t>
  </si>
  <si>
    <t>emaar downtown</t>
  </si>
  <si>
    <t>downtown with burj view</t>
  </si>
  <si>
    <t>offer him some good deals, damac hills, mudon, investor</t>
  </si>
  <si>
    <t>PARAMOUNT TOWER DAMAC</t>
  </si>
  <si>
    <t>Sa Mohamed</t>
  </si>
  <si>
    <t>smohamed@mac.com</t>
  </si>
  <si>
    <t>0551231778</t>
  </si>
  <si>
    <t>Hassen Buser</t>
  </si>
  <si>
    <t>buserhassen@yahoo.com</t>
  </si>
  <si>
    <t>0503533071</t>
  </si>
  <si>
    <t>no answer to calls or whatsapp</t>
  </si>
  <si>
    <t>الاتصال</t>
  </si>
  <si>
    <t>yiijdhyi2011@hotmail.com</t>
  </si>
  <si>
    <t>+966555299782</t>
  </si>
  <si>
    <t>speaks only arabic, i gave it to nabil</t>
  </si>
  <si>
    <t xml:space="preserve">ASEEL </t>
  </si>
  <si>
    <t>Aditya Coondoo</t>
  </si>
  <si>
    <t>aditya.coondoo@hotmail.com</t>
  </si>
  <si>
    <t>call again, no answer</t>
  </si>
  <si>
    <t>call end of august, he wants long PP, 2 br, for himself</t>
  </si>
  <si>
    <t>Tilal Al Ghaf</t>
  </si>
  <si>
    <t>حياه فريدهفريده</t>
  </si>
  <si>
    <t>Sh85555@hotmail.com</t>
  </si>
  <si>
    <t>+2001121360379</t>
  </si>
  <si>
    <t xml:space="preserve">GOLF LINKS </t>
  </si>
  <si>
    <t>Saeed Ullah</t>
  </si>
  <si>
    <t>drsaeed97@gmail.com</t>
  </si>
  <si>
    <t>mobile is off</t>
  </si>
  <si>
    <t>Amar Amarnath</t>
  </si>
  <si>
    <t>amar.ds.amar@gmail.com</t>
  </si>
  <si>
    <t>budget 1 m, delivered within 2020, BB damac</t>
  </si>
  <si>
    <t>Katerine Albarellos</t>
  </si>
  <si>
    <t>q8tykate@gmail.com</t>
  </si>
  <si>
    <t>055370144</t>
  </si>
  <si>
    <t>AKOYA VILLA DAMAC</t>
  </si>
  <si>
    <t>Forex Daimmund</t>
  </si>
  <si>
    <t>imamxm42@gmail.com</t>
  </si>
  <si>
    <t>call him again, whatsapp sent</t>
  </si>
  <si>
    <t>Prasad Nisajith</t>
  </si>
  <si>
    <t>nisajithh@yahoo.com</t>
  </si>
  <si>
    <t>He wants ready 3 br townhouse</t>
  </si>
  <si>
    <t>not interested anymore</t>
  </si>
  <si>
    <t>DAMAC HILLS</t>
  </si>
  <si>
    <t>Rukhsar Ahmed</t>
  </si>
  <si>
    <t>r07828690203@gmail.com</t>
  </si>
  <si>
    <t>+447828690203</t>
  </si>
  <si>
    <t>Subhrajyoti De</t>
  </si>
  <si>
    <t>de_subhrajyoti@yahoo.co.uk</t>
  </si>
  <si>
    <t>+447557991916</t>
  </si>
  <si>
    <t>waterfacing townhouse, creek harbour</t>
  </si>
  <si>
    <t>Athar Khan</t>
  </si>
  <si>
    <t>atharmahmoodkhan@gmail.com</t>
  </si>
  <si>
    <t>+447889925113</t>
  </si>
  <si>
    <t>Matt Rogers</t>
  </si>
  <si>
    <t>matt.rogers32@hotmail.com</t>
  </si>
  <si>
    <t>+447854387169</t>
  </si>
  <si>
    <t>PRIVE BUSINESS BAY DAMAC</t>
  </si>
  <si>
    <t>Mohammed El Dawi</t>
  </si>
  <si>
    <t>eldawi@live.com</t>
  </si>
  <si>
    <t>0504566777</t>
  </si>
  <si>
    <t>wants ready 1 bedroom in business bay</t>
  </si>
  <si>
    <t>looking for 2 bed, merano, prime views</t>
  </si>
  <si>
    <t>ASEEL</t>
  </si>
  <si>
    <t>Virginia Abdon</t>
  </si>
  <si>
    <t>abdonvirginia@gmail.com</t>
  </si>
  <si>
    <t>March 11-2020</t>
  </si>
  <si>
    <t>AKOYA VILLA 1M</t>
  </si>
  <si>
    <t>Shobuj Bhuyian</t>
  </si>
  <si>
    <t>shobujbhuyian@21gmail.com</t>
  </si>
  <si>
    <t>not availabe, not in whatsapp</t>
  </si>
  <si>
    <t>CREEK PALACE - EMAAR</t>
  </si>
  <si>
    <t>WahiduR Rahman Abdul Ali</t>
  </si>
  <si>
    <t>aw67463@gmail.com</t>
  </si>
  <si>
    <t>Almaz Hair</t>
  </si>
  <si>
    <t>goldenjewel93@yahoo.com</t>
  </si>
  <si>
    <t>Ali Kottarathil Karakkad</t>
  </si>
  <si>
    <t>alikottarathil@gmail.com</t>
  </si>
  <si>
    <t>Ayu Oppo</t>
  </si>
  <si>
    <t>al0672763@gmail.com</t>
  </si>
  <si>
    <t>Syed Arshad Husseini Ather</t>
  </si>
  <si>
    <t>syedarshad44@yahoo.com</t>
  </si>
  <si>
    <t>1-4br_apartment</t>
  </si>
  <si>
    <t>AKOYA 1M</t>
  </si>
  <si>
    <t>thirumalai S</t>
  </si>
  <si>
    <t>thirudbx@gmail.com</t>
  </si>
  <si>
    <t>1_million_aed_villa</t>
  </si>
  <si>
    <t>Sohel Medina</t>
  </si>
  <si>
    <t>alihs222@yahoo.com</t>
  </si>
  <si>
    <t>1-3_br_holiday_home</t>
  </si>
  <si>
    <t>CREEK PALACE</t>
  </si>
  <si>
    <t>فتحي عثمان الاستاذ</t>
  </si>
  <si>
    <t>alastadhfthythman@gmail.com</t>
  </si>
  <si>
    <t>number unavailable</t>
  </si>
  <si>
    <t>AKOYA VILLA</t>
  </si>
  <si>
    <t>SawhneyVipan</t>
  </si>
  <si>
    <t>sawhney.vipan@gmail.com</t>
  </si>
  <si>
    <t>3 bedroom, 1,5M close to the city</t>
  </si>
  <si>
    <t>MERANO</t>
  </si>
  <si>
    <t>Yusuf Moosa</t>
  </si>
  <si>
    <t>yussuf56@yahoo.com</t>
  </si>
  <si>
    <t>AKOYA</t>
  </si>
  <si>
    <t>Naveen Suvarna</t>
  </si>
  <si>
    <t>ns_uae@yahoo.com</t>
  </si>
  <si>
    <t>low buget 500k</t>
  </si>
  <si>
    <t>PARAMOUNT TOWERS</t>
  </si>
  <si>
    <t>Rohit Ravi</t>
  </si>
  <si>
    <t>rohitr17981@yahoo.com</t>
  </si>
  <si>
    <t>call again</t>
  </si>
  <si>
    <t>Sarasvathy Sinnasamy Sarasvathy</t>
  </si>
  <si>
    <t>saras1808@yahoo.com</t>
  </si>
  <si>
    <t>Ameenulla khan</t>
  </si>
  <si>
    <t>ameenprecedence@gmail.com</t>
  </si>
  <si>
    <t>no answer I’ve sent WhatsApp</t>
  </si>
  <si>
    <t>Akoya</t>
  </si>
  <si>
    <t>Mohammad Alam</t>
  </si>
  <si>
    <t>alammasood@gmail.com</t>
  </si>
  <si>
    <t>Aykon Heights</t>
  </si>
  <si>
    <t>Nizar</t>
  </si>
  <si>
    <t>Nizar-60@hotmail.com</t>
  </si>
  <si>
    <t>looking for studio/1 br</t>
  </si>
  <si>
    <t>only in lebanon but not interested in such high prices</t>
  </si>
  <si>
    <t>PARAMOUNT</t>
  </si>
  <si>
    <t>Prince Obinna</t>
  </si>
  <si>
    <t>obinnadamo3@gmail.com</t>
  </si>
  <si>
    <t>wants to wait</t>
  </si>
  <si>
    <t>scam</t>
  </si>
  <si>
    <t>aykon city</t>
  </si>
  <si>
    <t>Khurram Tariq</t>
  </si>
  <si>
    <t>khurmy@hotmail.com</t>
  </si>
  <si>
    <t>studio or 1br with nice view &amp; PP</t>
  </si>
  <si>
    <t>prime views</t>
  </si>
  <si>
    <t>farida sagran</t>
  </si>
  <si>
    <t>faridasagran67@gmail.com</t>
  </si>
  <si>
    <t>wants to rent, or else budget below 2 M</t>
  </si>
  <si>
    <t>budget 500k for 2 bed</t>
  </si>
  <si>
    <t>Luca Carnevale</t>
  </si>
  <si>
    <t>lucacix84@gmail.com</t>
  </si>
  <si>
    <t>big size 2br close to airport, below 1 M, secondary</t>
  </si>
  <si>
    <t>BELLA</t>
  </si>
  <si>
    <t>Mohammad Asif</t>
  </si>
  <si>
    <t>ah1794600@gmail.com</t>
  </si>
  <si>
    <t>-</t>
  </si>
  <si>
    <t>abdlkerim jaber</t>
  </si>
  <si>
    <t>abdlekaremjabre@gmail.com</t>
  </si>
  <si>
    <t>damac_offers</t>
  </si>
  <si>
    <t>speaks only arabic, gave to nabil</t>
  </si>
  <si>
    <t>Jack</t>
  </si>
  <si>
    <t>chacky.j@gmail.com</t>
  </si>
  <si>
    <t>+33 7 89 22 37 70</t>
  </si>
  <si>
    <t>he's waiting money, then he would be interested</t>
  </si>
  <si>
    <t>Moyal Khan</t>
  </si>
  <si>
    <t>aminkhanmoyal@yahoo.com</t>
  </si>
  <si>
    <t>Looking for 2 bedroom somewhere close to the city, budget 1 M, offered Merano tower damac</t>
  </si>
  <si>
    <t>Mark Cushway</t>
  </si>
  <si>
    <t>mark@inspired.us</t>
  </si>
  <si>
    <t>Needs more information on the Akoya townhouses</t>
  </si>
  <si>
    <t>Ganymede Aquarian</t>
  </si>
  <si>
    <t>frankwright113@gmail.com</t>
  </si>
  <si>
    <t>0528631207</t>
  </si>
  <si>
    <t>Sending him merano 1 bedroom details</t>
  </si>
  <si>
    <t>Kiara</t>
  </si>
  <si>
    <t>Pieter</t>
  </si>
  <si>
    <t>pieteregbers@hotmail.com</t>
  </si>
  <si>
    <t>not currently interested</t>
  </si>
  <si>
    <t>might be interested after 1 year</t>
  </si>
  <si>
    <t>Abhilash Muringakodan</t>
  </si>
  <si>
    <t>mkabhi@yahoo.com</t>
  </si>
  <si>
    <t>Asking to send more information on WhatsApp</t>
  </si>
  <si>
    <t>Emaar Signatureline 2020</t>
  </si>
  <si>
    <t>Ebrahim</t>
  </si>
  <si>
    <t>Mattarebrahim@hotmail.com</t>
  </si>
  <si>
    <t>Number is not correct, sent email</t>
  </si>
  <si>
    <t>Allan Stanton</t>
  </si>
  <si>
    <t>allanstanton@me.com</t>
  </si>
  <si>
    <t>97150653-5258</t>
  </si>
  <si>
    <t>Interested in 2x 1 bed in Kiara wants al the info</t>
  </si>
  <si>
    <t>Thushantha Chaminda</t>
  </si>
  <si>
    <t>thushantachaminda7@gmail.com</t>
  </si>
  <si>
    <t>No answer I’ve sent WhatsApp</t>
  </si>
  <si>
    <t>Adnan Ahmed</t>
  </si>
  <si>
    <t>adnan.gcu@gmail.com</t>
  </si>
  <si>
    <t>he will wait until covid 19 resolves</t>
  </si>
  <si>
    <t>not investing at the moment, but maybe later</t>
  </si>
  <si>
    <t>Shazia Tariq</t>
  </si>
  <si>
    <t>shaziatariq2007@yahoo.com</t>
  </si>
  <si>
    <t>0505500835</t>
  </si>
  <si>
    <t xml:space="preserve">said she will call back </t>
  </si>
  <si>
    <t>decided to wait and not buy anything now</t>
  </si>
  <si>
    <t>DAMAC ALA CARTE</t>
  </si>
  <si>
    <t xml:space="preserve">Aiden Maher </t>
  </si>
  <si>
    <t>aidenmaher@yahoo.co.uk</t>
  </si>
  <si>
    <t>1 bedroom in golf vita</t>
  </si>
  <si>
    <t>september looking</t>
  </si>
  <si>
    <t>Gary Edmonstone</t>
  </si>
  <si>
    <t>gary@bucketlist.city</t>
  </si>
  <si>
    <t>interested 1-2 br golf vita please dont shuffle</t>
  </si>
  <si>
    <t>Emaar Signature Line</t>
  </si>
  <si>
    <t>Mary Ann Eranista</t>
  </si>
  <si>
    <t>eranistamaryann789@gmail.com</t>
  </si>
  <si>
    <t>not connecting</t>
  </si>
  <si>
    <t xml:space="preserve">Engee Mahmoud </t>
  </si>
  <si>
    <t>engee.saeed@gmail.com</t>
  </si>
  <si>
    <t>interested in tilal al ghaf, needs time to think about it</t>
  </si>
  <si>
    <t>holding their decision now, living now in mudon</t>
  </si>
  <si>
    <t>CLUB VILLAS</t>
  </si>
  <si>
    <t>Mick Timoney</t>
  </si>
  <si>
    <t>micktimoney@me.com</t>
  </si>
  <si>
    <t>interested in club villas</t>
  </si>
  <si>
    <t>Mahmoud sammour</t>
  </si>
  <si>
    <t>m_sammour2002@hotmail.com</t>
  </si>
  <si>
    <t>97150671-7676</t>
  </si>
  <si>
    <t>interested in studio and 1 bedroom in aykon heights</t>
  </si>
  <si>
    <t>April 12-2020</t>
  </si>
  <si>
    <t>Ali Qadar</t>
  </si>
  <si>
    <t>aliqadar7@gmail.com</t>
  </si>
  <si>
    <t xml:space="preserve">Atif </t>
  </si>
  <si>
    <t>atifjamil@gmail.com</t>
  </si>
  <si>
    <t>have sent details on whatsapp waiting for feedback</t>
  </si>
  <si>
    <t>has put it on hold, end of 2020</t>
  </si>
  <si>
    <t>ELDHO MATHAI</t>
  </si>
  <si>
    <t>meldho73@yahoo.com</t>
  </si>
  <si>
    <t>number is wrong</t>
  </si>
  <si>
    <t>ACT 1 ACT 2</t>
  </si>
  <si>
    <t>Mukhallad Almudares</t>
  </si>
  <si>
    <t>mukhallad7@yahoo.com</t>
  </si>
  <si>
    <t>info has been shared on whatsapp</t>
  </si>
  <si>
    <t>Shafaqat Hussain</t>
  </si>
  <si>
    <t>sh418606@gmail.com</t>
  </si>
  <si>
    <t>056 7857735</t>
  </si>
  <si>
    <t>no answer on call nor whatsapp</t>
  </si>
  <si>
    <t>Rafique Muhammad</t>
  </si>
  <si>
    <t>rafeeqm1234@gmail.com</t>
  </si>
  <si>
    <t>0554485205</t>
  </si>
  <si>
    <t>have shared details bu no answer after</t>
  </si>
  <si>
    <t>Burj Crown</t>
  </si>
  <si>
    <t>Sami Ahmed</t>
  </si>
  <si>
    <t>sami6125@yahoo.com</t>
  </si>
  <si>
    <t>Green Square</t>
  </si>
  <si>
    <t>Malik Abbas</t>
  </si>
  <si>
    <t>malikghulamabbas001@gmail.com</t>
  </si>
  <si>
    <t>0509390822</t>
  </si>
  <si>
    <t>interested in green square, have shared details</t>
  </si>
  <si>
    <t>Miah Dudo</t>
  </si>
  <si>
    <t>dodo766667@gmail.com</t>
  </si>
  <si>
    <t>no answer and doesnt have whatsapp</t>
  </si>
  <si>
    <t xml:space="preserve">   Angilee</t>
  </si>
  <si>
    <t>angileeco@yahoo.com</t>
  </si>
  <si>
    <t>looking for something with a 10 year and monthly installmen payment plan, ive offered MAG but even that is too high for him</t>
  </si>
  <si>
    <t>Mukesh Saini</t>
  </si>
  <si>
    <t>katariashashi131@gmail.com</t>
  </si>
  <si>
    <t>speaks only hindi</t>
  </si>
  <si>
    <t>Alok Giri</t>
  </si>
  <si>
    <t>girialokkumar6@gmail.com</t>
  </si>
  <si>
    <t>calls didnt go through, but ive sent whatsapp message</t>
  </si>
  <si>
    <t>Karna Bahadur Giri(Abdul rahaman )</t>
  </si>
  <si>
    <t>abdulrahaman@gamail.com</t>
  </si>
  <si>
    <t>+971567856592</t>
  </si>
  <si>
    <t>he was interested in AR 2 bedroom but as there is none, he was no longer interested</t>
  </si>
  <si>
    <t xml:space="preserve">Arti </t>
  </si>
  <si>
    <t>a.aroraarti@gmail.com</t>
  </si>
  <si>
    <t>was asking for discount in tilal, otherwise looking for distress 2 br</t>
  </si>
  <si>
    <t>Raffy Pijuan</t>
  </si>
  <si>
    <t>raffy.pijuan@gmail.com</t>
  </si>
  <si>
    <t>asked to send an email with details</t>
  </si>
  <si>
    <t>Golf Vita</t>
  </si>
  <si>
    <t>Leila El Mohamed</t>
  </si>
  <si>
    <t>lailool239@hotmail.com</t>
  </si>
  <si>
    <t>asked to send email for golf vita 1br details</t>
  </si>
  <si>
    <t>Merano</t>
  </si>
  <si>
    <t xml:space="preserve">Marie </t>
  </si>
  <si>
    <t>marie.sullivan@abraaj.com</t>
  </si>
  <si>
    <t xml:space="preserve">Masseih bellal </t>
  </si>
  <si>
    <t>masseysf@hotmail.com</t>
  </si>
  <si>
    <t>Looking for a big size 2 br in BB/Downtown</t>
  </si>
  <si>
    <t xml:space="preserve">Aslam </t>
  </si>
  <si>
    <t>freerony@gmail.com</t>
  </si>
  <si>
    <t>looking for cheap 1 br furnished apartment</t>
  </si>
  <si>
    <t>Emaar Southbeach Russia</t>
  </si>
  <si>
    <t>Irina Ris</t>
  </si>
  <si>
    <t>irinariscali@mail.ru</t>
  </si>
  <si>
    <t>Emaar Southbeach Russian Lead</t>
  </si>
  <si>
    <t>Зарина Ионеско</t>
  </si>
  <si>
    <t>zarina.delistoyan.70@mail.ru</t>
  </si>
  <si>
    <t>Adnan  Dubai</t>
  </si>
  <si>
    <t>adnanmaulvidxb@yahoo.com</t>
  </si>
  <si>
    <t>Emaar SouthBeach</t>
  </si>
  <si>
    <t xml:space="preserve"> Andrey Manelyuk</t>
  </si>
  <si>
    <t>manelyuk82@rambler.ru</t>
  </si>
  <si>
    <t>Petrov Vasilii</t>
  </si>
  <si>
    <t>dartboy1861@gmail.com</t>
  </si>
  <si>
    <t>Emaar Beachfront</t>
  </si>
  <si>
    <t>Nathan Sharkey</t>
  </si>
  <si>
    <t>Nathansharkeys@gmail.com</t>
  </si>
  <si>
    <t xml:space="preserve">Wassim Choueiri </t>
  </si>
  <si>
    <t>choueri.w@gmail.com</t>
  </si>
  <si>
    <t>Looking first to get the handover for his current unit and then purchase a new one</t>
  </si>
  <si>
    <t xml:space="preserve">Ilka Hansen </t>
  </si>
  <si>
    <t>hansen.ilka@gmail.com</t>
  </si>
  <si>
    <t>Irina Khan</t>
  </si>
  <si>
    <t>irinakhan@mail.ru</t>
  </si>
  <si>
    <t>Sergei Kim</t>
  </si>
  <si>
    <t>skimo81@gmail.com</t>
  </si>
  <si>
    <t>Tigran Margaryan</t>
  </si>
  <si>
    <t>tigran.margarian@gmail.com</t>
  </si>
  <si>
    <t>waiting to arrive to dubai</t>
  </si>
  <si>
    <t>Андрусенко Алла</t>
  </si>
  <si>
    <t>Enaf100@ukr.net</t>
  </si>
  <si>
    <t>May 2- 2020</t>
  </si>
  <si>
    <t>Василий Иванов</t>
  </si>
  <si>
    <t>coba0225533@gmail.com</t>
  </si>
  <si>
    <t>May 4-2020</t>
  </si>
  <si>
    <t>Emaar South Beach Russian Lead</t>
  </si>
  <si>
    <t>Shuang Tian</t>
  </si>
  <si>
    <t>2967519411@qq.com</t>
  </si>
  <si>
    <t>Zangar</t>
  </si>
  <si>
    <t>kulzan_111@yahoo.co.uk</t>
  </si>
  <si>
    <t>3_bedrooms</t>
  </si>
  <si>
    <t>Telephone</t>
  </si>
  <si>
    <t>BUILDING NAME</t>
  </si>
  <si>
    <t>FLAT NUMBER</t>
  </si>
  <si>
    <t>FLOOR</t>
  </si>
  <si>
    <t>ROOMS DESCRIPTION</t>
  </si>
  <si>
    <t>NATIONALITY</t>
  </si>
  <si>
    <t>FEEDBACK</t>
  </si>
  <si>
    <t>BADER A H ALI ALNAJJAR</t>
  </si>
  <si>
    <t>BADER74KOTC@GMAIL.COM</t>
  </si>
  <si>
    <t>Act One Act Two Tower 2</t>
  </si>
  <si>
    <t>2 B/R</t>
  </si>
  <si>
    <t>Kuwait</t>
  </si>
  <si>
    <t>ABDULHAMID SULAIMAN KHATIM NASSOURI</t>
  </si>
  <si>
    <t>971|50-6617278</t>
  </si>
  <si>
    <t>United Arab Emirates</t>
  </si>
  <si>
    <t>KAMEL BEN MADHI</t>
  </si>
  <si>
    <t>971|50-0</t>
  </si>
  <si>
    <t>Ireland</t>
  </si>
  <si>
    <t>SHARIFAH HASNUN NITA</t>
  </si>
  <si>
    <t>971|55-5564024</t>
  </si>
  <si>
    <t>hanamadhoun@hotmail.com</t>
  </si>
  <si>
    <t>MALAYSIA</t>
  </si>
  <si>
    <t>no answer,  whatsapp sent</t>
  </si>
  <si>
    <t>MOHAMMAD SALEM S BABGI</t>
  </si>
  <si>
    <t>971|50-9665045</t>
  </si>
  <si>
    <t>Saudia</t>
  </si>
  <si>
    <t>ABDULMOHSEN SAAD A ALEIBAN</t>
  </si>
  <si>
    <t>ABDULLA AHMAD ABDULLA ABULHOUL</t>
  </si>
  <si>
    <t>971|50-0506445</t>
  </si>
  <si>
    <t>call failed</t>
  </si>
  <si>
    <t>ABDULAZIZ KHALID A ALBILALI</t>
  </si>
  <si>
    <t>a.azizalbelali@gmail.com</t>
  </si>
  <si>
    <t>1 B/R</t>
  </si>
  <si>
    <t>KOK TAR CHET</t>
  </si>
  <si>
    <t>971|50-6132763</t>
  </si>
  <si>
    <t>h@hotmail.com</t>
  </si>
  <si>
    <t>MHD KAMEL NABIH KANAFANI</t>
  </si>
  <si>
    <t>971|50-6463005</t>
  </si>
  <si>
    <t>Syria</t>
  </si>
  <si>
    <t>REYADH MOHAMMAD N AL JAMAZ</t>
  </si>
  <si>
    <t>971|50-971</t>
  </si>
  <si>
    <t>HUSSAIN S H A ALSHAIKH</t>
  </si>
  <si>
    <t>971|50-9722905</t>
  </si>
  <si>
    <t>1079809949@qq.com</t>
  </si>
  <si>
    <t>mobile switched off</t>
  </si>
  <si>
    <t>AL SAYED ABDULLA ALSAYED MOHAMED ALSAYED ALI AL HASHEMI</t>
  </si>
  <si>
    <t>971|505533338</t>
  </si>
  <si>
    <t>971|50-5852266</t>
  </si>
  <si>
    <t>s.abdullah@alhashemi.ae</t>
  </si>
  <si>
    <t>doesnt want to buy anything but said to call him on the time of the handover to rent out his property</t>
  </si>
  <si>
    <t>MOHAMED ELSAID MOHAMED IBRAHIM ELSISI</t>
  </si>
  <si>
    <t>971|50-4567875</t>
  </si>
  <si>
    <t>melsisi@yahoo.com</t>
  </si>
  <si>
    <t>Egypt</t>
  </si>
  <si>
    <t>SHAHID SHAIK MAQSOOD</t>
  </si>
  <si>
    <t>shaikmaqsood.shahid@gmail.com</t>
  </si>
  <si>
    <t>India</t>
  </si>
  <si>
    <t>MR GEBREHIWOT BERHE DERSSO</t>
  </si>
  <si>
    <t>971|524509870</t>
  </si>
  <si>
    <t>971|52-4509870</t>
  </si>
  <si>
    <t>Ethiopia</t>
  </si>
  <si>
    <t>TALAL HARB S ALZUHAIR</t>
  </si>
  <si>
    <t>971|50-8451045</t>
  </si>
  <si>
    <t>tazwal@me.com</t>
  </si>
  <si>
    <t>LINA JAWDI KHALAF JAMJOUM</t>
  </si>
  <si>
    <t>971|0558362701</t>
  </si>
  <si>
    <t>971|55-8362701</t>
  </si>
  <si>
    <t>Jordan</t>
  </si>
  <si>
    <t>ARSA NAUSHAD</t>
  </si>
  <si>
    <t>nchamdia@gmail.com</t>
  </si>
  <si>
    <t>Pakistan</t>
  </si>
  <si>
    <t xml:space="preserve">not interested at all </t>
  </si>
  <si>
    <t>OLGA SOLOMATINA</t>
  </si>
  <si>
    <t>971|56-2582524</t>
  </si>
  <si>
    <t>Kazakhstan</t>
  </si>
  <si>
    <t>no answer ive sent whatsapp</t>
  </si>
  <si>
    <t>SAEED SULAIMAN KHATIM NASSOURI</t>
  </si>
  <si>
    <t>971|50-0097150</t>
  </si>
  <si>
    <t>United Kingdom</t>
  </si>
  <si>
    <t>call not going through</t>
  </si>
  <si>
    <t>HUDA ALI AHMED ATTIGA</t>
  </si>
  <si>
    <t>971|50-5771126</t>
  </si>
  <si>
    <t>wrong persons number</t>
  </si>
  <si>
    <t>ZIAD HABIB CHAGHOURI</t>
  </si>
  <si>
    <t>971|50-6664836</t>
  </si>
  <si>
    <t>z_chaghouri@hotmail.com</t>
  </si>
  <si>
    <t>Canada</t>
  </si>
  <si>
    <t>NARGES ABDOLREZA GHAFERI</t>
  </si>
  <si>
    <t>971|50-4591726</t>
  </si>
  <si>
    <t>ghaferico@hotmail.com</t>
  </si>
  <si>
    <t>Saint Kitts and Nevis</t>
  </si>
  <si>
    <t>ABDULLA ABDULAZIZ MOHAMED ALI AL HOSANI</t>
  </si>
  <si>
    <t>971|50-0529317</t>
  </si>
  <si>
    <t>YANG CHEN</t>
  </si>
  <si>
    <t>971|50-1075476</t>
  </si>
  <si>
    <t>China</t>
  </si>
  <si>
    <t>JUHA MATTI KALLE RANNISTO</t>
  </si>
  <si>
    <t>971|50-2487375</t>
  </si>
  <si>
    <t>Finland</t>
  </si>
  <si>
    <t>SAIF MOHAMED HAMAD ALZARI ALSHAMSI</t>
  </si>
  <si>
    <t>971|50-8858655</t>
  </si>
  <si>
    <t>0@0.0</t>
  </si>
  <si>
    <t>SEYED RAFE SEYED ALI SAJADI</t>
  </si>
  <si>
    <t>Iran</t>
  </si>
  <si>
    <t>not availabe</t>
  </si>
  <si>
    <t>ABDULRAHMAN ALI A ALGARNI</t>
  </si>
  <si>
    <t>971|50-9665489</t>
  </si>
  <si>
    <t>YUSUKE ORII</t>
  </si>
  <si>
    <t>971|50-9056263</t>
  </si>
  <si>
    <t>Japan</t>
  </si>
  <si>
    <t>TAHA ISMAIL DARUGAR</t>
  </si>
  <si>
    <t>971|50-3882629</t>
  </si>
  <si>
    <t>taha.darugar@yahoo.com</t>
  </si>
  <si>
    <t>KHULOOD KHALID ALI AL ALI</t>
  </si>
  <si>
    <t>KHAWLA RASHED AHMAD ALHUMAIDI ALMHEIRI</t>
  </si>
  <si>
    <t>BARRY STUART SINCLAIR</t>
  </si>
  <si>
    <t>bsinclairuk@yahoo.co.uk</t>
  </si>
  <si>
    <t>PRINCESS HALA BINT ABDULLAH A AL AL SHEIKH</t>
  </si>
  <si>
    <t>971|50-0552755</t>
  </si>
  <si>
    <t>hala.alsheikh@gmail.com</t>
  </si>
  <si>
    <t>ALI RASHID MOHAMMED AL LAMI</t>
  </si>
  <si>
    <t>sent all info on whatsapp</t>
  </si>
  <si>
    <t>SARDAR ABDULLAH HASSAN HASSAN</t>
  </si>
  <si>
    <t>964|56-9647504</t>
  </si>
  <si>
    <t>Iraq</t>
  </si>
  <si>
    <t>mobile off</t>
  </si>
  <si>
    <t>SALAH MOHAMED MOHAMED ALMOKHTAR</t>
  </si>
  <si>
    <t>971|50-7251974</t>
  </si>
  <si>
    <t>Libya</t>
  </si>
  <si>
    <t>EATIMAD ALKHADER AHMED</t>
  </si>
  <si>
    <t>971|50-6689055</t>
  </si>
  <si>
    <t>SEIYA TERAMOTO</t>
  </si>
  <si>
    <t>971|50-8180523</t>
  </si>
  <si>
    <t>MARIUS OLECH</t>
  </si>
  <si>
    <t>971|50-4860166</t>
  </si>
  <si>
    <t>info@atrust.ae</t>
  </si>
  <si>
    <t>Poland</t>
  </si>
  <si>
    <t>MICHAEL HENDRIK ALBERT BRINKMAN</t>
  </si>
  <si>
    <t>971|646742608</t>
  </si>
  <si>
    <t>971|50-3621888</t>
  </si>
  <si>
    <t>m.brinkman@brinkmantransholland.nl</t>
  </si>
  <si>
    <t>Sweden</t>
  </si>
  <si>
    <t>no answer whatsapp sent</t>
  </si>
  <si>
    <t>PER CHRISTER SCHYBERGER</t>
  </si>
  <si>
    <t>971|557570727</t>
  </si>
  <si>
    <t>971|55-7570727</t>
  </si>
  <si>
    <t>Netherlands</t>
  </si>
  <si>
    <t>HASAN GULKAYA</t>
  </si>
  <si>
    <t>90|5332343592</t>
  </si>
  <si>
    <t>90|53-3234359</t>
  </si>
  <si>
    <t>Turkey</t>
  </si>
  <si>
    <t>SARA OSAMA A ABAALKHAIL</t>
  </si>
  <si>
    <t>971|55-5603388</t>
  </si>
  <si>
    <t>ARJUN REDDY TEKULAPALLI</t>
  </si>
  <si>
    <t>phone off</t>
  </si>
  <si>
    <t>ALI ZAFAR KHAWAJA</t>
  </si>
  <si>
    <t>RAM KUMAR SIRISH</t>
  </si>
  <si>
    <t>SULTAN ABDULHALIM I BATAWI</t>
  </si>
  <si>
    <t>sultan.batawi@gmail.com</t>
  </si>
  <si>
    <t>AMBRISH GUPTA</t>
  </si>
  <si>
    <t>971|50-9715073</t>
  </si>
  <si>
    <t>SOFIA BOGDIS</t>
  </si>
  <si>
    <t>971|50-3435203</t>
  </si>
  <si>
    <t>sophie@specialoccasions.ae</t>
  </si>
  <si>
    <t>Australia</t>
  </si>
  <si>
    <t>SAIF JABER SAIF JABER MOHAMED ALSHAMSI</t>
  </si>
  <si>
    <t>971|50-0552554</t>
  </si>
  <si>
    <t>MOHAMED MANSI IBRAHIM HASSAN</t>
  </si>
  <si>
    <t>971|50-8038108</t>
  </si>
  <si>
    <t>ABDOLLAH ALI SADON</t>
  </si>
  <si>
    <t>HUMERA HUSSAIN</t>
  </si>
  <si>
    <t>971|50-0503273</t>
  </si>
  <si>
    <t>NICK TSIKRIKTSIS</t>
  </si>
  <si>
    <t>YADGOUDA VIJAY KALYANI</t>
  </si>
  <si>
    <t>971|506572944</t>
  </si>
  <si>
    <t>971|50-6572944</t>
  </si>
  <si>
    <t>MARYAM MOJTABA KASHANIAN</t>
  </si>
  <si>
    <t>971|50-7706633</t>
  </si>
  <si>
    <t>ANDREA FRONTINI</t>
  </si>
  <si>
    <t>Italy</t>
  </si>
  <si>
    <t>SIDRA QADRI</t>
  </si>
  <si>
    <t>1|2818259174</t>
  </si>
  <si>
    <t>1|50-2818259</t>
  </si>
  <si>
    <t>kabirq@yahoo.com</t>
  </si>
  <si>
    <t>United States of America</t>
  </si>
  <si>
    <t>NISHANT PRABHULAL PAWANI</t>
  </si>
  <si>
    <t>968|50-9926400</t>
  </si>
  <si>
    <t>SALMAN MOHAMMAD SADEGH THAMTAN</t>
  </si>
  <si>
    <t>971|50-0097156</t>
  </si>
  <si>
    <t>JIE YUAN</t>
  </si>
  <si>
    <t>971|52-6358888</t>
  </si>
  <si>
    <t>CARL NOUBAR TACHDJIAN</t>
  </si>
  <si>
    <t>971|502282442</t>
  </si>
  <si>
    <t>971|50-2282442</t>
  </si>
  <si>
    <t>3 B/R</t>
  </si>
  <si>
    <t>Lebanon</t>
  </si>
  <si>
    <t>MOHAMMED ABDULLAH MOHAMMED AL FAREI</t>
  </si>
  <si>
    <t>malfarei@moe.om</t>
  </si>
  <si>
    <t>ALIREZA ALBEHESHTI</t>
  </si>
  <si>
    <t>971|551954994</t>
  </si>
  <si>
    <t>971|55-1954994</t>
  </si>
  <si>
    <t>St Kitts and Nevis</t>
  </si>
  <si>
    <t>ZAHRA GOZAL</t>
  </si>
  <si>
    <t>zahragozel@yahoo.com</t>
  </si>
  <si>
    <t>SAMI IBRAHIM MOHD IDBIES</t>
  </si>
  <si>
    <t>971|50-5554555</t>
  </si>
  <si>
    <t>sidbies@gmail.com</t>
  </si>
  <si>
    <t>SANJAY KUMAR THAKUR</t>
  </si>
  <si>
    <t>sanjaykrthakur@gmail.com</t>
  </si>
  <si>
    <t>LAEEQ FATIMA AKBAR</t>
  </si>
  <si>
    <t>RAFI NEIRO</t>
  </si>
  <si>
    <t>971|50-1514533</t>
  </si>
  <si>
    <t>neiro@nanomedicaldubai.com</t>
  </si>
  <si>
    <t>Germany</t>
  </si>
  <si>
    <t>MOHAMED MOHAMED IBRAHIM</t>
  </si>
  <si>
    <t>MOEZ HASSANALI NATHOO</t>
  </si>
  <si>
    <t>255|784786309</t>
  </si>
  <si>
    <t>255|-7847863</t>
  </si>
  <si>
    <t>moeznathoo@icloud.com</t>
  </si>
  <si>
    <t>Dominica</t>
  </si>
  <si>
    <t>MIHIR RAVINDRA GOSAVI</t>
  </si>
  <si>
    <t>mihirgosavi@yahoo.com</t>
  </si>
  <si>
    <t>RAMZI MOHAMMED ALI HAMOOD</t>
  </si>
  <si>
    <t>Yemen</t>
  </si>
  <si>
    <t>ABDULRAHMAN ABDULLAH M ALSULAIMAN</t>
  </si>
  <si>
    <t>KHALDOUN QASEM KIWAN</t>
  </si>
  <si>
    <t>971|50-7809045</t>
  </si>
  <si>
    <t>MOTI LAL MOHAN LAL BHASSIN</t>
  </si>
  <si>
    <t>971|052-8747474</t>
  </si>
  <si>
    <t>sirishramkumar@gmail.com</t>
  </si>
  <si>
    <t>BERTRAM KUSAY</t>
  </si>
  <si>
    <t>49|177384534</t>
  </si>
  <si>
    <t>49|-1773845</t>
  </si>
  <si>
    <t>SALEH JOMAA M ABDALLA</t>
  </si>
  <si>
    <t>971|50-0000000</t>
  </si>
  <si>
    <t>SAMI HUSSEIN ELBADAOUI</t>
  </si>
  <si>
    <t>971|55-5501377</t>
  </si>
  <si>
    <t>SEYEDAHMADREZA MOHAMMAD MOLLAABDOLSAMAD</t>
  </si>
  <si>
    <t>alireza_vh@hotmail.com</t>
  </si>
  <si>
    <t>NADINE BARAKAT</t>
  </si>
  <si>
    <t>ABIMBOLA ADETOLA AKOMOLAFE</t>
  </si>
  <si>
    <t>aakomolafe@gmail.com</t>
  </si>
  <si>
    <t>RAFI ASEMI</t>
  </si>
  <si>
    <t>971|50-8802900</t>
  </si>
  <si>
    <t>rafi@primaluxury.com</t>
  </si>
  <si>
    <t>ABDULAZIZ SAAD A ALAIBAN</t>
  </si>
  <si>
    <t>971|50-5455993</t>
  </si>
  <si>
    <t>a-n-almina@hotmail.com</t>
  </si>
  <si>
    <t>KEYUR VINODBHAI SHAH</t>
  </si>
  <si>
    <t>971|55-5204329</t>
  </si>
  <si>
    <t>PARVIN MAJIDOVA</t>
  </si>
  <si>
    <t>971|50-0559320</t>
  </si>
  <si>
    <t>Azerbaijan</t>
  </si>
  <si>
    <t>MOHAMAD GHADDAR</t>
  </si>
  <si>
    <t>971|50-2544878</t>
  </si>
  <si>
    <t>EMAD HASSAN SOLIMAN ELSHIRBINY</t>
  </si>
  <si>
    <t>971|0505062620</t>
  </si>
  <si>
    <t>971|50-5062620</t>
  </si>
  <si>
    <t>emad@gmail.com</t>
  </si>
  <si>
    <t>MASOUD REZAEIBAGHBIDI</t>
  </si>
  <si>
    <t>masoud_rezaee29@yahoo.com</t>
  </si>
  <si>
    <t>OLEG SERGEEV</t>
  </si>
  <si>
    <t>971|50-6283504</t>
  </si>
  <si>
    <t>Russia</t>
  </si>
  <si>
    <t>LIANG LIN</t>
  </si>
  <si>
    <t>971|56-6677899</t>
  </si>
  <si>
    <t>83433479@QQ.COM</t>
  </si>
  <si>
    <t>LINRUI WENG</t>
  </si>
  <si>
    <t>971|50-2431832</t>
  </si>
  <si>
    <t>lqtm168@hotmail.com</t>
  </si>
  <si>
    <t>IBRAHIM MOSA A ALZEWAYED</t>
  </si>
  <si>
    <t>971|50-5051402</t>
  </si>
  <si>
    <t>KARAN ABBOTT</t>
  </si>
  <si>
    <t>HAMDAN HUMAID MOHAMED ALI AL HUDAIDI</t>
  </si>
  <si>
    <t>971|501166611</t>
  </si>
  <si>
    <t>971|50-1166611</t>
  </si>
  <si>
    <t>KHALID MOHD F Q AL KHANJI</t>
  </si>
  <si>
    <t>971|50-9745583</t>
  </si>
  <si>
    <t>khalidmf@hotmail.com</t>
  </si>
  <si>
    <t>Qatar</t>
  </si>
  <si>
    <t>SANA MAHMANDAR</t>
  </si>
  <si>
    <t>971|50-5062841</t>
  </si>
  <si>
    <t>LOURDES CHAUDHRI</t>
  </si>
  <si>
    <t>92|50-2138564</t>
  </si>
  <si>
    <t>NOSHEEN MASOOD</t>
  </si>
  <si>
    <t>masood@carcom.net.pk</t>
  </si>
  <si>
    <t>MOHAMMAD RAFE SHAFE ALALI</t>
  </si>
  <si>
    <t>971|527777530</t>
  </si>
  <si>
    <t>971|55-7777530</t>
  </si>
  <si>
    <t>MOHAMED ANWAR RAGHEB KALUTI</t>
  </si>
  <si>
    <t>971|50-2548751</t>
  </si>
  <si>
    <t>mhdkaloti@gmail.com</t>
  </si>
  <si>
    <t>JESPER HOEJER MATHIESEN</t>
  </si>
  <si>
    <t>971|50-2875841</t>
  </si>
  <si>
    <t>sad@gmail.com</t>
  </si>
  <si>
    <t>Denmark</t>
  </si>
  <si>
    <t>AMER ABOULSHAMS</t>
  </si>
  <si>
    <t>amer-shams@hotmail.com</t>
  </si>
  <si>
    <t>HAZEM ANIS MOHAMED ALY ELSHAMY</t>
  </si>
  <si>
    <t>971|55-5451982</t>
  </si>
  <si>
    <t>Act One Act Two Tower 1</t>
  </si>
  <si>
    <t>ABDULRAHMAN MOHAMED A A AL BAKER</t>
  </si>
  <si>
    <t>974|55-0097455</t>
  </si>
  <si>
    <t>MOHAMMED AHMED J M AL JOFAIRI</t>
  </si>
  <si>
    <t>971|50-5852244</t>
  </si>
  <si>
    <t>YOUSEF AHMED J M AL JOFAIRI</t>
  </si>
  <si>
    <t>971|051-3300707</t>
  </si>
  <si>
    <t>SOUFIAN ABDULLFATTAH A YASSINE</t>
  </si>
  <si>
    <t>971|50-3003024</t>
  </si>
  <si>
    <t>MANISH KANCHAN</t>
  </si>
  <si>
    <t>971|55-3884499</t>
  </si>
  <si>
    <t>manish.kanchan@gmail.com</t>
  </si>
  <si>
    <t>AHMED MUBARAK YOUSIF HUMAID</t>
  </si>
  <si>
    <t>971|50-1012220</t>
  </si>
  <si>
    <t>Ahumaid74@gmail.com</t>
  </si>
  <si>
    <t>HATICE MUGE SAYGI</t>
  </si>
  <si>
    <t>7|4959358200</t>
  </si>
  <si>
    <t>7|50-4959358</t>
  </si>
  <si>
    <t>gsaygi@slb.com</t>
  </si>
  <si>
    <t>THANI ABDULRAHMAN SH A AL-KUWARI</t>
  </si>
  <si>
    <t>971|555161654</t>
  </si>
  <si>
    <t>971|55-5161654</t>
  </si>
  <si>
    <t>000@gmail.com</t>
  </si>
  <si>
    <t>AHMED ABDELLATIF ABDELHAMID MOAWAD</t>
  </si>
  <si>
    <t>SAAD MOHAMMED S ALHAMALI</t>
  </si>
  <si>
    <t>SAPNA NAIR</t>
  </si>
  <si>
    <t>MOHAMED ALI AYED METLAQ ALSHIMMARI</t>
  </si>
  <si>
    <t>971|50-0503339</t>
  </si>
  <si>
    <t>gfg7788@hotmail.com</t>
  </si>
  <si>
    <t>SHANKER RAJAGOPALAN SWAMINTHAN</t>
  </si>
  <si>
    <t>971|50-4501187</t>
  </si>
  <si>
    <t>KASIVISWANATHAN</t>
  </si>
  <si>
    <t>971|50-0505846</t>
  </si>
  <si>
    <t>SAMIUDDIN ASLAM</t>
  </si>
  <si>
    <t>aslam@arabicitsol.com</t>
  </si>
  <si>
    <t>ASHRAF MOHAMED HAMED SHERIF</t>
  </si>
  <si>
    <t>MUHAMMAD BASEER</t>
  </si>
  <si>
    <t>971|50-054620</t>
  </si>
  <si>
    <t>ANJALI MARWAHA</t>
  </si>
  <si>
    <t>971|7253066</t>
  </si>
  <si>
    <t>971|50-7253066</t>
  </si>
  <si>
    <t>SARA HAMAD M N AL KHALIFA</t>
  </si>
  <si>
    <t>MANEI MOHAMED ALI ABDULLA BINSHAHEIN</t>
  </si>
  <si>
    <t>971|50-4344161</t>
  </si>
  <si>
    <t>AHMED EMARA</t>
  </si>
  <si>
    <t>971|50-7481242</t>
  </si>
  <si>
    <t>ABDULRAHMAN ABDULMOHSEN A ALFADLEY</t>
  </si>
  <si>
    <t>971|55-2680955</t>
  </si>
  <si>
    <t>aalfadley@hotmail.com</t>
  </si>
  <si>
    <t>MOHAMED ABDEL GHANI YOUSEF HAMMOURI</t>
  </si>
  <si>
    <t>MOHAMMED NAWEED KHAN</t>
  </si>
  <si>
    <t>MUHAMMAD SHAFI</t>
  </si>
  <si>
    <t>92|50-54620</t>
  </si>
  <si>
    <t>TSUBASA YOZAWA</t>
  </si>
  <si>
    <t>971|8233782</t>
  </si>
  <si>
    <t>971|56-8233782</t>
  </si>
  <si>
    <t>yozawa@give-wing.com</t>
  </si>
  <si>
    <t>GAREEMA SHANKAR</t>
  </si>
  <si>
    <t>MOHAMMED MIRZA A AL GHANEM</t>
  </si>
  <si>
    <t>AYAD MAHDI SALIH AL-DARRAJI</t>
  </si>
  <si>
    <t>971|52-9875330</t>
  </si>
  <si>
    <t>000@000.ooo</t>
  </si>
  <si>
    <t>SHABBAB HAMED S ALGHAMDI</t>
  </si>
  <si>
    <t>971|-.</t>
  </si>
  <si>
    <t>SAMIUL KHAN</t>
  </si>
  <si>
    <t>971|50-0501050</t>
  </si>
  <si>
    <t>RAID MOHAMMAD ALKHORAIDLY</t>
  </si>
  <si>
    <t>971|50-5147795</t>
  </si>
  <si>
    <t>KHALID MAHMOOD</t>
  </si>
  <si>
    <t>khaalid321@hotmail.com</t>
  </si>
  <si>
    <t>HONGYAN FANG</t>
  </si>
  <si>
    <t>KOSAI WAJIH DAIOUB</t>
  </si>
  <si>
    <t>WALID FOUAD GHOBRIAL</t>
  </si>
  <si>
    <t>971|50-0506544</t>
  </si>
  <si>
    <t>MUHAMMAD EHSAN AMJAD MUHAMMAD AMJAD</t>
  </si>
  <si>
    <t>92|50-1</t>
  </si>
  <si>
    <t>MUHAMMAD ASHRAF</t>
  </si>
  <si>
    <t>971|50-1121575</t>
  </si>
  <si>
    <t>drmashraf3@yahoo.com</t>
  </si>
  <si>
    <t>AMIR MOHAMED ALI ZWEIL</t>
  </si>
  <si>
    <t>971|56-9353510</t>
  </si>
  <si>
    <t>AYAD BUTT</t>
  </si>
  <si>
    <t>ayadbutt@gmail.com</t>
  </si>
  <si>
    <t>ASHISH ANAND</t>
  </si>
  <si>
    <t>971|55-974339</t>
  </si>
  <si>
    <t>ashisha73@yahoo.com</t>
  </si>
  <si>
    <t>HAMAD ABDULAZIZ H ALSUWAILIM</t>
  </si>
  <si>
    <t>971|56-7850801</t>
  </si>
  <si>
    <t>HAMADSU@YAHOO.COM</t>
  </si>
  <si>
    <t>ABDULLAH MOHAMMED A ALBEED</t>
  </si>
  <si>
    <t>971|50-.</t>
  </si>
  <si>
    <t>ANTOINE ABOU SAMRA</t>
  </si>
  <si>
    <t>971|50-0509433</t>
  </si>
  <si>
    <t>MANOJ KANJIE JOSHI</t>
  </si>
  <si>
    <t>harincharu@yahoo.com</t>
  </si>
  <si>
    <t>FOWZI A H A ALATEEQI</t>
  </si>
  <si>
    <t>fowzikt@yahoo.com</t>
  </si>
  <si>
    <t>ISMAIL JAVAID</t>
  </si>
  <si>
    <t>971|053-2149222</t>
  </si>
  <si>
    <t>SHADI ABDELHAMID MOHAMED ABDELNABI</t>
  </si>
  <si>
    <t>SALMAN YOUSUF SHARIF</t>
  </si>
  <si>
    <t>MAQSOOD AHMED LATIFI</t>
  </si>
  <si>
    <t>971|50-9241995</t>
  </si>
  <si>
    <t>CEO@TRANSLOGISTIXGRPUO.COM</t>
  </si>
  <si>
    <t>HANI YASSINE</t>
  </si>
  <si>
    <t>France</t>
  </si>
  <si>
    <t>BASSAM WAEL ROSHDI KANAAN</t>
  </si>
  <si>
    <t>962|55-0096279</t>
  </si>
  <si>
    <t>SAMINA SOHAIL SHAJANI</t>
  </si>
  <si>
    <t>ZIYAD BASHIR YOUSEF ALAMI</t>
  </si>
  <si>
    <t>ziyadalami@gmail.com</t>
  </si>
  <si>
    <t>KHALID WALEED HAMEED AL HAFIDH</t>
  </si>
  <si>
    <t>khalidwha@ourdk.com</t>
  </si>
  <si>
    <t>FARHAN ALI</t>
  </si>
  <si>
    <t>TANWEER HANIF</t>
  </si>
  <si>
    <t>971|56-6580282</t>
  </si>
  <si>
    <t>nice_rubber@yahoo.com</t>
  </si>
  <si>
    <t>RAHUL BHATIA</t>
  </si>
  <si>
    <t>971|-9743358</t>
  </si>
  <si>
    <t>WILLIAM KHALIL</t>
  </si>
  <si>
    <t>ZAINAB WALED HAMEED ALHAFZ</t>
  </si>
  <si>
    <t>971|0</t>
  </si>
  <si>
    <t>WASAN WALEED HAMEED ALHAFIDH</t>
  </si>
  <si>
    <t>971|50-0504243</t>
  </si>
  <si>
    <t>SHAHAD WALEED HAMEED</t>
  </si>
  <si>
    <t>KHAWLA SALEM NASSER ALI ALBADI</t>
  </si>
  <si>
    <t>971|50-0506137</t>
  </si>
  <si>
    <t>SAMMY SARDOU</t>
  </si>
  <si>
    <t>971|55-2367086</t>
  </si>
  <si>
    <t>sammy@sardou.me</t>
  </si>
  <si>
    <t>IQBAL ABDUL KARIM DADA</t>
  </si>
  <si>
    <t>971|50-9292832</t>
  </si>
  <si>
    <t>iqdada14@gmail.com</t>
  </si>
  <si>
    <t>Malawi</t>
  </si>
  <si>
    <t>ABDULLA MOHAMMED ALI ALSALHADI ALSHEHHI</t>
  </si>
  <si>
    <t>971|51-8665884</t>
  </si>
  <si>
    <t>AHMAD KENAN ALHOMSI</t>
  </si>
  <si>
    <t>971|50-0096656</t>
  </si>
  <si>
    <t>ANAS MOHMAID G ISMAIL</t>
  </si>
  <si>
    <t>971|501103000</t>
  </si>
  <si>
    <t>971|50-1103000</t>
  </si>
  <si>
    <t>ANASISMAIL78@YAHOO.COM</t>
  </si>
  <si>
    <t>HUSSAMM EDDIN M FAKHR EDDIN MAATOUK</t>
  </si>
  <si>
    <t>HUSSAMM@HOTMAIL.COM</t>
  </si>
  <si>
    <t>FARID SALEM ABUSHNEBA</t>
  </si>
  <si>
    <t>ABDULAZIZ EISSA I ALEISSA</t>
  </si>
  <si>
    <t>971|55-5829672</t>
  </si>
  <si>
    <t>KAWAL TANWEER</t>
  </si>
  <si>
    <t>HESHAM SALEM AL-ABED SBAYTEH</t>
  </si>
  <si>
    <t>971|50-9275454</t>
  </si>
  <si>
    <t>SBAYTEH@GMAIL.COM</t>
  </si>
  <si>
    <t>ARUN UPADHYAY</t>
  </si>
  <si>
    <t>971|50-1083745</t>
  </si>
  <si>
    <t>SAMEER ABDULRAHMANI I KHAYYAT</t>
  </si>
  <si>
    <t>VIKRAM BHATIA</t>
  </si>
  <si>
    <t>PARVIN EDRISI</t>
  </si>
  <si>
    <t>AHMED MOQBEL AHMED ALMOKBILY</t>
  </si>
  <si>
    <t>2239183-04</t>
  </si>
  <si>
    <t>SALEM ABDULAZIZ M ALANGARI</t>
  </si>
  <si>
    <t>971|50-2946857</t>
  </si>
  <si>
    <t>qw@hotmail.com</t>
  </si>
  <si>
    <t>MUBARAK FALAH HAMOUD JARA AL QAHTANI</t>
  </si>
  <si>
    <t>MAMDUH MOHAMMED HASSAN ALLAM</t>
  </si>
  <si>
    <t>971|50-9665004</t>
  </si>
  <si>
    <t>WALID GEORGES BARAKE</t>
  </si>
  <si>
    <t>RAABIA ELAHI FARUQUI</t>
  </si>
  <si>
    <t>MOHD KHALED WALID MOHD ALJITAN</t>
  </si>
  <si>
    <t>971|50-0096279</t>
  </si>
  <si>
    <t>JASIM MOHAMED ALI HASAN ALMARZOOQI</t>
  </si>
  <si>
    <t>SANJIV DALMIA</t>
  </si>
  <si>
    <t>971|052-1006094</t>
  </si>
  <si>
    <t>HIND MUHAMMAD S M AL MUSFIR</t>
  </si>
  <si>
    <t>974|-9659901</t>
  </si>
  <si>
    <t>AHMED ALI MOHAMMED ABURAHAIMA</t>
  </si>
  <si>
    <t>PURNIMA SINGH</t>
  </si>
  <si>
    <t>Nepal</t>
  </si>
  <si>
    <t>FAHED KHALED ABDELAZIZ GHANIM</t>
  </si>
  <si>
    <t>SATTAM IBRAHIM S ALSHETHRI</t>
  </si>
  <si>
    <t>JAWAD SAEED JAWAD</t>
  </si>
  <si>
    <t>820091-02</t>
  </si>
  <si>
    <t>MUHAMED ASH HAR</t>
  </si>
  <si>
    <t>971|507471367</t>
  </si>
  <si>
    <t>971|50-7471367</t>
  </si>
  <si>
    <t>MARIO SARNATARO</t>
  </si>
  <si>
    <t>971|50-1452955</t>
  </si>
  <si>
    <t>mario@agk.ae</t>
  </si>
  <si>
    <t>GHANIM MAARIJ OLEIWI DALFI</t>
  </si>
  <si>
    <t>971|51-9178236</t>
  </si>
  <si>
    <t>ghanim@oilserv.com</t>
  </si>
  <si>
    <t>HASAN ABDULLAH ALJARALLAH</t>
  </si>
  <si>
    <t>haljaralla@hotmail.com</t>
  </si>
  <si>
    <t>OMAR HUSSEIN YOUNUS ALRIFAIE</t>
  </si>
  <si>
    <t>971|50-0502253</t>
  </si>
  <si>
    <t>HASSAN TOUKAN</t>
  </si>
  <si>
    <t>JAWAHIR ABDULLA MOHAMMAD BIN SULAIMAN ALSHEHHI</t>
  </si>
  <si>
    <t>NADER SALEH NASSER HUSAIN ALAWLAQI</t>
  </si>
  <si>
    <t>SAEED ALI ALIZADEH</t>
  </si>
  <si>
    <t>GHADA ABDULLAH HASAN YABROUDI</t>
  </si>
  <si>
    <t>971|50-0506761</t>
  </si>
  <si>
    <t>M GHAYTH MAATOUK</t>
  </si>
  <si>
    <t>971|50-0096171</t>
  </si>
  <si>
    <t>HAMDY ABDOU KHALAFALLA ABDELAZIZ</t>
  </si>
  <si>
    <t>971|50-3908277</t>
  </si>
  <si>
    <t>MICHEL PIERRE JEAN NOBLET</t>
  </si>
  <si>
    <t>SAIFUZZAMAN CHOWDHURY</t>
  </si>
  <si>
    <t>971|1711723456</t>
  </si>
  <si>
    <t>971|50-3505454</t>
  </si>
  <si>
    <t>altabuameen@gmail.com</t>
  </si>
  <si>
    <t>Bangladesh</t>
  </si>
  <si>
    <t>AMAL BELAL OBAID MOHAMED ALMHEIRI</t>
  </si>
  <si>
    <t>971|50-0504439</t>
  </si>
  <si>
    <t>ABHINN ANIL SHAH</t>
  </si>
  <si>
    <t>971|--</t>
  </si>
  <si>
    <t>LEENA SURI</t>
  </si>
  <si>
    <t>AHMED ALFARA</t>
  </si>
  <si>
    <t>971|0097455513</t>
  </si>
  <si>
    <t>971|50-5500468</t>
  </si>
  <si>
    <t>a.alfara@hotmail.com</t>
  </si>
  <si>
    <t>Austria</t>
  </si>
  <si>
    <t>HISHAM TOUKAN</t>
  </si>
  <si>
    <t>WENJIN PAN</t>
  </si>
  <si>
    <t>971|56-1533818</t>
  </si>
  <si>
    <t>SALEH HASSAN S ALRUWAITE</t>
  </si>
  <si>
    <t>971|50-5554076</t>
  </si>
  <si>
    <t>sruwaite@gulfabram.com.sa</t>
  </si>
  <si>
    <t>JE HOON LEE</t>
  </si>
  <si>
    <t>971|50-0563923</t>
  </si>
  <si>
    <t>none</t>
  </si>
  <si>
    <t>KSHITIJ CHAUDHARY</t>
  </si>
  <si>
    <t>971|-0568278</t>
  </si>
  <si>
    <t>RASHED SALEM RASHED SALEM ALSAEDI</t>
  </si>
  <si>
    <t>971|50-6919999</t>
  </si>
  <si>
    <t>FREDERIC ANDRE ROGER CLEMENT</t>
  </si>
  <si>
    <t>ABDULMAJEED ABDULLA HUSSAIN ABDULKARIM MALEK</t>
  </si>
  <si>
    <t>971|50-6242090</t>
  </si>
  <si>
    <t>abdulmajeed.malek@enoc.com</t>
  </si>
  <si>
    <t>RONGRONG CHEN</t>
  </si>
  <si>
    <t>971|50-0561533</t>
  </si>
  <si>
    <t>AHMAD ALBALAWI</t>
  </si>
  <si>
    <t>971|504005488</t>
  </si>
  <si>
    <t>971|50-4005488</t>
  </si>
  <si>
    <t>Croatia</t>
  </si>
  <si>
    <t>MASOOD UZ ZAMAN AKHTAR MUHAMMAD AKHTAR PERVAIZ</t>
  </si>
  <si>
    <t>971|50-7832831</t>
  </si>
  <si>
    <t>PUSHPA CHAUDHARY</t>
  </si>
  <si>
    <t>OMAR ABDULLAH HASAN YABROUDI</t>
  </si>
  <si>
    <t>PARAG BHASIN</t>
  </si>
  <si>
    <t>FARIAH KHAN</t>
  </si>
  <si>
    <t>971|50-3237613</t>
  </si>
  <si>
    <t>ROBERT ASHIE KOTEI</t>
  </si>
  <si>
    <t>971|50-2332444</t>
  </si>
  <si>
    <t>rakotei@hotmail.com</t>
  </si>
  <si>
    <t>Ghana</t>
  </si>
  <si>
    <t>HORREYA ADLY SALEH LAMLOUM</t>
  </si>
  <si>
    <t>971|50-5695661</t>
  </si>
  <si>
    <t>LAMIA ABDULAZIZ MOHAMMAD KHAN ABDULLA</t>
  </si>
  <si>
    <t>971|50-0505500</t>
  </si>
  <si>
    <t>ASHISH RATHI</t>
  </si>
  <si>
    <t>monibaba@rediffmail.com</t>
  </si>
  <si>
    <t>KAMRAN FEROZ</t>
  </si>
  <si>
    <t>AMER ABDULRIDHA ABDULHADI AL ANI</t>
  </si>
  <si>
    <t>SAJED JASSIM M S AL AGHAKHANI</t>
  </si>
  <si>
    <t>971|50-4440117</t>
  </si>
  <si>
    <t>sajed1@me.com</t>
  </si>
  <si>
    <t>KHALID AHMAD M A ALZAINI</t>
  </si>
  <si>
    <t>974|54-9745555</t>
  </si>
  <si>
    <t>SHAHID NAWAZ</t>
  </si>
  <si>
    <t>SHEDI66@HOTMAIL.COM</t>
  </si>
  <si>
    <t>AMIR ALI ZINDANI</t>
  </si>
  <si>
    <t>EDIN LJUBUNCIC</t>
  </si>
  <si>
    <t>971|568744480</t>
  </si>
  <si>
    <t>971|56-8744480</t>
  </si>
  <si>
    <t>info@vipservices.ba</t>
  </si>
  <si>
    <t>Bosnia</t>
  </si>
  <si>
    <t>JABER ARHAMA OBAID ALZAFFIN ALMHEIRI</t>
  </si>
  <si>
    <t>971|50-4200111</t>
  </si>
  <si>
    <t>WAEL HASSAN AWADALLA SHEHADAH</t>
  </si>
  <si>
    <t>PRABHJOT SINGH KUMAR</t>
  </si>
  <si>
    <t>prabhjot.singh@outlook.com</t>
  </si>
  <si>
    <t>YIXIN SU</t>
  </si>
  <si>
    <t>events.drei@dubailand.gov.ae</t>
  </si>
  <si>
    <t>VERA ALEXANDRA ZABUMBA RIBEIRO</t>
  </si>
  <si>
    <t>971|56-3580143</t>
  </si>
  <si>
    <t>Portugal</t>
  </si>
  <si>
    <t>AUGUSTO ORDONEZ ESPANA</t>
  </si>
  <si>
    <t>34|50-0075839</t>
  </si>
  <si>
    <t>Spain</t>
  </si>
  <si>
    <t>KHALID HUSSAIN</t>
  </si>
  <si>
    <t>ABDUSSALAM MASSUD ABDULKARIM</t>
  </si>
  <si>
    <t>971|50-4546158</t>
  </si>
  <si>
    <t>MAHA KH A AL HASANI</t>
  </si>
  <si>
    <t>971|50-0505456</t>
  </si>
  <si>
    <t>FAHAD ABDULLAH N ALKHAMEES</t>
  </si>
  <si>
    <t>fahad.a.alkhamees@gmail.com</t>
  </si>
  <si>
    <t>SHAIKH SALEM ABDULRAHMAN SALEM SULTAN ALQASSIMI</t>
  </si>
  <si>
    <t>971|50-0506337</t>
  </si>
  <si>
    <t>ABDULLA THAMER S S AL HUMAIDI</t>
  </si>
  <si>
    <t>971|0552396018</t>
  </si>
  <si>
    <t>971|55-2396018</t>
  </si>
  <si>
    <t>akt@qatar.net.qa</t>
  </si>
  <si>
    <t>BASMAH OTHAYEB M ALROWAILY</t>
  </si>
  <si>
    <t>971|50-3965156</t>
  </si>
  <si>
    <t>HISHAM IBRAHIM S MALAIKA</t>
  </si>
  <si>
    <t>MAHA ABOU GHAZALE</t>
  </si>
  <si>
    <t>SEYEDVAHID MOHAMMAD MOLLAABDOLSAMAD</t>
  </si>
  <si>
    <t>vtavako16@gmail.com</t>
  </si>
  <si>
    <t>BADER BRAHIM B ALSUWAILEM</t>
  </si>
  <si>
    <t>FATEN SALEM NASSER AJAJ ALSEIARI</t>
  </si>
  <si>
    <t>MAHOMED HANIF ABOO</t>
  </si>
  <si>
    <t>South Africa</t>
  </si>
  <si>
    <t>REZARTA RAPAJ</t>
  </si>
  <si>
    <t>44|7454556161</t>
  </si>
  <si>
    <t>44|50-7454556</t>
  </si>
  <si>
    <t>Greece</t>
  </si>
  <si>
    <t>ATHWA TH J THANI</t>
  </si>
  <si>
    <t>GHAZI AHMED SALEH MAQHAD ALAWLAQI</t>
  </si>
  <si>
    <t>AMJAD HAFEEZ</t>
  </si>
  <si>
    <t>971|50-2706918</t>
  </si>
  <si>
    <t>amjadh430@gmail.com</t>
  </si>
  <si>
    <t>PEDRO SARAIVA RIBEIRO DA SILVA</t>
  </si>
  <si>
    <t>SALIM ABDULLAH FARAJ AL AWADI</t>
  </si>
  <si>
    <t>salimalawadi@gmail.com</t>
  </si>
  <si>
    <t>Oman</t>
  </si>
  <si>
    <t>DINA AZNAGULOVA</t>
  </si>
  <si>
    <t>ABID FATEH MOHAMED KHATRI</t>
  </si>
  <si>
    <t>971|50-9967976</t>
  </si>
  <si>
    <t>KHALID MOHAMED ELHASSAN MOHAMED MANSOUR</t>
  </si>
  <si>
    <t>Sudan</t>
  </si>
  <si>
    <t>SHEILA OTHAYEB M ALROWAILY</t>
  </si>
  <si>
    <t>971|56-8266061</t>
  </si>
  <si>
    <t>MOHAMMAD AHMAD MOHAMMAD JOUDEH</t>
  </si>
  <si>
    <t>971|50-0096650</t>
  </si>
  <si>
    <t>NOORULDEEN ZWAYEN RADHI AL SAADI</t>
  </si>
  <si>
    <t>Dominican Republic</t>
  </si>
  <si>
    <t>NOUBAR SOFOIAN</t>
  </si>
  <si>
    <t>OTHMAN ABDULLAH S AFIF</t>
  </si>
  <si>
    <t>971|50-5618158</t>
  </si>
  <si>
    <t>A0505618158@GMAIL.COM</t>
  </si>
  <si>
    <t>RIYAZ DAMJI</t>
  </si>
  <si>
    <t>971|6268746</t>
  </si>
  <si>
    <t>971|50-6268746</t>
  </si>
  <si>
    <t>RDAMJI@HOTMAIL.COM</t>
  </si>
  <si>
    <t>FAISAL ADBELKARIM ABDALLA MOHAMED</t>
  </si>
  <si>
    <t>971|50-6527649</t>
  </si>
  <si>
    <t>nader_abdalla@yahoo.co.uk</t>
  </si>
  <si>
    <t>SAAD MOHAMMED S ALDHAHRI</t>
  </si>
  <si>
    <t>971|55-5677944</t>
  </si>
  <si>
    <t>DARISAAD@GMAIL.COM</t>
  </si>
  <si>
    <t>AHMAD KATANI</t>
  </si>
  <si>
    <t>PARESH KUMAR NAVIN SHAH</t>
  </si>
  <si>
    <t>971|52-8900822</t>
  </si>
  <si>
    <t>BAHAELDIN MOHAMED SALAHELDIN ABOUELGHEIT</t>
  </si>
  <si>
    <t>971|50-6586846</t>
  </si>
  <si>
    <t>ABUBAKR ABDULLAH S AFIF</t>
  </si>
  <si>
    <t>MUHAMMED HUSSAM FAEZ KAHALEEH</t>
  </si>
  <si>
    <t>971|026341751</t>
  </si>
  <si>
    <t>971|50-6669374</t>
  </si>
  <si>
    <t>MOHAMMAD SALSAL</t>
  </si>
  <si>
    <t>EYAD ALBAREE</t>
  </si>
  <si>
    <t>971|52-7887648</t>
  </si>
  <si>
    <t>ealbaree@gmail.com</t>
  </si>
  <si>
    <t>SADHIA EHSAN KHAN</t>
  </si>
  <si>
    <t>44|54-4478750</t>
  </si>
  <si>
    <t>SUNISHA CHANDHOK</t>
  </si>
  <si>
    <t>WESAM MHD ZOHER AL KHAYAT</t>
  </si>
  <si>
    <t>963|53-9665062</t>
  </si>
  <si>
    <t>RAVI MANOHAR BAKHRU</t>
  </si>
  <si>
    <t>ADEL SAEED IBRAHIM AL QASEM</t>
  </si>
  <si>
    <t>AMAL KAMALELDIN MOHAMED FARAG</t>
  </si>
  <si>
    <t>YASER NAZEER</t>
  </si>
  <si>
    <t>SHAKEEL YOUSUF ISHAQJI</t>
  </si>
  <si>
    <t>971|50-0504624</t>
  </si>
  <si>
    <t>AHMED T MOUSSA</t>
  </si>
  <si>
    <t>971|-0096650</t>
  </si>
  <si>
    <t>AZAM JAVANMARD</t>
  </si>
  <si>
    <t>marjavan@gmail.com</t>
  </si>
  <si>
    <t>BADAR AKBAR</t>
  </si>
  <si>
    <t>971|50-6551849</t>
  </si>
  <si>
    <t>SAMIR HUSSAIN HAMDAN SAJWANI</t>
  </si>
  <si>
    <t>YOUSEF A H ALBADER</t>
  </si>
  <si>
    <t>971|50-3788397</t>
  </si>
  <si>
    <t>dryalbader@gmail.com</t>
  </si>
  <si>
    <t>JAMAL KHUBIEH</t>
  </si>
  <si>
    <t>971|52-7739645</t>
  </si>
  <si>
    <t>Cyprus</t>
  </si>
  <si>
    <t>JOSEPH HAJJAR</t>
  </si>
  <si>
    <t>971|50-0020100</t>
  </si>
  <si>
    <t>DARSHAN KAUR PERMINDER SINGH</t>
  </si>
  <si>
    <t>254 722 514442</t>
  </si>
  <si>
    <t>perminder037@gmail.com</t>
  </si>
  <si>
    <t>Kenya</t>
  </si>
  <si>
    <t>FAISAL MOHD NAZIH ISMAIL QAMHIYAH</t>
  </si>
  <si>
    <t>MOHAMMED ABDULLA FALAH JABER AL AHBABI</t>
  </si>
  <si>
    <t>malahbabi@live.com</t>
  </si>
  <si>
    <t>RUTUL ASIT GANDHI</t>
  </si>
  <si>
    <t>971|55-8026044</t>
  </si>
  <si>
    <t>gandhirutul@gmail.com</t>
  </si>
  <si>
    <t>Belgium</t>
  </si>
  <si>
    <t>BASSAM TOUFIQ SHAKER SHAKHSHIR</t>
  </si>
  <si>
    <t>971|50-0506401</t>
  </si>
  <si>
    <t>REZA FARAJI JOBANI</t>
  </si>
  <si>
    <t>971|50-0566180</t>
  </si>
  <si>
    <t>HANI ABDULRAHMAN A AL MAIMANI</t>
  </si>
  <si>
    <t>971|50-6579272</t>
  </si>
  <si>
    <t>ham2022@yahoo.com</t>
  </si>
  <si>
    <t>ISMAIL AHMAD ABDULHAMID ALZAROONI</t>
  </si>
  <si>
    <t>971|3400858</t>
  </si>
  <si>
    <t>abdelhaiahmed79@gmail.com</t>
  </si>
  <si>
    <t>AFSHAN SHAHEEN</t>
  </si>
  <si>
    <t>971|50-3947484</t>
  </si>
  <si>
    <t>LATIFA ABDULNOOR BAQER ALTAWHIDI</t>
  </si>
  <si>
    <t>971|55-6529990</t>
  </si>
  <si>
    <t>JAMAL ABDULRAHIM H JOMAH</t>
  </si>
  <si>
    <t>971|50-9665058</t>
  </si>
  <si>
    <t>jamaldr@gmail.com</t>
  </si>
  <si>
    <t>ABDULMOHSEN MOHAMMED I ALGHAMDI</t>
  </si>
  <si>
    <t>am@optcl.net</t>
  </si>
  <si>
    <t>ASHOK ISSARDAS BHOJWANI</t>
  </si>
  <si>
    <t>MEDHAT AHMED ABDELAAL MOHAMED KESHK</t>
  </si>
  <si>
    <t>medhatkeshk@hotmail.com</t>
  </si>
  <si>
    <t>FAWAZ ABDULFATTAH M ALMUTLAQ</t>
  </si>
  <si>
    <t>IMAN ALAL MOUIMI</t>
  </si>
  <si>
    <t>HEMANT CHANDRAKANT RATHOD</t>
  </si>
  <si>
    <t>971|50-3913697</t>
  </si>
  <si>
    <t>HOUSSAM EL BADAOUI</t>
  </si>
  <si>
    <t>Brazil</t>
  </si>
  <si>
    <t>SARINTIP RORWIYAN</t>
  </si>
  <si>
    <t>971|50-6501946</t>
  </si>
  <si>
    <t>sulaiya.k@gmail.com</t>
  </si>
  <si>
    <t>Thailand</t>
  </si>
  <si>
    <t>ABDULLA AHMED ABDULLA SALEM ALZAABI</t>
  </si>
  <si>
    <t>971|50-2322299</t>
  </si>
  <si>
    <t>FAHAD H A S ALSHAMLAN</t>
  </si>
  <si>
    <t>971|50-9656099</t>
  </si>
  <si>
    <t>fahad.alshamlan@gmail.com</t>
  </si>
  <si>
    <t>QINGHUI HU</t>
  </si>
  <si>
    <t>971|-2519125</t>
  </si>
  <si>
    <t>SEYED MASSOUD SEYED ALI NABAVI</t>
  </si>
  <si>
    <t>971|50-6445072</t>
  </si>
  <si>
    <t>AJAY KUMAR KEJRIWAL</t>
  </si>
  <si>
    <t>44|54-4478245</t>
  </si>
  <si>
    <t>THANI ABDULLA KHALIFA ALMARRI</t>
  </si>
  <si>
    <t>971|50-6255054</t>
  </si>
  <si>
    <t>KHALIFA ALI AHMED ALBALOOSHI</t>
  </si>
  <si>
    <t>khalifabibibi@yahoo.com</t>
  </si>
  <si>
    <t>MEDHAT AHMED HASSAN GHOZZI</t>
  </si>
  <si>
    <t>YAZEED SAMI FAHID JOUDEH</t>
  </si>
  <si>
    <t>YASSER MOHAMED FATHY AHMED KHALIFA</t>
  </si>
  <si>
    <t>yasserfathi2@hotmail.com</t>
  </si>
  <si>
    <t>MAHMOUD MOHAMMAD ABOOTORABIGAH</t>
  </si>
  <si>
    <t>971|50-0551021</t>
  </si>
  <si>
    <t>H.E ABDUL JALEEL ABDUL RAHMAN MOHD ALBLOUKI</t>
  </si>
  <si>
    <t>971|0554570666</t>
  </si>
  <si>
    <t>971|50-2520008</t>
  </si>
  <si>
    <t>info@goldpillars.ae</t>
  </si>
  <si>
    <t>NASSER ABDULATIF S ALBABTAIN</t>
  </si>
  <si>
    <t>PERVEZ IQBAL SHEIKH</t>
  </si>
  <si>
    <t>971|56-0566673</t>
  </si>
  <si>
    <t>EMAD ABDULRAHMAN A BO SUBAIT</t>
  </si>
  <si>
    <t>busubaea@aramco.com</t>
  </si>
  <si>
    <t>KEDARNATH GUPTA</t>
  </si>
  <si>
    <t>971|0557478822</t>
  </si>
  <si>
    <t>971|55-7478822</t>
  </si>
  <si>
    <t>asma@kginternational.com</t>
  </si>
  <si>
    <t>RALPH JEAN ROBERT NOBLET</t>
  </si>
  <si>
    <t>971|55-8171180</t>
  </si>
  <si>
    <t>RALPHNOBLET@ME.COM</t>
  </si>
  <si>
    <t>name</t>
  </si>
  <si>
    <t>phone</t>
  </si>
  <si>
    <t>email</t>
  </si>
  <si>
    <t>mobile</t>
  </si>
  <si>
    <t>nationality</t>
  </si>
  <si>
    <t>P-NUMBER</t>
  </si>
  <si>
    <t>Feedback</t>
  </si>
  <si>
    <t>SALAR MUSTAFA HAKIM</t>
  </si>
  <si>
    <t>muhamadiraqe@hotmail.com</t>
  </si>
  <si>
    <t>971|50-4374443</t>
  </si>
  <si>
    <t>THE COVE Building 1</t>
  </si>
  <si>
    <t>HUSSEIN AHMED YASLAM BA AMER</t>
  </si>
  <si>
    <t>hbaamer@hotmail.com</t>
  </si>
  <si>
    <t>ABRAR MEDHAT M BUKHARI</t>
  </si>
  <si>
    <t>abrar.bukhari@yahoo.com</t>
  </si>
  <si>
    <t>966|506565151</t>
  </si>
  <si>
    <t>THE COVE Building 2</t>
  </si>
  <si>
    <t>would be interested to sell or rent her property out</t>
  </si>
  <si>
    <t>BASMA N F AL SAWALHA</t>
  </si>
  <si>
    <t>971|561139988</t>
  </si>
  <si>
    <t>971|56-1139988</t>
  </si>
  <si>
    <t>she's a broker and already knows about this service</t>
  </si>
  <si>
    <t>IHAB ELSAYYED ABDELHALIM HAGGAG</t>
  </si>
  <si>
    <t>FARIS KHALED HAKEEM</t>
  </si>
  <si>
    <t>971|55-1039008</t>
  </si>
  <si>
    <t>not interested to buy a new unit but might need help in the future for renting his property, as still didnt decide</t>
  </si>
  <si>
    <t>QUDSAYAH HUSSAIN A ALHASHIM</t>
  </si>
  <si>
    <t>dosy999@hotmail.com</t>
  </si>
  <si>
    <t>971|50-5072022</t>
  </si>
  <si>
    <t>971|507202222</t>
  </si>
  <si>
    <t>JIN ZOU</t>
  </si>
  <si>
    <t>971|564479638</t>
  </si>
  <si>
    <t>TINGTING CHAI</t>
  </si>
  <si>
    <t>hjhjhj@jghj.ghgh</t>
  </si>
  <si>
    <t>971|51-5065874</t>
  </si>
  <si>
    <t>971|2926262</t>
  </si>
  <si>
    <t>RAUL ALFREDO GARRIDO CRUZ</t>
  </si>
  <si>
    <t>971|556000751</t>
  </si>
  <si>
    <t>Venezuela</t>
  </si>
  <si>
    <t>wrong person</t>
  </si>
  <si>
    <t>AYSHA KHAMIS SAEED ALJALLAF ALMHEIRI</t>
  </si>
  <si>
    <t>971|50-5050157</t>
  </si>
  <si>
    <t>Abdullah Ibrahim S Al Hamdan</t>
  </si>
  <si>
    <t>aishamdan@hotmail.com</t>
  </si>
  <si>
    <t>he knows about the facilitation and is not interested</t>
  </si>
  <si>
    <t>SHEIKHA ATIQ JUMA ALI DARWEISH ALMUHAIRY</t>
  </si>
  <si>
    <t>971|50-2488842</t>
  </si>
  <si>
    <t xml:space="preserve">is not interested </t>
  </si>
  <si>
    <t>QUN ZHAO</t>
  </si>
  <si>
    <t>971|50-5591251</t>
  </si>
  <si>
    <t>SAKEENA HUSAIN AHMED</t>
  </si>
  <si>
    <t>971|556741555</t>
  </si>
  <si>
    <t>971|55-6741555</t>
  </si>
  <si>
    <t>RUFIN SIMPLICE MALIKO</t>
  </si>
  <si>
    <t>rsmaliko@gmail.com</t>
  </si>
  <si>
    <t>971|544338883</t>
  </si>
  <si>
    <t>RANJISHA LATHA RAGHAVAN</t>
  </si>
  <si>
    <t>971|50-5966908</t>
  </si>
  <si>
    <t>maybe interested, has to talk with her husband, call back tomorro</t>
  </si>
  <si>
    <t>JIN OU</t>
  </si>
  <si>
    <t>oujin@cnpeint.com</t>
  </si>
  <si>
    <t>971|56-8561580</t>
  </si>
  <si>
    <t>NASREEN ELAHI ELAHI BUX BALOCH</t>
  </si>
  <si>
    <t>971|0553973786</t>
  </si>
  <si>
    <t>971|50-6500442</t>
  </si>
  <si>
    <t>MARTIAL BEAUVALLON</t>
  </si>
  <si>
    <t>971|50-7543060</t>
  </si>
  <si>
    <t>971|507543060</t>
  </si>
  <si>
    <t>FRANCK JEAN HANSE</t>
  </si>
  <si>
    <t>ABDALLAH AHID ABDALLAH GHAITH</t>
  </si>
  <si>
    <t>a.ghaith@algargawigroup.com</t>
  </si>
  <si>
    <t>might be interested, asked to send a message explaining everyting</t>
  </si>
  <si>
    <t>HAWAZEN MOHAMMED S ALDOHAN</t>
  </si>
  <si>
    <t>hawazen.aldohan@gmail.com</t>
  </si>
  <si>
    <t>971|50-5552088</t>
  </si>
  <si>
    <t>SALEH HUSSAIN S ALLUKMAN</t>
  </si>
  <si>
    <t>meshal.e350@gmail.com</t>
  </si>
  <si>
    <t>971|50-5558880</t>
  </si>
  <si>
    <t>971|555888069</t>
  </si>
  <si>
    <t>PENG SUN</t>
  </si>
  <si>
    <t>971|1819829</t>
  </si>
  <si>
    <t>SAMIR ASAD SAID SALMAN</t>
  </si>
  <si>
    <t>971|50-6418909</t>
  </si>
  <si>
    <t>QUTAMI MOHD ABDULRAHMAN BIN QUTAMI AL SUWAIDI</t>
  </si>
  <si>
    <t>2611169-04</t>
  </si>
  <si>
    <t>wants to sell his property, works in dld</t>
  </si>
  <si>
    <t xml:space="preserve">not intersted </t>
  </si>
  <si>
    <t xml:space="preserve">not interested  </t>
  </si>
  <si>
    <t>IBRAHIM FELAK</t>
  </si>
  <si>
    <t>971|50-1443457</t>
  </si>
  <si>
    <t>971|1443457936</t>
  </si>
  <si>
    <t>THE COVE Building 3</t>
  </si>
  <si>
    <t>G03</t>
  </si>
  <si>
    <t>G</t>
  </si>
  <si>
    <t>JIBRIL GERESU HABIB</t>
  </si>
  <si>
    <t>971|55-1424206</t>
  </si>
  <si>
    <t>251|1911205270</t>
  </si>
  <si>
    <t>G04</t>
  </si>
  <si>
    <t>MAHMOOD ABDULKALIQ M SAEED</t>
  </si>
  <si>
    <t>971|50-9665639</t>
  </si>
  <si>
    <t>971|9665639111</t>
  </si>
  <si>
    <t>G05</t>
  </si>
  <si>
    <t>OSAMA MOHAMED ALY OSMAN</t>
  </si>
  <si>
    <t>971|50-1081965</t>
  </si>
  <si>
    <t>971|971</t>
  </si>
  <si>
    <t>G06</t>
  </si>
  <si>
    <t>FAROUK ABBAS</t>
  </si>
  <si>
    <t>971|50-0503595</t>
  </si>
  <si>
    <t>971|0503595519</t>
  </si>
  <si>
    <t>G07</t>
  </si>
  <si>
    <t>ZAINAB MAJEED A ALTALIB</t>
  </si>
  <si>
    <t>971|50-9665533</t>
  </si>
  <si>
    <t>971|9665533100</t>
  </si>
  <si>
    <t>G08</t>
  </si>
  <si>
    <t>ABDESSAMAD LIMAMY</t>
  </si>
  <si>
    <t>971|50-0506528</t>
  </si>
  <si>
    <t>971|0506528969</t>
  </si>
  <si>
    <t>Morocco</t>
  </si>
  <si>
    <t>CHEN HAIYAN</t>
  </si>
  <si>
    <t>971|50-1819829</t>
  </si>
  <si>
    <t>971|0501819829</t>
  </si>
  <si>
    <t>have sold his apartment and is not interested to buy anything new</t>
  </si>
  <si>
    <t>TINGTING JIANG</t>
  </si>
  <si>
    <t>tina.dubai8@gmail.com</t>
  </si>
  <si>
    <t>971|50-4614002</t>
  </si>
  <si>
    <t>971|4614002</t>
  </si>
  <si>
    <t>will want to rent out her property once ready</t>
  </si>
  <si>
    <t>HUA LI</t>
  </si>
  <si>
    <t>86|1390668073</t>
  </si>
  <si>
    <t>not working  number</t>
  </si>
  <si>
    <t>ARIF USMANI RAFAT HUSSAIN USMANI</t>
  </si>
  <si>
    <t>blnk@blank.com</t>
  </si>
  <si>
    <t>971|50-5065874</t>
  </si>
  <si>
    <t>PENTHOUSE</t>
  </si>
  <si>
    <t>RUI YANG</t>
  </si>
  <si>
    <t>971|509266829</t>
  </si>
  <si>
    <t>haolin.guo@hotmail.com</t>
  </si>
  <si>
    <t>971|50-9266829</t>
  </si>
  <si>
    <t>971|3801838760</t>
  </si>
  <si>
    <t>MUHAMMAD MUSHFIQ ALI KHAN ABDUL REHMAN KHAN</t>
  </si>
  <si>
    <t>971|6267917</t>
  </si>
  <si>
    <t>971|50-6267917</t>
  </si>
  <si>
    <t>FAISAL AMYN PREMJI</t>
  </si>
  <si>
    <t>971|525524102</t>
  </si>
  <si>
    <t>971|52-5524102</t>
  </si>
  <si>
    <t>dont call him again</t>
  </si>
  <si>
    <t>HARUKA MARUFUJI</t>
  </si>
  <si>
    <t>MAY SAAD ABDULLA</t>
  </si>
  <si>
    <t>saadabdulla55@gmail.com</t>
  </si>
  <si>
    <t>44|308059243</t>
  </si>
  <si>
    <t>ABDERRAHMANE LALIOUI</t>
  </si>
  <si>
    <t>lalioui.hakima@gmail.com</t>
  </si>
  <si>
    <t>33|6868022417</t>
  </si>
  <si>
    <t>Algeria</t>
  </si>
  <si>
    <t>FAHAD MUBARAK ALGUTHAMI</t>
  </si>
  <si>
    <t>KHULUD ABDULMOHSEN A AL MUTLAQ</t>
  </si>
  <si>
    <t>khulud.almutlaq@gmail.com</t>
  </si>
  <si>
    <t>971|9665548055</t>
  </si>
  <si>
    <t>CHETNA SHARMA</t>
  </si>
  <si>
    <t>91|9811170724</t>
  </si>
  <si>
    <t>ABDULJALIL YOUSUF ABDULKARIM DARWISH</t>
  </si>
  <si>
    <t>971|0506582888</t>
  </si>
  <si>
    <t>darwish@uaeenterprisesgroup.ae</t>
  </si>
  <si>
    <t>971|50-6582888</t>
  </si>
  <si>
    <t>send email from official emaar account</t>
  </si>
  <si>
    <t>IBRAHIM ABDULRAHMAN M BOKHARI</t>
  </si>
  <si>
    <t>bimhab@hotmail.com</t>
  </si>
  <si>
    <t>YUANPING LONG</t>
  </si>
  <si>
    <t>971|529018886</t>
  </si>
  <si>
    <t>307354235@qq.com</t>
  </si>
  <si>
    <t>971|52-9018886</t>
  </si>
  <si>
    <t>DANHUA XU</t>
  </si>
  <si>
    <t>971|506982000</t>
  </si>
  <si>
    <t>575794949@qq.com</t>
  </si>
  <si>
    <t>971|50-6982000</t>
  </si>
  <si>
    <t>ESSA RASHED MOHAMMED ALTAROOQ ALGHFELI</t>
  </si>
  <si>
    <t>essa.alghafli@hotmail.com</t>
  </si>
  <si>
    <t>971|50-4500009</t>
  </si>
  <si>
    <t>971|0504500009</t>
  </si>
  <si>
    <t>ABDULLAH R M A ALAYOUB</t>
  </si>
  <si>
    <t>a.alayoob@dipndipkw.com</t>
  </si>
  <si>
    <t>971|-9991999</t>
  </si>
  <si>
    <t>NAJEEB A A H ALQINAI</t>
  </si>
  <si>
    <t>971|50-0566402</t>
  </si>
  <si>
    <t>971|.</t>
  </si>
  <si>
    <t>not going through</t>
  </si>
  <si>
    <t>ASMA ALI KHAMIS SALIM AL NAQBI</t>
  </si>
  <si>
    <t>SARDAR NAYAB GOHAR</t>
  </si>
  <si>
    <t>sardarnyb@hotmail.com</t>
  </si>
  <si>
    <t>966|506655566</t>
  </si>
  <si>
    <t>MOHAMED ABDULLAH A ALSAIF</t>
  </si>
  <si>
    <t>971|9665054988</t>
  </si>
  <si>
    <t>ALSAIFM27@GMAIL.COM</t>
  </si>
  <si>
    <t>971|---9665054</t>
  </si>
  <si>
    <t>971|505498813</t>
  </si>
  <si>
    <t>FOZIA HASSAN F FARHAT</t>
  </si>
  <si>
    <t>sahelly333@yahoo.com</t>
  </si>
  <si>
    <t>971|50266102</t>
  </si>
  <si>
    <t>GIRGIS SADIG YOUSIF APSKHIROUN</t>
  </si>
  <si>
    <t>fayrouz2000@hotmail.com</t>
  </si>
  <si>
    <t>20|9912212402</t>
  </si>
  <si>
    <t>MOHAMMEDSAID IBRAHIM M SHAMS</t>
  </si>
  <si>
    <t>971|3994949</t>
  </si>
  <si>
    <t>mmalakm15@gmail.com</t>
  </si>
  <si>
    <t>971|50-3994949</t>
  </si>
  <si>
    <t>966|505600010</t>
  </si>
  <si>
    <t>not available</t>
  </si>
  <si>
    <t>I HSIEN LIN</t>
  </si>
  <si>
    <t>86|988760377</t>
  </si>
  <si>
    <t>THOMAS DAWID WOS</t>
  </si>
  <si>
    <t>ceo@swiss-marketing-systems.com</t>
  </si>
  <si>
    <t>971|52-3468747</t>
  </si>
  <si>
    <t>41|798871353</t>
  </si>
  <si>
    <t>QINHONG ZENG</t>
  </si>
  <si>
    <t>971|502160739</t>
  </si>
  <si>
    <t>wealthin@hotmail.com</t>
  </si>
  <si>
    <t>971|50-2160739</t>
  </si>
  <si>
    <t>SONG ZHOU</t>
  </si>
  <si>
    <t>971|50-5445028</t>
  </si>
  <si>
    <t>MOHAMMAD ZEYA UDDIN</t>
  </si>
  <si>
    <t>91|9711111621</t>
  </si>
  <si>
    <t>zeyauddin@gmail.com</t>
  </si>
  <si>
    <t>91|9711111</t>
  </si>
  <si>
    <t>YAN JIN</t>
  </si>
  <si>
    <t>971|503036988</t>
  </si>
  <si>
    <t>971|50-036988</t>
  </si>
  <si>
    <t xml:space="preserve">no answer </t>
  </si>
  <si>
    <t>GULAMABBAS ANIK</t>
  </si>
  <si>
    <t>gulam_1990@yahoo.com</t>
  </si>
  <si>
    <t>971|50-9133335</t>
  </si>
  <si>
    <t>SADIA GUETTOUCHE</t>
  </si>
  <si>
    <t>farida5g@hotmail.com</t>
  </si>
  <si>
    <t>AIDA MANSOUR</t>
  </si>
  <si>
    <t>971|6238337</t>
  </si>
  <si>
    <t>971|56-6238337</t>
  </si>
  <si>
    <t>971|506141618</t>
  </si>
  <si>
    <t>FAHAD SALEH I AL GHOFAILI</t>
  </si>
  <si>
    <t>falghofaili@gmail.com</t>
  </si>
  <si>
    <t>971|501001199</t>
  </si>
  <si>
    <t>HASSAN Y Y BEHBEHANI</t>
  </si>
  <si>
    <t>971|55-2423344</t>
  </si>
  <si>
    <t>971|552423344</t>
  </si>
  <si>
    <t>AHMED TAWFIK ABDELAZIZ IBRAHIM</t>
  </si>
  <si>
    <t>971|50-9021886</t>
  </si>
  <si>
    <t>971|509021886</t>
  </si>
  <si>
    <t>ZAFER MOHAMMED A RASIM</t>
  </si>
  <si>
    <t>zmrasim@gmail.com</t>
  </si>
  <si>
    <t>971|503495305</t>
  </si>
  <si>
    <t>NERMEEN AHMED MEKKY MOHAMED ALY</t>
  </si>
  <si>
    <t>971|50-6504081</t>
  </si>
  <si>
    <t>971|506504081</t>
  </si>
  <si>
    <t>ALI SAUD AHMED ALSHIDHANI</t>
  </si>
  <si>
    <t>971|9689933333</t>
  </si>
  <si>
    <t>971|50-9689933</t>
  </si>
  <si>
    <t>968|9689933333</t>
  </si>
  <si>
    <t>FERAS SALEH A BIN SAID</t>
  </si>
  <si>
    <t>fbinsaid@gmail.com</t>
  </si>
  <si>
    <t>HANAN ABDULLA MAHMOUD HAMMAD</t>
  </si>
  <si>
    <t>971|503000057</t>
  </si>
  <si>
    <t>971|50-3000057</t>
  </si>
  <si>
    <t>KAMAL SAWAN</t>
  </si>
  <si>
    <t>971|1405926638</t>
  </si>
  <si>
    <t>sawan@ssa.care</t>
  </si>
  <si>
    <t>971|50-1405926</t>
  </si>
  <si>
    <t>1|4059266388</t>
  </si>
  <si>
    <t>RAID AL SUDI</t>
  </si>
  <si>
    <t>971|50-8935185</t>
  </si>
  <si>
    <t>971|0508935185</t>
  </si>
  <si>
    <t>G01</t>
  </si>
  <si>
    <t>JENNIFER DINSHAW MAVALWALA</t>
  </si>
  <si>
    <t>971|50-7682575</t>
  </si>
  <si>
    <t>971|0507682575</t>
  </si>
  <si>
    <t>MUNA ABDULLAH O ALQASBI</t>
  </si>
  <si>
    <t>MOHAMMAD REZA DR SELAZADE</t>
  </si>
  <si>
    <t>43|6642253000</t>
  </si>
  <si>
    <t>WAEL FOUAD MOHAMED ALI ELSEIFY</t>
  </si>
  <si>
    <t>971|56-8113348</t>
  </si>
  <si>
    <t>971|0568113348</t>
  </si>
  <si>
    <t>KHARSAN MOHAMMED H ALYALA</t>
  </si>
  <si>
    <t>971|50-5616146</t>
  </si>
  <si>
    <t>971|5616146</t>
  </si>
  <si>
    <t>HUDA AHMED S ALMANSOUR</t>
  </si>
  <si>
    <t>971|50-5844802</t>
  </si>
  <si>
    <t>971|5844802</t>
  </si>
  <si>
    <t>SHAHNAZ BIBI KHAN</t>
  </si>
  <si>
    <t>44|51-1</t>
  </si>
  <si>
    <t>44|7454293332</t>
  </si>
  <si>
    <t>EBRAHIM MOHAMED ALI ZAINAL</t>
  </si>
  <si>
    <t>971|50-0097339</t>
  </si>
  <si>
    <t>971|0097339632</t>
  </si>
  <si>
    <t>Bahrain</t>
  </si>
  <si>
    <t>AHMED FAROUK ABBAS</t>
  </si>
  <si>
    <t>AHMEDFABBAS@HOTMAIL.COM</t>
  </si>
  <si>
    <t>JIJIANG ZHU</t>
  </si>
  <si>
    <t>971|50-6587518</t>
  </si>
  <si>
    <t>NIKHAT ALI</t>
  </si>
  <si>
    <t>971|50-4680374</t>
  </si>
  <si>
    <t>971|0504680374</t>
  </si>
  <si>
    <t>YUQING ZHU</t>
  </si>
  <si>
    <t>971|1811982</t>
  </si>
  <si>
    <t>971|50-1811982</t>
  </si>
  <si>
    <t>IBRAHIM ABDULAZIZ S ALTARIQI</t>
  </si>
  <si>
    <t>MAITHA MOHAMMED YOUSUF ALMUALLEM</t>
  </si>
  <si>
    <t>971|50-9525556</t>
  </si>
  <si>
    <t>NAJEEB MOHAMMED A AL MANA</t>
  </si>
  <si>
    <t>HASSAN ALI M ZAINEDDIN</t>
  </si>
  <si>
    <t>SALAHUDDIN MOHAMMED Y ALIREZA</t>
  </si>
  <si>
    <t>KHALID ABDULRAHMAN S ALHOWAISH</t>
  </si>
  <si>
    <t>kalhowaish@yahoo.com</t>
  </si>
  <si>
    <t>SOUFIAN OCHAN</t>
  </si>
  <si>
    <t>CHANDANHFL@YAHOO.COM</t>
  </si>
  <si>
    <t>971|52-9151123</t>
  </si>
  <si>
    <t>971|0529151123</t>
  </si>
  <si>
    <t>MAHA FAROUK ABDULSALAM ABDULSALAM</t>
  </si>
  <si>
    <t>971|50-9743101</t>
  </si>
  <si>
    <t>971|9743101010</t>
  </si>
  <si>
    <t>NORA ABDELRAHMAN MOHAMED ABDELRAHMAN</t>
  </si>
  <si>
    <t>gsm@gshtrade.com</t>
  </si>
  <si>
    <t>971|50-8991902</t>
  </si>
  <si>
    <t>971|503038347</t>
  </si>
  <si>
    <t>HODA AMER</t>
  </si>
  <si>
    <t>1@h.com</t>
  </si>
  <si>
    <t>971|55-9373066</t>
  </si>
  <si>
    <t>AMAL MASOUD ALI AL KINDI</t>
  </si>
  <si>
    <t>971|50-9192959</t>
  </si>
  <si>
    <t>971|-</t>
  </si>
  <si>
    <t>AHMED NABIL AHMED ABDELMONEIM ALY</t>
  </si>
  <si>
    <t>971|50-6457822</t>
  </si>
  <si>
    <t>EVAN MONGID KAMMEL</t>
  </si>
  <si>
    <t>971|56-9222977</t>
  </si>
  <si>
    <t>971|0569222977</t>
  </si>
  <si>
    <t>SAMER MOHD KHAIR KHALAF BATAINEH</t>
  </si>
  <si>
    <t>971|50-2332477</t>
  </si>
  <si>
    <t>971|502332477</t>
  </si>
  <si>
    <t>VEFA IBRAHIM ARACI</t>
  </si>
  <si>
    <t>ibrahim.araci@koruma.com.tr</t>
  </si>
  <si>
    <t>971|53-0230442</t>
  </si>
  <si>
    <t>90|2622394469</t>
  </si>
  <si>
    <t>SHAHEEN FAREED ABDULRAHMAN ZAINAL KARAMASTAJI</t>
  </si>
  <si>
    <t>971|50-7000121</t>
  </si>
  <si>
    <t>971|507000121</t>
  </si>
  <si>
    <t>CHETAN BHATIA LACHMANDAS NAROTAMDAS BHATIA</t>
  </si>
  <si>
    <t>chets_1@hotmail.com</t>
  </si>
  <si>
    <t>971|50-4566160</t>
  </si>
  <si>
    <t>ALI SULIMAN A ALDAKHEAL</t>
  </si>
  <si>
    <t>971|507873920</t>
  </si>
  <si>
    <t>971|50-7873920</t>
  </si>
  <si>
    <t>JAMAL MOHAMMED A BAAMER</t>
  </si>
  <si>
    <t>jamalmtds@gmail.com</t>
  </si>
  <si>
    <t>971|54-4402882</t>
  </si>
  <si>
    <t>971|505614844</t>
  </si>
  <si>
    <t>ROLA MAHMOUD YOUSEF SAIF</t>
  </si>
  <si>
    <t>971|050</t>
  </si>
  <si>
    <t>AILEEN MARY STODDART</t>
  </si>
  <si>
    <t>971|56-6101250</t>
  </si>
  <si>
    <t>ALTAF E H M ALALI</t>
  </si>
  <si>
    <t>965|99028625</t>
  </si>
  <si>
    <t>MADHULAL TECKCHAND BHATIA</t>
  </si>
  <si>
    <t>mbbhatia@arveen.com</t>
  </si>
  <si>
    <t>971|50-4563240</t>
  </si>
  <si>
    <t>971|50</t>
  </si>
  <si>
    <t>SHAHIDA BANU</t>
  </si>
  <si>
    <t>971|50-7770442</t>
  </si>
  <si>
    <t>IZUDIN RAHIC</t>
  </si>
  <si>
    <t>IZUDINRAHIC55@YAHOO.COM</t>
  </si>
  <si>
    <t>971|0097455902</t>
  </si>
  <si>
    <t>ABBAS AHMED ALI MALALLA</t>
  </si>
  <si>
    <t>abbas.malalla@gmail.com</t>
  </si>
  <si>
    <t>971|56-5052553</t>
  </si>
  <si>
    <t>971|5052553</t>
  </si>
  <si>
    <t>CHEN YIBO</t>
  </si>
  <si>
    <t>MOHAMMED HAMMAD M AL ALMALKI</t>
  </si>
  <si>
    <t>HANADI A H D ALMARZOUQ</t>
  </si>
  <si>
    <t>965|99944402</t>
  </si>
  <si>
    <t>EYAD RASHAD F REDA</t>
  </si>
  <si>
    <t>eyadreda@msn.com</t>
  </si>
  <si>
    <t>971|505446756</t>
  </si>
  <si>
    <t>HISHAM ABDELGADIR ABDALLA MAHMOUD</t>
  </si>
  <si>
    <t>hisgamqader61@gmail.com</t>
  </si>
  <si>
    <t>971|55-1462945</t>
  </si>
  <si>
    <t>971|0551462945</t>
  </si>
  <si>
    <t>MOHAMMAD SALIM KHAN</t>
  </si>
  <si>
    <t>971|558769138</t>
  </si>
  <si>
    <t>sahrat_dxb1@yahoo.com</t>
  </si>
  <si>
    <t>971|50-3479826</t>
  </si>
  <si>
    <t>feedback</t>
  </si>
  <si>
    <t>EMAAR PROPERTIES (P.J.S.C)</t>
  </si>
  <si>
    <t>971-4-3673333</t>
  </si>
  <si>
    <t>nqumri@emaar.ae</t>
  </si>
  <si>
    <t>VIDA Residences Dubai Marina</t>
  </si>
  <si>
    <t>KHALID ABDULLAH I ALSUBEAI</t>
  </si>
  <si>
    <t>971|559010000</t>
  </si>
  <si>
    <t>office.manager@al-subeai.com</t>
  </si>
  <si>
    <t>971|-5590100</t>
  </si>
  <si>
    <t>LAMITTA FRANGIEH</t>
  </si>
  <si>
    <t>fhmc@emirates.net.ae</t>
  </si>
  <si>
    <t>971|50-1111150</t>
  </si>
  <si>
    <t>971|1111111111</t>
  </si>
  <si>
    <t>AMAR KANTARIA</t>
  </si>
  <si>
    <t>971|712516001</t>
  </si>
  <si>
    <t>971|50-7125160</t>
  </si>
  <si>
    <t>254|712516001</t>
  </si>
  <si>
    <t>Malta</t>
  </si>
  <si>
    <t>IHAB ADEL AHMED MOHAMED ZEIDAN</t>
  </si>
  <si>
    <t>971|555110096</t>
  </si>
  <si>
    <t>971|55-5110096</t>
  </si>
  <si>
    <t>COSTAS BOUYOUKAS</t>
  </si>
  <si>
    <t>971|50-0506416</t>
  </si>
  <si>
    <t>ATTIK HABIB ANSARI ANSARI</t>
  </si>
  <si>
    <t>sampangroup_pune@yahoo.com</t>
  </si>
  <si>
    <t>971|50-4955786</t>
  </si>
  <si>
    <t>no money not interested</t>
  </si>
  <si>
    <t>JOHN WALTER MORAES SEBASTIAN MORAES</t>
  </si>
  <si>
    <t>jagdish@ferrofab.ae</t>
  </si>
  <si>
    <t>971|50-9715045</t>
  </si>
  <si>
    <t>971|9715045315</t>
  </si>
  <si>
    <t>WIRYA HAMA GARIB AMIN</t>
  </si>
  <si>
    <t>ERIC OLIVIER VENOT</t>
  </si>
  <si>
    <t>none@hotmail.com</t>
  </si>
  <si>
    <t>971|50-1588647</t>
  </si>
  <si>
    <t>971|561389712</t>
  </si>
  <si>
    <t>MOHAMMAD AHMAD HAMMOUD</t>
  </si>
  <si>
    <t>971|6917558</t>
  </si>
  <si>
    <t>971|50-6917558</t>
  </si>
  <si>
    <t>971|0506917558</t>
  </si>
  <si>
    <t>KAYSER ALI BAKIR</t>
  </si>
  <si>
    <t>971|58-2881929</t>
  </si>
  <si>
    <t>353|0582881929</t>
  </si>
  <si>
    <t>MAJID MAHMOUD S BARGHOUTHI</t>
  </si>
  <si>
    <t>mbarghouthi@medgulf.com</t>
  </si>
  <si>
    <t>966|5560643</t>
  </si>
  <si>
    <t>IMRAN AHMED AHMED KHATRI</t>
  </si>
  <si>
    <t>050-8216936</t>
  </si>
  <si>
    <t>ABDULAZIZ ABDULLAH T AL HADDAD</t>
  </si>
  <si>
    <t>HUSAM FAOZI MOHAMMED BA WAZIR</t>
  </si>
  <si>
    <t>971|56-0096655</t>
  </si>
  <si>
    <t>MARIAM AL ALAMI</t>
  </si>
  <si>
    <t>971|508113119</t>
  </si>
  <si>
    <t>971|50-8113119</t>
  </si>
  <si>
    <t>AHMED ALI AHMED BAALI</t>
  </si>
  <si>
    <t>971|50-5505014</t>
  </si>
  <si>
    <t>SAFAA ZAOUK</t>
  </si>
  <si>
    <t>971|52-8953494</t>
  </si>
  <si>
    <t>971|0000000000</t>
  </si>
  <si>
    <t>REEM A SH A ALWAHEEB</t>
  </si>
  <si>
    <t>965|50060003</t>
  </si>
  <si>
    <t>SEIFELDIN GAMAL MOHAMED ELHAKIM</t>
  </si>
  <si>
    <t>7|9670617170</t>
  </si>
  <si>
    <t>SUHA NASHAT ZUHDI ALJAYOUSI</t>
  </si>
  <si>
    <t>Sami Abdullah M Alkadi</t>
  </si>
  <si>
    <t>samialkadi@yahoo.com</t>
  </si>
  <si>
    <t>FAHAD SANA UL HAQ MUHAMMAD SANA UL HAQ</t>
  </si>
  <si>
    <t>ceo@hsproperty.ae</t>
  </si>
  <si>
    <t>TAMARA GETIGEZHEVA</t>
  </si>
  <si>
    <t>tamara313@me.com</t>
  </si>
  <si>
    <t>971|50-4046276</t>
  </si>
  <si>
    <t>971|564278643</t>
  </si>
  <si>
    <t>JAYANTHI RAJGOPAL</t>
  </si>
  <si>
    <t>971|50-5505877</t>
  </si>
  <si>
    <t>New Zealand</t>
  </si>
  <si>
    <t>HASSAN ABDULLA M AL THANI</t>
  </si>
  <si>
    <t>974|55514444</t>
  </si>
  <si>
    <t>974|50-5551444</t>
  </si>
  <si>
    <t>BEHZAD FAZEL</t>
  </si>
  <si>
    <t>1|6478651661</t>
  </si>
  <si>
    <t>1|--6478651</t>
  </si>
  <si>
    <t>Dubai Marina Yacht Club</t>
  </si>
  <si>
    <t>WESAM ABDULKAREEM ALI AL SINAN</t>
  </si>
  <si>
    <t>971|526292921</t>
  </si>
  <si>
    <t>khizer2001@hotmail.com</t>
  </si>
  <si>
    <t>971|55-4684700</t>
  </si>
  <si>
    <t>TARUN GANESH CHATURVEDI</t>
  </si>
  <si>
    <t>chatur_tarun@hotmail.com</t>
  </si>
  <si>
    <t>971|50-8009821</t>
  </si>
  <si>
    <t>MAJED MOHD AMIN MOHD SEDDIQ AL KAZEM</t>
  </si>
  <si>
    <t>pro@alkazimgroup.ae</t>
  </si>
  <si>
    <t>971|50-6746308</t>
  </si>
  <si>
    <t>971|0504563214</t>
  </si>
  <si>
    <t>FAIZ MERCHANT</t>
  </si>
  <si>
    <t>faiz_merchant@hotmail.com</t>
  </si>
  <si>
    <t>91|9833516422</t>
  </si>
  <si>
    <t>JATIN DINESH VORA</t>
  </si>
  <si>
    <t>971|0504527476</t>
  </si>
  <si>
    <t>971|50-4527476</t>
  </si>
  <si>
    <t>REHMATULLAH KHAN MUHAMMAD AMIR KHAN</t>
  </si>
  <si>
    <t>971|50-5517749</t>
  </si>
  <si>
    <t>971|505517749</t>
  </si>
  <si>
    <t>ASHOK KUMAR BHATIA</t>
  </si>
  <si>
    <t>ashok@gmail.com</t>
  </si>
  <si>
    <t>971|55-2217736</t>
  </si>
  <si>
    <t>ELNUR ZEYNALOV</t>
  </si>
  <si>
    <t>zeyne0@mail.ru</t>
  </si>
  <si>
    <t>994|557508069</t>
  </si>
  <si>
    <t>GHANIM ALI GHANIM ALMARRI</t>
  </si>
  <si>
    <t>971|0506350555</t>
  </si>
  <si>
    <t>971|9715682337</t>
  </si>
  <si>
    <t>NAJLAE CHATT</t>
  </si>
  <si>
    <t>971|565055042</t>
  </si>
  <si>
    <t>971|56-5055042</t>
  </si>
  <si>
    <t>SAAHIL JUVALE</t>
  </si>
  <si>
    <t>971|50-0505347</t>
  </si>
  <si>
    <t>MOHAMMAD ABDULLAH A BARADAH</t>
  </si>
  <si>
    <t>NAIF ABDULLAH A ALHARBI</t>
  </si>
  <si>
    <t>M@HOTMAIL.COM</t>
  </si>
  <si>
    <t>971|50-4543289</t>
  </si>
  <si>
    <t>971|55955444</t>
  </si>
  <si>
    <t>CHANDRA MAHENDRA BHATIA</t>
  </si>
  <si>
    <t>A@A.COM</t>
  </si>
  <si>
    <t>973|17212105</t>
  </si>
  <si>
    <t>JALILA ALARABI MOHAMED AL ZUHAIMI</t>
  </si>
  <si>
    <t>971|506620260</t>
  </si>
  <si>
    <t>971|50-6620260</t>
  </si>
  <si>
    <t>MAJID AHMAD MOHAMMAD FOUSTOK</t>
  </si>
  <si>
    <t>R01</t>
  </si>
  <si>
    <t>B1</t>
  </si>
  <si>
    <t>R02</t>
  </si>
  <si>
    <t>R03</t>
  </si>
  <si>
    <t>R04</t>
  </si>
  <si>
    <t>R05</t>
  </si>
  <si>
    <t>HUSAM A A ALJEREIDLI</t>
  </si>
  <si>
    <t>971|505050837</t>
  </si>
  <si>
    <t>hussam004@gmail.com</t>
  </si>
  <si>
    <t>971|50-5050837</t>
  </si>
  <si>
    <t>Palestine</t>
  </si>
  <si>
    <t>KEEHOON HAHN</t>
  </si>
  <si>
    <t>971|0561747769</t>
  </si>
  <si>
    <t>971|56-1747769</t>
  </si>
  <si>
    <t>North Korea</t>
  </si>
  <si>
    <t>ABU YOUSUF MD ABDULLAH</t>
  </si>
  <si>
    <t>SAAD.ABD21@HOTMAIL.COM</t>
  </si>
  <si>
    <t>971|55-3919465</t>
  </si>
  <si>
    <t>971|0502116629</t>
  </si>
  <si>
    <t>FARHAT SHABAZ ELIAS</t>
  </si>
  <si>
    <t>seahaven@eim.ae</t>
  </si>
  <si>
    <t>971|55-7878789</t>
  </si>
  <si>
    <t>971|4456456456</t>
  </si>
  <si>
    <t>ABDULAZIZ ABDULLA ABDULRAHMAN AL ALI</t>
  </si>
  <si>
    <t>7082500-04</t>
  </si>
  <si>
    <t>050-5599188</t>
  </si>
  <si>
    <t>NAQIBULLAH HAKIMZAI</t>
  </si>
  <si>
    <t>971|50-2245354</t>
  </si>
  <si>
    <t>971|502245354</t>
  </si>
  <si>
    <t>Afghanistan</t>
  </si>
  <si>
    <t>ARMIN AFZAL JALILI</t>
  </si>
  <si>
    <t>971|0086138059</t>
  </si>
  <si>
    <t>armin@uniqueproperties.ae</t>
  </si>
  <si>
    <t>971|52-0300008</t>
  </si>
  <si>
    <t>971|1530900</t>
  </si>
  <si>
    <t>AMINA OMAIS</t>
  </si>
  <si>
    <t>221|1773164112</t>
  </si>
  <si>
    <t>aribaldiaw@gmail.com</t>
  </si>
  <si>
    <t>221|--3164112</t>
  </si>
  <si>
    <t>221|773164112</t>
  </si>
  <si>
    <t>MOHAMED AHMED MOFEED ELSAYED</t>
  </si>
  <si>
    <t>mmufed@capriole.ae</t>
  </si>
  <si>
    <t>JANUSZ JACEK KUREK</t>
  </si>
  <si>
    <t>GIRAR GERARDOS VOUYOUKAS</t>
  </si>
  <si>
    <t>971|9114499</t>
  </si>
  <si>
    <t>971|50-9114499</t>
  </si>
  <si>
    <t>BASEL M J A Y ALMUTAWA</t>
  </si>
  <si>
    <t>965|90031710</t>
  </si>
  <si>
    <t>965|--9003171</t>
  </si>
  <si>
    <t>AHMED FRAZ MALIK MUHAMMAD AHMED MALIK</t>
  </si>
  <si>
    <t>971|50-6361584</t>
  </si>
  <si>
    <t>971|506361584</t>
  </si>
  <si>
    <t>TALAL RASHID N M AL KHALIFA</t>
  </si>
  <si>
    <t>974|55515565</t>
  </si>
  <si>
    <t>974|55-515565</t>
  </si>
  <si>
    <t>RITA SUNIL LALCHANDANI</t>
  </si>
  <si>
    <t>971|504516863</t>
  </si>
  <si>
    <t>rsl_snl@hotmail.com</t>
  </si>
  <si>
    <t>971|50-7989128</t>
  </si>
  <si>
    <t>971|507989128</t>
  </si>
  <si>
    <t>HARISH BHAGWANDAS KAKKAD</t>
  </si>
  <si>
    <t>transtyre@hotmail.co</t>
  </si>
  <si>
    <t>91|9820047115</t>
  </si>
  <si>
    <t>ELKHAN SADIKHOV</t>
  </si>
  <si>
    <t>s@s.com</t>
  </si>
  <si>
    <t>994|502163363</t>
  </si>
  <si>
    <t>HUSAM NAYEF EWAIS MUSHARBASH</t>
  </si>
  <si>
    <t>974|55859126</t>
  </si>
  <si>
    <t>974|52-5585912</t>
  </si>
  <si>
    <t>RAMEZ NAJIB KAWAR</t>
  </si>
  <si>
    <t>BURCO CINAR OZDEN</t>
  </si>
  <si>
    <t>971|--0000000</t>
  </si>
  <si>
    <t>971|527891207</t>
  </si>
  <si>
    <t>AHMED MOHAMMED A AL RASHEED</t>
  </si>
  <si>
    <t>rmrasheed@gmail.com</t>
  </si>
  <si>
    <t>971|50-5054104</t>
  </si>
  <si>
    <t>971|505410440</t>
  </si>
  <si>
    <t>AHMED MOHAMMED A ALRASHEED</t>
  </si>
  <si>
    <t>VYACHESLAV LI</t>
  </si>
  <si>
    <t>tan@gmail.com</t>
  </si>
  <si>
    <t>971|50-3414581</t>
  </si>
  <si>
    <t>971|503414581</t>
  </si>
  <si>
    <t>GIRARD RACHID MOUSSA</t>
  </si>
  <si>
    <t>971|55-5599155</t>
  </si>
  <si>
    <t>MAHESH NARAINDAS ASWANI</t>
  </si>
  <si>
    <t>NORHAN EZZAT SOBIH EZZAT AMIN</t>
  </si>
  <si>
    <t>MAY DAGHESTANI</t>
  </si>
  <si>
    <t>971|50-4539634</t>
  </si>
  <si>
    <t>ANTHONY SEMAAN</t>
  </si>
  <si>
    <t>971|0555359977</t>
  </si>
  <si>
    <t>seamaan@yahoo.com</t>
  </si>
  <si>
    <t>971|55-5359977</t>
  </si>
  <si>
    <t>SANA SIDDIQUI</t>
  </si>
  <si>
    <t>SUNNU KERSI PATEL</t>
  </si>
  <si>
    <t>971|0506569158</t>
  </si>
  <si>
    <t>971|50-6569158</t>
  </si>
  <si>
    <t>HEMANT KUMAR RAMESH AIDASANI</t>
  </si>
  <si>
    <t>971|543551392</t>
  </si>
  <si>
    <t>971|54-3551392</t>
  </si>
  <si>
    <t>971|0097155</t>
  </si>
  <si>
    <t>ASHRAF MOUSTAFA MAHMOUD AHMED EL ARABATY</t>
  </si>
  <si>
    <t>ashraf.ela@gmail.com</t>
  </si>
  <si>
    <t>Montana Invest Limited</t>
  </si>
  <si>
    <t>04-3683355</t>
  </si>
  <si>
    <t>g@sanioglu.com</t>
  </si>
  <si>
    <t>GUILLAUME CHARLES JOSEPH FRANCIOLI</t>
  </si>
  <si>
    <t>gfruh@mac.com</t>
  </si>
  <si>
    <t>971|00000</t>
  </si>
  <si>
    <t>HENGAMEH MAHMOUD KHANI</t>
  </si>
  <si>
    <t>hengameh_khani@yahoo.com</t>
  </si>
  <si>
    <t>971|50-1002173</t>
  </si>
  <si>
    <t>971|6409703</t>
  </si>
  <si>
    <t>ELGUN BAGHIROV</t>
  </si>
  <si>
    <t>amz.group@yahoo.com</t>
  </si>
  <si>
    <t>971|55-5585525</t>
  </si>
  <si>
    <t>994|502112207</t>
  </si>
  <si>
    <t>SUHAILA MAHMOUD AL SALLOUM</t>
  </si>
  <si>
    <t>zaid.naib@gmail.com</t>
  </si>
  <si>
    <t>971|50-4005442</t>
  </si>
  <si>
    <t>971|0504005442</t>
  </si>
  <si>
    <t>PARIVASH ESMAEIL ARABKHANI</t>
  </si>
  <si>
    <t>NQUMRI@EMAAR.AE</t>
  </si>
  <si>
    <t>971|50-9891213</t>
  </si>
  <si>
    <t>MARYAM KHALID M T ALTHANI</t>
  </si>
  <si>
    <t>0@0.com</t>
  </si>
  <si>
    <t>971|55-2443247</t>
  </si>
  <si>
    <t>971|562443247</t>
  </si>
  <si>
    <t>LAURENT MESSARA</t>
  </si>
  <si>
    <t>971|506330874</t>
  </si>
  <si>
    <t>laurent.messara@messaratrading.com</t>
  </si>
  <si>
    <t>971|50-6330874</t>
  </si>
  <si>
    <t>TRUPTI NILESHKUMAR BHATT</t>
  </si>
  <si>
    <t>971|506569903</t>
  </si>
  <si>
    <t>alkitbicont@gmail.com</t>
  </si>
  <si>
    <t>971|50-6569903</t>
  </si>
  <si>
    <t>GOPAL DHALUMAL SHROFF</t>
  </si>
  <si>
    <t>dhalumal@eim.ae</t>
  </si>
  <si>
    <t>971|50-8745544</t>
  </si>
  <si>
    <t>971|508745544</t>
  </si>
  <si>
    <t>KAMLESH MADAN</t>
  </si>
  <si>
    <t>971|55-5888576</t>
  </si>
  <si>
    <t>971|0561452030</t>
  </si>
  <si>
    <t>RAJENDRA LALIT KUMAR AGARWAL</t>
  </si>
  <si>
    <t>971|0555777996</t>
  </si>
  <si>
    <t>raju200959@yahoo.com</t>
  </si>
  <si>
    <t>971|55-5777996</t>
  </si>
  <si>
    <t>MUHAMMAD ZOHAIB KHAN</t>
  </si>
  <si>
    <t>971|50-7496645</t>
  </si>
  <si>
    <t>SHWETA ARORA BHASIN</t>
  </si>
  <si>
    <t>971|6812901</t>
  </si>
  <si>
    <t>971|56-6812901</t>
  </si>
  <si>
    <t>AIMAN ABDULAZIZ M KHODARI</t>
  </si>
  <si>
    <t>aimank@gmail.com</t>
  </si>
  <si>
    <t>971|559673680</t>
  </si>
  <si>
    <t>SAMER KHALIL KALLAS</t>
  </si>
  <si>
    <t>samer@gmail.com</t>
  </si>
  <si>
    <t>971|55-9493339</t>
  </si>
  <si>
    <t>JITENDRAKUMAR AMRITLAL KALIDAS SHAH</t>
  </si>
  <si>
    <t>andrew.totn@gmail.com</t>
  </si>
  <si>
    <t>971|50-8725767</t>
  </si>
  <si>
    <t>971|8725767</t>
  </si>
  <si>
    <t>ABDULLAH AL HUSSAYEN</t>
  </si>
  <si>
    <t>971|555411666</t>
  </si>
  <si>
    <t>971|50-5554116</t>
  </si>
  <si>
    <t>OSAMA T Y ALGHOUSSEIN</t>
  </si>
  <si>
    <t>971|50-0504543</t>
  </si>
  <si>
    <t>YASSER EASA HAMAD AHMED ALNUAIMI</t>
  </si>
  <si>
    <t>yeha@eim.ae</t>
  </si>
  <si>
    <t>971|50-6273555</t>
  </si>
  <si>
    <t>MOHAMMAD RAMEZ ARABI KATBI</t>
  </si>
  <si>
    <t>ramez.ak@live.com</t>
  </si>
  <si>
    <t>965|99617803</t>
  </si>
  <si>
    <t>MOHAMAD KHALLOUF</t>
  </si>
  <si>
    <t>khallouf@hotmail.co.uk</t>
  </si>
  <si>
    <t>971|565659669</t>
  </si>
  <si>
    <t>MOSAAD FAROUK ABD ELKHALEK EMAM</t>
  </si>
  <si>
    <t>MOSAAD@METRACOMPYTER.COM</t>
  </si>
  <si>
    <t>971|50-8540515</t>
  </si>
  <si>
    <t>TARIQ MOHAMMAD A AL TAHINI</t>
  </si>
  <si>
    <t>tahinitm@hotmail.com</t>
  </si>
  <si>
    <t>971|505809969</t>
  </si>
  <si>
    <t>SAJID RIAZ MOHAMMAD RIAZ KHAWAR</t>
  </si>
  <si>
    <t>h@hot.ail.com</t>
  </si>
  <si>
    <t>971|50-0505576</t>
  </si>
  <si>
    <t>971|0505576674</t>
  </si>
  <si>
    <t>SYED ASIM ZAFAR ZAFAR ALI SAIYED</t>
  </si>
  <si>
    <t>971|50-0505538</t>
  </si>
  <si>
    <t>971|0505538790</t>
  </si>
  <si>
    <t>4 B/R</t>
  </si>
  <si>
    <t>JASWANT SINGH CHOUDHARY</t>
  </si>
  <si>
    <t>jaswant.choudhary@alfalaval.com</t>
  </si>
  <si>
    <t>971|51-5643371</t>
  </si>
  <si>
    <t>971|564337151</t>
  </si>
  <si>
    <t>MANISH AGGARWAL</t>
  </si>
  <si>
    <t>971|0504401761</t>
  </si>
  <si>
    <t>manish@gmail.com</t>
  </si>
  <si>
    <t>971|50-4401761</t>
  </si>
  <si>
    <t>ABDULLAH ABDUL AZIZ M AL MOUSA</t>
  </si>
  <si>
    <t>a.almousa@alahlicapital.com</t>
  </si>
  <si>
    <t>966|551505515</t>
  </si>
  <si>
    <t>CHRISTOPHER SCOTT PEARSON</t>
  </si>
  <si>
    <t>971|6691889639</t>
  </si>
  <si>
    <t>971|50-8896392</t>
  </si>
  <si>
    <t>1|8896392</t>
  </si>
  <si>
    <t>KRIKOR KRABIT YACOUB APIKIAN</t>
  </si>
  <si>
    <t>971|56-1156652</t>
  </si>
  <si>
    <t>971|0561156652</t>
  </si>
  <si>
    <t>RUSTAM RIZVANOV</t>
  </si>
  <si>
    <t>rustam.rizvanov@gmail.com</t>
  </si>
  <si>
    <t>971|52-1798788</t>
  </si>
  <si>
    <t>971|521798788</t>
  </si>
  <si>
    <t>RODOLFO BORSINI</t>
  </si>
  <si>
    <t>39|3485906476</t>
  </si>
  <si>
    <t>HAMAD JABER ALAHMAD ALJABER ALSABAH</t>
  </si>
  <si>
    <t>971|553380305</t>
  </si>
  <si>
    <t>bricksreal@gmail.com</t>
  </si>
  <si>
    <t>971|55-3380305</t>
  </si>
  <si>
    <t>971|503867790</t>
  </si>
  <si>
    <t>HARESH LILARAM KEWLANI</t>
  </si>
  <si>
    <t>971|0506596072</t>
  </si>
  <si>
    <t>971|50-6596072</t>
  </si>
  <si>
    <t>WAEL W M HLAYEL</t>
  </si>
  <si>
    <t>971|504911514</t>
  </si>
  <si>
    <t>971|50-4911514</t>
  </si>
  <si>
    <t>OUBADA MOHAMAD TAWILA</t>
  </si>
  <si>
    <t>971|0556001376</t>
  </si>
  <si>
    <t>oubada_ot@hotmail.com</t>
  </si>
  <si>
    <t>971|55-6001376</t>
  </si>
  <si>
    <t>SONALI DILIP SANKLECHA</t>
  </si>
  <si>
    <t>971|527985795</t>
  </si>
  <si>
    <t>sonali.cfs@gmail.com</t>
  </si>
  <si>
    <t>971|52-7985795</t>
  </si>
  <si>
    <t>971|7985795</t>
  </si>
  <si>
    <t>MOHAMMED ABDULLAH S RAGABAN</t>
  </si>
  <si>
    <t>mragaban@hotmail.com</t>
  </si>
  <si>
    <t>TURKI HASSAN A BADHRIS</t>
  </si>
  <si>
    <t>HURAIS@HOTMAIL.COM</t>
  </si>
  <si>
    <t>971|0096656222</t>
  </si>
  <si>
    <t>MAMDOUH ZAKY FATHY YOUSSEF IBRAHIM</t>
  </si>
  <si>
    <t>971|56-805689</t>
  </si>
  <si>
    <t>971|566805689</t>
  </si>
  <si>
    <t>IBRAHIM ABDULLAH A ALMUNAJEM</t>
  </si>
  <si>
    <t>971|0551411122</t>
  </si>
  <si>
    <t>971|55-1411122</t>
  </si>
  <si>
    <t>KHALID DAOUDI</t>
  </si>
  <si>
    <t>971|50-5068026</t>
  </si>
  <si>
    <t>971|5068026</t>
  </si>
  <si>
    <t>MUNIRA SAFAROVA</t>
  </si>
  <si>
    <t>971|507751207</t>
  </si>
  <si>
    <t>payvandgeneraltrading@gmail.com</t>
  </si>
  <si>
    <t>971|50-7751207</t>
  </si>
  <si>
    <t>971|0507751207</t>
  </si>
  <si>
    <t>Tajikistan</t>
  </si>
  <si>
    <t>SHADAB SHAIKH</t>
  </si>
  <si>
    <t>123@GMAIL.COM</t>
  </si>
  <si>
    <t>971|50-3454007</t>
  </si>
  <si>
    <t>AHMAD FARRAKH MANZOOR</t>
  </si>
  <si>
    <t>farrakh@hotmail.com</t>
  </si>
  <si>
    <t>971|540037157</t>
  </si>
  <si>
    <t>MOHAMED SAID MUSALLAM AL RAWAHI</t>
  </si>
  <si>
    <t>m.rawahi@alumni.utoronto.ca</t>
  </si>
  <si>
    <t>968|-9947420</t>
  </si>
  <si>
    <t>968|99474200</t>
  </si>
  <si>
    <t>AAILA GHANI MUHAMMAD</t>
  </si>
  <si>
    <t>arman.ansari@nixorcollege.edu.pk</t>
  </si>
  <si>
    <t>971|50-9534747</t>
  </si>
  <si>
    <t>971|9233624234</t>
  </si>
  <si>
    <t>HALAH JALAL MOHAMMEDRASHEED ALSHAREEFI</t>
  </si>
  <si>
    <t>zalkhafaji@hotmail.com</t>
  </si>
  <si>
    <t>971|50-9032817</t>
  </si>
  <si>
    <t>IOANNIS VOUYOUKAS</t>
  </si>
  <si>
    <t>971|559398787</t>
  </si>
  <si>
    <t>971|55-9398787</t>
  </si>
  <si>
    <t>ATIF ZAFAR</t>
  </si>
  <si>
    <t>atif225@hotmail.com</t>
  </si>
  <si>
    <t>974|33162200</t>
  </si>
  <si>
    <t>ELIE ASSAMAD</t>
  </si>
  <si>
    <t>971|0097150650</t>
  </si>
  <si>
    <t>MOHSEN KHAN</t>
  </si>
  <si>
    <t>dxb1amar@gmail.com</t>
  </si>
  <si>
    <t>971|0522927556</t>
  </si>
  <si>
    <t>HAMEDREZA BANAEI</t>
  </si>
  <si>
    <t>info@saniefier.com</t>
  </si>
  <si>
    <t>RABIE O M T BSIESO</t>
  </si>
  <si>
    <t>rbsieso@yahoo.com</t>
  </si>
  <si>
    <t>971|56-5566358</t>
  </si>
  <si>
    <t>971|0566655358</t>
  </si>
  <si>
    <t>MAKSYM KRIPPA</t>
  </si>
  <si>
    <t>971|55896007</t>
  </si>
  <si>
    <t>max@citadelventures.com</t>
  </si>
  <si>
    <t>971|55-8968007</t>
  </si>
  <si>
    <t>380|1747477777</t>
  </si>
  <si>
    <t>Ukraine</t>
  </si>
  <si>
    <t>ALI ABDULLA SULTAN ALWAN AL HEBSI</t>
  </si>
  <si>
    <t>971|50-6667768</t>
  </si>
  <si>
    <t>ABDULLAH AWADH D ALWATHNANI</t>
  </si>
  <si>
    <t>971|50-0505258</t>
  </si>
  <si>
    <t>971|0505258833</t>
  </si>
  <si>
    <t>BASSAM HAJ HAMAD</t>
  </si>
  <si>
    <t>bhajhamad@aol.com</t>
  </si>
  <si>
    <t>971|-4450468</t>
  </si>
  <si>
    <t>971|504450468</t>
  </si>
  <si>
    <t>SHAHID HUSAIN</t>
  </si>
  <si>
    <t>mansoor.aamir@gmail.com</t>
  </si>
  <si>
    <t>971|50123456</t>
  </si>
  <si>
    <t>MATTHIAS SIMON HUBERTUS LAMERIS</t>
  </si>
  <si>
    <t>bilal.mansoor@gmail.com</t>
  </si>
  <si>
    <t>971|50-3161747</t>
  </si>
  <si>
    <t>MUNZIR NUMAN TURK</t>
  </si>
  <si>
    <t>971|55-6432555</t>
  </si>
  <si>
    <t>ANIL KUMAR RAGHAVAN PATTANI</t>
  </si>
  <si>
    <t>971|50-3973188</t>
  </si>
  <si>
    <t>973|39731888</t>
  </si>
  <si>
    <t>SAMIRA ALI</t>
  </si>
  <si>
    <t>971|-5628526</t>
  </si>
  <si>
    <t>NUZHAT KAMRAN</t>
  </si>
  <si>
    <t>971|0567901199</t>
  </si>
  <si>
    <t>971|56-7901199</t>
  </si>
  <si>
    <t>92|512653653</t>
  </si>
  <si>
    <t>GHADIR KHALED ADEL ATOUT</t>
  </si>
  <si>
    <t>dartout@hotmail.com</t>
  </si>
  <si>
    <t>971|--5218924</t>
  </si>
  <si>
    <t>971|555218924</t>
  </si>
  <si>
    <t>KARIM LOUTFI</t>
  </si>
  <si>
    <t>karimloutfi@hotmail.com</t>
  </si>
  <si>
    <t>971|55-9933755</t>
  </si>
  <si>
    <t>971|0559933755</t>
  </si>
  <si>
    <t>ANGADIPURAM SUNDARESAN HARIHARAN</t>
  </si>
  <si>
    <t>971|558701304</t>
  </si>
  <si>
    <t>hariang@hotmail.com</t>
  </si>
  <si>
    <t>971|50-5587013</t>
  </si>
  <si>
    <t>NITIN GOPALDAS MEHTA</t>
  </si>
  <si>
    <t>nitin@gmail.com</t>
  </si>
  <si>
    <t>91|9870245000</t>
  </si>
  <si>
    <t>HARAIER SAMOUIEL SOUGHMOUNIAN</t>
  </si>
  <si>
    <t>971|506277337</t>
  </si>
  <si>
    <t>sa@dejavuproperties.com</t>
  </si>
  <si>
    <t>971|50-6277337</t>
  </si>
  <si>
    <t>971|4394296</t>
  </si>
  <si>
    <t>NOURA MOHAMED HELAL SOROOR ALKAABI</t>
  </si>
  <si>
    <t>alkaabi.noura@gmail.com</t>
  </si>
  <si>
    <t>971|50-6627779</t>
  </si>
  <si>
    <t>971|506627779</t>
  </si>
  <si>
    <t>AHMED ABDULAZIZ AHMED ALI KHALFAN</t>
  </si>
  <si>
    <t>a.a.khalfan@hotmail.com</t>
  </si>
  <si>
    <t>973|39911914</t>
  </si>
  <si>
    <t>MAHA SAIF A ALSAIF</t>
  </si>
  <si>
    <t>971|50-3673333</t>
  </si>
  <si>
    <t>971|3673333</t>
  </si>
  <si>
    <t>HAZEM SHISH</t>
  </si>
  <si>
    <t>971|50-8730720</t>
  </si>
  <si>
    <t>971|508730720</t>
  </si>
  <si>
    <t>RASHEED MOHAMMED A ALRASHEED</t>
  </si>
  <si>
    <t>JASIM YAQOOB YUSUF EBRAHIM ALASKARI</t>
  </si>
  <si>
    <t>jassimalaskari@hotmail.com</t>
  </si>
  <si>
    <t>971|50-2338880</t>
  </si>
  <si>
    <t>971|0502338880</t>
  </si>
  <si>
    <t>JIHAD HABIB</t>
  </si>
  <si>
    <t>971|0506517099</t>
  </si>
  <si>
    <t>habibjh@yahoo.com</t>
  </si>
  <si>
    <t>971|50-6517099</t>
  </si>
  <si>
    <t>971|506503951</t>
  </si>
  <si>
    <t>601(FLOOR)</t>
  </si>
  <si>
    <t>602(FLOOR)</t>
  </si>
  <si>
    <t>6 B/R</t>
  </si>
  <si>
    <t>603(FLOOR)</t>
  </si>
  <si>
    <t>10 B/R</t>
  </si>
  <si>
    <t>NARGIS FATIMA JAFFERY</t>
  </si>
  <si>
    <t>971|50-3473394</t>
  </si>
  <si>
    <t>CHEE BENG LIN JUSTIN</t>
  </si>
  <si>
    <t>drjustinchee@gmail.com</t>
  </si>
  <si>
    <t>65|62533288</t>
  </si>
  <si>
    <t>Singapore</t>
  </si>
  <si>
    <t>TAGDIR REMTOULA</t>
  </si>
  <si>
    <t>taguy@comorestelecom.km</t>
  </si>
  <si>
    <t>MAHER MUFEED GEORGE TARAZI</t>
  </si>
  <si>
    <t>mmtarazi77@gmail.com</t>
  </si>
  <si>
    <t>971|56--5612006</t>
  </si>
  <si>
    <t>971|561200669</t>
  </si>
  <si>
    <t>ANTHONY ERIC CRABBE</t>
  </si>
  <si>
    <t>050-5517478</t>
  </si>
  <si>
    <t>ABDULAZIZ SALEM HAMAD ABDULLA ALKAABI</t>
  </si>
  <si>
    <t>971|0506211040</t>
  </si>
  <si>
    <t>abdulaziz.alkaabi@mail.com</t>
  </si>
  <si>
    <t>971|50-6211040</t>
  </si>
  <si>
    <t>971|506211040</t>
  </si>
  <si>
    <t>MEHRDAD SADEGH RABIEI JAH</t>
  </si>
  <si>
    <t>971|0502020181</t>
  </si>
  <si>
    <t>info@kmtmed.com</t>
  </si>
  <si>
    <t>971|50-2020181</t>
  </si>
  <si>
    <t>ESSAMELDIN MOHAMED MARGHANI AHMED</t>
  </si>
  <si>
    <t>971|50-0566563</t>
  </si>
  <si>
    <t>SAIF ALI BAKHIT ABDULLA AL NEYADI</t>
  </si>
  <si>
    <t>971|50-0504480</t>
  </si>
  <si>
    <t>Date :</t>
  </si>
  <si>
    <t>Name:</t>
  </si>
  <si>
    <t>Email:</t>
  </si>
  <si>
    <t>Bedrooms</t>
  </si>
  <si>
    <t>Any message from the client</t>
  </si>
  <si>
    <t>Developer</t>
  </si>
  <si>
    <t>Comments</t>
  </si>
  <si>
    <t>Remarks</t>
  </si>
  <si>
    <t>Comment</t>
  </si>
  <si>
    <t xml:space="preserve"> ghulam</t>
  </si>
  <si>
    <t>ghousjuttg7@gmail.com</t>
  </si>
  <si>
    <t>Spring</t>
  </si>
  <si>
    <t>TATIANA</t>
  </si>
  <si>
    <t>Mobile off and no whatsapp</t>
  </si>
  <si>
    <t>Monica Pires</t>
  </si>
  <si>
    <t>monicadcosta@live.com</t>
  </si>
  <si>
    <t>Aseel Villa by Emaar</t>
  </si>
  <si>
    <t>Abu Abid</t>
  </si>
  <si>
    <t>mabufadda@live.com</t>
  </si>
  <si>
    <t>009710529233668</t>
  </si>
  <si>
    <t>VP - Head of Enterprise Architecture</t>
  </si>
  <si>
    <t>Cherrywoods by Meraas</t>
  </si>
  <si>
    <t>Doesn't want to talk about any property right now</t>
  </si>
  <si>
    <t>Молдир Жузбай</t>
  </si>
  <si>
    <t>zhuzbay.moldir1986@gmail.com</t>
  </si>
  <si>
    <t xml:space="preserve"> 0077750282081</t>
  </si>
  <si>
    <t xml:space="preserve"> 2_bedrooms</t>
  </si>
  <si>
    <t xml:space="preserve"> Акушер</t>
  </si>
  <si>
    <t>Port De -Rus</t>
  </si>
  <si>
    <t>Jerrij Johnson</t>
  </si>
  <si>
    <t>californiaflight@aol.com</t>
  </si>
  <si>
    <t>0018189034945</t>
  </si>
  <si>
    <t xml:space="preserve"> CEO &amp; Founder</t>
  </si>
  <si>
    <t>Cherrywoods</t>
  </si>
  <si>
    <t>Aron Tesfai</t>
  </si>
  <si>
    <t>aronte@yahoo.com</t>
  </si>
  <si>
    <t>0046704969825</t>
  </si>
  <si>
    <t>4_bedrooms</t>
  </si>
  <si>
    <t>social</t>
  </si>
  <si>
    <t>EXPO Golf Villa</t>
  </si>
  <si>
    <t>no answer, ive sent a whatsapp message</t>
  </si>
  <si>
    <t>Kamlesh Patel</t>
  </si>
  <si>
    <t>kpatel38@hotmail.com</t>
  </si>
  <si>
    <t>0046738396605</t>
  </si>
  <si>
    <t>Controller</t>
  </si>
  <si>
    <t>Expo Golf Villa</t>
  </si>
  <si>
    <t>Mv Mohamed</t>
  </si>
  <si>
    <t>alfawas@gmail.com</t>
  </si>
  <si>
    <t>971556099306</t>
  </si>
  <si>
    <t>business</t>
  </si>
  <si>
    <t>EMAAR PROPERTY SHOWCASE</t>
  </si>
  <si>
    <t xml:space="preserve">they promised to come last thursday but didn't i called again he said he will come </t>
  </si>
  <si>
    <t>Nauman Hanif</t>
  </si>
  <si>
    <t>nhanif17@gmail.com</t>
  </si>
  <si>
    <t>971507394125</t>
  </si>
  <si>
    <t>Qurban Ali</t>
  </si>
  <si>
    <t>aliflower786@yahoo.com</t>
  </si>
  <si>
    <t xml:space="preserve"> 00971567854433</t>
  </si>
  <si>
    <t>Dubai Creek harbour event</t>
  </si>
  <si>
    <t xml:space="preserve">phone is off </t>
  </si>
  <si>
    <t>Omar Dawood</t>
  </si>
  <si>
    <t>omaramjaddawood@gmail.com</t>
  </si>
  <si>
    <t>00971553009907</t>
  </si>
  <si>
    <t>Student</t>
  </si>
  <si>
    <t>EMAAR Open House</t>
  </si>
  <si>
    <t>MOHAMMED BADER NAHLAWI</t>
  </si>
  <si>
    <t>nehlawi1956@hotmail.com</t>
  </si>
  <si>
    <t>Bluewaters Bldg. 9</t>
  </si>
  <si>
    <t>900k budget</t>
  </si>
  <si>
    <t>5-7 year payment plan, offered Address opera</t>
  </si>
  <si>
    <t>Abu Yousuf</t>
  </si>
  <si>
    <t>00971508407241</t>
  </si>
  <si>
    <t>Yousuf.abu@gmail.com</t>
  </si>
  <si>
    <t>OPEN HOUSE</t>
  </si>
  <si>
    <t>Sideeque Kp</t>
  </si>
  <si>
    <t>kpsideeque@gmail.com</t>
  </si>
  <si>
    <t>00971559546628</t>
  </si>
  <si>
    <t>CREEK OPEN HOUSE</t>
  </si>
  <si>
    <t>He is looking for the job not a buyer at all</t>
  </si>
  <si>
    <t>Fretzie Nacion</t>
  </si>
  <si>
    <t>fnacion@creekcruises.com</t>
  </si>
  <si>
    <t xml:space="preserve"> 00971602228596</t>
  </si>
  <si>
    <t>Managing director</t>
  </si>
  <si>
    <t>Number doesnt work</t>
  </si>
  <si>
    <t>Beatriz Manzano</t>
  </si>
  <si>
    <t>beamf128@yahoo.es</t>
  </si>
  <si>
    <t>00971566039444</t>
  </si>
  <si>
    <t xml:space="preserve"> Business Intelligence and Analytics Manager</t>
  </si>
  <si>
    <t>invited for the Event on friday 12/07</t>
  </si>
  <si>
    <t>John Erold Llanora</t>
  </si>
  <si>
    <t>Johneroldllanora27@yahoo.com</t>
  </si>
  <si>
    <t>00971547497422</t>
  </si>
  <si>
    <t xml:space="preserve"> Florist</t>
  </si>
  <si>
    <t xml:space="preserve"> Shakir koliyad</t>
  </si>
  <si>
    <t>Mohammedsakir@gmail.com</t>
  </si>
  <si>
    <t xml:space="preserve"> 00971557862766.</t>
  </si>
  <si>
    <t>Emaar 12th Sales Event</t>
  </si>
  <si>
    <t>PHIL QUIRKE</t>
  </si>
  <si>
    <t>pquirke@emirates.net.ae</t>
  </si>
  <si>
    <t>00971508133148</t>
  </si>
  <si>
    <t>SERENA</t>
  </si>
  <si>
    <t>Mina Rashid</t>
  </si>
  <si>
    <t>7.20.2019</t>
  </si>
  <si>
    <t>Hamada Ghozy</t>
  </si>
  <si>
    <t xml:space="preserve"> hamadaghozy@yahoo.com</t>
  </si>
  <si>
    <t>00201009449999</t>
  </si>
  <si>
    <t xml:space="preserve"> Emaar Inquiry</t>
  </si>
  <si>
    <t>sent whatsapp</t>
  </si>
  <si>
    <t>Dejan sic</t>
  </si>
  <si>
    <t>Dejanhudxb@gmail.com</t>
  </si>
  <si>
    <t>00971589613120</t>
  </si>
  <si>
    <t>Thair</t>
  </si>
  <si>
    <t>09710508448276</t>
  </si>
  <si>
    <t>Thair1959@hotmail.co.uk</t>
  </si>
  <si>
    <t>CRUISE COLLECTION</t>
  </si>
  <si>
    <t>phone consistently off and he doesn't have whatsApp</t>
  </si>
  <si>
    <t>mobile off, whatsapp sent</t>
  </si>
  <si>
    <t>Seyda Hinds</t>
  </si>
  <si>
    <t>Seydahinds@hotmail.co.uk</t>
  </si>
  <si>
    <t>447789501790</t>
  </si>
  <si>
    <t>Styles</t>
  </si>
  <si>
    <t>EMAAR INQUIRY</t>
  </si>
  <si>
    <t>Tahira Mohsin</t>
  </si>
  <si>
    <t>Mohsinj19@gmail.com</t>
  </si>
  <si>
    <t>SIDRA OPEN HOUSE</t>
  </si>
  <si>
    <t xml:space="preserve">Budget 1 mln with post-handover payment plan ready to move </t>
  </si>
  <si>
    <t xml:space="preserve"> Ehtisham ul haq</t>
  </si>
  <si>
    <t>ehtishamulhaq76@gmail.com</t>
  </si>
  <si>
    <t>0543059923</t>
  </si>
  <si>
    <t>1 bed</t>
  </si>
  <si>
    <t>BELLEVUE</t>
  </si>
  <si>
    <t>has its own real estate company</t>
  </si>
  <si>
    <t>: Dr. M. Emara</t>
  </si>
  <si>
    <t>moniremara@yahoo.com</t>
  </si>
  <si>
    <t>0553535880</t>
  </si>
  <si>
    <t>I am interested in one BR and two BR prices</t>
  </si>
  <si>
    <t xml:space="preserve"> mardiros jansezian</t>
  </si>
  <si>
    <t>mardig.jansezian@samirgroup.com</t>
  </si>
  <si>
    <t>not the right time no money</t>
  </si>
  <si>
    <t>Abdullah Shamsan</t>
  </si>
  <si>
    <t>shamsan2000@yahoo.com</t>
  </si>
  <si>
    <t>971505592566</t>
  </si>
  <si>
    <t>2-3beds</t>
  </si>
  <si>
    <t>Bellevue</t>
  </si>
  <si>
    <t>no answer/have been intouch before</t>
  </si>
  <si>
    <t>Muhammed Shakir</t>
  </si>
  <si>
    <t>0506590375</t>
  </si>
  <si>
    <t>1 bedroom</t>
  </si>
  <si>
    <t xml:space="preserve"> mohammad alsaif</t>
  </si>
  <si>
    <t>malsaif@msn.com</t>
  </si>
  <si>
    <t xml:space="preserve"> 0504500722</t>
  </si>
  <si>
    <t xml:space="preserve"> Feroze sait</t>
  </si>
  <si>
    <t>Ferozesait@hotmail.com</t>
  </si>
  <si>
    <t>919844064025</t>
  </si>
  <si>
    <t>interested only in DISTRESS</t>
  </si>
  <si>
    <t>+966505848001</t>
  </si>
  <si>
    <t>Bellevue towers</t>
  </si>
  <si>
    <t xml:space="preserve"> Akhand Rishi</t>
  </si>
  <si>
    <t xml:space="preserve"> reachrishi@yahoo.com</t>
  </si>
  <si>
    <t>+14163258055</t>
  </si>
  <si>
    <t xml:space="preserve"> 1_bedroom</t>
  </si>
  <si>
    <t xml:space="preserve"> SURF CREEK BEACH</t>
  </si>
  <si>
    <t>out of service</t>
  </si>
  <si>
    <t>Babu</t>
  </si>
  <si>
    <t xml:space="preserve"> bsnljubail@gmail.com</t>
  </si>
  <si>
    <t>00971559100106</t>
  </si>
  <si>
    <t>[DOWNTOWN VIEW 2</t>
  </si>
  <si>
    <t>Parul Shafi</t>
  </si>
  <si>
    <t>parulahmed87@gmail.com</t>
  </si>
  <si>
    <t>+447802438786</t>
  </si>
  <si>
    <t xml:space="preserve"> EMAAR PLATINUM OFFER</t>
  </si>
  <si>
    <t>Richard Alexander Cericola</t>
  </si>
  <si>
    <t xml:space="preserve"> Rscal777@hotmail.com</t>
  </si>
  <si>
    <t>00971508229561</t>
  </si>
  <si>
    <t xml:space="preserve"> SIDRA OPEN HOUSE</t>
  </si>
  <si>
    <t xml:space="preserve"> Shahid Nadeem</t>
  </si>
  <si>
    <t xml:space="preserve"> zonenadeem@gmail.com</t>
  </si>
  <si>
    <t xml:space="preserve"> 00971555597020</t>
  </si>
  <si>
    <t xml:space="preserve"> SIDRA</t>
  </si>
  <si>
    <t xml:space="preserve"> Pradeep Nair</t>
  </si>
  <si>
    <t>snpradeep@hotmail.com</t>
  </si>
  <si>
    <t>+971504597915</t>
  </si>
  <si>
    <t>looking for warehouse commercial, to own, 30,000-50,000 BUA, DIP, Dubai south</t>
  </si>
  <si>
    <t>Jewel Waul</t>
  </si>
  <si>
    <t>jewelwaul01@aol.com (email only)</t>
  </si>
  <si>
    <t>EXPO GOLF VILLA</t>
  </si>
  <si>
    <t xml:space="preserve">  joyceluiq@gmail.com</t>
  </si>
  <si>
    <t>Joyce Lu</t>
  </si>
  <si>
    <t xml:space="preserve"> 93890770</t>
  </si>
  <si>
    <t>BLVD HEIGHTS</t>
  </si>
  <si>
    <t>Rami</t>
  </si>
  <si>
    <t>rmhd_8@yahoo.com</t>
  </si>
  <si>
    <t>0526637779</t>
  </si>
  <si>
    <t xml:space="preserve"> BELLEVUE</t>
  </si>
  <si>
    <t>Interested in 1 bedroom belleview or Downtown with PHPP</t>
  </si>
  <si>
    <t>Ali</t>
  </si>
  <si>
    <t>ali@abdi.de</t>
  </si>
  <si>
    <t>0507469221</t>
  </si>
  <si>
    <t>Interested but asked to discuss in the details tomorrow 17/08/2019</t>
  </si>
  <si>
    <t>Not intersted</t>
  </si>
  <si>
    <t>Mohammad shaban</t>
  </si>
  <si>
    <t>Mohraslan@yahoo.com</t>
  </si>
  <si>
    <t>0509297909</t>
  </si>
  <si>
    <t>LA ROSA</t>
  </si>
  <si>
    <t>2 br in silicon 60k rent</t>
  </si>
  <si>
    <t>Yadagiri Reddy Kancharla</t>
  </si>
  <si>
    <t>kyreddy@sakshi.com</t>
  </si>
  <si>
    <t>+9705155755</t>
  </si>
  <si>
    <t>DP EXPO</t>
  </si>
  <si>
    <t>Fareeha Humayoun</t>
  </si>
  <si>
    <t>f_riya@hotmail.com</t>
  </si>
  <si>
    <t>+96592575924</t>
  </si>
  <si>
    <t>8.22.2019</t>
  </si>
  <si>
    <t>Mehamood Tashuddin</t>
  </si>
  <si>
    <t>0507898939</t>
  </si>
  <si>
    <t>DP EVENT 7th Sept</t>
  </si>
  <si>
    <t>HANS</t>
  </si>
  <si>
    <t>sachdevahr@hotmail.com</t>
  </si>
  <si>
    <t>0506317365</t>
  </si>
  <si>
    <t>BELLE VUE</t>
  </si>
  <si>
    <t>فؤاد</t>
  </si>
  <si>
    <t>fmobaeden@gmail.com</t>
  </si>
  <si>
    <t>Ajajiy1@gmail.com</t>
  </si>
  <si>
    <t xml:space="preserve"> 0551182020</t>
  </si>
  <si>
    <t>8.23.2019</t>
  </si>
  <si>
    <t>hassan</t>
  </si>
  <si>
    <t>fars_5555@yahoo.com</t>
  </si>
  <si>
    <t>+201142024075</t>
  </si>
  <si>
    <t xml:space="preserve"> kamal.sachdeva@gmail.com</t>
  </si>
  <si>
    <t>0505575399</t>
  </si>
  <si>
    <t>DP EVENT 7TH Sept.</t>
  </si>
  <si>
    <t>Sopno Bangla</t>
  </si>
  <si>
    <t xml:space="preserve"> happybangla55@gmail.com</t>
  </si>
  <si>
    <t xml:space="preserve"> +966532189528</t>
  </si>
  <si>
    <t>Rabab Ansary</t>
  </si>
  <si>
    <t>rababansary@gmail.com</t>
  </si>
  <si>
    <t>+201003713781</t>
  </si>
  <si>
    <t xml:space="preserve"> jad ghanem</t>
  </si>
  <si>
    <t>jad.ghanem@alsaad.com.sa</t>
  </si>
  <si>
    <t>00966 50 455 2493</t>
  </si>
  <si>
    <t>Mohiuddin Akbar</t>
  </si>
  <si>
    <t>m_akbar1@yahoo.com</t>
  </si>
  <si>
    <t>Sandra Oehmigen</t>
  </si>
  <si>
    <t xml:space="preserve"> Sandraoehmigen@hotmail.de</t>
  </si>
  <si>
    <t xml:space="preserve"> +491743533633</t>
  </si>
  <si>
    <t>HOLIDAY BEACH HOMES</t>
  </si>
  <si>
    <t>Abdulaziz alzaidi</t>
  </si>
  <si>
    <t>Alzzaidi@gmail.com</t>
  </si>
  <si>
    <t>+966503238748</t>
  </si>
  <si>
    <t>Abdulla Sultan Alsuwaidi</t>
  </si>
  <si>
    <t>uae3337779@gmail.com</t>
  </si>
  <si>
    <t>0505441111</t>
  </si>
  <si>
    <t>DP EVENT</t>
  </si>
  <si>
    <t>Kishore Bhatia</t>
  </si>
  <si>
    <t xml:space="preserve">  bhatiakh@gmail.com</t>
  </si>
  <si>
    <t>0569844025/'042265225</t>
  </si>
  <si>
    <t>Wants to sell/rent his property in dubai south</t>
  </si>
  <si>
    <t>Eikcaj Manalo</t>
  </si>
  <si>
    <t xml:space="preserve"> joey.partime@gmail.com</t>
  </si>
  <si>
    <t xml:space="preserve">  +971582853701</t>
  </si>
  <si>
    <t>Jasem Alhammadi</t>
  </si>
  <si>
    <t>jalhammadiruwais@gmail.com</t>
  </si>
  <si>
    <t xml:space="preserve"> 971509793879</t>
  </si>
  <si>
    <t>Jovovic, Zeljka</t>
  </si>
  <si>
    <t xml:space="preserve">	z_jovovic@yahoo.com</t>
  </si>
  <si>
    <t xml:space="preserve"> send us invite for 2 pp</t>
  </si>
  <si>
    <t>Sur La Mer</t>
  </si>
  <si>
    <t>Already found a property</t>
  </si>
  <si>
    <t>CALISTRI, TOMMASO</t>
  </si>
  <si>
    <t>tommaso.calistri@hotmail.it</t>
  </si>
  <si>
    <t>Blue Waters Residences</t>
  </si>
  <si>
    <t>rent from august 2-3 br TH, springs, Dubai Hills</t>
  </si>
  <si>
    <t>Ayman Samir</t>
  </si>
  <si>
    <t>aymansamirb@gmail.com</t>
  </si>
  <si>
    <t xml:space="preserve"> 0555203631</t>
  </si>
  <si>
    <t>Register for VIP invite</t>
  </si>
  <si>
    <t xml:space="preserve">DP EVENT </t>
  </si>
  <si>
    <t>Raja-Habib Hanif</t>
  </si>
  <si>
    <t>habib56hanif@gmail.com</t>
  </si>
  <si>
    <t>GB</t>
  </si>
  <si>
    <t>Haleh Farman</t>
  </si>
  <si>
    <t>halehfarman@gmail.com</t>
  </si>
  <si>
    <t>DP EVENT 7TH</t>
  </si>
  <si>
    <t>sent whatsapp 12/24</t>
  </si>
  <si>
    <t>Ashok Kanjani</t>
  </si>
  <si>
    <t xml:space="preserve">kanjaniashok@hotmail.com </t>
  </si>
  <si>
    <t>· +971505045039</t>
  </si>
  <si>
    <t>2-3 apartment, budget didnt mention</t>
  </si>
  <si>
    <t>Mohd Ahmad</t>
  </si>
  <si>
    <t>Alborj2@live.com</t>
  </si>
  <si>
    <t>Owner</t>
  </si>
  <si>
    <t>call back 12.05. 11 am</t>
  </si>
  <si>
    <t>Salem Sarhan</t>
  </si>
  <si>
    <t>Salem.sa@gmail.com</t>
  </si>
  <si>
    <t>Eng</t>
  </si>
  <si>
    <t>Lodie Geagea</t>
  </si>
  <si>
    <t>lodie_superstar@hotmail.com</t>
  </si>
  <si>
    <t>Regional product director</t>
  </si>
  <si>
    <t>Ghizlane Roudani</t>
  </si>
  <si>
    <t>newghizou@hotmail.com</t>
  </si>
  <si>
    <t>Government Services Supervisor</t>
  </si>
  <si>
    <t>Sidrat Elmotaha</t>
  </si>
  <si>
    <t>salwa.germi@yahoo.com</t>
  </si>
  <si>
    <t>مدير علاقات عامة</t>
  </si>
  <si>
    <t>Farah Mousa</t>
  </si>
  <si>
    <t>ummona4@hotmail.com</t>
  </si>
  <si>
    <t>Engineer</t>
  </si>
  <si>
    <t>does landscaping for the villas</t>
  </si>
  <si>
    <t>shaikha Al Mutawa</t>
  </si>
  <si>
    <t>shaikhaduc@hotmail.com</t>
  </si>
  <si>
    <t>مدير تنفيذي</t>
  </si>
  <si>
    <t>might be interested in townhouse but in june/july</t>
  </si>
  <si>
    <t>Dr Luke McCabe | Pain Free DC</t>
  </si>
  <si>
    <t>Drlukemccabe@yahoo.co.uk</t>
  </si>
  <si>
    <t>nizakah</t>
  </si>
  <si>
    <t xml:space="preserve"> Aysha-alotaibi@hotmail.com</t>
  </si>
  <si>
    <t xml:space="preserve"> +96597771333</t>
  </si>
  <si>
    <t>FENDI</t>
  </si>
  <si>
    <t>Hussein</t>
  </si>
  <si>
    <t>hassal@altayer.com</t>
  </si>
  <si>
    <t xml:space="preserve"> +971557744722</t>
  </si>
  <si>
    <t>Imane Bougueffa</t>
  </si>
  <si>
    <t>I.bougueffa@icloud.com</t>
  </si>
  <si>
    <t>Psychologist</t>
  </si>
  <si>
    <t>Hossam Haraba</t>
  </si>
  <si>
    <t>hossamharaba246@gmail.com</t>
  </si>
  <si>
    <t>DP Dinner Event 3 - ARB - 2</t>
  </si>
  <si>
    <t>Ali Dawleh</t>
  </si>
  <si>
    <t>alidawleh@yahoo.com</t>
  </si>
  <si>
    <t>call back 3.june</t>
  </si>
  <si>
    <t>Mohamed Foda</t>
  </si>
  <si>
    <t>doctorfoda@hotmail.com</t>
  </si>
  <si>
    <t>+971555442054</t>
  </si>
  <si>
    <t>DP EVENT SEPT 7TH</t>
  </si>
  <si>
    <t>already has units and waiting for handover</t>
  </si>
  <si>
    <t>Ahmed Sheekah</t>
  </si>
  <si>
    <t>أحمد عبد الهادي محمد شيخه</t>
  </si>
  <si>
    <t>speaks only arabic. but seems interesting - gave it to nabeel,</t>
  </si>
  <si>
    <t>سماح عبد الرحيم</t>
  </si>
  <si>
    <t>Samahabdelrahim07@yahoo.com</t>
  </si>
  <si>
    <t>Lu_MGW</t>
  </si>
  <si>
    <t>lusapho_m@yahoo.com</t>
  </si>
  <si>
    <t>Lovely Ubpon</t>
  </si>
  <si>
    <t>dizonjanna9@gmail.com</t>
  </si>
  <si>
    <t>+966565457415</t>
  </si>
  <si>
    <t>EMAAR SOUTH BEACH</t>
  </si>
  <si>
    <t>no answer no whatsapp</t>
  </si>
  <si>
    <t>said he will call back, but seemed interested</t>
  </si>
  <si>
    <t>sent whatspp 12/24</t>
  </si>
  <si>
    <t>shakhoo2000@gmail.com</t>
  </si>
  <si>
    <t>ابو مصعب عثمان</t>
  </si>
  <si>
    <t>EMAAR SOUTHBEACH</t>
  </si>
  <si>
    <t>Matthew Bushell</t>
  </si>
  <si>
    <t>Matthewbushell@hotmail.com</t>
  </si>
  <si>
    <t>Sanju</t>
  </si>
  <si>
    <t>red_82_eagle@yahoo.com</t>
  </si>
  <si>
    <t>looking to buy villa in december, 4 vr independet villa</t>
  </si>
  <si>
    <t>Kaleem, Maheen</t>
  </si>
  <si>
    <t>osangelsreal1@gmail.com</t>
  </si>
  <si>
    <t>Shahbaz, Nada</t>
  </si>
  <si>
    <t>nadakhalifzai86@gmail.com</t>
  </si>
  <si>
    <t>Nadine</t>
  </si>
  <si>
    <t>Altaleb.naderah@yahoo.com</t>
  </si>
  <si>
    <t>14-Sept-19</t>
  </si>
  <si>
    <t>yousef albanwan</t>
  </si>
  <si>
    <t>yyb017@yahoo.com</t>
  </si>
  <si>
    <t>15-Sept-19</t>
  </si>
  <si>
    <t>Khurani, Asha</t>
  </si>
  <si>
    <t>khuraniasha@gmail.com</t>
  </si>
  <si>
    <t xml:space="preserve">1-2 br, 1 m budget </t>
  </si>
  <si>
    <t>hossein0501521528@gmail.com</t>
  </si>
  <si>
    <t>Hendrickx, Thea</t>
  </si>
  <si>
    <t>hendrickxdubai@gmail.com</t>
  </si>
  <si>
    <t>18-Sept-19</t>
  </si>
  <si>
    <t>marmarnouri</t>
  </si>
  <si>
    <t>marmar_sh78@yahoo.com</t>
  </si>
  <si>
    <t xml:space="preserve"> 971502885620</t>
  </si>
  <si>
    <t>Constantin</t>
  </si>
  <si>
    <t>galotchkine@mail.ru</t>
  </si>
  <si>
    <t>24-Sept-19</t>
  </si>
  <si>
    <t>احمد الكعبي</t>
  </si>
  <si>
    <t>alkabii193@gmail.com</t>
  </si>
  <si>
    <t>4_bed_townhouses</t>
  </si>
  <si>
    <t>25-Sept-19</t>
  </si>
  <si>
    <t>Christian Jorge</t>
  </si>
  <si>
    <t>cjaysa@hotmail.com</t>
  </si>
  <si>
    <t>DT VIEWS II</t>
  </si>
  <si>
    <t xml:space="preserve"> Rafiq Ally</t>
  </si>
  <si>
    <t>rafiq@digitally.tv</t>
  </si>
  <si>
    <t xml:space="preserve"> 971555990161</t>
  </si>
  <si>
    <t>call back after covid is over</t>
  </si>
  <si>
    <t>Sept-26-19</t>
  </si>
  <si>
    <t>Wesal Mohamed Ali</t>
  </si>
  <si>
    <t>wesalaziz27@gmail.com</t>
  </si>
  <si>
    <t>3_bed_townhouses</t>
  </si>
  <si>
    <t>she is not interesting anymore</t>
  </si>
  <si>
    <t>SarazuBhola Solanki</t>
  </si>
  <si>
    <t xml:space="preserve"> sarazusahil123@gmail.com</t>
  </si>
  <si>
    <t xml:space="preserve"> +919810451200</t>
  </si>
  <si>
    <t>Downtown</t>
  </si>
  <si>
    <t>Charles D. Williams</t>
  </si>
  <si>
    <t xml:space="preserve">  chuckwilliams52@gmail.com</t>
  </si>
  <si>
    <t xml:space="preserve"> +233202016956</t>
  </si>
  <si>
    <t>Sept-28-19</t>
  </si>
  <si>
    <t xml:space="preserve"> foad</t>
  </si>
  <si>
    <t>foadmarouf@hotmail.co.uk</t>
  </si>
  <si>
    <t>009647708770001</t>
  </si>
  <si>
    <t>Unit Size: bellevue towers</t>
  </si>
  <si>
    <t xml:space="preserve"> Omoyemi R Ajanaku</t>
  </si>
  <si>
    <t xml:space="preserve"> gensecus@yahoo.com</t>
  </si>
  <si>
    <t xml:space="preserve"> +447507382900</t>
  </si>
  <si>
    <t xml:space="preserve">  LA ROSA</t>
  </si>
  <si>
    <t xml:space="preserve"> Sabina Mammadova</t>
  </si>
  <si>
    <t xml:space="preserve">  m.sabinka@gmail.com</t>
  </si>
  <si>
    <t>hazem miskeen</t>
  </si>
  <si>
    <t>h_miskeen@yahoo.com</t>
  </si>
  <si>
    <t>0527188777</t>
  </si>
  <si>
    <t>cash buyer, 1m, 1 br, 0507215797</t>
  </si>
  <si>
    <t>jad ghanem</t>
  </si>
  <si>
    <t xml:space="preserve">LAROSA </t>
  </si>
  <si>
    <t>Vinita Parekh</t>
  </si>
  <si>
    <t>parekhvini@yahoo.com</t>
  </si>
  <si>
    <t>30-9-19</t>
  </si>
  <si>
    <t>Shaik Allauddin</t>
  </si>
  <si>
    <t>shaikallauddin129@gmail.com</t>
  </si>
  <si>
    <t>Oct-1-2019</t>
  </si>
  <si>
    <t>Khalid Mahmood</t>
  </si>
  <si>
    <t>ars1kms@yahoo.com</t>
  </si>
  <si>
    <t>something wrong with the number</t>
  </si>
  <si>
    <t xml:space="preserve"> Arun</t>
  </si>
  <si>
    <t>Mehraarun@hotmail.com</t>
  </si>
  <si>
    <t>97144404840</t>
  </si>
  <si>
    <t>Rawda</t>
  </si>
  <si>
    <t>ak_757575</t>
  </si>
  <si>
    <t>already purchased contract</t>
  </si>
  <si>
    <t>Oct-2-2019</t>
  </si>
  <si>
    <t>hisham.aljamil@bidfoodme.com</t>
  </si>
  <si>
    <t xml:space="preserve"> 971566751111</t>
  </si>
  <si>
    <t>Inquiry: 3_bed_apartments</t>
  </si>
  <si>
    <t>3 br, with payment plan,  next to the sea, ready after covid 19</t>
  </si>
  <si>
    <t>Rana Bint Amina</t>
  </si>
  <si>
    <t>ranabegum1@hotmail.com</t>
  </si>
  <si>
    <t>Wants to move to Dubai, would be interested to buy something then</t>
  </si>
  <si>
    <t>Oct-3-2019</t>
  </si>
  <si>
    <t>Sheik Mohamed Thaz</t>
  </si>
  <si>
    <t>mohamedthasleem1987@gmail.com</t>
  </si>
  <si>
    <t>price_and_payment_plan_offer</t>
  </si>
  <si>
    <t>MJL ASAYEL</t>
  </si>
  <si>
    <t>after covid will get back to me</t>
  </si>
  <si>
    <t>Oct-5-2019</t>
  </si>
  <si>
    <t>Vinod kumar</t>
  </si>
  <si>
    <t>Vintel61@yahoo.com</t>
  </si>
  <si>
    <t xml:space="preserve"> 0506455731</t>
  </si>
  <si>
    <t>jvc,arjan, jlt area, only distress, studio-2br</t>
  </si>
  <si>
    <t>Tesfahun Fikre Sulito</t>
  </si>
  <si>
    <t>tesfahun_f@yahoo.com</t>
  </si>
  <si>
    <t xml:space="preserve">MJL </t>
  </si>
  <si>
    <t>Mir Manjoor Rahim</t>
  </si>
  <si>
    <t>mirmanjoorrahim@yahoo.com</t>
  </si>
  <si>
    <t>0503671279</t>
  </si>
  <si>
    <t>VILLA NOVA</t>
  </si>
  <si>
    <t>maybe interested in townhouse, sent la rosa</t>
  </si>
  <si>
    <t>Justin Boutros</t>
  </si>
  <si>
    <t>justinboutros@hotmail.com</t>
  </si>
  <si>
    <t>LA VIOLE</t>
  </si>
  <si>
    <t>Fabrizio Puglisi</t>
  </si>
  <si>
    <t>fabrizio.puglisi@hotmail.it</t>
  </si>
  <si>
    <t>SABA TOWER JLT, 2 BR</t>
  </si>
  <si>
    <t>Fouad Ali</t>
  </si>
  <si>
    <t>ayaanov8@gmail.com</t>
  </si>
  <si>
    <t>Oct-9-19</t>
  </si>
  <si>
    <t>Candy Perola 🙏🏾👪🎓✈️</t>
  </si>
  <si>
    <t>solmoda24@googlemail.com</t>
  </si>
  <si>
    <t>ready_villa</t>
  </si>
  <si>
    <t>Nazim Shabandri Patel</t>
  </si>
  <si>
    <t>nazimsp@hotmail.com</t>
  </si>
  <si>
    <t>call 5th may 11am</t>
  </si>
  <si>
    <t>Oct-8-19</t>
  </si>
  <si>
    <t>Lina Fandi</t>
  </si>
  <si>
    <t>linafandi04@gmail.com</t>
  </si>
  <si>
    <t>Emaar Arabian Ranches</t>
  </si>
  <si>
    <t>still in the market but doesnt like Serena And Ranches 3 i shared comparison file will follow up on saturday 23.11.2019</t>
  </si>
  <si>
    <t>call back later 4th may evening</t>
  </si>
  <si>
    <t>Mazin Abdul-Nour</t>
  </si>
  <si>
    <t>mabdulnour@hotmail.com</t>
  </si>
  <si>
    <t>Fadi Al-jamal</t>
  </si>
  <si>
    <t>a-t-s@hotmail.de</t>
  </si>
  <si>
    <t>Oct-10-19</t>
  </si>
  <si>
    <t>Fathima Sharmila Jeinulabdeen</t>
  </si>
  <si>
    <t>shamila02@yahoo.co.uk</t>
  </si>
  <si>
    <t>price_and_payment_plan</t>
  </si>
  <si>
    <t>ASEEL OFFER</t>
  </si>
  <si>
    <t>Suhail Mir</t>
  </si>
  <si>
    <t>drsmir@gmail.com</t>
  </si>
  <si>
    <t>Oct-12-19</t>
  </si>
  <si>
    <t>Salim Shaikh</t>
  </si>
  <si>
    <t>aliyaa02@gmail.com</t>
  </si>
  <si>
    <t>0506578633</t>
  </si>
  <si>
    <t>Joseph Henein</t>
  </si>
  <si>
    <t>Joe@nbpharma.com</t>
  </si>
  <si>
    <t>+971505580443</t>
  </si>
  <si>
    <t>Oct-14-19</t>
  </si>
  <si>
    <t>Sam</t>
  </si>
  <si>
    <t>altobella_trading@yahoo.com</t>
  </si>
  <si>
    <t>0506583271</t>
  </si>
  <si>
    <t>Oct-15-19</t>
  </si>
  <si>
    <t>Sheena Wilson</t>
  </si>
  <si>
    <t>sheenawilson3@yahoo.co.uk</t>
  </si>
  <si>
    <t>3 br townhouse, la rosa</t>
  </si>
  <si>
    <t>HarMoney👷</t>
  </si>
  <si>
    <t>ali3.707@gmail.com</t>
  </si>
  <si>
    <t>Interested I offered Serena Meeting on Monday 25.11.2019 Remind him on 24.11.2019</t>
  </si>
  <si>
    <t>Oct-16-19</t>
  </si>
  <si>
    <t xml:space="preserve">  kent ng</t>
  </si>
  <si>
    <t>kentng@gmail.com</t>
  </si>
  <si>
    <t xml:space="preserve"> +6590096008</t>
  </si>
  <si>
    <t>ARABIAN RANCHES III -RUBA</t>
  </si>
  <si>
    <t>Oct-17-19</t>
  </si>
  <si>
    <t>Farrah Naz Qayum</t>
  </si>
  <si>
    <t>pareesheh@hotmail.com</t>
  </si>
  <si>
    <t>townhouse_prices</t>
  </si>
  <si>
    <t>ARABIAN RANCHES III - RUBA</t>
  </si>
  <si>
    <t>Danny Sawlani</t>
  </si>
  <si>
    <t>dollythakur@gmail.com</t>
  </si>
  <si>
    <t>2_bed_townhouse</t>
  </si>
  <si>
    <t>Oct-19-19</t>
  </si>
  <si>
    <t>Mayank</t>
  </si>
  <si>
    <t>Bahatia.m@daikinmea.com</t>
  </si>
  <si>
    <t>Goutam Kumar Nayak</t>
  </si>
  <si>
    <t>g_nayak11@rediffmail.com</t>
  </si>
  <si>
    <t>He is In Saudi budget 1.5 for 3bd Tpwnhouse</t>
  </si>
  <si>
    <t>Poorni</t>
  </si>
  <si>
    <t xml:space="preserve"> r_poori@yahoo.com</t>
  </si>
  <si>
    <t>0506911429</t>
  </si>
  <si>
    <t>RAWDA 2</t>
  </si>
  <si>
    <t>Aleixo Antonio Barretto</t>
  </si>
  <si>
    <t xml:space="preserve"> abarretto49@hotmail.com</t>
  </si>
  <si>
    <t>+971504172042</t>
  </si>
  <si>
    <t>Mudon Views</t>
  </si>
  <si>
    <t>Oct-20-19</t>
  </si>
  <si>
    <t>Amany</t>
  </si>
  <si>
    <t>3_bedroom_townhouse</t>
  </si>
  <si>
    <t>ARABIAN RANCHES III- RUBA</t>
  </si>
  <si>
    <t xml:space="preserve">Not a working number </t>
  </si>
  <si>
    <t>Muhammad Mohsin Alizai</t>
  </si>
  <si>
    <t>mohsinalizai1@hotmail.com</t>
  </si>
  <si>
    <t>isam shayif</t>
  </si>
  <si>
    <t>isam.shayif@yahoo.com</t>
  </si>
  <si>
    <t>00966591918171</t>
  </si>
  <si>
    <t xml:space="preserve"> LA VIE - JBR</t>
  </si>
  <si>
    <t>Reza Azimi-Vishteh</t>
  </si>
  <si>
    <t xml:space="preserve"> Michaelvishteh@gmail.com</t>
  </si>
  <si>
    <t>+971543969750</t>
  </si>
  <si>
    <t xml:space="preserve">  LA VIE - JBR</t>
  </si>
  <si>
    <t>update 12/24</t>
  </si>
  <si>
    <t>Oct-22-19</t>
  </si>
  <si>
    <t>Shilpi Ghosh</t>
  </si>
  <si>
    <t>pratikshaghosh@rediffmail.com</t>
  </si>
  <si>
    <t>3 br townhouse, budget 1 m but doesnt like far locations</t>
  </si>
  <si>
    <t>Oct-23-19</t>
  </si>
  <si>
    <t>issiboh@web.de</t>
  </si>
  <si>
    <t>ιάννης Σταύροσ</t>
  </si>
  <si>
    <t>+6588114161</t>
  </si>
  <si>
    <t>ELLINGTON</t>
  </si>
  <si>
    <t>Oct-24-19</t>
  </si>
  <si>
    <t>Usman Ayub Qureshi</t>
  </si>
  <si>
    <t>qureshi.usmanayub@gmail.com</t>
  </si>
  <si>
    <t>4_bed_townhouse</t>
  </si>
  <si>
    <t xml:space="preserve">He was not seriuose </t>
  </si>
  <si>
    <t>Jaf Geys</t>
  </si>
  <si>
    <t>jef.geys@primefit.be</t>
  </si>
  <si>
    <t>+971501089273</t>
  </si>
  <si>
    <t>EXPO GOLF VILLA 5</t>
  </si>
  <si>
    <t>Tamer Yehua</t>
  </si>
  <si>
    <t>int.co.eg@gmail.com</t>
  </si>
  <si>
    <t xml:space="preserve"> +201272268228.</t>
  </si>
  <si>
    <t>please send me location of building</t>
  </si>
  <si>
    <t>andrzejhalicki@gmail.com</t>
  </si>
  <si>
    <t>Michael Dagher</t>
  </si>
  <si>
    <t xml:space="preserve">msdagher@gmail.com </t>
  </si>
  <si>
    <t>OPERA GRAND</t>
  </si>
  <si>
    <t>Dhan Dhan</t>
  </si>
  <si>
    <t>tope.dhanashree@gmail.com</t>
  </si>
  <si>
    <t>Shaher Itum</t>
  </si>
  <si>
    <t>shaher@hotmail.com</t>
  </si>
  <si>
    <t>Alvarida Melchora</t>
  </si>
  <si>
    <t>melchoraalvarida@gmail.com</t>
  </si>
  <si>
    <t>Walter Brigoli</t>
  </si>
  <si>
    <t>walterfriday@yahoo.com</t>
  </si>
  <si>
    <t xml:space="preserve"> Bahaa</t>
  </si>
  <si>
    <t xml:space="preserve"> kereldin2003@yahoo.com</t>
  </si>
  <si>
    <t xml:space="preserve"> 0501299399</t>
  </si>
  <si>
    <t>Nov-2-2019</t>
  </si>
  <si>
    <t>صلاح عبد الكريم</t>
  </si>
  <si>
    <t>sala7100@gmail.com</t>
  </si>
  <si>
    <t>Nov-6-2019</t>
  </si>
  <si>
    <t>Benjy Hobhouse</t>
  </si>
  <si>
    <t>benhobhouse@gmail.com</t>
  </si>
  <si>
    <t xml:space="preserve"> ADNAN KHAN</t>
  </si>
  <si>
    <t>adnanalamkhan@hotmail.com</t>
  </si>
  <si>
    <t>03462779332</t>
  </si>
  <si>
    <t>E-PROJECT:ASEEL</t>
  </si>
  <si>
    <t>Nov-7-2019</t>
  </si>
  <si>
    <t>Soniya Kirpalani</t>
  </si>
  <si>
    <t>info@theunknownplanet.com</t>
  </si>
  <si>
    <t xml:space="preserve"> 986780309</t>
  </si>
  <si>
    <t>She has Two Villas for Sale Sidra and Polo Townhouse Info in my Email Then might be Buy</t>
  </si>
  <si>
    <t>Abdulmajeed</t>
  </si>
  <si>
    <t>Email: Mmarzooqi08@gmail.com</t>
  </si>
  <si>
    <t>:0506111421</t>
  </si>
  <si>
    <t>call 4th of may</t>
  </si>
  <si>
    <t>Nov/13/19</t>
  </si>
  <si>
    <t>Manesh Manohar</t>
  </si>
  <si>
    <t>manesh@midasiabulk.com</t>
  </si>
  <si>
    <t>looking for 3 br townhouse</t>
  </si>
  <si>
    <t>Nov/14/19</t>
  </si>
  <si>
    <t>Colvyn Harris</t>
  </si>
  <si>
    <t>colvyn@gmail.com</t>
  </si>
  <si>
    <t>Nov/15/19</t>
  </si>
  <si>
    <t xml:space="preserve"> lakshman</t>
  </si>
  <si>
    <t>arkutiya2@hotmail.com</t>
  </si>
  <si>
    <t xml:space="preserve"> +971 50-645-8749</t>
  </si>
  <si>
    <t>fahd</t>
  </si>
  <si>
    <t xml:space="preserve"> fahdwaseem@gmail.com</t>
  </si>
  <si>
    <t>0526333341</t>
  </si>
  <si>
    <t>MUDON VIEWS</t>
  </si>
  <si>
    <t xml:space="preserve"> Sam</t>
  </si>
  <si>
    <t xml:space="preserve"> Smzein@eim.ae</t>
  </si>
  <si>
    <t>+971 50-611-5907</t>
  </si>
  <si>
    <t xml:space="preserve"> THE VALLEY</t>
  </si>
  <si>
    <t>Bharat</t>
  </si>
  <si>
    <t>Bharatanca@yahoo.com</t>
  </si>
  <si>
    <t>+971 50-652-1284</t>
  </si>
  <si>
    <t>whatsapp sent, wrong number</t>
  </si>
  <si>
    <t>G-Ali Esfandnia</t>
  </si>
  <si>
    <t>ghaed1@yahoo.com</t>
  </si>
  <si>
    <t>055 643 0098</t>
  </si>
  <si>
    <t>Bessie Crooks</t>
  </si>
  <si>
    <t>manonc.langlois@hotmail.fr</t>
  </si>
  <si>
    <t xml:space="preserve"> +971 42-633-6651</t>
  </si>
  <si>
    <t>Number Is Not working Email Sent</t>
  </si>
  <si>
    <t>Saule Kos</t>
  </si>
  <si>
    <t>saule_1000@yahoo.com</t>
  </si>
  <si>
    <t>Number Out Of service / Email Sent waiting for response</t>
  </si>
  <si>
    <t>Harun Rashid SH</t>
  </si>
  <si>
    <t>harunrashid.sh@gmail.com</t>
  </si>
  <si>
    <t>THE VALLEY - EMAAR</t>
  </si>
  <si>
    <r>
      <t xml:space="preserve">Interesting in Townhouses Naseem Townsquare by Nshama Mira Oasis by Emaar and Serena Budget approx 1.7 looking for best offer / next meeting on </t>
    </r>
    <r>
      <rPr/>
      <t>Friday or Saturday 29th or 30th November</t>
    </r>
  </si>
  <si>
    <t>meeting scheduled on 22.11.2019 or 23.11.2019</t>
  </si>
  <si>
    <t>sonson</t>
  </si>
  <si>
    <t>sonson_edward@hotmail.com</t>
  </si>
  <si>
    <t>ARABIAN RANCHES  IIII- RUBA</t>
  </si>
  <si>
    <t xml:space="preserve">Offered Golf Grove Villa follow up </t>
  </si>
  <si>
    <t>interested after Covid 19</t>
  </si>
  <si>
    <t>Hipolito Larkin</t>
  </si>
  <si>
    <t xml:space="preserve"> macey@maceylipmanart.com</t>
  </si>
  <si>
    <t xml:space="preserve"> +971 61-488-0455</t>
  </si>
  <si>
    <t xml:space="preserve">No responds not from Email Not from Number </t>
  </si>
  <si>
    <t>S faruk</t>
  </si>
  <si>
    <t>Toshibabts.gcc@gmail.com</t>
  </si>
  <si>
    <t>Interested wants to speak tomorro at 2pm 24th November</t>
  </si>
  <si>
    <t>3 bedroom, SZR, AYKON city, marikam city, business bay, 1 min budget</t>
  </si>
  <si>
    <t xml:space="preserve"> Mohamed</t>
  </si>
  <si>
    <t xml:space="preserve"> mmm2803@hotmail.com</t>
  </si>
  <si>
    <t xml:space="preserve">  +971 50-445-1555</t>
  </si>
  <si>
    <t xml:space="preserve">He is interested in Marina ready/ready soon with longest as possible PHPP 1or 2 bedroom someone from our company already offered him Damac im sending him 52/42 </t>
  </si>
  <si>
    <t>Needs something with a long payment plan min. 5 years, offered him Address Opera</t>
  </si>
  <si>
    <t>Marc Verleyen</t>
  </si>
  <si>
    <t>marc_verleyen@hotmail.com</t>
  </si>
  <si>
    <t>+320477599525</t>
  </si>
  <si>
    <t xml:space="preserve"> MJL</t>
  </si>
  <si>
    <t xml:space="preserve">Interested To Discuss On Monday 25th November 2pm Saudi Time </t>
  </si>
  <si>
    <t>at the moment not interested</t>
  </si>
  <si>
    <t>Wedad alfarsi</t>
  </si>
  <si>
    <t>wedadalfarsi369@gmail.com</t>
  </si>
  <si>
    <t>05 0 749 55 57</t>
  </si>
  <si>
    <t>Mansoor Khan</t>
  </si>
  <si>
    <t>mansoor.khan107@gmail.com</t>
  </si>
  <si>
    <t>05 2 166 32 30</t>
  </si>
  <si>
    <t>Probably interested after Covid19</t>
  </si>
  <si>
    <t>iftikhar</t>
  </si>
  <si>
    <t>eftikharahmed@hotmail.co.uk</t>
  </si>
  <si>
    <t>altelow@yahoo.com</t>
  </si>
  <si>
    <t xml:space="preserve"> 0506536519</t>
  </si>
  <si>
    <t>ARABIAN RANCHES III RUBA</t>
  </si>
  <si>
    <t>Matthew Igiwa</t>
  </si>
  <si>
    <t>matthew2304@msn.com</t>
  </si>
  <si>
    <t>Ayesha Fawad</t>
  </si>
  <si>
    <t>aash.fb@gmail.com</t>
  </si>
  <si>
    <t>Matthew</t>
  </si>
  <si>
    <t>Layla</t>
  </si>
  <si>
    <t xml:space="preserve"> lily.jivani@gmail.com</t>
  </si>
  <si>
    <t xml:space="preserve"> +971581195519</t>
  </si>
  <si>
    <t>Maria Tamas</t>
  </si>
  <si>
    <t xml:space="preserve"> maree_mari@yahoo.com</t>
  </si>
  <si>
    <t xml:space="preserve"> +400742877728</t>
  </si>
  <si>
    <t>Suhail nakheera</t>
  </si>
  <si>
    <t xml:space="preserve"> aitha suhail al affari</t>
  </si>
  <si>
    <t xml:space="preserve"> +971504489009</t>
  </si>
  <si>
    <t>Ameera</t>
  </si>
  <si>
    <t xml:space="preserve"> +971567774792</t>
  </si>
  <si>
    <t>Rana Dasgupta</t>
  </si>
  <si>
    <t>ranadasgupta2005@gmail.com</t>
  </si>
  <si>
    <t>+919831679558</t>
  </si>
  <si>
    <t xml:space="preserve"> Afzal Noormohamed</t>
  </si>
  <si>
    <t>afzal.noormohamed@gmail.com</t>
  </si>
  <si>
    <t>+9109821462683</t>
  </si>
  <si>
    <t>sent whatsapp 12/25</t>
  </si>
  <si>
    <t>Rahna Niza</t>
  </si>
  <si>
    <t>+971507898939</t>
  </si>
  <si>
    <t>Ash AJay May</t>
  </si>
  <si>
    <t xml:space="preserve"> aeajmay@outlook.com</t>
  </si>
  <si>
    <t>+4407525313552</t>
  </si>
  <si>
    <t>Mohammed Zaman Sarwar Sarwar</t>
  </si>
  <si>
    <t>:mzsarwar@hotmail.com</t>
  </si>
  <si>
    <t>+447922835267</t>
  </si>
  <si>
    <t>Emaar Ready</t>
  </si>
  <si>
    <t>Noor</t>
  </si>
  <si>
    <t xml:space="preserve"> noor1@eim.ae</t>
  </si>
  <si>
    <t>+971 50-652-1350</t>
  </si>
  <si>
    <t>Maybe interested after covid</t>
  </si>
  <si>
    <t>Najeeb Ur Rehman Aziz Ur Rehman</t>
  </si>
  <si>
    <t xml:space="preserve"> hpgh.ce@hotmail.com</t>
  </si>
  <si>
    <t xml:space="preserve"> +971 56-474-2508</t>
  </si>
  <si>
    <t>Downtown Views 2</t>
  </si>
  <si>
    <t>sent whatsapp 12/26</t>
  </si>
  <si>
    <t>Smiri Kross</t>
  </si>
  <si>
    <t>smirih4@gmail.com</t>
  </si>
  <si>
    <t xml:space="preserve"> +212666156660</t>
  </si>
  <si>
    <t>Emaar Beachfront Diamond Project</t>
  </si>
  <si>
    <t>Mbarek Farike</t>
  </si>
  <si>
    <t>afasi15@yahoo.es</t>
  </si>
  <si>
    <t>+212661064732</t>
  </si>
  <si>
    <t>Zabb Tunidau</t>
  </si>
  <si>
    <t xml:space="preserve"> kvtrail@gmail.com</t>
  </si>
  <si>
    <t xml:space="preserve"> +610402706758</t>
  </si>
  <si>
    <t xml:space="preserve"> Pawan Kumar</t>
  </si>
  <si>
    <t xml:space="preserve"> pawanyadav94169@gmail.com</t>
  </si>
  <si>
    <t>+919416963800</t>
  </si>
  <si>
    <t xml:space="preserve"> The Valley</t>
  </si>
  <si>
    <t xml:space="preserve"> Habeeb Khan</t>
  </si>
  <si>
    <t>habgroups80@gmail.com</t>
  </si>
  <si>
    <t>+918220844430</t>
  </si>
  <si>
    <t>asked to send whatsapp, so ive sent Tilal Al Ghaf</t>
  </si>
  <si>
    <t>Shweta Raghuwanshi</t>
  </si>
  <si>
    <t>shweta.raghu@hotmail.com</t>
  </si>
  <si>
    <t>+  971 52 818 19 80</t>
  </si>
  <si>
    <t>COLLECTIVE</t>
  </si>
  <si>
    <t>Asnan</t>
  </si>
  <si>
    <t xml:space="preserve"> adnanghauri@yahoo.com</t>
  </si>
  <si>
    <t xml:space="preserve"> +447984976820</t>
  </si>
  <si>
    <t>I am after an investment which Will give me good returns and go up in value. I’m looking for soemthing with a good payment plan and if needed I can sell easily in future</t>
  </si>
  <si>
    <t>the Valley</t>
  </si>
  <si>
    <t>Rameez Sattar</t>
  </si>
  <si>
    <t xml:space="preserve"> rameezsattar@sonraj.com</t>
  </si>
  <si>
    <t>+4407557353525</t>
  </si>
  <si>
    <t>Dominic Tunn</t>
  </si>
  <si>
    <t xml:space="preserve"> Dominic@locationsecure.com</t>
  </si>
  <si>
    <t xml:space="preserve"> +447753393630</t>
  </si>
  <si>
    <t>Syed Sibat Shah</t>
  </si>
  <si>
    <t>sibatshah1@gmail.com</t>
  </si>
  <si>
    <t>+447850167362</t>
  </si>
  <si>
    <t xml:space="preserve"> 3_bedroom</t>
  </si>
  <si>
    <t>:faragsam@hotmail.com</t>
  </si>
  <si>
    <t>9715858089922</t>
  </si>
  <si>
    <t xml:space="preserve"> Wilton by Ellington</t>
  </si>
  <si>
    <t>jayesh Patel</t>
  </si>
  <si>
    <t>jayesh27@gmail.com</t>
  </si>
  <si>
    <t>EMAAR DIAMOND PROJECT</t>
  </si>
  <si>
    <t>Ashok</t>
  </si>
  <si>
    <t>ashokkhannan@gmail.com</t>
  </si>
  <si>
    <t>+919841071634</t>
  </si>
  <si>
    <t>Name:Ehsan Ul Haq Abbasi</t>
  </si>
  <si>
    <t>Email:e_h_abbasi@hotmail.com</t>
  </si>
  <si>
    <t>Mobile:+61421927314</t>
  </si>
  <si>
    <t>:THE VALLEY</t>
  </si>
  <si>
    <t>Looking to buy some investment after 6-12 months (end of 2020) with PP</t>
  </si>
  <si>
    <t>Name:Sk Nasir Ahmed Laltu</t>
  </si>
  <si>
    <t>Email:sknasirahmed123@gmail.com</t>
  </si>
  <si>
    <t>Mobile:+919830262939</t>
  </si>
  <si>
    <t>Name:Anas alami</t>
  </si>
  <si>
    <t>Email:alami.emploi@gmail.com</t>
  </si>
  <si>
    <t>Mobile:+212661484826</t>
  </si>
  <si>
    <t>Name:  Kàsintha Gayan</t>
  </si>
  <si>
    <t>Email: kasinthakgk@gmail.com</t>
  </si>
  <si>
    <t>Mobile: +971508906568</t>
  </si>
  <si>
    <t>Comment:  client looking for 3 bed villa, in 1.5million budget,. planning to move in prop may be by sep 2020,. advs will arrange cll bck</t>
  </si>
  <si>
    <t>CONFIRMED LEAD</t>
  </si>
  <si>
    <t>3 br, ready by this year, 1,1M, not in a hurry</t>
  </si>
  <si>
    <t>Name:  Ara H Arakelian</t>
  </si>
  <si>
    <t>Email:  arakelianara@hotmail.com</t>
  </si>
  <si>
    <t>Mobile: +971559227793</t>
  </si>
  <si>
    <t>Comment:   client is interested, advs to spk afetr 2 weeks</t>
  </si>
  <si>
    <t>Name:  Mamta</t>
  </si>
  <si>
    <t>Mobile: +971558106417</t>
  </si>
  <si>
    <t>Comment:  Client looking for 2 bed in 1 million plus ,advs to cll on 19th dec as her husband is in india, want to go for higher mortgage n lesser downpaym, with ready project in 2 month, advs to whats app detail</t>
  </si>
  <si>
    <t>wrong number and not interested</t>
  </si>
  <si>
    <t>Name:  Pradeep</t>
  </si>
  <si>
    <t>Email: apkr29@gmail.com</t>
  </si>
  <si>
    <t>Mobile: +971559616634</t>
  </si>
  <si>
    <t>Comment:  client sd his dad is looking for prop in azizi, he shd b bck in jan ,advs to cll in 1st week of feb can think of other optns ,.. 3 bed , 2 miilion budget,</t>
  </si>
  <si>
    <t>2,2M budget, 2-3 br, waiting for his dad to arrive back</t>
  </si>
  <si>
    <t xml:space="preserve"> Imran Shariff</t>
  </si>
  <si>
    <t>imranshariff_2k@yahoo.com</t>
  </si>
  <si>
    <t>0558000957</t>
  </si>
  <si>
    <t>Olabode oso</t>
  </si>
  <si>
    <t>bodeoso82@yahoo.com</t>
  </si>
  <si>
    <t>+23408171399358</t>
  </si>
  <si>
    <t>1.26_million_apartment</t>
  </si>
  <si>
    <t>no answer, no whatsapp</t>
  </si>
  <si>
    <t>Sasanka@ngi.it</t>
  </si>
  <si>
    <t>447481612013</t>
  </si>
  <si>
    <t>freehold_apartment</t>
  </si>
  <si>
    <t>no answer, whatsapped him</t>
  </si>
  <si>
    <t>Yaasseerr Rafiq</t>
  </si>
  <si>
    <t xml:space="preserve"> yrafique@hotmail.com</t>
  </si>
  <si>
    <t>+4407933338733</t>
  </si>
  <si>
    <t>special_payment_plan</t>
  </si>
  <si>
    <t>didnt answer, ive sent whatsapp</t>
  </si>
  <si>
    <t>Faisal Ali</t>
  </si>
  <si>
    <t xml:space="preserve"> f_ali01@hotmail.com</t>
  </si>
  <si>
    <t xml:space="preserve"> +971507080039</t>
  </si>
  <si>
    <t>might be interested only after corona is over</t>
  </si>
  <si>
    <t>Jesse Singh</t>
  </si>
  <si>
    <t>singhjesse99@gmail.com</t>
  </si>
  <si>
    <t xml:space="preserve"> +19059527692</t>
  </si>
  <si>
    <t>Sherly Fleurival</t>
  </si>
  <si>
    <t>loune_53@mail.com</t>
  </si>
  <si>
    <t>+1(514) 922-6704</t>
  </si>
  <si>
    <t>Hunidi Al Barazi</t>
  </si>
  <si>
    <t>fhalbrazi2@hotmail.com</t>
  </si>
  <si>
    <t>+9660505178923</t>
  </si>
  <si>
    <t>Invest Dubai GCC</t>
  </si>
  <si>
    <t>Masharif Shah</t>
  </si>
  <si>
    <t>masharif.shah@gmail.com</t>
  </si>
  <si>
    <t>+971588290926</t>
  </si>
  <si>
    <t>Arun Gobal</t>
  </si>
  <si>
    <t>+971569962326</t>
  </si>
  <si>
    <t>+971508493943</t>
  </si>
  <si>
    <t>looking for only distress deals</t>
  </si>
  <si>
    <t>Robert Alagon</t>
  </si>
  <si>
    <t>rdalagon@yahoo.com</t>
  </si>
  <si>
    <t xml:space="preserve"> +971561872511</t>
  </si>
  <si>
    <t>no answer and no whatsapp</t>
  </si>
  <si>
    <t>Donemmason</t>
  </si>
  <si>
    <t>the8billioncoinus@gmail.com</t>
  </si>
  <si>
    <t>971502493730</t>
  </si>
  <si>
    <t>Vusi Mafulela</t>
  </si>
  <si>
    <t xml:space="preserve"> Vusi@pinpointdubai.com</t>
  </si>
  <si>
    <t>+ 9710507438928</t>
  </si>
  <si>
    <t>be back on 01/08: meeting at 01/10</t>
  </si>
  <si>
    <t>already working with some other broker but seems like serious client</t>
  </si>
  <si>
    <t>Ali Mangal</t>
  </si>
  <si>
    <t xml:space="preserve"> globalnetworks.am@gmail.com</t>
  </si>
  <si>
    <t>+447415095911</t>
  </si>
  <si>
    <t>sent whatsapp 12/23; he will send details tonight 12/23</t>
  </si>
  <si>
    <t>Rajeef Koneswaran</t>
  </si>
  <si>
    <t xml:space="preserve"> rajeefgta@gmail.com</t>
  </si>
  <si>
    <t>+14162872222</t>
  </si>
  <si>
    <t xml:space="preserve"> EMAAR SIGNATURE LINE</t>
  </si>
  <si>
    <t>Qasem</t>
  </si>
  <si>
    <t xml:space="preserve"> qasem284721@moe.ae</t>
  </si>
  <si>
    <t xml:space="preserve"> +971567512141</t>
  </si>
  <si>
    <t>rent not to buy</t>
  </si>
  <si>
    <t>Khaled Samih Abdelaziz</t>
  </si>
  <si>
    <t>khaledabdelaziz33@gmail.com</t>
  </si>
  <si>
    <t>+971506296611</t>
  </si>
  <si>
    <t xml:space="preserve"> I postponed all my plans regarding real state investments </t>
  </si>
  <si>
    <t>Sent Creek Horizon and Park Rights 12/22</t>
  </si>
  <si>
    <t>300-400k downpayment, close to al ain, offered vally project</t>
  </si>
  <si>
    <t>Heas</t>
  </si>
  <si>
    <t>Heasgh@gmail.com</t>
  </si>
  <si>
    <t>number is not valid</t>
  </si>
  <si>
    <t>Pankaj Pal</t>
  </si>
  <si>
    <t>pankajpal.mdrt@gmail.com</t>
  </si>
  <si>
    <t>He wants ready sea view 2 mln budget 2 bedroom</t>
  </si>
  <si>
    <t>Both numbers couldn’t reach but I’ve sent WhatsApp give me till end of the day time I’ll update you; We are in discussion of the best option in terms of his requirements 
Will keep you posted with chosen area</t>
  </si>
  <si>
    <t>42/52 1 bedroom offered so far the most close to his requirements 
Follow up</t>
  </si>
  <si>
    <t>call back after 5</t>
  </si>
  <si>
    <t>has decided to wait for another year</t>
  </si>
  <si>
    <t>Nedal Dalaty</t>
  </si>
  <si>
    <t>Nidald1@hotmail.com</t>
  </si>
  <si>
    <t>Arabian Ranches</t>
  </si>
  <si>
    <t>Jamal</t>
  </si>
  <si>
    <t>Jamalclinic@hotmail.co.uk</t>
  </si>
  <si>
    <t>call 12/24 2PM</t>
  </si>
  <si>
    <t>not interested atleast for now...</t>
  </si>
  <si>
    <t>Chris Tina Milan Valdez</t>
  </si>
  <si>
    <t>hilvanochristina@gmail.com</t>
  </si>
  <si>
    <t>Richard Wittich</t>
  </si>
  <si>
    <t>richard_wittich_345@hotmail.com</t>
  </si>
  <si>
    <t>sent whatsapp 12/23</t>
  </si>
  <si>
    <t>BUDGET:  USD 275K to USD 410K</t>
  </si>
  <si>
    <t>Tariq Guroo</t>
  </si>
  <si>
    <t>tariq.guroo@hotmail.com.au</t>
  </si>
  <si>
    <t>USD 410K to USD 820K</t>
  </si>
  <si>
    <t>have sent whatsapp</t>
  </si>
  <si>
    <t>Fawad Khattak</t>
  </si>
  <si>
    <t>fawad.khattak@gmail.com</t>
  </si>
  <si>
    <t>Freehold apartment</t>
  </si>
  <si>
    <t>Ehsan Albashir</t>
  </si>
  <si>
    <t>ehsanalbashir@hotmail.com</t>
  </si>
  <si>
    <t>madinat_jumeirah_li</t>
  </si>
  <si>
    <t>3 br in Ajman, or springs 3-4 br, 800k</t>
  </si>
  <si>
    <t>Essam Yousef</t>
  </si>
  <si>
    <t>essam_ayousef@hotmail.com</t>
  </si>
  <si>
    <t>Emaar The Valley</t>
  </si>
  <si>
    <t>k_shehri@yahoo.com</t>
  </si>
  <si>
    <t>Only Gardenia townhomes by Al Wasl and there all sold out 
So he doesn’t want anything else</t>
  </si>
  <si>
    <t>have met this client at the kiosk, was interested in beachfront property</t>
  </si>
  <si>
    <t>Yasir Choudhry</t>
  </si>
  <si>
    <t>Yasir.choudhry@icloud.com</t>
  </si>
  <si>
    <t>Arsh Brar</t>
  </si>
  <si>
    <t>arshdeep_brar@yahoo.com</t>
  </si>
  <si>
    <t>Lahure Baba Ko Kanxo Xoro</t>
  </si>
  <si>
    <t>shreesd086@gmail.com</t>
  </si>
  <si>
    <t>Hamdah</t>
  </si>
  <si>
    <t>hamdah_egal@hotmail.com</t>
  </si>
  <si>
    <t>971 54-411-4676</t>
  </si>
  <si>
    <t>looking near mirdif, sent info already but still not interested</t>
  </si>
  <si>
    <t>maple or AR 4 br budget 2M</t>
  </si>
  <si>
    <t>Rania</t>
  </si>
  <si>
    <t>dr.rania.2009@hotmail.com</t>
  </si>
  <si>
    <t>971 52-442-0522</t>
  </si>
  <si>
    <t>4 br with maid room</t>
  </si>
  <si>
    <t>no answer, sent whatsapp</t>
  </si>
  <si>
    <t>HelenT</t>
  </si>
  <si>
    <t>helentung.tlc@gmail.com</t>
  </si>
  <si>
    <t>Orlando Baron</t>
  </si>
  <si>
    <t>obaron68@hotmail.com</t>
  </si>
  <si>
    <t>058 58 37411</t>
  </si>
  <si>
    <t>asking to discuss tonight at 8pm, all details shared</t>
  </si>
  <si>
    <t>not interested at the moment, but maybe later after covid</t>
  </si>
  <si>
    <t>yousaf iqbal</t>
  </si>
  <si>
    <t>2_bedroom</t>
  </si>
  <si>
    <t>all info shared, waiting for feedback</t>
  </si>
  <si>
    <t>jumaa Mahmood Alnassan</t>
  </si>
  <si>
    <t>nassanjuma@gmail.com</t>
  </si>
  <si>
    <t>apartment</t>
  </si>
  <si>
    <t>Damac Hills</t>
  </si>
  <si>
    <t>phone is off sent whatsapp</t>
  </si>
  <si>
    <t>Amer Dwaikat</t>
  </si>
  <si>
    <t>amer_aldwekat@hotmail.com</t>
  </si>
  <si>
    <t>all info provided</t>
  </si>
  <si>
    <t>not interested and wrong number</t>
  </si>
  <si>
    <t>Malyoun Hoche</t>
  </si>
  <si>
    <t>malyoun74@hotmail.com</t>
  </si>
  <si>
    <t>4-6_br_penthouse</t>
  </si>
  <si>
    <t>whatsapp info provided</t>
  </si>
  <si>
    <t>Himanshu Gupta</t>
  </si>
  <si>
    <t>himanshutimes@gmail.com</t>
  </si>
  <si>
    <t>2_br_apartment</t>
  </si>
  <si>
    <t>will call him 430pm</t>
  </si>
  <si>
    <t xml:space="preserve">no answer ive whatsapped </t>
  </si>
  <si>
    <t>Dhruba Bhowmik</t>
  </si>
  <si>
    <t>bhowmikdhruba@yahoo.com</t>
  </si>
  <si>
    <t>all info shared via whatsapp, waiting for feedback</t>
  </si>
  <si>
    <t>offered 1-2 br in creek harbour</t>
  </si>
  <si>
    <t>didnt answer, whatsapp sent</t>
  </si>
  <si>
    <t>Cosmetic &amp; Implant Dentists</t>
  </si>
  <si>
    <t>sehra0015@gmail.com</t>
  </si>
  <si>
    <t>Fess</t>
  </si>
  <si>
    <t>faisalkarim422@gmail.com</t>
  </si>
  <si>
    <r>
      <rPr/>
      <t>+</t>
    </r>
    <r>
      <rPr>
        <color rgb="FF1155CC"/>
      </rPr>
      <t>1</t>
    </r>
    <r>
      <rPr/>
      <t xml:space="preserve"> </t>
    </r>
    <r>
      <rPr>
        <color rgb="FF1155CC"/>
      </rPr>
      <t>4077582149</t>
    </r>
  </si>
  <si>
    <t>whatsapp seny</t>
  </si>
  <si>
    <t xml:space="preserve"> Ajitkumar</t>
  </si>
  <si>
    <t>ajit.kumar@connect-Energy.com</t>
  </si>
  <si>
    <t>0588318879</t>
  </si>
  <si>
    <t>Ali Abrar Ul Haq</t>
  </si>
  <si>
    <t>aliabrar1979@gmail.com</t>
  </si>
  <si>
    <t>Parvez Khan</t>
  </si>
  <si>
    <t>pkhan2@hotmail.com</t>
  </si>
  <si>
    <t>3 bedroom</t>
  </si>
  <si>
    <t>Number is off, whatsapp sent</t>
  </si>
  <si>
    <t>looking for distress bulk deals</t>
  </si>
  <si>
    <t>Zuhdi Alrai</t>
  </si>
  <si>
    <t>zuhdi1@yahoo.com</t>
  </si>
  <si>
    <t>2 bedroom</t>
  </si>
  <si>
    <t>No answer, whatsapp sent</t>
  </si>
  <si>
    <t>Shihab Khalil</t>
  </si>
  <si>
    <t>shihab@shihab.com</t>
  </si>
  <si>
    <t>he speaks urdu</t>
  </si>
  <si>
    <t>Zahid Zubair Malik</t>
  </si>
  <si>
    <t>zzmalik20@gmail.com</t>
  </si>
  <si>
    <t>not available, whatsapp sent</t>
  </si>
  <si>
    <t>Haitham Marzouk</t>
  </si>
  <si>
    <t>haitham.marzouk@gmail.com</t>
  </si>
  <si>
    <t>He is considering Tilal al Ghaf right now</t>
  </si>
  <si>
    <t>secondary marke maplet but not interested at the moment</t>
  </si>
  <si>
    <t>Naina Mohamed</t>
  </si>
  <si>
    <t>naina_aw@yahoo.co.in</t>
  </si>
  <si>
    <t>3_bed_villa</t>
  </si>
  <si>
    <t>RUBA</t>
  </si>
  <si>
    <t>sent info via whatsapp</t>
  </si>
  <si>
    <t>in ksa now, not interested</t>
  </si>
  <si>
    <t>Mahmoud Fawzy Hasan</t>
  </si>
  <si>
    <t>fawzy0215@gmail.com</t>
  </si>
  <si>
    <t xml:space="preserve">He is interested and I’m working with him as he is checking few options for him and his friend
He is doctor so asking to share details then have conversations after he is going through cause his work not allowed him to be on the phone all the time 
So please don’t shuffle this lead at least for week I’ll keep you posted separately what’s going as it will take time a bit 
</t>
  </si>
  <si>
    <t>2 bedroom, in downtown, furnished. in future as busy now with work</t>
  </si>
  <si>
    <t>Vinod Anandakrishnan</t>
  </si>
  <si>
    <t>vinukris100@yahoo.com.sg</t>
  </si>
  <si>
    <t>4_bedroom</t>
  </si>
  <si>
    <t>offered Tilal</t>
  </si>
  <si>
    <t>not interested in property</t>
  </si>
  <si>
    <t xml:space="preserve">Michael Mba </t>
  </si>
  <si>
    <t>mischal_alf@hotmail.com</t>
  </si>
  <si>
    <t>interested waterfront sending details</t>
  </si>
  <si>
    <t>interested in good offers but not planning on doing any transactions atleast 6-12 months from now</t>
  </si>
  <si>
    <t>Saleem</t>
  </si>
  <si>
    <t>mailto:shifasal786@gmail.com</t>
  </si>
  <si>
    <t xml:space="preserve"> 1.3_million_apartment</t>
  </si>
  <si>
    <t>He is sick I could even hear it 
So asking to call him tomorrow</t>
  </si>
  <si>
    <t>everything on hold for the moment</t>
  </si>
  <si>
    <t>Anwar Dawwa</t>
  </si>
  <si>
    <t>anwar.dawwa@hotmail.com</t>
  </si>
  <si>
    <t>exclusive_offers</t>
  </si>
  <si>
    <t>CREEK PENT HOUSE</t>
  </si>
  <si>
    <t>Asking to call in two hours on the meeting now</t>
  </si>
  <si>
    <t>Muhammad Muhammad</t>
  </si>
  <si>
    <t>mailto:yahyamuhammad84@outlook.com</t>
  </si>
  <si>
    <t>Shared info called phone  no answer yet checking my messages and not answering</t>
  </si>
  <si>
    <t>Mohammed Hackeem</t>
  </si>
  <si>
    <t>mailto:hack_needa@yahoo.com</t>
  </si>
  <si>
    <t xml:space="preserve"> 2_br_apartment</t>
  </si>
  <si>
    <t>1mln budget but during the conversation he was showing the interest to townhouses In MAF</t>
  </si>
  <si>
    <t>interested in townhouse but not now</t>
  </si>
  <si>
    <t>Moussa alkoud</t>
  </si>
  <si>
    <t>dyar-alsham@hotmail.com</t>
  </si>
  <si>
    <t>townhouse</t>
  </si>
  <si>
    <t>Working on Damac with AHMED Damac agent cause the client speaks Arabic only</t>
  </si>
  <si>
    <t>Shaikh Najir</t>
  </si>
  <si>
    <t>sknaza20@gmail.com</t>
  </si>
  <si>
    <t>The VALLEY</t>
  </si>
  <si>
    <t>He is representing his friend from Saudi interest I offered al Ghaf sharing all info on WhatsApp and meeting him in the next couple of days</t>
  </si>
  <si>
    <t>not currently interested, maybe after covid19</t>
  </si>
  <si>
    <t>Laurent Farge</t>
  </si>
  <si>
    <t>laurentfarge@hotmail.com</t>
  </si>
  <si>
    <t xml:space="preserve"> LA MER</t>
  </si>
  <si>
    <t>Amrou</t>
  </si>
  <si>
    <t>Amrou.A@alhamli.sa</t>
  </si>
  <si>
    <t>Outside of coverage area WhatsApp</t>
  </si>
  <si>
    <t>Saliha Latif</t>
  </si>
  <si>
    <t>sallatif@hotmail.com</t>
  </si>
  <si>
    <t>Hi, please only email me Villa/ 3-4 bed around Dubai hills, or something ready close to the beach price up to 2.5m thanks</t>
  </si>
  <si>
    <t>Haesik Park</t>
  </si>
  <si>
    <t>coolpc@gmail.com</t>
  </si>
  <si>
    <t>user busy</t>
  </si>
  <si>
    <t>Ade Lyons</t>
  </si>
  <si>
    <t>adejlyons@hotmail.com</t>
  </si>
  <si>
    <t>Munir Sharafi</t>
  </si>
  <si>
    <t>munir.sharafi@gmail.com</t>
  </si>
  <si>
    <t>Tilal</t>
  </si>
  <si>
    <t>not looking to buy anything now, maybe after covid 19</t>
  </si>
  <si>
    <t>"Mohamed</t>
  </si>
  <si>
    <t>Adil ambabker@hotmail.com</t>
  </si>
  <si>
    <t>Creek Penthouse</t>
  </si>
  <si>
    <t>Lawrence Paramasivam</t>
  </si>
  <si>
    <t>lawrenceparam@yahoo.com.au</t>
  </si>
  <si>
    <t>villas/apartment from secondary budget 5m, something thats easy to rent</t>
  </si>
  <si>
    <t>Нияз Даулет</t>
  </si>
  <si>
    <t>nnnnndaulet@gmail.com</t>
  </si>
  <si>
    <t>whatsapp as he is not in Dubai and just study the market</t>
  </si>
  <si>
    <t>Ehsan Tashman</t>
  </si>
  <si>
    <t>ehsan.tashman@hotmail.com</t>
  </si>
  <si>
    <t>Meeting in Sunday</t>
  </si>
  <si>
    <t>Has put things on hold for now, will contact later if things change</t>
  </si>
  <si>
    <t>Ahmad Jamshid Amiri</t>
  </si>
  <si>
    <t>ahjamiri@yahoo.com</t>
  </si>
  <si>
    <t>He is from Afghanistan. Just checking possibilities to buy but he needs to sell his houses there</t>
  </si>
  <si>
    <t>He wants to sell his house first, and then he wants to buy something in Dubai</t>
  </si>
  <si>
    <t>karim</t>
  </si>
  <si>
    <t>harchi.karim@me.com</t>
  </si>
  <si>
    <t>No answer, no whatsapp, email client</t>
  </si>
  <si>
    <t>Amal Al Shunnar</t>
  </si>
  <si>
    <t>amal.shunnar@gmail.com</t>
  </si>
  <si>
    <t>Villa 5-6 bed in jumeirah; Lots of requirements working on</t>
  </si>
  <si>
    <t>call again as didnt pick up</t>
  </si>
  <si>
    <t>not currently looking for anyting anymore</t>
  </si>
  <si>
    <t>Mohammad Mustafa</t>
  </si>
  <si>
    <t>mohdmustafa786@outlook.com</t>
  </si>
  <si>
    <t>interested, info shared</t>
  </si>
  <si>
    <t>He's interested, asked to send the details</t>
  </si>
  <si>
    <t>Gihan Aziz</t>
  </si>
  <si>
    <t>gihanaziz@gmail.com</t>
  </si>
  <si>
    <t>info shared</t>
  </si>
  <si>
    <t>has already all the information, said she will be in contact as soon as they can travel again</t>
  </si>
  <si>
    <t>Harpreet Singh Jam</t>
  </si>
  <si>
    <t>singhsoun531@gmail.com</t>
  </si>
  <si>
    <t>Number is not working WhatsApp not working</t>
  </si>
  <si>
    <t>Raju Shahani</t>
  </si>
  <si>
    <t>rds.shahani@gmail.com</t>
  </si>
  <si>
    <t>lead is with Mustaq</t>
  </si>
  <si>
    <t>Give him a call after Corona is finished</t>
  </si>
  <si>
    <t>Nabeel Iqbal</t>
  </si>
  <si>
    <t>nabeeliq@hotmail.com</t>
  </si>
  <si>
    <t>ASEEL - OPEN HOUSE</t>
  </si>
  <si>
    <t>whatsapp he is busy</t>
  </si>
  <si>
    <t>He's not looking to buy anything anymore, but he wants to rent one of his property</t>
  </si>
  <si>
    <t>Mohamed Abdoola</t>
  </si>
  <si>
    <t>mabdoola@yahoo.com</t>
  </si>
  <si>
    <t xml:space="preserve">MEETING ON SATURDAY </t>
  </si>
  <si>
    <t>no answer on the phone, ive sent whatsapp</t>
  </si>
  <si>
    <t>ABDUL RASHEED</t>
  </si>
  <si>
    <t xml:space="preserve"> comshack@hotmail.com</t>
  </si>
  <si>
    <t>ASEEL OPH</t>
  </si>
  <si>
    <t>A La CARTE villas 4 bedroom He has seen Tilal doesn’t like the size</t>
  </si>
  <si>
    <t>needs a 4 br townhouse, big size and 2 master rooms</t>
  </si>
  <si>
    <t>Vitaliy Fedorov</t>
  </si>
  <si>
    <t>fedorov.vitaliy@yahoo.com</t>
  </si>
  <si>
    <t>ASEEL-OPEN HOUSE</t>
  </si>
  <si>
    <t>He wants to buy cherry woods</t>
  </si>
  <si>
    <t>Moe Wakad</t>
  </si>
  <si>
    <t>Melwakkad1@hotmail.com</t>
  </si>
  <si>
    <t>Just rented something, not looking to buy now anything</t>
  </si>
  <si>
    <t>Drwesh Ahmed</t>
  </si>
  <si>
    <t>Woolf98.as@gmail.con</t>
  </si>
  <si>
    <t>1 mln budget ready to move in with posthandover payment plan 25/75</t>
  </si>
  <si>
    <t>3 bedroom townhouse, he can put 400k downpayment and 7000dhs per month</t>
  </si>
  <si>
    <t>Sundara Moorthy R</t>
  </si>
  <si>
    <t>rsundareee@yahoo.com</t>
  </si>
  <si>
    <t>During the Conversation he shared that he interested in Serena payment plan and delivery day more than any projects</t>
  </si>
  <si>
    <t>Interested in Emaar South townhouses with good payment plan</t>
  </si>
  <si>
    <t>Emely Pernia</t>
  </si>
  <si>
    <t>emelyreal43@gmail.com</t>
  </si>
  <si>
    <t>sent Tilal</t>
  </si>
  <si>
    <t>Rajesh Joshi</t>
  </si>
  <si>
    <t>joshirajesh5@hotmail.com</t>
  </si>
  <si>
    <t>call back after Covid-19</t>
  </si>
  <si>
    <t>Shahzib Mahfoozkhan</t>
  </si>
  <si>
    <t>shahzibmahfoozkhan@gmail.com</t>
  </si>
  <si>
    <t>No answer
WhatsApp sent</t>
  </si>
  <si>
    <t>Sabir Shaikh</t>
  </si>
  <si>
    <t>mdsabirsf@yahoo.com</t>
  </si>
  <si>
    <t>He asked to call him after work as he is extremely busy during the day</t>
  </si>
  <si>
    <t>he's not interested</t>
  </si>
  <si>
    <t>Moutaz Al-Salameh</t>
  </si>
  <si>
    <t>moutazlotfi@yahoo.com</t>
  </si>
  <si>
    <t xml:space="preserve">looking for distress deals only 1-2 br </t>
  </si>
  <si>
    <t>Da Kinchi</t>
  </si>
  <si>
    <t>pramodkhinchi.nift@gmail.com</t>
  </si>
  <si>
    <t>not interested at the moment, but after the situation calms down could be interested</t>
  </si>
  <si>
    <t>Maaz Ahmed</t>
  </si>
  <si>
    <t>mm.moazali@gmail.com</t>
  </si>
  <si>
    <t>abcd</t>
  </si>
  <si>
    <t>rajeshshridhariyer@gmail.com</t>
  </si>
  <si>
    <t>ARABIAN RANCHES RUBA - III</t>
  </si>
  <si>
    <t>hang up on me when i called</t>
  </si>
  <si>
    <t>Peter Somers</t>
  </si>
  <si>
    <t>Pe.somers@gmail.com</t>
  </si>
  <si>
    <t>+9710564100010</t>
  </si>
  <si>
    <t>send an email, 2-3 bedrooms MJL, interseted after summer time</t>
  </si>
  <si>
    <t>Shahnila Awais</t>
  </si>
  <si>
    <t>shahnilawais@gmail.com</t>
  </si>
  <si>
    <t>MD Fazlu</t>
  </si>
  <si>
    <t>mdfazlumiea@gmail.com</t>
  </si>
  <si>
    <t>Mohsin Ali</t>
  </si>
  <si>
    <t>mohsinaliacme@yahoo.com</t>
  </si>
  <si>
    <t>Not interested in any properties now</t>
  </si>
  <si>
    <t>Arshad Mirza</t>
  </si>
  <si>
    <t>arshad.tippingpoint@gmail.com</t>
  </si>
  <si>
    <t>+966552838271</t>
  </si>
  <si>
    <t>call back later in the evening</t>
  </si>
  <si>
    <t xml:space="preserve">FAISAL ALLAF </t>
  </si>
  <si>
    <t>fallaf@hotmail.com</t>
  </si>
  <si>
    <t>Urbana</t>
  </si>
  <si>
    <t>Mohammad Awaqleh</t>
  </si>
  <si>
    <t>mawaqleh@yahoo.com</t>
  </si>
  <si>
    <t>+9710509050701</t>
  </si>
  <si>
    <t>Secondary</t>
  </si>
  <si>
    <t>Primary</t>
  </si>
  <si>
    <t>Mr Lakwani</t>
  </si>
  <si>
    <t>Sidra, 4 br</t>
  </si>
  <si>
    <t>Distress</t>
  </si>
  <si>
    <t>Saif</t>
  </si>
  <si>
    <t>Meeting 2. May</t>
  </si>
  <si>
    <t>Sanjay Thakur</t>
  </si>
  <si>
    <t>index tower, 1 br</t>
  </si>
  <si>
    <t>Rented, high floor</t>
  </si>
  <si>
    <t xml:space="preserve">Damac </t>
  </si>
  <si>
    <t>2 bedroom for 600k</t>
  </si>
  <si>
    <t xml:space="preserve">Shabir </t>
  </si>
  <si>
    <t>Serena, 3 br</t>
  </si>
  <si>
    <t>Distress, has to be less than 1,2 M</t>
  </si>
  <si>
    <t>Emaar townhouse</t>
  </si>
  <si>
    <t>3 br townhouse, budget 2 M</t>
  </si>
  <si>
    <t>Ata</t>
  </si>
  <si>
    <t>Palm/Downtown/Sur la mer</t>
  </si>
  <si>
    <t>Distress or good payment plan</t>
  </si>
  <si>
    <t>Asha</t>
  </si>
  <si>
    <t>Prime Views</t>
  </si>
  <si>
    <t>Waiting for daughter to come from USA, 20th july, 2 br, beachfront, port de la mer</t>
  </si>
  <si>
    <t>Mohammed Ali</t>
  </si>
  <si>
    <t>Dubai hills/Damac hills</t>
  </si>
  <si>
    <t>Distress 2 bedroom, budget max 1,3 M</t>
  </si>
  <si>
    <t>Mohammed awaqleh</t>
  </si>
  <si>
    <t>Waiting to come from Jordan once borders will open, 23-24rd june</t>
  </si>
  <si>
    <t>Townhouse, 3 br</t>
  </si>
  <si>
    <t>1,3 M budget</t>
  </si>
  <si>
    <t>Hazem Miskeen</t>
  </si>
  <si>
    <t>Prime views</t>
  </si>
  <si>
    <t>Lives in AD, he's interested in good deals in DT</t>
  </si>
  <si>
    <t>Mrs. Hamdah</t>
  </si>
  <si>
    <t>Maple, 4 br</t>
  </si>
  <si>
    <t>Waiting for her husband to return back, budget 1,8 M</t>
  </si>
  <si>
    <t>Lawrence</t>
  </si>
  <si>
    <t>Villa/apartment</t>
  </si>
  <si>
    <t>Budget 5 M, easy to rent, AR/Downtown</t>
  </si>
  <si>
    <t>Vandana</t>
  </si>
  <si>
    <t>Downtown views 2</t>
  </si>
  <si>
    <t>3 br with higher floor, nice view, minimum 2300 sqft</t>
  </si>
  <si>
    <t>Moutaz Al Salameh</t>
  </si>
  <si>
    <t>1-2 br</t>
  </si>
  <si>
    <t>only Distress</t>
  </si>
  <si>
    <t>Frank</t>
  </si>
  <si>
    <t>1br in DT/BB</t>
  </si>
  <si>
    <t>Needs now, cash buyer between 700-900k</t>
  </si>
  <si>
    <t>townhouse, 3 br</t>
  </si>
  <si>
    <t>Offered Nshama, need to wait until can organize a viewing</t>
  </si>
  <si>
    <t xml:space="preserve">Nizar </t>
  </si>
  <si>
    <t xml:space="preserve">q gardnes </t>
  </si>
  <si>
    <t>Full Payment in Lebanon</t>
  </si>
  <si>
    <t xml:space="preserve">Mahmoud </t>
  </si>
  <si>
    <t>3 br townhouse</t>
  </si>
  <si>
    <t>Riyad</t>
  </si>
  <si>
    <t>2 br creek harbour, city walk, blue waters</t>
  </si>
  <si>
    <t>Downtown, Business bay</t>
  </si>
  <si>
    <t>studio-1 br, below 1M</t>
  </si>
  <si>
    <t xml:space="preserve">Dr Rana </t>
  </si>
  <si>
    <t xml:space="preserve">AR 2 </t>
  </si>
  <si>
    <t>wants to sell her spring villa</t>
  </si>
  <si>
    <t>Rajesh Tandon</t>
  </si>
  <si>
    <t>Villa 3 -4 br</t>
  </si>
  <si>
    <t>3-4 m and good location, jumeirah park</t>
  </si>
  <si>
    <t>Jijoy</t>
  </si>
  <si>
    <t>Townhouse 3 br</t>
  </si>
  <si>
    <t>Will call back as he was busy</t>
  </si>
  <si>
    <t>Khalifa Nasser</t>
  </si>
  <si>
    <t xml:space="preserve">2 bedroom with 500k budget </t>
  </si>
  <si>
    <t>Near Burj Khalifa or Jumeirah</t>
  </si>
  <si>
    <t>Husam Shwekh</t>
  </si>
  <si>
    <t>1-2 br, dimensions</t>
  </si>
  <si>
    <t>Khalid Gaya</t>
  </si>
  <si>
    <t>2 bedroom with 600 budget</t>
  </si>
  <si>
    <t>close to city</t>
  </si>
  <si>
    <t>Nasser</t>
  </si>
  <si>
    <t>Independent villa</t>
  </si>
  <si>
    <t>3-4 br, close to AD</t>
  </si>
  <si>
    <t>Sawhey Vipan</t>
  </si>
  <si>
    <t>3 br, apartment or townhouse</t>
  </si>
  <si>
    <t>close to city, budget 1,5M cash buyer</t>
  </si>
  <si>
    <t>2br, organize a viewing</t>
  </si>
  <si>
    <t>Adam instagram</t>
  </si>
  <si>
    <t>2 br in any area</t>
  </si>
  <si>
    <t>budget 600k, size 1000 sqft</t>
  </si>
  <si>
    <t>Oleg russian</t>
  </si>
  <si>
    <t>emaar beachfront</t>
  </si>
  <si>
    <t>looking for a water view 3 br</t>
  </si>
  <si>
    <t>mohamed el sebaay</t>
  </si>
  <si>
    <t xml:space="preserve">marina, jbr, jlt </t>
  </si>
  <si>
    <t>budget up to 1m</t>
  </si>
  <si>
    <t>Abid</t>
  </si>
  <si>
    <t>merano</t>
  </si>
  <si>
    <t>1br</t>
  </si>
  <si>
    <t>Obaid Shaikh</t>
  </si>
  <si>
    <t xml:space="preserve">1 br </t>
  </si>
  <si>
    <t>budget 400k</t>
  </si>
  <si>
    <t>Austine Merano</t>
  </si>
  <si>
    <t>1 br</t>
  </si>
  <si>
    <t>Has been suffered in his business, so will only make any decision end of july/august etc</t>
  </si>
  <si>
    <t>Moh Bams</t>
  </si>
  <si>
    <t>He's in france now, he will come to dubai september ish and only then take any decision</t>
  </si>
  <si>
    <t>Mohammed Bader</t>
  </si>
  <si>
    <t>nshama</t>
  </si>
  <si>
    <t>long payment plan, oasis 1br, 400k, 0507781957 ziad</t>
  </si>
  <si>
    <t>hafiz vakil</t>
  </si>
  <si>
    <t>needs more time, but interested</t>
  </si>
  <si>
    <t>wael urbana</t>
  </si>
  <si>
    <t>akoya oxygen, turkey</t>
  </si>
  <si>
    <t>after the borders open from al ain</t>
  </si>
  <si>
    <t>Moataz Hamza</t>
  </si>
  <si>
    <t>once they open the borders from AD, he wants to come and check prime views and office</t>
  </si>
  <si>
    <t>Luca carnevale</t>
  </si>
  <si>
    <t>near downtown</t>
  </si>
  <si>
    <t>budget around 1 m, big size 2 br minimum 1400 sqft</t>
  </si>
  <si>
    <t>Hira</t>
  </si>
  <si>
    <t>damac hills</t>
  </si>
  <si>
    <t>already finalized nhsama for 900 k, for another year atleast not looking for anything else</t>
  </si>
  <si>
    <t xml:space="preserve">Gary Edmonstom </t>
  </si>
  <si>
    <t>damac hills/ nshama</t>
  </si>
  <si>
    <t xml:space="preserve">1-2br </t>
  </si>
  <si>
    <t>Kdalila</t>
  </si>
  <si>
    <t>damac hills / 3 br</t>
  </si>
  <si>
    <t>looking to move to dubai with her family, so looking for a place to stay</t>
  </si>
  <si>
    <t>Mohammed Tarawneh</t>
  </si>
  <si>
    <t>Merano/ damac hills</t>
  </si>
  <si>
    <t>2-3 br but he's on a budget</t>
  </si>
  <si>
    <t xml:space="preserve">Ghalib Brahimi </t>
  </si>
  <si>
    <t xml:space="preserve">maple </t>
  </si>
  <si>
    <t>needs a payment plan</t>
  </si>
  <si>
    <t>Joshi George</t>
  </si>
  <si>
    <t>maple/damac hills</t>
  </si>
  <si>
    <t>organize a viewing, coming end of july</t>
  </si>
  <si>
    <t>Moncy Raymond</t>
  </si>
  <si>
    <t>interested only end of 2020</t>
  </si>
  <si>
    <t>Fauzia</t>
  </si>
  <si>
    <t>6 br plus maids</t>
  </si>
  <si>
    <t>Malvika</t>
  </si>
  <si>
    <t>merano/ prime views</t>
  </si>
  <si>
    <t>meeting on saturday 27th june</t>
  </si>
  <si>
    <t xml:space="preserve">bhavna </t>
  </si>
  <si>
    <t>big villa, budget 4-6M</t>
  </si>
  <si>
    <t>ahmed instagram</t>
  </si>
  <si>
    <t>3 units budget 3-3,5m</t>
  </si>
  <si>
    <t>Vahid</t>
  </si>
  <si>
    <t>Downtown or sea front</t>
  </si>
  <si>
    <t xml:space="preserve">Villa, penthouse, 2-3 months, seafroont, value for money, below 10m, 4 br </t>
  </si>
  <si>
    <t>Lisa</t>
  </si>
  <si>
    <t xml:space="preserve">Mira Oasis </t>
  </si>
  <si>
    <t>4 br with Aylar</t>
  </si>
  <si>
    <t>Tryphine Ncube</t>
  </si>
  <si>
    <t>2br, for 1M, coming from UK, mudon views</t>
  </si>
  <si>
    <t>Omar Nassar</t>
  </si>
  <si>
    <t>Damac hills</t>
  </si>
  <si>
    <t>Vishakha</t>
  </si>
  <si>
    <t>single row villa 2m budget</t>
  </si>
  <si>
    <t>Saidur</t>
  </si>
  <si>
    <t>he's not in dubai, he will come later end of july/august and wants to check out the options then</t>
  </si>
  <si>
    <t>Salem Alameri</t>
  </si>
  <si>
    <t>once border opens from AD, he wants to chekc 6 br villa for 2,7, has changed his mind now</t>
  </si>
  <si>
    <t>Omar Al Shalabi</t>
  </si>
  <si>
    <t>MAF</t>
  </si>
  <si>
    <t>townhouse 3 br plus maids, 1.3m, handover within this year</t>
  </si>
  <si>
    <t>Abdullah</t>
  </si>
  <si>
    <t>Meydan/dubai</t>
  </si>
  <si>
    <t>bulk buyer, needs 500psf, budget up to 20 m</t>
  </si>
  <si>
    <t>Bharat Khiara</t>
  </si>
  <si>
    <t>D1 / Pearl Jumeirah</t>
  </si>
  <si>
    <t>20,000 sqft plus investment</t>
  </si>
  <si>
    <t>Bana</t>
  </si>
  <si>
    <t>3-4 br villa with 3,5m</t>
  </si>
  <si>
    <t>view and big garden</t>
  </si>
  <si>
    <t xml:space="preserve">Abeera </t>
  </si>
  <si>
    <t>6 br 2,7M wants to come and view after 14th</t>
  </si>
  <si>
    <t>Mohammed Mustafa</t>
  </si>
  <si>
    <t>coming here once the borders are open</t>
  </si>
  <si>
    <t>Vinaya</t>
  </si>
  <si>
    <t>invite for viewing</t>
  </si>
  <si>
    <t>Jeffrey</t>
  </si>
  <si>
    <t xml:space="preserve">downtown ish </t>
  </si>
  <si>
    <t>good quality, good offer, he's engineer</t>
  </si>
  <si>
    <t>Sanjay Somaiya</t>
  </si>
  <si>
    <t>Bhupen</t>
  </si>
  <si>
    <t>city walk</t>
  </si>
  <si>
    <t>Dilip</t>
  </si>
  <si>
    <t xml:space="preserve">downtown </t>
  </si>
  <si>
    <t>4 br but good deal</t>
  </si>
  <si>
    <t>Nehmat Kharrat Abi</t>
  </si>
  <si>
    <t>meydan villa</t>
  </si>
  <si>
    <t xml:space="preserve">4 br </t>
  </si>
  <si>
    <t>Bassem citywalk</t>
  </si>
  <si>
    <t>pay in lebnon max 10% transfer fees</t>
  </si>
  <si>
    <t>1 br with installments, 200k for deposit</t>
  </si>
  <si>
    <t>Adhwa</t>
  </si>
  <si>
    <t>MJL/LA MER</t>
  </si>
  <si>
    <t>waiting for saudi borders to open</t>
  </si>
  <si>
    <t>MR SUBIR</t>
  </si>
  <si>
    <t>Penthouse</t>
  </si>
  <si>
    <t>call 14th august</t>
  </si>
  <si>
    <t>fayaz pasha</t>
  </si>
  <si>
    <t>budget 1,2m</t>
  </si>
  <si>
    <t>hassan damac</t>
  </si>
  <si>
    <t>apartment or villa</t>
  </si>
  <si>
    <t>Akhter Mughal</t>
  </si>
  <si>
    <t>apartment as an investment</t>
  </si>
  <si>
    <t>coming from the UK and wants to check out some properties</t>
  </si>
  <si>
    <t xml:space="preserve">Suhail </t>
  </si>
  <si>
    <t xml:space="preserve">2 br apartment </t>
  </si>
  <si>
    <t>with burj khalifa view</t>
  </si>
  <si>
    <t>Mohammed Naz</t>
  </si>
  <si>
    <t>2 br apartment, 3 br villa</t>
  </si>
  <si>
    <t xml:space="preserve">habtoor </t>
  </si>
  <si>
    <t>Balaji</t>
  </si>
  <si>
    <t>2 br plus maids</t>
  </si>
  <si>
    <t>Harsh</t>
  </si>
  <si>
    <t>3 br apartment</t>
  </si>
  <si>
    <t>good location and big size</t>
  </si>
  <si>
    <t xml:space="preserve">bettina </t>
  </si>
  <si>
    <t>2 br seafront</t>
  </si>
  <si>
    <t>Patrick Satamian</t>
  </si>
  <si>
    <t>3-4 br beachfront</t>
  </si>
  <si>
    <t>waiting for his family to come</t>
  </si>
  <si>
    <t>Nabil Pattal</t>
  </si>
  <si>
    <t>13th december coming</t>
  </si>
  <si>
    <t xml:space="preserve">hira </t>
  </si>
  <si>
    <t>2 br with 8% roi and 700k budget</t>
  </si>
  <si>
    <t xml:space="preserve">
</t>
  </si>
  <si>
    <t>RENT NET</t>
  </si>
  <si>
    <t>ROI</t>
  </si>
  <si>
    <t>UNA, Townsquare</t>
  </si>
  <si>
    <t>on completion</t>
  </si>
  <si>
    <t>1 year post</t>
  </si>
  <si>
    <t>2 year post</t>
  </si>
  <si>
    <t>5,5%</t>
  </si>
  <si>
    <t xml:space="preserve">3 year post </t>
  </si>
  <si>
    <t>4,3%</t>
  </si>
  <si>
    <t>TOTAL</t>
  </si>
  <si>
    <t>service charges: 15dhs/sqft</t>
  </si>
  <si>
    <t>size: 342 sqft</t>
  </si>
  <si>
    <t>Average in 5 year:</t>
  </si>
  <si>
    <t>5,3%</t>
  </si>
  <si>
    <t>total cost per year: 5,130</t>
  </si>
  <si>
    <t>Al Habtoor</t>
  </si>
  <si>
    <t xml:space="preserve">1 year post </t>
  </si>
  <si>
    <t xml:space="preserve">2 year post </t>
  </si>
  <si>
    <t>12,2%</t>
  </si>
  <si>
    <t>3 year post</t>
  </si>
  <si>
    <t>9,3%</t>
  </si>
  <si>
    <t>4 year post</t>
  </si>
  <si>
    <t>7,5%</t>
  </si>
  <si>
    <t>5 year post</t>
  </si>
  <si>
    <t>6,3%</t>
  </si>
  <si>
    <t>10,4%</t>
  </si>
  <si>
    <t>service chares: 18dhs/sqft</t>
  </si>
  <si>
    <t>size: 810 sqft</t>
  </si>
  <si>
    <t>total cost per year: 14,580</t>
  </si>
  <si>
    <t>NO.</t>
  </si>
  <si>
    <t>DEVELOPER</t>
  </si>
  <si>
    <t>CLIENT NAME</t>
  </si>
  <si>
    <t>EMAIL</t>
  </si>
  <si>
    <t>CONTACT NUMBER</t>
  </si>
  <si>
    <t>INQUIRY</t>
  </si>
  <si>
    <t>MEYDAN</t>
  </si>
  <si>
    <t>PRIME VIEWS</t>
  </si>
  <si>
    <t>Azam	Qureshi</t>
  </si>
  <si>
    <t>azamq@hotmail.co.uk</t>
  </si>
  <si>
    <t>book_property_viewing</t>
  </si>
  <si>
    <t>Jesus	Guilcapi</t>
  </si>
  <si>
    <t>jesusguilcapi@yahoo.com</t>
  </si>
  <si>
    <t>Kumar Tcsv	Balan</t>
  </si>
  <si>
    <t>kumarbalan.kb@gmail.com</t>
  </si>
  <si>
    <t xml:space="preserve">Satar	Khan
	</t>
  </si>
  <si>
    <t>nickromaboutique@hotmail.com</t>
  </si>
  <si>
    <t xml:space="preserve">Aamir </t>
  </si>
  <si>
    <t>aamir_ishaq@hotmail.com</t>
  </si>
  <si>
    <t>perhaps interested in october/november</t>
  </si>
  <si>
    <t xml:space="preserve">Ahmed </t>
  </si>
  <si>
    <t>siddiqui_aa@hotmail.com</t>
  </si>
  <si>
    <t>asked to send info for 1-2 br, stuck in saudi but when he comes back hes interested to go and see it</t>
  </si>
  <si>
    <t xml:space="preserve">Husam Shwekh </t>
  </si>
  <si>
    <t>hossam_noor@hotmail.com</t>
  </si>
  <si>
    <t>intersted, but looking out for different options</t>
  </si>
  <si>
    <t xml:space="preserve">Abdulkareem aljaberi </t>
  </si>
  <si>
    <t>akaljaberi@gmail.com</t>
  </si>
  <si>
    <t xml:space="preserve">Jijoy </t>
  </si>
  <si>
    <t>jijoyjose@yahoo.com</t>
  </si>
  <si>
    <t>townhouse with payment plan, ready or near completion, not in a hurry</t>
  </si>
  <si>
    <t xml:space="preserve">abid </t>
  </si>
  <si>
    <t>1200rcm@gmail.com</t>
  </si>
  <si>
    <t>moving company</t>
  </si>
  <si>
    <t>Rafa Rashdan</t>
  </si>
  <si>
    <t>rrashdan@hotmail.com</t>
  </si>
  <si>
    <t>call 24th morning</t>
  </si>
  <si>
    <t xml:space="preserve">Fawaz Kaya </t>
  </si>
  <si>
    <t>fwkayali@gmail.com</t>
  </si>
  <si>
    <t>2 bedroom, closed kitchen,</t>
  </si>
  <si>
    <t xml:space="preserve">sahat </t>
  </si>
  <si>
    <t>sou.sou.65@hotmail.com</t>
  </si>
  <si>
    <t>Claus Reiter</t>
  </si>
  <si>
    <t>claus.reiter@web.de</t>
  </si>
  <si>
    <t>Refer page: https://emdubai.com/primeviews</t>
  </si>
  <si>
    <t>darwish ahmed</t>
  </si>
  <si>
    <t>alzaroonidarwish@gmail.com</t>
  </si>
  <si>
    <t>0506166200</t>
  </si>
  <si>
    <t>Refer page:
https://emdubai.com/primeviews</t>
  </si>
  <si>
    <t>4.40pm call</t>
  </si>
  <si>
    <t>Rakib Monir</t>
  </si>
  <si>
    <t>khan.md32@yahoo.com</t>
  </si>
  <si>
    <t>Marti Zola</t>
  </si>
  <si>
    <t>efrathalink@yahoo.com</t>
  </si>
  <si>
    <t>صابر على مشرعي</t>
  </si>
  <si>
    <t>mshrysabrly@gmail.com</t>
  </si>
  <si>
    <t>Surya Narayan</t>
  </si>
  <si>
    <t>singhsn752@gmail.com</t>
  </si>
  <si>
    <t>Danilo Gallarin</t>
  </si>
  <si>
    <t>danilo_gallarin@yahoo.com</t>
  </si>
  <si>
    <t>Lisa Clark</t>
  </si>
  <si>
    <t>lisaclark1964@hotmail.com</t>
  </si>
  <si>
    <t>Amit</t>
  </si>
  <si>
    <t>Amitpilot@yahoo.com</t>
  </si>
  <si>
    <t>0508655848</t>
  </si>
  <si>
    <t>MAGDI</t>
  </si>
  <si>
    <t>kist@blcp.ae</t>
  </si>
  <si>
    <t>0504511707</t>
  </si>
  <si>
    <t>source: Mass Email H&amp;S</t>
  </si>
  <si>
    <t>Funmi Williams</t>
  </si>
  <si>
    <t>funmiwilliams@gmail.com</t>
  </si>
  <si>
    <t>Shahanoor Shahanoor</t>
  </si>
  <si>
    <t>skhan64@hotmail.co.uk</t>
  </si>
  <si>
    <t>Babu Rangan</t>
  </si>
  <si>
    <t>babhu.rangan@gmail.com</t>
  </si>
  <si>
    <t>Zakky Hanny</t>
  </si>
  <si>
    <t>zakyrosa@gmail.com</t>
  </si>
  <si>
    <t>no anwer, whatsapp sent</t>
  </si>
  <si>
    <t>Raj Bhattacharyya</t>
  </si>
  <si>
    <t>bhattaraj@ymail.co.uk</t>
  </si>
  <si>
    <t>Syed Kaleem</t>
  </si>
  <si>
    <t>kaleemsyed@yahoo.com</t>
  </si>
  <si>
    <t>Tariq Zubair</t>
  </si>
  <si>
    <t>tariqbuttzubair@hotmail.com</t>
  </si>
  <si>
    <t>Khandaker Abdul Jashim</t>
  </si>
  <si>
    <t>rahimparis68@yahoo.com</t>
  </si>
  <si>
    <t>Moh	Bams</t>
  </si>
  <si>
    <t>bfm.batiment@hotmail.fr</t>
  </si>
  <si>
    <t>interested to see, when he comes to dubai from france</t>
  </si>
  <si>
    <t>Sayed	Maranay</t>
  </si>
  <si>
    <t>sayed.h.maranay@hotmail.com</t>
  </si>
  <si>
    <t>Note:</t>
  </si>
  <si>
    <t>Leads from May 16 until June 06</t>
  </si>
  <si>
    <t>will try to come as he already has some commitments that day - interested maybe in villa</t>
  </si>
  <si>
    <t>Jamila</t>
  </si>
  <si>
    <t>confirmed</t>
  </si>
  <si>
    <t xml:space="preserve">abdul kader </t>
  </si>
  <si>
    <t>city walk abdulla</t>
  </si>
  <si>
    <t>adulrahman</t>
  </si>
  <si>
    <t>send details</t>
  </si>
  <si>
    <t>city walk ahmed</t>
  </si>
  <si>
    <t xml:space="preserve">ahmed s </t>
  </si>
  <si>
    <t>might come, he wants to sell his property</t>
  </si>
  <si>
    <t>city walk ali</t>
  </si>
  <si>
    <t>asked to send all the details</t>
  </si>
  <si>
    <t>city walk ali meydan</t>
  </si>
  <si>
    <t>will come but not very interedsted ro invest at the moment</t>
  </si>
  <si>
    <t>city walk amin</t>
  </si>
  <si>
    <t>will come and check it out</t>
  </si>
  <si>
    <t>city walk amir</t>
  </si>
  <si>
    <t>asked for details in european countries like UK</t>
  </si>
  <si>
    <t>coming to open house</t>
  </si>
  <si>
    <t>Created Date &amp; Time</t>
  </si>
  <si>
    <t>Lead Source</t>
  </si>
  <si>
    <t>Lead Status</t>
  </si>
  <si>
    <t>First Name</t>
  </si>
  <si>
    <t>Last Name</t>
  </si>
  <si>
    <t>Nationality</t>
  </si>
  <si>
    <t>Mobile Country Code</t>
  </si>
  <si>
    <t>Type of Unit</t>
  </si>
  <si>
    <t>No of Bed Rooms</t>
  </si>
  <si>
    <t>Preferred Calling Time</t>
  </si>
  <si>
    <t>Description</t>
  </si>
  <si>
    <t>Mall Kiosk</t>
  </si>
  <si>
    <t>New</t>
  </si>
  <si>
    <t>vik</t>
  </si>
  <si>
    <t>nn</t>
  </si>
  <si>
    <t>nn@gmail.com</t>
  </si>
  <si>
    <t>India: 0091</t>
  </si>
  <si>
    <t>(981) 820-5768</t>
  </si>
  <si>
    <t>Apartment</t>
  </si>
  <si>
    <t>nibal , tatiana</t>
  </si>
  <si>
    <t>Looking for commercial distress deals</t>
  </si>
  <si>
    <t>vineet</t>
  </si>
  <si>
    <t>(981) 015-6900</t>
  </si>
  <si>
    <t>tatiana , nibal</t>
  </si>
  <si>
    <t>dadjan</t>
  </si>
  <si>
    <t>balouch</t>
  </si>
  <si>
    <t>none@yahoo.com</t>
  </si>
  <si>
    <t>United Arab Emirates: 00971</t>
  </si>
  <si>
    <t>tatiana / nibal</t>
  </si>
  <si>
    <t>Details sent on whatsapp</t>
  </si>
  <si>
    <t>mehdi</t>
  </si>
  <si>
    <t>yahia</t>
  </si>
  <si>
    <t>mehdi.yahia@gmail.com</t>
  </si>
  <si>
    <t>(055) 593-6949</t>
  </si>
  <si>
    <t>details sent on whatsapp</t>
  </si>
  <si>
    <t>ali</t>
  </si>
  <si>
    <t>imran</t>
  </si>
  <si>
    <t>none@yahoo.con</t>
  </si>
  <si>
    <t>Pakistan: 0092</t>
  </si>
  <si>
    <t>(322) 615-8180</t>
  </si>
  <si>
    <t>yaser</t>
  </si>
  <si>
    <t>alzuvdia</t>
  </si>
  <si>
    <t>Saudi Arabia</t>
  </si>
  <si>
    <t>Saudi Arabia: 00966</t>
  </si>
  <si>
    <t>(053) 213-6502</t>
  </si>
  <si>
    <t>-3 br</t>
  </si>
  <si>
    <t>Morning</t>
  </si>
  <si>
    <t>noronen</t>
  </si>
  <si>
    <t>anti</t>
  </si>
  <si>
    <t>tatiana / ghasan</t>
  </si>
  <si>
    <t>gavra</t>
  </si>
  <si>
    <t>Romania</t>
  </si>
  <si>
    <t>Romania: 0040</t>
  </si>
  <si>
    <t>None</t>
  </si>
  <si>
    <t>United States</t>
  </si>
  <si>
    <t>United States: 001</t>
  </si>
  <si>
    <t>(702) 373-6191</t>
  </si>
  <si>
    <t>Tatiana / ghasan</t>
  </si>
  <si>
    <t>details sent but not interested at the moment</t>
  </si>
  <si>
    <t>Manaa</t>
  </si>
  <si>
    <t>Tunisia</t>
  </si>
  <si>
    <t>Tunisia: 00216</t>
  </si>
  <si>
    <t>Nabil</t>
  </si>
  <si>
    <t>Benaziza</t>
  </si>
  <si>
    <t>France: 0033</t>
  </si>
  <si>
    <t>Tatiana. / amer</t>
  </si>
  <si>
    <t>Neil</t>
  </si>
  <si>
    <t>Dsouz</t>
  </si>
  <si>
    <t>non@yahoo.com</t>
  </si>
  <si>
    <t>Oman: 00968</t>
  </si>
  <si>
    <t>Tatiana / amer</t>
  </si>
  <si>
    <t>Jolly</t>
  </si>
  <si>
    <t>Russian Federation</t>
  </si>
  <si>
    <t>Russia: 007</t>
  </si>
  <si>
    <t>(903) 728-1500</t>
  </si>
  <si>
    <t>Hassan</t>
  </si>
  <si>
    <t>Godil</t>
  </si>
  <si>
    <t>(050) 249-0564</t>
  </si>
  <si>
    <t>Tatiana/ amer</t>
  </si>
  <si>
    <t>Gouaned</t>
  </si>
  <si>
    <t>Nourdin</t>
  </si>
  <si>
    <t>(076) 753-3672</t>
  </si>
  <si>
    <t>Lei</t>
  </si>
  <si>
    <t>(585) 355-5633</t>
  </si>
  <si>
    <t>Tatiana / Amer</t>
  </si>
  <si>
    <t>Rajaram</t>
  </si>
  <si>
    <t>Narinesinth</t>
  </si>
  <si>
    <t>Trinidad and Tobago: 001-868</t>
  </si>
  <si>
    <t>723-5144</t>
  </si>
  <si>
    <t>delaroan</t>
  </si>
  <si>
    <t>Uzbekistan</t>
  </si>
  <si>
    <t>Uzbekistan: 00998</t>
  </si>
  <si>
    <t>lai</t>
  </si>
  <si>
    <t>Tatiana , Nibal</t>
  </si>
  <si>
    <t>ian</t>
  </si>
  <si>
    <t>johansan</t>
  </si>
  <si>
    <t>United Kingdom: 0044</t>
  </si>
  <si>
    <t>(791) 628-3084</t>
  </si>
  <si>
    <t>soliman</t>
  </si>
  <si>
    <t>wasim</t>
  </si>
  <si>
    <t>Greece: 0030</t>
  </si>
  <si>
    <t>(695) 637-9798</t>
  </si>
  <si>
    <t>Abo</t>
  </si>
  <si>
    <t>noemail@yahho.com</t>
  </si>
  <si>
    <t>Townhouse</t>
  </si>
  <si>
    <t>Mid day</t>
  </si>
  <si>
    <t>Gurpreet</t>
  </si>
  <si>
    <t>Singh</t>
  </si>
  <si>
    <t>gurpreetsingh209@yahoo.co.in</t>
  </si>
  <si>
    <t>(987) 660-0209</t>
  </si>
  <si>
    <t>Abd al wahab</t>
  </si>
  <si>
    <t>adsdghrd@hotmai.com</t>
  </si>
  <si>
    <t>Almoteri</t>
  </si>
  <si>
    <t>Nn</t>
  </si>
  <si>
    <t>Nigeria</t>
  </si>
  <si>
    <t>Mr. angel</t>
  </si>
  <si>
    <t>Macedonia, the former Yugoslav Republic of</t>
  </si>
  <si>
    <t>Macedonia: 00389</t>
  </si>
  <si>
    <t>Nosipho</t>
  </si>
  <si>
    <t>Zimbabwe</t>
  </si>
  <si>
    <t>Zimbabwe: 00263</t>
  </si>
  <si>
    <t>Anam</t>
  </si>
  <si>
    <t>(777) 210-8974</t>
  </si>
  <si>
    <t>Sharzad</t>
  </si>
  <si>
    <t>Kazakhstan: 007</t>
  </si>
  <si>
    <t>(701) 463-3054</t>
  </si>
  <si>
    <t>Femida</t>
  </si>
  <si>
    <t>(982) 022-6955</t>
  </si>
  <si>
    <t>(916) 176-5369</t>
  </si>
  <si>
    <t>Rashad</t>
  </si>
  <si>
    <t>Azerbaijan: 00994</t>
  </si>
  <si>
    <t>Tatiana / nibal</t>
  </si>
  <si>
    <t>Tatyana</t>
  </si>
  <si>
    <t>Ukraine: 00380</t>
  </si>
  <si>
    <t>Jalal</t>
  </si>
  <si>
    <t>Germany: 0049</t>
  </si>
  <si>
    <t>(512) 223-7483</t>
  </si>
  <si>
    <t>Tatiana / nilbal</t>
  </si>
  <si>
    <t>Sheng</t>
  </si>
  <si>
    <t>China: 0086</t>
  </si>
  <si>
    <t>Dietmar</t>
  </si>
  <si>
    <t>Rossa</t>
  </si>
  <si>
    <t>kuechen.rossa@t-online.de</t>
  </si>
  <si>
    <t>jennifer</t>
  </si>
  <si>
    <t>Canada: 001</t>
  </si>
  <si>
    <t>(416) 567-3855</t>
  </si>
  <si>
    <t>crm hostess 1</t>
  </si>
  <si>
    <t>00Q1R00001DUpZc</t>
  </si>
  <si>
    <t>nasser</t>
  </si>
  <si>
    <t>ahmed</t>
  </si>
  <si>
    <t>00Q1R00001DUp5q</t>
  </si>
  <si>
    <t>faustin</t>
  </si>
  <si>
    <t>Rwanda</t>
  </si>
  <si>
    <t>Rwanda: 00250</t>
  </si>
  <si>
    <t>fadil , tatiana</t>
  </si>
  <si>
    <t>00Q1R00001DUwx4</t>
  </si>
  <si>
    <t>shafat</t>
  </si>
  <si>
    <t>00Q1R00001DUwch</t>
  </si>
  <si>
    <t>michael</t>
  </si>
  <si>
    <t>tatiana , fadil</t>
  </si>
  <si>
    <t>00Q1R00001DUwbP</t>
  </si>
  <si>
    <t>mustafa zayd</t>
  </si>
  <si>
    <t>00Q1R00001DUwaW</t>
  </si>
  <si>
    <t>00Q1R00001DUwMJ</t>
  </si>
  <si>
    <t>haydar</t>
  </si>
  <si>
    <t>alkhafaji</t>
  </si>
  <si>
    <t>00Q1R00001DUwHm</t>
  </si>
  <si>
    <t>jerry</t>
  </si>
  <si>
    <t>mutabai</t>
  </si>
  <si>
    <t>Nigeria: 00234</t>
  </si>
  <si>
    <t>00Q1R00001DUw9E</t>
  </si>
  <si>
    <t>uyi</t>
  </si>
  <si>
    <t>wize</t>
  </si>
  <si>
    <t>(803) 570-4015</t>
  </si>
  <si>
    <t>00Q1R00001DUw8u</t>
  </si>
  <si>
    <t>00Q1R00001DUw70</t>
  </si>
  <si>
    <t>Alharbi</t>
  </si>
  <si>
    <t>(055) 577-7575</t>
  </si>
  <si>
    <t>Tatiana / fadel</t>
  </si>
  <si>
    <t>00Q1R00001DUw10</t>
  </si>
  <si>
    <t>lamine</t>
  </si>
  <si>
    <t>tatiana / fadel</t>
  </si>
  <si>
    <t>00Q1R00001DUvwz</t>
  </si>
  <si>
    <t>alim</t>
  </si>
  <si>
    <t>00Q1R00001DUvgK</t>
  </si>
  <si>
    <t>mahmoud</t>
  </si>
  <si>
    <t>(052) 987-7898</t>
  </si>
  <si>
    <t>00Q1R00001DUvfl</t>
  </si>
  <si>
    <t>Bahar 4</t>
  </si>
  <si>
    <t>IULIIA GARMAEVA</t>
  </si>
  <si>
    <t>971|55-2957728</t>
  </si>
  <si>
    <t>971|1</t>
  </si>
  <si>
    <t>Bahar 6</t>
  </si>
  <si>
    <t>AYSOLTAN SAHETDURDYYEVA</t>
  </si>
  <si>
    <t>Turkmenistan</t>
  </si>
  <si>
    <t>YULIA RYKOVA</t>
  </si>
  <si>
    <t>YULIA-1702@YANDEX.RU</t>
  </si>
  <si>
    <t>7|-6972226</t>
  </si>
  <si>
    <t>971|6941624</t>
  </si>
  <si>
    <t>SARKIS NALBANDYAN</t>
  </si>
  <si>
    <t>OLEG LAVRIK</t>
  </si>
  <si>
    <t>info@imexre.com</t>
  </si>
  <si>
    <t>971|502528188</t>
  </si>
  <si>
    <t>KARINA MAMBETOVA</t>
  </si>
  <si>
    <t>not valid number</t>
  </si>
  <si>
    <t>RASHID ZAKARIGAEV</t>
  </si>
  <si>
    <t>RGITINOV@GMAIL.COM</t>
  </si>
  <si>
    <t>Bahar 1</t>
  </si>
  <si>
    <t>PATIMAT OMAROVA</t>
  </si>
  <si>
    <t>ANASTASIA SOKOLOVA</t>
  </si>
  <si>
    <t>971|52-7649996</t>
  </si>
  <si>
    <t>971|527649996</t>
  </si>
  <si>
    <t>ALEXANDER OSINTSEV</t>
  </si>
  <si>
    <t>Sadaf 6</t>
  </si>
  <si>
    <t>MARAL TAJIYEVA</t>
  </si>
  <si>
    <t>ALEXANDR KUGUK</t>
  </si>
  <si>
    <t>ANATOLY GREDIN</t>
  </si>
  <si>
    <t>Sadaf 2</t>
  </si>
  <si>
    <t>PERHAT SAHETDURDIYYEV</t>
  </si>
  <si>
    <t>BRHAD@GMAIL.COM</t>
  </si>
  <si>
    <t>971|55-5011253</t>
  </si>
  <si>
    <t>971|6798777</t>
  </si>
  <si>
    <t>Bought already 5 units but looking for more in jbr and marina</t>
  </si>
  <si>
    <t>NIKOLAY LEVIN</t>
  </si>
  <si>
    <t>ELENA KORNEEVA</t>
  </si>
  <si>
    <t>KONSTANTIN KOROLEV</t>
  </si>
  <si>
    <t>971|50-2733721</t>
  </si>
  <si>
    <t>KHIKMATULLA RAKHMETOV</t>
  </si>
  <si>
    <t>Sadaf 5</t>
  </si>
  <si>
    <t>FANIYA ISKHAKOVA</t>
  </si>
  <si>
    <t>Sadaf 1</t>
  </si>
  <si>
    <t>IGOR SAVELYEV</t>
  </si>
  <si>
    <t>VLADIMIR YATSENKO</t>
  </si>
  <si>
    <t>MAGOMED UMAKHANOV</t>
  </si>
  <si>
    <t>unavailable</t>
  </si>
  <si>
    <t>SVETLANA POLEGOSHKO</t>
  </si>
  <si>
    <t>971|56-1360657</t>
  </si>
  <si>
    <t>971|0561360657</t>
  </si>
  <si>
    <t>Sadaf 4</t>
  </si>
  <si>
    <t>ILKHAMULLA</t>
  </si>
  <si>
    <t>SERGEY KAYATKIN</t>
  </si>
  <si>
    <t>fatimadunn@live.com</t>
  </si>
  <si>
    <t>971|55-7541651</t>
  </si>
  <si>
    <t>971|8785555555</t>
  </si>
  <si>
    <t>ARBI GAZIMAGOMAEV</t>
  </si>
  <si>
    <t>971|55073622</t>
  </si>
  <si>
    <t>TATIANA KUGUK</t>
  </si>
  <si>
    <t>971|503437790</t>
  </si>
  <si>
    <t>971|50-3437790</t>
  </si>
  <si>
    <t>MARIA TRONINA</t>
  </si>
  <si>
    <t>MARIA STEPANOVA</t>
  </si>
  <si>
    <t>MARINA VOLKOVA</t>
  </si>
  <si>
    <t>DMITRY FATEEV</t>
  </si>
  <si>
    <t>TATIANA FADEEVA</t>
  </si>
  <si>
    <t>GULRUH SEYITMYRADOVA</t>
  </si>
  <si>
    <t>971|502837795</t>
  </si>
  <si>
    <t>971|50-2837795</t>
  </si>
  <si>
    <t>TALATBEK SUBHONOV</t>
  </si>
  <si>
    <t>EVGENY ZAVALIN</t>
  </si>
  <si>
    <t>Sadaf 8</t>
  </si>
  <si>
    <t>LIKA SALATYAN</t>
  </si>
  <si>
    <t>likasalatian@mail.ru</t>
  </si>
  <si>
    <t>HAJYMYRAT REJEPOV</t>
  </si>
  <si>
    <t>971|0527200888</t>
  </si>
  <si>
    <t>971|50-0527200</t>
  </si>
  <si>
    <t>UP05</t>
  </si>
  <si>
    <t>BATYR TEMIRUKAEV</t>
  </si>
  <si>
    <t>ZAKIR ABACHARAEV</t>
  </si>
  <si>
    <t>971|0501213777</t>
  </si>
  <si>
    <t>SEYRAN KARAPETYAN</t>
  </si>
  <si>
    <t>971|506956098</t>
  </si>
  <si>
    <t>000@00.00</t>
  </si>
  <si>
    <t>971|50-6956098</t>
  </si>
  <si>
    <t>NIGINA NAZAROVA</t>
  </si>
  <si>
    <t>OXANA VARD</t>
  </si>
  <si>
    <t>VLADIMIR PLOTNIKOV</t>
  </si>
  <si>
    <t>IRINA VLADIMIROVA</t>
  </si>
  <si>
    <t>not a valid number</t>
  </si>
  <si>
    <t>ELENA SHCHERBAKOVA</t>
  </si>
  <si>
    <t>7-985-7624292</t>
  </si>
  <si>
    <t>7-985-2110540</t>
  </si>
  <si>
    <t>IGOR LOZOVSKOY</t>
  </si>
  <si>
    <t>ALEXEY KHOMUTSKIY</t>
  </si>
  <si>
    <t>4217985-04</t>
  </si>
  <si>
    <t>NATALIYA FAIZOVA</t>
  </si>
  <si>
    <t>RUSTAM.Y@BK.RU</t>
  </si>
  <si>
    <t>ANVAR SAYDAKHMEDOV</t>
  </si>
  <si>
    <t>ELENA SILKINA</t>
  </si>
  <si>
    <t>RAMAZAN ABACHARAEV</t>
  </si>
  <si>
    <t>2234574-04</t>
  </si>
  <si>
    <t>VITALY EPSHTEYN</t>
  </si>
  <si>
    <t>AYLAR EDEPLIYEVA</t>
  </si>
  <si>
    <t>AKHMAD AL AMIN</t>
  </si>
  <si>
    <t>YULIA ZEMSKOVA</t>
  </si>
  <si>
    <t>DUBAI7077@GMAIL.COM</t>
  </si>
  <si>
    <t>NATALIA SARTAKOVA</t>
  </si>
  <si>
    <t>a@gmail.com</t>
  </si>
  <si>
    <t>971|52-6391444</t>
  </si>
  <si>
    <t>971|526391444</t>
  </si>
  <si>
    <t>OLGA GOLOVNEVA</t>
  </si>
  <si>
    <t>ELENA ALENTYEVA</t>
  </si>
  <si>
    <t>SHUAYNAT MAGOMEDOVA</t>
  </si>
  <si>
    <t>shy2307@gmail.com</t>
  </si>
  <si>
    <t>MUMINJON YULDASHEV</t>
  </si>
  <si>
    <t>971|557553243</t>
  </si>
  <si>
    <t>alexandra.kozlova1988@gmail.com</t>
  </si>
  <si>
    <t>971|55-7553243</t>
  </si>
  <si>
    <t>971|7553243</t>
  </si>
  <si>
    <t>OLEG KROL</t>
  </si>
  <si>
    <t>000@000.000</t>
  </si>
  <si>
    <t>971|56-1161528</t>
  </si>
  <si>
    <t>AYDIN ABBASOV</t>
  </si>
  <si>
    <t>SERGEY VOROBIEV</t>
  </si>
  <si>
    <t>971|50-3018294</t>
  </si>
  <si>
    <t>971|0097150301</t>
  </si>
  <si>
    <t>ASELDER GITINOV</t>
  </si>
  <si>
    <t>SHOHRAT ANNAYEV</t>
  </si>
  <si>
    <t>shohrat.annayer@gmail.com</t>
  </si>
  <si>
    <t>971|50-7354961</t>
  </si>
  <si>
    <t>Sadaf 7</t>
  </si>
  <si>
    <t>UP01</t>
  </si>
  <si>
    <t>ANDREY BARYSHNIKOV</t>
  </si>
  <si>
    <t>ANDREI SIVKOV</t>
  </si>
  <si>
    <t>MOKHAMMAD ISMAIL RAKHIMI</t>
  </si>
  <si>
    <t>KIRILL STADNIKOV</t>
  </si>
  <si>
    <t>ASIYAT ZHANGORAZOVA</t>
  </si>
  <si>
    <t>Andrey Brizhan</t>
  </si>
  <si>
    <t>SHIRIN SAPAROVA</t>
  </si>
  <si>
    <t>971|55-6131122</t>
  </si>
  <si>
    <t>971|554261122</t>
  </si>
  <si>
    <t>ANASTASIA ROMANENKO</t>
  </si>
  <si>
    <t>971|50-3870154</t>
  </si>
  <si>
    <t>971|503870154</t>
  </si>
  <si>
    <t>ANNA SENINA</t>
  </si>
  <si>
    <t>VITALY KACHUR</t>
  </si>
  <si>
    <t>taya@rustar.ae</t>
  </si>
  <si>
    <t>971|50-5596187</t>
  </si>
  <si>
    <t>971|5596187</t>
  </si>
  <si>
    <t>DZHAMALYUSUP MAGOMEDOV</t>
  </si>
  <si>
    <t>SERGEY GLUSHCHENKO</t>
  </si>
  <si>
    <t>NATALIYA KUTUZOVA</t>
  </si>
  <si>
    <t>971|50-9403310</t>
  </si>
  <si>
    <t>YULIA PAVLOVA</t>
  </si>
  <si>
    <t>971|53-0377247</t>
  </si>
  <si>
    <t>ELENA MATSALAK</t>
  </si>
  <si>
    <t>SAVDAT MAGOMEDOVA</t>
  </si>
  <si>
    <t>ANDREY AGEEV</t>
  </si>
  <si>
    <t>971|50-6321672</t>
  </si>
  <si>
    <t>MUKHAMMAD ID</t>
  </si>
  <si>
    <t>971|50-7608568</t>
  </si>
  <si>
    <t>ALEKSANDR GRUSHNIKOV</t>
  </si>
  <si>
    <t>00791 613 437 73</t>
  </si>
  <si>
    <t>grushnikova_47@list.ru</t>
  </si>
  <si>
    <t>NADIR SHAKH MOKHAMMAD</t>
  </si>
  <si>
    <t>ANDREY KOZLOVSKIY</t>
  </si>
  <si>
    <t>EVGENIYA VALUEVA</t>
  </si>
  <si>
    <t>ANDREY KOVALENKO</t>
  </si>
  <si>
    <t>EMILICHKA@YAHOO.COM</t>
  </si>
  <si>
    <t>971|55-1064456</t>
  </si>
  <si>
    <t>971|1064456</t>
  </si>
  <si>
    <t>IRINA KOCHEREZHKO</t>
  </si>
  <si>
    <t>Agency Name</t>
  </si>
  <si>
    <t>Create Date</t>
  </si>
  <si>
    <t>Mobile Number</t>
  </si>
  <si>
    <t>Phone Number</t>
  </si>
  <si>
    <t>Resident of UAE</t>
  </si>
  <si>
    <t>Country of Residence</t>
  </si>
  <si>
    <t>Urgent</t>
  </si>
  <si>
    <t>Meeting On Stand</t>
  </si>
  <si>
    <t>Property Advisor</t>
  </si>
  <si>
    <t>Agent Name</t>
  </si>
  <si>
    <t xml:space="preserve"> COMMENTS</t>
  </si>
  <si>
    <t>WeChat ID</t>
  </si>
  <si>
    <t>AT THE TOP</t>
  </si>
  <si>
    <t>H&amp;S REAL ESTATE</t>
  </si>
  <si>
    <t>Junona</t>
  </si>
  <si>
    <t>Dolleschal</t>
  </si>
  <si>
    <t>junona.dolleschal@engelvoelkers.com</t>
  </si>
  <si>
    <t>Tijana h&amp;s</t>
  </si>
  <si>
    <t>Bilal</t>
  </si>
  <si>
    <t>no@email.com</t>
  </si>
  <si>
    <t>Mirza Asad Ali Baig</t>
  </si>
  <si>
    <t>And tijana h&amp;s</t>
  </si>
  <si>
    <t>TDM 360°</t>
  </si>
  <si>
    <t>Amal</t>
  </si>
  <si>
    <t>Aburawi</t>
  </si>
  <si>
    <t>aaburawi@hotmail.com</t>
  </si>
  <si>
    <t>Tatiana @ H&amp;S</t>
  </si>
  <si>
    <t>Abdulrahman</t>
  </si>
  <si>
    <t>Toustous</t>
  </si>
  <si>
    <t>Muhammed</t>
  </si>
  <si>
    <t>Zas</t>
  </si>
  <si>
    <t>Kuwait: 00965</t>
  </si>
  <si>
    <t>Tatiana @H&amp;S</t>
  </si>
  <si>
    <t>Peter</t>
  </si>
  <si>
    <t>Oluwashole</t>
  </si>
  <si>
    <t>Vagataram</t>
  </si>
  <si>
    <t>Chaurady</t>
  </si>
  <si>
    <t>TDM The Tower</t>
  </si>
  <si>
    <t>Deni</t>
  </si>
  <si>
    <t>Tatiana @h&amp;s</t>
  </si>
  <si>
    <t>Lee</t>
  </si>
  <si>
    <t>Aran</t>
  </si>
  <si>
    <t>Victor</t>
  </si>
  <si>
    <t>Taj</t>
  </si>
  <si>
    <t>Ahmad</t>
  </si>
  <si>
    <t>Alzaabi</t>
  </si>
  <si>
    <t>Joasna</t>
  </si>
  <si>
    <t>Rogall</t>
  </si>
  <si>
    <t>Osama</t>
  </si>
  <si>
    <t>Mahmoud</t>
  </si>
  <si>
    <t>Bahrain: 00973</t>
  </si>
  <si>
    <t>Abdurahman</t>
  </si>
  <si>
    <t>Abdulaziz</t>
  </si>
  <si>
    <t>Saber</t>
  </si>
  <si>
    <t>Jackson</t>
  </si>
  <si>
    <t>Singapore: 0065</t>
  </si>
  <si>
    <t>Sharik</t>
  </si>
  <si>
    <t>Nuur</t>
  </si>
  <si>
    <t>Cedric</t>
  </si>
  <si>
    <t>Taw</t>
  </si>
  <si>
    <t>Hong Kong: 00852</t>
  </si>
  <si>
    <t>Hong Kong</t>
  </si>
  <si>
    <t>Daniel</t>
  </si>
  <si>
    <t>Francis</t>
  </si>
  <si>
    <t>danielfrancis16@gmail.com</t>
  </si>
  <si>
    <t>Presentation of creek project, not wanted share phone number Tatiana @H&amp;S</t>
  </si>
  <si>
    <t>Vladimir</t>
  </si>
  <si>
    <t>P</t>
  </si>
  <si>
    <t>Kyrgyzstan: 00996</t>
  </si>
  <si>
    <t>Kyrgyzstan</t>
  </si>
  <si>
    <t>Vanessa</t>
  </si>
  <si>
    <t>Zeng</t>
  </si>
  <si>
    <t>Zishan</t>
  </si>
  <si>
    <t>Tetiana</t>
  </si>
  <si>
    <t>Gehan</t>
  </si>
  <si>
    <t>Shah</t>
  </si>
  <si>
    <t>Mehma</t>
  </si>
  <si>
    <t>Barak</t>
  </si>
  <si>
    <t>Abdelsalam</t>
  </si>
  <si>
    <t>works in real estate too</t>
  </si>
  <si>
    <t>Mahesh</t>
  </si>
  <si>
    <t>Gunnam</t>
  </si>
  <si>
    <t>Nawis</t>
  </si>
  <si>
    <t>Khalifa</t>
  </si>
  <si>
    <t>Kofe</t>
  </si>
  <si>
    <t>Monzer</t>
  </si>
  <si>
    <t>Monika</t>
  </si>
  <si>
    <t>Sulcoba</t>
  </si>
  <si>
    <t>3smosu@gmail.com</t>
  </si>
  <si>
    <t>Email only please don?t contact on phone number Tetiana</t>
  </si>
  <si>
    <t>Yousuf buong</t>
  </si>
  <si>
    <t>aybuong@uob.edu.bh</t>
  </si>
  <si>
    <t>Shilpi</t>
  </si>
  <si>
    <t>Khemka</t>
  </si>
  <si>
    <t>Faisal</t>
  </si>
  <si>
    <t>Gamal</t>
  </si>
  <si>
    <t>Farrag</t>
  </si>
  <si>
    <t>Egypt: 0020</t>
  </si>
  <si>
    <t>Cataur</t>
  </si>
  <si>
    <t>Beh</t>
  </si>
  <si>
    <t>Colombia: 0057</t>
  </si>
  <si>
    <t>catauribeh@gmail.com</t>
  </si>
  <si>
    <t>Colombia</t>
  </si>
  <si>
    <t>Islam</t>
  </si>
  <si>
    <t>Lakhasae</t>
  </si>
  <si>
    <t>Mansour</t>
  </si>
  <si>
    <t>Alsaudi</t>
  </si>
  <si>
    <t>Hadif</t>
  </si>
  <si>
    <t>Alkatoob</t>
  </si>
  <si>
    <t>Nadir</t>
  </si>
  <si>
    <t>Abdulrhman</t>
  </si>
  <si>
    <t>Jomaa</t>
  </si>
  <si>
    <t>Alnoaimi</t>
  </si>
  <si>
    <t>Yasin</t>
  </si>
  <si>
    <t>Yassin</t>
  </si>
  <si>
    <t>GUnnam</t>
  </si>
  <si>
    <t>Mehdi</t>
  </si>
  <si>
    <t>Lems</t>
  </si>
  <si>
    <t>Switzerland: 0041</t>
  </si>
  <si>
    <t>Switzerland</t>
  </si>
  <si>
    <t>Abdallah</t>
  </si>
  <si>
    <t>Altwajre</t>
  </si>
  <si>
    <t>altwajre.a@gmail.com</t>
  </si>
  <si>
    <t>Ahmad Faiyaz</t>
  </si>
  <si>
    <t>Tetiana Two bedrooms in creek</t>
  </si>
  <si>
    <t>Amerjit</t>
  </si>
  <si>
    <t>Handa</t>
  </si>
  <si>
    <t>handa.harsh@gmail.com</t>
  </si>
  <si>
    <t>Tetiana 1 bedroom in creek</t>
  </si>
  <si>
    <t>Bander</t>
  </si>
  <si>
    <t>Almutairi</t>
  </si>
  <si>
    <t>TDM Level</t>
  </si>
  <si>
    <t>Jasem</t>
  </si>
  <si>
    <t>Tatiana / H&amp;S</t>
  </si>
  <si>
    <t>Mahmood</t>
  </si>
  <si>
    <t>Dashti</t>
  </si>
  <si>
    <t>Tatiana/ H&amp;S</t>
  </si>
  <si>
    <t>Al sayed</t>
  </si>
  <si>
    <t>ceo@nnc.sa</t>
  </si>
  <si>
    <t>Firas</t>
  </si>
  <si>
    <t>Choker</t>
  </si>
  <si>
    <t>firas.choker@gmail.com</t>
  </si>
  <si>
    <t>Safaa</t>
  </si>
  <si>
    <t>Al saad</t>
  </si>
  <si>
    <t>Jordan: 00962</t>
  </si>
  <si>
    <t>Fattah</t>
  </si>
  <si>
    <t>Siyu Zhang</t>
  </si>
  <si>
    <t>Giorgio</t>
  </si>
  <si>
    <t>Talal</t>
  </si>
  <si>
    <t>Alshareef</t>
  </si>
  <si>
    <t>Tatiana</t>
  </si>
  <si>
    <t>arabic speaking, but interested, have given to Mariem from Emaar to handle</t>
  </si>
  <si>
    <t>Alzubaidi</t>
  </si>
  <si>
    <t>ahmadvip2002@hotmail.com</t>
  </si>
  <si>
    <t>Muhammad Hassan Hasan Ehsan</t>
  </si>
  <si>
    <t>3 br creek Jordanian client Tatiana hns</t>
  </si>
  <si>
    <t>arabic speaking, ali soboh from Emaar</t>
  </si>
  <si>
    <t>Joke</t>
  </si>
  <si>
    <t>Aluko</t>
  </si>
  <si>
    <t>Esether</t>
  </si>
  <si>
    <t>Nabaju</t>
  </si>
  <si>
    <t>Uganda: 00256</t>
  </si>
  <si>
    <t>enabaju@gmail.com</t>
  </si>
  <si>
    <t>Uganda</t>
  </si>
  <si>
    <t>Tatiana Nigerian guy. 1 be in dt</t>
  </si>
  <si>
    <t>Abu</t>
  </si>
  <si>
    <t>Matovu</t>
  </si>
  <si>
    <t>Norway: 0047</t>
  </si>
  <si>
    <t>matovua@gmail.com</t>
  </si>
  <si>
    <t>Norway</t>
  </si>
  <si>
    <t>Tatiana heikkila Nigerian. 1 br dt</t>
  </si>
  <si>
    <t>Makumbi</t>
  </si>
  <si>
    <t>Salman</t>
  </si>
  <si>
    <t>Aloufi</t>
  </si>
  <si>
    <t>Rayane</t>
  </si>
  <si>
    <t>Alhareby</t>
  </si>
  <si>
    <t>Hamid</t>
  </si>
  <si>
    <t>Tatiana / H&amp;S Kumar restaurant guy</t>
  </si>
  <si>
    <t>Vibhor</t>
  </si>
  <si>
    <t>Arora</t>
  </si>
  <si>
    <t>Uday</t>
  </si>
  <si>
    <t>Kotes</t>
  </si>
  <si>
    <t>Patro</t>
  </si>
  <si>
    <t>Jai</t>
  </si>
  <si>
    <t>Shishil</t>
  </si>
  <si>
    <t>Boliya</t>
  </si>
  <si>
    <t>Arnold</t>
  </si>
  <si>
    <t>Tadeo</t>
  </si>
  <si>
    <t>Philippines</t>
  </si>
  <si>
    <t>Emil</t>
  </si>
  <si>
    <t>Samarah</t>
  </si>
  <si>
    <t>es@integracast.net</t>
  </si>
  <si>
    <t>Bhat</t>
  </si>
  <si>
    <t>amitbhat@live.com</t>
  </si>
  <si>
    <t>Casimiro</t>
  </si>
  <si>
    <t>Elisa</t>
  </si>
  <si>
    <t>Angola: 00244</t>
  </si>
  <si>
    <t>Angola</t>
  </si>
  <si>
    <t>cheap 1br</t>
  </si>
  <si>
    <t>Saima</t>
  </si>
  <si>
    <t>Nizami</t>
  </si>
  <si>
    <t>saima.nizami@gmail.com</t>
  </si>
  <si>
    <t>Wenhao Feng</t>
  </si>
  <si>
    <t>DCH or downtown 2-3 br</t>
  </si>
  <si>
    <t>Amir</t>
  </si>
  <si>
    <t>NA</t>
  </si>
  <si>
    <t>Kareem</t>
  </si>
  <si>
    <t>Na</t>
  </si>
  <si>
    <t>Yannick</t>
  </si>
  <si>
    <t>MOUYOUNGUI</t>
  </si>
  <si>
    <t>Republic of the Congo: 00242</t>
  </si>
  <si>
    <t>00974null</t>
  </si>
  <si>
    <t>ymouyoungui@yahoo.fr</t>
  </si>
  <si>
    <t>Congo</t>
  </si>
  <si>
    <t>Vderico</t>
  </si>
  <si>
    <t>Albania: 00355</t>
  </si>
  <si>
    <t>Albania</t>
  </si>
  <si>
    <t>Alaskar</t>
  </si>
  <si>
    <t>Sh</t>
  </si>
  <si>
    <t>Bu</t>
  </si>
  <si>
    <t>Aziz</t>
  </si>
  <si>
    <t>Manuchekhr</t>
  </si>
  <si>
    <t>Ralf</t>
  </si>
  <si>
    <t>Tatiana// beach front</t>
  </si>
  <si>
    <t>Johar</t>
  </si>
  <si>
    <t>Nagaraala</t>
  </si>
  <si>
    <t>Denise</t>
  </si>
  <si>
    <t>Gordon</t>
  </si>
  <si>
    <t>Almayani</t>
  </si>
  <si>
    <t>Shalaby</t>
  </si>
  <si>
    <t>Tatiana @</t>
  </si>
  <si>
    <t>George</t>
  </si>
  <si>
    <t>Maina</t>
  </si>
  <si>
    <t>Tatiana h&amp;s 1bed</t>
  </si>
  <si>
    <t>Robert</t>
  </si>
  <si>
    <t>Stassart</t>
  </si>
  <si>
    <t>robertstassart@web.de</t>
  </si>
  <si>
    <t>Tatiana 1bed creek</t>
  </si>
  <si>
    <t>Busaid</t>
  </si>
  <si>
    <t>Aidos</t>
  </si>
  <si>
    <t>Tatiana / 1bedroom creek</t>
  </si>
  <si>
    <t>Arsen</t>
  </si>
  <si>
    <t>S</t>
  </si>
  <si>
    <t>Tatiana Saira @H&amp;S</t>
  </si>
  <si>
    <t>Elham</t>
  </si>
  <si>
    <t>A</t>
  </si>
  <si>
    <t>Iran: 0098</t>
  </si>
  <si>
    <t>Iran, Islamic Republic of</t>
  </si>
  <si>
    <t>Li</t>
  </si>
  <si>
    <t>Mr</t>
  </si>
  <si>
    <t>Seojianzi</t>
  </si>
  <si>
    <t>Xin</t>
  </si>
  <si>
    <t>Fa</t>
  </si>
  <si>
    <t>Cxh13172072200</t>
  </si>
  <si>
    <t>Kunu</t>
  </si>
  <si>
    <t>Padhi</t>
  </si>
  <si>
    <t>kunupadhi17@gmail.con</t>
  </si>
  <si>
    <t>Rathore</t>
  </si>
  <si>
    <t>Bagawas</t>
  </si>
  <si>
    <t>rathorebagawas1993@gmail.com</t>
  </si>
  <si>
    <t>Fatma</t>
  </si>
  <si>
    <t>F</t>
  </si>
  <si>
    <t>Bupinder</t>
  </si>
  <si>
    <t>Mann</t>
  </si>
  <si>
    <t>bupindermann@live.co.uk</t>
  </si>
  <si>
    <t>Kevy, Tatiana</t>
  </si>
  <si>
    <t>Shahid</t>
  </si>
  <si>
    <t>alishahid03@gmail.com</t>
  </si>
  <si>
    <t>Roger</t>
  </si>
  <si>
    <t>Baah</t>
  </si>
  <si>
    <t>Ghana: 00233</t>
  </si>
  <si>
    <t>roger.baah@gmail.com</t>
  </si>
  <si>
    <t>Joshua</t>
  </si>
  <si>
    <t>D</t>
  </si>
  <si>
    <t>John</t>
  </si>
  <si>
    <t>Dch</t>
  </si>
  <si>
    <t>Belkher</t>
  </si>
  <si>
    <t>Not known</t>
  </si>
  <si>
    <t>belkheyr@yeeels.com</t>
  </si>
  <si>
    <t>Amr</t>
  </si>
  <si>
    <t>Baghdadi</t>
  </si>
  <si>
    <t>Samat</t>
  </si>
  <si>
    <t>Shahb</t>
  </si>
  <si>
    <t>Turkey: 0090</t>
  </si>
  <si>
    <t>0090null</t>
  </si>
  <si>
    <t>Tatianna</t>
  </si>
  <si>
    <t>Latham</t>
  </si>
  <si>
    <t>Tatiana @H&amp;s</t>
  </si>
  <si>
    <t>Prince collins</t>
  </si>
  <si>
    <t>Obi</t>
  </si>
  <si>
    <t>dynecogroups@gmail.com</t>
  </si>
  <si>
    <t>Asghar Ali</t>
  </si>
  <si>
    <t>Neecie</t>
  </si>
  <si>
    <t>Tatjana</t>
  </si>
  <si>
    <t>Nayomi</t>
  </si>
  <si>
    <t>Sebahattin</t>
  </si>
  <si>
    <t>Tatjana// beach front</t>
  </si>
  <si>
    <t>Usman</t>
  </si>
  <si>
    <t>Amsal</t>
  </si>
  <si>
    <t>Parvez</t>
  </si>
  <si>
    <t>amsal.studio3@gmail.com</t>
  </si>
  <si>
    <t>Thomas</t>
  </si>
  <si>
    <t>T</t>
  </si>
  <si>
    <t>Broker-Tatiana</t>
  </si>
  <si>
    <t>Jahan</t>
  </si>
  <si>
    <t>Khan</t>
  </si>
  <si>
    <t>jahan001@yahoo.com</t>
  </si>
  <si>
    <t>tatyana h&amp;s</t>
  </si>
  <si>
    <t>Ozaz</t>
  </si>
  <si>
    <t>Ozzy</t>
  </si>
  <si>
    <t>Tatyana h&amp;s</t>
  </si>
  <si>
    <t>Zain</t>
  </si>
  <si>
    <t>Daaood</t>
  </si>
  <si>
    <t>zdawoodh@yahoo.com</t>
  </si>
  <si>
    <t>To send presentation, customer did not have time to talk</t>
  </si>
  <si>
    <t>Khaled</t>
  </si>
  <si>
    <t>Rushdy</t>
  </si>
  <si>
    <t>Dubai hills, camelia, collective Send informations and options Tatiana @h&amp;s</t>
  </si>
  <si>
    <t>Peller</t>
  </si>
  <si>
    <t>Tatiana Interested in 3BR</t>
  </si>
  <si>
    <t>Kappelini</t>
  </si>
  <si>
    <t>Kabellini</t>
  </si>
  <si>
    <t>Italy: 0039</t>
  </si>
  <si>
    <t>Tatiana H&amp;S</t>
  </si>
  <si>
    <t>Ammar</t>
  </si>
  <si>
    <t>Rajan</t>
  </si>
  <si>
    <t>South Africa: 0027</t>
  </si>
  <si>
    <t>Tetiana @h&amp;s</t>
  </si>
  <si>
    <t>Waleed</t>
  </si>
  <si>
    <t>Ghoneim</t>
  </si>
  <si>
    <t>waleed_ghoneim@yahoo.com</t>
  </si>
  <si>
    <t>Anita</t>
  </si>
  <si>
    <t>Ayyad</t>
  </si>
  <si>
    <t>ammar.ayyad@gmail.com</t>
  </si>
  <si>
    <t>Alek</t>
  </si>
  <si>
    <t>Tetiana &amp; farhad Malik @h&amp;s</t>
  </si>
  <si>
    <t>Dhruv</t>
  </si>
  <si>
    <t>Kshatriya</t>
  </si>
  <si>
    <t>Bob</t>
  </si>
  <si>
    <t>19-11-2019</t>
  </si>
  <si>
    <t>Marc</t>
  </si>
  <si>
    <t>Cottino</t>
  </si>
  <si>
    <t>4179232-5016</t>
  </si>
  <si>
    <t>marc@mapropertyinvestors.com</t>
  </si>
  <si>
    <t>Vicky -tetaiana</t>
  </si>
  <si>
    <t>21-11-2019</t>
  </si>
  <si>
    <t>Sheikh</t>
  </si>
  <si>
    <t>96655038-8872</t>
  </si>
  <si>
    <t>Fahad Malik / Tetiana</t>
  </si>
  <si>
    <t>24-11-2019</t>
  </si>
  <si>
    <t>Samuel</t>
  </si>
  <si>
    <t>Indonesia: 0062</t>
  </si>
  <si>
    <t>62811969-9707</t>
  </si>
  <si>
    <t>Indonesia</t>
  </si>
  <si>
    <t>Mubin</t>
  </si>
  <si>
    <t>91969967-8692</t>
  </si>
  <si>
    <t>Winson</t>
  </si>
  <si>
    <t>Men</t>
  </si>
  <si>
    <t>86101010-1010</t>
  </si>
  <si>
    <t>m@m.ae</t>
  </si>
  <si>
    <t>winsomwen</t>
  </si>
  <si>
    <t>Mishkat</t>
  </si>
  <si>
    <t>Almahmouhd</t>
  </si>
  <si>
    <t>Sudan: 00249</t>
  </si>
  <si>
    <t>24996642-9492</t>
  </si>
  <si>
    <t>Ahmed Rodi</t>
  </si>
  <si>
    <t>Princess</t>
  </si>
  <si>
    <t>97155870-8643</t>
  </si>
  <si>
    <t>Pedro</t>
  </si>
  <si>
    <t>Gomes</t>
  </si>
  <si>
    <t>24492340-4114</t>
  </si>
  <si>
    <t>Tatiana @H&amp;SFaisal @H&amp;S</t>
  </si>
  <si>
    <t>Nissar</t>
  </si>
  <si>
    <t>44780680-6318</t>
  </si>
  <si>
    <t>Tatiana/ H&amp;SMeeting on 2 of December</t>
  </si>
  <si>
    <t>Asif</t>
  </si>
  <si>
    <t>91995888-7582</t>
  </si>
  <si>
    <t>Yaw</t>
  </si>
  <si>
    <t>97152537-2077</t>
  </si>
  <si>
    <t>25-11-2019</t>
  </si>
  <si>
    <t>Surendra</t>
  </si>
  <si>
    <t>Kaboor</t>
  </si>
  <si>
    <t>91983114-2471</t>
  </si>
  <si>
    <t>snigdhalogistics2011@gmail.com</t>
  </si>
  <si>
    <t>Zine Etedje Belloumi</t>
  </si>
  <si>
    <t>Tetiana-shane</t>
  </si>
  <si>
    <t>Ibrahem</t>
  </si>
  <si>
    <t>Abduallah</t>
  </si>
  <si>
    <t>97150103-7092</t>
  </si>
  <si>
    <t>ibrhim-alnowaiser@hotmail.com</t>
  </si>
  <si>
    <t>Tetiana- Good client</t>
  </si>
  <si>
    <t>Basil</t>
  </si>
  <si>
    <t>Anthony</t>
  </si>
  <si>
    <t>97150805-1674</t>
  </si>
  <si>
    <t>daconsultuae@gmail.com</t>
  </si>
  <si>
    <t>Zilla</t>
  </si>
  <si>
    <t>23324467-6742</t>
  </si>
  <si>
    <t>Qais</t>
  </si>
  <si>
    <t>Q manchaster</t>
  </si>
  <si>
    <t>44771241-4619</t>
  </si>
  <si>
    <t>Rajat</t>
  </si>
  <si>
    <t>Rehan</t>
  </si>
  <si>
    <t>92334007-1115</t>
  </si>
  <si>
    <t>Amer</t>
  </si>
  <si>
    <t>97156933-3429</t>
  </si>
  <si>
    <t>Nnamdi</t>
  </si>
  <si>
    <t>Uzokwe</t>
  </si>
  <si>
    <t>234703111-3194</t>
  </si>
  <si>
    <t>Paulo</t>
  </si>
  <si>
    <t>Mandelli</t>
  </si>
  <si>
    <t>39347054-2839</t>
  </si>
  <si>
    <t>26-11-2019</t>
  </si>
  <si>
    <t>Satyel</t>
  </si>
  <si>
    <t>91989497-4787</t>
  </si>
  <si>
    <t>Send informations 1bdr in creek Tatiana @h&amp;s</t>
  </si>
  <si>
    <t>Enrique</t>
  </si>
  <si>
    <t>Pelayl</t>
  </si>
  <si>
    <t>1786543-1615</t>
  </si>
  <si>
    <t>Cuba</t>
  </si>
  <si>
    <t>Priyansh</t>
  </si>
  <si>
    <t>Priyamsh</t>
  </si>
  <si>
    <t>91883950-6669</t>
  </si>
  <si>
    <t>Alshuro</t>
  </si>
  <si>
    <t>97156558-8877</t>
  </si>
  <si>
    <t>Albert</t>
  </si>
  <si>
    <t>474622-9960</t>
  </si>
  <si>
    <t>965101010-1010</t>
  </si>
  <si>
    <t>gotmail14@yahoo.com</t>
  </si>
  <si>
    <t>TDM 360Â°</t>
  </si>
  <si>
    <t>27-11-2019</t>
  </si>
  <si>
    <t>Anjum</t>
  </si>
  <si>
    <t>Malik</t>
  </si>
  <si>
    <t>1905965-4786</t>
  </si>
  <si>
    <t>northlingcanada@gmail.com</t>
  </si>
  <si>
    <t>@tatiana</t>
  </si>
  <si>
    <t>Olakunle</t>
  </si>
  <si>
    <t>Olaniran</t>
  </si>
  <si>
    <t>2340803492-4986</t>
  </si>
  <si>
    <t>kunleolaniran@yahoo.com</t>
  </si>
  <si>
    <t>Alshuaibi</t>
  </si>
  <si>
    <t>966054004-4139</t>
  </si>
  <si>
    <t>Samdan</t>
  </si>
  <si>
    <t>Dashidon</t>
  </si>
  <si>
    <t>7950381-3262</t>
  </si>
  <si>
    <t>samdan161@mail.ru</t>
  </si>
  <si>
    <t>Fareed</t>
  </si>
  <si>
    <t>Maimani</t>
  </si>
  <si>
    <t>96614826-7777</t>
  </si>
  <si>
    <t>fareed@maimani.com</t>
  </si>
  <si>
    <t>28-11-2019</t>
  </si>
  <si>
    <t>Hasan</t>
  </si>
  <si>
    <t>Ha</t>
  </si>
  <si>
    <t>Bangladesh: 00880</t>
  </si>
  <si>
    <t>880171153-0282</t>
  </si>
  <si>
    <t>Afeez</t>
  </si>
  <si>
    <t>234703333-9949</t>
  </si>
  <si>
    <t>Vetal</t>
  </si>
  <si>
    <t>Lider</t>
  </si>
  <si>
    <t>vetal_lider@ukr.net</t>
  </si>
  <si>
    <t>Mohammad</t>
  </si>
  <si>
    <t>Almutawa</t>
  </si>
  <si>
    <t>96655770-0400</t>
  </si>
  <si>
    <t>Ismail</t>
  </si>
  <si>
    <t>97155120-0408</t>
  </si>
  <si>
    <t>mi_faisal@yahoo.com</t>
  </si>
  <si>
    <t>Sayad</t>
  </si>
  <si>
    <t>97150236-9173</t>
  </si>
  <si>
    <t>Tunji</t>
  </si>
  <si>
    <t>234706531-5894</t>
  </si>
  <si>
    <t>Almujaini</t>
  </si>
  <si>
    <t>9689679-9999</t>
  </si>
  <si>
    <t>44751774-2437</t>
  </si>
  <si>
    <t>9665054-6945</t>
  </si>
  <si>
    <t>Tatiana @H&amp;S Not wanted share all details</t>
  </si>
  <si>
    <t>Hitesh</t>
  </si>
  <si>
    <t>97150173-7173</t>
  </si>
  <si>
    <t>Shizhe</t>
  </si>
  <si>
    <t>86000-0000</t>
  </si>
  <si>
    <t>wxid_3425014252312</t>
  </si>
  <si>
    <t>Suleiman</t>
  </si>
  <si>
    <t>1509460-3830</t>
  </si>
  <si>
    <t>ali.suli@icloud.com</t>
  </si>
  <si>
    <t>23324264-2807</t>
  </si>
  <si>
    <t>16-12-2019</t>
  </si>
  <si>
    <t>Scott</t>
  </si>
  <si>
    <t>Lim</t>
  </si>
  <si>
    <t>Malaysia: 0060</t>
  </si>
  <si>
    <t>6013779-3333</t>
  </si>
  <si>
    <t>Malaysia</t>
  </si>
  <si>
    <t>Tetiana-</t>
  </si>
  <si>
    <t>Mathew</t>
  </si>
  <si>
    <t>2776713-7440</t>
  </si>
  <si>
    <t>Tetiana 2-3 bedrooms beachfront</t>
  </si>
  <si>
    <t>Khosro</t>
  </si>
  <si>
    <t>Eslami</t>
  </si>
  <si>
    <t>97155338-8027</t>
  </si>
  <si>
    <t>Iran Islamic Republic of</t>
  </si>
  <si>
    <t>Naief</t>
  </si>
  <si>
    <t>Almottery</t>
  </si>
  <si>
    <t>96655040-5554</t>
  </si>
  <si>
    <t>Jose</t>
  </si>
  <si>
    <t>Cohen</t>
  </si>
  <si>
    <t>1956357-3573</t>
  </si>
  <si>
    <t>Alqinaai</t>
  </si>
  <si>
    <t>9659992-0087</t>
  </si>
  <si>
    <t>Salem</t>
  </si>
  <si>
    <t>Mutawa</t>
  </si>
  <si>
    <t>96650580-3208</t>
  </si>
  <si>
    <t>TDM Waterfall</t>
  </si>
  <si>
    <t>19-12-2019</t>
  </si>
  <si>
    <t>Salah</t>
  </si>
  <si>
    <t>96655501-7827</t>
  </si>
  <si>
    <t>Sergei</t>
  </si>
  <si>
    <t>7920229-2080</t>
  </si>
  <si>
    <t>22-12-2019</t>
  </si>
  <si>
    <t>Al</t>
  </si>
  <si>
    <t>97155129-4000</t>
  </si>
  <si>
    <t>Tetiana h&amp;s</t>
  </si>
  <si>
    <t>Panjawani</t>
  </si>
  <si>
    <t>91916388-8617</t>
  </si>
  <si>
    <t>Sayed</t>
  </si>
  <si>
    <t>96656869-2577</t>
  </si>
  <si>
    <t>Iris</t>
  </si>
  <si>
    <t>Taiwan: 00886</t>
  </si>
  <si>
    <t>88693918-6529</t>
  </si>
  <si>
    <t>Taiwan</t>
  </si>
  <si>
    <t>Andrey</t>
  </si>
  <si>
    <t>Ivanov</t>
  </si>
  <si>
    <t>7917333-7722</t>
  </si>
  <si>
    <t>ivanov700@yandex.ru</t>
  </si>
  <si>
    <t>26-12-2019</t>
  </si>
  <si>
    <t>9659998-8779</t>
  </si>
  <si>
    <t>Jani</t>
  </si>
  <si>
    <t>1229255-7467</t>
  </si>
  <si>
    <t>Rakesh</t>
  </si>
  <si>
    <t>Agarwal</t>
  </si>
  <si>
    <t>91923460-6542</t>
  </si>
  <si>
    <t>glassnglass@gmail.com</t>
  </si>
  <si>
    <t>Reza</t>
  </si>
  <si>
    <t>Mauj</t>
  </si>
  <si>
    <t>49171833-7333</t>
  </si>
  <si>
    <t>Mahender</t>
  </si>
  <si>
    <t>97152844-8764</t>
  </si>
  <si>
    <t>27-12-2019</t>
  </si>
  <si>
    <t>Iraq: 00964</t>
  </si>
  <si>
    <t>964770152-1985</t>
  </si>
  <si>
    <t>Fouad</t>
  </si>
  <si>
    <t>Sherif</t>
  </si>
  <si>
    <t>96655767-7825</t>
  </si>
  <si>
    <t>Syrian Arab Republic</t>
  </si>
  <si>
    <t>Said</t>
  </si>
  <si>
    <t>97150662-7612</t>
  </si>
  <si>
    <t>97150652-1284</t>
  </si>
  <si>
    <t>28-12-2019</t>
  </si>
  <si>
    <t>Karim</t>
  </si>
  <si>
    <t>Elgamal</t>
  </si>
  <si>
    <t>20100177-8499</t>
  </si>
  <si>
    <t>Betty</t>
  </si>
  <si>
    <t>Bacha</t>
  </si>
  <si>
    <t>3369691-7080</t>
  </si>
  <si>
    <t>bbmartinik@hotmail.fr</t>
  </si>
  <si>
    <t>Aljuaydi</t>
  </si>
  <si>
    <t>96653333-3800</t>
  </si>
  <si>
    <t>mansour4@gmail.com</t>
  </si>
  <si>
    <t>Adjetey</t>
  </si>
  <si>
    <t>Edward</t>
  </si>
  <si>
    <t>23324936-9473</t>
  </si>
  <si>
    <t>grantisluv@gmail.com</t>
  </si>
  <si>
    <t>Tatiana General information</t>
  </si>
  <si>
    <t>Nawaz</t>
  </si>
  <si>
    <t>92321418-1932</t>
  </si>
  <si>
    <t>29-12-2020</t>
  </si>
  <si>
    <t>Fatima</t>
  </si>
  <si>
    <t>Nazeer</t>
  </si>
  <si>
    <t>1630709-6596</t>
  </si>
  <si>
    <t>Tareq</t>
  </si>
  <si>
    <t>1630452-5671</t>
  </si>
  <si>
    <t>Baboucarr</t>
  </si>
  <si>
    <t>Touray</t>
  </si>
  <si>
    <t>babsin2ray@yahoo.co.uk</t>
  </si>
  <si>
    <t>30-12-2020</t>
  </si>
  <si>
    <t>Alsuwaidi</t>
  </si>
  <si>
    <t>97155888-2583</t>
  </si>
  <si>
    <t>31-12-2020</t>
  </si>
  <si>
    <t>Mounir</t>
  </si>
  <si>
    <t>Mdimeg</t>
  </si>
  <si>
    <t>3368281-5672</t>
  </si>
  <si>
    <t>Abduljawad</t>
  </si>
  <si>
    <t>Altahrawi</t>
  </si>
  <si>
    <t>96279926-8164</t>
  </si>
  <si>
    <t>Tatiana H&amp;S 1 bed creek</t>
  </si>
  <si>
    <t>Kamal</t>
  </si>
  <si>
    <t>96650542-5499</t>
  </si>
  <si>
    <t>Alneami</t>
  </si>
  <si>
    <t>97155611-4242</t>
  </si>
  <si>
    <t>Riffat</t>
  </si>
  <si>
    <t>96653077-1694</t>
  </si>
  <si>
    <t>Sai</t>
  </si>
  <si>
    <t>91986683-9393</t>
  </si>
  <si>
    <t>9659966-7127</t>
  </si>
  <si>
    <t>Salih</t>
  </si>
  <si>
    <t>97150334-8400</t>
  </si>
  <si>
    <t>Tatiana Arabic broshour sheep</t>
  </si>
  <si>
    <t>Mhamad</t>
  </si>
  <si>
    <t>964771891-2121</t>
  </si>
  <si>
    <t>Alsoulami</t>
  </si>
  <si>
    <t>96655666-2066</t>
  </si>
  <si>
    <t>Tatiana Send 1 bedroom creek</t>
  </si>
  <si>
    <t>Atel</t>
  </si>
  <si>
    <t>97156113-3530</t>
  </si>
  <si>
    <t>Tatiana h&amp;s</t>
  </si>
  <si>
    <t>Argishti</t>
  </si>
  <si>
    <t>Margaryan</t>
  </si>
  <si>
    <t>7928035-0500</t>
  </si>
  <si>
    <t>am171277@ya.ru</t>
  </si>
  <si>
    <t>Armenia</t>
  </si>
  <si>
    <t>Maxat</t>
  </si>
  <si>
    <t>7700494-9727</t>
  </si>
  <si>
    <t>Abhi</t>
  </si>
  <si>
    <t>Tayal</t>
  </si>
  <si>
    <t>Australia: 0061</t>
  </si>
  <si>
    <t>6143208-0030</t>
  </si>
  <si>
    <t>tayal.abhi@gmail.com</t>
  </si>
  <si>
    <t>Andrew</t>
  </si>
  <si>
    <t>Sapozhnikov</t>
  </si>
  <si>
    <t>99670673-1337</t>
  </si>
  <si>
    <t>andrew.s@maddevs.io</t>
  </si>
  <si>
    <t>Yulia</t>
  </si>
  <si>
    <t>Bataeva</t>
  </si>
  <si>
    <t>78987361-3909</t>
  </si>
  <si>
    <t>y.bataeva@gmail.com</t>
  </si>
  <si>
    <t>Tola</t>
  </si>
  <si>
    <t>Netherlands: 0031</t>
  </si>
  <si>
    <t>3165207-6749</t>
  </si>
  <si>
    <t>Dominican Republic: 001-809</t>
  </si>
  <si>
    <t>001-8096081818</t>
  </si>
  <si>
    <t>tatiana h&amp;s</t>
  </si>
  <si>
    <t>Ateeq</t>
  </si>
  <si>
    <t>Mumtaz</t>
  </si>
  <si>
    <t>96650423-4305</t>
  </si>
  <si>
    <t>ateeqmumtaz@yahoo.com</t>
  </si>
  <si>
    <t>Kosma</t>
  </si>
  <si>
    <t>Ostrom</t>
  </si>
  <si>
    <t>Finland: 00358</t>
  </si>
  <si>
    <t>35840080-1974</t>
  </si>
  <si>
    <t>Saify</t>
  </si>
  <si>
    <t>971055992-5308</t>
  </si>
  <si>
    <t>Elena</t>
  </si>
  <si>
    <t>Pelipenko</t>
  </si>
  <si>
    <t>7918153-0783</t>
  </si>
  <si>
    <t>7988769-4739</t>
  </si>
  <si>
    <t>evts2010@yandex.ru</t>
  </si>
  <si>
    <t>Ashish</t>
  </si>
  <si>
    <t>Agrawal</t>
  </si>
  <si>
    <t>91978170-0092</t>
  </si>
  <si>
    <t>Alsayegh</t>
  </si>
  <si>
    <t>971056310-0822</t>
  </si>
  <si>
    <t>Hirve</t>
  </si>
  <si>
    <t>97155598-0885</t>
  </si>
  <si>
    <t>Cote d'Ivoire</t>
  </si>
  <si>
    <t>96650547-1959</t>
  </si>
  <si>
    <t>Arman</t>
  </si>
  <si>
    <t>Kashaganov</t>
  </si>
  <si>
    <t>Spain: 0034</t>
  </si>
  <si>
    <t>3467501-4814</t>
  </si>
  <si>
    <t>Tatiana H&amp;S 1 bed</t>
  </si>
  <si>
    <t>96655107-2264</t>
  </si>
  <si>
    <t>Akop</t>
  </si>
  <si>
    <t>Akopyan</t>
  </si>
  <si>
    <t>7988240-8877</t>
  </si>
  <si>
    <t>trast68@mail.com</t>
  </si>
  <si>
    <t>Halkawt</t>
  </si>
  <si>
    <t>474551-6033</t>
  </si>
  <si>
    <t>ali.halkawt8@gmail.com</t>
  </si>
  <si>
    <t>Razvan</t>
  </si>
  <si>
    <t>4074016-7732</t>
  </si>
  <si>
    <t>2782377-0366</t>
  </si>
  <si>
    <t>H</t>
  </si>
  <si>
    <t>96650520-5440</t>
  </si>
  <si>
    <t>walyy-2@hotmail.com</t>
  </si>
  <si>
    <t>Dias</t>
  </si>
  <si>
    <t>Rysmagambetov</t>
  </si>
  <si>
    <t>7700465-1211</t>
  </si>
  <si>
    <t>zummerclub@mail.ru</t>
  </si>
  <si>
    <t>Tariel</t>
  </si>
  <si>
    <t>7905973-1546</t>
  </si>
  <si>
    <t>Golitsin</t>
  </si>
  <si>
    <t>Aleksey</t>
  </si>
  <si>
    <t>7911517-7007</t>
  </si>
  <si>
    <t>5177007@mail.ru</t>
  </si>
  <si>
    <t>Barzan</t>
  </si>
  <si>
    <t>971050708-2652</t>
  </si>
  <si>
    <t>Ghazi</t>
  </si>
  <si>
    <t>96655917-1717</t>
  </si>
  <si>
    <t>Akef</t>
  </si>
  <si>
    <t>Yassen</t>
  </si>
  <si>
    <t>97150501-7709</t>
  </si>
  <si>
    <t>Riyadh</t>
  </si>
  <si>
    <t>96650522-7122</t>
  </si>
  <si>
    <t>97150511-1003</t>
  </si>
  <si>
    <t>Assoumari</t>
  </si>
  <si>
    <t>96650619-9223</t>
  </si>
  <si>
    <t>96656960-6445</t>
  </si>
  <si>
    <t>Fatima Slaiteen</t>
  </si>
  <si>
    <t>Domoratskiy</t>
  </si>
  <si>
    <t>Maxim</t>
  </si>
  <si>
    <t>7913532-9160</t>
  </si>
  <si>
    <t>maxdom2002@mail.ru</t>
  </si>
  <si>
    <t>49170767-9284</t>
  </si>
  <si>
    <t>14-01-2020</t>
  </si>
  <si>
    <t>Mohsen</t>
  </si>
  <si>
    <t>Shuba</t>
  </si>
  <si>
    <t>97150883-4400</t>
  </si>
  <si>
    <t>Walter</t>
  </si>
  <si>
    <t>Ferrari</t>
  </si>
  <si>
    <t>Brazil: 0055</t>
  </si>
  <si>
    <t>55114807-3153</t>
  </si>
  <si>
    <t>551198165-1888</t>
  </si>
  <si>
    <t>walter.ferrari@wabp.com</t>
  </si>
  <si>
    <t>44787211-0931</t>
  </si>
  <si>
    <t>Corine</t>
  </si>
  <si>
    <t>Mandard</t>
  </si>
  <si>
    <t>3364930-0620</t>
  </si>
  <si>
    <t>Bradley</t>
  </si>
  <si>
    <t>Lluhymbher</t>
  </si>
  <si>
    <t>440791623-6654</t>
  </si>
  <si>
    <t>bradley@golden4.org</t>
  </si>
  <si>
    <t>Dunia</t>
  </si>
  <si>
    <t>Denmark: 0045</t>
  </si>
  <si>
    <t>452859-3788</t>
  </si>
  <si>
    <t>Faris</t>
  </si>
  <si>
    <t>Tajani</t>
  </si>
  <si>
    <t>97155889-4534</t>
  </si>
  <si>
    <t>16-01-2020</t>
  </si>
  <si>
    <t>Salim</t>
  </si>
  <si>
    <t>96655538-9189</t>
  </si>
  <si>
    <t>96650398-7625</t>
  </si>
  <si>
    <t>Steen</t>
  </si>
  <si>
    <t>Kristensen</t>
  </si>
  <si>
    <t>454083-3020</t>
  </si>
  <si>
    <t>gellert-kristensen@mail.dk</t>
  </si>
  <si>
    <t>Cholpon</t>
  </si>
  <si>
    <t>99677710-1801</t>
  </si>
  <si>
    <t>Ruslan</t>
  </si>
  <si>
    <t>7928029-9363</t>
  </si>
  <si>
    <t>Tatiana Maaz 1 2 bedroom</t>
  </si>
  <si>
    <t>17-01-2020</t>
  </si>
  <si>
    <t>Bahtiyor</t>
  </si>
  <si>
    <t>Eshankhanov</t>
  </si>
  <si>
    <t>99855826-0707</t>
  </si>
  <si>
    <t>bakhti.0707@mail.ru</t>
  </si>
  <si>
    <t>2 bedroom creek tower Tatiana</t>
  </si>
  <si>
    <t>Alaghbar</t>
  </si>
  <si>
    <t>97150347-0273</t>
  </si>
  <si>
    <t>ammar@stageco-uae.com</t>
  </si>
  <si>
    <t>20-01-2020</t>
  </si>
  <si>
    <t>Hussain</t>
  </si>
  <si>
    <t>9689967-1995</t>
  </si>
  <si>
    <t>Valentina</t>
  </si>
  <si>
    <t>Sidenko</t>
  </si>
  <si>
    <t>380067412-3256</t>
  </si>
  <si>
    <t>valentina7323@ukr.net</t>
  </si>
  <si>
    <t>Yogerh</t>
  </si>
  <si>
    <t>Panchal</t>
  </si>
  <si>
    <t>91989241-4080</t>
  </si>
  <si>
    <t>Muhammad Hasan Ehsan</t>
  </si>
  <si>
    <t>Tatiana Indian cash guy</t>
  </si>
  <si>
    <t>Lehlohonolo</t>
  </si>
  <si>
    <t>Mlangeni</t>
  </si>
  <si>
    <t>2781743-8244</t>
  </si>
  <si>
    <t>mlangeniw@pearlylocus.co.za</t>
  </si>
  <si>
    <t>22-01-2020</t>
  </si>
  <si>
    <t>Taylor</t>
  </si>
  <si>
    <t>Causby</t>
  </si>
  <si>
    <t>causby1@gmail.com</t>
  </si>
  <si>
    <t>Kazi</t>
  </si>
  <si>
    <t>1424421-9424</t>
  </si>
  <si>
    <t>interested but needs time</t>
  </si>
  <si>
    <t>Qamar</t>
  </si>
  <si>
    <t>97156578-6772</t>
  </si>
  <si>
    <t>seems likehes broker himself</t>
  </si>
  <si>
    <t>24-01-2020</t>
  </si>
  <si>
    <t>Erkebulan</t>
  </si>
  <si>
    <t>Kaystaubaev</t>
  </si>
  <si>
    <t>78702952-9119</t>
  </si>
  <si>
    <t>amanov.96@inbox.ru</t>
  </si>
  <si>
    <t>1 bedroom creek tower Tatiana</t>
  </si>
  <si>
    <t>Pommy</t>
  </si>
  <si>
    <t>Sagoo</t>
  </si>
  <si>
    <t>1416715-7347</t>
  </si>
  <si>
    <t>psagoo@desert-resources.com</t>
  </si>
  <si>
    <t>Oluwatobilola Familusi</t>
  </si>
  <si>
    <t>intersted but in the future</t>
  </si>
  <si>
    <t>Suhail</t>
  </si>
  <si>
    <t>92399571-0304</t>
  </si>
  <si>
    <t>neutral, not showing much interest but seems to have money</t>
  </si>
  <si>
    <t>Andrea</t>
  </si>
  <si>
    <t>Pettka</t>
  </si>
  <si>
    <t>49101010-1010</t>
  </si>
  <si>
    <t>pettka@harry-olivier.de</t>
  </si>
  <si>
    <t>seems interested, back in germany so needs to study it</t>
  </si>
  <si>
    <t>Otabek</t>
  </si>
  <si>
    <t>Yaxshiev</t>
  </si>
  <si>
    <t>99891222-2272</t>
  </si>
  <si>
    <t>otash7@mail.ru</t>
  </si>
  <si>
    <t>Tatiana 1 2 bedroom creek tower</t>
  </si>
  <si>
    <t>Dera</t>
  </si>
  <si>
    <t>234806131-5885</t>
  </si>
  <si>
    <t>not very intersted</t>
  </si>
  <si>
    <t>Adel</t>
  </si>
  <si>
    <t>Kamali</t>
  </si>
  <si>
    <t>97150800-2700</t>
  </si>
  <si>
    <t>a.kamali@smilehandyy.com</t>
  </si>
  <si>
    <t>not serious</t>
  </si>
  <si>
    <t>Tarek</t>
  </si>
  <si>
    <t>971052976-0800</t>
  </si>
  <si>
    <t>Emre</t>
  </si>
  <si>
    <t>Demir</t>
  </si>
  <si>
    <t>90101010-1010</t>
  </si>
  <si>
    <t>emrebs123@hotmail.com</t>
  </si>
  <si>
    <t>not looking to buy</t>
  </si>
  <si>
    <t>Rafi</t>
  </si>
  <si>
    <t>97150970-8108</t>
  </si>
  <si>
    <t>he's serious but low budget so trying to find him something to his budget</t>
  </si>
  <si>
    <t>26-01-2020</t>
  </si>
  <si>
    <t>Kostantin</t>
  </si>
  <si>
    <t>7908058-0745</t>
  </si>
  <si>
    <t>kostanta01@mail.ru</t>
  </si>
  <si>
    <t>Motaz M.S Aburamadan Aliaa</t>
  </si>
  <si>
    <t>1 bedroom Tatiana</t>
  </si>
  <si>
    <t>not very interested</t>
  </si>
  <si>
    <t>Yue</t>
  </si>
  <si>
    <t>china@gmail.com</t>
  </si>
  <si>
    <t>Elizabeth &amp; Gary Emaar sales not on stand</t>
  </si>
  <si>
    <t>Charleshere</t>
  </si>
  <si>
    <t>speak little english so gave to Gary to handle it but he seemed very interested</t>
  </si>
  <si>
    <t>Yergali</t>
  </si>
  <si>
    <t>Yegizbaiuly</t>
  </si>
  <si>
    <t>7701861-7121</t>
  </si>
  <si>
    <t>e_ergali@mail.ru</t>
  </si>
  <si>
    <t>Tetiana Ivanchenko</t>
  </si>
  <si>
    <t>1 bedroom Tatiana h&amp;s</t>
  </si>
  <si>
    <t>wants to see more information</t>
  </si>
  <si>
    <t>Tobi</t>
  </si>
  <si>
    <t>44747165-5897</t>
  </si>
  <si>
    <t>travelled back to uk but interested</t>
  </si>
  <si>
    <t>28-01-2020</t>
  </si>
  <si>
    <t>Dr Mohammed</t>
  </si>
  <si>
    <t>20100162-0255</t>
  </si>
  <si>
    <t>Tatiana No Sales emaar on stand</t>
  </si>
  <si>
    <t>wants only information</t>
  </si>
  <si>
    <t>Niko</t>
  </si>
  <si>
    <t>Nekrasov</t>
  </si>
  <si>
    <t>78966344-6454</t>
  </si>
  <si>
    <t>nikowea@icloud.com</t>
  </si>
  <si>
    <t>1 2 bedroom creek tower Tatiana H&amp;S Emaar sales not available on stand</t>
  </si>
  <si>
    <t>Nikolskaya</t>
  </si>
  <si>
    <t>7928719-6253</t>
  </si>
  <si>
    <t>Li Chen Chen</t>
  </si>
  <si>
    <t>Tatiana h&amp;s 1 bedroom creek tower</t>
  </si>
  <si>
    <t>interested in more information about creek harbour</t>
  </si>
  <si>
    <t>Sezai</t>
  </si>
  <si>
    <t>Keskin</t>
  </si>
  <si>
    <t>90539899-4167</t>
  </si>
  <si>
    <t>szikskn@gmail.com</t>
  </si>
  <si>
    <t>Tatiana Client assist by agent only</t>
  </si>
  <si>
    <t>not buying but has friends who might be interested</t>
  </si>
  <si>
    <t>30-01-2020</t>
  </si>
  <si>
    <t>Xumin</t>
  </si>
  <si>
    <t>Ximin</t>
  </si>
  <si>
    <t>1139784133@qq.com</t>
  </si>
  <si>
    <t>TatianaH&amp;S Fazeel H&amp;S Emaar sales not available on stand.</t>
  </si>
  <si>
    <t>Greg</t>
  </si>
  <si>
    <t>Helal Murabi</t>
  </si>
  <si>
    <t>i think he's mystery shopper</t>
  </si>
  <si>
    <t>Moustafa</t>
  </si>
  <si>
    <t>Bayoumi</t>
  </si>
  <si>
    <t>mbayoumi@outlook.com</t>
  </si>
  <si>
    <t>Tatiana Interested after 1 year No sales emaar on stand</t>
  </si>
  <si>
    <t>Murtadha</t>
  </si>
  <si>
    <t>Alshareifi</t>
  </si>
  <si>
    <t>alshareifi@gmail.com</t>
  </si>
  <si>
    <t>Alharety</t>
  </si>
  <si>
    <t>Tatiana No Sales emaar on Stand</t>
  </si>
  <si>
    <t>Wadad</t>
  </si>
  <si>
    <t>Alkaissy</t>
  </si>
  <si>
    <t>Tetiana 1 bedroom in creek vida</t>
  </si>
  <si>
    <t>pitching him collective and other dch 1 beds</t>
  </si>
  <si>
    <t>Yaseen</t>
  </si>
  <si>
    <t>Alkhalidy</t>
  </si>
  <si>
    <t>eng.yasen1@gmail.com</t>
  </si>
  <si>
    <t>Tatiana No sales emaar on Stand</t>
  </si>
  <si>
    <t>Jafar</t>
  </si>
  <si>
    <t>Alessio</t>
  </si>
  <si>
    <t>Sandoli</t>
  </si>
  <si>
    <t>asandoli@mig.it</t>
  </si>
  <si>
    <t>Tetiana @h&amp;s No Es on stand</t>
  </si>
  <si>
    <t>will buy maybe in the future</t>
  </si>
  <si>
    <t>Michaela</t>
  </si>
  <si>
    <t>Dlouha</t>
  </si>
  <si>
    <t>Czech Republic: 00420</t>
  </si>
  <si>
    <t>michaela.dlouha83@gmail.com</t>
  </si>
  <si>
    <t>Czech Republic</t>
  </si>
  <si>
    <t>Rihanna Tetiana</t>
  </si>
  <si>
    <t>Makki</t>
  </si>
  <si>
    <t>Alzaki</t>
  </si>
  <si>
    <t>Erwin</t>
  </si>
  <si>
    <t>Eekelaar</t>
  </si>
  <si>
    <t>erwin@rdevelopment.nl</t>
  </si>
  <si>
    <t>might buy in the future</t>
  </si>
  <si>
    <t>Lana</t>
  </si>
  <si>
    <t>Koval</t>
  </si>
  <si>
    <t>7921425-5152</t>
  </si>
  <si>
    <t>waterleo7@yandex.ru</t>
  </si>
  <si>
    <t>Khamis</t>
  </si>
  <si>
    <t>Alshibli</t>
  </si>
  <si>
    <t>9689938-9900</t>
  </si>
  <si>
    <t>Abbas</t>
  </si>
  <si>
    <t>971050637-2147</t>
  </si>
  <si>
    <t>Rihanna h&amp;s Tatiana h&amp;s</t>
  </si>
  <si>
    <t>serious buyer</t>
  </si>
  <si>
    <t>Zhainasyn</t>
  </si>
  <si>
    <t>Kulmagambetova</t>
  </si>
  <si>
    <t>78775802-8008</t>
  </si>
  <si>
    <t>jainasynk@mail.ru</t>
  </si>
  <si>
    <t>Sake</t>
  </si>
  <si>
    <t>Bula</t>
  </si>
  <si>
    <t>7701998-8800</t>
  </si>
  <si>
    <t>salamat_bolat@mail.ru</t>
  </si>
  <si>
    <t>Tayyab Tahir</t>
  </si>
  <si>
    <t>Abida</t>
  </si>
  <si>
    <t>Rawra</t>
  </si>
  <si>
    <t>1416786-4746</t>
  </si>
  <si>
    <t>aqrawra2@gmail.com</t>
  </si>
  <si>
    <t>Laura</t>
  </si>
  <si>
    <t>Medina</t>
  </si>
  <si>
    <t>97152690-3150</t>
  </si>
  <si>
    <t>laura@iluxurypu.com</t>
  </si>
  <si>
    <t>Tamache</t>
  </si>
  <si>
    <t>Algeria: 00213</t>
  </si>
  <si>
    <t>21355524-6013</t>
  </si>
  <si>
    <t>tamacheahmed@yahoo.fr</t>
  </si>
  <si>
    <t>Danny</t>
  </si>
  <si>
    <t>Vendel</t>
  </si>
  <si>
    <t>Sweden: 0046</t>
  </si>
  <si>
    <t>464670417-9047</t>
  </si>
  <si>
    <t>danny.vendel@qpcars.com</t>
  </si>
  <si>
    <t>Tatiana/ Maaz</t>
  </si>
  <si>
    <t>Sarge</t>
  </si>
  <si>
    <t>Serge</t>
  </si>
  <si>
    <t>7007904895-9846</t>
  </si>
  <si>
    <t>Rahata</t>
  </si>
  <si>
    <t>Kazastn</t>
  </si>
  <si>
    <t>1242376-9959</t>
  </si>
  <si>
    <t>Tatijana Elizabeth</t>
  </si>
  <si>
    <t>(44751) 966-6004</t>
  </si>
  <si>
    <t>Tatiana h&amp;s no Emaar sales</t>
  </si>
  <si>
    <t>Beachfront</t>
  </si>
  <si>
    <t>(97156) 830-0038</t>
  </si>
  <si>
    <t>Paul</t>
  </si>
  <si>
    <t>Pau</t>
  </si>
  <si>
    <t>Poland: 0048</t>
  </si>
  <si>
    <t>(4860) 864-8314</t>
  </si>
  <si>
    <t>Fernando</t>
  </si>
  <si>
    <t>Larrosa</t>
  </si>
  <si>
    <t>Argentina: 0054</t>
  </si>
  <si>
    <t>(54115) 833-5651</t>
  </si>
  <si>
    <t>ferlarrosa@hotmail.com</t>
  </si>
  <si>
    <t>Argentina</t>
  </si>
  <si>
    <t>Oleg</t>
  </si>
  <si>
    <t>Sautkin</t>
  </si>
  <si>
    <t>(7916) 737-1771</t>
  </si>
  <si>
    <t>sautkin_oleg@mail.ru</t>
  </si>
  <si>
    <t>tatiana h&amp;s was attended by agent only</t>
  </si>
  <si>
    <t>Steven</t>
  </si>
  <si>
    <t>Classens</t>
  </si>
  <si>
    <t>Belgium: 0032</t>
  </si>
  <si>
    <t>(324) 732-4455</t>
  </si>
  <si>
    <t>snafjes@telenet.be</t>
  </si>
  <si>
    <t>tatiana h&amp;s client was attended by agent only</t>
  </si>
  <si>
    <t>Chedid</t>
  </si>
  <si>
    <t>(97152) 104-6005</t>
  </si>
  <si>
    <t>tony.chedid01@gmail.com</t>
  </si>
  <si>
    <t>Tatiana Sales emaar was busy with other client on stand</t>
  </si>
  <si>
    <t>13-02-2020</t>
  </si>
  <si>
    <t>Shahit</t>
  </si>
  <si>
    <t>97156109-6483</t>
  </si>
  <si>
    <t>97156576-6770</t>
  </si>
  <si>
    <t>johnkghs@gmail.com</t>
  </si>
  <si>
    <t>880194444-9302</t>
  </si>
  <si>
    <t>babu@pinesolutions.xyz</t>
  </si>
  <si>
    <t>Guido</t>
  </si>
  <si>
    <t>Pape</t>
  </si>
  <si>
    <t>491764208-8907</t>
  </si>
  <si>
    <t>papeg120312@gmail.com</t>
  </si>
  <si>
    <t>Tatiana Husband with his familly</t>
  </si>
  <si>
    <t>Alexey S</t>
  </si>
  <si>
    <t>Gorbatenko</t>
  </si>
  <si>
    <t>7916975-4560</t>
  </si>
  <si>
    <t>gorbatenko@medcon.ru</t>
  </si>
  <si>
    <t>Steve</t>
  </si>
  <si>
    <t>97158552-8710</t>
  </si>
  <si>
    <t>James</t>
  </si>
  <si>
    <t>6142417-1231</t>
  </si>
  <si>
    <t>Sipho</t>
  </si>
  <si>
    <t>Mngomezulu</t>
  </si>
  <si>
    <t>2782481-7429</t>
  </si>
  <si>
    <t>finance@joma.co.za</t>
  </si>
  <si>
    <t>Saba &amp; Tatiana</t>
  </si>
  <si>
    <t>15-02-2020</t>
  </si>
  <si>
    <t>Navneet</t>
  </si>
  <si>
    <t>Mantri</t>
  </si>
  <si>
    <t>656226-0190</t>
  </si>
  <si>
    <t>navneet@kamssingapore.com</t>
  </si>
  <si>
    <t>Tatiana h&amp;s no Es</t>
  </si>
  <si>
    <t>Nelly</t>
  </si>
  <si>
    <t>Ivory Coast: 00225</t>
  </si>
  <si>
    <t>2250557-3011</t>
  </si>
  <si>
    <t>Tetiana No es</t>
  </si>
  <si>
    <t>Samir</t>
  </si>
  <si>
    <t>97152495-0763</t>
  </si>
  <si>
    <t>Maaz &amp; Tina No Sales emaar on Stand</t>
  </si>
  <si>
    <t>Taqi</t>
  </si>
  <si>
    <t>taqihassan92@gmail.com</t>
  </si>
  <si>
    <t>Tina H&amp;S Want to sent them brochure for ready apartment nad off plan onne the new offer</t>
  </si>
  <si>
    <t>Koushik</t>
  </si>
  <si>
    <t>1770310-3105</t>
  </si>
  <si>
    <t>Maryam pourgholam H&amp;S Tina Elahi H&amp;S</t>
  </si>
  <si>
    <t>Sebastien</t>
  </si>
  <si>
    <t>Fournier</t>
  </si>
  <si>
    <t>fournier.sebastien@gmail.com</t>
  </si>
  <si>
    <t>Tina elahi Sales emaar was busy on Stand with other client</t>
  </si>
  <si>
    <t>23324570-7144</t>
  </si>
  <si>
    <t>Tina elahi Sales emaar was busy with other client</t>
  </si>
  <si>
    <t>Zakaria</t>
  </si>
  <si>
    <t>Yahya</t>
  </si>
  <si>
    <t>Palestine: 00970</t>
  </si>
  <si>
    <t>9700097259588-2200</t>
  </si>
  <si>
    <t>zakaria.zanoon@gmail.com</t>
  </si>
  <si>
    <t>Tina elahi H&amp;S</t>
  </si>
  <si>
    <t>19-02-2020</t>
  </si>
  <si>
    <t>Marek</t>
  </si>
  <si>
    <t>Chmidt</t>
  </si>
  <si>
    <t>49177570-3146</t>
  </si>
  <si>
    <t>marekschmidt@icloud.com</t>
  </si>
  <si>
    <t>Maaz &amp; Tetiana @h&amp;s Client prefers Russian or German speaker</t>
  </si>
  <si>
    <t>Nabeel</t>
  </si>
  <si>
    <t>nabil@geokts.ae</t>
  </si>
  <si>
    <t>Oylum</t>
  </si>
  <si>
    <t>Sinai</t>
  </si>
  <si>
    <t>90352321-1132</t>
  </si>
  <si>
    <t>Tina and Tatiyana</t>
  </si>
  <si>
    <t>Swenson</t>
  </si>
  <si>
    <t>1941544-4366</t>
  </si>
  <si>
    <t>daveswenson@1stpip.com</t>
  </si>
  <si>
    <t>23-02-2020</t>
  </si>
  <si>
    <t>Nihad</t>
  </si>
  <si>
    <t>Rzayev</t>
  </si>
  <si>
    <t>99450777-2015</t>
  </si>
  <si>
    <t>ajdarov13@bk.ru</t>
  </si>
  <si>
    <t>Shan</t>
  </si>
  <si>
    <t>44788536-8886</t>
  </si>
  <si>
    <t>Ainsley</t>
  </si>
  <si>
    <t>971058576-1599</t>
  </si>
  <si>
    <t>Jahangir</t>
  </si>
  <si>
    <t>Hossain</t>
  </si>
  <si>
    <t>447747382-6058</t>
  </si>
  <si>
    <t>ripuoracle@gmail.com</t>
  </si>
  <si>
    <t>Jahangoin</t>
  </si>
  <si>
    <t>44747382-6058</t>
  </si>
  <si>
    <t>Miras</t>
  </si>
  <si>
    <t>861312124-0784</t>
  </si>
  <si>
    <t>Yuri</t>
  </si>
  <si>
    <t>Belikov</t>
  </si>
  <si>
    <t>77909661-3109</t>
  </si>
  <si>
    <t>belikov.1104@gmail.com</t>
  </si>
  <si>
    <t>Tatiana h&amp;s 2 3 bedroom beach front</t>
  </si>
  <si>
    <t>Anotonino</t>
  </si>
  <si>
    <t>Versage</t>
  </si>
  <si>
    <t>39339214-1980</t>
  </si>
  <si>
    <t>Tatiyana</t>
  </si>
  <si>
    <t>broker himself</t>
  </si>
  <si>
    <t>Alamen</t>
  </si>
  <si>
    <t>srt8_66@hotmail.com</t>
  </si>
  <si>
    <t>25-02-2020</t>
  </si>
  <si>
    <t>Puresoul</t>
  </si>
  <si>
    <t>Tourism</t>
  </si>
  <si>
    <t>91708704-3690</t>
  </si>
  <si>
    <t>puresoultourism@gmail.com</t>
  </si>
  <si>
    <t>Charbel</t>
  </si>
  <si>
    <t>Shamoun</t>
  </si>
  <si>
    <t>971050919-9655</t>
  </si>
  <si>
    <t>Also</t>
  </si>
  <si>
    <t>Albastaki</t>
  </si>
  <si>
    <t>971050257-7785</t>
  </si>
  <si>
    <t>97150206-6887</t>
  </si>
  <si>
    <t>Tatiana N</t>
  </si>
  <si>
    <t>Musaed</t>
  </si>
  <si>
    <t>Alobaidi</t>
  </si>
  <si>
    <t>9659951-1480</t>
  </si>
  <si>
    <t>kuwaiti_80@hotmail.com</t>
  </si>
  <si>
    <t>Al mutawa</t>
  </si>
  <si>
    <t>9659998-4799</t>
  </si>
  <si>
    <t>saadalmutawa29@gmail.com</t>
  </si>
  <si>
    <t>Yaser</t>
  </si>
  <si>
    <t>M</t>
  </si>
  <si>
    <t>96659885-5994</t>
  </si>
  <si>
    <t>Rihanna &amp; Tatijana h&amp;s</t>
  </si>
  <si>
    <t>Gulnar</t>
  </si>
  <si>
    <t>Benozarova</t>
  </si>
  <si>
    <t>77779-0017</t>
  </si>
  <si>
    <t>Arslan</t>
  </si>
  <si>
    <t>Hamdamov</t>
  </si>
  <si>
    <t>Turkmenistan: 00993</t>
  </si>
  <si>
    <t>9936102-0005</t>
  </si>
  <si>
    <t>27-02-2020</t>
  </si>
  <si>
    <t>Boutahar</t>
  </si>
  <si>
    <t>3375684-8989</t>
  </si>
  <si>
    <t>omyelmago@gmail.com</t>
  </si>
  <si>
    <t>interested in 2 bdr Beachfront Tatiana h&amp;s</t>
  </si>
  <si>
    <t>Amrapali</t>
  </si>
  <si>
    <t>Sahai Das</t>
  </si>
  <si>
    <t>97155336-0594</t>
  </si>
  <si>
    <t>amrapalisahaidas@yahoo.com</t>
  </si>
  <si>
    <t>Alisa</t>
  </si>
  <si>
    <t>C</t>
  </si>
  <si>
    <t>97152102-2310</t>
  </si>
  <si>
    <t>alisa.lwndubai@gmail.com</t>
  </si>
  <si>
    <t>Al shihhe</t>
  </si>
  <si>
    <t>971050888-5448</t>
  </si>
  <si>
    <t>moooon2004@hotmail.com</t>
  </si>
  <si>
    <t>Rauan</t>
  </si>
  <si>
    <t>7702702-0910</t>
  </si>
  <si>
    <t>rauan.kuatov@yandex.kz</t>
  </si>
  <si>
    <t>Andy</t>
  </si>
  <si>
    <t>Cannati</t>
  </si>
  <si>
    <t>440796820-7154</t>
  </si>
  <si>
    <t>andyyuka27@gmail.com</t>
  </si>
  <si>
    <t>Dagostino</t>
  </si>
  <si>
    <t>1703832-7004</t>
  </si>
  <si>
    <t>lorenzo_napoli@yahoo.com</t>
  </si>
  <si>
    <t>Razza</t>
  </si>
  <si>
    <t>971050654-2399</t>
  </si>
  <si>
    <t>Sellali</t>
  </si>
  <si>
    <t>Rafika</t>
  </si>
  <si>
    <t>33062440-4710</t>
  </si>
  <si>
    <t>sellalirfika@yahoo.fr</t>
  </si>
  <si>
    <t>Tatian H&amp;s</t>
  </si>
  <si>
    <t>Zhupargul</t>
  </si>
  <si>
    <t>7771981-5414</t>
  </si>
  <si>
    <t>zhupar_96kz@mail.ru</t>
  </si>
  <si>
    <t>Tatian</t>
  </si>
  <si>
    <t>Annett</t>
  </si>
  <si>
    <t>491517258-8525</t>
  </si>
  <si>
    <t>sass@directbox.com</t>
  </si>
  <si>
    <t>1441533-5673</t>
  </si>
  <si>
    <t>29-02-2020</t>
  </si>
  <si>
    <t>DrMoustafa</t>
  </si>
  <si>
    <t>91898000-6000</t>
  </si>
  <si>
    <t>ghada</t>
  </si>
  <si>
    <t>97150280-4444</t>
  </si>
  <si>
    <t>tatiana</t>
  </si>
  <si>
    <t>MOHAMMED</t>
  </si>
  <si>
    <t>Alhussini</t>
  </si>
  <si>
    <t>96650565-6662</t>
  </si>
  <si>
    <t>eng.vip1@hotmail.com</t>
  </si>
  <si>
    <t>Sayah</t>
  </si>
  <si>
    <t>Morocco: 00212</t>
  </si>
  <si>
    <t>21266108-1083</t>
  </si>
  <si>
    <t>saidsayah1963@hotmail.com</t>
  </si>
  <si>
    <t>Fahme</t>
  </si>
  <si>
    <t>971055567-7432</t>
  </si>
  <si>
    <t>omifehmi@gmail.com</t>
  </si>
  <si>
    <t>Alsalami</t>
  </si>
  <si>
    <t>97150719-7127</t>
  </si>
  <si>
    <t>fatami2015@gmail.com</t>
  </si>
  <si>
    <t>Osman</t>
  </si>
  <si>
    <t>Murtazaliev</t>
  </si>
  <si>
    <t>7928525-5544</t>
  </si>
  <si>
    <t>Furesh</t>
  </si>
  <si>
    <t>Mehte</t>
  </si>
  <si>
    <t>97150562-8412</t>
  </si>
  <si>
    <t>Tetiana &amp; Ali @h&amp;s</t>
  </si>
  <si>
    <t>7707161-0508</t>
  </si>
  <si>
    <t>Cemel</t>
  </si>
  <si>
    <t>3164079-1579</t>
  </si>
  <si>
    <t>Rahma tityana</t>
  </si>
  <si>
    <t>Clement</t>
  </si>
  <si>
    <t>Turkson</t>
  </si>
  <si>
    <t>23324632-4844</t>
  </si>
  <si>
    <t>turkmarclem@yahoo.com</t>
  </si>
  <si>
    <t>Wadih</t>
  </si>
  <si>
    <t>Farah</t>
  </si>
  <si>
    <t>97152633-3352</t>
  </si>
  <si>
    <t>wadih@zawayame.com</t>
  </si>
  <si>
    <t>Mika</t>
  </si>
  <si>
    <t>97150545-5423</t>
  </si>
  <si>
    <t>Saeed</t>
  </si>
  <si>
    <t>1647889-1955</t>
  </si>
  <si>
    <t>sultansaeed@gmail.com</t>
  </si>
  <si>
    <t>Javid</t>
  </si>
  <si>
    <t>971050498-7569</t>
  </si>
  <si>
    <t>javid.abdullayev.1989@mail.ru</t>
  </si>
  <si>
    <t>Tatiana h&amp;s 1 2 bedroom beach front</t>
  </si>
  <si>
    <t>Aleksandr</t>
  </si>
  <si>
    <t>Alexander</t>
  </si>
  <si>
    <t>78927648-0003</t>
  </si>
  <si>
    <t>Nirmal</t>
  </si>
  <si>
    <t>97156573-3786</t>
  </si>
  <si>
    <t>Adi</t>
  </si>
  <si>
    <t>Tetiana @H&amp;S</t>
  </si>
  <si>
    <t>Askar</t>
  </si>
  <si>
    <t>Yusupov</t>
  </si>
  <si>
    <t>arturpirojkov1986@list.ru</t>
  </si>
  <si>
    <t>Rahman &amp; Tatiana</t>
  </si>
  <si>
    <t>Musbu</t>
  </si>
  <si>
    <t>Mahamov</t>
  </si>
  <si>
    <t>Tatiana h&amp;s 1 bedroom creek tower creek 1 bedroom hills</t>
  </si>
  <si>
    <t>Artur</t>
  </si>
  <si>
    <t>Asryan</t>
  </si>
  <si>
    <t>Armenia: 00374</t>
  </si>
  <si>
    <t>arturasr1983@yahoo.com</t>
  </si>
  <si>
    <t>Aidar</t>
  </si>
  <si>
    <t>Kubanychbek</t>
  </si>
  <si>
    <t>aidar.kubanychbek@gmail.com</t>
  </si>
  <si>
    <t>Dr Rai</t>
  </si>
  <si>
    <t>Rai</t>
  </si>
  <si>
    <t>dr_acr@rediffmail.com</t>
  </si>
  <si>
    <t>Savad</t>
  </si>
  <si>
    <t>Kang</t>
  </si>
  <si>
    <t>Hak leng</t>
  </si>
  <si>
    <t>hlkang86@gmail.com</t>
  </si>
  <si>
    <t>Sint Maarten (Dutch part)</t>
  </si>
  <si>
    <t>Musalla</t>
  </si>
  <si>
    <t>Alhamadi</t>
  </si>
  <si>
    <t>e41e@hotmail.ae</t>
  </si>
  <si>
    <t>Nawaf</t>
  </si>
  <si>
    <t>Hamadi</t>
  </si>
  <si>
    <t>Saher</t>
  </si>
  <si>
    <t>Zhed</t>
  </si>
  <si>
    <t>Mihai</t>
  </si>
  <si>
    <t>Tomit</t>
  </si>
  <si>
    <t>oblemencomihai@yahoo.com</t>
  </si>
  <si>
    <t>Tatiana h&amp;s 1 2 bedroom downtown</t>
  </si>
  <si>
    <t>Aigerim</t>
  </si>
  <si>
    <t>Zhussupova</t>
  </si>
  <si>
    <t>aika.zhussupova@gmail.com</t>
  </si>
  <si>
    <t>Tatiana h&amp;s 1 bedroom Dubai hills</t>
  </si>
  <si>
    <t>Galina</t>
  </si>
  <si>
    <t>Jilkina</t>
  </si>
  <si>
    <t>Tatiana h&amp;s 1 bedroom creek tower 1 bedroom in hills</t>
  </si>
  <si>
    <t>Anton</t>
  </si>
  <si>
    <t>Kouadio</t>
  </si>
  <si>
    <t>Kevin</t>
  </si>
  <si>
    <t>kouadiokev@yahoo.fr</t>
  </si>
  <si>
    <t>Kenneth</t>
  </si>
  <si>
    <t>Jainandan</t>
  </si>
  <si>
    <t>kjainandan@gmail.com</t>
  </si>
  <si>
    <t>Luigi</t>
  </si>
  <si>
    <t>Ribon</t>
  </si>
  <si>
    <t>luigi.ribon@scanet.ch</t>
  </si>
  <si>
    <t>Davin</t>
  </si>
  <si>
    <t>Campbell</t>
  </si>
  <si>
    <t>campbell.davin@yahoo.com</t>
  </si>
  <si>
    <t>Fahad</t>
  </si>
  <si>
    <t>998909460030'</t>
  </si>
  <si>
    <t>962786302000'</t>
  </si>
  <si>
    <t>Greig</t>
  </si>
  <si>
    <t>447590110001'</t>
  </si>
  <si>
    <t>16-03-20</t>
  </si>
  <si>
    <t>Kapil</t>
  </si>
  <si>
    <t>Sani</t>
  </si>
  <si>
    <t>919802600130</t>
  </si>
  <si>
    <t>Hapa</t>
  </si>
  <si>
    <t>447946081233</t>
  </si>
  <si>
    <t>Bijan</t>
  </si>
  <si>
    <t>Robinson</t>
  </si>
  <si>
    <t>18139936373</t>
  </si>
  <si>
    <t>bijanrobinson@icloud.com</t>
  </si>
  <si>
    <t>Tetiana @h&amp;s 1br emaar beachfront</t>
  </si>
  <si>
    <t>Saqib</t>
  </si>
  <si>
    <t>447516203929</t>
  </si>
  <si>
    <t>971506660708</t>
  </si>
  <si>
    <t>Jairo</t>
  </si>
  <si>
    <t>Gouveia</t>
  </si>
  <si>
    <t>971557069325</t>
  </si>
  <si>
    <t>Osama Mahmoud Bahrain</t>
  </si>
  <si>
    <t>2br, DCH, 1,5M</t>
  </si>
  <si>
    <t>Vanessa Zeng</t>
  </si>
  <si>
    <t>DCH</t>
  </si>
  <si>
    <t>Needs more time to look at it</t>
  </si>
  <si>
    <t>Omer Al Qaist</t>
  </si>
  <si>
    <t>2-3br, La Voile</t>
  </si>
  <si>
    <t>Check again on the 9th november</t>
  </si>
  <si>
    <t>Suneel Mahanuni</t>
  </si>
  <si>
    <t>2br, 1M, close to BB</t>
  </si>
  <si>
    <t>1br, 600-700k, close to DT</t>
  </si>
  <si>
    <t>changed her mind</t>
  </si>
  <si>
    <t>1br, 650k, near to sheikh zayed</t>
  </si>
  <si>
    <t>close to JLT, Ready by March/april 2020</t>
  </si>
  <si>
    <t>Ettarfaoui Lakbir</t>
  </si>
  <si>
    <t>2br, La voile</t>
  </si>
  <si>
    <t>Salman Waris</t>
  </si>
  <si>
    <t>Penthouses, Downtown</t>
  </si>
  <si>
    <t>not looking anymore</t>
  </si>
  <si>
    <t>Muhammad Zas Kuwaitt</t>
  </si>
  <si>
    <t>Rashid</t>
  </si>
  <si>
    <t>Paramount tower</t>
  </si>
  <si>
    <t>cal 22nd october</t>
  </si>
  <si>
    <t>Al Loulou Mousa</t>
  </si>
  <si>
    <t>La mer, Emaar</t>
  </si>
  <si>
    <t>Mr Saleh</t>
  </si>
  <si>
    <t>4br MJL, 4br Sidra</t>
  </si>
  <si>
    <t>call 26th october</t>
  </si>
  <si>
    <t>1br, Downtown, soon to be ready</t>
  </si>
  <si>
    <t>2br, DCH</t>
  </si>
  <si>
    <t>Hakem Dubai Hills</t>
  </si>
  <si>
    <t>3-4br, Maple townhouses</t>
  </si>
  <si>
    <t>will be back november, keep following up</t>
  </si>
  <si>
    <t>Mazen Hakeem</t>
  </si>
  <si>
    <t>1-2br, La Voile</t>
  </si>
  <si>
    <t>Aya Emam</t>
  </si>
  <si>
    <t>1br, Southbeach</t>
  </si>
  <si>
    <t>Poppeliers Herman</t>
  </si>
  <si>
    <t>Bulk buyer, good deal</t>
  </si>
  <si>
    <t>9-14th december in dubai</t>
  </si>
  <si>
    <t>Mahboob Masih</t>
  </si>
  <si>
    <t>Heavy investor 30-40M</t>
  </si>
  <si>
    <t xml:space="preserve">Mohammed </t>
  </si>
  <si>
    <t xml:space="preserve">Penthouses, Downtown/Marina, 15-18M, </t>
  </si>
  <si>
    <t>downtown views, grande, operan grand</t>
  </si>
  <si>
    <t>Antonio</t>
  </si>
  <si>
    <t>1-3br, less expencive than La Voile</t>
  </si>
  <si>
    <t>Amadeo Matacena</t>
  </si>
  <si>
    <t>Sea view apartments, off plan and secondary</t>
  </si>
  <si>
    <t>Olivier Haski</t>
  </si>
  <si>
    <t>La Voile</t>
  </si>
  <si>
    <t>Call 23rd October</t>
  </si>
  <si>
    <t>Nasser Mohammed</t>
  </si>
  <si>
    <t xml:space="preserve">1br, La Voile </t>
  </si>
  <si>
    <t>Nigel Patsanza</t>
  </si>
  <si>
    <t>Coming mid-November</t>
  </si>
  <si>
    <t>4br Sidra, Bluewaters, Distress</t>
  </si>
  <si>
    <t>Alsarraf Ammar</t>
  </si>
  <si>
    <t xml:space="preserve">1br La Voile, 3br townhouse, 1,5M </t>
  </si>
  <si>
    <t>keep sending him offers</t>
  </si>
  <si>
    <t>Teodora</t>
  </si>
  <si>
    <t>Deciding with her husband</t>
  </si>
  <si>
    <t xml:space="preserve">1br, 600k budget, meraki </t>
  </si>
  <si>
    <t>Qaiser Gillani</t>
  </si>
  <si>
    <t>2br, Southbeach</t>
  </si>
  <si>
    <t>Shadid Bilal</t>
  </si>
  <si>
    <t>1br, DCh</t>
  </si>
  <si>
    <t>Hassan Othman</t>
  </si>
  <si>
    <t xml:space="preserve">2-3 villa, 1,1M, Secondary </t>
  </si>
  <si>
    <t>Arabian Ranches 3</t>
  </si>
  <si>
    <t>Kalra Virat</t>
  </si>
  <si>
    <t>Villas</t>
  </si>
  <si>
    <t>Coming 22 november</t>
  </si>
  <si>
    <t>1-2br, Downtown</t>
  </si>
  <si>
    <t>Coming back 21st October</t>
  </si>
  <si>
    <t>2br, Downtown, 1,3M, Distress</t>
  </si>
  <si>
    <t>Hiten Gohel</t>
  </si>
  <si>
    <t>3br, 2,5-3,5M, Distress</t>
  </si>
  <si>
    <t>Manal Essam</t>
  </si>
  <si>
    <t>Townhouses, end-user, budget 2M, 3BR-4BR</t>
  </si>
  <si>
    <t>Adel Gazarin</t>
  </si>
  <si>
    <t xml:space="preserve">townhouses, 3M, good opportunity </t>
  </si>
  <si>
    <t>Nazir USA</t>
  </si>
  <si>
    <t>Contact November</t>
  </si>
  <si>
    <t>Patturu Srinivasaro</t>
  </si>
  <si>
    <t>La Voile, 3 br at least</t>
  </si>
  <si>
    <t>Chabria Nitin</t>
  </si>
  <si>
    <t xml:space="preserve">Contact 3rd week of October </t>
  </si>
  <si>
    <t>Meeting 3.11</t>
  </si>
  <si>
    <t>Anna</t>
  </si>
  <si>
    <t>Contact 10th October</t>
  </si>
  <si>
    <t>meeting 14.11</t>
  </si>
  <si>
    <t>Elisabet</t>
  </si>
  <si>
    <t>Not looking to buy at the moment</t>
  </si>
  <si>
    <t>Suhail Zaineldeen</t>
  </si>
  <si>
    <t>1-2br, Paramount tower</t>
  </si>
  <si>
    <t>needs time to check out the options for 1-2 br</t>
  </si>
  <si>
    <t>VALLEYS FLOOR PLAN</t>
  </si>
  <si>
    <t>Abdullah Altwajre</t>
  </si>
  <si>
    <t>2br DCH (mall)</t>
  </si>
  <si>
    <t>keep following up, talking with his lawyer</t>
  </si>
  <si>
    <t>info about DCH (Mall)</t>
  </si>
  <si>
    <t>2br, DCH  almost ready</t>
  </si>
  <si>
    <t>Organize a meeting</t>
  </si>
  <si>
    <t>check on friday to organize a meeting for saturday 19th</t>
  </si>
  <si>
    <t>Asem Benat</t>
  </si>
  <si>
    <t>2br, DCH almost ready</t>
  </si>
  <si>
    <t>sent details on whatsapp</t>
  </si>
  <si>
    <t>Dr Arish Sherman</t>
  </si>
  <si>
    <t>1-2br DCH for their son</t>
  </si>
  <si>
    <t>Nitish Handa</t>
  </si>
  <si>
    <t>DCH mall</t>
  </si>
  <si>
    <t>Emaar beachfront, shoe level kiosk</t>
  </si>
  <si>
    <t>looking for only distress</t>
  </si>
  <si>
    <t>Abdul Fattah</t>
  </si>
  <si>
    <t>Almost ready to move in apartment/villa 2-3br</t>
  </si>
  <si>
    <t>whatsapp sent, DCH, Maple, mira oasis,</t>
  </si>
  <si>
    <t>Mohammed Alzabouti</t>
  </si>
  <si>
    <t>1-2br Downtown, shoe level kiosk, opera grand</t>
  </si>
  <si>
    <t>meeting 28.10</t>
  </si>
  <si>
    <t>Looking for a 1br, Meraki, ready to move in</t>
  </si>
  <si>
    <t>Paramount tower 1br, serious buyer</t>
  </si>
  <si>
    <t>21.11 meeting</t>
  </si>
  <si>
    <t>Call 14th october</t>
  </si>
  <si>
    <t>paramount</t>
  </si>
  <si>
    <t>Sharan Lalwani</t>
  </si>
  <si>
    <t>1br Paramount tower</t>
  </si>
  <si>
    <t>check with him on 17th october</t>
  </si>
  <si>
    <t>120k per year</t>
  </si>
  <si>
    <t>dubai south 1br/2br/</t>
  </si>
  <si>
    <t>Muhammed Hanan Tarq</t>
  </si>
  <si>
    <t>1-2br Paramount tower</t>
  </si>
  <si>
    <t>call 20th october</t>
  </si>
  <si>
    <t>Fayaz Pasha</t>
  </si>
  <si>
    <t>2br Paramount tower</t>
  </si>
  <si>
    <t>call 2nd Nov and set up a meeting</t>
  </si>
  <si>
    <t>Opera grand</t>
  </si>
  <si>
    <t>sharma</t>
  </si>
  <si>
    <t>budget 600-700K, Investment, Meraki, jvc 720 1br, studio meydan 740k</t>
  </si>
  <si>
    <t xml:space="preserve">2-3 br La Mer </t>
  </si>
  <si>
    <t>9th november  back</t>
  </si>
  <si>
    <t>townhouse, 3br, prefer ready 1,5M, payment plan</t>
  </si>
  <si>
    <t>1-2br budget 1m</t>
  </si>
  <si>
    <t>Hussain Eisa</t>
  </si>
  <si>
    <t>good payment plan, investment, thinking to buy end of the year</t>
  </si>
  <si>
    <t>call on monday 28th</t>
  </si>
  <si>
    <t>Mohammed Salim</t>
  </si>
  <si>
    <t>interested in 2020, after 5242 will be ready</t>
  </si>
  <si>
    <t>Abu Matovu</t>
  </si>
  <si>
    <t>downtown views 1 br</t>
  </si>
  <si>
    <t>back in december</t>
  </si>
  <si>
    <t>1-2 br Dubai creek or any as an investment</t>
  </si>
  <si>
    <t>in singapore</t>
  </si>
  <si>
    <t>Casimiro Elisa</t>
  </si>
  <si>
    <t>Viral shah</t>
  </si>
  <si>
    <t>3br apartment or townhouse, business bay, meydan, jvc 1,2-1,3M</t>
  </si>
  <si>
    <t xml:space="preserve">Amir UK </t>
  </si>
  <si>
    <t>2BR apartment</t>
  </si>
  <si>
    <t>Shahid Bilal</t>
  </si>
  <si>
    <t>1-2 br dubai creek</t>
  </si>
  <si>
    <t>paramount damac details</t>
  </si>
  <si>
    <t>1-2 apartment, cheap price per sqft</t>
  </si>
  <si>
    <t>Ahmed Alaskar</t>
  </si>
  <si>
    <t>2-3 br dch</t>
  </si>
  <si>
    <t xml:space="preserve">Ralph </t>
  </si>
  <si>
    <t>1br distress deals in downtown</t>
  </si>
  <si>
    <t>Saimas brother Toronto</t>
  </si>
  <si>
    <t>DCH 2br</t>
  </si>
  <si>
    <t xml:space="preserve">Arsen </t>
  </si>
  <si>
    <t>DCH 1br - russian speaking</t>
  </si>
  <si>
    <t>Mohammed Ameen</t>
  </si>
  <si>
    <t xml:space="preserve">arabian ranches </t>
  </si>
  <si>
    <t>Peter Domladis</t>
  </si>
  <si>
    <t>2br investment, maybe dch</t>
  </si>
  <si>
    <t>Perhat Sahetdurdiy</t>
  </si>
  <si>
    <t>1br investment houses</t>
  </si>
  <si>
    <t>fawaz kuwait mall</t>
  </si>
  <si>
    <t>coming end of november</t>
  </si>
  <si>
    <t>Andrew nigeria beachront</t>
  </si>
  <si>
    <t>3 br marina/jlt/jbr</t>
  </si>
  <si>
    <t>Francis Mbuyi SA</t>
  </si>
  <si>
    <t>SA guy</t>
  </si>
  <si>
    <t>David french</t>
  </si>
  <si>
    <t xml:space="preserve">Fatma </t>
  </si>
  <si>
    <t>arabic speaking, with ali Emaar</t>
  </si>
  <si>
    <t>Rahed</t>
  </si>
  <si>
    <t xml:space="preserve">townhouses or apartment 1br </t>
  </si>
  <si>
    <t>not in a hurry</t>
  </si>
  <si>
    <t>amr baghdadi</t>
  </si>
  <si>
    <t xml:space="preserve">DCH with ali mirza 3 pm tuesday 29th </t>
  </si>
  <si>
    <t>Khaled Rushdy</t>
  </si>
  <si>
    <t>collective or something cheap as an investment</t>
  </si>
  <si>
    <t>ozzy</t>
  </si>
  <si>
    <t>3br maple or DCH, 25/75 payment plan</t>
  </si>
  <si>
    <t>show her dubai hills and creek, 3br for 2M</t>
  </si>
  <si>
    <t xml:space="preserve">Saleh la mer </t>
  </si>
  <si>
    <t>la mer 1 bed</t>
  </si>
  <si>
    <t xml:space="preserve">Laith </t>
  </si>
  <si>
    <t>show him dubai creek</t>
  </si>
  <si>
    <t>Waleed Ghoneim</t>
  </si>
  <si>
    <t>1bed cheap as an investment</t>
  </si>
  <si>
    <t>Sameer Ahuja</t>
  </si>
  <si>
    <t>30-35M to invest in secondary deals</t>
  </si>
  <si>
    <t xml:space="preserve">victor 1br </t>
  </si>
  <si>
    <t>1-2 bedroom as an investment, set up a meeting next week</t>
  </si>
  <si>
    <t>Ajmal</t>
  </si>
  <si>
    <t>end user 3 bedroom townhouse</t>
  </si>
  <si>
    <t>Naji Obaid</t>
  </si>
  <si>
    <t>valley</t>
  </si>
  <si>
    <t xml:space="preserve">unicare cosmetics, paramount 10.30am meeting </t>
  </si>
  <si>
    <t>bought already</t>
  </si>
  <si>
    <t>khuranaharish44@gmail.cyom</t>
  </si>
  <si>
    <t>lorenzo@edilpisoni .it</t>
  </si>
  <si>
    <t>details sent</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</si>
</sst>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d/yyyy"/>
    <numFmt numFmtId="165" formatCode="d-mmmm-yy"/>
    <numFmt numFmtId="166" formatCode="M/d/yyyy"/>
    <numFmt numFmtId="167" formatCode="mmmm d, yyyy"/>
    <numFmt numFmtId="168" formatCode="d&quot;-&quot;mmm&quot;-&quot;yyyy"/>
    <numFmt numFmtId="169" formatCode="d-mmm-yyyy"/>
    <numFmt numFmtId="170" formatCode="d-mmm-yy"/>
    <numFmt numFmtId="171" formatCode="mmmm d,yyyy"/>
    <numFmt numFmtId="172" formatCode="mmm d yyyy"/>
    <numFmt numFmtId="173" formatCode="m-d-yy"/>
    <numFmt numFmtId="174" formatCode="m-d-yyyy"/>
    <numFmt numFmtId="175" formatCode="mmm-d-yy"/>
    <numFmt numFmtId="176" formatCode="m/d/yy"/>
    <numFmt numFmtId="177" formatCode="mmm-d-yyyy"/>
    <numFmt numFmtId="178" formatCode="mmmm d"/>
    <numFmt numFmtId="179" formatCode="mmm d, yyyy"/>
    <numFmt numFmtId="180" formatCode="mmm d,yyyy"/>
    <numFmt numFmtId="181" formatCode="mmm - d-yyyy"/>
    <numFmt numFmtId="182" formatCode="m/d/yyyy h:mm am/pm"/>
    <numFmt numFmtId="183" formatCode="mm-dd-yy"/>
  </numFmts>
  <fonts count="154">
    <font>
      <sz val="10.0"/>
      <color rgb="FF000000"/>
      <name val="Arial"/>
    </font>
    <font>
      <b/>
      <sz val="11.0"/>
      <color rgb="FF000000"/>
      <name val="Arial"/>
    </font>
    <font>
      <b/>
      <sz val="9.0"/>
      <color theme="1"/>
      <name val="Arial"/>
    </font>
    <font>
      <b/>
      <color theme="1"/>
      <name val="Arial"/>
    </font>
    <font>
      <sz val="12.0"/>
      <color rgb="FF000000"/>
      <name val="Arial"/>
    </font>
    <font>
      <sz val="11.0"/>
      <color rgb="FF000000"/>
      <name val="Arial"/>
    </font>
    <font>
      <sz val="9.0"/>
      <color theme="1"/>
      <name val="Arial"/>
    </font>
    <font>
      <color theme="1"/>
      <name val="Arial"/>
    </font>
    <font>
      <color theme="1"/>
      <name val="Verdana"/>
    </font>
    <font>
      <sz val="11.0"/>
      <color rgb="FF000000"/>
      <name val="Calibri"/>
    </font>
    <font>
      <strike/>
      <sz val="11.0"/>
      <color rgb="FF000000"/>
      <name val="Calibri"/>
    </font>
    <font>
      <color theme="1"/>
      <name val="Roboto"/>
    </font>
    <font>
      <sz val="12.0"/>
      <color rgb="FF2D383F"/>
      <name val="Helvetica"/>
    </font>
    <font>
      <u/>
      <sz val="12.0"/>
      <color rgb="FF2D383F"/>
      <name val="Helvetica"/>
    </font>
    <font>
      <sz val="11.0"/>
      <color theme="1"/>
      <name val="Arial"/>
    </font>
    <font>
      <sz val="9.0"/>
      <color rgb="FF000000"/>
      <name val="Arial"/>
    </font>
    <font>
      <color rgb="FF000000"/>
      <name val="Arial"/>
    </font>
    <font>
      <color rgb="FFFF0000"/>
      <name val="Verdana"/>
    </font>
    <font>
      <u/>
      <color rgb="FF000000"/>
      <name val="Arial"/>
    </font>
    <font>
      <color rgb="FF000000"/>
      <name val="Verdana"/>
    </font>
    <font>
      <b/>
      <color rgb="FF000000"/>
      <name val="Verdana"/>
    </font>
    <font>
      <u/>
      <color rgb="FF000000"/>
      <name val="Verdana"/>
    </font>
    <font>
      <color rgb="FF000000"/>
      <name val="HelveticaNeue-Light"/>
    </font>
    <font>
      <sz val="9.0"/>
      <color rgb="FF000000"/>
      <name val="Calibri"/>
    </font>
    <font>
      <b/>
      <sz val="11.0"/>
      <color rgb="FF000000"/>
      <name val="Calibri"/>
    </font>
    <font>
      <b/>
      <color theme="1"/>
      <name val="Verdana"/>
    </font>
    <font>
      <color rgb="FF0000FF"/>
      <name val="Arial"/>
    </font>
    <font>
      <color rgb="FF0000FF"/>
      <name val="Verdana"/>
    </font>
    <font>
      <color rgb="FF000000"/>
      <name val="Calibri"/>
    </font>
    <font>
      <u/>
      <color rgb="FF0563C1"/>
      <name val="Calibri"/>
    </font>
    <font>
      <u/>
      <sz val="9.0"/>
      <color rgb="FF333435"/>
      <name val="Arial"/>
    </font>
    <font>
      <u/>
      <sz val="9.0"/>
      <color rgb="FF333435"/>
      <name val="Arial"/>
    </font>
    <font>
      <u/>
      <sz val="9.0"/>
      <color rgb="FF000000"/>
      <name val="Arial"/>
    </font>
    <font>
      <sz val="9.0"/>
      <color rgb="FF222222"/>
      <name val="Arial"/>
    </font>
    <font>
      <sz val="9.0"/>
      <color rgb="FF333435"/>
      <name val="Arial"/>
    </font>
    <font>
      <u/>
      <color rgb="FF333435"/>
      <name val="Arial"/>
    </font>
    <font>
      <u/>
      <color rgb="FF333435"/>
      <name val="Arial"/>
    </font>
    <font>
      <color rgb="FF333435"/>
      <name val="Arial"/>
    </font>
    <font>
      <u/>
      <sz val="9.0"/>
      <color rgb="FF015BA7"/>
      <name val="Arial"/>
    </font>
    <font>
      <u/>
      <sz val="9.0"/>
      <color rgb="FF015BA7"/>
      <name val="Arial"/>
    </font>
    <font>
      <u/>
      <sz val="9.0"/>
      <color rgb="FF000000"/>
      <name val="Arial"/>
    </font>
    <font>
      <b/>
      <sz val="9.0"/>
      <color rgb="FF4A4A56"/>
      <name val="Arial"/>
    </font>
    <font>
      <b/>
      <sz val="8.0"/>
      <color rgb="FF4A4A56"/>
      <name val="Arial"/>
    </font>
    <font>
      <u/>
      <sz val="11.0"/>
      <color rgb="FF0563C1"/>
      <name val="Calibri"/>
    </font>
    <font>
      <color rgb="FF222222"/>
      <name val="Arial"/>
    </font>
    <font>
      <color theme="1"/>
      <name val="Times New Roman"/>
    </font>
    <font>
      <sz val="11.0"/>
      <color rgb="FFFF0000"/>
      <name val="Calibri"/>
    </font>
    <font>
      <u/>
      <sz val="9.0"/>
      <color rgb="FF333435"/>
      <name val="Arial"/>
    </font>
    <font>
      <u/>
      <sz val="9.0"/>
      <color rgb="FF000000"/>
      <name val="Arial"/>
    </font>
    <font>
      <u/>
      <sz val="9.0"/>
      <color rgb="FF333435"/>
      <name val="Arial"/>
    </font>
    <font>
      <u/>
      <sz val="9.0"/>
      <color rgb="FF000000"/>
      <name val="Arial"/>
    </font>
    <font>
      <u/>
      <sz val="9.0"/>
      <color rgb="FF000000"/>
      <name val="Arial"/>
    </font>
    <font>
      <u/>
      <sz val="9.0"/>
      <color rgb="FF015BA7"/>
      <name val="Arial"/>
    </font>
    <font>
      <u/>
      <sz val="9.0"/>
      <color rgb="FF015BA7"/>
      <name val="Arial"/>
    </font>
    <font>
      <u/>
      <sz val="9.0"/>
      <color rgb="FF333435"/>
      <name val="Arial"/>
    </font>
    <font>
      <u/>
      <sz val="9.0"/>
      <color rgb="FF000000"/>
      <name val="Arial"/>
    </font>
    <font>
      <u/>
      <sz val="9.0"/>
      <color rgb="FF015BA7"/>
      <name val="Arial"/>
    </font>
    <font>
      <u/>
      <sz val="9.0"/>
      <color rgb="FF000000"/>
      <name val="Arial"/>
    </font>
    <font>
      <color rgb="FF303030"/>
      <name val="Arial"/>
    </font>
    <font>
      <u/>
      <color rgb="FF1155CC"/>
      <name val="Arial"/>
    </font>
    <font>
      <u/>
      <sz val="9.0"/>
      <color rgb="FF000000"/>
      <name val="Arial"/>
    </font>
    <font>
      <u/>
      <color rgb="FF303030"/>
      <name val="Arial"/>
    </font>
    <font>
      <b/>
      <sz val="9.0"/>
      <color rgb="FF000000"/>
      <name val="Arial"/>
    </font>
    <font>
      <b/>
      <u/>
      <sz val="10.0"/>
      <color rgb="FFFFFFFF"/>
      <name val="Times New Roman"/>
    </font>
    <font>
      <b/>
      <u/>
      <sz val="10.0"/>
      <color rgb="FFFFFFFF"/>
      <name val="Times New Roman"/>
    </font>
    <font>
      <b/>
      <u/>
      <sz val="10.0"/>
      <color theme="1"/>
      <name val="Calibri"/>
    </font>
    <font>
      <b/>
      <sz val="10.0"/>
      <color theme="1"/>
      <name val="Times New Roman"/>
    </font>
    <font>
      <b/>
      <sz val="10.0"/>
      <color theme="1"/>
      <name val="Calibri"/>
    </font>
    <font>
      <b/>
      <sz val="10.0"/>
      <color rgb="FF000000"/>
      <name val="Times New Roman"/>
    </font>
    <font>
      <b/>
      <sz val="10.0"/>
      <color rgb="FF303030"/>
      <name val="Times New Roman"/>
    </font>
    <font>
      <b/>
      <u/>
      <sz val="10.0"/>
      <color rgb="FF303030"/>
      <name val="Times New Roman"/>
    </font>
    <font>
      <b/>
      <sz val="10.0"/>
      <color rgb="FF474747"/>
      <name val="Times New Roman"/>
    </font>
    <font>
      <b/>
      <strike/>
      <sz val="10.0"/>
      <color theme="1"/>
      <name val="Calibri"/>
    </font>
    <font>
      <b/>
      <u/>
      <sz val="10.0"/>
      <color rgb="FF1155CC"/>
      <name val="Times New Roman"/>
    </font>
    <font>
      <b/>
      <u/>
      <sz val="10.0"/>
      <color rgb="FF000000"/>
      <name val="Times New Roman"/>
    </font>
    <font>
      <b/>
      <u/>
      <sz val="10.0"/>
      <color rgb="FF1155CC"/>
      <name val="Times New Roman"/>
    </font>
    <font>
      <b/>
      <u/>
      <sz val="10.0"/>
      <color theme="1"/>
      <name val="Times New Roman"/>
    </font>
    <font>
      <b/>
      <u/>
      <sz val="10.0"/>
      <color rgb="FF303030"/>
      <name val="Times New Roman"/>
    </font>
    <font>
      <b/>
      <sz val="10.0"/>
      <color rgb="FF434343"/>
      <name val="Times New Roman"/>
    </font>
    <font>
      <b/>
      <sz val="10.0"/>
      <color rgb="FF000000"/>
      <name val="Calibri"/>
    </font>
    <font>
      <sz val="10.0"/>
      <color rgb="FF000000"/>
      <name val="Times New Roman"/>
    </font>
    <font>
      <sz val="10.0"/>
      <color rgb="FF000000"/>
      <name val="Calibri"/>
    </font>
    <font>
      <sz val="10.0"/>
      <color theme="1"/>
      <name val="Times New Roman"/>
    </font>
    <font>
      <sz val="11.0"/>
      <color theme="1"/>
      <name val="Times New Roman"/>
    </font>
    <font>
      <b/>
      <sz val="11.0"/>
      <color theme="1"/>
      <name val="Calibri"/>
    </font>
    <font>
      <sz val="11.0"/>
      <color rgb="FF000000"/>
      <name val="Times New Roman"/>
    </font>
    <font>
      <b/>
      <sz val="11.0"/>
      <color theme="1"/>
      <name val="Times New Roman"/>
    </font>
    <font>
      <sz val="12.0"/>
      <color theme="1"/>
      <name val="Times New Roman"/>
    </font>
    <font>
      <sz val="12.0"/>
      <color rgb="FF000000"/>
      <name val="Cambria"/>
    </font>
    <font>
      <sz val="12.0"/>
      <color theme="1"/>
      <name val="Arial"/>
    </font>
    <font>
      <sz val="10.0"/>
      <color theme="1"/>
      <name val="Arial"/>
    </font>
    <font>
      <sz val="10.0"/>
      <color rgb="FF000000"/>
      <name val="Cambria"/>
    </font>
    <font>
      <b/>
      <sz val="11.0"/>
      <color rgb="FF000000"/>
      <name val="Cambria"/>
    </font>
    <font>
      <b/>
      <color theme="1"/>
      <name val="Cambria"/>
    </font>
    <font>
      <sz val="11.0"/>
      <color rgb="FF000000"/>
      <name val="Cambria"/>
    </font>
    <font>
      <color theme="1"/>
      <name val="Cambria"/>
    </font>
    <font>
      <b/>
      <sz val="14.0"/>
      <color rgb="FF000000"/>
      <name val="Cambria"/>
    </font>
    <font>
      <b/>
      <sz val="14.0"/>
      <color theme="1"/>
      <name val="Cambria"/>
    </font>
    <font>
      <b/>
      <u/>
      <sz val="12.0"/>
      <color rgb="FFFFFF00"/>
      <name val="Calibri"/>
    </font>
    <font>
      <b/>
      <u/>
      <sz val="12.0"/>
      <color rgb="FFFFFF00"/>
      <name val="Calibri"/>
    </font>
    <font>
      <b/>
      <u/>
      <sz val="12.0"/>
      <color rgb="FFFFFF00"/>
      <name val="Calibri"/>
    </font>
    <font>
      <b/>
      <sz val="12.0"/>
      <color rgb="FFFFFF00"/>
      <name val="Calibri"/>
    </font>
    <font>
      <b/>
      <sz val="11.0"/>
      <color rgb="FFFFFF00"/>
      <name val="Arial"/>
    </font>
    <font>
      <color theme="1"/>
      <name val="Calibri"/>
    </font>
    <font>
      <b/>
      <color theme="1"/>
      <name val="Calibri"/>
    </font>
    <font>
      <color rgb="FFFF0000"/>
      <name val="Calibri"/>
    </font>
    <font>
      <color rgb="FF303030"/>
      <name val="Calibri"/>
    </font>
    <font>
      <u/>
      <color rgb="FF333435"/>
      <name val="Calibri"/>
    </font>
    <font>
      <color rgb="FF222222"/>
      <name val="Calibri"/>
    </font>
    <font>
      <u/>
      <color rgb="FF000000"/>
      <name val="Calibri"/>
    </font>
    <font>
      <b/>
      <color rgb="FF000000"/>
      <name val="Calibri"/>
    </font>
    <font>
      <u/>
      <color rgb="FF000000"/>
      <name val="Calibri"/>
    </font>
    <font>
      <color rgb="FF474747"/>
      <name val="Calibri"/>
    </font>
    <font>
      <u/>
      <color rgb="FF000000"/>
      <name val="Calibri"/>
    </font>
    <font>
      <u/>
      <color rgb="FF1F77FF"/>
      <name val="Calibri"/>
    </font>
    <font>
      <color rgb="FF274E13"/>
      <name val="Calibri"/>
    </font>
    <font>
      <u/>
      <color rgb="FF333435"/>
      <name val="Calibri"/>
    </font>
    <font>
      <u/>
      <color rgb="FF000000"/>
      <name val="Calibri"/>
    </font>
    <font>
      <u/>
      <color rgb="FF333435"/>
      <name val="Calibri"/>
    </font>
    <font>
      <name val="Arial"/>
    </font>
    <font>
      <u/>
      <color rgb="FF000000"/>
      <name val="Calibri"/>
    </font>
    <font>
      <u/>
      <color rgb="FF1155CC"/>
      <name val="Calibri"/>
    </font>
    <font>
      <name val="Calibri"/>
    </font>
    <font>
      <u/>
      <color rgb="FF000000"/>
      <name val="Calibri"/>
    </font>
    <font>
      <u/>
      <color rgb="FF1155CC"/>
      <name val="Calibri"/>
    </font>
    <font>
      <u/>
      <color rgb="FF303030"/>
      <name val="Calibri"/>
    </font>
    <font>
      <u/>
      <color rgb="FF000000"/>
      <name val="Calibri"/>
    </font>
    <font>
      <u/>
      <color rgb="FF000000"/>
      <name val="Calibri"/>
    </font>
    <font>
      <color rgb="FF434343"/>
      <name val="Calibri"/>
    </font>
    <font>
      <color rgb="FF434343"/>
      <name val="Arial"/>
    </font>
    <font>
      <b/>
      <color rgb="FF434343"/>
      <name val="Calibri"/>
    </font>
    <font/>
    <font>
      <b/>
    </font>
    <font>
      <b/>
      <u/>
      <sz val="11.0"/>
      <color theme="1"/>
      <name val="Calibri"/>
    </font>
    <font>
      <b/>
      <u/>
      <sz val="12.0"/>
      <color theme="1"/>
      <name val="Calibri"/>
    </font>
    <font>
      <b/>
      <u/>
      <sz val="12.0"/>
      <color theme="1"/>
      <name val="Calibri"/>
    </font>
    <font>
      <sz val="11.0"/>
      <color theme="1"/>
      <name val="Calibri"/>
    </font>
    <font>
      <sz val="12.0"/>
      <color theme="1"/>
      <name val="Calibri"/>
    </font>
    <font>
      <u/>
      <sz val="11.0"/>
      <color rgb="FF000000"/>
      <name val="Calibri"/>
    </font>
    <font>
      <b/>
      <sz val="12.0"/>
      <color rgb="FF222222"/>
      <name val="Arial"/>
    </font>
    <font>
      <b/>
      <sz val="12.0"/>
      <color rgb="FF222222"/>
      <name val="Roboto"/>
    </font>
    <font>
      <b/>
      <u/>
      <sz val="12.0"/>
      <color rgb="FF1155CC"/>
      <name val="Roboto"/>
    </font>
    <font>
      <b/>
      <u/>
      <sz val="12.0"/>
      <color rgb="FF1155CC"/>
      <name val="Roboto"/>
    </font>
    <font>
      <b/>
      <u/>
      <sz val="12.0"/>
      <color rgb="FF1155CC"/>
      <name val="Roboto"/>
    </font>
    <font>
      <b/>
      <u/>
      <sz val="12.0"/>
      <color rgb="FF1155CC"/>
      <name val="Roboto"/>
    </font>
    <font>
      <b/>
      <u/>
      <sz val="12.0"/>
      <color rgb="FF1155CC"/>
      <name val="Roboto"/>
    </font>
    <font>
      <b/>
      <sz val="12.0"/>
      <color theme="1"/>
      <name val="Arial"/>
    </font>
    <font>
      <b/>
      <u/>
      <sz val="12.0"/>
      <color rgb="FF1155CC"/>
      <name val="Arial"/>
    </font>
    <font>
      <b/>
      <u/>
      <sz val="12.0"/>
      <color rgb="FF1155CC"/>
      <name val="Arial"/>
    </font>
    <font>
      <b/>
      <u/>
      <sz val="12.0"/>
      <color rgb="FF1155CC"/>
      <name val="Arial"/>
    </font>
    <font>
      <b/>
      <color rgb="FF434343"/>
      <name val="Arial"/>
    </font>
    <font>
      <color rgb="FFE06666"/>
      <name val="Arial"/>
    </font>
    <font>
      <sz val="11.0"/>
      <color rgb="FF000000"/>
      <name val="Docs-Calibri"/>
    </font>
    <font>
      <u/>
      <sz val="12.0"/>
      <color rgb="FF2D383F"/>
      <name val="Helvetica"/>
    </font>
  </fonts>
  <fills count="26">
    <fill>
      <patternFill patternType="none"/>
    </fill>
    <fill>
      <patternFill patternType="lightGray"/>
    </fill>
    <fill>
      <patternFill patternType="solid">
        <fgColor rgb="FFF7CAAC"/>
        <bgColor rgb="FFF7CAAC"/>
      </patternFill>
    </fill>
    <fill>
      <patternFill patternType="solid">
        <fgColor rgb="FFFF00FF"/>
        <bgColor rgb="FFFF00FF"/>
      </patternFill>
    </fill>
    <fill>
      <patternFill patternType="solid">
        <fgColor rgb="FFF4CCCC"/>
        <bgColor rgb="FFF4CCCC"/>
      </patternFill>
    </fill>
    <fill>
      <patternFill patternType="solid">
        <fgColor rgb="FFFFFFFF"/>
        <bgColor rgb="FFFFFFFF"/>
      </patternFill>
    </fill>
    <fill>
      <patternFill patternType="solid">
        <fgColor rgb="FFF3F3F3"/>
        <bgColor rgb="FFF3F3F3"/>
      </patternFill>
    </fill>
    <fill>
      <patternFill patternType="solid">
        <fgColor rgb="FFE6B8AF"/>
        <bgColor rgb="FFE6B8AF"/>
      </patternFill>
    </fill>
    <fill>
      <patternFill patternType="solid">
        <fgColor rgb="FFFFFF00"/>
        <bgColor rgb="FFFFFF00"/>
      </patternFill>
    </fill>
    <fill>
      <patternFill patternType="solid">
        <fgColor rgb="FFCCCCCC"/>
        <bgColor rgb="FFCCCCCC"/>
      </patternFill>
    </fill>
    <fill>
      <patternFill patternType="solid">
        <fgColor rgb="FF0000FF"/>
        <bgColor rgb="FF0000FF"/>
      </patternFill>
    </fill>
    <fill>
      <patternFill patternType="solid">
        <fgColor rgb="FF00FF00"/>
        <bgColor rgb="FF00FF00"/>
      </patternFill>
    </fill>
    <fill>
      <patternFill patternType="solid">
        <fgColor rgb="FFB6D7A8"/>
        <bgColor rgb="FFB6D7A8"/>
      </patternFill>
    </fill>
    <fill>
      <patternFill patternType="solid">
        <fgColor theme="0"/>
        <bgColor theme="0"/>
      </patternFill>
    </fill>
    <fill>
      <patternFill patternType="solid">
        <fgColor rgb="FFFF0000"/>
        <bgColor rgb="FFFF0000"/>
      </patternFill>
    </fill>
    <fill>
      <patternFill patternType="solid">
        <fgColor rgb="FFD9EAD3"/>
        <bgColor rgb="FFD9EAD3"/>
      </patternFill>
    </fill>
    <fill>
      <patternFill patternType="solid">
        <fgColor rgb="FF073763"/>
        <bgColor rgb="FF073763"/>
      </patternFill>
    </fill>
    <fill>
      <patternFill patternType="solid">
        <fgColor rgb="FF00FFFF"/>
        <bgColor rgb="FF00FFFF"/>
      </patternFill>
    </fill>
    <fill>
      <patternFill patternType="solid">
        <fgColor rgb="FF93C47D"/>
        <bgColor rgb="FF93C47D"/>
      </patternFill>
    </fill>
    <fill>
      <patternFill patternType="solid">
        <fgColor rgb="FFF1C232"/>
        <bgColor rgb="FFF1C232"/>
      </patternFill>
    </fill>
    <fill>
      <patternFill patternType="solid">
        <fgColor rgb="FFFFE599"/>
        <bgColor rgb="FFFFE599"/>
      </patternFill>
    </fill>
    <fill>
      <patternFill patternType="solid">
        <fgColor rgb="FFFFF2CC"/>
        <bgColor rgb="FFFFF2CC"/>
      </patternFill>
    </fill>
    <fill>
      <patternFill patternType="solid">
        <fgColor rgb="FFAAAAFF"/>
        <bgColor rgb="FFAAAAFF"/>
      </patternFill>
    </fill>
    <fill>
      <patternFill patternType="solid">
        <fgColor rgb="FFFF9900"/>
        <bgColor rgb="FFFF9900"/>
      </patternFill>
    </fill>
    <fill>
      <patternFill patternType="solid">
        <fgColor rgb="FFFFD966"/>
        <bgColor rgb="FFFFD966"/>
      </patternFill>
    </fill>
    <fill>
      <patternFill patternType="solid">
        <fgColor rgb="FFEA9999"/>
        <bgColor rgb="FFEA9999"/>
      </patternFill>
    </fill>
  </fills>
  <borders count="2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bottom style="thin">
        <color rgb="FF000000"/>
      </bottom>
    </border>
    <border>
      <righ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bottom style="medium">
        <color rgb="FF000000"/>
      </bottom>
    </border>
    <border>
      <right style="medium">
        <color rgb="FF000000"/>
      </right>
      <bottom style="medium">
        <color rgb="FF000000"/>
      </bottom>
    </border>
    <border>
      <left style="medium">
        <color rgb="FF000000"/>
      </left>
      <bottom style="medium">
        <color rgb="FF000000"/>
      </bottom>
    </border>
    <border>
      <right/>
      <top style="thin">
        <color rgb="FF000000"/>
      </top>
      <bottom style="thin">
        <color rgb="FF000000"/>
      </bottom>
    </border>
  </borders>
  <cellStyleXfs count="1">
    <xf borderId="0" fillId="0" fontId="0" numFmtId="0" applyAlignment="1" applyFont="1"/>
  </cellStyleXfs>
  <cellXfs count="839">
    <xf borderId="0" fillId="0" fontId="0" numFmtId="0" xfId="0" applyAlignment="1" applyFont="1">
      <alignment readingOrder="0" shrinkToFit="0" vertical="bottom" wrapText="0"/>
    </xf>
    <xf borderId="0" fillId="2" fontId="1" numFmtId="0" xfId="0" applyAlignment="1" applyFill="1" applyFont="1">
      <alignment horizontal="left" vertical="bottom"/>
    </xf>
    <xf borderId="1" fillId="2" fontId="1" numFmtId="0" xfId="0" applyAlignment="1" applyBorder="1" applyFont="1">
      <alignment horizontal="left" vertical="bottom"/>
    </xf>
    <xf borderId="1" fillId="2" fontId="1" numFmtId="49" xfId="0" applyAlignment="1" applyBorder="1" applyFont="1" applyNumberFormat="1">
      <alignment horizontal="left" vertical="bottom"/>
    </xf>
    <xf borderId="1" fillId="3" fontId="2" numFmtId="0" xfId="0" applyAlignment="1" applyBorder="1" applyFill="1" applyFont="1">
      <alignment readingOrder="0"/>
    </xf>
    <xf borderId="1" fillId="4" fontId="3" numFmtId="0" xfId="0" applyAlignment="1" applyBorder="1" applyFill="1" applyFont="1">
      <alignment readingOrder="0"/>
    </xf>
    <xf borderId="0" fillId="0" fontId="4" numFmtId="0" xfId="0" applyAlignment="1" applyFont="1">
      <alignment horizontal="left" vertical="bottom"/>
    </xf>
    <xf borderId="1" fillId="0" fontId="4" numFmtId="0" xfId="0" applyAlignment="1" applyBorder="1" applyFont="1">
      <alignment horizontal="left" vertical="bottom"/>
    </xf>
    <xf quotePrefix="1" borderId="1" fillId="0" fontId="5" numFmtId="0" xfId="0" applyAlignment="1" applyBorder="1" applyFont="1">
      <alignment horizontal="left" vertical="bottom"/>
    </xf>
    <xf borderId="1" fillId="0" fontId="6" numFmtId="0" xfId="0" applyAlignment="1" applyBorder="1" applyFont="1">
      <alignment readingOrder="0"/>
    </xf>
    <xf borderId="1" fillId="0" fontId="7" numFmtId="0" xfId="0" applyAlignment="1" applyBorder="1" applyFont="1">
      <alignment readingOrder="0"/>
    </xf>
    <xf borderId="0" fillId="0" fontId="5" numFmtId="0" xfId="0" applyAlignment="1" applyFont="1">
      <alignment horizontal="left" vertical="bottom"/>
    </xf>
    <xf borderId="1" fillId="0" fontId="5" numFmtId="0" xfId="0" applyAlignment="1" applyBorder="1" applyFont="1">
      <alignment horizontal="left" vertical="bottom"/>
    </xf>
    <xf borderId="0" fillId="0" fontId="1" numFmtId="0" xfId="0" applyAlignment="1" applyFont="1">
      <alignment horizontal="left" shrinkToFit="0" vertical="bottom" wrapText="0"/>
    </xf>
    <xf borderId="1" fillId="0" fontId="1" numFmtId="0" xfId="0" applyAlignment="1" applyBorder="1" applyFont="1">
      <alignment horizontal="left" shrinkToFit="0" vertical="bottom" wrapText="0"/>
    </xf>
    <xf borderId="1" fillId="0" fontId="5" numFmtId="0" xfId="0" applyAlignment="1" applyBorder="1" applyFont="1">
      <alignment horizontal="left" shrinkToFit="0" vertical="bottom" wrapText="0"/>
    </xf>
    <xf quotePrefix="1" borderId="1" fillId="0" fontId="5" numFmtId="0" xfId="0" applyAlignment="1" applyBorder="1" applyFont="1">
      <alignment horizontal="left" shrinkToFit="0" vertical="bottom" wrapText="0"/>
    </xf>
    <xf borderId="1" fillId="0" fontId="7" numFmtId="0" xfId="0" applyBorder="1" applyFont="1"/>
    <xf borderId="0" fillId="0" fontId="7" numFmtId="0" xfId="0" applyAlignment="1" applyFont="1">
      <alignment horizontal="left" vertical="bottom"/>
    </xf>
    <xf borderId="1" fillId="0" fontId="7" numFmtId="0" xfId="0" applyAlignment="1" applyBorder="1" applyFont="1">
      <alignment horizontal="left" vertical="bottom"/>
    </xf>
    <xf quotePrefix="1" borderId="1" fillId="0" fontId="7" numFmtId="0" xfId="0" applyAlignment="1" applyBorder="1" applyFont="1">
      <alignment horizontal="left" vertical="bottom"/>
    </xf>
    <xf borderId="0" fillId="0" fontId="8" numFmtId="0" xfId="0" applyAlignment="1" applyFont="1">
      <alignment horizontal="left" vertical="bottom"/>
    </xf>
    <xf borderId="1" fillId="0" fontId="8" numFmtId="0" xfId="0" applyAlignment="1" applyBorder="1" applyFont="1">
      <alignment horizontal="left" vertical="bottom"/>
    </xf>
    <xf borderId="0" fillId="0" fontId="9" numFmtId="0" xfId="0" applyAlignment="1" applyFont="1">
      <alignment horizontal="left" vertical="bottom"/>
    </xf>
    <xf borderId="1" fillId="0" fontId="9" numFmtId="0" xfId="0" applyAlignment="1" applyBorder="1" applyFont="1">
      <alignment horizontal="left" vertical="bottom"/>
    </xf>
    <xf quotePrefix="1" borderId="1" fillId="0" fontId="8" numFmtId="0" xfId="0" applyAlignment="1" applyBorder="1" applyFont="1">
      <alignment horizontal="left" vertical="bottom"/>
    </xf>
    <xf quotePrefix="1" borderId="1" fillId="0" fontId="9" numFmtId="0" xfId="0" applyAlignment="1" applyBorder="1" applyFont="1">
      <alignment horizontal="left" vertical="bottom"/>
    </xf>
    <xf borderId="0" fillId="0" fontId="7" numFmtId="0" xfId="0" applyAlignment="1" applyFont="1">
      <alignment horizontal="left" vertical="bottom"/>
    </xf>
    <xf borderId="1" fillId="0" fontId="7" numFmtId="0" xfId="0" applyAlignment="1" applyBorder="1" applyFont="1">
      <alignment horizontal="left" vertical="bottom"/>
    </xf>
    <xf borderId="1" fillId="0" fontId="9" numFmtId="0" xfId="0" applyAlignment="1" applyBorder="1" applyFont="1">
      <alignment horizontal="left" readingOrder="0" vertical="bottom"/>
    </xf>
    <xf borderId="0" fillId="0" fontId="10" numFmtId="0" xfId="0" applyAlignment="1" applyFont="1">
      <alignment horizontal="left" vertical="bottom"/>
    </xf>
    <xf borderId="1" fillId="0" fontId="10" numFmtId="0" xfId="0" applyAlignment="1" applyBorder="1" applyFont="1">
      <alignment horizontal="left" vertical="bottom"/>
    </xf>
    <xf borderId="1" fillId="0" fontId="11" numFmtId="0" xfId="0" applyAlignment="1" applyBorder="1" applyFont="1">
      <alignment readingOrder="0"/>
    </xf>
    <xf borderId="0" fillId="0" fontId="12" numFmtId="0" xfId="0" applyAlignment="1" applyFont="1">
      <alignment horizontal="left" vertical="bottom"/>
    </xf>
    <xf borderId="1" fillId="0" fontId="12" numFmtId="0" xfId="0" applyAlignment="1" applyBorder="1" applyFont="1">
      <alignment horizontal="left" vertical="bottom"/>
    </xf>
    <xf borderId="1" fillId="0" fontId="13" numFmtId="0" xfId="0" applyAlignment="1" applyBorder="1" applyFont="1">
      <alignment horizontal="left" vertical="bottom"/>
    </xf>
    <xf quotePrefix="1" borderId="1" fillId="0" fontId="14" numFmtId="0" xfId="0" applyAlignment="1" applyBorder="1" applyFont="1">
      <alignment horizontal="left" vertical="bottom"/>
    </xf>
    <xf borderId="0" fillId="0" fontId="15" numFmtId="0" xfId="0" applyAlignment="1" applyFont="1">
      <alignment horizontal="left" vertical="bottom"/>
    </xf>
    <xf borderId="1" fillId="0" fontId="15" numFmtId="0" xfId="0" applyAlignment="1" applyBorder="1" applyFont="1">
      <alignment horizontal="left" vertical="bottom"/>
    </xf>
    <xf borderId="0" fillId="0" fontId="7" numFmtId="0" xfId="0" applyAlignment="1" applyFont="1">
      <alignment readingOrder="0"/>
    </xf>
    <xf borderId="0" fillId="5" fontId="16" numFmtId="0" xfId="0" applyAlignment="1" applyFill="1" applyFont="1">
      <alignment horizontal="left" readingOrder="0"/>
    </xf>
    <xf borderId="1" fillId="0" fontId="8" numFmtId="3" xfId="0" applyAlignment="1" applyBorder="1" applyFont="1" applyNumberFormat="1">
      <alignment horizontal="left" vertical="bottom"/>
    </xf>
    <xf borderId="1" fillId="0" fontId="7" numFmtId="0" xfId="0" applyAlignment="1" applyBorder="1" applyFont="1">
      <alignment horizontal="left" readingOrder="0" shrinkToFit="0" vertical="bottom" wrapText="0"/>
    </xf>
    <xf borderId="0" fillId="0" fontId="17" numFmtId="0" xfId="0" applyAlignment="1" applyFont="1">
      <alignment horizontal="left" vertical="bottom"/>
    </xf>
    <xf borderId="1" fillId="0" fontId="17" numFmtId="0" xfId="0" applyAlignment="1" applyBorder="1" applyFont="1">
      <alignment horizontal="left" vertical="bottom"/>
    </xf>
    <xf borderId="1" fillId="0" fontId="7" numFmtId="164" xfId="0" applyAlignment="1" applyBorder="1" applyFont="1" applyNumberFormat="1">
      <alignment horizontal="left" vertical="bottom"/>
    </xf>
    <xf borderId="1" fillId="0" fontId="8" numFmtId="0" xfId="0" applyAlignment="1" applyBorder="1" applyFont="1">
      <alignment horizontal="left" shrinkToFit="0" vertical="bottom" wrapText="0"/>
    </xf>
    <xf borderId="1" fillId="0" fontId="7" numFmtId="0" xfId="0" applyAlignment="1" applyBorder="1" applyFont="1">
      <alignment horizontal="left" shrinkToFit="0" vertical="bottom" wrapText="0"/>
    </xf>
    <xf quotePrefix="1" borderId="1" fillId="5" fontId="16" numFmtId="0" xfId="0" applyAlignment="1" applyBorder="1" applyFont="1">
      <alignment horizontal="left" vertical="bottom"/>
    </xf>
    <xf borderId="1" fillId="0" fontId="7" numFmtId="165" xfId="0" applyAlignment="1" applyBorder="1" applyFont="1" applyNumberFormat="1">
      <alignment horizontal="left" readingOrder="0" vertical="bottom"/>
    </xf>
    <xf borderId="1" fillId="0" fontId="6" numFmtId="0" xfId="0" applyAlignment="1" applyBorder="1" applyFont="1">
      <alignment readingOrder="0" vertical="bottom"/>
    </xf>
    <xf borderId="1" fillId="0" fontId="7" numFmtId="166" xfId="0" applyAlignment="1" applyBorder="1" applyFont="1" applyNumberFormat="1">
      <alignment horizontal="left" vertical="bottom"/>
    </xf>
    <xf borderId="2" fillId="0" fontId="7" numFmtId="0" xfId="0" applyAlignment="1" applyBorder="1" applyFont="1">
      <alignment horizontal="left" vertical="bottom"/>
    </xf>
    <xf borderId="2" fillId="5" fontId="16" numFmtId="0" xfId="0" applyAlignment="1" applyBorder="1" applyFont="1">
      <alignment horizontal="left" vertical="bottom"/>
    </xf>
    <xf borderId="2" fillId="6" fontId="6" numFmtId="0" xfId="0" applyAlignment="1" applyBorder="1" applyFill="1" applyFont="1">
      <alignment vertical="bottom"/>
    </xf>
    <xf borderId="2" fillId="6" fontId="7" numFmtId="0" xfId="0" applyAlignment="1" applyBorder="1" applyFont="1">
      <alignment readingOrder="0" vertical="bottom"/>
    </xf>
    <xf borderId="3" fillId="0" fontId="7" numFmtId="166" xfId="0" applyAlignment="1" applyBorder="1" applyFont="1" applyNumberFormat="1">
      <alignment horizontal="left" vertical="bottom"/>
    </xf>
    <xf borderId="4" fillId="0" fontId="7" numFmtId="0" xfId="0" applyAlignment="1" applyBorder="1" applyFont="1">
      <alignment horizontal="left" vertical="bottom"/>
    </xf>
    <xf borderId="4" fillId="5" fontId="6" numFmtId="0" xfId="0" applyAlignment="1" applyBorder="1" applyFont="1">
      <alignment vertical="bottom"/>
    </xf>
    <xf borderId="4" fillId="5" fontId="7" numFmtId="0" xfId="0" applyAlignment="1" applyBorder="1" applyFont="1">
      <alignment readingOrder="0" vertical="bottom"/>
    </xf>
    <xf borderId="4" fillId="6" fontId="6" numFmtId="0" xfId="0" applyAlignment="1" applyBorder="1" applyFont="1">
      <alignment vertical="bottom"/>
    </xf>
    <xf borderId="0" fillId="6" fontId="16" numFmtId="0" xfId="0" applyAlignment="1" applyFont="1">
      <alignment horizontal="left" readingOrder="0"/>
    </xf>
    <xf borderId="1" fillId="0" fontId="16" numFmtId="167" xfId="0" applyAlignment="1" applyBorder="1" applyFont="1" applyNumberFormat="1">
      <alignment horizontal="left" vertical="bottom"/>
    </xf>
    <xf borderId="2" fillId="0" fontId="16" numFmtId="0" xfId="0" applyAlignment="1" applyBorder="1" applyFont="1">
      <alignment horizontal="left" vertical="bottom"/>
    </xf>
    <xf borderId="2" fillId="0" fontId="16" numFmtId="0" xfId="0" applyAlignment="1" applyBorder="1" applyFont="1">
      <alignment horizontal="left" vertical="bottom"/>
    </xf>
    <xf borderId="0" fillId="5" fontId="6" numFmtId="0" xfId="0" applyAlignment="1" applyFont="1">
      <alignment readingOrder="0" vertical="bottom"/>
    </xf>
    <xf borderId="0" fillId="5" fontId="7" numFmtId="0" xfId="0" applyAlignment="1" applyFont="1">
      <alignment readingOrder="0" vertical="bottom"/>
    </xf>
    <xf borderId="3" fillId="0" fontId="16" numFmtId="167" xfId="0" applyAlignment="1" applyBorder="1" applyFont="1" applyNumberFormat="1">
      <alignment horizontal="left" vertical="bottom"/>
    </xf>
    <xf borderId="4" fillId="0" fontId="16" numFmtId="0" xfId="0" applyAlignment="1" applyBorder="1" applyFont="1">
      <alignment horizontal="left" vertical="bottom"/>
    </xf>
    <xf borderId="0" fillId="6" fontId="6" numFmtId="0" xfId="0" applyAlignment="1" applyFont="1">
      <alignment readingOrder="0" vertical="bottom"/>
    </xf>
    <xf borderId="4" fillId="0" fontId="16" numFmtId="0" xfId="0" applyAlignment="1" applyBorder="1" applyFont="1">
      <alignment horizontal="left" vertical="bottom"/>
    </xf>
    <xf borderId="4" fillId="0" fontId="18" numFmtId="0" xfId="0" applyAlignment="1" applyBorder="1" applyFont="1">
      <alignment horizontal="left" vertical="bottom"/>
    </xf>
    <xf borderId="4" fillId="5" fontId="16" numFmtId="0" xfId="0" applyAlignment="1" applyBorder="1" applyFont="1">
      <alignment horizontal="left" vertical="bottom"/>
    </xf>
    <xf borderId="3" fillId="0" fontId="16" numFmtId="166" xfId="0" applyAlignment="1" applyBorder="1" applyFont="1" applyNumberFormat="1">
      <alignment horizontal="left" vertical="bottom"/>
    </xf>
    <xf borderId="4" fillId="0" fontId="19" numFmtId="0" xfId="0" applyAlignment="1" applyBorder="1" applyFont="1">
      <alignment horizontal="left" vertical="bottom"/>
    </xf>
    <xf borderId="3" fillId="0" fontId="16" numFmtId="164" xfId="0" applyAlignment="1" applyBorder="1" applyFont="1" applyNumberFormat="1">
      <alignment horizontal="left" vertical="bottom"/>
    </xf>
    <xf borderId="4" fillId="0" fontId="20" numFmtId="0" xfId="0" applyAlignment="1" applyBorder="1" applyFont="1">
      <alignment horizontal="left" vertical="bottom"/>
    </xf>
    <xf borderId="4" fillId="0" fontId="21" numFmtId="0" xfId="0" applyAlignment="1" applyBorder="1" applyFont="1">
      <alignment horizontal="left" vertical="bottom"/>
    </xf>
    <xf quotePrefix="1" borderId="4" fillId="0" fontId="19" numFmtId="0" xfId="0" applyAlignment="1" applyBorder="1" applyFont="1">
      <alignment horizontal="left" vertical="bottom"/>
    </xf>
    <xf borderId="3" fillId="0" fontId="16" numFmtId="0" xfId="0" applyAlignment="1" applyBorder="1" applyFont="1">
      <alignment horizontal="left" vertical="bottom"/>
    </xf>
    <xf borderId="3" fillId="0" fontId="16" numFmtId="0" xfId="0" applyAlignment="1" applyBorder="1" applyFont="1">
      <alignment horizontal="left" vertical="bottom"/>
    </xf>
    <xf borderId="4" fillId="0" fontId="9" numFmtId="0" xfId="0" applyAlignment="1" applyBorder="1" applyFont="1">
      <alignment horizontal="left" vertical="bottom"/>
    </xf>
    <xf quotePrefix="1" borderId="4" fillId="0" fontId="9" numFmtId="0" xfId="0" applyAlignment="1" applyBorder="1" applyFont="1">
      <alignment horizontal="left" vertical="bottom"/>
    </xf>
    <xf borderId="4" fillId="0" fontId="9" numFmtId="0" xfId="0" applyAlignment="1" applyBorder="1" applyFont="1">
      <alignment horizontal="left" readingOrder="0" vertical="bottom"/>
    </xf>
    <xf borderId="4" fillId="0" fontId="19" numFmtId="0" xfId="0" applyAlignment="1" applyBorder="1" applyFont="1">
      <alignment horizontal="left" readingOrder="0" vertical="bottom"/>
    </xf>
    <xf borderId="4" fillId="0" fontId="22" numFmtId="0" xfId="0" applyAlignment="1" applyBorder="1" applyFont="1">
      <alignment horizontal="left" vertical="bottom"/>
    </xf>
    <xf borderId="3" fillId="7" fontId="16" numFmtId="168" xfId="0" applyAlignment="1" applyBorder="1" applyFill="1" applyFont="1" applyNumberFormat="1">
      <alignment horizontal="left" vertical="bottom"/>
    </xf>
    <xf borderId="4" fillId="0" fontId="23" numFmtId="0" xfId="0" applyAlignment="1" applyBorder="1" applyFont="1">
      <alignment readingOrder="0" vertical="bottom"/>
    </xf>
    <xf borderId="4" fillId="0" fontId="24" numFmtId="0" xfId="0" applyAlignment="1" applyBorder="1" applyFont="1">
      <alignment horizontal="left" readingOrder="0" vertical="bottom"/>
    </xf>
    <xf borderId="3" fillId="7" fontId="7" numFmtId="168" xfId="0" applyAlignment="1" applyBorder="1" applyFont="1" applyNumberFormat="1">
      <alignment horizontal="left" vertical="bottom"/>
    </xf>
    <xf borderId="4" fillId="0" fontId="8" numFmtId="0" xfId="0" applyAlignment="1" applyBorder="1" applyFont="1">
      <alignment horizontal="left" vertical="bottom"/>
    </xf>
    <xf quotePrefix="1" borderId="4" fillId="0" fontId="7" numFmtId="0" xfId="0" applyAlignment="1" applyBorder="1" applyFont="1">
      <alignment horizontal="left" vertical="bottom"/>
    </xf>
    <xf borderId="4" fillId="0" fontId="25" numFmtId="0" xfId="0" applyAlignment="1" applyBorder="1" applyFont="1">
      <alignment horizontal="left" vertical="bottom"/>
    </xf>
    <xf borderId="3" fillId="8" fontId="7" numFmtId="168" xfId="0" applyAlignment="1" applyBorder="1" applyFill="1" applyFont="1" applyNumberFormat="1">
      <alignment horizontal="left" vertical="bottom"/>
    </xf>
    <xf borderId="3" fillId="8" fontId="3" numFmtId="168" xfId="0" applyAlignment="1" applyBorder="1" applyFont="1" applyNumberFormat="1">
      <alignment horizontal="left" vertical="bottom"/>
    </xf>
    <xf quotePrefix="1" borderId="4" fillId="0" fontId="25" numFmtId="0" xfId="0" applyAlignment="1" applyBorder="1" applyFont="1">
      <alignment horizontal="left" vertical="bottom"/>
    </xf>
    <xf quotePrefix="1" borderId="4" fillId="0" fontId="8" numFmtId="0" xfId="0" applyAlignment="1" applyBorder="1" applyFont="1">
      <alignment horizontal="left" vertical="bottom"/>
    </xf>
    <xf borderId="3" fillId="8" fontId="26" numFmtId="168" xfId="0" applyAlignment="1" applyBorder="1" applyFont="1" applyNumberFormat="1">
      <alignment horizontal="left" vertical="bottom"/>
    </xf>
    <xf borderId="4" fillId="0" fontId="27" numFmtId="0" xfId="0" applyAlignment="1" applyBorder="1" applyFont="1">
      <alignment horizontal="left" vertical="bottom"/>
    </xf>
    <xf quotePrefix="1" borderId="4" fillId="0" fontId="27" numFmtId="0" xfId="0" applyAlignment="1" applyBorder="1" applyFont="1">
      <alignment horizontal="left" vertical="bottom"/>
    </xf>
    <xf borderId="4" fillId="0" fontId="8" numFmtId="0" xfId="0" applyAlignment="1" applyBorder="1" applyFont="1">
      <alignment horizontal="left" readingOrder="0" vertical="bottom"/>
    </xf>
    <xf borderId="3" fillId="0" fontId="7" numFmtId="168" xfId="0" applyAlignment="1" applyBorder="1" applyFont="1" applyNumberFormat="1">
      <alignment horizontal="left" vertical="bottom"/>
    </xf>
    <xf borderId="3" fillId="0" fontId="8" numFmtId="168" xfId="0" applyAlignment="1" applyBorder="1" applyFont="1" applyNumberFormat="1">
      <alignment horizontal="left" vertical="bottom"/>
    </xf>
    <xf borderId="3" fillId="0" fontId="9" numFmtId="168" xfId="0" applyAlignment="1" applyBorder="1" applyFont="1" applyNumberFormat="1">
      <alignment horizontal="left" vertical="bottom"/>
    </xf>
    <xf borderId="5" fillId="0" fontId="8" numFmtId="0" xfId="0" applyAlignment="1" applyBorder="1" applyFont="1">
      <alignment horizontal="left" vertical="bottom"/>
    </xf>
    <xf borderId="4" fillId="0" fontId="24" numFmtId="0" xfId="0" applyAlignment="1" applyBorder="1" applyFont="1">
      <alignment horizontal="left" vertical="bottom"/>
    </xf>
    <xf borderId="6" fillId="0" fontId="7" numFmtId="0" xfId="0" applyAlignment="1" applyBorder="1" applyFont="1">
      <alignment horizontal="left" shrinkToFit="0" vertical="bottom" wrapText="0"/>
    </xf>
    <xf borderId="4" fillId="0" fontId="28" numFmtId="0" xfId="0" applyAlignment="1" applyBorder="1" applyFont="1">
      <alignment horizontal="left" vertical="bottom"/>
    </xf>
    <xf borderId="4" fillId="0" fontId="29" numFmtId="0" xfId="0" applyAlignment="1" applyBorder="1" applyFont="1">
      <alignment horizontal="left" vertical="bottom"/>
    </xf>
    <xf borderId="3" fillId="0" fontId="7" numFmtId="167" xfId="0" applyAlignment="1" applyBorder="1" applyFont="1" applyNumberFormat="1">
      <alignment horizontal="left" vertical="bottom"/>
    </xf>
    <xf borderId="4" fillId="6" fontId="8" numFmtId="0" xfId="0" applyAlignment="1" applyBorder="1" applyFont="1">
      <alignment horizontal="left" vertical="bottom"/>
    </xf>
    <xf borderId="4" fillId="6" fontId="23" numFmtId="0" xfId="0" applyAlignment="1" applyBorder="1" applyFont="1">
      <alignment readingOrder="0" vertical="bottom"/>
    </xf>
    <xf borderId="0" fillId="6" fontId="9" numFmtId="0" xfId="0" applyAlignment="1" applyFont="1">
      <alignment readingOrder="0" vertical="bottom"/>
    </xf>
    <xf borderId="4" fillId="5" fontId="8" numFmtId="0" xfId="0" applyAlignment="1" applyBorder="1" applyFont="1">
      <alignment horizontal="left" vertical="bottom"/>
    </xf>
    <xf borderId="4" fillId="5" fontId="23" numFmtId="0" xfId="0" applyAlignment="1" applyBorder="1" applyFont="1">
      <alignment readingOrder="0" vertical="bottom"/>
    </xf>
    <xf borderId="0" fillId="5" fontId="9" numFmtId="0" xfId="0" applyAlignment="1" applyFont="1">
      <alignment readingOrder="0" vertical="bottom"/>
    </xf>
    <xf borderId="3" fillId="0" fontId="7" numFmtId="169" xfId="0" applyAlignment="1" applyBorder="1" applyFont="1" applyNumberFormat="1">
      <alignment horizontal="left" vertical="bottom"/>
    </xf>
    <xf borderId="4" fillId="6" fontId="19" numFmtId="0" xfId="0" applyAlignment="1" applyBorder="1" applyFont="1">
      <alignment horizontal="left" vertical="bottom"/>
    </xf>
    <xf quotePrefix="1" borderId="4" fillId="6" fontId="8" numFmtId="0" xfId="0" applyAlignment="1" applyBorder="1" applyFont="1">
      <alignment horizontal="left" vertical="bottom"/>
    </xf>
    <xf borderId="4" fillId="5" fontId="7" numFmtId="0" xfId="0" applyAlignment="1" applyBorder="1" applyFont="1">
      <alignment horizontal="left" vertical="bottom"/>
    </xf>
    <xf quotePrefix="1" borderId="4" fillId="5" fontId="7" numFmtId="0" xfId="0" applyAlignment="1" applyBorder="1" applyFont="1">
      <alignment horizontal="left" vertical="bottom"/>
    </xf>
    <xf borderId="4" fillId="6" fontId="15" numFmtId="0" xfId="0" applyAlignment="1" applyBorder="1" applyFont="1">
      <alignment horizontal="left" vertical="bottom"/>
    </xf>
    <xf quotePrefix="1" borderId="4" fillId="6" fontId="15" numFmtId="0" xfId="0" applyAlignment="1" applyBorder="1" applyFont="1">
      <alignment horizontal="left" vertical="bottom"/>
    </xf>
    <xf borderId="4" fillId="5" fontId="15" numFmtId="0" xfId="0" applyAlignment="1" applyBorder="1" applyFont="1">
      <alignment horizontal="left" vertical="bottom"/>
    </xf>
    <xf borderId="4" fillId="5" fontId="6" numFmtId="0" xfId="0" applyAlignment="1" applyBorder="1" applyFont="1">
      <alignment horizontal="left" vertical="bottom"/>
    </xf>
    <xf quotePrefix="1" borderId="4" fillId="5" fontId="6" numFmtId="0" xfId="0" applyAlignment="1" applyBorder="1" applyFont="1">
      <alignment horizontal="left" vertical="bottom"/>
    </xf>
    <xf borderId="4" fillId="6" fontId="6" numFmtId="0" xfId="0" applyAlignment="1" applyBorder="1" applyFont="1">
      <alignment horizontal="left" vertical="bottom"/>
    </xf>
    <xf borderId="4" fillId="6" fontId="7" numFmtId="0" xfId="0" applyAlignment="1" applyBorder="1" applyFont="1">
      <alignment horizontal="left" vertical="bottom"/>
    </xf>
    <xf borderId="3" fillId="5" fontId="30" numFmtId="0" xfId="0" applyAlignment="1" applyBorder="1" applyFont="1">
      <alignment horizontal="left" vertical="top"/>
    </xf>
    <xf borderId="1" fillId="5" fontId="31" numFmtId="0" xfId="0" applyAlignment="1" applyBorder="1" applyFont="1">
      <alignment horizontal="left" vertical="top"/>
    </xf>
    <xf borderId="1" fillId="5" fontId="32" numFmtId="0" xfId="0" applyAlignment="1" applyBorder="1" applyFont="1">
      <alignment horizontal="left" vertical="top"/>
    </xf>
    <xf borderId="1" fillId="5" fontId="15" numFmtId="0" xfId="0" applyAlignment="1" applyBorder="1" applyFont="1">
      <alignment horizontal="left" vertical="top"/>
    </xf>
    <xf borderId="1" fillId="5" fontId="33" numFmtId="0" xfId="0" applyAlignment="1" applyBorder="1" applyFont="1">
      <alignment vertical="top"/>
    </xf>
    <xf borderId="3" fillId="5" fontId="34" numFmtId="0" xfId="0" applyAlignment="1" applyBorder="1" applyFont="1">
      <alignment horizontal="left" vertical="top"/>
    </xf>
    <xf borderId="1" fillId="5" fontId="34" numFmtId="0" xfId="0" applyAlignment="1" applyBorder="1" applyFont="1">
      <alignment horizontal="left" vertical="top"/>
    </xf>
    <xf borderId="0" fillId="6" fontId="7" numFmtId="0" xfId="0" applyAlignment="1" applyFont="1">
      <alignment readingOrder="0" vertical="bottom"/>
    </xf>
    <xf borderId="0" fillId="5" fontId="7" numFmtId="0" xfId="0" applyAlignment="1" applyFont="1">
      <alignment vertical="bottom"/>
    </xf>
    <xf borderId="3" fillId="0" fontId="7" numFmtId="0" xfId="0" applyAlignment="1" applyBorder="1" applyFont="1">
      <alignment horizontal="left" readingOrder="0" vertical="bottom"/>
    </xf>
    <xf borderId="0" fillId="6" fontId="7" numFmtId="0" xfId="0" applyAlignment="1" applyFont="1">
      <alignment vertical="bottom"/>
    </xf>
    <xf borderId="1" fillId="5" fontId="15" numFmtId="0" xfId="0" applyAlignment="1" applyBorder="1" applyFont="1">
      <alignment horizontal="left" vertical="bottom"/>
    </xf>
    <xf borderId="3" fillId="5" fontId="35" numFmtId="0" xfId="0" applyAlignment="1" applyBorder="1" applyFont="1">
      <alignment horizontal="left" vertical="top"/>
    </xf>
    <xf borderId="1" fillId="5" fontId="36" numFmtId="0" xfId="0" applyAlignment="1" applyBorder="1" applyFont="1">
      <alignment horizontal="left" vertical="top"/>
    </xf>
    <xf borderId="1" fillId="5" fontId="33" numFmtId="0" xfId="0" applyAlignment="1" applyBorder="1" applyFont="1">
      <alignment vertical="top"/>
    </xf>
    <xf borderId="3" fillId="5" fontId="37" numFmtId="0" xfId="0" applyAlignment="1" applyBorder="1" applyFont="1">
      <alignment horizontal="left" vertical="top"/>
    </xf>
    <xf borderId="1" fillId="5" fontId="37" numFmtId="0" xfId="0" applyAlignment="1" applyBorder="1" applyFont="1">
      <alignment horizontal="left" vertical="top"/>
    </xf>
    <xf borderId="1" fillId="5" fontId="38" numFmtId="0" xfId="0" applyAlignment="1" applyBorder="1" applyFont="1">
      <alignment horizontal="left" vertical="top"/>
    </xf>
    <xf borderId="1" fillId="5" fontId="7" numFmtId="0" xfId="0" applyAlignment="1" applyBorder="1" applyFont="1">
      <alignment horizontal="left" vertical="bottom"/>
    </xf>
    <xf borderId="1" fillId="5" fontId="39" numFmtId="0" xfId="0" applyAlignment="1" applyBorder="1" applyFont="1">
      <alignment horizontal="left" vertical="bottom"/>
    </xf>
    <xf borderId="1" fillId="5" fontId="40" numFmtId="0" xfId="0" applyAlignment="1" applyBorder="1" applyFont="1">
      <alignment horizontal="left" vertical="bottom"/>
    </xf>
    <xf borderId="1" fillId="5" fontId="41" numFmtId="0" xfId="0" applyAlignment="1" applyBorder="1" applyFont="1">
      <alignment horizontal="left" vertical="top"/>
    </xf>
    <xf borderId="1" fillId="5" fontId="41" numFmtId="0" xfId="0" applyAlignment="1" applyBorder="1" applyFont="1">
      <alignment horizontal="left" vertical="bottom"/>
    </xf>
    <xf borderId="1" fillId="5" fontId="42" numFmtId="0" xfId="0" applyAlignment="1" applyBorder="1" applyFont="1">
      <alignment horizontal="left" vertical="top"/>
    </xf>
    <xf borderId="1" fillId="0" fontId="7" numFmtId="168" xfId="0" applyAlignment="1" applyBorder="1" applyFont="1" applyNumberFormat="1">
      <alignment horizontal="left" vertical="bottom"/>
    </xf>
    <xf borderId="1" fillId="0" fontId="7" numFmtId="0" xfId="0" applyAlignment="1" applyBorder="1" applyFont="1">
      <alignment horizontal="left" readingOrder="0" vertical="bottom"/>
    </xf>
    <xf borderId="1" fillId="5" fontId="8" numFmtId="0" xfId="0" applyAlignment="1" applyBorder="1" applyFont="1">
      <alignment horizontal="left" vertical="bottom"/>
    </xf>
    <xf borderId="1" fillId="5" fontId="33" numFmtId="0" xfId="0" applyAlignment="1" applyBorder="1" applyFont="1">
      <alignment readingOrder="0" vertical="top"/>
    </xf>
    <xf borderId="1" fillId="6" fontId="8" numFmtId="0" xfId="0" applyAlignment="1" applyBorder="1" applyFont="1">
      <alignment horizontal="left" vertical="bottom"/>
    </xf>
    <xf borderId="1" fillId="6" fontId="33" numFmtId="0" xfId="0" applyAlignment="1" applyBorder="1" applyFont="1">
      <alignment readingOrder="0" vertical="top"/>
    </xf>
    <xf quotePrefix="1" borderId="1" fillId="6" fontId="9" numFmtId="0" xfId="0" applyAlignment="1" applyBorder="1" applyFont="1">
      <alignment horizontal="left" vertical="bottom"/>
    </xf>
    <xf borderId="1" fillId="5" fontId="25" numFmtId="0" xfId="0" applyAlignment="1" applyBorder="1" applyFont="1">
      <alignment horizontal="left" vertical="bottom"/>
    </xf>
    <xf quotePrefix="1" borderId="1" fillId="5" fontId="7" numFmtId="0" xfId="0" applyAlignment="1" applyBorder="1" applyFont="1">
      <alignment horizontal="left" vertical="bottom"/>
    </xf>
    <xf quotePrefix="1" borderId="1" fillId="6" fontId="7" numFmtId="0" xfId="0" applyAlignment="1" applyBorder="1" applyFont="1">
      <alignment horizontal="left" vertical="bottom"/>
    </xf>
    <xf borderId="1" fillId="0" fontId="24" numFmtId="168" xfId="0" applyAlignment="1" applyBorder="1" applyFont="1" applyNumberFormat="1">
      <alignment horizontal="left" vertical="bottom"/>
    </xf>
    <xf quotePrefix="1" borderId="1" fillId="0" fontId="7" numFmtId="0" xfId="0" applyAlignment="1" applyBorder="1" applyFont="1">
      <alignment horizontal="left" shrinkToFit="0" vertical="bottom" wrapText="0"/>
    </xf>
    <xf borderId="1" fillId="0" fontId="6" numFmtId="0" xfId="0" applyAlignment="1" applyBorder="1" applyFont="1">
      <alignment horizontal="left" readingOrder="0"/>
    </xf>
    <xf borderId="1" fillId="0" fontId="3" numFmtId="168" xfId="0" applyAlignment="1" applyBorder="1" applyFont="1" applyNumberFormat="1">
      <alignment horizontal="left" vertical="bottom"/>
    </xf>
    <xf borderId="1" fillId="0" fontId="7" numFmtId="170" xfId="0" applyAlignment="1" applyBorder="1" applyFont="1" applyNumberFormat="1">
      <alignment horizontal="left" vertical="bottom"/>
    </xf>
    <xf quotePrefix="1" borderId="1" fillId="0" fontId="8" numFmtId="0" xfId="0" applyAlignment="1" applyBorder="1" applyFont="1">
      <alignment horizontal="left" shrinkToFit="0" vertical="bottom" wrapText="0"/>
    </xf>
    <xf borderId="1" fillId="0" fontId="7" numFmtId="0" xfId="0" applyAlignment="1" applyBorder="1" applyFont="1">
      <alignment readingOrder="0" vertical="bottom"/>
    </xf>
    <xf borderId="0" fillId="0" fontId="8" numFmtId="0" xfId="0" applyAlignment="1" applyFont="1">
      <alignment vertical="bottom"/>
    </xf>
    <xf borderId="1" fillId="0" fontId="9" numFmtId="168" xfId="0" applyAlignment="1" applyBorder="1" applyFont="1" applyNumberFormat="1">
      <alignment horizontal="left" vertical="bottom"/>
    </xf>
    <xf borderId="7" fillId="0" fontId="9" numFmtId="0" xfId="0" applyAlignment="1" applyBorder="1" applyFont="1">
      <alignment shrinkToFit="0" vertical="bottom" wrapText="0"/>
    </xf>
    <xf borderId="0" fillId="0" fontId="9" numFmtId="0" xfId="0" applyAlignment="1" applyFont="1">
      <alignment readingOrder="0" vertical="bottom"/>
    </xf>
    <xf borderId="1" fillId="0" fontId="43" numFmtId="0" xfId="0" applyAlignment="1" applyBorder="1" applyFont="1">
      <alignment horizontal="left" vertical="bottom"/>
    </xf>
    <xf borderId="0" fillId="0" fontId="9" numFmtId="0" xfId="0" applyAlignment="1" applyFont="1">
      <alignment vertical="bottom"/>
    </xf>
    <xf borderId="1" fillId="0" fontId="16" numFmtId="168" xfId="0" applyAlignment="1" applyBorder="1" applyFont="1" applyNumberFormat="1">
      <alignment horizontal="left" vertical="bottom"/>
    </xf>
    <xf borderId="1" fillId="0" fontId="44" numFmtId="0" xfId="0" applyAlignment="1" applyBorder="1" applyFont="1">
      <alignment horizontal="left" vertical="bottom"/>
    </xf>
    <xf borderId="0" fillId="0" fontId="7" numFmtId="0" xfId="0" applyAlignment="1" applyFont="1">
      <alignment readingOrder="0" vertical="bottom"/>
    </xf>
    <xf borderId="0" fillId="0" fontId="7" numFmtId="0" xfId="0" applyAlignment="1" applyFont="1">
      <alignment vertical="bottom"/>
    </xf>
    <xf borderId="0" fillId="0" fontId="8" numFmtId="0" xfId="0" applyAlignment="1" applyFont="1">
      <alignment readingOrder="0" vertical="bottom"/>
    </xf>
    <xf borderId="1" fillId="0" fontId="25" numFmtId="0" xfId="0" applyAlignment="1" applyBorder="1" applyFont="1">
      <alignment horizontal="left" vertical="bottom"/>
    </xf>
    <xf borderId="7" fillId="0" fontId="7" numFmtId="0" xfId="0" applyAlignment="1" applyBorder="1" applyFont="1">
      <alignment vertical="bottom"/>
    </xf>
    <xf borderId="7" fillId="0" fontId="8" numFmtId="0" xfId="0" applyAlignment="1" applyBorder="1" applyFont="1">
      <alignment shrinkToFit="0" vertical="bottom" wrapText="0"/>
    </xf>
    <xf borderId="1" fillId="0" fontId="9" numFmtId="164" xfId="0" applyAlignment="1" applyBorder="1" applyFont="1" applyNumberFormat="1">
      <alignment horizontal="left" vertical="bottom"/>
    </xf>
    <xf borderId="1" fillId="0" fontId="45" numFmtId="0" xfId="0" applyAlignment="1" applyBorder="1" applyFont="1">
      <alignment horizontal="left" vertical="bottom"/>
    </xf>
    <xf borderId="1" fillId="0" fontId="9" numFmtId="11" xfId="0" applyAlignment="1" applyBorder="1" applyFont="1" applyNumberFormat="1">
      <alignment horizontal="left" vertical="bottom"/>
    </xf>
    <xf borderId="1" fillId="0" fontId="46" numFmtId="0" xfId="0" applyAlignment="1" applyBorder="1" applyFont="1">
      <alignment horizontal="left" vertical="bottom"/>
    </xf>
    <xf borderId="1" fillId="0" fontId="7" numFmtId="167" xfId="0" applyAlignment="1" applyBorder="1" applyFont="1" applyNumberFormat="1">
      <alignment horizontal="left" vertical="bottom"/>
    </xf>
    <xf borderId="1" fillId="0" fontId="7" numFmtId="171" xfId="0" applyAlignment="1" applyBorder="1" applyFont="1" applyNumberFormat="1">
      <alignment horizontal="left" vertical="bottom"/>
    </xf>
    <xf borderId="1" fillId="0" fontId="47" numFmtId="0" xfId="0" applyAlignment="1" applyBorder="1" applyFont="1">
      <alignment horizontal="left" vertical="top"/>
    </xf>
    <xf borderId="2" fillId="0" fontId="48" numFmtId="0" xfId="0" applyAlignment="1" applyBorder="1" applyFont="1">
      <alignment horizontal="left" vertical="bottom"/>
    </xf>
    <xf borderId="2" fillId="0" fontId="33" numFmtId="0" xfId="0" applyAlignment="1" applyBorder="1" applyFont="1">
      <alignment horizontal="left" vertical="top"/>
    </xf>
    <xf borderId="3" fillId="0" fontId="49" numFmtId="0" xfId="0" applyAlignment="1" applyBorder="1" applyFont="1">
      <alignment horizontal="left" vertical="top"/>
    </xf>
    <xf borderId="4" fillId="0" fontId="50" numFmtId="0" xfId="0" applyAlignment="1" applyBorder="1" applyFont="1">
      <alignment horizontal="left" vertical="bottom"/>
    </xf>
    <xf borderId="4" fillId="0" fontId="15" numFmtId="0" xfId="0" applyAlignment="1" applyBorder="1" applyFont="1">
      <alignment horizontal="left" vertical="bottom"/>
    </xf>
    <xf borderId="4" fillId="0" fontId="33" numFmtId="0" xfId="0" applyAlignment="1" applyBorder="1" applyFont="1">
      <alignment horizontal="left" vertical="top"/>
    </xf>
    <xf borderId="4" fillId="0" fontId="15" numFmtId="0" xfId="0" applyAlignment="1" applyBorder="1" applyFont="1">
      <alignment horizontal="left" vertical="top"/>
    </xf>
    <xf borderId="4" fillId="0" fontId="51" numFmtId="0" xfId="0" applyAlignment="1" applyBorder="1" applyFont="1">
      <alignment horizontal="left" vertical="top"/>
    </xf>
    <xf borderId="4" fillId="0" fontId="52" numFmtId="0" xfId="0" applyAlignment="1" applyBorder="1" applyFont="1">
      <alignment horizontal="left" vertical="bottom"/>
    </xf>
    <xf borderId="4" fillId="0" fontId="7" numFmtId="0" xfId="0" applyAlignment="1" applyBorder="1" applyFont="1">
      <alignment horizontal="left" vertical="bottom"/>
    </xf>
    <xf borderId="4" fillId="0" fontId="42" numFmtId="0" xfId="0" applyAlignment="1" applyBorder="1" applyFont="1">
      <alignment horizontal="left" vertical="top"/>
    </xf>
    <xf borderId="4" fillId="0" fontId="53" numFmtId="0" xfId="0" applyAlignment="1" applyBorder="1" applyFont="1">
      <alignment horizontal="left" vertical="top"/>
    </xf>
    <xf borderId="0" fillId="0" fontId="7" numFmtId="168" xfId="0" applyAlignment="1" applyFont="1" applyNumberFormat="1">
      <alignment horizontal="left" vertical="bottom"/>
    </xf>
    <xf borderId="0" fillId="0" fontId="54" numFmtId="0" xfId="0" applyAlignment="1" applyFont="1">
      <alignment horizontal="left" vertical="top"/>
    </xf>
    <xf quotePrefix="1" borderId="4" fillId="0" fontId="15" numFmtId="0" xfId="0" applyAlignment="1" applyBorder="1" applyFont="1">
      <alignment horizontal="left" vertical="top"/>
    </xf>
    <xf borderId="4" fillId="0" fontId="7" numFmtId="0" xfId="0" applyAlignment="1" applyBorder="1" applyFont="1">
      <alignment horizontal="left" vertical="top"/>
    </xf>
    <xf borderId="0" fillId="0" fontId="34" numFmtId="0" xfId="0" applyAlignment="1" applyFont="1">
      <alignment horizontal="left" vertical="top"/>
    </xf>
    <xf borderId="3" fillId="0" fontId="34" numFmtId="0" xfId="0" applyAlignment="1" applyBorder="1" applyFont="1">
      <alignment horizontal="left" vertical="top"/>
    </xf>
    <xf borderId="4" fillId="0" fontId="34" numFmtId="0" xfId="0" applyAlignment="1" applyBorder="1" applyFont="1">
      <alignment horizontal="left" vertical="top"/>
    </xf>
    <xf borderId="0" fillId="0" fontId="55" numFmtId="0" xfId="0" applyAlignment="1" applyFont="1">
      <alignment horizontal="left" vertical="top"/>
    </xf>
    <xf borderId="8" fillId="0" fontId="15" numFmtId="0" xfId="0" applyAlignment="1" applyBorder="1" applyFont="1">
      <alignment horizontal="left" vertical="top"/>
    </xf>
    <xf borderId="8" fillId="0" fontId="15" numFmtId="0" xfId="0" applyAlignment="1" applyBorder="1" applyFont="1">
      <alignment horizontal="left" vertical="bottom"/>
    </xf>
    <xf borderId="0" fillId="0" fontId="56" numFmtId="0" xfId="0" applyAlignment="1" applyFont="1">
      <alignment horizontal="left" vertical="top"/>
    </xf>
    <xf borderId="5" fillId="0" fontId="57" numFmtId="0" xfId="0" applyAlignment="1" applyBorder="1" applyFont="1">
      <alignment horizontal="left" vertical="top"/>
    </xf>
    <xf borderId="1" fillId="0" fontId="15" numFmtId="0" xfId="0" applyAlignment="1" applyBorder="1" applyFont="1">
      <alignment vertical="bottom"/>
    </xf>
    <xf borderId="2" fillId="5" fontId="58" numFmtId="0" xfId="0" applyAlignment="1" applyBorder="1" applyFont="1">
      <alignment vertical="bottom"/>
    </xf>
    <xf borderId="2" fillId="5" fontId="59" numFmtId="0" xfId="0" applyAlignment="1" applyBorder="1" applyFont="1">
      <alignment vertical="bottom"/>
    </xf>
    <xf borderId="2" fillId="0" fontId="7" numFmtId="0" xfId="0" applyAlignment="1" applyBorder="1" applyFont="1">
      <alignment vertical="bottom"/>
    </xf>
    <xf borderId="2" fillId="0" fontId="16" numFmtId="0" xfId="0" applyAlignment="1" applyBorder="1" applyFont="1">
      <alignment vertical="bottom"/>
    </xf>
    <xf borderId="3" fillId="0" fontId="15" numFmtId="0" xfId="0" applyAlignment="1" applyBorder="1" applyFont="1">
      <alignment vertical="bottom"/>
    </xf>
    <xf borderId="4" fillId="5" fontId="58" numFmtId="0" xfId="0" applyAlignment="1" applyBorder="1" applyFont="1">
      <alignment vertical="bottom"/>
    </xf>
    <xf borderId="4" fillId="5" fontId="58" numFmtId="0" xfId="0" applyAlignment="1" applyBorder="1" applyFont="1">
      <alignment horizontal="center" vertical="bottom"/>
    </xf>
    <xf borderId="4" fillId="0" fontId="16" numFmtId="0" xfId="0" applyAlignment="1" applyBorder="1" applyFont="1">
      <alignment vertical="bottom"/>
    </xf>
    <xf quotePrefix="1" borderId="4" fillId="5" fontId="58" numFmtId="0" xfId="0" applyAlignment="1" applyBorder="1" applyFont="1">
      <alignment horizontal="center" vertical="bottom"/>
    </xf>
    <xf borderId="4" fillId="0" fontId="60" numFmtId="0" xfId="0" applyAlignment="1" applyBorder="1" applyFont="1">
      <alignment vertical="bottom"/>
    </xf>
    <xf borderId="4" fillId="5" fontId="61" numFmtId="0" xfId="0" applyAlignment="1" applyBorder="1" applyFont="1">
      <alignment vertical="bottom"/>
    </xf>
    <xf borderId="6" fillId="5" fontId="58" numFmtId="0" xfId="0" applyAlignment="1" applyBorder="1" applyFont="1">
      <alignment horizontal="center" vertical="bottom"/>
    </xf>
    <xf borderId="4" fillId="5" fontId="16" numFmtId="0" xfId="0" applyAlignment="1" applyBorder="1" applyFont="1">
      <alignment vertical="bottom"/>
    </xf>
    <xf borderId="4" fillId="0" fontId="7" numFmtId="0" xfId="0" applyAlignment="1" applyBorder="1" applyFont="1">
      <alignment vertical="bottom"/>
    </xf>
    <xf quotePrefix="1" borderId="4" fillId="0" fontId="7" numFmtId="0" xfId="0" applyAlignment="1" applyBorder="1" applyFont="1">
      <alignment vertical="bottom"/>
    </xf>
    <xf borderId="4" fillId="0" fontId="62" numFmtId="0" xfId="0" applyAlignment="1" applyBorder="1" applyFont="1">
      <alignment vertical="bottom"/>
    </xf>
    <xf borderId="4" fillId="0" fontId="8" numFmtId="0" xfId="0" applyAlignment="1" applyBorder="1" applyFont="1">
      <alignment vertical="bottom"/>
    </xf>
    <xf quotePrefix="1" borderId="4" fillId="0" fontId="8" numFmtId="0" xfId="0" applyAlignment="1" applyBorder="1" applyFont="1">
      <alignment horizontal="center" vertical="bottom"/>
    </xf>
    <xf quotePrefix="1" borderId="4" fillId="0" fontId="62" numFmtId="0" xfId="0" applyAlignment="1" applyBorder="1" applyFont="1">
      <alignment horizontal="center" vertical="bottom"/>
    </xf>
    <xf borderId="4" fillId="0" fontId="6" numFmtId="0" xfId="0" applyAlignment="1" applyBorder="1" applyFont="1">
      <alignment vertical="bottom"/>
    </xf>
    <xf quotePrefix="1" borderId="4" fillId="0" fontId="7" numFmtId="0" xfId="0" applyAlignment="1" applyBorder="1" applyFont="1">
      <alignment horizontal="center" vertical="bottom"/>
    </xf>
    <xf borderId="4" fillId="0" fontId="7" numFmtId="0" xfId="0" applyAlignment="1" applyBorder="1" applyFont="1">
      <alignment vertical="bottom"/>
    </xf>
    <xf quotePrefix="1" borderId="4" fillId="0" fontId="6" numFmtId="0" xfId="0" applyAlignment="1" applyBorder="1" applyFont="1">
      <alignment horizontal="center" vertical="bottom"/>
    </xf>
    <xf borderId="4" fillId="0" fontId="15" numFmtId="0" xfId="0" applyAlignment="1" applyBorder="1" applyFont="1">
      <alignment vertical="bottom"/>
    </xf>
    <xf quotePrefix="1" borderId="4" fillId="0" fontId="15" numFmtId="0" xfId="0" applyAlignment="1" applyBorder="1" applyFont="1">
      <alignment horizontal="center" vertical="bottom"/>
    </xf>
    <xf borderId="3" fillId="0" fontId="15" numFmtId="172" xfId="0" applyAlignment="1" applyBorder="1" applyFont="1" applyNumberFormat="1">
      <alignment horizontal="right" vertical="bottom"/>
    </xf>
    <xf quotePrefix="1" borderId="4" fillId="0" fontId="7" numFmtId="0" xfId="0" applyAlignment="1" applyBorder="1" applyFont="1">
      <alignment horizontal="center" vertical="bottom"/>
    </xf>
    <xf borderId="4" fillId="0" fontId="7" numFmtId="0" xfId="0" applyAlignment="1" applyBorder="1" applyFont="1">
      <alignment horizontal="center" vertical="bottom"/>
    </xf>
    <xf borderId="5" fillId="0" fontId="7" numFmtId="0" xfId="0" applyAlignment="1" applyBorder="1" applyFont="1">
      <alignment vertical="bottom"/>
    </xf>
    <xf borderId="4" fillId="5" fontId="15" numFmtId="0" xfId="0" applyAlignment="1" applyBorder="1" applyFont="1">
      <alignment vertical="bottom"/>
    </xf>
    <xf borderId="4" fillId="0" fontId="6" numFmtId="0" xfId="0" applyAlignment="1" applyBorder="1" applyFont="1">
      <alignment horizontal="left" vertical="bottom"/>
    </xf>
    <xf borderId="4" fillId="9" fontId="7" numFmtId="0" xfId="0" applyAlignment="1" applyBorder="1" applyFill="1" applyFont="1">
      <alignment vertical="bottom"/>
    </xf>
    <xf borderId="0" fillId="0" fontId="7" numFmtId="0" xfId="0" applyAlignment="1" applyFont="1">
      <alignment vertical="bottom"/>
    </xf>
    <xf borderId="0" fillId="0" fontId="15" numFmtId="0" xfId="0" applyAlignment="1" applyFont="1">
      <alignment horizontal="left" vertical="top"/>
    </xf>
    <xf borderId="0" fillId="0" fontId="33" numFmtId="0" xfId="0" applyAlignment="1" applyFont="1">
      <alignment horizontal="left" vertical="top"/>
    </xf>
    <xf borderId="1" fillId="10" fontId="63" numFmtId="0" xfId="0" applyAlignment="1" applyBorder="1" applyFill="1" applyFont="1">
      <alignment horizontal="center" readingOrder="0" shrinkToFit="0" vertical="center" wrapText="0"/>
    </xf>
    <xf borderId="1" fillId="10" fontId="64" numFmtId="0" xfId="0" applyAlignment="1" applyBorder="1" applyFont="1">
      <alignment horizontal="center" readingOrder="0" shrinkToFit="0" vertical="center" wrapText="1"/>
    </xf>
    <xf borderId="1" fillId="0" fontId="65" numFmtId="0" xfId="0" applyAlignment="1" applyBorder="1" applyFont="1">
      <alignment horizontal="center" shrinkToFit="0" vertical="center" wrapText="0"/>
    </xf>
    <xf borderId="1" fillId="0" fontId="66" numFmtId="0" xfId="0" applyAlignment="1" applyBorder="1" applyFont="1">
      <alignment horizontal="center" readingOrder="0" vertical="center"/>
    </xf>
    <xf borderId="1" fillId="0" fontId="66" numFmtId="0" xfId="0" applyAlignment="1" applyBorder="1" applyFont="1">
      <alignment horizontal="center" vertical="center"/>
    </xf>
    <xf borderId="1" fillId="0" fontId="66" numFmtId="0" xfId="0" applyAlignment="1" applyBorder="1" applyFont="1">
      <alignment horizontal="center" readingOrder="0" shrinkToFit="0" vertical="center" wrapText="1"/>
    </xf>
    <xf borderId="1" fillId="0" fontId="67" numFmtId="0" xfId="0" applyAlignment="1" applyBorder="1" applyFont="1">
      <alignment horizontal="center" vertical="center"/>
    </xf>
    <xf borderId="1" fillId="5" fontId="66" numFmtId="0" xfId="0" applyAlignment="1" applyBorder="1" applyFont="1">
      <alignment horizontal="center" readingOrder="0" vertical="center"/>
    </xf>
    <xf borderId="1" fillId="5" fontId="68" numFmtId="0" xfId="0" applyAlignment="1" applyBorder="1" applyFont="1">
      <alignment horizontal="center" readingOrder="0" vertical="center"/>
    </xf>
    <xf borderId="1" fillId="11" fontId="66" numFmtId="0" xfId="0" applyAlignment="1" applyBorder="1" applyFill="1" applyFont="1">
      <alignment horizontal="center" readingOrder="0" vertical="center"/>
    </xf>
    <xf borderId="1" fillId="11" fontId="66" numFmtId="0" xfId="0" applyAlignment="1" applyBorder="1" applyFont="1">
      <alignment horizontal="center" readingOrder="0" shrinkToFit="0" vertical="center" wrapText="1"/>
    </xf>
    <xf borderId="1" fillId="5" fontId="68" numFmtId="0" xfId="0" applyAlignment="1" applyBorder="1" applyFont="1">
      <alignment horizontal="center" readingOrder="0" shrinkToFit="0" vertical="center" wrapText="1"/>
    </xf>
    <xf borderId="1" fillId="0" fontId="69" numFmtId="0" xfId="0" applyAlignment="1" applyBorder="1" applyFont="1">
      <alignment horizontal="center" vertical="center"/>
    </xf>
    <xf borderId="1" fillId="0" fontId="66" numFmtId="0" xfId="0" applyAlignment="1" applyBorder="1" applyFont="1">
      <alignment horizontal="center" vertical="center"/>
    </xf>
    <xf borderId="1" fillId="0" fontId="66" numFmtId="0" xfId="0" applyAlignment="1" applyBorder="1" applyFont="1">
      <alignment horizontal="center" shrinkToFit="0" vertical="center" wrapText="1"/>
    </xf>
    <xf borderId="1" fillId="0" fontId="68" numFmtId="0" xfId="0" applyAlignment="1" applyBorder="1" applyFont="1">
      <alignment horizontal="center" readingOrder="0" vertical="center"/>
    </xf>
    <xf borderId="1" fillId="0" fontId="68" numFmtId="0" xfId="0" applyAlignment="1" applyBorder="1" applyFont="1">
      <alignment horizontal="center" readingOrder="0" shrinkToFit="0" vertical="center" wrapText="1"/>
    </xf>
    <xf borderId="1" fillId="11" fontId="66" numFmtId="0" xfId="0" applyAlignment="1" applyBorder="1" applyFont="1">
      <alignment horizontal="center" vertical="center"/>
    </xf>
    <xf borderId="1" fillId="11" fontId="68" numFmtId="0" xfId="0" applyAlignment="1" applyBorder="1" applyFont="1">
      <alignment horizontal="center" readingOrder="0" shrinkToFit="0" vertical="center" wrapText="1"/>
    </xf>
    <xf quotePrefix="1" borderId="1" fillId="0" fontId="66" numFmtId="0" xfId="0" applyAlignment="1" applyBorder="1" applyFont="1">
      <alignment horizontal="center" vertical="center"/>
    </xf>
    <xf borderId="1" fillId="5" fontId="66" numFmtId="0" xfId="0" applyAlignment="1" applyBorder="1" applyFont="1">
      <alignment horizontal="center" vertical="center"/>
    </xf>
    <xf borderId="1" fillId="5" fontId="69" numFmtId="0" xfId="0" applyAlignment="1" applyBorder="1" applyFont="1">
      <alignment horizontal="center" vertical="center"/>
    </xf>
    <xf quotePrefix="1" borderId="1" fillId="5" fontId="69" numFmtId="0" xfId="0" applyAlignment="1" applyBorder="1" applyFont="1">
      <alignment horizontal="center" vertical="center"/>
    </xf>
    <xf borderId="1" fillId="0" fontId="68" numFmtId="173" xfId="0" applyAlignment="1" applyBorder="1" applyFont="1" applyNumberFormat="1">
      <alignment horizontal="center" vertical="center"/>
    </xf>
    <xf borderId="1" fillId="0" fontId="70" numFmtId="0" xfId="0" applyAlignment="1" applyBorder="1" applyFont="1">
      <alignment horizontal="center" vertical="center"/>
    </xf>
    <xf borderId="1" fillId="0" fontId="68" numFmtId="0" xfId="0" applyAlignment="1" applyBorder="1" applyFont="1">
      <alignment horizontal="center" vertical="center"/>
    </xf>
    <xf borderId="1" fillId="0" fontId="71" numFmtId="0" xfId="0" applyAlignment="1" applyBorder="1" applyFont="1">
      <alignment horizontal="center" vertical="center"/>
    </xf>
    <xf quotePrefix="1" borderId="1" fillId="0" fontId="71" numFmtId="0" xfId="0" applyAlignment="1" applyBorder="1" applyFont="1">
      <alignment horizontal="center" vertical="center"/>
    </xf>
    <xf borderId="1" fillId="5" fontId="68" numFmtId="0" xfId="0" applyAlignment="1" applyBorder="1" applyFont="1">
      <alignment horizontal="center" shrinkToFit="0" vertical="center" wrapText="1"/>
    </xf>
    <xf borderId="1" fillId="0" fontId="66" numFmtId="173" xfId="0" applyAlignment="1" applyBorder="1" applyFont="1" applyNumberFormat="1">
      <alignment horizontal="center" vertical="center"/>
    </xf>
    <xf borderId="1" fillId="0" fontId="66" numFmtId="174" xfId="0" applyAlignment="1" applyBorder="1" applyFont="1" applyNumberFormat="1">
      <alignment horizontal="center" vertical="center"/>
    </xf>
    <xf borderId="1" fillId="0" fontId="66" numFmtId="175" xfId="0" applyAlignment="1" applyBorder="1" applyFont="1" applyNumberFormat="1">
      <alignment horizontal="center" vertical="center"/>
    </xf>
    <xf borderId="1" fillId="0" fontId="72" numFmtId="0" xfId="0" applyAlignment="1" applyBorder="1" applyFont="1">
      <alignment horizontal="center" vertical="center"/>
    </xf>
    <xf borderId="1" fillId="0" fontId="66" numFmtId="175" xfId="0" applyAlignment="1" applyBorder="1" applyFont="1" applyNumberFormat="1">
      <alignment horizontal="center" readingOrder="0" vertical="center"/>
    </xf>
    <xf borderId="1" fillId="0" fontId="66" numFmtId="164" xfId="0" applyAlignment="1" applyBorder="1" applyFont="1" applyNumberFormat="1">
      <alignment horizontal="center" vertical="center"/>
    </xf>
    <xf borderId="1" fillId="0" fontId="68" numFmtId="0" xfId="0" applyAlignment="1" applyBorder="1" applyFont="1">
      <alignment horizontal="center" shrinkToFit="0" vertical="center" wrapText="1"/>
    </xf>
    <xf borderId="1" fillId="0" fontId="66" numFmtId="0" xfId="0" applyAlignment="1" applyBorder="1" applyFont="1">
      <alignment horizontal="center" shrinkToFit="0" vertical="center" wrapText="0"/>
    </xf>
    <xf borderId="1" fillId="5" fontId="66" numFmtId="0" xfId="0" applyAlignment="1" applyBorder="1" applyFont="1">
      <alignment horizontal="center" readingOrder="0" shrinkToFit="0" vertical="center" wrapText="0"/>
    </xf>
    <xf borderId="1" fillId="11" fontId="66" numFmtId="0" xfId="0" applyAlignment="1" applyBorder="1" applyFont="1">
      <alignment horizontal="center" readingOrder="0" shrinkToFit="0" vertical="center" wrapText="0"/>
    </xf>
    <xf borderId="1" fillId="0" fontId="66" numFmtId="176" xfId="0" applyAlignment="1" applyBorder="1" applyFont="1" applyNumberFormat="1">
      <alignment horizontal="center" vertical="center"/>
    </xf>
    <xf borderId="1" fillId="5" fontId="73" numFmtId="0" xfId="0" applyAlignment="1" applyBorder="1" applyFont="1">
      <alignment horizontal="center" vertical="center"/>
    </xf>
    <xf borderId="1" fillId="0" fontId="68" numFmtId="170" xfId="0" applyAlignment="1" applyBorder="1" applyFont="1" applyNumberFormat="1">
      <alignment horizontal="center" vertical="center"/>
    </xf>
    <xf borderId="1" fillId="0" fontId="66" numFmtId="170" xfId="0" applyAlignment="1" applyBorder="1" applyFont="1" applyNumberFormat="1">
      <alignment horizontal="center" vertical="center"/>
    </xf>
    <xf borderId="1" fillId="0" fontId="74" numFmtId="0" xfId="0" applyAlignment="1" applyBorder="1" applyFont="1">
      <alignment horizontal="center" vertical="center"/>
    </xf>
    <xf borderId="1" fillId="0" fontId="75" numFmtId="0" xfId="0" applyAlignment="1" applyBorder="1" applyFont="1">
      <alignment horizontal="center" vertical="center"/>
    </xf>
    <xf borderId="1" fillId="0" fontId="76" numFmtId="0" xfId="0" applyAlignment="1" applyBorder="1" applyFont="1">
      <alignment horizontal="center" vertical="center"/>
    </xf>
    <xf borderId="1" fillId="0" fontId="66" numFmtId="170" xfId="0" applyAlignment="1" applyBorder="1" applyFont="1" applyNumberFormat="1">
      <alignment horizontal="center" shrinkToFit="0" vertical="center" wrapText="0"/>
    </xf>
    <xf borderId="1" fillId="5" fontId="77" numFmtId="0" xfId="0" applyAlignment="1" applyBorder="1" applyFont="1">
      <alignment horizontal="center" vertical="center"/>
    </xf>
    <xf quotePrefix="1" borderId="1" fillId="0" fontId="66" numFmtId="0" xfId="0" applyAlignment="1" applyBorder="1" applyFont="1">
      <alignment horizontal="center" shrinkToFit="0" vertical="center" wrapText="1"/>
    </xf>
    <xf borderId="1" fillId="0" fontId="66" numFmtId="177" xfId="0" applyAlignment="1" applyBorder="1" applyFont="1" applyNumberFormat="1">
      <alignment horizontal="center" vertical="center"/>
    </xf>
    <xf borderId="1" fillId="0" fontId="66" numFmtId="0" xfId="0" applyAlignment="1" applyBorder="1" applyFont="1">
      <alignment horizontal="center" shrinkToFit="0" vertical="center" wrapText="0"/>
    </xf>
    <xf borderId="1" fillId="5" fontId="69" numFmtId="0" xfId="0" applyAlignment="1" applyBorder="1" applyFont="1">
      <alignment horizontal="center" shrinkToFit="0" vertical="center" wrapText="1"/>
    </xf>
    <xf borderId="1" fillId="0" fontId="66" numFmtId="178" xfId="0" applyAlignment="1" applyBorder="1" applyFont="1" applyNumberFormat="1">
      <alignment horizontal="center" vertical="center"/>
    </xf>
    <xf quotePrefix="1" borderId="1" fillId="0" fontId="68" numFmtId="0" xfId="0" applyAlignment="1" applyBorder="1" applyFont="1">
      <alignment horizontal="center" vertical="center"/>
    </xf>
    <xf quotePrefix="1" borderId="1" fillId="0" fontId="66" numFmtId="0" xfId="0" applyAlignment="1" applyBorder="1" applyFont="1">
      <alignment horizontal="center" vertical="center"/>
    </xf>
    <xf borderId="1" fillId="0" fontId="66" numFmtId="177" xfId="0" applyAlignment="1" applyBorder="1" applyFont="1" applyNumberFormat="1">
      <alignment horizontal="center" readingOrder="0" vertical="center"/>
    </xf>
    <xf borderId="1" fillId="12" fontId="66" numFmtId="0" xfId="0" applyAlignment="1" applyBorder="1" applyFill="1" applyFont="1">
      <alignment horizontal="center" readingOrder="0" shrinkToFit="0" vertical="center" wrapText="1"/>
    </xf>
    <xf borderId="1" fillId="12" fontId="66" numFmtId="0" xfId="0" applyAlignment="1" applyBorder="1" applyFont="1">
      <alignment horizontal="center" readingOrder="0" vertical="center"/>
    </xf>
    <xf borderId="1" fillId="0" fontId="66" numFmtId="49" xfId="0" applyAlignment="1" applyBorder="1" applyFont="1" applyNumberFormat="1">
      <alignment horizontal="center" vertical="center"/>
    </xf>
    <xf borderId="1" fillId="0" fontId="66" numFmtId="177" xfId="0" applyAlignment="1" applyBorder="1" applyFont="1" applyNumberFormat="1">
      <alignment horizontal="center" shrinkToFit="0" vertical="center" wrapText="1"/>
    </xf>
    <xf borderId="1" fillId="0" fontId="67" numFmtId="0" xfId="0" applyAlignment="1" applyBorder="1" applyFont="1">
      <alignment horizontal="center" shrinkToFit="0" vertical="center" wrapText="1"/>
    </xf>
    <xf quotePrefix="1" borderId="1" fillId="0" fontId="68" numFmtId="0" xfId="0" applyAlignment="1" applyBorder="1" applyFont="1">
      <alignment horizontal="center" shrinkToFit="0" vertical="center" wrapText="1"/>
    </xf>
    <xf borderId="1" fillId="11" fontId="78" numFmtId="0" xfId="0" applyAlignment="1" applyBorder="1" applyFont="1">
      <alignment horizontal="center" readingOrder="0" shrinkToFit="0" vertical="center" wrapText="1"/>
    </xf>
    <xf borderId="1" fillId="13" fontId="66" numFmtId="0" xfId="0" applyAlignment="1" applyBorder="1" applyFill="1" applyFont="1">
      <alignment horizontal="center" shrinkToFit="0" vertical="center" wrapText="1"/>
    </xf>
    <xf borderId="1" fillId="5" fontId="68" numFmtId="177" xfId="0" applyAlignment="1" applyBorder="1" applyFont="1" applyNumberFormat="1">
      <alignment horizontal="center" readingOrder="0" shrinkToFit="0" wrapText="1"/>
    </xf>
    <xf borderId="1" fillId="5" fontId="66" numFmtId="0" xfId="0" applyAlignment="1" applyBorder="1" applyFont="1">
      <alignment horizontal="center" readingOrder="0" shrinkToFit="0" wrapText="1"/>
    </xf>
    <xf borderId="1" fillId="5" fontId="66" numFmtId="0" xfId="0" applyAlignment="1" applyBorder="1" applyFont="1">
      <alignment horizontal="center" shrinkToFit="0" wrapText="1"/>
    </xf>
    <xf borderId="1" fillId="5" fontId="66" numFmtId="0" xfId="0" applyAlignment="1" applyBorder="1" applyFont="1">
      <alignment horizontal="center" shrinkToFit="0" vertical="center" wrapText="1"/>
    </xf>
    <xf borderId="1" fillId="5" fontId="67" numFmtId="0" xfId="0" applyAlignment="1" applyBorder="1" applyFont="1">
      <alignment horizontal="center" vertical="center"/>
    </xf>
    <xf borderId="1" fillId="0" fontId="67" numFmtId="0" xfId="0" applyAlignment="1" applyBorder="1" applyFont="1">
      <alignment horizontal="center"/>
    </xf>
    <xf borderId="1" fillId="0" fontId="79" numFmtId="0" xfId="0" applyAlignment="1" applyBorder="1" applyFont="1">
      <alignment horizontal="center" shrinkToFit="0" vertical="center" wrapText="1"/>
    </xf>
    <xf borderId="1" fillId="0" fontId="68" numFmtId="177" xfId="0" applyAlignment="1" applyBorder="1" applyFont="1" applyNumberFormat="1">
      <alignment horizontal="center" readingOrder="0" shrinkToFit="0" vertical="center" wrapText="1"/>
    </xf>
    <xf borderId="1" fillId="0" fontId="66" numFmtId="0" xfId="0" applyAlignment="1" applyBorder="1" applyFont="1">
      <alignment horizontal="center" readingOrder="0" shrinkToFit="0" vertical="center" wrapText="1"/>
    </xf>
    <xf borderId="1" fillId="5" fontId="68" numFmtId="175" xfId="0" applyAlignment="1" applyBorder="1" applyFont="1" applyNumberFormat="1">
      <alignment horizontal="center" readingOrder="0" shrinkToFit="0" wrapText="1"/>
    </xf>
    <xf borderId="1" fillId="5" fontId="66" numFmtId="0" xfId="0" applyAlignment="1" applyBorder="1" applyFont="1">
      <alignment horizontal="center" readingOrder="0" shrinkToFit="0" vertical="center" wrapText="1"/>
    </xf>
    <xf borderId="1" fillId="5" fontId="68" numFmtId="177" xfId="0" applyAlignment="1" applyBorder="1" applyFont="1" applyNumberFormat="1">
      <alignment horizontal="center" readingOrder="0" vertical="center"/>
    </xf>
    <xf borderId="1" fillId="5" fontId="68" numFmtId="0" xfId="0" applyAlignment="1" applyBorder="1" applyFont="1">
      <alignment horizontal="center" readingOrder="0"/>
    </xf>
    <xf borderId="1" fillId="5" fontId="79" numFmtId="0" xfId="0" applyAlignment="1" applyBorder="1" applyFont="1">
      <alignment horizontal="center" readingOrder="0" vertical="center"/>
    </xf>
    <xf borderId="1" fillId="5" fontId="79" numFmtId="0" xfId="0" applyAlignment="1" applyBorder="1" applyFont="1">
      <alignment horizontal="center" vertical="center"/>
    </xf>
    <xf borderId="1" fillId="5" fontId="79" numFmtId="0" xfId="0" applyAlignment="1" applyBorder="1" applyFont="1">
      <alignment horizontal="center"/>
    </xf>
    <xf borderId="1" fillId="5" fontId="66" numFmtId="0" xfId="0" applyAlignment="1" applyBorder="1" applyFont="1">
      <alignment horizontal="center" readingOrder="0"/>
    </xf>
    <xf borderId="1" fillId="5" fontId="68" numFmtId="0" xfId="0" applyAlignment="1" applyBorder="1" applyFont="1">
      <alignment horizontal="center" readingOrder="0" shrinkToFit="0" wrapText="1"/>
    </xf>
    <xf borderId="1" fillId="5" fontId="67" numFmtId="0" xfId="0" applyAlignment="1" applyBorder="1" applyFont="1">
      <alignment horizontal="center" readingOrder="0" shrinkToFit="0" wrapText="1"/>
    </xf>
    <xf borderId="1" fillId="5" fontId="79" numFmtId="0" xfId="0" applyAlignment="1" applyBorder="1" applyFont="1">
      <alignment horizontal="center" readingOrder="0" shrinkToFit="0" wrapText="1"/>
    </xf>
    <xf borderId="1" fillId="5" fontId="66" numFmtId="0" xfId="0" applyAlignment="1" applyBorder="1" applyFont="1">
      <alignment horizontal="center"/>
    </xf>
    <xf borderId="1" fillId="5" fontId="68" numFmtId="177" xfId="0" applyAlignment="1" applyBorder="1" applyFont="1" applyNumberFormat="1">
      <alignment horizontal="center" readingOrder="0" shrinkToFit="0" vertical="bottom" wrapText="1"/>
    </xf>
    <xf quotePrefix="1" borderId="1" fillId="5" fontId="68" numFmtId="0" xfId="0" applyAlignment="1" applyBorder="1" applyFont="1">
      <alignment horizontal="center" readingOrder="0" shrinkToFit="0" vertical="center" wrapText="1"/>
    </xf>
    <xf borderId="1" fillId="5" fontId="67" numFmtId="0" xfId="0" applyAlignment="1" applyBorder="1" applyFont="1">
      <alignment horizontal="center"/>
    </xf>
    <xf borderId="1" fillId="5" fontId="66" numFmtId="167" xfId="0" applyAlignment="1" applyBorder="1" applyFont="1" applyNumberFormat="1">
      <alignment horizontal="center"/>
    </xf>
    <xf borderId="1" fillId="5" fontId="66" numFmtId="0" xfId="0" applyAlignment="1" applyBorder="1" applyFont="1">
      <alignment horizontal="center" vertical="bottom"/>
    </xf>
    <xf borderId="1" fillId="5" fontId="67" numFmtId="0" xfId="0" applyAlignment="1" applyBorder="1" applyFont="1">
      <alignment horizontal="center" vertical="bottom"/>
    </xf>
    <xf borderId="1" fillId="5" fontId="66" numFmtId="167" xfId="0" applyAlignment="1" applyBorder="1" applyFont="1" applyNumberFormat="1">
      <alignment horizontal="center" vertical="bottom"/>
    </xf>
    <xf quotePrefix="1" borderId="1" fillId="5" fontId="66" numFmtId="0" xfId="0" applyAlignment="1" applyBorder="1" applyFont="1">
      <alignment horizontal="center" vertical="bottom"/>
    </xf>
    <xf borderId="1" fillId="5" fontId="66" numFmtId="0" xfId="0" applyAlignment="1" applyBorder="1" applyFont="1">
      <alignment horizontal="center" shrinkToFit="0" vertical="bottom" wrapText="1"/>
    </xf>
    <xf borderId="1" fillId="5" fontId="68" numFmtId="0" xfId="0" applyAlignment="1" applyBorder="1" applyFont="1">
      <alignment horizontal="center" vertical="bottom"/>
    </xf>
    <xf borderId="1" fillId="5" fontId="68" numFmtId="170" xfId="0" applyAlignment="1" applyBorder="1" applyFont="1" applyNumberFormat="1">
      <alignment horizontal="center" vertical="bottom"/>
    </xf>
    <xf borderId="1" fillId="5" fontId="68" numFmtId="0" xfId="0" applyAlignment="1" applyBorder="1" applyFont="1">
      <alignment horizontal="center" shrinkToFit="0" vertical="bottom" wrapText="1"/>
    </xf>
    <xf borderId="1" fillId="5" fontId="68" numFmtId="0" xfId="0" applyAlignment="1" applyBorder="1" applyFont="1">
      <alignment horizontal="center" shrinkToFit="0" wrapText="1"/>
    </xf>
    <xf borderId="1" fillId="5" fontId="79" numFmtId="0" xfId="0" applyAlignment="1" applyBorder="1" applyFont="1">
      <alignment horizontal="center" vertical="bottom"/>
    </xf>
    <xf borderId="1" fillId="5" fontId="68" numFmtId="0" xfId="0" applyAlignment="1" applyBorder="1" applyFont="1">
      <alignment horizontal="center"/>
    </xf>
    <xf borderId="1" fillId="0" fontId="66" numFmtId="0" xfId="0" applyAlignment="1" applyBorder="1" applyFont="1">
      <alignment horizontal="center" vertical="bottom"/>
    </xf>
    <xf borderId="1" fillId="0" fontId="66" numFmtId="0" xfId="0" applyAlignment="1" applyBorder="1" applyFont="1">
      <alignment horizontal="center"/>
    </xf>
    <xf borderId="1" fillId="0" fontId="66" numFmtId="0" xfId="0" applyAlignment="1" applyBorder="1" applyFont="1">
      <alignment horizontal="center" shrinkToFit="0" vertical="bottom" wrapText="1"/>
    </xf>
    <xf borderId="1" fillId="0" fontId="67" numFmtId="0" xfId="0" applyAlignment="1" applyBorder="1" applyFont="1">
      <alignment horizontal="center" vertical="bottom"/>
    </xf>
    <xf borderId="1" fillId="0" fontId="66" numFmtId="167" xfId="0" applyAlignment="1" applyBorder="1" applyFont="1" applyNumberFormat="1">
      <alignment horizontal="center" readingOrder="0"/>
    </xf>
    <xf borderId="1" fillId="0" fontId="66" numFmtId="0" xfId="0" applyAlignment="1" applyBorder="1" applyFont="1">
      <alignment horizontal="center" readingOrder="0"/>
    </xf>
    <xf borderId="1" fillId="0" fontId="68" numFmtId="0" xfId="0" applyAlignment="1" applyBorder="1" applyFont="1">
      <alignment horizontal="center"/>
    </xf>
    <xf borderId="1" fillId="0" fontId="66" numFmtId="0" xfId="0" applyAlignment="1" applyBorder="1" applyFont="1">
      <alignment horizontal="center" readingOrder="0" shrinkToFit="0" wrapText="1"/>
    </xf>
    <xf quotePrefix="1" borderId="1" fillId="0" fontId="66" numFmtId="0" xfId="0" applyAlignment="1" applyBorder="1" applyFont="1">
      <alignment horizontal="center"/>
    </xf>
    <xf quotePrefix="1" borderId="1" fillId="0" fontId="68" numFmtId="0" xfId="0" applyAlignment="1" applyBorder="1" applyFont="1">
      <alignment horizontal="center" shrinkToFit="0" wrapText="1"/>
    </xf>
    <xf borderId="1" fillId="0" fontId="66" numFmtId="0" xfId="0" applyAlignment="1" applyBorder="1" applyFont="1">
      <alignment horizontal="center" shrinkToFit="0" wrapText="1"/>
    </xf>
    <xf borderId="1" fillId="0" fontId="66" numFmtId="49" xfId="0" applyAlignment="1" applyBorder="1" applyFont="1" applyNumberFormat="1">
      <alignment horizontal="center"/>
    </xf>
    <xf borderId="1" fillId="0" fontId="67" numFmtId="49" xfId="0" applyAlignment="1" applyBorder="1" applyFont="1" applyNumberFormat="1">
      <alignment horizontal="center"/>
    </xf>
    <xf borderId="1" fillId="14" fontId="66" numFmtId="167" xfId="0" applyAlignment="1" applyBorder="1" applyFill="1" applyFont="1" applyNumberFormat="1">
      <alignment horizontal="center" readingOrder="0"/>
    </xf>
    <xf borderId="1" fillId="14" fontId="66" numFmtId="0" xfId="0" applyAlignment="1" applyBorder="1" applyFont="1">
      <alignment horizontal="center" vertical="center"/>
    </xf>
    <xf borderId="1" fillId="14" fontId="66" numFmtId="0" xfId="0" applyAlignment="1" applyBorder="1" applyFont="1">
      <alignment horizontal="center" readingOrder="0" shrinkToFit="0" vertical="center" wrapText="1"/>
    </xf>
    <xf borderId="1" fillId="0" fontId="66" numFmtId="49" xfId="0" applyAlignment="1" applyBorder="1" applyFont="1" applyNumberFormat="1">
      <alignment horizontal="center" vertical="bottom"/>
    </xf>
    <xf borderId="1" fillId="0" fontId="66" numFmtId="167" xfId="0" applyAlignment="1" applyBorder="1" applyFont="1" applyNumberFormat="1">
      <alignment horizontal="center"/>
    </xf>
    <xf borderId="1" fillId="0" fontId="80" numFmtId="167" xfId="0" applyAlignment="1" applyBorder="1" applyFont="1" applyNumberFormat="1">
      <alignment horizontal="center"/>
    </xf>
    <xf borderId="1" fillId="0" fontId="80" numFmtId="0" xfId="0" applyAlignment="1" applyBorder="1" applyFont="1">
      <alignment horizontal="center"/>
    </xf>
    <xf quotePrefix="1" borderId="1" fillId="0" fontId="80" numFmtId="0" xfId="0" applyAlignment="1" applyBorder="1" applyFont="1">
      <alignment horizontal="center"/>
    </xf>
    <xf borderId="1" fillId="0" fontId="80" numFmtId="0" xfId="0" applyAlignment="1" applyBorder="1" applyFont="1">
      <alignment horizontal="center" readingOrder="0" shrinkToFit="0" wrapText="1"/>
    </xf>
    <xf borderId="1" fillId="0" fontId="80" numFmtId="0" xfId="0" applyAlignment="1" applyBorder="1" applyFont="1">
      <alignment horizontal="center" vertical="center"/>
    </xf>
    <xf borderId="1" fillId="0" fontId="81" numFmtId="0" xfId="0" applyAlignment="1" applyBorder="1" applyFont="1">
      <alignment horizontal="center" vertical="center"/>
    </xf>
    <xf borderId="1" fillId="0" fontId="82" numFmtId="167" xfId="0" applyAlignment="1" applyBorder="1" applyFont="1" applyNumberFormat="1">
      <alignment horizontal="center"/>
    </xf>
    <xf borderId="1" fillId="0" fontId="82" numFmtId="0" xfId="0" applyAlignment="1" applyBorder="1" applyFont="1">
      <alignment horizontal="center"/>
    </xf>
    <xf borderId="1" fillId="0" fontId="82" numFmtId="0" xfId="0" applyAlignment="1" applyBorder="1" applyFont="1">
      <alignment horizontal="center" readingOrder="0" shrinkToFit="0" wrapText="1"/>
    </xf>
    <xf borderId="1" fillId="0" fontId="82" numFmtId="0" xfId="0" applyBorder="1" applyFont="1"/>
    <xf borderId="1" fillId="0" fontId="83" numFmtId="167" xfId="0" applyAlignment="1" applyBorder="1" applyFont="1" applyNumberFormat="1">
      <alignment horizontal="center"/>
    </xf>
    <xf borderId="1" fillId="0" fontId="83" numFmtId="0" xfId="0" applyAlignment="1" applyBorder="1" applyFont="1">
      <alignment horizontal="center"/>
    </xf>
    <xf quotePrefix="1" borderId="1" fillId="0" fontId="83" numFmtId="0" xfId="0" applyAlignment="1" applyBorder="1" applyFont="1">
      <alignment horizontal="center"/>
    </xf>
    <xf borderId="1" fillId="0" fontId="83" numFmtId="0" xfId="0" applyAlignment="1" applyBorder="1" applyFont="1">
      <alignment horizontal="center" readingOrder="0" shrinkToFit="0" wrapText="1"/>
    </xf>
    <xf borderId="1" fillId="0" fontId="83" numFmtId="0" xfId="0" applyAlignment="1" applyBorder="1" applyFont="1">
      <alignment horizontal="center" shrinkToFit="0" wrapText="1"/>
    </xf>
    <xf borderId="1" fillId="0" fontId="14" numFmtId="0" xfId="0" applyBorder="1" applyFont="1"/>
    <xf borderId="1" fillId="0" fontId="84" numFmtId="0" xfId="0" applyAlignment="1" applyBorder="1" applyFont="1">
      <alignment horizontal="center" vertical="center"/>
    </xf>
    <xf borderId="1" fillId="0" fontId="83" numFmtId="167" xfId="0" applyAlignment="1" applyBorder="1" applyFont="1" applyNumberFormat="1">
      <alignment horizontal="center" readingOrder="0"/>
    </xf>
    <xf borderId="1" fillId="0" fontId="85" numFmtId="167" xfId="0" applyAlignment="1" applyBorder="1" applyFont="1" applyNumberFormat="1">
      <alignment horizontal="center"/>
    </xf>
    <xf borderId="1" fillId="0" fontId="85" numFmtId="0" xfId="0" applyAlignment="1" applyBorder="1" applyFont="1">
      <alignment horizontal="center" shrinkToFit="0" wrapText="1"/>
    </xf>
    <xf borderId="0" fillId="0" fontId="83" numFmtId="0" xfId="0" applyFont="1"/>
    <xf borderId="1" fillId="0" fontId="86" numFmtId="0" xfId="0" applyAlignment="1" applyBorder="1" applyFont="1">
      <alignment horizontal="center" vertical="center"/>
    </xf>
    <xf borderId="1" fillId="0" fontId="83" numFmtId="49" xfId="0" applyAlignment="1" applyBorder="1" applyFont="1" applyNumberFormat="1">
      <alignment horizontal="center"/>
    </xf>
    <xf borderId="1" fillId="0" fontId="83" numFmtId="0" xfId="0" applyAlignment="1" applyBorder="1" applyFont="1">
      <alignment horizontal="center" vertical="bottom"/>
    </xf>
    <xf borderId="1" fillId="0" fontId="83" numFmtId="0" xfId="0" applyAlignment="1" applyBorder="1" applyFont="1">
      <alignment horizontal="center" readingOrder="0" shrinkToFit="0" vertical="bottom" wrapText="1"/>
    </xf>
    <xf borderId="1" fillId="0" fontId="87" numFmtId="0" xfId="0" applyAlignment="1" applyBorder="1" applyFont="1">
      <alignment horizontal="center"/>
    </xf>
    <xf borderId="1" fillId="0" fontId="45" numFmtId="0" xfId="0" applyAlignment="1" applyBorder="1" applyFont="1">
      <alignment horizontal="center"/>
    </xf>
    <xf borderId="1" fillId="0" fontId="45" numFmtId="49" xfId="0" applyAlignment="1" applyBorder="1" applyFont="1" applyNumberFormat="1">
      <alignment horizontal="center"/>
    </xf>
    <xf borderId="1" fillId="0" fontId="45" numFmtId="0" xfId="0" applyAlignment="1" applyBorder="1" applyFont="1">
      <alignment horizontal="center" readingOrder="0" shrinkToFit="0" wrapText="1"/>
    </xf>
    <xf borderId="1" fillId="0" fontId="45" numFmtId="0" xfId="0" applyBorder="1" applyFont="1"/>
    <xf borderId="1" fillId="0" fontId="7" numFmtId="0" xfId="0" applyAlignment="1" applyBorder="1" applyFont="1">
      <alignment horizontal="center" shrinkToFit="0" wrapText="1"/>
    </xf>
    <xf borderId="1" fillId="0" fontId="88" numFmtId="167" xfId="0" applyAlignment="1" applyBorder="1" applyFont="1" applyNumberFormat="1">
      <alignment horizontal="center"/>
    </xf>
    <xf borderId="1" fillId="0" fontId="89" numFmtId="0" xfId="0" applyAlignment="1" applyBorder="1" applyFont="1">
      <alignment horizontal="center" vertical="top"/>
    </xf>
    <xf borderId="1" fillId="0" fontId="89" numFmtId="0" xfId="0" applyAlignment="1" applyBorder="1" applyFont="1">
      <alignment horizontal="center"/>
    </xf>
    <xf borderId="1" fillId="0" fontId="16" numFmtId="167" xfId="0" applyAlignment="1" applyBorder="1" applyFont="1" applyNumberFormat="1">
      <alignment horizontal="center"/>
    </xf>
    <xf borderId="1" fillId="0" fontId="7" numFmtId="0" xfId="0" applyAlignment="1" applyBorder="1" applyFont="1">
      <alignment horizontal="center" shrinkToFit="0" vertical="top" wrapText="1"/>
    </xf>
    <xf borderId="1" fillId="0" fontId="7" numFmtId="0" xfId="0" applyAlignment="1" applyBorder="1" applyFont="1">
      <alignment horizontal="center"/>
    </xf>
    <xf borderId="1" fillId="0" fontId="5" numFmtId="0" xfId="0" applyAlignment="1" applyBorder="1" applyFont="1">
      <alignment horizontal="center" shrinkToFit="0" wrapText="1"/>
    </xf>
    <xf borderId="1" fillId="0" fontId="6" numFmtId="0" xfId="0" applyAlignment="1" applyBorder="1" applyFont="1">
      <alignment horizontal="center" vertical="bottom"/>
    </xf>
    <xf borderId="1" fillId="0" fontId="0" numFmtId="167" xfId="0" applyAlignment="1" applyBorder="1" applyFont="1" applyNumberFormat="1">
      <alignment horizontal="center"/>
    </xf>
    <xf borderId="1" fillId="0" fontId="90" numFmtId="0" xfId="0" applyAlignment="1" applyBorder="1" applyFont="1">
      <alignment horizontal="center" vertical="top"/>
    </xf>
    <xf borderId="1" fillId="0" fontId="91" numFmtId="167" xfId="0" applyAlignment="1" applyBorder="1" applyFont="1" applyNumberFormat="1">
      <alignment horizontal="center"/>
    </xf>
    <xf borderId="1" fillId="0" fontId="7" numFmtId="49" xfId="0" applyAlignment="1" applyBorder="1" applyFont="1" applyNumberFormat="1">
      <alignment horizontal="center"/>
    </xf>
    <xf borderId="1" fillId="0" fontId="7" numFmtId="49" xfId="0" applyAlignment="1" applyBorder="1" applyFont="1" applyNumberFormat="1">
      <alignment horizontal="center" readingOrder="0"/>
    </xf>
    <xf borderId="1" fillId="0" fontId="90" numFmtId="0" xfId="0" applyAlignment="1" applyBorder="1" applyFont="1">
      <alignment horizontal="center" shrinkToFit="0" vertical="top" wrapText="1"/>
    </xf>
    <xf borderId="1" fillId="0" fontId="7" numFmtId="0" xfId="0" applyAlignment="1" applyBorder="1" applyFont="1">
      <alignment horizontal="center" readingOrder="0"/>
    </xf>
    <xf borderId="0" fillId="0" fontId="7" numFmtId="0" xfId="0" applyAlignment="1" applyFont="1">
      <alignment horizontal="center"/>
    </xf>
    <xf borderId="1" fillId="8" fontId="92" numFmtId="0" xfId="0" applyAlignment="1" applyBorder="1" applyFont="1">
      <alignment horizontal="left" readingOrder="0" shrinkToFit="0" vertical="bottom" wrapText="0"/>
    </xf>
    <xf borderId="2" fillId="8" fontId="92" numFmtId="0" xfId="0" applyAlignment="1" applyBorder="1" applyFont="1">
      <alignment horizontal="left" readingOrder="0" shrinkToFit="0" vertical="bottom" wrapText="0"/>
    </xf>
    <xf borderId="0" fillId="8" fontId="93" numFmtId="0" xfId="0" applyAlignment="1" applyFont="1">
      <alignment horizontal="center" readingOrder="0"/>
    </xf>
    <xf borderId="0" fillId="8" fontId="3" numFmtId="0" xfId="0" applyFont="1"/>
    <xf borderId="3" fillId="0" fontId="94" numFmtId="0" xfId="0" applyAlignment="1" applyBorder="1" applyFont="1">
      <alignment horizontal="left" readingOrder="0" shrinkToFit="0" vertical="bottom" wrapText="0"/>
    </xf>
    <xf borderId="4" fillId="0" fontId="94" numFmtId="0" xfId="0" applyAlignment="1" applyBorder="1" applyFont="1">
      <alignment horizontal="right" readingOrder="0" shrinkToFit="0" vertical="bottom" wrapText="0"/>
    </xf>
    <xf borderId="4" fillId="0" fontId="94" numFmtId="0" xfId="0" applyAlignment="1" applyBorder="1" applyFont="1">
      <alignment horizontal="left" readingOrder="0" shrinkToFit="0" vertical="bottom" wrapText="0"/>
    </xf>
    <xf borderId="0" fillId="0" fontId="95" numFmtId="0" xfId="0" applyFont="1"/>
    <xf borderId="0" fillId="0" fontId="95" numFmtId="0" xfId="0" applyAlignment="1" applyFont="1">
      <alignment readingOrder="0"/>
    </xf>
    <xf borderId="0" fillId="0" fontId="95" numFmtId="0" xfId="0" applyAlignment="1" applyFont="1">
      <alignment horizontal="left" readingOrder="0"/>
    </xf>
    <xf borderId="4" fillId="0" fontId="94" numFmtId="0" xfId="0" applyAlignment="1" applyBorder="1" applyFont="1">
      <alignment horizontal="left" shrinkToFit="0" vertical="bottom" wrapText="0"/>
    </xf>
    <xf borderId="0" fillId="8" fontId="9" numFmtId="0" xfId="0" applyAlignment="1" applyFont="1">
      <alignment horizontal="center" readingOrder="0" shrinkToFit="0" vertical="bottom" wrapText="0"/>
    </xf>
    <xf borderId="0" fillId="8" fontId="7" numFmtId="0" xfId="0" applyAlignment="1" applyFont="1">
      <alignment horizontal="center" readingOrder="0"/>
    </xf>
    <xf borderId="0" fillId="8" fontId="7" numFmtId="0" xfId="0" applyAlignment="1" applyFont="1">
      <alignment horizontal="center"/>
    </xf>
    <xf borderId="0" fillId="0" fontId="9" numFmtId="0" xfId="0" applyAlignment="1" applyFont="1">
      <alignment horizontal="left" readingOrder="0" shrinkToFit="0" vertical="bottom" wrapText="0"/>
    </xf>
    <xf borderId="0" fillId="0" fontId="9" numFmtId="0" xfId="0" applyAlignment="1" applyFont="1">
      <alignment horizontal="right" readingOrder="0" shrinkToFit="0" vertical="bottom" wrapText="0"/>
    </xf>
    <xf borderId="0" fillId="15" fontId="9" numFmtId="0" xfId="0" applyAlignment="1" applyFill="1" applyFont="1">
      <alignment horizontal="left" readingOrder="0" shrinkToFit="0" vertical="bottom" wrapText="0"/>
    </xf>
    <xf borderId="0" fillId="15" fontId="9" numFmtId="0" xfId="0" applyAlignment="1" applyFont="1">
      <alignment horizontal="right" readingOrder="0" shrinkToFit="0" vertical="bottom" wrapText="0"/>
    </xf>
    <xf borderId="0" fillId="15" fontId="7" numFmtId="0" xfId="0" applyAlignment="1" applyFont="1">
      <alignment readingOrder="0"/>
    </xf>
    <xf borderId="0" fillId="15" fontId="7" numFmtId="0" xfId="0" applyFont="1"/>
    <xf borderId="0" fillId="15" fontId="16" numFmtId="0" xfId="0" applyAlignment="1" applyFont="1">
      <alignment readingOrder="0"/>
    </xf>
    <xf borderId="0" fillId="0" fontId="9" numFmtId="0" xfId="0" applyAlignment="1" applyFont="1">
      <alignment horizontal="left" shrinkToFit="0" vertical="bottom" wrapText="0"/>
    </xf>
    <xf borderId="2" fillId="8" fontId="96" numFmtId="0" xfId="0" applyAlignment="1" applyBorder="1" applyFont="1">
      <alignment horizontal="center" readingOrder="0" shrinkToFit="0" vertical="center" wrapText="0"/>
    </xf>
    <xf borderId="1" fillId="8" fontId="96" numFmtId="0" xfId="0" applyAlignment="1" applyBorder="1" applyFont="1">
      <alignment horizontal="center" readingOrder="0" shrinkToFit="0" vertical="center" wrapText="0"/>
    </xf>
    <xf borderId="0" fillId="8" fontId="97" numFmtId="0" xfId="0" applyAlignment="1" applyFont="1">
      <alignment horizontal="center" readingOrder="0" vertical="center"/>
    </xf>
    <xf borderId="0" fillId="8" fontId="97" numFmtId="0" xfId="0" applyAlignment="1" applyFont="1">
      <alignment horizontal="center" vertical="center"/>
    </xf>
    <xf borderId="4" fillId="0" fontId="9" numFmtId="0" xfId="0" applyAlignment="1" applyBorder="1" applyFont="1">
      <alignment horizontal="center" readingOrder="0" shrinkToFit="0" vertical="bottom" wrapText="0"/>
    </xf>
    <xf borderId="3" fillId="0" fontId="9" numFmtId="0" xfId="0" applyAlignment="1" applyBorder="1" applyFont="1">
      <alignment horizontal="center" readingOrder="0" shrinkToFit="0" vertical="bottom" wrapText="0"/>
    </xf>
    <xf borderId="0" fillId="0" fontId="7" numFmtId="0" xfId="0" applyAlignment="1" applyFont="1">
      <alignment horizontal="center"/>
    </xf>
    <xf borderId="0" fillId="0" fontId="7" numFmtId="0" xfId="0" applyAlignment="1" applyFont="1">
      <alignment horizontal="center" readingOrder="0"/>
    </xf>
    <xf borderId="4" fillId="0" fontId="9" numFmtId="0" xfId="0" applyAlignment="1" applyBorder="1" applyFont="1">
      <alignment horizontal="center" shrinkToFit="0" vertical="bottom" wrapText="0"/>
    </xf>
    <xf borderId="0" fillId="16" fontId="98" numFmtId="0" xfId="0" applyAlignment="1" applyFill="1" applyFont="1">
      <alignment horizontal="center"/>
    </xf>
    <xf borderId="1" fillId="16" fontId="99" numFmtId="0" xfId="0" applyAlignment="1" applyBorder="1" applyFont="1">
      <alignment horizontal="center" shrinkToFit="0" wrapText="1"/>
    </xf>
    <xf borderId="1" fillId="16" fontId="100" numFmtId="0" xfId="0" applyAlignment="1" applyBorder="1" applyFont="1">
      <alignment horizontal="center"/>
    </xf>
    <xf borderId="1" fillId="16" fontId="101" numFmtId="0" xfId="0" applyAlignment="1" applyBorder="1" applyFont="1">
      <alignment horizontal="center" shrinkToFit="0" wrapText="1"/>
    </xf>
    <xf borderId="1" fillId="16" fontId="7" numFmtId="0" xfId="0" applyBorder="1" applyFont="1"/>
    <xf borderId="1" fillId="16" fontId="102" numFmtId="0" xfId="0" applyAlignment="1" applyBorder="1" applyFont="1">
      <alignment readingOrder="0" vertical="bottom"/>
    </xf>
    <xf borderId="1" fillId="0" fontId="103" numFmtId="166" xfId="0" applyAlignment="1" applyBorder="1" applyFont="1" applyNumberFormat="1">
      <alignment horizontal="center" vertical="bottom"/>
    </xf>
    <xf borderId="1" fillId="0" fontId="103" numFmtId="0" xfId="0" applyAlignment="1" applyBorder="1" applyFont="1">
      <alignment horizontal="center" shrinkToFit="0" vertical="bottom" wrapText="1"/>
    </xf>
    <xf borderId="1" fillId="0" fontId="103" numFmtId="0" xfId="0" applyAlignment="1" applyBorder="1" applyFont="1">
      <alignment horizontal="center" vertical="bottom"/>
    </xf>
    <xf borderId="1" fillId="0" fontId="7" numFmtId="0" xfId="0" applyAlignment="1" applyBorder="1" applyFont="1">
      <alignment vertical="bottom"/>
    </xf>
    <xf borderId="1" fillId="0" fontId="7" numFmtId="0" xfId="0" applyAlignment="1" applyBorder="1" applyFont="1">
      <alignment readingOrder="0" vertical="bottom"/>
    </xf>
    <xf borderId="1" fillId="0" fontId="104" numFmtId="0" xfId="0" applyAlignment="1" applyBorder="1" applyFont="1">
      <alignment horizontal="center" vertical="bottom"/>
    </xf>
    <xf quotePrefix="1" borderId="1" fillId="0" fontId="103" numFmtId="0" xfId="0" applyAlignment="1" applyBorder="1" applyFont="1">
      <alignment horizontal="center" vertical="bottom"/>
    </xf>
    <xf borderId="1" fillId="0" fontId="7" numFmtId="166" xfId="0" applyAlignment="1" applyBorder="1" applyFont="1" applyNumberFormat="1">
      <alignment vertical="bottom"/>
    </xf>
    <xf borderId="1" fillId="11" fontId="103" numFmtId="0" xfId="0" applyAlignment="1" applyBorder="1" applyFont="1">
      <alignment horizontal="center" shrinkToFit="0" vertical="bottom" wrapText="1"/>
    </xf>
    <xf borderId="1" fillId="11" fontId="103" numFmtId="0" xfId="0" applyAlignment="1" applyBorder="1" applyFont="1">
      <alignment horizontal="center" vertical="bottom"/>
    </xf>
    <xf borderId="1" fillId="11" fontId="7" numFmtId="0" xfId="0" applyAlignment="1" applyBorder="1" applyFont="1">
      <alignment vertical="bottom"/>
    </xf>
    <xf borderId="1" fillId="11" fontId="104" numFmtId="0" xfId="0" applyAlignment="1" applyBorder="1" applyFont="1">
      <alignment horizontal="center" vertical="bottom"/>
    </xf>
    <xf borderId="1" fillId="11" fontId="16" numFmtId="0" xfId="0" applyAlignment="1" applyBorder="1" applyFont="1">
      <alignment readingOrder="0" vertical="bottom"/>
    </xf>
    <xf borderId="1" fillId="0" fontId="103" numFmtId="0" xfId="0" applyAlignment="1" applyBorder="1" applyFont="1">
      <alignment horizontal="center" shrinkToFit="0" vertical="bottom" wrapText="0"/>
    </xf>
    <xf borderId="1" fillId="13" fontId="7" numFmtId="0" xfId="0" applyAlignment="1" applyBorder="1" applyFont="1">
      <alignment readingOrder="0" vertical="bottom"/>
    </xf>
    <xf borderId="1" fillId="0" fontId="105" numFmtId="0" xfId="0" applyAlignment="1" applyBorder="1" applyFont="1">
      <alignment horizontal="center" shrinkToFit="0" vertical="bottom" wrapText="1"/>
    </xf>
    <xf borderId="1" fillId="0" fontId="28" numFmtId="0" xfId="0" applyAlignment="1" applyBorder="1" applyFont="1">
      <alignment horizontal="center" shrinkToFit="0" vertical="bottom" wrapText="1"/>
    </xf>
    <xf borderId="1" fillId="0" fontId="28" numFmtId="0" xfId="0" applyAlignment="1" applyBorder="1" applyFont="1">
      <alignment horizontal="center" vertical="bottom"/>
    </xf>
    <xf borderId="1" fillId="0" fontId="103" numFmtId="168" xfId="0" applyAlignment="1" applyBorder="1" applyFont="1" applyNumberFormat="1">
      <alignment horizontal="center" vertical="bottom"/>
    </xf>
    <xf borderId="1" fillId="5" fontId="106" numFmtId="0" xfId="0" applyAlignment="1" applyBorder="1" applyFont="1">
      <alignment horizontal="center" shrinkToFit="0" vertical="bottom" wrapText="1"/>
    </xf>
    <xf quotePrefix="1" borderId="1" fillId="5" fontId="106" numFmtId="0" xfId="0" applyAlignment="1" applyBorder="1" applyFont="1">
      <alignment horizontal="center" vertical="bottom"/>
    </xf>
    <xf borderId="1" fillId="5" fontId="106" numFmtId="0" xfId="0" applyAlignment="1" applyBorder="1" applyFont="1">
      <alignment horizontal="center" vertical="bottom"/>
    </xf>
    <xf quotePrefix="1" borderId="1" fillId="0" fontId="103" numFmtId="0" xfId="0" applyAlignment="1" applyBorder="1" applyFont="1">
      <alignment horizontal="center" shrinkToFit="0" vertical="bottom" wrapText="1"/>
    </xf>
    <xf quotePrefix="1" borderId="1" fillId="11" fontId="103" numFmtId="0" xfId="0" applyAlignment="1" applyBorder="1" applyFont="1">
      <alignment horizontal="center" vertical="bottom"/>
    </xf>
    <xf borderId="1" fillId="11" fontId="7" numFmtId="0" xfId="0" applyAlignment="1" applyBorder="1" applyFont="1">
      <alignment readingOrder="0" vertical="bottom"/>
    </xf>
    <xf borderId="1" fillId="0" fontId="28" numFmtId="168" xfId="0" applyAlignment="1" applyBorder="1" applyFont="1" applyNumberFormat="1">
      <alignment horizontal="center" vertical="bottom"/>
    </xf>
    <xf quotePrefix="1" borderId="1" fillId="0" fontId="28" numFmtId="0" xfId="0" applyAlignment="1" applyBorder="1" applyFont="1">
      <alignment horizontal="center" vertical="bottom"/>
    </xf>
    <xf borderId="1" fillId="0" fontId="16" numFmtId="0" xfId="0" applyAlignment="1" applyBorder="1" applyFont="1">
      <alignment vertical="bottom"/>
    </xf>
    <xf borderId="1" fillId="11" fontId="103" numFmtId="168" xfId="0" applyAlignment="1" applyBorder="1" applyFont="1" applyNumberFormat="1">
      <alignment horizontal="center" shrinkToFit="0" vertical="bottom" wrapText="1"/>
    </xf>
    <xf borderId="1" fillId="0" fontId="103" numFmtId="168" xfId="0" applyAlignment="1" applyBorder="1" applyFont="1" applyNumberFormat="1">
      <alignment horizontal="center" shrinkToFit="0" vertical="bottom" wrapText="1"/>
    </xf>
    <xf borderId="1" fillId="0" fontId="28" numFmtId="179" xfId="0" applyAlignment="1" applyBorder="1" applyFont="1" applyNumberFormat="1">
      <alignment horizontal="center" vertical="bottom"/>
    </xf>
    <xf borderId="1" fillId="5" fontId="7" numFmtId="0" xfId="0" applyAlignment="1" applyBorder="1" applyFont="1">
      <alignment vertical="bottom"/>
    </xf>
    <xf borderId="1" fillId="0" fontId="103" numFmtId="0" xfId="0" applyAlignment="1" applyBorder="1" applyFont="1">
      <alignment horizontal="left" readingOrder="0" vertical="bottom"/>
    </xf>
    <xf borderId="1" fillId="0" fontId="7" numFmtId="0" xfId="0" applyAlignment="1" applyBorder="1" applyFont="1">
      <alignment horizontal="left" readingOrder="0" vertical="bottom"/>
    </xf>
    <xf borderId="1" fillId="0" fontId="103" numFmtId="180" xfId="0" applyAlignment="1" applyBorder="1" applyFont="1" applyNumberFormat="1">
      <alignment horizontal="center" vertical="bottom"/>
    </xf>
    <xf borderId="1" fillId="0" fontId="28" numFmtId="168" xfId="0" applyAlignment="1" applyBorder="1" applyFont="1" applyNumberFormat="1">
      <alignment horizontal="center" shrinkToFit="0" vertical="bottom" wrapText="1"/>
    </xf>
    <xf borderId="1" fillId="0" fontId="103" numFmtId="167" xfId="0" applyAlignment="1" applyBorder="1" applyFont="1" applyNumberFormat="1">
      <alignment horizontal="center" vertical="bottom"/>
    </xf>
    <xf borderId="1" fillId="11" fontId="7" numFmtId="0" xfId="0" applyAlignment="1" applyBorder="1" applyFont="1">
      <alignment horizontal="center" vertical="top"/>
    </xf>
    <xf borderId="1" fillId="0" fontId="7" numFmtId="0" xfId="0" applyAlignment="1" applyBorder="1" applyFont="1">
      <alignment horizontal="center" vertical="top"/>
    </xf>
    <xf borderId="1" fillId="5" fontId="103" numFmtId="168" xfId="0" applyAlignment="1" applyBorder="1" applyFont="1" applyNumberFormat="1">
      <alignment horizontal="center" vertical="bottom"/>
    </xf>
    <xf borderId="1" fillId="0" fontId="107" numFmtId="0" xfId="0" applyAlignment="1" applyBorder="1" applyFont="1">
      <alignment horizontal="center" shrinkToFit="0" vertical="top" wrapText="1"/>
    </xf>
    <xf borderId="1" fillId="0" fontId="108" numFmtId="0" xfId="0" applyAlignment="1" applyBorder="1" applyFont="1">
      <alignment horizontal="center" vertical="top"/>
    </xf>
    <xf borderId="1" fillId="13" fontId="109" numFmtId="0" xfId="0" applyAlignment="1" applyBorder="1" applyFont="1">
      <alignment horizontal="center" shrinkToFit="0" vertical="top" wrapText="1"/>
    </xf>
    <xf borderId="1" fillId="13" fontId="28" numFmtId="0" xfId="0" applyAlignment="1" applyBorder="1" applyFont="1">
      <alignment horizontal="center" vertical="top"/>
    </xf>
    <xf borderId="1" fillId="13" fontId="16" numFmtId="0" xfId="0" applyAlignment="1" applyBorder="1" applyFont="1">
      <alignment vertical="bottom"/>
    </xf>
    <xf borderId="1" fillId="13" fontId="16" numFmtId="0" xfId="0" applyAlignment="1" applyBorder="1" applyFont="1">
      <alignment horizontal="center" vertical="top"/>
    </xf>
    <xf borderId="1" fillId="13" fontId="110" numFmtId="0" xfId="0" applyAlignment="1" applyBorder="1" applyFont="1">
      <alignment horizontal="center" vertical="bottom"/>
    </xf>
    <xf borderId="1" fillId="13" fontId="16" numFmtId="0" xfId="0" applyAlignment="1" applyBorder="1" applyFont="1">
      <alignment readingOrder="0" vertical="bottom"/>
    </xf>
    <xf borderId="1" fillId="13" fontId="7" numFmtId="0" xfId="0" applyAlignment="1" applyBorder="1" applyFont="1">
      <alignment vertical="bottom"/>
    </xf>
    <xf borderId="1" fillId="0" fontId="111" numFmtId="0" xfId="0" applyAlignment="1" applyBorder="1" applyFont="1">
      <alignment horizontal="center" vertical="top"/>
    </xf>
    <xf borderId="1" fillId="0" fontId="28" numFmtId="0" xfId="0" applyAlignment="1" applyBorder="1" applyFont="1">
      <alignment horizontal="center" vertical="top"/>
    </xf>
    <xf borderId="1" fillId="0" fontId="112" numFmtId="0" xfId="0" applyAlignment="1" applyBorder="1" applyFont="1">
      <alignment horizontal="center" shrinkToFit="0" vertical="bottom" wrapText="1"/>
    </xf>
    <xf borderId="1" fillId="0" fontId="113" numFmtId="0" xfId="0" applyAlignment="1" applyBorder="1" applyFont="1">
      <alignment horizontal="center" vertical="bottom"/>
    </xf>
    <xf borderId="1" fillId="11" fontId="28" numFmtId="0" xfId="0" applyAlignment="1" applyBorder="1" applyFont="1">
      <alignment horizontal="center" vertical="bottom"/>
    </xf>
    <xf borderId="1" fillId="5" fontId="103" numFmtId="0" xfId="0" applyAlignment="1" applyBorder="1" applyFont="1">
      <alignment horizontal="center" shrinkToFit="0" vertical="bottom" wrapText="1"/>
    </xf>
    <xf borderId="1" fillId="5" fontId="103" numFmtId="0" xfId="0" applyAlignment="1" applyBorder="1" applyFont="1">
      <alignment horizontal="center" vertical="bottom"/>
    </xf>
    <xf borderId="1" fillId="5" fontId="103" numFmtId="168" xfId="0" applyAlignment="1" applyBorder="1" applyFont="1" applyNumberFormat="1">
      <alignment horizontal="center" shrinkToFit="0" vertical="bottom" wrapText="1"/>
    </xf>
    <xf borderId="1" fillId="5" fontId="104" numFmtId="0" xfId="0" applyAlignment="1" applyBorder="1" applyFont="1">
      <alignment horizontal="center" vertical="bottom"/>
    </xf>
    <xf borderId="1" fillId="17" fontId="7" numFmtId="0" xfId="0" applyAlignment="1" applyBorder="1" applyFill="1" applyFont="1">
      <alignment readingOrder="0" vertical="bottom"/>
    </xf>
    <xf borderId="1" fillId="5" fontId="7" numFmtId="0" xfId="0" applyAlignment="1" applyBorder="1" applyFont="1">
      <alignment readingOrder="0" vertical="bottom"/>
    </xf>
    <xf borderId="1" fillId="5" fontId="28" numFmtId="0" xfId="0" applyAlignment="1" applyBorder="1" applyFont="1">
      <alignment horizontal="center" shrinkToFit="0" vertical="bottom" wrapText="1"/>
    </xf>
    <xf borderId="1" fillId="5" fontId="28" numFmtId="0" xfId="0" applyAlignment="1" applyBorder="1" applyFont="1">
      <alignment horizontal="center" vertical="bottom"/>
    </xf>
    <xf borderId="1" fillId="5" fontId="16" numFmtId="0" xfId="0" applyAlignment="1" applyBorder="1" applyFont="1">
      <alignment vertical="bottom"/>
    </xf>
    <xf borderId="1" fillId="5" fontId="28" numFmtId="168" xfId="0" applyAlignment="1" applyBorder="1" applyFont="1" applyNumberFormat="1">
      <alignment horizontal="center" shrinkToFit="0" vertical="bottom" wrapText="1"/>
    </xf>
    <xf borderId="1" fillId="5" fontId="110" numFmtId="0" xfId="0" applyAlignment="1" applyBorder="1" applyFont="1">
      <alignment horizontal="center" vertical="bottom"/>
    </xf>
    <xf borderId="1" fillId="5" fontId="16" numFmtId="0" xfId="0" applyAlignment="1" applyBorder="1" applyFont="1">
      <alignment readingOrder="0" vertical="bottom"/>
    </xf>
    <xf borderId="1" fillId="0" fontId="114" numFmtId="0" xfId="0" applyAlignment="1" applyBorder="1" applyFont="1">
      <alignment horizontal="center" vertical="bottom"/>
    </xf>
    <xf quotePrefix="1" borderId="1" fillId="0" fontId="112" numFmtId="0" xfId="0" applyAlignment="1" applyBorder="1" applyFont="1">
      <alignment horizontal="center" vertical="bottom"/>
    </xf>
    <xf borderId="1" fillId="5" fontId="115" numFmtId="168" xfId="0" applyAlignment="1" applyBorder="1" applyFont="1" applyNumberFormat="1">
      <alignment horizontal="center" vertical="bottom"/>
    </xf>
    <xf borderId="1" fillId="13" fontId="115" numFmtId="0" xfId="0" applyAlignment="1" applyBorder="1" applyFont="1">
      <alignment horizontal="center" shrinkToFit="0" vertical="bottom" wrapText="1"/>
    </xf>
    <xf borderId="1" fillId="13" fontId="115" numFmtId="0" xfId="0" applyAlignment="1" applyBorder="1" applyFont="1">
      <alignment horizontal="center" vertical="bottom"/>
    </xf>
    <xf borderId="1" fillId="13" fontId="115" numFmtId="168" xfId="0" applyAlignment="1" applyBorder="1" applyFont="1" applyNumberFormat="1">
      <alignment horizontal="center" shrinkToFit="0" vertical="bottom" wrapText="1"/>
    </xf>
    <xf borderId="1" fillId="13" fontId="104" numFmtId="0" xfId="0" applyAlignment="1" applyBorder="1" applyFont="1">
      <alignment horizontal="center" vertical="bottom"/>
    </xf>
    <xf quotePrefix="1" borderId="1" fillId="5" fontId="28" numFmtId="0" xfId="0" applyAlignment="1" applyBorder="1" applyFont="1">
      <alignment horizontal="center" vertical="bottom"/>
    </xf>
    <xf borderId="1" fillId="11" fontId="116" numFmtId="168" xfId="0" applyAlignment="1" applyBorder="1" applyFont="1" applyNumberFormat="1">
      <alignment horizontal="center" shrinkToFit="0" vertical="top" wrapText="1"/>
    </xf>
    <xf borderId="1" fillId="11" fontId="117" numFmtId="0" xfId="0" applyAlignment="1" applyBorder="1" applyFont="1">
      <alignment horizontal="center" vertical="top"/>
    </xf>
    <xf borderId="1" fillId="11" fontId="28" numFmtId="0" xfId="0" applyAlignment="1" applyBorder="1" applyFont="1">
      <alignment horizontal="center" vertical="top"/>
    </xf>
    <xf borderId="1" fillId="5" fontId="118" numFmtId="168" xfId="0" applyAlignment="1" applyBorder="1" applyFont="1" applyNumberFormat="1">
      <alignment horizontal="center" shrinkToFit="0" vertical="top" wrapText="1"/>
    </xf>
    <xf borderId="1" fillId="11" fontId="119" numFmtId="0" xfId="0" applyAlignment="1" applyBorder="1" applyFont="1">
      <alignment readingOrder="0" vertical="bottom"/>
    </xf>
    <xf borderId="1" fillId="5" fontId="120" numFmtId="0" xfId="0" applyAlignment="1" applyBorder="1" applyFont="1">
      <alignment horizontal="center" vertical="top"/>
    </xf>
    <xf borderId="1" fillId="5" fontId="28" numFmtId="0" xfId="0" applyAlignment="1" applyBorder="1" applyFont="1">
      <alignment horizontal="center" vertical="top"/>
    </xf>
    <xf borderId="1" fillId="5" fontId="108" numFmtId="0" xfId="0" applyAlignment="1" applyBorder="1" applyFont="1">
      <alignment horizontal="center" shrinkToFit="0" vertical="top" wrapText="1"/>
    </xf>
    <xf quotePrefix="1" borderId="1" fillId="5" fontId="103" numFmtId="0" xfId="0" applyAlignment="1" applyBorder="1" applyFont="1">
      <alignment horizontal="center" vertical="bottom"/>
    </xf>
    <xf borderId="1" fillId="5" fontId="121" numFmtId="0" xfId="0" applyAlignment="1" applyBorder="1" applyFont="1">
      <alignment horizontal="center" vertical="bottom"/>
    </xf>
    <xf borderId="1" fillId="12" fontId="103" numFmtId="0" xfId="0" applyAlignment="1" applyBorder="1" applyFont="1">
      <alignment horizontal="center" shrinkToFit="0" vertical="bottom" wrapText="1"/>
    </xf>
    <xf borderId="1" fillId="12" fontId="103" numFmtId="0" xfId="0" applyAlignment="1" applyBorder="1" applyFont="1">
      <alignment horizontal="center" vertical="bottom"/>
    </xf>
    <xf quotePrefix="1" borderId="1" fillId="12" fontId="103" numFmtId="0" xfId="0" applyAlignment="1" applyBorder="1" applyFont="1">
      <alignment horizontal="center" vertical="bottom"/>
    </xf>
    <xf borderId="1" fillId="12" fontId="7" numFmtId="0" xfId="0" applyAlignment="1" applyBorder="1" applyFont="1">
      <alignment vertical="bottom"/>
    </xf>
    <xf borderId="1" fillId="12" fontId="104" numFmtId="0" xfId="0" applyAlignment="1" applyBorder="1" applyFont="1">
      <alignment horizontal="center" vertical="bottom"/>
    </xf>
    <xf borderId="1" fillId="12" fontId="7" numFmtId="0" xfId="0" applyAlignment="1" applyBorder="1" applyFont="1">
      <alignment readingOrder="0" vertical="bottom"/>
    </xf>
    <xf borderId="1" fillId="0" fontId="103" numFmtId="0" xfId="0" applyAlignment="1" applyBorder="1" applyFont="1">
      <alignment horizontal="center" readingOrder="0" vertical="bottom"/>
    </xf>
    <xf borderId="1" fillId="5" fontId="103" numFmtId="0" xfId="0" applyAlignment="1" applyBorder="1" applyFont="1">
      <alignment horizontal="center" readingOrder="0" vertical="bottom"/>
    </xf>
    <xf borderId="1" fillId="11" fontId="122" numFmtId="0" xfId="0" applyAlignment="1" applyBorder="1" applyFont="1">
      <alignment horizontal="center" readingOrder="0" vertical="bottom"/>
    </xf>
    <xf borderId="1" fillId="12" fontId="103" numFmtId="0" xfId="0" applyAlignment="1" applyBorder="1" applyFont="1">
      <alignment horizontal="center" readingOrder="0" vertical="bottom"/>
    </xf>
    <xf quotePrefix="1" borderId="1" fillId="13" fontId="103" numFmtId="0" xfId="0" applyAlignment="1" applyBorder="1" applyFont="1">
      <alignment horizontal="center" vertical="bottom"/>
    </xf>
    <xf borderId="1" fillId="0" fontId="103" numFmtId="175" xfId="0" applyAlignment="1" applyBorder="1" applyFont="1" applyNumberFormat="1">
      <alignment horizontal="center" vertical="bottom"/>
    </xf>
    <xf borderId="1" fillId="13" fontId="106" numFmtId="0" xfId="0" applyAlignment="1" applyBorder="1" applyFont="1">
      <alignment horizontal="center" shrinkToFit="0" vertical="bottom" wrapText="1"/>
    </xf>
    <xf borderId="1" fillId="13" fontId="106" numFmtId="0" xfId="0" applyAlignment="1" applyBorder="1" applyFont="1">
      <alignment horizontal="center" vertical="bottom"/>
    </xf>
    <xf quotePrefix="1" borderId="1" fillId="13" fontId="106" numFmtId="0" xfId="0" applyAlignment="1" applyBorder="1" applyFont="1">
      <alignment horizontal="center" vertical="bottom"/>
    </xf>
    <xf borderId="1" fillId="13" fontId="103" numFmtId="0" xfId="0" applyAlignment="1" applyBorder="1" applyFont="1">
      <alignment horizontal="center" shrinkToFit="0" vertical="bottom" wrapText="1"/>
    </xf>
    <xf borderId="1" fillId="11" fontId="28" numFmtId="0" xfId="0" applyAlignment="1" applyBorder="1" applyFont="1">
      <alignment horizontal="center" shrinkToFit="0" vertical="bottom" wrapText="1"/>
    </xf>
    <xf borderId="1" fillId="11" fontId="16" numFmtId="0" xfId="0" applyAlignment="1" applyBorder="1" applyFont="1">
      <alignment vertical="bottom"/>
    </xf>
    <xf borderId="1" fillId="11" fontId="110" numFmtId="0" xfId="0" applyAlignment="1" applyBorder="1" applyFont="1">
      <alignment horizontal="center" vertical="bottom"/>
    </xf>
    <xf borderId="1" fillId="13" fontId="28" numFmtId="0" xfId="0" applyAlignment="1" applyBorder="1" applyFont="1">
      <alignment horizontal="center" shrinkToFit="0" vertical="bottom" wrapText="1"/>
    </xf>
    <xf borderId="1" fillId="0" fontId="110" numFmtId="0" xfId="0" applyAlignment="1" applyBorder="1" applyFont="1">
      <alignment horizontal="center" vertical="bottom"/>
    </xf>
    <xf borderId="1" fillId="0" fontId="16" numFmtId="0" xfId="0" applyAlignment="1" applyBorder="1" applyFont="1">
      <alignment readingOrder="0" vertical="bottom"/>
    </xf>
    <xf borderId="1" fillId="13" fontId="103" numFmtId="0" xfId="0" applyAlignment="1" applyBorder="1" applyFont="1">
      <alignment horizontal="center" vertical="bottom"/>
    </xf>
    <xf borderId="1" fillId="0" fontId="106" numFmtId="0" xfId="0" applyAlignment="1" applyBorder="1" applyFont="1">
      <alignment horizontal="center" shrinkToFit="0" vertical="bottom" wrapText="1"/>
    </xf>
    <xf borderId="1" fillId="0" fontId="106" numFmtId="0" xfId="0" applyAlignment="1" applyBorder="1" applyFont="1">
      <alignment horizontal="center" vertical="bottom"/>
    </xf>
    <xf quotePrefix="1" borderId="1" fillId="0" fontId="106" numFmtId="0" xfId="0" applyAlignment="1" applyBorder="1" applyFont="1">
      <alignment horizontal="center" vertical="bottom"/>
    </xf>
    <xf borderId="1" fillId="0" fontId="105" numFmtId="0" xfId="0" applyAlignment="1" applyBorder="1" applyFont="1">
      <alignment horizontal="center" vertical="bottom"/>
    </xf>
    <xf borderId="1" fillId="5" fontId="123" numFmtId="0" xfId="0" applyAlignment="1" applyBorder="1" applyFont="1">
      <alignment horizontal="center" vertical="bottom"/>
    </xf>
    <xf borderId="1" fillId="0" fontId="7" numFmtId="0" xfId="0" applyAlignment="1" applyBorder="1" applyFont="1">
      <alignment horizontal="center" vertical="bottom"/>
    </xf>
    <xf borderId="1" fillId="0" fontId="124" numFmtId="0" xfId="0" applyAlignment="1" applyBorder="1" applyFont="1">
      <alignment horizontal="center" vertical="bottom"/>
    </xf>
    <xf borderId="1" fillId="0" fontId="105" numFmtId="0" xfId="0" applyAlignment="1" applyBorder="1" applyFont="1">
      <alignment horizontal="center" readingOrder="0" vertical="bottom"/>
    </xf>
    <xf borderId="1" fillId="11" fontId="103" numFmtId="177" xfId="0" applyAlignment="1" applyBorder="1" applyFont="1" applyNumberFormat="1">
      <alignment horizontal="center" vertical="bottom"/>
    </xf>
    <xf borderId="1" fillId="0" fontId="28" numFmtId="170" xfId="0" applyAlignment="1" applyBorder="1" applyFont="1" applyNumberFormat="1">
      <alignment horizontal="center" vertical="bottom"/>
    </xf>
    <xf borderId="1" fillId="0" fontId="103" numFmtId="170" xfId="0" applyAlignment="1" applyBorder="1" applyFont="1" applyNumberFormat="1">
      <alignment horizontal="center" vertical="bottom"/>
    </xf>
    <xf borderId="1" fillId="0" fontId="28" numFmtId="0" xfId="0" applyAlignment="1" applyBorder="1" applyFont="1">
      <alignment horizontal="center" shrinkToFit="0" vertical="bottom" wrapText="1"/>
    </xf>
    <xf borderId="1" fillId="11" fontId="103" numFmtId="170" xfId="0" applyAlignment="1" applyBorder="1" applyFont="1" applyNumberFormat="1">
      <alignment horizontal="center" vertical="bottom"/>
    </xf>
    <xf borderId="1" fillId="13" fontId="103" numFmtId="170" xfId="0" applyAlignment="1" applyBorder="1" applyFont="1" applyNumberFormat="1">
      <alignment horizontal="center" vertical="bottom"/>
    </xf>
    <xf borderId="1" fillId="13" fontId="125" numFmtId="0" xfId="0" applyAlignment="1" applyBorder="1" applyFont="1">
      <alignment horizontal="center" vertical="bottom"/>
    </xf>
    <xf borderId="1" fillId="11" fontId="28" numFmtId="170" xfId="0" applyAlignment="1" applyBorder="1" applyFont="1" applyNumberFormat="1">
      <alignment horizontal="center" vertical="bottom"/>
    </xf>
    <xf borderId="1" fillId="12" fontId="103" numFmtId="170" xfId="0" applyAlignment="1" applyBorder="1" applyFont="1" applyNumberFormat="1">
      <alignment horizontal="center" vertical="bottom"/>
    </xf>
    <xf borderId="1" fillId="12" fontId="28" numFmtId="0" xfId="0" applyAlignment="1" applyBorder="1" applyFont="1">
      <alignment horizontal="center" shrinkToFit="0" vertical="bottom" wrapText="1"/>
    </xf>
    <xf borderId="1" fillId="12" fontId="28" numFmtId="0" xfId="0" applyAlignment="1" applyBorder="1" applyFont="1">
      <alignment horizontal="center" vertical="bottom"/>
    </xf>
    <xf quotePrefix="1" borderId="1" fillId="12" fontId="126" numFmtId="0" xfId="0" applyAlignment="1" applyBorder="1" applyFont="1">
      <alignment horizontal="center" vertical="bottom"/>
    </xf>
    <xf borderId="1" fillId="13" fontId="103" numFmtId="168" xfId="0" applyAlignment="1" applyBorder="1" applyFont="1" applyNumberFormat="1">
      <alignment horizontal="center" vertical="bottom"/>
    </xf>
    <xf quotePrefix="1" borderId="1" fillId="13" fontId="103" numFmtId="0" xfId="0" applyAlignment="1" applyBorder="1" applyFont="1">
      <alignment horizontal="center" shrinkToFit="0" vertical="bottom" wrapText="1"/>
    </xf>
    <xf borderId="1" fillId="18" fontId="103" numFmtId="0" xfId="0" applyAlignment="1" applyBorder="1" applyFill="1" applyFont="1">
      <alignment horizontal="center" vertical="bottom"/>
    </xf>
    <xf borderId="1" fillId="18" fontId="7" numFmtId="0" xfId="0" applyAlignment="1" applyBorder="1" applyFont="1">
      <alignment vertical="bottom"/>
    </xf>
    <xf borderId="1" fillId="18" fontId="104" numFmtId="0" xfId="0" applyAlignment="1" applyBorder="1" applyFont="1">
      <alignment horizontal="center" vertical="bottom"/>
    </xf>
    <xf borderId="1" fillId="18" fontId="7" numFmtId="0" xfId="0" applyAlignment="1" applyBorder="1" applyFont="1">
      <alignment readingOrder="0" vertical="bottom"/>
    </xf>
    <xf borderId="1" fillId="11" fontId="103" numFmtId="0" xfId="0" applyAlignment="1" applyBorder="1" applyFont="1">
      <alignment horizontal="center" shrinkToFit="0" vertical="bottom" wrapText="0"/>
    </xf>
    <xf borderId="1" fillId="13" fontId="103" numFmtId="0" xfId="0" applyAlignment="1" applyBorder="1" applyFont="1">
      <alignment horizontal="center" shrinkToFit="0" vertical="bottom" wrapText="0"/>
    </xf>
    <xf borderId="1" fillId="11" fontId="7" numFmtId="0" xfId="0" applyAlignment="1" applyBorder="1" applyFont="1">
      <alignment horizontal="center" vertical="bottom"/>
    </xf>
    <xf borderId="1" fillId="5" fontId="103" numFmtId="170" xfId="0" applyAlignment="1" applyBorder="1" applyFont="1" applyNumberFormat="1">
      <alignment horizontal="center" vertical="bottom"/>
    </xf>
    <xf borderId="1" fillId="5" fontId="28" numFmtId="0" xfId="0" applyAlignment="1" applyBorder="1" applyFont="1">
      <alignment horizontal="center" shrinkToFit="0" vertical="bottom" wrapText="0"/>
    </xf>
    <xf borderId="1" fillId="18" fontId="28" numFmtId="0" xfId="0" applyAlignment="1" applyBorder="1" applyFont="1">
      <alignment horizontal="center" vertical="bottom"/>
    </xf>
    <xf borderId="1" fillId="18" fontId="103" numFmtId="0" xfId="0" applyAlignment="1" applyBorder="1" applyFont="1">
      <alignment horizontal="center" shrinkToFit="0" vertical="bottom" wrapText="1"/>
    </xf>
    <xf quotePrefix="1" borderId="1" fillId="0" fontId="103" numFmtId="0" xfId="0" applyAlignment="1" applyBorder="1" applyFont="1">
      <alignment horizontal="center" vertical="bottom"/>
    </xf>
    <xf borderId="1" fillId="11" fontId="127" numFmtId="0" xfId="0" applyAlignment="1" applyBorder="1" applyFont="1">
      <alignment horizontal="center" vertical="bottom"/>
    </xf>
    <xf borderId="1" fillId="0" fontId="7" numFmtId="168" xfId="0" applyAlignment="1" applyBorder="1" applyFont="1" applyNumberFormat="1">
      <alignment vertical="bottom"/>
    </xf>
    <xf borderId="1" fillId="11" fontId="128" numFmtId="0" xfId="0" applyAlignment="1" applyBorder="1" applyFont="1">
      <alignment horizontal="center" vertical="bottom"/>
    </xf>
    <xf borderId="1" fillId="11" fontId="129" numFmtId="0" xfId="0" applyAlignment="1" applyBorder="1" applyFont="1">
      <alignment vertical="bottom"/>
    </xf>
    <xf borderId="1" fillId="11" fontId="128" numFmtId="0" xfId="0" applyAlignment="1" applyBorder="1" applyFont="1">
      <alignment horizontal="center" shrinkToFit="0" vertical="bottom" wrapText="1"/>
    </xf>
    <xf borderId="1" fillId="11" fontId="130" numFmtId="0" xfId="0" applyAlignment="1" applyBorder="1" applyFont="1">
      <alignment horizontal="center" vertical="bottom"/>
    </xf>
    <xf borderId="1" fillId="11" fontId="129" numFmtId="0" xfId="0" applyAlignment="1" applyBorder="1" applyFont="1">
      <alignment readingOrder="0" vertical="bottom"/>
    </xf>
    <xf borderId="1" fillId="13" fontId="28" numFmtId="0" xfId="0" applyAlignment="1" applyBorder="1" applyFont="1">
      <alignment horizontal="center" vertical="bottom"/>
    </xf>
    <xf borderId="1" fillId="11" fontId="103" numFmtId="168" xfId="0" applyAlignment="1" applyBorder="1" applyFont="1" applyNumberFormat="1">
      <alignment horizontal="center" vertical="bottom"/>
    </xf>
    <xf borderId="1" fillId="11" fontId="7" numFmtId="168" xfId="0" applyAlignment="1" applyBorder="1" applyFont="1" applyNumberFormat="1">
      <alignment vertical="bottom"/>
    </xf>
    <xf borderId="1" fillId="8" fontId="28" numFmtId="0" xfId="0" applyAlignment="1" applyBorder="1" applyFont="1">
      <alignment horizontal="center" vertical="bottom"/>
    </xf>
    <xf borderId="1" fillId="8" fontId="7" numFmtId="0" xfId="0" applyAlignment="1" applyBorder="1" applyFont="1">
      <alignment vertical="bottom"/>
    </xf>
    <xf borderId="1" fillId="8" fontId="103" numFmtId="0" xfId="0" applyAlignment="1" applyBorder="1" applyFont="1">
      <alignment horizontal="center" shrinkToFit="0" vertical="bottom" wrapText="1"/>
    </xf>
    <xf borderId="1" fillId="8" fontId="104" numFmtId="0" xfId="0" applyAlignment="1" applyBorder="1" applyFont="1">
      <alignment horizontal="center" vertical="bottom"/>
    </xf>
    <xf borderId="1" fillId="8" fontId="7" numFmtId="0" xfId="0" applyAlignment="1" applyBorder="1" applyFont="1">
      <alignment readingOrder="0" vertical="bottom"/>
    </xf>
    <xf borderId="1" fillId="0" fontId="7" numFmtId="177" xfId="0" applyAlignment="1" applyBorder="1" applyFont="1" applyNumberFormat="1">
      <alignment vertical="bottom"/>
    </xf>
    <xf borderId="1" fillId="11" fontId="7" numFmtId="177" xfId="0" applyAlignment="1" applyBorder="1" applyFont="1" applyNumberFormat="1">
      <alignment vertical="bottom"/>
    </xf>
    <xf quotePrefix="1" borderId="1" fillId="11" fontId="7" numFmtId="0" xfId="0" applyAlignment="1" applyBorder="1" applyFont="1">
      <alignment vertical="bottom"/>
    </xf>
    <xf borderId="1" fillId="5" fontId="103" numFmtId="181" xfId="0" applyAlignment="1" applyBorder="1" applyFont="1" applyNumberFormat="1">
      <alignment horizontal="center" vertical="bottom"/>
    </xf>
    <xf borderId="1" fillId="5" fontId="28" numFmtId="177" xfId="0" applyAlignment="1" applyBorder="1" applyFont="1" applyNumberFormat="1">
      <alignment horizontal="center" shrinkToFit="0" vertical="bottom" wrapText="1"/>
    </xf>
    <xf borderId="1" fillId="5" fontId="28" numFmtId="49" xfId="0" applyAlignment="1" applyBorder="1" applyFont="1" applyNumberFormat="1">
      <alignment horizontal="center" shrinkToFit="0" vertical="bottom" wrapText="1"/>
    </xf>
    <xf borderId="0" fillId="0" fontId="7" numFmtId="0" xfId="0" applyAlignment="1" applyFont="1">
      <alignment vertical="bottom"/>
    </xf>
    <xf borderId="1" fillId="5" fontId="28" numFmtId="175" xfId="0" applyAlignment="1" applyBorder="1" applyFont="1" applyNumberFormat="1">
      <alignment horizontal="center" shrinkToFit="0" vertical="bottom" wrapText="1"/>
    </xf>
    <xf quotePrefix="1" borderId="1" fillId="5" fontId="28" numFmtId="0" xfId="0" applyAlignment="1" applyBorder="1" applyFont="1">
      <alignment horizontal="center" shrinkToFit="0" vertical="bottom" wrapText="1"/>
    </xf>
    <xf borderId="0" fillId="0" fontId="3" numFmtId="0" xfId="0" applyAlignment="1" applyFont="1">
      <alignment readingOrder="0"/>
    </xf>
    <xf borderId="0" fillId="19" fontId="3" numFmtId="0" xfId="0" applyAlignment="1" applyFill="1" applyFont="1">
      <alignment readingOrder="0"/>
    </xf>
    <xf borderId="9" fillId="20" fontId="3" numFmtId="0" xfId="0" applyAlignment="1" applyBorder="1" applyFill="1" applyFont="1">
      <alignment readingOrder="0"/>
    </xf>
    <xf borderId="10" fillId="20" fontId="3" numFmtId="0" xfId="0" applyAlignment="1" applyBorder="1" applyFont="1">
      <alignment readingOrder="0"/>
    </xf>
    <xf borderId="2" fillId="20" fontId="3" numFmtId="0" xfId="0" applyAlignment="1" applyBorder="1" applyFont="1">
      <alignment readingOrder="0"/>
    </xf>
    <xf borderId="0" fillId="0" fontId="131" numFmtId="0" xfId="0" applyAlignment="1" applyFont="1">
      <alignment readingOrder="0"/>
    </xf>
    <xf borderId="0" fillId="21" fontId="7" numFmtId="0" xfId="0" applyAlignment="1" applyFill="1" applyFont="1">
      <alignment readingOrder="0"/>
    </xf>
    <xf borderId="0" fillId="0" fontId="7" numFmtId="3" xfId="0" applyAlignment="1" applyFont="1" applyNumberFormat="1">
      <alignment readingOrder="0"/>
    </xf>
    <xf borderId="11" fillId="0" fontId="7" numFmtId="0" xfId="0" applyBorder="1" applyFont="1"/>
    <xf borderId="12" fillId="0" fontId="7" numFmtId="0" xfId="0" applyBorder="1" applyFont="1"/>
    <xf borderId="12" fillId="0" fontId="7" numFmtId="0" xfId="0" applyAlignment="1" applyBorder="1" applyFont="1">
      <alignment readingOrder="0"/>
    </xf>
    <xf borderId="12" fillId="0" fontId="7" numFmtId="0" xfId="0" applyAlignment="1" applyBorder="1" applyFont="1">
      <alignment horizontal="center" readingOrder="0"/>
    </xf>
    <xf borderId="13" fillId="0" fontId="7" numFmtId="0" xfId="0" applyAlignment="1" applyBorder="1" applyFont="1">
      <alignment horizontal="center" readingOrder="0"/>
    </xf>
    <xf borderId="14" fillId="8" fontId="132" numFmtId="0" xfId="0" applyAlignment="1" applyBorder="1" applyFont="1">
      <alignment readingOrder="0"/>
    </xf>
    <xf borderId="0" fillId="0" fontId="7" numFmtId="9" xfId="0" applyAlignment="1" applyFont="1" applyNumberFormat="1">
      <alignment readingOrder="0"/>
    </xf>
    <xf borderId="15" fillId="0" fontId="7" numFmtId="0" xfId="0" applyAlignment="1" applyBorder="1" applyFont="1">
      <alignment horizontal="center"/>
    </xf>
    <xf borderId="14" fillId="0" fontId="7" numFmtId="0" xfId="0" applyBorder="1" applyFont="1"/>
    <xf borderId="0" fillId="0" fontId="7" numFmtId="3" xfId="0" applyAlignment="1" applyFont="1" applyNumberFormat="1">
      <alignment horizontal="center" readingOrder="0"/>
    </xf>
    <xf borderId="15" fillId="0" fontId="7" numFmtId="9" xfId="0" applyAlignment="1" applyBorder="1" applyFont="1" applyNumberFormat="1">
      <alignment horizontal="center" readingOrder="0"/>
    </xf>
    <xf borderId="15" fillId="0" fontId="7" numFmtId="0" xfId="0" applyAlignment="1" applyBorder="1" applyFont="1">
      <alignment horizontal="center" readingOrder="0"/>
    </xf>
    <xf borderId="16" fillId="0" fontId="3" numFmtId="0" xfId="0" applyAlignment="1" applyBorder="1" applyFont="1">
      <alignment readingOrder="0"/>
    </xf>
    <xf borderId="16" fillId="0" fontId="3" numFmtId="9" xfId="0" applyAlignment="1" applyBorder="1" applyFont="1" applyNumberFormat="1">
      <alignment readingOrder="0"/>
    </xf>
    <xf borderId="16" fillId="0" fontId="3" numFmtId="3" xfId="0" applyAlignment="1" applyBorder="1" applyFont="1" applyNumberFormat="1">
      <alignment readingOrder="0"/>
    </xf>
    <xf borderId="0" fillId="13" fontId="7" numFmtId="3" xfId="0" applyAlignment="1" applyFont="1" applyNumberFormat="1">
      <alignment horizontal="center" readingOrder="0"/>
    </xf>
    <xf borderId="15" fillId="13" fontId="7" numFmtId="0" xfId="0" applyAlignment="1" applyBorder="1" applyFont="1">
      <alignment horizontal="center" readingOrder="0"/>
    </xf>
    <xf borderId="14" fillId="0" fontId="7" numFmtId="0" xfId="0" applyAlignment="1" applyBorder="1" applyFont="1">
      <alignment readingOrder="0"/>
    </xf>
    <xf borderId="16" fillId="8" fontId="132" numFmtId="0" xfId="0" applyAlignment="1" applyBorder="1" applyFont="1">
      <alignment horizontal="center" readingOrder="0"/>
    </xf>
    <xf borderId="17" fillId="8" fontId="132" numFmtId="0" xfId="0" applyAlignment="1" applyBorder="1" applyFont="1">
      <alignment horizontal="center" readingOrder="0"/>
    </xf>
    <xf borderId="18" fillId="0" fontId="3" numFmtId="0" xfId="0" applyAlignment="1" applyBorder="1" applyFont="1">
      <alignment readingOrder="0"/>
    </xf>
    <xf borderId="16" fillId="0" fontId="7" numFmtId="0" xfId="0" applyBorder="1" applyFont="1"/>
    <xf borderId="16" fillId="0" fontId="7" numFmtId="0" xfId="0" applyAlignment="1" applyBorder="1" applyFont="1">
      <alignment horizontal="center" readingOrder="0"/>
    </xf>
    <xf borderId="17" fillId="0" fontId="7" numFmtId="0" xfId="0" applyAlignment="1" applyBorder="1" applyFont="1">
      <alignment horizontal="center"/>
    </xf>
    <xf borderId="12" fillId="0" fontId="11" numFmtId="0" xfId="0" applyAlignment="1" applyBorder="1" applyFont="1">
      <alignment horizontal="center" readingOrder="0"/>
    </xf>
    <xf borderId="16" fillId="8" fontId="3" numFmtId="0" xfId="0" applyAlignment="1" applyBorder="1" applyFont="1">
      <alignment horizontal="center" readingOrder="0"/>
    </xf>
    <xf borderId="17" fillId="8" fontId="3" numFmtId="0" xfId="0" applyAlignment="1" applyBorder="1" applyFont="1">
      <alignment horizontal="center" readingOrder="0"/>
    </xf>
    <xf borderId="15" fillId="0" fontId="7" numFmtId="0" xfId="0" applyBorder="1" applyFont="1"/>
    <xf borderId="0" fillId="0" fontId="7" numFmtId="0" xfId="0" applyAlignment="1" applyFont="1">
      <alignment vertical="bottom"/>
    </xf>
    <xf borderId="14" fillId="0" fontId="7" numFmtId="0" xfId="0" applyAlignment="1" applyBorder="1" applyFont="1">
      <alignment vertical="bottom"/>
    </xf>
    <xf borderId="0" fillId="0" fontId="3" numFmtId="0" xfId="0" applyAlignment="1" applyFont="1">
      <alignment vertical="bottom"/>
    </xf>
    <xf borderId="18" fillId="0" fontId="3" numFmtId="0" xfId="0" applyAlignment="1" applyBorder="1" applyFont="1">
      <alignment vertical="bottom"/>
    </xf>
    <xf borderId="17" fillId="0" fontId="7" numFmtId="0" xfId="0" applyBorder="1" applyFont="1"/>
    <xf borderId="1" fillId="0" fontId="133" numFmtId="0" xfId="0" applyAlignment="1" applyBorder="1" applyFont="1">
      <alignment horizontal="center" readingOrder="0" shrinkToFit="0" vertical="center" wrapText="1"/>
    </xf>
    <xf borderId="0" fillId="0" fontId="134" numFmtId="0" xfId="0" applyAlignment="1" applyFont="1">
      <alignment horizontal="left" readingOrder="0" shrinkToFit="0" vertical="center" wrapText="1"/>
    </xf>
    <xf borderId="0" fillId="0" fontId="135" numFmtId="0" xfId="0" applyAlignment="1" applyFont="1">
      <alignment horizontal="left" shrinkToFit="0" vertical="center" wrapText="1"/>
    </xf>
    <xf borderId="1" fillId="0" fontId="136" numFmtId="0" xfId="0" applyAlignment="1" applyBorder="1" applyFont="1">
      <alignment horizontal="center" readingOrder="0" shrinkToFit="0" vertical="bottom" wrapText="1"/>
    </xf>
    <xf borderId="1" fillId="0" fontId="136" numFmtId="0" xfId="0" applyAlignment="1" applyBorder="1" applyFont="1">
      <alignment horizontal="center" shrinkToFit="0" vertical="bottom" wrapText="1"/>
    </xf>
    <xf borderId="0" fillId="0" fontId="137" numFmtId="0" xfId="0" applyAlignment="1" applyFont="1">
      <alignment horizontal="left" readingOrder="0" shrinkToFit="0" vertical="bottom" wrapText="1"/>
    </xf>
    <xf borderId="0" fillId="0" fontId="137" numFmtId="0" xfId="0" applyAlignment="1" applyFont="1">
      <alignment horizontal="left" shrinkToFit="0" vertical="bottom" wrapText="1"/>
    </xf>
    <xf borderId="1" fillId="0" fontId="9" numFmtId="0" xfId="0" applyAlignment="1" applyBorder="1" applyFont="1">
      <alignment horizontal="center" shrinkToFit="0" vertical="bottom" wrapText="1"/>
    </xf>
    <xf quotePrefix="1" borderId="1" fillId="0" fontId="9" numFmtId="0" xfId="0" applyAlignment="1" applyBorder="1" applyFont="1">
      <alignment horizontal="center" shrinkToFit="0" vertical="bottom" wrapText="1"/>
    </xf>
    <xf borderId="1" fillId="0" fontId="138" numFmtId="0" xfId="0" applyAlignment="1" applyBorder="1" applyFont="1">
      <alignment horizontal="center" shrinkToFit="0" vertical="bottom" wrapText="1"/>
    </xf>
    <xf borderId="1" fillId="5" fontId="9" numFmtId="0" xfId="0" applyAlignment="1" applyBorder="1" applyFont="1">
      <alignment horizontal="center" shrinkToFit="0" vertical="bottom" wrapText="1"/>
    </xf>
    <xf borderId="1" fillId="22" fontId="139" numFmtId="182" xfId="0" applyAlignment="1" applyBorder="1" applyFill="1" applyFont="1" applyNumberFormat="1">
      <alignment vertical="bottom"/>
    </xf>
    <xf borderId="2" fillId="22" fontId="139" numFmtId="0" xfId="0" applyAlignment="1" applyBorder="1" applyFont="1">
      <alignment vertical="bottom"/>
    </xf>
    <xf borderId="1" fillId="5" fontId="140" numFmtId="182" xfId="0" applyAlignment="1" applyBorder="1" applyFont="1" applyNumberFormat="1">
      <alignment horizontal="right" vertical="top"/>
    </xf>
    <xf borderId="2" fillId="5" fontId="140" numFmtId="0" xfId="0" applyAlignment="1" applyBorder="1" applyFont="1">
      <alignment vertical="top"/>
    </xf>
    <xf borderId="2" fillId="14" fontId="141" numFmtId="0" xfId="0" applyAlignment="1" applyBorder="1" applyFont="1">
      <alignment vertical="top"/>
    </xf>
    <xf borderId="2" fillId="14" fontId="140" numFmtId="0" xfId="0" applyAlignment="1" applyBorder="1" applyFont="1">
      <alignment vertical="top"/>
    </xf>
    <xf borderId="0" fillId="0" fontId="7" numFmtId="0" xfId="0" applyAlignment="1" applyFont="1">
      <alignment readingOrder="0" vertical="bottom"/>
    </xf>
    <xf borderId="3" fillId="5" fontId="140" numFmtId="182" xfId="0" applyAlignment="1" applyBorder="1" applyFont="1" applyNumberFormat="1">
      <alignment horizontal="right" vertical="top"/>
    </xf>
    <xf borderId="4" fillId="5" fontId="140" numFmtId="0" xfId="0" applyAlignment="1" applyBorder="1" applyFont="1">
      <alignment vertical="top"/>
    </xf>
    <xf borderId="4" fillId="5" fontId="142" numFmtId="0" xfId="0" applyAlignment="1" applyBorder="1" applyFont="1">
      <alignment vertical="top"/>
    </xf>
    <xf borderId="4" fillId="5" fontId="140" numFmtId="0" xfId="0" applyAlignment="1" applyBorder="1" applyFont="1">
      <alignment horizontal="right" vertical="top"/>
    </xf>
    <xf borderId="4" fillId="14" fontId="143" numFmtId="0" xfId="0" applyAlignment="1" applyBorder="1" applyFont="1">
      <alignment vertical="top"/>
    </xf>
    <xf borderId="4" fillId="14" fontId="140" numFmtId="0" xfId="0" applyAlignment="1" applyBorder="1" applyFont="1">
      <alignment vertical="top"/>
    </xf>
    <xf borderId="4" fillId="14" fontId="140" numFmtId="0" xfId="0" applyAlignment="1" applyBorder="1" applyFont="1">
      <alignment readingOrder="0" vertical="top"/>
    </xf>
    <xf borderId="2" fillId="5" fontId="140" numFmtId="0" xfId="0" applyAlignment="1" applyBorder="1" applyFont="1">
      <alignment horizontal="center" vertical="top"/>
    </xf>
    <xf borderId="2" fillId="5" fontId="144" numFmtId="0" xfId="0" applyAlignment="1" applyBorder="1" applyFont="1">
      <alignment vertical="top"/>
    </xf>
    <xf borderId="2" fillId="5" fontId="140" numFmtId="0" xfId="0" applyAlignment="1" applyBorder="1" applyFont="1">
      <alignment horizontal="right" vertical="top"/>
    </xf>
    <xf borderId="4" fillId="5" fontId="140" numFmtId="0" xfId="0" applyAlignment="1" applyBorder="1" applyFont="1">
      <alignment horizontal="center" vertical="top"/>
    </xf>
    <xf borderId="4" fillId="8" fontId="145" numFmtId="0" xfId="0" applyAlignment="1" applyBorder="1" applyFont="1">
      <alignment vertical="top"/>
    </xf>
    <xf borderId="4" fillId="8" fontId="140" numFmtId="0" xfId="0" applyAlignment="1" applyBorder="1" applyFont="1">
      <alignment vertical="top"/>
    </xf>
    <xf borderId="1" fillId="5" fontId="140" numFmtId="182" xfId="0" applyAlignment="1" applyBorder="1" applyFont="1" applyNumberFormat="1">
      <alignment horizontal="center" vertical="top"/>
    </xf>
    <xf borderId="2" fillId="23" fontId="140" numFmtId="0" xfId="0" applyAlignment="1" applyBorder="1" applyFill="1" applyFont="1">
      <alignment vertical="top"/>
    </xf>
    <xf borderId="5" fillId="0" fontId="7" numFmtId="0" xfId="0" applyAlignment="1" applyBorder="1" applyFont="1">
      <alignment vertical="bottom"/>
    </xf>
    <xf borderId="3" fillId="5" fontId="140" numFmtId="182" xfId="0" applyAlignment="1" applyBorder="1" applyFont="1" applyNumberFormat="1">
      <alignment vertical="top"/>
    </xf>
    <xf borderId="4" fillId="23" fontId="140" numFmtId="0" xfId="0" applyAlignment="1" applyBorder="1" applyFont="1">
      <alignment vertical="top"/>
    </xf>
    <xf borderId="3" fillId="14" fontId="140" numFmtId="182" xfId="0" applyAlignment="1" applyBorder="1" applyFont="1" applyNumberFormat="1">
      <alignment vertical="top"/>
    </xf>
    <xf borderId="1" fillId="14" fontId="146" numFmtId="182" xfId="0" applyAlignment="1" applyBorder="1" applyFont="1" applyNumberFormat="1">
      <alignment horizontal="right" vertical="bottom"/>
    </xf>
    <xf borderId="2" fillId="14" fontId="146" numFmtId="0" xfId="0" applyAlignment="1" applyBorder="1" applyFont="1">
      <alignment vertical="bottom"/>
    </xf>
    <xf borderId="2" fillId="14" fontId="147" numFmtId="0" xfId="0" applyAlignment="1" applyBorder="1" applyFont="1">
      <alignment vertical="bottom"/>
    </xf>
    <xf borderId="2" fillId="0" fontId="146" numFmtId="0" xfId="0" applyAlignment="1" applyBorder="1" applyFont="1">
      <alignment vertical="bottom"/>
    </xf>
    <xf borderId="2" fillId="23" fontId="146" numFmtId="0" xfId="0" applyAlignment="1" applyBorder="1" applyFont="1">
      <alignment vertical="bottom"/>
    </xf>
    <xf borderId="2" fillId="0" fontId="148" numFmtId="0" xfId="0" applyAlignment="1" applyBorder="1" applyFont="1">
      <alignment vertical="bottom"/>
    </xf>
    <xf borderId="2" fillId="0" fontId="146" numFmtId="0" xfId="0" applyAlignment="1" applyBorder="1" applyFont="1">
      <alignment horizontal="right" vertical="bottom"/>
    </xf>
    <xf borderId="2" fillId="0" fontId="7" numFmtId="0" xfId="0" applyAlignment="1" applyBorder="1" applyFont="1">
      <alignment vertical="bottom"/>
    </xf>
    <xf borderId="3" fillId="0" fontId="146" numFmtId="182" xfId="0" applyAlignment="1" applyBorder="1" applyFont="1" applyNumberFormat="1">
      <alignment horizontal="right" vertical="bottom"/>
    </xf>
    <xf borderId="4" fillId="0" fontId="146" numFmtId="0" xfId="0" applyAlignment="1" applyBorder="1" applyFont="1">
      <alignment vertical="bottom"/>
    </xf>
    <xf borderId="4" fillId="0" fontId="149" numFmtId="0" xfId="0" applyAlignment="1" applyBorder="1" applyFont="1">
      <alignment vertical="bottom"/>
    </xf>
    <xf borderId="4" fillId="0" fontId="146" numFmtId="0" xfId="0" applyAlignment="1" applyBorder="1" applyFont="1">
      <alignment horizontal="right" vertical="bottom"/>
    </xf>
    <xf borderId="4" fillId="23" fontId="146" numFmtId="0" xfId="0" applyAlignment="1" applyBorder="1" applyFont="1">
      <alignment vertical="bottom"/>
    </xf>
    <xf borderId="6" fillId="5" fontId="140" numFmtId="0" xfId="0" applyAlignment="1" applyBorder="1" applyFont="1">
      <alignment shrinkToFit="0" vertical="top" wrapText="0"/>
    </xf>
    <xf borderId="3" fillId="14" fontId="140" numFmtId="182" xfId="0" applyAlignment="1" applyBorder="1" applyFont="1" applyNumberFormat="1">
      <alignment horizontal="right" vertical="top"/>
    </xf>
    <xf borderId="4" fillId="14" fontId="140" numFmtId="0" xfId="0" applyAlignment="1" applyBorder="1" applyFont="1">
      <alignment horizontal="right" vertical="top"/>
    </xf>
    <xf borderId="1" fillId="0" fontId="9" numFmtId="0" xfId="0" applyAlignment="1" applyBorder="1" applyFont="1">
      <alignment horizontal="left" readingOrder="0" shrinkToFit="0" vertical="bottom" wrapText="0"/>
    </xf>
    <xf borderId="1" fillId="0" fontId="9" numFmtId="0" xfId="0" applyAlignment="1" applyBorder="1" applyFont="1">
      <alignment horizontal="right" readingOrder="0" shrinkToFit="0" vertical="bottom" wrapText="0"/>
    </xf>
    <xf borderId="1" fillId="0" fontId="9" numFmtId="0" xfId="0" applyAlignment="1" applyBorder="1" applyFont="1">
      <alignment horizontal="left" shrinkToFit="0" vertical="bottom" wrapText="0"/>
    </xf>
    <xf borderId="1" fillId="0" fontId="24" numFmtId="0" xfId="0" applyAlignment="1" applyBorder="1" applyFont="1">
      <alignment horizontal="center" vertical="bottom"/>
    </xf>
    <xf borderId="2" fillId="0" fontId="24" numFmtId="0" xfId="0" applyAlignment="1" applyBorder="1" applyFont="1">
      <alignment vertical="bottom"/>
    </xf>
    <xf borderId="2" fillId="0" fontId="24" numFmtId="0" xfId="0" applyAlignment="1" applyBorder="1" applyFont="1">
      <alignment horizontal="center" vertical="bottom"/>
    </xf>
    <xf borderId="2" fillId="0" fontId="24" numFmtId="0" xfId="0" applyAlignment="1" applyBorder="1" applyFont="1">
      <alignment horizontal="left" vertical="bottom"/>
    </xf>
    <xf borderId="2" fillId="23" fontId="24" numFmtId="0" xfId="0" applyAlignment="1" applyBorder="1" applyFont="1">
      <alignment horizontal="center" shrinkToFit="0" vertical="bottom" wrapText="0"/>
    </xf>
    <xf borderId="3" fillId="0" fontId="9" numFmtId="0" xfId="0" applyAlignment="1" applyBorder="1" applyFont="1">
      <alignment horizontal="center" vertical="bottom"/>
    </xf>
    <xf borderId="4" fillId="0" fontId="9" numFmtId="0" xfId="0" applyAlignment="1" applyBorder="1" applyFont="1">
      <alignment vertical="bottom"/>
    </xf>
    <xf borderId="4" fillId="0" fontId="9" numFmtId="164" xfId="0" applyAlignment="1" applyBorder="1" applyFont="1" applyNumberFormat="1">
      <alignment horizontal="center" vertical="bottom"/>
    </xf>
    <xf borderId="4" fillId="0" fontId="9" numFmtId="0" xfId="0" applyAlignment="1" applyBorder="1" applyFont="1">
      <alignment horizontal="center" vertical="bottom"/>
    </xf>
    <xf borderId="4" fillId="23" fontId="9" numFmtId="0" xfId="0" applyAlignment="1" applyBorder="1" applyFont="1">
      <alignment vertical="bottom"/>
    </xf>
    <xf borderId="1" fillId="0" fontId="9" numFmtId="0" xfId="0" applyAlignment="1" applyBorder="1" applyFont="1">
      <alignment horizontal="center" vertical="bottom"/>
    </xf>
    <xf borderId="2" fillId="0" fontId="9" numFmtId="0" xfId="0" applyAlignment="1" applyBorder="1" applyFont="1">
      <alignment vertical="bottom"/>
    </xf>
    <xf borderId="2" fillId="0" fontId="9" numFmtId="164" xfId="0" applyAlignment="1" applyBorder="1" applyFont="1" applyNumberFormat="1">
      <alignment horizontal="center" vertical="bottom"/>
    </xf>
    <xf borderId="2" fillId="0" fontId="9" numFmtId="0" xfId="0" applyAlignment="1" applyBorder="1" applyFont="1">
      <alignment horizontal="right" vertical="bottom"/>
    </xf>
    <xf borderId="2" fillId="0" fontId="9" numFmtId="0" xfId="0" applyAlignment="1" applyBorder="1" applyFont="1">
      <alignment horizontal="left" vertical="bottom"/>
    </xf>
    <xf borderId="2" fillId="0" fontId="9" numFmtId="0" xfId="0" applyAlignment="1" applyBorder="1" applyFont="1">
      <alignment horizontal="center" vertical="bottom"/>
    </xf>
    <xf borderId="4" fillId="0" fontId="9" numFmtId="0" xfId="0" applyAlignment="1" applyBorder="1" applyFont="1">
      <alignment horizontal="right" vertical="bottom"/>
    </xf>
    <xf borderId="4" fillId="20" fontId="9" numFmtId="0" xfId="0" applyAlignment="1" applyBorder="1" applyFont="1">
      <alignment vertical="bottom"/>
    </xf>
    <xf borderId="4" fillId="14" fontId="9" numFmtId="0" xfId="0" applyAlignment="1" applyBorder="1" applyFont="1">
      <alignment vertical="bottom"/>
    </xf>
    <xf borderId="4" fillId="14" fontId="9" numFmtId="0" xfId="0" applyAlignment="1" applyBorder="1" applyFont="1">
      <alignment horizontal="right" vertical="bottom"/>
    </xf>
    <xf borderId="4" fillId="14" fontId="7" numFmtId="0" xfId="0" applyAlignment="1" applyBorder="1" applyFont="1">
      <alignment vertical="bottom"/>
    </xf>
    <xf borderId="4" fillId="14" fontId="9" numFmtId="0" xfId="0" applyAlignment="1" applyBorder="1" applyFont="1">
      <alignment horizontal="left" vertical="bottom"/>
    </xf>
    <xf borderId="4" fillId="14" fontId="9" numFmtId="0" xfId="0" applyAlignment="1" applyBorder="1" applyFont="1">
      <alignment horizontal="center" vertical="bottom"/>
    </xf>
    <xf borderId="4" fillId="13" fontId="9" numFmtId="0" xfId="0" applyAlignment="1" applyBorder="1" applyFont="1">
      <alignment vertical="bottom"/>
    </xf>
    <xf borderId="4" fillId="13" fontId="9" numFmtId="0" xfId="0" applyAlignment="1" applyBorder="1" applyFont="1">
      <alignment horizontal="right" vertical="bottom"/>
    </xf>
    <xf borderId="4" fillId="13" fontId="7" numFmtId="0" xfId="0" applyAlignment="1" applyBorder="1" applyFont="1">
      <alignment vertical="bottom"/>
    </xf>
    <xf borderId="4" fillId="13" fontId="9" numFmtId="0" xfId="0" applyAlignment="1" applyBorder="1" applyFont="1">
      <alignment horizontal="left" vertical="bottom"/>
    </xf>
    <xf borderId="4" fillId="13" fontId="9" numFmtId="0" xfId="0" applyAlignment="1" applyBorder="1" applyFont="1">
      <alignment horizontal="center" vertical="bottom"/>
    </xf>
    <xf borderId="4" fillId="14" fontId="7" numFmtId="0" xfId="0" applyAlignment="1" applyBorder="1" applyFont="1">
      <alignment readingOrder="0" vertical="bottom"/>
    </xf>
    <xf borderId="6" fillId="0" fontId="9" numFmtId="0" xfId="0" applyAlignment="1" applyBorder="1" applyFont="1">
      <alignment horizontal="center" shrinkToFit="0" vertical="bottom" wrapText="0"/>
    </xf>
    <xf borderId="6" fillId="0" fontId="7" numFmtId="0" xfId="0" applyAlignment="1" applyBorder="1" applyFont="1">
      <alignment vertical="bottom"/>
    </xf>
    <xf borderId="6" fillId="14" fontId="9" numFmtId="0" xfId="0" applyAlignment="1" applyBorder="1" applyFont="1">
      <alignment horizontal="center" shrinkToFit="0" vertical="bottom" wrapText="0"/>
    </xf>
    <xf borderId="3" fillId="13" fontId="9" numFmtId="0" xfId="0" applyAlignment="1" applyBorder="1" applyFont="1">
      <alignment horizontal="center" vertical="bottom"/>
    </xf>
    <xf borderId="4" fillId="13" fontId="9" numFmtId="164" xfId="0" applyAlignment="1" applyBorder="1" applyFont="1" applyNumberFormat="1">
      <alignment horizontal="center" vertical="bottom"/>
    </xf>
    <xf borderId="2" fillId="14" fontId="9" numFmtId="0" xfId="0" applyAlignment="1" applyBorder="1" applyFont="1">
      <alignment vertical="bottom"/>
    </xf>
    <xf borderId="2" fillId="14" fontId="7" numFmtId="0" xfId="0" applyAlignment="1" applyBorder="1" applyFont="1">
      <alignment vertical="bottom"/>
    </xf>
    <xf borderId="2" fillId="14" fontId="9" numFmtId="0" xfId="0" applyAlignment="1" applyBorder="1" applyFont="1">
      <alignment horizontal="left" vertical="bottom"/>
    </xf>
    <xf borderId="2" fillId="14" fontId="9" numFmtId="0" xfId="0" applyAlignment="1" applyBorder="1" applyFont="1">
      <alignment horizontal="center" vertical="bottom"/>
    </xf>
    <xf borderId="2" fillId="14" fontId="7" numFmtId="0" xfId="0" applyAlignment="1" applyBorder="1" applyFont="1">
      <alignment readingOrder="0" vertical="bottom"/>
    </xf>
    <xf borderId="6" fillId="14" fontId="9" numFmtId="0" xfId="0" applyAlignment="1" applyBorder="1" applyFont="1">
      <alignment shrinkToFit="0" vertical="bottom" wrapText="0"/>
    </xf>
    <xf borderId="6" fillId="14" fontId="7" numFmtId="0" xfId="0" applyAlignment="1" applyBorder="1" applyFont="1">
      <alignment vertical="bottom"/>
    </xf>
    <xf borderId="19" fillId="14" fontId="9" numFmtId="0" xfId="0" applyAlignment="1" applyBorder="1" applyFont="1">
      <alignment horizontal="center" shrinkToFit="0" vertical="bottom" wrapText="0"/>
    </xf>
    <xf borderId="4" fillId="23" fontId="9" numFmtId="0" xfId="0" applyAlignment="1" applyBorder="1" applyFont="1">
      <alignment horizontal="center" vertical="bottom"/>
    </xf>
    <xf borderId="7" fillId="0" fontId="7" numFmtId="0" xfId="0" applyAlignment="1" applyBorder="1" applyFont="1">
      <alignment vertical="bottom"/>
    </xf>
    <xf borderId="1" fillId="0" fontId="7" numFmtId="0" xfId="0" applyAlignment="1" applyBorder="1" applyFont="1">
      <alignment horizontal="left" readingOrder="0" vertical="bottom"/>
    </xf>
    <xf borderId="1" fillId="14" fontId="9" numFmtId="0" xfId="0" applyAlignment="1" applyBorder="1" applyFont="1">
      <alignment horizontal="left" vertical="bottom"/>
    </xf>
    <xf borderId="1" fillId="14" fontId="7" numFmtId="0" xfId="0" applyAlignment="1" applyBorder="1" applyFont="1">
      <alignment horizontal="left" vertical="bottom"/>
    </xf>
    <xf borderId="1" fillId="14" fontId="16" numFmtId="0" xfId="0" applyAlignment="1" applyBorder="1" applyFont="1">
      <alignment horizontal="left" vertical="bottom"/>
    </xf>
    <xf borderId="1" fillId="14" fontId="9" numFmtId="0" xfId="0" applyAlignment="1" applyBorder="1" applyFont="1">
      <alignment horizontal="left" shrinkToFit="0" vertical="bottom" wrapText="0"/>
    </xf>
    <xf borderId="1" fillId="0" fontId="150" numFmtId="0" xfId="0" applyAlignment="1" applyBorder="1" applyFont="1">
      <alignment horizontal="left" vertical="bottom"/>
    </xf>
    <xf borderId="1" fillId="0" fontId="129" numFmtId="0" xfId="0" applyAlignment="1" applyBorder="1" applyFont="1">
      <alignment horizontal="left" vertical="bottom"/>
    </xf>
    <xf borderId="1" fillId="14" fontId="129" numFmtId="0" xfId="0" applyAlignment="1" applyBorder="1" applyFont="1">
      <alignment horizontal="left" vertical="bottom"/>
    </xf>
    <xf borderId="1" fillId="14" fontId="7" numFmtId="0" xfId="0" applyAlignment="1" applyBorder="1" applyFont="1">
      <alignment horizontal="left" shrinkToFit="0" vertical="bottom" wrapText="0"/>
    </xf>
    <xf borderId="1" fillId="14" fontId="9" numFmtId="0" xfId="0" applyAlignment="1" applyBorder="1" applyFont="1">
      <alignment horizontal="left" readingOrder="0" shrinkToFit="0" vertical="bottom" wrapText="0"/>
    </xf>
    <xf borderId="1" fillId="14" fontId="9" numFmtId="0" xfId="0" applyAlignment="1" applyBorder="1" applyFont="1">
      <alignment horizontal="left" shrinkToFit="0" vertical="bottom" wrapText="0"/>
    </xf>
    <xf borderId="9" fillId="14" fontId="9" numFmtId="0" xfId="0" applyAlignment="1" applyBorder="1" applyFont="1">
      <alignment horizontal="left" readingOrder="0" shrinkToFit="0" vertical="bottom" wrapText="0"/>
    </xf>
    <xf borderId="2" fillId="0" fontId="131" numFmtId="0" xfId="0" applyBorder="1" applyFont="1"/>
    <xf borderId="1" fillId="14" fontId="9" numFmtId="0" xfId="0" applyAlignment="1" applyBorder="1" applyFont="1">
      <alignment horizontal="left" readingOrder="0" vertical="bottom"/>
    </xf>
    <xf borderId="1" fillId="0" fontId="7" numFmtId="0" xfId="0" applyAlignment="1" applyBorder="1" applyFont="1">
      <alignment horizontal="left"/>
    </xf>
    <xf borderId="1" fillId="0" fontId="9" numFmtId="0" xfId="0" applyAlignment="1" applyBorder="1" applyFont="1">
      <alignment horizontal="left" readingOrder="0" vertical="bottom"/>
    </xf>
    <xf borderId="1" fillId="0" fontId="7" numFmtId="0" xfId="0" applyAlignment="1" applyBorder="1" applyFont="1">
      <alignment horizontal="left" shrinkToFit="0" vertical="bottom" wrapText="0"/>
    </xf>
    <xf borderId="1" fillId="0" fontId="9" numFmtId="164" xfId="0" applyAlignment="1" applyBorder="1" applyFont="1" applyNumberFormat="1">
      <alignment horizontal="left" readingOrder="0" shrinkToFit="0" vertical="bottom" wrapText="0"/>
    </xf>
    <xf borderId="1" fillId="0" fontId="9" numFmtId="0" xfId="0" applyAlignment="1" applyBorder="1" applyFont="1">
      <alignment horizontal="left" shrinkToFit="0" vertical="bottom" wrapText="0"/>
    </xf>
    <xf borderId="1" fillId="0" fontId="7" numFmtId="164" xfId="0" applyAlignment="1" applyBorder="1" applyFont="1" applyNumberFormat="1">
      <alignment horizontal="left" vertical="bottom"/>
    </xf>
    <xf borderId="1" fillId="0" fontId="7" numFmtId="11" xfId="0" applyAlignment="1" applyBorder="1" applyFont="1" applyNumberFormat="1">
      <alignment horizontal="left" vertical="bottom"/>
    </xf>
    <xf borderId="1" fillId="14" fontId="7" numFmtId="11" xfId="0" applyAlignment="1" applyBorder="1" applyFont="1" applyNumberFormat="1">
      <alignment horizontal="left" vertical="bottom"/>
    </xf>
    <xf borderId="1" fillId="14" fontId="7" numFmtId="164" xfId="0" applyAlignment="1" applyBorder="1" applyFont="1" applyNumberFormat="1">
      <alignment horizontal="left" vertical="bottom"/>
    </xf>
    <xf borderId="1" fillId="14" fontId="16" numFmtId="164" xfId="0" applyAlignment="1" applyBorder="1" applyFont="1" applyNumberFormat="1">
      <alignment horizontal="left" vertical="bottom"/>
    </xf>
    <xf borderId="1" fillId="5" fontId="7" numFmtId="0" xfId="0" applyAlignment="1" applyBorder="1" applyFont="1">
      <alignment horizontal="left" vertical="bottom"/>
    </xf>
    <xf borderId="1" fillId="14" fontId="7" numFmtId="0" xfId="0" applyAlignment="1" applyBorder="1" applyFont="1">
      <alignment horizontal="left" readingOrder="0" vertical="bottom"/>
    </xf>
    <xf borderId="1" fillId="23" fontId="7" numFmtId="0" xfId="0" applyAlignment="1" applyBorder="1" applyFont="1">
      <alignment horizontal="left" shrinkToFit="0" vertical="bottom" wrapText="0"/>
    </xf>
    <xf borderId="1" fillId="23" fontId="7" numFmtId="0" xfId="0" applyAlignment="1" applyBorder="1" applyFont="1">
      <alignment horizontal="left" vertical="bottom"/>
    </xf>
    <xf borderId="1" fillId="0" fontId="7" numFmtId="0" xfId="0" applyAlignment="1" applyBorder="1" applyFont="1">
      <alignment vertical="bottom"/>
    </xf>
    <xf borderId="1" fillId="0" fontId="7" numFmtId="0" xfId="0" applyAlignment="1" applyBorder="1" applyFont="1">
      <alignment horizontal="center" vertical="bottom"/>
    </xf>
    <xf borderId="1" fillId="0" fontId="7" numFmtId="0" xfId="0" applyAlignment="1" applyBorder="1" applyFont="1">
      <alignment shrinkToFit="0" vertical="bottom" wrapText="0"/>
    </xf>
    <xf borderId="2" fillId="0" fontId="7" numFmtId="164" xfId="0" applyAlignment="1" applyBorder="1" applyFont="1" applyNumberFormat="1">
      <alignment horizontal="right" vertical="bottom"/>
    </xf>
    <xf borderId="2" fillId="0" fontId="7" numFmtId="0" xfId="0" applyAlignment="1" applyBorder="1" applyFont="1">
      <alignment horizontal="center" vertical="bottom"/>
    </xf>
    <xf borderId="2" fillId="23" fontId="7" numFmtId="0" xfId="0" applyAlignment="1" applyBorder="1" applyFont="1">
      <alignment vertical="bottom"/>
    </xf>
    <xf borderId="3" fillId="0" fontId="7" numFmtId="0" xfId="0" applyAlignment="1" applyBorder="1" applyFont="1">
      <alignment vertical="bottom"/>
    </xf>
    <xf borderId="4" fillId="0" fontId="7" numFmtId="164" xfId="0" applyAlignment="1" applyBorder="1" applyFont="1" applyNumberFormat="1">
      <alignment horizontal="right" vertical="bottom"/>
    </xf>
    <xf borderId="6" fillId="0" fontId="7" numFmtId="0" xfId="0" applyAlignment="1" applyBorder="1" applyFont="1">
      <alignment shrinkToFit="0" vertical="bottom" wrapText="0"/>
    </xf>
    <xf borderId="6" fillId="23" fontId="7" numFmtId="0" xfId="0" applyAlignment="1" applyBorder="1" applyFont="1">
      <alignment shrinkToFit="0" vertical="bottom" wrapText="0"/>
    </xf>
    <xf borderId="1" fillId="23" fontId="7" numFmtId="0" xfId="0" applyAlignment="1" applyBorder="1" applyFont="1">
      <alignment shrinkToFit="0" vertical="bottom" wrapText="0"/>
    </xf>
    <xf borderId="1" fillId="0" fontId="7" numFmtId="0" xfId="0" applyAlignment="1" applyBorder="1" applyFont="1">
      <alignment readingOrder="0" vertical="bottom"/>
    </xf>
    <xf borderId="1" fillId="14" fontId="7" numFmtId="0" xfId="0" applyAlignment="1" applyBorder="1" applyFont="1">
      <alignment vertical="bottom"/>
    </xf>
    <xf borderId="1" fillId="14" fontId="7" numFmtId="0" xfId="0" applyAlignment="1" applyBorder="1" applyFont="1">
      <alignment horizontal="center" vertical="bottom"/>
    </xf>
    <xf borderId="1" fillId="14" fontId="7" numFmtId="0" xfId="0" applyAlignment="1" applyBorder="1" applyFont="1">
      <alignment shrinkToFit="0" vertical="bottom" wrapText="0"/>
    </xf>
    <xf borderId="1" fillId="0" fontId="7" numFmtId="164" xfId="0" applyAlignment="1" applyBorder="1" applyFont="1" applyNumberFormat="1">
      <alignment horizontal="left" readingOrder="0" vertical="bottom"/>
    </xf>
    <xf borderId="1" fillId="0" fontId="7" numFmtId="183" xfId="0" applyAlignment="1" applyBorder="1" applyFont="1" applyNumberFormat="1">
      <alignment horizontal="right" vertical="bottom"/>
    </xf>
    <xf borderId="1" fillId="0" fontId="7" numFmtId="0" xfId="0" applyAlignment="1" applyBorder="1" applyFont="1">
      <alignment horizontal="right" vertical="bottom"/>
    </xf>
    <xf borderId="1" fillId="0" fontId="7" numFmtId="164" xfId="0" applyAlignment="1" applyBorder="1" applyFont="1" applyNumberFormat="1">
      <alignment horizontal="right" vertical="bottom"/>
    </xf>
    <xf borderId="1" fillId="0" fontId="7" numFmtId="11" xfId="0" applyAlignment="1" applyBorder="1" applyFont="1" applyNumberFormat="1">
      <alignment horizontal="right" vertical="bottom"/>
    </xf>
    <xf borderId="1" fillId="0" fontId="24" numFmtId="0" xfId="0" applyAlignment="1" applyBorder="1" applyFont="1">
      <alignment vertical="bottom"/>
    </xf>
    <xf borderId="1" fillId="0" fontId="24" numFmtId="183" xfId="0" applyAlignment="1" applyBorder="1" applyFont="1" applyNumberFormat="1">
      <alignment horizontal="right" vertical="bottom"/>
    </xf>
    <xf borderId="1" fillId="0" fontId="24" numFmtId="11" xfId="0" applyAlignment="1" applyBorder="1" applyFont="1" applyNumberFormat="1">
      <alignment horizontal="center" vertical="bottom"/>
    </xf>
    <xf borderId="1" fillId="0" fontId="3" numFmtId="0" xfId="0" applyAlignment="1" applyBorder="1" applyFont="1">
      <alignment vertical="bottom"/>
    </xf>
    <xf borderId="1" fillId="23" fontId="24" numFmtId="0" xfId="0" applyAlignment="1" applyBorder="1" applyFont="1">
      <alignment vertical="bottom"/>
    </xf>
    <xf borderId="1" fillId="0" fontId="3" numFmtId="0" xfId="0" applyAlignment="1" applyBorder="1" applyFont="1">
      <alignment horizontal="left" readingOrder="0" vertical="bottom"/>
    </xf>
    <xf quotePrefix="1" borderId="1" fillId="0" fontId="3" numFmtId="0" xfId="0" applyAlignment="1" applyBorder="1" applyFont="1">
      <alignment horizontal="left" readingOrder="0" vertical="bottom"/>
    </xf>
    <xf borderId="1" fillId="0" fontId="3" numFmtId="0" xfId="0" applyAlignment="1" applyBorder="1" applyFont="1">
      <alignment horizontal="left" vertical="bottom"/>
    </xf>
    <xf borderId="1" fillId="0" fontId="3" numFmtId="0" xfId="0" applyAlignment="1" applyBorder="1" applyFont="1">
      <alignment horizontal="left" readingOrder="0" shrinkToFit="0" vertical="bottom" wrapText="0"/>
    </xf>
    <xf borderId="0" fillId="0" fontId="7" numFmtId="0" xfId="0" applyAlignment="1" applyFont="1">
      <alignment horizontal="left"/>
    </xf>
    <xf borderId="0" fillId="0" fontId="7" numFmtId="0" xfId="0" applyAlignment="1" applyFont="1">
      <alignment horizontal="left" readingOrder="0"/>
    </xf>
    <xf borderId="0" fillId="24" fontId="7" numFmtId="0" xfId="0" applyAlignment="1" applyFill="1" applyFont="1">
      <alignment readingOrder="0"/>
    </xf>
    <xf borderId="0" fillId="14" fontId="7" numFmtId="0" xfId="0" applyAlignment="1" applyFont="1">
      <alignment readingOrder="0"/>
    </xf>
    <xf borderId="0" fillId="23" fontId="7" numFmtId="0" xfId="0" applyAlignment="1" applyFont="1">
      <alignment readingOrder="0"/>
    </xf>
    <xf borderId="0" fillId="0" fontId="151" numFmtId="0" xfId="0" applyAlignment="1" applyFont="1">
      <alignment readingOrder="0"/>
    </xf>
    <xf borderId="0" fillId="5" fontId="58" numFmtId="0" xfId="0" applyAlignment="1" applyFont="1">
      <alignment horizontal="left" vertical="bottom"/>
    </xf>
    <xf quotePrefix="1" borderId="0" fillId="5" fontId="58" numFmtId="0" xfId="0" applyAlignment="1" applyFont="1">
      <alignment horizontal="left" vertical="bottom"/>
    </xf>
    <xf borderId="0" fillId="20" fontId="7" numFmtId="0" xfId="0" applyAlignment="1" applyFont="1">
      <alignment readingOrder="0"/>
    </xf>
    <xf borderId="0" fillId="0" fontId="7" numFmtId="0" xfId="0" applyAlignment="1" applyFont="1">
      <alignment horizontal="center" readingOrder="0" vertical="bottom"/>
    </xf>
    <xf borderId="0" fillId="0" fontId="90" numFmtId="0" xfId="0" applyAlignment="1" applyFont="1">
      <alignment horizontal="left" readingOrder="0"/>
    </xf>
    <xf borderId="0" fillId="13" fontId="152" numFmtId="0" xfId="0" applyAlignment="1" applyFont="1">
      <alignment horizontal="right" readingOrder="0"/>
    </xf>
    <xf borderId="1" fillId="2" fontId="24" numFmtId="0" xfId="0" applyAlignment="1" applyBorder="1" applyFont="1">
      <alignment horizontal="center" vertical="bottom"/>
    </xf>
    <xf borderId="2" fillId="2" fontId="24" numFmtId="0" xfId="0" applyAlignment="1" applyBorder="1" applyFont="1">
      <alignment horizontal="center" vertical="bottom"/>
    </xf>
    <xf borderId="2" fillId="2" fontId="24" numFmtId="49" xfId="0" applyAlignment="1" applyBorder="1" applyFont="1" applyNumberFormat="1">
      <alignment horizontal="center" vertical="bottom"/>
    </xf>
    <xf borderId="0" fillId="25" fontId="7" numFmtId="0" xfId="0" applyAlignment="1" applyFill="1" applyFont="1">
      <alignment readingOrder="0"/>
    </xf>
    <xf quotePrefix="1" borderId="0" fillId="0" fontId="9" numFmtId="0" xfId="0" applyAlignment="1" applyFont="1">
      <alignment horizontal="center" vertical="bottom"/>
    </xf>
    <xf borderId="0" fillId="0" fontId="10" numFmtId="0" xfId="0" applyAlignment="1" applyFont="1">
      <alignment vertical="bottom"/>
    </xf>
    <xf borderId="0" fillId="0" fontId="11" numFmtId="0" xfId="0" applyAlignment="1" applyFont="1">
      <alignment readingOrder="0"/>
    </xf>
    <xf borderId="0" fillId="0" fontId="12" numFmtId="0" xfId="0" applyAlignment="1" applyFont="1">
      <alignment vertical="bottom"/>
    </xf>
    <xf borderId="7" fillId="0" fontId="153" numFmtId="0" xfId="0" applyAlignment="1" applyBorder="1" applyFont="1">
      <alignment vertical="bottom"/>
    </xf>
    <xf quotePrefix="1" borderId="0" fillId="0" fontId="14" numFmtId="0" xfId="0" applyAlignment="1" applyFont="1">
      <alignment vertical="bottom"/>
    </xf>
    <xf borderId="0" fillId="0" fontId="15" numFmtId="0" xfId="0" applyAlignment="1" applyFont="1">
      <alignment vertical="bottom"/>
    </xf>
    <xf borderId="0" fillId="0" fontId="136" numFmtId="0" xfId="0" applyAlignment="1" applyFon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eraas.my.salesforce.com/0060N00000XT6B8" TargetMode="External"/><Relationship Id="rId194" Type="http://schemas.openxmlformats.org/officeDocument/2006/relationships/hyperlink" Target="https://meraas.my.salesforce.com/0060N00000XTB48" TargetMode="External"/><Relationship Id="rId193" Type="http://schemas.openxmlformats.org/officeDocument/2006/relationships/hyperlink" Target="mailto:umair.qazi@dxbe.ae" TargetMode="External"/><Relationship Id="rId192" Type="http://schemas.openxmlformats.org/officeDocument/2006/relationships/hyperlink" Target="https://meraas.my.salesforce.com/0060N00000XTAyY" TargetMode="External"/><Relationship Id="rId191" Type="http://schemas.openxmlformats.org/officeDocument/2006/relationships/hyperlink" Target="mailto:nzstore01@gmail.com" TargetMode="External"/><Relationship Id="rId187" Type="http://schemas.openxmlformats.org/officeDocument/2006/relationships/hyperlink" Target="mailto:rafiqfakih@mcdonalds-uae.com" TargetMode="External"/><Relationship Id="rId186" Type="http://schemas.openxmlformats.org/officeDocument/2006/relationships/hyperlink" Target="https://meraas.my.salesforce.com/0060N00000XT5dS" TargetMode="External"/><Relationship Id="rId185" Type="http://schemas.openxmlformats.org/officeDocument/2006/relationships/hyperlink" Target="mailto:alowais@emirates.net.ae" TargetMode="External"/><Relationship Id="rId184" Type="http://schemas.openxmlformats.org/officeDocument/2006/relationships/hyperlink" Target="https://meraas.my.salesforce.com/0060N00000XT4cH" TargetMode="External"/><Relationship Id="rId189" Type="http://schemas.openxmlformats.org/officeDocument/2006/relationships/hyperlink" Target="mailto:m.bahaa66@gmail.com" TargetMode="External"/><Relationship Id="rId188" Type="http://schemas.openxmlformats.org/officeDocument/2006/relationships/hyperlink" Target="https://meraas.my.salesforce.com/0060N00000XT5is" TargetMode="External"/><Relationship Id="rId183" Type="http://schemas.openxmlformats.org/officeDocument/2006/relationships/hyperlink" Target="mailto:rana.adel2112@gmail.com" TargetMode="External"/><Relationship Id="rId182" Type="http://schemas.openxmlformats.org/officeDocument/2006/relationships/hyperlink" Target="https://meraas.my.salesforce.com/0060N00000XSuFb" TargetMode="External"/><Relationship Id="rId181" Type="http://schemas.openxmlformats.org/officeDocument/2006/relationships/hyperlink" Target="mailto:kalbumuhair@etisalat.ae" TargetMode="External"/><Relationship Id="rId180" Type="http://schemas.openxmlformats.org/officeDocument/2006/relationships/hyperlink" Target="https://meraas.my.salesforce.com/0060N00000XSuFW" TargetMode="External"/><Relationship Id="rId176" Type="http://schemas.openxmlformats.org/officeDocument/2006/relationships/hyperlink" Target="https://meraas.my.salesforce.com/0060N00000XSaxU" TargetMode="External"/><Relationship Id="rId175" Type="http://schemas.openxmlformats.org/officeDocument/2006/relationships/hyperlink" Target="mailto:hanirustom@hotmail.com" TargetMode="External"/><Relationship Id="rId174" Type="http://schemas.openxmlformats.org/officeDocument/2006/relationships/hyperlink" Target="https://meraas.my.salesforce.com/0060N00000XSLrF" TargetMode="External"/><Relationship Id="rId173" Type="http://schemas.openxmlformats.org/officeDocument/2006/relationships/hyperlink" Target="mailto:na@na.na" TargetMode="External"/><Relationship Id="rId179" Type="http://schemas.openxmlformats.org/officeDocument/2006/relationships/hyperlink" Target="mailto:abeeryousef88@hotmail.com" TargetMode="External"/><Relationship Id="rId178" Type="http://schemas.openxmlformats.org/officeDocument/2006/relationships/hyperlink" Target="https://meraas.my.salesforce.com/0060N00000XSpTK" TargetMode="External"/><Relationship Id="rId177" Type="http://schemas.openxmlformats.org/officeDocument/2006/relationships/hyperlink" Target="mailto:janicerego@hotmail.com" TargetMode="External"/><Relationship Id="rId198" Type="http://schemas.openxmlformats.org/officeDocument/2006/relationships/hyperlink" Target="mailto:altarrrah@gmail.com" TargetMode="External"/><Relationship Id="rId197" Type="http://schemas.openxmlformats.org/officeDocument/2006/relationships/hyperlink" Target="https://meraas.my.salesforce.com/0060N00000ZcyZN" TargetMode="External"/><Relationship Id="rId196" Type="http://schemas.openxmlformats.org/officeDocument/2006/relationships/hyperlink" Target="https://meraas.my.salesforce.com/0060N00000XTBkV" TargetMode="External"/><Relationship Id="rId195" Type="http://schemas.openxmlformats.org/officeDocument/2006/relationships/hyperlink" Target="mailto:shelly2507@live.com" TargetMode="External"/><Relationship Id="rId199" Type="http://schemas.openxmlformats.org/officeDocument/2006/relationships/hyperlink" Target="https://meraas.my.salesforce.com/0060N00000ZczQM" TargetMode="External"/><Relationship Id="rId150" Type="http://schemas.openxmlformats.org/officeDocument/2006/relationships/hyperlink" Target="https://meraas.my.salesforce.com/0060N00000XQQRS" TargetMode="External"/><Relationship Id="rId392" Type="http://schemas.openxmlformats.org/officeDocument/2006/relationships/hyperlink" Target="mailto:jaffarshah55@gmail.com" TargetMode="External"/><Relationship Id="rId391" Type="http://schemas.openxmlformats.org/officeDocument/2006/relationships/hyperlink" Target="https://meraas.my.salesforce.com/0010N00004onpuE" TargetMode="External"/><Relationship Id="rId390" Type="http://schemas.openxmlformats.org/officeDocument/2006/relationships/hyperlink" Target="mailto:mathiurehman1@gmail.com" TargetMode="External"/><Relationship Id="rId1" Type="http://schemas.openxmlformats.org/officeDocument/2006/relationships/hyperlink" Target="mailto:chakaravarthy.vishnu@gmail.com?subject=Sunrise%20Bay%20at%20Emaar%20Beach%20Front%20|%201%20Bed" TargetMode="External"/><Relationship Id="rId2" Type="http://schemas.openxmlformats.org/officeDocument/2006/relationships/hyperlink" Target="mailto:fareem@emirates.net.ae" TargetMode="External"/><Relationship Id="rId3" Type="http://schemas.openxmlformats.org/officeDocument/2006/relationships/hyperlink" Target="mailto:nemodbx@gmail.com?subject=Emaar%20Beachfront%20offering%20luxury%201-4%20BR!" TargetMode="External"/><Relationship Id="rId149" Type="http://schemas.openxmlformats.org/officeDocument/2006/relationships/hyperlink" Target="mailto:maherk@gmail.com" TargetMode="External"/><Relationship Id="rId4" Type="http://schemas.openxmlformats.org/officeDocument/2006/relationships/hyperlink" Target="mailto:akf@smartcrowd.property?subject=Sunrise%20Bay%20at%20Emaar%20Beach%20Front%20|%201%20Bed" TargetMode="External"/><Relationship Id="rId148" Type="http://schemas.openxmlformats.org/officeDocument/2006/relationships/hyperlink" Target="https://meraas.my.salesforce.com/0060N00000XQQNG" TargetMode="External"/><Relationship Id="rId9" Type="http://schemas.openxmlformats.org/officeDocument/2006/relationships/hyperlink" Target="mailto:nilamp@outlook.com" TargetMode="External"/><Relationship Id="rId143" Type="http://schemas.openxmlformats.org/officeDocument/2006/relationships/hyperlink" Target="mailto:rania.fakih@hotmail.com" TargetMode="External"/><Relationship Id="rId385" Type="http://schemas.openxmlformats.org/officeDocument/2006/relationships/hyperlink" Target="https://meraas.my.salesforce.com/0010N00004onj9o" TargetMode="External"/><Relationship Id="rId142" Type="http://schemas.openxmlformats.org/officeDocument/2006/relationships/hyperlink" Target="https://meraas.my.salesforce.com/0060N00000XQQLK" TargetMode="External"/><Relationship Id="rId384" Type="http://schemas.openxmlformats.org/officeDocument/2006/relationships/hyperlink" Target="mailto:imrankhan@email.com" TargetMode="External"/><Relationship Id="rId141" Type="http://schemas.openxmlformats.org/officeDocument/2006/relationships/hyperlink" Target="mailto:twi@eim.ae" TargetMode="External"/><Relationship Id="rId383" Type="http://schemas.openxmlformats.org/officeDocument/2006/relationships/hyperlink" Target="https://meraas.my.salesforce.com/0010N00004onj8q" TargetMode="External"/><Relationship Id="rId140" Type="http://schemas.openxmlformats.org/officeDocument/2006/relationships/hyperlink" Target="https://meraas.my.salesforce.com/0060N00000XQQJi" TargetMode="External"/><Relationship Id="rId382" Type="http://schemas.openxmlformats.org/officeDocument/2006/relationships/hyperlink" Target="mailto:aqilkhara@gmail.com" TargetMode="External"/><Relationship Id="rId5" Type="http://schemas.openxmlformats.org/officeDocument/2006/relationships/hyperlink" Target="mailto:mohammed.dawani@unb.ae?subject=Beach%20Vista%20Premium%20Beachfront%20Apartment" TargetMode="External"/><Relationship Id="rId147" Type="http://schemas.openxmlformats.org/officeDocument/2006/relationships/hyperlink" Target="mailto:ahmed.m.baeshen@gmail.com" TargetMode="External"/><Relationship Id="rId389" Type="http://schemas.openxmlformats.org/officeDocument/2006/relationships/hyperlink" Target="https://meraas.my.salesforce.com/0010N00004onodR" TargetMode="External"/><Relationship Id="rId6" Type="http://schemas.openxmlformats.org/officeDocument/2006/relationships/hyperlink" Target="mailto:jayind@hotmail.com" TargetMode="External"/><Relationship Id="rId146" Type="http://schemas.openxmlformats.org/officeDocument/2006/relationships/hyperlink" Target="https://meraas.my.salesforce.com/0060N00000XQQLy" TargetMode="External"/><Relationship Id="rId388" Type="http://schemas.openxmlformats.org/officeDocument/2006/relationships/hyperlink" Target="mailto:fauirhamidali@gmail.com" TargetMode="External"/><Relationship Id="rId7" Type="http://schemas.openxmlformats.org/officeDocument/2006/relationships/hyperlink" Target="mailto:maatintl@hotmail.com" TargetMode="External"/><Relationship Id="rId145" Type="http://schemas.openxmlformats.org/officeDocument/2006/relationships/hyperlink" Target="mailto:said@chourbaji.de" TargetMode="External"/><Relationship Id="rId387" Type="http://schemas.openxmlformats.org/officeDocument/2006/relationships/hyperlink" Target="https://meraas.my.salesforce.com/0010N00004onjBG" TargetMode="External"/><Relationship Id="rId8" Type="http://schemas.openxmlformats.org/officeDocument/2006/relationships/hyperlink" Target="http://arash.rz" TargetMode="External"/><Relationship Id="rId144" Type="http://schemas.openxmlformats.org/officeDocument/2006/relationships/hyperlink" Target="https://meraas.my.salesforce.com/0060N00000XQQLP" TargetMode="External"/><Relationship Id="rId386" Type="http://schemas.openxmlformats.org/officeDocument/2006/relationships/hyperlink" Target="mailto:mumtazal640@gmail.com" TargetMode="External"/><Relationship Id="rId381" Type="http://schemas.openxmlformats.org/officeDocument/2006/relationships/hyperlink" Target="https://meraas.my.salesforce.com/0010N00004EZaP2" TargetMode="External"/><Relationship Id="rId380" Type="http://schemas.openxmlformats.org/officeDocument/2006/relationships/hyperlink" Target="mailto:malik0irfan@gmail.com" TargetMode="External"/><Relationship Id="rId139" Type="http://schemas.openxmlformats.org/officeDocument/2006/relationships/hyperlink" Target="mailto:adi.ignatescu@gmail.com" TargetMode="External"/><Relationship Id="rId138" Type="http://schemas.openxmlformats.org/officeDocument/2006/relationships/hyperlink" Target="https://meraas.my.salesforce.com/0060N00000XQQJd" TargetMode="External"/><Relationship Id="rId137" Type="http://schemas.openxmlformats.org/officeDocument/2006/relationships/hyperlink" Target="mailto:twi@eim.ae" TargetMode="External"/><Relationship Id="rId379" Type="http://schemas.openxmlformats.org/officeDocument/2006/relationships/hyperlink" Target="https://meraas.my.salesforce.com/0010N00004EZZMg" TargetMode="External"/><Relationship Id="rId132" Type="http://schemas.openxmlformats.org/officeDocument/2006/relationships/hyperlink" Target="https://meraas.my.salesforce.com/0060N00000XQQIL" TargetMode="External"/><Relationship Id="rId374" Type="http://schemas.openxmlformats.org/officeDocument/2006/relationships/hyperlink" Target="mailto:chohdarishafeeq@gmail.com" TargetMode="External"/><Relationship Id="rId131" Type="http://schemas.openxmlformats.org/officeDocument/2006/relationships/hyperlink" Target="mailto:louie-l@hotmail.co.uk" TargetMode="External"/><Relationship Id="rId373" Type="http://schemas.openxmlformats.org/officeDocument/2006/relationships/hyperlink" Target="https://meraas.my.salesforce.com/0010N00004EZOdp" TargetMode="External"/><Relationship Id="rId130" Type="http://schemas.openxmlformats.org/officeDocument/2006/relationships/hyperlink" Target="https://meraas.my.salesforce.com/0060N00000XQQH3" TargetMode="External"/><Relationship Id="rId372" Type="http://schemas.openxmlformats.org/officeDocument/2006/relationships/hyperlink" Target="mailto:khayalzaman@hotmail.com" TargetMode="External"/><Relationship Id="rId371" Type="http://schemas.openxmlformats.org/officeDocument/2006/relationships/hyperlink" Target="https://meraas.my.salesforce.com/0010N00004EZNxO" TargetMode="External"/><Relationship Id="rId136" Type="http://schemas.openxmlformats.org/officeDocument/2006/relationships/hyperlink" Target="https://meraas.my.salesforce.com/0060N00000XQQJY" TargetMode="External"/><Relationship Id="rId378" Type="http://schemas.openxmlformats.org/officeDocument/2006/relationships/hyperlink" Target="mailto:shahbazgill0@gmail.com" TargetMode="External"/><Relationship Id="rId135" Type="http://schemas.openxmlformats.org/officeDocument/2006/relationships/hyperlink" Target="mailto:abedreham799@gmail.com" TargetMode="External"/><Relationship Id="rId377" Type="http://schemas.openxmlformats.org/officeDocument/2006/relationships/hyperlink" Target="https://meraas.my.salesforce.com/0010N00004EZXln" TargetMode="External"/><Relationship Id="rId134" Type="http://schemas.openxmlformats.org/officeDocument/2006/relationships/hyperlink" Target="https://meraas.my.salesforce.com/0060N00000XQQIp" TargetMode="External"/><Relationship Id="rId376" Type="http://schemas.openxmlformats.org/officeDocument/2006/relationships/hyperlink" Target="mailto:gazalamehmood123@gmail.com" TargetMode="External"/><Relationship Id="rId133" Type="http://schemas.openxmlformats.org/officeDocument/2006/relationships/hyperlink" Target="mailto:fminty@yahoo.com" TargetMode="External"/><Relationship Id="rId375" Type="http://schemas.openxmlformats.org/officeDocument/2006/relationships/hyperlink" Target="https://meraas.my.salesforce.com/0010N00004EZVPW" TargetMode="External"/><Relationship Id="rId172" Type="http://schemas.openxmlformats.org/officeDocument/2006/relationships/hyperlink" Target="https://meraas.my.salesforce.com/0060N00000XSHfu" TargetMode="External"/><Relationship Id="rId171" Type="http://schemas.openxmlformats.org/officeDocument/2006/relationships/hyperlink" Target="mailto:farhanayyoob@gmail.com" TargetMode="External"/><Relationship Id="rId170" Type="http://schemas.openxmlformats.org/officeDocument/2006/relationships/hyperlink" Target="https://meraas.my.salesforce.com/0060N00000XSHfL" TargetMode="External"/><Relationship Id="rId165" Type="http://schemas.openxmlformats.org/officeDocument/2006/relationships/hyperlink" Target="mailto:khalid5.balooshi@gmail.com" TargetMode="External"/><Relationship Id="rId164" Type="http://schemas.openxmlformats.org/officeDocument/2006/relationships/hyperlink" Target="https://meraas.my.salesforce.com/0060N00000XS6ha" TargetMode="External"/><Relationship Id="rId163" Type="http://schemas.openxmlformats.org/officeDocument/2006/relationships/hyperlink" Target="mailto:by.group10@gmail.com" TargetMode="External"/><Relationship Id="rId162" Type="http://schemas.openxmlformats.org/officeDocument/2006/relationships/hyperlink" Target="https://meraas.my.salesforce.com/0060N00000XS6gh" TargetMode="External"/><Relationship Id="rId169" Type="http://schemas.openxmlformats.org/officeDocument/2006/relationships/hyperlink" Target="mailto:tareq@homezone.ae" TargetMode="External"/><Relationship Id="rId168" Type="http://schemas.openxmlformats.org/officeDocument/2006/relationships/hyperlink" Target="https://meraas.my.salesforce.com/0060N00000XSDwt" TargetMode="External"/><Relationship Id="rId167" Type="http://schemas.openxmlformats.org/officeDocument/2006/relationships/hyperlink" Target="mailto:marfoq.lucie@hotmail.fr" TargetMode="External"/><Relationship Id="rId166" Type="http://schemas.openxmlformats.org/officeDocument/2006/relationships/hyperlink" Target="https://meraas.my.salesforce.com/0060N00000XSCkN" TargetMode="External"/><Relationship Id="rId161" Type="http://schemas.openxmlformats.org/officeDocument/2006/relationships/hyperlink" Target="mailto:na@na.na" TargetMode="External"/><Relationship Id="rId160" Type="http://schemas.openxmlformats.org/officeDocument/2006/relationships/hyperlink" Target="https://meraas.my.salesforce.com/0060N00000XS6gc" TargetMode="External"/><Relationship Id="rId159" Type="http://schemas.openxmlformats.org/officeDocument/2006/relationships/hyperlink" Target="mailto:s6199001@gmail.com" TargetMode="External"/><Relationship Id="rId154" Type="http://schemas.openxmlformats.org/officeDocument/2006/relationships/hyperlink" Target="https://meraas.my.salesforce.com/0060N00000XQUVn" TargetMode="External"/><Relationship Id="rId396" Type="http://schemas.openxmlformats.org/officeDocument/2006/relationships/hyperlink" Target="mailto:abrarmehmood786@gmail.com" TargetMode="External"/><Relationship Id="rId153" Type="http://schemas.openxmlformats.org/officeDocument/2006/relationships/hyperlink" Target="mailto:muneebmk@hotmail.com" TargetMode="External"/><Relationship Id="rId395" Type="http://schemas.openxmlformats.org/officeDocument/2006/relationships/hyperlink" Target="https://meraas.my.salesforce.com/0010N00004onqBU" TargetMode="External"/><Relationship Id="rId152" Type="http://schemas.openxmlformats.org/officeDocument/2006/relationships/hyperlink" Target="https://meraas.my.salesforce.com/0060N00000XQUUu" TargetMode="External"/><Relationship Id="rId394" Type="http://schemas.openxmlformats.org/officeDocument/2006/relationships/hyperlink" Target="mailto:shahmatta3@gmai.com" TargetMode="External"/><Relationship Id="rId151" Type="http://schemas.openxmlformats.org/officeDocument/2006/relationships/hyperlink" Target="mailto:saeedbangash08@gmail.com" TargetMode="External"/><Relationship Id="rId393" Type="http://schemas.openxmlformats.org/officeDocument/2006/relationships/hyperlink" Target="https://meraas.my.salesforce.com/0010N00004onpzs" TargetMode="External"/><Relationship Id="rId158" Type="http://schemas.openxmlformats.org/officeDocument/2006/relationships/hyperlink" Target="https://meraas.my.salesforce.com/0060N00000XR5bh" TargetMode="External"/><Relationship Id="rId157" Type="http://schemas.openxmlformats.org/officeDocument/2006/relationships/hyperlink" Target="mailto:albadani414@gmail.com" TargetMode="External"/><Relationship Id="rId399" Type="http://schemas.openxmlformats.org/officeDocument/2006/relationships/hyperlink" Target="https://meraas.my.salesforce.com/0010N00004oo6FV" TargetMode="External"/><Relationship Id="rId156" Type="http://schemas.openxmlformats.org/officeDocument/2006/relationships/hyperlink" Target="https://meraas.my.salesforce.com/0060N00000XR51n" TargetMode="External"/><Relationship Id="rId398" Type="http://schemas.openxmlformats.org/officeDocument/2006/relationships/hyperlink" Target="mailto:jalaldin860@gmail.com" TargetMode="External"/><Relationship Id="rId155" Type="http://schemas.openxmlformats.org/officeDocument/2006/relationships/hyperlink" Target="mailto:rishabh.pingault@hotmail.com" TargetMode="External"/><Relationship Id="rId397" Type="http://schemas.openxmlformats.org/officeDocument/2006/relationships/hyperlink" Target="https://meraas.my.salesforce.com/0010N00004onqIz" TargetMode="External"/><Relationship Id="rId40" Type="http://schemas.openxmlformats.org/officeDocument/2006/relationships/hyperlink" Target="mailto:ash.top3@top3.ae" TargetMode="External"/><Relationship Id="rId42" Type="http://schemas.openxmlformats.org/officeDocument/2006/relationships/hyperlink" Target="mailto:safta.catalin@gmail.com" TargetMode="External"/><Relationship Id="rId41" Type="http://schemas.openxmlformats.org/officeDocument/2006/relationships/hyperlink" Target="mailto:pro@aldourigroup.com" TargetMode="External"/><Relationship Id="rId44" Type="http://schemas.openxmlformats.org/officeDocument/2006/relationships/hyperlink" Target="mailto:adel.gazarin@live.com" TargetMode="External"/><Relationship Id="rId43" Type="http://schemas.openxmlformats.org/officeDocument/2006/relationships/hyperlink" Target="mailto:shabbir3940@gmail.com" TargetMode="External"/><Relationship Id="rId46" Type="http://schemas.openxmlformats.org/officeDocument/2006/relationships/hyperlink" Target="mailto:sujoy.cherian@gmail.com" TargetMode="External"/><Relationship Id="rId45" Type="http://schemas.openxmlformats.org/officeDocument/2006/relationships/hyperlink" Target="mailto:khalifa4141@gmail.com" TargetMode="External"/><Relationship Id="rId509" Type="http://schemas.openxmlformats.org/officeDocument/2006/relationships/hyperlink" Target="https://meraas.my.salesforce.com/0010N00004X9OTQ" TargetMode="External"/><Relationship Id="rId508" Type="http://schemas.openxmlformats.org/officeDocument/2006/relationships/hyperlink" Target="mailto:shardasharma18@gmail.com" TargetMode="External"/><Relationship Id="rId503" Type="http://schemas.openxmlformats.org/officeDocument/2006/relationships/hyperlink" Target="mailto:driesgadeyne@googlemail.com" TargetMode="External"/><Relationship Id="rId745" Type="http://schemas.openxmlformats.org/officeDocument/2006/relationships/hyperlink" Target="https://meraas.my.salesforce.com/0010N00004ic4j2" TargetMode="External"/><Relationship Id="rId502" Type="http://schemas.openxmlformats.org/officeDocument/2006/relationships/hyperlink" Target="https://meraas.my.salesforce.com/0010N00004vBDh7" TargetMode="External"/><Relationship Id="rId744" Type="http://schemas.openxmlformats.org/officeDocument/2006/relationships/hyperlink" Target="mailto:khalfan_salem@hotmail.com" TargetMode="External"/><Relationship Id="rId501" Type="http://schemas.openxmlformats.org/officeDocument/2006/relationships/hyperlink" Target="mailto:othmannba2000@gmail.com" TargetMode="External"/><Relationship Id="rId743" Type="http://schemas.openxmlformats.org/officeDocument/2006/relationships/hyperlink" Target="https://meraas.my.salesforce.com/0010N00004yz06W" TargetMode="External"/><Relationship Id="rId500" Type="http://schemas.openxmlformats.org/officeDocument/2006/relationships/hyperlink" Target="https://meraas.my.salesforce.com/0010N00004xeRI2" TargetMode="External"/><Relationship Id="rId742" Type="http://schemas.openxmlformats.org/officeDocument/2006/relationships/hyperlink" Target="mailto:ryantanzikai@gmail.com" TargetMode="External"/><Relationship Id="rId507" Type="http://schemas.openxmlformats.org/officeDocument/2006/relationships/hyperlink" Target="https://meraas.my.salesforce.com/0010N00004X9OI3" TargetMode="External"/><Relationship Id="rId749" Type="http://schemas.openxmlformats.org/officeDocument/2006/relationships/hyperlink" Target="https://meraas.my.salesforce.com/0010N00004ooQGP" TargetMode="External"/><Relationship Id="rId506" Type="http://schemas.openxmlformats.org/officeDocument/2006/relationships/hyperlink" Target="https://meraas.my.salesforce.com/0010N00004W6mqT" TargetMode="External"/><Relationship Id="rId748" Type="http://schemas.openxmlformats.org/officeDocument/2006/relationships/hyperlink" Target="mailto:mustafaefendiev@icloud.com" TargetMode="External"/><Relationship Id="rId505" Type="http://schemas.openxmlformats.org/officeDocument/2006/relationships/hyperlink" Target="mailto:md.o.nasser@gmail.com" TargetMode="External"/><Relationship Id="rId747" Type="http://schemas.openxmlformats.org/officeDocument/2006/relationships/hyperlink" Target="https://meraas.my.salesforce.com/0010N00004n4ThA" TargetMode="External"/><Relationship Id="rId504" Type="http://schemas.openxmlformats.org/officeDocument/2006/relationships/hyperlink" Target="https://meraas.my.salesforce.com/0010N00004W6mne" TargetMode="External"/><Relationship Id="rId746" Type="http://schemas.openxmlformats.org/officeDocument/2006/relationships/hyperlink" Target="mailto:lambrinilitsa@gmail.com" TargetMode="External"/><Relationship Id="rId48" Type="http://schemas.openxmlformats.org/officeDocument/2006/relationships/hyperlink" Target="mailto:ben.hopper@gmail.com" TargetMode="External"/><Relationship Id="rId47" Type="http://schemas.openxmlformats.org/officeDocument/2006/relationships/hyperlink" Target="https://meraas.my.salesforce.com/0010N00004W5QQg" TargetMode="External"/><Relationship Id="rId49" Type="http://schemas.openxmlformats.org/officeDocument/2006/relationships/hyperlink" Target="mailto:hanyalaa@yahoo.com" TargetMode="External"/><Relationship Id="rId741" Type="http://schemas.openxmlformats.org/officeDocument/2006/relationships/hyperlink" Target="https://meraas.my.salesforce.com/0010N00004xxM7d" TargetMode="External"/><Relationship Id="rId740" Type="http://schemas.openxmlformats.org/officeDocument/2006/relationships/hyperlink" Target="mailto:laurent@algt-me.com" TargetMode="External"/><Relationship Id="rId31" Type="http://schemas.openxmlformats.org/officeDocument/2006/relationships/hyperlink" Target="mailto:adnan.naadeem@gmail.com" TargetMode="External"/><Relationship Id="rId30" Type="http://schemas.openxmlformats.org/officeDocument/2006/relationships/hyperlink" Target="mailto:amelia_bria@yahoo.com" TargetMode="External"/><Relationship Id="rId33" Type="http://schemas.openxmlformats.org/officeDocument/2006/relationships/hyperlink" Target="mailto:noura.hazza@gmail.com" TargetMode="External"/><Relationship Id="rId32" Type="http://schemas.openxmlformats.org/officeDocument/2006/relationships/hyperlink" Target="mailto:helal@eim.ae" TargetMode="External"/><Relationship Id="rId35" Type="http://schemas.openxmlformats.org/officeDocument/2006/relationships/hyperlink" Target="mailto:mewaji@hotmail.com" TargetMode="External"/><Relationship Id="rId34" Type="http://schemas.openxmlformats.org/officeDocument/2006/relationships/hyperlink" Target="mailto:celeste.tai.me@gmail.com" TargetMode="External"/><Relationship Id="rId739" Type="http://schemas.openxmlformats.org/officeDocument/2006/relationships/hyperlink" Target="https://meraas.my.salesforce.com/0010N00004xgrge" TargetMode="External"/><Relationship Id="rId734" Type="http://schemas.openxmlformats.org/officeDocument/2006/relationships/hyperlink" Target="mailto:dariouae@gmail.com" TargetMode="External"/><Relationship Id="rId733" Type="http://schemas.openxmlformats.org/officeDocument/2006/relationships/hyperlink" Target="https://meraas.my.salesforce.com/0010N00004wpaQ8" TargetMode="External"/><Relationship Id="rId732" Type="http://schemas.openxmlformats.org/officeDocument/2006/relationships/hyperlink" Target="mailto:teodorakababji@hotmail.con" TargetMode="External"/><Relationship Id="rId731" Type="http://schemas.openxmlformats.org/officeDocument/2006/relationships/hyperlink" Target="https://meraas.my.salesforce.com/0010N00004tvqoK" TargetMode="External"/><Relationship Id="rId738" Type="http://schemas.openxmlformats.org/officeDocument/2006/relationships/hyperlink" Target="mailto:priyanka.priya07@gmail.com" TargetMode="External"/><Relationship Id="rId737" Type="http://schemas.openxmlformats.org/officeDocument/2006/relationships/hyperlink" Target="https://meraas.my.salesforce.com/0010N00004xQyEf" TargetMode="External"/><Relationship Id="rId736" Type="http://schemas.openxmlformats.org/officeDocument/2006/relationships/hyperlink" Target="mailto:nailya.idrissova@gmail.com" TargetMode="External"/><Relationship Id="rId735" Type="http://schemas.openxmlformats.org/officeDocument/2006/relationships/hyperlink" Target="https://meraas.my.salesforce.com/0010N00004m15HG" TargetMode="External"/><Relationship Id="rId37" Type="http://schemas.openxmlformats.org/officeDocument/2006/relationships/hyperlink" Target="mailto:waleedayoub2001@yahoo.com" TargetMode="External"/><Relationship Id="rId36" Type="http://schemas.openxmlformats.org/officeDocument/2006/relationships/hyperlink" Target="mailto:ngchiu10@gmail.com" TargetMode="External"/><Relationship Id="rId39" Type="http://schemas.openxmlformats.org/officeDocument/2006/relationships/hyperlink" Target="mailto:robert.thomas@core-me.com" TargetMode="External"/><Relationship Id="rId38" Type="http://schemas.openxmlformats.org/officeDocument/2006/relationships/hyperlink" Target="mailto:ajaz@zumarestaurant.com" TargetMode="External"/><Relationship Id="rId730" Type="http://schemas.openxmlformats.org/officeDocument/2006/relationships/hyperlink" Target="mailto:adriangsmith@sky.com" TargetMode="External"/><Relationship Id="rId20" Type="http://schemas.openxmlformats.org/officeDocument/2006/relationships/hyperlink" Target="mailto:jeantandong@gmail.com" TargetMode="External"/><Relationship Id="rId22" Type="http://schemas.openxmlformats.org/officeDocument/2006/relationships/hyperlink" Target="mailto:almana6@gmail.com" TargetMode="External"/><Relationship Id="rId21" Type="http://schemas.openxmlformats.org/officeDocument/2006/relationships/hyperlink" Target="https://meraas.my.salesforce.com/0060N00000XPsjV" TargetMode="External"/><Relationship Id="rId24" Type="http://schemas.openxmlformats.org/officeDocument/2006/relationships/hyperlink" Target="mailto:irina.offersen@yahoo.com" TargetMode="External"/><Relationship Id="rId23" Type="http://schemas.openxmlformats.org/officeDocument/2006/relationships/hyperlink" Target="mailto:catli_ma.fatima@yahoo.com" TargetMode="External"/><Relationship Id="rId525" Type="http://schemas.openxmlformats.org/officeDocument/2006/relationships/hyperlink" Target="https://meraas.my.salesforce.com/0010N00004X9pwU" TargetMode="External"/><Relationship Id="rId767" Type="http://schemas.openxmlformats.org/officeDocument/2006/relationships/hyperlink" Target="mailto:ubaidmajeed477@gmail.com" TargetMode="External"/><Relationship Id="rId524" Type="http://schemas.openxmlformats.org/officeDocument/2006/relationships/hyperlink" Target="mailto:suhailrana@outlook.com" TargetMode="External"/><Relationship Id="rId766" Type="http://schemas.openxmlformats.org/officeDocument/2006/relationships/hyperlink" Target="https://meraas.my.salesforce.com/0010N00004ttV9R" TargetMode="External"/><Relationship Id="rId523" Type="http://schemas.openxmlformats.org/officeDocument/2006/relationships/hyperlink" Target="https://meraas.my.salesforce.com/0010N00004X9pwK" TargetMode="External"/><Relationship Id="rId765" Type="http://schemas.openxmlformats.org/officeDocument/2006/relationships/hyperlink" Target="mailto:harryneh@hotmail.com" TargetMode="External"/><Relationship Id="rId522" Type="http://schemas.openxmlformats.org/officeDocument/2006/relationships/hyperlink" Target="mailto:alali_abdulla@hotmail.com" TargetMode="External"/><Relationship Id="rId764" Type="http://schemas.openxmlformats.org/officeDocument/2006/relationships/hyperlink" Target="https://meraas.my.salesforce.com/0010N00004tH4yj" TargetMode="External"/><Relationship Id="rId529" Type="http://schemas.openxmlformats.org/officeDocument/2006/relationships/hyperlink" Target="https://meraas.my.salesforce.com/0010N00004X9qa4" TargetMode="External"/><Relationship Id="rId528" Type="http://schemas.openxmlformats.org/officeDocument/2006/relationships/hyperlink" Target="mailto:quatkhan71@gmail.com" TargetMode="External"/><Relationship Id="rId527" Type="http://schemas.openxmlformats.org/officeDocument/2006/relationships/hyperlink" Target="https://meraas.my.salesforce.com/0010N00004X9qYI" TargetMode="External"/><Relationship Id="rId769" Type="http://schemas.openxmlformats.org/officeDocument/2006/relationships/hyperlink" Target="mailto:adeo101@yahoo.co.uk" TargetMode="External"/><Relationship Id="rId526" Type="http://schemas.openxmlformats.org/officeDocument/2006/relationships/hyperlink" Target="mailto:halawt0016@gmail.com" TargetMode="External"/><Relationship Id="rId768" Type="http://schemas.openxmlformats.org/officeDocument/2006/relationships/hyperlink" Target="https://meraas.my.salesforce.com/0010N00004vCy5V" TargetMode="External"/><Relationship Id="rId26" Type="http://schemas.openxmlformats.org/officeDocument/2006/relationships/hyperlink" Target="mailto:isabel.estember@gmail.com" TargetMode="External"/><Relationship Id="rId25" Type="http://schemas.openxmlformats.org/officeDocument/2006/relationships/hyperlink" Target="mailto:ms.rayan94@hotmail.com" TargetMode="External"/><Relationship Id="rId28" Type="http://schemas.openxmlformats.org/officeDocument/2006/relationships/hyperlink" Target="mailto:jaffac38@yahoo.com" TargetMode="External"/><Relationship Id="rId27" Type="http://schemas.openxmlformats.org/officeDocument/2006/relationships/hyperlink" Target="mailto:yowbunny@gmail.com" TargetMode="External"/><Relationship Id="rId521" Type="http://schemas.openxmlformats.org/officeDocument/2006/relationships/hyperlink" Target="https://meraas.my.salesforce.com/0010N00004X9ppE" TargetMode="External"/><Relationship Id="rId763" Type="http://schemas.openxmlformats.org/officeDocument/2006/relationships/hyperlink" Target="mailto:moath.mkk@gmail.com" TargetMode="External"/><Relationship Id="rId29" Type="http://schemas.openxmlformats.org/officeDocument/2006/relationships/hyperlink" Target="mailto:rubelynpetallo1979@gmail.com" TargetMode="External"/><Relationship Id="rId520" Type="http://schemas.openxmlformats.org/officeDocument/2006/relationships/hyperlink" Target="mailto:mathew.mabin@gmail.com" TargetMode="External"/><Relationship Id="rId762" Type="http://schemas.openxmlformats.org/officeDocument/2006/relationships/hyperlink" Target="https://meraas.my.salesforce.com/0010N00004xyOAR" TargetMode="External"/><Relationship Id="rId761" Type="http://schemas.openxmlformats.org/officeDocument/2006/relationships/hyperlink" Target="mailto:theghost.ae@gmail.com" TargetMode="External"/><Relationship Id="rId760" Type="http://schemas.openxmlformats.org/officeDocument/2006/relationships/hyperlink" Target="https://meraas.my.salesforce.com/0010N00004EZaET" TargetMode="External"/><Relationship Id="rId11" Type="http://schemas.openxmlformats.org/officeDocument/2006/relationships/hyperlink" Target="https://meraas.my.salesforce.com/0010N00004EZ15L" TargetMode="External"/><Relationship Id="rId10" Type="http://schemas.openxmlformats.org/officeDocument/2006/relationships/hyperlink" Target="mailto:rajesh050@yahoo.com" TargetMode="External"/><Relationship Id="rId13" Type="http://schemas.openxmlformats.org/officeDocument/2006/relationships/hyperlink" Target="mailto:celeste.tai.me@gmail.com" TargetMode="External"/><Relationship Id="rId12" Type="http://schemas.openxmlformats.org/officeDocument/2006/relationships/hyperlink" Target="mailto:gauravjaiswal93@gmail.com" TargetMode="External"/><Relationship Id="rId519" Type="http://schemas.openxmlformats.org/officeDocument/2006/relationships/hyperlink" Target="https://meraas.my.salesforce.com/0010N00004X9pm0" TargetMode="External"/><Relationship Id="rId514" Type="http://schemas.openxmlformats.org/officeDocument/2006/relationships/hyperlink" Target="mailto:osrnirav1988@gmail.com" TargetMode="External"/><Relationship Id="rId756" Type="http://schemas.openxmlformats.org/officeDocument/2006/relationships/hyperlink" Target="https://meraas.my.salesforce.com/0010N00004mODJ0" TargetMode="External"/><Relationship Id="rId513" Type="http://schemas.openxmlformats.org/officeDocument/2006/relationships/hyperlink" Target="https://meraas.my.salesforce.com/0010N00004X9PDE" TargetMode="External"/><Relationship Id="rId755" Type="http://schemas.openxmlformats.org/officeDocument/2006/relationships/hyperlink" Target="mailto:jebofm@gmail.com" TargetMode="External"/><Relationship Id="rId512" Type="http://schemas.openxmlformats.org/officeDocument/2006/relationships/hyperlink" Target="mailto:millstoreindia@gmail.com" TargetMode="External"/><Relationship Id="rId754" Type="http://schemas.openxmlformats.org/officeDocument/2006/relationships/hyperlink" Target="https://meraas.my.salesforce.com/0010N00004lCkVg" TargetMode="External"/><Relationship Id="rId511" Type="http://schemas.openxmlformats.org/officeDocument/2006/relationships/hyperlink" Target="https://meraas.my.salesforce.com/0010N00004X9OyQ" TargetMode="External"/><Relationship Id="rId753" Type="http://schemas.openxmlformats.org/officeDocument/2006/relationships/hyperlink" Target="https://meraas.my.salesforce.com/0010N00004xPh7O" TargetMode="External"/><Relationship Id="rId518" Type="http://schemas.openxmlformats.org/officeDocument/2006/relationships/hyperlink" Target="mailto:farooqsarwar1431@gmail.com" TargetMode="External"/><Relationship Id="rId517" Type="http://schemas.openxmlformats.org/officeDocument/2006/relationships/hyperlink" Target="https://meraas.my.salesforce.com/0010N00004X9pih" TargetMode="External"/><Relationship Id="rId759" Type="http://schemas.openxmlformats.org/officeDocument/2006/relationships/hyperlink" Target="mailto:mohamed@wjtowell.com" TargetMode="External"/><Relationship Id="rId516" Type="http://schemas.openxmlformats.org/officeDocument/2006/relationships/hyperlink" Target="mailto:vikram1861@gmail.com" TargetMode="External"/><Relationship Id="rId758" Type="http://schemas.openxmlformats.org/officeDocument/2006/relationships/hyperlink" Target="https://meraas.my.salesforce.com/0010N00004n4XvC" TargetMode="External"/><Relationship Id="rId515" Type="http://schemas.openxmlformats.org/officeDocument/2006/relationships/hyperlink" Target="https://meraas.my.salesforce.com/0010N00004X9acN" TargetMode="External"/><Relationship Id="rId757" Type="http://schemas.openxmlformats.org/officeDocument/2006/relationships/hyperlink" Target="mailto:eman.abdellatif@network.global" TargetMode="External"/><Relationship Id="rId15" Type="http://schemas.openxmlformats.org/officeDocument/2006/relationships/hyperlink" Target="mailto:nabulsi.amer@gmail.com" TargetMode="External"/><Relationship Id="rId14" Type="http://schemas.openxmlformats.org/officeDocument/2006/relationships/hyperlink" Target="mailto:naturesea011@gmail.com" TargetMode="External"/><Relationship Id="rId17" Type="http://schemas.openxmlformats.org/officeDocument/2006/relationships/hyperlink" Target="mailto:rubeis.mirko@bcg.com" TargetMode="External"/><Relationship Id="rId16" Type="http://schemas.openxmlformats.org/officeDocument/2006/relationships/hyperlink" Target="mailto:ailsa.pollard@dnata.com" TargetMode="External"/><Relationship Id="rId19" Type="http://schemas.openxmlformats.org/officeDocument/2006/relationships/hyperlink" Target="mailto:tom.jiang@5i5j.com" TargetMode="External"/><Relationship Id="rId510" Type="http://schemas.openxmlformats.org/officeDocument/2006/relationships/hyperlink" Target="mailto:aalgamddi@gmail.com" TargetMode="External"/><Relationship Id="rId752" Type="http://schemas.openxmlformats.org/officeDocument/2006/relationships/hyperlink" Target="mailto:issanaddour@yahoo.com" TargetMode="External"/><Relationship Id="rId18" Type="http://schemas.openxmlformats.org/officeDocument/2006/relationships/hyperlink" Target="mailto:jzhifei@gmail.com" TargetMode="External"/><Relationship Id="rId751" Type="http://schemas.openxmlformats.org/officeDocument/2006/relationships/hyperlink" Target="https://meraas.my.salesforce.com/0010N00004xhif9" TargetMode="External"/><Relationship Id="rId750" Type="http://schemas.openxmlformats.org/officeDocument/2006/relationships/hyperlink" Target="mailto:bilal.tengree@gmail.com" TargetMode="External"/><Relationship Id="rId84" Type="http://schemas.openxmlformats.org/officeDocument/2006/relationships/hyperlink" Target="https://meraas.my.salesforce.com/0060N00000XQKS0" TargetMode="External"/><Relationship Id="rId83" Type="http://schemas.openxmlformats.org/officeDocument/2006/relationships/hyperlink" Target="mailto:aston55@windowslive.com" TargetMode="External"/><Relationship Id="rId86" Type="http://schemas.openxmlformats.org/officeDocument/2006/relationships/hyperlink" Target="https://meraas.my.salesforce.com/0060N00000XQKVJ" TargetMode="External"/><Relationship Id="rId85" Type="http://schemas.openxmlformats.org/officeDocument/2006/relationships/hyperlink" Target="mailto:info@premium-management.eu" TargetMode="External"/><Relationship Id="rId88" Type="http://schemas.openxmlformats.org/officeDocument/2006/relationships/hyperlink" Target="https://meraas.my.salesforce.com/0060N00000XQKW2" TargetMode="External"/><Relationship Id="rId87" Type="http://schemas.openxmlformats.org/officeDocument/2006/relationships/hyperlink" Target="mailto:randabdullah85@hotmail.com" TargetMode="External"/><Relationship Id="rId89" Type="http://schemas.openxmlformats.org/officeDocument/2006/relationships/hyperlink" Target="mailto:sambv123@hotmail.co.uk" TargetMode="External"/><Relationship Id="rId709" Type="http://schemas.openxmlformats.org/officeDocument/2006/relationships/hyperlink" Target="https://meraas.my.salesforce.com/0010N00004X9pyB" TargetMode="External"/><Relationship Id="rId708" Type="http://schemas.openxmlformats.org/officeDocument/2006/relationships/hyperlink" Target="mailto:na@na.com" TargetMode="External"/><Relationship Id="rId707" Type="http://schemas.openxmlformats.org/officeDocument/2006/relationships/hyperlink" Target="https://meraas.my.salesforce.com/0010N00004X9piw" TargetMode="External"/><Relationship Id="rId706" Type="http://schemas.openxmlformats.org/officeDocument/2006/relationships/hyperlink" Target="mailto:isabeltapp@alldetails.net" TargetMode="External"/><Relationship Id="rId80" Type="http://schemas.openxmlformats.org/officeDocument/2006/relationships/hyperlink" Target="https://meraas.my.salesforce.com/0060N00000XQKQJ" TargetMode="External"/><Relationship Id="rId82" Type="http://schemas.openxmlformats.org/officeDocument/2006/relationships/hyperlink" Target="https://meraas.my.salesforce.com/0060N00000XQKRH" TargetMode="External"/><Relationship Id="rId81" Type="http://schemas.openxmlformats.org/officeDocument/2006/relationships/hyperlink" Target="mailto:elizabethdunnebl@gmail.com" TargetMode="External"/><Relationship Id="rId701" Type="http://schemas.openxmlformats.org/officeDocument/2006/relationships/hyperlink" Target="https://meraas.my.salesforce.com/0010N00004WOVGa" TargetMode="External"/><Relationship Id="rId700" Type="http://schemas.openxmlformats.org/officeDocument/2006/relationships/hyperlink" Target="mailto:bilalbs92@hotmail.com" TargetMode="External"/><Relationship Id="rId705" Type="http://schemas.openxmlformats.org/officeDocument/2006/relationships/hyperlink" Target="https://meraas.my.salesforce.com/0010N00004W6npW" TargetMode="External"/><Relationship Id="rId704" Type="http://schemas.openxmlformats.org/officeDocument/2006/relationships/hyperlink" Target="mailto:coronel.warlon27@gmail.com" TargetMode="External"/><Relationship Id="rId703" Type="http://schemas.openxmlformats.org/officeDocument/2006/relationships/hyperlink" Target="https://meraas.my.salesforce.com/0010N00004daqJb" TargetMode="External"/><Relationship Id="rId702" Type="http://schemas.openxmlformats.org/officeDocument/2006/relationships/hyperlink" Target="mailto:manelconstruction5@gmail.com" TargetMode="External"/><Relationship Id="rId73" Type="http://schemas.openxmlformats.org/officeDocument/2006/relationships/hyperlink" Target="mailto:khalil.eid@hotmail.com" TargetMode="External"/><Relationship Id="rId72" Type="http://schemas.openxmlformats.org/officeDocument/2006/relationships/hyperlink" Target="mailto:noora.aljassim@gmail.com" TargetMode="External"/><Relationship Id="rId75" Type="http://schemas.openxmlformats.org/officeDocument/2006/relationships/hyperlink" Target="mailto:zarak.khan@hotmail.com" TargetMode="External"/><Relationship Id="rId74" Type="http://schemas.openxmlformats.org/officeDocument/2006/relationships/hyperlink" Target="https://meraas.my.salesforce.com/0060N00000XQKGD" TargetMode="External"/><Relationship Id="rId77" Type="http://schemas.openxmlformats.org/officeDocument/2006/relationships/hyperlink" Target="mailto:deepa_sud@yahoo.com" TargetMode="External"/><Relationship Id="rId76" Type="http://schemas.openxmlformats.org/officeDocument/2006/relationships/hyperlink" Target="https://meraas.my.salesforce.com/0060N00000XQKGm" TargetMode="External"/><Relationship Id="rId79" Type="http://schemas.openxmlformats.org/officeDocument/2006/relationships/hyperlink" Target="mailto:ssayadan@yahoo.com" TargetMode="External"/><Relationship Id="rId78" Type="http://schemas.openxmlformats.org/officeDocument/2006/relationships/hyperlink" Target="https://meraas.my.salesforce.com/0060N00000XQKPp" TargetMode="External"/><Relationship Id="rId71" Type="http://schemas.openxmlformats.org/officeDocument/2006/relationships/hyperlink" Target="mailto:hudaali89@live.com" TargetMode="External"/><Relationship Id="rId70" Type="http://schemas.openxmlformats.org/officeDocument/2006/relationships/hyperlink" Target="mailto:hmssty@emirates.net.ae" TargetMode="External"/><Relationship Id="rId62" Type="http://schemas.openxmlformats.org/officeDocument/2006/relationships/hyperlink" Target="mailto:majid.alhouli@ayhoo.com" TargetMode="External"/><Relationship Id="rId61" Type="http://schemas.openxmlformats.org/officeDocument/2006/relationships/hyperlink" Target="mailto:tj5922@gmail.com" TargetMode="External"/><Relationship Id="rId64" Type="http://schemas.openxmlformats.org/officeDocument/2006/relationships/hyperlink" Target="mailto:roshan-shingadia@hotmail.co.uk" TargetMode="External"/><Relationship Id="rId63" Type="http://schemas.openxmlformats.org/officeDocument/2006/relationships/hyperlink" Target="mailto:queenloosha@live.com" TargetMode="External"/><Relationship Id="rId66" Type="http://schemas.openxmlformats.org/officeDocument/2006/relationships/hyperlink" Target="https://meraas.my.salesforce.com/0010N00004W5UGS" TargetMode="External"/><Relationship Id="rId65" Type="http://schemas.openxmlformats.org/officeDocument/2006/relationships/hyperlink" Target="mailto:swisstopof@hotmail.com" TargetMode="External"/><Relationship Id="rId68" Type="http://schemas.openxmlformats.org/officeDocument/2006/relationships/hyperlink" Target="mailto:lirie@indusre.ae" TargetMode="External"/><Relationship Id="rId67" Type="http://schemas.openxmlformats.org/officeDocument/2006/relationships/hyperlink" Target="mailto:jayddev@ghaghada.com" TargetMode="External"/><Relationship Id="rId729" Type="http://schemas.openxmlformats.org/officeDocument/2006/relationships/hyperlink" Target="https://meraas.my.salesforce.com/0010N00004rd7xB" TargetMode="External"/><Relationship Id="rId728" Type="http://schemas.openxmlformats.org/officeDocument/2006/relationships/hyperlink" Target="mailto:saifbinkaram600@gmail.com" TargetMode="External"/><Relationship Id="rId60" Type="http://schemas.openxmlformats.org/officeDocument/2006/relationships/hyperlink" Target="mailto:sajnanig@emirates.net.ae" TargetMode="External"/><Relationship Id="rId723" Type="http://schemas.openxmlformats.org/officeDocument/2006/relationships/hyperlink" Target="https://meraas.my.salesforce.com/0010N00004XCHEb" TargetMode="External"/><Relationship Id="rId722" Type="http://schemas.openxmlformats.org/officeDocument/2006/relationships/hyperlink" Target="mailto:rui.alegre@cale.pt" TargetMode="External"/><Relationship Id="rId721" Type="http://schemas.openxmlformats.org/officeDocument/2006/relationships/hyperlink" Target="https://meraas.my.salesforce.com/0010N00004XBGG6" TargetMode="External"/><Relationship Id="rId720" Type="http://schemas.openxmlformats.org/officeDocument/2006/relationships/hyperlink" Target="https://meraas.my.salesforce.com/0010N00004XAqyH" TargetMode="External"/><Relationship Id="rId727" Type="http://schemas.openxmlformats.org/officeDocument/2006/relationships/hyperlink" Target="https://meraas.my.salesforce.com/0010N00004XCGLB" TargetMode="External"/><Relationship Id="rId726" Type="http://schemas.openxmlformats.org/officeDocument/2006/relationships/hyperlink" Target="mailto:h.samir01@gmail.com" TargetMode="External"/><Relationship Id="rId725" Type="http://schemas.openxmlformats.org/officeDocument/2006/relationships/hyperlink" Target="https://meraas.my.salesforce.com/0010N00004XCHZR" TargetMode="External"/><Relationship Id="rId724" Type="http://schemas.openxmlformats.org/officeDocument/2006/relationships/hyperlink" Target="mailto:sadoun1@hotmail.com" TargetMode="External"/><Relationship Id="rId69" Type="http://schemas.openxmlformats.org/officeDocument/2006/relationships/hyperlink" Target="mailto:sienimario@gmail.com" TargetMode="External"/><Relationship Id="rId51" Type="http://schemas.openxmlformats.org/officeDocument/2006/relationships/hyperlink" Target="mailto:ahmed.ibrahimsaleh79@gmail.com" TargetMode="External"/><Relationship Id="rId50" Type="http://schemas.openxmlformats.org/officeDocument/2006/relationships/hyperlink" Target="mailto:gregoryfrith@gmail.com" TargetMode="External"/><Relationship Id="rId53" Type="http://schemas.openxmlformats.org/officeDocument/2006/relationships/hyperlink" Target="mailto:shumailabutt89@yahoo.com" TargetMode="External"/><Relationship Id="rId52" Type="http://schemas.openxmlformats.org/officeDocument/2006/relationships/hyperlink" Target="mailto:mi.alhosani4@gmail.com" TargetMode="External"/><Relationship Id="rId55" Type="http://schemas.openxmlformats.org/officeDocument/2006/relationships/hyperlink" Target="mailto:andy@q7aircargo.com" TargetMode="External"/><Relationship Id="rId54" Type="http://schemas.openxmlformats.org/officeDocument/2006/relationships/hyperlink" Target="mailto:aalmadhani@gmail.com" TargetMode="External"/><Relationship Id="rId57" Type="http://schemas.openxmlformats.org/officeDocument/2006/relationships/hyperlink" Target="mailto:staisabelryan@yahoo.com" TargetMode="External"/><Relationship Id="rId56" Type="http://schemas.openxmlformats.org/officeDocument/2006/relationships/hyperlink" Target="mailto:a7m555@hotmail.com" TargetMode="External"/><Relationship Id="rId719" Type="http://schemas.openxmlformats.org/officeDocument/2006/relationships/hyperlink" Target="https://meraas.my.salesforce.com/0010N00004VlFOh" TargetMode="External"/><Relationship Id="rId718" Type="http://schemas.openxmlformats.org/officeDocument/2006/relationships/hyperlink" Target="https://meraas.my.salesforce.com/0010N00004xwdNF" TargetMode="External"/><Relationship Id="rId717" Type="http://schemas.openxmlformats.org/officeDocument/2006/relationships/hyperlink" Target="mailto:sdhanesh97@gmail.com" TargetMode="External"/><Relationship Id="rId712" Type="http://schemas.openxmlformats.org/officeDocument/2006/relationships/hyperlink" Target="https://meraas.my.salesforce.com/0010N00004X9q2X" TargetMode="External"/><Relationship Id="rId711" Type="http://schemas.openxmlformats.org/officeDocument/2006/relationships/hyperlink" Target="https://meraas.my.salesforce.com/0010N00004X9q0g" TargetMode="External"/><Relationship Id="rId710" Type="http://schemas.openxmlformats.org/officeDocument/2006/relationships/hyperlink" Target="mailto:saif@orientdesertrealestate.com" TargetMode="External"/><Relationship Id="rId716" Type="http://schemas.openxmlformats.org/officeDocument/2006/relationships/hyperlink" Target="https://meraas.my.salesforce.com/0010N00004X9qnr" TargetMode="External"/><Relationship Id="rId715" Type="http://schemas.openxmlformats.org/officeDocument/2006/relationships/hyperlink" Target="https://meraas.my.salesforce.com/0010N00004X9qZz" TargetMode="External"/><Relationship Id="rId714" Type="http://schemas.openxmlformats.org/officeDocument/2006/relationships/hyperlink" Target="https://meraas.my.salesforce.com/0010N00004X9qWq" TargetMode="External"/><Relationship Id="rId713" Type="http://schemas.openxmlformats.org/officeDocument/2006/relationships/hyperlink" Target="https://meraas.my.salesforce.com/0010N00004X9q5g" TargetMode="External"/><Relationship Id="rId59" Type="http://schemas.openxmlformats.org/officeDocument/2006/relationships/hyperlink" Target="mailto:manal.essam@dmc.ae" TargetMode="External"/><Relationship Id="rId58" Type="http://schemas.openxmlformats.org/officeDocument/2006/relationships/hyperlink" Target="mailto:clarita@karenmillen-uae.com" TargetMode="External"/><Relationship Id="rId590" Type="http://schemas.openxmlformats.org/officeDocument/2006/relationships/hyperlink" Target="mailto:kefah.bc@gmail.com" TargetMode="External"/><Relationship Id="rId107" Type="http://schemas.openxmlformats.org/officeDocument/2006/relationships/hyperlink" Target="mailto:tarek.nahl@yahoo.com" TargetMode="External"/><Relationship Id="rId349" Type="http://schemas.openxmlformats.org/officeDocument/2006/relationships/hyperlink" Target="https://meraas.my.salesforce.com/0010N00004n47Fx" TargetMode="External"/><Relationship Id="rId106" Type="http://schemas.openxmlformats.org/officeDocument/2006/relationships/hyperlink" Target="https://meraas.my.salesforce.com/0060N00000XQQD6" TargetMode="External"/><Relationship Id="rId348" Type="http://schemas.openxmlformats.org/officeDocument/2006/relationships/hyperlink" Target="mailto:lyalhabsy@gmail.com" TargetMode="External"/><Relationship Id="rId105" Type="http://schemas.openxmlformats.org/officeDocument/2006/relationships/hyperlink" Target="mailto:waelhadi@hotmail.com" TargetMode="External"/><Relationship Id="rId347" Type="http://schemas.openxmlformats.org/officeDocument/2006/relationships/hyperlink" Target="https://meraas.my.salesforce.com/0010N00004n4709" TargetMode="External"/><Relationship Id="rId589" Type="http://schemas.openxmlformats.org/officeDocument/2006/relationships/hyperlink" Target="https://meraas.my.salesforce.com/0010N00004YMtkv" TargetMode="External"/><Relationship Id="rId104" Type="http://schemas.openxmlformats.org/officeDocument/2006/relationships/hyperlink" Target="https://meraas.my.salesforce.com/0060N00000XQQCm" TargetMode="External"/><Relationship Id="rId346" Type="http://schemas.openxmlformats.org/officeDocument/2006/relationships/hyperlink" Target="mailto:abdulla.bintouq@gmail.com" TargetMode="External"/><Relationship Id="rId588" Type="http://schemas.openxmlformats.org/officeDocument/2006/relationships/hyperlink" Target="mailto:a_t83@hotmail.com" TargetMode="External"/><Relationship Id="rId109" Type="http://schemas.openxmlformats.org/officeDocument/2006/relationships/hyperlink" Target="mailto:bohzaa3@eim.ae" TargetMode="External"/><Relationship Id="rId108" Type="http://schemas.openxmlformats.org/officeDocument/2006/relationships/hyperlink" Target="https://meraas.my.salesforce.com/0060N00000XQQDB" TargetMode="External"/><Relationship Id="rId341" Type="http://schemas.openxmlformats.org/officeDocument/2006/relationships/hyperlink" Target="https://meraas.my.salesforce.com/0010N00004n46bK" TargetMode="External"/><Relationship Id="rId583" Type="http://schemas.openxmlformats.org/officeDocument/2006/relationships/hyperlink" Target="https://meraas.my.salesforce.com/0010N00004YMtjd" TargetMode="External"/><Relationship Id="rId340" Type="http://schemas.openxmlformats.org/officeDocument/2006/relationships/hyperlink" Target="mailto:dr.faisal.alyahya@gmail.com" TargetMode="External"/><Relationship Id="rId582" Type="http://schemas.openxmlformats.org/officeDocument/2006/relationships/hyperlink" Target="mailto:bahaa.itaoui@hotmail.com" TargetMode="External"/><Relationship Id="rId581" Type="http://schemas.openxmlformats.org/officeDocument/2006/relationships/hyperlink" Target="https://meraas.my.salesforce.com/0010N00004YMtjO" TargetMode="External"/><Relationship Id="rId580" Type="http://schemas.openxmlformats.org/officeDocument/2006/relationships/hyperlink" Target="mailto:itsfasx2@gmail.com" TargetMode="External"/><Relationship Id="rId103" Type="http://schemas.openxmlformats.org/officeDocument/2006/relationships/hyperlink" Target="mailto:kendocherty@hotmail.com" TargetMode="External"/><Relationship Id="rId345" Type="http://schemas.openxmlformats.org/officeDocument/2006/relationships/hyperlink" Target="https://meraas.my.salesforce.com/0010N00004n46yI" TargetMode="External"/><Relationship Id="rId587" Type="http://schemas.openxmlformats.org/officeDocument/2006/relationships/hyperlink" Target="https://meraas.my.salesforce.com/0010N00004YMtkM" TargetMode="External"/><Relationship Id="rId102" Type="http://schemas.openxmlformats.org/officeDocument/2006/relationships/hyperlink" Target="https://meraas.my.salesforce.com/0060N00000XQQ23" TargetMode="External"/><Relationship Id="rId344" Type="http://schemas.openxmlformats.org/officeDocument/2006/relationships/hyperlink" Target="mailto:ashishbagga@hotmail.com" TargetMode="External"/><Relationship Id="rId586" Type="http://schemas.openxmlformats.org/officeDocument/2006/relationships/hyperlink" Target="mailto:helsisi68@hotmail.com" TargetMode="External"/><Relationship Id="rId101" Type="http://schemas.openxmlformats.org/officeDocument/2006/relationships/hyperlink" Target="mailto:imrankhan5@hotmail.com" TargetMode="External"/><Relationship Id="rId343" Type="http://schemas.openxmlformats.org/officeDocument/2006/relationships/hyperlink" Target="https://meraas.my.salesforce.com/0010N00004n46hr" TargetMode="External"/><Relationship Id="rId585" Type="http://schemas.openxmlformats.org/officeDocument/2006/relationships/hyperlink" Target="https://meraas.my.salesforce.com/0010N00004YMtk2" TargetMode="External"/><Relationship Id="rId100" Type="http://schemas.openxmlformats.org/officeDocument/2006/relationships/hyperlink" Target="https://meraas.my.salesforce.com/0060N00000XQQ0v" TargetMode="External"/><Relationship Id="rId342" Type="http://schemas.openxmlformats.org/officeDocument/2006/relationships/hyperlink" Target="mailto:nchabria@mysoreammonia.com" TargetMode="External"/><Relationship Id="rId584" Type="http://schemas.openxmlformats.org/officeDocument/2006/relationships/hyperlink" Target="mailto:reef.khaja@gmail.com" TargetMode="External"/><Relationship Id="rId338" Type="http://schemas.openxmlformats.org/officeDocument/2006/relationships/hyperlink" Target="mailto:nite_3x@live.com" TargetMode="External"/><Relationship Id="rId337" Type="http://schemas.openxmlformats.org/officeDocument/2006/relationships/hyperlink" Target="https://meraas.my.salesforce.com/0010N00004n45xj" TargetMode="External"/><Relationship Id="rId579" Type="http://schemas.openxmlformats.org/officeDocument/2006/relationships/hyperlink" Target="https://meraas.my.salesforce.com/0010N00004YMtik" TargetMode="External"/><Relationship Id="rId336" Type="http://schemas.openxmlformats.org/officeDocument/2006/relationships/hyperlink" Target="mailto:adilbashir@hotmail.com" TargetMode="External"/><Relationship Id="rId578" Type="http://schemas.openxmlformats.org/officeDocument/2006/relationships/hyperlink" Target="mailto:mohammad.bhojani@azadea.com" TargetMode="External"/><Relationship Id="rId335" Type="http://schemas.openxmlformats.org/officeDocument/2006/relationships/hyperlink" Target="https://meraas.my.salesforce.com/0010N00004n45ls" TargetMode="External"/><Relationship Id="rId577" Type="http://schemas.openxmlformats.org/officeDocument/2006/relationships/hyperlink" Target="https://meraas.my.salesforce.com/0010N00004YMtiQ" TargetMode="External"/><Relationship Id="rId339" Type="http://schemas.openxmlformats.org/officeDocument/2006/relationships/hyperlink" Target="https://meraas.my.salesforce.com/0010N00004n46Fi" TargetMode="External"/><Relationship Id="rId330" Type="http://schemas.openxmlformats.org/officeDocument/2006/relationships/hyperlink" Target="mailto:bikramkalsey@gmail.com" TargetMode="External"/><Relationship Id="rId572" Type="http://schemas.openxmlformats.org/officeDocument/2006/relationships/hyperlink" Target="mailto:mahiwish4@gmail.com" TargetMode="External"/><Relationship Id="rId571" Type="http://schemas.openxmlformats.org/officeDocument/2006/relationships/hyperlink" Target="https://meraas.my.salesforce.com/0010N00004YMtgP" TargetMode="External"/><Relationship Id="rId570" Type="http://schemas.openxmlformats.org/officeDocument/2006/relationships/hyperlink" Target="mailto:ibrarahmed2022@yahoo.com" TargetMode="External"/><Relationship Id="rId334" Type="http://schemas.openxmlformats.org/officeDocument/2006/relationships/hyperlink" Target="mailto:ahmad.h.005@gmail.com" TargetMode="External"/><Relationship Id="rId576" Type="http://schemas.openxmlformats.org/officeDocument/2006/relationships/hyperlink" Target="mailto:yara_kheshen@outlook.com" TargetMode="External"/><Relationship Id="rId333" Type="http://schemas.openxmlformats.org/officeDocument/2006/relationships/hyperlink" Target="https://meraas.my.salesforce.com/0010N00004n45Qz" TargetMode="External"/><Relationship Id="rId575" Type="http://schemas.openxmlformats.org/officeDocument/2006/relationships/hyperlink" Target="https://meraas.my.salesforce.com/0010N00004YMtiG" TargetMode="External"/><Relationship Id="rId332" Type="http://schemas.openxmlformats.org/officeDocument/2006/relationships/hyperlink" Target="mailto:rohitjain.rj@gmail.com" TargetMode="External"/><Relationship Id="rId574" Type="http://schemas.openxmlformats.org/officeDocument/2006/relationships/hyperlink" Target="mailto:enor49@hotmail.com" TargetMode="External"/><Relationship Id="rId331" Type="http://schemas.openxmlformats.org/officeDocument/2006/relationships/hyperlink" Target="https://meraas.my.salesforce.com/0010N00004n3r7k" TargetMode="External"/><Relationship Id="rId573" Type="http://schemas.openxmlformats.org/officeDocument/2006/relationships/hyperlink" Target="https://meraas.my.salesforce.com/0010N00004YMti1" TargetMode="External"/><Relationship Id="rId370" Type="http://schemas.openxmlformats.org/officeDocument/2006/relationships/hyperlink" Target="mailto:raheemshehzad88@gmail.com" TargetMode="External"/><Relationship Id="rId129" Type="http://schemas.openxmlformats.org/officeDocument/2006/relationships/hyperlink" Target="mailto:zqweitin@gmail.com" TargetMode="External"/><Relationship Id="rId128" Type="http://schemas.openxmlformats.org/officeDocument/2006/relationships/hyperlink" Target="https://meraas.my.salesforce.com/0060N00000XQQGF" TargetMode="External"/><Relationship Id="rId127" Type="http://schemas.openxmlformats.org/officeDocument/2006/relationships/hyperlink" Target="mailto:ikaradjian@yahoo.com" TargetMode="External"/><Relationship Id="rId369" Type="http://schemas.openxmlformats.org/officeDocument/2006/relationships/hyperlink" Target="https://meraas.my.salesforce.com/0010N00004EZD65" TargetMode="External"/><Relationship Id="rId126" Type="http://schemas.openxmlformats.org/officeDocument/2006/relationships/hyperlink" Target="https://meraas.my.salesforce.com/0060N00000XQQG5" TargetMode="External"/><Relationship Id="rId368" Type="http://schemas.openxmlformats.org/officeDocument/2006/relationships/hyperlink" Target="mailto:m_asghar78@yahoo.com" TargetMode="External"/><Relationship Id="rId121" Type="http://schemas.openxmlformats.org/officeDocument/2006/relationships/hyperlink" Target="mailto:john.lewis@clydeco.ae" TargetMode="External"/><Relationship Id="rId363" Type="http://schemas.openxmlformats.org/officeDocument/2006/relationships/hyperlink" Target="https://meraas.my.salesforce.com/0010N00004EZBPE" TargetMode="External"/><Relationship Id="rId120" Type="http://schemas.openxmlformats.org/officeDocument/2006/relationships/hyperlink" Target="https://meraas.my.salesforce.com/0060N00000XQQEs" TargetMode="External"/><Relationship Id="rId362" Type="http://schemas.openxmlformats.org/officeDocument/2006/relationships/hyperlink" Target="mailto:farooqsarwar1431@gmail.com" TargetMode="External"/><Relationship Id="rId361" Type="http://schemas.openxmlformats.org/officeDocument/2006/relationships/hyperlink" Target="https://meraas.my.salesforce.com/0010N00004EZ8nc" TargetMode="External"/><Relationship Id="rId360" Type="http://schemas.openxmlformats.org/officeDocument/2006/relationships/hyperlink" Target="mailto:rajasomaiya@hotmail.com" TargetMode="External"/><Relationship Id="rId125" Type="http://schemas.openxmlformats.org/officeDocument/2006/relationships/hyperlink" Target="mailto:matteo_mosca@yahoo.com" TargetMode="External"/><Relationship Id="rId367" Type="http://schemas.openxmlformats.org/officeDocument/2006/relationships/hyperlink" Target="https://meraas.my.salesforce.com/0010N00004EZC8O" TargetMode="External"/><Relationship Id="rId124" Type="http://schemas.openxmlformats.org/officeDocument/2006/relationships/hyperlink" Target="https://meraas.my.salesforce.com/0060N00000XQQFR" TargetMode="External"/><Relationship Id="rId366" Type="http://schemas.openxmlformats.org/officeDocument/2006/relationships/hyperlink" Target="mailto:cool_a2006@hotmail.com" TargetMode="External"/><Relationship Id="rId123" Type="http://schemas.openxmlformats.org/officeDocument/2006/relationships/hyperlink" Target="mailto:khushal_khanna@yahoo.com" TargetMode="External"/><Relationship Id="rId365" Type="http://schemas.openxmlformats.org/officeDocument/2006/relationships/hyperlink" Target="https://meraas.my.salesforce.com/0010N00004EZBdj" TargetMode="External"/><Relationship Id="rId122" Type="http://schemas.openxmlformats.org/officeDocument/2006/relationships/hyperlink" Target="https://meraas.my.salesforce.com/0060N00000XQQEx" TargetMode="External"/><Relationship Id="rId364" Type="http://schemas.openxmlformats.org/officeDocument/2006/relationships/hyperlink" Target="mailto:azam.raza7732@gmail.com" TargetMode="External"/><Relationship Id="rId95" Type="http://schemas.openxmlformats.org/officeDocument/2006/relationships/hyperlink" Target="mailto:umaida@live.com" TargetMode="External"/><Relationship Id="rId94" Type="http://schemas.openxmlformats.org/officeDocument/2006/relationships/hyperlink" Target="https://meraas.my.salesforce.com/0060N00000XQL6Z" TargetMode="External"/><Relationship Id="rId97" Type="http://schemas.openxmlformats.org/officeDocument/2006/relationships/hyperlink" Target="mailto:udnarang@gmail.com" TargetMode="External"/><Relationship Id="rId96" Type="http://schemas.openxmlformats.org/officeDocument/2006/relationships/hyperlink" Target="https://meraas.my.salesforce.com/0060N00000XQLFA" TargetMode="External"/><Relationship Id="rId99" Type="http://schemas.openxmlformats.org/officeDocument/2006/relationships/hyperlink" Target="mailto:amminaoffice@yahoo.com" TargetMode="External"/><Relationship Id="rId98" Type="http://schemas.openxmlformats.org/officeDocument/2006/relationships/hyperlink" Target="https://meraas.my.salesforce.com/0060N00000XQQ0q" TargetMode="External"/><Relationship Id="rId91" Type="http://schemas.openxmlformats.org/officeDocument/2006/relationships/hyperlink" Target="mailto:julia.stockmeier@hotmail.com" TargetMode="External"/><Relationship Id="rId90" Type="http://schemas.openxmlformats.org/officeDocument/2006/relationships/hyperlink" Target="https://meraas.my.salesforce.com/0060N00000XQKaE" TargetMode="External"/><Relationship Id="rId93" Type="http://schemas.openxmlformats.org/officeDocument/2006/relationships/hyperlink" Target="mailto:ermin@ramovic.se" TargetMode="External"/><Relationship Id="rId92" Type="http://schemas.openxmlformats.org/officeDocument/2006/relationships/hyperlink" Target="https://meraas.my.salesforce.com/0060N00000XQKqA" TargetMode="External"/><Relationship Id="rId118" Type="http://schemas.openxmlformats.org/officeDocument/2006/relationships/hyperlink" Target="https://meraas.my.salesforce.com/0060N00000XQQET" TargetMode="External"/><Relationship Id="rId117" Type="http://schemas.openxmlformats.org/officeDocument/2006/relationships/hyperlink" Target="mailto:hagensonja90@gmail.com" TargetMode="External"/><Relationship Id="rId359" Type="http://schemas.openxmlformats.org/officeDocument/2006/relationships/hyperlink" Target="https://meraas.my.salesforce.com/0010N00004n5R2w" TargetMode="External"/><Relationship Id="rId116" Type="http://schemas.openxmlformats.org/officeDocument/2006/relationships/hyperlink" Target="https://meraas.my.salesforce.com/0060N00000XQQEE" TargetMode="External"/><Relationship Id="rId358" Type="http://schemas.openxmlformats.org/officeDocument/2006/relationships/hyperlink" Target="mailto:vbs.lhr@gmail.com" TargetMode="External"/><Relationship Id="rId115" Type="http://schemas.openxmlformats.org/officeDocument/2006/relationships/hyperlink" Target="mailto:joachim@back.de" TargetMode="External"/><Relationship Id="rId357" Type="http://schemas.openxmlformats.org/officeDocument/2006/relationships/hyperlink" Target="https://meraas.my.salesforce.com/0010N00004n5MMw" TargetMode="External"/><Relationship Id="rId599" Type="http://schemas.openxmlformats.org/officeDocument/2006/relationships/hyperlink" Target="https://meraas.my.salesforce.com/0010N00004YMtmr" TargetMode="External"/><Relationship Id="rId119" Type="http://schemas.openxmlformats.org/officeDocument/2006/relationships/hyperlink" Target="mailto:sassy_gemeni@yahoo.com" TargetMode="External"/><Relationship Id="rId110" Type="http://schemas.openxmlformats.org/officeDocument/2006/relationships/hyperlink" Target="https://meraas.my.salesforce.com/0060N00000XQQDG" TargetMode="External"/><Relationship Id="rId352" Type="http://schemas.openxmlformats.org/officeDocument/2006/relationships/hyperlink" Target="mailto:rohitajani743@gmail.com" TargetMode="External"/><Relationship Id="rId594" Type="http://schemas.openxmlformats.org/officeDocument/2006/relationships/hyperlink" Target="mailto:lalmv@hotmail.com" TargetMode="External"/><Relationship Id="rId351" Type="http://schemas.openxmlformats.org/officeDocument/2006/relationships/hyperlink" Target="https://meraas.my.salesforce.com/0010N00004n47PX" TargetMode="External"/><Relationship Id="rId593" Type="http://schemas.openxmlformats.org/officeDocument/2006/relationships/hyperlink" Target="https://meraas.my.salesforce.com/0010N00004YMtlt" TargetMode="External"/><Relationship Id="rId350" Type="http://schemas.openxmlformats.org/officeDocument/2006/relationships/hyperlink" Target="mailto:mehernooshm@yahoo.com" TargetMode="External"/><Relationship Id="rId592" Type="http://schemas.openxmlformats.org/officeDocument/2006/relationships/hyperlink" Target="mailto:andreifulls072686@gmail.com" TargetMode="External"/><Relationship Id="rId591" Type="http://schemas.openxmlformats.org/officeDocument/2006/relationships/hyperlink" Target="https://meraas.my.salesforce.com/0010N00004YMtlj" TargetMode="External"/><Relationship Id="rId114" Type="http://schemas.openxmlformats.org/officeDocument/2006/relationships/hyperlink" Target="https://meraas.my.salesforce.com/0060N00000XQQDV" TargetMode="External"/><Relationship Id="rId356" Type="http://schemas.openxmlformats.org/officeDocument/2006/relationships/hyperlink" Target="mailto:noha@litdxb.com" TargetMode="External"/><Relationship Id="rId598" Type="http://schemas.openxmlformats.org/officeDocument/2006/relationships/hyperlink" Target="mailto:nomail@mail.com" TargetMode="External"/><Relationship Id="rId113" Type="http://schemas.openxmlformats.org/officeDocument/2006/relationships/hyperlink" Target="mailto:awz_wm@hotmail.com" TargetMode="External"/><Relationship Id="rId355" Type="http://schemas.openxmlformats.org/officeDocument/2006/relationships/hyperlink" Target="https://meraas.my.salesforce.com/0010N00004n5MJx" TargetMode="External"/><Relationship Id="rId597" Type="http://schemas.openxmlformats.org/officeDocument/2006/relationships/hyperlink" Target="https://meraas.my.salesforce.com/0010N00004YMtmX" TargetMode="External"/><Relationship Id="rId112" Type="http://schemas.openxmlformats.org/officeDocument/2006/relationships/hyperlink" Target="https://meraas.my.salesforce.com/0060N00000XQQDQ" TargetMode="External"/><Relationship Id="rId354" Type="http://schemas.openxmlformats.org/officeDocument/2006/relationships/hyperlink" Target="mailto:mehernooshm@yahoo.com" TargetMode="External"/><Relationship Id="rId596" Type="http://schemas.openxmlformats.org/officeDocument/2006/relationships/hyperlink" Target="mailto:alali_khaled@hotmail.com" TargetMode="External"/><Relationship Id="rId111" Type="http://schemas.openxmlformats.org/officeDocument/2006/relationships/hyperlink" Target="mailto:majed@majed.co" TargetMode="External"/><Relationship Id="rId353" Type="http://schemas.openxmlformats.org/officeDocument/2006/relationships/hyperlink" Target="https://meraas.my.salesforce.com/0010N00004n47b9" TargetMode="External"/><Relationship Id="rId595" Type="http://schemas.openxmlformats.org/officeDocument/2006/relationships/hyperlink" Target="https://meraas.my.salesforce.com/0010N00004YMtmI" TargetMode="External"/><Relationship Id="rId305" Type="http://schemas.openxmlformats.org/officeDocument/2006/relationships/hyperlink" Target="https://meraas.my.salesforce.com/0010N00004lCOgZ" TargetMode="External"/><Relationship Id="rId547" Type="http://schemas.openxmlformats.org/officeDocument/2006/relationships/hyperlink" Target="https://meraas.my.salesforce.com/0010N00004oocTW" TargetMode="External"/><Relationship Id="rId304" Type="http://schemas.openxmlformats.org/officeDocument/2006/relationships/hyperlink" Target="mailto:sanjay19651965@rediffmail.com" TargetMode="External"/><Relationship Id="rId546" Type="http://schemas.openxmlformats.org/officeDocument/2006/relationships/hyperlink" Target="mailto:aqilkhara@gmail.com" TargetMode="External"/><Relationship Id="rId303" Type="http://schemas.openxmlformats.org/officeDocument/2006/relationships/hyperlink" Target="https://meraas.my.salesforce.com/0010N00004lCOaJ" TargetMode="External"/><Relationship Id="rId545" Type="http://schemas.openxmlformats.org/officeDocument/2006/relationships/hyperlink" Target="https://meraas.my.salesforce.com/0010N00004EZaP2" TargetMode="External"/><Relationship Id="rId302" Type="http://schemas.openxmlformats.org/officeDocument/2006/relationships/hyperlink" Target="mailto:imran0307mughal@gmail.com" TargetMode="External"/><Relationship Id="rId544" Type="http://schemas.openxmlformats.org/officeDocument/2006/relationships/hyperlink" Target="mailto:nchabria@mysoreammonia.com" TargetMode="External"/><Relationship Id="rId309" Type="http://schemas.openxmlformats.org/officeDocument/2006/relationships/hyperlink" Target="https://meraas.my.salesforce.com/0010N00004lCWNw" TargetMode="External"/><Relationship Id="rId308" Type="http://schemas.openxmlformats.org/officeDocument/2006/relationships/hyperlink" Target="mailto:imran0307mughal@gmail.com" TargetMode="External"/><Relationship Id="rId307" Type="http://schemas.openxmlformats.org/officeDocument/2006/relationships/hyperlink" Target="https://meraas.my.salesforce.com/0010N00004lCPDB" TargetMode="External"/><Relationship Id="rId549" Type="http://schemas.openxmlformats.org/officeDocument/2006/relationships/hyperlink" Target="https://meraas.my.salesforce.com/0010N00004xhSmH" TargetMode="External"/><Relationship Id="rId306" Type="http://schemas.openxmlformats.org/officeDocument/2006/relationships/hyperlink" Target="mailto:as4104685@gmail.com" TargetMode="External"/><Relationship Id="rId548" Type="http://schemas.openxmlformats.org/officeDocument/2006/relationships/hyperlink" Target="mailto:muhammad.saleem4mss@gmail.com" TargetMode="External"/><Relationship Id="rId781" Type="http://schemas.openxmlformats.org/officeDocument/2006/relationships/hyperlink" Target="mailto:rashasalama77@gmail.com" TargetMode="External"/><Relationship Id="rId780" Type="http://schemas.openxmlformats.org/officeDocument/2006/relationships/hyperlink" Target="https://meraas.my.salesforce.com/0010N00004tVYSy" TargetMode="External"/><Relationship Id="rId301" Type="http://schemas.openxmlformats.org/officeDocument/2006/relationships/hyperlink" Target="https://meraas.my.salesforce.com/0010N00004lCNp2" TargetMode="External"/><Relationship Id="rId543" Type="http://schemas.openxmlformats.org/officeDocument/2006/relationships/hyperlink" Target="https://meraas.my.salesforce.com/0010N00004n46bK" TargetMode="External"/><Relationship Id="rId785" Type="http://schemas.openxmlformats.org/officeDocument/2006/relationships/drawing" Target="../drawings/drawing1.xml"/><Relationship Id="rId300" Type="http://schemas.openxmlformats.org/officeDocument/2006/relationships/hyperlink" Target="mailto:muhammadashraf112220@gmail.com" TargetMode="External"/><Relationship Id="rId542" Type="http://schemas.openxmlformats.org/officeDocument/2006/relationships/hyperlink" Target="mailto:altenaiji79555@hotmail.com" TargetMode="External"/><Relationship Id="rId784" Type="http://schemas.openxmlformats.org/officeDocument/2006/relationships/hyperlink" Target="mailto:zayousfani@hotmail.com" TargetMode="External"/><Relationship Id="rId541" Type="http://schemas.openxmlformats.org/officeDocument/2006/relationships/hyperlink" Target="https://meraas.my.salesforce.com/0010N00004lAjLJ" TargetMode="External"/><Relationship Id="rId783" Type="http://schemas.openxmlformats.org/officeDocument/2006/relationships/hyperlink" Target="mailto:kef-sulaim@hotmail.com" TargetMode="External"/><Relationship Id="rId540" Type="http://schemas.openxmlformats.org/officeDocument/2006/relationships/hyperlink" Target="https://meraas.my.salesforce.com/0010N00004e08Mx" TargetMode="External"/><Relationship Id="rId782" Type="http://schemas.openxmlformats.org/officeDocument/2006/relationships/hyperlink" Target="https://meraas.my.salesforce.com/0010N00004ugycd" TargetMode="External"/><Relationship Id="rId536" Type="http://schemas.openxmlformats.org/officeDocument/2006/relationships/hyperlink" Target="https://meraas.my.salesforce.com/0010N00004X9qcK" TargetMode="External"/><Relationship Id="rId778" Type="http://schemas.openxmlformats.org/officeDocument/2006/relationships/hyperlink" Target="https://meraas.my.salesforce.com/0010N00004m13RE" TargetMode="External"/><Relationship Id="rId535" Type="http://schemas.openxmlformats.org/officeDocument/2006/relationships/hyperlink" Target="mailto:viresh.saxena@honeywell.com" TargetMode="External"/><Relationship Id="rId777" Type="http://schemas.openxmlformats.org/officeDocument/2006/relationships/hyperlink" Target="mailto:4smile@live.com" TargetMode="External"/><Relationship Id="rId534" Type="http://schemas.openxmlformats.org/officeDocument/2006/relationships/hyperlink" Target="https://meraas.my.salesforce.com/0010N00004X9qn3" TargetMode="External"/><Relationship Id="rId776" Type="http://schemas.openxmlformats.org/officeDocument/2006/relationships/hyperlink" Target="https://meraas.my.salesforce.com/0010N00004yzRQj" TargetMode="External"/><Relationship Id="rId533" Type="http://schemas.openxmlformats.org/officeDocument/2006/relationships/hyperlink" Target="mailto:sekhar@disidubai.com" TargetMode="External"/><Relationship Id="rId775" Type="http://schemas.openxmlformats.org/officeDocument/2006/relationships/hyperlink" Target="mailto:ayawael@hotmail.com" TargetMode="External"/><Relationship Id="rId539" Type="http://schemas.openxmlformats.org/officeDocument/2006/relationships/hyperlink" Target="mailto:dbaraj@gmail.com" TargetMode="External"/><Relationship Id="rId538" Type="http://schemas.openxmlformats.org/officeDocument/2006/relationships/hyperlink" Target="https://meraas.my.salesforce.com/0010N00004vCyS5" TargetMode="External"/><Relationship Id="rId537" Type="http://schemas.openxmlformats.org/officeDocument/2006/relationships/hyperlink" Target="mailto:shehbazmalak0@gmail.com" TargetMode="External"/><Relationship Id="rId779" Type="http://schemas.openxmlformats.org/officeDocument/2006/relationships/hyperlink" Target="mailto:a.sefyan4@gmail.com" TargetMode="External"/><Relationship Id="rId770" Type="http://schemas.openxmlformats.org/officeDocument/2006/relationships/hyperlink" Target="https://meraas.my.salesforce.com/0010N00004xQXqf" TargetMode="External"/><Relationship Id="rId532" Type="http://schemas.openxmlformats.org/officeDocument/2006/relationships/hyperlink" Target="https://meraas.my.salesforce.com/0010N00004X9qmP" TargetMode="External"/><Relationship Id="rId774" Type="http://schemas.openxmlformats.org/officeDocument/2006/relationships/hyperlink" Target="https://meraas.my.salesforce.com/0010N00004yyxe6" TargetMode="External"/><Relationship Id="rId531" Type="http://schemas.openxmlformats.org/officeDocument/2006/relationships/hyperlink" Target="mailto:abuamerlina@gmail.com" TargetMode="External"/><Relationship Id="rId773" Type="http://schemas.openxmlformats.org/officeDocument/2006/relationships/hyperlink" Target="mailto:zubair.asia.2017@gmail.com" TargetMode="External"/><Relationship Id="rId530" Type="http://schemas.openxmlformats.org/officeDocument/2006/relationships/hyperlink" Target="https://meraas.my.salesforce.com/0010N00004X9qaY" TargetMode="External"/><Relationship Id="rId772" Type="http://schemas.openxmlformats.org/officeDocument/2006/relationships/hyperlink" Target="https://meraas.my.salesforce.com/0010N00004xyaDt" TargetMode="External"/><Relationship Id="rId771" Type="http://schemas.openxmlformats.org/officeDocument/2006/relationships/hyperlink" Target="mailto:rayeeskhan@live.com" TargetMode="External"/><Relationship Id="rId327" Type="http://schemas.openxmlformats.org/officeDocument/2006/relationships/hyperlink" Target="https://meraas.my.salesforce.com/0010N00004mrSm3" TargetMode="External"/><Relationship Id="rId569" Type="http://schemas.openxmlformats.org/officeDocument/2006/relationships/hyperlink" Target="https://meraas.my.salesforce.com/0010N00004X9Zrx" TargetMode="External"/><Relationship Id="rId326" Type="http://schemas.openxmlformats.org/officeDocument/2006/relationships/hyperlink" Target="mailto:sri@sridesign.in" TargetMode="External"/><Relationship Id="rId568" Type="http://schemas.openxmlformats.org/officeDocument/2006/relationships/hyperlink" Target="mailto:mohamed@bulahejgroup.com" TargetMode="External"/><Relationship Id="rId325" Type="http://schemas.openxmlformats.org/officeDocument/2006/relationships/hyperlink" Target="https://meraas.my.salesforce.com/0010N00004mqkQf" TargetMode="External"/><Relationship Id="rId567" Type="http://schemas.openxmlformats.org/officeDocument/2006/relationships/hyperlink" Target="https://meraas.my.salesforce.com/0010N00004X9LSB" TargetMode="External"/><Relationship Id="rId324" Type="http://schemas.openxmlformats.org/officeDocument/2006/relationships/hyperlink" Target="mailto:s.woodall.uk@gmail.com" TargetMode="External"/><Relationship Id="rId566" Type="http://schemas.openxmlformats.org/officeDocument/2006/relationships/hyperlink" Target="mailto:m8ad@hotmail.com" TargetMode="External"/><Relationship Id="rId329" Type="http://schemas.openxmlformats.org/officeDocument/2006/relationships/hyperlink" Target="https://meraas.my.salesforce.com/0010N00004n3jeq" TargetMode="External"/><Relationship Id="rId328" Type="http://schemas.openxmlformats.org/officeDocument/2006/relationships/hyperlink" Target="mailto:musaadalmashhour@gmail.com" TargetMode="External"/><Relationship Id="rId561" Type="http://schemas.openxmlformats.org/officeDocument/2006/relationships/hyperlink" Target="https://meraas.my.salesforce.com/0010N00004VjsdN" TargetMode="External"/><Relationship Id="rId560" Type="http://schemas.openxmlformats.org/officeDocument/2006/relationships/hyperlink" Target="mailto:issacuday@gmail.com" TargetMode="External"/><Relationship Id="rId323" Type="http://schemas.openxmlformats.org/officeDocument/2006/relationships/hyperlink" Target="https://meraas.my.salesforce.com/0010N00004mqR1l" TargetMode="External"/><Relationship Id="rId565" Type="http://schemas.openxmlformats.org/officeDocument/2006/relationships/hyperlink" Target="https://meraas.my.salesforce.com/0010N00004WSHLD" TargetMode="External"/><Relationship Id="rId322" Type="http://schemas.openxmlformats.org/officeDocument/2006/relationships/hyperlink" Target="mailto:italsale@yahoo.it" TargetMode="External"/><Relationship Id="rId564" Type="http://schemas.openxmlformats.org/officeDocument/2006/relationships/hyperlink" Target="mailto:k.almehairi@live.com" TargetMode="External"/><Relationship Id="rId321" Type="http://schemas.openxmlformats.org/officeDocument/2006/relationships/hyperlink" Target="https://meraas.my.salesforce.com/0010N00004mp8eY" TargetMode="External"/><Relationship Id="rId563" Type="http://schemas.openxmlformats.org/officeDocument/2006/relationships/hyperlink" Target="https://meraas.my.salesforce.com/0010N00004VjtBF" TargetMode="External"/><Relationship Id="rId320" Type="http://schemas.openxmlformats.org/officeDocument/2006/relationships/hyperlink" Target="mailto:alrebdia@gmail.com" TargetMode="External"/><Relationship Id="rId562" Type="http://schemas.openxmlformats.org/officeDocument/2006/relationships/hyperlink" Target="mailto:baileymarcus@hotmail.com" TargetMode="External"/><Relationship Id="rId316" Type="http://schemas.openxmlformats.org/officeDocument/2006/relationships/hyperlink" Target="mailto:jyteensam@gmail.com" TargetMode="External"/><Relationship Id="rId558" Type="http://schemas.openxmlformats.org/officeDocument/2006/relationships/hyperlink" Target="mailto:wwww@gmail.com" TargetMode="External"/><Relationship Id="rId315" Type="http://schemas.openxmlformats.org/officeDocument/2006/relationships/hyperlink" Target="https://meraas.my.salesforce.com/0010N00004lCWxu" TargetMode="External"/><Relationship Id="rId557" Type="http://schemas.openxmlformats.org/officeDocument/2006/relationships/hyperlink" Target="https://meraas.my.salesforce.com/0010N00004Vjsco" TargetMode="External"/><Relationship Id="rId314" Type="http://schemas.openxmlformats.org/officeDocument/2006/relationships/hyperlink" Target="mailto:aisha7777@hotmail.com" TargetMode="External"/><Relationship Id="rId556" Type="http://schemas.openxmlformats.org/officeDocument/2006/relationships/hyperlink" Target="mailto:kumarbmulani@gmail.com" TargetMode="External"/><Relationship Id="rId313" Type="http://schemas.openxmlformats.org/officeDocument/2006/relationships/hyperlink" Target="https://meraas.my.salesforce.com/0010N00004lCWl0" TargetMode="External"/><Relationship Id="rId555" Type="http://schemas.openxmlformats.org/officeDocument/2006/relationships/hyperlink" Target="https://meraas.my.salesforce.com/0010N00004VjscF" TargetMode="External"/><Relationship Id="rId319" Type="http://schemas.openxmlformats.org/officeDocument/2006/relationships/hyperlink" Target="https://meraas.my.salesforce.com/0010N00004lCXkh" TargetMode="External"/><Relationship Id="rId318" Type="http://schemas.openxmlformats.org/officeDocument/2006/relationships/hyperlink" Target="mailto:mujarry@hotmail.com" TargetMode="External"/><Relationship Id="rId317" Type="http://schemas.openxmlformats.org/officeDocument/2006/relationships/hyperlink" Target="https://meraas.my.salesforce.com/0010N00004lCXST" TargetMode="External"/><Relationship Id="rId559" Type="http://schemas.openxmlformats.org/officeDocument/2006/relationships/hyperlink" Target="https://meraas.my.salesforce.com/0010N00004VjsdD" TargetMode="External"/><Relationship Id="rId550" Type="http://schemas.openxmlformats.org/officeDocument/2006/relationships/hyperlink" Target="mailto:naved_sorathia@hotmail.com" TargetMode="External"/><Relationship Id="rId312" Type="http://schemas.openxmlformats.org/officeDocument/2006/relationships/hyperlink" Target="mailto:aglafa@gmail.com" TargetMode="External"/><Relationship Id="rId554" Type="http://schemas.openxmlformats.org/officeDocument/2006/relationships/hyperlink" Target="mailto:mech_engineer03@hotmail.com" TargetMode="External"/><Relationship Id="rId311" Type="http://schemas.openxmlformats.org/officeDocument/2006/relationships/hyperlink" Target="https://meraas.my.salesforce.com/0010N00004lCWjs" TargetMode="External"/><Relationship Id="rId553" Type="http://schemas.openxmlformats.org/officeDocument/2006/relationships/hyperlink" Target="https://meraas.my.salesforce.com/0010N00004xydQM" TargetMode="External"/><Relationship Id="rId310" Type="http://schemas.openxmlformats.org/officeDocument/2006/relationships/hyperlink" Target="mailto:abdul.memon@hotmail.co.uk" TargetMode="External"/><Relationship Id="rId552" Type="http://schemas.openxmlformats.org/officeDocument/2006/relationships/hyperlink" Target="mailto:nadia.s.hassan1@gmail.com" TargetMode="External"/><Relationship Id="rId551" Type="http://schemas.openxmlformats.org/officeDocument/2006/relationships/hyperlink" Target="https://meraas.my.salesforce.com/0010N00004xhkBJ" TargetMode="External"/><Relationship Id="rId297" Type="http://schemas.openxmlformats.org/officeDocument/2006/relationships/hyperlink" Target="https://meraas.my.salesforce.com/0010N00004lCMuj" TargetMode="External"/><Relationship Id="rId296" Type="http://schemas.openxmlformats.org/officeDocument/2006/relationships/hyperlink" Target="mailto:alsaeed.hamad@gmail.com" TargetMode="External"/><Relationship Id="rId295" Type="http://schemas.openxmlformats.org/officeDocument/2006/relationships/hyperlink" Target="https://meraas.my.salesforce.com/0010N00004lBEGX" TargetMode="External"/><Relationship Id="rId294" Type="http://schemas.openxmlformats.org/officeDocument/2006/relationships/hyperlink" Target="mailto:shahramsobhany@gmail.com" TargetMode="External"/><Relationship Id="rId299" Type="http://schemas.openxmlformats.org/officeDocument/2006/relationships/hyperlink" Target="https://meraas.my.salesforce.com/0010N00004lCNTH" TargetMode="External"/><Relationship Id="rId298" Type="http://schemas.openxmlformats.org/officeDocument/2006/relationships/hyperlink" Target="mailto:abct1955@hotmail.com" TargetMode="External"/><Relationship Id="rId271" Type="http://schemas.openxmlformats.org/officeDocument/2006/relationships/hyperlink" Target="https://meraas.my.salesforce.com/0010N00004lA4Co" TargetMode="External"/><Relationship Id="rId270" Type="http://schemas.openxmlformats.org/officeDocument/2006/relationships/hyperlink" Target="mailto:sdx@uniasia.ae" TargetMode="External"/><Relationship Id="rId269" Type="http://schemas.openxmlformats.org/officeDocument/2006/relationships/hyperlink" Target="https://meraas.my.salesforce.com/0010N00004lA3eD" TargetMode="External"/><Relationship Id="rId264" Type="http://schemas.openxmlformats.org/officeDocument/2006/relationships/hyperlink" Target="mailto:wim.jans@skynet.be" TargetMode="External"/><Relationship Id="rId263" Type="http://schemas.openxmlformats.org/officeDocument/2006/relationships/hyperlink" Target="https://meraas.my.salesforce.com/0010N00004lA2g4" TargetMode="External"/><Relationship Id="rId262" Type="http://schemas.openxmlformats.org/officeDocument/2006/relationships/hyperlink" Target="mailto:kk576878@gmail.com" TargetMode="External"/><Relationship Id="rId261" Type="http://schemas.openxmlformats.org/officeDocument/2006/relationships/hyperlink" Target="https://meraas.my.salesforce.com/0010N00004l9VyH" TargetMode="External"/><Relationship Id="rId268" Type="http://schemas.openxmlformats.org/officeDocument/2006/relationships/hyperlink" Target="mailto:docmk23@hotmail.com" TargetMode="External"/><Relationship Id="rId267" Type="http://schemas.openxmlformats.org/officeDocument/2006/relationships/hyperlink" Target="https://meraas.my.salesforce.com/0010N00004lA3cP" TargetMode="External"/><Relationship Id="rId266" Type="http://schemas.openxmlformats.org/officeDocument/2006/relationships/hyperlink" Target="mailto:abdullahtahir85@gmail.com" TargetMode="External"/><Relationship Id="rId265" Type="http://schemas.openxmlformats.org/officeDocument/2006/relationships/hyperlink" Target="https://meraas.my.salesforce.com/0010N00004lA3GH" TargetMode="External"/><Relationship Id="rId260" Type="http://schemas.openxmlformats.org/officeDocument/2006/relationships/hyperlink" Target="mailto:imransajid0404440@gmail.com" TargetMode="External"/><Relationship Id="rId259" Type="http://schemas.openxmlformats.org/officeDocument/2006/relationships/hyperlink" Target="https://meraas.my.salesforce.com/0010N00004EZ7tF" TargetMode="External"/><Relationship Id="rId258" Type="http://schemas.openxmlformats.org/officeDocument/2006/relationships/hyperlink" Target="mailto:saqj.rizwan178@gmail.com" TargetMode="External"/><Relationship Id="rId253" Type="http://schemas.openxmlformats.org/officeDocument/2006/relationships/hyperlink" Target="https://meraas.my.salesforce.com/0010N00004EZ3zU" TargetMode="External"/><Relationship Id="rId495" Type="http://schemas.openxmlformats.org/officeDocument/2006/relationships/hyperlink" Target="mailto:mohammadsaadi@ymail.com" TargetMode="External"/><Relationship Id="rId252" Type="http://schemas.openxmlformats.org/officeDocument/2006/relationships/hyperlink" Target="mailto:ayazkhanyaqoobekhail@gmail.com" TargetMode="External"/><Relationship Id="rId494" Type="http://schemas.openxmlformats.org/officeDocument/2006/relationships/hyperlink" Target="https://meraas.my.salesforce.com/0010N00004n3f2w" TargetMode="External"/><Relationship Id="rId251" Type="http://schemas.openxmlformats.org/officeDocument/2006/relationships/hyperlink" Target="https://meraas.my.salesforce.com/0010N00004EXxab" TargetMode="External"/><Relationship Id="rId493" Type="http://schemas.openxmlformats.org/officeDocument/2006/relationships/hyperlink" Target="mailto:arash_991@yahoo.com" TargetMode="External"/><Relationship Id="rId250" Type="http://schemas.openxmlformats.org/officeDocument/2006/relationships/hyperlink" Target="mailto:juwela136@gmail.com" TargetMode="External"/><Relationship Id="rId492" Type="http://schemas.openxmlformats.org/officeDocument/2006/relationships/hyperlink" Target="https://meraas.my.salesforce.com/0010N000050qqWC" TargetMode="External"/><Relationship Id="rId257" Type="http://schemas.openxmlformats.org/officeDocument/2006/relationships/hyperlink" Target="https://meraas.my.salesforce.com/0010N00004EZ47Y" TargetMode="External"/><Relationship Id="rId499" Type="http://schemas.openxmlformats.org/officeDocument/2006/relationships/hyperlink" Target="mailto:fkmr8dub@eim.ae" TargetMode="External"/><Relationship Id="rId256" Type="http://schemas.openxmlformats.org/officeDocument/2006/relationships/hyperlink" Target="mailto:zoyan123@yahoo.com" TargetMode="External"/><Relationship Id="rId498" Type="http://schemas.openxmlformats.org/officeDocument/2006/relationships/hyperlink" Target="https://meraas.my.salesforce.com/0010N00004n3f4T" TargetMode="External"/><Relationship Id="rId255" Type="http://schemas.openxmlformats.org/officeDocument/2006/relationships/hyperlink" Target="https://meraas.my.salesforce.com/0010N00004EZ40h" TargetMode="External"/><Relationship Id="rId497" Type="http://schemas.openxmlformats.org/officeDocument/2006/relationships/hyperlink" Target="mailto:ashwindxb@yahoo.com" TargetMode="External"/><Relationship Id="rId254" Type="http://schemas.openxmlformats.org/officeDocument/2006/relationships/hyperlink" Target="mailto:crescent.sk@gmail.com" TargetMode="External"/><Relationship Id="rId496" Type="http://schemas.openxmlformats.org/officeDocument/2006/relationships/hyperlink" Target="https://meraas.my.salesforce.com/0010N00004kkgTE" TargetMode="External"/><Relationship Id="rId293" Type="http://schemas.openxmlformats.org/officeDocument/2006/relationships/hyperlink" Target="https://meraas.my.salesforce.com/0010N00004lBE4C" TargetMode="External"/><Relationship Id="rId292" Type="http://schemas.openxmlformats.org/officeDocument/2006/relationships/hyperlink" Target="mailto:siad.esber@web.de" TargetMode="External"/><Relationship Id="rId291" Type="http://schemas.openxmlformats.org/officeDocument/2006/relationships/hyperlink" Target="https://meraas.my.salesforce.com/0010N00004lAyjR" TargetMode="External"/><Relationship Id="rId290" Type="http://schemas.openxmlformats.org/officeDocument/2006/relationships/hyperlink" Target="mailto:oluvictory406@yahoo.com" TargetMode="External"/><Relationship Id="rId286" Type="http://schemas.openxmlformats.org/officeDocument/2006/relationships/hyperlink" Target="mailto:altenaiji79555@hotmail.com" TargetMode="External"/><Relationship Id="rId285" Type="http://schemas.openxmlformats.org/officeDocument/2006/relationships/hyperlink" Target="https://meraas.my.salesforce.com/0010N00004lAjLJ" TargetMode="External"/><Relationship Id="rId284" Type="http://schemas.openxmlformats.org/officeDocument/2006/relationships/hyperlink" Target="mailto:dxb2000@hotmail.com" TargetMode="External"/><Relationship Id="rId283" Type="http://schemas.openxmlformats.org/officeDocument/2006/relationships/hyperlink" Target="https://meraas.my.salesforce.com/0010N00004lAjBY" TargetMode="External"/><Relationship Id="rId289" Type="http://schemas.openxmlformats.org/officeDocument/2006/relationships/hyperlink" Target="https://meraas.my.salesforce.com/0010N00004lAump" TargetMode="External"/><Relationship Id="rId288" Type="http://schemas.openxmlformats.org/officeDocument/2006/relationships/hyperlink" Target="mailto:mfalmazrouei@gmail.com" TargetMode="External"/><Relationship Id="rId287" Type="http://schemas.openxmlformats.org/officeDocument/2006/relationships/hyperlink" Target="https://meraas.my.salesforce.com/0010N00004lAjuM" TargetMode="External"/><Relationship Id="rId282" Type="http://schemas.openxmlformats.org/officeDocument/2006/relationships/hyperlink" Target="mailto:shoaibsabir1238@gmail.com" TargetMode="External"/><Relationship Id="rId281" Type="http://schemas.openxmlformats.org/officeDocument/2006/relationships/hyperlink" Target="https://meraas.my.salesforce.com/0010N00004lAjB9" TargetMode="External"/><Relationship Id="rId280" Type="http://schemas.openxmlformats.org/officeDocument/2006/relationships/hyperlink" Target="mailto:syedsabtain3626@gmail.com" TargetMode="External"/><Relationship Id="rId275" Type="http://schemas.openxmlformats.org/officeDocument/2006/relationships/hyperlink" Target="https://meraas.my.salesforce.com/0010N00004lAQwy" TargetMode="External"/><Relationship Id="rId274" Type="http://schemas.openxmlformats.org/officeDocument/2006/relationships/hyperlink" Target="mailto:ett_lakbir@yahoo.fr" TargetMode="External"/><Relationship Id="rId273" Type="http://schemas.openxmlformats.org/officeDocument/2006/relationships/hyperlink" Target="https://meraas.my.salesforce.com/0010N00004lACTH" TargetMode="External"/><Relationship Id="rId272" Type="http://schemas.openxmlformats.org/officeDocument/2006/relationships/hyperlink" Target="mailto:bmpatadiya@gmail.com" TargetMode="External"/><Relationship Id="rId279" Type="http://schemas.openxmlformats.org/officeDocument/2006/relationships/hyperlink" Target="https://meraas.my.salesforce.com/0010N00004lAjAB" TargetMode="External"/><Relationship Id="rId278" Type="http://schemas.openxmlformats.org/officeDocument/2006/relationships/hyperlink" Target="mailto:fredy_amstad@yahoo.com" TargetMode="External"/><Relationship Id="rId277" Type="http://schemas.openxmlformats.org/officeDocument/2006/relationships/hyperlink" Target="https://meraas.my.salesforce.com/0010N00004lAioK" TargetMode="External"/><Relationship Id="rId276" Type="http://schemas.openxmlformats.org/officeDocument/2006/relationships/hyperlink" Target="mailto:saleemnawz@yahoo.com" TargetMode="External"/><Relationship Id="rId629" Type="http://schemas.openxmlformats.org/officeDocument/2006/relationships/hyperlink" Target="https://meraas.my.salesforce.com/0010N00004WR2kZ" TargetMode="External"/><Relationship Id="rId624" Type="http://schemas.openxmlformats.org/officeDocument/2006/relationships/hyperlink" Target="mailto:rajusud@indman.com" TargetMode="External"/><Relationship Id="rId623" Type="http://schemas.openxmlformats.org/officeDocument/2006/relationships/hyperlink" Target="https://meraas.my.salesforce.com/0010N00004WPShA" TargetMode="External"/><Relationship Id="rId622" Type="http://schemas.openxmlformats.org/officeDocument/2006/relationships/hyperlink" Target="mailto:lfrontini@yahoo.it" TargetMode="External"/><Relationship Id="rId621" Type="http://schemas.openxmlformats.org/officeDocument/2006/relationships/hyperlink" Target="https://meraas.my.salesforce.com/0010N00004sxIXA" TargetMode="External"/><Relationship Id="rId628" Type="http://schemas.openxmlformats.org/officeDocument/2006/relationships/hyperlink" Target="mailto:pulatovadilnoza3@gmail.com" TargetMode="External"/><Relationship Id="rId627" Type="http://schemas.openxmlformats.org/officeDocument/2006/relationships/hyperlink" Target="https://meraas.my.salesforce.com/0010N00004WQJ48" TargetMode="External"/><Relationship Id="rId626" Type="http://schemas.openxmlformats.org/officeDocument/2006/relationships/hyperlink" Target="mailto:aftab@usa.com" TargetMode="External"/><Relationship Id="rId625" Type="http://schemas.openxmlformats.org/officeDocument/2006/relationships/hyperlink" Target="https://meraas.my.salesforce.com/0010N00004WQGkZ" TargetMode="External"/><Relationship Id="rId620" Type="http://schemas.openxmlformats.org/officeDocument/2006/relationships/hyperlink" Target="mailto:ytmesfin20@gmail.com" TargetMode="External"/><Relationship Id="rId619" Type="http://schemas.openxmlformats.org/officeDocument/2006/relationships/hyperlink" Target="https://meraas.my.salesforce.com/0010N00004jCGgY" TargetMode="External"/><Relationship Id="rId618" Type="http://schemas.openxmlformats.org/officeDocument/2006/relationships/hyperlink" Target="mailto:na@na.com" TargetMode="External"/><Relationship Id="rId613" Type="http://schemas.openxmlformats.org/officeDocument/2006/relationships/hyperlink" Target="https://meraas.my.salesforce.com/0010N00004X9Nyl" TargetMode="External"/><Relationship Id="rId612" Type="http://schemas.openxmlformats.org/officeDocument/2006/relationships/hyperlink" Target="mailto:mthakeem@outlook.com" TargetMode="External"/><Relationship Id="rId611" Type="http://schemas.openxmlformats.org/officeDocument/2006/relationships/hyperlink" Target="https://meraas.my.salesforce.com/0010N00004YPoLa" TargetMode="External"/><Relationship Id="rId610" Type="http://schemas.openxmlformats.org/officeDocument/2006/relationships/hyperlink" Target="mailto:aa1821@gmail.com" TargetMode="External"/><Relationship Id="rId617" Type="http://schemas.openxmlformats.org/officeDocument/2006/relationships/hyperlink" Target="https://meraas.my.salesforce.com/0010N00004hUnl6" TargetMode="External"/><Relationship Id="rId616" Type="http://schemas.openxmlformats.org/officeDocument/2006/relationships/hyperlink" Target="mailto:babovic_t@thebusinessyear.com" TargetMode="External"/><Relationship Id="rId615" Type="http://schemas.openxmlformats.org/officeDocument/2006/relationships/hyperlink" Target="https://meraas.my.salesforce.com/0010N00004X9pkT" TargetMode="External"/><Relationship Id="rId614" Type="http://schemas.openxmlformats.org/officeDocument/2006/relationships/hyperlink" Target="mailto:gillaniqaiser@gmail.com" TargetMode="External"/><Relationship Id="rId409" Type="http://schemas.openxmlformats.org/officeDocument/2006/relationships/hyperlink" Target="mailto:imtyaz.ahmed2010@gmail.com" TargetMode="External"/><Relationship Id="rId404" Type="http://schemas.openxmlformats.org/officeDocument/2006/relationships/hyperlink" Target="https://meraas.my.salesforce.com/0010N00004XAqqh" TargetMode="External"/><Relationship Id="rId646" Type="http://schemas.openxmlformats.org/officeDocument/2006/relationships/hyperlink" Target="https://meraas.my.salesforce.com/0010N00004YMtMK" TargetMode="External"/><Relationship Id="rId403" Type="http://schemas.openxmlformats.org/officeDocument/2006/relationships/hyperlink" Target="mailto:yb@pelichetexpo.com" TargetMode="External"/><Relationship Id="rId645" Type="http://schemas.openxmlformats.org/officeDocument/2006/relationships/hyperlink" Target="mailto:nelsonquezada@hotmail.cl" TargetMode="External"/><Relationship Id="rId402" Type="http://schemas.openxmlformats.org/officeDocument/2006/relationships/hyperlink" Target="https://meraas.my.salesforce.com/0010N00004n5WmB" TargetMode="External"/><Relationship Id="rId644" Type="http://schemas.openxmlformats.org/officeDocument/2006/relationships/hyperlink" Target="https://meraas.my.salesforce.com/0010N00004Y6R7s" TargetMode="External"/><Relationship Id="rId401" Type="http://schemas.openxmlformats.org/officeDocument/2006/relationships/hyperlink" Target="mailto:Alghadeerflowers@gmail.com" TargetMode="External"/><Relationship Id="rId643" Type="http://schemas.openxmlformats.org/officeDocument/2006/relationships/hyperlink" Target="mailto:nexdurex@yahoo.com" TargetMode="External"/><Relationship Id="rId408" Type="http://schemas.openxmlformats.org/officeDocument/2006/relationships/hyperlink" Target="https://meraas.my.salesforce.com/0010N00004X9q1F" TargetMode="External"/><Relationship Id="rId407" Type="http://schemas.openxmlformats.org/officeDocument/2006/relationships/hyperlink" Target="mailto:shahzad.gnit@gmail.com" TargetMode="External"/><Relationship Id="rId649" Type="http://schemas.openxmlformats.org/officeDocument/2006/relationships/hyperlink" Target="mailto:kotthuri@gmail.com" TargetMode="External"/><Relationship Id="rId406" Type="http://schemas.openxmlformats.org/officeDocument/2006/relationships/hyperlink" Target="https://meraas.my.salesforce.com/0010N00004X9ql2" TargetMode="External"/><Relationship Id="rId648" Type="http://schemas.openxmlformats.org/officeDocument/2006/relationships/hyperlink" Target="https://meraas.my.salesforce.com/0010N00004YMtQW" TargetMode="External"/><Relationship Id="rId405" Type="http://schemas.openxmlformats.org/officeDocument/2006/relationships/hyperlink" Target="mailto:sykon_llc@yahoo.com" TargetMode="External"/><Relationship Id="rId647" Type="http://schemas.openxmlformats.org/officeDocument/2006/relationships/hyperlink" Target="mailto:darren.patterson@propertyconnect.com" TargetMode="External"/><Relationship Id="rId400" Type="http://schemas.openxmlformats.org/officeDocument/2006/relationships/hyperlink" Target="mailto:sattsrassi@gmail.com" TargetMode="External"/><Relationship Id="rId642" Type="http://schemas.openxmlformats.org/officeDocument/2006/relationships/hyperlink" Target="https://meraas.my.salesforce.com/0010N00004XCJw1" TargetMode="External"/><Relationship Id="rId641" Type="http://schemas.openxmlformats.org/officeDocument/2006/relationships/hyperlink" Target="mailto:nigelpatsanza@yahoo.com" TargetMode="External"/><Relationship Id="rId640" Type="http://schemas.openxmlformats.org/officeDocument/2006/relationships/hyperlink" Target="https://meraas.my.salesforce.com/0010N00004XCJuP" TargetMode="External"/><Relationship Id="rId635" Type="http://schemas.openxmlformats.org/officeDocument/2006/relationships/hyperlink" Target="mailto:m11157@live.com" TargetMode="External"/><Relationship Id="rId634" Type="http://schemas.openxmlformats.org/officeDocument/2006/relationships/hyperlink" Target="https://meraas.my.salesforce.com/0010N00004XAqq3" TargetMode="External"/><Relationship Id="rId633" Type="http://schemas.openxmlformats.org/officeDocument/2006/relationships/hyperlink" Target="mailto:layla.alsuwaidi@gmail.com" TargetMode="External"/><Relationship Id="rId632" Type="http://schemas.openxmlformats.org/officeDocument/2006/relationships/hyperlink" Target="https://meraas.my.salesforce.com/0010N00004WR5o3" TargetMode="External"/><Relationship Id="rId639" Type="http://schemas.openxmlformats.org/officeDocument/2006/relationships/hyperlink" Target="mailto:activetrans@hotmail.com" TargetMode="External"/><Relationship Id="rId638" Type="http://schemas.openxmlformats.org/officeDocument/2006/relationships/hyperlink" Target="https://meraas.my.salesforce.com/0010N00004XAqqX" TargetMode="External"/><Relationship Id="rId637" Type="http://schemas.openxmlformats.org/officeDocument/2006/relationships/hyperlink" Target="mailto:johnnykhazzoum@gmail.com" TargetMode="External"/><Relationship Id="rId636" Type="http://schemas.openxmlformats.org/officeDocument/2006/relationships/hyperlink" Target="https://meraas.my.salesforce.com/0010N00004XAqqN" TargetMode="External"/><Relationship Id="rId631" Type="http://schemas.openxmlformats.org/officeDocument/2006/relationships/hyperlink" Target="mailto:ahmad.aoun@me.knightfrank.com" TargetMode="External"/><Relationship Id="rId630" Type="http://schemas.openxmlformats.org/officeDocument/2006/relationships/hyperlink" Target="https://meraas.my.salesforce.com/0010N00004WR3AF" TargetMode="External"/><Relationship Id="rId609" Type="http://schemas.openxmlformats.org/officeDocument/2006/relationships/hyperlink" Target="https://meraas.my.salesforce.com/0010N00004YPnHX" TargetMode="External"/><Relationship Id="rId608" Type="http://schemas.openxmlformats.org/officeDocument/2006/relationships/hyperlink" Target="mailto:bntzayed2004@hotmail.com" TargetMode="External"/><Relationship Id="rId607" Type="http://schemas.openxmlformats.org/officeDocument/2006/relationships/hyperlink" Target="https://meraas.my.salesforce.com/0010N00004YPAai" TargetMode="External"/><Relationship Id="rId602" Type="http://schemas.openxmlformats.org/officeDocument/2006/relationships/hyperlink" Target="mailto:hettwer-duisburg1@freenet.de" TargetMode="External"/><Relationship Id="rId601" Type="http://schemas.openxmlformats.org/officeDocument/2006/relationships/hyperlink" Target="https://meraas.my.salesforce.com/0010N00004YMtn6" TargetMode="External"/><Relationship Id="rId600" Type="http://schemas.openxmlformats.org/officeDocument/2006/relationships/hyperlink" Target="mailto:khusro_habib@yahoo.com" TargetMode="External"/><Relationship Id="rId606" Type="http://schemas.openxmlformats.org/officeDocument/2006/relationships/hyperlink" Target="mailto:lamborghini2015@hotmail.com" TargetMode="External"/><Relationship Id="rId605" Type="http://schemas.openxmlformats.org/officeDocument/2006/relationships/hyperlink" Target="https://meraas.my.salesforce.com/0010N00004YOvQa" TargetMode="External"/><Relationship Id="rId604" Type="http://schemas.openxmlformats.org/officeDocument/2006/relationships/hyperlink" Target="mailto:omarahmed2248@yahoo.com" TargetMode="External"/><Relationship Id="rId603" Type="http://schemas.openxmlformats.org/officeDocument/2006/relationships/hyperlink" Target="https://meraas.my.salesforce.com/0010N00004YOsqO" TargetMode="External"/><Relationship Id="rId228" Type="http://schemas.openxmlformats.org/officeDocument/2006/relationships/hyperlink" Target="mailto:b.alreyami@gmail.com" TargetMode="External"/><Relationship Id="rId227" Type="http://schemas.openxmlformats.org/officeDocument/2006/relationships/hyperlink" Target="https://meraas.my.salesforce.com/0010N00004mOAKC" TargetMode="External"/><Relationship Id="rId469" Type="http://schemas.openxmlformats.org/officeDocument/2006/relationships/hyperlink" Target="mailto:mohdabudagga@gmail.com" TargetMode="External"/><Relationship Id="rId226" Type="http://schemas.openxmlformats.org/officeDocument/2006/relationships/hyperlink" Target="mailto:keegan71xp@gmail.com" TargetMode="External"/><Relationship Id="rId468" Type="http://schemas.openxmlformats.org/officeDocument/2006/relationships/hyperlink" Target="https://meraas.my.salesforce.com/0010N00004WR4E3" TargetMode="External"/><Relationship Id="rId225" Type="http://schemas.openxmlformats.org/officeDocument/2006/relationships/hyperlink" Target="https://meraas.my.salesforce.com/0010N00004m133l" TargetMode="External"/><Relationship Id="rId467" Type="http://schemas.openxmlformats.org/officeDocument/2006/relationships/hyperlink" Target="mailto:arjan.schimmel@gmail.com" TargetMode="External"/><Relationship Id="rId229" Type="http://schemas.openxmlformats.org/officeDocument/2006/relationships/hyperlink" Target="https://meraas.my.salesforce.com/0010N00004mpMoo" TargetMode="External"/><Relationship Id="rId220" Type="http://schemas.openxmlformats.org/officeDocument/2006/relationships/hyperlink" Target="mailto:aqilkhara@gmail.com" TargetMode="External"/><Relationship Id="rId462" Type="http://schemas.openxmlformats.org/officeDocument/2006/relationships/hyperlink" Target="https://meraas.my.salesforce.com/0010N00004WQSLa" TargetMode="External"/><Relationship Id="rId461" Type="http://schemas.openxmlformats.org/officeDocument/2006/relationships/hyperlink" Target="mailto:spoddar2101@gmail.com" TargetMode="External"/><Relationship Id="rId460" Type="http://schemas.openxmlformats.org/officeDocument/2006/relationships/hyperlink" Target="https://meraas.my.salesforce.com/0010N00004WOsZf" TargetMode="External"/><Relationship Id="rId224" Type="http://schemas.openxmlformats.org/officeDocument/2006/relationships/hyperlink" Target="mailto:na@na.com" TargetMode="External"/><Relationship Id="rId466" Type="http://schemas.openxmlformats.org/officeDocument/2006/relationships/hyperlink" Target="https://meraas.my.salesforce.com/0010N00004WR2lN" TargetMode="External"/><Relationship Id="rId223" Type="http://schemas.openxmlformats.org/officeDocument/2006/relationships/hyperlink" Target="https://meraas.my.salesforce.com/0010N00004m105x" TargetMode="External"/><Relationship Id="rId465" Type="http://schemas.openxmlformats.org/officeDocument/2006/relationships/hyperlink" Target="mailto:shiraz@prudentpropertyinvestments.com" TargetMode="External"/><Relationship Id="rId222" Type="http://schemas.openxmlformats.org/officeDocument/2006/relationships/hyperlink" Target="mailto:menghini@gmail.com" TargetMode="External"/><Relationship Id="rId464" Type="http://schemas.openxmlformats.org/officeDocument/2006/relationships/hyperlink" Target="https://meraas.my.salesforce.com/0010N00004WQnI0" TargetMode="External"/><Relationship Id="rId221" Type="http://schemas.openxmlformats.org/officeDocument/2006/relationships/hyperlink" Target="https://meraas.my.salesforce.com/0010N00004lxV77" TargetMode="External"/><Relationship Id="rId463" Type="http://schemas.openxmlformats.org/officeDocument/2006/relationships/hyperlink" Target="mailto:firdoustayob@icloud.com" TargetMode="External"/><Relationship Id="rId217" Type="http://schemas.openxmlformats.org/officeDocument/2006/relationships/hyperlink" Target="https://meraas.my.salesforce.com/0060N00000abjZS" TargetMode="External"/><Relationship Id="rId459" Type="http://schemas.openxmlformats.org/officeDocument/2006/relationships/hyperlink" Target="https://meraas.my.salesforce.com/0010N00004WOrGD" TargetMode="External"/><Relationship Id="rId216" Type="http://schemas.openxmlformats.org/officeDocument/2006/relationships/hyperlink" Target="mailto:a13a7@hotmail.com" TargetMode="External"/><Relationship Id="rId458" Type="http://schemas.openxmlformats.org/officeDocument/2006/relationships/hyperlink" Target="https://meraas.my.salesforce.com/0010N00004WOfBu" TargetMode="External"/><Relationship Id="rId215" Type="http://schemas.openxmlformats.org/officeDocument/2006/relationships/hyperlink" Target="https://meraas.my.salesforce.com/0060N00000abI4y" TargetMode="External"/><Relationship Id="rId457" Type="http://schemas.openxmlformats.org/officeDocument/2006/relationships/hyperlink" Target="mailto:alhamed.mohammed51@gmail.com" TargetMode="External"/><Relationship Id="rId699" Type="http://schemas.openxmlformats.org/officeDocument/2006/relationships/hyperlink" Target="https://meraas.my.salesforce.com/0010N00004aynnf" TargetMode="External"/><Relationship Id="rId214" Type="http://schemas.openxmlformats.org/officeDocument/2006/relationships/hyperlink" Target="mailto:benrafi2@gmail.com" TargetMode="External"/><Relationship Id="rId456" Type="http://schemas.openxmlformats.org/officeDocument/2006/relationships/hyperlink" Target="https://meraas.my.salesforce.com/0010N00004WOVfQ" TargetMode="External"/><Relationship Id="rId698" Type="http://schemas.openxmlformats.org/officeDocument/2006/relationships/hyperlink" Target="mailto:olivier.haski@yahoo.fr" TargetMode="External"/><Relationship Id="rId219" Type="http://schemas.openxmlformats.org/officeDocument/2006/relationships/hyperlink" Target="https://meraas.my.salesforce.com/0010N00004lxU0e" TargetMode="External"/><Relationship Id="rId218" Type="http://schemas.openxmlformats.org/officeDocument/2006/relationships/hyperlink" Target="mailto:innovziyad@gmail.com" TargetMode="External"/><Relationship Id="rId451" Type="http://schemas.openxmlformats.org/officeDocument/2006/relationships/hyperlink" Target="https://meraas.my.salesforce.com/0010N00004W6n7Z" TargetMode="External"/><Relationship Id="rId693" Type="http://schemas.openxmlformats.org/officeDocument/2006/relationships/hyperlink" Target="mailto:alok@kwalitydevelopers.com" TargetMode="External"/><Relationship Id="rId450" Type="http://schemas.openxmlformats.org/officeDocument/2006/relationships/hyperlink" Target="mailto:husaintinz@gmail.com" TargetMode="External"/><Relationship Id="rId692" Type="http://schemas.openxmlformats.org/officeDocument/2006/relationships/hyperlink" Target="https://meraas.my.salesforce.com/0010N00004WRK7T" TargetMode="External"/><Relationship Id="rId691" Type="http://schemas.openxmlformats.org/officeDocument/2006/relationships/hyperlink" Target="mailto:drshekhar.jadhav@yahoo.com" TargetMode="External"/><Relationship Id="rId690" Type="http://schemas.openxmlformats.org/officeDocument/2006/relationships/hyperlink" Target="https://meraas.my.salesforce.com/0010N00004W7008" TargetMode="External"/><Relationship Id="rId213" Type="http://schemas.openxmlformats.org/officeDocument/2006/relationships/hyperlink" Target="https://meraas.my.salesforce.com/0060N00000abGS4" TargetMode="External"/><Relationship Id="rId455" Type="http://schemas.openxmlformats.org/officeDocument/2006/relationships/hyperlink" Target="https://meraas.my.salesforce.com/0010N00004W6o0U" TargetMode="External"/><Relationship Id="rId697" Type="http://schemas.openxmlformats.org/officeDocument/2006/relationships/hyperlink" Target="https://meraas.my.salesforce.com/0010N00004hUnmd" TargetMode="External"/><Relationship Id="rId212" Type="http://schemas.openxmlformats.org/officeDocument/2006/relationships/hyperlink" Target="mailto:tanz.sharmin@gmail.com" TargetMode="External"/><Relationship Id="rId454" Type="http://schemas.openxmlformats.org/officeDocument/2006/relationships/hyperlink" Target="mailto:valiataha@hotmail.com" TargetMode="External"/><Relationship Id="rId696" Type="http://schemas.openxmlformats.org/officeDocument/2006/relationships/hyperlink" Target="https://meraas.my.salesforce.com/0010N00004xh5nl" TargetMode="External"/><Relationship Id="rId211" Type="http://schemas.openxmlformats.org/officeDocument/2006/relationships/hyperlink" Target="https://meraas.my.salesforce.com/0060N00000ab1Xi" TargetMode="External"/><Relationship Id="rId453" Type="http://schemas.openxmlformats.org/officeDocument/2006/relationships/hyperlink" Target="https://meraas.my.salesforce.com/0010N00004W6nV2" TargetMode="External"/><Relationship Id="rId695" Type="http://schemas.openxmlformats.org/officeDocument/2006/relationships/hyperlink" Target="mailto:na@na.com" TargetMode="External"/><Relationship Id="rId210" Type="http://schemas.openxmlformats.org/officeDocument/2006/relationships/hyperlink" Target="mailto:adnanjanjua1@hotmail.com" TargetMode="External"/><Relationship Id="rId452" Type="http://schemas.openxmlformats.org/officeDocument/2006/relationships/hyperlink" Target="mailto:mo.f.sh@hotmail.com" TargetMode="External"/><Relationship Id="rId694" Type="http://schemas.openxmlformats.org/officeDocument/2006/relationships/hyperlink" Target="https://meraas.my.salesforce.com/0010N00004vBXXH" TargetMode="External"/><Relationship Id="rId491" Type="http://schemas.openxmlformats.org/officeDocument/2006/relationships/hyperlink" Target="mailto:aatlh@hotmail.com" TargetMode="External"/><Relationship Id="rId490" Type="http://schemas.openxmlformats.org/officeDocument/2006/relationships/hyperlink" Target="https://meraas.my.salesforce.com/0010N000050dRAM" TargetMode="External"/><Relationship Id="rId249" Type="http://schemas.openxmlformats.org/officeDocument/2006/relationships/hyperlink" Target="https://meraas.my.salesforce.com/0010N00004EXwLG" TargetMode="External"/><Relationship Id="rId248" Type="http://schemas.openxmlformats.org/officeDocument/2006/relationships/hyperlink" Target="https://meraas.my.salesforce.com/0010N00004EXfsX" TargetMode="External"/><Relationship Id="rId247" Type="http://schemas.openxmlformats.org/officeDocument/2006/relationships/hyperlink" Target="mailto:javednawaz007@yahoo.com" TargetMode="External"/><Relationship Id="rId489" Type="http://schemas.openxmlformats.org/officeDocument/2006/relationships/hyperlink" Target="mailto:khassenov.malik@gmail.com" TargetMode="External"/><Relationship Id="rId242" Type="http://schemas.openxmlformats.org/officeDocument/2006/relationships/hyperlink" Target="https://meraas.my.salesforce.com/0010N00004op2dq" TargetMode="External"/><Relationship Id="rId484" Type="http://schemas.openxmlformats.org/officeDocument/2006/relationships/hyperlink" Target="mailto:omarqaissy@gmail.com" TargetMode="External"/><Relationship Id="rId241" Type="http://schemas.openxmlformats.org/officeDocument/2006/relationships/hyperlink" Target="mailto:rana.t927@gmail.com" TargetMode="External"/><Relationship Id="rId483" Type="http://schemas.openxmlformats.org/officeDocument/2006/relationships/hyperlink" Target="https://meraas.my.salesforce.com/0010N00004W5U8d" TargetMode="External"/><Relationship Id="rId240" Type="http://schemas.openxmlformats.org/officeDocument/2006/relationships/hyperlink" Target="https://meraas.my.salesforce.com/0010N00004ooFQq" TargetMode="External"/><Relationship Id="rId482" Type="http://schemas.openxmlformats.org/officeDocument/2006/relationships/hyperlink" Target="mailto:grisha_moroz24@bk.ru" TargetMode="External"/><Relationship Id="rId481" Type="http://schemas.openxmlformats.org/officeDocument/2006/relationships/hyperlink" Target="https://meraas.my.salesforce.com/0010N00004YOu7S" TargetMode="External"/><Relationship Id="rId246" Type="http://schemas.openxmlformats.org/officeDocument/2006/relationships/hyperlink" Target="https://meraas.my.salesforce.com/0010N00004EXfXT" TargetMode="External"/><Relationship Id="rId488" Type="http://schemas.openxmlformats.org/officeDocument/2006/relationships/hyperlink" Target="https://meraas.my.salesforce.com/0010N00004ra2Bi" TargetMode="External"/><Relationship Id="rId245" Type="http://schemas.openxmlformats.org/officeDocument/2006/relationships/hyperlink" Target="mailto:na@na.com" TargetMode="External"/><Relationship Id="rId487" Type="http://schemas.openxmlformats.org/officeDocument/2006/relationships/hyperlink" Target="https://meraas.my.salesforce.com/0010N00004n3t3l" TargetMode="External"/><Relationship Id="rId244" Type="http://schemas.openxmlformats.org/officeDocument/2006/relationships/hyperlink" Target="https://meraas.my.salesforce.com/0010N00004opUUX" TargetMode="External"/><Relationship Id="rId486" Type="http://schemas.openxmlformats.org/officeDocument/2006/relationships/hyperlink" Target="mailto:alobaidms@hotmail.com" TargetMode="External"/><Relationship Id="rId243" Type="http://schemas.openxmlformats.org/officeDocument/2006/relationships/hyperlink" Target="mailto:hagen.lehmann@immoscoring.de" TargetMode="External"/><Relationship Id="rId485" Type="http://schemas.openxmlformats.org/officeDocument/2006/relationships/hyperlink" Target="https://meraas.my.salesforce.com/0010N00004W6mu6" TargetMode="External"/><Relationship Id="rId480" Type="http://schemas.openxmlformats.org/officeDocument/2006/relationships/hyperlink" Target="mailto:eljay00@gmail.com" TargetMode="External"/><Relationship Id="rId239" Type="http://schemas.openxmlformats.org/officeDocument/2006/relationships/hyperlink" Target="mailto:hurr.ali@gmail.com" TargetMode="External"/><Relationship Id="rId238" Type="http://schemas.openxmlformats.org/officeDocument/2006/relationships/hyperlink" Target="https://meraas.my.salesforce.com/0010N00004EZVR8" TargetMode="External"/><Relationship Id="rId237" Type="http://schemas.openxmlformats.org/officeDocument/2006/relationships/hyperlink" Target="mailto:aymeric-and-leila@hotmail.fr" TargetMode="External"/><Relationship Id="rId479" Type="http://schemas.openxmlformats.org/officeDocument/2006/relationships/hyperlink" Target="https://meraas.my.salesforce.com/0010N00004YOrNn" TargetMode="External"/><Relationship Id="rId236" Type="http://schemas.openxmlformats.org/officeDocument/2006/relationships/hyperlink" Target="https://meraas.my.salesforce.com/0010N00004nnXCn" TargetMode="External"/><Relationship Id="rId478" Type="http://schemas.openxmlformats.org/officeDocument/2006/relationships/hyperlink" Target="mailto:khawla.almashrea@gmail.com" TargetMode="External"/><Relationship Id="rId231" Type="http://schemas.openxmlformats.org/officeDocument/2006/relationships/hyperlink" Target="https://meraas.my.salesforce.com/0010N00004mOorE" TargetMode="External"/><Relationship Id="rId473" Type="http://schemas.openxmlformats.org/officeDocument/2006/relationships/hyperlink" Target="https://meraas.my.salesforce.com/0010N00004X9OsL" TargetMode="External"/><Relationship Id="rId230" Type="http://schemas.openxmlformats.org/officeDocument/2006/relationships/hyperlink" Target="mailto:mariam.umadam@gmail.com" TargetMode="External"/><Relationship Id="rId472" Type="http://schemas.openxmlformats.org/officeDocument/2006/relationships/hyperlink" Target="mailto:tulikap07@gmail.com" TargetMode="External"/><Relationship Id="rId471" Type="http://schemas.openxmlformats.org/officeDocument/2006/relationships/hyperlink" Target="https://meraas.my.salesforce.com/0010N00004X974j" TargetMode="External"/><Relationship Id="rId470" Type="http://schemas.openxmlformats.org/officeDocument/2006/relationships/hyperlink" Target="https://meraas.my.salesforce.com/0010N00004X8RVY" TargetMode="External"/><Relationship Id="rId235" Type="http://schemas.openxmlformats.org/officeDocument/2006/relationships/hyperlink" Target="mailto:khalid.khoori@hotmail.com" TargetMode="External"/><Relationship Id="rId477" Type="http://schemas.openxmlformats.org/officeDocument/2006/relationships/hyperlink" Target="https://meraas.my.salesforce.com/0010N00004X9pqv" TargetMode="External"/><Relationship Id="rId234" Type="http://schemas.openxmlformats.org/officeDocument/2006/relationships/hyperlink" Target="https://meraas.my.salesforce.com/0010N00004nnGe2" TargetMode="External"/><Relationship Id="rId476" Type="http://schemas.openxmlformats.org/officeDocument/2006/relationships/hyperlink" Target="mailto:richard.christian@m3k.com.au" TargetMode="External"/><Relationship Id="rId233" Type="http://schemas.openxmlformats.org/officeDocument/2006/relationships/hyperlink" Target="mailto:yb@pelichetexpo.com" TargetMode="External"/><Relationship Id="rId475" Type="http://schemas.openxmlformats.org/officeDocument/2006/relationships/hyperlink" Target="https://meraas.my.salesforce.com/0010N00004X9pnc" TargetMode="External"/><Relationship Id="rId232" Type="http://schemas.openxmlformats.org/officeDocument/2006/relationships/hyperlink" Target="https://meraas.my.salesforce.com/0010N00004n5WmB" TargetMode="External"/><Relationship Id="rId474" Type="http://schemas.openxmlformats.org/officeDocument/2006/relationships/hyperlink" Target="mailto:al_andalus_c@hotmail.com" TargetMode="External"/><Relationship Id="rId426" Type="http://schemas.openxmlformats.org/officeDocument/2006/relationships/hyperlink" Target="mailto:clarence.fernandes24@gmail.com" TargetMode="External"/><Relationship Id="rId668" Type="http://schemas.openxmlformats.org/officeDocument/2006/relationships/hyperlink" Target="https://meraas.my.salesforce.com/0010N00004YOvEy" TargetMode="External"/><Relationship Id="rId425" Type="http://schemas.openxmlformats.org/officeDocument/2006/relationships/hyperlink" Target="https://meraas.my.salesforce.com/0010N00004xhQw6" TargetMode="External"/><Relationship Id="rId667" Type="http://schemas.openxmlformats.org/officeDocument/2006/relationships/hyperlink" Target="mailto:graciagulzar@hotmail.com" TargetMode="External"/><Relationship Id="rId424" Type="http://schemas.openxmlformats.org/officeDocument/2006/relationships/hyperlink" Target="https://meraas.my.salesforce.com/0010N00004xQhLd" TargetMode="External"/><Relationship Id="rId666" Type="http://schemas.openxmlformats.org/officeDocument/2006/relationships/hyperlink" Target="https://meraas.my.salesforce.com/0010N00004YOrYM" TargetMode="External"/><Relationship Id="rId423" Type="http://schemas.openxmlformats.org/officeDocument/2006/relationships/hyperlink" Target="mailto:amsu87@gmail.com" TargetMode="External"/><Relationship Id="rId665" Type="http://schemas.openxmlformats.org/officeDocument/2006/relationships/hyperlink" Target="mailto:ahmed_bashir@live.com" TargetMode="External"/><Relationship Id="rId429" Type="http://schemas.openxmlformats.org/officeDocument/2006/relationships/hyperlink" Target="https://meraas.my.salesforce.com/0010N00004yzbnh" TargetMode="External"/><Relationship Id="rId428" Type="http://schemas.openxmlformats.org/officeDocument/2006/relationships/hyperlink" Target="mailto:ppascaline@gmail.com" TargetMode="External"/><Relationship Id="rId427" Type="http://schemas.openxmlformats.org/officeDocument/2006/relationships/hyperlink" Target="https://meraas.my.salesforce.com/0010N00004yzSs8" TargetMode="External"/><Relationship Id="rId669" Type="http://schemas.openxmlformats.org/officeDocument/2006/relationships/hyperlink" Target="mailto:mourad_khelifi@baxter.com" TargetMode="External"/><Relationship Id="rId660" Type="http://schemas.openxmlformats.org/officeDocument/2006/relationships/hyperlink" Target="https://meraas.my.salesforce.com/0010N00004YMyIy" TargetMode="External"/><Relationship Id="rId422" Type="http://schemas.openxmlformats.org/officeDocument/2006/relationships/hyperlink" Target="https://meraas.my.salesforce.com/0010N00004x5xFH" TargetMode="External"/><Relationship Id="rId664" Type="http://schemas.openxmlformats.org/officeDocument/2006/relationships/hyperlink" Target="https://meraas.my.salesforce.com/0010N00004YN0Ps" TargetMode="External"/><Relationship Id="rId421" Type="http://schemas.openxmlformats.org/officeDocument/2006/relationships/hyperlink" Target="mailto:steinebach@berkano-invest.ru" TargetMode="External"/><Relationship Id="rId663" Type="http://schemas.openxmlformats.org/officeDocument/2006/relationships/hyperlink" Target="mailto:mz2001mz@hotmail.com" TargetMode="External"/><Relationship Id="rId420" Type="http://schemas.openxmlformats.org/officeDocument/2006/relationships/hyperlink" Target="https://meraas.my.salesforce.com/0010N000050rvVt" TargetMode="External"/><Relationship Id="rId662" Type="http://schemas.openxmlformats.org/officeDocument/2006/relationships/hyperlink" Target="https://meraas.my.salesforce.com/0010N00004YMyaM" TargetMode="External"/><Relationship Id="rId661" Type="http://schemas.openxmlformats.org/officeDocument/2006/relationships/hyperlink" Target="mailto:tariq5622@hotmail.com" TargetMode="External"/><Relationship Id="rId415" Type="http://schemas.openxmlformats.org/officeDocument/2006/relationships/hyperlink" Target="mailto:crescent.sk@gmail.com" TargetMode="External"/><Relationship Id="rId657" Type="http://schemas.openxmlformats.org/officeDocument/2006/relationships/hyperlink" Target="mailto:mohammedshemeerkhan@gmail.com" TargetMode="External"/><Relationship Id="rId414" Type="http://schemas.openxmlformats.org/officeDocument/2006/relationships/hyperlink" Target="https://meraas.my.salesforce.com/0010N00004EZ3zU" TargetMode="External"/><Relationship Id="rId656" Type="http://schemas.openxmlformats.org/officeDocument/2006/relationships/hyperlink" Target="https://meraas.my.salesforce.com/0010N00004YMu9b" TargetMode="External"/><Relationship Id="rId413" Type="http://schemas.openxmlformats.org/officeDocument/2006/relationships/hyperlink" Target="mailto:ett_lakbir@yahoo.fr" TargetMode="External"/><Relationship Id="rId655" Type="http://schemas.openxmlformats.org/officeDocument/2006/relationships/hyperlink" Target="mailto:agurnani@gmail.com" TargetMode="External"/><Relationship Id="rId412" Type="http://schemas.openxmlformats.org/officeDocument/2006/relationships/hyperlink" Target="https://meraas.my.salesforce.com/0010N00004lACTH" TargetMode="External"/><Relationship Id="rId654" Type="http://schemas.openxmlformats.org/officeDocument/2006/relationships/hyperlink" Target="https://meraas.my.salesforce.com/0010N00004YMtbU" TargetMode="External"/><Relationship Id="rId419" Type="http://schemas.openxmlformats.org/officeDocument/2006/relationships/hyperlink" Target="mailto:syedsabtain3626@gmail.com" TargetMode="External"/><Relationship Id="rId418" Type="http://schemas.openxmlformats.org/officeDocument/2006/relationships/hyperlink" Target="https://meraas.my.salesforce.com/0010N00004lAjAB" TargetMode="External"/><Relationship Id="rId417" Type="http://schemas.openxmlformats.org/officeDocument/2006/relationships/hyperlink" Target="mailto:rajindersingh071985@gmail.com" TargetMode="External"/><Relationship Id="rId659" Type="http://schemas.openxmlformats.org/officeDocument/2006/relationships/hyperlink" Target="mailto:nick.clayson@nortonrose.com" TargetMode="External"/><Relationship Id="rId416" Type="http://schemas.openxmlformats.org/officeDocument/2006/relationships/hyperlink" Target="https://meraas.my.salesforce.com/0010N00004YMteE" TargetMode="External"/><Relationship Id="rId658" Type="http://schemas.openxmlformats.org/officeDocument/2006/relationships/hyperlink" Target="https://meraas.my.salesforce.com/0010N00004YMxG3" TargetMode="External"/><Relationship Id="rId411" Type="http://schemas.openxmlformats.org/officeDocument/2006/relationships/hyperlink" Target="mailto:vikrambhatia50@gmail.com" TargetMode="External"/><Relationship Id="rId653" Type="http://schemas.openxmlformats.org/officeDocument/2006/relationships/hyperlink" Target="mailto:karima@keen-knowledge.com" TargetMode="External"/><Relationship Id="rId410" Type="http://schemas.openxmlformats.org/officeDocument/2006/relationships/hyperlink" Target="https://meraas.my.salesforce.com/0010N00004X9cBf" TargetMode="External"/><Relationship Id="rId652" Type="http://schemas.openxmlformats.org/officeDocument/2006/relationships/hyperlink" Target="https://meraas.my.salesforce.com/0010N00004YMtaR" TargetMode="External"/><Relationship Id="rId651" Type="http://schemas.openxmlformats.org/officeDocument/2006/relationships/hyperlink" Target="mailto:johanna@applause.ae" TargetMode="External"/><Relationship Id="rId650" Type="http://schemas.openxmlformats.org/officeDocument/2006/relationships/hyperlink" Target="https://meraas.my.salesforce.com/0010N00004YMtQg" TargetMode="External"/><Relationship Id="rId206" Type="http://schemas.openxmlformats.org/officeDocument/2006/relationships/hyperlink" Target="mailto:nidhi_indianuk_@yahoo.co.uk" TargetMode="External"/><Relationship Id="rId448" Type="http://schemas.openxmlformats.org/officeDocument/2006/relationships/hyperlink" Target="mailto:adamgaelic@gmail.com" TargetMode="External"/><Relationship Id="rId205" Type="http://schemas.openxmlformats.org/officeDocument/2006/relationships/hyperlink" Target="https://meraas.my.salesforce.com/0060N00000Zdfc5" TargetMode="External"/><Relationship Id="rId447" Type="http://schemas.openxmlformats.org/officeDocument/2006/relationships/hyperlink" Target="https://meraas.my.salesforce.com/0010N00004W6n5E" TargetMode="External"/><Relationship Id="rId689" Type="http://schemas.openxmlformats.org/officeDocument/2006/relationships/hyperlink" Target="mailto:marektoms@gmail.com" TargetMode="External"/><Relationship Id="rId204" Type="http://schemas.openxmlformats.org/officeDocument/2006/relationships/hyperlink" Target="mailto:maged.magdy89@gmail.com" TargetMode="External"/><Relationship Id="rId446" Type="http://schemas.openxmlformats.org/officeDocument/2006/relationships/hyperlink" Target="mailto:naja_ak@hotmail.com" TargetMode="External"/><Relationship Id="rId688" Type="http://schemas.openxmlformats.org/officeDocument/2006/relationships/hyperlink" Target="https://meraas.my.salesforce.com/0010N00004xej2l" TargetMode="External"/><Relationship Id="rId203" Type="http://schemas.openxmlformats.org/officeDocument/2006/relationships/hyperlink" Target="https://meraas.my.salesforce.com/0060N00000ZdYVg" TargetMode="External"/><Relationship Id="rId445" Type="http://schemas.openxmlformats.org/officeDocument/2006/relationships/hyperlink" Target="https://meraas.my.salesforce.com/0010N00004W6mzk" TargetMode="External"/><Relationship Id="rId687" Type="http://schemas.openxmlformats.org/officeDocument/2006/relationships/hyperlink" Target="mailto:atyebkhan@gmail.com" TargetMode="External"/><Relationship Id="rId209" Type="http://schemas.openxmlformats.org/officeDocument/2006/relationships/hyperlink" Target="https://meraas.my.salesforce.com/0060N00000ab0Lo" TargetMode="External"/><Relationship Id="rId208" Type="http://schemas.openxmlformats.org/officeDocument/2006/relationships/hyperlink" Target="mailto:366zsa@gmail.com" TargetMode="External"/><Relationship Id="rId207" Type="http://schemas.openxmlformats.org/officeDocument/2006/relationships/hyperlink" Target="https://meraas.my.salesforce.com/0060N00000ZdkNH" TargetMode="External"/><Relationship Id="rId449" Type="http://schemas.openxmlformats.org/officeDocument/2006/relationships/hyperlink" Target="https://meraas.my.salesforce.com/0010N00004UASzU" TargetMode="External"/><Relationship Id="rId440" Type="http://schemas.openxmlformats.org/officeDocument/2006/relationships/hyperlink" Target="mailto:jadealmulla@gmail.com" TargetMode="External"/><Relationship Id="rId682" Type="http://schemas.openxmlformats.org/officeDocument/2006/relationships/hyperlink" Target="https://meraas.my.salesforce.com/0010N00004YPmlo" TargetMode="External"/><Relationship Id="rId681" Type="http://schemas.openxmlformats.org/officeDocument/2006/relationships/hyperlink" Target="mailto:daniel@nowak.ae" TargetMode="External"/><Relationship Id="rId680" Type="http://schemas.openxmlformats.org/officeDocument/2006/relationships/hyperlink" Target="https://meraas.my.salesforce.com/0010N00004YPDWP" TargetMode="External"/><Relationship Id="rId202" Type="http://schemas.openxmlformats.org/officeDocument/2006/relationships/hyperlink" Target="mailto:akpksk@hotmail.com" TargetMode="External"/><Relationship Id="rId444" Type="http://schemas.openxmlformats.org/officeDocument/2006/relationships/hyperlink" Target="mailto:info@beringhem.com" TargetMode="External"/><Relationship Id="rId686" Type="http://schemas.openxmlformats.org/officeDocument/2006/relationships/hyperlink" Target="https://meraas.my.salesforce.com/0010N00004xeTXC" TargetMode="External"/><Relationship Id="rId201" Type="http://schemas.openxmlformats.org/officeDocument/2006/relationships/hyperlink" Target="https://meraas.my.salesforce.com/0060N00000ZdXk5" TargetMode="External"/><Relationship Id="rId443" Type="http://schemas.openxmlformats.org/officeDocument/2006/relationships/hyperlink" Target="https://meraas.my.salesforce.com/0010N00004W6my8" TargetMode="External"/><Relationship Id="rId685" Type="http://schemas.openxmlformats.org/officeDocument/2006/relationships/hyperlink" Target="mailto:smh4806888@hotmail.com" TargetMode="External"/><Relationship Id="rId200" Type="http://schemas.openxmlformats.org/officeDocument/2006/relationships/hyperlink" Target="mailto:sales@gohilemporium.co.uk" TargetMode="External"/><Relationship Id="rId442" Type="http://schemas.openxmlformats.org/officeDocument/2006/relationships/hyperlink" Target="mailto:alimhmmmd@hotmail.com" TargetMode="External"/><Relationship Id="rId684" Type="http://schemas.openxmlformats.org/officeDocument/2006/relationships/hyperlink" Target="https://meraas.my.salesforce.com/0010N00004azIva" TargetMode="External"/><Relationship Id="rId441" Type="http://schemas.openxmlformats.org/officeDocument/2006/relationships/hyperlink" Target="https://meraas.my.salesforce.com/0010N00004W6mtI" TargetMode="External"/><Relationship Id="rId683" Type="http://schemas.openxmlformats.org/officeDocument/2006/relationships/hyperlink" Target="mailto:nassim.ah.merbah@gmail.com" TargetMode="External"/><Relationship Id="rId437" Type="http://schemas.openxmlformats.org/officeDocument/2006/relationships/hyperlink" Target="https://meraas.my.salesforce.com/0010N00004W6mso" TargetMode="External"/><Relationship Id="rId679" Type="http://schemas.openxmlformats.org/officeDocument/2006/relationships/hyperlink" Target="mailto:maria@mashoonya.com" TargetMode="External"/><Relationship Id="rId436" Type="http://schemas.openxmlformats.org/officeDocument/2006/relationships/hyperlink" Target="mailto:selymes.stockdale@gmail.com" TargetMode="External"/><Relationship Id="rId678" Type="http://schemas.openxmlformats.org/officeDocument/2006/relationships/hyperlink" Target="https://meraas.my.salesforce.com/0010N00004Y7ArN" TargetMode="External"/><Relationship Id="rId435" Type="http://schemas.openxmlformats.org/officeDocument/2006/relationships/hyperlink" Target="https://meraas.my.salesforce.com/0010N00004W6ms0" TargetMode="External"/><Relationship Id="rId677" Type="http://schemas.openxmlformats.org/officeDocument/2006/relationships/hyperlink" Target="mailto:toni.rodriguez.dovale@hotmail.com" TargetMode="External"/><Relationship Id="rId434" Type="http://schemas.openxmlformats.org/officeDocument/2006/relationships/hyperlink" Target="mailto:mabaig@hotmail.com" TargetMode="External"/><Relationship Id="rId676" Type="http://schemas.openxmlformats.org/officeDocument/2006/relationships/hyperlink" Target="https://meraas.my.salesforce.com/0010N00004W5Utj" TargetMode="External"/><Relationship Id="rId439" Type="http://schemas.openxmlformats.org/officeDocument/2006/relationships/hyperlink" Target="https://meraas.my.salesforce.com/0010N00004W6mst" TargetMode="External"/><Relationship Id="rId438" Type="http://schemas.openxmlformats.org/officeDocument/2006/relationships/hyperlink" Target="mailto:danielsgoode@gmail.com" TargetMode="External"/><Relationship Id="rId671" Type="http://schemas.openxmlformats.org/officeDocument/2006/relationships/hyperlink" Target="mailto:golchin@pharsfilm.com" TargetMode="External"/><Relationship Id="rId670" Type="http://schemas.openxmlformats.org/officeDocument/2006/relationships/hyperlink" Target="https://meraas.my.salesforce.com/0010N00004YOvso" TargetMode="External"/><Relationship Id="rId433" Type="http://schemas.openxmlformats.org/officeDocument/2006/relationships/hyperlink" Target="https://meraas.my.salesforce.com/0010N00004W6mUh" TargetMode="External"/><Relationship Id="rId675" Type="http://schemas.openxmlformats.org/officeDocument/2006/relationships/hyperlink" Target="mailto:mona@sirdab-lab.com" TargetMode="External"/><Relationship Id="rId432" Type="http://schemas.openxmlformats.org/officeDocument/2006/relationships/hyperlink" Target="mailto:kchawathe@gmail.com" TargetMode="External"/><Relationship Id="rId674" Type="http://schemas.openxmlformats.org/officeDocument/2006/relationships/hyperlink" Target="https://meraas.my.salesforce.com/0010N00004YPBIp" TargetMode="External"/><Relationship Id="rId431" Type="http://schemas.openxmlformats.org/officeDocument/2006/relationships/hyperlink" Target="https://meraas.my.salesforce.com/0010N00004zMv3a" TargetMode="External"/><Relationship Id="rId673" Type="http://schemas.openxmlformats.org/officeDocument/2006/relationships/hyperlink" Target="mailto:k.1o@live.com" TargetMode="External"/><Relationship Id="rId430" Type="http://schemas.openxmlformats.org/officeDocument/2006/relationships/hyperlink" Target="mailto:bo3li2700@gmail.com" TargetMode="External"/><Relationship Id="rId672" Type="http://schemas.openxmlformats.org/officeDocument/2006/relationships/hyperlink" Target="https://meraas.my.salesforce.com/0010N00004YP2j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postsalwa@yahoo.com" TargetMode="External"/><Relationship Id="rId2" Type="http://schemas.openxmlformats.org/officeDocument/2006/relationships/hyperlink" Target="mailto:sbh_666@hotmail.com" TargetMode="External"/><Relationship Id="rId3" Type="http://schemas.openxmlformats.org/officeDocument/2006/relationships/hyperlink" Target="mailto:rolinluis@gmail.com" TargetMode="External"/><Relationship Id="rId4" Type="http://schemas.openxmlformats.org/officeDocument/2006/relationships/hyperlink" Target="mailto:williambrough55@yahoo.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eraas.my.salesforce.com/0010N00004zQ5PW" TargetMode="External"/><Relationship Id="rId2" Type="http://schemas.openxmlformats.org/officeDocument/2006/relationships/hyperlink" Target="https://meraas.my.salesforce.com/0010N00004rdbRX" TargetMode="External"/><Relationship Id="rId3" Type="http://schemas.openxmlformats.org/officeDocument/2006/relationships/hyperlink" Target="https://meraas.my.salesforce.com/0010N000050rvVt" TargetMode="External"/><Relationship Id="rId4" Type="http://schemas.openxmlformats.org/officeDocument/2006/relationships/hyperlink" Target="mailto:steinebach@berkano-invest.ru" TargetMode="External"/><Relationship Id="rId9" Type="http://schemas.openxmlformats.org/officeDocument/2006/relationships/hyperlink" Target="https://meraas.my.salesforce.com/0010N00004XAqq3" TargetMode="External"/><Relationship Id="rId5" Type="http://schemas.openxmlformats.org/officeDocument/2006/relationships/hyperlink" Target="https://meraas.my.salesforce.com/0010N00004yzSs8" TargetMode="External"/><Relationship Id="rId6" Type="http://schemas.openxmlformats.org/officeDocument/2006/relationships/hyperlink" Target="mailto:ppascaline@gmail.com" TargetMode="External"/><Relationship Id="rId7" Type="http://schemas.openxmlformats.org/officeDocument/2006/relationships/hyperlink" Target="mailto:aymansamirb@gmail.com" TargetMode="External"/><Relationship Id="rId8" Type="http://schemas.openxmlformats.org/officeDocument/2006/relationships/hyperlink" Target="mailto:hassal@altayer.com" TargetMode="External"/><Relationship Id="rId20" Type="http://schemas.openxmlformats.org/officeDocument/2006/relationships/hyperlink" Target="mailto:yahyamuhammad84@outlook.com" TargetMode="External"/><Relationship Id="rId22" Type="http://schemas.openxmlformats.org/officeDocument/2006/relationships/drawing" Target="../drawings/drawing6.xml"/><Relationship Id="rId21" Type="http://schemas.openxmlformats.org/officeDocument/2006/relationships/hyperlink" Target="mailto:hack_needa@yahoo.com" TargetMode="External"/><Relationship Id="rId11" Type="http://schemas.openxmlformats.org/officeDocument/2006/relationships/hyperlink" Target="https://meraas.my.salesforce.com/0010N00004XAqqN" TargetMode="External"/><Relationship Id="rId10" Type="http://schemas.openxmlformats.org/officeDocument/2006/relationships/hyperlink" Target="mailto:m11157@live.com" TargetMode="External"/><Relationship Id="rId13" Type="http://schemas.openxmlformats.org/officeDocument/2006/relationships/hyperlink" Target="https://meraas.my.salesforce.com/0010N00004qkT4D" TargetMode="External"/><Relationship Id="rId12" Type="http://schemas.openxmlformats.org/officeDocument/2006/relationships/hyperlink" Target="mailto:johnnykhazzoum@gmail.com" TargetMode="External"/><Relationship Id="rId15" Type="http://schemas.openxmlformats.org/officeDocument/2006/relationships/hyperlink" Target="https://meraas.my.salesforce.com/0010N00004qkdir" TargetMode="External"/><Relationship Id="rId14" Type="http://schemas.openxmlformats.org/officeDocument/2006/relationships/hyperlink" Target="mailto:losangelsreal1@gmail.com" TargetMode="External"/><Relationship Id="rId17" Type="http://schemas.openxmlformats.org/officeDocument/2006/relationships/hyperlink" Target="mailto:issiboh@web.de" TargetMode="External"/><Relationship Id="rId16" Type="http://schemas.openxmlformats.org/officeDocument/2006/relationships/hyperlink" Target="mailto:nadakhalifzai86@gmail.com" TargetMode="External"/><Relationship Id="rId19" Type="http://schemas.openxmlformats.org/officeDocument/2006/relationships/hyperlink" Target="mailto:shifasal786@gmail.com" TargetMode="External"/><Relationship Id="rId18" Type="http://schemas.openxmlformats.org/officeDocument/2006/relationships/hyperlink" Target="mailto:andrzejhalicki@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pp.hubspot.com/contacts/6914917/contact/91701/" TargetMode="External"/><Relationship Id="rId2" Type="http://schemas.openxmlformats.org/officeDocument/2006/relationships/hyperlink" Target="mailto:khan.md32@yahoo.com?bcc=6914917@bcc.hubspot.com" TargetMode="External"/><Relationship Id="rId3" Type="http://schemas.openxmlformats.org/officeDocument/2006/relationships/hyperlink" Target="https://app.hubspot.com/contacts/6914917/contact/91501/" TargetMode="External"/><Relationship Id="rId4" Type="http://schemas.openxmlformats.org/officeDocument/2006/relationships/hyperlink" Target="mailto:efrathalink@yahoo.com?bcc=6914917@bcc.hubspot.com" TargetMode="External"/><Relationship Id="rId9" Type="http://schemas.openxmlformats.org/officeDocument/2006/relationships/hyperlink" Target="https://app.hubspot.com/contacts/6914917/contact/88301/" TargetMode="External"/><Relationship Id="rId5" Type="http://schemas.openxmlformats.org/officeDocument/2006/relationships/hyperlink" Target="https://app.hubspot.com/contacts/6914917/contact/90551/" TargetMode="External"/><Relationship Id="rId6" Type="http://schemas.openxmlformats.org/officeDocument/2006/relationships/hyperlink" Target="mailto:mshrysabrly@gmail.com?bcc=6914917@bcc.hubspot.com" TargetMode="External"/><Relationship Id="rId7" Type="http://schemas.openxmlformats.org/officeDocument/2006/relationships/hyperlink" Target="https://app.hubspot.com/contacts/6914917/contact/89251/" TargetMode="External"/><Relationship Id="rId8" Type="http://schemas.openxmlformats.org/officeDocument/2006/relationships/hyperlink" Target="mailto:singhsn752@gmail.com?bcc=6914917@bcc.hubspot.com" TargetMode="External"/><Relationship Id="rId11" Type="http://schemas.openxmlformats.org/officeDocument/2006/relationships/hyperlink" Target="https://app.hubspot.com/contacts/6914917/contact/87701/" TargetMode="External"/><Relationship Id="rId10" Type="http://schemas.openxmlformats.org/officeDocument/2006/relationships/hyperlink" Target="mailto:danilo_gallarin@yahoo.com?bcc=6914917@bcc.hubspot.com" TargetMode="External"/><Relationship Id="rId13" Type="http://schemas.openxmlformats.org/officeDocument/2006/relationships/hyperlink" Target="mailto:kist@blcp.ae" TargetMode="External"/><Relationship Id="rId12" Type="http://schemas.openxmlformats.org/officeDocument/2006/relationships/hyperlink" Target="mailto:lisaclark1964@hotmail.com?bcc=6914917@bcc.hubspot.com" TargetMode="External"/><Relationship Id="rId1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mailto:mohammed.dawani@unb.ae?subject=Beach%20Vista%20Premium%20Beachfront%20Apartment"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0.86"/>
    <col customWidth="1" min="2" max="2" width="10.57"/>
    <col customWidth="1" min="3" max="3" width="30.43"/>
    <col customWidth="1" min="4" max="4" width="37.29"/>
    <col customWidth="1" min="5" max="5" width="21.29"/>
    <col customWidth="1" min="6" max="6" width="22.14"/>
    <col customWidth="1" min="7" max="7" width="38.29"/>
  </cols>
  <sheetData>
    <row r="1">
      <c r="A1" s="1"/>
      <c r="B1" s="1"/>
      <c r="C1" s="2" t="s">
        <v>0</v>
      </c>
      <c r="D1" s="2" t="s">
        <v>1</v>
      </c>
      <c r="E1" s="3" t="s">
        <v>2</v>
      </c>
      <c r="F1" s="4" t="s">
        <v>3</v>
      </c>
      <c r="G1" s="5" t="s">
        <v>4</v>
      </c>
    </row>
    <row r="2" hidden="1">
      <c r="A2" s="6"/>
      <c r="B2" s="6"/>
      <c r="C2" s="7" t="s">
        <v>5</v>
      </c>
      <c r="D2" s="7" t="s">
        <v>6</v>
      </c>
      <c r="E2" s="8" t="s">
        <v>7</v>
      </c>
      <c r="F2" s="9" t="s">
        <v>8</v>
      </c>
      <c r="G2" s="10" t="s">
        <v>9</v>
      </c>
    </row>
    <row r="3" hidden="1">
      <c r="A3" s="6"/>
      <c r="B3" s="6"/>
      <c r="C3" s="7" t="s">
        <v>10</v>
      </c>
      <c r="D3" s="7" t="s">
        <v>11</v>
      </c>
      <c r="E3" s="8" t="s">
        <v>12</v>
      </c>
      <c r="F3" s="9" t="s">
        <v>8</v>
      </c>
      <c r="G3" s="10" t="s">
        <v>13</v>
      </c>
    </row>
    <row r="4" hidden="1">
      <c r="A4" s="11"/>
      <c r="B4" s="11"/>
      <c r="C4" s="12" t="s">
        <v>14</v>
      </c>
      <c r="D4" s="12" t="s">
        <v>15</v>
      </c>
      <c r="E4" s="12"/>
      <c r="F4" s="9" t="s">
        <v>8</v>
      </c>
      <c r="G4" s="10" t="s">
        <v>16</v>
      </c>
    </row>
    <row r="5" hidden="1">
      <c r="A5" s="11"/>
      <c r="B5" s="11"/>
      <c r="C5" s="12" t="s">
        <v>17</v>
      </c>
      <c r="D5" s="12" t="s">
        <v>18</v>
      </c>
      <c r="E5" s="8" t="s">
        <v>19</v>
      </c>
      <c r="F5" s="9" t="s">
        <v>8</v>
      </c>
      <c r="G5" s="10" t="s">
        <v>13</v>
      </c>
    </row>
    <row r="6" hidden="1">
      <c r="A6" s="11"/>
      <c r="B6" s="11"/>
      <c r="C6" s="12" t="s">
        <v>20</v>
      </c>
      <c r="D6" s="12" t="s">
        <v>21</v>
      </c>
      <c r="E6" s="8" t="s">
        <v>22</v>
      </c>
      <c r="F6" s="9" t="s">
        <v>8</v>
      </c>
      <c r="G6" s="10" t="s">
        <v>23</v>
      </c>
    </row>
    <row r="7" hidden="1">
      <c r="A7" s="11"/>
      <c r="B7" s="11"/>
      <c r="C7" s="12" t="s">
        <v>24</v>
      </c>
      <c r="D7" s="12" t="s">
        <v>25</v>
      </c>
      <c r="E7" s="8" t="s">
        <v>26</v>
      </c>
      <c r="F7" s="9" t="s">
        <v>8</v>
      </c>
      <c r="G7" s="10" t="s">
        <v>27</v>
      </c>
    </row>
    <row r="8" hidden="1">
      <c r="A8" s="13"/>
      <c r="B8" s="13"/>
      <c r="C8" s="14" t="s">
        <v>28</v>
      </c>
      <c r="D8" s="15" t="s">
        <v>29</v>
      </c>
      <c r="E8" s="16" t="s">
        <v>30</v>
      </c>
      <c r="F8" s="9" t="s">
        <v>8</v>
      </c>
      <c r="G8" s="10" t="s">
        <v>16</v>
      </c>
    </row>
    <row r="9" hidden="1">
      <c r="A9" s="11"/>
      <c r="B9" s="11"/>
      <c r="C9" s="12" t="s">
        <v>31</v>
      </c>
      <c r="D9" s="12" t="s">
        <v>32</v>
      </c>
      <c r="E9" s="8" t="s">
        <v>33</v>
      </c>
      <c r="F9" s="9" t="s">
        <v>8</v>
      </c>
      <c r="G9" s="10" t="s">
        <v>34</v>
      </c>
    </row>
    <row r="10" hidden="1">
      <c r="A10" s="11"/>
      <c r="B10" s="11"/>
      <c r="C10" s="12" t="s">
        <v>35</v>
      </c>
      <c r="D10" s="12" t="s">
        <v>36</v>
      </c>
      <c r="E10" s="8" t="s">
        <v>37</v>
      </c>
      <c r="F10" s="9" t="s">
        <v>8</v>
      </c>
      <c r="G10" s="10" t="s">
        <v>38</v>
      </c>
    </row>
    <row r="11" hidden="1">
      <c r="A11" s="11"/>
      <c r="B11" s="11"/>
      <c r="C11" s="12" t="s">
        <v>39</v>
      </c>
      <c r="D11" s="12" t="s">
        <v>40</v>
      </c>
      <c r="E11" s="12"/>
      <c r="F11" s="9" t="s">
        <v>8</v>
      </c>
      <c r="G11" s="10" t="s">
        <v>16</v>
      </c>
    </row>
    <row r="12" hidden="1">
      <c r="A12" s="11"/>
      <c r="B12" s="11"/>
      <c r="C12" s="12" t="s">
        <v>41</v>
      </c>
      <c r="D12" s="12" t="s">
        <v>42</v>
      </c>
      <c r="E12" s="12"/>
      <c r="F12" s="9" t="s">
        <v>8</v>
      </c>
      <c r="G12" s="10" t="s">
        <v>16</v>
      </c>
    </row>
    <row r="13" hidden="1">
      <c r="A13" s="11"/>
      <c r="B13" s="11"/>
      <c r="C13" s="12" t="s">
        <v>43</v>
      </c>
      <c r="D13" s="7" t="s">
        <v>44</v>
      </c>
      <c r="E13" s="12"/>
      <c r="F13" s="9" t="s">
        <v>8</v>
      </c>
      <c r="G13" s="10" t="s">
        <v>16</v>
      </c>
    </row>
    <row r="14" hidden="1">
      <c r="A14" s="11"/>
      <c r="B14" s="11"/>
      <c r="C14" s="12"/>
      <c r="D14" s="12" t="s">
        <v>45</v>
      </c>
      <c r="E14" s="8" t="s">
        <v>46</v>
      </c>
      <c r="F14" s="9" t="s">
        <v>8</v>
      </c>
      <c r="G14" s="10" t="s">
        <v>47</v>
      </c>
    </row>
    <row r="15" hidden="1">
      <c r="A15" s="11"/>
      <c r="B15" s="11"/>
      <c r="C15" s="12" t="s">
        <v>48</v>
      </c>
      <c r="D15" s="7" t="s">
        <v>49</v>
      </c>
      <c r="E15" s="12"/>
      <c r="F15" s="9" t="s">
        <v>8</v>
      </c>
      <c r="G15" s="10" t="s">
        <v>16</v>
      </c>
    </row>
    <row r="16" hidden="1">
      <c r="A16" s="6"/>
      <c r="B16" s="6"/>
      <c r="C16" s="7" t="s">
        <v>50</v>
      </c>
      <c r="D16" s="7" t="s">
        <v>51</v>
      </c>
      <c r="E16" s="8" t="s">
        <v>52</v>
      </c>
      <c r="F16" s="9" t="s">
        <v>8</v>
      </c>
      <c r="G16" s="10" t="s">
        <v>13</v>
      </c>
    </row>
    <row r="17" ht="18.0" hidden="1" customHeight="1">
      <c r="A17" s="11"/>
      <c r="B17" s="11"/>
      <c r="C17" s="12" t="s">
        <v>53</v>
      </c>
      <c r="D17" s="12" t="s">
        <v>54</v>
      </c>
      <c r="E17" s="12">
        <v>2.13770474005E11</v>
      </c>
      <c r="F17" s="9" t="s">
        <v>8</v>
      </c>
      <c r="G17" s="10" t="s">
        <v>23</v>
      </c>
    </row>
    <row r="18" hidden="1">
      <c r="A18" s="11"/>
      <c r="B18" s="11"/>
      <c r="C18" s="12" t="s">
        <v>55</v>
      </c>
      <c r="D18" s="12" t="s">
        <v>56</v>
      </c>
      <c r="E18" s="12">
        <f>+9660532733006</f>
        <v>9660532733006</v>
      </c>
      <c r="F18" s="9" t="s">
        <v>8</v>
      </c>
      <c r="G18" s="10" t="s">
        <v>47</v>
      </c>
    </row>
    <row r="19" ht="18.75" hidden="1" customHeight="1">
      <c r="A19" s="11"/>
      <c r="B19" s="11"/>
      <c r="C19" s="12" t="s">
        <v>57</v>
      </c>
      <c r="D19" s="12" t="s">
        <v>58</v>
      </c>
      <c r="E19" s="12" t="s">
        <v>59</v>
      </c>
      <c r="F19" s="9" t="s">
        <v>8</v>
      </c>
      <c r="G19" s="10" t="s">
        <v>13</v>
      </c>
    </row>
    <row r="20" ht="17.25" hidden="1" customHeight="1">
      <c r="A20" s="11"/>
      <c r="B20" s="11"/>
      <c r="C20" s="12" t="s">
        <v>60</v>
      </c>
      <c r="D20" s="12" t="s">
        <v>61</v>
      </c>
      <c r="E20" s="12">
        <f>+962777544455</f>
        <v>962777544455</v>
      </c>
      <c r="F20" s="9" t="s">
        <v>8</v>
      </c>
      <c r="G20" s="10" t="s">
        <v>47</v>
      </c>
    </row>
    <row r="21" hidden="1">
      <c r="A21" s="11"/>
      <c r="B21" s="11"/>
      <c r="C21" s="12" t="s">
        <v>62</v>
      </c>
      <c r="D21" s="12" t="s">
        <v>63</v>
      </c>
      <c r="E21" s="8" t="s">
        <v>64</v>
      </c>
      <c r="F21" s="9" t="s">
        <v>8</v>
      </c>
      <c r="G21" s="10" t="s">
        <v>65</v>
      </c>
    </row>
    <row r="22" hidden="1">
      <c r="A22" s="11"/>
      <c r="B22" s="11"/>
      <c r="C22" s="12" t="s">
        <v>66</v>
      </c>
      <c r="D22" s="12" t="s">
        <v>67</v>
      </c>
      <c r="E22" s="8" t="s">
        <v>68</v>
      </c>
      <c r="F22" s="9" t="s">
        <v>8</v>
      </c>
      <c r="G22" s="10" t="s">
        <v>13</v>
      </c>
    </row>
    <row r="23" hidden="1">
      <c r="A23" s="11"/>
      <c r="B23" s="11"/>
      <c r="C23" s="12" t="s">
        <v>69</v>
      </c>
      <c r="D23" s="12" t="s">
        <v>70</v>
      </c>
      <c r="E23" s="8" t="s">
        <v>71</v>
      </c>
      <c r="F23" s="9" t="s">
        <v>8</v>
      </c>
      <c r="G23" s="10" t="s">
        <v>72</v>
      </c>
    </row>
    <row r="24" hidden="1">
      <c r="A24" s="11"/>
      <c r="B24" s="11"/>
      <c r="C24" s="12" t="s">
        <v>73</v>
      </c>
      <c r="D24" s="12" t="s">
        <v>74</v>
      </c>
      <c r="E24" s="8" t="s">
        <v>75</v>
      </c>
      <c r="F24" s="9" t="s">
        <v>8</v>
      </c>
      <c r="G24" s="10" t="s">
        <v>47</v>
      </c>
    </row>
    <row r="25" hidden="1">
      <c r="A25" s="11"/>
      <c r="B25" s="11"/>
      <c r="C25" s="12" t="s">
        <v>76</v>
      </c>
      <c r="D25" s="12" t="s">
        <v>77</v>
      </c>
      <c r="E25" s="8" t="s">
        <v>78</v>
      </c>
      <c r="F25" s="9" t="s">
        <v>8</v>
      </c>
      <c r="G25" s="10" t="s">
        <v>79</v>
      </c>
    </row>
    <row r="26" hidden="1">
      <c r="A26" s="11"/>
      <c r="B26" s="11"/>
      <c r="C26" s="12" t="s">
        <v>80</v>
      </c>
      <c r="D26" s="12"/>
      <c r="E26" s="8" t="s">
        <v>81</v>
      </c>
      <c r="F26" s="9" t="s">
        <v>8</v>
      </c>
      <c r="G26" s="10" t="s">
        <v>82</v>
      </c>
    </row>
    <row r="27" hidden="1">
      <c r="A27" s="11"/>
      <c r="B27" s="11"/>
      <c r="C27" s="12" t="s">
        <v>83</v>
      </c>
      <c r="D27" s="12" t="s">
        <v>84</v>
      </c>
      <c r="E27" s="8" t="s">
        <v>85</v>
      </c>
      <c r="F27" s="9" t="s">
        <v>8</v>
      </c>
      <c r="G27" s="10" t="s">
        <v>47</v>
      </c>
    </row>
    <row r="28" hidden="1">
      <c r="A28" s="11"/>
      <c r="B28" s="11"/>
      <c r="C28" s="12" t="s">
        <v>86</v>
      </c>
      <c r="D28" s="12" t="s">
        <v>87</v>
      </c>
      <c r="E28" s="8" t="s">
        <v>88</v>
      </c>
      <c r="F28" s="9" t="s">
        <v>8</v>
      </c>
      <c r="G28" s="10" t="s">
        <v>38</v>
      </c>
    </row>
    <row r="29" hidden="1">
      <c r="A29" s="11"/>
      <c r="B29" s="11"/>
      <c r="C29" s="12" t="s">
        <v>89</v>
      </c>
      <c r="D29" s="12" t="s">
        <v>90</v>
      </c>
      <c r="E29" s="8" t="s">
        <v>91</v>
      </c>
      <c r="F29" s="9" t="s">
        <v>8</v>
      </c>
      <c r="G29" s="10" t="s">
        <v>23</v>
      </c>
    </row>
    <row r="30" hidden="1">
      <c r="A30" s="11"/>
      <c r="B30" s="11"/>
      <c r="C30" s="12" t="s">
        <v>92</v>
      </c>
      <c r="D30" s="12" t="s">
        <v>93</v>
      </c>
      <c r="E30" s="12" t="s">
        <v>94</v>
      </c>
      <c r="F30" s="9" t="s">
        <v>8</v>
      </c>
      <c r="G30" s="10" t="s">
        <v>47</v>
      </c>
    </row>
    <row r="31" hidden="1">
      <c r="A31" s="11"/>
      <c r="B31" s="11"/>
      <c r="C31" s="12" t="s">
        <v>95</v>
      </c>
      <c r="D31" s="12" t="s">
        <v>96</v>
      </c>
      <c r="E31" s="8" t="s">
        <v>97</v>
      </c>
      <c r="F31" s="9" t="s">
        <v>8</v>
      </c>
      <c r="G31" s="10" t="s">
        <v>47</v>
      </c>
    </row>
    <row r="32" hidden="1">
      <c r="A32" s="11"/>
      <c r="B32" s="11"/>
      <c r="C32" s="12" t="s">
        <v>98</v>
      </c>
      <c r="D32" s="12" t="s">
        <v>99</v>
      </c>
      <c r="E32" s="8" t="s">
        <v>100</v>
      </c>
      <c r="F32" s="9" t="s">
        <v>8</v>
      </c>
      <c r="G32" s="10" t="s">
        <v>16</v>
      </c>
    </row>
    <row r="33" hidden="1">
      <c r="A33" s="11"/>
      <c r="B33" s="11"/>
      <c r="C33" s="12" t="s">
        <v>101</v>
      </c>
      <c r="D33" s="12" t="s">
        <v>102</v>
      </c>
      <c r="E33" s="8" t="s">
        <v>103</v>
      </c>
      <c r="F33" s="9" t="s">
        <v>8</v>
      </c>
      <c r="G33" s="10" t="s">
        <v>16</v>
      </c>
    </row>
    <row r="34" hidden="1">
      <c r="A34" s="11"/>
      <c r="B34" s="11"/>
      <c r="C34" s="12" t="s">
        <v>104</v>
      </c>
      <c r="D34" s="12" t="s">
        <v>105</v>
      </c>
      <c r="E34" s="12">
        <v>3.014843874E9</v>
      </c>
      <c r="F34" s="9" t="s">
        <v>8</v>
      </c>
      <c r="G34" s="10" t="s">
        <v>16</v>
      </c>
    </row>
    <row r="35" hidden="1">
      <c r="A35" s="11"/>
      <c r="B35" s="11"/>
      <c r="C35" s="12" t="s">
        <v>106</v>
      </c>
      <c r="D35" s="12" t="s">
        <v>107</v>
      </c>
      <c r="E35" s="12">
        <v>3.168677177E9</v>
      </c>
      <c r="F35" s="9" t="s">
        <v>8</v>
      </c>
      <c r="G35" s="10" t="s">
        <v>16</v>
      </c>
    </row>
    <row r="36" hidden="1">
      <c r="A36" s="11"/>
      <c r="B36" s="11"/>
      <c r="C36" s="12" t="s">
        <v>108</v>
      </c>
      <c r="D36" s="12"/>
      <c r="E36" s="8" t="s">
        <v>109</v>
      </c>
      <c r="F36" s="9" t="s">
        <v>8</v>
      </c>
      <c r="G36" s="17"/>
    </row>
    <row r="37" hidden="1">
      <c r="A37" s="11"/>
      <c r="B37" s="11"/>
      <c r="C37" s="12" t="s">
        <v>76</v>
      </c>
      <c r="D37" s="12"/>
      <c r="E37" s="8" t="s">
        <v>110</v>
      </c>
      <c r="F37" s="9" t="s">
        <v>8</v>
      </c>
      <c r="G37" s="17"/>
    </row>
    <row r="38" hidden="1">
      <c r="A38" s="11"/>
      <c r="B38" s="11"/>
      <c r="C38" s="12" t="s">
        <v>111</v>
      </c>
      <c r="D38" s="12" t="s">
        <v>112</v>
      </c>
      <c r="E38" s="8" t="s">
        <v>113</v>
      </c>
      <c r="F38" s="9" t="s">
        <v>8</v>
      </c>
      <c r="G38" s="10" t="s">
        <v>114</v>
      </c>
    </row>
    <row r="39" hidden="1">
      <c r="A39" s="11"/>
      <c r="B39" s="11"/>
      <c r="C39" s="12" t="s">
        <v>115</v>
      </c>
      <c r="D39" s="12" t="s">
        <v>116</v>
      </c>
      <c r="E39" s="8" t="s">
        <v>117</v>
      </c>
      <c r="F39" s="9" t="s">
        <v>8</v>
      </c>
      <c r="G39" s="10" t="s">
        <v>38</v>
      </c>
    </row>
    <row r="40" hidden="1">
      <c r="A40" s="11"/>
      <c r="B40" s="11"/>
      <c r="C40" s="12" t="s">
        <v>118</v>
      </c>
      <c r="D40" s="12" t="s">
        <v>119</v>
      </c>
      <c r="E40" s="8" t="s">
        <v>120</v>
      </c>
      <c r="F40" s="9" t="s">
        <v>8</v>
      </c>
      <c r="G40" s="10" t="s">
        <v>13</v>
      </c>
    </row>
    <row r="41" hidden="1">
      <c r="A41" s="6"/>
      <c r="B41" s="6"/>
      <c r="C41" s="7" t="s">
        <v>121</v>
      </c>
      <c r="D41" s="7" t="s">
        <v>122</v>
      </c>
      <c r="E41" s="8" t="s">
        <v>123</v>
      </c>
      <c r="F41" s="9" t="s">
        <v>8</v>
      </c>
      <c r="G41" s="10" t="s">
        <v>124</v>
      </c>
    </row>
    <row r="42" hidden="1">
      <c r="A42" s="11"/>
      <c r="B42" s="11"/>
      <c r="C42" s="12" t="s">
        <v>125</v>
      </c>
      <c r="D42" s="12" t="s">
        <v>126</v>
      </c>
      <c r="E42" s="8" t="s">
        <v>127</v>
      </c>
      <c r="F42" s="9" t="s">
        <v>8</v>
      </c>
      <c r="G42" s="10" t="s">
        <v>38</v>
      </c>
    </row>
    <row r="43" hidden="1">
      <c r="A43" s="11"/>
      <c r="B43" s="11"/>
      <c r="C43" s="12" t="s">
        <v>128</v>
      </c>
      <c r="D43" s="12" t="s">
        <v>129</v>
      </c>
      <c r="E43" s="12">
        <v>5.04424841E8</v>
      </c>
      <c r="F43" s="9" t="s">
        <v>8</v>
      </c>
      <c r="G43" s="10" t="s">
        <v>38</v>
      </c>
    </row>
    <row r="44" hidden="1">
      <c r="A44" s="11"/>
      <c r="B44" s="11"/>
      <c r="C44" s="12" t="s">
        <v>130</v>
      </c>
      <c r="D44" s="12" t="s">
        <v>131</v>
      </c>
      <c r="E44" s="12">
        <f>+962799999119</f>
        <v>962799999119</v>
      </c>
      <c r="F44" s="9" t="s">
        <v>8</v>
      </c>
      <c r="G44" s="10" t="s">
        <v>38</v>
      </c>
    </row>
    <row r="45" hidden="1">
      <c r="A45" s="11"/>
      <c r="B45" s="11"/>
      <c r="C45" s="12" t="s">
        <v>132</v>
      </c>
      <c r="D45" s="12" t="s">
        <v>133</v>
      </c>
      <c r="E45" s="12">
        <f>+966555666473</f>
        <v>966555666473</v>
      </c>
      <c r="F45" s="9" t="s">
        <v>8</v>
      </c>
      <c r="G45" s="10" t="s">
        <v>79</v>
      </c>
    </row>
    <row r="46" hidden="1">
      <c r="A46" s="11"/>
      <c r="B46" s="11"/>
      <c r="C46" s="12" t="s">
        <v>134</v>
      </c>
      <c r="D46" s="12" t="s">
        <v>135</v>
      </c>
      <c r="E46" s="12">
        <f>+966581341121</f>
        <v>966581341121</v>
      </c>
      <c r="F46" s="9" t="s">
        <v>8</v>
      </c>
      <c r="G46" s="10" t="s">
        <v>38</v>
      </c>
    </row>
    <row r="47" hidden="1">
      <c r="A47" s="11"/>
      <c r="B47" s="11"/>
      <c r="C47" s="12" t="s">
        <v>136</v>
      </c>
      <c r="D47" s="12" t="s">
        <v>137</v>
      </c>
      <c r="E47" s="12">
        <f>+9620795234608</f>
        <v>9620795234608</v>
      </c>
      <c r="F47" s="9" t="s">
        <v>8</v>
      </c>
      <c r="G47" s="10" t="s">
        <v>16</v>
      </c>
    </row>
    <row r="48" hidden="1">
      <c r="A48" s="11"/>
      <c r="B48" s="11"/>
      <c r="C48" s="12" t="s">
        <v>138</v>
      </c>
      <c r="D48" s="12" t="s">
        <v>139</v>
      </c>
      <c r="E48" s="8" t="s">
        <v>140</v>
      </c>
      <c r="F48" s="9" t="s">
        <v>8</v>
      </c>
      <c r="G48" s="10" t="s">
        <v>79</v>
      </c>
    </row>
    <row r="49" hidden="1">
      <c r="A49" s="11"/>
      <c r="B49" s="11"/>
      <c r="C49" s="12" t="s">
        <v>141</v>
      </c>
      <c r="D49" s="12" t="s">
        <v>142</v>
      </c>
      <c r="E49" s="8" t="s">
        <v>143</v>
      </c>
      <c r="F49" s="9" t="s">
        <v>8</v>
      </c>
      <c r="G49" s="10" t="s">
        <v>79</v>
      </c>
    </row>
    <row r="50" hidden="1">
      <c r="A50" s="11"/>
      <c r="B50" s="11"/>
      <c r="C50" s="12" t="s">
        <v>144</v>
      </c>
      <c r="D50" s="12" t="s">
        <v>145</v>
      </c>
      <c r="E50" s="8" t="s">
        <v>146</v>
      </c>
      <c r="F50" s="9" t="s">
        <v>8</v>
      </c>
      <c r="G50" s="10" t="s">
        <v>79</v>
      </c>
    </row>
    <row r="51" hidden="1">
      <c r="A51" s="11"/>
      <c r="B51" s="11"/>
      <c r="C51" s="12" t="s">
        <v>147</v>
      </c>
      <c r="D51" s="12" t="s">
        <v>148</v>
      </c>
      <c r="E51" s="8" t="s">
        <v>149</v>
      </c>
      <c r="F51" s="9" t="s">
        <v>8</v>
      </c>
      <c r="G51" s="10" t="s">
        <v>150</v>
      </c>
    </row>
    <row r="52" hidden="1">
      <c r="A52" s="11"/>
      <c r="B52" s="11"/>
      <c r="C52" s="12" t="s">
        <v>151</v>
      </c>
      <c r="D52" s="12" t="s">
        <v>152</v>
      </c>
      <c r="E52" s="8" t="s">
        <v>153</v>
      </c>
      <c r="F52" s="9" t="s">
        <v>8</v>
      </c>
      <c r="G52" s="10" t="s">
        <v>154</v>
      </c>
    </row>
    <row r="53" hidden="1">
      <c r="A53" s="11"/>
      <c r="B53" s="11"/>
      <c r="C53" s="12" t="s">
        <v>155</v>
      </c>
      <c r="D53" s="12" t="s">
        <v>156</v>
      </c>
      <c r="E53" s="8" t="s">
        <v>157</v>
      </c>
      <c r="F53" s="9" t="s">
        <v>8</v>
      </c>
      <c r="G53" s="10" t="s">
        <v>13</v>
      </c>
    </row>
    <row r="54" hidden="1">
      <c r="A54" s="11"/>
      <c r="B54" s="11"/>
      <c r="C54" s="12" t="s">
        <v>158</v>
      </c>
      <c r="D54" s="12" t="s">
        <v>159</v>
      </c>
      <c r="E54" s="8" t="s">
        <v>160</v>
      </c>
      <c r="F54" s="9" t="s">
        <v>8</v>
      </c>
      <c r="G54" s="10" t="s">
        <v>13</v>
      </c>
    </row>
    <row r="55" hidden="1">
      <c r="A55" s="18"/>
      <c r="B55" s="18"/>
      <c r="C55" s="19" t="s">
        <v>161</v>
      </c>
      <c r="D55" s="19" t="s">
        <v>162</v>
      </c>
      <c r="E55" s="20" t="s">
        <v>163</v>
      </c>
      <c r="F55" s="9" t="s">
        <v>164</v>
      </c>
      <c r="G55" s="10" t="s">
        <v>79</v>
      </c>
    </row>
    <row r="56" hidden="1">
      <c r="A56" s="18"/>
      <c r="B56" s="18"/>
      <c r="C56" s="19" t="s">
        <v>165</v>
      </c>
      <c r="D56" s="19" t="s">
        <v>166</v>
      </c>
      <c r="E56" s="20" t="s">
        <v>167</v>
      </c>
      <c r="F56" s="9" t="s">
        <v>164</v>
      </c>
      <c r="G56" s="10" t="s">
        <v>168</v>
      </c>
    </row>
    <row r="57" hidden="1">
      <c r="A57" s="21"/>
      <c r="B57" s="21"/>
      <c r="C57" s="22" t="s">
        <v>169</v>
      </c>
      <c r="D57" s="22" t="s">
        <v>170</v>
      </c>
      <c r="E57" s="20" t="s">
        <v>171</v>
      </c>
      <c r="F57" s="9" t="s">
        <v>164</v>
      </c>
      <c r="G57" s="10" t="s">
        <v>172</v>
      </c>
    </row>
    <row r="58" hidden="1">
      <c r="A58" s="21"/>
      <c r="B58" s="21"/>
      <c r="C58" s="22" t="s">
        <v>173</v>
      </c>
      <c r="D58" s="22" t="s">
        <v>174</v>
      </c>
      <c r="E58" s="20" t="s">
        <v>175</v>
      </c>
      <c r="F58" s="9" t="s">
        <v>164</v>
      </c>
      <c r="G58" s="10" t="s">
        <v>124</v>
      </c>
    </row>
    <row r="59" hidden="1">
      <c r="A59" s="23"/>
      <c r="B59" s="23"/>
      <c r="C59" s="24" t="s">
        <v>176</v>
      </c>
      <c r="D59" s="24" t="s">
        <v>177</v>
      </c>
      <c r="E59" s="24" t="s">
        <v>178</v>
      </c>
      <c r="F59" s="9" t="s">
        <v>164</v>
      </c>
      <c r="G59" s="10" t="s">
        <v>179</v>
      </c>
    </row>
    <row r="60" hidden="1">
      <c r="A60" s="23"/>
      <c r="B60" s="23"/>
      <c r="C60" s="24" t="s">
        <v>180</v>
      </c>
      <c r="D60" s="24" t="s">
        <v>181</v>
      </c>
      <c r="E60" s="24" t="s">
        <v>182</v>
      </c>
      <c r="F60" s="9" t="s">
        <v>164</v>
      </c>
      <c r="G60" s="10" t="s">
        <v>124</v>
      </c>
    </row>
    <row r="61" hidden="1">
      <c r="A61" s="23"/>
      <c r="B61" s="23"/>
      <c r="C61" s="24" t="s">
        <v>183</v>
      </c>
      <c r="D61" s="24" t="s">
        <v>184</v>
      </c>
      <c r="E61" s="24" t="s">
        <v>185</v>
      </c>
      <c r="F61" s="9" t="s">
        <v>164</v>
      </c>
      <c r="G61" s="10" t="s">
        <v>38</v>
      </c>
    </row>
    <row r="62" hidden="1">
      <c r="A62" s="21"/>
      <c r="B62" s="21"/>
      <c r="C62" s="22" t="s">
        <v>186</v>
      </c>
      <c r="D62" s="22" t="s">
        <v>187</v>
      </c>
      <c r="E62" s="25" t="s">
        <v>188</v>
      </c>
      <c r="F62" s="9" t="s">
        <v>164</v>
      </c>
      <c r="G62" s="10" t="s">
        <v>124</v>
      </c>
    </row>
    <row r="63" hidden="1">
      <c r="A63" s="21"/>
      <c r="B63" s="21"/>
      <c r="C63" s="22" t="s">
        <v>189</v>
      </c>
      <c r="D63" s="22" t="s">
        <v>190</v>
      </c>
      <c r="E63" s="22">
        <v>9.6550138378E10</v>
      </c>
      <c r="F63" s="9" t="s">
        <v>164</v>
      </c>
      <c r="G63" s="10" t="s">
        <v>124</v>
      </c>
    </row>
    <row r="64" hidden="1">
      <c r="A64" s="21"/>
      <c r="B64" s="21"/>
      <c r="C64" s="22" t="s">
        <v>191</v>
      </c>
      <c r="D64" s="22" t="s">
        <v>192</v>
      </c>
      <c r="E64" s="22">
        <f>+971505571378</f>
        <v>971505571378</v>
      </c>
      <c r="F64" s="9" t="s">
        <v>164</v>
      </c>
      <c r="G64" s="10" t="s">
        <v>193</v>
      </c>
    </row>
    <row r="65" hidden="1">
      <c r="A65" s="21"/>
      <c r="B65" s="21"/>
      <c r="C65" s="22" t="s">
        <v>194</v>
      </c>
      <c r="D65" s="22" t="s">
        <v>195</v>
      </c>
      <c r="E65" s="22">
        <f>+989120397828</f>
        <v>989120397828</v>
      </c>
      <c r="F65" s="9" t="s">
        <v>164</v>
      </c>
      <c r="G65" s="10" t="s">
        <v>196</v>
      </c>
    </row>
    <row r="66" hidden="1">
      <c r="A66" s="21"/>
      <c r="B66" s="21"/>
      <c r="C66" s="22" t="s">
        <v>197</v>
      </c>
      <c r="D66" s="22" t="s">
        <v>198</v>
      </c>
      <c r="E66" s="22">
        <f>+8613918776729</f>
        <v>8613918776729</v>
      </c>
      <c r="F66" s="9" t="s">
        <v>164</v>
      </c>
      <c r="G66" s="10" t="s">
        <v>196</v>
      </c>
    </row>
    <row r="67" hidden="1">
      <c r="A67" s="21"/>
      <c r="B67" s="21"/>
      <c r="C67" s="22" t="s">
        <v>199</v>
      </c>
      <c r="D67" s="22" t="s">
        <v>200</v>
      </c>
      <c r="E67" s="22">
        <f>+971556515130</f>
        <v>971556515130</v>
      </c>
      <c r="F67" s="9" t="s">
        <v>164</v>
      </c>
      <c r="G67" s="10" t="s">
        <v>38</v>
      </c>
    </row>
    <row r="68" hidden="1">
      <c r="A68" s="21"/>
      <c r="B68" s="21"/>
      <c r="C68" s="22" t="s">
        <v>201</v>
      </c>
      <c r="D68" s="22" t="s">
        <v>202</v>
      </c>
      <c r="E68" s="22">
        <f>+966504843458</f>
        <v>966504843458</v>
      </c>
      <c r="F68" s="9" t="s">
        <v>164</v>
      </c>
      <c r="G68" s="10" t="s">
        <v>16</v>
      </c>
    </row>
    <row r="69" hidden="1">
      <c r="A69" s="21"/>
      <c r="B69" s="21"/>
      <c r="C69" s="22" t="s">
        <v>203</v>
      </c>
      <c r="D69" s="22" t="s">
        <v>204</v>
      </c>
      <c r="E69" s="22">
        <f>+971503796665</f>
        <v>971503796665</v>
      </c>
      <c r="F69" s="9" t="s">
        <v>164</v>
      </c>
      <c r="G69" s="10" t="s">
        <v>79</v>
      </c>
    </row>
    <row r="70" hidden="1">
      <c r="A70" s="21"/>
      <c r="B70" s="21"/>
      <c r="C70" s="22" t="s">
        <v>205</v>
      </c>
      <c r="D70" s="22" t="s">
        <v>206</v>
      </c>
      <c r="E70" s="22">
        <f>+9609675276</f>
        <v>9609675276</v>
      </c>
      <c r="F70" s="9" t="s">
        <v>164</v>
      </c>
      <c r="G70" s="10" t="s">
        <v>16</v>
      </c>
    </row>
    <row r="71" hidden="1">
      <c r="A71" s="21"/>
      <c r="B71" s="21"/>
      <c r="C71" s="22" t="s">
        <v>207</v>
      </c>
      <c r="D71" s="22" t="s">
        <v>208</v>
      </c>
      <c r="E71" s="20" t="s">
        <v>209</v>
      </c>
      <c r="F71" s="9" t="s">
        <v>164</v>
      </c>
      <c r="G71" s="10" t="s">
        <v>196</v>
      </c>
    </row>
    <row r="72" hidden="1">
      <c r="A72" s="21"/>
      <c r="B72" s="21"/>
      <c r="C72" s="22" t="s">
        <v>210</v>
      </c>
      <c r="D72" s="22" t="s">
        <v>211</v>
      </c>
      <c r="E72" s="22">
        <f>+971561011330</f>
        <v>971561011330</v>
      </c>
      <c r="F72" s="9" t="s">
        <v>164</v>
      </c>
      <c r="G72" s="10" t="s">
        <v>79</v>
      </c>
    </row>
    <row r="73" hidden="1">
      <c r="A73" s="21"/>
      <c r="B73" s="21"/>
      <c r="C73" s="22" t="s">
        <v>212</v>
      </c>
      <c r="D73" s="22" t="s">
        <v>213</v>
      </c>
      <c r="E73" s="22">
        <f>+85295557980</f>
        <v>85295557980</v>
      </c>
      <c r="F73" s="9" t="s">
        <v>164</v>
      </c>
      <c r="G73" s="10" t="s">
        <v>196</v>
      </c>
    </row>
    <row r="74" hidden="1">
      <c r="A74" s="21"/>
      <c r="B74" s="21"/>
      <c r="C74" s="22" t="s">
        <v>214</v>
      </c>
      <c r="D74" s="22" t="s">
        <v>215</v>
      </c>
      <c r="E74" s="22">
        <f>+19179162527</f>
        <v>19179162527</v>
      </c>
      <c r="F74" s="9" t="s">
        <v>164</v>
      </c>
      <c r="G74" s="10" t="s">
        <v>196</v>
      </c>
    </row>
    <row r="75" hidden="1">
      <c r="A75" s="21"/>
      <c r="B75" s="21"/>
      <c r="C75" s="22" t="s">
        <v>216</v>
      </c>
      <c r="D75" s="22" t="s">
        <v>217</v>
      </c>
      <c r="E75" s="22">
        <f>+966505561414</f>
        <v>966505561414</v>
      </c>
      <c r="F75" s="9" t="s">
        <v>164</v>
      </c>
      <c r="G75" s="10" t="s">
        <v>79</v>
      </c>
    </row>
    <row r="76" hidden="1">
      <c r="A76" s="23"/>
      <c r="B76" s="23"/>
      <c r="C76" s="24" t="s">
        <v>218</v>
      </c>
      <c r="D76" s="24" t="s">
        <v>219</v>
      </c>
      <c r="E76" s="26" t="s">
        <v>220</v>
      </c>
      <c r="F76" s="9" t="s">
        <v>164</v>
      </c>
      <c r="G76" s="10" t="s">
        <v>38</v>
      </c>
    </row>
    <row r="77" hidden="1">
      <c r="A77" s="23"/>
      <c r="B77" s="23"/>
      <c r="C77" s="24" t="s">
        <v>221</v>
      </c>
      <c r="D77" s="24" t="s">
        <v>222</v>
      </c>
      <c r="E77" s="26" t="s">
        <v>223</v>
      </c>
      <c r="F77" s="9" t="s">
        <v>164</v>
      </c>
      <c r="G77" s="10" t="s">
        <v>196</v>
      </c>
    </row>
    <row r="78" hidden="1">
      <c r="A78" s="27"/>
      <c r="B78" s="27"/>
      <c r="C78" s="28" t="s">
        <v>224</v>
      </c>
      <c r="D78" s="28" t="s">
        <v>225</v>
      </c>
      <c r="E78" s="28">
        <v>9.71506352422E11</v>
      </c>
      <c r="F78" s="9" t="s">
        <v>164</v>
      </c>
      <c r="G78" s="10" t="s">
        <v>196</v>
      </c>
    </row>
    <row r="79" hidden="1">
      <c r="A79" s="23"/>
      <c r="B79" s="23"/>
      <c r="C79" s="24" t="s">
        <v>226</v>
      </c>
      <c r="D79" s="24" t="s">
        <v>227</v>
      </c>
      <c r="E79" s="24">
        <v>9.7156362414E11</v>
      </c>
      <c r="F79" s="9" t="s">
        <v>164</v>
      </c>
      <c r="G79" s="10" t="s">
        <v>196</v>
      </c>
    </row>
    <row r="80" hidden="1">
      <c r="A80" s="23"/>
      <c r="B80" s="23"/>
      <c r="C80" s="24" t="s">
        <v>228</v>
      </c>
      <c r="D80" s="24" t="s">
        <v>229</v>
      </c>
      <c r="E80" s="24">
        <v>9.71505416473E11</v>
      </c>
      <c r="F80" s="9" t="s">
        <v>164</v>
      </c>
      <c r="G80" s="10" t="s">
        <v>196</v>
      </c>
    </row>
    <row r="81" hidden="1">
      <c r="A81" s="23"/>
      <c r="B81" s="23"/>
      <c r="C81" s="24" t="s">
        <v>230</v>
      </c>
      <c r="D81" s="24" t="s">
        <v>231</v>
      </c>
      <c r="E81" s="26" t="s">
        <v>232</v>
      </c>
      <c r="F81" s="9" t="s">
        <v>233</v>
      </c>
      <c r="G81" s="10" t="s">
        <v>13</v>
      </c>
    </row>
    <row r="82" hidden="1">
      <c r="A82" s="23"/>
      <c r="B82" s="23"/>
      <c r="C82" s="24" t="s">
        <v>234</v>
      </c>
      <c r="D82" s="24" t="s">
        <v>235</v>
      </c>
      <c r="E82" s="26" t="s">
        <v>236</v>
      </c>
      <c r="F82" s="9" t="s">
        <v>233</v>
      </c>
      <c r="G82" s="10" t="s">
        <v>13</v>
      </c>
    </row>
    <row r="83" hidden="1">
      <c r="A83" s="23"/>
      <c r="B83" s="23"/>
      <c r="C83" s="24" t="s">
        <v>237</v>
      </c>
      <c r="D83" s="24" t="s">
        <v>238</v>
      </c>
      <c r="E83" s="26" t="s">
        <v>239</v>
      </c>
      <c r="F83" s="9" t="s">
        <v>233</v>
      </c>
      <c r="G83" s="10" t="s">
        <v>47</v>
      </c>
    </row>
    <row r="84" hidden="1">
      <c r="A84" s="23"/>
      <c r="B84" s="23"/>
      <c r="C84" s="24" t="s">
        <v>240</v>
      </c>
      <c r="D84" s="24" t="s">
        <v>241</v>
      </c>
      <c r="E84" s="26" t="s">
        <v>242</v>
      </c>
      <c r="F84" s="9" t="s">
        <v>233</v>
      </c>
      <c r="G84" s="10" t="s">
        <v>243</v>
      </c>
    </row>
    <row r="85" hidden="1">
      <c r="A85" s="23"/>
      <c r="B85" s="23"/>
      <c r="C85" s="24" t="s">
        <v>244</v>
      </c>
      <c r="D85" s="24" t="s">
        <v>245</v>
      </c>
      <c r="E85" s="26" t="s">
        <v>246</v>
      </c>
      <c r="F85" s="9" t="s">
        <v>233</v>
      </c>
      <c r="G85" s="10" t="s">
        <v>247</v>
      </c>
    </row>
    <row r="86" hidden="1">
      <c r="A86" s="23"/>
      <c r="B86" s="23"/>
      <c r="C86" s="24" t="s">
        <v>248</v>
      </c>
      <c r="D86" s="24" t="s">
        <v>249</v>
      </c>
      <c r="E86" s="26" t="s">
        <v>250</v>
      </c>
      <c r="F86" s="9" t="s">
        <v>233</v>
      </c>
      <c r="G86" s="10" t="s">
        <v>251</v>
      </c>
    </row>
    <row r="87" hidden="1">
      <c r="A87" s="23"/>
      <c r="B87" s="23"/>
      <c r="C87" s="24" t="s">
        <v>252</v>
      </c>
      <c r="D87" s="24" t="s">
        <v>253</v>
      </c>
      <c r="E87" s="26" t="s">
        <v>254</v>
      </c>
      <c r="F87" s="9" t="s">
        <v>233</v>
      </c>
      <c r="G87" s="10" t="s">
        <v>255</v>
      </c>
    </row>
    <row r="88" hidden="1">
      <c r="A88" s="23"/>
      <c r="B88" s="23"/>
      <c r="C88" s="24" t="s">
        <v>256</v>
      </c>
      <c r="D88" s="24" t="s">
        <v>257</v>
      </c>
      <c r="E88" s="26" t="s">
        <v>258</v>
      </c>
      <c r="F88" s="9" t="s">
        <v>233</v>
      </c>
      <c r="G88" s="10" t="s">
        <v>168</v>
      </c>
    </row>
    <row r="89" hidden="1">
      <c r="A89" s="23"/>
      <c r="B89" s="23"/>
      <c r="C89" s="24" t="s">
        <v>259</v>
      </c>
      <c r="D89" s="24" t="s">
        <v>260</v>
      </c>
      <c r="E89" s="26" t="s">
        <v>261</v>
      </c>
      <c r="F89" s="9" t="s">
        <v>233</v>
      </c>
      <c r="G89" s="10" t="s">
        <v>262</v>
      </c>
    </row>
    <row r="90" hidden="1">
      <c r="A90" s="23"/>
      <c r="B90" s="23"/>
      <c r="C90" s="24" t="s">
        <v>263</v>
      </c>
      <c r="D90" s="24" t="s">
        <v>264</v>
      </c>
      <c r="E90" s="26" t="s">
        <v>265</v>
      </c>
      <c r="F90" s="9" t="s">
        <v>233</v>
      </c>
      <c r="G90" s="10" t="s">
        <v>47</v>
      </c>
    </row>
    <row r="91" hidden="1">
      <c r="A91" s="23"/>
      <c r="B91" s="23"/>
      <c r="C91" s="24" t="s">
        <v>266</v>
      </c>
      <c r="D91" s="24" t="s">
        <v>267</v>
      </c>
      <c r="E91" s="26" t="s">
        <v>268</v>
      </c>
      <c r="F91" s="9" t="s">
        <v>233</v>
      </c>
      <c r="G91" s="10" t="s">
        <v>23</v>
      </c>
    </row>
    <row r="92" hidden="1">
      <c r="A92" s="23"/>
      <c r="B92" s="23"/>
      <c r="C92" s="24" t="s">
        <v>269</v>
      </c>
      <c r="D92" s="24" t="s">
        <v>270</v>
      </c>
      <c r="E92" s="26" t="s">
        <v>271</v>
      </c>
      <c r="F92" s="9" t="s">
        <v>233</v>
      </c>
      <c r="G92" s="10" t="s">
        <v>23</v>
      </c>
    </row>
    <row r="93" hidden="1">
      <c r="A93" s="23"/>
      <c r="B93" s="23"/>
      <c r="C93" s="24" t="s">
        <v>272</v>
      </c>
      <c r="D93" s="24" t="s">
        <v>273</v>
      </c>
      <c r="E93" s="26" t="s">
        <v>274</v>
      </c>
      <c r="F93" s="9" t="s">
        <v>233</v>
      </c>
      <c r="G93" s="10" t="s">
        <v>168</v>
      </c>
    </row>
    <row r="94" hidden="1">
      <c r="A94" s="23"/>
      <c r="B94" s="23"/>
      <c r="C94" s="24" t="s">
        <v>275</v>
      </c>
      <c r="D94" s="29" t="s">
        <v>264</v>
      </c>
      <c r="E94" s="26" t="s">
        <v>276</v>
      </c>
      <c r="F94" s="9" t="s">
        <v>233</v>
      </c>
      <c r="G94" s="10" t="s">
        <v>23</v>
      </c>
    </row>
    <row r="95" hidden="1">
      <c r="A95" s="23"/>
      <c r="B95" s="23"/>
      <c r="C95" s="24" t="s">
        <v>277</v>
      </c>
      <c r="D95" s="24" t="s">
        <v>278</v>
      </c>
      <c r="E95" s="26" t="s">
        <v>279</v>
      </c>
      <c r="F95" s="9" t="s">
        <v>233</v>
      </c>
      <c r="G95" s="10" t="s">
        <v>23</v>
      </c>
    </row>
    <row r="96" hidden="1">
      <c r="A96" s="23"/>
      <c r="B96" s="23"/>
      <c r="C96" s="24" t="s">
        <v>280</v>
      </c>
      <c r="D96" s="24" t="s">
        <v>281</v>
      </c>
      <c r="E96" s="26" t="s">
        <v>282</v>
      </c>
      <c r="F96" s="9" t="s">
        <v>233</v>
      </c>
      <c r="G96" s="10" t="s">
        <v>23</v>
      </c>
    </row>
    <row r="97" hidden="1">
      <c r="A97" s="23"/>
      <c r="B97" s="23"/>
      <c r="C97" s="24" t="s">
        <v>283</v>
      </c>
      <c r="D97" s="24" t="s">
        <v>284</v>
      </c>
      <c r="E97" s="26" t="s">
        <v>285</v>
      </c>
      <c r="F97" s="9" t="s">
        <v>233</v>
      </c>
      <c r="G97" s="10" t="s">
        <v>47</v>
      </c>
    </row>
    <row r="98" hidden="1">
      <c r="A98" s="23"/>
      <c r="B98" s="23"/>
      <c r="C98" s="24" t="s">
        <v>286</v>
      </c>
      <c r="D98" s="24" t="s">
        <v>287</v>
      </c>
      <c r="E98" s="26" t="s">
        <v>288</v>
      </c>
      <c r="F98" s="9" t="s">
        <v>233</v>
      </c>
      <c r="G98" s="10" t="s">
        <v>23</v>
      </c>
    </row>
    <row r="99" hidden="1">
      <c r="A99" s="23"/>
      <c r="B99" s="23"/>
      <c r="C99" s="24" t="s">
        <v>289</v>
      </c>
      <c r="D99" s="24" t="s">
        <v>290</v>
      </c>
      <c r="E99" s="26" t="s">
        <v>291</v>
      </c>
      <c r="F99" s="9" t="s">
        <v>233</v>
      </c>
      <c r="G99" s="10" t="s">
        <v>23</v>
      </c>
    </row>
    <row r="100" hidden="1">
      <c r="A100" s="23"/>
      <c r="B100" s="23"/>
      <c r="C100" s="24" t="s">
        <v>292</v>
      </c>
      <c r="D100" s="24" t="s">
        <v>293</v>
      </c>
      <c r="E100" s="26" t="s">
        <v>294</v>
      </c>
      <c r="F100" s="9" t="s">
        <v>233</v>
      </c>
      <c r="G100" s="10" t="s">
        <v>13</v>
      </c>
    </row>
    <row r="101" hidden="1">
      <c r="A101" s="23"/>
      <c r="B101" s="23"/>
      <c r="C101" s="24" t="s">
        <v>295</v>
      </c>
      <c r="D101" s="24" t="s">
        <v>296</v>
      </c>
      <c r="E101" s="26" t="s">
        <v>297</v>
      </c>
      <c r="F101" s="9" t="s">
        <v>233</v>
      </c>
      <c r="G101" s="10" t="s">
        <v>124</v>
      </c>
    </row>
    <row r="102" hidden="1">
      <c r="A102" s="23"/>
      <c r="B102" s="23"/>
      <c r="C102" s="24" t="s">
        <v>298</v>
      </c>
      <c r="D102" s="24" t="s">
        <v>299</v>
      </c>
      <c r="E102" s="26" t="s">
        <v>300</v>
      </c>
      <c r="F102" s="9" t="s">
        <v>233</v>
      </c>
      <c r="G102" s="10" t="s">
        <v>13</v>
      </c>
    </row>
    <row r="103" hidden="1">
      <c r="A103" s="23"/>
      <c r="B103" s="23"/>
      <c r="C103" s="24" t="s">
        <v>301</v>
      </c>
      <c r="D103" s="24" t="s">
        <v>302</v>
      </c>
      <c r="E103" s="26" t="s">
        <v>303</v>
      </c>
      <c r="F103" s="9" t="s">
        <v>233</v>
      </c>
      <c r="G103" s="10" t="s">
        <v>13</v>
      </c>
    </row>
    <row r="104" hidden="1">
      <c r="A104" s="30"/>
      <c r="B104" s="30"/>
      <c r="C104" s="31" t="s">
        <v>304</v>
      </c>
      <c r="D104" s="31" t="s">
        <v>305</v>
      </c>
      <c r="E104" s="26" t="s">
        <v>306</v>
      </c>
      <c r="F104" s="9" t="s">
        <v>233</v>
      </c>
      <c r="G104" s="10" t="s">
        <v>251</v>
      </c>
    </row>
    <row r="105" hidden="1">
      <c r="A105" s="23"/>
      <c r="B105" s="23"/>
      <c r="C105" s="24" t="s">
        <v>307</v>
      </c>
      <c r="D105" s="24" t="s">
        <v>308</v>
      </c>
      <c r="E105" s="26" t="s">
        <v>309</v>
      </c>
      <c r="F105" s="9" t="s">
        <v>233</v>
      </c>
      <c r="G105" s="10" t="s">
        <v>13</v>
      </c>
    </row>
    <row r="106" hidden="1">
      <c r="A106" s="23"/>
      <c r="B106" s="23"/>
      <c r="C106" s="24" t="s">
        <v>310</v>
      </c>
      <c r="D106" s="24" t="s">
        <v>311</v>
      </c>
      <c r="E106" s="26" t="s">
        <v>312</v>
      </c>
      <c r="F106" s="9" t="s">
        <v>233</v>
      </c>
      <c r="G106" s="10" t="s">
        <v>13</v>
      </c>
    </row>
    <row r="107" hidden="1">
      <c r="A107" s="23"/>
      <c r="B107" s="23"/>
      <c r="C107" s="24" t="s">
        <v>313</v>
      </c>
      <c r="D107" s="24" t="s">
        <v>314</v>
      </c>
      <c r="E107" s="26" t="s">
        <v>315</v>
      </c>
      <c r="F107" s="9" t="s">
        <v>233</v>
      </c>
      <c r="G107" s="10" t="s">
        <v>168</v>
      </c>
    </row>
    <row r="108" hidden="1">
      <c r="A108" s="23"/>
      <c r="B108" s="23"/>
      <c r="C108" s="24" t="s">
        <v>316</v>
      </c>
      <c r="D108" s="24" t="s">
        <v>317</v>
      </c>
      <c r="E108" s="26" t="s">
        <v>318</v>
      </c>
      <c r="F108" s="9" t="s">
        <v>233</v>
      </c>
      <c r="G108" s="32" t="s">
        <v>23</v>
      </c>
    </row>
    <row r="109" hidden="1">
      <c r="A109" s="23"/>
      <c r="B109" s="23"/>
      <c r="C109" s="24" t="s">
        <v>319</v>
      </c>
      <c r="D109" s="24" t="s">
        <v>320</v>
      </c>
      <c r="E109" s="26" t="s">
        <v>321</v>
      </c>
      <c r="F109" s="9" t="s">
        <v>233</v>
      </c>
      <c r="G109" s="10" t="s">
        <v>13</v>
      </c>
    </row>
    <row r="110" hidden="1">
      <c r="A110" s="23"/>
      <c r="B110" s="23"/>
      <c r="C110" s="24" t="s">
        <v>322</v>
      </c>
      <c r="D110" s="24" t="s">
        <v>323</v>
      </c>
      <c r="E110" s="26" t="s">
        <v>324</v>
      </c>
      <c r="F110" s="9" t="s">
        <v>233</v>
      </c>
      <c r="G110" s="10" t="s">
        <v>168</v>
      </c>
    </row>
    <row r="111" hidden="1">
      <c r="A111" s="23"/>
      <c r="B111" s="23"/>
      <c r="C111" s="24" t="s">
        <v>325</v>
      </c>
      <c r="D111" s="24" t="s">
        <v>326</v>
      </c>
      <c r="E111" s="26" t="s">
        <v>327</v>
      </c>
      <c r="F111" s="9" t="s">
        <v>233</v>
      </c>
      <c r="G111" s="10" t="s">
        <v>13</v>
      </c>
    </row>
    <row r="112" hidden="1">
      <c r="A112" s="23"/>
      <c r="B112" s="23"/>
      <c r="C112" s="24" t="s">
        <v>328</v>
      </c>
      <c r="D112" s="24" t="s">
        <v>329</v>
      </c>
      <c r="E112" s="26" t="s">
        <v>330</v>
      </c>
      <c r="F112" s="9" t="s">
        <v>233</v>
      </c>
      <c r="G112" s="10" t="s">
        <v>23</v>
      </c>
    </row>
    <row r="113" hidden="1">
      <c r="A113" s="23"/>
      <c r="B113" s="23"/>
      <c r="C113" s="24" t="s">
        <v>331</v>
      </c>
      <c r="D113" s="24" t="s">
        <v>332</v>
      </c>
      <c r="E113" s="26" t="s">
        <v>333</v>
      </c>
      <c r="F113" s="9" t="s">
        <v>233</v>
      </c>
      <c r="G113" s="10" t="s">
        <v>13</v>
      </c>
    </row>
    <row r="114" hidden="1">
      <c r="A114" s="23"/>
      <c r="B114" s="23"/>
      <c r="C114" s="24" t="s">
        <v>334</v>
      </c>
      <c r="D114" s="24" t="s">
        <v>335</v>
      </c>
      <c r="E114" s="26" t="s">
        <v>336</v>
      </c>
      <c r="F114" s="9" t="s">
        <v>233</v>
      </c>
      <c r="G114" s="10" t="s">
        <v>47</v>
      </c>
    </row>
    <row r="115" hidden="1">
      <c r="A115" s="23"/>
      <c r="B115" s="23"/>
      <c r="C115" s="24" t="s">
        <v>337</v>
      </c>
      <c r="D115" s="24" t="s">
        <v>338</v>
      </c>
      <c r="E115" s="26" t="s">
        <v>339</v>
      </c>
      <c r="F115" s="9" t="s">
        <v>233</v>
      </c>
      <c r="G115" s="10" t="s">
        <v>251</v>
      </c>
    </row>
    <row r="116" hidden="1">
      <c r="A116" s="23"/>
      <c r="B116" s="23"/>
      <c r="C116" s="24" t="s">
        <v>340</v>
      </c>
      <c r="D116" s="29" t="s">
        <v>341</v>
      </c>
      <c r="E116" s="26" t="s">
        <v>342</v>
      </c>
      <c r="F116" s="9" t="s">
        <v>233</v>
      </c>
      <c r="G116" s="10" t="s">
        <v>13</v>
      </c>
    </row>
    <row r="117" hidden="1">
      <c r="A117" s="23"/>
      <c r="B117" s="23"/>
      <c r="C117" s="24" t="s">
        <v>343</v>
      </c>
      <c r="D117" s="24" t="s">
        <v>344</v>
      </c>
      <c r="E117" s="26" t="s">
        <v>345</v>
      </c>
      <c r="F117" s="9" t="s">
        <v>233</v>
      </c>
      <c r="G117" s="10" t="s">
        <v>47</v>
      </c>
    </row>
    <row r="118" hidden="1">
      <c r="A118" s="23"/>
      <c r="B118" s="23"/>
      <c r="C118" s="24" t="s">
        <v>346</v>
      </c>
      <c r="D118" s="24" t="s">
        <v>347</v>
      </c>
      <c r="E118" s="26" t="s">
        <v>348</v>
      </c>
      <c r="F118" s="9" t="s">
        <v>233</v>
      </c>
      <c r="G118" s="10" t="s">
        <v>13</v>
      </c>
    </row>
    <row r="119" hidden="1">
      <c r="A119" s="23"/>
      <c r="B119" s="23"/>
      <c r="C119" s="24" t="s">
        <v>349</v>
      </c>
      <c r="D119" s="24" t="s">
        <v>350</v>
      </c>
      <c r="E119" s="26" t="s">
        <v>351</v>
      </c>
      <c r="F119" s="9" t="s">
        <v>233</v>
      </c>
      <c r="G119" s="10" t="s">
        <v>13</v>
      </c>
    </row>
    <row r="120" hidden="1">
      <c r="A120" s="23"/>
      <c r="B120" s="23"/>
      <c r="C120" s="24" t="s">
        <v>352</v>
      </c>
      <c r="D120" s="24" t="s">
        <v>353</v>
      </c>
      <c r="E120" s="26" t="s">
        <v>354</v>
      </c>
      <c r="F120" s="9" t="s">
        <v>233</v>
      </c>
      <c r="G120" s="10" t="s">
        <v>355</v>
      </c>
    </row>
    <row r="121" hidden="1">
      <c r="A121" s="23"/>
      <c r="B121" s="23"/>
      <c r="C121" s="24" t="s">
        <v>356</v>
      </c>
      <c r="D121" s="24" t="s">
        <v>357</v>
      </c>
      <c r="E121" s="26" t="s">
        <v>358</v>
      </c>
      <c r="F121" s="9" t="s">
        <v>233</v>
      </c>
      <c r="G121" s="10" t="s">
        <v>172</v>
      </c>
    </row>
    <row r="122" hidden="1">
      <c r="A122" s="23"/>
      <c r="B122" s="23"/>
      <c r="C122" s="24" t="s">
        <v>359</v>
      </c>
      <c r="D122" s="24" t="s">
        <v>360</v>
      </c>
      <c r="E122" s="26" t="s">
        <v>361</v>
      </c>
      <c r="F122" s="9" t="s">
        <v>233</v>
      </c>
      <c r="G122" s="10" t="s">
        <v>23</v>
      </c>
    </row>
    <row r="123" hidden="1">
      <c r="A123" s="23"/>
      <c r="B123" s="23"/>
      <c r="C123" s="24" t="s">
        <v>362</v>
      </c>
      <c r="D123" s="24" t="s">
        <v>363</v>
      </c>
      <c r="E123" s="26" t="s">
        <v>364</v>
      </c>
      <c r="F123" s="9" t="s">
        <v>233</v>
      </c>
      <c r="G123" s="10" t="s">
        <v>23</v>
      </c>
    </row>
    <row r="124" hidden="1">
      <c r="A124" s="23"/>
      <c r="B124" s="23"/>
      <c r="C124" s="24" t="s">
        <v>365</v>
      </c>
      <c r="D124" s="24" t="s">
        <v>366</v>
      </c>
      <c r="E124" s="26" t="s">
        <v>367</v>
      </c>
      <c r="F124" s="9" t="s">
        <v>233</v>
      </c>
      <c r="G124" s="10" t="s">
        <v>23</v>
      </c>
    </row>
    <row r="125" hidden="1">
      <c r="A125" s="33"/>
      <c r="B125" s="33"/>
      <c r="C125" s="34" t="s">
        <v>368</v>
      </c>
      <c r="D125" s="35" t="s">
        <v>369</v>
      </c>
      <c r="E125" s="36" t="s">
        <v>370</v>
      </c>
      <c r="F125" s="9" t="s">
        <v>233</v>
      </c>
      <c r="G125" s="10" t="s">
        <v>23</v>
      </c>
    </row>
    <row r="126" hidden="1">
      <c r="A126" s="37"/>
      <c r="B126" s="37"/>
      <c r="C126" s="38" t="s">
        <v>371</v>
      </c>
      <c r="D126" s="24" t="s">
        <v>372</v>
      </c>
      <c r="E126" s="26" t="s">
        <v>373</v>
      </c>
      <c r="F126" s="9" t="s">
        <v>233</v>
      </c>
      <c r="G126" s="10" t="s">
        <v>23</v>
      </c>
    </row>
    <row r="127" hidden="1">
      <c r="A127" s="23"/>
      <c r="B127" s="23"/>
      <c r="C127" s="24" t="s">
        <v>374</v>
      </c>
      <c r="D127" s="24" t="s">
        <v>375</v>
      </c>
      <c r="E127" s="26" t="s">
        <v>376</v>
      </c>
      <c r="F127" s="9" t="s">
        <v>233</v>
      </c>
      <c r="G127" s="10" t="s">
        <v>23</v>
      </c>
    </row>
    <row r="128" hidden="1">
      <c r="A128" s="23"/>
      <c r="B128" s="23"/>
      <c r="C128" s="24" t="s">
        <v>377</v>
      </c>
      <c r="D128" s="24" t="s">
        <v>378</v>
      </c>
      <c r="E128" s="26" t="s">
        <v>379</v>
      </c>
      <c r="F128" s="9" t="s">
        <v>233</v>
      </c>
      <c r="G128" s="10" t="s">
        <v>23</v>
      </c>
    </row>
    <row r="129">
      <c r="A129" s="21"/>
      <c r="B129" s="21"/>
      <c r="C129" s="22" t="s">
        <v>380</v>
      </c>
      <c r="D129" s="22" t="s">
        <v>381</v>
      </c>
      <c r="E129" s="22">
        <f>+12518953498</f>
        <v>12518953498</v>
      </c>
      <c r="F129" s="9" t="s">
        <v>382</v>
      </c>
      <c r="G129" s="39" t="s">
        <v>79</v>
      </c>
    </row>
    <row r="130">
      <c r="A130" s="21"/>
      <c r="B130" s="21"/>
      <c r="C130" s="22" t="s">
        <v>383</v>
      </c>
      <c r="D130" s="22" t="s">
        <v>384</v>
      </c>
      <c r="E130" s="22">
        <f>+971563316626</f>
        <v>971563316626</v>
      </c>
      <c r="F130" s="9" t="s">
        <v>382</v>
      </c>
      <c r="G130" s="39" t="s">
        <v>385</v>
      </c>
    </row>
    <row r="131">
      <c r="A131" s="21"/>
      <c r="B131" s="21"/>
      <c r="C131" s="22" t="s">
        <v>386</v>
      </c>
      <c r="D131" s="22" t="s">
        <v>387</v>
      </c>
      <c r="E131" s="22">
        <f>+97338413922</f>
        <v>97338413922</v>
      </c>
      <c r="F131" s="9" t="s">
        <v>382</v>
      </c>
      <c r="G131" s="40" t="s">
        <v>124</v>
      </c>
    </row>
    <row r="132">
      <c r="A132" s="21"/>
      <c r="B132" s="21"/>
      <c r="C132" s="22" t="s">
        <v>388</v>
      </c>
      <c r="D132" s="22" t="s">
        <v>389</v>
      </c>
      <c r="E132" s="22">
        <f>+966507064550</f>
        <v>966507064550</v>
      </c>
      <c r="F132" s="9" t="s">
        <v>382</v>
      </c>
      <c r="G132" s="40" t="s">
        <v>38</v>
      </c>
    </row>
    <row r="133">
      <c r="A133" s="21"/>
      <c r="B133" s="21"/>
      <c r="C133" s="22" t="s">
        <v>390</v>
      </c>
      <c r="D133" s="22" t="s">
        <v>391</v>
      </c>
      <c r="E133" s="22">
        <f>+6598067651</f>
        <v>6598067651</v>
      </c>
      <c r="F133" s="9" t="s">
        <v>382</v>
      </c>
      <c r="G133" s="40" t="s">
        <v>392</v>
      </c>
    </row>
    <row r="134">
      <c r="A134" s="21"/>
      <c r="B134" s="21"/>
      <c r="C134" s="22" t="s">
        <v>393</v>
      </c>
      <c r="D134" s="22" t="s">
        <v>394</v>
      </c>
      <c r="E134" s="22">
        <f>+6590097566</f>
        <v>6590097566</v>
      </c>
      <c r="F134" s="9" t="s">
        <v>382</v>
      </c>
      <c r="G134" s="39" t="s">
        <v>79</v>
      </c>
    </row>
    <row r="135">
      <c r="A135" s="21"/>
      <c r="B135" s="21"/>
      <c r="C135" s="22" t="s">
        <v>395</v>
      </c>
      <c r="D135" s="22" t="s">
        <v>396</v>
      </c>
      <c r="E135" s="22">
        <f>+971558281437</f>
        <v>971558281437</v>
      </c>
      <c r="F135" s="9" t="s">
        <v>382</v>
      </c>
      <c r="G135" s="40" t="s">
        <v>79</v>
      </c>
    </row>
    <row r="136">
      <c r="A136" s="21"/>
      <c r="B136" s="21"/>
      <c r="C136" s="22" t="s">
        <v>397</v>
      </c>
      <c r="D136" s="22" t="s">
        <v>398</v>
      </c>
      <c r="E136" s="22">
        <f>+97339022916</f>
        <v>97339022916</v>
      </c>
      <c r="F136" s="9" t="s">
        <v>382</v>
      </c>
      <c r="G136" s="40" t="s">
        <v>79</v>
      </c>
    </row>
    <row r="137">
      <c r="A137" s="21"/>
      <c r="B137" s="21"/>
      <c r="C137" s="22" t="s">
        <v>399</v>
      </c>
      <c r="D137" s="22" t="s">
        <v>400</v>
      </c>
      <c r="E137" s="22">
        <f>+962796268128</f>
        <v>962796268128</v>
      </c>
      <c r="F137" s="9" t="s">
        <v>382</v>
      </c>
      <c r="G137" s="40" t="s">
        <v>196</v>
      </c>
    </row>
    <row r="138">
      <c r="A138" s="21"/>
      <c r="B138" s="21"/>
      <c r="C138" s="22" t="s">
        <v>401</v>
      </c>
      <c r="D138" s="22" t="s">
        <v>402</v>
      </c>
      <c r="E138" s="20" t="s">
        <v>403</v>
      </c>
      <c r="F138" s="9" t="s">
        <v>382</v>
      </c>
      <c r="G138" s="40" t="s">
        <v>196</v>
      </c>
    </row>
    <row r="139">
      <c r="A139" s="21"/>
      <c r="B139" s="21"/>
      <c r="C139" s="22" t="s">
        <v>404</v>
      </c>
      <c r="D139" s="22" t="s">
        <v>405</v>
      </c>
      <c r="E139" s="22">
        <f>+971552423105</f>
        <v>971552423105</v>
      </c>
      <c r="F139" s="9" t="s">
        <v>382</v>
      </c>
      <c r="G139" s="40" t="s">
        <v>79</v>
      </c>
    </row>
    <row r="140">
      <c r="A140" s="21"/>
      <c r="B140" s="21"/>
      <c r="C140" s="22" t="s">
        <v>406</v>
      </c>
      <c r="D140" s="22" t="s">
        <v>407</v>
      </c>
      <c r="E140" s="22">
        <f>+96566404447</f>
        <v>96566404447</v>
      </c>
      <c r="F140" s="9" t="s">
        <v>382</v>
      </c>
      <c r="G140" s="39" t="s">
        <v>408</v>
      </c>
    </row>
    <row r="141">
      <c r="A141" s="21"/>
      <c r="B141" s="21"/>
      <c r="C141" s="22" t="s">
        <v>409</v>
      </c>
      <c r="D141" s="22" t="s">
        <v>410</v>
      </c>
      <c r="E141" s="22">
        <f>+6581134919</f>
        <v>6581134919</v>
      </c>
      <c r="F141" s="9" t="s">
        <v>382</v>
      </c>
      <c r="G141" s="39" t="s">
        <v>38</v>
      </c>
    </row>
    <row r="142">
      <c r="A142" s="21"/>
      <c r="B142" s="21"/>
      <c r="C142" s="22" t="s">
        <v>411</v>
      </c>
      <c r="D142" s="22" t="s">
        <v>412</v>
      </c>
      <c r="E142" s="22">
        <f>+962799968982</f>
        <v>962799968982</v>
      </c>
      <c r="F142" s="9" t="s">
        <v>382</v>
      </c>
      <c r="G142" s="39" t="s">
        <v>16</v>
      </c>
    </row>
    <row r="143">
      <c r="A143" s="21"/>
      <c r="B143" s="21"/>
      <c r="C143" s="22" t="s">
        <v>413</v>
      </c>
      <c r="D143" s="22" t="s">
        <v>414</v>
      </c>
      <c r="E143" s="22">
        <f>+971507040355</f>
        <v>971507040355</v>
      </c>
      <c r="F143" s="9" t="s">
        <v>382</v>
      </c>
      <c r="G143" s="39" t="s">
        <v>415</v>
      </c>
    </row>
    <row r="144">
      <c r="A144" s="21"/>
      <c r="B144" s="21"/>
      <c r="C144" s="22" t="s">
        <v>416</v>
      </c>
      <c r="D144" s="22" t="s">
        <v>417</v>
      </c>
      <c r="E144" s="22">
        <f>+971563351818</f>
        <v>971563351818</v>
      </c>
      <c r="F144" s="9" t="s">
        <v>382</v>
      </c>
      <c r="G144" s="39" t="s">
        <v>150</v>
      </c>
    </row>
    <row r="145">
      <c r="A145" s="21"/>
      <c r="B145" s="21"/>
      <c r="C145" s="22" t="s">
        <v>418</v>
      </c>
      <c r="D145" s="22" t="s">
        <v>419</v>
      </c>
      <c r="E145" s="22">
        <f>+971528315432</f>
        <v>971528315432</v>
      </c>
      <c r="F145" s="9" t="s">
        <v>382</v>
      </c>
      <c r="G145" s="39" t="s">
        <v>196</v>
      </c>
    </row>
    <row r="146">
      <c r="A146" s="21"/>
      <c r="B146" s="21"/>
      <c r="C146" s="22" t="s">
        <v>420</v>
      </c>
      <c r="D146" s="22" t="s">
        <v>421</v>
      </c>
      <c r="E146" s="22">
        <f>+971553052525</f>
        <v>971553052525</v>
      </c>
      <c r="F146" s="9" t="s">
        <v>382</v>
      </c>
      <c r="G146" s="39" t="s">
        <v>196</v>
      </c>
    </row>
    <row r="147">
      <c r="A147" s="21"/>
      <c r="B147" s="21"/>
      <c r="C147" s="22" t="s">
        <v>422</v>
      </c>
      <c r="D147" s="22" t="s">
        <v>423</v>
      </c>
      <c r="E147" s="22">
        <f>+97339897907</f>
        <v>97339897907</v>
      </c>
      <c r="F147" s="9" t="s">
        <v>382</v>
      </c>
      <c r="G147" s="39" t="s">
        <v>196</v>
      </c>
    </row>
    <row r="148">
      <c r="A148" s="21"/>
      <c r="B148" s="21"/>
      <c r="C148" s="22" t="s">
        <v>424</v>
      </c>
      <c r="D148" s="22" t="s">
        <v>425</v>
      </c>
      <c r="E148" s="22">
        <f>+966560030838</f>
        <v>966560030838</v>
      </c>
      <c r="F148" s="9" t="s">
        <v>382</v>
      </c>
      <c r="G148" s="40" t="s">
        <v>196</v>
      </c>
    </row>
    <row r="149">
      <c r="A149" s="21"/>
      <c r="B149" s="21"/>
      <c r="C149" s="22" t="s">
        <v>426</v>
      </c>
      <c r="D149" s="22" t="s">
        <v>427</v>
      </c>
      <c r="E149" s="22">
        <f>+966555990626</f>
        <v>966555990626</v>
      </c>
      <c r="F149" s="9" t="s">
        <v>382</v>
      </c>
      <c r="G149" s="39" t="s">
        <v>196</v>
      </c>
    </row>
    <row r="150">
      <c r="A150" s="21"/>
      <c r="B150" s="21"/>
      <c r="C150" s="22" t="s">
        <v>428</v>
      </c>
      <c r="D150" s="22" t="s">
        <v>429</v>
      </c>
      <c r="E150" s="22">
        <f>+966505494526</f>
        <v>966505494526</v>
      </c>
      <c r="F150" s="9" t="s">
        <v>382</v>
      </c>
      <c r="G150" s="39" t="s">
        <v>179</v>
      </c>
    </row>
    <row r="151">
      <c r="A151" s="21"/>
      <c r="B151" s="21"/>
      <c r="C151" s="22" t="s">
        <v>430</v>
      </c>
      <c r="D151" s="22" t="s">
        <v>431</v>
      </c>
      <c r="E151" s="22">
        <f>+971556677889</f>
        <v>971556677889</v>
      </c>
      <c r="F151" s="9" t="s">
        <v>382</v>
      </c>
      <c r="G151" s="39" t="s">
        <v>16</v>
      </c>
    </row>
    <row r="152">
      <c r="A152" s="21"/>
      <c r="B152" s="21"/>
      <c r="C152" s="22" t="s">
        <v>432</v>
      </c>
      <c r="D152" s="22" t="s">
        <v>433</v>
      </c>
      <c r="E152" s="22">
        <f>+9660503559404</f>
        <v>9660503559404</v>
      </c>
      <c r="F152" s="9" t="s">
        <v>382</v>
      </c>
      <c r="G152" s="40" t="s">
        <v>179</v>
      </c>
    </row>
    <row r="153">
      <c r="A153" s="21"/>
      <c r="B153" s="21"/>
      <c r="C153" s="22" t="s">
        <v>434</v>
      </c>
      <c r="D153" s="22" t="s">
        <v>435</v>
      </c>
      <c r="E153" s="22">
        <f>+919560034445</f>
        <v>919560034445</v>
      </c>
      <c r="F153" s="9" t="s">
        <v>382</v>
      </c>
      <c r="G153" s="40" t="s">
        <v>79</v>
      </c>
    </row>
    <row r="154">
      <c r="A154" s="21"/>
      <c r="B154" s="21"/>
      <c r="C154" s="22" t="s">
        <v>436</v>
      </c>
      <c r="D154" s="22" t="s">
        <v>437</v>
      </c>
      <c r="E154" s="41">
        <v>5.026906E8</v>
      </c>
      <c r="F154" s="9" t="s">
        <v>382</v>
      </c>
      <c r="G154" s="40" t="s">
        <v>16</v>
      </c>
    </row>
    <row r="155">
      <c r="A155" s="21"/>
      <c r="B155" s="21"/>
      <c r="C155" s="22" t="s">
        <v>438</v>
      </c>
      <c r="D155" s="22" t="s">
        <v>439</v>
      </c>
      <c r="E155" s="25" t="s">
        <v>440</v>
      </c>
      <c r="F155" s="9" t="s">
        <v>382</v>
      </c>
      <c r="G155" s="40" t="s">
        <v>38</v>
      </c>
    </row>
    <row r="156">
      <c r="A156" s="21"/>
      <c r="B156" s="21"/>
      <c r="C156" s="22" t="s">
        <v>441</v>
      </c>
      <c r="D156" s="22" t="s">
        <v>442</v>
      </c>
      <c r="E156" s="25" t="s">
        <v>443</v>
      </c>
      <c r="F156" s="9" t="s">
        <v>382</v>
      </c>
      <c r="G156" s="40" t="s">
        <v>196</v>
      </c>
    </row>
    <row r="157">
      <c r="A157" s="21"/>
      <c r="B157" s="21"/>
      <c r="C157" s="22" t="s">
        <v>444</v>
      </c>
      <c r="D157" s="22" t="s">
        <v>445</v>
      </c>
      <c r="E157" s="22">
        <f>+966541688886</f>
        <v>966541688886</v>
      </c>
      <c r="F157" s="9" t="s">
        <v>382</v>
      </c>
      <c r="G157" s="40" t="s">
        <v>446</v>
      </c>
    </row>
    <row r="158">
      <c r="A158" s="21"/>
      <c r="B158" s="21"/>
      <c r="C158" s="22" t="s">
        <v>447</v>
      </c>
      <c r="D158" s="22" t="s">
        <v>448</v>
      </c>
      <c r="E158" s="22">
        <f>+971523163335</f>
        <v>971523163335</v>
      </c>
      <c r="F158" s="9" t="s">
        <v>382</v>
      </c>
      <c r="G158" s="40" t="s">
        <v>196</v>
      </c>
    </row>
    <row r="159">
      <c r="A159" s="21"/>
      <c r="B159" s="21"/>
      <c r="C159" s="22" t="s">
        <v>449</v>
      </c>
      <c r="D159" s="22" t="s">
        <v>450</v>
      </c>
      <c r="E159" s="22">
        <f>+971506241971</f>
        <v>971506241971</v>
      </c>
      <c r="F159" s="9" t="s">
        <v>382</v>
      </c>
      <c r="G159" s="40" t="s">
        <v>451</v>
      </c>
    </row>
    <row r="160">
      <c r="A160" s="21"/>
      <c r="B160" s="21"/>
      <c r="C160" s="22" t="s">
        <v>452</v>
      </c>
      <c r="D160" s="22" t="s">
        <v>453</v>
      </c>
      <c r="E160" s="22">
        <f>+971563332212</f>
        <v>971563332212</v>
      </c>
      <c r="F160" s="9" t="s">
        <v>382</v>
      </c>
      <c r="G160" s="40" t="s">
        <v>193</v>
      </c>
    </row>
    <row r="161">
      <c r="A161" s="21"/>
      <c r="B161" s="21"/>
      <c r="C161" s="22" t="s">
        <v>454</v>
      </c>
      <c r="D161" s="22" t="s">
        <v>455</v>
      </c>
      <c r="E161" s="20" t="s">
        <v>456</v>
      </c>
      <c r="F161" s="9" t="s">
        <v>382</v>
      </c>
      <c r="G161" s="39" t="s">
        <v>457</v>
      </c>
    </row>
    <row r="162">
      <c r="A162" s="21"/>
      <c r="B162" s="21"/>
      <c r="C162" s="22" t="s">
        <v>458</v>
      </c>
      <c r="D162" s="22" t="s">
        <v>459</v>
      </c>
      <c r="E162" s="22">
        <f>+919746767521</f>
        <v>919746767521</v>
      </c>
      <c r="F162" s="9" t="s">
        <v>382</v>
      </c>
      <c r="G162" s="40" t="s">
        <v>457</v>
      </c>
    </row>
    <row r="163">
      <c r="A163" s="21"/>
      <c r="B163" s="21"/>
      <c r="C163" s="22" t="s">
        <v>460</v>
      </c>
      <c r="D163" s="22" t="s">
        <v>461</v>
      </c>
      <c r="E163" s="22">
        <f>+966567687653</f>
        <v>966567687653</v>
      </c>
      <c r="F163" s="9" t="s">
        <v>382</v>
      </c>
      <c r="G163" s="40" t="s">
        <v>457</v>
      </c>
    </row>
    <row r="164">
      <c r="A164" s="21"/>
      <c r="B164" s="21"/>
      <c r="C164" s="22" t="s">
        <v>462</v>
      </c>
      <c r="D164" s="22" t="s">
        <v>463</v>
      </c>
      <c r="E164" s="22">
        <f>+971566609779</f>
        <v>971566609779</v>
      </c>
      <c r="F164" s="9" t="s">
        <v>382</v>
      </c>
      <c r="G164" s="39" t="s">
        <v>464</v>
      </c>
    </row>
    <row r="165">
      <c r="A165" s="21"/>
      <c r="B165" s="21"/>
      <c r="C165" s="22" t="s">
        <v>465</v>
      </c>
      <c r="D165" s="22" t="s">
        <v>466</v>
      </c>
      <c r="E165" s="22">
        <f>+966509337650</f>
        <v>966509337650</v>
      </c>
      <c r="F165" s="9" t="s">
        <v>382</v>
      </c>
      <c r="G165" s="39" t="s">
        <v>457</v>
      </c>
    </row>
    <row r="166">
      <c r="A166" s="21"/>
      <c r="B166" s="21"/>
      <c r="C166" s="22" t="s">
        <v>467</v>
      </c>
      <c r="D166" s="22" t="s">
        <v>468</v>
      </c>
      <c r="E166" s="22">
        <f>+4917636987185</f>
        <v>4917636987185</v>
      </c>
      <c r="F166" s="9" t="s">
        <v>382</v>
      </c>
      <c r="G166" s="39" t="s">
        <v>196</v>
      </c>
    </row>
    <row r="167">
      <c r="A167" s="21"/>
      <c r="B167" s="21"/>
      <c r="C167" s="22" t="s">
        <v>469</v>
      </c>
      <c r="D167" s="22" t="s">
        <v>470</v>
      </c>
      <c r="E167" s="22">
        <f>+971561888579</f>
        <v>971561888579</v>
      </c>
      <c r="F167" s="9" t="s">
        <v>382</v>
      </c>
      <c r="G167" s="39" t="s">
        <v>457</v>
      </c>
    </row>
    <row r="168">
      <c r="A168" s="21"/>
      <c r="B168" s="21"/>
      <c r="C168" s="22" t="s">
        <v>471</v>
      </c>
      <c r="D168" s="22" t="s">
        <v>472</v>
      </c>
      <c r="E168" s="22">
        <f>+966508085924</f>
        <v>966508085924</v>
      </c>
      <c r="F168" s="9" t="s">
        <v>382</v>
      </c>
      <c r="G168" s="39" t="s">
        <v>196</v>
      </c>
    </row>
    <row r="169">
      <c r="A169" s="21"/>
      <c r="B169" s="21"/>
      <c r="C169" s="22" t="s">
        <v>473</v>
      </c>
      <c r="D169" s="22" t="s">
        <v>474</v>
      </c>
      <c r="E169" s="22">
        <f>+9660543333360</f>
        <v>9660543333360</v>
      </c>
      <c r="F169" s="9" t="s">
        <v>382</v>
      </c>
      <c r="G169" s="40" t="s">
        <v>196</v>
      </c>
    </row>
    <row r="170">
      <c r="A170" s="21"/>
      <c r="B170" s="21"/>
      <c r="C170" s="22" t="s">
        <v>475</v>
      </c>
      <c r="D170" s="22" t="s">
        <v>476</v>
      </c>
      <c r="E170" s="42">
        <v>5.0682051E8</v>
      </c>
      <c r="F170" s="9" t="s">
        <v>382</v>
      </c>
      <c r="G170" s="39" t="s">
        <v>477</v>
      </c>
    </row>
    <row r="171">
      <c r="A171" s="21"/>
      <c r="B171" s="21"/>
      <c r="C171" s="22" t="s">
        <v>478</v>
      </c>
      <c r="D171" s="22" t="s">
        <v>479</v>
      </c>
      <c r="E171" s="22">
        <f>+27837781876</f>
        <v>27837781876</v>
      </c>
      <c r="F171" s="9" t="s">
        <v>382</v>
      </c>
      <c r="G171" s="40" t="s">
        <v>480</v>
      </c>
    </row>
    <row r="172">
      <c r="A172" s="21"/>
      <c r="B172" s="21"/>
      <c r="C172" s="22" t="s">
        <v>481</v>
      </c>
      <c r="D172" s="22" t="s">
        <v>482</v>
      </c>
      <c r="E172" s="22">
        <f>+971506256617</f>
        <v>971506256617</v>
      </c>
      <c r="F172" s="9" t="s">
        <v>382</v>
      </c>
      <c r="G172" s="40" t="s">
        <v>480</v>
      </c>
    </row>
    <row r="173">
      <c r="A173" s="21"/>
      <c r="B173" s="21"/>
      <c r="C173" s="22" t="s">
        <v>483</v>
      </c>
      <c r="D173" s="22" t="s">
        <v>484</v>
      </c>
      <c r="E173" s="22">
        <f>+919825010579</f>
        <v>919825010579</v>
      </c>
      <c r="F173" s="9" t="s">
        <v>382</v>
      </c>
      <c r="G173" s="39" t="s">
        <v>485</v>
      </c>
    </row>
    <row r="174">
      <c r="A174" s="21"/>
      <c r="B174" s="21"/>
      <c r="C174" s="22" t="s">
        <v>486</v>
      </c>
      <c r="D174" s="22" t="s">
        <v>487</v>
      </c>
      <c r="E174" s="22">
        <f>+4915254501599</f>
        <v>4915254501599</v>
      </c>
      <c r="F174" s="9" t="s">
        <v>382</v>
      </c>
      <c r="G174" s="39" t="s">
        <v>480</v>
      </c>
    </row>
    <row r="175">
      <c r="A175" s="43"/>
      <c r="B175" s="43"/>
      <c r="C175" s="44" t="s">
        <v>488</v>
      </c>
      <c r="D175" s="44" t="s">
        <v>489</v>
      </c>
      <c r="E175" s="44">
        <f>+966555902975</f>
        <v>966555902975</v>
      </c>
      <c r="F175" s="9" t="s">
        <v>382</v>
      </c>
      <c r="G175" s="40" t="s">
        <v>480</v>
      </c>
    </row>
    <row r="176">
      <c r="A176" s="21"/>
      <c r="B176" s="21"/>
      <c r="C176" s="22" t="s">
        <v>490</v>
      </c>
      <c r="D176" s="22" t="s">
        <v>491</v>
      </c>
      <c r="E176" s="22">
        <f>+971504443122</f>
        <v>971504443122</v>
      </c>
      <c r="F176" s="9" t="s">
        <v>382</v>
      </c>
      <c r="G176" s="40" t="s">
        <v>480</v>
      </c>
    </row>
    <row r="177">
      <c r="A177" s="21"/>
      <c r="B177" s="21"/>
      <c r="C177" s="22" t="s">
        <v>492</v>
      </c>
      <c r="D177" s="22" t="s">
        <v>493</v>
      </c>
      <c r="E177" s="20" t="s">
        <v>494</v>
      </c>
      <c r="F177" s="9" t="s">
        <v>382</v>
      </c>
      <c r="G177" s="39" t="s">
        <v>495</v>
      </c>
    </row>
    <row r="178">
      <c r="A178" s="21"/>
      <c r="B178" s="21"/>
      <c r="C178" s="22" t="s">
        <v>496</v>
      </c>
      <c r="D178" s="22" t="s">
        <v>497</v>
      </c>
      <c r="E178" s="22">
        <f>+971545405454</f>
        <v>971545405454</v>
      </c>
      <c r="F178" s="9" t="s">
        <v>382</v>
      </c>
      <c r="G178" s="39" t="s">
        <v>480</v>
      </c>
    </row>
    <row r="179">
      <c r="A179" s="21"/>
      <c r="B179" s="21"/>
      <c r="C179" s="22" t="s">
        <v>498</v>
      </c>
      <c r="D179" s="22" t="s">
        <v>499</v>
      </c>
      <c r="E179" s="22">
        <f>+966506175724</f>
        <v>966506175724</v>
      </c>
      <c r="F179" s="9" t="s">
        <v>382</v>
      </c>
      <c r="G179" s="40" t="s">
        <v>480</v>
      </c>
    </row>
    <row r="180">
      <c r="A180" s="21"/>
      <c r="B180" s="21"/>
      <c r="C180" s="22" t="s">
        <v>500</v>
      </c>
      <c r="D180" s="22" t="s">
        <v>501</v>
      </c>
      <c r="E180" s="22">
        <f>+971566534585</f>
        <v>971566534585</v>
      </c>
      <c r="F180" s="9" t="s">
        <v>382</v>
      </c>
      <c r="G180" s="39" t="s">
        <v>502</v>
      </c>
    </row>
    <row r="181">
      <c r="A181" s="21"/>
      <c r="B181" s="21"/>
      <c r="C181" s="22" t="s">
        <v>503</v>
      </c>
      <c r="D181" s="22" t="s">
        <v>504</v>
      </c>
      <c r="E181" s="22">
        <f>+17134923460</f>
        <v>17134923460</v>
      </c>
      <c r="F181" s="9" t="s">
        <v>382</v>
      </c>
      <c r="G181" s="39" t="s">
        <v>480</v>
      </c>
    </row>
    <row r="182">
      <c r="A182" s="21"/>
      <c r="B182" s="21"/>
      <c r="C182" s="22" t="s">
        <v>505</v>
      </c>
      <c r="D182" s="22" t="s">
        <v>506</v>
      </c>
      <c r="E182" s="22">
        <f>+9108882284002</f>
        <v>9108882284002</v>
      </c>
      <c r="F182" s="9" t="s">
        <v>382</v>
      </c>
      <c r="G182" s="39" t="s">
        <v>507</v>
      </c>
    </row>
    <row r="183">
      <c r="A183" s="21"/>
      <c r="B183" s="21"/>
      <c r="C183" s="22" t="s">
        <v>508</v>
      </c>
      <c r="D183" s="22" t="s">
        <v>509</v>
      </c>
      <c r="E183" s="22">
        <f>+971505534521</f>
        <v>971505534521</v>
      </c>
      <c r="F183" s="9" t="s">
        <v>382</v>
      </c>
      <c r="G183" s="39" t="s">
        <v>507</v>
      </c>
    </row>
    <row r="184">
      <c r="A184" s="21"/>
      <c r="B184" s="21"/>
      <c r="C184" s="22" t="s">
        <v>510</v>
      </c>
      <c r="D184" s="22" t="s">
        <v>511</v>
      </c>
      <c r="E184" s="22">
        <f>+971506559460</f>
        <v>971506559460</v>
      </c>
      <c r="F184" s="9" t="s">
        <v>382</v>
      </c>
      <c r="G184" s="39" t="s">
        <v>480</v>
      </c>
    </row>
    <row r="185">
      <c r="A185" s="21"/>
      <c r="B185" s="21"/>
      <c r="C185" s="22" t="s">
        <v>512</v>
      </c>
      <c r="D185" s="22" t="s">
        <v>513</v>
      </c>
      <c r="E185" s="22">
        <f>+971505573750</f>
        <v>971505573750</v>
      </c>
      <c r="F185" s="9" t="s">
        <v>382</v>
      </c>
      <c r="G185" s="39" t="s">
        <v>168</v>
      </c>
    </row>
    <row r="186">
      <c r="A186" s="21"/>
      <c r="B186" s="21"/>
      <c r="C186" s="22" t="s">
        <v>514</v>
      </c>
      <c r="D186" s="22" t="s">
        <v>515</v>
      </c>
      <c r="E186" s="22">
        <f>+97339454362</f>
        <v>97339454362</v>
      </c>
      <c r="F186" s="9" t="s">
        <v>382</v>
      </c>
      <c r="G186" s="39" t="s">
        <v>516</v>
      </c>
    </row>
    <row r="187">
      <c r="A187" s="21"/>
      <c r="B187" s="21"/>
      <c r="C187" s="22" t="s">
        <v>517</v>
      </c>
      <c r="D187" s="22" t="s">
        <v>518</v>
      </c>
      <c r="E187" s="25" t="s">
        <v>519</v>
      </c>
      <c r="F187" s="9" t="s">
        <v>382</v>
      </c>
      <c r="G187" s="39" t="s">
        <v>480</v>
      </c>
    </row>
    <row r="188">
      <c r="A188" s="21"/>
      <c r="B188" s="21"/>
      <c r="C188" s="22" t="s">
        <v>520</v>
      </c>
      <c r="D188" s="22" t="s">
        <v>521</v>
      </c>
      <c r="E188" s="22">
        <f>+923215115888</f>
        <v>923215115888</v>
      </c>
      <c r="F188" s="9" t="s">
        <v>382</v>
      </c>
      <c r="G188" s="39" t="s">
        <v>522</v>
      </c>
    </row>
    <row r="189">
      <c r="A189" s="21"/>
      <c r="B189" s="21"/>
      <c r="C189" s="22" t="s">
        <v>523</v>
      </c>
      <c r="D189" s="22" t="s">
        <v>524</v>
      </c>
      <c r="E189" s="22">
        <f>+923339387733</f>
        <v>923339387733</v>
      </c>
      <c r="F189" s="9" t="s">
        <v>382</v>
      </c>
      <c r="G189" s="39" t="s">
        <v>480</v>
      </c>
    </row>
    <row r="190">
      <c r="A190" s="21"/>
      <c r="B190" s="21"/>
      <c r="C190" s="22" t="s">
        <v>525</v>
      </c>
      <c r="D190" s="22" t="s">
        <v>526</v>
      </c>
      <c r="E190" s="22">
        <f>+919833283668</f>
        <v>919833283668</v>
      </c>
      <c r="F190" s="9" t="s">
        <v>382</v>
      </c>
      <c r="G190" s="39" t="s">
        <v>480</v>
      </c>
    </row>
    <row r="191">
      <c r="A191" s="21"/>
      <c r="B191" s="21"/>
      <c r="C191" s="22" t="s">
        <v>527</v>
      </c>
      <c r="D191" s="22" t="s">
        <v>528</v>
      </c>
      <c r="E191" s="22">
        <f>+923000200337</f>
        <v>923000200337</v>
      </c>
      <c r="F191" s="9" t="s">
        <v>382</v>
      </c>
      <c r="G191" s="39" t="s">
        <v>480</v>
      </c>
    </row>
    <row r="192">
      <c r="A192" s="21"/>
      <c r="B192" s="21"/>
      <c r="C192" s="22" t="s">
        <v>529</v>
      </c>
      <c r="D192" s="22" t="s">
        <v>530</v>
      </c>
      <c r="E192" s="22">
        <f>+85269008356</f>
        <v>85269008356</v>
      </c>
      <c r="F192" s="9" t="s">
        <v>382</v>
      </c>
      <c r="G192" s="39" t="s">
        <v>480</v>
      </c>
    </row>
    <row r="193">
      <c r="A193" s="21"/>
      <c r="B193" s="21"/>
      <c r="C193" s="22" t="s">
        <v>531</v>
      </c>
      <c r="D193" s="22" t="s">
        <v>532</v>
      </c>
      <c r="E193" s="22">
        <f>+9660508882021</f>
        <v>9660508882021</v>
      </c>
      <c r="F193" s="9" t="s">
        <v>382</v>
      </c>
      <c r="G193" s="39" t="s">
        <v>533</v>
      </c>
    </row>
    <row r="194">
      <c r="A194" s="21"/>
      <c r="B194" s="21"/>
      <c r="C194" s="22" t="s">
        <v>534</v>
      </c>
      <c r="D194" s="22" t="s">
        <v>535</v>
      </c>
      <c r="E194" s="22">
        <f>+62082146089023</f>
        <v>62082146089023</v>
      </c>
      <c r="F194" s="9" t="s">
        <v>382</v>
      </c>
      <c r="G194" s="39" t="s">
        <v>507</v>
      </c>
    </row>
    <row r="195">
      <c r="A195" s="21"/>
      <c r="B195" s="21"/>
      <c r="C195" s="22" t="s">
        <v>536</v>
      </c>
      <c r="D195" s="22" t="s">
        <v>537</v>
      </c>
      <c r="E195" s="22">
        <f>+9660509379034</f>
        <v>9660509379034</v>
      </c>
      <c r="F195" s="9" t="s">
        <v>382</v>
      </c>
      <c r="G195" s="39" t="s">
        <v>507</v>
      </c>
    </row>
    <row r="196">
      <c r="A196" s="21"/>
      <c r="B196" s="21"/>
      <c r="C196" s="22" t="s">
        <v>538</v>
      </c>
      <c r="D196" s="22" t="s">
        <v>539</v>
      </c>
      <c r="E196" s="22">
        <f>+923003322654</f>
        <v>923003322654</v>
      </c>
      <c r="F196" s="9" t="s">
        <v>382</v>
      </c>
      <c r="G196" s="40" t="s">
        <v>480</v>
      </c>
    </row>
    <row r="197">
      <c r="A197" s="21"/>
      <c r="B197" s="21"/>
      <c r="C197" s="22" t="s">
        <v>540</v>
      </c>
      <c r="D197" s="22" t="s">
        <v>541</v>
      </c>
      <c r="E197" s="22">
        <f>+971506463097</f>
        <v>971506463097</v>
      </c>
      <c r="F197" s="9" t="s">
        <v>382</v>
      </c>
      <c r="G197" s="39" t="s">
        <v>542</v>
      </c>
    </row>
    <row r="198">
      <c r="A198" s="21"/>
      <c r="B198" s="21"/>
      <c r="C198" s="22" t="s">
        <v>543</v>
      </c>
      <c r="D198" s="22" t="s">
        <v>544</v>
      </c>
      <c r="E198" s="22">
        <f>+97339639555</f>
        <v>97339639555</v>
      </c>
      <c r="F198" s="9" t="s">
        <v>382</v>
      </c>
      <c r="G198" s="39" t="s">
        <v>480</v>
      </c>
    </row>
    <row r="199">
      <c r="A199" s="21"/>
      <c r="B199" s="21"/>
      <c r="C199" s="22" t="s">
        <v>520</v>
      </c>
      <c r="D199" s="22" t="s">
        <v>521</v>
      </c>
      <c r="E199" s="22">
        <f>+923215115888</f>
        <v>923215115888</v>
      </c>
      <c r="F199" s="9" t="s">
        <v>382</v>
      </c>
      <c r="G199" s="39" t="s">
        <v>545</v>
      </c>
    </row>
    <row r="200">
      <c r="A200" s="21"/>
      <c r="B200" s="21"/>
      <c r="C200" s="22" t="s">
        <v>546</v>
      </c>
      <c r="D200" s="22" t="s">
        <v>547</v>
      </c>
      <c r="E200" s="22">
        <f>+96599222209</f>
        <v>96599222209</v>
      </c>
      <c r="F200" s="9" t="s">
        <v>382</v>
      </c>
      <c r="G200" s="39" t="s">
        <v>480</v>
      </c>
    </row>
    <row r="201">
      <c r="A201" s="21"/>
      <c r="B201" s="21"/>
      <c r="C201" s="22" t="s">
        <v>548</v>
      </c>
      <c r="D201" s="22" t="s">
        <v>549</v>
      </c>
      <c r="E201" s="22">
        <f>+971506223320</f>
        <v>971506223320</v>
      </c>
      <c r="F201" s="9" t="s">
        <v>382</v>
      </c>
      <c r="G201" s="39" t="s">
        <v>168</v>
      </c>
    </row>
    <row r="202">
      <c r="A202" s="21"/>
      <c r="B202" s="21"/>
      <c r="C202" s="22" t="s">
        <v>550</v>
      </c>
      <c r="D202" s="22" t="s">
        <v>551</v>
      </c>
      <c r="E202" s="22">
        <f>+9630933452123</f>
        <v>9630933452123</v>
      </c>
      <c r="F202" s="9" t="s">
        <v>382</v>
      </c>
      <c r="G202" s="39" t="s">
        <v>480</v>
      </c>
    </row>
    <row r="203">
      <c r="A203" s="21"/>
      <c r="B203" s="21"/>
      <c r="C203" s="22" t="s">
        <v>514</v>
      </c>
      <c r="D203" s="22" t="s">
        <v>515</v>
      </c>
      <c r="E203" s="22">
        <f>+97339454362</f>
        <v>97339454362</v>
      </c>
      <c r="F203" s="9" t="s">
        <v>382</v>
      </c>
      <c r="G203" s="39" t="s">
        <v>516</v>
      </c>
    </row>
    <row r="204">
      <c r="A204" s="21"/>
      <c r="B204" s="21"/>
      <c r="C204" s="22" t="s">
        <v>552</v>
      </c>
      <c r="D204" s="22" t="s">
        <v>553</v>
      </c>
      <c r="E204" s="25" t="s">
        <v>554</v>
      </c>
      <c r="F204" s="9" t="s">
        <v>382</v>
      </c>
      <c r="G204" s="39" t="s">
        <v>555</v>
      </c>
    </row>
    <row r="205">
      <c r="A205" s="21"/>
      <c r="B205" s="21"/>
      <c r="C205" s="22" t="s">
        <v>556</v>
      </c>
      <c r="D205" s="22" t="s">
        <v>557</v>
      </c>
      <c r="E205" s="25" t="s">
        <v>558</v>
      </c>
      <c r="F205" s="9" t="s">
        <v>382</v>
      </c>
      <c r="G205" s="39" t="s">
        <v>480</v>
      </c>
    </row>
    <row r="206">
      <c r="A206" s="18"/>
      <c r="B206" s="18"/>
      <c r="C206" s="19" t="s">
        <v>559</v>
      </c>
      <c r="D206" s="19" t="s">
        <v>560</v>
      </c>
      <c r="E206" s="19">
        <v>9.71503141188E11</v>
      </c>
      <c r="F206" s="9" t="s">
        <v>382</v>
      </c>
      <c r="G206" s="39" t="s">
        <v>480</v>
      </c>
    </row>
    <row r="207">
      <c r="A207" s="21"/>
      <c r="B207" s="21"/>
      <c r="C207" s="22" t="s">
        <v>561</v>
      </c>
      <c r="D207" s="22" t="s">
        <v>562</v>
      </c>
      <c r="E207" s="22">
        <f>+12022560363</f>
        <v>12022560363</v>
      </c>
      <c r="F207" s="9" t="s">
        <v>382</v>
      </c>
      <c r="G207" s="39" t="s">
        <v>480</v>
      </c>
    </row>
    <row r="208">
      <c r="A208" s="21"/>
      <c r="B208" s="21"/>
      <c r="C208" s="22" t="s">
        <v>563</v>
      </c>
      <c r="D208" s="22" t="s">
        <v>564</v>
      </c>
      <c r="E208" s="22">
        <f>+50767972137</f>
        <v>50767972137</v>
      </c>
      <c r="F208" s="9" t="s">
        <v>382</v>
      </c>
      <c r="G208" s="39" t="s">
        <v>507</v>
      </c>
    </row>
    <row r="209">
      <c r="A209" s="21"/>
      <c r="B209" s="21"/>
      <c r="C209" s="22" t="s">
        <v>565</v>
      </c>
      <c r="D209" s="22" t="s">
        <v>566</v>
      </c>
      <c r="E209" s="22">
        <f>+306941537004</f>
        <v>306941537004</v>
      </c>
      <c r="F209" s="9" t="s">
        <v>382</v>
      </c>
      <c r="G209" s="39" t="s">
        <v>480</v>
      </c>
    </row>
    <row r="210">
      <c r="A210" s="21"/>
      <c r="B210" s="21"/>
      <c r="C210" s="22" t="s">
        <v>567</v>
      </c>
      <c r="D210" s="22" t="s">
        <v>568</v>
      </c>
      <c r="E210" s="22"/>
      <c r="F210" s="9" t="s">
        <v>382</v>
      </c>
      <c r="G210" s="39" t="s">
        <v>457</v>
      </c>
    </row>
    <row r="211">
      <c r="A211" s="45">
        <v>43339.0</v>
      </c>
      <c r="B211" s="22"/>
      <c r="C211" s="22" t="s">
        <v>561</v>
      </c>
      <c r="D211" s="22" t="s">
        <v>562</v>
      </c>
      <c r="E211" s="25" t="s">
        <v>569</v>
      </c>
      <c r="F211" s="9" t="s">
        <v>382</v>
      </c>
      <c r="G211" s="39" t="s">
        <v>480</v>
      </c>
    </row>
    <row r="212" hidden="1">
      <c r="A212" s="45">
        <v>43342.0</v>
      </c>
      <c r="B212" s="19"/>
      <c r="C212" s="19" t="s">
        <v>570</v>
      </c>
      <c r="D212" s="19" t="s">
        <v>571</v>
      </c>
      <c r="E212" s="20" t="s">
        <v>572</v>
      </c>
      <c r="F212" s="9" t="s">
        <v>573</v>
      </c>
      <c r="G212" s="39" t="s">
        <v>574</v>
      </c>
    </row>
    <row r="213" hidden="1">
      <c r="A213" s="45">
        <v>43344.0</v>
      </c>
      <c r="B213" s="22"/>
      <c r="C213" s="22" t="s">
        <v>575</v>
      </c>
      <c r="D213" s="22" t="s">
        <v>576</v>
      </c>
      <c r="E213" s="19"/>
      <c r="F213" s="9" t="s">
        <v>573</v>
      </c>
      <c r="G213" s="40" t="s">
        <v>16</v>
      </c>
    </row>
    <row r="214" hidden="1">
      <c r="A214" s="45">
        <v>43344.0</v>
      </c>
      <c r="B214" s="22"/>
      <c r="C214" s="22" t="s">
        <v>577</v>
      </c>
      <c r="D214" s="46" t="s">
        <v>578</v>
      </c>
      <c r="E214" s="19"/>
      <c r="F214" s="9" t="s">
        <v>573</v>
      </c>
      <c r="G214" s="40" t="s">
        <v>16</v>
      </c>
    </row>
    <row r="215" hidden="1">
      <c r="A215" s="45">
        <v>43344.0</v>
      </c>
      <c r="B215" s="22"/>
      <c r="C215" s="22" t="s">
        <v>579</v>
      </c>
      <c r="D215" s="22" t="s">
        <v>580</v>
      </c>
      <c r="E215" s="19"/>
      <c r="F215" s="9" t="s">
        <v>573</v>
      </c>
      <c r="G215" s="40" t="s">
        <v>16</v>
      </c>
    </row>
    <row r="216" hidden="1">
      <c r="A216" s="45">
        <v>43344.0</v>
      </c>
      <c r="B216" s="22"/>
      <c r="C216" s="22" t="s">
        <v>581</v>
      </c>
      <c r="D216" s="22" t="s">
        <v>582</v>
      </c>
      <c r="E216" s="19"/>
      <c r="F216" s="9" t="s">
        <v>573</v>
      </c>
      <c r="G216" s="40" t="s">
        <v>16</v>
      </c>
    </row>
    <row r="217" hidden="1">
      <c r="A217" s="45">
        <v>43344.0</v>
      </c>
      <c r="B217" s="22"/>
      <c r="C217" s="22" t="s">
        <v>583</v>
      </c>
      <c r="D217" s="22" t="s">
        <v>584</v>
      </c>
      <c r="E217" s="19"/>
      <c r="F217" s="9" t="s">
        <v>573</v>
      </c>
      <c r="G217" s="40" t="s">
        <v>16</v>
      </c>
    </row>
    <row r="218" hidden="1">
      <c r="A218" s="45">
        <v>43344.0</v>
      </c>
      <c r="B218" s="22"/>
      <c r="C218" s="22" t="s">
        <v>585</v>
      </c>
      <c r="D218" s="22" t="s">
        <v>586</v>
      </c>
      <c r="E218" s="19"/>
      <c r="F218" s="9" t="s">
        <v>573</v>
      </c>
      <c r="G218" s="40" t="s">
        <v>16</v>
      </c>
    </row>
    <row r="219" hidden="1">
      <c r="A219" s="45">
        <v>43344.0</v>
      </c>
      <c r="B219" s="22"/>
      <c r="C219" s="22" t="s">
        <v>587</v>
      </c>
      <c r="D219" s="22" t="s">
        <v>588</v>
      </c>
      <c r="E219" s="19"/>
      <c r="F219" s="9" t="s">
        <v>573</v>
      </c>
      <c r="G219" s="40" t="s">
        <v>16</v>
      </c>
    </row>
    <row r="220" hidden="1">
      <c r="A220" s="45" t="s">
        <v>589</v>
      </c>
      <c r="B220" s="22"/>
      <c r="C220" s="22" t="s">
        <v>590</v>
      </c>
      <c r="D220" s="22" t="s">
        <v>591</v>
      </c>
      <c r="E220" s="19"/>
      <c r="F220" s="9" t="s">
        <v>573</v>
      </c>
      <c r="G220" s="40" t="s">
        <v>16</v>
      </c>
    </row>
    <row r="221" hidden="1">
      <c r="A221" s="45">
        <v>43345.0</v>
      </c>
      <c r="B221" s="19"/>
      <c r="C221" s="19" t="s">
        <v>592</v>
      </c>
      <c r="D221" s="19" t="s">
        <v>593</v>
      </c>
      <c r="E221" s="20" t="s">
        <v>594</v>
      </c>
      <c r="F221" s="9" t="s">
        <v>573</v>
      </c>
      <c r="G221" s="40" t="s">
        <v>38</v>
      </c>
    </row>
    <row r="222" hidden="1">
      <c r="A222" s="45">
        <v>43345.0</v>
      </c>
      <c r="B222" s="19"/>
      <c r="C222" s="19" t="s">
        <v>595</v>
      </c>
      <c r="D222" s="19" t="s">
        <v>596</v>
      </c>
      <c r="E222" s="19">
        <v>9.71558574146E11</v>
      </c>
      <c r="F222" s="9" t="s">
        <v>573</v>
      </c>
      <c r="G222" s="40" t="s">
        <v>597</v>
      </c>
    </row>
    <row r="223" hidden="1">
      <c r="A223" s="45">
        <v>43345.0</v>
      </c>
      <c r="B223" s="22"/>
      <c r="C223" s="22" t="s">
        <v>598</v>
      </c>
      <c r="D223" s="22" t="s">
        <v>599</v>
      </c>
      <c r="E223" s="22">
        <f>+966572173327</f>
        <v>966572173327</v>
      </c>
      <c r="F223" s="9" t="s">
        <v>573</v>
      </c>
      <c r="G223" s="40" t="s">
        <v>600</v>
      </c>
    </row>
    <row r="224" hidden="1">
      <c r="A224" s="45">
        <v>43345.0</v>
      </c>
      <c r="B224" s="22"/>
      <c r="C224" s="22" t="s">
        <v>601</v>
      </c>
      <c r="D224" s="22" t="s">
        <v>602</v>
      </c>
      <c r="E224" s="22">
        <f>+996554266000</f>
        <v>996554266000</v>
      </c>
      <c r="F224" s="9" t="s">
        <v>573</v>
      </c>
      <c r="G224" s="40" t="s">
        <v>16</v>
      </c>
    </row>
    <row r="225" hidden="1">
      <c r="A225" s="45">
        <v>43345.0</v>
      </c>
      <c r="B225" s="22"/>
      <c r="C225" s="22" t="s">
        <v>598</v>
      </c>
      <c r="D225" s="22" t="s">
        <v>599</v>
      </c>
      <c r="E225" s="22">
        <f>+966572173327</f>
        <v>966572173327</v>
      </c>
      <c r="F225" s="9" t="s">
        <v>573</v>
      </c>
      <c r="G225" s="40" t="s">
        <v>16</v>
      </c>
    </row>
    <row r="226" hidden="1">
      <c r="A226" s="45">
        <v>43345.0</v>
      </c>
      <c r="B226" s="22"/>
      <c r="C226" s="22" t="s">
        <v>603</v>
      </c>
      <c r="D226" s="22" t="s">
        <v>604</v>
      </c>
      <c r="E226" s="22">
        <f>+966596248124</f>
        <v>966596248124</v>
      </c>
      <c r="F226" s="9" t="s">
        <v>573</v>
      </c>
      <c r="G226" s="40" t="s">
        <v>16</v>
      </c>
    </row>
    <row r="227" hidden="1">
      <c r="A227" s="45">
        <v>43345.0</v>
      </c>
      <c r="B227" s="22"/>
      <c r="C227" s="22" t="s">
        <v>605</v>
      </c>
      <c r="D227" s="22" t="s">
        <v>606</v>
      </c>
      <c r="E227" s="22">
        <f>+96567001343</f>
        <v>96567001343</v>
      </c>
      <c r="F227" s="9" t="s">
        <v>573</v>
      </c>
      <c r="G227" s="40" t="s">
        <v>16</v>
      </c>
    </row>
    <row r="228" hidden="1">
      <c r="A228" s="45">
        <v>43345.0</v>
      </c>
      <c r="B228" s="22"/>
      <c r="C228" s="22" t="s">
        <v>607</v>
      </c>
      <c r="D228" s="22" t="s">
        <v>608</v>
      </c>
      <c r="E228" s="22"/>
      <c r="F228" s="9" t="s">
        <v>573</v>
      </c>
      <c r="G228" s="40" t="s">
        <v>16</v>
      </c>
    </row>
    <row r="229" hidden="1">
      <c r="A229" s="45">
        <v>43345.0</v>
      </c>
      <c r="B229" s="22"/>
      <c r="C229" s="22" t="s">
        <v>609</v>
      </c>
      <c r="D229" s="46" t="s">
        <v>610</v>
      </c>
      <c r="E229" s="22"/>
      <c r="F229" s="9" t="s">
        <v>573</v>
      </c>
      <c r="G229" s="40" t="s">
        <v>16</v>
      </c>
    </row>
    <row r="230" hidden="1">
      <c r="A230" s="45">
        <v>43346.0</v>
      </c>
      <c r="B230" s="22"/>
      <c r="C230" s="22" t="s">
        <v>611</v>
      </c>
      <c r="D230" s="22" t="s">
        <v>612</v>
      </c>
      <c r="E230" s="25" t="s">
        <v>613</v>
      </c>
      <c r="F230" s="9" t="s">
        <v>573</v>
      </c>
      <c r="G230" s="40" t="s">
        <v>16</v>
      </c>
    </row>
    <row r="231" hidden="1">
      <c r="A231" s="45">
        <v>43346.0</v>
      </c>
      <c r="B231" s="22"/>
      <c r="C231" s="22" t="s">
        <v>614</v>
      </c>
      <c r="D231" s="22" t="s">
        <v>615</v>
      </c>
      <c r="E231" s="22">
        <f>+8618824264622</f>
        <v>8618824264622</v>
      </c>
      <c r="F231" s="9" t="s">
        <v>573</v>
      </c>
      <c r="G231" s="40" t="s">
        <v>179</v>
      </c>
    </row>
    <row r="232" hidden="1">
      <c r="A232" s="45">
        <v>43346.0</v>
      </c>
      <c r="B232" s="22"/>
      <c r="C232" s="22" t="s">
        <v>616</v>
      </c>
      <c r="D232" s="22" t="s">
        <v>617</v>
      </c>
      <c r="E232" s="22">
        <f>+8613698913203</f>
        <v>8613698913203</v>
      </c>
      <c r="F232" s="9" t="s">
        <v>573</v>
      </c>
      <c r="G232" s="40" t="s">
        <v>16</v>
      </c>
    </row>
    <row r="233" hidden="1">
      <c r="A233" s="45">
        <v>43346.0</v>
      </c>
      <c r="B233" s="22"/>
      <c r="C233" s="22" t="s">
        <v>618</v>
      </c>
      <c r="D233" s="22" t="s">
        <v>619</v>
      </c>
      <c r="E233" s="25" t="s">
        <v>620</v>
      </c>
      <c r="F233" s="9" t="s">
        <v>573</v>
      </c>
      <c r="G233" s="40" t="s">
        <v>16</v>
      </c>
    </row>
    <row r="234" hidden="1">
      <c r="A234" s="45">
        <v>43346.0</v>
      </c>
      <c r="B234" s="22"/>
      <c r="C234" s="22" t="s">
        <v>621</v>
      </c>
      <c r="D234" s="22" t="s">
        <v>622</v>
      </c>
      <c r="E234" s="25" t="s">
        <v>623</v>
      </c>
      <c r="F234" s="9" t="s">
        <v>573</v>
      </c>
      <c r="G234" s="40" t="s">
        <v>16</v>
      </c>
    </row>
    <row r="235" hidden="1">
      <c r="A235" s="45">
        <v>43346.0</v>
      </c>
      <c r="B235" s="22"/>
      <c r="C235" s="22" t="s">
        <v>624</v>
      </c>
      <c r="D235" s="22" t="s">
        <v>625</v>
      </c>
      <c r="E235" s="25" t="s">
        <v>626</v>
      </c>
      <c r="F235" s="9" t="s">
        <v>573</v>
      </c>
      <c r="G235" s="40" t="s">
        <v>16</v>
      </c>
    </row>
    <row r="236" hidden="1">
      <c r="A236" s="45">
        <v>43346.0</v>
      </c>
      <c r="B236" s="22"/>
      <c r="C236" s="22" t="s">
        <v>627</v>
      </c>
      <c r="D236" s="22" t="s">
        <v>628</v>
      </c>
      <c r="E236" s="25" t="s">
        <v>629</v>
      </c>
      <c r="F236" s="9" t="s">
        <v>573</v>
      </c>
      <c r="G236" s="40" t="s">
        <v>47</v>
      </c>
    </row>
    <row r="237" hidden="1">
      <c r="A237" s="45">
        <v>43346.0</v>
      </c>
      <c r="B237" s="22"/>
      <c r="C237" s="22" t="s">
        <v>630</v>
      </c>
      <c r="D237" s="22" t="s">
        <v>631</v>
      </c>
      <c r="E237" s="25" t="s">
        <v>632</v>
      </c>
      <c r="F237" s="9" t="s">
        <v>573</v>
      </c>
      <c r="G237" s="40" t="s">
        <v>600</v>
      </c>
    </row>
    <row r="238" hidden="1">
      <c r="A238" s="45">
        <v>43346.0</v>
      </c>
      <c r="B238" s="22"/>
      <c r="C238" s="22" t="s">
        <v>633</v>
      </c>
      <c r="D238" s="22" t="s">
        <v>634</v>
      </c>
      <c r="E238" s="22">
        <f>+917584814432</f>
        <v>917584814432</v>
      </c>
      <c r="F238" s="9" t="s">
        <v>573</v>
      </c>
      <c r="G238" s="40" t="s">
        <v>47</v>
      </c>
    </row>
    <row r="239" hidden="1">
      <c r="A239" s="45">
        <v>43346.0</v>
      </c>
      <c r="B239" s="22"/>
      <c r="C239" s="22" t="s">
        <v>635</v>
      </c>
      <c r="D239" s="22" t="s">
        <v>636</v>
      </c>
      <c r="E239" s="22">
        <f>+966580749639</f>
        <v>966580749639</v>
      </c>
      <c r="F239" s="9" t="s">
        <v>573</v>
      </c>
      <c r="G239" s="40" t="s">
        <v>16</v>
      </c>
    </row>
    <row r="240" hidden="1">
      <c r="A240" s="45">
        <v>43346.0</v>
      </c>
      <c r="B240" s="22"/>
      <c r="C240" s="22" t="s">
        <v>637</v>
      </c>
      <c r="D240" s="22" t="s">
        <v>638</v>
      </c>
      <c r="E240" s="22">
        <f>+966536391629</f>
        <v>966536391629</v>
      </c>
      <c r="F240" s="9" t="s">
        <v>573</v>
      </c>
      <c r="G240" s="40" t="s">
        <v>16</v>
      </c>
    </row>
    <row r="241" hidden="1">
      <c r="A241" s="45">
        <v>43346.0</v>
      </c>
      <c r="B241" s="22"/>
      <c r="C241" s="22" t="s">
        <v>639</v>
      </c>
      <c r="D241" s="22" t="s">
        <v>640</v>
      </c>
      <c r="E241" s="22">
        <f>+966505355166</f>
        <v>966505355166</v>
      </c>
      <c r="F241" s="9" t="s">
        <v>573</v>
      </c>
      <c r="G241" s="40" t="s">
        <v>16</v>
      </c>
    </row>
    <row r="242" hidden="1">
      <c r="A242" s="45">
        <v>43347.0</v>
      </c>
      <c r="B242" s="22"/>
      <c r="C242" s="22" t="s">
        <v>641</v>
      </c>
      <c r="D242" s="22" t="s">
        <v>642</v>
      </c>
      <c r="E242" s="22">
        <f>+966555506029</f>
        <v>966555506029</v>
      </c>
      <c r="F242" s="9" t="s">
        <v>573</v>
      </c>
      <c r="G242" s="40" t="s">
        <v>16</v>
      </c>
    </row>
    <row r="243" hidden="1">
      <c r="A243" s="45">
        <v>43347.0</v>
      </c>
      <c r="B243" s="22"/>
      <c r="C243" s="22" t="s">
        <v>643</v>
      </c>
      <c r="D243" s="22" t="s">
        <v>644</v>
      </c>
      <c r="E243" s="25" t="s">
        <v>645</v>
      </c>
      <c r="F243" s="9" t="s">
        <v>573</v>
      </c>
      <c r="G243" s="40" t="s">
        <v>16</v>
      </c>
    </row>
    <row r="244" hidden="1">
      <c r="A244" s="45">
        <v>43347.0</v>
      </c>
      <c r="B244" s="22"/>
      <c r="C244" s="22" t="s">
        <v>646</v>
      </c>
      <c r="D244" s="22" t="s">
        <v>647</v>
      </c>
      <c r="E244" s="22">
        <f>+966555676456</f>
        <v>966555676456</v>
      </c>
      <c r="F244" s="9" t="s">
        <v>573</v>
      </c>
      <c r="G244" s="40" t="s">
        <v>16</v>
      </c>
    </row>
    <row r="245" hidden="1">
      <c r="A245" s="45">
        <v>43347.0</v>
      </c>
      <c r="B245" s="22"/>
      <c r="C245" s="22" t="s">
        <v>648</v>
      </c>
      <c r="D245" s="22" t="s">
        <v>649</v>
      </c>
      <c r="E245" s="25" t="s">
        <v>650</v>
      </c>
      <c r="F245" s="9" t="s">
        <v>573</v>
      </c>
      <c r="G245" s="40" t="s">
        <v>16</v>
      </c>
    </row>
    <row r="246" hidden="1">
      <c r="A246" s="45">
        <v>43347.0</v>
      </c>
      <c r="B246" s="22"/>
      <c r="C246" s="22" t="s">
        <v>651</v>
      </c>
      <c r="D246" s="22" t="s">
        <v>652</v>
      </c>
      <c r="E246" s="25" t="s">
        <v>653</v>
      </c>
      <c r="F246" s="9" t="s">
        <v>573</v>
      </c>
      <c r="G246" s="40" t="s">
        <v>16</v>
      </c>
    </row>
    <row r="247" hidden="1">
      <c r="A247" s="45">
        <v>43347.0</v>
      </c>
      <c r="B247" s="22"/>
      <c r="C247" s="22" t="s">
        <v>654</v>
      </c>
      <c r="D247" s="22" t="s">
        <v>655</v>
      </c>
      <c r="E247" s="25" t="s">
        <v>656</v>
      </c>
      <c r="F247" s="9" t="s">
        <v>573</v>
      </c>
      <c r="G247" s="40" t="s">
        <v>16</v>
      </c>
    </row>
    <row r="248" hidden="1">
      <c r="A248" s="45">
        <v>43347.0</v>
      </c>
      <c r="B248" s="22"/>
      <c r="C248" s="22" t="s">
        <v>657</v>
      </c>
      <c r="D248" s="22" t="s">
        <v>658</v>
      </c>
      <c r="E248" s="25" t="s">
        <v>659</v>
      </c>
      <c r="F248" s="9" t="s">
        <v>573</v>
      </c>
      <c r="G248" s="40" t="s">
        <v>660</v>
      </c>
    </row>
    <row r="249" hidden="1">
      <c r="A249" s="45">
        <v>43347.0</v>
      </c>
      <c r="B249" s="22"/>
      <c r="C249" s="22" t="s">
        <v>661</v>
      </c>
      <c r="D249" s="22" t="s">
        <v>662</v>
      </c>
      <c r="E249" s="25" t="s">
        <v>663</v>
      </c>
      <c r="F249" s="9" t="s">
        <v>573</v>
      </c>
      <c r="G249" s="40" t="s">
        <v>664</v>
      </c>
    </row>
    <row r="250" hidden="1">
      <c r="A250" s="45">
        <v>43347.0</v>
      </c>
      <c r="B250" s="22"/>
      <c r="C250" s="22" t="s">
        <v>665</v>
      </c>
      <c r="D250" s="22" t="s">
        <v>666</v>
      </c>
      <c r="E250" s="22">
        <f>+886988967083</f>
        <v>886988967083</v>
      </c>
      <c r="F250" s="9" t="s">
        <v>573</v>
      </c>
      <c r="G250" s="40" t="s">
        <v>38</v>
      </c>
    </row>
    <row r="251" hidden="1">
      <c r="A251" s="45">
        <v>43347.0</v>
      </c>
      <c r="B251" s="22"/>
      <c r="C251" s="22" t="s">
        <v>667</v>
      </c>
      <c r="D251" s="22" t="s">
        <v>668</v>
      </c>
      <c r="E251" s="22">
        <f>+886926005792</f>
        <v>886926005792</v>
      </c>
      <c r="F251" s="9" t="s">
        <v>573</v>
      </c>
      <c r="G251" s="40" t="s">
        <v>196</v>
      </c>
    </row>
    <row r="252" hidden="1">
      <c r="A252" s="45">
        <v>43347.0</v>
      </c>
      <c r="B252" s="22"/>
      <c r="C252" s="22" t="s">
        <v>669</v>
      </c>
      <c r="D252" s="22" t="s">
        <v>670</v>
      </c>
      <c r="E252" s="22">
        <f>+6598588600</f>
        <v>6598588600</v>
      </c>
      <c r="F252" s="9" t="s">
        <v>573</v>
      </c>
      <c r="G252" s="40" t="s">
        <v>38</v>
      </c>
    </row>
    <row r="253" hidden="1">
      <c r="A253" s="45">
        <v>43347.0</v>
      </c>
      <c r="B253" s="22"/>
      <c r="C253" s="22" t="s">
        <v>671</v>
      </c>
      <c r="D253" s="22" t="s">
        <v>672</v>
      </c>
      <c r="E253" s="22">
        <f>+85261053876</f>
        <v>85261053876</v>
      </c>
      <c r="F253" s="9" t="s">
        <v>573</v>
      </c>
      <c r="G253" s="40" t="s">
        <v>196</v>
      </c>
    </row>
    <row r="254" hidden="1">
      <c r="A254" s="45">
        <v>43348.0</v>
      </c>
      <c r="B254" s="22"/>
      <c r="C254" s="22" t="s">
        <v>393</v>
      </c>
      <c r="D254" s="22" t="s">
        <v>394</v>
      </c>
      <c r="E254" s="22">
        <f>+6590097566</f>
        <v>6590097566</v>
      </c>
      <c r="F254" s="9" t="s">
        <v>573</v>
      </c>
      <c r="G254" s="40" t="s">
        <v>38</v>
      </c>
    </row>
    <row r="255" hidden="1">
      <c r="A255" s="45">
        <v>43348.0</v>
      </c>
      <c r="B255" s="19"/>
      <c r="C255" s="19" t="s">
        <v>673</v>
      </c>
      <c r="D255" s="19" t="s">
        <v>674</v>
      </c>
      <c r="E255" s="20" t="s">
        <v>675</v>
      </c>
      <c r="F255" s="9" t="s">
        <v>573</v>
      </c>
      <c r="G255" s="40" t="s">
        <v>196</v>
      </c>
    </row>
    <row r="256" hidden="1">
      <c r="A256" s="45">
        <v>43348.0</v>
      </c>
      <c r="B256" s="19"/>
      <c r="C256" s="19" t="s">
        <v>676</v>
      </c>
      <c r="D256" s="19" t="s">
        <v>677</v>
      </c>
      <c r="E256" s="20" t="s">
        <v>678</v>
      </c>
      <c r="F256" s="9" t="s">
        <v>573</v>
      </c>
      <c r="G256" s="40" t="s">
        <v>660</v>
      </c>
    </row>
    <row r="257" hidden="1">
      <c r="A257" s="45">
        <v>43348.0</v>
      </c>
      <c r="B257" s="19"/>
      <c r="C257" s="19" t="s">
        <v>679</v>
      </c>
      <c r="D257" s="19" t="s">
        <v>680</v>
      </c>
      <c r="E257" s="20" t="s">
        <v>681</v>
      </c>
      <c r="F257" s="9" t="s">
        <v>573</v>
      </c>
      <c r="G257" s="40" t="s">
        <v>660</v>
      </c>
    </row>
    <row r="258" hidden="1">
      <c r="A258" s="45">
        <v>43348.0</v>
      </c>
      <c r="B258" s="19"/>
      <c r="C258" s="19" t="s">
        <v>682</v>
      </c>
      <c r="D258" s="19" t="s">
        <v>683</v>
      </c>
      <c r="E258" s="20" t="s">
        <v>684</v>
      </c>
      <c r="F258" s="9" t="s">
        <v>573</v>
      </c>
      <c r="G258" s="40" t="s">
        <v>196</v>
      </c>
    </row>
    <row r="259" hidden="1">
      <c r="A259" s="45">
        <v>43349.0</v>
      </c>
      <c r="B259" s="19"/>
      <c r="C259" s="19" t="s">
        <v>685</v>
      </c>
      <c r="D259" s="19" t="s">
        <v>686</v>
      </c>
      <c r="E259" s="20" t="s">
        <v>687</v>
      </c>
      <c r="F259" s="9" t="s">
        <v>573</v>
      </c>
      <c r="G259" s="40" t="s">
        <v>688</v>
      </c>
    </row>
    <row r="260" hidden="1">
      <c r="A260" s="45">
        <v>43349.0</v>
      </c>
      <c r="B260" s="19"/>
      <c r="C260" s="19" t="s">
        <v>689</v>
      </c>
      <c r="D260" s="19" t="s">
        <v>690</v>
      </c>
      <c r="E260" s="19"/>
      <c r="F260" s="9" t="s">
        <v>573</v>
      </c>
      <c r="G260" s="40" t="s">
        <v>16</v>
      </c>
    </row>
    <row r="261" hidden="1">
      <c r="A261" s="45">
        <v>43349.0</v>
      </c>
      <c r="B261" s="19"/>
      <c r="C261" s="19" t="s">
        <v>691</v>
      </c>
      <c r="D261" s="19" t="s">
        <v>692</v>
      </c>
      <c r="E261" s="19"/>
      <c r="F261" s="9" t="s">
        <v>573</v>
      </c>
      <c r="G261" s="40" t="s">
        <v>16</v>
      </c>
    </row>
    <row r="262" hidden="1">
      <c r="A262" s="45">
        <v>43349.0</v>
      </c>
      <c r="B262" s="19"/>
      <c r="C262" s="19" t="s">
        <v>693</v>
      </c>
      <c r="D262" s="19" t="s">
        <v>694</v>
      </c>
      <c r="E262" s="19"/>
      <c r="F262" s="9" t="s">
        <v>573</v>
      </c>
      <c r="G262" s="40" t="s">
        <v>16</v>
      </c>
    </row>
    <row r="263" hidden="1">
      <c r="A263" s="45">
        <v>43349.0</v>
      </c>
      <c r="B263" s="19"/>
      <c r="C263" s="19" t="s">
        <v>695</v>
      </c>
      <c r="D263" s="19" t="s">
        <v>696</v>
      </c>
      <c r="E263" s="19"/>
      <c r="F263" s="9" t="s">
        <v>573</v>
      </c>
      <c r="G263" s="40" t="s">
        <v>16</v>
      </c>
    </row>
    <row r="264" hidden="1">
      <c r="A264" s="45">
        <v>43349.0</v>
      </c>
      <c r="B264" s="19"/>
      <c r="C264" s="19" t="s">
        <v>697</v>
      </c>
      <c r="D264" s="19" t="s">
        <v>698</v>
      </c>
      <c r="E264" s="19"/>
      <c r="F264" s="9" t="s">
        <v>573</v>
      </c>
      <c r="G264" s="40" t="s">
        <v>16</v>
      </c>
    </row>
    <row r="265" hidden="1">
      <c r="A265" s="45">
        <v>43349.0</v>
      </c>
      <c r="B265" s="19"/>
      <c r="C265" s="19" t="s">
        <v>699</v>
      </c>
      <c r="D265" s="19" t="s">
        <v>700</v>
      </c>
      <c r="E265" s="19"/>
      <c r="F265" s="9" t="s">
        <v>573</v>
      </c>
      <c r="G265" s="40" t="s">
        <v>16</v>
      </c>
    </row>
    <row r="266" hidden="1">
      <c r="A266" s="45">
        <v>43349.0</v>
      </c>
      <c r="B266" s="19"/>
      <c r="C266" s="19" t="s">
        <v>701</v>
      </c>
      <c r="D266" s="19" t="s">
        <v>702</v>
      </c>
      <c r="E266" s="19"/>
      <c r="F266" s="9" t="s">
        <v>573</v>
      </c>
      <c r="G266" s="40" t="s">
        <v>16</v>
      </c>
    </row>
    <row r="267" hidden="1">
      <c r="A267" s="45">
        <v>43349.0</v>
      </c>
      <c r="B267" s="19"/>
      <c r="C267" s="19" t="s">
        <v>703</v>
      </c>
      <c r="D267" s="19" t="s">
        <v>704</v>
      </c>
      <c r="E267" s="19"/>
      <c r="F267" s="9" t="s">
        <v>573</v>
      </c>
      <c r="G267" s="40" t="s">
        <v>16</v>
      </c>
    </row>
    <row r="268" hidden="1">
      <c r="A268" s="45">
        <v>43349.0</v>
      </c>
      <c r="B268" s="19"/>
      <c r="C268" s="19" t="s">
        <v>705</v>
      </c>
      <c r="D268" s="19" t="s">
        <v>706</v>
      </c>
      <c r="E268" s="20" t="s">
        <v>707</v>
      </c>
      <c r="F268" s="9" t="s">
        <v>573</v>
      </c>
      <c r="G268" s="40" t="s">
        <v>16</v>
      </c>
    </row>
    <row r="269" hidden="1">
      <c r="A269" s="45">
        <v>43349.0</v>
      </c>
      <c r="B269" s="19"/>
      <c r="C269" s="19" t="s">
        <v>708</v>
      </c>
      <c r="D269" s="19" t="s">
        <v>709</v>
      </c>
      <c r="E269" s="19"/>
      <c r="F269" s="9" t="s">
        <v>573</v>
      </c>
      <c r="G269" s="40" t="s">
        <v>16</v>
      </c>
    </row>
    <row r="270" hidden="1">
      <c r="A270" s="45">
        <v>43349.0</v>
      </c>
      <c r="B270" s="19"/>
      <c r="C270" s="19" t="s">
        <v>710</v>
      </c>
      <c r="D270" s="19" t="s">
        <v>711</v>
      </c>
      <c r="E270" s="19"/>
      <c r="F270" s="9" t="s">
        <v>573</v>
      </c>
      <c r="G270" s="40" t="s">
        <v>16</v>
      </c>
    </row>
    <row r="271" hidden="1">
      <c r="A271" s="45">
        <v>43349.0</v>
      </c>
      <c r="B271" s="19"/>
      <c r="C271" s="19" t="s">
        <v>712</v>
      </c>
      <c r="D271" s="19" t="s">
        <v>713</v>
      </c>
      <c r="E271" s="19"/>
      <c r="F271" s="9" t="s">
        <v>573</v>
      </c>
      <c r="G271" s="40" t="s">
        <v>16</v>
      </c>
    </row>
    <row r="272" hidden="1">
      <c r="A272" s="45">
        <v>43349.0</v>
      </c>
      <c r="B272" s="19"/>
      <c r="C272" s="19" t="s">
        <v>714</v>
      </c>
      <c r="D272" s="19" t="s">
        <v>715</v>
      </c>
      <c r="E272" s="19"/>
      <c r="F272" s="9" t="s">
        <v>573</v>
      </c>
      <c r="G272" s="40" t="s">
        <v>16</v>
      </c>
    </row>
    <row r="273" hidden="1">
      <c r="A273" s="45">
        <v>43349.0</v>
      </c>
      <c r="B273" s="19"/>
      <c r="C273" s="19" t="s">
        <v>716</v>
      </c>
      <c r="D273" s="19" t="s">
        <v>717</v>
      </c>
      <c r="E273" s="19"/>
      <c r="F273" s="9" t="s">
        <v>573</v>
      </c>
      <c r="G273" s="40" t="s">
        <v>16</v>
      </c>
    </row>
    <row r="274" hidden="1">
      <c r="A274" s="45">
        <v>43349.0</v>
      </c>
      <c r="B274" s="19"/>
      <c r="C274" s="19" t="s">
        <v>718</v>
      </c>
      <c r="D274" s="19" t="s">
        <v>719</v>
      </c>
      <c r="E274" s="20" t="s">
        <v>720</v>
      </c>
      <c r="F274" s="9" t="s">
        <v>573</v>
      </c>
      <c r="G274" s="40" t="s">
        <v>196</v>
      </c>
    </row>
    <row r="275" hidden="1">
      <c r="A275" s="45">
        <v>43349.0</v>
      </c>
      <c r="B275" s="19"/>
      <c r="C275" s="19" t="s">
        <v>721</v>
      </c>
      <c r="D275" s="19" t="s">
        <v>722</v>
      </c>
      <c r="E275" s="19"/>
      <c r="F275" s="9" t="s">
        <v>573</v>
      </c>
      <c r="G275" s="40" t="s">
        <v>16</v>
      </c>
    </row>
    <row r="276" hidden="1">
      <c r="A276" s="45">
        <v>43349.0</v>
      </c>
      <c r="B276" s="19"/>
      <c r="C276" s="19" t="s">
        <v>723</v>
      </c>
      <c r="D276" s="19" t="s">
        <v>724</v>
      </c>
      <c r="E276" s="19"/>
      <c r="F276" s="9" t="s">
        <v>573</v>
      </c>
      <c r="G276" s="40" t="s">
        <v>16</v>
      </c>
    </row>
    <row r="277" hidden="1">
      <c r="A277" s="45">
        <v>43349.0</v>
      </c>
      <c r="B277" s="19"/>
      <c r="C277" s="19" t="s">
        <v>725</v>
      </c>
      <c r="D277" s="19" t="s">
        <v>726</v>
      </c>
      <c r="E277" s="19"/>
      <c r="F277" s="9" t="s">
        <v>573</v>
      </c>
      <c r="G277" s="40" t="s">
        <v>16</v>
      </c>
    </row>
    <row r="278" hidden="1">
      <c r="A278" s="45">
        <v>43349.0</v>
      </c>
      <c r="B278" s="19"/>
      <c r="C278" s="19" t="s">
        <v>727</v>
      </c>
      <c r="D278" s="19" t="s">
        <v>728</v>
      </c>
      <c r="E278" s="19"/>
      <c r="F278" s="9" t="s">
        <v>573</v>
      </c>
      <c r="G278" s="40" t="s">
        <v>16</v>
      </c>
    </row>
    <row r="279" hidden="1">
      <c r="A279" s="45">
        <v>43349.0</v>
      </c>
      <c r="B279" s="19"/>
      <c r="C279" s="19" t="s">
        <v>729</v>
      </c>
      <c r="D279" s="19" t="s">
        <v>730</v>
      </c>
      <c r="E279" s="19"/>
      <c r="F279" s="9" t="s">
        <v>573</v>
      </c>
      <c r="G279" s="40" t="s">
        <v>16</v>
      </c>
    </row>
    <row r="280" hidden="1">
      <c r="A280" s="45">
        <v>43349.0</v>
      </c>
      <c r="B280" s="19"/>
      <c r="C280" s="19" t="s">
        <v>731</v>
      </c>
      <c r="D280" s="19" t="s">
        <v>732</v>
      </c>
      <c r="E280" s="19"/>
      <c r="F280" s="9" t="s">
        <v>573</v>
      </c>
      <c r="G280" s="40" t="s">
        <v>16</v>
      </c>
    </row>
    <row r="281" hidden="1">
      <c r="A281" s="45">
        <v>43349.0</v>
      </c>
      <c r="B281" s="19"/>
      <c r="C281" s="19" t="s">
        <v>733</v>
      </c>
      <c r="D281" s="19" t="s">
        <v>734</v>
      </c>
      <c r="E281" s="19"/>
      <c r="F281" s="9" t="s">
        <v>573</v>
      </c>
      <c r="G281" s="40" t="s">
        <v>16</v>
      </c>
    </row>
    <row r="282" hidden="1">
      <c r="A282" s="45">
        <v>43349.0</v>
      </c>
      <c r="B282" s="19"/>
      <c r="C282" s="19" t="s">
        <v>735</v>
      </c>
      <c r="D282" s="19" t="s">
        <v>736</v>
      </c>
      <c r="E282" s="19"/>
      <c r="F282" s="9" t="s">
        <v>573</v>
      </c>
      <c r="G282" s="40" t="s">
        <v>16</v>
      </c>
    </row>
    <row r="283" hidden="1">
      <c r="A283" s="45">
        <v>43349.0</v>
      </c>
      <c r="B283" s="19"/>
      <c r="C283" s="19" t="s">
        <v>737</v>
      </c>
      <c r="D283" s="19" t="s">
        <v>738</v>
      </c>
      <c r="E283" s="19"/>
      <c r="F283" s="9" t="s">
        <v>573</v>
      </c>
      <c r="G283" s="40" t="s">
        <v>16</v>
      </c>
    </row>
    <row r="284" hidden="1">
      <c r="A284" s="45">
        <v>43349.0</v>
      </c>
      <c r="B284" s="19"/>
      <c r="C284" s="19" t="s">
        <v>703</v>
      </c>
      <c r="D284" s="19" t="s">
        <v>739</v>
      </c>
      <c r="E284" s="19"/>
      <c r="F284" s="9" t="s">
        <v>573</v>
      </c>
      <c r="G284" s="40" t="s">
        <v>16</v>
      </c>
    </row>
    <row r="285" hidden="1">
      <c r="A285" s="45">
        <v>43349.0</v>
      </c>
      <c r="B285" s="19"/>
      <c r="C285" s="19" t="s">
        <v>740</v>
      </c>
      <c r="D285" s="19" t="s">
        <v>741</v>
      </c>
      <c r="E285" s="19"/>
      <c r="F285" s="9" t="s">
        <v>573</v>
      </c>
      <c r="G285" s="40" t="s">
        <v>16</v>
      </c>
    </row>
    <row r="286" hidden="1">
      <c r="A286" s="45">
        <v>43349.0</v>
      </c>
      <c r="B286" s="19"/>
      <c r="C286" s="19" t="s">
        <v>742</v>
      </c>
      <c r="D286" s="19" t="s">
        <v>743</v>
      </c>
      <c r="E286" s="19"/>
      <c r="F286" s="9" t="s">
        <v>573</v>
      </c>
      <c r="G286" s="40" t="s">
        <v>16</v>
      </c>
    </row>
    <row r="287" hidden="1">
      <c r="A287" s="45">
        <v>43349.0</v>
      </c>
      <c r="B287" s="19"/>
      <c r="C287" s="19" t="s">
        <v>744</v>
      </c>
      <c r="D287" s="19" t="s">
        <v>745</v>
      </c>
      <c r="E287" s="19"/>
      <c r="F287" s="9" t="s">
        <v>573</v>
      </c>
      <c r="G287" s="40" t="s">
        <v>16</v>
      </c>
    </row>
    <row r="288" hidden="1">
      <c r="A288" s="45">
        <v>43349.0</v>
      </c>
      <c r="B288" s="19"/>
      <c r="C288" s="19" t="s">
        <v>746</v>
      </c>
      <c r="D288" s="19" t="s">
        <v>747</v>
      </c>
      <c r="E288" s="19"/>
      <c r="F288" s="9" t="s">
        <v>573</v>
      </c>
      <c r="G288" s="40" t="s">
        <v>16</v>
      </c>
    </row>
    <row r="289" hidden="1">
      <c r="A289" s="45">
        <v>43349.0</v>
      </c>
      <c r="B289" s="19"/>
      <c r="C289" s="19" t="s">
        <v>748</v>
      </c>
      <c r="D289" s="19" t="s">
        <v>749</v>
      </c>
      <c r="E289" s="19"/>
      <c r="F289" s="9" t="s">
        <v>573</v>
      </c>
      <c r="G289" s="40" t="s">
        <v>16</v>
      </c>
    </row>
    <row r="290" hidden="1">
      <c r="A290" s="45">
        <v>43349.0</v>
      </c>
      <c r="B290" s="19"/>
      <c r="C290" s="19" t="s">
        <v>750</v>
      </c>
      <c r="D290" s="19" t="s">
        <v>751</v>
      </c>
      <c r="E290" s="19"/>
      <c r="F290" s="9" t="s">
        <v>573</v>
      </c>
      <c r="G290" s="40" t="s">
        <v>16</v>
      </c>
    </row>
    <row r="291" hidden="1">
      <c r="A291" s="45">
        <v>43349.0</v>
      </c>
      <c r="B291" s="19"/>
      <c r="C291" s="19" t="s">
        <v>752</v>
      </c>
      <c r="D291" s="47" t="s">
        <v>753</v>
      </c>
      <c r="E291" s="19"/>
      <c r="F291" s="9" t="s">
        <v>573</v>
      </c>
      <c r="G291" s="40" t="s">
        <v>16</v>
      </c>
    </row>
    <row r="292" hidden="1">
      <c r="A292" s="45">
        <v>43349.0</v>
      </c>
      <c r="B292" s="19"/>
      <c r="C292" s="19" t="s">
        <v>754</v>
      </c>
      <c r="D292" s="19" t="s">
        <v>755</v>
      </c>
      <c r="E292" s="19"/>
      <c r="F292" s="9" t="s">
        <v>573</v>
      </c>
      <c r="G292" s="40" t="s">
        <v>16</v>
      </c>
    </row>
    <row r="293" hidden="1">
      <c r="A293" s="45">
        <v>43349.0</v>
      </c>
      <c r="B293" s="19"/>
      <c r="C293" s="19" t="s">
        <v>756</v>
      </c>
      <c r="D293" s="19" t="s">
        <v>757</v>
      </c>
      <c r="E293" s="19"/>
      <c r="F293" s="9" t="s">
        <v>573</v>
      </c>
      <c r="G293" s="40" t="s">
        <v>16</v>
      </c>
    </row>
    <row r="294" hidden="1">
      <c r="A294" s="45">
        <v>43349.0</v>
      </c>
      <c r="B294" s="19"/>
      <c r="C294" s="19" t="s">
        <v>758</v>
      </c>
      <c r="D294" s="19" t="s">
        <v>759</v>
      </c>
      <c r="E294" s="19"/>
      <c r="F294" s="9" t="s">
        <v>573</v>
      </c>
      <c r="G294" s="40" t="s">
        <v>16</v>
      </c>
    </row>
    <row r="295" hidden="1">
      <c r="A295" s="45">
        <v>43349.0</v>
      </c>
      <c r="B295" s="19"/>
      <c r="C295" s="19" t="s">
        <v>609</v>
      </c>
      <c r="D295" s="19" t="s">
        <v>610</v>
      </c>
      <c r="E295" s="19"/>
      <c r="F295" s="9" t="s">
        <v>573</v>
      </c>
      <c r="G295" s="40" t="s">
        <v>16</v>
      </c>
    </row>
    <row r="296" hidden="1">
      <c r="A296" s="45">
        <v>43349.0</v>
      </c>
      <c r="B296" s="19"/>
      <c r="C296" s="19" t="s">
        <v>579</v>
      </c>
      <c r="D296" s="19" t="s">
        <v>580</v>
      </c>
      <c r="E296" s="19"/>
      <c r="F296" s="9" t="s">
        <v>573</v>
      </c>
      <c r="G296" s="40" t="s">
        <v>16</v>
      </c>
    </row>
    <row r="297" hidden="1">
      <c r="A297" s="45">
        <v>43349.0</v>
      </c>
      <c r="B297" s="19"/>
      <c r="C297" s="19" t="s">
        <v>585</v>
      </c>
      <c r="D297" s="19" t="s">
        <v>586</v>
      </c>
      <c r="E297" s="19"/>
      <c r="F297" s="9" t="s">
        <v>573</v>
      </c>
      <c r="G297" s="40" t="s">
        <v>16</v>
      </c>
    </row>
    <row r="298" hidden="1">
      <c r="A298" s="45">
        <v>43349.0</v>
      </c>
      <c r="B298" s="19"/>
      <c r="C298" s="19" t="s">
        <v>760</v>
      </c>
      <c r="D298" s="19" t="s">
        <v>761</v>
      </c>
      <c r="E298" s="20" t="s">
        <v>762</v>
      </c>
      <c r="F298" s="9" t="s">
        <v>573</v>
      </c>
      <c r="G298" s="40" t="s">
        <v>763</v>
      </c>
    </row>
    <row r="299" hidden="1">
      <c r="A299" s="45">
        <v>43355.0</v>
      </c>
      <c r="B299" s="19"/>
      <c r="C299" s="19" t="s">
        <v>764</v>
      </c>
      <c r="D299" s="19" t="s">
        <v>765</v>
      </c>
      <c r="E299" s="20" t="s">
        <v>766</v>
      </c>
      <c r="F299" s="9" t="s">
        <v>573</v>
      </c>
      <c r="G299" s="40" t="s">
        <v>767</v>
      </c>
    </row>
    <row r="300" hidden="1">
      <c r="A300" s="45">
        <v>43355.0</v>
      </c>
      <c r="B300" s="19"/>
      <c r="C300" s="19" t="s">
        <v>768</v>
      </c>
      <c r="D300" s="19" t="s">
        <v>769</v>
      </c>
      <c r="E300" s="19"/>
      <c r="F300" s="9" t="s">
        <v>573</v>
      </c>
      <c r="G300" s="40" t="s">
        <v>16</v>
      </c>
    </row>
    <row r="301" hidden="1">
      <c r="A301" s="45">
        <v>43355.0</v>
      </c>
      <c r="B301" s="19"/>
      <c r="C301" s="19" t="s">
        <v>770</v>
      </c>
      <c r="D301" s="19" t="s">
        <v>771</v>
      </c>
      <c r="E301" s="19"/>
      <c r="F301" s="9" t="s">
        <v>573</v>
      </c>
      <c r="G301" s="40" t="s">
        <v>16</v>
      </c>
    </row>
    <row r="302" hidden="1">
      <c r="A302" s="45">
        <v>43355.0</v>
      </c>
      <c r="B302" s="19"/>
      <c r="C302" s="19" t="s">
        <v>772</v>
      </c>
      <c r="D302" s="19" t="s">
        <v>771</v>
      </c>
      <c r="E302" s="19"/>
      <c r="F302" s="9" t="s">
        <v>573</v>
      </c>
      <c r="G302" s="40" t="s">
        <v>16</v>
      </c>
    </row>
    <row r="303" hidden="1">
      <c r="A303" s="45">
        <v>43355.0</v>
      </c>
      <c r="B303" s="19"/>
      <c r="C303" s="19" t="s">
        <v>773</v>
      </c>
      <c r="D303" s="19" t="s">
        <v>774</v>
      </c>
      <c r="E303" s="20" t="s">
        <v>775</v>
      </c>
      <c r="F303" s="9" t="s">
        <v>573</v>
      </c>
      <c r="G303" s="40" t="s">
        <v>660</v>
      </c>
    </row>
    <row r="304" hidden="1">
      <c r="A304" s="45">
        <v>43355.0</v>
      </c>
      <c r="B304" s="22"/>
      <c r="C304" s="22" t="s">
        <v>776</v>
      </c>
      <c r="D304" s="22" t="s">
        <v>777</v>
      </c>
      <c r="E304" s="48" t="s">
        <v>778</v>
      </c>
      <c r="F304" s="9" t="s">
        <v>573</v>
      </c>
      <c r="G304" s="40" t="s">
        <v>16</v>
      </c>
    </row>
    <row r="305" hidden="1">
      <c r="A305" s="45">
        <v>43355.0</v>
      </c>
      <c r="B305" s="22"/>
      <c r="C305" s="22" t="s">
        <v>779</v>
      </c>
      <c r="D305" s="22" t="s">
        <v>780</v>
      </c>
      <c r="E305" s="25" t="s">
        <v>781</v>
      </c>
      <c r="F305" s="9" t="s">
        <v>573</v>
      </c>
      <c r="G305" s="39" t="s">
        <v>782</v>
      </c>
    </row>
    <row r="306" hidden="1">
      <c r="A306" s="45">
        <v>43359.0</v>
      </c>
      <c r="B306" s="19"/>
      <c r="C306" s="19" t="s">
        <v>783</v>
      </c>
      <c r="D306" s="22" t="s">
        <v>642</v>
      </c>
      <c r="E306" s="20" t="s">
        <v>784</v>
      </c>
      <c r="F306" s="9" t="s">
        <v>573</v>
      </c>
      <c r="G306" s="40" t="s">
        <v>196</v>
      </c>
    </row>
    <row r="307" hidden="1">
      <c r="A307" s="45">
        <v>43359.0</v>
      </c>
      <c r="B307" s="22"/>
      <c r="C307" s="22" t="s">
        <v>785</v>
      </c>
      <c r="D307" s="20" t="s">
        <v>786</v>
      </c>
      <c r="E307" s="20" t="s">
        <v>787</v>
      </c>
      <c r="F307" s="9" t="s">
        <v>573</v>
      </c>
      <c r="G307" s="40" t="s">
        <v>16</v>
      </c>
    </row>
    <row r="308" hidden="1">
      <c r="A308" s="45">
        <v>43359.0</v>
      </c>
      <c r="B308" s="19"/>
      <c r="C308" s="19" t="s">
        <v>788</v>
      </c>
      <c r="D308" s="19" t="s">
        <v>789</v>
      </c>
      <c r="E308" s="20" t="s">
        <v>790</v>
      </c>
      <c r="F308" s="9" t="s">
        <v>573</v>
      </c>
      <c r="G308" s="40" t="s">
        <v>47</v>
      </c>
    </row>
    <row r="309" hidden="1">
      <c r="A309" s="45">
        <v>43359.0</v>
      </c>
      <c r="B309" s="19"/>
      <c r="C309" s="19" t="s">
        <v>791</v>
      </c>
      <c r="D309" s="19" t="s">
        <v>792</v>
      </c>
      <c r="E309" s="20" t="s">
        <v>793</v>
      </c>
      <c r="F309" s="9" t="s">
        <v>573</v>
      </c>
      <c r="G309" s="40" t="s">
        <v>16</v>
      </c>
    </row>
    <row r="310" hidden="1">
      <c r="A310" s="45">
        <v>43359.0</v>
      </c>
      <c r="B310" s="19"/>
      <c r="C310" s="19" t="s">
        <v>794</v>
      </c>
      <c r="D310" s="19" t="s">
        <v>795</v>
      </c>
      <c r="E310" s="20" t="s">
        <v>796</v>
      </c>
      <c r="F310" s="9" t="s">
        <v>573</v>
      </c>
      <c r="G310" s="40" t="s">
        <v>16</v>
      </c>
    </row>
    <row r="311" hidden="1">
      <c r="A311" s="45">
        <v>43360.0</v>
      </c>
      <c r="B311" s="19"/>
      <c r="C311" s="19" t="s">
        <v>797</v>
      </c>
      <c r="D311" s="19" t="s">
        <v>798</v>
      </c>
      <c r="E311" s="20" t="s">
        <v>799</v>
      </c>
      <c r="F311" s="9" t="s">
        <v>573</v>
      </c>
      <c r="G311" s="40" t="s">
        <v>196</v>
      </c>
    </row>
    <row r="312">
      <c r="A312" s="49">
        <v>43624.0</v>
      </c>
      <c r="B312" s="22"/>
      <c r="C312" s="22" t="s">
        <v>800</v>
      </c>
      <c r="D312" s="22" t="s">
        <v>801</v>
      </c>
      <c r="E312" s="22">
        <f>+9613244911</f>
        <v>9613244911</v>
      </c>
      <c r="F312" s="50" t="s">
        <v>802</v>
      </c>
      <c r="G312" s="40" t="s">
        <v>196</v>
      </c>
    </row>
    <row r="313" hidden="1">
      <c r="A313" s="51">
        <v>43568.0</v>
      </c>
      <c r="B313" s="52"/>
      <c r="C313" s="52" t="s">
        <v>803</v>
      </c>
      <c r="D313" s="52" t="s">
        <v>804</v>
      </c>
      <c r="E313" s="53" t="s">
        <v>805</v>
      </c>
      <c r="F313" s="54" t="s">
        <v>806</v>
      </c>
      <c r="G313" s="55" t="s">
        <v>196</v>
      </c>
    </row>
    <row r="314" hidden="1">
      <c r="A314" s="56">
        <v>43571.0</v>
      </c>
      <c r="B314" s="57"/>
      <c r="C314" s="57" t="s">
        <v>807</v>
      </c>
      <c r="D314" s="57" t="s">
        <v>808</v>
      </c>
      <c r="E314" s="57" t="s">
        <v>809</v>
      </c>
      <c r="F314" s="58" t="s">
        <v>810</v>
      </c>
      <c r="G314" s="59" t="s">
        <v>457</v>
      </c>
    </row>
    <row r="315" hidden="1">
      <c r="A315" s="56">
        <v>43596.0</v>
      </c>
      <c r="B315" s="57"/>
      <c r="C315" s="57" t="s">
        <v>811</v>
      </c>
      <c r="D315" s="57" t="s">
        <v>812</v>
      </c>
      <c r="E315" s="57">
        <f>+971505510189</f>
        <v>971505510189</v>
      </c>
      <c r="F315" s="60" t="s">
        <v>813</v>
      </c>
      <c r="G315" s="61" t="s">
        <v>196</v>
      </c>
    </row>
    <row r="316" hidden="1">
      <c r="A316" s="62">
        <v>43585.0</v>
      </c>
      <c r="B316" s="63"/>
      <c r="C316" s="63" t="s">
        <v>814</v>
      </c>
      <c r="D316" s="63" t="s">
        <v>815</v>
      </c>
      <c r="E316" s="64">
        <v>9.71506544612E11</v>
      </c>
      <c r="F316" s="65" t="s">
        <v>816</v>
      </c>
      <c r="G316" s="66" t="s">
        <v>168</v>
      </c>
    </row>
    <row r="317" hidden="1">
      <c r="A317" s="67">
        <v>43585.0</v>
      </c>
      <c r="B317" s="68"/>
      <c r="C317" s="68" t="s">
        <v>817</v>
      </c>
      <c r="D317" s="68" t="s">
        <v>818</v>
      </c>
      <c r="E317" s="68">
        <v>9.7155200217E11</v>
      </c>
      <c r="F317" s="69" t="s">
        <v>816</v>
      </c>
      <c r="G317" s="61" t="s">
        <v>168</v>
      </c>
    </row>
    <row r="318" hidden="1">
      <c r="A318" s="67">
        <v>43585.0</v>
      </c>
      <c r="B318" s="70"/>
      <c r="C318" s="70" t="s">
        <v>819</v>
      </c>
      <c r="D318" s="71" t="s">
        <v>820</v>
      </c>
      <c r="E318" s="72">
        <v>9.71502729626E11</v>
      </c>
      <c r="F318" s="69" t="s">
        <v>816</v>
      </c>
      <c r="G318" s="61" t="s">
        <v>168</v>
      </c>
    </row>
    <row r="319" hidden="1">
      <c r="A319" s="67">
        <v>43585.0</v>
      </c>
      <c r="B319" s="72"/>
      <c r="C319" s="72" t="s">
        <v>821</v>
      </c>
      <c r="D319" s="72" t="s">
        <v>822</v>
      </c>
      <c r="E319" s="72">
        <v>9.71553531E11</v>
      </c>
      <c r="F319" s="69" t="s">
        <v>816</v>
      </c>
      <c r="G319" s="61" t="s">
        <v>823</v>
      </c>
    </row>
    <row r="320" hidden="1">
      <c r="A320" s="67">
        <v>43585.0</v>
      </c>
      <c r="B320" s="70"/>
      <c r="C320" s="70" t="s">
        <v>824</v>
      </c>
      <c r="D320" s="71" t="s">
        <v>825</v>
      </c>
      <c r="E320" s="70">
        <v>9.7142260006E10</v>
      </c>
      <c r="F320" s="69" t="s">
        <v>816</v>
      </c>
      <c r="G320" s="39" t="s">
        <v>179</v>
      </c>
    </row>
    <row r="321" hidden="1">
      <c r="A321" s="73">
        <v>43586.0</v>
      </c>
      <c r="B321" s="74"/>
      <c r="C321" s="74" t="s">
        <v>826</v>
      </c>
      <c r="D321" s="74" t="s">
        <v>827</v>
      </c>
      <c r="E321" s="74">
        <f>+966500727099</f>
        <v>966500727099</v>
      </c>
      <c r="F321" s="69" t="s">
        <v>816</v>
      </c>
      <c r="G321" s="61" t="s">
        <v>196</v>
      </c>
    </row>
    <row r="322" hidden="1">
      <c r="A322" s="73">
        <v>43586.0</v>
      </c>
      <c r="B322" s="74"/>
      <c r="C322" s="74" t="s">
        <v>828</v>
      </c>
      <c r="D322" s="74" t="s">
        <v>829</v>
      </c>
      <c r="E322" s="74">
        <f>+966539073004</f>
        <v>966539073004</v>
      </c>
      <c r="F322" s="69" t="s">
        <v>816</v>
      </c>
      <c r="G322" s="39" t="s">
        <v>196</v>
      </c>
    </row>
    <row r="323" hidden="1">
      <c r="A323" s="73">
        <v>43586.0</v>
      </c>
      <c r="B323" s="74"/>
      <c r="C323" s="74" t="s">
        <v>830</v>
      </c>
      <c r="D323" s="74" t="s">
        <v>831</v>
      </c>
      <c r="E323" s="74">
        <f>+966591550591</f>
        <v>966591550591</v>
      </c>
      <c r="F323" s="69" t="s">
        <v>816</v>
      </c>
      <c r="G323" s="40" t="s">
        <v>196</v>
      </c>
    </row>
    <row r="324" hidden="1">
      <c r="A324" s="73">
        <v>43586.0</v>
      </c>
      <c r="B324" s="74"/>
      <c r="C324" s="74" t="s">
        <v>832</v>
      </c>
      <c r="D324" s="74" t="s">
        <v>833</v>
      </c>
      <c r="E324" s="74">
        <f>+966503132514</f>
        <v>966503132514</v>
      </c>
      <c r="F324" s="69" t="s">
        <v>816</v>
      </c>
      <c r="G324" s="40" t="s">
        <v>16</v>
      </c>
    </row>
    <row r="325" hidden="1">
      <c r="A325" s="73">
        <v>43586.0</v>
      </c>
      <c r="B325" s="74"/>
      <c r="C325" s="74" t="s">
        <v>834</v>
      </c>
      <c r="D325" s="74" t="s">
        <v>835</v>
      </c>
      <c r="E325" s="74">
        <f>+9660569000995</f>
        <v>9660569000995</v>
      </c>
      <c r="F325" s="69" t="s">
        <v>816</v>
      </c>
      <c r="G325" s="40" t="s">
        <v>196</v>
      </c>
    </row>
    <row r="326" hidden="1">
      <c r="A326" s="73">
        <v>43586.0</v>
      </c>
      <c r="B326" s="74"/>
      <c r="C326" s="74" t="s">
        <v>836</v>
      </c>
      <c r="D326" s="74" t="s">
        <v>837</v>
      </c>
      <c r="E326" s="74">
        <f>+971555530615</f>
        <v>971555530615</v>
      </c>
      <c r="F326" s="69" t="s">
        <v>816</v>
      </c>
      <c r="G326" s="39" t="s">
        <v>838</v>
      </c>
    </row>
    <row r="327" hidden="1">
      <c r="A327" s="73">
        <v>43586.0</v>
      </c>
      <c r="B327" s="74"/>
      <c r="C327" s="74" t="s">
        <v>839</v>
      </c>
      <c r="D327" s="74" t="s">
        <v>840</v>
      </c>
      <c r="E327" s="74">
        <f>+971505525423</f>
        <v>971505525423</v>
      </c>
      <c r="F327" s="69" t="s">
        <v>816</v>
      </c>
      <c r="G327" s="40" t="s">
        <v>196</v>
      </c>
    </row>
    <row r="328" hidden="1">
      <c r="A328" s="73">
        <v>43586.0</v>
      </c>
      <c r="B328" s="74"/>
      <c r="C328" s="74" t="s">
        <v>841</v>
      </c>
      <c r="D328" s="74" t="s">
        <v>842</v>
      </c>
      <c r="E328" s="74">
        <f>+966567952718</f>
        <v>966567952718</v>
      </c>
      <c r="F328" s="69" t="s">
        <v>816</v>
      </c>
      <c r="G328" s="39" t="s">
        <v>196</v>
      </c>
    </row>
    <row r="329" hidden="1">
      <c r="A329" s="73">
        <v>43587.0</v>
      </c>
      <c r="B329" s="74"/>
      <c r="C329" s="74" t="s">
        <v>843</v>
      </c>
      <c r="D329" s="74" t="s">
        <v>844</v>
      </c>
      <c r="E329" s="74">
        <f>+8613857806933</f>
        <v>8613857806933</v>
      </c>
      <c r="F329" s="69" t="s">
        <v>816</v>
      </c>
      <c r="G329" s="40" t="s">
        <v>196</v>
      </c>
    </row>
    <row r="330" hidden="1">
      <c r="A330" s="73">
        <v>43587.0</v>
      </c>
      <c r="B330" s="74"/>
      <c r="C330" s="74" t="s">
        <v>845</v>
      </c>
      <c r="D330" s="74" t="s">
        <v>846</v>
      </c>
      <c r="E330" s="74">
        <f>+971558800891</f>
        <v>971558800891</v>
      </c>
      <c r="F330" s="69" t="s">
        <v>816</v>
      </c>
      <c r="G330" s="39" t="s">
        <v>457</v>
      </c>
    </row>
    <row r="331" hidden="1">
      <c r="A331" s="73">
        <v>43587.0</v>
      </c>
      <c r="B331" s="74"/>
      <c r="C331" s="74" t="s">
        <v>847</v>
      </c>
      <c r="D331" s="74" t="s">
        <v>848</v>
      </c>
      <c r="E331" s="74">
        <f>+9203444444381</f>
        <v>9203444444381</v>
      </c>
      <c r="F331" s="69" t="s">
        <v>816</v>
      </c>
      <c r="G331" s="39" t="s">
        <v>838</v>
      </c>
    </row>
    <row r="332" hidden="1">
      <c r="A332" s="73">
        <v>43587.0</v>
      </c>
      <c r="B332" s="74"/>
      <c r="C332" s="74" t="s">
        <v>849</v>
      </c>
      <c r="D332" s="74" t="s">
        <v>850</v>
      </c>
      <c r="E332" s="74">
        <f>+971523236662</f>
        <v>971523236662</v>
      </c>
      <c r="F332" s="69" t="s">
        <v>816</v>
      </c>
      <c r="G332" s="40" t="s">
        <v>196</v>
      </c>
    </row>
    <row r="333" hidden="1">
      <c r="A333" s="73">
        <v>43587.0</v>
      </c>
      <c r="B333" s="74"/>
      <c r="C333" s="74" t="s">
        <v>851</v>
      </c>
      <c r="D333" s="74" t="s">
        <v>852</v>
      </c>
      <c r="E333" s="74">
        <f>+966506099748</f>
        <v>966506099748</v>
      </c>
      <c r="F333" s="69" t="s">
        <v>816</v>
      </c>
      <c r="G333" s="40" t="s">
        <v>838</v>
      </c>
    </row>
    <row r="334" hidden="1">
      <c r="A334" s="73">
        <v>43587.0</v>
      </c>
      <c r="B334" s="74"/>
      <c r="C334" s="74" t="s">
        <v>853</v>
      </c>
      <c r="D334" s="74" t="s">
        <v>854</v>
      </c>
      <c r="E334" s="74">
        <f>+966506940551</f>
        <v>966506940551</v>
      </c>
      <c r="F334" s="69" t="s">
        <v>816</v>
      </c>
      <c r="G334" s="39" t="s">
        <v>196</v>
      </c>
    </row>
    <row r="335" hidden="1">
      <c r="A335" s="73">
        <v>43587.0</v>
      </c>
      <c r="B335" s="74"/>
      <c r="C335" s="74" t="s">
        <v>826</v>
      </c>
      <c r="D335" s="74" t="s">
        <v>827</v>
      </c>
      <c r="E335" s="74">
        <f>+966500727099</f>
        <v>966500727099</v>
      </c>
      <c r="F335" s="69" t="s">
        <v>816</v>
      </c>
      <c r="G335" s="40" t="s">
        <v>196</v>
      </c>
    </row>
    <row r="336" hidden="1">
      <c r="A336" s="75">
        <v>43589.0</v>
      </c>
      <c r="B336" s="74"/>
      <c r="C336" s="74" t="s">
        <v>855</v>
      </c>
      <c r="D336" s="74" t="s">
        <v>856</v>
      </c>
      <c r="E336" s="74">
        <v>9.71504574139E11</v>
      </c>
      <c r="F336" s="69" t="s">
        <v>816</v>
      </c>
      <c r="G336" s="40" t="s">
        <v>196</v>
      </c>
    </row>
    <row r="337" hidden="1">
      <c r="A337" s="75">
        <v>43589.0</v>
      </c>
      <c r="B337" s="74"/>
      <c r="C337" s="74" t="s">
        <v>857</v>
      </c>
      <c r="D337" s="74" t="s">
        <v>858</v>
      </c>
      <c r="E337" s="74">
        <f>+971506111521</f>
        <v>971506111521</v>
      </c>
      <c r="F337" s="69" t="s">
        <v>816</v>
      </c>
      <c r="G337" s="40" t="s">
        <v>196</v>
      </c>
    </row>
    <row r="338" hidden="1">
      <c r="A338" s="75">
        <v>43589.0</v>
      </c>
      <c r="B338" s="74"/>
      <c r="C338" s="74" t="s">
        <v>467</v>
      </c>
      <c r="D338" s="74" t="s">
        <v>468</v>
      </c>
      <c r="E338" s="74">
        <f>+966559991085</f>
        <v>966559991085</v>
      </c>
      <c r="F338" s="69" t="s">
        <v>816</v>
      </c>
      <c r="G338" s="40" t="s">
        <v>196</v>
      </c>
    </row>
    <row r="339" hidden="1">
      <c r="A339" s="75">
        <v>43589.0</v>
      </c>
      <c r="B339" s="74"/>
      <c r="C339" s="74" t="s">
        <v>859</v>
      </c>
      <c r="D339" s="74" t="s">
        <v>860</v>
      </c>
      <c r="E339" s="74">
        <f>+966582787751</f>
        <v>966582787751</v>
      </c>
      <c r="F339" s="69" t="s">
        <v>816</v>
      </c>
      <c r="G339" s="40" t="s">
        <v>823</v>
      </c>
    </row>
    <row r="340" hidden="1">
      <c r="A340" s="75">
        <v>43589.0</v>
      </c>
      <c r="B340" s="74"/>
      <c r="C340" s="74" t="s">
        <v>861</v>
      </c>
      <c r="D340" s="74" t="s">
        <v>862</v>
      </c>
      <c r="E340" s="74">
        <f>+8618867552244</f>
        <v>8618867552244</v>
      </c>
      <c r="F340" s="69" t="s">
        <v>816</v>
      </c>
      <c r="G340" s="40" t="s">
        <v>196</v>
      </c>
    </row>
    <row r="341" hidden="1">
      <c r="A341" s="75">
        <v>43589.0</v>
      </c>
      <c r="B341" s="74"/>
      <c r="C341" s="74" t="s">
        <v>863</v>
      </c>
      <c r="D341" s="74" t="s">
        <v>864</v>
      </c>
      <c r="E341" s="74">
        <f>+410786534061</f>
        <v>410786534061</v>
      </c>
      <c r="F341" s="69" t="s">
        <v>816</v>
      </c>
      <c r="G341" s="39" t="s">
        <v>865</v>
      </c>
    </row>
    <row r="342" hidden="1">
      <c r="A342" s="75">
        <v>43589.0</v>
      </c>
      <c r="B342" s="74"/>
      <c r="C342" s="74" t="s">
        <v>866</v>
      </c>
      <c r="D342" s="74" t="s">
        <v>867</v>
      </c>
      <c r="E342" s="74">
        <f>+966509784727</f>
        <v>966509784727</v>
      </c>
      <c r="F342" s="69" t="s">
        <v>816</v>
      </c>
      <c r="G342" s="39" t="s">
        <v>16</v>
      </c>
    </row>
    <row r="343" hidden="1">
      <c r="A343" s="75">
        <v>43589.0</v>
      </c>
      <c r="B343" s="74"/>
      <c r="C343" s="74" t="s">
        <v>868</v>
      </c>
      <c r="D343" s="74" t="s">
        <v>869</v>
      </c>
      <c r="E343" s="74">
        <f>+9660508903057</f>
        <v>9660508903057</v>
      </c>
      <c r="F343" s="69" t="s">
        <v>816</v>
      </c>
      <c r="G343" s="39" t="s">
        <v>838</v>
      </c>
    </row>
    <row r="344" hidden="1">
      <c r="A344" s="75">
        <v>43589.0</v>
      </c>
      <c r="B344" s="74"/>
      <c r="C344" s="74" t="s">
        <v>870</v>
      </c>
      <c r="D344" s="74" t="s">
        <v>871</v>
      </c>
      <c r="E344" s="74">
        <f>+6593869630</f>
        <v>6593869630</v>
      </c>
      <c r="F344" s="69" t="s">
        <v>816</v>
      </c>
      <c r="G344" s="40" t="s">
        <v>838</v>
      </c>
    </row>
    <row r="345" hidden="1">
      <c r="A345" s="75">
        <v>43589.0</v>
      </c>
      <c r="B345" s="74"/>
      <c r="C345" s="74" t="s">
        <v>872</v>
      </c>
      <c r="D345" s="74" t="s">
        <v>873</v>
      </c>
      <c r="E345" s="74">
        <f>+966501847815</f>
        <v>966501847815</v>
      </c>
      <c r="F345" s="69" t="s">
        <v>816</v>
      </c>
      <c r="G345" s="40" t="s">
        <v>838</v>
      </c>
    </row>
    <row r="346" hidden="1">
      <c r="A346" s="75">
        <v>43589.0</v>
      </c>
      <c r="B346" s="76"/>
      <c r="C346" s="76" t="s">
        <v>874</v>
      </c>
      <c r="D346" s="74" t="s">
        <v>875</v>
      </c>
      <c r="E346" s="74">
        <f>+966555620120</f>
        <v>966555620120</v>
      </c>
      <c r="F346" s="69" t="s">
        <v>816</v>
      </c>
      <c r="G346" s="40" t="s">
        <v>838</v>
      </c>
    </row>
    <row r="347" hidden="1">
      <c r="A347" s="75">
        <v>43590.0</v>
      </c>
      <c r="B347" s="74"/>
      <c r="C347" s="74" t="s">
        <v>876</v>
      </c>
      <c r="D347" s="74" t="s">
        <v>877</v>
      </c>
      <c r="E347" s="74">
        <f>+998946118777</f>
        <v>998946118777</v>
      </c>
      <c r="F347" s="69" t="s">
        <v>816</v>
      </c>
      <c r="G347" s="40" t="s">
        <v>196</v>
      </c>
    </row>
    <row r="348" hidden="1">
      <c r="A348" s="75">
        <v>43590.0</v>
      </c>
      <c r="B348" s="74"/>
      <c r="C348" s="74" t="s">
        <v>878</v>
      </c>
      <c r="D348" s="74" t="s">
        <v>879</v>
      </c>
      <c r="E348" s="74">
        <f>+923457929352</f>
        <v>923457929352</v>
      </c>
      <c r="F348" s="69" t="s">
        <v>816</v>
      </c>
      <c r="G348" s="40" t="s">
        <v>196</v>
      </c>
    </row>
    <row r="349" hidden="1">
      <c r="A349" s="75">
        <v>43590.0</v>
      </c>
      <c r="B349" s="74"/>
      <c r="C349" s="74" t="s">
        <v>880</v>
      </c>
      <c r="D349" s="74" t="s">
        <v>881</v>
      </c>
      <c r="E349" s="74">
        <f>+971503584319</f>
        <v>971503584319</v>
      </c>
      <c r="F349" s="69" t="s">
        <v>816</v>
      </c>
      <c r="G349" s="39" t="s">
        <v>168</v>
      </c>
    </row>
    <row r="350" hidden="1">
      <c r="A350" s="75">
        <v>43590.0</v>
      </c>
      <c r="B350" s="77"/>
      <c r="C350" s="77" t="s">
        <v>882</v>
      </c>
      <c r="D350" s="74" t="s">
        <v>883</v>
      </c>
      <c r="E350" s="74">
        <f>+989368123045</f>
        <v>989368123045</v>
      </c>
      <c r="F350" s="69" t="s">
        <v>816</v>
      </c>
      <c r="G350" s="40" t="s">
        <v>884</v>
      </c>
    </row>
    <row r="351" hidden="1">
      <c r="A351" s="75">
        <v>43590.0</v>
      </c>
      <c r="B351" s="74"/>
      <c r="C351" s="74" t="s">
        <v>885</v>
      </c>
      <c r="D351" s="74" t="s">
        <v>886</v>
      </c>
      <c r="E351" s="74">
        <f>+9660553772792</f>
        <v>9660553772792</v>
      </c>
      <c r="F351" s="69" t="s">
        <v>816</v>
      </c>
      <c r="G351" s="40" t="s">
        <v>838</v>
      </c>
    </row>
    <row r="352" hidden="1">
      <c r="A352" s="75">
        <v>43591.0</v>
      </c>
      <c r="B352" s="74"/>
      <c r="C352" s="74" t="s">
        <v>887</v>
      </c>
      <c r="D352" s="74" t="s">
        <v>888</v>
      </c>
      <c r="E352" s="74">
        <f>+9660533209786</f>
        <v>9660533209786</v>
      </c>
      <c r="F352" s="69" t="s">
        <v>816</v>
      </c>
      <c r="G352" s="40" t="s">
        <v>196</v>
      </c>
    </row>
    <row r="353" hidden="1">
      <c r="A353" s="75">
        <v>43591.0</v>
      </c>
      <c r="B353" s="74"/>
      <c r="C353" s="74" t="s">
        <v>889</v>
      </c>
      <c r="D353" s="74" t="s">
        <v>890</v>
      </c>
      <c r="E353" s="78" t="s">
        <v>891</v>
      </c>
      <c r="F353" s="69" t="s">
        <v>816</v>
      </c>
      <c r="G353" s="39" t="s">
        <v>16</v>
      </c>
    </row>
    <row r="354" hidden="1">
      <c r="A354" s="75">
        <v>43591.0</v>
      </c>
      <c r="B354" s="74"/>
      <c r="C354" s="74" t="s">
        <v>892</v>
      </c>
      <c r="D354" s="74" t="s">
        <v>893</v>
      </c>
      <c r="E354" s="74">
        <f>+971506462287</f>
        <v>971506462287</v>
      </c>
      <c r="F354" s="69" t="s">
        <v>816</v>
      </c>
      <c r="G354" s="40" t="s">
        <v>196</v>
      </c>
    </row>
    <row r="355" hidden="1">
      <c r="A355" s="75">
        <v>43591.0</v>
      </c>
      <c r="B355" s="74"/>
      <c r="C355" s="74" t="s">
        <v>894</v>
      </c>
      <c r="D355" s="74" t="s">
        <v>895</v>
      </c>
      <c r="E355" s="74">
        <f>+8618636234648</f>
        <v>8618636234648</v>
      </c>
      <c r="F355" s="69" t="s">
        <v>816</v>
      </c>
      <c r="G355" s="40" t="s">
        <v>196</v>
      </c>
    </row>
    <row r="356" hidden="1">
      <c r="A356" s="75">
        <v>43591.0</v>
      </c>
      <c r="B356" s="74"/>
      <c r="C356" s="74" t="s">
        <v>896</v>
      </c>
      <c r="D356" s="74" t="s">
        <v>897</v>
      </c>
      <c r="E356" s="74">
        <f>+919444440445</f>
        <v>919444440445</v>
      </c>
      <c r="F356" s="69" t="s">
        <v>816</v>
      </c>
      <c r="G356" s="39" t="s">
        <v>168</v>
      </c>
    </row>
    <row r="357" hidden="1">
      <c r="A357" s="75">
        <v>43592.0</v>
      </c>
      <c r="B357" s="74"/>
      <c r="C357" s="74" t="s">
        <v>898</v>
      </c>
      <c r="D357" s="74" t="s">
        <v>899</v>
      </c>
      <c r="E357" s="74">
        <f>+923009629256</f>
        <v>923009629256</v>
      </c>
      <c r="F357" s="69" t="s">
        <v>816</v>
      </c>
      <c r="G357" s="39" t="s">
        <v>16</v>
      </c>
    </row>
    <row r="358" hidden="1">
      <c r="A358" s="75">
        <v>43593.0</v>
      </c>
      <c r="B358" s="74"/>
      <c r="C358" s="74" t="s">
        <v>900</v>
      </c>
      <c r="D358" s="74" t="s">
        <v>901</v>
      </c>
      <c r="E358" s="74">
        <f>+966500001023</f>
        <v>966500001023</v>
      </c>
      <c r="F358" s="69" t="s">
        <v>816</v>
      </c>
      <c r="G358" s="40" t="s">
        <v>196</v>
      </c>
    </row>
    <row r="359" hidden="1">
      <c r="A359" s="75">
        <v>43593.0</v>
      </c>
      <c r="B359" s="74"/>
      <c r="C359" s="74" t="s">
        <v>902</v>
      </c>
      <c r="D359" s="74" t="s">
        <v>903</v>
      </c>
      <c r="E359" s="74">
        <f>+9660560826777</f>
        <v>9660560826777</v>
      </c>
      <c r="F359" s="69" t="s">
        <v>816</v>
      </c>
      <c r="G359" s="39" t="s">
        <v>838</v>
      </c>
    </row>
    <row r="360" hidden="1">
      <c r="A360" s="75">
        <v>43593.0</v>
      </c>
      <c r="B360" s="74"/>
      <c r="C360" s="74" t="s">
        <v>904</v>
      </c>
      <c r="D360" s="74" t="s">
        <v>905</v>
      </c>
      <c r="E360" s="74">
        <f>+966537414375</f>
        <v>966537414375</v>
      </c>
      <c r="F360" s="69" t="s">
        <v>816</v>
      </c>
      <c r="G360" s="39" t="s">
        <v>906</v>
      </c>
    </row>
    <row r="361" hidden="1">
      <c r="A361" s="75">
        <v>43594.0</v>
      </c>
      <c r="B361" s="74"/>
      <c r="C361" s="74" t="s">
        <v>907</v>
      </c>
      <c r="D361" s="74" t="s">
        <v>908</v>
      </c>
      <c r="E361" s="74">
        <f>+966505204316</f>
        <v>966505204316</v>
      </c>
      <c r="F361" s="69" t="s">
        <v>816</v>
      </c>
      <c r="G361" s="39" t="s">
        <v>38</v>
      </c>
    </row>
    <row r="362" hidden="1">
      <c r="A362" s="79" t="s">
        <v>909</v>
      </c>
      <c r="B362" s="68"/>
      <c r="C362" s="68" t="s">
        <v>910</v>
      </c>
      <c r="D362" s="68" t="s">
        <v>911</v>
      </c>
      <c r="E362" s="68">
        <v>9.71552758073E11</v>
      </c>
      <c r="F362" s="69" t="s">
        <v>816</v>
      </c>
      <c r="G362" s="40" t="s">
        <v>16</v>
      </c>
    </row>
    <row r="363" hidden="1">
      <c r="A363" s="79" t="s">
        <v>909</v>
      </c>
      <c r="B363" s="68"/>
      <c r="C363" s="68" t="s">
        <v>912</v>
      </c>
      <c r="D363" s="68" t="s">
        <v>913</v>
      </c>
      <c r="E363" s="68">
        <v>9.710557319533E12</v>
      </c>
      <c r="F363" s="69" t="s">
        <v>816</v>
      </c>
      <c r="G363" s="39" t="s">
        <v>168</v>
      </c>
    </row>
    <row r="364" hidden="1">
      <c r="A364" s="79" t="s">
        <v>909</v>
      </c>
      <c r="B364" s="68"/>
      <c r="C364" s="68" t="s">
        <v>914</v>
      </c>
      <c r="D364" s="68" t="s">
        <v>915</v>
      </c>
      <c r="E364" s="68">
        <v>9.71529239467E11</v>
      </c>
      <c r="F364" s="69" t="s">
        <v>816</v>
      </c>
      <c r="G364" s="40" t="s">
        <v>838</v>
      </c>
    </row>
    <row r="365" hidden="1">
      <c r="A365" s="79" t="s">
        <v>909</v>
      </c>
      <c r="B365" s="68"/>
      <c r="C365" s="68" t="s">
        <v>916</v>
      </c>
      <c r="D365" s="68" t="s">
        <v>917</v>
      </c>
      <c r="E365" s="68">
        <v>9.71569406819E11</v>
      </c>
      <c r="F365" s="69" t="s">
        <v>816</v>
      </c>
      <c r="G365" s="39" t="s">
        <v>168</v>
      </c>
    </row>
    <row r="366" hidden="1">
      <c r="A366" s="79" t="s">
        <v>909</v>
      </c>
      <c r="B366" s="68"/>
      <c r="C366" s="68" t="s">
        <v>918</v>
      </c>
      <c r="D366" s="68" t="s">
        <v>919</v>
      </c>
      <c r="E366" s="68">
        <v>9.71551699768E11</v>
      </c>
      <c r="F366" s="69" t="s">
        <v>816</v>
      </c>
      <c r="G366" s="40" t="s">
        <v>196</v>
      </c>
    </row>
    <row r="367" hidden="1">
      <c r="A367" s="79" t="s">
        <v>909</v>
      </c>
      <c r="B367" s="68"/>
      <c r="C367" s="68" t="s">
        <v>920</v>
      </c>
      <c r="D367" s="68" t="s">
        <v>921</v>
      </c>
      <c r="E367" s="68">
        <v>9.71505056807E11</v>
      </c>
      <c r="F367" s="69" t="s">
        <v>816</v>
      </c>
      <c r="G367" s="39" t="s">
        <v>168</v>
      </c>
    </row>
    <row r="368" hidden="1">
      <c r="A368" s="79" t="s">
        <v>909</v>
      </c>
      <c r="B368" s="68"/>
      <c r="C368" s="68" t="s">
        <v>922</v>
      </c>
      <c r="D368" s="68" t="s">
        <v>923</v>
      </c>
      <c r="E368" s="68">
        <v>9.71505455815E11</v>
      </c>
      <c r="F368" s="69" t="s">
        <v>816</v>
      </c>
      <c r="G368" s="39" t="s">
        <v>480</v>
      </c>
    </row>
    <row r="369" hidden="1">
      <c r="A369" s="79" t="s">
        <v>909</v>
      </c>
      <c r="B369" s="68"/>
      <c r="C369" s="68" t="s">
        <v>924</v>
      </c>
      <c r="D369" s="68" t="s">
        <v>925</v>
      </c>
      <c r="E369" s="68">
        <v>9.71555211187E11</v>
      </c>
      <c r="F369" s="69" t="s">
        <v>816</v>
      </c>
      <c r="G369" s="40" t="s">
        <v>480</v>
      </c>
    </row>
    <row r="370" hidden="1">
      <c r="A370" s="80" t="s">
        <v>926</v>
      </c>
      <c r="B370" s="74"/>
      <c r="C370" s="74" t="s">
        <v>927</v>
      </c>
      <c r="D370" s="74" t="s">
        <v>928</v>
      </c>
      <c r="E370" s="74">
        <f>+923248471847</f>
        <v>923248471847</v>
      </c>
      <c r="F370" s="69" t="s">
        <v>816</v>
      </c>
      <c r="G370" s="40" t="s">
        <v>480</v>
      </c>
    </row>
    <row r="371" hidden="1">
      <c r="A371" s="80" t="s">
        <v>926</v>
      </c>
      <c r="B371" s="74"/>
      <c r="C371" s="74" t="s">
        <v>929</v>
      </c>
      <c r="D371" s="74" t="s">
        <v>930</v>
      </c>
      <c r="E371" s="74">
        <f>+918617751908</f>
        <v>918617751908</v>
      </c>
      <c r="F371" s="69" t="s">
        <v>816</v>
      </c>
      <c r="G371" s="39" t="s">
        <v>457</v>
      </c>
    </row>
    <row r="372" hidden="1">
      <c r="A372" s="80" t="s">
        <v>926</v>
      </c>
      <c r="B372" s="74"/>
      <c r="C372" s="74" t="s">
        <v>931</v>
      </c>
      <c r="D372" s="74" t="s">
        <v>932</v>
      </c>
      <c r="E372" s="74">
        <f>+918282827647</f>
        <v>918282827647</v>
      </c>
      <c r="F372" s="69" t="s">
        <v>816</v>
      </c>
      <c r="G372" s="39" t="s">
        <v>767</v>
      </c>
    </row>
    <row r="373" hidden="1">
      <c r="A373" s="80" t="s">
        <v>926</v>
      </c>
      <c r="B373" s="76"/>
      <c r="C373" s="76" t="s">
        <v>933</v>
      </c>
      <c r="D373" s="76" t="s">
        <v>934</v>
      </c>
      <c r="E373" s="76">
        <f>+923329866722</f>
        <v>923329866722</v>
      </c>
      <c r="F373" s="69" t="s">
        <v>816</v>
      </c>
      <c r="G373" s="39" t="s">
        <v>168</v>
      </c>
    </row>
    <row r="374" hidden="1">
      <c r="A374" s="80" t="s">
        <v>926</v>
      </c>
      <c r="B374" s="76"/>
      <c r="C374" s="76" t="s">
        <v>935</v>
      </c>
      <c r="D374" s="76" t="s">
        <v>936</v>
      </c>
      <c r="E374" s="76">
        <f>+923316625025</f>
        <v>923316625025</v>
      </c>
      <c r="F374" s="69" t="s">
        <v>816</v>
      </c>
      <c r="G374" s="40" t="s">
        <v>480</v>
      </c>
    </row>
    <row r="375" hidden="1">
      <c r="A375" s="80" t="s">
        <v>926</v>
      </c>
      <c r="B375" s="74"/>
      <c r="C375" s="74" t="s">
        <v>937</v>
      </c>
      <c r="D375" s="74" t="s">
        <v>938</v>
      </c>
      <c r="E375" s="74">
        <f>+971551716412</f>
        <v>971551716412</v>
      </c>
      <c r="F375" s="69" t="s">
        <v>816</v>
      </c>
      <c r="G375" s="39" t="s">
        <v>168</v>
      </c>
    </row>
    <row r="376" hidden="1">
      <c r="A376" s="80" t="s">
        <v>926</v>
      </c>
      <c r="B376" s="74"/>
      <c r="C376" s="74" t="s">
        <v>939</v>
      </c>
      <c r="D376" s="74" t="s">
        <v>940</v>
      </c>
      <c r="E376" s="74">
        <f>+919428360172</f>
        <v>919428360172</v>
      </c>
      <c r="F376" s="69" t="s">
        <v>816</v>
      </c>
      <c r="G376" s="39" t="s">
        <v>168</v>
      </c>
    </row>
    <row r="377" hidden="1">
      <c r="A377" s="80" t="s">
        <v>926</v>
      </c>
      <c r="B377" s="81"/>
      <c r="C377" s="81" t="s">
        <v>941</v>
      </c>
      <c r="D377" s="81" t="s">
        <v>942</v>
      </c>
      <c r="E377" s="82" t="s">
        <v>943</v>
      </c>
      <c r="F377" s="69" t="s">
        <v>816</v>
      </c>
      <c r="G377" s="39" t="s">
        <v>457</v>
      </c>
    </row>
    <row r="378" hidden="1">
      <c r="A378" s="80" t="s">
        <v>926</v>
      </c>
      <c r="B378" s="81"/>
      <c r="C378" s="81" t="s">
        <v>944</v>
      </c>
      <c r="D378" s="81" t="s">
        <v>945</v>
      </c>
      <c r="E378" s="82" t="s">
        <v>946</v>
      </c>
      <c r="F378" s="69" t="s">
        <v>816</v>
      </c>
      <c r="G378" s="39" t="s">
        <v>168</v>
      </c>
    </row>
    <row r="379" hidden="1">
      <c r="A379" s="79" t="s">
        <v>947</v>
      </c>
      <c r="B379" s="81"/>
      <c r="C379" s="81" t="s">
        <v>948</v>
      </c>
      <c r="D379" s="81" t="s">
        <v>949</v>
      </c>
      <c r="E379" s="82" t="s">
        <v>950</v>
      </c>
      <c r="F379" s="69" t="s">
        <v>816</v>
      </c>
      <c r="G379" s="39" t="s">
        <v>168</v>
      </c>
    </row>
    <row r="380" hidden="1">
      <c r="A380" s="79" t="s">
        <v>947</v>
      </c>
      <c r="B380" s="83"/>
      <c r="C380" s="83" t="s">
        <v>951</v>
      </c>
      <c r="D380" s="81" t="s">
        <v>952</v>
      </c>
      <c r="E380" s="82" t="s">
        <v>953</v>
      </c>
      <c r="F380" s="69" t="s">
        <v>816</v>
      </c>
      <c r="G380" s="39" t="s">
        <v>954</v>
      </c>
    </row>
    <row r="381" hidden="1">
      <c r="A381" s="79" t="s">
        <v>947</v>
      </c>
      <c r="B381" s="81"/>
      <c r="C381" s="81" t="s">
        <v>955</v>
      </c>
      <c r="D381" s="81" t="s">
        <v>956</v>
      </c>
      <c r="E381" s="81">
        <v>9.71505650046E11</v>
      </c>
      <c r="F381" s="69" t="s">
        <v>816</v>
      </c>
      <c r="G381" s="39" t="s">
        <v>168</v>
      </c>
    </row>
    <row r="382" hidden="1">
      <c r="A382" s="79" t="s">
        <v>947</v>
      </c>
      <c r="B382" s="74"/>
      <c r="C382" s="74" t="s">
        <v>957</v>
      </c>
      <c r="D382" s="74" t="s">
        <v>958</v>
      </c>
      <c r="E382" s="74">
        <f>+923076330948</f>
        <v>923076330948</v>
      </c>
      <c r="F382" s="69" t="s">
        <v>816</v>
      </c>
      <c r="G382" s="40" t="s">
        <v>480</v>
      </c>
    </row>
    <row r="383" hidden="1">
      <c r="A383" s="79" t="s">
        <v>947</v>
      </c>
      <c r="B383" s="74"/>
      <c r="C383" s="74" t="s">
        <v>959</v>
      </c>
      <c r="D383" s="74" t="s">
        <v>960</v>
      </c>
      <c r="E383" s="74">
        <f>+923064456702</f>
        <v>923064456702</v>
      </c>
      <c r="F383" s="69" t="s">
        <v>816</v>
      </c>
      <c r="G383" s="40" t="s">
        <v>480</v>
      </c>
    </row>
    <row r="384" hidden="1">
      <c r="A384" s="79" t="s">
        <v>947</v>
      </c>
      <c r="B384" s="74"/>
      <c r="C384" s="74" t="s">
        <v>961</v>
      </c>
      <c r="D384" s="84" t="s">
        <v>962</v>
      </c>
      <c r="E384" s="74">
        <f>+918106388910</f>
        <v>918106388910</v>
      </c>
      <c r="F384" s="69" t="s">
        <v>816</v>
      </c>
      <c r="G384" s="39" t="s">
        <v>507</v>
      </c>
    </row>
    <row r="385" hidden="1">
      <c r="A385" s="79" t="s">
        <v>947</v>
      </c>
      <c r="B385" s="74"/>
      <c r="C385" s="74" t="s">
        <v>963</v>
      </c>
      <c r="D385" s="74" t="s">
        <v>964</v>
      </c>
      <c r="E385" s="74">
        <f>+919086764777</f>
        <v>919086764777</v>
      </c>
      <c r="F385" s="69" t="s">
        <v>816</v>
      </c>
      <c r="G385" s="40" t="s">
        <v>457</v>
      </c>
    </row>
    <row r="386" hidden="1">
      <c r="A386" s="79" t="s">
        <v>947</v>
      </c>
      <c r="B386" s="74"/>
      <c r="C386" s="74" t="s">
        <v>965</v>
      </c>
      <c r="D386" s="74" t="s">
        <v>966</v>
      </c>
      <c r="E386" s="74">
        <f>+923008450119</f>
        <v>923008450119</v>
      </c>
      <c r="F386" s="69" t="s">
        <v>816</v>
      </c>
      <c r="G386" s="40" t="s">
        <v>457</v>
      </c>
    </row>
    <row r="387" hidden="1">
      <c r="A387" s="79" t="s">
        <v>967</v>
      </c>
      <c r="B387" s="74"/>
      <c r="C387" s="74" t="s">
        <v>968</v>
      </c>
      <c r="D387" s="70" t="s">
        <v>969</v>
      </c>
      <c r="E387" s="74">
        <f>+213556423742</f>
        <v>213556423742</v>
      </c>
      <c r="F387" s="69" t="s">
        <v>816</v>
      </c>
      <c r="G387" s="40" t="s">
        <v>457</v>
      </c>
    </row>
    <row r="388" hidden="1">
      <c r="A388" s="79" t="s">
        <v>967</v>
      </c>
      <c r="B388" s="85"/>
      <c r="C388" s="85" t="s">
        <v>970</v>
      </c>
      <c r="D388" s="68" t="s">
        <v>971</v>
      </c>
      <c r="E388" s="68">
        <f>+213552965857</f>
        <v>213552965857</v>
      </c>
      <c r="F388" s="69" t="s">
        <v>816</v>
      </c>
      <c r="G388" s="40" t="s">
        <v>480</v>
      </c>
    </row>
    <row r="389" hidden="1">
      <c r="A389" s="86">
        <v>43456.0</v>
      </c>
      <c r="B389" s="81"/>
      <c r="C389" s="81" t="s">
        <v>972</v>
      </c>
      <c r="D389" s="81" t="s">
        <v>973</v>
      </c>
      <c r="E389" s="82" t="s">
        <v>974</v>
      </c>
      <c r="F389" s="87" t="s">
        <v>975</v>
      </c>
      <c r="G389" s="39" t="s">
        <v>574</v>
      </c>
    </row>
    <row r="390" hidden="1">
      <c r="A390" s="86">
        <v>43457.0</v>
      </c>
      <c r="B390" s="81"/>
      <c r="C390" s="81" t="s">
        <v>976</v>
      </c>
      <c r="D390" s="81" t="s">
        <v>977</v>
      </c>
      <c r="E390" s="82" t="s">
        <v>978</v>
      </c>
      <c r="F390" s="87" t="s">
        <v>975</v>
      </c>
      <c r="G390" s="39" t="s">
        <v>979</v>
      </c>
    </row>
    <row r="391" hidden="1">
      <c r="A391" s="86">
        <v>43457.0</v>
      </c>
      <c r="B391" s="81"/>
      <c r="C391" s="81" t="s">
        <v>121</v>
      </c>
      <c r="D391" s="81" t="s">
        <v>980</v>
      </c>
      <c r="E391" s="82" t="s">
        <v>981</v>
      </c>
      <c r="F391" s="87" t="s">
        <v>975</v>
      </c>
      <c r="G391" s="39" t="s">
        <v>574</v>
      </c>
    </row>
    <row r="392" hidden="1">
      <c r="A392" s="86">
        <v>43457.0</v>
      </c>
      <c r="B392" s="88"/>
      <c r="C392" s="88" t="s">
        <v>982</v>
      </c>
      <c r="D392" s="81" t="s">
        <v>983</v>
      </c>
      <c r="E392" s="82" t="s">
        <v>984</v>
      </c>
      <c r="F392" s="87" t="s">
        <v>975</v>
      </c>
      <c r="G392" s="39" t="s">
        <v>168</v>
      </c>
    </row>
    <row r="393" hidden="1">
      <c r="A393" s="86">
        <v>43458.0</v>
      </c>
      <c r="B393" s="81"/>
      <c r="C393" s="81" t="s">
        <v>985</v>
      </c>
      <c r="D393" s="81" t="s">
        <v>986</v>
      </c>
      <c r="E393" s="82" t="s">
        <v>987</v>
      </c>
      <c r="F393" s="87" t="s">
        <v>975</v>
      </c>
      <c r="G393" s="40" t="s">
        <v>979</v>
      </c>
    </row>
    <row r="394" hidden="1">
      <c r="A394" s="89">
        <v>43461.0</v>
      </c>
      <c r="B394" s="81"/>
      <c r="C394" s="81" t="s">
        <v>988</v>
      </c>
      <c r="D394" s="81" t="s">
        <v>989</v>
      </c>
      <c r="E394" s="82" t="s">
        <v>990</v>
      </c>
      <c r="F394" s="87" t="s">
        <v>975</v>
      </c>
      <c r="G394" s="40" t="s">
        <v>979</v>
      </c>
    </row>
    <row r="395" hidden="1">
      <c r="A395" s="89">
        <v>43461.0</v>
      </c>
      <c r="B395" s="81"/>
      <c r="C395" s="81" t="s">
        <v>991</v>
      </c>
      <c r="D395" s="81" t="s">
        <v>992</v>
      </c>
      <c r="E395" s="82" t="s">
        <v>993</v>
      </c>
      <c r="F395" s="87" t="s">
        <v>975</v>
      </c>
      <c r="G395" s="40" t="s">
        <v>979</v>
      </c>
    </row>
    <row r="396" hidden="1">
      <c r="A396" s="89">
        <v>43461.0</v>
      </c>
      <c r="B396" s="81"/>
      <c r="C396" s="81" t="s">
        <v>994</v>
      </c>
      <c r="D396" s="81" t="s">
        <v>995</v>
      </c>
      <c r="E396" s="82" t="s">
        <v>996</v>
      </c>
      <c r="F396" s="87" t="s">
        <v>975</v>
      </c>
      <c r="G396" s="39" t="s">
        <v>168</v>
      </c>
    </row>
    <row r="397" hidden="1">
      <c r="A397" s="89">
        <v>43464.0</v>
      </c>
      <c r="B397" s="81"/>
      <c r="C397" s="81" t="s">
        <v>997</v>
      </c>
      <c r="D397" s="81" t="s">
        <v>998</v>
      </c>
      <c r="E397" s="82" t="s">
        <v>999</v>
      </c>
      <c r="F397" s="87" t="s">
        <v>975</v>
      </c>
      <c r="G397" s="39" t="s">
        <v>979</v>
      </c>
    </row>
    <row r="398" hidden="1">
      <c r="A398" s="89">
        <v>43464.0</v>
      </c>
      <c r="B398" s="81"/>
      <c r="C398" s="81" t="s">
        <v>1000</v>
      </c>
      <c r="D398" s="81" t="s">
        <v>1001</v>
      </c>
      <c r="E398" s="82" t="s">
        <v>1002</v>
      </c>
      <c r="F398" s="87" t="s">
        <v>975</v>
      </c>
      <c r="G398" s="39" t="s">
        <v>574</v>
      </c>
    </row>
    <row r="399" hidden="1">
      <c r="A399" s="89">
        <v>43454.0</v>
      </c>
      <c r="B399" s="90"/>
      <c r="C399" s="90" t="s">
        <v>1003</v>
      </c>
      <c r="D399" s="90" t="s">
        <v>1004</v>
      </c>
      <c r="E399" s="90">
        <f>+971504583567</f>
        <v>971504583567</v>
      </c>
      <c r="F399" s="87" t="s">
        <v>975</v>
      </c>
      <c r="G399" s="39" t="s">
        <v>168</v>
      </c>
    </row>
    <row r="400" hidden="1">
      <c r="A400" s="89">
        <v>43454.0</v>
      </c>
      <c r="B400" s="90"/>
      <c r="C400" s="90" t="s">
        <v>1005</v>
      </c>
      <c r="D400" s="90" t="s">
        <v>1006</v>
      </c>
      <c r="E400" s="90">
        <f>+96892488902</f>
        <v>96892488902</v>
      </c>
      <c r="F400" s="87" t="s">
        <v>975</v>
      </c>
      <c r="G400" s="39" t="s">
        <v>555</v>
      </c>
    </row>
    <row r="401" hidden="1">
      <c r="A401" s="89">
        <v>43456.0</v>
      </c>
      <c r="B401" s="90"/>
      <c r="C401" s="90" t="s">
        <v>1007</v>
      </c>
      <c r="D401" s="90" t="s">
        <v>1008</v>
      </c>
      <c r="E401" s="90">
        <f>+966508943977</f>
        <v>966508943977</v>
      </c>
      <c r="F401" s="87" t="s">
        <v>975</v>
      </c>
      <c r="G401" s="39" t="s">
        <v>1009</v>
      </c>
    </row>
    <row r="402" hidden="1">
      <c r="A402" s="89">
        <v>43456.0</v>
      </c>
      <c r="B402" s="90"/>
      <c r="C402" s="90" t="s">
        <v>1010</v>
      </c>
      <c r="D402" s="90" t="s">
        <v>1011</v>
      </c>
      <c r="E402" s="90">
        <f>+9710566824754</f>
        <v>9710566824754</v>
      </c>
      <c r="F402" s="87" t="s">
        <v>975</v>
      </c>
      <c r="G402" s="39" t="s">
        <v>574</v>
      </c>
    </row>
    <row r="403" hidden="1">
      <c r="A403" s="89">
        <v>43456.0</v>
      </c>
      <c r="B403" s="90"/>
      <c r="C403" s="90" t="s">
        <v>1012</v>
      </c>
      <c r="D403" s="90" t="s">
        <v>1013</v>
      </c>
      <c r="E403" s="90">
        <f>+971553298666</f>
        <v>971553298666</v>
      </c>
      <c r="F403" s="87" t="s">
        <v>975</v>
      </c>
      <c r="G403" s="39" t="s">
        <v>1014</v>
      </c>
    </row>
    <row r="404" hidden="1">
      <c r="A404" s="89">
        <v>43456.0</v>
      </c>
      <c r="B404" s="90"/>
      <c r="C404" s="90" t="s">
        <v>1015</v>
      </c>
      <c r="D404" s="90" t="s">
        <v>1016</v>
      </c>
      <c r="E404" s="90">
        <f>+971565030930</f>
        <v>971565030930</v>
      </c>
      <c r="F404" s="87" t="s">
        <v>975</v>
      </c>
      <c r="G404" s="39" t="s">
        <v>574</v>
      </c>
    </row>
    <row r="405" hidden="1">
      <c r="A405" s="89">
        <v>43456.0</v>
      </c>
      <c r="B405" s="90"/>
      <c r="C405" s="90" t="s">
        <v>1017</v>
      </c>
      <c r="D405" s="90" t="s">
        <v>1018</v>
      </c>
      <c r="E405" s="90">
        <f>+16146254324</f>
        <v>16146254324</v>
      </c>
      <c r="F405" s="87" t="s">
        <v>975</v>
      </c>
      <c r="G405" s="39" t="s">
        <v>574</v>
      </c>
    </row>
    <row r="406" hidden="1">
      <c r="A406" s="89">
        <v>43456.0</v>
      </c>
      <c r="B406" s="90"/>
      <c r="C406" s="90" t="s">
        <v>1019</v>
      </c>
      <c r="D406" s="90" t="s">
        <v>1020</v>
      </c>
      <c r="E406" s="90">
        <f>+971557273000</f>
        <v>971557273000</v>
      </c>
      <c r="F406" s="87" t="s">
        <v>975</v>
      </c>
      <c r="G406" s="39" t="s">
        <v>574</v>
      </c>
    </row>
    <row r="407" hidden="1">
      <c r="A407" s="89">
        <v>43456.0</v>
      </c>
      <c r="B407" s="90"/>
      <c r="C407" s="90" t="s">
        <v>1021</v>
      </c>
      <c r="D407" s="90" t="s">
        <v>1022</v>
      </c>
      <c r="E407" s="90">
        <f>+966504896713</f>
        <v>966504896713</v>
      </c>
      <c r="F407" s="87" t="s">
        <v>975</v>
      </c>
      <c r="G407" s="39" t="s">
        <v>574</v>
      </c>
    </row>
    <row r="408" hidden="1">
      <c r="A408" s="89">
        <v>43457.0</v>
      </c>
      <c r="B408" s="90"/>
      <c r="C408" s="90" t="s">
        <v>1023</v>
      </c>
      <c r="D408" s="90" t="s">
        <v>1024</v>
      </c>
      <c r="E408" s="90">
        <f>+971502513275</f>
        <v>971502513275</v>
      </c>
      <c r="F408" s="87" t="s">
        <v>975</v>
      </c>
      <c r="G408" s="39" t="s">
        <v>574</v>
      </c>
    </row>
    <row r="409" hidden="1">
      <c r="A409" s="89">
        <v>43457.0</v>
      </c>
      <c r="B409" s="90"/>
      <c r="C409" s="90" t="s">
        <v>1025</v>
      </c>
      <c r="D409" s="90" t="s">
        <v>1026</v>
      </c>
      <c r="E409" s="90">
        <f>+9710501997466</f>
        <v>9710501997466</v>
      </c>
      <c r="F409" s="87" t="s">
        <v>975</v>
      </c>
      <c r="G409" s="39" t="s">
        <v>574</v>
      </c>
    </row>
    <row r="410" hidden="1">
      <c r="A410" s="89">
        <v>43457.0</v>
      </c>
      <c r="B410" s="90"/>
      <c r="C410" s="90" t="s">
        <v>1027</v>
      </c>
      <c r="D410" s="90" t="s">
        <v>1028</v>
      </c>
      <c r="E410" s="91" t="s">
        <v>1029</v>
      </c>
      <c r="F410" s="87" t="s">
        <v>975</v>
      </c>
      <c r="G410" s="39" t="s">
        <v>1009</v>
      </c>
    </row>
    <row r="411" hidden="1">
      <c r="A411" s="89">
        <v>43458.0</v>
      </c>
      <c r="B411" s="90"/>
      <c r="C411" s="90" t="s">
        <v>1030</v>
      </c>
      <c r="D411" s="90" t="s">
        <v>1031</v>
      </c>
      <c r="E411" s="90">
        <f>+971507987323</f>
        <v>971507987323</v>
      </c>
      <c r="F411" s="87" t="s">
        <v>975</v>
      </c>
      <c r="G411" s="39" t="s">
        <v>574</v>
      </c>
    </row>
    <row r="412" hidden="1">
      <c r="A412" s="89">
        <v>43458.0</v>
      </c>
      <c r="B412" s="90"/>
      <c r="C412" s="90" t="s">
        <v>1032</v>
      </c>
      <c r="D412" s="90" t="s">
        <v>1033</v>
      </c>
      <c r="E412" s="90">
        <f>+971554380390</f>
        <v>971554380390</v>
      </c>
      <c r="F412" s="87" t="s">
        <v>975</v>
      </c>
      <c r="G412" s="39" t="s">
        <v>574</v>
      </c>
    </row>
    <row r="413" hidden="1">
      <c r="A413" s="89">
        <v>43459.0</v>
      </c>
      <c r="B413" s="90"/>
      <c r="C413" s="90" t="s">
        <v>1034</v>
      </c>
      <c r="D413" s="90" t="s">
        <v>1035</v>
      </c>
      <c r="E413" s="90">
        <f>+96898554541</f>
        <v>96898554541</v>
      </c>
      <c r="F413" s="87" t="s">
        <v>975</v>
      </c>
      <c r="G413" s="39" t="s">
        <v>574</v>
      </c>
    </row>
    <row r="414" hidden="1">
      <c r="A414" s="89">
        <v>43459.0</v>
      </c>
      <c r="B414" s="90"/>
      <c r="C414" s="90" t="s">
        <v>1036</v>
      </c>
      <c r="D414" s="90" t="s">
        <v>1037</v>
      </c>
      <c r="E414" s="90">
        <f>+971566833828</f>
        <v>971566833828</v>
      </c>
      <c r="F414" s="87" t="s">
        <v>975</v>
      </c>
      <c r="G414" s="39" t="s">
        <v>1009</v>
      </c>
    </row>
    <row r="415" hidden="1">
      <c r="A415" s="89">
        <v>43460.0</v>
      </c>
      <c r="B415" s="90"/>
      <c r="C415" s="90" t="s">
        <v>1038</v>
      </c>
      <c r="D415" s="90" t="s">
        <v>1039</v>
      </c>
      <c r="E415" s="90">
        <f>+971551238622</f>
        <v>971551238622</v>
      </c>
      <c r="F415" s="87" t="s">
        <v>975</v>
      </c>
      <c r="G415" s="39" t="s">
        <v>168</v>
      </c>
    </row>
    <row r="416" hidden="1">
      <c r="A416" s="89">
        <v>43460.0</v>
      </c>
      <c r="B416" s="90"/>
      <c r="C416" s="90" t="s">
        <v>1040</v>
      </c>
      <c r="D416" s="90" t="s">
        <v>1041</v>
      </c>
      <c r="E416" s="90">
        <f>+9710504042826</f>
        <v>9710504042826</v>
      </c>
      <c r="F416" s="87" t="s">
        <v>975</v>
      </c>
      <c r="G416" s="39" t="s">
        <v>168</v>
      </c>
    </row>
    <row r="417" hidden="1">
      <c r="A417" s="89">
        <v>43460.0</v>
      </c>
      <c r="B417" s="90"/>
      <c r="C417" s="90" t="s">
        <v>1042</v>
      </c>
      <c r="D417" s="90" t="s">
        <v>1043</v>
      </c>
      <c r="E417" s="90">
        <f>+96899009423</f>
        <v>96899009423</v>
      </c>
      <c r="F417" s="87" t="s">
        <v>975</v>
      </c>
      <c r="G417" s="39" t="s">
        <v>979</v>
      </c>
    </row>
    <row r="418" hidden="1">
      <c r="A418" s="89">
        <v>43460.0</v>
      </c>
      <c r="B418" s="90"/>
      <c r="C418" s="90" t="s">
        <v>1044</v>
      </c>
      <c r="D418" s="90" t="s">
        <v>1045</v>
      </c>
      <c r="E418" s="90">
        <f>+9660500119410</f>
        <v>9660500119410</v>
      </c>
      <c r="F418" s="87" t="s">
        <v>975</v>
      </c>
      <c r="G418" s="39" t="s">
        <v>979</v>
      </c>
    </row>
    <row r="419" hidden="1">
      <c r="A419" s="89">
        <v>43461.0</v>
      </c>
      <c r="B419" s="90"/>
      <c r="C419" s="90" t="s">
        <v>1046</v>
      </c>
      <c r="D419" s="90" t="s">
        <v>1047</v>
      </c>
      <c r="E419" s="91" t="s">
        <v>1048</v>
      </c>
      <c r="F419" s="87" t="s">
        <v>975</v>
      </c>
      <c r="G419" s="39" t="s">
        <v>574</v>
      </c>
    </row>
    <row r="420" hidden="1">
      <c r="A420" s="89">
        <v>43463.0</v>
      </c>
      <c r="B420" s="90"/>
      <c r="C420" s="90" t="s">
        <v>1049</v>
      </c>
      <c r="D420" s="90" t="s">
        <v>1050</v>
      </c>
      <c r="E420" s="90">
        <f>+9710522933538</f>
        <v>9710522933538</v>
      </c>
      <c r="F420" s="87" t="s">
        <v>975</v>
      </c>
      <c r="G420" s="39" t="s">
        <v>979</v>
      </c>
    </row>
    <row r="421" hidden="1">
      <c r="A421" s="89">
        <v>43463.0</v>
      </c>
      <c r="B421" s="90"/>
      <c r="C421" s="90" t="s">
        <v>1051</v>
      </c>
      <c r="D421" s="90" t="s">
        <v>1052</v>
      </c>
      <c r="E421" s="90">
        <f>+971522070854</f>
        <v>971522070854</v>
      </c>
      <c r="F421" s="87" t="s">
        <v>975</v>
      </c>
      <c r="G421" s="39" t="s">
        <v>574</v>
      </c>
    </row>
    <row r="422" hidden="1">
      <c r="A422" s="89">
        <v>43463.0</v>
      </c>
      <c r="B422" s="90"/>
      <c r="C422" s="90" t="s">
        <v>1053</v>
      </c>
      <c r="D422" s="90" t="s">
        <v>1054</v>
      </c>
      <c r="E422" s="90">
        <f>+971506890468</f>
        <v>971506890468</v>
      </c>
      <c r="F422" s="87" t="s">
        <v>975</v>
      </c>
      <c r="G422" s="39" t="s">
        <v>168</v>
      </c>
    </row>
    <row r="423" hidden="1">
      <c r="A423" s="89">
        <v>43463.0</v>
      </c>
      <c r="B423" s="90"/>
      <c r="C423" s="90" t="s">
        <v>1055</v>
      </c>
      <c r="D423" s="90" t="s">
        <v>1056</v>
      </c>
      <c r="E423" s="90">
        <f>+9710501077755</f>
        <v>9710501077755</v>
      </c>
      <c r="F423" s="87" t="s">
        <v>975</v>
      </c>
      <c r="G423" s="39" t="s">
        <v>574</v>
      </c>
    </row>
    <row r="424" hidden="1">
      <c r="A424" s="89">
        <v>43463.0</v>
      </c>
      <c r="B424" s="90"/>
      <c r="C424" s="90" t="s">
        <v>1057</v>
      </c>
      <c r="D424" s="90" t="s">
        <v>1058</v>
      </c>
      <c r="E424" s="90">
        <f>+971564046192</f>
        <v>971564046192</v>
      </c>
      <c r="F424" s="87" t="s">
        <v>975</v>
      </c>
      <c r="G424" s="39" t="s">
        <v>457</v>
      </c>
    </row>
    <row r="425" hidden="1">
      <c r="A425" s="89">
        <v>43463.0</v>
      </c>
      <c r="B425" s="90"/>
      <c r="C425" s="90" t="s">
        <v>1059</v>
      </c>
      <c r="D425" s="90" t="s">
        <v>1060</v>
      </c>
      <c r="E425" s="90">
        <f>+971506619422</f>
        <v>971506619422</v>
      </c>
      <c r="F425" s="87" t="s">
        <v>975</v>
      </c>
      <c r="G425" s="39" t="s">
        <v>574</v>
      </c>
    </row>
    <row r="426" hidden="1">
      <c r="A426" s="89">
        <v>43463.0</v>
      </c>
      <c r="B426" s="90"/>
      <c r="C426" s="90" t="s">
        <v>1061</v>
      </c>
      <c r="D426" s="90" t="s">
        <v>1062</v>
      </c>
      <c r="E426" s="90">
        <f>+971564130225</f>
        <v>971564130225</v>
      </c>
      <c r="F426" s="87" t="s">
        <v>975</v>
      </c>
      <c r="G426" s="39" t="s">
        <v>168</v>
      </c>
    </row>
    <row r="427" hidden="1">
      <c r="A427" s="89">
        <v>43463.0</v>
      </c>
      <c r="B427" s="90"/>
      <c r="C427" s="90" t="s">
        <v>1063</v>
      </c>
      <c r="D427" s="90" t="s">
        <v>1064</v>
      </c>
      <c r="E427" s="90">
        <f>+971504577027</f>
        <v>971504577027</v>
      </c>
      <c r="F427" s="87" t="s">
        <v>975</v>
      </c>
      <c r="G427" s="39" t="s">
        <v>574</v>
      </c>
    </row>
    <row r="428" hidden="1">
      <c r="A428" s="89">
        <v>43463.0</v>
      </c>
      <c r="B428" s="90"/>
      <c r="C428" s="90" t="s">
        <v>1065</v>
      </c>
      <c r="D428" s="90" t="s">
        <v>1066</v>
      </c>
      <c r="E428" s="90">
        <f>+447444717415</f>
        <v>447444717415</v>
      </c>
      <c r="F428" s="87" t="s">
        <v>975</v>
      </c>
      <c r="G428" s="39" t="s">
        <v>979</v>
      </c>
    </row>
    <row r="429" hidden="1">
      <c r="A429" s="89">
        <v>43463.0</v>
      </c>
      <c r="B429" s="92"/>
      <c r="C429" s="92" t="s">
        <v>1067</v>
      </c>
      <c r="D429" s="90" t="s">
        <v>1068</v>
      </c>
      <c r="E429" s="90">
        <f>+971552155588</f>
        <v>971552155588</v>
      </c>
      <c r="F429" s="87" t="s">
        <v>975</v>
      </c>
      <c r="G429" s="39" t="s">
        <v>979</v>
      </c>
    </row>
    <row r="430" hidden="1">
      <c r="A430" s="89">
        <v>43463.0</v>
      </c>
      <c r="B430" s="90"/>
      <c r="C430" s="90" t="s">
        <v>1069</v>
      </c>
      <c r="D430" s="90" t="s">
        <v>1070</v>
      </c>
      <c r="E430" s="90">
        <f>+971567338957</f>
        <v>971567338957</v>
      </c>
      <c r="F430" s="87" t="s">
        <v>975</v>
      </c>
      <c r="G430" s="39" t="s">
        <v>168</v>
      </c>
    </row>
    <row r="431" hidden="1">
      <c r="A431" s="89">
        <v>43463.0</v>
      </c>
      <c r="B431" s="90"/>
      <c r="C431" s="90" t="s">
        <v>1071</v>
      </c>
      <c r="D431" s="90" t="s">
        <v>1072</v>
      </c>
      <c r="E431" s="90">
        <f>+9710558427283</f>
        <v>9710558427283</v>
      </c>
      <c r="F431" s="87" t="s">
        <v>975</v>
      </c>
      <c r="G431" s="39" t="s">
        <v>1073</v>
      </c>
    </row>
    <row r="432" hidden="1">
      <c r="A432" s="89">
        <v>43463.0</v>
      </c>
      <c r="B432" s="90"/>
      <c r="C432" s="90" t="s">
        <v>1074</v>
      </c>
      <c r="D432" s="90" t="s">
        <v>1075</v>
      </c>
      <c r="E432" s="90">
        <f>+971554481011</f>
        <v>971554481011</v>
      </c>
      <c r="F432" s="87" t="s">
        <v>975</v>
      </c>
      <c r="G432" s="39" t="s">
        <v>574</v>
      </c>
    </row>
    <row r="433" hidden="1">
      <c r="A433" s="89">
        <v>43464.0</v>
      </c>
      <c r="B433" s="90"/>
      <c r="C433" s="90" t="s">
        <v>1076</v>
      </c>
      <c r="D433" s="90" t="s">
        <v>1077</v>
      </c>
      <c r="E433" s="90">
        <f>+966504591343</f>
        <v>966504591343</v>
      </c>
      <c r="F433" s="87" t="s">
        <v>975</v>
      </c>
      <c r="G433" s="39" t="s">
        <v>1078</v>
      </c>
    </row>
    <row r="434" hidden="1">
      <c r="A434" s="89">
        <v>43464.0</v>
      </c>
      <c r="B434" s="90"/>
      <c r="C434" s="90" t="s">
        <v>1079</v>
      </c>
      <c r="D434" s="90" t="s">
        <v>1080</v>
      </c>
      <c r="E434" s="90">
        <f>+9710557777777</f>
        <v>9710557777777</v>
      </c>
      <c r="F434" s="87" t="s">
        <v>975</v>
      </c>
      <c r="G434" s="39" t="s">
        <v>574</v>
      </c>
    </row>
    <row r="435" hidden="1">
      <c r="A435" s="89">
        <v>43464.0</v>
      </c>
      <c r="B435" s="90"/>
      <c r="C435" s="90" t="s">
        <v>1081</v>
      </c>
      <c r="D435" s="90" t="s">
        <v>1082</v>
      </c>
      <c r="E435" s="90">
        <f>+9710562834813</f>
        <v>9710562834813</v>
      </c>
      <c r="F435" s="87" t="s">
        <v>975</v>
      </c>
      <c r="G435" s="39" t="s">
        <v>574</v>
      </c>
    </row>
    <row r="436" hidden="1">
      <c r="A436" s="89">
        <v>43464.0</v>
      </c>
      <c r="B436" s="90"/>
      <c r="C436" s="90" t="s">
        <v>1083</v>
      </c>
      <c r="D436" s="90" t="s">
        <v>1084</v>
      </c>
      <c r="E436" s="90">
        <f>+971555397000</f>
        <v>971555397000</v>
      </c>
      <c r="F436" s="87" t="s">
        <v>975</v>
      </c>
      <c r="G436" s="39" t="s">
        <v>1085</v>
      </c>
    </row>
    <row r="437" hidden="1">
      <c r="A437" s="89">
        <v>43464.0</v>
      </c>
      <c r="B437" s="90"/>
      <c r="C437" s="90" t="s">
        <v>1086</v>
      </c>
      <c r="D437" s="90" t="s">
        <v>1087</v>
      </c>
      <c r="E437" s="90">
        <f>+971562162479</f>
        <v>971562162479</v>
      </c>
      <c r="F437" s="87" t="s">
        <v>975</v>
      </c>
      <c r="G437" s="39" t="s">
        <v>574</v>
      </c>
    </row>
    <row r="438" hidden="1">
      <c r="A438" s="89">
        <v>43464.0</v>
      </c>
      <c r="B438" s="90"/>
      <c r="C438" s="90" t="s">
        <v>1088</v>
      </c>
      <c r="D438" s="90" t="s">
        <v>1089</v>
      </c>
      <c r="E438" s="90">
        <f>+971501364864</f>
        <v>971501364864</v>
      </c>
      <c r="F438" s="87" t="s">
        <v>975</v>
      </c>
      <c r="G438" s="39" t="s">
        <v>457</v>
      </c>
    </row>
    <row r="439" hidden="1">
      <c r="A439" s="89">
        <v>43464.0</v>
      </c>
      <c r="B439" s="90"/>
      <c r="C439" s="90" t="s">
        <v>1090</v>
      </c>
      <c r="D439" s="90" t="s">
        <v>1091</v>
      </c>
      <c r="E439" s="90">
        <f>+971562246960</f>
        <v>971562246960</v>
      </c>
      <c r="F439" s="87" t="s">
        <v>975</v>
      </c>
      <c r="G439" s="39" t="s">
        <v>574</v>
      </c>
    </row>
    <row r="440" hidden="1">
      <c r="A440" s="89">
        <v>43465.0</v>
      </c>
      <c r="B440" s="90"/>
      <c r="C440" s="90" t="s">
        <v>1092</v>
      </c>
      <c r="D440" s="90" t="s">
        <v>1093</v>
      </c>
      <c r="E440" s="91" t="s">
        <v>1094</v>
      </c>
      <c r="F440" s="87" t="s">
        <v>975</v>
      </c>
      <c r="G440" s="39" t="s">
        <v>574</v>
      </c>
    </row>
    <row r="441" hidden="1">
      <c r="A441" s="89">
        <v>43103.0</v>
      </c>
      <c r="B441" s="90"/>
      <c r="C441" s="90" t="s">
        <v>1095</v>
      </c>
      <c r="D441" s="90" t="s">
        <v>1096</v>
      </c>
      <c r="E441" s="91" t="s">
        <v>1097</v>
      </c>
      <c r="F441" s="87" t="s">
        <v>975</v>
      </c>
      <c r="G441" s="39" t="s">
        <v>1078</v>
      </c>
    </row>
    <row r="442" hidden="1">
      <c r="A442" s="93">
        <v>43468.0</v>
      </c>
      <c r="B442" s="90"/>
      <c r="C442" s="90" t="s">
        <v>1095</v>
      </c>
      <c r="D442" s="90" t="s">
        <v>1096</v>
      </c>
      <c r="E442" s="91" t="s">
        <v>1097</v>
      </c>
      <c r="F442" s="87" t="s">
        <v>975</v>
      </c>
      <c r="G442" s="39" t="s">
        <v>574</v>
      </c>
    </row>
    <row r="443" hidden="1">
      <c r="A443" s="94">
        <v>43470.0</v>
      </c>
      <c r="B443" s="90"/>
      <c r="C443" s="90" t="s">
        <v>1098</v>
      </c>
      <c r="D443" s="92" t="s">
        <v>1099</v>
      </c>
      <c r="E443" s="92">
        <f>+971505575399</f>
        <v>971505575399</v>
      </c>
      <c r="F443" s="87" t="s">
        <v>975</v>
      </c>
      <c r="G443" s="39" t="s">
        <v>574</v>
      </c>
    </row>
    <row r="444" hidden="1">
      <c r="A444" s="94">
        <v>43470.0</v>
      </c>
      <c r="B444" s="90"/>
      <c r="C444" s="90" t="s">
        <v>1100</v>
      </c>
      <c r="D444" s="92" t="s">
        <v>1101</v>
      </c>
      <c r="E444" s="92">
        <f>+971566959491</f>
        <v>971566959491</v>
      </c>
      <c r="F444" s="87" t="s">
        <v>975</v>
      </c>
      <c r="G444" s="39" t="s">
        <v>574</v>
      </c>
    </row>
    <row r="445" hidden="1">
      <c r="A445" s="94">
        <v>43470.0</v>
      </c>
      <c r="B445" s="90"/>
      <c r="C445" s="90" t="s">
        <v>1102</v>
      </c>
      <c r="D445" s="92" t="s">
        <v>1103</v>
      </c>
      <c r="E445" s="92">
        <f>+971557770605</f>
        <v>971557770605</v>
      </c>
      <c r="F445" s="87" t="s">
        <v>975</v>
      </c>
      <c r="G445" s="39" t="s">
        <v>574</v>
      </c>
    </row>
    <row r="446" hidden="1">
      <c r="A446" s="94">
        <v>43470.0</v>
      </c>
      <c r="B446" s="90"/>
      <c r="C446" s="90" t="s">
        <v>1104</v>
      </c>
      <c r="D446" s="92" t="s">
        <v>1105</v>
      </c>
      <c r="E446" s="92">
        <f>+962795000216</f>
        <v>962795000216</v>
      </c>
      <c r="F446" s="87" t="s">
        <v>975</v>
      </c>
      <c r="G446" s="39" t="s">
        <v>574</v>
      </c>
    </row>
    <row r="447" hidden="1">
      <c r="A447" s="94">
        <v>43470.0</v>
      </c>
      <c r="B447" s="90"/>
      <c r="C447" s="90" t="s">
        <v>1106</v>
      </c>
      <c r="D447" s="92" t="s">
        <v>1107</v>
      </c>
      <c r="E447" s="92">
        <f>+971555498230</f>
        <v>971555498230</v>
      </c>
      <c r="F447" s="87" t="s">
        <v>975</v>
      </c>
      <c r="G447" s="39" t="s">
        <v>168</v>
      </c>
    </row>
    <row r="448" hidden="1">
      <c r="A448" s="94">
        <v>43470.0</v>
      </c>
      <c r="B448" s="90"/>
      <c r="C448" s="90" t="s">
        <v>1108</v>
      </c>
      <c r="D448" s="92" t="s">
        <v>1109</v>
      </c>
      <c r="E448" s="92">
        <f>+96892535700</f>
        <v>96892535700</v>
      </c>
      <c r="F448" s="87" t="s">
        <v>975</v>
      </c>
      <c r="G448" s="39" t="s">
        <v>574</v>
      </c>
    </row>
    <row r="449" hidden="1">
      <c r="A449" s="94">
        <v>43470.0</v>
      </c>
      <c r="B449" s="90"/>
      <c r="C449" s="90" t="s">
        <v>1110</v>
      </c>
      <c r="D449" s="92" t="s">
        <v>1111</v>
      </c>
      <c r="E449" s="92">
        <f>+200572564523</f>
        <v>200572564523</v>
      </c>
      <c r="F449" s="87" t="s">
        <v>975</v>
      </c>
      <c r="G449" s="39" t="s">
        <v>979</v>
      </c>
    </row>
    <row r="450" hidden="1">
      <c r="A450" s="94">
        <v>43470.0</v>
      </c>
      <c r="B450" s="90"/>
      <c r="C450" s="90" t="s">
        <v>1112</v>
      </c>
      <c r="D450" s="92" t="s">
        <v>1113</v>
      </c>
      <c r="E450" s="92">
        <f>+9710505516010</f>
        <v>9710505516010</v>
      </c>
      <c r="F450" s="87" t="s">
        <v>975</v>
      </c>
      <c r="G450" s="39" t="s">
        <v>168</v>
      </c>
    </row>
    <row r="451" hidden="1">
      <c r="A451" s="94">
        <v>43470.0</v>
      </c>
      <c r="B451" s="90"/>
      <c r="C451" s="90" t="s">
        <v>1114</v>
      </c>
      <c r="D451" s="92" t="s">
        <v>1115</v>
      </c>
      <c r="E451" s="92">
        <f>+971506105677</f>
        <v>971506105677</v>
      </c>
      <c r="F451" s="87" t="s">
        <v>975</v>
      </c>
      <c r="G451" s="39" t="s">
        <v>574</v>
      </c>
    </row>
    <row r="452" hidden="1">
      <c r="A452" s="94">
        <v>43471.0</v>
      </c>
      <c r="B452" s="90"/>
      <c r="C452" s="90" t="s">
        <v>390</v>
      </c>
      <c r="D452" s="92" t="s">
        <v>391</v>
      </c>
      <c r="E452" s="92">
        <f>+6598067651</f>
        <v>6598067651</v>
      </c>
      <c r="F452" s="87" t="s">
        <v>975</v>
      </c>
      <c r="G452" s="39" t="s">
        <v>1009</v>
      </c>
    </row>
    <row r="453" hidden="1">
      <c r="A453" s="94">
        <v>43471.0</v>
      </c>
      <c r="B453" s="90"/>
      <c r="C453" s="90" t="s">
        <v>1116</v>
      </c>
      <c r="D453" s="92" t="s">
        <v>1117</v>
      </c>
      <c r="E453" s="92">
        <f>+971562212752</f>
        <v>971562212752</v>
      </c>
      <c r="F453" s="87" t="s">
        <v>975</v>
      </c>
      <c r="G453" s="39" t="s">
        <v>574</v>
      </c>
    </row>
    <row r="454" hidden="1">
      <c r="A454" s="94">
        <v>43471.0</v>
      </c>
      <c r="B454" s="90"/>
      <c r="C454" s="90" t="s">
        <v>1118</v>
      </c>
      <c r="D454" s="92" t="s">
        <v>1119</v>
      </c>
      <c r="E454" s="92">
        <f>+9660550384996</f>
        <v>9660550384996</v>
      </c>
      <c r="F454" s="87" t="s">
        <v>975</v>
      </c>
      <c r="G454" s="39" t="s">
        <v>979</v>
      </c>
    </row>
    <row r="455" hidden="1">
      <c r="A455" s="94">
        <v>43471.0</v>
      </c>
      <c r="B455" s="90"/>
      <c r="C455" s="90" t="s">
        <v>1120</v>
      </c>
      <c r="D455" s="92" t="s">
        <v>1121</v>
      </c>
      <c r="E455" s="92">
        <f>+971505198238</f>
        <v>971505198238</v>
      </c>
      <c r="F455" s="87" t="s">
        <v>975</v>
      </c>
      <c r="G455" s="39" t="s">
        <v>574</v>
      </c>
    </row>
    <row r="456" hidden="1">
      <c r="A456" s="93">
        <v>43472.0</v>
      </c>
      <c r="B456" s="90"/>
      <c r="C456" s="90" t="s">
        <v>1122</v>
      </c>
      <c r="D456" s="90" t="s">
        <v>1123</v>
      </c>
      <c r="E456" s="90">
        <f>+971507442924</f>
        <v>971507442924</v>
      </c>
      <c r="F456" s="87" t="s">
        <v>975</v>
      </c>
      <c r="G456" s="39" t="s">
        <v>168</v>
      </c>
    </row>
    <row r="457" hidden="1">
      <c r="A457" s="93">
        <v>43472.0</v>
      </c>
      <c r="B457" s="90"/>
      <c r="C457" s="90" t="s">
        <v>1124</v>
      </c>
      <c r="D457" s="90" t="s">
        <v>1125</v>
      </c>
      <c r="E457" s="90">
        <f>+971505591031</f>
        <v>971505591031</v>
      </c>
      <c r="F457" s="87" t="s">
        <v>975</v>
      </c>
      <c r="G457" s="39" t="s">
        <v>574</v>
      </c>
    </row>
    <row r="458" hidden="1">
      <c r="A458" s="93">
        <v>43472.0</v>
      </c>
      <c r="B458" s="90"/>
      <c r="C458" s="90" t="s">
        <v>1126</v>
      </c>
      <c r="D458" s="90" t="s">
        <v>1127</v>
      </c>
      <c r="E458" s="90">
        <f>+971556687114</f>
        <v>971556687114</v>
      </c>
      <c r="F458" s="87" t="s">
        <v>975</v>
      </c>
      <c r="G458" s="39" t="s">
        <v>574</v>
      </c>
    </row>
    <row r="459" hidden="1">
      <c r="A459" s="93">
        <v>43472.0</v>
      </c>
      <c r="B459" s="90"/>
      <c r="C459" s="90" t="s">
        <v>1128</v>
      </c>
      <c r="D459" s="90" t="s">
        <v>1129</v>
      </c>
      <c r="E459" s="90">
        <f>+971559881920</f>
        <v>971559881920</v>
      </c>
      <c r="F459" s="87" t="s">
        <v>975</v>
      </c>
      <c r="G459" s="39" t="s">
        <v>574</v>
      </c>
    </row>
    <row r="460" hidden="1">
      <c r="A460" s="93">
        <v>43472.0</v>
      </c>
      <c r="B460" s="90"/>
      <c r="C460" s="90" t="s">
        <v>1130</v>
      </c>
      <c r="D460" s="90" t="s">
        <v>1131</v>
      </c>
      <c r="E460" s="90">
        <f>+9710501105729</f>
        <v>9710501105729</v>
      </c>
      <c r="F460" s="87" t="s">
        <v>975</v>
      </c>
      <c r="G460" s="39" t="s">
        <v>168</v>
      </c>
    </row>
    <row r="461" hidden="1">
      <c r="A461" s="93">
        <v>43473.0</v>
      </c>
      <c r="B461" s="90"/>
      <c r="C461" s="90" t="s">
        <v>1132</v>
      </c>
      <c r="D461" s="90" t="s">
        <v>1133</v>
      </c>
      <c r="E461" s="90">
        <f>+971554411036</f>
        <v>971554411036</v>
      </c>
      <c r="F461" s="87" t="s">
        <v>975</v>
      </c>
      <c r="G461" s="39" t="s">
        <v>574</v>
      </c>
    </row>
    <row r="462" hidden="1">
      <c r="A462" s="93">
        <v>43474.0</v>
      </c>
      <c r="B462" s="90"/>
      <c r="C462" s="90" t="s">
        <v>1134</v>
      </c>
      <c r="D462" s="90" t="s">
        <v>1135</v>
      </c>
      <c r="E462" s="90">
        <f>+962788777000</f>
        <v>962788777000</v>
      </c>
      <c r="F462" s="87" t="s">
        <v>975</v>
      </c>
      <c r="G462" s="39" t="s">
        <v>574</v>
      </c>
    </row>
    <row r="463" hidden="1">
      <c r="A463" s="93">
        <v>43474.0</v>
      </c>
      <c r="B463" s="90"/>
      <c r="C463" s="90" t="s">
        <v>1136</v>
      </c>
      <c r="D463" s="90" t="s">
        <v>1137</v>
      </c>
      <c r="E463" s="90">
        <f>+971504110241</f>
        <v>971504110241</v>
      </c>
      <c r="F463" s="87" t="s">
        <v>975</v>
      </c>
      <c r="G463" s="39" t="s">
        <v>574</v>
      </c>
    </row>
    <row r="464" hidden="1">
      <c r="A464" s="93">
        <v>43475.0</v>
      </c>
      <c r="B464" s="90"/>
      <c r="C464" s="90" t="s">
        <v>1138</v>
      </c>
      <c r="D464" s="90" t="s">
        <v>1139</v>
      </c>
      <c r="E464" s="90">
        <f>+971555528321</f>
        <v>971555528321</v>
      </c>
      <c r="F464" s="87" t="s">
        <v>975</v>
      </c>
      <c r="G464" s="39" t="s">
        <v>574</v>
      </c>
    </row>
    <row r="465" hidden="1">
      <c r="A465" s="93">
        <v>43475.0</v>
      </c>
      <c r="B465" s="90"/>
      <c r="C465" s="90" t="s">
        <v>1140</v>
      </c>
      <c r="D465" s="90" t="s">
        <v>1141</v>
      </c>
      <c r="E465" s="90">
        <f>+971502501901</f>
        <v>971502501901</v>
      </c>
      <c r="F465" s="87" t="s">
        <v>975</v>
      </c>
      <c r="G465" s="39" t="s">
        <v>168</v>
      </c>
    </row>
    <row r="466" hidden="1">
      <c r="A466" s="93">
        <v>43475.0</v>
      </c>
      <c r="B466" s="90"/>
      <c r="C466" s="90" t="s">
        <v>1142</v>
      </c>
      <c r="D466" s="90" t="s">
        <v>1143</v>
      </c>
      <c r="E466" s="91" t="s">
        <v>1144</v>
      </c>
      <c r="F466" s="87" t="s">
        <v>975</v>
      </c>
      <c r="G466" s="39" t="s">
        <v>168</v>
      </c>
    </row>
    <row r="467" hidden="1">
      <c r="A467" s="93">
        <v>43477.0</v>
      </c>
      <c r="B467" s="90"/>
      <c r="C467" s="90" t="s">
        <v>1145</v>
      </c>
      <c r="D467" s="90" t="s">
        <v>1146</v>
      </c>
      <c r="E467" s="90">
        <f>+97333561777</f>
        <v>97333561777</v>
      </c>
      <c r="F467" s="87" t="s">
        <v>975</v>
      </c>
      <c r="G467" s="39" t="s">
        <v>574</v>
      </c>
    </row>
    <row r="468" hidden="1">
      <c r="A468" s="93">
        <v>43477.0</v>
      </c>
      <c r="B468" s="90"/>
      <c r="C468" s="90" t="s">
        <v>1147</v>
      </c>
      <c r="D468" s="90" t="s">
        <v>1148</v>
      </c>
      <c r="E468" s="90">
        <f>+971502925740</f>
        <v>971502925740</v>
      </c>
      <c r="F468" s="87" t="s">
        <v>975</v>
      </c>
      <c r="G468" s="39" t="s">
        <v>574</v>
      </c>
    </row>
    <row r="469" hidden="1">
      <c r="A469" s="93">
        <v>43478.0</v>
      </c>
      <c r="B469" s="90"/>
      <c r="C469" s="90" t="s">
        <v>404</v>
      </c>
      <c r="D469" s="90" t="s">
        <v>405</v>
      </c>
      <c r="E469" s="90">
        <f>+971552423105</f>
        <v>971552423105</v>
      </c>
      <c r="F469" s="87" t="s">
        <v>975</v>
      </c>
      <c r="G469" s="39" t="s">
        <v>574</v>
      </c>
    </row>
    <row r="470" hidden="1">
      <c r="A470" s="93">
        <v>43478.0</v>
      </c>
      <c r="B470" s="90"/>
      <c r="C470" s="90" t="s">
        <v>1149</v>
      </c>
      <c r="D470" s="90" t="s">
        <v>1150</v>
      </c>
      <c r="E470" s="90">
        <f>+971505064614</f>
        <v>971505064614</v>
      </c>
      <c r="F470" s="87" t="s">
        <v>975</v>
      </c>
      <c r="G470" s="39" t="s">
        <v>457</v>
      </c>
    </row>
    <row r="471" hidden="1">
      <c r="A471" s="93">
        <v>43479.0</v>
      </c>
      <c r="B471" s="90"/>
      <c r="C471" s="90" t="s">
        <v>1151</v>
      </c>
      <c r="D471" s="90" t="s">
        <v>1152</v>
      </c>
      <c r="E471" s="90">
        <f>+9660508204714</f>
        <v>9660508204714</v>
      </c>
      <c r="F471" s="87" t="s">
        <v>975</v>
      </c>
      <c r="G471" s="39" t="s">
        <v>1153</v>
      </c>
    </row>
    <row r="472" hidden="1">
      <c r="A472" s="93">
        <v>43479.0</v>
      </c>
      <c r="B472" s="90"/>
      <c r="C472" s="90" t="s">
        <v>1154</v>
      </c>
      <c r="D472" s="90" t="s">
        <v>1155</v>
      </c>
      <c r="E472" s="90">
        <f>+971505573725</f>
        <v>971505573725</v>
      </c>
      <c r="F472" s="87" t="s">
        <v>975</v>
      </c>
      <c r="G472" s="39" t="s">
        <v>1156</v>
      </c>
    </row>
    <row r="473" hidden="1">
      <c r="A473" s="93">
        <v>43479.0</v>
      </c>
      <c r="B473" s="90"/>
      <c r="C473" s="90" t="s">
        <v>1157</v>
      </c>
      <c r="D473" s="90" t="s">
        <v>1158</v>
      </c>
      <c r="E473" s="90">
        <f>+971554942494</f>
        <v>971554942494</v>
      </c>
      <c r="F473" s="87" t="s">
        <v>975</v>
      </c>
      <c r="G473" s="39" t="s">
        <v>1159</v>
      </c>
    </row>
    <row r="474" hidden="1">
      <c r="A474" s="93">
        <v>43479.0</v>
      </c>
      <c r="B474" s="90"/>
      <c r="C474" s="90" t="s">
        <v>1160</v>
      </c>
      <c r="D474" s="90" t="s">
        <v>1161</v>
      </c>
      <c r="E474" s="90">
        <f>+971565069690</f>
        <v>971565069690</v>
      </c>
      <c r="F474" s="87" t="s">
        <v>975</v>
      </c>
      <c r="G474" s="39" t="s">
        <v>574</v>
      </c>
    </row>
    <row r="475" hidden="1">
      <c r="A475" s="93">
        <v>43479.0</v>
      </c>
      <c r="B475" s="90"/>
      <c r="C475" s="90" t="s">
        <v>1162</v>
      </c>
      <c r="D475" s="90" t="s">
        <v>1163</v>
      </c>
      <c r="E475" s="90">
        <f>+971507199227</f>
        <v>971507199227</v>
      </c>
      <c r="F475" s="87" t="s">
        <v>975</v>
      </c>
      <c r="G475" s="39" t="s">
        <v>574</v>
      </c>
    </row>
    <row r="476" hidden="1">
      <c r="A476" s="93">
        <v>43479.0</v>
      </c>
      <c r="B476" s="90"/>
      <c r="C476" s="90" t="s">
        <v>1164</v>
      </c>
      <c r="D476" s="90" t="s">
        <v>1165</v>
      </c>
      <c r="E476" s="90">
        <f>+9710500000000</f>
        <v>9710500000000</v>
      </c>
      <c r="F476" s="87" t="s">
        <v>975</v>
      </c>
      <c r="G476" s="39" t="s">
        <v>838</v>
      </c>
    </row>
    <row r="477" hidden="1">
      <c r="A477" s="93">
        <v>43481.0</v>
      </c>
      <c r="B477" s="90"/>
      <c r="C477" s="90" t="s">
        <v>1166</v>
      </c>
      <c r="D477" s="90" t="s">
        <v>1167</v>
      </c>
      <c r="E477" s="90">
        <f>+966503818470</f>
        <v>966503818470</v>
      </c>
      <c r="F477" s="87" t="s">
        <v>975</v>
      </c>
      <c r="G477" s="39" t="s">
        <v>1168</v>
      </c>
    </row>
    <row r="478" hidden="1">
      <c r="A478" s="93">
        <v>43481.0</v>
      </c>
      <c r="B478" s="90"/>
      <c r="C478" s="90" t="s">
        <v>1169</v>
      </c>
      <c r="D478" s="90" t="s">
        <v>1170</v>
      </c>
      <c r="E478" s="90">
        <f>+97336060378</f>
        <v>97336060378</v>
      </c>
      <c r="F478" s="87" t="s">
        <v>975</v>
      </c>
      <c r="G478" s="39" t="s">
        <v>168</v>
      </c>
    </row>
    <row r="479" hidden="1">
      <c r="A479" s="93">
        <v>43481.0</v>
      </c>
      <c r="B479" s="90"/>
      <c r="C479" s="90" t="s">
        <v>1171</v>
      </c>
      <c r="D479" s="90" t="s">
        <v>1172</v>
      </c>
      <c r="E479" s="90">
        <f>+966505758367</f>
        <v>966505758367</v>
      </c>
      <c r="F479" s="87" t="s">
        <v>975</v>
      </c>
      <c r="G479" s="39" t="s">
        <v>457</v>
      </c>
    </row>
    <row r="480" hidden="1">
      <c r="A480" s="93">
        <v>43481.0</v>
      </c>
      <c r="B480" s="90"/>
      <c r="C480" s="90" t="s">
        <v>1173</v>
      </c>
      <c r="D480" s="90" t="s">
        <v>1174</v>
      </c>
      <c r="E480" s="90">
        <f>+971507755168</f>
        <v>971507755168</v>
      </c>
      <c r="F480" s="87" t="s">
        <v>975</v>
      </c>
      <c r="G480" s="39" t="s">
        <v>574</v>
      </c>
    </row>
    <row r="481" hidden="1">
      <c r="A481" s="94">
        <v>43482.0</v>
      </c>
      <c r="B481" s="90"/>
      <c r="C481" s="90" t="s">
        <v>1175</v>
      </c>
      <c r="D481" s="92" t="s">
        <v>1176</v>
      </c>
      <c r="E481" s="92">
        <f>+38765578108</f>
        <v>38765578108</v>
      </c>
      <c r="F481" s="87" t="s">
        <v>975</v>
      </c>
      <c r="G481" s="39" t="s">
        <v>574</v>
      </c>
    </row>
    <row r="482" hidden="1">
      <c r="A482" s="94">
        <v>43482.0</v>
      </c>
      <c r="B482" s="90"/>
      <c r="C482" s="90" t="s">
        <v>1177</v>
      </c>
      <c r="D482" s="92" t="s">
        <v>1178</v>
      </c>
      <c r="E482" s="92">
        <f>+9710504045720</f>
        <v>9710504045720</v>
      </c>
      <c r="F482" s="87" t="s">
        <v>975</v>
      </c>
      <c r="G482" s="39" t="s">
        <v>457</v>
      </c>
    </row>
    <row r="483" hidden="1">
      <c r="A483" s="94">
        <v>43482.0</v>
      </c>
      <c r="B483" s="90"/>
      <c r="C483" s="90" t="s">
        <v>1179</v>
      </c>
      <c r="D483" s="92" t="s">
        <v>1180</v>
      </c>
      <c r="E483" s="92">
        <f>+96599125691</f>
        <v>96599125691</v>
      </c>
      <c r="F483" s="87" t="s">
        <v>975</v>
      </c>
      <c r="G483" s="39" t="s">
        <v>574</v>
      </c>
    </row>
    <row r="484" hidden="1">
      <c r="A484" s="94">
        <v>43482.0</v>
      </c>
      <c r="B484" s="90"/>
      <c r="C484" s="90" t="s">
        <v>1160</v>
      </c>
      <c r="D484" s="92" t="s">
        <v>1161</v>
      </c>
      <c r="E484" s="92">
        <f>+971565069690</f>
        <v>971565069690</v>
      </c>
      <c r="F484" s="87" t="s">
        <v>975</v>
      </c>
      <c r="G484" s="39" t="s">
        <v>574</v>
      </c>
    </row>
    <row r="485" hidden="1">
      <c r="A485" s="94">
        <v>43482.0</v>
      </c>
      <c r="B485" s="90"/>
      <c r="C485" s="90" t="s">
        <v>1181</v>
      </c>
      <c r="D485" s="92" t="s">
        <v>1182</v>
      </c>
      <c r="E485" s="95" t="s">
        <v>1183</v>
      </c>
      <c r="F485" s="87" t="s">
        <v>975</v>
      </c>
      <c r="G485" s="39" t="s">
        <v>38</v>
      </c>
    </row>
    <row r="486" hidden="1">
      <c r="A486" s="94">
        <v>43482.0</v>
      </c>
      <c r="B486" s="90"/>
      <c r="C486" s="90" t="s">
        <v>1184</v>
      </c>
      <c r="D486" s="92" t="s">
        <v>1185</v>
      </c>
      <c r="E486" s="92">
        <f>+966580647558</f>
        <v>966580647558</v>
      </c>
      <c r="F486" s="87" t="s">
        <v>975</v>
      </c>
      <c r="G486" s="39" t="s">
        <v>838</v>
      </c>
    </row>
    <row r="487" hidden="1">
      <c r="A487" s="94">
        <v>43482.0</v>
      </c>
      <c r="B487" s="90"/>
      <c r="C487" s="90" t="s">
        <v>1186</v>
      </c>
      <c r="D487" s="92" t="s">
        <v>1187</v>
      </c>
      <c r="E487" s="92">
        <f>+966508218378</f>
        <v>966508218378</v>
      </c>
      <c r="F487" s="87" t="s">
        <v>975</v>
      </c>
      <c r="G487" s="39" t="s">
        <v>574</v>
      </c>
    </row>
    <row r="488" hidden="1">
      <c r="A488" s="94">
        <v>43482.0</v>
      </c>
      <c r="B488" s="90"/>
      <c r="C488" s="90" t="s">
        <v>1188</v>
      </c>
      <c r="D488" s="92" t="s">
        <v>1189</v>
      </c>
      <c r="E488" s="92">
        <f>+966591817137</f>
        <v>966591817137</v>
      </c>
      <c r="F488" s="87" t="s">
        <v>975</v>
      </c>
      <c r="G488" s="39" t="s">
        <v>574</v>
      </c>
    </row>
    <row r="489" hidden="1">
      <c r="A489" s="93">
        <v>43482.0</v>
      </c>
      <c r="B489" s="90"/>
      <c r="C489" s="90" t="s">
        <v>1190</v>
      </c>
      <c r="D489" s="90" t="s">
        <v>1191</v>
      </c>
      <c r="E489" s="90">
        <f>+971556180975</f>
        <v>971556180975</v>
      </c>
      <c r="F489" s="87" t="s">
        <v>975</v>
      </c>
      <c r="G489" s="39" t="s">
        <v>168</v>
      </c>
    </row>
    <row r="490" hidden="1">
      <c r="A490" s="93">
        <v>43482.0</v>
      </c>
      <c r="B490" s="90"/>
      <c r="C490" s="90" t="s">
        <v>1192</v>
      </c>
      <c r="D490" s="92" t="s">
        <v>1193</v>
      </c>
      <c r="E490" s="92">
        <f>+962772001337</f>
        <v>962772001337</v>
      </c>
      <c r="F490" s="87" t="s">
        <v>975</v>
      </c>
      <c r="G490" s="39" t="s">
        <v>168</v>
      </c>
    </row>
    <row r="491" hidden="1">
      <c r="A491" s="93">
        <v>43482.0</v>
      </c>
      <c r="B491" s="57"/>
      <c r="C491" s="57" t="s">
        <v>1194</v>
      </c>
      <c r="D491" s="92" t="s">
        <v>1195</v>
      </c>
      <c r="E491" s="92">
        <f>+966533834787</f>
        <v>966533834787</v>
      </c>
      <c r="F491" s="87" t="s">
        <v>975</v>
      </c>
      <c r="G491" s="39" t="s">
        <v>168</v>
      </c>
    </row>
    <row r="492" hidden="1">
      <c r="A492" s="93">
        <v>43482.0</v>
      </c>
      <c r="B492" s="90"/>
      <c r="C492" s="90" t="s">
        <v>1196</v>
      </c>
      <c r="D492" s="92" t="s">
        <v>1197</v>
      </c>
      <c r="E492" s="92">
        <f>+971557994133</f>
        <v>971557994133</v>
      </c>
      <c r="F492" s="87" t="s">
        <v>975</v>
      </c>
      <c r="G492" s="39" t="s">
        <v>574</v>
      </c>
    </row>
    <row r="493" hidden="1">
      <c r="A493" s="93">
        <v>43482.0</v>
      </c>
      <c r="B493" s="90"/>
      <c r="C493" s="90" t="s">
        <v>1198</v>
      </c>
      <c r="D493" s="92" t="s">
        <v>1199</v>
      </c>
      <c r="E493" s="92">
        <f>+966572203759</f>
        <v>966572203759</v>
      </c>
      <c r="F493" s="87" t="s">
        <v>975</v>
      </c>
      <c r="G493" s="39" t="s">
        <v>251</v>
      </c>
    </row>
    <row r="494" hidden="1">
      <c r="A494" s="93">
        <v>43483.0</v>
      </c>
      <c r="B494" s="90"/>
      <c r="C494" s="90" t="s">
        <v>1200</v>
      </c>
      <c r="D494" s="92" t="s">
        <v>1201</v>
      </c>
      <c r="E494" s="92">
        <f>+962795515083</f>
        <v>962795515083</v>
      </c>
      <c r="F494" s="87" t="s">
        <v>975</v>
      </c>
      <c r="G494" s="39" t="s">
        <v>1202</v>
      </c>
    </row>
    <row r="495" hidden="1">
      <c r="A495" s="93">
        <v>43484.0</v>
      </c>
      <c r="B495" s="90"/>
      <c r="C495" s="90" t="s">
        <v>1203</v>
      </c>
      <c r="D495" s="90" t="s">
        <v>1204</v>
      </c>
      <c r="E495" s="96" t="s">
        <v>1205</v>
      </c>
      <c r="F495" s="87" t="s">
        <v>975</v>
      </c>
      <c r="G495" s="39" t="s">
        <v>168</v>
      </c>
    </row>
    <row r="496" hidden="1">
      <c r="A496" s="97">
        <v>43485.0</v>
      </c>
      <c r="B496" s="98"/>
      <c r="C496" s="98" t="s">
        <v>1206</v>
      </c>
      <c r="D496" s="98" t="s">
        <v>1207</v>
      </c>
      <c r="E496" s="99" t="s">
        <v>1208</v>
      </c>
      <c r="F496" s="87" t="s">
        <v>975</v>
      </c>
      <c r="G496" s="39" t="s">
        <v>574</v>
      </c>
    </row>
    <row r="497" hidden="1">
      <c r="A497" s="93">
        <v>43486.0</v>
      </c>
      <c r="B497" s="90"/>
      <c r="C497" s="90" t="s">
        <v>1209</v>
      </c>
      <c r="D497" s="90" t="s">
        <v>1210</v>
      </c>
      <c r="E497" s="96" t="s">
        <v>1211</v>
      </c>
      <c r="F497" s="87" t="s">
        <v>975</v>
      </c>
      <c r="G497" s="39" t="s">
        <v>168</v>
      </c>
    </row>
    <row r="498" hidden="1">
      <c r="A498" s="93">
        <v>43486.0</v>
      </c>
      <c r="B498" s="90"/>
      <c r="C498" s="90" t="s">
        <v>1212</v>
      </c>
      <c r="D498" s="90" t="s">
        <v>1213</v>
      </c>
      <c r="E498" s="90">
        <f>+971502324228</f>
        <v>971502324228</v>
      </c>
      <c r="F498" s="87" t="s">
        <v>975</v>
      </c>
      <c r="G498" s="39" t="s">
        <v>168</v>
      </c>
    </row>
    <row r="499" hidden="1">
      <c r="A499" s="93">
        <v>43487.0</v>
      </c>
      <c r="B499" s="90"/>
      <c r="C499" s="90" t="s">
        <v>1214</v>
      </c>
      <c r="D499" s="90" t="s">
        <v>1215</v>
      </c>
      <c r="E499" s="90">
        <f>+971504543151</f>
        <v>971504543151</v>
      </c>
      <c r="F499" s="87" t="s">
        <v>975</v>
      </c>
      <c r="G499" s="39" t="s">
        <v>168</v>
      </c>
    </row>
    <row r="500" hidden="1">
      <c r="A500" s="93">
        <v>43487.0</v>
      </c>
      <c r="B500" s="90"/>
      <c r="C500" s="90" t="s">
        <v>1216</v>
      </c>
      <c r="D500" s="90" t="s">
        <v>1217</v>
      </c>
      <c r="E500" s="90">
        <f>+971509007157</f>
        <v>971509007157</v>
      </c>
      <c r="F500" s="87" t="s">
        <v>975</v>
      </c>
      <c r="G500" s="39" t="s">
        <v>1218</v>
      </c>
    </row>
    <row r="501" hidden="1">
      <c r="A501" s="93">
        <v>43487.0</v>
      </c>
      <c r="B501" s="90"/>
      <c r="C501" s="90" t="s">
        <v>1219</v>
      </c>
      <c r="D501" s="90" t="s">
        <v>1220</v>
      </c>
      <c r="E501" s="90">
        <f>+971562254445</f>
        <v>971562254445</v>
      </c>
      <c r="F501" s="87" t="s">
        <v>975</v>
      </c>
      <c r="G501" s="39" t="s">
        <v>574</v>
      </c>
    </row>
    <row r="502" hidden="1">
      <c r="A502" s="93">
        <v>43487.0</v>
      </c>
      <c r="B502" s="90"/>
      <c r="C502" s="90" t="s">
        <v>1221</v>
      </c>
      <c r="D502" s="90" t="s">
        <v>1222</v>
      </c>
      <c r="E502" s="90">
        <f>+9710555555555</f>
        <v>9710555555555</v>
      </c>
      <c r="F502" s="87" t="s">
        <v>975</v>
      </c>
      <c r="G502" s="39" t="s">
        <v>457</v>
      </c>
    </row>
    <row r="503" hidden="1">
      <c r="A503" s="93">
        <v>43487.0</v>
      </c>
      <c r="B503" s="90"/>
      <c r="C503" s="90" t="s">
        <v>1223</v>
      </c>
      <c r="D503" s="90" t="s">
        <v>1224</v>
      </c>
      <c r="E503" s="90">
        <f>+971504570086</f>
        <v>971504570086</v>
      </c>
      <c r="F503" s="87" t="s">
        <v>975</v>
      </c>
      <c r="G503" s="39" t="s">
        <v>574</v>
      </c>
    </row>
    <row r="504" hidden="1">
      <c r="A504" s="93">
        <v>43488.0</v>
      </c>
      <c r="B504" s="90"/>
      <c r="C504" s="90" t="s">
        <v>1225</v>
      </c>
      <c r="D504" s="90" t="s">
        <v>1226</v>
      </c>
      <c r="E504" s="90">
        <f>+919810502323</f>
        <v>919810502323</v>
      </c>
      <c r="F504" s="87" t="s">
        <v>975</v>
      </c>
      <c r="G504" s="39" t="s">
        <v>574</v>
      </c>
    </row>
    <row r="505" hidden="1">
      <c r="A505" s="93">
        <v>43488.0</v>
      </c>
      <c r="B505" s="90"/>
      <c r="C505" s="90" t="s">
        <v>1227</v>
      </c>
      <c r="D505" s="90" t="s">
        <v>1228</v>
      </c>
      <c r="E505" s="90">
        <f>+971566886199</f>
        <v>971566886199</v>
      </c>
      <c r="F505" s="87" t="s">
        <v>975</v>
      </c>
      <c r="G505" s="39" t="s">
        <v>1168</v>
      </c>
    </row>
    <row r="506" hidden="1">
      <c r="A506" s="93">
        <v>43488.0</v>
      </c>
      <c r="B506" s="90"/>
      <c r="C506" s="90" t="s">
        <v>1229</v>
      </c>
      <c r="D506" s="90" t="s">
        <v>1230</v>
      </c>
      <c r="E506" s="90">
        <f>+971527793005</f>
        <v>971527793005</v>
      </c>
      <c r="F506" s="87" t="s">
        <v>975</v>
      </c>
      <c r="G506" s="39" t="s">
        <v>1168</v>
      </c>
    </row>
    <row r="507" hidden="1">
      <c r="A507" s="93">
        <v>43488.0</v>
      </c>
      <c r="B507" s="90"/>
      <c r="C507" s="90" t="s">
        <v>1231</v>
      </c>
      <c r="D507" s="90" t="s">
        <v>1232</v>
      </c>
      <c r="E507" s="90">
        <f>+971555040525</f>
        <v>971555040525</v>
      </c>
      <c r="F507" s="87" t="s">
        <v>975</v>
      </c>
      <c r="G507" s="39" t="s">
        <v>168</v>
      </c>
    </row>
    <row r="508" hidden="1">
      <c r="A508" s="93">
        <v>43488.0</v>
      </c>
      <c r="B508" s="90"/>
      <c r="C508" s="90" t="s">
        <v>1233</v>
      </c>
      <c r="D508" s="90" t="s">
        <v>1234</v>
      </c>
      <c r="E508" s="91" t="s">
        <v>1235</v>
      </c>
      <c r="F508" s="87" t="s">
        <v>975</v>
      </c>
      <c r="G508" s="39" t="s">
        <v>1236</v>
      </c>
    </row>
    <row r="509" hidden="1">
      <c r="A509" s="93">
        <v>43489.0</v>
      </c>
      <c r="B509" s="90"/>
      <c r="C509" s="90" t="s">
        <v>1237</v>
      </c>
      <c r="D509" s="90" t="s">
        <v>1238</v>
      </c>
      <c r="E509" s="90">
        <f>+971556913437</f>
        <v>971556913437</v>
      </c>
      <c r="F509" s="87" t="s">
        <v>975</v>
      </c>
      <c r="G509" s="39" t="s">
        <v>1168</v>
      </c>
    </row>
    <row r="510" hidden="1">
      <c r="A510" s="93">
        <v>43489.0</v>
      </c>
      <c r="B510" s="90"/>
      <c r="C510" s="90" t="s">
        <v>1239</v>
      </c>
      <c r="D510" s="90" t="s">
        <v>1240</v>
      </c>
      <c r="E510" s="90">
        <f>+966540220888</f>
        <v>966540220888</v>
      </c>
      <c r="F510" s="87" t="s">
        <v>975</v>
      </c>
      <c r="G510" s="39" t="s">
        <v>1241</v>
      </c>
    </row>
    <row r="511" hidden="1">
      <c r="A511" s="93">
        <v>43491.0</v>
      </c>
      <c r="B511" s="90"/>
      <c r="C511" s="90" t="s">
        <v>1242</v>
      </c>
      <c r="D511" s="90" t="s">
        <v>1243</v>
      </c>
      <c r="E511" s="90">
        <f>+971505573803</f>
        <v>971505573803</v>
      </c>
      <c r="F511" s="87" t="s">
        <v>975</v>
      </c>
      <c r="G511" s="39" t="s">
        <v>168</v>
      </c>
    </row>
    <row r="512" hidden="1">
      <c r="A512" s="93">
        <v>43491.0</v>
      </c>
      <c r="B512" s="90"/>
      <c r="C512" s="90" t="s">
        <v>1244</v>
      </c>
      <c r="D512" s="90" t="s">
        <v>1245</v>
      </c>
      <c r="E512" s="90">
        <f>+971504586284</f>
        <v>971504586284</v>
      </c>
      <c r="F512" s="87" t="s">
        <v>975</v>
      </c>
      <c r="G512" s="39" t="s">
        <v>574</v>
      </c>
    </row>
    <row r="513" hidden="1">
      <c r="A513" s="93">
        <v>43491.0</v>
      </c>
      <c r="B513" s="90"/>
      <c r="C513" s="90" t="s">
        <v>1246</v>
      </c>
      <c r="D513" s="90" t="s">
        <v>1247</v>
      </c>
      <c r="E513" s="90">
        <f>+971507087306</f>
        <v>971507087306</v>
      </c>
      <c r="F513" s="87" t="s">
        <v>975</v>
      </c>
      <c r="G513" s="39" t="s">
        <v>574</v>
      </c>
    </row>
    <row r="514" hidden="1">
      <c r="A514" s="93">
        <v>43491.0</v>
      </c>
      <c r="B514" s="90"/>
      <c r="C514" s="90" t="s">
        <v>1248</v>
      </c>
      <c r="D514" s="90" t="s">
        <v>1249</v>
      </c>
      <c r="E514" s="90">
        <f>+9710524020314</f>
        <v>9710524020314</v>
      </c>
      <c r="F514" s="87" t="s">
        <v>975</v>
      </c>
      <c r="G514" s="39" t="s">
        <v>168</v>
      </c>
    </row>
    <row r="515" hidden="1">
      <c r="A515" s="93">
        <v>43491.0</v>
      </c>
      <c r="B515" s="92"/>
      <c r="C515" s="92" t="s">
        <v>1250</v>
      </c>
      <c r="D515" s="90" t="s">
        <v>1251</v>
      </c>
      <c r="E515" s="90">
        <f>+966555409770</f>
        <v>966555409770</v>
      </c>
      <c r="F515" s="87" t="s">
        <v>975</v>
      </c>
      <c r="G515" s="39" t="s">
        <v>1252</v>
      </c>
    </row>
    <row r="516" hidden="1">
      <c r="A516" s="93">
        <v>43492.0</v>
      </c>
      <c r="B516" s="90"/>
      <c r="C516" s="90" t="s">
        <v>1253</v>
      </c>
      <c r="D516" s="90" t="s">
        <v>1254</v>
      </c>
      <c r="E516" s="100">
        <v>9.660535574436E12</v>
      </c>
      <c r="F516" s="87" t="s">
        <v>975</v>
      </c>
      <c r="G516" s="39" t="s">
        <v>457</v>
      </c>
    </row>
    <row r="517" hidden="1">
      <c r="A517" s="93">
        <v>43492.0</v>
      </c>
      <c r="B517" s="90"/>
      <c r="C517" s="90" t="s">
        <v>1255</v>
      </c>
      <c r="D517" s="90" t="s">
        <v>1256</v>
      </c>
      <c r="E517" s="90">
        <f>+971505542722</f>
        <v>971505542722</v>
      </c>
      <c r="F517" s="87" t="s">
        <v>975</v>
      </c>
      <c r="G517" s="39" t="s">
        <v>1257</v>
      </c>
    </row>
    <row r="518" hidden="1">
      <c r="A518" s="93">
        <v>43492.0</v>
      </c>
      <c r="B518" s="90"/>
      <c r="C518" s="90" t="s">
        <v>1258</v>
      </c>
      <c r="D518" s="90" t="s">
        <v>1259</v>
      </c>
      <c r="E518" s="91" t="s">
        <v>1260</v>
      </c>
      <c r="F518" s="87" t="s">
        <v>975</v>
      </c>
      <c r="G518" s="39" t="s">
        <v>574</v>
      </c>
    </row>
    <row r="519" hidden="1">
      <c r="A519" s="93">
        <v>43493.0</v>
      </c>
      <c r="B519" s="90"/>
      <c r="C519" s="90" t="s">
        <v>462</v>
      </c>
      <c r="D519" s="90" t="s">
        <v>463</v>
      </c>
      <c r="E519" s="90">
        <f>+971566609779</f>
        <v>971566609779</v>
      </c>
      <c r="F519" s="87" t="s">
        <v>975</v>
      </c>
      <c r="G519" s="39" t="s">
        <v>1261</v>
      </c>
    </row>
    <row r="520" hidden="1">
      <c r="A520" s="93">
        <v>43493.0</v>
      </c>
      <c r="B520" s="90"/>
      <c r="C520" s="90" t="s">
        <v>1262</v>
      </c>
      <c r="D520" s="90" t="s">
        <v>1263</v>
      </c>
      <c r="E520" s="90">
        <f>+966504149412</f>
        <v>966504149412</v>
      </c>
      <c r="F520" s="87" t="s">
        <v>975</v>
      </c>
      <c r="G520" s="39" t="s">
        <v>574</v>
      </c>
    </row>
    <row r="521" hidden="1">
      <c r="A521" s="93">
        <v>43495.0</v>
      </c>
      <c r="B521" s="90"/>
      <c r="C521" s="90" t="s">
        <v>1264</v>
      </c>
      <c r="D521" s="90" t="s">
        <v>1265</v>
      </c>
      <c r="E521" s="91" t="s">
        <v>1266</v>
      </c>
      <c r="F521" s="87" t="s">
        <v>975</v>
      </c>
      <c r="G521" s="39" t="s">
        <v>574</v>
      </c>
    </row>
    <row r="522" hidden="1">
      <c r="A522" s="93">
        <v>43495.0</v>
      </c>
      <c r="B522" s="90"/>
      <c r="C522" s="90" t="s">
        <v>1267</v>
      </c>
      <c r="D522" s="90" t="s">
        <v>1268</v>
      </c>
      <c r="E522" s="90">
        <f>+971509005851</f>
        <v>971509005851</v>
      </c>
      <c r="F522" s="87" t="s">
        <v>975</v>
      </c>
      <c r="G522" s="39" t="s">
        <v>574</v>
      </c>
    </row>
    <row r="523" hidden="1">
      <c r="A523" s="93">
        <v>43495.0</v>
      </c>
      <c r="B523" s="90"/>
      <c r="C523" s="90" t="s">
        <v>1269</v>
      </c>
      <c r="D523" s="90" t="s">
        <v>1270</v>
      </c>
      <c r="E523" s="90">
        <f>+9660502005105</f>
        <v>9660502005105</v>
      </c>
      <c r="F523" s="87" t="s">
        <v>975</v>
      </c>
      <c r="G523" s="39" t="s">
        <v>979</v>
      </c>
    </row>
    <row r="524" hidden="1">
      <c r="A524" s="93">
        <v>43495.0</v>
      </c>
      <c r="B524" s="90"/>
      <c r="C524" s="90" t="s">
        <v>462</v>
      </c>
      <c r="D524" s="90" t="s">
        <v>463</v>
      </c>
      <c r="E524" s="90">
        <f>+971566609779</f>
        <v>971566609779</v>
      </c>
      <c r="F524" s="87" t="s">
        <v>975</v>
      </c>
      <c r="G524" s="39" t="s">
        <v>168</v>
      </c>
    </row>
    <row r="525" hidden="1">
      <c r="A525" s="93">
        <v>43495.0</v>
      </c>
      <c r="B525" s="90"/>
      <c r="C525" s="90" t="s">
        <v>1262</v>
      </c>
      <c r="D525" s="90" t="s">
        <v>1263</v>
      </c>
      <c r="E525" s="90">
        <f>+966504149412</f>
        <v>966504149412</v>
      </c>
      <c r="F525" s="87" t="s">
        <v>975</v>
      </c>
      <c r="G525" s="39" t="s">
        <v>574</v>
      </c>
    </row>
    <row r="526" hidden="1">
      <c r="A526" s="93">
        <v>43495.0</v>
      </c>
      <c r="B526" s="90"/>
      <c r="C526" s="90" t="s">
        <v>1271</v>
      </c>
      <c r="D526" s="90" t="s">
        <v>1272</v>
      </c>
      <c r="E526" s="91" t="s">
        <v>1273</v>
      </c>
      <c r="F526" s="87" t="s">
        <v>975</v>
      </c>
      <c r="G526" s="39" t="s">
        <v>574</v>
      </c>
    </row>
    <row r="527" hidden="1">
      <c r="A527" s="93">
        <v>43496.0</v>
      </c>
      <c r="B527" s="90"/>
      <c r="C527" s="90" t="s">
        <v>1274</v>
      </c>
      <c r="D527" s="90" t="s">
        <v>1275</v>
      </c>
      <c r="E527" s="90">
        <f>+971555224280</f>
        <v>971555224280</v>
      </c>
      <c r="F527" s="87" t="s">
        <v>975</v>
      </c>
      <c r="G527" s="39" t="s">
        <v>574</v>
      </c>
    </row>
    <row r="528" hidden="1">
      <c r="A528" s="93">
        <v>43496.0</v>
      </c>
      <c r="B528" s="90"/>
      <c r="C528" s="90" t="s">
        <v>1276</v>
      </c>
      <c r="D528" s="90" t="s">
        <v>1277</v>
      </c>
      <c r="E528" s="90">
        <f>+971528678378</f>
        <v>971528678378</v>
      </c>
      <c r="F528" s="87" t="s">
        <v>975</v>
      </c>
      <c r="G528" s="39" t="s">
        <v>545</v>
      </c>
    </row>
    <row r="529" hidden="1">
      <c r="A529" s="93">
        <v>43496.0</v>
      </c>
      <c r="B529" s="90"/>
      <c r="C529" s="90" t="s">
        <v>1278</v>
      </c>
      <c r="D529" s="90" t="s">
        <v>1279</v>
      </c>
      <c r="E529" s="91" t="s">
        <v>1280</v>
      </c>
      <c r="F529" s="87" t="s">
        <v>975</v>
      </c>
      <c r="G529" s="39" t="s">
        <v>574</v>
      </c>
    </row>
    <row r="530" hidden="1">
      <c r="A530" s="101">
        <v>43498.0</v>
      </c>
      <c r="B530" s="90"/>
      <c r="C530" s="90" t="s">
        <v>1281</v>
      </c>
      <c r="D530" s="90" t="s">
        <v>1282</v>
      </c>
      <c r="E530" s="90">
        <f>+971508997838</f>
        <v>971508997838</v>
      </c>
      <c r="F530" s="87" t="s">
        <v>975</v>
      </c>
      <c r="G530" s="39" t="s">
        <v>574</v>
      </c>
    </row>
    <row r="531" hidden="1">
      <c r="A531" s="101">
        <v>43498.0</v>
      </c>
      <c r="B531" s="90"/>
      <c r="C531" s="90" t="s">
        <v>1283</v>
      </c>
      <c r="D531" s="90" t="s">
        <v>1284</v>
      </c>
      <c r="E531" s="90">
        <f>+966554308130</f>
        <v>966554308130</v>
      </c>
      <c r="F531" s="87" t="s">
        <v>975</v>
      </c>
      <c r="G531" s="39" t="s">
        <v>574</v>
      </c>
    </row>
    <row r="532" hidden="1">
      <c r="A532" s="101">
        <v>43498.0</v>
      </c>
      <c r="B532" s="90"/>
      <c r="C532" s="90" t="s">
        <v>1285</v>
      </c>
      <c r="D532" s="90" t="s">
        <v>1286</v>
      </c>
      <c r="E532" s="90">
        <f>+971527860435</f>
        <v>971527860435</v>
      </c>
      <c r="F532" s="87" t="s">
        <v>975</v>
      </c>
      <c r="G532" s="39" t="s">
        <v>574</v>
      </c>
    </row>
    <row r="533" hidden="1">
      <c r="A533" s="101">
        <v>43499.0</v>
      </c>
      <c r="B533" s="90"/>
      <c r="C533" s="90" t="s">
        <v>1287</v>
      </c>
      <c r="D533" s="90" t="s">
        <v>1288</v>
      </c>
      <c r="E533" s="90">
        <f>+96599600000</f>
        <v>96599600000</v>
      </c>
      <c r="F533" s="87" t="s">
        <v>975</v>
      </c>
      <c r="G533" s="39" t="s">
        <v>457</v>
      </c>
    </row>
    <row r="534" hidden="1">
      <c r="A534" s="101">
        <v>43499.0</v>
      </c>
      <c r="B534" s="90"/>
      <c r="C534" s="90" t="s">
        <v>1289</v>
      </c>
      <c r="D534" s="90" t="s">
        <v>1290</v>
      </c>
      <c r="E534" s="90">
        <f>+9710559447119</f>
        <v>9710559447119</v>
      </c>
      <c r="F534" s="87" t="s">
        <v>975</v>
      </c>
      <c r="G534" s="39" t="s">
        <v>574</v>
      </c>
    </row>
    <row r="535" hidden="1">
      <c r="A535" s="101">
        <v>43499.0</v>
      </c>
      <c r="B535" s="90"/>
      <c r="C535" s="90" t="s">
        <v>1291</v>
      </c>
      <c r="D535" s="90" t="s">
        <v>1292</v>
      </c>
      <c r="E535" s="90">
        <f>+966504343247</f>
        <v>966504343247</v>
      </c>
      <c r="F535" s="87" t="s">
        <v>975</v>
      </c>
    </row>
    <row r="536" hidden="1">
      <c r="A536" s="101">
        <v>43499.0</v>
      </c>
      <c r="B536" s="90"/>
      <c r="C536" s="90" t="s">
        <v>1293</v>
      </c>
      <c r="D536" s="90" t="s">
        <v>1294</v>
      </c>
      <c r="E536" s="90">
        <f>+9660590555916</f>
        <v>9660590555916</v>
      </c>
      <c r="F536" s="87" t="s">
        <v>975</v>
      </c>
    </row>
    <row r="537" hidden="1">
      <c r="A537" s="101">
        <v>43500.0</v>
      </c>
      <c r="B537" s="90"/>
      <c r="C537" s="90" t="s">
        <v>1278</v>
      </c>
      <c r="D537" s="90" t="s">
        <v>1279</v>
      </c>
      <c r="E537" s="90">
        <f>+971504571643</f>
        <v>971504571643</v>
      </c>
      <c r="F537" s="87" t="s">
        <v>975</v>
      </c>
      <c r="G537" s="39" t="s">
        <v>574</v>
      </c>
    </row>
    <row r="538" hidden="1">
      <c r="A538" s="101">
        <v>43501.0</v>
      </c>
      <c r="B538" s="90"/>
      <c r="C538" s="90" t="s">
        <v>1295</v>
      </c>
      <c r="D538" s="90" t="s">
        <v>1296</v>
      </c>
      <c r="E538" s="91" t="s">
        <v>1297</v>
      </c>
      <c r="F538" s="87" t="s">
        <v>975</v>
      </c>
      <c r="G538" s="39" t="s">
        <v>574</v>
      </c>
    </row>
    <row r="539" hidden="1">
      <c r="A539" s="101">
        <v>43509.0</v>
      </c>
      <c r="B539" s="90"/>
      <c r="C539" s="90" t="s">
        <v>1298</v>
      </c>
      <c r="D539" s="90" t="s">
        <v>1299</v>
      </c>
      <c r="E539" s="91" t="s">
        <v>1300</v>
      </c>
      <c r="F539" s="87" t="s">
        <v>975</v>
      </c>
      <c r="G539" s="39" t="s">
        <v>574</v>
      </c>
    </row>
    <row r="540" hidden="1">
      <c r="A540" s="101">
        <v>43512.0</v>
      </c>
      <c r="B540" s="90"/>
      <c r="C540" s="90" t="s">
        <v>1301</v>
      </c>
      <c r="D540" s="90" t="s">
        <v>1302</v>
      </c>
      <c r="E540" s="90">
        <f>+971556367218</f>
        <v>971556367218</v>
      </c>
      <c r="F540" s="87" t="s">
        <v>975</v>
      </c>
      <c r="G540" s="39" t="s">
        <v>457</v>
      </c>
    </row>
    <row r="541" hidden="1">
      <c r="A541" s="101">
        <v>43513.0</v>
      </c>
      <c r="B541" s="90"/>
      <c r="C541" s="90" t="s">
        <v>1303</v>
      </c>
      <c r="D541" s="90" t="s">
        <v>1304</v>
      </c>
      <c r="E541" s="91" t="s">
        <v>1305</v>
      </c>
      <c r="F541" s="87" t="s">
        <v>975</v>
      </c>
      <c r="G541" s="39" t="s">
        <v>1085</v>
      </c>
    </row>
    <row r="542" hidden="1">
      <c r="A542" s="101">
        <v>43514.0</v>
      </c>
      <c r="B542" s="90"/>
      <c r="C542" s="90" t="s">
        <v>1306</v>
      </c>
      <c r="D542" s="90" t="s">
        <v>1307</v>
      </c>
      <c r="E542" s="57">
        <f>+971501036136</f>
        <v>971501036136</v>
      </c>
      <c r="F542" s="87" t="s">
        <v>975</v>
      </c>
      <c r="G542" s="39" t="s">
        <v>172</v>
      </c>
    </row>
    <row r="543" hidden="1">
      <c r="A543" s="101">
        <v>43514.0</v>
      </c>
      <c r="B543" s="90"/>
      <c r="C543" s="90" t="s">
        <v>1308</v>
      </c>
      <c r="D543" s="90" t="s">
        <v>1309</v>
      </c>
      <c r="E543" s="57">
        <f>+19162151537</f>
        <v>19162151537</v>
      </c>
      <c r="F543" s="87" t="s">
        <v>975</v>
      </c>
      <c r="G543" s="39" t="s">
        <v>574</v>
      </c>
    </row>
    <row r="544" hidden="1">
      <c r="A544" s="101">
        <v>43514.0</v>
      </c>
      <c r="B544" s="90"/>
      <c r="C544" s="90" t="s">
        <v>1310</v>
      </c>
      <c r="D544" s="90" t="s">
        <v>1311</v>
      </c>
      <c r="E544" s="57">
        <f>+966555156243</f>
        <v>966555156243</v>
      </c>
      <c r="F544" s="87" t="s">
        <v>975</v>
      </c>
      <c r="G544" s="39" t="s">
        <v>1312</v>
      </c>
    </row>
    <row r="545" hidden="1">
      <c r="A545" s="101">
        <v>43515.0</v>
      </c>
      <c r="B545" s="90"/>
      <c r="C545" s="90" t="s">
        <v>1313</v>
      </c>
      <c r="D545" s="90" t="s">
        <v>1314</v>
      </c>
      <c r="E545" s="91" t="s">
        <v>1315</v>
      </c>
      <c r="F545" s="87" t="s">
        <v>975</v>
      </c>
    </row>
    <row r="546" hidden="1">
      <c r="A546" s="101">
        <v>43516.0</v>
      </c>
      <c r="B546" s="57"/>
      <c r="C546" s="57" t="s">
        <v>1316</v>
      </c>
      <c r="D546" s="57" t="s">
        <v>1317</v>
      </c>
      <c r="E546" s="91" t="s">
        <v>1318</v>
      </c>
      <c r="F546" s="87" t="s">
        <v>975</v>
      </c>
      <c r="G546" s="39" t="s">
        <v>574</v>
      </c>
    </row>
    <row r="547" hidden="1">
      <c r="A547" s="101">
        <v>43517.0</v>
      </c>
      <c r="B547" s="90"/>
      <c r="C547" s="90" t="s">
        <v>1319</v>
      </c>
      <c r="D547" s="90" t="s">
        <v>1320</v>
      </c>
      <c r="E547" s="90">
        <f>+917506498741</f>
        <v>917506498741</v>
      </c>
      <c r="F547" s="87" t="s">
        <v>975</v>
      </c>
      <c r="G547" s="39" t="s">
        <v>574</v>
      </c>
    </row>
    <row r="548" hidden="1">
      <c r="A548" s="101">
        <v>43517.0</v>
      </c>
      <c r="B548" s="90"/>
      <c r="C548" s="90" t="s">
        <v>1321</v>
      </c>
      <c r="D548" s="90" t="s">
        <v>1322</v>
      </c>
      <c r="E548" s="90">
        <f>+9710504207586</f>
        <v>9710504207586</v>
      </c>
      <c r="F548" s="87" t="s">
        <v>975</v>
      </c>
      <c r="G548" s="39" t="s">
        <v>574</v>
      </c>
    </row>
    <row r="549" hidden="1">
      <c r="A549" s="102">
        <v>43518.0</v>
      </c>
      <c r="B549" s="90"/>
      <c r="C549" s="90" t="s">
        <v>1323</v>
      </c>
      <c r="D549" s="90" t="s">
        <v>1324</v>
      </c>
      <c r="E549" s="57">
        <f>+966553338461</f>
        <v>966553338461</v>
      </c>
      <c r="F549" s="87" t="s">
        <v>975</v>
      </c>
      <c r="G549" s="39" t="s">
        <v>168</v>
      </c>
    </row>
    <row r="550" hidden="1">
      <c r="A550" s="102">
        <v>43518.0</v>
      </c>
      <c r="B550" s="90"/>
      <c r="C550" s="90" t="s">
        <v>1325</v>
      </c>
      <c r="D550" s="90" t="s">
        <v>1326</v>
      </c>
      <c r="E550" s="57">
        <f>+6581822555</f>
        <v>6581822555</v>
      </c>
      <c r="F550" s="87" t="s">
        <v>975</v>
      </c>
      <c r="G550" s="39" t="s">
        <v>574</v>
      </c>
    </row>
    <row r="551" hidden="1">
      <c r="A551" s="102">
        <v>43518.0</v>
      </c>
      <c r="B551" s="90"/>
      <c r="C551" s="90" t="s">
        <v>1327</v>
      </c>
      <c r="D551" s="90" t="s">
        <v>1328</v>
      </c>
      <c r="E551" s="57">
        <f>+971502018984</f>
        <v>971502018984</v>
      </c>
      <c r="F551" s="87" t="s">
        <v>975</v>
      </c>
      <c r="G551" s="39" t="s">
        <v>979</v>
      </c>
    </row>
    <row r="552" hidden="1">
      <c r="A552" s="102">
        <v>43518.0</v>
      </c>
      <c r="B552" s="90"/>
      <c r="C552" s="90" t="s">
        <v>1329</v>
      </c>
      <c r="D552" s="90" t="s">
        <v>1330</v>
      </c>
      <c r="E552" s="57">
        <f>+9710527503005</f>
        <v>9710527503005</v>
      </c>
      <c r="F552" s="87" t="s">
        <v>975</v>
      </c>
      <c r="G552" s="39" t="s">
        <v>574</v>
      </c>
    </row>
    <row r="553" hidden="1">
      <c r="A553" s="102">
        <v>43518.0</v>
      </c>
      <c r="B553" s="90"/>
      <c r="C553" s="90" t="s">
        <v>1331</v>
      </c>
      <c r="D553" s="90" t="s">
        <v>1332</v>
      </c>
      <c r="E553" s="57">
        <f>+971501005771</f>
        <v>971501005771</v>
      </c>
      <c r="F553" s="87" t="s">
        <v>975</v>
      </c>
      <c r="G553" s="39" t="s">
        <v>168</v>
      </c>
    </row>
    <row r="554" hidden="1">
      <c r="A554" s="102">
        <v>43517.0</v>
      </c>
      <c r="B554" s="90"/>
      <c r="C554" s="90" t="s">
        <v>1333</v>
      </c>
      <c r="D554" s="90" t="s">
        <v>1334</v>
      </c>
      <c r="E554" s="57">
        <f>+9710529617352</f>
        <v>9710529617352</v>
      </c>
      <c r="F554" s="87" t="s">
        <v>975</v>
      </c>
      <c r="G554" s="39" t="s">
        <v>574</v>
      </c>
    </row>
    <row r="555" hidden="1">
      <c r="A555" s="102">
        <v>43518.0</v>
      </c>
      <c r="B555" s="90"/>
      <c r="C555" s="90" t="s">
        <v>1335</v>
      </c>
      <c r="D555" s="90" t="s">
        <v>1336</v>
      </c>
      <c r="E555" s="91" t="s">
        <v>1337</v>
      </c>
      <c r="F555" s="87" t="s">
        <v>975</v>
      </c>
    </row>
    <row r="556" hidden="1">
      <c r="A556" s="101">
        <v>43521.0</v>
      </c>
      <c r="B556" s="90"/>
      <c r="C556" s="90" t="s">
        <v>1338</v>
      </c>
      <c r="D556" s="90" t="s">
        <v>1339</v>
      </c>
      <c r="E556" s="90">
        <f>+9613628007</f>
        <v>9613628007</v>
      </c>
      <c r="F556" s="87" t="s">
        <v>975</v>
      </c>
      <c r="G556" s="39" t="s">
        <v>574</v>
      </c>
    </row>
    <row r="557" hidden="1">
      <c r="A557" s="101">
        <v>43521.0</v>
      </c>
      <c r="B557" s="90"/>
      <c r="C557" s="90" t="s">
        <v>1340</v>
      </c>
      <c r="D557" s="90" t="s">
        <v>1341</v>
      </c>
      <c r="E557" s="90">
        <f>+971509029918</f>
        <v>971509029918</v>
      </c>
      <c r="F557" s="87" t="s">
        <v>975</v>
      </c>
      <c r="G557" s="39" t="s">
        <v>574</v>
      </c>
    </row>
    <row r="558" hidden="1">
      <c r="A558" s="101">
        <v>43521.0</v>
      </c>
      <c r="B558" s="90"/>
      <c r="C558" s="90" t="s">
        <v>1342</v>
      </c>
      <c r="D558" s="90" t="s">
        <v>1343</v>
      </c>
      <c r="E558" s="57">
        <f>+971522926301</f>
        <v>971522926301</v>
      </c>
      <c r="F558" s="87" t="s">
        <v>975</v>
      </c>
      <c r="G558" s="39" t="s">
        <v>574</v>
      </c>
    </row>
    <row r="559" hidden="1">
      <c r="A559" s="101">
        <v>43521.0</v>
      </c>
      <c r="B559" s="90"/>
      <c r="C559" s="90" t="s">
        <v>1344</v>
      </c>
      <c r="D559" s="90" t="s">
        <v>1345</v>
      </c>
      <c r="E559" s="57">
        <f>+971522262515</f>
        <v>971522262515</v>
      </c>
      <c r="F559" s="87" t="s">
        <v>975</v>
      </c>
      <c r="G559" s="39" t="s">
        <v>1346</v>
      </c>
    </row>
    <row r="560" hidden="1">
      <c r="A560" s="101">
        <v>43521.0</v>
      </c>
      <c r="B560" s="90"/>
      <c r="C560" s="90" t="s">
        <v>1347</v>
      </c>
      <c r="D560" s="90" t="s">
        <v>1348</v>
      </c>
      <c r="E560" s="57">
        <f>+966550936008</f>
        <v>966550936008</v>
      </c>
      <c r="F560" s="87" t="s">
        <v>975</v>
      </c>
    </row>
    <row r="561" hidden="1">
      <c r="A561" s="101">
        <v>43521.0</v>
      </c>
      <c r="B561" s="90"/>
      <c r="C561" s="90" t="s">
        <v>1349</v>
      </c>
      <c r="D561" s="90" t="s">
        <v>1350</v>
      </c>
      <c r="E561" s="57">
        <f>+447818480320</f>
        <v>447818480320</v>
      </c>
      <c r="F561" s="87" t="s">
        <v>975</v>
      </c>
    </row>
    <row r="562" hidden="1">
      <c r="A562" s="101">
        <v>43522.0</v>
      </c>
      <c r="B562" s="90"/>
      <c r="C562" s="90" t="s">
        <v>1351</v>
      </c>
      <c r="D562" s="90" t="s">
        <v>1352</v>
      </c>
      <c r="E562" s="91" t="s">
        <v>1353</v>
      </c>
      <c r="F562" s="87" t="s">
        <v>975</v>
      </c>
      <c r="G562" s="39" t="s">
        <v>574</v>
      </c>
    </row>
    <row r="563" hidden="1">
      <c r="A563" s="103">
        <v>43523.0</v>
      </c>
      <c r="B563" s="90"/>
      <c r="C563" s="90" t="s">
        <v>1354</v>
      </c>
      <c r="D563" s="90" t="s">
        <v>1355</v>
      </c>
      <c r="E563" s="104">
        <f>+971528956292</f>
        <v>971528956292</v>
      </c>
      <c r="F563" s="87" t="s">
        <v>975</v>
      </c>
      <c r="G563" s="39" t="s">
        <v>574</v>
      </c>
    </row>
    <row r="564" hidden="1">
      <c r="A564" s="103">
        <v>43524.0</v>
      </c>
      <c r="B564" s="90"/>
      <c r="C564" s="90" t="s">
        <v>1356</v>
      </c>
      <c r="D564" s="90" t="s">
        <v>1357</v>
      </c>
      <c r="E564" s="90">
        <f>+96895563593</f>
        <v>96895563593</v>
      </c>
      <c r="F564" s="87" t="s">
        <v>975</v>
      </c>
      <c r="G564" s="39" t="s">
        <v>574</v>
      </c>
    </row>
    <row r="565" hidden="1">
      <c r="A565" s="103">
        <v>43524.0</v>
      </c>
      <c r="B565" s="57"/>
      <c r="C565" s="57" t="s">
        <v>1358</v>
      </c>
      <c r="D565" s="57" t="s">
        <v>1359</v>
      </c>
      <c r="E565" s="57" t="s">
        <v>1360</v>
      </c>
      <c r="F565" s="87" t="s">
        <v>975</v>
      </c>
    </row>
    <row r="566" hidden="1">
      <c r="A566" s="101">
        <v>43526.0</v>
      </c>
      <c r="B566" s="90"/>
      <c r="C566" s="90" t="s">
        <v>1361</v>
      </c>
      <c r="D566" s="90" t="s">
        <v>1362</v>
      </c>
      <c r="E566" s="90">
        <f>+971559991431</f>
        <v>971559991431</v>
      </c>
      <c r="F566" s="87" t="s">
        <v>975</v>
      </c>
      <c r="G566" s="39" t="s">
        <v>574</v>
      </c>
    </row>
    <row r="567" hidden="1">
      <c r="A567" s="101">
        <v>43526.0</v>
      </c>
      <c r="B567" s="90"/>
      <c r="C567" s="90" t="s">
        <v>1363</v>
      </c>
      <c r="D567" s="90" t="s">
        <v>1364</v>
      </c>
      <c r="E567" s="90">
        <f>+971558660681</f>
        <v>971558660681</v>
      </c>
      <c r="F567" s="87" t="s">
        <v>975</v>
      </c>
      <c r="G567" s="39" t="s">
        <v>168</v>
      </c>
    </row>
    <row r="568" hidden="1">
      <c r="A568" s="101">
        <v>43526.0</v>
      </c>
      <c r="B568" s="90"/>
      <c r="C568" s="90" t="s">
        <v>1365</v>
      </c>
      <c r="D568" s="90" t="s">
        <v>1366</v>
      </c>
      <c r="E568" s="90">
        <f>+6598636084</f>
        <v>6598636084</v>
      </c>
      <c r="F568" s="87" t="s">
        <v>975</v>
      </c>
      <c r="G568" s="39" t="s">
        <v>574</v>
      </c>
    </row>
    <row r="569" hidden="1">
      <c r="A569" s="101">
        <v>43526.0</v>
      </c>
      <c r="B569" s="90"/>
      <c r="C569" s="90" t="s">
        <v>1367</v>
      </c>
      <c r="D569" s="90" t="s">
        <v>1368</v>
      </c>
      <c r="E569" s="90">
        <f>+971552333531</f>
        <v>971552333531</v>
      </c>
      <c r="F569" s="87" t="s">
        <v>975</v>
      </c>
      <c r="G569" s="39" t="s">
        <v>168</v>
      </c>
    </row>
    <row r="570" hidden="1">
      <c r="A570" s="101">
        <v>43526.0</v>
      </c>
      <c r="B570" s="90"/>
      <c r="C570" s="90" t="s">
        <v>1369</v>
      </c>
      <c r="D570" s="90" t="s">
        <v>1370</v>
      </c>
      <c r="E570" s="90">
        <f>+966559022596</f>
        <v>966559022596</v>
      </c>
      <c r="F570" s="87" t="s">
        <v>975</v>
      </c>
    </row>
    <row r="571" hidden="1">
      <c r="A571" s="101">
        <v>43526.0</v>
      </c>
      <c r="B571" s="90"/>
      <c r="C571" s="90" t="s">
        <v>1371</v>
      </c>
      <c r="D571" s="90" t="s">
        <v>1372</v>
      </c>
      <c r="E571" s="90">
        <f>+14044838618</f>
        <v>14044838618</v>
      </c>
      <c r="F571" s="87" t="s">
        <v>975</v>
      </c>
    </row>
    <row r="572" hidden="1">
      <c r="A572" s="101">
        <v>43526.0</v>
      </c>
      <c r="B572" s="92"/>
      <c r="C572" s="92" t="s">
        <v>1373</v>
      </c>
      <c r="D572" s="90" t="s">
        <v>1374</v>
      </c>
      <c r="E572" s="90">
        <f>+971506230441</f>
        <v>971506230441</v>
      </c>
      <c r="F572" s="87" t="s">
        <v>975</v>
      </c>
      <c r="G572" s="39" t="s">
        <v>1202</v>
      </c>
    </row>
    <row r="573" hidden="1">
      <c r="A573" s="101">
        <v>43526.0</v>
      </c>
      <c r="B573" s="90"/>
      <c r="C573" s="90" t="s">
        <v>1375</v>
      </c>
      <c r="D573" s="90" t="s">
        <v>1376</v>
      </c>
      <c r="E573" s="90">
        <f>+971503190113</f>
        <v>971503190113</v>
      </c>
      <c r="F573" s="87" t="s">
        <v>975</v>
      </c>
      <c r="G573" s="39" t="s">
        <v>1377</v>
      </c>
    </row>
    <row r="574" hidden="1">
      <c r="A574" s="101">
        <v>43528.0</v>
      </c>
      <c r="B574" s="90"/>
      <c r="C574" s="90" t="s">
        <v>1378</v>
      </c>
      <c r="D574" s="90" t="s">
        <v>1379</v>
      </c>
      <c r="E574" s="90">
        <f>+9710509856087</f>
        <v>9710509856087</v>
      </c>
      <c r="F574" s="87" t="s">
        <v>975</v>
      </c>
      <c r="G574" s="39" t="s">
        <v>574</v>
      </c>
    </row>
    <row r="575" hidden="1">
      <c r="A575" s="101">
        <v>43528.0</v>
      </c>
      <c r="B575" s="90"/>
      <c r="C575" s="90" t="s">
        <v>1380</v>
      </c>
      <c r="D575" s="90" t="s">
        <v>1381</v>
      </c>
      <c r="E575" s="90">
        <f>+971508003545</f>
        <v>971508003545</v>
      </c>
      <c r="F575" s="87" t="s">
        <v>975</v>
      </c>
      <c r="G575" s="39" t="s">
        <v>168</v>
      </c>
    </row>
    <row r="576" hidden="1">
      <c r="A576" s="101">
        <v>43528.0</v>
      </c>
      <c r="B576" s="90"/>
      <c r="C576" s="90" t="s">
        <v>1382</v>
      </c>
      <c r="D576" s="90" t="s">
        <v>1383</v>
      </c>
      <c r="E576" s="90">
        <f>+9109819023472</f>
        <v>9109819023472</v>
      </c>
      <c r="F576" s="87" t="s">
        <v>975</v>
      </c>
    </row>
    <row r="577" hidden="1">
      <c r="A577" s="101">
        <v>43528.0</v>
      </c>
      <c r="B577" s="90"/>
      <c r="C577" s="90" t="s">
        <v>1384</v>
      </c>
      <c r="D577" s="90" t="s">
        <v>1385</v>
      </c>
      <c r="E577" s="90">
        <f>+6591251728</f>
        <v>6591251728</v>
      </c>
      <c r="F577" s="87" t="s">
        <v>975</v>
      </c>
    </row>
    <row r="578" hidden="1">
      <c r="A578" s="101">
        <v>43528.0</v>
      </c>
      <c r="B578" s="90"/>
      <c r="C578" s="90" t="s">
        <v>1386</v>
      </c>
      <c r="D578" s="90" t="s">
        <v>1387</v>
      </c>
      <c r="E578" s="90">
        <f>+971555173317</f>
        <v>971555173317</v>
      </c>
      <c r="F578" s="87" t="s">
        <v>975</v>
      </c>
      <c r="G578" s="39" t="s">
        <v>574</v>
      </c>
    </row>
    <row r="579" hidden="1">
      <c r="A579" s="101">
        <v>43528.0</v>
      </c>
      <c r="B579" s="90"/>
      <c r="C579" s="90" t="s">
        <v>1388</v>
      </c>
      <c r="D579" s="90" t="s">
        <v>1389</v>
      </c>
      <c r="E579" s="90">
        <f>+971529875546</f>
        <v>971529875546</v>
      </c>
      <c r="F579" s="87" t="s">
        <v>975</v>
      </c>
      <c r="G579" s="39" t="s">
        <v>168</v>
      </c>
    </row>
    <row r="580" hidden="1">
      <c r="A580" s="101">
        <v>43528.0</v>
      </c>
      <c r="B580" s="90"/>
      <c r="C580" s="90" t="s">
        <v>1390</v>
      </c>
      <c r="D580" s="90" t="s">
        <v>1391</v>
      </c>
      <c r="E580" s="90">
        <f>+971509200345</f>
        <v>971509200345</v>
      </c>
      <c r="F580" s="87" t="s">
        <v>975</v>
      </c>
      <c r="G580" s="39" t="s">
        <v>168</v>
      </c>
    </row>
    <row r="581" hidden="1">
      <c r="A581" s="101">
        <v>43528.0</v>
      </c>
      <c r="B581" s="90"/>
      <c r="C581" s="90" t="s">
        <v>1392</v>
      </c>
      <c r="D581" s="90" t="s">
        <v>1393</v>
      </c>
      <c r="E581" s="90">
        <f>+18328933330</f>
        <v>18328933330</v>
      </c>
      <c r="F581" s="87" t="s">
        <v>975</v>
      </c>
    </row>
    <row r="582" hidden="1">
      <c r="A582" s="101">
        <v>43529.0</v>
      </c>
      <c r="B582" s="90"/>
      <c r="C582" s="90" t="s">
        <v>1394</v>
      </c>
      <c r="D582" s="90" t="s">
        <v>1395</v>
      </c>
      <c r="E582" s="90">
        <f>+971561440377</f>
        <v>971561440377</v>
      </c>
      <c r="F582" s="87" t="s">
        <v>975</v>
      </c>
      <c r="G582" s="39" t="s">
        <v>574</v>
      </c>
    </row>
    <row r="583" hidden="1">
      <c r="A583" s="101">
        <v>43529.0</v>
      </c>
      <c r="B583" s="90"/>
      <c r="C583" s="90" t="s">
        <v>1396</v>
      </c>
      <c r="D583" s="90" t="s">
        <v>1397</v>
      </c>
      <c r="E583" s="90">
        <f>+971503010548</f>
        <v>971503010548</v>
      </c>
      <c r="F583" s="87" t="s">
        <v>975</v>
      </c>
      <c r="G583" s="39" t="s">
        <v>168</v>
      </c>
    </row>
    <row r="584" hidden="1">
      <c r="A584" s="101">
        <v>43529.0</v>
      </c>
      <c r="B584" s="90"/>
      <c r="C584" s="90" t="s">
        <v>1398</v>
      </c>
      <c r="D584" s="90" t="s">
        <v>1399</v>
      </c>
      <c r="E584" s="90">
        <f>+971508742015</f>
        <v>971508742015</v>
      </c>
      <c r="F584" s="87" t="s">
        <v>975</v>
      </c>
      <c r="G584" s="39" t="s">
        <v>168</v>
      </c>
    </row>
    <row r="585" hidden="1">
      <c r="A585" s="101">
        <v>43529.0</v>
      </c>
      <c r="B585" s="90"/>
      <c r="C585" s="90" t="s">
        <v>1400</v>
      </c>
      <c r="D585" s="90" t="s">
        <v>1401</v>
      </c>
      <c r="E585" s="90">
        <f>+9660505930480</f>
        <v>9660505930480</v>
      </c>
      <c r="F585" s="87" t="s">
        <v>975</v>
      </c>
    </row>
    <row r="586" hidden="1">
      <c r="A586" s="101">
        <v>43529.0</v>
      </c>
      <c r="B586" s="90"/>
      <c r="C586" s="90" t="s">
        <v>1402</v>
      </c>
      <c r="D586" s="90" t="s">
        <v>1403</v>
      </c>
      <c r="E586" s="90">
        <f>+919926465676</f>
        <v>919926465676</v>
      </c>
      <c r="F586" s="87" t="s">
        <v>975</v>
      </c>
    </row>
    <row r="587" hidden="1">
      <c r="A587" s="101">
        <v>43529.0</v>
      </c>
      <c r="B587" s="90"/>
      <c r="C587" s="90" t="s">
        <v>1404</v>
      </c>
      <c r="D587" s="90" t="s">
        <v>1405</v>
      </c>
      <c r="E587" s="91" t="s">
        <v>1406</v>
      </c>
      <c r="F587" s="87" t="s">
        <v>975</v>
      </c>
      <c r="G587" s="39" t="s">
        <v>574</v>
      </c>
    </row>
    <row r="588" hidden="1">
      <c r="A588" s="101">
        <v>43529.0</v>
      </c>
      <c r="B588" s="92"/>
      <c r="C588" s="92" t="s">
        <v>1407</v>
      </c>
      <c r="D588" s="90" t="s">
        <v>1408</v>
      </c>
      <c r="E588" s="96" t="s">
        <v>1409</v>
      </c>
      <c r="F588" s="87" t="s">
        <v>975</v>
      </c>
    </row>
    <row r="589" hidden="1">
      <c r="A589" s="101">
        <v>43530.0</v>
      </c>
      <c r="B589" s="90"/>
      <c r="C589" s="90" t="s">
        <v>1410</v>
      </c>
      <c r="D589" s="90" t="s">
        <v>1411</v>
      </c>
      <c r="E589" s="91" t="s">
        <v>1412</v>
      </c>
      <c r="F589" s="87" t="s">
        <v>975</v>
      </c>
      <c r="G589" s="39" t="s">
        <v>979</v>
      </c>
    </row>
    <row r="590" hidden="1">
      <c r="A590" s="101">
        <v>43530.0</v>
      </c>
      <c r="B590" s="90"/>
      <c r="C590" s="90" t="s">
        <v>1413</v>
      </c>
      <c r="D590" s="90" t="s">
        <v>1414</v>
      </c>
      <c r="E590" s="90">
        <f>+9710556117689</f>
        <v>9710556117689</v>
      </c>
      <c r="F590" s="87" t="s">
        <v>975</v>
      </c>
      <c r="G590" s="39" t="s">
        <v>574</v>
      </c>
    </row>
    <row r="591" hidden="1">
      <c r="A591" s="101">
        <v>43530.0</v>
      </c>
      <c r="B591" s="90"/>
      <c r="C591" s="90" t="s">
        <v>1415</v>
      </c>
      <c r="D591" s="90" t="s">
        <v>1416</v>
      </c>
      <c r="E591" s="90">
        <f>+9660505930480</f>
        <v>9660505930480</v>
      </c>
      <c r="F591" s="87" t="s">
        <v>975</v>
      </c>
      <c r="G591" s="39" t="s">
        <v>979</v>
      </c>
    </row>
    <row r="592" hidden="1">
      <c r="A592" s="101">
        <v>43530.0</v>
      </c>
      <c r="B592" s="90"/>
      <c r="C592" s="90" t="s">
        <v>1417</v>
      </c>
      <c r="D592" s="90" t="s">
        <v>1418</v>
      </c>
      <c r="E592" s="90">
        <f>+966591998173</f>
        <v>966591998173</v>
      </c>
      <c r="F592" s="87" t="s">
        <v>975</v>
      </c>
      <c r="G592" s="39" t="s">
        <v>574</v>
      </c>
    </row>
    <row r="593" hidden="1">
      <c r="A593" s="101">
        <v>43530.0</v>
      </c>
      <c r="B593" s="90"/>
      <c r="C593" s="90" t="s">
        <v>1419</v>
      </c>
      <c r="D593" s="90" t="s">
        <v>1420</v>
      </c>
      <c r="E593" s="90">
        <f>+966555955022</f>
        <v>966555955022</v>
      </c>
      <c r="F593" s="87" t="s">
        <v>975</v>
      </c>
      <c r="G593" s="39" t="s">
        <v>1421</v>
      </c>
    </row>
    <row r="594" hidden="1">
      <c r="A594" s="101">
        <v>43530.0</v>
      </c>
      <c r="B594" s="90"/>
      <c r="C594" s="90" t="s">
        <v>1422</v>
      </c>
      <c r="D594" s="90" t="s">
        <v>1423</v>
      </c>
      <c r="E594" s="90">
        <f>+96599066648</f>
        <v>96599066648</v>
      </c>
      <c r="F594" s="87" t="s">
        <v>975</v>
      </c>
      <c r="G594" s="39" t="s">
        <v>168</v>
      </c>
    </row>
    <row r="595" hidden="1">
      <c r="A595" s="101">
        <v>43530.0</v>
      </c>
      <c r="B595" s="90"/>
      <c r="C595" s="90" t="s">
        <v>1424</v>
      </c>
      <c r="D595" s="90" t="s">
        <v>1425</v>
      </c>
      <c r="E595" s="90">
        <f>+8801711701707</f>
        <v>8801711701707</v>
      </c>
      <c r="F595" s="87" t="s">
        <v>975</v>
      </c>
      <c r="G595" s="39" t="s">
        <v>574</v>
      </c>
    </row>
    <row r="596" hidden="1">
      <c r="A596" s="101">
        <v>43530.0</v>
      </c>
      <c r="B596" s="90"/>
      <c r="C596" s="90" t="s">
        <v>1426</v>
      </c>
      <c r="D596" s="90" t="s">
        <v>1427</v>
      </c>
      <c r="E596" s="90">
        <v>9.71505608735E11</v>
      </c>
      <c r="F596" s="87" t="s">
        <v>975</v>
      </c>
      <c r="G596" s="39" t="s">
        <v>457</v>
      </c>
    </row>
    <row r="597" hidden="1">
      <c r="A597" s="101">
        <v>43530.0</v>
      </c>
      <c r="B597" s="90"/>
      <c r="C597" s="90" t="s">
        <v>1428</v>
      </c>
      <c r="D597" s="90" t="s">
        <v>1429</v>
      </c>
      <c r="E597" s="90">
        <f>+9660504676572</f>
        <v>9660504676572</v>
      </c>
      <c r="F597" s="87" t="s">
        <v>975</v>
      </c>
      <c r="G597" s="39" t="s">
        <v>1153</v>
      </c>
    </row>
    <row r="598" hidden="1">
      <c r="A598" s="101">
        <v>43530.0</v>
      </c>
      <c r="B598" s="92"/>
      <c r="C598" s="92" t="s">
        <v>1430</v>
      </c>
      <c r="D598" s="90" t="s">
        <v>1431</v>
      </c>
      <c r="E598" s="57">
        <f>+971552160835</f>
        <v>971552160835</v>
      </c>
      <c r="F598" s="87" t="s">
        <v>975</v>
      </c>
      <c r="G598" s="39" t="s">
        <v>1432</v>
      </c>
    </row>
    <row r="599" hidden="1">
      <c r="A599" s="101">
        <v>43530.0</v>
      </c>
      <c r="B599" s="90"/>
      <c r="C599" s="90" t="s">
        <v>1433</v>
      </c>
      <c r="D599" s="90" t="s">
        <v>1434</v>
      </c>
      <c r="E599" s="57">
        <f>+971506562399</f>
        <v>971506562399</v>
      </c>
      <c r="F599" s="87" t="s">
        <v>975</v>
      </c>
      <c r="G599" s="39" t="s">
        <v>574</v>
      </c>
    </row>
    <row r="600" hidden="1">
      <c r="A600" s="103">
        <v>43530.0</v>
      </c>
      <c r="B600" s="105"/>
      <c r="C600" s="105" t="s">
        <v>481</v>
      </c>
      <c r="D600" s="81" t="s">
        <v>482</v>
      </c>
      <c r="E600" s="81">
        <v>9.71506256617E11</v>
      </c>
      <c r="F600" s="87" t="s">
        <v>975</v>
      </c>
      <c r="G600" s="39" t="s">
        <v>168</v>
      </c>
    </row>
    <row r="601" hidden="1">
      <c r="A601" s="103">
        <v>43531.0</v>
      </c>
      <c r="B601" s="90"/>
      <c r="C601" s="90" t="s">
        <v>1435</v>
      </c>
      <c r="D601" s="90" t="s">
        <v>1436</v>
      </c>
      <c r="E601" s="91" t="s">
        <v>1437</v>
      </c>
      <c r="F601" s="87" t="s">
        <v>975</v>
      </c>
      <c r="G601" s="39" t="s">
        <v>168</v>
      </c>
    </row>
    <row r="602" hidden="1">
      <c r="A602" s="103">
        <v>43531.0</v>
      </c>
      <c r="B602" s="90"/>
      <c r="C602" s="90" t="s">
        <v>1438</v>
      </c>
      <c r="D602" s="90" t="s">
        <v>1439</v>
      </c>
      <c r="E602" s="90">
        <f>+971553806644</f>
        <v>971553806644</v>
      </c>
      <c r="F602" s="87" t="s">
        <v>975</v>
      </c>
      <c r="G602" s="39" t="s">
        <v>574</v>
      </c>
    </row>
    <row r="603" hidden="1">
      <c r="A603" s="103">
        <v>43531.0</v>
      </c>
      <c r="B603" s="90"/>
      <c r="C603" s="90" t="s">
        <v>1440</v>
      </c>
      <c r="D603" s="90" t="s">
        <v>1441</v>
      </c>
      <c r="E603" s="90">
        <f>+971506885908</f>
        <v>971506885908</v>
      </c>
      <c r="F603" s="87" t="s">
        <v>975</v>
      </c>
      <c r="G603" s="39" t="s">
        <v>574</v>
      </c>
    </row>
    <row r="604" hidden="1">
      <c r="A604" s="103">
        <v>43533.0</v>
      </c>
      <c r="B604" s="90"/>
      <c r="C604" s="90" t="s">
        <v>1442</v>
      </c>
      <c r="D604" s="90" t="s">
        <v>1443</v>
      </c>
      <c r="E604" s="57">
        <f>+971502978516</f>
        <v>971502978516</v>
      </c>
      <c r="F604" s="87" t="s">
        <v>975</v>
      </c>
      <c r="G604" s="39" t="s">
        <v>168</v>
      </c>
    </row>
    <row r="605" hidden="1">
      <c r="A605" s="103">
        <v>43533.0</v>
      </c>
      <c r="B605" s="90"/>
      <c r="C605" s="90" t="s">
        <v>1444</v>
      </c>
      <c r="D605" s="90" t="s">
        <v>1445</v>
      </c>
      <c r="E605" s="57">
        <f>+971569003797</f>
        <v>971569003797</v>
      </c>
      <c r="F605" s="87" t="s">
        <v>975</v>
      </c>
      <c r="G605" s="39" t="s">
        <v>574</v>
      </c>
    </row>
    <row r="606" hidden="1">
      <c r="A606" s="103">
        <v>43533.0</v>
      </c>
      <c r="B606" s="90"/>
      <c r="C606" s="90" t="s">
        <v>1446</v>
      </c>
      <c r="D606" s="90" t="s">
        <v>1447</v>
      </c>
      <c r="E606" s="57">
        <f>+971556633241</f>
        <v>971556633241</v>
      </c>
      <c r="F606" s="87" t="s">
        <v>975</v>
      </c>
      <c r="G606" s="39" t="s">
        <v>1448</v>
      </c>
    </row>
    <row r="607" hidden="1">
      <c r="A607" s="103">
        <v>43533.0</v>
      </c>
      <c r="B607" s="90"/>
      <c r="C607" s="90" t="s">
        <v>1449</v>
      </c>
      <c r="D607" s="90" t="s">
        <v>1450</v>
      </c>
      <c r="E607" s="57">
        <f>+9710564946136</f>
        <v>9710564946136</v>
      </c>
      <c r="F607" s="87" t="s">
        <v>975</v>
      </c>
      <c r="G607" s="39" t="s">
        <v>168</v>
      </c>
    </row>
    <row r="608" hidden="1">
      <c r="A608" s="103">
        <v>43533.0</v>
      </c>
      <c r="B608" s="90"/>
      <c r="C608" s="90" t="s">
        <v>1451</v>
      </c>
      <c r="D608" s="90" t="s">
        <v>1452</v>
      </c>
      <c r="E608" s="57">
        <f>+971568275600</f>
        <v>971568275600</v>
      </c>
      <c r="F608" s="87" t="s">
        <v>975</v>
      </c>
      <c r="G608" s="39" t="s">
        <v>574</v>
      </c>
    </row>
    <row r="609" hidden="1">
      <c r="A609" s="103">
        <v>43533.0</v>
      </c>
      <c r="B609" s="57"/>
      <c r="C609" s="57" t="s">
        <v>1453</v>
      </c>
      <c r="D609" s="57" t="s">
        <v>1454</v>
      </c>
      <c r="E609" s="57">
        <f>+971504429050</f>
        <v>971504429050</v>
      </c>
      <c r="F609" s="87" t="s">
        <v>975</v>
      </c>
      <c r="G609" s="39" t="s">
        <v>574</v>
      </c>
    </row>
    <row r="610" hidden="1">
      <c r="A610" s="103">
        <v>43533.0</v>
      </c>
      <c r="B610" s="57"/>
      <c r="C610" s="57" t="s">
        <v>1455</v>
      </c>
      <c r="D610" s="57" t="s">
        <v>1456</v>
      </c>
      <c r="E610" s="57">
        <f>+971555394653</f>
        <v>971555394653</v>
      </c>
      <c r="F610" s="87" t="s">
        <v>975</v>
      </c>
      <c r="G610" s="39" t="s">
        <v>574</v>
      </c>
    </row>
    <row r="611" hidden="1">
      <c r="A611" s="103">
        <v>43533.0</v>
      </c>
      <c r="B611" s="90"/>
      <c r="C611" s="90" t="s">
        <v>1457</v>
      </c>
      <c r="D611" s="90" t="s">
        <v>1458</v>
      </c>
      <c r="E611" s="90">
        <f>+9710526925130</f>
        <v>9710526925130</v>
      </c>
      <c r="F611" s="87" t="s">
        <v>975</v>
      </c>
      <c r="G611" s="39" t="s">
        <v>168</v>
      </c>
    </row>
    <row r="612" hidden="1">
      <c r="A612" s="103">
        <v>43533.0</v>
      </c>
      <c r="B612" s="90"/>
      <c r="C612" s="90" t="s">
        <v>1453</v>
      </c>
      <c r="D612" s="90" t="s">
        <v>1454</v>
      </c>
      <c r="E612" s="90">
        <f>+971504429050</f>
        <v>971504429050</v>
      </c>
      <c r="F612" s="87" t="s">
        <v>975</v>
      </c>
      <c r="G612" s="39" t="s">
        <v>574</v>
      </c>
    </row>
    <row r="613" hidden="1">
      <c r="A613" s="103">
        <v>43533.0</v>
      </c>
      <c r="B613" s="90"/>
      <c r="C613" s="90" t="s">
        <v>1459</v>
      </c>
      <c r="D613" s="90" t="s">
        <v>1460</v>
      </c>
      <c r="E613" s="90">
        <f>+971569174377</f>
        <v>971569174377</v>
      </c>
      <c r="F613" s="87" t="s">
        <v>975</v>
      </c>
      <c r="G613" s="39" t="s">
        <v>574</v>
      </c>
    </row>
    <row r="614" hidden="1">
      <c r="A614" s="103">
        <v>43533.0</v>
      </c>
      <c r="B614" s="90"/>
      <c r="C614" s="90" t="s">
        <v>1461</v>
      </c>
      <c r="D614" s="90" t="s">
        <v>1462</v>
      </c>
      <c r="E614" s="90">
        <v>9.66585423144E11</v>
      </c>
      <c r="F614" s="87" t="s">
        <v>975</v>
      </c>
      <c r="G614" s="39" t="s">
        <v>457</v>
      </c>
    </row>
    <row r="615" hidden="1">
      <c r="A615" s="103">
        <v>43533.0</v>
      </c>
      <c r="B615" s="90"/>
      <c r="C615" s="90" t="s">
        <v>1463</v>
      </c>
      <c r="D615" s="90" t="s">
        <v>1464</v>
      </c>
      <c r="E615" s="90">
        <f>+9613366188</f>
        <v>9613366188</v>
      </c>
      <c r="F615" s="87" t="s">
        <v>975</v>
      </c>
      <c r="G615" s="39" t="s">
        <v>480</v>
      </c>
    </row>
    <row r="616" hidden="1">
      <c r="A616" s="103">
        <v>43533.0</v>
      </c>
      <c r="B616" s="90"/>
      <c r="C616" s="90" t="s">
        <v>1465</v>
      </c>
      <c r="D616" s="90" t="s">
        <v>1466</v>
      </c>
      <c r="E616" s="90">
        <f>+96560656633</f>
        <v>96560656633</v>
      </c>
      <c r="F616" s="87" t="s">
        <v>975</v>
      </c>
      <c r="G616" s="39" t="s">
        <v>457</v>
      </c>
    </row>
    <row r="617" hidden="1">
      <c r="A617" s="103">
        <v>43533.0</v>
      </c>
      <c r="B617" s="90"/>
      <c r="C617" s="90" t="s">
        <v>1467</v>
      </c>
      <c r="D617" s="90" t="s">
        <v>1468</v>
      </c>
      <c r="E617" s="90">
        <f>+971527776681</f>
        <v>971527776681</v>
      </c>
      <c r="F617" s="87" t="s">
        <v>975</v>
      </c>
      <c r="G617" s="39" t="s">
        <v>168</v>
      </c>
    </row>
    <row r="618" hidden="1">
      <c r="A618" s="103">
        <v>43533.0</v>
      </c>
      <c r="B618" s="90"/>
      <c r="C618" s="90" t="s">
        <v>1469</v>
      </c>
      <c r="D618" s="90" t="s">
        <v>1470</v>
      </c>
      <c r="E618" s="90">
        <f>+9660545148411</f>
        <v>9660545148411</v>
      </c>
      <c r="F618" s="87" t="s">
        <v>975</v>
      </c>
      <c r="G618" s="39" t="s">
        <v>457</v>
      </c>
    </row>
    <row r="619" hidden="1">
      <c r="A619" s="103">
        <v>43534.0</v>
      </c>
      <c r="B619" s="90"/>
      <c r="C619" s="90" t="s">
        <v>1471</v>
      </c>
      <c r="D619" s="90" t="s">
        <v>1472</v>
      </c>
      <c r="E619" s="90">
        <f>+971566653501</f>
        <v>971566653501</v>
      </c>
      <c r="F619" s="87" t="s">
        <v>975</v>
      </c>
      <c r="G619" s="39" t="s">
        <v>1473</v>
      </c>
    </row>
    <row r="620" hidden="1">
      <c r="A620" s="103">
        <v>43534.0</v>
      </c>
      <c r="B620" s="90"/>
      <c r="C620" s="90" t="s">
        <v>1474</v>
      </c>
      <c r="D620" s="90" t="s">
        <v>1475</v>
      </c>
      <c r="E620" s="90">
        <f>+85255962023</f>
        <v>85255962023</v>
      </c>
      <c r="F620" s="87" t="s">
        <v>975</v>
      </c>
      <c r="G620" s="39" t="s">
        <v>574</v>
      </c>
    </row>
    <row r="621" hidden="1">
      <c r="A621" s="103">
        <v>43534.0</v>
      </c>
      <c r="B621" s="92"/>
      <c r="C621" s="92" t="s">
        <v>1476</v>
      </c>
      <c r="D621" s="90" t="s">
        <v>1477</v>
      </c>
      <c r="E621" s="90">
        <f>+9710567803158</f>
        <v>9710567803158</v>
      </c>
      <c r="F621" s="87" t="s">
        <v>975</v>
      </c>
      <c r="G621" s="39" t="s">
        <v>168</v>
      </c>
    </row>
    <row r="622" hidden="1">
      <c r="A622" s="103">
        <v>43534.0</v>
      </c>
      <c r="B622" s="90"/>
      <c r="C622" s="90" t="s">
        <v>1478</v>
      </c>
      <c r="D622" s="90" t="s">
        <v>1479</v>
      </c>
      <c r="E622" s="57">
        <f>+9710555967000</f>
        <v>9710555967000</v>
      </c>
      <c r="F622" s="87" t="s">
        <v>975</v>
      </c>
      <c r="G622" s="39" t="s">
        <v>1480</v>
      </c>
    </row>
    <row r="623" hidden="1">
      <c r="A623" s="103">
        <v>43534.0</v>
      </c>
      <c r="B623" s="90"/>
      <c r="C623" s="90" t="s">
        <v>1481</v>
      </c>
      <c r="D623" s="90" t="s">
        <v>1482</v>
      </c>
      <c r="E623" s="57">
        <f>+971565023488</f>
        <v>971565023488</v>
      </c>
      <c r="F623" s="87" t="s">
        <v>975</v>
      </c>
      <c r="G623" s="39" t="s">
        <v>574</v>
      </c>
    </row>
    <row r="624" hidden="1">
      <c r="A624" s="103">
        <v>43534.0</v>
      </c>
      <c r="B624" s="90"/>
      <c r="C624" s="90" t="s">
        <v>1483</v>
      </c>
      <c r="D624" s="90" t="s">
        <v>1484</v>
      </c>
      <c r="E624" s="57">
        <f>+971557178659</f>
        <v>971557178659</v>
      </c>
      <c r="F624" s="87" t="s">
        <v>975</v>
      </c>
      <c r="G624" s="39" t="s">
        <v>168</v>
      </c>
    </row>
    <row r="625" hidden="1">
      <c r="A625" s="103">
        <v>43534.0</v>
      </c>
      <c r="B625" s="90"/>
      <c r="C625" s="90" t="s">
        <v>1474</v>
      </c>
      <c r="D625" s="90" t="s">
        <v>1475</v>
      </c>
      <c r="E625" s="57">
        <f>+85255962023</f>
        <v>85255962023</v>
      </c>
      <c r="F625" s="87" t="s">
        <v>975</v>
      </c>
      <c r="G625" s="39" t="s">
        <v>574</v>
      </c>
    </row>
    <row r="626" hidden="1">
      <c r="A626" s="103">
        <v>43535.0</v>
      </c>
      <c r="B626" s="92"/>
      <c r="C626" s="92" t="s">
        <v>1485</v>
      </c>
      <c r="D626" s="90" t="s">
        <v>1486</v>
      </c>
      <c r="E626" s="57">
        <f>+971566877389</f>
        <v>971566877389</v>
      </c>
      <c r="F626" s="87" t="s">
        <v>975</v>
      </c>
      <c r="G626" s="39" t="s">
        <v>574</v>
      </c>
    </row>
    <row r="627" hidden="1">
      <c r="A627" s="103">
        <v>43535.0</v>
      </c>
      <c r="B627" s="90"/>
      <c r="C627" s="90" t="s">
        <v>1487</v>
      </c>
      <c r="D627" s="90" t="s">
        <v>1488</v>
      </c>
      <c r="E627" s="57">
        <f>+971525579073</f>
        <v>971525579073</v>
      </c>
      <c r="F627" s="87" t="s">
        <v>975</v>
      </c>
      <c r="G627" s="39" t="s">
        <v>1153</v>
      </c>
    </row>
    <row r="628" hidden="1">
      <c r="A628" s="103">
        <v>43535.0</v>
      </c>
      <c r="B628" s="90"/>
      <c r="C628" s="90" t="s">
        <v>1483</v>
      </c>
      <c r="D628" s="90" t="s">
        <v>1484</v>
      </c>
      <c r="E628" s="57">
        <f>+971557178659</f>
        <v>971557178659</v>
      </c>
      <c r="F628" s="87" t="s">
        <v>975</v>
      </c>
      <c r="G628" s="39" t="s">
        <v>574</v>
      </c>
    </row>
    <row r="629" hidden="1">
      <c r="A629" s="103">
        <v>43535.0</v>
      </c>
      <c r="B629" s="92"/>
      <c r="C629" s="92" t="s">
        <v>1489</v>
      </c>
      <c r="D629" s="90" t="s">
        <v>1490</v>
      </c>
      <c r="E629" s="90">
        <f>+9710506016701</f>
        <v>9710506016701</v>
      </c>
      <c r="F629" s="87" t="s">
        <v>975</v>
      </c>
      <c r="G629" s="39" t="s">
        <v>574</v>
      </c>
    </row>
    <row r="630" hidden="1">
      <c r="A630" s="103">
        <v>43535.0</v>
      </c>
      <c r="B630" s="90"/>
      <c r="C630" s="90" t="s">
        <v>1491</v>
      </c>
      <c r="D630" s="90" t="s">
        <v>1492</v>
      </c>
      <c r="E630" s="57">
        <f>+971502457141</f>
        <v>971502457141</v>
      </c>
      <c r="F630" s="87" t="s">
        <v>975</v>
      </c>
      <c r="G630" s="39" t="s">
        <v>1153</v>
      </c>
    </row>
    <row r="631" hidden="1">
      <c r="A631" s="103">
        <v>43535.0</v>
      </c>
      <c r="B631" s="90"/>
      <c r="C631" s="90" t="s">
        <v>1493</v>
      </c>
      <c r="D631" s="90" t="s">
        <v>1494</v>
      </c>
      <c r="E631" s="57">
        <f>+971528926597</f>
        <v>971528926597</v>
      </c>
      <c r="F631" s="87" t="s">
        <v>975</v>
      </c>
      <c r="G631" s="39" t="s">
        <v>1495</v>
      </c>
    </row>
    <row r="632" hidden="1">
      <c r="A632" s="103">
        <v>43535.0</v>
      </c>
      <c r="B632" s="90"/>
      <c r="C632" s="90" t="s">
        <v>1496</v>
      </c>
      <c r="D632" s="90" t="s">
        <v>1497</v>
      </c>
      <c r="E632" s="90">
        <f>+919004672215</f>
        <v>919004672215</v>
      </c>
      <c r="F632" s="87" t="s">
        <v>975</v>
      </c>
      <c r="G632" s="39" t="s">
        <v>574</v>
      </c>
    </row>
    <row r="633" hidden="1">
      <c r="A633" s="103">
        <v>43536.0</v>
      </c>
      <c r="B633" s="90"/>
      <c r="C633" s="90" t="s">
        <v>1498</v>
      </c>
      <c r="D633" s="90" t="s">
        <v>1499</v>
      </c>
      <c r="E633" s="90">
        <f>+971529449933</f>
        <v>971529449933</v>
      </c>
      <c r="F633" s="87" t="s">
        <v>975</v>
      </c>
      <c r="G633" s="39" t="s">
        <v>838</v>
      </c>
    </row>
    <row r="634" hidden="1">
      <c r="A634" s="103">
        <v>43536.0</v>
      </c>
      <c r="B634" s="92"/>
      <c r="C634" s="92" t="s">
        <v>1461</v>
      </c>
      <c r="D634" s="90" t="s">
        <v>1500</v>
      </c>
      <c r="E634" s="91" t="s">
        <v>1501</v>
      </c>
      <c r="F634" s="87" t="s">
        <v>975</v>
      </c>
      <c r="G634" s="39" t="s">
        <v>574</v>
      </c>
    </row>
    <row r="635" hidden="1">
      <c r="A635" s="103">
        <v>43536.0</v>
      </c>
      <c r="B635" s="90"/>
      <c r="C635" s="90" t="s">
        <v>1502</v>
      </c>
      <c r="D635" s="90" t="s">
        <v>1503</v>
      </c>
      <c r="E635" s="91" t="s">
        <v>1504</v>
      </c>
      <c r="F635" s="87" t="s">
        <v>975</v>
      </c>
      <c r="G635" s="39" t="s">
        <v>574</v>
      </c>
    </row>
    <row r="636" hidden="1">
      <c r="A636" s="103">
        <v>43537.0</v>
      </c>
      <c r="B636" s="90"/>
      <c r="C636" s="90" t="s">
        <v>1505</v>
      </c>
      <c r="D636" s="90" t="s">
        <v>1506</v>
      </c>
      <c r="E636" s="91" t="s">
        <v>1507</v>
      </c>
      <c r="F636" s="87" t="s">
        <v>975</v>
      </c>
      <c r="G636" s="39" t="s">
        <v>574</v>
      </c>
    </row>
    <row r="637" hidden="1">
      <c r="A637" s="103">
        <v>43540.0</v>
      </c>
      <c r="B637" s="90"/>
      <c r="C637" s="90" t="s">
        <v>1508</v>
      </c>
      <c r="D637" s="90" t="s">
        <v>1509</v>
      </c>
      <c r="E637" s="90">
        <f>+971555901345</f>
        <v>971555901345</v>
      </c>
      <c r="F637" s="87" t="s">
        <v>975</v>
      </c>
      <c r="G637" s="39" t="s">
        <v>574</v>
      </c>
    </row>
    <row r="638" hidden="1">
      <c r="A638" s="103">
        <v>43540.0</v>
      </c>
      <c r="B638" s="90"/>
      <c r="C638" s="90" t="s">
        <v>1510</v>
      </c>
      <c r="D638" s="90" t="s">
        <v>1511</v>
      </c>
      <c r="E638" s="90">
        <f>+9710525933334</f>
        <v>9710525933334</v>
      </c>
      <c r="F638" s="87" t="s">
        <v>975</v>
      </c>
      <c r="G638" s="39" t="s">
        <v>574</v>
      </c>
    </row>
    <row r="639" hidden="1">
      <c r="A639" s="103">
        <v>43540.0</v>
      </c>
      <c r="B639" s="90"/>
      <c r="C639" s="90" t="s">
        <v>1512</v>
      </c>
      <c r="D639" s="90" t="s">
        <v>1513</v>
      </c>
      <c r="E639" s="90">
        <f>+971565460209</f>
        <v>971565460209</v>
      </c>
      <c r="F639" s="87" t="s">
        <v>975</v>
      </c>
      <c r="G639" s="39" t="s">
        <v>1514</v>
      </c>
    </row>
    <row r="640" hidden="1">
      <c r="A640" s="103">
        <v>43540.0</v>
      </c>
      <c r="B640" s="57"/>
      <c r="C640" s="57" t="s">
        <v>1515</v>
      </c>
      <c r="D640" s="57" t="s">
        <v>1516</v>
      </c>
      <c r="E640" s="106" t="s">
        <v>1517</v>
      </c>
      <c r="F640" s="87" t="s">
        <v>975</v>
      </c>
      <c r="G640" s="39" t="s">
        <v>1518</v>
      </c>
    </row>
    <row r="641" hidden="1">
      <c r="A641" s="103">
        <v>43540.0</v>
      </c>
      <c r="B641" s="57"/>
      <c r="C641" s="57" t="s">
        <v>1519</v>
      </c>
      <c r="D641" s="57" t="s">
        <v>1520</v>
      </c>
      <c r="E641" s="106" t="s">
        <v>1521</v>
      </c>
      <c r="F641" s="87" t="s">
        <v>975</v>
      </c>
    </row>
    <row r="642" hidden="1">
      <c r="A642" s="103">
        <v>43540.0</v>
      </c>
      <c r="B642" s="92"/>
      <c r="C642" s="92" t="s">
        <v>1522</v>
      </c>
      <c r="D642" s="90" t="s">
        <v>1523</v>
      </c>
      <c r="E642" s="90">
        <f>+9710523999983</f>
        <v>9710523999983</v>
      </c>
      <c r="F642" s="87" t="s">
        <v>975</v>
      </c>
      <c r="G642" s="39" t="s">
        <v>457</v>
      </c>
    </row>
    <row r="643" hidden="1">
      <c r="A643" s="103">
        <v>43541.0</v>
      </c>
      <c r="B643" s="90"/>
      <c r="C643" s="90" t="s">
        <v>1524</v>
      </c>
      <c r="D643" s="90" t="s">
        <v>1525</v>
      </c>
      <c r="E643" s="90">
        <f>+971502469965</f>
        <v>971502469965</v>
      </c>
      <c r="F643" s="87" t="s">
        <v>975</v>
      </c>
      <c r="G643" s="39" t="s">
        <v>1526</v>
      </c>
    </row>
    <row r="644" hidden="1">
      <c r="A644" s="103">
        <v>43541.0</v>
      </c>
      <c r="B644" s="92"/>
      <c r="C644" s="92" t="s">
        <v>1527</v>
      </c>
      <c r="D644" s="90" t="s">
        <v>1528</v>
      </c>
      <c r="E644" s="57">
        <f>+971555554160</f>
        <v>971555554160</v>
      </c>
      <c r="F644" s="87" t="s">
        <v>975</v>
      </c>
      <c r="G644" s="39" t="s">
        <v>1526</v>
      </c>
    </row>
    <row r="645" hidden="1">
      <c r="A645" s="103">
        <v>43541.0</v>
      </c>
      <c r="B645" s="90"/>
      <c r="C645" s="90" t="s">
        <v>1529</v>
      </c>
      <c r="D645" s="90" t="s">
        <v>1530</v>
      </c>
      <c r="E645" s="57">
        <f>+971557577161</f>
        <v>971557577161</v>
      </c>
      <c r="F645" s="87" t="s">
        <v>975</v>
      </c>
      <c r="G645" s="39" t="s">
        <v>168</v>
      </c>
    </row>
    <row r="646" hidden="1">
      <c r="A646" s="103">
        <v>43543.0</v>
      </c>
      <c r="B646" s="90"/>
      <c r="C646" s="90" t="s">
        <v>1531</v>
      </c>
      <c r="D646" s="90" t="s">
        <v>1532</v>
      </c>
      <c r="E646" s="90">
        <f>+971506127847</f>
        <v>971506127847</v>
      </c>
      <c r="F646" s="87" t="s">
        <v>975</v>
      </c>
      <c r="G646" s="39" t="s">
        <v>1533</v>
      </c>
    </row>
    <row r="647" hidden="1">
      <c r="A647" s="103">
        <v>43543.0</v>
      </c>
      <c r="B647" s="90"/>
      <c r="C647" s="90" t="s">
        <v>1534</v>
      </c>
      <c r="D647" s="90" t="s">
        <v>1535</v>
      </c>
      <c r="E647" s="90">
        <f>+971503837882</f>
        <v>971503837882</v>
      </c>
      <c r="F647" s="87" t="s">
        <v>975</v>
      </c>
      <c r="G647" s="39" t="s">
        <v>457</v>
      </c>
    </row>
    <row r="648" hidden="1">
      <c r="A648" s="103">
        <v>43543.0</v>
      </c>
      <c r="B648" s="92"/>
      <c r="C648" s="92" t="s">
        <v>1536</v>
      </c>
      <c r="D648" s="90" t="s">
        <v>1537</v>
      </c>
      <c r="E648" s="90">
        <f>+9710559367895</f>
        <v>9710559367895</v>
      </c>
      <c r="F648" s="87" t="s">
        <v>975</v>
      </c>
      <c r="G648" s="39" t="s">
        <v>1538</v>
      </c>
    </row>
    <row r="649" hidden="1">
      <c r="A649" s="103">
        <v>43543.0</v>
      </c>
      <c r="B649" s="90"/>
      <c r="C649" s="90" t="s">
        <v>1539</v>
      </c>
      <c r="D649" s="90" t="s">
        <v>1540</v>
      </c>
      <c r="E649" s="90">
        <f>+971528664221</f>
        <v>971528664221</v>
      </c>
      <c r="F649" s="87" t="s">
        <v>975</v>
      </c>
      <c r="G649" s="39" t="s">
        <v>457</v>
      </c>
    </row>
    <row r="650" hidden="1">
      <c r="A650" s="103">
        <v>43544.0</v>
      </c>
      <c r="B650" s="90"/>
      <c r="C650" s="90" t="s">
        <v>1541</v>
      </c>
      <c r="D650" s="90" t="s">
        <v>1542</v>
      </c>
      <c r="E650" s="90">
        <f>+639177798717</f>
        <v>639177798717</v>
      </c>
      <c r="F650" s="87" t="s">
        <v>975</v>
      </c>
      <c r="G650" s="39" t="s">
        <v>168</v>
      </c>
    </row>
    <row r="651" hidden="1">
      <c r="A651" s="103">
        <v>43545.0</v>
      </c>
      <c r="B651" s="90"/>
      <c r="C651" s="90" t="s">
        <v>1543</v>
      </c>
      <c r="D651" s="90" t="s">
        <v>1544</v>
      </c>
      <c r="E651" s="90">
        <f>+966563577406</f>
        <v>966563577406</v>
      </c>
      <c r="F651" s="87" t="s">
        <v>975</v>
      </c>
      <c r="G651" s="39" t="s">
        <v>574</v>
      </c>
    </row>
    <row r="652" hidden="1">
      <c r="A652" s="103">
        <v>43547.0</v>
      </c>
      <c r="B652" s="90"/>
      <c r="C652" s="90" t="s">
        <v>1545</v>
      </c>
      <c r="D652" s="90" t="s">
        <v>1546</v>
      </c>
      <c r="E652" s="90">
        <f>+971551608709</f>
        <v>971551608709</v>
      </c>
      <c r="F652" s="87" t="s">
        <v>975</v>
      </c>
      <c r="G652" s="39" t="s">
        <v>574</v>
      </c>
    </row>
    <row r="653" hidden="1">
      <c r="A653" s="103">
        <v>43547.0</v>
      </c>
      <c r="B653" s="90"/>
      <c r="C653" s="90" t="s">
        <v>1547</v>
      </c>
      <c r="D653" s="90" t="s">
        <v>1548</v>
      </c>
      <c r="E653" s="90">
        <f>+966555551531</f>
        <v>966555551531</v>
      </c>
      <c r="F653" s="87" t="s">
        <v>975</v>
      </c>
      <c r="G653" s="39" t="s">
        <v>574</v>
      </c>
    </row>
    <row r="654" hidden="1">
      <c r="A654" s="103">
        <v>43547.0</v>
      </c>
      <c r="B654" s="90"/>
      <c r="C654" s="90" t="s">
        <v>1549</v>
      </c>
      <c r="D654" s="90" t="s">
        <v>1550</v>
      </c>
      <c r="E654" s="90">
        <f>+9660543801252</f>
        <v>9660543801252</v>
      </c>
      <c r="F654" s="87" t="s">
        <v>975</v>
      </c>
      <c r="G654" s="39" t="s">
        <v>574</v>
      </c>
    </row>
    <row r="655" hidden="1">
      <c r="A655" s="103">
        <v>43547.0</v>
      </c>
      <c r="B655" s="90"/>
      <c r="C655" s="90" t="s">
        <v>1551</v>
      </c>
      <c r="D655" s="90" t="s">
        <v>1552</v>
      </c>
      <c r="E655" s="90">
        <f>+9710508990594</f>
        <v>9710508990594</v>
      </c>
      <c r="F655" s="87" t="s">
        <v>975</v>
      </c>
      <c r="G655" s="39" t="s">
        <v>1553</v>
      </c>
    </row>
    <row r="656" hidden="1">
      <c r="A656" s="103">
        <v>43547.0</v>
      </c>
      <c r="B656" s="90"/>
      <c r="C656" s="90" t="s">
        <v>1554</v>
      </c>
      <c r="D656" s="90" t="s">
        <v>1555</v>
      </c>
      <c r="E656" s="90">
        <f>+971556983689</f>
        <v>971556983689</v>
      </c>
      <c r="F656" s="87" t="s">
        <v>975</v>
      </c>
      <c r="G656" s="39" t="s">
        <v>168</v>
      </c>
    </row>
    <row r="657" hidden="1">
      <c r="A657" s="103">
        <v>43548.0</v>
      </c>
      <c r="B657" s="90"/>
      <c r="C657" s="90" t="s">
        <v>1556</v>
      </c>
      <c r="D657" s="90" t="s">
        <v>1557</v>
      </c>
      <c r="E657" s="90">
        <f>+971556862881</f>
        <v>971556862881</v>
      </c>
      <c r="F657" s="87" t="s">
        <v>975</v>
      </c>
      <c r="G657" s="39" t="s">
        <v>464</v>
      </c>
    </row>
    <row r="658" hidden="1">
      <c r="A658" s="103">
        <v>43548.0</v>
      </c>
      <c r="B658" s="90"/>
      <c r="C658" s="90" t="s">
        <v>1558</v>
      </c>
      <c r="D658" s="90" t="s">
        <v>1559</v>
      </c>
      <c r="E658" s="90">
        <f>+971553042142</f>
        <v>971553042142</v>
      </c>
      <c r="F658" s="87" t="s">
        <v>975</v>
      </c>
      <c r="G658" s="39" t="s">
        <v>574</v>
      </c>
    </row>
    <row r="659" hidden="1">
      <c r="A659" s="103">
        <v>43549.0</v>
      </c>
      <c r="B659" s="90"/>
      <c r="C659" s="90" t="s">
        <v>1560</v>
      </c>
      <c r="D659" s="90" t="s">
        <v>1561</v>
      </c>
      <c r="E659" s="90">
        <f>+971505570518</f>
        <v>971505570518</v>
      </c>
      <c r="F659" s="87" t="s">
        <v>975</v>
      </c>
      <c r="G659" s="39" t="s">
        <v>457</v>
      </c>
    </row>
    <row r="660" hidden="1">
      <c r="A660" s="103">
        <v>43549.0</v>
      </c>
      <c r="B660" s="90"/>
      <c r="C660" s="90" t="s">
        <v>1562</v>
      </c>
      <c r="D660" s="90" t="s">
        <v>1563</v>
      </c>
      <c r="E660" s="90">
        <f>+966504708252</f>
        <v>966504708252</v>
      </c>
      <c r="F660" s="87" t="s">
        <v>975</v>
      </c>
      <c r="G660" s="39" t="s">
        <v>574</v>
      </c>
    </row>
    <row r="661" hidden="1">
      <c r="A661" s="103">
        <v>43549.0</v>
      </c>
      <c r="B661" s="90"/>
      <c r="C661" s="90" t="s">
        <v>1564</v>
      </c>
      <c r="D661" s="90" t="s">
        <v>1565</v>
      </c>
      <c r="E661" s="90">
        <f>+971557659237</f>
        <v>971557659237</v>
      </c>
      <c r="F661" s="87" t="s">
        <v>975</v>
      </c>
      <c r="G661" s="39" t="s">
        <v>1538</v>
      </c>
    </row>
    <row r="662" hidden="1">
      <c r="A662" s="103">
        <v>43550.0</v>
      </c>
      <c r="B662" s="90"/>
      <c r="C662" s="90" t="s">
        <v>1566</v>
      </c>
      <c r="D662" s="90" t="s">
        <v>1567</v>
      </c>
      <c r="E662" s="57">
        <f>+971561553750</f>
        <v>971561553750</v>
      </c>
      <c r="F662" s="87" t="s">
        <v>975</v>
      </c>
      <c r="G662" s="39" t="s">
        <v>1538</v>
      </c>
    </row>
    <row r="663" hidden="1">
      <c r="A663" s="103">
        <v>43551.0</v>
      </c>
      <c r="B663" s="90"/>
      <c r="C663" s="90" t="s">
        <v>1568</v>
      </c>
      <c r="D663" s="90" t="s">
        <v>1569</v>
      </c>
      <c r="E663" s="90">
        <f>+971567196484</f>
        <v>971567196484</v>
      </c>
      <c r="F663" s="87" t="s">
        <v>975</v>
      </c>
      <c r="G663" s="39" t="s">
        <v>457</v>
      </c>
    </row>
    <row r="664" hidden="1">
      <c r="A664" s="103">
        <v>43551.0</v>
      </c>
      <c r="B664" s="90"/>
      <c r="C664" s="90" t="s">
        <v>1570</v>
      </c>
      <c r="D664" s="90" t="s">
        <v>1571</v>
      </c>
      <c r="E664" s="90">
        <f>+9710552285872</f>
        <v>9710552285872</v>
      </c>
      <c r="F664" s="87" t="s">
        <v>975</v>
      </c>
      <c r="G664" s="39" t="s">
        <v>1572</v>
      </c>
    </row>
    <row r="665" hidden="1">
      <c r="A665" s="103">
        <v>43551.0</v>
      </c>
      <c r="B665" s="90"/>
      <c r="C665" s="90" t="s">
        <v>1573</v>
      </c>
      <c r="D665" s="90" t="s">
        <v>1574</v>
      </c>
      <c r="E665" s="90">
        <f>+971509236677</f>
        <v>971509236677</v>
      </c>
      <c r="F665" s="87" t="s">
        <v>975</v>
      </c>
      <c r="G665" s="39" t="s">
        <v>1575</v>
      </c>
    </row>
    <row r="666" hidden="1">
      <c r="A666" s="103">
        <v>43554.0</v>
      </c>
      <c r="B666" s="90"/>
      <c r="C666" s="90" t="s">
        <v>1576</v>
      </c>
      <c r="D666" s="90" t="s">
        <v>1577</v>
      </c>
      <c r="E666" s="90">
        <f>+971566470689</f>
        <v>971566470689</v>
      </c>
      <c r="F666" s="87" t="s">
        <v>975</v>
      </c>
      <c r="G666" s="39" t="s">
        <v>574</v>
      </c>
    </row>
    <row r="667" hidden="1">
      <c r="A667" s="103">
        <v>43554.0</v>
      </c>
      <c r="B667" s="90"/>
      <c r="C667" s="90" t="s">
        <v>1578</v>
      </c>
      <c r="D667" s="90" t="s">
        <v>1579</v>
      </c>
      <c r="E667" s="90">
        <f>+971508228128</f>
        <v>971508228128</v>
      </c>
      <c r="F667" s="87" t="s">
        <v>975</v>
      </c>
      <c r="G667" s="39" t="s">
        <v>574</v>
      </c>
    </row>
    <row r="668" hidden="1">
      <c r="A668" s="103">
        <v>43554.0</v>
      </c>
      <c r="B668" s="90"/>
      <c r="C668" s="90" t="s">
        <v>1580</v>
      </c>
      <c r="D668" s="90" t="s">
        <v>1581</v>
      </c>
      <c r="E668" s="90">
        <f>+971529335388</f>
        <v>971529335388</v>
      </c>
      <c r="F668" s="87" t="s">
        <v>975</v>
      </c>
      <c r="G668" s="39" t="s">
        <v>1582</v>
      </c>
    </row>
    <row r="669" hidden="1">
      <c r="A669" s="103">
        <v>43554.0</v>
      </c>
      <c r="B669" s="90"/>
      <c r="C669" s="90" t="s">
        <v>1583</v>
      </c>
      <c r="D669" s="90" t="s">
        <v>1584</v>
      </c>
      <c r="E669" s="90">
        <f>+96599368804</f>
        <v>96599368804</v>
      </c>
      <c r="F669" s="87" t="s">
        <v>975</v>
      </c>
      <c r="G669" s="39" t="s">
        <v>574</v>
      </c>
    </row>
    <row r="670" hidden="1">
      <c r="A670" s="103">
        <v>43554.0</v>
      </c>
      <c r="B670" s="90"/>
      <c r="C670" s="90" t="s">
        <v>1585</v>
      </c>
      <c r="D670" s="90" t="s">
        <v>1586</v>
      </c>
      <c r="E670" s="90">
        <f>+971507171409</f>
        <v>971507171409</v>
      </c>
      <c r="F670" s="87" t="s">
        <v>975</v>
      </c>
      <c r="G670" s="39" t="s">
        <v>168</v>
      </c>
    </row>
    <row r="671" hidden="1">
      <c r="A671" s="103">
        <v>43554.0</v>
      </c>
      <c r="B671" s="90"/>
      <c r="C671" s="90" t="s">
        <v>1587</v>
      </c>
      <c r="D671" s="90" t="s">
        <v>1588</v>
      </c>
      <c r="E671" s="90">
        <f>+9710506844995</f>
        <v>9710506844995</v>
      </c>
      <c r="F671" s="87" t="s">
        <v>975</v>
      </c>
      <c r="G671" s="39" t="s">
        <v>574</v>
      </c>
    </row>
    <row r="672" hidden="1">
      <c r="A672" s="103">
        <v>43554.0</v>
      </c>
      <c r="B672" s="90"/>
      <c r="C672" s="90" t="s">
        <v>1589</v>
      </c>
      <c r="D672" s="90" t="s">
        <v>1590</v>
      </c>
      <c r="E672" s="90">
        <f>+96599655504</f>
        <v>96599655504</v>
      </c>
      <c r="F672" s="87" t="s">
        <v>975</v>
      </c>
      <c r="G672" s="39" t="s">
        <v>457</v>
      </c>
    </row>
    <row r="673" hidden="1">
      <c r="A673" s="103">
        <v>43555.0</v>
      </c>
      <c r="B673" s="90"/>
      <c r="C673" s="90" t="s">
        <v>1498</v>
      </c>
      <c r="D673" s="90" t="s">
        <v>1499</v>
      </c>
      <c r="E673" s="90">
        <f>+971529449933</f>
        <v>971529449933</v>
      </c>
      <c r="F673" s="87" t="s">
        <v>975</v>
      </c>
      <c r="G673" s="39" t="s">
        <v>574</v>
      </c>
    </row>
    <row r="674" hidden="1">
      <c r="A674" s="103">
        <v>43555.0</v>
      </c>
      <c r="B674" s="90"/>
      <c r="C674" s="90" t="s">
        <v>1591</v>
      </c>
      <c r="D674" s="90" t="s">
        <v>1592</v>
      </c>
      <c r="E674" s="90">
        <f>+971502324675</f>
        <v>971502324675</v>
      </c>
      <c r="F674" s="87" t="s">
        <v>975</v>
      </c>
      <c r="G674" s="39" t="s">
        <v>1518</v>
      </c>
    </row>
    <row r="675" hidden="1">
      <c r="A675" s="103">
        <v>43555.0</v>
      </c>
      <c r="B675" s="90"/>
      <c r="C675" s="90" t="s">
        <v>1593</v>
      </c>
      <c r="D675" s="90" t="s">
        <v>1594</v>
      </c>
      <c r="E675" s="90">
        <f>+971502021023</f>
        <v>971502021023</v>
      </c>
      <c r="F675" s="87" t="s">
        <v>975</v>
      </c>
      <c r="G675" s="39" t="s">
        <v>574</v>
      </c>
    </row>
    <row r="676" hidden="1">
      <c r="A676" s="103">
        <v>43555.0</v>
      </c>
      <c r="B676" s="90"/>
      <c r="C676" s="90" t="s">
        <v>1595</v>
      </c>
      <c r="D676" s="90" t="s">
        <v>1596</v>
      </c>
      <c r="E676" s="90">
        <f>+9710558835732</f>
        <v>9710558835732</v>
      </c>
      <c r="F676" s="87" t="s">
        <v>975</v>
      </c>
      <c r="G676" s="39" t="s">
        <v>574</v>
      </c>
    </row>
    <row r="677" hidden="1">
      <c r="A677" s="103">
        <v>43557.0</v>
      </c>
      <c r="B677" s="90"/>
      <c r="C677" s="90" t="s">
        <v>1597</v>
      </c>
      <c r="D677" s="90" t="s">
        <v>1598</v>
      </c>
      <c r="E677" s="90">
        <f>+21623260026</f>
        <v>21623260026</v>
      </c>
      <c r="F677" s="87" t="s">
        <v>975</v>
      </c>
      <c r="G677" s="39" t="s">
        <v>168</v>
      </c>
    </row>
    <row r="678" hidden="1">
      <c r="A678" s="103">
        <v>43557.0</v>
      </c>
      <c r="B678" s="90"/>
      <c r="C678" s="90" t="s">
        <v>1599</v>
      </c>
      <c r="D678" s="90" t="s">
        <v>1600</v>
      </c>
      <c r="E678" s="90">
        <f>+6594870226</f>
        <v>6594870226</v>
      </c>
      <c r="F678" s="87" t="s">
        <v>975</v>
      </c>
      <c r="G678" s="39" t="s">
        <v>574</v>
      </c>
    </row>
    <row r="679" hidden="1">
      <c r="A679" s="103">
        <v>43558.0</v>
      </c>
      <c r="B679" s="90"/>
      <c r="C679" s="90" t="s">
        <v>1601</v>
      </c>
      <c r="D679" s="90" t="s">
        <v>1602</v>
      </c>
      <c r="E679" s="90">
        <f>+971528949995</f>
        <v>971528949995</v>
      </c>
      <c r="F679" s="87" t="s">
        <v>975</v>
      </c>
      <c r="G679" s="39" t="s">
        <v>457</v>
      </c>
    </row>
    <row r="680" hidden="1">
      <c r="A680" s="103">
        <v>43559.0</v>
      </c>
      <c r="B680" s="90"/>
      <c r="C680" s="90" t="s">
        <v>1603</v>
      </c>
      <c r="D680" s="90" t="s">
        <v>1604</v>
      </c>
      <c r="E680" s="90">
        <f>+6588214909</f>
        <v>6588214909</v>
      </c>
      <c r="F680" s="87" t="s">
        <v>975</v>
      </c>
      <c r="G680" s="39" t="s">
        <v>574</v>
      </c>
    </row>
    <row r="681" hidden="1">
      <c r="A681" s="103">
        <v>43559.0</v>
      </c>
      <c r="B681" s="90"/>
      <c r="C681" s="90" t="s">
        <v>1601</v>
      </c>
      <c r="D681" s="90" t="s">
        <v>1602</v>
      </c>
      <c r="E681" s="90">
        <f>+971528949995</f>
        <v>971528949995</v>
      </c>
      <c r="F681" s="87" t="s">
        <v>975</v>
      </c>
      <c r="G681" s="39" t="s">
        <v>457</v>
      </c>
    </row>
    <row r="682" hidden="1">
      <c r="A682" s="103">
        <v>43561.0</v>
      </c>
      <c r="B682" s="90"/>
      <c r="C682" s="90" t="s">
        <v>1605</v>
      </c>
      <c r="D682" s="90" t="s">
        <v>1606</v>
      </c>
      <c r="E682" s="90">
        <f>+971552330334</f>
        <v>971552330334</v>
      </c>
      <c r="F682" s="87" t="s">
        <v>975</v>
      </c>
      <c r="G682" s="39" t="s">
        <v>457</v>
      </c>
    </row>
    <row r="683" hidden="1">
      <c r="A683" s="103">
        <v>43561.0</v>
      </c>
      <c r="B683" s="90"/>
      <c r="C683" s="90" t="s">
        <v>1607</v>
      </c>
      <c r="D683" s="90" t="s">
        <v>1608</v>
      </c>
      <c r="E683" s="90">
        <f>+966532975481</f>
        <v>966532975481</v>
      </c>
      <c r="F683" s="87" t="s">
        <v>975</v>
      </c>
      <c r="G683" s="39" t="s">
        <v>574</v>
      </c>
    </row>
    <row r="684" hidden="1">
      <c r="A684" s="103">
        <v>43561.0</v>
      </c>
      <c r="B684" s="90"/>
      <c r="C684" s="90" t="s">
        <v>1609</v>
      </c>
      <c r="D684" s="90" t="s">
        <v>1610</v>
      </c>
      <c r="E684" s="90">
        <f>+971504597056</f>
        <v>971504597056</v>
      </c>
      <c r="F684" s="87" t="s">
        <v>975</v>
      </c>
      <c r="G684" s="39" t="s">
        <v>168</v>
      </c>
    </row>
    <row r="685" hidden="1">
      <c r="A685" s="103">
        <v>43561.0</v>
      </c>
      <c r="B685" s="90"/>
      <c r="C685" s="90" t="s">
        <v>1611</v>
      </c>
      <c r="D685" s="90" t="s">
        <v>1612</v>
      </c>
      <c r="E685" s="90">
        <f>+966556995035</f>
        <v>966556995035</v>
      </c>
      <c r="F685" s="87" t="s">
        <v>975</v>
      </c>
      <c r="G685" s="39" t="s">
        <v>574</v>
      </c>
    </row>
    <row r="686" hidden="1">
      <c r="A686" s="103">
        <v>43561.0</v>
      </c>
      <c r="B686" s="90"/>
      <c r="C686" s="90" t="s">
        <v>1613</v>
      </c>
      <c r="D686" s="90" t="s">
        <v>1614</v>
      </c>
      <c r="E686" s="90">
        <f>+9710507244639</f>
        <v>9710507244639</v>
      </c>
      <c r="F686" s="87" t="s">
        <v>975</v>
      </c>
      <c r="G686" s="39" t="s">
        <v>1615</v>
      </c>
    </row>
    <row r="687" hidden="1">
      <c r="A687" s="103">
        <v>43562.0</v>
      </c>
      <c r="B687" s="90"/>
      <c r="C687" s="90" t="s">
        <v>1616</v>
      </c>
      <c r="D687" s="90" t="s">
        <v>1617</v>
      </c>
      <c r="E687" s="90">
        <f>+971565221560</f>
        <v>971565221560</v>
      </c>
      <c r="F687" s="87" t="s">
        <v>975</v>
      </c>
      <c r="G687" s="39" t="s">
        <v>574</v>
      </c>
    </row>
    <row r="688" hidden="1">
      <c r="A688" s="103">
        <v>43562.0</v>
      </c>
      <c r="B688" s="90"/>
      <c r="C688" s="90" t="s">
        <v>1618</v>
      </c>
      <c r="D688" s="90" t="s">
        <v>1619</v>
      </c>
      <c r="E688" s="90">
        <f>+9620790825138</f>
        <v>9620790825138</v>
      </c>
      <c r="F688" s="87" t="s">
        <v>975</v>
      </c>
      <c r="G688" s="39" t="s">
        <v>574</v>
      </c>
    </row>
    <row r="689" hidden="1">
      <c r="A689" s="103">
        <v>43563.0</v>
      </c>
      <c r="B689" s="90"/>
      <c r="C689" s="90" t="s">
        <v>1620</v>
      </c>
      <c r="D689" s="90" t="s">
        <v>1621</v>
      </c>
      <c r="E689" s="90">
        <f>+971553368270</f>
        <v>971553368270</v>
      </c>
      <c r="F689" s="87" t="s">
        <v>975</v>
      </c>
      <c r="G689" s="39" t="s">
        <v>1622</v>
      </c>
    </row>
    <row r="690" hidden="1">
      <c r="A690" s="103">
        <v>43563.0</v>
      </c>
      <c r="B690" s="90"/>
      <c r="C690" s="90" t="s">
        <v>1623</v>
      </c>
      <c r="D690" s="90" t="s">
        <v>1624</v>
      </c>
      <c r="E690" s="90">
        <f>+966502443337</f>
        <v>966502443337</v>
      </c>
      <c r="F690" s="87" t="s">
        <v>975</v>
      </c>
      <c r="G690" s="39" t="s">
        <v>574</v>
      </c>
    </row>
    <row r="691" hidden="1">
      <c r="A691" s="103">
        <v>43563.0</v>
      </c>
      <c r="B691" s="90"/>
      <c r="C691" s="90" t="s">
        <v>1625</v>
      </c>
      <c r="D691" s="90" t="s">
        <v>1626</v>
      </c>
      <c r="E691" s="90">
        <f>+447539282177</f>
        <v>447539282177</v>
      </c>
      <c r="F691" s="87" t="s">
        <v>975</v>
      </c>
      <c r="G691" s="39" t="s">
        <v>457</v>
      </c>
    </row>
    <row r="692" hidden="1">
      <c r="A692" s="103">
        <v>43563.0</v>
      </c>
      <c r="B692" s="90"/>
      <c r="C692" s="90" t="s">
        <v>1627</v>
      </c>
      <c r="D692" s="90" t="s">
        <v>1628</v>
      </c>
      <c r="E692" s="90">
        <f>+971569741979</f>
        <v>971569741979</v>
      </c>
      <c r="F692" s="87" t="s">
        <v>975</v>
      </c>
      <c r="G692" s="39" t="s">
        <v>168</v>
      </c>
    </row>
    <row r="693" hidden="1">
      <c r="A693" s="103">
        <v>43564.0</v>
      </c>
      <c r="B693" s="90"/>
      <c r="C693" s="90" t="s">
        <v>1629</v>
      </c>
      <c r="D693" s="90" t="s">
        <v>1630</v>
      </c>
      <c r="E693" s="90">
        <f>+96599405966</f>
        <v>96599405966</v>
      </c>
      <c r="F693" s="87" t="s">
        <v>975</v>
      </c>
      <c r="G693" s="39" t="s">
        <v>574</v>
      </c>
    </row>
    <row r="694" hidden="1">
      <c r="A694" s="103">
        <v>43564.0</v>
      </c>
      <c r="B694" s="90"/>
      <c r="C694" s="90" t="s">
        <v>1631</v>
      </c>
      <c r="D694" s="90" t="s">
        <v>1632</v>
      </c>
      <c r="E694" s="90">
        <f>+971505566946</f>
        <v>971505566946</v>
      </c>
      <c r="F694" s="87" t="s">
        <v>975</v>
      </c>
      <c r="G694" s="39" t="s">
        <v>168</v>
      </c>
    </row>
    <row r="695" hidden="1">
      <c r="A695" s="103">
        <v>43564.0</v>
      </c>
      <c r="B695" s="90"/>
      <c r="C695" s="90" t="s">
        <v>1633</v>
      </c>
      <c r="D695" s="90" t="s">
        <v>1634</v>
      </c>
      <c r="E695" s="90">
        <f>+96565112959</f>
        <v>96565112959</v>
      </c>
      <c r="F695" s="87" t="s">
        <v>975</v>
      </c>
      <c r="G695" s="39" t="s">
        <v>574</v>
      </c>
    </row>
    <row r="696" hidden="1">
      <c r="A696" s="103">
        <v>43564.0</v>
      </c>
      <c r="B696" s="90"/>
      <c r="C696" s="90" t="s">
        <v>1635</v>
      </c>
      <c r="D696" s="90" t="s">
        <v>1636</v>
      </c>
      <c r="E696" s="90">
        <f>+9710506148526</f>
        <v>9710506148526</v>
      </c>
      <c r="F696" s="87" t="s">
        <v>975</v>
      </c>
      <c r="G696" s="39" t="s">
        <v>574</v>
      </c>
    </row>
    <row r="697" hidden="1">
      <c r="A697" s="103">
        <v>43564.0</v>
      </c>
      <c r="B697" s="90"/>
      <c r="C697" s="90" t="s">
        <v>1637</v>
      </c>
      <c r="D697" s="90" t="s">
        <v>1638</v>
      </c>
      <c r="E697" s="90">
        <f>+9710505187708</f>
        <v>9710505187708</v>
      </c>
      <c r="F697" s="87" t="s">
        <v>975</v>
      </c>
      <c r="G697" s="39" t="s">
        <v>574</v>
      </c>
    </row>
    <row r="698" hidden="1">
      <c r="A698" s="103">
        <v>43565.0</v>
      </c>
      <c r="B698" s="92"/>
      <c r="C698" s="92" t="s">
        <v>1639</v>
      </c>
      <c r="D698" s="90" t="s">
        <v>1640</v>
      </c>
      <c r="E698" s="57">
        <f>+971563698407</f>
        <v>971563698407</v>
      </c>
      <c r="F698" s="87" t="s">
        <v>975</v>
      </c>
      <c r="G698" s="39" t="s">
        <v>168</v>
      </c>
    </row>
    <row r="699" hidden="1">
      <c r="A699" s="103">
        <v>43565.0</v>
      </c>
      <c r="B699" s="90"/>
      <c r="C699" s="90" t="s">
        <v>1641</v>
      </c>
      <c r="D699" s="90" t="s">
        <v>1642</v>
      </c>
      <c r="E699" s="90">
        <v>9.66505654868E11</v>
      </c>
      <c r="F699" s="87" t="s">
        <v>975</v>
      </c>
      <c r="G699" s="39" t="s">
        <v>574</v>
      </c>
    </row>
    <row r="700" hidden="1">
      <c r="A700" s="103">
        <v>43565.0</v>
      </c>
      <c r="B700" s="90"/>
      <c r="C700" s="90" t="s">
        <v>1643</v>
      </c>
      <c r="D700" s="90" t="s">
        <v>1644</v>
      </c>
      <c r="E700" s="90">
        <f>+971558996409</f>
        <v>971558996409</v>
      </c>
      <c r="F700" s="87" t="s">
        <v>975</v>
      </c>
      <c r="G700" s="39" t="s">
        <v>574</v>
      </c>
    </row>
    <row r="701" hidden="1">
      <c r="A701" s="103">
        <v>43565.0</v>
      </c>
      <c r="B701" s="90"/>
      <c r="C701" s="90" t="s">
        <v>1645</v>
      </c>
      <c r="D701" s="90" t="s">
        <v>1646</v>
      </c>
      <c r="E701" s="90">
        <f>+971557279410</f>
        <v>971557279410</v>
      </c>
      <c r="F701" s="87" t="s">
        <v>975</v>
      </c>
      <c r="G701" s="39" t="s">
        <v>574</v>
      </c>
    </row>
    <row r="702" hidden="1">
      <c r="A702" s="103">
        <v>43565.0</v>
      </c>
      <c r="B702" s="90"/>
      <c r="C702" s="90" t="s">
        <v>1647</v>
      </c>
      <c r="D702" s="90" t="s">
        <v>1648</v>
      </c>
      <c r="E702" s="90">
        <f>+971504576888</f>
        <v>971504576888</v>
      </c>
      <c r="F702" s="87" t="s">
        <v>975</v>
      </c>
      <c r="G702" s="39" t="s">
        <v>574</v>
      </c>
    </row>
    <row r="703" hidden="1">
      <c r="A703" s="103">
        <v>43566.0</v>
      </c>
      <c r="B703" s="90"/>
      <c r="C703" s="90" t="s">
        <v>1649</v>
      </c>
      <c r="D703" s="90" t="s">
        <v>1650</v>
      </c>
      <c r="E703" s="90">
        <f>+971568920359</f>
        <v>971568920359</v>
      </c>
      <c r="F703" s="87" t="s">
        <v>975</v>
      </c>
      <c r="G703" s="39" t="s">
        <v>574</v>
      </c>
    </row>
    <row r="704" hidden="1">
      <c r="A704" s="103">
        <v>43566.0</v>
      </c>
      <c r="B704" s="90"/>
      <c r="C704" s="90" t="s">
        <v>1651</v>
      </c>
      <c r="D704" s="90" t="s">
        <v>1652</v>
      </c>
      <c r="E704" s="90">
        <f>+971547932437</f>
        <v>971547932437</v>
      </c>
      <c r="F704" s="87" t="s">
        <v>975</v>
      </c>
      <c r="G704" s="39" t="s">
        <v>168</v>
      </c>
    </row>
    <row r="705" hidden="1">
      <c r="A705" s="103">
        <v>43566.0</v>
      </c>
      <c r="B705" s="90"/>
      <c r="C705" s="90" t="s">
        <v>1653</v>
      </c>
      <c r="D705" s="90" t="s">
        <v>1654</v>
      </c>
      <c r="E705" s="90">
        <f>+6597914670</f>
        <v>6597914670</v>
      </c>
      <c r="F705" s="87" t="s">
        <v>975</v>
      </c>
      <c r="G705" s="39" t="s">
        <v>574</v>
      </c>
    </row>
    <row r="706" hidden="1">
      <c r="A706" s="101">
        <v>43568.0</v>
      </c>
      <c r="B706" s="90"/>
      <c r="C706" s="90" t="s">
        <v>1655</v>
      </c>
      <c r="D706" s="90" t="s">
        <v>1656</v>
      </c>
      <c r="E706" s="90">
        <f>+971552173573</f>
        <v>971552173573</v>
      </c>
      <c r="F706" s="87" t="s">
        <v>975</v>
      </c>
      <c r="G706" s="39" t="s">
        <v>574</v>
      </c>
    </row>
    <row r="707" hidden="1">
      <c r="A707" s="101">
        <v>43568.0</v>
      </c>
      <c r="B707" s="90"/>
      <c r="C707" s="90" t="s">
        <v>1657</v>
      </c>
      <c r="D707" s="90" t="s">
        <v>1658</v>
      </c>
      <c r="E707" s="90">
        <f>+9660566375966</f>
        <v>9660566375966</v>
      </c>
      <c r="F707" s="87" t="s">
        <v>975</v>
      </c>
      <c r="G707" s="39" t="s">
        <v>574</v>
      </c>
    </row>
    <row r="708" hidden="1">
      <c r="A708" s="101">
        <v>43568.0</v>
      </c>
      <c r="B708" s="90"/>
      <c r="C708" s="90" t="s">
        <v>1659</v>
      </c>
      <c r="D708" s="90" t="s">
        <v>1660</v>
      </c>
      <c r="E708" s="90">
        <f>+9710556413640</f>
        <v>9710556413640</v>
      </c>
      <c r="F708" s="87" t="s">
        <v>975</v>
      </c>
      <c r="G708" s="39" t="s">
        <v>574</v>
      </c>
    </row>
    <row r="709" hidden="1">
      <c r="A709" s="101">
        <v>43568.0</v>
      </c>
      <c r="B709" s="90"/>
      <c r="C709" s="90" t="s">
        <v>1661</v>
      </c>
      <c r="D709" s="90" t="s">
        <v>1662</v>
      </c>
      <c r="E709" s="90">
        <f>+966506361492</f>
        <v>966506361492</v>
      </c>
      <c r="F709" s="87" t="s">
        <v>975</v>
      </c>
      <c r="G709" s="39" t="s">
        <v>574</v>
      </c>
    </row>
    <row r="710" hidden="1">
      <c r="A710" s="101">
        <v>43568.0</v>
      </c>
      <c r="B710" s="90"/>
      <c r="C710" s="90" t="s">
        <v>1663</v>
      </c>
      <c r="D710" s="90" t="s">
        <v>1664</v>
      </c>
      <c r="E710" s="90">
        <f>+971507634468</f>
        <v>971507634468</v>
      </c>
      <c r="F710" s="87" t="s">
        <v>975</v>
      </c>
      <c r="G710" s="39" t="s">
        <v>574</v>
      </c>
    </row>
    <row r="711" hidden="1">
      <c r="A711" s="101">
        <v>43568.0</v>
      </c>
      <c r="B711" s="90"/>
      <c r="C711" s="90" t="s">
        <v>1651</v>
      </c>
      <c r="D711" s="90" t="s">
        <v>1652</v>
      </c>
      <c r="E711" s="90">
        <f>+971547932437</f>
        <v>971547932437</v>
      </c>
      <c r="F711" s="87" t="s">
        <v>975</v>
      </c>
      <c r="G711" s="39" t="s">
        <v>168</v>
      </c>
    </row>
    <row r="712" hidden="1">
      <c r="A712" s="101">
        <v>43569.0</v>
      </c>
      <c r="B712" s="90"/>
      <c r="C712" s="90" t="s">
        <v>1665</v>
      </c>
      <c r="D712" s="90" t="s">
        <v>1666</v>
      </c>
      <c r="E712" s="90">
        <f>+971504794669</f>
        <v>971504794669</v>
      </c>
      <c r="F712" s="87" t="s">
        <v>975</v>
      </c>
      <c r="G712" s="39" t="s">
        <v>168</v>
      </c>
    </row>
    <row r="713" hidden="1">
      <c r="A713" s="101">
        <v>43569.0</v>
      </c>
      <c r="B713" s="90"/>
      <c r="C713" s="90" t="s">
        <v>1667</v>
      </c>
      <c r="D713" s="90" t="s">
        <v>1668</v>
      </c>
      <c r="E713" s="90">
        <f>+971569918965</f>
        <v>971569918965</v>
      </c>
      <c r="F713" s="87" t="s">
        <v>975</v>
      </c>
      <c r="G713" s="39" t="s">
        <v>1669</v>
      </c>
    </row>
    <row r="714" hidden="1">
      <c r="A714" s="101">
        <v>43569.0</v>
      </c>
      <c r="B714" s="90"/>
      <c r="C714" s="90" t="s">
        <v>1670</v>
      </c>
      <c r="D714" s="90" t="s">
        <v>1671</v>
      </c>
      <c r="E714" s="90">
        <f>+9710508990780</f>
        <v>9710508990780</v>
      </c>
      <c r="F714" s="87" t="s">
        <v>975</v>
      </c>
      <c r="G714" s="39" t="s">
        <v>1669</v>
      </c>
    </row>
    <row r="715" hidden="1">
      <c r="A715" s="101">
        <v>43569.0</v>
      </c>
      <c r="B715" s="90"/>
      <c r="C715" s="90" t="s">
        <v>1672</v>
      </c>
      <c r="D715" s="90" t="s">
        <v>1673</v>
      </c>
      <c r="E715" s="90">
        <f>+966530344499</f>
        <v>966530344499</v>
      </c>
      <c r="F715" s="87" t="s">
        <v>975</v>
      </c>
      <c r="G715" s="39" t="s">
        <v>574</v>
      </c>
    </row>
    <row r="716" hidden="1">
      <c r="A716" s="101">
        <v>43569.0</v>
      </c>
      <c r="B716" s="57"/>
      <c r="C716" s="57" t="s">
        <v>1674</v>
      </c>
      <c r="D716" s="57" t="s">
        <v>1675</v>
      </c>
      <c r="E716" s="57"/>
      <c r="F716" s="87" t="s">
        <v>975</v>
      </c>
    </row>
    <row r="717" hidden="1">
      <c r="A717" s="101">
        <v>43569.0</v>
      </c>
      <c r="B717" s="57"/>
      <c r="C717" s="57" t="s">
        <v>1676</v>
      </c>
      <c r="D717" s="57" t="s">
        <v>1677</v>
      </c>
      <c r="E717" s="106"/>
      <c r="F717" s="87" t="s">
        <v>975</v>
      </c>
    </row>
    <row r="718" hidden="1">
      <c r="A718" s="101">
        <v>43569.0</v>
      </c>
      <c r="B718" s="57"/>
      <c r="C718" s="57" t="s">
        <v>1678</v>
      </c>
      <c r="D718" s="57" t="s">
        <v>1679</v>
      </c>
      <c r="E718" s="106"/>
      <c r="F718" s="87" t="s">
        <v>975</v>
      </c>
    </row>
    <row r="719" hidden="1">
      <c r="A719" s="101">
        <v>43570.0</v>
      </c>
      <c r="B719" s="92"/>
      <c r="C719" s="92" t="s">
        <v>1680</v>
      </c>
      <c r="D719" s="90" t="s">
        <v>1681</v>
      </c>
      <c r="E719" s="90">
        <f>+971552292899</f>
        <v>971552292899</v>
      </c>
      <c r="F719" s="87" t="s">
        <v>975</v>
      </c>
      <c r="G719" s="39" t="s">
        <v>574</v>
      </c>
    </row>
    <row r="720" hidden="1">
      <c r="A720" s="101">
        <v>43570.0</v>
      </c>
      <c r="B720" s="90"/>
      <c r="C720" s="90" t="s">
        <v>1682</v>
      </c>
      <c r="D720" s="90" t="s">
        <v>1683</v>
      </c>
      <c r="E720" s="90">
        <f>+9710551748339</f>
        <v>9710551748339</v>
      </c>
      <c r="F720" s="87" t="s">
        <v>975</v>
      </c>
      <c r="G720" s="39" t="s">
        <v>1684</v>
      </c>
    </row>
    <row r="721" hidden="1">
      <c r="A721" s="101">
        <v>43570.0</v>
      </c>
      <c r="B721" s="90"/>
      <c r="C721" s="90" t="s">
        <v>1685</v>
      </c>
      <c r="D721" s="90" t="s">
        <v>1686</v>
      </c>
      <c r="E721" s="90">
        <f>+971506576585</f>
        <v>971506576585</v>
      </c>
      <c r="F721" s="87" t="s">
        <v>975</v>
      </c>
      <c r="G721" s="39" t="s">
        <v>574</v>
      </c>
    </row>
    <row r="722" hidden="1">
      <c r="A722" s="101">
        <v>43570.0</v>
      </c>
      <c r="B722" s="90"/>
      <c r="C722" s="90" t="s">
        <v>1687</v>
      </c>
      <c r="D722" s="90" t="s">
        <v>1688</v>
      </c>
      <c r="E722" s="90">
        <f>+9710526448862</f>
        <v>9710526448862</v>
      </c>
      <c r="F722" s="87" t="s">
        <v>975</v>
      </c>
      <c r="G722" s="39" t="s">
        <v>168</v>
      </c>
    </row>
    <row r="723" hidden="1">
      <c r="A723" s="101">
        <v>43568.0</v>
      </c>
      <c r="B723" s="57"/>
      <c r="C723" s="57" t="s">
        <v>1689</v>
      </c>
      <c r="D723" s="57" t="s">
        <v>1690</v>
      </c>
      <c r="E723" s="91" t="s">
        <v>1691</v>
      </c>
      <c r="F723" s="87" t="s">
        <v>975</v>
      </c>
      <c r="G723" s="39" t="s">
        <v>1692</v>
      </c>
    </row>
    <row r="724" hidden="1">
      <c r="A724" s="101">
        <v>43570.0</v>
      </c>
      <c r="B724" s="57"/>
      <c r="C724" s="57" t="s">
        <v>1693</v>
      </c>
      <c r="D724" s="57" t="s">
        <v>1694</v>
      </c>
      <c r="E724" s="106" t="s">
        <v>1695</v>
      </c>
      <c r="F724" s="87" t="s">
        <v>975</v>
      </c>
      <c r="G724" s="39" t="s">
        <v>574</v>
      </c>
    </row>
    <row r="725" hidden="1">
      <c r="A725" s="101">
        <v>43570.0</v>
      </c>
      <c r="B725" s="57"/>
      <c r="C725" s="57" t="s">
        <v>1696</v>
      </c>
      <c r="D725" s="57" t="s">
        <v>1697</v>
      </c>
      <c r="E725" s="57">
        <v>7.956842387E9</v>
      </c>
      <c r="F725" s="87" t="s">
        <v>975</v>
      </c>
    </row>
    <row r="726" hidden="1">
      <c r="A726" s="101">
        <v>43570.0</v>
      </c>
      <c r="B726" s="57"/>
      <c r="C726" s="57" t="s">
        <v>1698</v>
      </c>
      <c r="D726" s="57" t="s">
        <v>1699</v>
      </c>
      <c r="E726" s="57"/>
      <c r="F726" s="87" t="s">
        <v>975</v>
      </c>
    </row>
    <row r="727" hidden="1">
      <c r="A727" s="101">
        <v>43571.0</v>
      </c>
      <c r="B727" s="92"/>
      <c r="C727" s="92" t="s">
        <v>1700</v>
      </c>
      <c r="D727" s="90" t="s">
        <v>1701</v>
      </c>
      <c r="E727" s="91" t="s">
        <v>1702</v>
      </c>
      <c r="F727" s="87" t="s">
        <v>975</v>
      </c>
      <c r="G727" s="39" t="s">
        <v>574</v>
      </c>
    </row>
    <row r="728" hidden="1">
      <c r="A728" s="101">
        <v>43572.0</v>
      </c>
      <c r="B728" s="90"/>
      <c r="C728" s="90" t="s">
        <v>1703</v>
      </c>
      <c r="D728" s="90" t="s">
        <v>1704</v>
      </c>
      <c r="E728" s="91" t="s">
        <v>1705</v>
      </c>
      <c r="F728" s="87" t="s">
        <v>975</v>
      </c>
      <c r="G728" s="39" t="s">
        <v>574</v>
      </c>
    </row>
    <row r="729" hidden="1">
      <c r="A729" s="101">
        <v>43573.0</v>
      </c>
      <c r="B729" s="90"/>
      <c r="C729" s="90" t="s">
        <v>1706</v>
      </c>
      <c r="D729" s="90" t="s">
        <v>1707</v>
      </c>
      <c r="E729" s="57">
        <f>+971528882875</f>
        <v>971528882875</v>
      </c>
      <c r="F729" s="87" t="s">
        <v>975</v>
      </c>
      <c r="G729" s="39" t="s">
        <v>979</v>
      </c>
    </row>
    <row r="730" hidden="1">
      <c r="A730" s="101">
        <v>43573.0</v>
      </c>
      <c r="B730" s="90"/>
      <c r="C730" s="90" t="s">
        <v>1708</v>
      </c>
      <c r="D730" s="90" t="s">
        <v>1709</v>
      </c>
      <c r="E730" s="57">
        <f>+971559212286</f>
        <v>971559212286</v>
      </c>
      <c r="F730" s="87" t="s">
        <v>975</v>
      </c>
      <c r="G730" s="39" t="s">
        <v>168</v>
      </c>
    </row>
    <row r="731" hidden="1">
      <c r="A731" s="101">
        <v>43575.0</v>
      </c>
      <c r="B731" s="90"/>
      <c r="C731" s="90" t="s">
        <v>1710</v>
      </c>
      <c r="D731" s="90" t="s">
        <v>1711</v>
      </c>
      <c r="E731" s="90">
        <f>+971506881911</f>
        <v>971506881911</v>
      </c>
      <c r="F731" s="87" t="s">
        <v>975</v>
      </c>
      <c r="G731" s="39" t="s">
        <v>168</v>
      </c>
    </row>
    <row r="732" hidden="1">
      <c r="A732" s="101">
        <v>43575.0</v>
      </c>
      <c r="B732" s="90"/>
      <c r="C732" s="90" t="s">
        <v>1712</v>
      </c>
      <c r="D732" s="90" t="s">
        <v>1713</v>
      </c>
      <c r="E732" s="90">
        <f>+971565093549</f>
        <v>971565093549</v>
      </c>
      <c r="F732" s="87" t="s">
        <v>975</v>
      </c>
      <c r="G732" s="39" t="s">
        <v>574</v>
      </c>
    </row>
    <row r="733" hidden="1">
      <c r="A733" s="101">
        <v>43575.0</v>
      </c>
      <c r="B733" s="90"/>
      <c r="C733" s="90" t="s">
        <v>1714</v>
      </c>
      <c r="D733" s="90" t="s">
        <v>1715</v>
      </c>
      <c r="E733" s="90">
        <f>+971506062330</f>
        <v>971506062330</v>
      </c>
      <c r="F733" s="87" t="s">
        <v>975</v>
      </c>
      <c r="G733" s="39" t="s">
        <v>1716</v>
      </c>
    </row>
    <row r="734" hidden="1">
      <c r="A734" s="101">
        <v>43575.0</v>
      </c>
      <c r="B734" s="90"/>
      <c r="C734" s="90" t="s">
        <v>1717</v>
      </c>
      <c r="D734" s="90" t="s">
        <v>1718</v>
      </c>
      <c r="E734" s="90">
        <f>+971551470087</f>
        <v>971551470087</v>
      </c>
      <c r="F734" s="87" t="s">
        <v>975</v>
      </c>
      <c r="G734" s="39" t="s">
        <v>1719</v>
      </c>
    </row>
    <row r="735" hidden="1">
      <c r="A735" s="101">
        <v>43575.0</v>
      </c>
      <c r="B735" s="90"/>
      <c r="C735" s="90" t="s">
        <v>212</v>
      </c>
      <c r="D735" s="90" t="s">
        <v>213</v>
      </c>
      <c r="E735" s="90">
        <f>+85295557980</f>
        <v>85295557980</v>
      </c>
      <c r="F735" s="87" t="s">
        <v>975</v>
      </c>
      <c r="G735" s="39" t="s">
        <v>168</v>
      </c>
    </row>
    <row r="736" hidden="1">
      <c r="A736" s="101">
        <v>43576.0</v>
      </c>
      <c r="B736" s="57"/>
      <c r="C736" s="57" t="s">
        <v>1720</v>
      </c>
      <c r="D736" s="57" t="s">
        <v>1721</v>
      </c>
      <c r="E736" s="57"/>
      <c r="F736" s="87" t="s">
        <v>975</v>
      </c>
    </row>
    <row r="737" hidden="1">
      <c r="A737" s="101">
        <v>43576.0</v>
      </c>
      <c r="B737" s="57"/>
      <c r="C737" s="57" t="s">
        <v>1722</v>
      </c>
      <c r="D737" s="57" t="s">
        <v>1723</v>
      </c>
      <c r="E737" s="106" t="s">
        <v>1724</v>
      </c>
      <c r="F737" s="87" t="s">
        <v>975</v>
      </c>
    </row>
    <row r="738" hidden="1">
      <c r="A738" s="101">
        <v>43576.0</v>
      </c>
      <c r="B738" s="90"/>
      <c r="C738" s="90" t="s">
        <v>1725</v>
      </c>
      <c r="D738" s="90" t="s">
        <v>1726</v>
      </c>
      <c r="E738" s="90">
        <f>+971556220654</f>
        <v>971556220654</v>
      </c>
      <c r="F738" s="87" t="s">
        <v>975</v>
      </c>
      <c r="G738" s="39" t="s">
        <v>1727</v>
      </c>
    </row>
    <row r="739" hidden="1">
      <c r="A739" s="101">
        <v>43576.0</v>
      </c>
      <c r="B739" s="90"/>
      <c r="C739" s="90" t="s">
        <v>1728</v>
      </c>
      <c r="D739" s="90" t="s">
        <v>1729</v>
      </c>
      <c r="E739" s="90">
        <f>+8109094863760</f>
        <v>8109094863760</v>
      </c>
      <c r="F739" s="87" t="s">
        <v>975</v>
      </c>
      <c r="G739" s="39" t="s">
        <v>979</v>
      </c>
    </row>
    <row r="740" hidden="1">
      <c r="A740" s="101">
        <v>43576.0</v>
      </c>
      <c r="B740" s="90"/>
      <c r="C740" s="90" t="s">
        <v>1730</v>
      </c>
      <c r="D740" s="90" t="s">
        <v>1731</v>
      </c>
      <c r="E740" s="90">
        <f>+8613918139496</f>
        <v>8613918139496</v>
      </c>
      <c r="F740" s="87" t="s">
        <v>975</v>
      </c>
      <c r="G740" s="39" t="s">
        <v>1732</v>
      </c>
    </row>
    <row r="741" hidden="1">
      <c r="A741" s="101">
        <v>43577.0</v>
      </c>
      <c r="B741" s="90"/>
      <c r="C741" s="90" t="s">
        <v>1733</v>
      </c>
      <c r="D741" s="100" t="s">
        <v>1734</v>
      </c>
      <c r="E741" s="90">
        <f>+9710554160000</f>
        <v>9710554160000</v>
      </c>
      <c r="F741" s="87" t="s">
        <v>975</v>
      </c>
      <c r="G741" s="39" t="s">
        <v>251</v>
      </c>
    </row>
    <row r="742" hidden="1">
      <c r="A742" s="101"/>
      <c r="B742" s="90"/>
      <c r="C742" s="90"/>
      <c r="D742" s="90"/>
      <c r="E742" s="90"/>
      <c r="F742" s="87"/>
      <c r="G742" s="39"/>
    </row>
    <row r="743" hidden="1">
      <c r="A743" s="101">
        <v>43577.0</v>
      </c>
      <c r="B743" s="90"/>
      <c r="C743" s="90" t="s">
        <v>1735</v>
      </c>
      <c r="D743" s="90" t="s">
        <v>1736</v>
      </c>
      <c r="E743" s="90">
        <f>+6586688735</f>
        <v>6586688735</v>
      </c>
      <c r="F743" s="87" t="s">
        <v>975</v>
      </c>
      <c r="G743" s="39" t="s">
        <v>574</v>
      </c>
    </row>
    <row r="744" hidden="1">
      <c r="A744" s="101">
        <v>43577.0</v>
      </c>
      <c r="B744" s="90"/>
      <c r="C744" s="90" t="s">
        <v>1737</v>
      </c>
      <c r="D744" s="90" t="s">
        <v>1738</v>
      </c>
      <c r="E744" s="90">
        <f>+971555894855</f>
        <v>971555894855</v>
      </c>
      <c r="F744" s="87" t="s">
        <v>975</v>
      </c>
      <c r="G744" s="39" t="s">
        <v>574</v>
      </c>
    </row>
    <row r="745" hidden="1">
      <c r="A745" s="101">
        <v>43577.0</v>
      </c>
      <c r="B745" s="90"/>
      <c r="C745" s="90" t="s">
        <v>1739</v>
      </c>
      <c r="D745" s="90" t="s">
        <v>1740</v>
      </c>
      <c r="E745" s="90">
        <f>+971582109445</f>
        <v>971582109445</v>
      </c>
      <c r="F745" s="87" t="s">
        <v>975</v>
      </c>
      <c r="G745" s="39" t="s">
        <v>168</v>
      </c>
    </row>
    <row r="746" hidden="1">
      <c r="A746" s="101">
        <v>43577.0</v>
      </c>
      <c r="B746" s="90"/>
      <c r="C746" s="90" t="s">
        <v>1730</v>
      </c>
      <c r="D746" s="90" t="s">
        <v>1731</v>
      </c>
      <c r="E746" s="90">
        <f>+8613918139496</f>
        <v>8613918139496</v>
      </c>
      <c r="F746" s="87" t="s">
        <v>975</v>
      </c>
      <c r="G746" s="39" t="s">
        <v>979</v>
      </c>
    </row>
    <row r="747" hidden="1">
      <c r="A747" s="101">
        <v>43578.0</v>
      </c>
      <c r="B747" s="90"/>
      <c r="C747" s="90" t="s">
        <v>1741</v>
      </c>
      <c r="D747" s="90" t="s">
        <v>1742</v>
      </c>
      <c r="E747" s="90">
        <f>+971544471772</f>
        <v>971544471772</v>
      </c>
      <c r="F747" s="87" t="s">
        <v>975</v>
      </c>
      <c r="G747" s="39" t="s">
        <v>1743</v>
      </c>
    </row>
    <row r="748" hidden="1">
      <c r="A748" s="101">
        <v>43578.0</v>
      </c>
      <c r="B748" s="90"/>
      <c r="C748" s="90" t="s">
        <v>1744</v>
      </c>
      <c r="D748" s="90" t="s">
        <v>1745</v>
      </c>
      <c r="E748" s="90">
        <f>+9710502114224</f>
        <v>9710502114224</v>
      </c>
      <c r="F748" s="87" t="s">
        <v>975</v>
      </c>
      <c r="G748" s="39" t="s">
        <v>1746</v>
      </c>
    </row>
    <row r="749" hidden="1">
      <c r="A749" s="101">
        <v>43579.0</v>
      </c>
      <c r="B749" s="57"/>
      <c r="C749" s="57" t="s">
        <v>1747</v>
      </c>
      <c r="D749" s="57" t="s">
        <v>1748</v>
      </c>
      <c r="E749" s="91" t="s">
        <v>1749</v>
      </c>
      <c r="F749" s="87" t="s">
        <v>975</v>
      </c>
      <c r="G749" s="39" t="s">
        <v>574</v>
      </c>
    </row>
    <row r="750" hidden="1">
      <c r="A750" s="101">
        <v>43580.0</v>
      </c>
      <c r="B750" s="90"/>
      <c r="C750" s="90" t="s">
        <v>1750</v>
      </c>
      <c r="D750" s="90" t="s">
        <v>1751</v>
      </c>
      <c r="E750" s="90">
        <f>+9710503201378</f>
        <v>9710503201378</v>
      </c>
      <c r="F750" s="87" t="s">
        <v>975</v>
      </c>
      <c r="G750" s="39" t="s">
        <v>1009</v>
      </c>
    </row>
    <row r="751" hidden="1">
      <c r="A751" s="101">
        <v>43580.0</v>
      </c>
      <c r="B751" s="90"/>
      <c r="C751" s="90" t="s">
        <v>1752</v>
      </c>
      <c r="D751" s="90" t="s">
        <v>1753</v>
      </c>
      <c r="E751" s="90">
        <f>+971556734202</f>
        <v>971556734202</v>
      </c>
      <c r="F751" s="87" t="s">
        <v>975</v>
      </c>
      <c r="G751" s="39" t="s">
        <v>1754</v>
      </c>
    </row>
    <row r="752" hidden="1">
      <c r="A752" s="101">
        <v>43580.0</v>
      </c>
      <c r="B752" s="90"/>
      <c r="C752" s="90" t="s">
        <v>1755</v>
      </c>
      <c r="D752" s="90" t="s">
        <v>1756</v>
      </c>
      <c r="E752" s="90">
        <f>+96899223938</f>
        <v>96899223938</v>
      </c>
      <c r="F752" s="87" t="s">
        <v>975</v>
      </c>
      <c r="G752" s="39" t="s">
        <v>574</v>
      </c>
    </row>
    <row r="753" hidden="1">
      <c r="A753" s="101">
        <v>43582.0</v>
      </c>
      <c r="B753" s="107"/>
      <c r="C753" s="107" t="s">
        <v>1757</v>
      </c>
      <c r="D753" s="108" t="s">
        <v>1758</v>
      </c>
      <c r="E753" s="107" t="s">
        <v>1759</v>
      </c>
      <c r="F753" s="87" t="s">
        <v>975</v>
      </c>
    </row>
    <row r="754" hidden="1">
      <c r="A754" s="101">
        <v>43582.0</v>
      </c>
      <c r="B754" s="107"/>
      <c r="C754" s="107" t="s">
        <v>1760</v>
      </c>
      <c r="D754" s="107" t="s">
        <v>1761</v>
      </c>
      <c r="E754" s="107" t="s">
        <v>1762</v>
      </c>
      <c r="F754" s="87" t="s">
        <v>975</v>
      </c>
      <c r="G754" s="39" t="s">
        <v>574</v>
      </c>
    </row>
    <row r="755" hidden="1">
      <c r="A755" s="101">
        <v>43582.0</v>
      </c>
      <c r="B755" s="107"/>
      <c r="C755" s="107" t="s">
        <v>1763</v>
      </c>
      <c r="D755" s="108" t="s">
        <v>1764</v>
      </c>
      <c r="E755" s="107" t="s">
        <v>1765</v>
      </c>
      <c r="F755" s="87" t="s">
        <v>975</v>
      </c>
      <c r="G755" s="39" t="s">
        <v>172</v>
      </c>
    </row>
    <row r="756" hidden="1">
      <c r="A756" s="101">
        <v>43583.0</v>
      </c>
      <c r="B756" s="90"/>
      <c r="C756" s="90" t="s">
        <v>1766</v>
      </c>
      <c r="D756" s="90" t="s">
        <v>1767</v>
      </c>
      <c r="E756" s="57">
        <f>+971569345277</f>
        <v>971569345277</v>
      </c>
      <c r="F756" s="87" t="s">
        <v>975</v>
      </c>
      <c r="G756" s="39" t="s">
        <v>168</v>
      </c>
    </row>
    <row r="757" hidden="1">
      <c r="A757" s="101">
        <v>43583.0</v>
      </c>
      <c r="B757" s="90"/>
      <c r="C757" s="90" t="s">
        <v>1768</v>
      </c>
      <c r="D757" s="90" t="s">
        <v>1769</v>
      </c>
      <c r="E757" s="57">
        <f>+971505016815</f>
        <v>971505016815</v>
      </c>
      <c r="F757" s="87" t="s">
        <v>975</v>
      </c>
      <c r="G757" s="39" t="s">
        <v>168</v>
      </c>
    </row>
    <row r="758" hidden="1">
      <c r="A758" s="109">
        <v>43584.0</v>
      </c>
      <c r="B758" s="57"/>
      <c r="C758" s="57" t="s">
        <v>1770</v>
      </c>
      <c r="D758" s="57" t="s">
        <v>1771</v>
      </c>
      <c r="E758" s="91" t="s">
        <v>1772</v>
      </c>
      <c r="F758" s="87" t="s">
        <v>975</v>
      </c>
      <c r="G758" s="39" t="s">
        <v>574</v>
      </c>
    </row>
    <row r="759" hidden="1">
      <c r="A759" s="109">
        <v>43584.0</v>
      </c>
      <c r="B759" s="57"/>
      <c r="C759" s="57" t="s">
        <v>1773</v>
      </c>
      <c r="D759" s="57" t="s">
        <v>1774</v>
      </c>
      <c r="E759" s="91" t="s">
        <v>1775</v>
      </c>
      <c r="F759" s="87" t="s">
        <v>975</v>
      </c>
      <c r="G759" s="39" t="s">
        <v>574</v>
      </c>
    </row>
    <row r="760" hidden="1">
      <c r="A760" s="109">
        <v>43585.0</v>
      </c>
      <c r="B760" s="90"/>
      <c r="C760" s="90" t="s">
        <v>1776</v>
      </c>
      <c r="D760" s="90" t="s">
        <v>1777</v>
      </c>
      <c r="E760" s="90">
        <f>+923008505190</f>
        <v>923008505190</v>
      </c>
      <c r="F760" s="87" t="s">
        <v>975</v>
      </c>
      <c r="G760" s="39" t="s">
        <v>574</v>
      </c>
    </row>
    <row r="761" hidden="1">
      <c r="A761" s="109">
        <v>43586.0</v>
      </c>
      <c r="B761" s="90"/>
      <c r="C761" s="90" t="s">
        <v>1778</v>
      </c>
      <c r="D761" s="90" t="s">
        <v>1779</v>
      </c>
      <c r="E761" s="90">
        <f>+96599989836</f>
        <v>96599989836</v>
      </c>
      <c r="F761" s="87" t="s">
        <v>975</v>
      </c>
      <c r="G761" s="39" t="s">
        <v>1780</v>
      </c>
    </row>
    <row r="762" hidden="1">
      <c r="A762" s="109">
        <v>43587.0</v>
      </c>
      <c r="B762" s="90"/>
      <c r="C762" s="90" t="s">
        <v>1781</v>
      </c>
      <c r="D762" s="90" t="s">
        <v>1782</v>
      </c>
      <c r="E762" s="90">
        <f>+96594966939</f>
        <v>96594966939</v>
      </c>
      <c r="F762" s="87" t="s">
        <v>975</v>
      </c>
      <c r="G762" s="39" t="s">
        <v>574</v>
      </c>
    </row>
    <row r="763" hidden="1">
      <c r="A763" s="101">
        <v>43589.0</v>
      </c>
      <c r="B763" s="90"/>
      <c r="C763" s="90" t="s">
        <v>1783</v>
      </c>
      <c r="D763" s="90" t="s">
        <v>1784</v>
      </c>
      <c r="E763" s="90">
        <f>+96590039218</f>
        <v>96590039218</v>
      </c>
      <c r="F763" s="87" t="s">
        <v>975</v>
      </c>
      <c r="G763" s="39" t="s">
        <v>574</v>
      </c>
    </row>
    <row r="764" hidden="1">
      <c r="A764" s="101">
        <v>43590.0</v>
      </c>
      <c r="B764" s="90"/>
      <c r="C764" s="90" t="s">
        <v>1785</v>
      </c>
      <c r="D764" s="90" t="s">
        <v>1786</v>
      </c>
      <c r="E764" s="90">
        <f>+6596870154</f>
        <v>6596870154</v>
      </c>
      <c r="F764" s="87" t="s">
        <v>975</v>
      </c>
      <c r="G764" s="39" t="s">
        <v>574</v>
      </c>
    </row>
    <row r="765" hidden="1">
      <c r="A765" s="101">
        <v>43590.0</v>
      </c>
      <c r="B765" s="90"/>
      <c r="C765" s="90" t="s">
        <v>1787</v>
      </c>
      <c r="D765" s="90" t="s">
        <v>1788</v>
      </c>
      <c r="E765" s="90">
        <f>+966503013785</f>
        <v>966503013785</v>
      </c>
      <c r="F765" s="87" t="s">
        <v>975</v>
      </c>
      <c r="G765" s="39" t="s">
        <v>574</v>
      </c>
    </row>
    <row r="766" hidden="1">
      <c r="A766" s="101">
        <v>43598.0</v>
      </c>
      <c r="B766" s="90"/>
      <c r="C766" s="90" t="s">
        <v>1789</v>
      </c>
      <c r="D766" s="90" t="s">
        <v>1790</v>
      </c>
      <c r="E766" s="90">
        <f>+919810236416</f>
        <v>919810236416</v>
      </c>
      <c r="F766" s="87" t="s">
        <v>975</v>
      </c>
      <c r="G766" s="39" t="s">
        <v>168</v>
      </c>
    </row>
    <row r="767" hidden="1">
      <c r="A767" s="101">
        <v>43598.0</v>
      </c>
      <c r="B767" s="90"/>
      <c r="C767" s="90" t="s">
        <v>1791</v>
      </c>
      <c r="D767" s="90" t="s">
        <v>1792</v>
      </c>
      <c r="E767" s="90">
        <f>+971529227799</f>
        <v>971529227799</v>
      </c>
      <c r="F767" s="87" t="s">
        <v>975</v>
      </c>
      <c r="G767" s="39" t="s">
        <v>574</v>
      </c>
    </row>
    <row r="768" hidden="1">
      <c r="A768" s="101">
        <v>43599.0</v>
      </c>
      <c r="B768" s="90"/>
      <c r="C768" s="90" t="s">
        <v>514</v>
      </c>
      <c r="D768" s="90" t="s">
        <v>515</v>
      </c>
      <c r="E768" s="90">
        <f>+97339454362</f>
        <v>97339454362</v>
      </c>
      <c r="F768" s="87" t="s">
        <v>975</v>
      </c>
    </row>
    <row r="769" hidden="1">
      <c r="A769" s="101">
        <v>43600.0</v>
      </c>
      <c r="B769" s="90"/>
      <c r="C769" s="90" t="s">
        <v>1793</v>
      </c>
      <c r="D769" s="90" t="s">
        <v>1794</v>
      </c>
      <c r="E769" s="90">
        <f>+639393738843</f>
        <v>639393738843</v>
      </c>
      <c r="F769" s="87" t="s">
        <v>975</v>
      </c>
    </row>
    <row r="770" hidden="1">
      <c r="A770" s="101">
        <v>43600.0</v>
      </c>
      <c r="B770" s="90"/>
      <c r="C770" s="90" t="s">
        <v>1795</v>
      </c>
      <c r="D770" s="90" t="s">
        <v>1796</v>
      </c>
      <c r="E770" s="90">
        <f>+918147884210</f>
        <v>918147884210</v>
      </c>
      <c r="F770" s="87" t="s">
        <v>975</v>
      </c>
      <c r="G770" s="39" t="s">
        <v>168</v>
      </c>
    </row>
    <row r="771" hidden="1">
      <c r="A771" s="101">
        <v>43601.0</v>
      </c>
      <c r="B771" s="90"/>
      <c r="C771" s="90" t="s">
        <v>1797</v>
      </c>
      <c r="D771" s="90" t="s">
        <v>1798</v>
      </c>
      <c r="E771" s="90">
        <f>+8801711825577</f>
        <v>8801711825577</v>
      </c>
      <c r="F771" s="87" t="s">
        <v>975</v>
      </c>
      <c r="G771" s="39" t="s">
        <v>1799</v>
      </c>
    </row>
    <row r="772" hidden="1">
      <c r="A772" s="101">
        <v>43601.0</v>
      </c>
      <c r="B772" s="90"/>
      <c r="C772" s="90" t="s">
        <v>1800</v>
      </c>
      <c r="D772" s="90" t="s">
        <v>1801</v>
      </c>
      <c r="E772" s="90">
        <f>+447956842387</f>
        <v>447956842387</v>
      </c>
      <c r="F772" s="87" t="s">
        <v>975</v>
      </c>
      <c r="G772" s="39" t="s">
        <v>574</v>
      </c>
    </row>
    <row r="773" hidden="1">
      <c r="A773" s="101">
        <v>43603.0</v>
      </c>
      <c r="B773" s="90"/>
      <c r="C773" s="90" t="s">
        <v>1802</v>
      </c>
      <c r="D773" s="90" t="s">
        <v>1803</v>
      </c>
      <c r="E773" s="90">
        <f>+923224689090</f>
        <v>923224689090</v>
      </c>
      <c r="F773" s="87" t="s">
        <v>975</v>
      </c>
      <c r="G773" s="39" t="s">
        <v>574</v>
      </c>
    </row>
    <row r="774" hidden="1">
      <c r="A774" s="101">
        <v>43603.0</v>
      </c>
      <c r="B774" s="90"/>
      <c r="C774" s="90" t="s">
        <v>1804</v>
      </c>
      <c r="D774" s="90" t="s">
        <v>1805</v>
      </c>
      <c r="E774" s="90">
        <f>+971505861581</f>
        <v>971505861581</v>
      </c>
      <c r="F774" s="87" t="s">
        <v>975</v>
      </c>
      <c r="G774" s="39" t="s">
        <v>574</v>
      </c>
    </row>
    <row r="775" hidden="1">
      <c r="A775" s="101">
        <v>43603.0</v>
      </c>
      <c r="B775" s="90"/>
      <c r="C775" s="90" t="s">
        <v>1806</v>
      </c>
      <c r="D775" s="90" t="s">
        <v>1807</v>
      </c>
      <c r="E775" s="90">
        <f>+918334821047</f>
        <v>918334821047</v>
      </c>
      <c r="F775" s="87" t="s">
        <v>975</v>
      </c>
      <c r="G775" s="39" t="s">
        <v>979</v>
      </c>
    </row>
    <row r="776" hidden="1">
      <c r="A776" s="101">
        <v>43603.0</v>
      </c>
      <c r="B776" s="90"/>
      <c r="C776" s="90" t="s">
        <v>1808</v>
      </c>
      <c r="D776" s="90" t="s">
        <v>1809</v>
      </c>
      <c r="E776" s="90">
        <f>+971529383333</f>
        <v>971529383333</v>
      </c>
      <c r="F776" s="87" t="s">
        <v>975</v>
      </c>
      <c r="G776" s="39" t="s">
        <v>574</v>
      </c>
    </row>
    <row r="777" hidden="1">
      <c r="A777" s="101">
        <v>43603.0</v>
      </c>
      <c r="B777" s="90"/>
      <c r="C777" s="90" t="s">
        <v>1810</v>
      </c>
      <c r="D777" s="90" t="s">
        <v>1811</v>
      </c>
      <c r="E777" s="90">
        <f>+971506502587</f>
        <v>971506502587</v>
      </c>
      <c r="F777" s="87" t="s">
        <v>975</v>
      </c>
      <c r="G777" s="39" t="s">
        <v>574</v>
      </c>
    </row>
    <row r="778" hidden="1">
      <c r="A778" s="101">
        <v>43603.0</v>
      </c>
      <c r="B778" s="90"/>
      <c r="C778" s="90" t="s">
        <v>1812</v>
      </c>
      <c r="D778" s="90" t="s">
        <v>1813</v>
      </c>
      <c r="E778" s="90">
        <f>+16474046326</f>
        <v>16474046326</v>
      </c>
      <c r="F778" s="87" t="s">
        <v>975</v>
      </c>
      <c r="G778" s="39" t="s">
        <v>574</v>
      </c>
    </row>
    <row r="779" hidden="1">
      <c r="A779" s="101">
        <v>43603.0</v>
      </c>
      <c r="B779" s="90"/>
      <c r="C779" s="90" t="s">
        <v>1814</v>
      </c>
      <c r="D779" s="90" t="s">
        <v>1815</v>
      </c>
      <c r="E779" s="90">
        <f>+919845607486</f>
        <v>919845607486</v>
      </c>
      <c r="F779" s="87" t="s">
        <v>975</v>
      </c>
      <c r="G779" s="39" t="s">
        <v>574</v>
      </c>
    </row>
    <row r="780" hidden="1">
      <c r="A780" s="101">
        <v>43603.0</v>
      </c>
      <c r="B780" s="90"/>
      <c r="C780" s="90" t="s">
        <v>527</v>
      </c>
      <c r="D780" s="90" t="s">
        <v>528</v>
      </c>
      <c r="E780" s="90">
        <f>+923000200337</f>
        <v>923000200337</v>
      </c>
      <c r="F780" s="87" t="s">
        <v>975</v>
      </c>
      <c r="G780" s="39" t="s">
        <v>574</v>
      </c>
    </row>
    <row r="781" hidden="1">
      <c r="A781" s="101">
        <v>43603.0</v>
      </c>
      <c r="B781" s="90"/>
      <c r="C781" s="90" t="s">
        <v>1816</v>
      </c>
      <c r="D781" s="90" t="s">
        <v>1817</v>
      </c>
      <c r="E781" s="90">
        <f>+919747466667</f>
        <v>919747466667</v>
      </c>
      <c r="F781" s="87" t="s">
        <v>975</v>
      </c>
      <c r="G781" s="39" t="s">
        <v>574</v>
      </c>
    </row>
    <row r="782" hidden="1">
      <c r="A782" s="101">
        <v>43604.0</v>
      </c>
      <c r="B782" s="90"/>
      <c r="C782" s="90" t="s">
        <v>1818</v>
      </c>
      <c r="D782" s="90" t="s">
        <v>1819</v>
      </c>
      <c r="E782" s="90">
        <f>+254735777035</f>
        <v>254735777035</v>
      </c>
      <c r="F782" s="87" t="s">
        <v>975</v>
      </c>
      <c r="G782" s="39" t="s">
        <v>1820</v>
      </c>
    </row>
    <row r="783" hidden="1">
      <c r="A783" s="101">
        <v>43604.0</v>
      </c>
      <c r="B783" s="90"/>
      <c r="C783" s="90" t="s">
        <v>1821</v>
      </c>
      <c r="D783" s="90" t="s">
        <v>1822</v>
      </c>
      <c r="E783" s="90">
        <f>+971506550834</f>
        <v>971506550834</v>
      </c>
      <c r="F783" s="87" t="s">
        <v>975</v>
      </c>
      <c r="G783" s="39" t="s">
        <v>172</v>
      </c>
    </row>
    <row r="784" hidden="1">
      <c r="A784" s="101">
        <v>43604.0</v>
      </c>
      <c r="B784" s="90"/>
      <c r="C784" s="90" t="s">
        <v>1823</v>
      </c>
      <c r="D784" s="90" t="s">
        <v>1824</v>
      </c>
      <c r="E784" s="90">
        <f>+639175319448</f>
        <v>639175319448</v>
      </c>
      <c r="F784" s="87" t="s">
        <v>975</v>
      </c>
      <c r="G784" s="39" t="s">
        <v>168</v>
      </c>
    </row>
    <row r="785" hidden="1">
      <c r="A785" s="101">
        <v>43604.0</v>
      </c>
      <c r="B785" s="90"/>
      <c r="C785" s="90" t="s">
        <v>1825</v>
      </c>
      <c r="D785" s="90" t="s">
        <v>1826</v>
      </c>
      <c r="E785" s="90">
        <f>+9710503550720</f>
        <v>9710503550720</v>
      </c>
      <c r="F785" s="87" t="s">
        <v>975</v>
      </c>
      <c r="G785" s="39" t="s">
        <v>574</v>
      </c>
    </row>
    <row r="786" hidden="1">
      <c r="A786" s="101">
        <v>43605.0</v>
      </c>
      <c r="B786" s="90"/>
      <c r="C786" s="90" t="s">
        <v>1827</v>
      </c>
      <c r="D786" s="90" t="s">
        <v>1828</v>
      </c>
      <c r="E786" s="90">
        <f>+97433781204</f>
        <v>97433781204</v>
      </c>
      <c r="F786" s="87" t="s">
        <v>975</v>
      </c>
      <c r="G786" s="39" t="s">
        <v>1829</v>
      </c>
    </row>
    <row r="787" hidden="1">
      <c r="A787" s="101">
        <v>43605.0</v>
      </c>
      <c r="B787" s="90"/>
      <c r="C787" s="90" t="s">
        <v>1830</v>
      </c>
      <c r="D787" s="90" t="s">
        <v>1831</v>
      </c>
      <c r="E787" s="90">
        <f>+918089521004</f>
        <v>918089521004</v>
      </c>
      <c r="F787" s="87" t="s">
        <v>975</v>
      </c>
      <c r="G787" s="39" t="s">
        <v>979</v>
      </c>
    </row>
    <row r="788" hidden="1">
      <c r="A788" s="101">
        <v>43605.0</v>
      </c>
      <c r="B788" s="90"/>
      <c r="C788" s="90" t="s">
        <v>1030</v>
      </c>
      <c r="D788" s="90" t="s">
        <v>1832</v>
      </c>
      <c r="E788" s="90">
        <f>+971507987323</f>
        <v>971507987323</v>
      </c>
      <c r="F788" s="87" t="s">
        <v>975</v>
      </c>
      <c r="G788" s="39" t="s">
        <v>168</v>
      </c>
    </row>
    <row r="789" hidden="1">
      <c r="A789" s="101">
        <v>43605.0</v>
      </c>
      <c r="B789" s="92"/>
      <c r="C789" s="92" t="s">
        <v>1833</v>
      </c>
      <c r="D789" s="90" t="s">
        <v>1834</v>
      </c>
      <c r="E789" s="90">
        <f>+971569163059</f>
        <v>971569163059</v>
      </c>
      <c r="F789" s="87" t="s">
        <v>975</v>
      </c>
      <c r="G789" s="39" t="s">
        <v>168</v>
      </c>
    </row>
    <row r="790" hidden="1">
      <c r="A790" s="101">
        <v>43607.0</v>
      </c>
      <c r="B790" s="110"/>
      <c r="C790" s="110" t="s">
        <v>1835</v>
      </c>
      <c r="D790" s="110" t="s">
        <v>1836</v>
      </c>
      <c r="E790" s="110">
        <f>+16308541936</f>
        <v>16308541936</v>
      </c>
      <c r="F790" s="111" t="s">
        <v>975</v>
      </c>
      <c r="G790" s="112" t="s">
        <v>574</v>
      </c>
    </row>
    <row r="791" hidden="1">
      <c r="A791" s="101">
        <v>43607.0</v>
      </c>
      <c r="B791" s="113"/>
      <c r="C791" s="113" t="s">
        <v>1837</v>
      </c>
      <c r="D791" s="113" t="s">
        <v>1838</v>
      </c>
      <c r="E791" s="113">
        <f>+66950365536</f>
        <v>66950365536</v>
      </c>
      <c r="F791" s="114" t="s">
        <v>975</v>
      </c>
      <c r="G791" s="115" t="s">
        <v>168</v>
      </c>
    </row>
    <row r="792" hidden="1">
      <c r="A792" s="101">
        <v>43607.0</v>
      </c>
      <c r="B792" s="110"/>
      <c r="C792" s="110" t="s">
        <v>1839</v>
      </c>
      <c r="D792" s="110" t="s">
        <v>1840</v>
      </c>
      <c r="E792" s="110">
        <f>+923077777801</f>
        <v>923077777801</v>
      </c>
      <c r="F792" s="111" t="s">
        <v>975</v>
      </c>
      <c r="G792" s="112" t="s">
        <v>168</v>
      </c>
    </row>
    <row r="793" hidden="1">
      <c r="A793" s="116">
        <v>43646.0</v>
      </c>
      <c r="B793" s="113"/>
      <c r="C793" s="113" t="s">
        <v>1841</v>
      </c>
      <c r="D793" s="113" t="s">
        <v>1842</v>
      </c>
      <c r="E793" s="113">
        <f>+966554527412</f>
        <v>966554527412</v>
      </c>
      <c r="F793" s="114" t="s">
        <v>975</v>
      </c>
      <c r="G793" s="115" t="s">
        <v>574</v>
      </c>
    </row>
    <row r="794" hidden="1">
      <c r="A794" s="116">
        <v>43646.0</v>
      </c>
      <c r="B794" s="110"/>
      <c r="C794" s="110" t="s">
        <v>1843</v>
      </c>
      <c r="D794" s="110" t="s">
        <v>1844</v>
      </c>
      <c r="E794" s="110">
        <f>+9660596234506</f>
        <v>9660596234506</v>
      </c>
      <c r="F794" s="111" t="s">
        <v>975</v>
      </c>
      <c r="G794" s="112" t="s">
        <v>172</v>
      </c>
    </row>
    <row r="795" hidden="1">
      <c r="A795" s="116">
        <v>43646.0</v>
      </c>
      <c r="B795" s="113"/>
      <c r="C795" s="113" t="s">
        <v>1845</v>
      </c>
      <c r="D795" s="113" t="s">
        <v>1846</v>
      </c>
      <c r="E795" s="113">
        <f>+966551731697</f>
        <v>966551731697</v>
      </c>
      <c r="F795" s="114" t="s">
        <v>975</v>
      </c>
      <c r="G795" s="115" t="s">
        <v>574</v>
      </c>
    </row>
    <row r="796" hidden="1">
      <c r="A796" s="101">
        <v>43647.0</v>
      </c>
      <c r="B796" s="117"/>
      <c r="C796" s="117" t="s">
        <v>1847</v>
      </c>
      <c r="D796" s="110" t="s">
        <v>1848</v>
      </c>
      <c r="E796" s="118" t="s">
        <v>1849</v>
      </c>
      <c r="F796" s="111" t="s">
        <v>975</v>
      </c>
      <c r="G796" s="112" t="s">
        <v>457</v>
      </c>
    </row>
    <row r="797" hidden="1">
      <c r="A797" s="101">
        <v>43648.0</v>
      </c>
      <c r="B797" s="119"/>
      <c r="C797" s="119" t="s">
        <v>1850</v>
      </c>
      <c r="D797" s="119" t="s">
        <v>1851</v>
      </c>
      <c r="E797" s="120" t="s">
        <v>1852</v>
      </c>
      <c r="F797" s="114" t="s">
        <v>975</v>
      </c>
      <c r="G797" s="115" t="s">
        <v>457</v>
      </c>
    </row>
    <row r="798" hidden="1">
      <c r="A798" s="101">
        <v>43672.0</v>
      </c>
      <c r="B798" s="121"/>
      <c r="C798" s="121" t="s">
        <v>1853</v>
      </c>
      <c r="D798" s="121" t="s">
        <v>1854</v>
      </c>
      <c r="E798" s="122" t="s">
        <v>1855</v>
      </c>
      <c r="F798" s="111" t="s">
        <v>975</v>
      </c>
      <c r="G798" s="112" t="s">
        <v>457</v>
      </c>
    </row>
    <row r="799" hidden="1">
      <c r="A799" s="101">
        <v>43672.0</v>
      </c>
      <c r="B799" s="123"/>
      <c r="C799" s="123" t="s">
        <v>1856</v>
      </c>
      <c r="D799" s="124" t="s">
        <v>1857</v>
      </c>
      <c r="E799" s="125" t="s">
        <v>1858</v>
      </c>
      <c r="F799" s="114" t="s">
        <v>975</v>
      </c>
      <c r="G799" s="115" t="s">
        <v>574</v>
      </c>
    </row>
    <row r="800" hidden="1">
      <c r="A800" s="101">
        <v>43672.0</v>
      </c>
      <c r="B800" s="126"/>
      <c r="C800" s="126" t="s">
        <v>1859</v>
      </c>
      <c r="D800" s="127" t="s">
        <v>1860</v>
      </c>
      <c r="E800" s="122" t="s">
        <v>1861</v>
      </c>
      <c r="F800" s="111" t="s">
        <v>975</v>
      </c>
      <c r="G800" s="112" t="s">
        <v>574</v>
      </c>
    </row>
    <row r="801">
      <c r="A801" s="101"/>
      <c r="B801" s="128"/>
      <c r="C801" s="129" t="s">
        <v>1862</v>
      </c>
      <c r="D801" s="130" t="s">
        <v>1863</v>
      </c>
      <c r="E801" s="131">
        <v>9.19407299999E11</v>
      </c>
      <c r="F801" s="132" t="s">
        <v>1864</v>
      </c>
      <c r="G801" s="66" t="s">
        <v>574</v>
      </c>
    </row>
    <row r="802">
      <c r="A802" s="101"/>
      <c r="B802" s="133"/>
      <c r="C802" s="134" t="s">
        <v>1865</v>
      </c>
      <c r="D802" s="130" t="s">
        <v>1866</v>
      </c>
      <c r="E802" s="131">
        <v>9.71581806688E11</v>
      </c>
      <c r="F802" s="132" t="s">
        <v>1864</v>
      </c>
      <c r="G802" s="135" t="s">
        <v>168</v>
      </c>
    </row>
    <row r="803">
      <c r="A803" s="101"/>
      <c r="B803" s="133"/>
      <c r="C803" s="134" t="s">
        <v>1867</v>
      </c>
      <c r="D803" s="130" t="s">
        <v>1868</v>
      </c>
      <c r="E803" s="131" t="s">
        <v>1869</v>
      </c>
      <c r="F803" s="132" t="s">
        <v>1864</v>
      </c>
      <c r="G803" s="66" t="s">
        <v>1870</v>
      </c>
    </row>
    <row r="804">
      <c r="A804" s="101"/>
      <c r="B804" s="133"/>
      <c r="C804" s="134" t="s">
        <v>1871</v>
      </c>
      <c r="D804" s="130" t="s">
        <v>1872</v>
      </c>
      <c r="E804" s="131" t="s">
        <v>1873</v>
      </c>
      <c r="F804" s="132" t="s">
        <v>1864</v>
      </c>
      <c r="G804" s="135" t="s">
        <v>1874</v>
      </c>
    </row>
    <row r="805">
      <c r="A805" s="101"/>
      <c r="B805" s="133"/>
      <c r="C805" s="134" t="s">
        <v>1875</v>
      </c>
      <c r="D805" s="130" t="s">
        <v>1876</v>
      </c>
      <c r="E805" s="131" t="s">
        <v>1877</v>
      </c>
      <c r="F805" s="132" t="s">
        <v>1864</v>
      </c>
      <c r="G805" s="66" t="s">
        <v>168</v>
      </c>
    </row>
    <row r="806">
      <c r="A806" s="101"/>
      <c r="B806" s="133"/>
      <c r="C806" s="134" t="s">
        <v>1878</v>
      </c>
      <c r="D806" s="130" t="s">
        <v>1879</v>
      </c>
      <c r="E806" s="131">
        <v>9.7155448043E11</v>
      </c>
      <c r="F806" s="132" t="s">
        <v>1864</v>
      </c>
      <c r="G806" s="135" t="s">
        <v>1880</v>
      </c>
    </row>
    <row r="807">
      <c r="A807" s="101"/>
      <c r="B807" s="133"/>
      <c r="C807" s="134" t="s">
        <v>1881</v>
      </c>
      <c r="D807" s="130" t="s">
        <v>1882</v>
      </c>
      <c r="E807" s="131">
        <f>+971501661430</f>
        <v>971501661430</v>
      </c>
      <c r="F807" s="132" t="s">
        <v>1864</v>
      </c>
      <c r="G807" s="66" t="s">
        <v>168</v>
      </c>
    </row>
    <row r="808">
      <c r="A808" s="101"/>
      <c r="B808" s="133"/>
      <c r="C808" s="134" t="s">
        <v>1883</v>
      </c>
      <c r="D808" s="130" t="s">
        <v>1884</v>
      </c>
      <c r="E808" s="131">
        <f>+8615105364913</f>
        <v>8615105364913</v>
      </c>
      <c r="F808" s="132" t="s">
        <v>1864</v>
      </c>
      <c r="G808" s="135" t="s">
        <v>168</v>
      </c>
    </row>
    <row r="809">
      <c r="A809" s="101"/>
      <c r="B809" s="133"/>
      <c r="C809" s="134" t="s">
        <v>1885</v>
      </c>
      <c r="D809" s="130" t="s">
        <v>1886</v>
      </c>
      <c r="E809" s="131">
        <f>+971523652119</f>
        <v>971523652119</v>
      </c>
      <c r="F809" s="132" t="s">
        <v>1864</v>
      </c>
      <c r="G809" s="136"/>
    </row>
    <row r="810">
      <c r="A810" s="101"/>
      <c r="B810" s="128"/>
      <c r="C810" s="129" t="s">
        <v>1887</v>
      </c>
      <c r="D810" s="130" t="s">
        <v>1888</v>
      </c>
      <c r="E810" s="131">
        <v>9.66505844802E11</v>
      </c>
      <c r="F810" s="132" t="s">
        <v>1864</v>
      </c>
      <c r="G810" s="135" t="s">
        <v>574</v>
      </c>
    </row>
    <row r="811">
      <c r="A811" s="101"/>
      <c r="B811" s="133"/>
      <c r="C811" s="134" t="s">
        <v>1889</v>
      </c>
      <c r="D811" s="130" t="s">
        <v>1890</v>
      </c>
      <c r="E811" s="131">
        <f>+971588245895</f>
        <v>971588245895</v>
      </c>
      <c r="F811" s="132" t="s">
        <v>1864</v>
      </c>
      <c r="G811" s="66" t="s">
        <v>1891</v>
      </c>
    </row>
    <row r="812">
      <c r="A812" s="101"/>
      <c r="B812" s="133"/>
      <c r="C812" s="134" t="s">
        <v>1892</v>
      </c>
      <c r="D812" s="130" t="s">
        <v>1893</v>
      </c>
      <c r="E812" s="131">
        <f>+971557257538</f>
        <v>971557257538</v>
      </c>
      <c r="F812" s="132" t="s">
        <v>1864</v>
      </c>
      <c r="G812" s="135" t="s">
        <v>1891</v>
      </c>
    </row>
    <row r="813">
      <c r="A813" s="101"/>
      <c r="B813" s="133"/>
      <c r="C813" s="134" t="s">
        <v>1894</v>
      </c>
      <c r="D813" s="130" t="s">
        <v>1895</v>
      </c>
      <c r="E813" s="131">
        <f>+971569622454</f>
        <v>971569622454</v>
      </c>
      <c r="F813" s="132" t="s">
        <v>1864</v>
      </c>
      <c r="G813" s="66" t="s">
        <v>574</v>
      </c>
    </row>
    <row r="814">
      <c r="A814" s="101"/>
      <c r="B814" s="133"/>
      <c r="C814" s="134" t="s">
        <v>1896</v>
      </c>
      <c r="D814" s="130" t="s">
        <v>1897</v>
      </c>
      <c r="E814" s="131">
        <f>+971506762736</f>
        <v>971506762736</v>
      </c>
      <c r="F814" s="132" t="s">
        <v>1864</v>
      </c>
      <c r="G814" s="135" t="s">
        <v>1898</v>
      </c>
    </row>
    <row r="815">
      <c r="A815" s="101"/>
      <c r="B815" s="133"/>
      <c r="C815" s="134" t="s">
        <v>1899</v>
      </c>
      <c r="D815" s="130" t="s">
        <v>1900</v>
      </c>
      <c r="E815" s="131">
        <f>+971585753232</f>
        <v>971585753232</v>
      </c>
      <c r="F815" s="132" t="s">
        <v>1864</v>
      </c>
      <c r="G815" s="66" t="s">
        <v>1898</v>
      </c>
    </row>
    <row r="816">
      <c r="A816" s="137" t="s">
        <v>1901</v>
      </c>
      <c r="B816" s="133"/>
      <c r="C816" s="134" t="s">
        <v>1902</v>
      </c>
      <c r="D816" s="130" t="s">
        <v>1903</v>
      </c>
      <c r="E816" s="131">
        <v>9.71589355706E11</v>
      </c>
      <c r="F816" s="132" t="s">
        <v>1864</v>
      </c>
      <c r="G816" s="135" t="s">
        <v>574</v>
      </c>
    </row>
    <row r="817">
      <c r="A817" s="101"/>
      <c r="B817" s="133"/>
      <c r="C817" s="134" t="s">
        <v>1904</v>
      </c>
      <c r="D817" s="130" t="s">
        <v>1905</v>
      </c>
      <c r="E817" s="131">
        <v>9.71555601751E11</v>
      </c>
      <c r="F817" s="132" t="s">
        <v>1864</v>
      </c>
      <c r="G817" s="66" t="s">
        <v>1891</v>
      </c>
    </row>
    <row r="818">
      <c r="A818" s="101"/>
      <c r="B818" s="133"/>
      <c r="C818" s="134" t="s">
        <v>1906</v>
      </c>
      <c r="D818" s="130" t="s">
        <v>1907</v>
      </c>
      <c r="E818" s="131">
        <v>9.71561395136E11</v>
      </c>
      <c r="F818" s="132" t="s">
        <v>1864</v>
      </c>
      <c r="G818" s="138"/>
    </row>
    <row r="819">
      <c r="A819" s="101"/>
      <c r="B819" s="133"/>
      <c r="C819" s="134" t="s">
        <v>1908</v>
      </c>
      <c r="D819" s="130" t="s">
        <v>1909</v>
      </c>
      <c r="E819" s="131">
        <v>9.71501501134E11</v>
      </c>
      <c r="F819" s="132" t="s">
        <v>1864</v>
      </c>
      <c r="G819" s="66" t="s">
        <v>172</v>
      </c>
    </row>
    <row r="820">
      <c r="A820" s="101"/>
      <c r="B820" s="133"/>
      <c r="C820" s="134" t="s">
        <v>1910</v>
      </c>
      <c r="D820" s="130" t="s">
        <v>1911</v>
      </c>
      <c r="E820" s="131">
        <v>9.71506664338E11</v>
      </c>
      <c r="F820" s="132" t="s">
        <v>1864</v>
      </c>
      <c r="G820" s="135" t="s">
        <v>574</v>
      </c>
    </row>
    <row r="821">
      <c r="A821" s="101"/>
      <c r="B821" s="133"/>
      <c r="C821" s="134" t="s">
        <v>1912</v>
      </c>
      <c r="D821" s="130" t="s">
        <v>1913</v>
      </c>
      <c r="E821" s="131">
        <v>9.7155336233E11</v>
      </c>
      <c r="F821" s="132" t="s">
        <v>1864</v>
      </c>
      <c r="G821" s="66" t="s">
        <v>1914</v>
      </c>
    </row>
    <row r="822">
      <c r="A822" s="101"/>
      <c r="B822" s="133"/>
      <c r="C822" s="134" t="s">
        <v>1915</v>
      </c>
      <c r="D822" s="130" t="s">
        <v>1866</v>
      </c>
      <c r="E822" s="131">
        <v>9.71581806688E11</v>
      </c>
      <c r="F822" s="132" t="s">
        <v>1864</v>
      </c>
      <c r="G822" s="135" t="s">
        <v>168</v>
      </c>
    </row>
    <row r="823">
      <c r="A823" s="101"/>
      <c r="B823" s="133"/>
      <c r="C823" s="134" t="s">
        <v>1916</v>
      </c>
      <c r="D823" s="130" t="s">
        <v>1917</v>
      </c>
      <c r="E823" s="131">
        <v>9.71506656405E11</v>
      </c>
      <c r="F823" s="132" t="s">
        <v>1864</v>
      </c>
      <c r="G823" s="66" t="s">
        <v>1918</v>
      </c>
    </row>
    <row r="824">
      <c r="A824" s="101"/>
      <c r="B824" s="133"/>
      <c r="C824" s="134" t="s">
        <v>1919</v>
      </c>
      <c r="D824" s="130" t="s">
        <v>1920</v>
      </c>
      <c r="E824" s="131">
        <f>+971568769489</f>
        <v>971568769489</v>
      </c>
      <c r="F824" s="132" t="s">
        <v>1864</v>
      </c>
      <c r="G824" s="135" t="s">
        <v>574</v>
      </c>
    </row>
    <row r="825">
      <c r="A825" s="101"/>
      <c r="B825" s="133"/>
      <c r="C825" s="134" t="s">
        <v>1921</v>
      </c>
      <c r="D825" s="130" t="s">
        <v>1922</v>
      </c>
      <c r="E825" s="131" t="s">
        <v>1923</v>
      </c>
      <c r="F825" s="132" t="s">
        <v>1864</v>
      </c>
      <c r="G825" s="66" t="s">
        <v>1924</v>
      </c>
    </row>
    <row r="826">
      <c r="A826" s="101"/>
      <c r="B826" s="133"/>
      <c r="C826" s="134" t="s">
        <v>1925</v>
      </c>
      <c r="D826" s="130" t="s">
        <v>1926</v>
      </c>
      <c r="E826" s="131">
        <v>9.71503595474E11</v>
      </c>
      <c r="F826" s="132" t="s">
        <v>1864</v>
      </c>
      <c r="G826" s="135" t="s">
        <v>574</v>
      </c>
    </row>
    <row r="827">
      <c r="A827" s="101"/>
      <c r="B827" s="133"/>
      <c r="C827" s="134" t="s">
        <v>1927</v>
      </c>
      <c r="D827" s="130" t="s">
        <v>1928</v>
      </c>
      <c r="E827" s="131">
        <v>9.710566815988E12</v>
      </c>
      <c r="F827" s="132" t="s">
        <v>1864</v>
      </c>
      <c r="G827" s="66" t="s">
        <v>574</v>
      </c>
    </row>
    <row r="828">
      <c r="A828" s="101"/>
      <c r="B828" s="133"/>
      <c r="C828" s="134" t="s">
        <v>1929</v>
      </c>
      <c r="D828" s="130" t="s">
        <v>1930</v>
      </c>
      <c r="E828" s="131">
        <v>9.710544446684E12</v>
      </c>
      <c r="F828" s="132" t="s">
        <v>1864</v>
      </c>
      <c r="G828" s="135" t="s">
        <v>168</v>
      </c>
    </row>
    <row r="829">
      <c r="A829" s="101"/>
      <c r="B829" s="133"/>
      <c r="C829" s="134" t="s">
        <v>1931</v>
      </c>
      <c r="D829" s="130" t="s">
        <v>1932</v>
      </c>
      <c r="E829" s="131">
        <f>+971559845452</f>
        <v>971559845452</v>
      </c>
      <c r="F829" s="132" t="s">
        <v>1864</v>
      </c>
      <c r="G829" s="66" t="s">
        <v>574</v>
      </c>
    </row>
    <row r="830">
      <c r="A830" s="101"/>
      <c r="B830" s="133"/>
      <c r="C830" s="134" t="s">
        <v>1933</v>
      </c>
      <c r="D830" s="130" t="s">
        <v>1934</v>
      </c>
      <c r="E830" s="131">
        <v>9.71566435694E11</v>
      </c>
      <c r="F830" s="132" t="s">
        <v>1864</v>
      </c>
      <c r="G830" s="135" t="s">
        <v>574</v>
      </c>
    </row>
    <row r="831">
      <c r="A831" s="101"/>
      <c r="B831" s="133"/>
      <c r="C831" s="134" t="s">
        <v>1935</v>
      </c>
      <c r="D831" s="130" t="s">
        <v>1936</v>
      </c>
      <c r="E831" s="131" t="s">
        <v>1937</v>
      </c>
      <c r="F831" s="132" t="s">
        <v>1864</v>
      </c>
      <c r="G831" s="66" t="s">
        <v>1938</v>
      </c>
    </row>
    <row r="832">
      <c r="A832" s="101"/>
      <c r="B832" s="133"/>
      <c r="C832" s="134" t="s">
        <v>1939</v>
      </c>
      <c r="D832" s="130" t="s">
        <v>1940</v>
      </c>
      <c r="E832" s="131">
        <v>9.71561560651E11</v>
      </c>
      <c r="F832" s="132" t="s">
        <v>1864</v>
      </c>
      <c r="G832" s="135" t="s">
        <v>1941</v>
      </c>
    </row>
    <row r="833">
      <c r="A833" s="101"/>
      <c r="B833" s="133"/>
      <c r="C833" s="134" t="s">
        <v>1942</v>
      </c>
      <c r="D833" s="130" t="s">
        <v>1943</v>
      </c>
      <c r="E833" s="131">
        <f>+971508894141</f>
        <v>971508894141</v>
      </c>
      <c r="F833" s="132" t="s">
        <v>1864</v>
      </c>
      <c r="G833" s="66" t="s">
        <v>168</v>
      </c>
    </row>
    <row r="834">
      <c r="A834" s="101"/>
      <c r="B834" s="133"/>
      <c r="C834" s="134" t="s">
        <v>1944</v>
      </c>
      <c r="D834" s="130" t="s">
        <v>1945</v>
      </c>
      <c r="E834" s="139">
        <v>9.71557757567E11</v>
      </c>
      <c r="F834" s="132" t="s">
        <v>1864</v>
      </c>
      <c r="G834" s="135" t="s">
        <v>574</v>
      </c>
    </row>
    <row r="835">
      <c r="A835" s="101"/>
      <c r="B835" s="140"/>
      <c r="C835" s="141" t="s">
        <v>1946</v>
      </c>
      <c r="D835" s="130" t="s">
        <v>1947</v>
      </c>
      <c r="E835" s="131" t="s">
        <v>1948</v>
      </c>
      <c r="F835" s="142" t="s">
        <v>1864</v>
      </c>
      <c r="G835" s="66" t="s">
        <v>574</v>
      </c>
    </row>
    <row r="836">
      <c r="A836" s="101"/>
      <c r="B836" s="143"/>
      <c r="C836" s="144" t="s">
        <v>1949</v>
      </c>
      <c r="D836" s="130" t="s">
        <v>1950</v>
      </c>
      <c r="E836" s="131" t="s">
        <v>1951</v>
      </c>
      <c r="F836" s="142" t="s">
        <v>1864</v>
      </c>
      <c r="G836" s="135" t="s">
        <v>168</v>
      </c>
    </row>
    <row r="837">
      <c r="A837" s="101"/>
      <c r="B837" s="143"/>
      <c r="C837" s="144" t="s">
        <v>1952</v>
      </c>
      <c r="D837" s="130" t="s">
        <v>1953</v>
      </c>
      <c r="E837" s="131" t="s">
        <v>1954</v>
      </c>
      <c r="F837" s="142" t="s">
        <v>1864</v>
      </c>
      <c r="G837" s="66" t="s">
        <v>168</v>
      </c>
    </row>
    <row r="838">
      <c r="A838" s="101"/>
      <c r="B838" s="143"/>
      <c r="C838" s="144" t="s">
        <v>1955</v>
      </c>
      <c r="D838" s="130" t="s">
        <v>1956</v>
      </c>
      <c r="E838" s="131" t="s">
        <v>1957</v>
      </c>
      <c r="F838" s="142" t="s">
        <v>1864</v>
      </c>
      <c r="G838" s="135" t="s">
        <v>168</v>
      </c>
    </row>
    <row r="839">
      <c r="A839" s="101"/>
      <c r="B839" s="133"/>
      <c r="C839" s="134" t="s">
        <v>1958</v>
      </c>
      <c r="D839" s="130" t="s">
        <v>1959</v>
      </c>
      <c r="E839" s="131" t="s">
        <v>1960</v>
      </c>
      <c r="F839" s="132" t="s">
        <v>1864</v>
      </c>
      <c r="G839" s="66" t="s">
        <v>172</v>
      </c>
    </row>
    <row r="840">
      <c r="A840" s="101"/>
      <c r="B840" s="133"/>
      <c r="C840" s="134" t="s">
        <v>1961</v>
      </c>
      <c r="D840" s="145" t="s">
        <v>1962</v>
      </c>
      <c r="E840" s="131" t="s">
        <v>1963</v>
      </c>
      <c r="F840" s="132" t="s">
        <v>1864</v>
      </c>
      <c r="G840" s="135" t="s">
        <v>516</v>
      </c>
    </row>
    <row r="841">
      <c r="A841" s="101"/>
      <c r="B841" s="133"/>
      <c r="C841" s="134" t="s">
        <v>1964</v>
      </c>
      <c r="D841" s="130" t="s">
        <v>1965</v>
      </c>
      <c r="E841" s="139" t="s">
        <v>1966</v>
      </c>
      <c r="F841" s="132" t="s">
        <v>1864</v>
      </c>
      <c r="G841" s="66" t="s">
        <v>168</v>
      </c>
    </row>
    <row r="842">
      <c r="A842" s="101"/>
      <c r="B842" s="133"/>
      <c r="C842" s="134" t="s">
        <v>1967</v>
      </c>
      <c r="D842" s="130" t="s">
        <v>1968</v>
      </c>
      <c r="E842" s="131" t="s">
        <v>1969</v>
      </c>
      <c r="F842" s="132" t="s">
        <v>1864</v>
      </c>
      <c r="G842" s="135" t="s">
        <v>574</v>
      </c>
    </row>
    <row r="843">
      <c r="A843" s="101"/>
      <c r="B843" s="133"/>
      <c r="C843" s="134" t="s">
        <v>1970</v>
      </c>
      <c r="D843" s="130" t="s">
        <v>1971</v>
      </c>
      <c r="E843" s="131" t="s">
        <v>1972</v>
      </c>
      <c r="F843" s="132" t="s">
        <v>1864</v>
      </c>
      <c r="G843" s="66" t="s">
        <v>168</v>
      </c>
    </row>
    <row r="844">
      <c r="A844" s="101"/>
      <c r="B844" s="133"/>
      <c r="C844" s="134" t="s">
        <v>1973</v>
      </c>
      <c r="D844" s="130" t="s">
        <v>1974</v>
      </c>
      <c r="E844" s="131" t="s">
        <v>1975</v>
      </c>
      <c r="F844" s="132" t="s">
        <v>1864</v>
      </c>
      <c r="G844" s="135" t="s">
        <v>979</v>
      </c>
    </row>
    <row r="845">
      <c r="A845" s="101"/>
      <c r="B845" s="133"/>
      <c r="C845" s="134" t="s">
        <v>1976</v>
      </c>
      <c r="D845" s="130" t="s">
        <v>1977</v>
      </c>
      <c r="E845" s="146" t="s">
        <v>1978</v>
      </c>
      <c r="F845" s="132" t="s">
        <v>1864</v>
      </c>
      <c r="G845" s="66" t="s">
        <v>574</v>
      </c>
    </row>
    <row r="846">
      <c r="A846" s="101"/>
      <c r="B846" s="133"/>
      <c r="C846" s="134" t="s">
        <v>1979</v>
      </c>
      <c r="D846" s="130" t="s">
        <v>1980</v>
      </c>
      <c r="E846" s="131" t="s">
        <v>1981</v>
      </c>
      <c r="F846" s="132" t="s">
        <v>1864</v>
      </c>
      <c r="G846" s="135" t="s">
        <v>574</v>
      </c>
    </row>
    <row r="847">
      <c r="A847" s="101"/>
      <c r="B847" s="133"/>
      <c r="C847" s="134" t="s">
        <v>1982</v>
      </c>
      <c r="D847" s="130" t="s">
        <v>1983</v>
      </c>
      <c r="E847" s="131" t="s">
        <v>1984</v>
      </c>
      <c r="F847" s="132" t="s">
        <v>1864</v>
      </c>
      <c r="G847" s="66" t="s">
        <v>574</v>
      </c>
    </row>
    <row r="848">
      <c r="A848" s="101"/>
      <c r="B848" s="133"/>
      <c r="C848" s="134" t="s">
        <v>1985</v>
      </c>
      <c r="D848" s="130" t="s">
        <v>1986</v>
      </c>
      <c r="E848" s="131" t="s">
        <v>1987</v>
      </c>
      <c r="F848" s="132" t="s">
        <v>1864</v>
      </c>
      <c r="G848" s="135" t="s">
        <v>574</v>
      </c>
    </row>
    <row r="849">
      <c r="A849" s="101"/>
      <c r="B849" s="133"/>
      <c r="C849" s="134" t="s">
        <v>1988</v>
      </c>
      <c r="D849" s="130" t="s">
        <v>1989</v>
      </c>
      <c r="E849" s="131" t="s">
        <v>1990</v>
      </c>
      <c r="F849" s="132" t="s">
        <v>1864</v>
      </c>
      <c r="G849" s="66" t="s">
        <v>574</v>
      </c>
    </row>
    <row r="850">
      <c r="A850" s="101"/>
      <c r="B850" s="133"/>
      <c r="C850" s="134" t="s">
        <v>1991</v>
      </c>
      <c r="D850" s="130" t="s">
        <v>1992</v>
      </c>
      <c r="E850" s="131" t="s">
        <v>1993</v>
      </c>
      <c r="F850" s="132" t="s">
        <v>1864</v>
      </c>
      <c r="G850" s="135" t="s">
        <v>574</v>
      </c>
    </row>
    <row r="851">
      <c r="A851" s="101"/>
      <c r="B851" s="133"/>
      <c r="C851" s="134" t="s">
        <v>1994</v>
      </c>
      <c r="D851" s="130" t="s">
        <v>1995</v>
      </c>
      <c r="E851" s="131" t="s">
        <v>1996</v>
      </c>
      <c r="F851" s="132" t="s">
        <v>1864</v>
      </c>
      <c r="G851" s="66" t="s">
        <v>574</v>
      </c>
    </row>
    <row r="852">
      <c r="A852" s="101"/>
      <c r="B852" s="133"/>
      <c r="C852" s="134" t="s">
        <v>1997</v>
      </c>
      <c r="D852" s="130" t="s">
        <v>1998</v>
      </c>
      <c r="E852" s="131" t="s">
        <v>1999</v>
      </c>
      <c r="F852" s="132" t="s">
        <v>1864</v>
      </c>
      <c r="G852" s="135" t="s">
        <v>574</v>
      </c>
    </row>
    <row r="853">
      <c r="A853" s="101"/>
      <c r="B853" s="128"/>
      <c r="C853" s="129" t="s">
        <v>2000</v>
      </c>
      <c r="D853" s="130" t="s">
        <v>2001</v>
      </c>
      <c r="E853" s="131" t="s">
        <v>2002</v>
      </c>
      <c r="F853" s="132" t="s">
        <v>1864</v>
      </c>
      <c r="G853" s="66" t="s">
        <v>574</v>
      </c>
    </row>
    <row r="854">
      <c r="A854" s="101"/>
      <c r="B854" s="133"/>
      <c r="C854" s="134" t="s">
        <v>2003</v>
      </c>
      <c r="D854" s="130" t="s">
        <v>2004</v>
      </c>
      <c r="E854" s="131" t="s">
        <v>2005</v>
      </c>
      <c r="F854" s="132" t="s">
        <v>1864</v>
      </c>
      <c r="G854" s="135" t="s">
        <v>574</v>
      </c>
    </row>
    <row r="855">
      <c r="A855" s="101"/>
      <c r="B855" s="133"/>
      <c r="C855" s="134" t="s">
        <v>2006</v>
      </c>
      <c r="D855" s="130" t="s">
        <v>2007</v>
      </c>
      <c r="E855" s="131" t="s">
        <v>2008</v>
      </c>
      <c r="F855" s="132" t="s">
        <v>1864</v>
      </c>
      <c r="G855" s="66" t="s">
        <v>574</v>
      </c>
    </row>
    <row r="856">
      <c r="A856" s="101"/>
      <c r="B856" s="133"/>
      <c r="C856" s="134" t="s">
        <v>2009</v>
      </c>
      <c r="D856" s="130" t="s">
        <v>2010</v>
      </c>
      <c r="E856" s="131" t="s">
        <v>2011</v>
      </c>
      <c r="F856" s="132" t="s">
        <v>1864</v>
      </c>
      <c r="G856" s="135" t="s">
        <v>574</v>
      </c>
    </row>
    <row r="857">
      <c r="A857" s="101"/>
      <c r="B857" s="133"/>
      <c r="C857" s="134" t="s">
        <v>2012</v>
      </c>
      <c r="D857" s="145" t="s">
        <v>2013</v>
      </c>
      <c r="E857" s="131" t="s">
        <v>2014</v>
      </c>
      <c r="F857" s="132" t="s">
        <v>1864</v>
      </c>
      <c r="G857" s="66" t="s">
        <v>574</v>
      </c>
    </row>
    <row r="858">
      <c r="A858" s="101"/>
      <c r="B858" s="133"/>
      <c r="C858" s="134" t="s">
        <v>2015</v>
      </c>
      <c r="D858" s="147" t="s">
        <v>2016</v>
      </c>
      <c r="E858" s="139" t="s">
        <v>2017</v>
      </c>
      <c r="F858" s="132" t="s">
        <v>1864</v>
      </c>
      <c r="G858" s="135" t="s">
        <v>2018</v>
      </c>
    </row>
    <row r="859">
      <c r="A859" s="101"/>
      <c r="B859" s="133"/>
      <c r="C859" s="134" t="s">
        <v>2019</v>
      </c>
      <c r="D859" s="130" t="s">
        <v>2020</v>
      </c>
      <c r="E859" s="131" t="s">
        <v>2021</v>
      </c>
      <c r="F859" s="132" t="s">
        <v>1864</v>
      </c>
      <c r="G859" s="66" t="s">
        <v>2022</v>
      </c>
    </row>
    <row r="860">
      <c r="A860" s="101"/>
      <c r="B860" s="128"/>
      <c r="C860" s="129" t="s">
        <v>2023</v>
      </c>
      <c r="D860" s="130" t="s">
        <v>2024</v>
      </c>
      <c r="E860" s="131" t="s">
        <v>2025</v>
      </c>
      <c r="F860" s="132" t="s">
        <v>1864</v>
      </c>
      <c r="G860" s="135" t="s">
        <v>2026</v>
      </c>
    </row>
    <row r="861">
      <c r="A861" s="101"/>
      <c r="B861" s="128"/>
      <c r="C861" s="129" t="s">
        <v>2027</v>
      </c>
      <c r="D861" s="130" t="s">
        <v>2028</v>
      </c>
      <c r="E861" s="131" t="s">
        <v>2029</v>
      </c>
      <c r="F861" s="132" t="s">
        <v>1864</v>
      </c>
      <c r="G861" s="66" t="s">
        <v>168</v>
      </c>
    </row>
    <row r="862">
      <c r="A862" s="101"/>
      <c r="B862" s="128"/>
      <c r="C862" s="129" t="s">
        <v>2030</v>
      </c>
      <c r="D862" s="130" t="s">
        <v>2031</v>
      </c>
      <c r="E862" s="131" t="s">
        <v>2032</v>
      </c>
      <c r="F862" s="132" t="s">
        <v>1864</v>
      </c>
      <c r="G862" s="135" t="s">
        <v>457</v>
      </c>
    </row>
    <row r="863">
      <c r="A863" s="101"/>
      <c r="B863" s="128"/>
      <c r="C863" s="129" t="s">
        <v>2033</v>
      </c>
      <c r="D863" s="130" t="s">
        <v>2034</v>
      </c>
      <c r="E863" s="131" t="s">
        <v>2035</v>
      </c>
      <c r="F863" s="132" t="s">
        <v>1864</v>
      </c>
      <c r="G863" s="66" t="s">
        <v>168</v>
      </c>
    </row>
    <row r="864">
      <c r="A864" s="101"/>
      <c r="B864" s="128"/>
      <c r="C864" s="129" t="s">
        <v>2036</v>
      </c>
      <c r="D864" s="145" t="s">
        <v>2037</v>
      </c>
      <c r="E864" s="131" t="s">
        <v>2038</v>
      </c>
      <c r="F864" s="132" t="s">
        <v>1864</v>
      </c>
      <c r="G864" s="135" t="s">
        <v>1009</v>
      </c>
    </row>
    <row r="865">
      <c r="A865" s="101"/>
      <c r="B865" s="128"/>
      <c r="C865" s="129" t="s">
        <v>2039</v>
      </c>
      <c r="D865" s="130" t="s">
        <v>2040</v>
      </c>
      <c r="E865" s="131" t="s">
        <v>2041</v>
      </c>
      <c r="F865" s="132" t="s">
        <v>1864</v>
      </c>
      <c r="G865" s="66" t="s">
        <v>574</v>
      </c>
    </row>
    <row r="866">
      <c r="A866" s="101"/>
      <c r="B866" s="128"/>
      <c r="C866" s="129" t="s">
        <v>2042</v>
      </c>
      <c r="D866" s="130" t="s">
        <v>2043</v>
      </c>
      <c r="E866" s="131" t="s">
        <v>2044</v>
      </c>
      <c r="F866" s="132" t="s">
        <v>1864</v>
      </c>
      <c r="G866" s="135" t="s">
        <v>574</v>
      </c>
    </row>
    <row r="867">
      <c r="A867" s="101"/>
      <c r="B867" s="128"/>
      <c r="C867" s="129" t="s">
        <v>2045</v>
      </c>
      <c r="D867" s="130" t="s">
        <v>2046</v>
      </c>
      <c r="E867" s="131" t="s">
        <v>2047</v>
      </c>
      <c r="F867" s="132" t="s">
        <v>1864</v>
      </c>
      <c r="G867" s="66" t="s">
        <v>979</v>
      </c>
    </row>
    <row r="868">
      <c r="A868" s="101"/>
      <c r="B868" s="128"/>
      <c r="C868" s="129" t="s">
        <v>2048</v>
      </c>
      <c r="D868" s="130" t="s">
        <v>2049</v>
      </c>
      <c r="E868" s="131" t="s">
        <v>2050</v>
      </c>
      <c r="F868" s="132" t="s">
        <v>1864</v>
      </c>
      <c r="G868" s="135" t="s">
        <v>979</v>
      </c>
    </row>
    <row r="869">
      <c r="A869" s="101"/>
      <c r="B869" s="128"/>
      <c r="C869" s="129" t="s">
        <v>2051</v>
      </c>
      <c r="D869" s="130" t="s">
        <v>2052</v>
      </c>
      <c r="E869" s="131" t="s">
        <v>2053</v>
      </c>
      <c r="F869" s="132" t="s">
        <v>1864</v>
      </c>
      <c r="G869" s="66" t="s">
        <v>251</v>
      </c>
    </row>
    <row r="870">
      <c r="A870" s="101"/>
      <c r="B870" s="128"/>
      <c r="C870" s="129" t="s">
        <v>2054</v>
      </c>
      <c r="D870" s="130" t="s">
        <v>2055</v>
      </c>
      <c r="E870" s="131" t="s">
        <v>2056</v>
      </c>
      <c r="F870" s="132" t="s">
        <v>1864</v>
      </c>
      <c r="G870" s="135" t="s">
        <v>168</v>
      </c>
    </row>
    <row r="871">
      <c r="A871" s="101"/>
      <c r="B871" s="128"/>
      <c r="C871" s="129" t="s">
        <v>2057</v>
      </c>
      <c r="D871" s="130" t="s">
        <v>2058</v>
      </c>
      <c r="E871" s="131" t="s">
        <v>2059</v>
      </c>
      <c r="F871" s="132" t="s">
        <v>1864</v>
      </c>
      <c r="G871" s="66" t="s">
        <v>2060</v>
      </c>
    </row>
    <row r="872">
      <c r="A872" s="101"/>
      <c r="B872" s="128"/>
      <c r="C872" s="129" t="s">
        <v>2061</v>
      </c>
      <c r="D872" s="130" t="s">
        <v>2062</v>
      </c>
      <c r="E872" s="131">
        <f>+971564566566</f>
        <v>971564566566</v>
      </c>
      <c r="F872" s="132" t="s">
        <v>1864</v>
      </c>
      <c r="G872" s="135" t="s">
        <v>2063</v>
      </c>
    </row>
    <row r="873">
      <c r="A873" s="101"/>
      <c r="B873" s="128"/>
      <c r="C873" s="129" t="s">
        <v>2064</v>
      </c>
      <c r="D873" s="130" t="s">
        <v>2065</v>
      </c>
      <c r="E873" s="131">
        <f>+971544434408</f>
        <v>971544434408</v>
      </c>
      <c r="F873" s="132" t="s">
        <v>1864</v>
      </c>
      <c r="G873" s="66" t="s">
        <v>574</v>
      </c>
    </row>
    <row r="874">
      <c r="A874" s="101"/>
      <c r="B874" s="128"/>
      <c r="C874" s="129" t="s">
        <v>2066</v>
      </c>
      <c r="D874" s="130" t="s">
        <v>2067</v>
      </c>
      <c r="E874" s="146">
        <v>9.71552418571E11</v>
      </c>
      <c r="F874" s="132" t="s">
        <v>1864</v>
      </c>
      <c r="G874" s="135" t="s">
        <v>2068</v>
      </c>
    </row>
    <row r="875">
      <c r="A875" s="101"/>
      <c r="B875" s="128"/>
      <c r="C875" s="129" t="s">
        <v>2069</v>
      </c>
      <c r="D875" s="130" t="s">
        <v>2070</v>
      </c>
      <c r="E875" s="131">
        <f>+971506504091</f>
        <v>971506504091</v>
      </c>
      <c r="F875" s="132" t="s">
        <v>1864</v>
      </c>
      <c r="G875" s="66" t="s">
        <v>574</v>
      </c>
    </row>
    <row r="876">
      <c r="A876" s="101"/>
      <c r="B876" s="128"/>
      <c r="C876" s="129" t="s">
        <v>2071</v>
      </c>
      <c r="D876" s="130" t="s">
        <v>2072</v>
      </c>
      <c r="E876" s="131">
        <f>+971506674084</f>
        <v>971506674084</v>
      </c>
      <c r="F876" s="132" t="s">
        <v>1864</v>
      </c>
      <c r="G876" s="135" t="s">
        <v>168</v>
      </c>
    </row>
    <row r="877">
      <c r="A877" s="101"/>
      <c r="B877" s="128"/>
      <c r="C877" s="129" t="s">
        <v>2073</v>
      </c>
      <c r="D877" s="130" t="s">
        <v>2074</v>
      </c>
      <c r="E877" s="131">
        <f>+971509336933</f>
        <v>971509336933</v>
      </c>
      <c r="F877" s="132" t="s">
        <v>1864</v>
      </c>
      <c r="G877" s="66" t="s">
        <v>2022</v>
      </c>
    </row>
    <row r="878">
      <c r="A878" s="101"/>
      <c r="B878" s="128"/>
      <c r="C878" s="129" t="s">
        <v>2075</v>
      </c>
      <c r="D878" s="130" t="s">
        <v>2076</v>
      </c>
      <c r="E878" s="131">
        <f>+971508571000</f>
        <v>971508571000</v>
      </c>
      <c r="F878" s="132" t="s">
        <v>1864</v>
      </c>
      <c r="G878" s="135" t="s">
        <v>2077</v>
      </c>
    </row>
    <row r="879">
      <c r="A879" s="101"/>
      <c r="B879" s="128"/>
      <c r="C879" s="129" t="s">
        <v>2078</v>
      </c>
      <c r="D879" s="130" t="s">
        <v>2079</v>
      </c>
      <c r="E879" s="131">
        <f>+971589346258</f>
        <v>971589346258</v>
      </c>
      <c r="F879" s="132" t="s">
        <v>1864</v>
      </c>
      <c r="G879" s="66" t="s">
        <v>574</v>
      </c>
    </row>
    <row r="880">
      <c r="A880" s="101"/>
      <c r="B880" s="128"/>
      <c r="C880" s="129" t="s">
        <v>2080</v>
      </c>
      <c r="D880" s="130" t="s">
        <v>2081</v>
      </c>
      <c r="E880" s="146" t="s">
        <v>2082</v>
      </c>
      <c r="F880" s="132" t="s">
        <v>1864</v>
      </c>
      <c r="G880" s="135" t="s">
        <v>574</v>
      </c>
    </row>
    <row r="881">
      <c r="A881" s="101"/>
      <c r="B881" s="128"/>
      <c r="C881" s="129" t="s">
        <v>2083</v>
      </c>
      <c r="D881" s="130" t="s">
        <v>2084</v>
      </c>
      <c r="E881" s="131">
        <f>+491621901100</f>
        <v>491621901100</v>
      </c>
      <c r="F881" s="132" t="s">
        <v>1864</v>
      </c>
      <c r="G881" s="66" t="s">
        <v>457</v>
      </c>
    </row>
    <row r="882">
      <c r="A882" s="101"/>
      <c r="B882" s="128"/>
      <c r="C882" s="129" t="s">
        <v>2085</v>
      </c>
      <c r="D882" s="130" t="s">
        <v>2086</v>
      </c>
      <c r="E882" s="131">
        <f>+971568449277</f>
        <v>971568449277</v>
      </c>
      <c r="F882" s="132" t="s">
        <v>1864</v>
      </c>
      <c r="G882" s="135" t="s">
        <v>574</v>
      </c>
    </row>
    <row r="883">
      <c r="A883" s="101"/>
      <c r="B883" s="128"/>
      <c r="C883" s="129" t="s">
        <v>2087</v>
      </c>
      <c r="D883" s="130" t="s">
        <v>2088</v>
      </c>
      <c r="E883" s="131">
        <f>+971566818233</f>
        <v>971566818233</v>
      </c>
      <c r="F883" s="132" t="s">
        <v>1864</v>
      </c>
      <c r="G883" s="66" t="s">
        <v>574</v>
      </c>
    </row>
    <row r="884">
      <c r="A884" s="101"/>
      <c r="B884" s="128"/>
      <c r="C884" s="129" t="s">
        <v>2089</v>
      </c>
      <c r="D884" s="130" t="s">
        <v>2090</v>
      </c>
      <c r="E884" s="131" t="s">
        <v>2091</v>
      </c>
      <c r="F884" s="132" t="s">
        <v>1864</v>
      </c>
      <c r="G884" s="135" t="s">
        <v>2092</v>
      </c>
    </row>
    <row r="885">
      <c r="A885" s="101"/>
      <c r="B885" s="128"/>
      <c r="C885" s="129" t="s">
        <v>2093</v>
      </c>
      <c r="D885" s="130" t="s">
        <v>2094</v>
      </c>
      <c r="E885" s="131" t="s">
        <v>2095</v>
      </c>
      <c r="F885" s="132" t="s">
        <v>1864</v>
      </c>
      <c r="G885" s="66" t="s">
        <v>168</v>
      </c>
    </row>
    <row r="886">
      <c r="A886" s="101"/>
      <c r="B886" s="128"/>
      <c r="C886" s="129" t="s">
        <v>2096</v>
      </c>
      <c r="D886" s="130" t="s">
        <v>2097</v>
      </c>
      <c r="E886" s="131" t="s">
        <v>2098</v>
      </c>
      <c r="F886" s="132" t="s">
        <v>1864</v>
      </c>
      <c r="G886" s="135" t="s">
        <v>574</v>
      </c>
    </row>
    <row r="887">
      <c r="A887" s="101"/>
      <c r="B887" s="128"/>
      <c r="C887" s="129" t="s">
        <v>2099</v>
      </c>
      <c r="D887" s="130" t="s">
        <v>2100</v>
      </c>
      <c r="E887" s="131">
        <f>+971505919245</f>
        <v>971505919245</v>
      </c>
      <c r="F887" s="132" t="s">
        <v>1864</v>
      </c>
      <c r="G887" s="66" t="s">
        <v>574</v>
      </c>
    </row>
    <row r="888">
      <c r="A888" s="101"/>
      <c r="B888" s="128"/>
      <c r="C888" s="129" t="s">
        <v>2101</v>
      </c>
      <c r="D888" s="130" t="s">
        <v>2102</v>
      </c>
      <c r="E888" s="131" t="s">
        <v>2103</v>
      </c>
      <c r="F888" s="132" t="s">
        <v>1864</v>
      </c>
      <c r="G888" s="135" t="s">
        <v>574</v>
      </c>
    </row>
    <row r="889">
      <c r="A889" s="101"/>
      <c r="B889" s="128"/>
      <c r="C889" s="129" t="s">
        <v>2104</v>
      </c>
      <c r="D889" s="130" t="s">
        <v>2105</v>
      </c>
      <c r="E889" s="131" t="s">
        <v>2106</v>
      </c>
      <c r="F889" s="132" t="s">
        <v>1864</v>
      </c>
      <c r="G889" s="66" t="s">
        <v>172</v>
      </c>
    </row>
    <row r="890">
      <c r="A890" s="101"/>
      <c r="B890" s="128"/>
      <c r="C890" s="129" t="s">
        <v>2107</v>
      </c>
      <c r="D890" s="130" t="s">
        <v>2108</v>
      </c>
      <c r="E890" s="131">
        <f>+971506647454</f>
        <v>971506647454</v>
      </c>
      <c r="F890" s="132" t="s">
        <v>1864</v>
      </c>
      <c r="G890" s="135" t="s">
        <v>168</v>
      </c>
    </row>
    <row r="891">
      <c r="A891" s="101"/>
      <c r="B891" s="128"/>
      <c r="C891" s="129" t="s">
        <v>2109</v>
      </c>
      <c r="D891" s="130" t="s">
        <v>2110</v>
      </c>
      <c r="E891" s="131">
        <f>+971506243925</f>
        <v>971506243925</v>
      </c>
      <c r="F891" s="132" t="s">
        <v>1864</v>
      </c>
      <c r="G891" s="66" t="s">
        <v>574</v>
      </c>
    </row>
    <row r="892">
      <c r="A892" s="101"/>
      <c r="B892" s="128"/>
      <c r="C892" s="129" t="s">
        <v>2111</v>
      </c>
      <c r="D892" s="130" t="s">
        <v>2112</v>
      </c>
      <c r="E892" s="131" t="s">
        <v>2113</v>
      </c>
      <c r="F892" s="132" t="s">
        <v>1864</v>
      </c>
      <c r="G892" s="135" t="s">
        <v>2114</v>
      </c>
    </row>
    <row r="893">
      <c r="A893" s="101"/>
      <c r="B893" s="128"/>
      <c r="C893" s="129" t="s">
        <v>2115</v>
      </c>
      <c r="D893" s="130" t="s">
        <v>2110</v>
      </c>
      <c r="E893" s="146">
        <v>9.71506243925E11</v>
      </c>
      <c r="F893" s="132" t="s">
        <v>1864</v>
      </c>
      <c r="G893" s="66" t="s">
        <v>574</v>
      </c>
    </row>
    <row r="894">
      <c r="A894" s="101"/>
      <c r="B894" s="128"/>
      <c r="C894" s="129" t="s">
        <v>2116</v>
      </c>
      <c r="D894" s="130" t="s">
        <v>2117</v>
      </c>
      <c r="E894" s="131">
        <f>+971504575560</f>
        <v>971504575560</v>
      </c>
      <c r="F894" s="132" t="s">
        <v>1864</v>
      </c>
      <c r="G894" s="135" t="s">
        <v>2068</v>
      </c>
    </row>
    <row r="895">
      <c r="A895" s="101"/>
      <c r="B895" s="128"/>
      <c r="C895" s="129" t="s">
        <v>2118</v>
      </c>
      <c r="D895" s="130" t="s">
        <v>2119</v>
      </c>
      <c r="E895" s="131" t="s">
        <v>2120</v>
      </c>
      <c r="F895" s="132" t="s">
        <v>1864</v>
      </c>
      <c r="G895" s="66" t="s">
        <v>574</v>
      </c>
    </row>
    <row r="896">
      <c r="A896" s="101"/>
      <c r="B896" s="128"/>
      <c r="C896" s="129" t="s">
        <v>2121</v>
      </c>
      <c r="D896" s="130" t="s">
        <v>2122</v>
      </c>
      <c r="E896" s="131">
        <f>+966501636666</f>
        <v>966501636666</v>
      </c>
      <c r="F896" s="132" t="s">
        <v>1864</v>
      </c>
      <c r="G896" s="135" t="s">
        <v>574</v>
      </c>
    </row>
    <row r="897">
      <c r="A897" s="101"/>
      <c r="B897" s="128"/>
      <c r="C897" s="129" t="s">
        <v>2123</v>
      </c>
      <c r="D897" s="130" t="s">
        <v>2124</v>
      </c>
      <c r="E897" s="131">
        <f>+971558894080</f>
        <v>971558894080</v>
      </c>
      <c r="F897" s="132" t="s">
        <v>1864</v>
      </c>
      <c r="G897" s="66" t="s">
        <v>574</v>
      </c>
    </row>
    <row r="898">
      <c r="A898" s="101"/>
      <c r="B898" s="128"/>
      <c r="C898" s="129" t="s">
        <v>2125</v>
      </c>
      <c r="D898" s="130" t="s">
        <v>2126</v>
      </c>
      <c r="E898" s="131">
        <f>+971545875776</f>
        <v>971545875776</v>
      </c>
      <c r="F898" s="132" t="s">
        <v>1864</v>
      </c>
      <c r="G898" s="135" t="s">
        <v>168</v>
      </c>
    </row>
    <row r="899">
      <c r="A899" s="101"/>
      <c r="B899" s="128"/>
      <c r="C899" s="129" t="s">
        <v>2127</v>
      </c>
      <c r="D899" s="130" t="s">
        <v>2128</v>
      </c>
      <c r="E899" s="131">
        <v>9.71569925883E11</v>
      </c>
      <c r="F899" s="132" t="s">
        <v>1864</v>
      </c>
      <c r="G899" s="66" t="s">
        <v>574</v>
      </c>
    </row>
    <row r="900">
      <c r="A900" s="101"/>
      <c r="B900" s="128"/>
      <c r="C900" s="129" t="s">
        <v>2129</v>
      </c>
      <c r="D900" s="130" t="s">
        <v>2130</v>
      </c>
      <c r="E900" s="131">
        <v>9.71525877867E11</v>
      </c>
      <c r="F900" s="132" t="s">
        <v>1864</v>
      </c>
      <c r="G900" s="135" t="s">
        <v>979</v>
      </c>
    </row>
    <row r="901">
      <c r="A901" s="101"/>
      <c r="B901" s="128"/>
      <c r="C901" s="129" t="s">
        <v>2131</v>
      </c>
      <c r="D901" s="130" t="s">
        <v>2132</v>
      </c>
      <c r="E901" s="131">
        <f>+971555555285</f>
        <v>971555555285</v>
      </c>
      <c r="F901" s="132" t="s">
        <v>1864</v>
      </c>
      <c r="G901" s="66" t="s">
        <v>574</v>
      </c>
    </row>
    <row r="902">
      <c r="A902" s="101"/>
      <c r="B902" s="128"/>
      <c r="C902" s="129" t="s">
        <v>2133</v>
      </c>
      <c r="D902" s="130" t="s">
        <v>2134</v>
      </c>
      <c r="E902" s="131">
        <f>+971506199001</f>
        <v>971506199001</v>
      </c>
      <c r="F902" s="132" t="s">
        <v>1864</v>
      </c>
      <c r="G902" s="135" t="s">
        <v>574</v>
      </c>
    </row>
    <row r="903">
      <c r="A903" s="101"/>
      <c r="B903" s="128"/>
      <c r="C903" s="129" t="s">
        <v>2135</v>
      </c>
      <c r="D903" s="130" t="s">
        <v>2136</v>
      </c>
      <c r="E903" s="131">
        <f>+971503553515</f>
        <v>971503553515</v>
      </c>
      <c r="F903" s="132" t="s">
        <v>1864</v>
      </c>
      <c r="G903" s="66" t="s">
        <v>574</v>
      </c>
    </row>
    <row r="904">
      <c r="A904" s="101"/>
      <c r="B904" s="128"/>
      <c r="C904" s="129" t="s">
        <v>2137</v>
      </c>
      <c r="D904" s="130" t="s">
        <v>2138</v>
      </c>
      <c r="E904" s="131">
        <f>+971509423779</f>
        <v>971509423779</v>
      </c>
      <c r="F904" s="132" t="s">
        <v>1864</v>
      </c>
      <c r="G904" s="135" t="s">
        <v>168</v>
      </c>
    </row>
    <row r="905">
      <c r="A905" s="101"/>
      <c r="B905" s="128"/>
      <c r="C905" s="129" t="s">
        <v>2139</v>
      </c>
      <c r="D905" s="130" t="s">
        <v>2140</v>
      </c>
      <c r="E905" s="131">
        <f>+971504527710</f>
        <v>971504527710</v>
      </c>
      <c r="F905" s="132" t="s">
        <v>1864</v>
      </c>
      <c r="G905" s="66" t="s">
        <v>2141</v>
      </c>
    </row>
    <row r="906">
      <c r="A906" s="101"/>
      <c r="B906" s="128"/>
      <c r="C906" s="129" t="s">
        <v>2142</v>
      </c>
      <c r="D906" s="130" t="s">
        <v>2143</v>
      </c>
      <c r="E906" s="131">
        <f>+971568241621</f>
        <v>971568241621</v>
      </c>
      <c r="F906" s="132" t="s">
        <v>1864</v>
      </c>
      <c r="G906" s="135" t="s">
        <v>168</v>
      </c>
    </row>
    <row r="907">
      <c r="A907" s="101"/>
      <c r="B907" s="128"/>
      <c r="C907" s="129" t="s">
        <v>2144</v>
      </c>
      <c r="D907" s="130" t="s">
        <v>2145</v>
      </c>
      <c r="E907" s="131">
        <f>+971502967155</f>
        <v>971502967155</v>
      </c>
      <c r="F907" s="132" t="s">
        <v>1864</v>
      </c>
      <c r="G907" s="66" t="s">
        <v>168</v>
      </c>
    </row>
    <row r="908">
      <c r="A908" s="101"/>
      <c r="B908" s="128"/>
      <c r="C908" s="129" t="s">
        <v>2146</v>
      </c>
      <c r="D908" s="130" t="s">
        <v>2147</v>
      </c>
      <c r="E908" s="131">
        <f>+971559625297</f>
        <v>971559625297</v>
      </c>
      <c r="F908" s="132" t="s">
        <v>1864</v>
      </c>
      <c r="G908" s="135" t="s">
        <v>251</v>
      </c>
    </row>
    <row r="909">
      <c r="A909" s="101"/>
      <c r="B909" s="128"/>
      <c r="C909" s="129" t="s">
        <v>2148</v>
      </c>
      <c r="D909" s="130" t="s">
        <v>2136</v>
      </c>
      <c r="E909" s="131">
        <f>+971508206909</f>
        <v>971508206909</v>
      </c>
      <c r="F909" s="132" t="s">
        <v>1864</v>
      </c>
      <c r="G909" s="66" t="s">
        <v>1252</v>
      </c>
    </row>
    <row r="910">
      <c r="A910" s="101"/>
      <c r="B910" s="128"/>
      <c r="C910" s="129" t="s">
        <v>2149</v>
      </c>
      <c r="D910" s="145" t="s">
        <v>2150</v>
      </c>
      <c r="E910" s="131">
        <f>+971505079922</f>
        <v>971505079922</v>
      </c>
      <c r="F910" s="132" t="s">
        <v>1864</v>
      </c>
      <c r="G910" s="135" t="s">
        <v>574</v>
      </c>
    </row>
    <row r="911">
      <c r="A911" s="101"/>
      <c r="B911" s="128"/>
      <c r="C911" s="129" t="s">
        <v>2151</v>
      </c>
      <c r="D911" s="130" t="s">
        <v>2152</v>
      </c>
      <c r="E911" s="131">
        <f>+971505527758</f>
        <v>971505527758</v>
      </c>
      <c r="F911" s="132" t="s">
        <v>1864</v>
      </c>
      <c r="G911" s="66" t="s">
        <v>168</v>
      </c>
    </row>
    <row r="912">
      <c r="A912" s="101"/>
      <c r="B912" s="128"/>
      <c r="C912" s="129" t="s">
        <v>2153</v>
      </c>
      <c r="D912" s="148" t="s">
        <v>2154</v>
      </c>
      <c r="E912" s="146" t="s">
        <v>2155</v>
      </c>
      <c r="F912" s="132" t="s">
        <v>1864</v>
      </c>
      <c r="G912" s="138"/>
    </row>
    <row r="913">
      <c r="A913" s="101"/>
      <c r="B913" s="128"/>
      <c r="C913" s="129" t="s">
        <v>2156</v>
      </c>
      <c r="D913" s="130" t="s">
        <v>2157</v>
      </c>
      <c r="E913" s="131">
        <f>+971503699889</f>
        <v>971503699889</v>
      </c>
      <c r="F913" s="132" t="s">
        <v>1864</v>
      </c>
      <c r="G913" s="66" t="s">
        <v>574</v>
      </c>
    </row>
    <row r="914">
      <c r="A914" s="101"/>
      <c r="B914" s="128"/>
      <c r="C914" s="129" t="s">
        <v>2158</v>
      </c>
      <c r="D914" s="148" t="s">
        <v>2159</v>
      </c>
      <c r="E914" s="146" t="s">
        <v>2155</v>
      </c>
      <c r="F914" s="132" t="s">
        <v>1864</v>
      </c>
      <c r="G914" s="138"/>
    </row>
    <row r="915">
      <c r="A915" s="101"/>
      <c r="B915" s="128"/>
      <c r="C915" s="129" t="s">
        <v>2160</v>
      </c>
      <c r="D915" s="130" t="s">
        <v>2161</v>
      </c>
      <c r="E915" s="131" t="s">
        <v>2162</v>
      </c>
      <c r="F915" s="132" t="s">
        <v>1864</v>
      </c>
      <c r="G915" s="136"/>
    </row>
    <row r="916">
      <c r="A916" s="101"/>
      <c r="B916" s="128"/>
      <c r="C916" s="129" t="s">
        <v>2163</v>
      </c>
      <c r="D916" s="130" t="s">
        <v>2164</v>
      </c>
      <c r="E916" s="131">
        <f>+971506467697</f>
        <v>971506467697</v>
      </c>
      <c r="F916" s="132" t="s">
        <v>1864</v>
      </c>
      <c r="G916" s="135" t="s">
        <v>574</v>
      </c>
    </row>
    <row r="917">
      <c r="A917" s="101"/>
      <c r="B917" s="128"/>
      <c r="C917" s="129" t="s">
        <v>2165</v>
      </c>
      <c r="D917" s="130" t="s">
        <v>2166</v>
      </c>
      <c r="E917" s="131">
        <v>5.28667788E8</v>
      </c>
      <c r="F917" s="132" t="s">
        <v>1864</v>
      </c>
      <c r="G917" s="136"/>
    </row>
    <row r="918">
      <c r="A918" s="101"/>
      <c r="B918" s="128"/>
      <c r="C918" s="129" t="s">
        <v>2167</v>
      </c>
      <c r="D918" s="130" t="s">
        <v>2168</v>
      </c>
      <c r="E918" s="131">
        <f>+971525252099</f>
        <v>971525252099</v>
      </c>
      <c r="F918" s="132" t="s">
        <v>1864</v>
      </c>
      <c r="G918" s="135" t="s">
        <v>574</v>
      </c>
    </row>
    <row r="919">
      <c r="A919" s="101"/>
      <c r="B919" s="128"/>
      <c r="C919" s="129" t="s">
        <v>2169</v>
      </c>
      <c r="D919" s="130" t="s">
        <v>2170</v>
      </c>
      <c r="E919" s="131">
        <f>+971556513479</f>
        <v>971556513479</v>
      </c>
      <c r="F919" s="132" t="s">
        <v>1864</v>
      </c>
      <c r="G919" s="66" t="s">
        <v>168</v>
      </c>
    </row>
    <row r="920">
      <c r="A920" s="101"/>
      <c r="B920" s="128"/>
      <c r="C920" s="129" t="s">
        <v>2171</v>
      </c>
      <c r="D920" s="130" t="s">
        <v>2172</v>
      </c>
      <c r="E920" s="131" t="s">
        <v>2173</v>
      </c>
      <c r="F920" s="132" t="s">
        <v>1864</v>
      </c>
      <c r="G920" s="135" t="s">
        <v>979</v>
      </c>
    </row>
    <row r="921">
      <c r="A921" s="101"/>
      <c r="B921" s="128"/>
      <c r="C921" s="129" t="s">
        <v>2174</v>
      </c>
      <c r="D921" s="149" t="s">
        <v>2175</v>
      </c>
      <c r="E921" s="150" t="s">
        <v>2176</v>
      </c>
      <c r="F921" s="132" t="s">
        <v>1864</v>
      </c>
      <c r="G921" s="66" t="s">
        <v>574</v>
      </c>
    </row>
    <row r="922">
      <c r="A922" s="101"/>
      <c r="B922" s="128"/>
      <c r="C922" s="129" t="s">
        <v>2177</v>
      </c>
      <c r="D922" s="147" t="s">
        <v>2178</v>
      </c>
      <c r="E922" s="139">
        <v>9.71561034157E11</v>
      </c>
      <c r="F922" s="132" t="s">
        <v>1864</v>
      </c>
      <c r="G922" s="138"/>
    </row>
    <row r="923">
      <c r="A923" s="101"/>
      <c r="B923" s="128"/>
      <c r="C923" s="129" t="s">
        <v>2179</v>
      </c>
      <c r="D923" s="130" t="s">
        <v>2180</v>
      </c>
      <c r="E923" s="131">
        <v>4.47973705902E11</v>
      </c>
      <c r="F923" s="132" t="s">
        <v>1864</v>
      </c>
      <c r="G923" s="66" t="s">
        <v>2181</v>
      </c>
    </row>
    <row r="924">
      <c r="A924" s="101"/>
      <c r="B924" s="128"/>
      <c r="C924" s="129" t="s">
        <v>2182</v>
      </c>
      <c r="D924" s="145" t="s">
        <v>2183</v>
      </c>
      <c r="E924" s="131">
        <v>9.19811110123E11</v>
      </c>
      <c r="F924" s="132" t="s">
        <v>1864</v>
      </c>
      <c r="G924" s="135" t="s">
        <v>574</v>
      </c>
    </row>
    <row r="925">
      <c r="A925" s="101"/>
      <c r="B925" s="128"/>
      <c r="C925" s="129" t="s">
        <v>2184</v>
      </c>
      <c r="D925" s="130" t="s">
        <v>2185</v>
      </c>
      <c r="E925" s="131">
        <v>1.146431111E9</v>
      </c>
      <c r="F925" s="132" t="s">
        <v>1864</v>
      </c>
      <c r="G925" s="136"/>
    </row>
    <row r="926">
      <c r="A926" s="101"/>
      <c r="B926" s="128"/>
      <c r="C926" s="129" t="s">
        <v>2186</v>
      </c>
      <c r="D926" s="130" t="s">
        <v>2187</v>
      </c>
      <c r="E926" s="131">
        <v>9.71568420681E11</v>
      </c>
      <c r="F926" s="132" t="s">
        <v>1864</v>
      </c>
      <c r="G926" s="135" t="s">
        <v>251</v>
      </c>
    </row>
    <row r="927">
      <c r="A927" s="101"/>
      <c r="B927" s="128"/>
      <c r="C927" s="129" t="s">
        <v>2188</v>
      </c>
      <c r="D927" s="130" t="s">
        <v>2189</v>
      </c>
      <c r="E927" s="131">
        <v>9.71501873145E11</v>
      </c>
      <c r="F927" s="132" t="s">
        <v>1864</v>
      </c>
      <c r="G927" s="66" t="s">
        <v>172</v>
      </c>
    </row>
    <row r="928">
      <c r="A928" s="101"/>
      <c r="B928" s="128"/>
      <c r="C928" s="129" t="s">
        <v>2190</v>
      </c>
      <c r="D928" s="130" t="s">
        <v>2191</v>
      </c>
      <c r="E928" s="131">
        <v>9.665822777E11</v>
      </c>
      <c r="F928" s="132" t="s">
        <v>1864</v>
      </c>
      <c r="G928" s="135" t="s">
        <v>168</v>
      </c>
    </row>
    <row r="929">
      <c r="A929" s="101"/>
      <c r="B929" s="128"/>
      <c r="C929" s="129" t="s">
        <v>2192</v>
      </c>
      <c r="D929" s="130" t="s">
        <v>2193</v>
      </c>
      <c r="E929" s="131" t="s">
        <v>2194</v>
      </c>
      <c r="F929" s="132" t="s">
        <v>1864</v>
      </c>
      <c r="G929" s="66" t="s">
        <v>574</v>
      </c>
    </row>
    <row r="930">
      <c r="A930" s="101"/>
      <c r="B930" s="128"/>
      <c r="C930" s="129" t="s">
        <v>2195</v>
      </c>
      <c r="D930" s="130" t="s">
        <v>2196</v>
      </c>
      <c r="E930" s="139">
        <v>7.70939519E8</v>
      </c>
      <c r="F930" s="132" t="s">
        <v>1864</v>
      </c>
      <c r="G930" s="138"/>
    </row>
    <row r="931">
      <c r="A931" s="101"/>
      <c r="B931" s="128"/>
      <c r="C931" s="129" t="s">
        <v>2197</v>
      </c>
      <c r="D931" s="130" t="s">
        <v>2198</v>
      </c>
      <c r="E931" s="131">
        <v>9.71588888823E11</v>
      </c>
      <c r="F931" s="132" t="s">
        <v>1864</v>
      </c>
      <c r="G931" s="66" t="s">
        <v>251</v>
      </c>
    </row>
    <row r="932">
      <c r="A932" s="101"/>
      <c r="B932" s="128"/>
      <c r="C932" s="129" t="s">
        <v>2199</v>
      </c>
      <c r="D932" s="130" t="s">
        <v>2200</v>
      </c>
      <c r="E932" s="131">
        <v>9.66505970456E11</v>
      </c>
      <c r="F932" s="132" t="s">
        <v>1864</v>
      </c>
      <c r="G932" s="135" t="s">
        <v>574</v>
      </c>
    </row>
    <row r="933">
      <c r="A933" s="101"/>
      <c r="B933" s="128"/>
      <c r="C933" s="129" t="s">
        <v>2201</v>
      </c>
      <c r="D933" s="130" t="s">
        <v>2202</v>
      </c>
      <c r="E933" s="131">
        <v>9.23458676247E11</v>
      </c>
      <c r="F933" s="132" t="s">
        <v>1864</v>
      </c>
      <c r="G933" s="66" t="s">
        <v>574</v>
      </c>
    </row>
    <row r="934">
      <c r="A934" s="101"/>
      <c r="B934" s="128"/>
      <c r="C934" s="129" t="s">
        <v>2203</v>
      </c>
      <c r="D934" s="130" t="s">
        <v>2204</v>
      </c>
      <c r="E934" s="131">
        <v>3.9541256132135E14</v>
      </c>
      <c r="F934" s="132" t="s">
        <v>1864</v>
      </c>
      <c r="G934" s="138"/>
    </row>
    <row r="935">
      <c r="A935" s="101"/>
      <c r="B935" s="128"/>
      <c r="C935" s="129" t="s">
        <v>2205</v>
      </c>
      <c r="D935" s="145" t="s">
        <v>2206</v>
      </c>
      <c r="E935" s="131">
        <v>9.71551386844E11</v>
      </c>
      <c r="F935" s="132" t="s">
        <v>1864</v>
      </c>
      <c r="G935" s="66" t="s">
        <v>168</v>
      </c>
    </row>
    <row r="936">
      <c r="A936" s="101"/>
      <c r="B936" s="128"/>
      <c r="C936" s="129" t="s">
        <v>2207</v>
      </c>
      <c r="D936" s="145" t="s">
        <v>2208</v>
      </c>
      <c r="E936" s="131">
        <v>9.71527070399E11</v>
      </c>
      <c r="F936" s="132" t="s">
        <v>1864</v>
      </c>
      <c r="G936" s="135" t="s">
        <v>168</v>
      </c>
    </row>
    <row r="937">
      <c r="A937" s="101"/>
      <c r="B937" s="128"/>
      <c r="C937" s="129" t="s">
        <v>2209</v>
      </c>
      <c r="D937" s="130" t="s">
        <v>2210</v>
      </c>
      <c r="E937" s="131">
        <v>9.71528444144E11</v>
      </c>
      <c r="F937" s="132" t="s">
        <v>1864</v>
      </c>
      <c r="G937" s="66" t="s">
        <v>574</v>
      </c>
    </row>
    <row r="938">
      <c r="A938" s="101"/>
      <c r="B938" s="128"/>
      <c r="C938" s="129" t="s">
        <v>2211</v>
      </c>
      <c r="D938" s="130" t="s">
        <v>2212</v>
      </c>
      <c r="E938" s="131">
        <v>9.71505004887E11</v>
      </c>
      <c r="F938" s="132" t="s">
        <v>1864</v>
      </c>
      <c r="G938" s="135" t="s">
        <v>574</v>
      </c>
    </row>
    <row r="939">
      <c r="A939" s="101"/>
      <c r="B939" s="128"/>
      <c r="C939" s="129" t="s">
        <v>2213</v>
      </c>
      <c r="D939" s="151" t="s">
        <v>2214</v>
      </c>
      <c r="E939" s="146">
        <v>4.47791319849E11</v>
      </c>
      <c r="F939" s="132" t="s">
        <v>1864</v>
      </c>
      <c r="G939" s="66" t="s">
        <v>574</v>
      </c>
    </row>
    <row r="940">
      <c r="A940" s="101"/>
      <c r="B940" s="128"/>
      <c r="C940" s="129" t="s">
        <v>2215</v>
      </c>
      <c r="D940" s="130" t="s">
        <v>2216</v>
      </c>
      <c r="E940" s="131">
        <v>3.376122641E10</v>
      </c>
      <c r="F940" s="132" t="s">
        <v>1864</v>
      </c>
      <c r="G940" s="135" t="s">
        <v>574</v>
      </c>
    </row>
    <row r="941">
      <c r="A941" s="101"/>
      <c r="B941" s="128"/>
      <c r="C941" s="129" t="s">
        <v>2217</v>
      </c>
      <c r="D941" s="145" t="s">
        <v>2218</v>
      </c>
      <c r="E941" s="131">
        <v>9.71508181715E11</v>
      </c>
      <c r="F941" s="132" t="s">
        <v>1864</v>
      </c>
      <c r="G941" s="66" t="s">
        <v>168</v>
      </c>
    </row>
    <row r="942">
      <c r="A942" s="101"/>
      <c r="B942" s="128"/>
      <c r="C942" s="129" t="s">
        <v>2219</v>
      </c>
      <c r="D942" s="130" t="s">
        <v>2220</v>
      </c>
      <c r="E942" s="131">
        <v>3.3609055706E10</v>
      </c>
      <c r="F942" s="132" t="s">
        <v>1864</v>
      </c>
      <c r="G942" s="135" t="s">
        <v>574</v>
      </c>
    </row>
    <row r="943">
      <c r="A943" s="101"/>
      <c r="B943" s="128"/>
      <c r="C943" s="129" t="s">
        <v>2221</v>
      </c>
      <c r="D943" s="130" t="s">
        <v>2222</v>
      </c>
      <c r="E943" s="131">
        <v>9.71505375896E11</v>
      </c>
      <c r="F943" s="132" t="s">
        <v>1864</v>
      </c>
      <c r="G943" s="66" t="s">
        <v>168</v>
      </c>
    </row>
    <row r="944">
      <c r="A944" s="101"/>
      <c r="B944" s="128"/>
      <c r="C944" s="129" t="s">
        <v>2223</v>
      </c>
      <c r="D944" s="130" t="s">
        <v>2224</v>
      </c>
      <c r="E944" s="131">
        <v>9.71507769648E11</v>
      </c>
      <c r="F944" s="132" t="s">
        <v>1864</v>
      </c>
      <c r="G944" s="135" t="s">
        <v>2225</v>
      </c>
    </row>
    <row r="945">
      <c r="A945" s="101"/>
      <c r="B945" s="128"/>
      <c r="C945" s="129" t="s">
        <v>2226</v>
      </c>
      <c r="D945" s="145" t="s">
        <v>2227</v>
      </c>
      <c r="E945" s="131">
        <v>4.91785830116E11</v>
      </c>
      <c r="F945" s="132" t="s">
        <v>1864</v>
      </c>
      <c r="G945" s="66" t="s">
        <v>574</v>
      </c>
    </row>
    <row r="946">
      <c r="A946" s="101"/>
      <c r="B946" s="128"/>
      <c r="C946" s="129" t="s">
        <v>2228</v>
      </c>
      <c r="D946" s="130" t="s">
        <v>2206</v>
      </c>
      <c r="E946" s="131">
        <v>9.71508101021E11</v>
      </c>
      <c r="F946" s="132" t="s">
        <v>1864</v>
      </c>
      <c r="G946" s="135" t="s">
        <v>2229</v>
      </c>
    </row>
    <row r="947">
      <c r="A947" s="101"/>
      <c r="B947" s="128"/>
      <c r="C947" s="129" t="s">
        <v>2230</v>
      </c>
      <c r="D947" s="130" t="s">
        <v>2231</v>
      </c>
      <c r="E947" s="131">
        <f>+966534003090</f>
        <v>966534003090</v>
      </c>
      <c r="F947" s="132" t="s">
        <v>2232</v>
      </c>
      <c r="G947" s="136"/>
    </row>
    <row r="948">
      <c r="A948" s="101"/>
      <c r="B948" s="128"/>
      <c r="C948" s="129" t="s">
        <v>2233</v>
      </c>
      <c r="D948" s="146"/>
      <c r="E948" s="146"/>
      <c r="F948" s="132" t="s">
        <v>2232</v>
      </c>
      <c r="G948" s="138"/>
    </row>
    <row r="949">
      <c r="A949" s="101"/>
      <c r="B949" s="128"/>
      <c r="C949" s="129" t="s">
        <v>2234</v>
      </c>
      <c r="D949" s="130" t="s">
        <v>2235</v>
      </c>
      <c r="E949" s="131">
        <v>9.66533909754E11</v>
      </c>
      <c r="F949" s="132" t="s">
        <v>2232</v>
      </c>
      <c r="G949" s="136"/>
    </row>
    <row r="950">
      <c r="A950" s="101"/>
      <c r="B950" s="128"/>
      <c r="C950" s="129" t="s">
        <v>2236</v>
      </c>
      <c r="D950" s="130" t="s">
        <v>2237</v>
      </c>
      <c r="E950" s="131">
        <v>9.23423302532E11</v>
      </c>
      <c r="F950" s="132" t="s">
        <v>2232</v>
      </c>
      <c r="G950" s="135" t="s">
        <v>574</v>
      </c>
    </row>
    <row r="951">
      <c r="A951" s="101"/>
      <c r="B951" s="128"/>
      <c r="C951" s="129" t="s">
        <v>2238</v>
      </c>
      <c r="D951" s="130" t="s">
        <v>2239</v>
      </c>
      <c r="E951" s="131">
        <v>9.23212203706E11</v>
      </c>
      <c r="F951" s="132" t="s">
        <v>2232</v>
      </c>
      <c r="G951" s="66" t="s">
        <v>574</v>
      </c>
    </row>
    <row r="952">
      <c r="A952" s="101"/>
      <c r="B952" s="128"/>
      <c r="C952" s="129" t="s">
        <v>2240</v>
      </c>
      <c r="D952" s="130" t="s">
        <v>2241</v>
      </c>
      <c r="E952" s="131">
        <v>9.23337261636E11</v>
      </c>
      <c r="F952" s="132" t="s">
        <v>2232</v>
      </c>
      <c r="G952" s="135" t="s">
        <v>168</v>
      </c>
    </row>
    <row r="953">
      <c r="A953" s="152"/>
      <c r="B953" s="129"/>
      <c r="C953" s="129" t="s">
        <v>2242</v>
      </c>
      <c r="D953" s="130" t="s">
        <v>2243</v>
      </c>
      <c r="E953" s="131">
        <v>9.23456700973E11</v>
      </c>
      <c r="F953" s="132" t="s">
        <v>2232</v>
      </c>
      <c r="G953" s="66" t="s">
        <v>979</v>
      </c>
    </row>
    <row r="954">
      <c r="A954" s="152"/>
      <c r="B954" s="129"/>
      <c r="C954" s="129" t="s">
        <v>2244</v>
      </c>
      <c r="D954" s="130" t="s">
        <v>2245</v>
      </c>
      <c r="E954" s="131">
        <v>9.2344040444E11</v>
      </c>
      <c r="F954" s="132" t="s">
        <v>2232</v>
      </c>
      <c r="G954" s="135" t="s">
        <v>2246</v>
      </c>
    </row>
    <row r="955">
      <c r="A955" s="152"/>
      <c r="B955" s="129"/>
      <c r="C955" s="129" t="s">
        <v>2247</v>
      </c>
      <c r="D955" s="130" t="s">
        <v>2248</v>
      </c>
      <c r="E955" s="131">
        <v>9.23341414135E11</v>
      </c>
      <c r="F955" s="132" t="s">
        <v>2232</v>
      </c>
      <c r="G955" s="66" t="s">
        <v>2246</v>
      </c>
    </row>
    <row r="956">
      <c r="A956" s="152"/>
      <c r="B956" s="129"/>
      <c r="C956" s="129" t="s">
        <v>2249</v>
      </c>
      <c r="D956" s="130" t="s">
        <v>2250</v>
      </c>
      <c r="E956" s="131">
        <v>3.2473471221E10</v>
      </c>
      <c r="F956" s="132" t="s">
        <v>2232</v>
      </c>
      <c r="G956" s="135" t="s">
        <v>574</v>
      </c>
    </row>
    <row r="957">
      <c r="A957" s="152"/>
      <c r="B957" s="129"/>
      <c r="C957" s="129" t="s">
        <v>2251</v>
      </c>
      <c r="D957" s="130" t="s">
        <v>2252</v>
      </c>
      <c r="E957" s="131">
        <v>9.23158661749E11</v>
      </c>
      <c r="F957" s="132" t="s">
        <v>2232</v>
      </c>
      <c r="G957" s="66" t="s">
        <v>168</v>
      </c>
    </row>
    <row r="958">
      <c r="A958" s="152"/>
      <c r="B958" s="129"/>
      <c r="C958" s="129" t="s">
        <v>2253</v>
      </c>
      <c r="D958" s="130" t="s">
        <v>2254</v>
      </c>
      <c r="E958" s="131">
        <v>2.7837865434E10</v>
      </c>
      <c r="F958" s="132" t="s">
        <v>2232</v>
      </c>
      <c r="G958" s="135" t="s">
        <v>168</v>
      </c>
    </row>
    <row r="959">
      <c r="A959" s="152"/>
      <c r="B959" s="129"/>
      <c r="C959" s="129" t="s">
        <v>2255</v>
      </c>
      <c r="D959" s="130" t="s">
        <v>2256</v>
      </c>
      <c r="E959" s="131">
        <v>9.71568919883E11</v>
      </c>
      <c r="F959" s="132" t="s">
        <v>2232</v>
      </c>
      <c r="G959" s="66" t="s">
        <v>574</v>
      </c>
    </row>
    <row r="960">
      <c r="A960" s="152"/>
      <c r="B960" s="129"/>
      <c r="C960" s="129" t="s">
        <v>2257</v>
      </c>
      <c r="D960" s="130" t="s">
        <v>2258</v>
      </c>
      <c r="E960" s="131">
        <v>9.19429561665E11</v>
      </c>
      <c r="F960" s="132" t="s">
        <v>2232</v>
      </c>
      <c r="G960" s="135" t="s">
        <v>168</v>
      </c>
    </row>
    <row r="961">
      <c r="A961" s="152"/>
      <c r="B961" s="129"/>
      <c r="C961" s="129" t="s">
        <v>2259</v>
      </c>
      <c r="D961" s="130" t="s">
        <v>2260</v>
      </c>
      <c r="E961" s="131">
        <v>9.71501065794E11</v>
      </c>
      <c r="F961" s="132" t="s">
        <v>2232</v>
      </c>
      <c r="G961" s="66" t="s">
        <v>2261</v>
      </c>
    </row>
    <row r="962">
      <c r="A962" s="152"/>
      <c r="B962" s="129"/>
      <c r="C962" s="129" t="s">
        <v>2262</v>
      </c>
      <c r="D962" s="130" t="s">
        <v>2263</v>
      </c>
      <c r="E962" s="131">
        <v>9.234470359E11</v>
      </c>
      <c r="F962" s="132" t="s">
        <v>2232</v>
      </c>
      <c r="G962" s="135" t="s">
        <v>168</v>
      </c>
    </row>
    <row r="963">
      <c r="A963" s="152"/>
      <c r="B963" s="129"/>
      <c r="C963" s="129" t="s">
        <v>2264</v>
      </c>
      <c r="D963" s="130" t="s">
        <v>2265</v>
      </c>
      <c r="E963" s="131">
        <v>4.1554409344E10</v>
      </c>
      <c r="F963" s="132" t="s">
        <v>2232</v>
      </c>
      <c r="G963" s="136"/>
    </row>
    <row r="964">
      <c r="A964" s="152"/>
      <c r="B964" s="129"/>
      <c r="C964" s="129" t="s">
        <v>2266</v>
      </c>
      <c r="D964" s="130" t="s">
        <v>2267</v>
      </c>
      <c r="E964" s="131">
        <v>9.23003493626E11</v>
      </c>
      <c r="F964" s="132" t="s">
        <v>2232</v>
      </c>
      <c r="G964" s="135" t="s">
        <v>168</v>
      </c>
    </row>
    <row r="965">
      <c r="A965" s="152"/>
      <c r="B965" s="129"/>
      <c r="C965" s="129" t="s">
        <v>2268</v>
      </c>
      <c r="D965" s="130" t="s">
        <v>2269</v>
      </c>
      <c r="E965" s="131">
        <v>9.23029406758E11</v>
      </c>
      <c r="F965" s="132" t="s">
        <v>2232</v>
      </c>
      <c r="G965" s="66" t="s">
        <v>168</v>
      </c>
    </row>
    <row r="966">
      <c r="A966" s="152"/>
      <c r="B966" s="129"/>
      <c r="C966" s="129" t="s">
        <v>2270</v>
      </c>
      <c r="D966" s="130" t="s">
        <v>2271</v>
      </c>
      <c r="E966" s="131">
        <v>9.71506359922E11</v>
      </c>
      <c r="F966" s="132" t="s">
        <v>2232</v>
      </c>
      <c r="G966" s="135" t="s">
        <v>2022</v>
      </c>
    </row>
    <row r="967">
      <c r="A967" s="152"/>
      <c r="B967" s="129"/>
      <c r="C967" s="129" t="s">
        <v>2272</v>
      </c>
      <c r="D967" s="130" t="s">
        <v>2273</v>
      </c>
      <c r="E967" s="131">
        <v>9.7155690808E11</v>
      </c>
      <c r="F967" s="132" t="s">
        <v>2232</v>
      </c>
      <c r="G967" s="66" t="s">
        <v>574</v>
      </c>
    </row>
    <row r="968">
      <c r="A968" s="152"/>
      <c r="B968" s="129"/>
      <c r="C968" s="129" t="s">
        <v>2274</v>
      </c>
      <c r="D968" s="130" t="s">
        <v>2275</v>
      </c>
      <c r="E968" s="131">
        <v>9.71504466299E11</v>
      </c>
      <c r="F968" s="132" t="s">
        <v>2232</v>
      </c>
      <c r="G968" s="135" t="s">
        <v>574</v>
      </c>
    </row>
    <row r="969">
      <c r="A969" s="152"/>
      <c r="B969" s="129"/>
      <c r="C969" s="129" t="s">
        <v>2276</v>
      </c>
      <c r="D969" s="130" t="s">
        <v>2277</v>
      </c>
      <c r="E969" s="131">
        <v>9.71525290364E11</v>
      </c>
      <c r="F969" s="132" t="s">
        <v>2232</v>
      </c>
      <c r="G969" s="66" t="s">
        <v>574</v>
      </c>
    </row>
    <row r="970">
      <c r="A970" s="152"/>
      <c r="B970" s="129"/>
      <c r="C970" s="129" t="s">
        <v>2278</v>
      </c>
      <c r="D970" s="130" t="s">
        <v>2279</v>
      </c>
      <c r="E970" s="131">
        <v>4.91776536888E11</v>
      </c>
      <c r="F970" s="132" t="s">
        <v>2232</v>
      </c>
      <c r="G970" s="135" t="s">
        <v>574</v>
      </c>
    </row>
    <row r="971">
      <c r="A971" s="152"/>
      <c r="B971" s="129"/>
      <c r="C971" s="129" t="s">
        <v>2280</v>
      </c>
      <c r="D971" s="130" t="s">
        <v>2281</v>
      </c>
      <c r="E971" s="131">
        <v>9.89122084706E11</v>
      </c>
      <c r="F971" s="132" t="s">
        <v>2232</v>
      </c>
      <c r="G971" s="66" t="s">
        <v>574</v>
      </c>
    </row>
    <row r="972">
      <c r="A972" s="152"/>
      <c r="B972" s="129"/>
      <c r="C972" s="129" t="s">
        <v>2282</v>
      </c>
      <c r="D972" s="130" t="s">
        <v>2283</v>
      </c>
      <c r="E972" s="131">
        <v>9.71504519705E11</v>
      </c>
      <c r="F972" s="132" t="s">
        <v>2232</v>
      </c>
      <c r="G972" s="135" t="s">
        <v>574</v>
      </c>
    </row>
    <row r="973">
      <c r="A973" s="152"/>
      <c r="B973" s="129"/>
      <c r="C973" s="129" t="s">
        <v>2284</v>
      </c>
      <c r="D973" s="130" t="s">
        <v>2285</v>
      </c>
      <c r="E973" s="131">
        <v>9.11832568E8</v>
      </c>
      <c r="F973" s="132" t="s">
        <v>2232</v>
      </c>
      <c r="G973" s="136"/>
    </row>
    <row r="974">
      <c r="A974" s="152"/>
      <c r="B974" s="129"/>
      <c r="C974" s="129" t="s">
        <v>2286</v>
      </c>
      <c r="D974" s="130" t="s">
        <v>2287</v>
      </c>
      <c r="E974" s="131">
        <v>9.23114288208E11</v>
      </c>
      <c r="F974" s="132" t="s">
        <v>2232</v>
      </c>
      <c r="G974" s="135" t="s">
        <v>2288</v>
      </c>
    </row>
    <row r="975">
      <c r="A975" s="152"/>
      <c r="B975" s="129"/>
      <c r="C975" s="129" t="s">
        <v>2289</v>
      </c>
      <c r="D975" s="130" t="s">
        <v>2290</v>
      </c>
      <c r="E975" s="131">
        <v>9.23074237725E11</v>
      </c>
      <c r="F975" s="132" t="s">
        <v>2232</v>
      </c>
      <c r="G975" s="66" t="s">
        <v>574</v>
      </c>
    </row>
    <row r="976">
      <c r="A976" s="152"/>
      <c r="B976" s="129"/>
      <c r="C976" s="129" t="s">
        <v>2291</v>
      </c>
      <c r="D976" s="130" t="s">
        <v>2292</v>
      </c>
      <c r="E976" s="131">
        <v>9.19818148113E11</v>
      </c>
      <c r="F976" s="132" t="s">
        <v>2232</v>
      </c>
      <c r="G976" s="135" t="s">
        <v>574</v>
      </c>
    </row>
    <row r="977">
      <c r="A977" s="152"/>
      <c r="B977" s="129"/>
      <c r="C977" s="129" t="s">
        <v>2293</v>
      </c>
      <c r="D977" s="130" t="s">
        <v>2294</v>
      </c>
      <c r="E977" s="131">
        <v>9.23016555894E11</v>
      </c>
      <c r="F977" s="132" t="s">
        <v>2232</v>
      </c>
      <c r="G977" s="66" t="s">
        <v>979</v>
      </c>
    </row>
    <row r="978">
      <c r="A978" s="152"/>
      <c r="B978" s="129"/>
      <c r="C978" s="129" t="s">
        <v>2295</v>
      </c>
      <c r="D978" s="130" t="s">
        <v>2290</v>
      </c>
      <c r="E978" s="131">
        <v>9.23074237725E11</v>
      </c>
      <c r="F978" s="132" t="s">
        <v>2232</v>
      </c>
      <c r="G978" s="135" t="s">
        <v>251</v>
      </c>
    </row>
    <row r="979">
      <c r="A979" s="152"/>
      <c r="B979" s="129"/>
      <c r="C979" s="129" t="s">
        <v>2296</v>
      </c>
      <c r="D979" s="130" t="s">
        <v>2297</v>
      </c>
      <c r="E979" s="131">
        <v>4.47432801976E11</v>
      </c>
      <c r="F979" s="132" t="s">
        <v>2232</v>
      </c>
      <c r="G979" s="66" t="s">
        <v>2077</v>
      </c>
    </row>
    <row r="980">
      <c r="A980" s="152"/>
      <c r="B980" s="129"/>
      <c r="C980" s="129" t="s">
        <v>2298</v>
      </c>
      <c r="D980" s="130" t="s">
        <v>2299</v>
      </c>
      <c r="E980" s="131">
        <v>9.66505216591E11</v>
      </c>
      <c r="F980" s="132" t="s">
        <v>2232</v>
      </c>
      <c r="G980" s="135" t="s">
        <v>2077</v>
      </c>
    </row>
    <row r="981">
      <c r="A981" s="152"/>
      <c r="B981" s="129"/>
      <c r="C981" s="129" t="s">
        <v>2300</v>
      </c>
      <c r="D981" s="130" t="s">
        <v>2301</v>
      </c>
      <c r="E981" s="131">
        <v>9.71507444596E11</v>
      </c>
      <c r="F981" s="132" t="s">
        <v>2232</v>
      </c>
      <c r="G981" s="66" t="s">
        <v>2302</v>
      </c>
    </row>
    <row r="982">
      <c r="A982" s="152"/>
      <c r="B982" s="129"/>
      <c r="C982" s="129" t="s">
        <v>2303</v>
      </c>
      <c r="D982" s="130" t="s">
        <v>2304</v>
      </c>
      <c r="E982" s="131">
        <v>9.71509835193E11</v>
      </c>
      <c r="F982" s="132" t="s">
        <v>2232</v>
      </c>
      <c r="G982" s="135" t="s">
        <v>168</v>
      </c>
    </row>
    <row r="983">
      <c r="A983" s="152"/>
      <c r="B983" s="129"/>
      <c r="C983" s="129" t="s">
        <v>2305</v>
      </c>
      <c r="D983" s="130" t="s">
        <v>2306</v>
      </c>
      <c r="E983" s="131">
        <v>9.66561555666E11</v>
      </c>
      <c r="F983" s="132" t="s">
        <v>2232</v>
      </c>
      <c r="G983" s="66" t="s">
        <v>574</v>
      </c>
    </row>
    <row r="984">
      <c r="A984" s="152"/>
      <c r="B984" s="129"/>
      <c r="C984" s="129" t="s">
        <v>2307</v>
      </c>
      <c r="D984" s="130" t="s">
        <v>2308</v>
      </c>
      <c r="E984" s="131">
        <v>9.66505137944E11</v>
      </c>
      <c r="F984" s="132" t="s">
        <v>2232</v>
      </c>
      <c r="G984" s="135" t="s">
        <v>574</v>
      </c>
    </row>
    <row r="985">
      <c r="A985" s="152"/>
      <c r="B985" s="129"/>
      <c r="C985" s="129" t="s">
        <v>2309</v>
      </c>
      <c r="D985" s="130" t="s">
        <v>2310</v>
      </c>
      <c r="E985" s="131">
        <v>9.71527770047E11</v>
      </c>
      <c r="F985" s="132" t="s">
        <v>2232</v>
      </c>
      <c r="G985" s="66" t="s">
        <v>2311</v>
      </c>
    </row>
    <row r="986">
      <c r="A986" s="152"/>
      <c r="B986" s="129"/>
      <c r="C986" s="129" t="s">
        <v>2312</v>
      </c>
      <c r="D986" s="130" t="s">
        <v>2313</v>
      </c>
      <c r="E986" s="131">
        <v>9.71503400372E11</v>
      </c>
      <c r="F986" s="132" t="s">
        <v>2232</v>
      </c>
      <c r="G986" s="135" t="s">
        <v>574</v>
      </c>
    </row>
    <row r="987">
      <c r="A987" s="152"/>
      <c r="B987" s="129"/>
      <c r="C987" s="129" t="s">
        <v>2314</v>
      </c>
      <c r="D987" s="130" t="s">
        <v>2315</v>
      </c>
      <c r="E987" s="131" t="s">
        <v>2316</v>
      </c>
      <c r="F987" s="132" t="s">
        <v>2232</v>
      </c>
      <c r="G987" s="66" t="s">
        <v>2317</v>
      </c>
    </row>
    <row r="988">
      <c r="A988" s="152"/>
      <c r="B988" s="129"/>
      <c r="C988" s="129" t="s">
        <v>2318</v>
      </c>
      <c r="D988" s="130" t="s">
        <v>2319</v>
      </c>
      <c r="E988" s="131">
        <v>9.66541293363E11</v>
      </c>
      <c r="F988" s="132" t="s">
        <v>2232</v>
      </c>
      <c r="G988" s="135" t="s">
        <v>574</v>
      </c>
    </row>
    <row r="989">
      <c r="A989" s="152"/>
      <c r="B989" s="129"/>
      <c r="C989" s="129" t="s">
        <v>2320</v>
      </c>
      <c r="D989" s="130" t="s">
        <v>2321</v>
      </c>
      <c r="E989" s="131">
        <v>9.19886349963E11</v>
      </c>
      <c r="F989" s="132" t="s">
        <v>2232</v>
      </c>
      <c r="G989" s="66" t="s">
        <v>2322</v>
      </c>
    </row>
    <row r="990">
      <c r="A990" s="152"/>
      <c r="B990" s="129"/>
      <c r="C990" s="129" t="s">
        <v>2323</v>
      </c>
      <c r="D990" s="130" t="s">
        <v>2324</v>
      </c>
      <c r="E990" s="131" t="s">
        <v>2325</v>
      </c>
      <c r="F990" s="132" t="s">
        <v>2232</v>
      </c>
      <c r="G990" s="135" t="s">
        <v>168</v>
      </c>
    </row>
    <row r="991">
      <c r="A991" s="152"/>
      <c r="B991" s="129"/>
      <c r="C991" s="129" t="s">
        <v>2326</v>
      </c>
      <c r="D991" s="130" t="s">
        <v>2327</v>
      </c>
      <c r="E991" s="131">
        <v>9.66563306E11</v>
      </c>
      <c r="F991" s="132" t="s">
        <v>2232</v>
      </c>
      <c r="G991" s="66" t="s">
        <v>574</v>
      </c>
    </row>
    <row r="992">
      <c r="A992" s="152"/>
      <c r="B992" s="129"/>
      <c r="C992" s="129" t="s">
        <v>2328</v>
      </c>
      <c r="D992" s="130" t="s">
        <v>2329</v>
      </c>
      <c r="E992" s="131">
        <v>9.23002164223E11</v>
      </c>
      <c r="F992" s="132" t="s">
        <v>2232</v>
      </c>
      <c r="G992" s="135" t="s">
        <v>2330</v>
      </c>
    </row>
    <row r="993">
      <c r="A993" s="152"/>
      <c r="B993" s="129"/>
      <c r="C993" s="129" t="s">
        <v>2331</v>
      </c>
      <c r="D993" s="130" t="s">
        <v>2332</v>
      </c>
      <c r="E993" s="131">
        <v>9.6655147679E11</v>
      </c>
      <c r="F993" s="132" t="s">
        <v>2232</v>
      </c>
      <c r="G993" s="66" t="s">
        <v>2333</v>
      </c>
    </row>
    <row r="994">
      <c r="A994" s="152"/>
      <c r="B994" s="129"/>
      <c r="C994" s="129" t="s">
        <v>2334</v>
      </c>
      <c r="D994" s="130" t="s">
        <v>2335</v>
      </c>
      <c r="E994" s="131" t="s">
        <v>2336</v>
      </c>
      <c r="F994" s="132" t="s">
        <v>2232</v>
      </c>
      <c r="G994" s="135" t="s">
        <v>574</v>
      </c>
    </row>
    <row r="995">
      <c r="A995" s="152"/>
      <c r="B995" s="129"/>
      <c r="C995" s="129" t="s">
        <v>2337</v>
      </c>
      <c r="D995" s="130" t="s">
        <v>2338</v>
      </c>
      <c r="E995" s="131" t="s">
        <v>2339</v>
      </c>
      <c r="F995" s="132" t="s">
        <v>2232</v>
      </c>
      <c r="G995" s="66" t="s">
        <v>2340</v>
      </c>
    </row>
    <row r="996">
      <c r="A996" s="152"/>
      <c r="B996" s="129"/>
      <c r="C996" s="129" t="s">
        <v>2341</v>
      </c>
      <c r="D996" s="130" t="s">
        <v>2342</v>
      </c>
      <c r="E996" s="131">
        <v>9.19810131111E11</v>
      </c>
      <c r="F996" s="132" t="s">
        <v>2232</v>
      </c>
      <c r="G996" s="135" t="s">
        <v>574</v>
      </c>
    </row>
    <row r="997">
      <c r="A997" s="152"/>
      <c r="B997" s="129"/>
      <c r="C997" s="129" t="s">
        <v>2343</v>
      </c>
      <c r="D997" s="130" t="s">
        <v>2344</v>
      </c>
      <c r="E997" s="131" t="s">
        <v>2345</v>
      </c>
      <c r="F997" s="132" t="s">
        <v>2232</v>
      </c>
      <c r="G997" s="66" t="s">
        <v>574</v>
      </c>
    </row>
    <row r="998">
      <c r="A998" s="152"/>
      <c r="B998" s="129"/>
      <c r="C998" s="129" t="s">
        <v>2346</v>
      </c>
      <c r="D998" s="130" t="s">
        <v>2347</v>
      </c>
      <c r="E998" s="131">
        <v>9.71545551925E11</v>
      </c>
      <c r="F998" s="132" t="s">
        <v>2232</v>
      </c>
      <c r="G998" s="135" t="s">
        <v>574</v>
      </c>
    </row>
    <row r="999">
      <c r="A999" s="152"/>
      <c r="B999" s="129"/>
      <c r="C999" s="129" t="s">
        <v>2348</v>
      </c>
      <c r="D999" s="130" t="s">
        <v>2349</v>
      </c>
      <c r="E999" s="131" t="s">
        <v>2350</v>
      </c>
      <c r="F999" s="132" t="s">
        <v>2232</v>
      </c>
      <c r="G999" s="66" t="s">
        <v>574</v>
      </c>
    </row>
    <row r="1000">
      <c r="A1000" s="152"/>
      <c r="B1000" s="129"/>
      <c r="C1000" s="129" t="s">
        <v>2351</v>
      </c>
      <c r="D1000" s="130" t="s">
        <v>2352</v>
      </c>
      <c r="E1000" s="131">
        <v>9.19624399993E11</v>
      </c>
      <c r="F1000" s="132" t="s">
        <v>2232</v>
      </c>
      <c r="G1000" s="135" t="s">
        <v>574</v>
      </c>
    </row>
    <row r="1001">
      <c r="A1001" s="152"/>
      <c r="B1001" s="129"/>
      <c r="C1001" s="129" t="s">
        <v>2353</v>
      </c>
      <c r="D1001" s="130" t="s">
        <v>2349</v>
      </c>
      <c r="E1001" s="131" t="s">
        <v>2350</v>
      </c>
      <c r="F1001" s="132" t="s">
        <v>2232</v>
      </c>
      <c r="G1001" s="66" t="s">
        <v>574</v>
      </c>
    </row>
    <row r="1002">
      <c r="A1002" s="152"/>
      <c r="B1002" s="129"/>
      <c r="C1002" s="129" t="s">
        <v>2354</v>
      </c>
      <c r="D1002" s="130" t="s">
        <v>2355</v>
      </c>
      <c r="E1002" s="131">
        <v>9.71558856496E11</v>
      </c>
      <c r="F1002" s="132" t="s">
        <v>2232</v>
      </c>
      <c r="G1002" s="135" t="s">
        <v>574</v>
      </c>
    </row>
    <row r="1003">
      <c r="A1003" s="152"/>
      <c r="B1003" s="129"/>
      <c r="C1003" s="129" t="s">
        <v>2356</v>
      </c>
      <c r="D1003" s="145" t="s">
        <v>2357</v>
      </c>
      <c r="E1003" s="131">
        <v>9.23314936065E11</v>
      </c>
      <c r="F1003" s="132" t="s">
        <v>2232</v>
      </c>
      <c r="G1003" s="66" t="s">
        <v>574</v>
      </c>
    </row>
    <row r="1004">
      <c r="A1004" s="152"/>
      <c r="B1004" s="129"/>
      <c r="C1004" s="129" t="s">
        <v>2358</v>
      </c>
      <c r="D1004" s="130" t="s">
        <v>2359</v>
      </c>
      <c r="E1004" s="131">
        <v>9.19062459001E11</v>
      </c>
      <c r="F1004" s="132" t="s">
        <v>2232</v>
      </c>
      <c r="G1004" s="135" t="s">
        <v>574</v>
      </c>
    </row>
    <row r="1005">
      <c r="A1005" s="152"/>
      <c r="B1005" s="129"/>
      <c r="C1005" s="129" t="s">
        <v>2360</v>
      </c>
      <c r="D1005" s="130" t="s">
        <v>2361</v>
      </c>
      <c r="E1005" s="131">
        <v>9.23234694314E11</v>
      </c>
      <c r="F1005" s="132" t="s">
        <v>2232</v>
      </c>
      <c r="G1005" s="66" t="s">
        <v>168</v>
      </c>
    </row>
    <row r="1006">
      <c r="A1006" s="152"/>
      <c r="B1006" s="129"/>
      <c r="C1006" s="129" t="s">
        <v>2362</v>
      </c>
      <c r="D1006" s="130" t="s">
        <v>2363</v>
      </c>
      <c r="E1006" s="131">
        <v>9.23347732297E11</v>
      </c>
      <c r="F1006" s="132" t="s">
        <v>2232</v>
      </c>
      <c r="G1006" s="135" t="s">
        <v>168</v>
      </c>
    </row>
    <row r="1007">
      <c r="A1007" s="152"/>
      <c r="B1007" s="129"/>
      <c r="C1007" s="129" t="s">
        <v>2364</v>
      </c>
      <c r="D1007" s="130" t="s">
        <v>2365</v>
      </c>
      <c r="E1007" s="131">
        <f>+923218007121</f>
        <v>923218007121</v>
      </c>
      <c r="F1007" s="132" t="s">
        <v>2232</v>
      </c>
      <c r="G1007" s="66" t="s">
        <v>168</v>
      </c>
    </row>
    <row r="1008">
      <c r="A1008" s="152"/>
      <c r="B1008" s="129"/>
      <c r="C1008" s="129" t="s">
        <v>2366</v>
      </c>
      <c r="D1008" s="130" t="s">
        <v>2367</v>
      </c>
      <c r="E1008" s="131">
        <v>9.23041737362E11</v>
      </c>
      <c r="F1008" s="132" t="s">
        <v>2232</v>
      </c>
      <c r="G1008" s="135" t="s">
        <v>574</v>
      </c>
    </row>
    <row r="1009">
      <c r="A1009" s="152"/>
      <c r="B1009" s="129"/>
      <c r="C1009" s="129" t="s">
        <v>2368</v>
      </c>
      <c r="D1009" s="130" t="s">
        <v>2369</v>
      </c>
      <c r="E1009" s="131">
        <v>9.23028185354E11</v>
      </c>
      <c r="F1009" s="132" t="s">
        <v>2232</v>
      </c>
      <c r="G1009" s="66" t="s">
        <v>168</v>
      </c>
    </row>
    <row r="1010">
      <c r="A1010" s="152"/>
      <c r="B1010" s="129"/>
      <c r="C1010" s="129" t="s">
        <v>2370</v>
      </c>
      <c r="D1010" s="130" t="s">
        <v>2371</v>
      </c>
      <c r="E1010" s="131">
        <v>9.23329555555E11</v>
      </c>
      <c r="F1010" s="132" t="s">
        <v>2232</v>
      </c>
      <c r="G1010" s="135" t="s">
        <v>168</v>
      </c>
    </row>
    <row r="1011">
      <c r="A1011" s="152"/>
      <c r="B1011" s="129"/>
      <c r="C1011" s="129" t="s">
        <v>2372</v>
      </c>
      <c r="D1011" s="130" t="s">
        <v>2373</v>
      </c>
      <c r="E1011" s="131">
        <v>9.23016284281E11</v>
      </c>
      <c r="F1011" s="132" t="s">
        <v>2232</v>
      </c>
      <c r="G1011" s="66" t="s">
        <v>168</v>
      </c>
    </row>
    <row r="1012">
      <c r="A1012" s="152"/>
      <c r="B1012" s="129"/>
      <c r="C1012" s="129" t="s">
        <v>2374</v>
      </c>
      <c r="D1012" s="145" t="s">
        <v>2375</v>
      </c>
      <c r="E1012" s="131">
        <v>9.23454073879E11</v>
      </c>
      <c r="F1012" s="132" t="s">
        <v>2232</v>
      </c>
      <c r="G1012" s="135" t="s">
        <v>574</v>
      </c>
    </row>
    <row r="1013">
      <c r="A1013" s="152"/>
      <c r="B1013" s="129"/>
      <c r="C1013" s="129" t="s">
        <v>2376</v>
      </c>
      <c r="D1013" s="130" t="s">
        <v>2377</v>
      </c>
      <c r="E1013" s="131">
        <v>9.23326960607E11</v>
      </c>
      <c r="F1013" s="132" t="s">
        <v>2232</v>
      </c>
      <c r="G1013" s="66" t="s">
        <v>168</v>
      </c>
    </row>
    <row r="1014">
      <c r="A1014" s="152"/>
      <c r="B1014" s="129"/>
      <c r="C1014" s="129" t="s">
        <v>2378</v>
      </c>
      <c r="D1014" s="130" t="s">
        <v>2379</v>
      </c>
      <c r="E1014" s="131">
        <v>9.23463932805E11</v>
      </c>
      <c r="F1014" s="132" t="s">
        <v>2232</v>
      </c>
      <c r="G1014" s="135" t="s">
        <v>172</v>
      </c>
    </row>
    <row r="1015">
      <c r="A1015" s="152"/>
      <c r="B1015" s="129"/>
      <c r="C1015" s="129" t="s">
        <v>2380</v>
      </c>
      <c r="D1015" s="130" t="s">
        <v>2202</v>
      </c>
      <c r="E1015" s="131">
        <v>9.23458676247E11</v>
      </c>
      <c r="F1015" s="132" t="s">
        <v>2232</v>
      </c>
      <c r="G1015" s="66" t="s">
        <v>172</v>
      </c>
    </row>
    <row r="1016">
      <c r="A1016" s="152"/>
      <c r="B1016" s="129"/>
      <c r="C1016" s="129" t="s">
        <v>2381</v>
      </c>
      <c r="D1016" s="130" t="s">
        <v>2382</v>
      </c>
      <c r="E1016" s="131">
        <f>+923014115124</f>
        <v>923014115124</v>
      </c>
      <c r="F1016" s="132" t="s">
        <v>2232</v>
      </c>
      <c r="G1016" s="135" t="s">
        <v>168</v>
      </c>
    </row>
    <row r="1017">
      <c r="A1017" s="152"/>
      <c r="B1017" s="129"/>
      <c r="C1017" s="129" t="s">
        <v>2383</v>
      </c>
      <c r="D1017" s="130" t="s">
        <v>2384</v>
      </c>
      <c r="E1017" s="131">
        <f>+923112257053</f>
        <v>923112257053</v>
      </c>
      <c r="F1017" s="132" t="s">
        <v>2232</v>
      </c>
      <c r="G1017" s="66" t="s">
        <v>168</v>
      </c>
    </row>
    <row r="1018">
      <c r="A1018" s="152"/>
      <c r="B1018" s="129"/>
      <c r="C1018" s="129" t="s">
        <v>2385</v>
      </c>
      <c r="D1018" s="130" t="s">
        <v>2386</v>
      </c>
      <c r="E1018" s="131">
        <v>9.23352239949E11</v>
      </c>
      <c r="F1018" s="132" t="s">
        <v>2232</v>
      </c>
      <c r="G1018" s="135" t="s">
        <v>2288</v>
      </c>
    </row>
    <row r="1019">
      <c r="A1019" s="152"/>
      <c r="B1019" s="129"/>
      <c r="C1019" s="129" t="s">
        <v>2387</v>
      </c>
      <c r="D1019" s="130" t="s">
        <v>2388</v>
      </c>
      <c r="E1019" s="131">
        <v>9.23338443927E11</v>
      </c>
      <c r="F1019" s="132" t="s">
        <v>2232</v>
      </c>
      <c r="G1019" s="66" t="s">
        <v>2288</v>
      </c>
    </row>
    <row r="1020">
      <c r="A1020" s="153" t="s">
        <v>2389</v>
      </c>
      <c r="B1020" s="129"/>
      <c r="C1020" s="129" t="s">
        <v>2390</v>
      </c>
      <c r="D1020" s="130" t="s">
        <v>2391</v>
      </c>
      <c r="E1020" s="131">
        <v>9.23008156868E11</v>
      </c>
      <c r="F1020" s="132" t="s">
        <v>2232</v>
      </c>
      <c r="G1020" s="135" t="s">
        <v>168</v>
      </c>
    </row>
    <row r="1021">
      <c r="A1021" s="152"/>
      <c r="B1021" s="129"/>
      <c r="C1021" s="129" t="s">
        <v>2392</v>
      </c>
      <c r="D1021" s="130" t="s">
        <v>2393</v>
      </c>
      <c r="E1021" s="131">
        <v>9.23339417204E11</v>
      </c>
      <c r="F1021" s="132" t="s">
        <v>2232</v>
      </c>
      <c r="G1021" s="66" t="s">
        <v>2288</v>
      </c>
    </row>
    <row r="1022">
      <c r="A1022" s="152"/>
      <c r="B1022" s="129"/>
      <c r="C1022" s="129" t="s">
        <v>2394</v>
      </c>
      <c r="D1022" s="130" t="s">
        <v>2395</v>
      </c>
      <c r="E1022" s="131">
        <v>9.23125132572E11</v>
      </c>
      <c r="F1022" s="132" t="s">
        <v>2232</v>
      </c>
      <c r="G1022" s="135" t="s">
        <v>168</v>
      </c>
    </row>
    <row r="1023">
      <c r="A1023" s="152"/>
      <c r="B1023" s="129"/>
      <c r="C1023" s="129" t="s">
        <v>2396</v>
      </c>
      <c r="D1023" s="130" t="s">
        <v>2397</v>
      </c>
      <c r="E1023" s="131">
        <f>+923006158640</f>
        <v>923006158640</v>
      </c>
      <c r="F1023" s="132" t="s">
        <v>2232</v>
      </c>
      <c r="G1023" s="66" t="s">
        <v>2246</v>
      </c>
    </row>
    <row r="1024">
      <c r="A1024" s="152"/>
      <c r="B1024" s="129"/>
      <c r="C1024" s="129" t="s">
        <v>2398</v>
      </c>
      <c r="D1024" s="130" t="s">
        <v>2399</v>
      </c>
      <c r="E1024" s="131">
        <v>9.23075365491E11</v>
      </c>
      <c r="F1024" s="132" t="s">
        <v>2232</v>
      </c>
      <c r="G1024" s="135" t="s">
        <v>168</v>
      </c>
    </row>
    <row r="1025" hidden="1">
      <c r="A1025" s="45">
        <v>43512.0</v>
      </c>
      <c r="B1025" s="154"/>
      <c r="C1025" s="154" t="s">
        <v>2400</v>
      </c>
      <c r="D1025" s="154" t="s">
        <v>2401</v>
      </c>
      <c r="E1025" s="154">
        <f>+966500988398</f>
        <v>966500988398</v>
      </c>
      <c r="F1025" s="155" t="s">
        <v>2402</v>
      </c>
      <c r="G1025" s="66" t="s">
        <v>574</v>
      </c>
    </row>
    <row r="1026" hidden="1">
      <c r="A1026" s="45">
        <v>43512.0</v>
      </c>
      <c r="B1026" s="156"/>
      <c r="C1026" s="156" t="s">
        <v>2403</v>
      </c>
      <c r="D1026" s="156" t="s">
        <v>2404</v>
      </c>
      <c r="E1026" s="156">
        <f>+9660545301968</f>
        <v>9660545301968</v>
      </c>
      <c r="F1026" s="157" t="s">
        <v>2402</v>
      </c>
      <c r="G1026" s="135" t="s">
        <v>172</v>
      </c>
    </row>
    <row r="1027" hidden="1">
      <c r="A1027" s="45">
        <v>43512.0</v>
      </c>
      <c r="B1027" s="154"/>
      <c r="C1027" s="154" t="s">
        <v>2405</v>
      </c>
      <c r="D1027" s="154" t="s">
        <v>2406</v>
      </c>
      <c r="E1027" s="154">
        <f>+9710502198119</f>
        <v>9710502198119</v>
      </c>
      <c r="F1027" s="155" t="s">
        <v>2402</v>
      </c>
      <c r="G1027" s="66" t="s">
        <v>2407</v>
      </c>
    </row>
    <row r="1028" hidden="1">
      <c r="A1028" s="45">
        <v>43513.0</v>
      </c>
      <c r="B1028" s="156"/>
      <c r="C1028" s="156" t="s">
        <v>2408</v>
      </c>
      <c r="D1028" s="156" t="s">
        <v>2409</v>
      </c>
      <c r="E1028" s="158" t="s">
        <v>2410</v>
      </c>
      <c r="F1028" s="157" t="s">
        <v>2402</v>
      </c>
      <c r="G1028" s="135" t="s">
        <v>2411</v>
      </c>
    </row>
    <row r="1029" hidden="1">
      <c r="A1029" s="45">
        <v>43513.0</v>
      </c>
      <c r="B1029" s="159"/>
      <c r="C1029" s="159" t="s">
        <v>2412</v>
      </c>
      <c r="D1029" s="154" t="s">
        <v>2413</v>
      </c>
      <c r="E1029" s="160" t="s">
        <v>2414</v>
      </c>
      <c r="F1029" s="155" t="s">
        <v>2402</v>
      </c>
      <c r="G1029" s="66" t="s">
        <v>574</v>
      </c>
    </row>
    <row r="1030" hidden="1">
      <c r="A1030" s="45">
        <v>43514.0</v>
      </c>
      <c r="B1030" s="156"/>
      <c r="C1030" s="156" t="s">
        <v>2415</v>
      </c>
      <c r="D1030" s="156" t="s">
        <v>2416</v>
      </c>
      <c r="E1030" s="161" t="s">
        <v>2417</v>
      </c>
      <c r="F1030" s="157" t="s">
        <v>2402</v>
      </c>
      <c r="G1030" s="135" t="s">
        <v>574</v>
      </c>
    </row>
    <row r="1031" hidden="1">
      <c r="A1031" s="45">
        <v>43516.0</v>
      </c>
      <c r="B1031" s="154"/>
      <c r="C1031" s="154" t="s">
        <v>2418</v>
      </c>
      <c r="D1031" s="154" t="s">
        <v>2419</v>
      </c>
      <c r="E1031" s="160" t="s">
        <v>2420</v>
      </c>
      <c r="F1031" s="155" t="s">
        <v>2402</v>
      </c>
      <c r="G1031" s="66" t="s">
        <v>574</v>
      </c>
    </row>
    <row r="1032" hidden="1">
      <c r="A1032" s="45">
        <v>43517.0</v>
      </c>
      <c r="B1032" s="156"/>
      <c r="C1032" s="156" t="s">
        <v>2421</v>
      </c>
      <c r="D1032" s="156" t="s">
        <v>2422</v>
      </c>
      <c r="E1032" s="156">
        <f>+17137158040</f>
        <v>17137158040</v>
      </c>
      <c r="F1032" s="157" t="s">
        <v>2402</v>
      </c>
      <c r="G1032" s="135" t="s">
        <v>2423</v>
      </c>
    </row>
    <row r="1033" hidden="1">
      <c r="A1033" s="45">
        <v>43517.0</v>
      </c>
      <c r="B1033" s="154"/>
      <c r="C1033" s="154" t="s">
        <v>2424</v>
      </c>
      <c r="D1033" s="154" t="s">
        <v>2425</v>
      </c>
      <c r="E1033" s="154">
        <f>+966582127377</f>
        <v>966582127377</v>
      </c>
      <c r="F1033" s="155" t="s">
        <v>2402</v>
      </c>
      <c r="G1033" s="66" t="s">
        <v>574</v>
      </c>
    </row>
    <row r="1034" hidden="1">
      <c r="A1034" s="162">
        <v>43471.0</v>
      </c>
      <c r="B1034" s="19"/>
      <c r="C1034" s="19" t="s">
        <v>2426</v>
      </c>
      <c r="D1034" s="19" t="s">
        <v>2427</v>
      </c>
      <c r="E1034" s="163" t="s">
        <v>2428</v>
      </c>
      <c r="F1034" s="164" t="s">
        <v>2429</v>
      </c>
      <c r="G1034" s="39" t="s">
        <v>172</v>
      </c>
    </row>
    <row r="1035" hidden="1">
      <c r="A1035" s="162">
        <v>43471.0</v>
      </c>
      <c r="B1035" s="19"/>
      <c r="C1035" s="19" t="s">
        <v>2430</v>
      </c>
      <c r="D1035" s="19" t="s">
        <v>2431</v>
      </c>
      <c r="E1035" s="20" t="s">
        <v>2432</v>
      </c>
      <c r="F1035" s="164" t="s">
        <v>2429</v>
      </c>
      <c r="G1035" s="39" t="s">
        <v>574</v>
      </c>
    </row>
    <row r="1036" hidden="1">
      <c r="A1036" s="162">
        <v>43471.0</v>
      </c>
      <c r="B1036" s="19"/>
      <c r="C1036" s="19" t="s">
        <v>2433</v>
      </c>
      <c r="D1036" s="19" t="s">
        <v>2434</v>
      </c>
      <c r="E1036" s="20" t="s">
        <v>2435</v>
      </c>
      <c r="F1036" s="164" t="s">
        <v>2429</v>
      </c>
      <c r="G1036" s="39" t="s">
        <v>168</v>
      </c>
    </row>
    <row r="1037" hidden="1">
      <c r="A1037" s="162">
        <v>43471.0</v>
      </c>
      <c r="B1037" s="19"/>
      <c r="C1037" s="19" t="s">
        <v>2436</v>
      </c>
      <c r="D1037" s="19" t="s">
        <v>2437</v>
      </c>
      <c r="E1037" s="20" t="s">
        <v>2438</v>
      </c>
      <c r="F1037" s="164" t="s">
        <v>2429</v>
      </c>
      <c r="G1037" s="39" t="s">
        <v>1518</v>
      </c>
    </row>
    <row r="1038" hidden="1">
      <c r="A1038" s="165">
        <v>43472.0</v>
      </c>
      <c r="B1038" s="22"/>
      <c r="C1038" s="22" t="s">
        <v>2439</v>
      </c>
      <c r="D1038" s="22" t="s">
        <v>2440</v>
      </c>
      <c r="E1038" s="22">
        <v>5.44086595E8</v>
      </c>
      <c r="F1038" s="164" t="s">
        <v>2429</v>
      </c>
      <c r="G1038" s="39" t="s">
        <v>979</v>
      </c>
    </row>
    <row r="1039" hidden="1">
      <c r="A1039" s="165">
        <v>43472.0</v>
      </c>
      <c r="B1039" s="22"/>
      <c r="C1039" s="22" t="s">
        <v>2441</v>
      </c>
      <c r="D1039" s="22" t="s">
        <v>2442</v>
      </c>
      <c r="E1039" s="22">
        <f>+96566635555</f>
        <v>96566635555</v>
      </c>
      <c r="F1039" s="164" t="s">
        <v>2429</v>
      </c>
      <c r="G1039" s="39" t="s">
        <v>574</v>
      </c>
    </row>
    <row r="1040" hidden="1">
      <c r="A1040" s="165">
        <v>43472.0</v>
      </c>
      <c r="B1040" s="22"/>
      <c r="C1040" s="22" t="s">
        <v>2443</v>
      </c>
      <c r="D1040" s="22" t="s">
        <v>2444</v>
      </c>
      <c r="E1040" s="22">
        <f>+97336099999</f>
        <v>97336099999</v>
      </c>
      <c r="F1040" s="164" t="s">
        <v>2429</v>
      </c>
      <c r="G1040" s="39" t="s">
        <v>574</v>
      </c>
    </row>
    <row r="1041" hidden="1">
      <c r="A1041" s="165">
        <v>43472.0</v>
      </c>
      <c r="B1041" s="22"/>
      <c r="C1041" s="22" t="s">
        <v>2445</v>
      </c>
      <c r="D1041" s="22" t="s">
        <v>2446</v>
      </c>
      <c r="E1041" s="22">
        <f>+971508666561</f>
        <v>971508666561</v>
      </c>
      <c r="F1041" s="164" t="s">
        <v>2429</v>
      </c>
      <c r="G1041" s="39" t="s">
        <v>574</v>
      </c>
    </row>
    <row r="1042" hidden="1">
      <c r="A1042" s="165">
        <v>43472.0</v>
      </c>
      <c r="B1042" s="22"/>
      <c r="C1042" s="22" t="s">
        <v>2447</v>
      </c>
      <c r="D1042" s="22" t="s">
        <v>2448</v>
      </c>
      <c r="E1042" s="22">
        <f>+989023415608</f>
        <v>989023415608</v>
      </c>
      <c r="F1042" s="164" t="s">
        <v>2429</v>
      </c>
      <c r="G1042" s="39" t="s">
        <v>574</v>
      </c>
    </row>
    <row r="1043" hidden="1">
      <c r="A1043" s="152">
        <v>43477.0</v>
      </c>
      <c r="B1043" s="22"/>
      <c r="C1043" s="22" t="s">
        <v>2449</v>
      </c>
      <c r="D1043" s="22" t="s">
        <v>2450</v>
      </c>
      <c r="E1043" s="22">
        <f>+966557753999</f>
        <v>966557753999</v>
      </c>
      <c r="F1043" s="164" t="s">
        <v>2429</v>
      </c>
      <c r="G1043" s="39" t="s">
        <v>574</v>
      </c>
    </row>
    <row r="1044" hidden="1">
      <c r="A1044" s="152">
        <v>43477.0</v>
      </c>
      <c r="B1044" s="22"/>
      <c r="C1044" s="22" t="s">
        <v>2451</v>
      </c>
      <c r="D1044" s="22" t="s">
        <v>2452</v>
      </c>
      <c r="E1044" s="22">
        <f>+96560427209</f>
        <v>96560427209</v>
      </c>
      <c r="F1044" s="164" t="s">
        <v>2429</v>
      </c>
      <c r="G1044" s="39" t="s">
        <v>574</v>
      </c>
    </row>
    <row r="1045" hidden="1">
      <c r="A1045" s="152">
        <v>43477.0</v>
      </c>
      <c r="B1045" s="22"/>
      <c r="C1045" s="22" t="s">
        <v>2453</v>
      </c>
      <c r="D1045" s="22" t="s">
        <v>2454</v>
      </c>
      <c r="E1045" s="22">
        <f>+971566751111</f>
        <v>971566751111</v>
      </c>
      <c r="F1045" s="164" t="s">
        <v>2429</v>
      </c>
      <c r="G1045" s="39" t="s">
        <v>168</v>
      </c>
    </row>
    <row r="1046" hidden="1">
      <c r="A1046" s="152">
        <v>43478.0</v>
      </c>
      <c r="B1046" s="22"/>
      <c r="C1046" s="22" t="s">
        <v>2455</v>
      </c>
      <c r="D1046" s="22" t="s">
        <v>2456</v>
      </c>
      <c r="E1046" s="22">
        <f>+6592995673</f>
        <v>6592995673</v>
      </c>
      <c r="F1046" s="164" t="s">
        <v>2429</v>
      </c>
      <c r="G1046" s="39" t="s">
        <v>2457</v>
      </c>
    </row>
    <row r="1047" hidden="1">
      <c r="A1047" s="152">
        <v>43478.0</v>
      </c>
      <c r="B1047" s="22"/>
      <c r="C1047" s="22" t="s">
        <v>2458</v>
      </c>
      <c r="D1047" s="22" t="s">
        <v>2459</v>
      </c>
      <c r="E1047" s="22">
        <v>5.08802806E8</v>
      </c>
      <c r="F1047" s="164" t="s">
        <v>2429</v>
      </c>
      <c r="G1047" s="39" t="s">
        <v>168</v>
      </c>
    </row>
    <row r="1048" hidden="1">
      <c r="A1048" s="152">
        <v>43478.0</v>
      </c>
      <c r="B1048" s="22"/>
      <c r="C1048" s="22" t="s">
        <v>2460</v>
      </c>
      <c r="D1048" s="22" t="s">
        <v>2461</v>
      </c>
      <c r="E1048" s="22">
        <f>+971504288261</f>
        <v>971504288261</v>
      </c>
      <c r="F1048" s="164" t="s">
        <v>2429</v>
      </c>
      <c r="G1048" s="39" t="s">
        <v>574</v>
      </c>
    </row>
    <row r="1049" hidden="1">
      <c r="A1049" s="152">
        <v>43480.0</v>
      </c>
      <c r="B1049" s="22"/>
      <c r="C1049" s="22" t="s">
        <v>2462</v>
      </c>
      <c r="D1049" s="22" t="s">
        <v>2463</v>
      </c>
      <c r="E1049" s="22">
        <f>+9660563320900</f>
        <v>9660563320900</v>
      </c>
      <c r="F1049" s="164" t="s">
        <v>2429</v>
      </c>
      <c r="G1049" s="39" t="s">
        <v>574</v>
      </c>
    </row>
    <row r="1050" hidden="1">
      <c r="A1050" s="152">
        <v>43480.0</v>
      </c>
      <c r="B1050" s="22"/>
      <c r="C1050" s="22" t="s">
        <v>2464</v>
      </c>
      <c r="D1050" s="22" t="s">
        <v>2465</v>
      </c>
      <c r="E1050" s="22">
        <f>+971505750208</f>
        <v>971505750208</v>
      </c>
      <c r="F1050" s="164" t="s">
        <v>2429</v>
      </c>
      <c r="G1050" s="39" t="s">
        <v>574</v>
      </c>
    </row>
    <row r="1051" hidden="1">
      <c r="A1051" s="152">
        <v>43481.0</v>
      </c>
      <c r="B1051" s="22"/>
      <c r="C1051" s="22" t="s">
        <v>2466</v>
      </c>
      <c r="D1051" s="22" t="s">
        <v>2467</v>
      </c>
      <c r="E1051" s="22">
        <f>+971555386219</f>
        <v>971555386219</v>
      </c>
      <c r="F1051" s="164" t="s">
        <v>2429</v>
      </c>
      <c r="G1051" s="39" t="s">
        <v>2077</v>
      </c>
    </row>
    <row r="1052" hidden="1">
      <c r="A1052" s="152">
        <v>43481.0</v>
      </c>
      <c r="B1052" s="22"/>
      <c r="C1052" s="22" t="s">
        <v>1196</v>
      </c>
      <c r="D1052" s="22" t="s">
        <v>1197</v>
      </c>
      <c r="E1052" s="22">
        <f>+971557994133</f>
        <v>971557994133</v>
      </c>
      <c r="F1052" s="164" t="s">
        <v>2429</v>
      </c>
      <c r="G1052" s="39" t="s">
        <v>168</v>
      </c>
    </row>
    <row r="1053" hidden="1">
      <c r="A1053" s="152">
        <v>43481.0</v>
      </c>
      <c r="B1053" s="22"/>
      <c r="C1053" s="22" t="s">
        <v>2468</v>
      </c>
      <c r="D1053" s="22" t="s">
        <v>2469</v>
      </c>
      <c r="E1053" s="22">
        <f>+9710561612624</f>
        <v>9710561612624</v>
      </c>
      <c r="F1053" s="164" t="s">
        <v>2429</v>
      </c>
      <c r="G1053" s="39" t="s">
        <v>168</v>
      </c>
    </row>
    <row r="1054" hidden="1">
      <c r="A1054" s="152">
        <v>43481.0</v>
      </c>
      <c r="B1054" s="22"/>
      <c r="C1054" s="22" t="s">
        <v>2470</v>
      </c>
      <c r="D1054" s="22" t="s">
        <v>2471</v>
      </c>
      <c r="E1054" s="22">
        <f>+966599886402</f>
        <v>966599886402</v>
      </c>
      <c r="F1054" s="164" t="s">
        <v>2429</v>
      </c>
      <c r="G1054" s="39" t="s">
        <v>2472</v>
      </c>
    </row>
    <row r="1055" hidden="1">
      <c r="A1055" s="166">
        <v>43482.0</v>
      </c>
      <c r="B1055" s="19"/>
      <c r="C1055" s="19" t="s">
        <v>2473</v>
      </c>
      <c r="D1055" s="19" t="s">
        <v>2474</v>
      </c>
      <c r="E1055" s="19">
        <v>9.66501758338E11</v>
      </c>
      <c r="F1055" s="164" t="s">
        <v>2429</v>
      </c>
      <c r="G1055" s="39" t="s">
        <v>574</v>
      </c>
    </row>
    <row r="1056" hidden="1">
      <c r="A1056" s="152">
        <v>43483.0</v>
      </c>
      <c r="B1056" s="22"/>
      <c r="C1056" s="22" t="s">
        <v>2475</v>
      </c>
      <c r="D1056" s="22" t="s">
        <v>2476</v>
      </c>
      <c r="E1056" s="25" t="s">
        <v>2477</v>
      </c>
      <c r="F1056" s="164" t="s">
        <v>2429</v>
      </c>
      <c r="G1056" s="39" t="s">
        <v>574</v>
      </c>
    </row>
    <row r="1057" hidden="1">
      <c r="A1057" s="152">
        <v>43483.0</v>
      </c>
      <c r="B1057" s="22"/>
      <c r="C1057" s="22" t="s">
        <v>2478</v>
      </c>
      <c r="D1057" s="22" t="s">
        <v>2479</v>
      </c>
      <c r="E1057" s="167" t="s">
        <v>2480</v>
      </c>
      <c r="F1057" s="164" t="s">
        <v>2429</v>
      </c>
      <c r="G1057" s="39" t="s">
        <v>168</v>
      </c>
    </row>
    <row r="1058" hidden="1">
      <c r="A1058" s="152">
        <v>43484.0</v>
      </c>
      <c r="B1058" s="22"/>
      <c r="C1058" s="22" t="s">
        <v>2481</v>
      </c>
      <c r="D1058" s="22" t="s">
        <v>2482</v>
      </c>
      <c r="E1058" s="20" t="s">
        <v>2483</v>
      </c>
      <c r="F1058" s="164" t="s">
        <v>2429</v>
      </c>
      <c r="G1058" s="39" t="s">
        <v>574</v>
      </c>
    </row>
    <row r="1059" hidden="1">
      <c r="A1059" s="152">
        <v>43485.0</v>
      </c>
      <c r="B1059" s="22"/>
      <c r="C1059" s="22" t="s">
        <v>2484</v>
      </c>
      <c r="D1059" s="22" t="s">
        <v>2485</v>
      </c>
      <c r="E1059" s="20" t="s">
        <v>2486</v>
      </c>
      <c r="F1059" s="168" t="s">
        <v>2487</v>
      </c>
      <c r="G1059" s="169"/>
    </row>
    <row r="1060" hidden="1">
      <c r="A1060" s="170">
        <v>43485.0</v>
      </c>
      <c r="B1060" s="24"/>
      <c r="C1060" s="24" t="s">
        <v>2488</v>
      </c>
      <c r="D1060" s="24" t="s">
        <v>2489</v>
      </c>
      <c r="E1060" s="24">
        <v>9.71508738697E11</v>
      </c>
      <c r="F1060" s="168" t="s">
        <v>2487</v>
      </c>
      <c r="G1060" s="171"/>
    </row>
    <row r="1061" hidden="1">
      <c r="A1061" s="170">
        <v>43485.0</v>
      </c>
      <c r="B1061" s="24"/>
      <c r="C1061" s="24" t="s">
        <v>2490</v>
      </c>
      <c r="D1061" s="24" t="s">
        <v>2491</v>
      </c>
      <c r="E1061" s="24">
        <v>9.71566813906E11</v>
      </c>
      <c r="F1061" s="168" t="s">
        <v>2487</v>
      </c>
      <c r="G1061" s="172" t="s">
        <v>2492</v>
      </c>
    </row>
    <row r="1062" hidden="1">
      <c r="A1062" s="170">
        <v>43485.0</v>
      </c>
      <c r="B1062" s="24"/>
      <c r="C1062" s="24" t="s">
        <v>2493</v>
      </c>
      <c r="D1062" s="24" t="s">
        <v>2494</v>
      </c>
      <c r="E1062" s="24">
        <v>9.71566959099E11</v>
      </c>
      <c r="F1062" s="168" t="s">
        <v>2487</v>
      </c>
      <c r="G1062" s="172" t="s">
        <v>2495</v>
      </c>
    </row>
    <row r="1063" hidden="1">
      <c r="A1063" s="170">
        <v>43485.0</v>
      </c>
      <c r="B1063" s="24"/>
      <c r="C1063" s="24" t="s">
        <v>2496</v>
      </c>
      <c r="D1063" s="173" t="s">
        <v>2497</v>
      </c>
      <c r="E1063" s="24">
        <v>5.06251756E8</v>
      </c>
      <c r="F1063" s="168" t="s">
        <v>2487</v>
      </c>
      <c r="G1063" s="172" t="s">
        <v>168</v>
      </c>
    </row>
    <row r="1064" hidden="1">
      <c r="A1064" s="170">
        <v>43485.0</v>
      </c>
      <c r="B1064" s="24"/>
      <c r="C1064" s="24" t="s">
        <v>2498</v>
      </c>
      <c r="D1064" s="24" t="s">
        <v>2499</v>
      </c>
      <c r="E1064" s="24" t="s">
        <v>2500</v>
      </c>
      <c r="F1064" s="168" t="s">
        <v>2487</v>
      </c>
      <c r="G1064" s="174"/>
    </row>
    <row r="1065" hidden="1">
      <c r="A1065" s="170">
        <v>43485.0</v>
      </c>
      <c r="B1065" s="24"/>
      <c r="C1065" s="24" t="s">
        <v>2484</v>
      </c>
      <c r="D1065" s="24" t="s">
        <v>2485</v>
      </c>
      <c r="E1065" s="24" t="s">
        <v>2501</v>
      </c>
      <c r="F1065" s="168" t="s">
        <v>2487</v>
      </c>
      <c r="G1065" s="174"/>
    </row>
    <row r="1066" hidden="1">
      <c r="A1066" s="175">
        <v>43485.0</v>
      </c>
      <c r="B1066" s="176"/>
      <c r="C1066" s="176" t="s">
        <v>2502</v>
      </c>
      <c r="D1066" s="176" t="s">
        <v>2503</v>
      </c>
      <c r="E1066" s="176">
        <v>9.71557777281E11</v>
      </c>
      <c r="F1066" s="168" t="s">
        <v>2487</v>
      </c>
      <c r="G1066" s="177" t="s">
        <v>168</v>
      </c>
    </row>
    <row r="1067" hidden="1">
      <c r="A1067" s="175">
        <v>43485.0</v>
      </c>
      <c r="B1067" s="176"/>
      <c r="C1067" s="176" t="s">
        <v>2504</v>
      </c>
      <c r="D1067" s="176" t="s">
        <v>2505</v>
      </c>
      <c r="E1067" s="176">
        <v>9.71506531711E11</v>
      </c>
      <c r="F1067" s="168" t="s">
        <v>2487</v>
      </c>
      <c r="G1067" s="178"/>
    </row>
    <row r="1068" hidden="1">
      <c r="A1068" s="170">
        <v>43486.0</v>
      </c>
      <c r="B1068" s="24"/>
      <c r="C1068" s="24" t="s">
        <v>2506</v>
      </c>
      <c r="D1068" s="24" t="s">
        <v>2507</v>
      </c>
      <c r="E1068" s="24">
        <v>6.738327911E9</v>
      </c>
      <c r="F1068" s="168" t="s">
        <v>2487</v>
      </c>
      <c r="G1068" s="174"/>
    </row>
    <row r="1069" hidden="1">
      <c r="A1069" s="170">
        <v>43486.0</v>
      </c>
      <c r="B1069" s="24"/>
      <c r="C1069" s="24" t="s">
        <v>2508</v>
      </c>
      <c r="D1069" s="24" t="s">
        <v>2509</v>
      </c>
      <c r="E1069" s="24" t="s">
        <v>2510</v>
      </c>
      <c r="F1069" s="168" t="s">
        <v>2487</v>
      </c>
      <c r="G1069" s="174"/>
    </row>
    <row r="1070" hidden="1">
      <c r="A1070" s="152">
        <v>43486.0</v>
      </c>
      <c r="B1070" s="22"/>
      <c r="C1070" s="22" t="s">
        <v>2511</v>
      </c>
      <c r="D1070" s="22" t="s">
        <v>2512</v>
      </c>
      <c r="E1070" s="20" t="s">
        <v>2513</v>
      </c>
      <c r="F1070" s="168" t="s">
        <v>2487</v>
      </c>
      <c r="G1070" s="179" t="s">
        <v>2514</v>
      </c>
    </row>
    <row r="1071" hidden="1">
      <c r="A1071" s="152">
        <v>43488.0</v>
      </c>
      <c r="B1071" s="22"/>
      <c r="C1071" s="22" t="s">
        <v>2515</v>
      </c>
      <c r="D1071" s="22" t="s">
        <v>2516</v>
      </c>
      <c r="E1071" s="22">
        <f>+96598800869</f>
        <v>96598800869</v>
      </c>
      <c r="F1071" s="168" t="s">
        <v>2487</v>
      </c>
      <c r="G1071" s="179" t="s">
        <v>2517</v>
      </c>
    </row>
    <row r="1072" hidden="1">
      <c r="A1072" s="152">
        <v>43488.0</v>
      </c>
      <c r="B1072" s="22"/>
      <c r="C1072" s="22" t="s">
        <v>2518</v>
      </c>
      <c r="D1072" s="22" t="s">
        <v>2519</v>
      </c>
      <c r="E1072" s="22">
        <f>+971505296228</f>
        <v>971505296228</v>
      </c>
      <c r="F1072" s="168" t="s">
        <v>2487</v>
      </c>
      <c r="G1072" s="169"/>
    </row>
    <row r="1073" hidden="1">
      <c r="A1073" s="152">
        <v>43488.0</v>
      </c>
      <c r="B1073" s="22"/>
      <c r="C1073" s="22" t="s">
        <v>2520</v>
      </c>
      <c r="D1073" s="22" t="s">
        <v>2521</v>
      </c>
      <c r="E1073" s="22">
        <f>+9710509851942</f>
        <v>9710509851942</v>
      </c>
      <c r="F1073" s="168" t="s">
        <v>2487</v>
      </c>
      <c r="G1073" s="179" t="s">
        <v>574</v>
      </c>
    </row>
    <row r="1074" hidden="1">
      <c r="A1074" s="152">
        <v>43488.0</v>
      </c>
      <c r="B1074" s="22"/>
      <c r="C1074" s="22" t="s">
        <v>2522</v>
      </c>
      <c r="D1074" s="22" t="s">
        <v>2523</v>
      </c>
      <c r="E1074" s="22">
        <f>+971507082412</f>
        <v>971507082412</v>
      </c>
      <c r="F1074" s="168" t="s">
        <v>2487</v>
      </c>
      <c r="G1074" s="179" t="s">
        <v>533</v>
      </c>
    </row>
    <row r="1075" hidden="1">
      <c r="A1075" s="152">
        <v>43489.0</v>
      </c>
      <c r="B1075" s="22"/>
      <c r="C1075" s="22" t="s">
        <v>2524</v>
      </c>
      <c r="D1075" s="22" t="s">
        <v>2525</v>
      </c>
      <c r="E1075" s="22">
        <f>+971561758559</f>
        <v>971561758559</v>
      </c>
      <c r="F1075" s="168" t="s">
        <v>2487</v>
      </c>
      <c r="G1075" s="179" t="s">
        <v>533</v>
      </c>
    </row>
    <row r="1076" hidden="1">
      <c r="A1076" s="152">
        <v>43489.0</v>
      </c>
      <c r="B1076" s="22"/>
      <c r="C1076" s="22" t="s">
        <v>2526</v>
      </c>
      <c r="D1076" s="22" t="s">
        <v>2527</v>
      </c>
      <c r="E1076" s="22">
        <f>+966582984017</f>
        <v>966582984017</v>
      </c>
      <c r="F1076" s="168" t="s">
        <v>2487</v>
      </c>
      <c r="G1076" s="169"/>
    </row>
    <row r="1077" hidden="1">
      <c r="A1077" s="152">
        <v>43489.0</v>
      </c>
      <c r="B1077" s="22"/>
      <c r="C1077" s="22" t="s">
        <v>2528</v>
      </c>
      <c r="D1077" s="22" t="s">
        <v>2529</v>
      </c>
      <c r="E1077" s="22">
        <f>+971505597708</f>
        <v>971505597708</v>
      </c>
      <c r="F1077" s="168" t="s">
        <v>2487</v>
      </c>
      <c r="G1077" s="169"/>
    </row>
    <row r="1078" hidden="1">
      <c r="A1078" s="152">
        <v>43491.0</v>
      </c>
      <c r="B1078" s="22"/>
      <c r="C1078" s="22" t="s">
        <v>2530</v>
      </c>
      <c r="D1078" s="22" t="s">
        <v>2531</v>
      </c>
      <c r="E1078" s="22">
        <f>+971566968374</f>
        <v>971566968374</v>
      </c>
      <c r="F1078" s="168" t="s">
        <v>2487</v>
      </c>
      <c r="G1078" s="169"/>
    </row>
    <row r="1079" hidden="1">
      <c r="A1079" s="152">
        <v>43491.0</v>
      </c>
      <c r="B1079" s="22"/>
      <c r="C1079" s="22" t="s">
        <v>2532</v>
      </c>
      <c r="D1079" s="22" t="s">
        <v>2533</v>
      </c>
      <c r="E1079" s="22">
        <f>+966505330011</f>
        <v>966505330011</v>
      </c>
      <c r="F1079" s="168" t="s">
        <v>2487</v>
      </c>
      <c r="G1079" s="169"/>
    </row>
    <row r="1080" hidden="1">
      <c r="A1080" s="152">
        <v>43491.0</v>
      </c>
      <c r="B1080" s="22"/>
      <c r="C1080" s="22" t="s">
        <v>2534</v>
      </c>
      <c r="D1080" s="22" t="s">
        <v>2535</v>
      </c>
      <c r="E1080" s="22">
        <f>+971555446240</f>
        <v>971555446240</v>
      </c>
      <c r="F1080" s="168" t="s">
        <v>2487</v>
      </c>
      <c r="G1080" s="169"/>
    </row>
    <row r="1081" hidden="1">
      <c r="A1081" s="152">
        <v>43491.0</v>
      </c>
      <c r="B1081" s="22"/>
      <c r="C1081" s="22" t="s">
        <v>2536</v>
      </c>
      <c r="D1081" s="22" t="s">
        <v>2537</v>
      </c>
      <c r="E1081" s="22">
        <f>+9710509129901</f>
        <v>9710509129901</v>
      </c>
      <c r="F1081" s="168" t="s">
        <v>2487</v>
      </c>
      <c r="G1081" s="169"/>
    </row>
    <row r="1082" hidden="1">
      <c r="A1082" s="152">
        <v>43491.0</v>
      </c>
      <c r="B1082" s="22"/>
      <c r="C1082" s="22" t="s">
        <v>2538</v>
      </c>
      <c r="D1082" s="180" t="s">
        <v>2539</v>
      </c>
      <c r="E1082" s="22">
        <v>1.23456789E8</v>
      </c>
      <c r="F1082" s="168" t="s">
        <v>2487</v>
      </c>
      <c r="G1082" s="169"/>
    </row>
    <row r="1083" hidden="1">
      <c r="A1083" s="152">
        <v>43491.0</v>
      </c>
      <c r="B1083" s="180"/>
      <c r="C1083" s="180" t="s">
        <v>2540</v>
      </c>
      <c r="D1083" s="180" t="s">
        <v>2541</v>
      </c>
      <c r="E1083" s="22">
        <f>+971503942768</f>
        <v>971503942768</v>
      </c>
      <c r="F1083" s="168" t="s">
        <v>2487</v>
      </c>
      <c r="G1083" s="169"/>
    </row>
    <row r="1084" hidden="1">
      <c r="A1084" s="152">
        <v>43491.0</v>
      </c>
      <c r="B1084" s="22"/>
      <c r="C1084" s="22" t="s">
        <v>2542</v>
      </c>
      <c r="D1084" s="180" t="s">
        <v>2543</v>
      </c>
      <c r="E1084" s="22">
        <f>+971555440841</f>
        <v>971555440841</v>
      </c>
      <c r="F1084" s="168" t="s">
        <v>2487</v>
      </c>
      <c r="G1084" s="169"/>
    </row>
    <row r="1085" hidden="1">
      <c r="A1085" s="152">
        <v>43491.0</v>
      </c>
      <c r="B1085" s="22"/>
      <c r="C1085" s="22" t="s">
        <v>2544</v>
      </c>
      <c r="D1085" s="180" t="s">
        <v>2545</v>
      </c>
      <c r="E1085" s="22">
        <f>+971569503280</f>
        <v>971569503280</v>
      </c>
      <c r="F1085" s="168" t="s">
        <v>2487</v>
      </c>
      <c r="G1085" s="169"/>
    </row>
    <row r="1086" hidden="1">
      <c r="A1086" s="152">
        <v>43491.0</v>
      </c>
      <c r="B1086" s="22"/>
      <c r="C1086" s="22" t="s">
        <v>2546</v>
      </c>
      <c r="D1086" s="180" t="s">
        <v>2547</v>
      </c>
      <c r="E1086" s="22">
        <f>+9710551055083</f>
        <v>9710551055083</v>
      </c>
      <c r="F1086" s="168" t="s">
        <v>2487</v>
      </c>
      <c r="G1086" s="169"/>
    </row>
    <row r="1087" hidden="1">
      <c r="A1087" s="152">
        <v>43491.0</v>
      </c>
      <c r="B1087" s="22"/>
      <c r="C1087" s="22" t="s">
        <v>2548</v>
      </c>
      <c r="D1087" s="180" t="s">
        <v>2549</v>
      </c>
      <c r="E1087" s="22">
        <f>+971501402226</f>
        <v>971501402226</v>
      </c>
      <c r="F1087" s="168" t="s">
        <v>2487</v>
      </c>
      <c r="G1087" s="169"/>
    </row>
    <row r="1088" hidden="1">
      <c r="A1088" s="152">
        <v>43492.0</v>
      </c>
      <c r="B1088" s="22"/>
      <c r="C1088" s="22" t="s">
        <v>2550</v>
      </c>
      <c r="D1088" s="180" t="s">
        <v>2551</v>
      </c>
      <c r="E1088" s="22">
        <f>+9710555540170</f>
        <v>9710555540170</v>
      </c>
      <c r="F1088" s="168" t="s">
        <v>2487</v>
      </c>
      <c r="G1088" s="169"/>
    </row>
    <row r="1089" hidden="1">
      <c r="A1089" s="152">
        <v>43492.0</v>
      </c>
      <c r="B1089" s="22"/>
      <c r="C1089" s="22" t="s">
        <v>2552</v>
      </c>
      <c r="D1089" s="180" t="s">
        <v>2553</v>
      </c>
      <c r="E1089" s="22">
        <f>+9710554092396</f>
        <v>9710554092396</v>
      </c>
      <c r="F1089" s="168" t="s">
        <v>2487</v>
      </c>
      <c r="G1089" s="169"/>
    </row>
    <row r="1090" hidden="1">
      <c r="A1090" s="152">
        <v>43492.0</v>
      </c>
      <c r="B1090" s="22"/>
      <c r="C1090" s="22" t="s">
        <v>2554</v>
      </c>
      <c r="D1090" s="180" t="s">
        <v>2555</v>
      </c>
      <c r="E1090" s="20" t="s">
        <v>2556</v>
      </c>
      <c r="F1090" s="168" t="s">
        <v>2487</v>
      </c>
      <c r="G1090" s="169"/>
    </row>
    <row r="1091" hidden="1">
      <c r="A1091" s="152">
        <v>43493.0</v>
      </c>
      <c r="B1091" s="22"/>
      <c r="C1091" s="22" t="s">
        <v>2557</v>
      </c>
      <c r="D1091" s="180" t="s">
        <v>2558</v>
      </c>
      <c r="E1091" s="20" t="s">
        <v>2559</v>
      </c>
      <c r="F1091" s="168" t="s">
        <v>2487</v>
      </c>
      <c r="G1091" s="169"/>
    </row>
    <row r="1092" hidden="1">
      <c r="A1092" s="152">
        <v>43493.0</v>
      </c>
      <c r="B1092" s="22"/>
      <c r="C1092" s="22" t="s">
        <v>2560</v>
      </c>
      <c r="D1092" s="22" t="s">
        <v>2561</v>
      </c>
      <c r="E1092" s="22">
        <f>+971558117019</f>
        <v>971558117019</v>
      </c>
      <c r="F1092" s="168" t="s">
        <v>2487</v>
      </c>
      <c r="G1092" s="169"/>
    </row>
    <row r="1093" hidden="1">
      <c r="A1093" s="152">
        <v>43493.0</v>
      </c>
      <c r="B1093" s="22"/>
      <c r="C1093" s="22" t="s">
        <v>2562</v>
      </c>
      <c r="D1093" s="180" t="s">
        <v>2563</v>
      </c>
      <c r="E1093" s="22">
        <f>+971553179933</f>
        <v>971553179933</v>
      </c>
      <c r="F1093" s="168" t="s">
        <v>2487</v>
      </c>
      <c r="G1093" s="169"/>
    </row>
    <row r="1094" hidden="1">
      <c r="A1094" s="152">
        <v>43493.0</v>
      </c>
      <c r="B1094" s="22"/>
      <c r="C1094" s="22" t="s">
        <v>2564</v>
      </c>
      <c r="D1094" s="180" t="s">
        <v>2565</v>
      </c>
      <c r="E1094" s="22">
        <f>+6587877903</f>
        <v>6587877903</v>
      </c>
      <c r="F1094" s="168" t="s">
        <v>2487</v>
      </c>
      <c r="G1094" s="169"/>
    </row>
    <row r="1095" hidden="1">
      <c r="A1095" s="152">
        <v>43494.0</v>
      </c>
      <c r="B1095" s="22"/>
      <c r="C1095" s="22" t="s">
        <v>2566</v>
      </c>
      <c r="D1095" s="180" t="s">
        <v>2567</v>
      </c>
      <c r="E1095" s="22">
        <f>+971508196823</f>
        <v>971508196823</v>
      </c>
      <c r="F1095" s="168" t="s">
        <v>2487</v>
      </c>
      <c r="G1095" s="169"/>
    </row>
    <row r="1096" hidden="1">
      <c r="A1096" s="152">
        <v>43494.0</v>
      </c>
      <c r="B1096" s="22"/>
      <c r="C1096" s="22" t="s">
        <v>2568</v>
      </c>
      <c r="D1096" s="180" t="s">
        <v>2569</v>
      </c>
      <c r="E1096" s="22">
        <f>+971556360876</f>
        <v>971556360876</v>
      </c>
      <c r="F1096" s="168" t="s">
        <v>2487</v>
      </c>
      <c r="G1096" s="169"/>
    </row>
    <row r="1097" hidden="1">
      <c r="A1097" s="152">
        <v>43494.0</v>
      </c>
      <c r="B1097" s="22"/>
      <c r="C1097" s="22" t="s">
        <v>2570</v>
      </c>
      <c r="D1097" s="180" t="s">
        <v>2571</v>
      </c>
      <c r="E1097" s="22">
        <f>+971559979623</f>
        <v>971559979623</v>
      </c>
      <c r="F1097" s="168" t="s">
        <v>2487</v>
      </c>
      <c r="G1097" s="169"/>
    </row>
    <row r="1098" hidden="1">
      <c r="A1098" s="152">
        <v>43495.0</v>
      </c>
      <c r="B1098" s="22"/>
      <c r="C1098" s="22" t="s">
        <v>2572</v>
      </c>
      <c r="D1098" s="180" t="s">
        <v>2573</v>
      </c>
      <c r="E1098" s="20" t="s">
        <v>2574</v>
      </c>
      <c r="F1098" s="168" t="s">
        <v>2487</v>
      </c>
      <c r="G1098" s="169"/>
    </row>
    <row r="1099" hidden="1">
      <c r="A1099" s="152">
        <v>43496.0</v>
      </c>
      <c r="B1099" s="22"/>
      <c r="C1099" s="22" t="s">
        <v>2575</v>
      </c>
      <c r="D1099" s="180" t="s">
        <v>2576</v>
      </c>
      <c r="E1099" s="22">
        <f>+966580990460</f>
        <v>966580990460</v>
      </c>
      <c r="F1099" s="168" t="s">
        <v>2487</v>
      </c>
      <c r="G1099" s="169"/>
    </row>
    <row r="1100" hidden="1">
      <c r="A1100" s="152">
        <v>43496.0</v>
      </c>
      <c r="B1100" s="22"/>
      <c r="C1100" s="22" t="s">
        <v>2577</v>
      </c>
      <c r="D1100" s="180" t="s">
        <v>2578</v>
      </c>
      <c r="E1100" s="22">
        <f>+966554818747</f>
        <v>966554818747</v>
      </c>
      <c r="F1100" s="168" t="s">
        <v>2487</v>
      </c>
      <c r="G1100" s="169"/>
    </row>
    <row r="1101" hidden="1">
      <c r="A1101" s="152">
        <v>43498.0</v>
      </c>
      <c r="B1101" s="22"/>
      <c r="C1101" s="22" t="s">
        <v>2579</v>
      </c>
      <c r="D1101" s="180" t="s">
        <v>2580</v>
      </c>
      <c r="E1101" s="22">
        <f>+971566510056</f>
        <v>971566510056</v>
      </c>
      <c r="F1101" s="168" t="s">
        <v>2487</v>
      </c>
      <c r="G1101" s="169"/>
    </row>
    <row r="1102" hidden="1">
      <c r="A1102" s="152">
        <v>43498.0</v>
      </c>
      <c r="B1102" s="22"/>
      <c r="C1102" s="22" t="s">
        <v>2581</v>
      </c>
      <c r="D1102" s="180" t="s">
        <v>2582</v>
      </c>
      <c r="E1102" s="22">
        <f>+14167866667</f>
        <v>14167866667</v>
      </c>
      <c r="F1102" s="168" t="s">
        <v>2487</v>
      </c>
      <c r="G1102" s="169"/>
    </row>
    <row r="1103" hidden="1">
      <c r="A1103" s="152">
        <v>43498.0</v>
      </c>
      <c r="B1103" s="22"/>
      <c r="C1103" s="22" t="s">
        <v>2583</v>
      </c>
      <c r="D1103" s="180" t="s">
        <v>2584</v>
      </c>
      <c r="E1103" s="22">
        <f>+971503476853</f>
        <v>971503476853</v>
      </c>
      <c r="F1103" s="168" t="s">
        <v>2487</v>
      </c>
      <c r="G1103" s="169"/>
    </row>
    <row r="1104" hidden="1">
      <c r="A1104" s="152">
        <v>43498.0</v>
      </c>
      <c r="B1104" s="22"/>
      <c r="C1104" s="22" t="s">
        <v>2585</v>
      </c>
      <c r="D1104" s="180" t="s">
        <v>2586</v>
      </c>
      <c r="E1104" s="22">
        <f>+96899725559</f>
        <v>96899725559</v>
      </c>
      <c r="F1104" s="168" t="s">
        <v>2487</v>
      </c>
      <c r="G1104" s="169"/>
    </row>
    <row r="1105" hidden="1">
      <c r="A1105" s="152">
        <v>43498.0</v>
      </c>
      <c r="B1105" s="22"/>
      <c r="C1105" s="22" t="s">
        <v>2587</v>
      </c>
      <c r="D1105" s="180" t="s">
        <v>2588</v>
      </c>
      <c r="E1105" s="22">
        <f>+9660544253100</f>
        <v>9660544253100</v>
      </c>
      <c r="F1105" s="168" t="s">
        <v>2487</v>
      </c>
      <c r="G1105" s="169"/>
    </row>
    <row r="1106" hidden="1">
      <c r="A1106" s="152">
        <v>43498.0</v>
      </c>
      <c r="B1106" s="22"/>
      <c r="C1106" s="22" t="s">
        <v>2589</v>
      </c>
      <c r="D1106" s="22" t="s">
        <v>2590</v>
      </c>
      <c r="E1106" s="22">
        <f>+9660546927848</f>
        <v>9660546927848</v>
      </c>
      <c r="F1106" s="168" t="s">
        <v>2487</v>
      </c>
      <c r="G1106" s="169"/>
    </row>
    <row r="1107" hidden="1">
      <c r="A1107" s="152">
        <v>43499.0</v>
      </c>
      <c r="B1107" s="22"/>
      <c r="C1107" s="22" t="s">
        <v>2591</v>
      </c>
      <c r="D1107" s="180" t="s">
        <v>2592</v>
      </c>
      <c r="E1107" s="22">
        <f>+966578692452</f>
        <v>966578692452</v>
      </c>
      <c r="F1107" s="168" t="s">
        <v>2487</v>
      </c>
      <c r="G1107" s="169"/>
    </row>
    <row r="1108" hidden="1">
      <c r="A1108" s="152">
        <v>43499.0</v>
      </c>
      <c r="B1108" s="22"/>
      <c r="C1108" s="22" t="s">
        <v>2593</v>
      </c>
      <c r="D1108" s="180" t="s">
        <v>2594</v>
      </c>
      <c r="E1108" s="22">
        <f>+9660500756707</f>
        <v>9660500756707</v>
      </c>
      <c r="F1108" s="168" t="s">
        <v>2487</v>
      </c>
      <c r="G1108" s="169"/>
    </row>
    <row r="1109" hidden="1">
      <c r="A1109" s="152">
        <v>43500.0</v>
      </c>
      <c r="B1109" s="22"/>
      <c r="C1109" s="22" t="s">
        <v>2595</v>
      </c>
      <c r="D1109" s="180" t="s">
        <v>2596</v>
      </c>
      <c r="E1109" s="22">
        <f>+2347032718993</f>
        <v>2347032718993</v>
      </c>
      <c r="F1109" s="168" t="s">
        <v>2487</v>
      </c>
      <c r="G1109" s="169"/>
    </row>
    <row r="1110" hidden="1">
      <c r="A1110" s="152">
        <v>43500.0</v>
      </c>
      <c r="B1110" s="22"/>
      <c r="C1110" s="22" t="s">
        <v>2597</v>
      </c>
      <c r="D1110" s="180" t="s">
        <v>2598</v>
      </c>
      <c r="E1110" s="22">
        <f>+971506252147</f>
        <v>971506252147</v>
      </c>
      <c r="F1110" s="168" t="s">
        <v>2487</v>
      </c>
      <c r="G1110" s="169"/>
    </row>
    <row r="1111" hidden="1">
      <c r="A1111" s="152">
        <v>43500.0</v>
      </c>
      <c r="B1111" s="22"/>
      <c r="C1111" s="22" t="s">
        <v>2599</v>
      </c>
      <c r="D1111" s="180" t="s">
        <v>2600</v>
      </c>
      <c r="E1111" s="25" t="s">
        <v>2601</v>
      </c>
      <c r="F1111" s="168" t="s">
        <v>2487</v>
      </c>
      <c r="G1111" s="169"/>
    </row>
    <row r="1112" hidden="1">
      <c r="A1112" s="152">
        <v>43501.0</v>
      </c>
      <c r="B1112" s="22"/>
      <c r="C1112" s="22" t="s">
        <v>2602</v>
      </c>
      <c r="D1112" s="180" t="s">
        <v>2603</v>
      </c>
      <c r="E1112" s="22">
        <f>+971558006992</f>
        <v>971558006992</v>
      </c>
      <c r="F1112" s="168" t="s">
        <v>2487</v>
      </c>
      <c r="G1112" s="169"/>
    </row>
    <row r="1113" hidden="1">
      <c r="A1113" s="152">
        <v>43501.0</v>
      </c>
      <c r="B1113" s="22"/>
      <c r="C1113" s="22" t="s">
        <v>2604</v>
      </c>
      <c r="D1113" s="180" t="s">
        <v>2605</v>
      </c>
      <c r="E1113" s="22">
        <f>+971564066059</f>
        <v>971564066059</v>
      </c>
      <c r="F1113" s="168" t="s">
        <v>2487</v>
      </c>
      <c r="G1113" s="169"/>
    </row>
    <row r="1114" hidden="1">
      <c r="A1114" s="152">
        <v>43501.0</v>
      </c>
      <c r="B1114" s="22"/>
      <c r="C1114" s="22" t="s">
        <v>2599</v>
      </c>
      <c r="D1114" s="180" t="s">
        <v>2600</v>
      </c>
      <c r="E1114" s="22">
        <f>+9710558368187</f>
        <v>9710558368187</v>
      </c>
      <c r="F1114" s="168" t="s">
        <v>2487</v>
      </c>
      <c r="G1114" s="169"/>
    </row>
    <row r="1115" hidden="1">
      <c r="A1115" s="152">
        <v>43502.0</v>
      </c>
      <c r="B1115" s="22"/>
      <c r="C1115" s="22" t="s">
        <v>2606</v>
      </c>
      <c r="D1115" s="180" t="s">
        <v>2607</v>
      </c>
      <c r="E1115" s="22">
        <f>+971505508943</f>
        <v>971505508943</v>
      </c>
      <c r="F1115" s="168" t="s">
        <v>2487</v>
      </c>
      <c r="G1115" s="169"/>
    </row>
    <row r="1116" hidden="1">
      <c r="A1116" s="152">
        <v>43502.0</v>
      </c>
      <c r="B1116" s="22"/>
      <c r="C1116" s="22" t="s">
        <v>2608</v>
      </c>
      <c r="D1116" s="180" t="s">
        <v>2609</v>
      </c>
      <c r="E1116" s="22">
        <f>+971508530054</f>
        <v>971508530054</v>
      </c>
      <c r="F1116" s="168" t="s">
        <v>2487</v>
      </c>
      <c r="G1116" s="169"/>
    </row>
    <row r="1117" hidden="1">
      <c r="A1117" s="152">
        <v>43503.0</v>
      </c>
      <c r="B1117" s="22"/>
      <c r="C1117" s="22" t="s">
        <v>2610</v>
      </c>
      <c r="D1117" s="180" t="s">
        <v>2611</v>
      </c>
      <c r="E1117" s="22">
        <f>+971522726041</f>
        <v>971522726041</v>
      </c>
      <c r="F1117" s="168" t="s">
        <v>2487</v>
      </c>
      <c r="G1117" s="169"/>
    </row>
    <row r="1118" hidden="1">
      <c r="A1118" s="152">
        <v>43503.0</v>
      </c>
      <c r="B1118" s="22"/>
      <c r="C1118" s="22" t="s">
        <v>2612</v>
      </c>
      <c r="D1118" s="180" t="s">
        <v>2613</v>
      </c>
      <c r="E1118" s="22">
        <f>+966557535577</f>
        <v>966557535577</v>
      </c>
      <c r="F1118" s="168" t="s">
        <v>2487</v>
      </c>
      <c r="G1118" s="169"/>
    </row>
    <row r="1119" hidden="1">
      <c r="A1119" s="152">
        <v>43505.0</v>
      </c>
      <c r="B1119" s="22"/>
      <c r="C1119" s="22" t="s">
        <v>2614</v>
      </c>
      <c r="D1119" s="180" t="s">
        <v>2615</v>
      </c>
      <c r="E1119" s="22">
        <f>+966599499362</f>
        <v>966599499362</v>
      </c>
      <c r="F1119" s="168" t="s">
        <v>2487</v>
      </c>
      <c r="G1119" s="169"/>
    </row>
    <row r="1120" hidden="1">
      <c r="A1120" s="152">
        <v>43505.0</v>
      </c>
      <c r="B1120" s="22"/>
      <c r="C1120" s="22" t="s">
        <v>2616</v>
      </c>
      <c r="D1120" s="180" t="s">
        <v>2617</v>
      </c>
      <c r="E1120" s="22">
        <f>+971558853242</f>
        <v>971558853242</v>
      </c>
      <c r="F1120" s="168" t="s">
        <v>2487</v>
      </c>
      <c r="G1120" s="169"/>
    </row>
    <row r="1121" hidden="1">
      <c r="A1121" s="152">
        <v>43505.0</v>
      </c>
      <c r="B1121" s="22"/>
      <c r="C1121" s="22" t="s">
        <v>2618</v>
      </c>
      <c r="D1121" s="180" t="s">
        <v>2619</v>
      </c>
      <c r="E1121" s="22">
        <f>+971505578456</f>
        <v>971505578456</v>
      </c>
      <c r="F1121" s="168" t="s">
        <v>2487</v>
      </c>
      <c r="G1121" s="169"/>
    </row>
    <row r="1122" hidden="1">
      <c r="A1122" s="152">
        <v>43505.0</v>
      </c>
      <c r="B1122" s="22"/>
      <c r="C1122" s="22" t="s">
        <v>2620</v>
      </c>
      <c r="D1122" s="180" t="s">
        <v>2621</v>
      </c>
      <c r="E1122" s="22">
        <f>+966561852847</f>
        <v>966561852847</v>
      </c>
      <c r="F1122" s="168" t="s">
        <v>2487</v>
      </c>
      <c r="G1122" s="169"/>
    </row>
    <row r="1123" hidden="1">
      <c r="A1123" s="152">
        <v>43505.0</v>
      </c>
      <c r="B1123" s="22"/>
      <c r="C1123" s="22" t="s">
        <v>2622</v>
      </c>
      <c r="D1123" s="180" t="s">
        <v>2623</v>
      </c>
      <c r="E1123" s="22">
        <f>+966501555947</f>
        <v>966501555947</v>
      </c>
      <c r="F1123" s="168" t="s">
        <v>2487</v>
      </c>
      <c r="G1123" s="169"/>
    </row>
    <row r="1124" hidden="1">
      <c r="A1124" s="152">
        <v>43505.0</v>
      </c>
      <c r="B1124" s="180"/>
      <c r="C1124" s="180" t="s">
        <v>2624</v>
      </c>
      <c r="D1124" s="180" t="s">
        <v>2625</v>
      </c>
      <c r="E1124" s="22">
        <f>+9710564100034</f>
        <v>9710564100034</v>
      </c>
      <c r="F1124" s="168" t="s">
        <v>2487</v>
      </c>
      <c r="G1124" s="169"/>
    </row>
    <row r="1125" hidden="1">
      <c r="A1125" s="152">
        <v>43505.0</v>
      </c>
      <c r="B1125" s="180"/>
      <c r="C1125" s="180" t="s">
        <v>2626</v>
      </c>
      <c r="D1125" s="180" t="s">
        <v>2627</v>
      </c>
      <c r="E1125" s="22">
        <f>+9710526554382</f>
        <v>9710526554382</v>
      </c>
      <c r="F1125" s="168" t="s">
        <v>2487</v>
      </c>
      <c r="G1125" s="169"/>
    </row>
    <row r="1126" hidden="1">
      <c r="A1126" s="152">
        <v>43505.0</v>
      </c>
      <c r="B1126" s="22"/>
      <c r="C1126" s="22" t="s">
        <v>2628</v>
      </c>
      <c r="D1126" s="180" t="s">
        <v>2629</v>
      </c>
      <c r="E1126" s="22">
        <f>+6596696163</f>
        <v>6596696163</v>
      </c>
      <c r="F1126" s="168" t="s">
        <v>2487</v>
      </c>
      <c r="G1126" s="169"/>
    </row>
    <row r="1127" hidden="1">
      <c r="A1127" s="152">
        <v>43505.0</v>
      </c>
      <c r="B1127" s="22"/>
      <c r="C1127" s="22" t="s">
        <v>2630</v>
      </c>
      <c r="D1127" s="180" t="s">
        <v>2631</v>
      </c>
      <c r="E1127" s="22">
        <f>+16479321086</f>
        <v>16479321086</v>
      </c>
      <c r="F1127" s="168" t="s">
        <v>2487</v>
      </c>
      <c r="G1127" s="169"/>
    </row>
    <row r="1128" hidden="1">
      <c r="A1128" s="152">
        <v>43505.0</v>
      </c>
      <c r="B1128" s="22"/>
      <c r="C1128" s="22" t="s">
        <v>2632</v>
      </c>
      <c r="D1128" s="22" t="s">
        <v>2633</v>
      </c>
      <c r="E1128" s="22">
        <f>+966562234449</f>
        <v>966562234449</v>
      </c>
      <c r="F1128" s="168" t="s">
        <v>2487</v>
      </c>
      <c r="G1128" s="169"/>
    </row>
    <row r="1129" hidden="1">
      <c r="A1129" s="152">
        <v>43505.0</v>
      </c>
      <c r="B1129" s="180"/>
      <c r="C1129" s="180" t="s">
        <v>2634</v>
      </c>
      <c r="D1129" s="180" t="s">
        <v>2635</v>
      </c>
      <c r="E1129" s="22">
        <f>+971551352251</f>
        <v>971551352251</v>
      </c>
      <c r="F1129" s="168" t="s">
        <v>2487</v>
      </c>
      <c r="G1129" s="169"/>
    </row>
    <row r="1130" hidden="1">
      <c r="A1130" s="152">
        <v>43506.0</v>
      </c>
      <c r="B1130" s="22"/>
      <c r="C1130" s="22" t="s">
        <v>2636</v>
      </c>
      <c r="D1130" s="180" t="s">
        <v>2637</v>
      </c>
      <c r="E1130" s="25" t="s">
        <v>2638</v>
      </c>
      <c r="F1130" s="168" t="s">
        <v>2487</v>
      </c>
      <c r="G1130" s="169"/>
    </row>
    <row r="1131" hidden="1">
      <c r="A1131" s="152">
        <v>43507.0</v>
      </c>
      <c r="B1131" s="180"/>
      <c r="C1131" s="180" t="s">
        <v>2639</v>
      </c>
      <c r="D1131" s="180" t="s">
        <v>2640</v>
      </c>
      <c r="E1131" s="22">
        <f>+923005009384</f>
        <v>923005009384</v>
      </c>
      <c r="F1131" s="168" t="s">
        <v>2487</v>
      </c>
      <c r="G1131" s="169"/>
    </row>
    <row r="1132" hidden="1">
      <c r="A1132" s="152">
        <v>43507.0</v>
      </c>
      <c r="B1132" s="22"/>
      <c r="C1132" s="22" t="s">
        <v>2641</v>
      </c>
      <c r="D1132" s="180" t="s">
        <v>2642</v>
      </c>
      <c r="E1132" s="22">
        <f>+966556117974</f>
        <v>966556117974</v>
      </c>
      <c r="F1132" s="168" t="s">
        <v>2487</v>
      </c>
      <c r="G1132" s="169"/>
    </row>
    <row r="1133" hidden="1">
      <c r="A1133" s="152">
        <v>43507.0</v>
      </c>
      <c r="B1133" s="22"/>
      <c r="C1133" s="22" t="s">
        <v>2643</v>
      </c>
      <c r="D1133" s="180" t="s">
        <v>2644</v>
      </c>
      <c r="E1133" s="22">
        <f>+971505075227</f>
        <v>971505075227</v>
      </c>
      <c r="F1133" s="168" t="s">
        <v>2487</v>
      </c>
      <c r="G1133" s="169"/>
    </row>
    <row r="1134" hidden="1">
      <c r="A1134" s="152">
        <v>43508.0</v>
      </c>
      <c r="B1134" s="19"/>
      <c r="C1134" s="19" t="s">
        <v>2645</v>
      </c>
      <c r="D1134" s="19"/>
      <c r="E1134" s="20" t="s">
        <v>2646</v>
      </c>
      <c r="F1134" s="168" t="s">
        <v>2487</v>
      </c>
      <c r="G1134" s="181"/>
    </row>
    <row r="1135" hidden="1">
      <c r="A1135" s="152">
        <v>43522.0</v>
      </c>
      <c r="B1135" s="22"/>
      <c r="C1135" s="22" t="s">
        <v>2647</v>
      </c>
      <c r="D1135" s="180" t="s">
        <v>2648</v>
      </c>
      <c r="E1135" s="22">
        <f>+971506811870</f>
        <v>971506811870</v>
      </c>
      <c r="F1135" s="168" t="s">
        <v>2487</v>
      </c>
      <c r="G1135" s="169"/>
    </row>
    <row r="1136" hidden="1">
      <c r="A1136" s="152">
        <v>43522.0</v>
      </c>
      <c r="B1136" s="22"/>
      <c r="C1136" s="22" t="s">
        <v>2649</v>
      </c>
      <c r="D1136" s="180" t="s">
        <v>2650</v>
      </c>
      <c r="E1136" s="22">
        <f>+989199567631</f>
        <v>989199567631</v>
      </c>
      <c r="F1136" s="168" t="s">
        <v>2487</v>
      </c>
      <c r="G1136" s="169"/>
    </row>
    <row r="1137" hidden="1">
      <c r="A1137" s="152">
        <v>43522.0</v>
      </c>
      <c r="B1137" s="22"/>
      <c r="C1137" s="22" t="s">
        <v>2651</v>
      </c>
      <c r="D1137" s="180" t="s">
        <v>2652</v>
      </c>
      <c r="E1137" s="22">
        <f>+918007731942</f>
        <v>918007731942</v>
      </c>
      <c r="F1137" s="168" t="s">
        <v>2487</v>
      </c>
      <c r="G1137" s="169"/>
    </row>
    <row r="1138" hidden="1">
      <c r="A1138" s="152">
        <v>43522.0</v>
      </c>
      <c r="B1138" s="180"/>
      <c r="C1138" s="180" t="s">
        <v>2653</v>
      </c>
      <c r="D1138" s="180" t="s">
        <v>2654</v>
      </c>
      <c r="E1138" s="22">
        <f>+8618842606397</f>
        <v>8618842606397</v>
      </c>
      <c r="F1138" s="168" t="s">
        <v>2487</v>
      </c>
      <c r="G1138" s="169"/>
    </row>
    <row r="1139" hidden="1">
      <c r="A1139" s="152">
        <v>43522.0</v>
      </c>
      <c r="B1139" s="22"/>
      <c r="C1139" s="22" t="s">
        <v>2655</v>
      </c>
      <c r="D1139" s="180" t="s">
        <v>2656</v>
      </c>
      <c r="E1139" s="22">
        <v>9.6599000599E10</v>
      </c>
      <c r="F1139" s="168" t="s">
        <v>2487</v>
      </c>
      <c r="G1139" s="169"/>
    </row>
    <row r="1140" hidden="1">
      <c r="A1140" s="152">
        <v>43522.0</v>
      </c>
      <c r="B1140" s="22"/>
      <c r="C1140" s="22" t="s">
        <v>2657</v>
      </c>
      <c r="D1140" s="180" t="s">
        <v>2658</v>
      </c>
      <c r="E1140" s="22">
        <f>+966552707956</f>
        <v>966552707956</v>
      </c>
      <c r="F1140" s="168" t="s">
        <v>2487</v>
      </c>
      <c r="G1140" s="169"/>
    </row>
    <row r="1141" hidden="1">
      <c r="A1141" s="152">
        <v>43522.0</v>
      </c>
      <c r="B1141" s="22"/>
      <c r="C1141" s="22" t="s">
        <v>2659</v>
      </c>
      <c r="D1141" s="180" t="s">
        <v>2660</v>
      </c>
      <c r="E1141" s="22">
        <f>+966563602118</f>
        <v>966563602118</v>
      </c>
      <c r="F1141" s="168" t="s">
        <v>2487</v>
      </c>
      <c r="G1141" s="169"/>
    </row>
    <row r="1142" hidden="1">
      <c r="A1142" s="152">
        <v>43522.0</v>
      </c>
      <c r="B1142" s="22"/>
      <c r="C1142" s="22" t="s">
        <v>2661</v>
      </c>
      <c r="D1142" s="180" t="s">
        <v>2662</v>
      </c>
      <c r="E1142" s="22">
        <f>+966503953758</f>
        <v>966503953758</v>
      </c>
      <c r="F1142" s="168" t="s">
        <v>2487</v>
      </c>
      <c r="G1142" s="169"/>
    </row>
    <row r="1143" hidden="1">
      <c r="A1143" s="152">
        <v>43523.0</v>
      </c>
      <c r="B1143" s="22"/>
      <c r="C1143" s="22" t="s">
        <v>2663</v>
      </c>
      <c r="D1143" s="180" t="s">
        <v>2664</v>
      </c>
      <c r="E1143" s="22">
        <f>+971551013480</f>
        <v>971551013480</v>
      </c>
      <c r="F1143" s="168" t="s">
        <v>2487</v>
      </c>
      <c r="G1143" s="169"/>
    </row>
    <row r="1144" hidden="1">
      <c r="A1144" s="152">
        <v>43523.0</v>
      </c>
      <c r="B1144" s="22"/>
      <c r="C1144" s="22" t="s">
        <v>2665</v>
      </c>
      <c r="D1144" s="180" t="s">
        <v>2666</v>
      </c>
      <c r="E1144" s="22">
        <f>+966506705933</f>
        <v>966506705933</v>
      </c>
      <c r="F1144" s="168" t="s">
        <v>2487</v>
      </c>
      <c r="G1144" s="169"/>
    </row>
    <row r="1145" hidden="1">
      <c r="A1145" s="152">
        <v>43523.0</v>
      </c>
      <c r="B1145" s="22"/>
      <c r="C1145" s="22" t="s">
        <v>2655</v>
      </c>
      <c r="D1145" s="180" t="s">
        <v>2656</v>
      </c>
      <c r="E1145" s="22">
        <v>9.6599000599E10</v>
      </c>
      <c r="F1145" s="168" t="s">
        <v>2487</v>
      </c>
      <c r="G1145" s="169"/>
    </row>
    <row r="1146" hidden="1">
      <c r="A1146" s="152">
        <v>43523.0</v>
      </c>
      <c r="B1146" s="22"/>
      <c r="C1146" s="22" t="s">
        <v>2657</v>
      </c>
      <c r="D1146" s="180" t="s">
        <v>2658</v>
      </c>
      <c r="E1146" s="22">
        <f>+966552707956</f>
        <v>966552707956</v>
      </c>
      <c r="F1146" s="168" t="s">
        <v>2487</v>
      </c>
      <c r="G1146" s="169"/>
    </row>
    <row r="1147" hidden="1">
      <c r="A1147" s="152">
        <v>43523.0</v>
      </c>
      <c r="B1147" s="22"/>
      <c r="C1147" s="22" t="s">
        <v>2659</v>
      </c>
      <c r="D1147" s="22" t="s">
        <v>2660</v>
      </c>
      <c r="E1147" s="22">
        <f>+966563602118</f>
        <v>966563602118</v>
      </c>
      <c r="F1147" s="168" t="s">
        <v>2487</v>
      </c>
      <c r="G1147" s="169"/>
    </row>
    <row r="1148" hidden="1">
      <c r="A1148" s="152">
        <v>43523.0</v>
      </c>
      <c r="B1148" s="22"/>
      <c r="C1148" s="22" t="s">
        <v>2661</v>
      </c>
      <c r="D1148" s="180" t="s">
        <v>2662</v>
      </c>
      <c r="E1148" s="22">
        <f>+966503953758</f>
        <v>966503953758</v>
      </c>
      <c r="F1148" s="168" t="s">
        <v>2487</v>
      </c>
      <c r="G1148" s="169"/>
    </row>
    <row r="1149" hidden="1">
      <c r="A1149" s="152">
        <v>43523.0</v>
      </c>
      <c r="B1149" s="22"/>
      <c r="C1149" s="22" t="s">
        <v>2653</v>
      </c>
      <c r="D1149" s="180" t="s">
        <v>2654</v>
      </c>
      <c r="E1149" s="22">
        <f>+8618842606397</f>
        <v>8618842606397</v>
      </c>
      <c r="F1149" s="168" t="s">
        <v>2487</v>
      </c>
      <c r="G1149" s="169"/>
    </row>
    <row r="1150" hidden="1">
      <c r="A1150" s="152">
        <v>43523.0</v>
      </c>
      <c r="B1150" s="22"/>
      <c r="C1150" s="22" t="s">
        <v>1453</v>
      </c>
      <c r="D1150" s="180" t="s">
        <v>1454</v>
      </c>
      <c r="E1150" s="20" t="s">
        <v>2667</v>
      </c>
      <c r="F1150" s="168" t="s">
        <v>2487</v>
      </c>
      <c r="G1150" s="169"/>
    </row>
    <row r="1151" hidden="1">
      <c r="A1151" s="152">
        <v>43526.0</v>
      </c>
      <c r="B1151" s="22"/>
      <c r="C1151" s="22" t="s">
        <v>2668</v>
      </c>
      <c r="D1151" s="180" t="s">
        <v>2669</v>
      </c>
      <c r="E1151" s="22">
        <f>+9710509405342</f>
        <v>9710509405342</v>
      </c>
      <c r="F1151" s="168" t="s">
        <v>2487</v>
      </c>
      <c r="G1151" s="169"/>
    </row>
    <row r="1152" hidden="1">
      <c r="A1152" s="152">
        <v>43526.0</v>
      </c>
      <c r="B1152" s="22"/>
      <c r="C1152" s="22" t="s">
        <v>2670</v>
      </c>
      <c r="D1152" s="180" t="s">
        <v>2671</v>
      </c>
      <c r="E1152" s="22">
        <f>+9203444549399</f>
        <v>9203444549399</v>
      </c>
      <c r="F1152" s="168" t="s">
        <v>2487</v>
      </c>
      <c r="G1152" s="169"/>
    </row>
    <row r="1153" hidden="1">
      <c r="A1153" s="152">
        <v>43526.0</v>
      </c>
      <c r="B1153" s="22"/>
      <c r="C1153" s="22" t="s">
        <v>2672</v>
      </c>
      <c r="D1153" s="180" t="s">
        <v>2673</v>
      </c>
      <c r="E1153" s="22">
        <f>+9710566772856</f>
        <v>9710566772856</v>
      </c>
      <c r="F1153" s="168" t="s">
        <v>2487</v>
      </c>
      <c r="G1153" s="169"/>
    </row>
    <row r="1154" hidden="1">
      <c r="A1154" s="152">
        <v>43526.0</v>
      </c>
      <c r="B1154" s="180"/>
      <c r="C1154" s="180" t="s">
        <v>2668</v>
      </c>
      <c r="D1154" s="180" t="s">
        <v>2669</v>
      </c>
      <c r="E1154" s="22">
        <f>+9710509405342</f>
        <v>9710509405342</v>
      </c>
      <c r="F1154" s="168" t="s">
        <v>2487</v>
      </c>
      <c r="G1154" s="169"/>
    </row>
    <row r="1155" hidden="1">
      <c r="A1155" s="152">
        <v>43526.0</v>
      </c>
      <c r="B1155" s="22"/>
      <c r="C1155" s="22" t="s">
        <v>2670</v>
      </c>
      <c r="D1155" s="22" t="s">
        <v>2671</v>
      </c>
      <c r="E1155" s="22">
        <f>+9203444549399</f>
        <v>9203444549399</v>
      </c>
      <c r="F1155" s="168" t="s">
        <v>2487</v>
      </c>
      <c r="G1155" s="169"/>
    </row>
    <row r="1156" hidden="1">
      <c r="A1156" s="152">
        <v>43526.0</v>
      </c>
      <c r="B1156" s="22"/>
      <c r="C1156" s="22" t="s">
        <v>2672</v>
      </c>
      <c r="D1156" s="22" t="s">
        <v>2673</v>
      </c>
      <c r="E1156" s="22">
        <f>+9710566772856</f>
        <v>9710566772856</v>
      </c>
      <c r="F1156" s="168" t="s">
        <v>2487</v>
      </c>
      <c r="G1156" s="169"/>
    </row>
    <row r="1157" hidden="1">
      <c r="A1157" s="152">
        <v>43526.0</v>
      </c>
      <c r="B1157" s="22"/>
      <c r="C1157" s="22" t="s">
        <v>1453</v>
      </c>
      <c r="D1157" s="22" t="s">
        <v>1454</v>
      </c>
      <c r="E1157" s="22">
        <f>+971504429050</f>
        <v>971504429050</v>
      </c>
      <c r="F1157" s="168" t="s">
        <v>2487</v>
      </c>
      <c r="G1157" s="169"/>
    </row>
    <row r="1158" hidden="1">
      <c r="A1158" s="152">
        <v>43526.0</v>
      </c>
      <c r="B1158" s="22"/>
      <c r="C1158" s="22" t="s">
        <v>2663</v>
      </c>
      <c r="D1158" s="22" t="s">
        <v>2664</v>
      </c>
      <c r="E1158" s="22">
        <f>+971551013480</f>
        <v>971551013480</v>
      </c>
      <c r="F1158" s="168" t="s">
        <v>2487</v>
      </c>
      <c r="G1158" s="169"/>
    </row>
    <row r="1159" hidden="1">
      <c r="A1159" s="152">
        <v>43526.0</v>
      </c>
      <c r="B1159" s="22"/>
      <c r="C1159" s="22" t="s">
        <v>2665</v>
      </c>
      <c r="D1159" s="22" t="s">
        <v>2666</v>
      </c>
      <c r="E1159" s="22">
        <f>+966506705933</f>
        <v>966506705933</v>
      </c>
      <c r="F1159" s="168" t="s">
        <v>2487</v>
      </c>
      <c r="G1159" s="169"/>
    </row>
    <row r="1160" hidden="1">
      <c r="A1160" s="152">
        <v>43528.0</v>
      </c>
      <c r="B1160" s="22"/>
      <c r="C1160" s="22" t="s">
        <v>2674</v>
      </c>
      <c r="D1160" s="180" t="s">
        <v>2675</v>
      </c>
      <c r="E1160" s="20" t="s">
        <v>2676</v>
      </c>
      <c r="F1160" s="168" t="s">
        <v>2487</v>
      </c>
      <c r="G1160" s="182"/>
    </row>
    <row r="1161" hidden="1">
      <c r="A1161" s="152"/>
      <c r="B1161" s="19"/>
      <c r="C1161" s="19"/>
      <c r="D1161" s="19"/>
      <c r="E1161" s="19"/>
      <c r="F1161" s="168" t="s">
        <v>2487</v>
      </c>
      <c r="G1161" s="178"/>
    </row>
    <row r="1162" hidden="1">
      <c r="A1162" s="152">
        <v>43557.0</v>
      </c>
      <c r="B1162" s="19"/>
      <c r="C1162" s="19" t="s">
        <v>2677</v>
      </c>
      <c r="D1162" s="19" t="s">
        <v>2678</v>
      </c>
      <c r="E1162" s="19">
        <f>+971567971909</f>
        <v>971567971909</v>
      </c>
      <c r="F1162" s="168" t="s">
        <v>2487</v>
      </c>
      <c r="G1162" s="178"/>
    </row>
    <row r="1163" hidden="1">
      <c r="A1163" s="152">
        <v>43557.0</v>
      </c>
      <c r="B1163" s="19"/>
      <c r="C1163" s="19" t="s">
        <v>2679</v>
      </c>
      <c r="D1163" s="19" t="s">
        <v>2680</v>
      </c>
      <c r="E1163" s="19">
        <f>+966559708339</f>
        <v>966559708339</v>
      </c>
      <c r="F1163" s="168" t="s">
        <v>2487</v>
      </c>
      <c r="G1163" s="178"/>
    </row>
    <row r="1164" hidden="1">
      <c r="A1164" s="152">
        <v>43557.0</v>
      </c>
      <c r="B1164" s="19"/>
      <c r="C1164" s="19" t="s">
        <v>2681</v>
      </c>
      <c r="D1164" s="19" t="s">
        <v>2682</v>
      </c>
      <c r="E1164" s="19">
        <f>+966592730537</f>
        <v>966592730537</v>
      </c>
      <c r="F1164" s="168" t="s">
        <v>2487</v>
      </c>
      <c r="G1164" s="178"/>
    </row>
    <row r="1165" hidden="1">
      <c r="A1165" s="152">
        <v>43557.0</v>
      </c>
      <c r="B1165" s="19"/>
      <c r="C1165" s="19" t="s">
        <v>2683</v>
      </c>
      <c r="D1165" s="19" t="s">
        <v>2684</v>
      </c>
      <c r="E1165" s="19">
        <f>+971555567341</f>
        <v>971555567341</v>
      </c>
      <c r="F1165" s="168" t="s">
        <v>2487</v>
      </c>
      <c r="G1165" s="178"/>
    </row>
    <row r="1166" hidden="1">
      <c r="A1166" s="152">
        <v>43557.0</v>
      </c>
      <c r="B1166" s="19"/>
      <c r="C1166" s="19" t="s">
        <v>2685</v>
      </c>
      <c r="D1166" s="19" t="s">
        <v>2686</v>
      </c>
      <c r="E1166" s="19">
        <f>+971504550753</f>
        <v>971504550753</v>
      </c>
      <c r="F1166" s="168" t="s">
        <v>2487</v>
      </c>
      <c r="G1166" s="178"/>
    </row>
    <row r="1167" hidden="1">
      <c r="A1167" s="152">
        <v>43557.0</v>
      </c>
      <c r="B1167" s="19"/>
      <c r="C1167" s="19" t="s">
        <v>2687</v>
      </c>
      <c r="D1167" s="19" t="s">
        <v>2688</v>
      </c>
      <c r="E1167" s="19">
        <v>9.71508368045E11</v>
      </c>
      <c r="F1167" s="168" t="s">
        <v>2487</v>
      </c>
      <c r="G1167" s="178"/>
    </row>
    <row r="1168" hidden="1">
      <c r="A1168" s="152">
        <v>43557.0</v>
      </c>
      <c r="B1168" s="19"/>
      <c r="C1168" s="19" t="s">
        <v>2689</v>
      </c>
      <c r="D1168" s="19" t="s">
        <v>2690</v>
      </c>
      <c r="E1168" s="19">
        <v>9.71506549926E11</v>
      </c>
      <c r="F1168" s="168" t="s">
        <v>2487</v>
      </c>
      <c r="G1168" s="178"/>
    </row>
    <row r="1169" hidden="1">
      <c r="A1169" s="152">
        <v>43557.0</v>
      </c>
      <c r="B1169" s="19"/>
      <c r="C1169" s="19" t="s">
        <v>2691</v>
      </c>
      <c r="D1169" s="19" t="s">
        <v>2692</v>
      </c>
      <c r="E1169" s="19">
        <v>9.71566744513E11</v>
      </c>
      <c r="F1169" s="168" t="s">
        <v>2487</v>
      </c>
      <c r="G1169" s="178"/>
    </row>
    <row r="1170" hidden="1">
      <c r="A1170" s="152">
        <v>43557.0</v>
      </c>
      <c r="B1170" s="19"/>
      <c r="C1170" s="19" t="s">
        <v>2693</v>
      </c>
      <c r="D1170" s="19" t="s">
        <v>2694</v>
      </c>
      <c r="E1170" s="19">
        <v>9.71553934318E11</v>
      </c>
      <c r="F1170" s="168" t="s">
        <v>2487</v>
      </c>
      <c r="G1170" s="178"/>
    </row>
    <row r="1171" hidden="1">
      <c r="A1171" s="183">
        <v>43558.0</v>
      </c>
      <c r="B1171" s="24"/>
      <c r="C1171" s="24" t="s">
        <v>2695</v>
      </c>
      <c r="D1171" s="24" t="s">
        <v>2696</v>
      </c>
      <c r="E1171" s="24">
        <v>9.71509142777E11</v>
      </c>
      <c r="F1171" s="168" t="s">
        <v>2487</v>
      </c>
      <c r="G1171" s="178"/>
    </row>
    <row r="1172" hidden="1">
      <c r="A1172" s="183">
        <v>43559.0</v>
      </c>
      <c r="B1172" s="24"/>
      <c r="C1172" s="24" t="s">
        <v>2697</v>
      </c>
      <c r="D1172" s="24" t="s">
        <v>2698</v>
      </c>
      <c r="E1172" s="26" t="s">
        <v>2699</v>
      </c>
      <c r="F1172" s="168" t="s">
        <v>2487</v>
      </c>
      <c r="G1172" s="178"/>
    </row>
    <row r="1173" hidden="1">
      <c r="A1173" s="183">
        <v>43559.0</v>
      </c>
      <c r="B1173" s="24"/>
      <c r="C1173" s="24" t="s">
        <v>2700</v>
      </c>
      <c r="D1173" s="24" t="s">
        <v>2701</v>
      </c>
      <c r="E1173" s="24">
        <v>9.71562573067E11</v>
      </c>
      <c r="F1173" s="168" t="s">
        <v>2487</v>
      </c>
      <c r="G1173" s="178"/>
    </row>
    <row r="1174" hidden="1">
      <c r="A1174" s="183">
        <v>43561.0</v>
      </c>
      <c r="B1174" s="24"/>
      <c r="C1174" s="24" t="s">
        <v>2702</v>
      </c>
      <c r="D1174" s="24" t="s">
        <v>2703</v>
      </c>
      <c r="E1174" s="24">
        <v>9.66563699436E11</v>
      </c>
      <c r="F1174" s="168" t="s">
        <v>2487</v>
      </c>
      <c r="G1174" s="178"/>
    </row>
    <row r="1175" hidden="1">
      <c r="A1175" s="183">
        <v>43561.0</v>
      </c>
      <c r="B1175" s="24"/>
      <c r="C1175" s="24" t="s">
        <v>2704</v>
      </c>
      <c r="D1175" s="24" t="s">
        <v>2705</v>
      </c>
      <c r="E1175" s="24">
        <v>4.379893519E9</v>
      </c>
      <c r="F1175" s="168" t="s">
        <v>2487</v>
      </c>
      <c r="G1175" s="178"/>
    </row>
    <row r="1176" hidden="1">
      <c r="A1176" s="183">
        <v>43561.0</v>
      </c>
      <c r="B1176" s="24"/>
      <c r="C1176" s="24" t="s">
        <v>2706</v>
      </c>
      <c r="D1176" s="24" t="s">
        <v>2707</v>
      </c>
      <c r="E1176" s="24" t="s">
        <v>2708</v>
      </c>
      <c r="F1176" s="168" t="s">
        <v>2487</v>
      </c>
      <c r="G1176" s="178"/>
    </row>
    <row r="1177" hidden="1">
      <c r="A1177" s="183">
        <v>43564.0</v>
      </c>
      <c r="B1177" s="24"/>
      <c r="C1177" s="24" t="s">
        <v>2709</v>
      </c>
      <c r="D1177" s="24" t="s">
        <v>2710</v>
      </c>
      <c r="E1177" s="24">
        <v>9.66504630279E11</v>
      </c>
      <c r="F1177" s="168" t="s">
        <v>2487</v>
      </c>
      <c r="G1177" s="178"/>
    </row>
    <row r="1178" hidden="1">
      <c r="A1178" s="183">
        <v>43564.0</v>
      </c>
      <c r="B1178" s="24"/>
      <c r="C1178" s="24" t="s">
        <v>2711</v>
      </c>
      <c r="D1178" s="24" t="s">
        <v>2712</v>
      </c>
      <c r="E1178" s="24">
        <v>9.6657079221E11</v>
      </c>
      <c r="F1178" s="168" t="s">
        <v>2487</v>
      </c>
      <c r="G1178" s="178"/>
    </row>
    <row r="1179" hidden="1">
      <c r="A1179" s="183">
        <v>43564.0</v>
      </c>
      <c r="B1179" s="19"/>
      <c r="C1179" s="19" t="s">
        <v>2713</v>
      </c>
      <c r="D1179" s="19" t="s">
        <v>2714</v>
      </c>
      <c r="E1179" s="19">
        <v>9.66569915571E11</v>
      </c>
      <c r="F1179" s="168" t="s">
        <v>2487</v>
      </c>
      <c r="G1179" s="178"/>
    </row>
    <row r="1180" hidden="1">
      <c r="A1180" s="183">
        <v>43564.0</v>
      </c>
      <c r="B1180" s="19"/>
      <c r="C1180" s="19" t="s">
        <v>2715</v>
      </c>
      <c r="D1180" s="19" t="s">
        <v>2716</v>
      </c>
      <c r="E1180" s="19">
        <v>4.321212356E9</v>
      </c>
      <c r="F1180" s="168" t="s">
        <v>2487</v>
      </c>
      <c r="G1180" s="178"/>
    </row>
    <row r="1181" hidden="1">
      <c r="A1181" s="183">
        <v>43564.0</v>
      </c>
      <c r="B1181" s="19"/>
      <c r="C1181" s="19" t="s">
        <v>2717</v>
      </c>
      <c r="D1181" s="19" t="s">
        <v>2718</v>
      </c>
      <c r="E1181" s="19">
        <v>5.06441351E8</v>
      </c>
      <c r="F1181" s="168" t="s">
        <v>2487</v>
      </c>
      <c r="G1181" s="178"/>
    </row>
    <row r="1182" hidden="1">
      <c r="A1182" s="183">
        <v>43565.0</v>
      </c>
      <c r="B1182" s="19"/>
      <c r="C1182" s="19" t="s">
        <v>2719</v>
      </c>
      <c r="D1182" s="19" t="s">
        <v>2720</v>
      </c>
      <c r="E1182" s="19">
        <v>9.66530394502E11</v>
      </c>
      <c r="F1182" s="168" t="s">
        <v>2487</v>
      </c>
      <c r="G1182" s="178"/>
    </row>
    <row r="1183" hidden="1">
      <c r="A1183" s="183">
        <v>43565.0</v>
      </c>
      <c r="B1183" s="19"/>
      <c r="C1183" s="19" t="s">
        <v>2721</v>
      </c>
      <c r="D1183" s="19" t="s">
        <v>2722</v>
      </c>
      <c r="E1183" s="20" t="s">
        <v>2723</v>
      </c>
      <c r="F1183" s="168" t="s">
        <v>2487</v>
      </c>
      <c r="G1183" s="178"/>
    </row>
    <row r="1184" hidden="1">
      <c r="A1184" s="183">
        <v>43566.0</v>
      </c>
      <c r="B1184" s="19"/>
      <c r="C1184" s="19" t="s">
        <v>2724</v>
      </c>
      <c r="D1184" s="19" t="s">
        <v>2725</v>
      </c>
      <c r="E1184" s="19">
        <v>7.1504946968E10</v>
      </c>
      <c r="F1184" s="168" t="s">
        <v>2487</v>
      </c>
      <c r="G1184" s="178"/>
    </row>
    <row r="1185" hidden="1">
      <c r="A1185" s="183">
        <v>43566.0</v>
      </c>
      <c r="B1185" s="19"/>
      <c r="C1185" s="19" t="s">
        <v>2726</v>
      </c>
      <c r="D1185" s="19" t="s">
        <v>2727</v>
      </c>
      <c r="E1185" s="19">
        <v>4.4793992385E11</v>
      </c>
      <c r="F1185" s="168" t="s">
        <v>2487</v>
      </c>
      <c r="G1185" s="178"/>
    </row>
    <row r="1186" hidden="1">
      <c r="A1186" s="183">
        <v>43566.0</v>
      </c>
      <c r="B1186" s="19"/>
      <c r="C1186" s="19" t="s">
        <v>2728</v>
      </c>
      <c r="D1186" s="19" t="s">
        <v>2729</v>
      </c>
      <c r="E1186" s="19">
        <v>9.66504678269E11</v>
      </c>
      <c r="F1186" s="168" t="s">
        <v>2487</v>
      </c>
      <c r="G1186" s="178"/>
    </row>
    <row r="1187" hidden="1">
      <c r="A1187" s="183">
        <v>43566.0</v>
      </c>
      <c r="B1187" s="19"/>
      <c r="C1187" s="19" t="s">
        <v>2730</v>
      </c>
      <c r="D1187" s="19" t="s">
        <v>2731</v>
      </c>
      <c r="E1187" s="19">
        <v>9.66537154366E11</v>
      </c>
      <c r="F1187" s="168" t="s">
        <v>2487</v>
      </c>
      <c r="G1187" s="178"/>
    </row>
    <row r="1188" hidden="1">
      <c r="A1188" s="183">
        <v>43566.0</v>
      </c>
      <c r="B1188" s="19"/>
      <c r="C1188" s="19" t="s">
        <v>2732</v>
      </c>
      <c r="D1188" s="19" t="s">
        <v>2733</v>
      </c>
      <c r="E1188" s="19">
        <v>9.66597207221E11</v>
      </c>
      <c r="F1188" s="168" t="s">
        <v>2487</v>
      </c>
      <c r="G1188" s="178"/>
    </row>
    <row r="1189" hidden="1">
      <c r="A1189" s="183">
        <v>43566.0</v>
      </c>
      <c r="B1189" s="184"/>
      <c r="C1189" s="184" t="s">
        <v>2734</v>
      </c>
      <c r="D1189" s="184" t="s">
        <v>2735</v>
      </c>
      <c r="E1189" s="184">
        <v>9.71551083516E11</v>
      </c>
      <c r="F1189" s="168" t="s">
        <v>2487</v>
      </c>
      <c r="G1189" s="178"/>
    </row>
    <row r="1190" hidden="1">
      <c r="A1190" s="183">
        <v>43566.0</v>
      </c>
      <c r="B1190" s="184"/>
      <c r="C1190" s="184" t="s">
        <v>2736</v>
      </c>
      <c r="D1190" s="184" t="s">
        <v>2737</v>
      </c>
      <c r="E1190" s="184">
        <v>9.66509558836E11</v>
      </c>
      <c r="F1190" s="168" t="s">
        <v>2487</v>
      </c>
      <c r="G1190" s="178"/>
    </row>
    <row r="1191" hidden="1">
      <c r="A1191" s="183">
        <v>43566.0</v>
      </c>
      <c r="B1191" s="184"/>
      <c r="C1191" s="184" t="s">
        <v>2738</v>
      </c>
      <c r="D1191" s="184" t="s">
        <v>2739</v>
      </c>
      <c r="E1191" s="184">
        <v>9.71504247911E11</v>
      </c>
      <c r="F1191" s="168" t="s">
        <v>2487</v>
      </c>
      <c r="G1191" s="178"/>
    </row>
    <row r="1192" hidden="1">
      <c r="A1192" s="183">
        <v>43568.0</v>
      </c>
      <c r="B1192" s="24"/>
      <c r="C1192" s="24" t="s">
        <v>2740</v>
      </c>
      <c r="D1192" s="24" t="s">
        <v>2741</v>
      </c>
      <c r="E1192" s="26" t="s">
        <v>2742</v>
      </c>
      <c r="F1192" s="168" t="s">
        <v>2487</v>
      </c>
      <c r="G1192" s="178"/>
    </row>
    <row r="1193" hidden="1">
      <c r="A1193" s="183">
        <v>43568.0</v>
      </c>
      <c r="B1193" s="24"/>
      <c r="C1193" s="24" t="s">
        <v>2743</v>
      </c>
      <c r="D1193" s="24" t="s">
        <v>2744</v>
      </c>
      <c r="E1193" s="24">
        <v>9.6598594694E10</v>
      </c>
      <c r="F1193" s="168" t="s">
        <v>2487</v>
      </c>
      <c r="G1193" s="178"/>
    </row>
    <row r="1194" hidden="1">
      <c r="A1194" s="183">
        <v>43570.0</v>
      </c>
      <c r="B1194" s="24"/>
      <c r="C1194" s="24" t="s">
        <v>2745</v>
      </c>
      <c r="D1194" s="24" t="s">
        <v>2746</v>
      </c>
      <c r="E1194" s="24">
        <v>5.04541182E8</v>
      </c>
      <c r="F1194" s="168" t="s">
        <v>2487</v>
      </c>
      <c r="G1194" s="178"/>
    </row>
    <row r="1195" hidden="1">
      <c r="A1195" s="183">
        <v>43570.0</v>
      </c>
      <c r="B1195" s="24"/>
      <c r="C1195" s="24" t="s">
        <v>2747</v>
      </c>
      <c r="D1195" s="24" t="s">
        <v>2748</v>
      </c>
      <c r="E1195" s="24">
        <v>5.05664771E8</v>
      </c>
      <c r="F1195" s="168" t="s">
        <v>2487</v>
      </c>
      <c r="G1195" s="178"/>
    </row>
    <row r="1196" hidden="1">
      <c r="A1196" s="183">
        <v>43570.0</v>
      </c>
      <c r="B1196" s="24"/>
      <c r="C1196" s="24" t="s">
        <v>2749</v>
      </c>
      <c r="D1196" s="24" t="s">
        <v>2750</v>
      </c>
      <c r="E1196" s="24">
        <v>5.05426176E8</v>
      </c>
      <c r="F1196" s="168" t="s">
        <v>2487</v>
      </c>
      <c r="G1196" s="178"/>
    </row>
    <row r="1197" hidden="1">
      <c r="A1197" s="183">
        <v>43570.0</v>
      </c>
      <c r="B1197" s="24"/>
      <c r="C1197" s="24" t="s">
        <v>2751</v>
      </c>
      <c r="D1197" s="24" t="s">
        <v>2752</v>
      </c>
      <c r="E1197" s="24">
        <v>5.00267961E8</v>
      </c>
      <c r="F1197" s="168" t="s">
        <v>2487</v>
      </c>
      <c r="G1197" s="178"/>
    </row>
    <row r="1198" hidden="1">
      <c r="A1198" s="183">
        <v>43570.0</v>
      </c>
      <c r="B1198" s="24"/>
      <c r="C1198" s="24" t="s">
        <v>2753</v>
      </c>
      <c r="D1198" s="24" t="s">
        <v>2754</v>
      </c>
      <c r="E1198" s="24">
        <v>5.56913642E8</v>
      </c>
      <c r="F1198" s="168" t="s">
        <v>2487</v>
      </c>
      <c r="G1198" s="178"/>
    </row>
    <row r="1199" hidden="1">
      <c r="A1199" s="183">
        <v>43570.0</v>
      </c>
      <c r="B1199" s="24"/>
      <c r="C1199" s="24" t="s">
        <v>2755</v>
      </c>
      <c r="D1199" s="24" t="s">
        <v>2756</v>
      </c>
      <c r="E1199" s="24">
        <v>5.66668517E8</v>
      </c>
      <c r="F1199" s="168" t="s">
        <v>2487</v>
      </c>
      <c r="G1199" s="178"/>
    </row>
    <row r="1200" hidden="1">
      <c r="A1200" s="183">
        <v>43570.0</v>
      </c>
      <c r="B1200" s="24"/>
      <c r="C1200" s="24" t="s">
        <v>2757</v>
      </c>
      <c r="D1200" s="24" t="s">
        <v>2758</v>
      </c>
      <c r="E1200" s="24">
        <v>5.82244692E8</v>
      </c>
      <c r="F1200" s="168" t="s">
        <v>2487</v>
      </c>
      <c r="G1200" s="178"/>
    </row>
    <row r="1201" hidden="1">
      <c r="A1201" s="183">
        <v>43570.0</v>
      </c>
      <c r="B1201" s="24"/>
      <c r="C1201" s="24" t="s">
        <v>2759</v>
      </c>
      <c r="D1201" s="24" t="s">
        <v>2760</v>
      </c>
      <c r="E1201" s="24">
        <v>9.66508832391E11</v>
      </c>
      <c r="F1201" s="168" t="s">
        <v>2487</v>
      </c>
      <c r="G1201" s="178"/>
    </row>
    <row r="1202" hidden="1">
      <c r="A1202" s="183">
        <v>43570.0</v>
      </c>
      <c r="B1202" s="24"/>
      <c r="C1202" s="24" t="s">
        <v>2761</v>
      </c>
      <c r="D1202" s="24" t="s">
        <v>2762</v>
      </c>
      <c r="E1202" s="24">
        <v>5.97640036E8</v>
      </c>
      <c r="F1202" s="168" t="s">
        <v>2487</v>
      </c>
      <c r="G1202" s="178"/>
    </row>
    <row r="1203" hidden="1">
      <c r="A1203" s="183">
        <v>43570.0</v>
      </c>
      <c r="B1203" s="24"/>
      <c r="C1203" s="24" t="s">
        <v>2763</v>
      </c>
      <c r="D1203" s="24" t="s">
        <v>2764</v>
      </c>
      <c r="E1203" s="24">
        <v>9.353289263E9</v>
      </c>
      <c r="F1203" s="168" t="s">
        <v>2487</v>
      </c>
      <c r="G1203" s="178"/>
    </row>
    <row r="1204" hidden="1">
      <c r="A1204" s="183">
        <v>43570.0</v>
      </c>
      <c r="B1204" s="24"/>
      <c r="C1204" s="24" t="s">
        <v>2765</v>
      </c>
      <c r="D1204" s="24" t="s">
        <v>2766</v>
      </c>
      <c r="E1204" s="24">
        <v>5.2327521E8</v>
      </c>
      <c r="F1204" s="168" t="s">
        <v>2487</v>
      </c>
      <c r="G1204" s="178"/>
    </row>
    <row r="1205" hidden="1">
      <c r="A1205" s="183">
        <v>43570.0</v>
      </c>
      <c r="B1205" s="24"/>
      <c r="C1205" s="24" t="s">
        <v>2767</v>
      </c>
      <c r="D1205" s="24" t="s">
        <v>2768</v>
      </c>
      <c r="E1205" s="24">
        <v>9.66505342919E11</v>
      </c>
      <c r="F1205" s="168" t="s">
        <v>2487</v>
      </c>
      <c r="G1205" s="178"/>
    </row>
    <row r="1206" hidden="1">
      <c r="A1206" s="183">
        <v>43570.0</v>
      </c>
      <c r="B1206" s="24"/>
      <c r="C1206" s="24" t="s">
        <v>2769</v>
      </c>
      <c r="D1206" s="24" t="s">
        <v>2770</v>
      </c>
      <c r="E1206" s="24">
        <v>9.66558124699E11</v>
      </c>
      <c r="F1206" s="168" t="s">
        <v>2487</v>
      </c>
      <c r="G1206" s="178"/>
    </row>
    <row r="1207" hidden="1">
      <c r="A1207" s="183">
        <v>43570.0</v>
      </c>
      <c r="B1207" s="24"/>
      <c r="C1207" s="24" t="s">
        <v>2771</v>
      </c>
      <c r="D1207" s="24" t="s">
        <v>2772</v>
      </c>
      <c r="E1207" s="24">
        <v>6.583309465E9</v>
      </c>
      <c r="F1207" s="168" t="s">
        <v>2487</v>
      </c>
      <c r="G1207" s="178"/>
    </row>
    <row r="1208" hidden="1">
      <c r="A1208" s="183">
        <v>43570.0</v>
      </c>
      <c r="B1208" s="24"/>
      <c r="C1208" s="24" t="s">
        <v>2773</v>
      </c>
      <c r="D1208" s="24" t="s">
        <v>2774</v>
      </c>
      <c r="E1208" s="24">
        <v>9.66581314516E11</v>
      </c>
      <c r="F1208" s="168" t="s">
        <v>2487</v>
      </c>
      <c r="G1208" s="178"/>
    </row>
    <row r="1209" hidden="1">
      <c r="A1209" s="183">
        <v>43570.0</v>
      </c>
      <c r="B1209" s="24"/>
      <c r="C1209" s="24" t="s">
        <v>2775</v>
      </c>
      <c r="D1209" s="24" t="s">
        <v>2776</v>
      </c>
      <c r="E1209" s="24">
        <v>9.66576350154E11</v>
      </c>
      <c r="F1209" s="168" t="s">
        <v>2487</v>
      </c>
      <c r="G1209" s="178"/>
    </row>
    <row r="1210" hidden="1">
      <c r="A1210" s="183">
        <v>43571.0</v>
      </c>
      <c r="B1210" s="24"/>
      <c r="C1210" s="24" t="s">
        <v>2777</v>
      </c>
      <c r="D1210" s="24" t="s">
        <v>2778</v>
      </c>
      <c r="E1210" s="24">
        <v>8.080549886E9</v>
      </c>
      <c r="F1210" s="168" t="s">
        <v>2487</v>
      </c>
      <c r="G1210" s="178"/>
    </row>
    <row r="1211" hidden="1">
      <c r="A1211" s="183">
        <v>43571.0</v>
      </c>
      <c r="B1211" s="24"/>
      <c r="C1211" s="24" t="s">
        <v>2779</v>
      </c>
      <c r="D1211" s="24" t="s">
        <v>2780</v>
      </c>
      <c r="E1211" s="24">
        <v>9.66582375789E11</v>
      </c>
      <c r="F1211" s="168" t="s">
        <v>2487</v>
      </c>
      <c r="G1211" s="178"/>
    </row>
    <row r="1212" hidden="1">
      <c r="A1212" s="183">
        <v>43571.0</v>
      </c>
      <c r="B1212" s="24"/>
      <c r="C1212" s="24" t="s">
        <v>2781</v>
      </c>
      <c r="D1212" s="24" t="s">
        <v>2782</v>
      </c>
      <c r="E1212" s="24">
        <v>9.66576387625E11</v>
      </c>
      <c r="F1212" s="168" t="s">
        <v>2487</v>
      </c>
      <c r="G1212" s="178"/>
    </row>
    <row r="1213" hidden="1">
      <c r="A1213" s="183">
        <v>43571.0</v>
      </c>
      <c r="B1213" s="24"/>
      <c r="C1213" s="24" t="s">
        <v>2783</v>
      </c>
      <c r="D1213" s="24" t="s">
        <v>2784</v>
      </c>
      <c r="E1213" s="24">
        <v>9.66503551488E11</v>
      </c>
      <c r="F1213" s="168" t="s">
        <v>2487</v>
      </c>
      <c r="G1213" s="178"/>
    </row>
    <row r="1214" hidden="1">
      <c r="A1214" s="183">
        <v>43571.0</v>
      </c>
      <c r="B1214" s="24"/>
      <c r="C1214" s="24" t="s">
        <v>2785</v>
      </c>
      <c r="D1214" s="24" t="s">
        <v>2786</v>
      </c>
      <c r="E1214" s="24">
        <v>5.67840994E8</v>
      </c>
      <c r="F1214" s="168" t="s">
        <v>2487</v>
      </c>
      <c r="G1214" s="178"/>
    </row>
    <row r="1215" hidden="1">
      <c r="A1215" s="183">
        <v>43571.0</v>
      </c>
      <c r="B1215" s="24"/>
      <c r="C1215" s="24" t="s">
        <v>2787</v>
      </c>
      <c r="D1215" s="24" t="s">
        <v>2788</v>
      </c>
      <c r="E1215" s="24">
        <v>5.5817729E8</v>
      </c>
      <c r="F1215" s="168" t="s">
        <v>2487</v>
      </c>
      <c r="G1215" s="178"/>
    </row>
    <row r="1216" hidden="1">
      <c r="A1216" s="152">
        <v>43573.0</v>
      </c>
      <c r="B1216" s="24"/>
      <c r="C1216" s="24" t="s">
        <v>2789</v>
      </c>
      <c r="D1216" s="24" t="s">
        <v>2790</v>
      </c>
      <c r="E1216" s="24">
        <v>9.66561298334E11</v>
      </c>
      <c r="F1216" s="168" t="s">
        <v>2487</v>
      </c>
      <c r="G1216" s="178"/>
    </row>
    <row r="1217" hidden="1">
      <c r="A1217" s="152">
        <v>43573.0</v>
      </c>
      <c r="B1217" s="24"/>
      <c r="C1217" s="24" t="s">
        <v>2791</v>
      </c>
      <c r="D1217" s="24" t="s">
        <v>2792</v>
      </c>
      <c r="E1217" s="24">
        <v>9.66568584438E11</v>
      </c>
      <c r="F1217" s="168" t="s">
        <v>2487</v>
      </c>
      <c r="G1217" s="178"/>
    </row>
    <row r="1218" hidden="1">
      <c r="A1218" s="152">
        <v>43573.0</v>
      </c>
      <c r="B1218" s="24"/>
      <c r="C1218" s="24" t="s">
        <v>2793</v>
      </c>
      <c r="D1218" s="24" t="s">
        <v>2794</v>
      </c>
      <c r="E1218" s="24">
        <v>5.07282978E8</v>
      </c>
      <c r="F1218" s="168" t="s">
        <v>2487</v>
      </c>
      <c r="G1218" s="178"/>
    </row>
    <row r="1219" hidden="1">
      <c r="A1219" s="152">
        <v>43573.0</v>
      </c>
      <c r="B1219" s="24"/>
      <c r="C1219" s="24" t="s">
        <v>2795</v>
      </c>
      <c r="D1219" s="24" t="s">
        <v>2796</v>
      </c>
      <c r="E1219" s="24">
        <v>5.09864298E8</v>
      </c>
      <c r="F1219" s="168" t="s">
        <v>2487</v>
      </c>
      <c r="G1219" s="178"/>
    </row>
    <row r="1220" hidden="1">
      <c r="A1220" s="152">
        <v>43573.0</v>
      </c>
      <c r="B1220" s="24"/>
      <c r="C1220" s="24" t="s">
        <v>2797</v>
      </c>
      <c r="D1220" s="24" t="s">
        <v>2798</v>
      </c>
      <c r="E1220" s="24">
        <v>5.0617246E7</v>
      </c>
      <c r="F1220" s="168" t="s">
        <v>2487</v>
      </c>
      <c r="G1220" s="178"/>
    </row>
    <row r="1221" hidden="1">
      <c r="A1221" s="152">
        <v>43573.0</v>
      </c>
      <c r="B1221" s="24"/>
      <c r="C1221" s="24" t="s">
        <v>2799</v>
      </c>
      <c r="D1221" s="24" t="s">
        <v>2800</v>
      </c>
      <c r="E1221" s="24">
        <v>5.61329457E8</v>
      </c>
      <c r="F1221" s="168" t="s">
        <v>2487</v>
      </c>
      <c r="G1221" s="178"/>
    </row>
    <row r="1222" hidden="1">
      <c r="A1222" s="152">
        <v>43573.0</v>
      </c>
      <c r="B1222" s="24"/>
      <c r="C1222" s="24" t="s">
        <v>2801</v>
      </c>
      <c r="D1222" s="24" t="s">
        <v>2802</v>
      </c>
      <c r="E1222" s="24">
        <v>9.710502944577E12</v>
      </c>
      <c r="F1222" s="168" t="s">
        <v>2487</v>
      </c>
      <c r="G1222" s="178"/>
    </row>
    <row r="1223" hidden="1">
      <c r="A1223" s="152">
        <v>43573.0</v>
      </c>
      <c r="B1223" s="24"/>
      <c r="C1223" s="24" t="s">
        <v>2803</v>
      </c>
      <c r="D1223" s="24" t="s">
        <v>2804</v>
      </c>
      <c r="E1223" s="24">
        <v>9.71555792332E11</v>
      </c>
      <c r="F1223" s="168" t="s">
        <v>2487</v>
      </c>
      <c r="G1223" s="178"/>
    </row>
    <row r="1224" hidden="1">
      <c r="A1224" s="152">
        <v>43573.0</v>
      </c>
      <c r="B1224" s="24"/>
      <c r="C1224" s="24" t="s">
        <v>2805</v>
      </c>
      <c r="D1224" s="24" t="s">
        <v>2806</v>
      </c>
      <c r="E1224" s="24">
        <v>9.71508934976E11</v>
      </c>
      <c r="F1224" s="168" t="s">
        <v>2487</v>
      </c>
      <c r="G1224" s="178"/>
    </row>
    <row r="1225" hidden="1">
      <c r="A1225" s="152">
        <v>43573.0</v>
      </c>
      <c r="B1225" s="24"/>
      <c r="C1225" s="24" t="s">
        <v>2807</v>
      </c>
      <c r="D1225" s="24" t="s">
        <v>2808</v>
      </c>
      <c r="E1225" s="24">
        <v>7.045744756E9</v>
      </c>
      <c r="F1225" s="168" t="s">
        <v>2487</v>
      </c>
      <c r="G1225" s="178"/>
    </row>
    <row r="1226" hidden="1">
      <c r="A1226" s="152">
        <v>43573.0</v>
      </c>
      <c r="B1226" s="24"/>
      <c r="C1226" s="24" t="s">
        <v>985</v>
      </c>
      <c r="D1226" s="24" t="s">
        <v>2809</v>
      </c>
      <c r="E1226" s="24">
        <v>5.6210937E8</v>
      </c>
      <c r="F1226" s="168" t="s">
        <v>2487</v>
      </c>
      <c r="G1226" s="178"/>
    </row>
    <row r="1227" hidden="1">
      <c r="A1227" s="152">
        <v>43573.0</v>
      </c>
      <c r="B1227" s="24"/>
      <c r="C1227" s="24" t="s">
        <v>2810</v>
      </c>
      <c r="D1227" s="24" t="s">
        <v>2811</v>
      </c>
      <c r="E1227" s="24">
        <v>4.47974128409E11</v>
      </c>
      <c r="F1227" s="168" t="s">
        <v>2487</v>
      </c>
      <c r="G1227" s="178"/>
    </row>
    <row r="1228" hidden="1">
      <c r="A1228" s="152">
        <v>43573.0</v>
      </c>
      <c r="B1228" s="24"/>
      <c r="C1228" s="24" t="s">
        <v>2812</v>
      </c>
      <c r="D1228" s="24" t="s">
        <v>2813</v>
      </c>
      <c r="E1228" s="24">
        <v>9.71559578181E11</v>
      </c>
      <c r="F1228" s="168" t="s">
        <v>2487</v>
      </c>
      <c r="G1228" s="178"/>
    </row>
    <row r="1229" hidden="1">
      <c r="A1229" s="152">
        <v>43573.0</v>
      </c>
      <c r="B1229" s="24"/>
      <c r="C1229" s="24" t="s">
        <v>2814</v>
      </c>
      <c r="D1229" s="24" t="s">
        <v>2815</v>
      </c>
      <c r="E1229" s="24">
        <v>5.29026479E8</v>
      </c>
      <c r="F1229" s="168" t="s">
        <v>2487</v>
      </c>
      <c r="G1229" s="178"/>
    </row>
    <row r="1230" hidden="1">
      <c r="A1230" s="152">
        <v>43573.0</v>
      </c>
      <c r="B1230" s="24"/>
      <c r="C1230" s="24" t="s">
        <v>2816</v>
      </c>
      <c r="D1230" s="24" t="s">
        <v>2817</v>
      </c>
      <c r="E1230" s="24">
        <v>5.27178793E8</v>
      </c>
      <c r="F1230" s="168" t="s">
        <v>2487</v>
      </c>
      <c r="G1230" s="178"/>
    </row>
    <row r="1231" hidden="1">
      <c r="A1231" s="152">
        <v>43573.0</v>
      </c>
      <c r="B1231" s="24"/>
      <c r="C1231" s="24" t="s">
        <v>2818</v>
      </c>
      <c r="D1231" s="24" t="s">
        <v>2819</v>
      </c>
      <c r="E1231" s="24">
        <v>5.53949612E8</v>
      </c>
      <c r="F1231" s="168" t="s">
        <v>2487</v>
      </c>
      <c r="G1231" s="178"/>
    </row>
    <row r="1232" hidden="1">
      <c r="A1232" s="152">
        <v>43573.0</v>
      </c>
      <c r="B1232" s="24"/>
      <c r="C1232" s="24" t="s">
        <v>2820</v>
      </c>
      <c r="D1232" s="24" t="s">
        <v>2821</v>
      </c>
      <c r="E1232" s="24">
        <v>9.23455625922E11</v>
      </c>
      <c r="F1232" s="168" t="s">
        <v>2487</v>
      </c>
      <c r="G1232" s="178"/>
    </row>
    <row r="1233" hidden="1">
      <c r="A1233" s="152">
        <v>43573.0</v>
      </c>
      <c r="B1233" s="24"/>
      <c r="C1233" s="24" t="s">
        <v>2822</v>
      </c>
      <c r="D1233" s="24" t="s">
        <v>2823</v>
      </c>
      <c r="E1233" s="24">
        <v>9.71568620625E11</v>
      </c>
      <c r="F1233" s="168" t="s">
        <v>2487</v>
      </c>
      <c r="G1233" s="178"/>
    </row>
    <row r="1234" hidden="1">
      <c r="A1234" s="152">
        <v>43573.0</v>
      </c>
      <c r="B1234" s="24"/>
      <c r="C1234" s="24" t="s">
        <v>2824</v>
      </c>
      <c r="D1234" s="24" t="s">
        <v>2825</v>
      </c>
      <c r="E1234" s="24">
        <v>9.23234473629E11</v>
      </c>
      <c r="F1234" s="168" t="s">
        <v>2487</v>
      </c>
      <c r="G1234" s="178"/>
    </row>
    <row r="1235" hidden="1">
      <c r="A1235" s="152">
        <v>43575.0</v>
      </c>
      <c r="B1235" s="24"/>
      <c r="C1235" s="24" t="s">
        <v>2826</v>
      </c>
      <c r="D1235" s="24" t="s">
        <v>2827</v>
      </c>
      <c r="E1235" s="24">
        <v>5.0546316E8</v>
      </c>
      <c r="F1235" s="168" t="s">
        <v>2487</v>
      </c>
      <c r="G1235" s="178"/>
    </row>
    <row r="1236" hidden="1">
      <c r="A1236" s="152">
        <v>43575.0</v>
      </c>
      <c r="B1236" s="24"/>
      <c r="C1236" s="24" t="s">
        <v>2828</v>
      </c>
      <c r="D1236" s="24" t="s">
        <v>2829</v>
      </c>
      <c r="E1236" s="24">
        <v>9.66593110102E11</v>
      </c>
      <c r="F1236" s="168" t="s">
        <v>2487</v>
      </c>
      <c r="G1236" s="178"/>
    </row>
    <row r="1237" hidden="1">
      <c r="A1237" s="152">
        <v>43575.0</v>
      </c>
      <c r="B1237" s="24"/>
      <c r="C1237" s="24" t="s">
        <v>2830</v>
      </c>
      <c r="D1237" s="24" t="s">
        <v>2831</v>
      </c>
      <c r="E1237" s="24">
        <v>5.08738738E8</v>
      </c>
      <c r="F1237" s="168" t="s">
        <v>2487</v>
      </c>
      <c r="G1237" s="178"/>
    </row>
    <row r="1238" hidden="1">
      <c r="A1238" s="152">
        <v>43575.0</v>
      </c>
      <c r="B1238" s="24"/>
      <c r="C1238" s="24" t="s">
        <v>2832</v>
      </c>
      <c r="D1238" s="24" t="s">
        <v>2833</v>
      </c>
      <c r="E1238" s="24">
        <v>5.01854291E8</v>
      </c>
      <c r="F1238" s="168" t="s">
        <v>2487</v>
      </c>
      <c r="G1238" s="178"/>
    </row>
    <row r="1239" hidden="1">
      <c r="A1239" s="152">
        <v>43575.0</v>
      </c>
      <c r="B1239" s="24"/>
      <c r="C1239" s="24" t="s">
        <v>2834</v>
      </c>
      <c r="D1239" s="24" t="s">
        <v>2835</v>
      </c>
      <c r="E1239" s="24">
        <v>9.818627551E9</v>
      </c>
      <c r="F1239" s="168" t="s">
        <v>2487</v>
      </c>
      <c r="G1239" s="178"/>
    </row>
    <row r="1240" hidden="1">
      <c r="A1240" s="152">
        <v>43575.0</v>
      </c>
      <c r="B1240" s="24"/>
      <c r="C1240" s="24" t="s">
        <v>2836</v>
      </c>
      <c r="D1240" s="24" t="s">
        <v>2837</v>
      </c>
      <c r="E1240" s="24">
        <v>5.04329401E8</v>
      </c>
      <c r="F1240" s="168" t="s">
        <v>2487</v>
      </c>
      <c r="G1240" s="178"/>
    </row>
    <row r="1241" hidden="1">
      <c r="A1241" s="152">
        <v>43575.0</v>
      </c>
      <c r="B1241" s="24"/>
      <c r="C1241" s="24" t="s">
        <v>2838</v>
      </c>
      <c r="D1241" s="24" t="s">
        <v>2839</v>
      </c>
      <c r="E1241" s="24">
        <v>9.66555366111E11</v>
      </c>
      <c r="F1241" s="168" t="s">
        <v>2487</v>
      </c>
      <c r="G1241" s="178"/>
    </row>
    <row r="1242" hidden="1">
      <c r="A1242" s="152">
        <v>43575.0</v>
      </c>
      <c r="B1242" s="24"/>
      <c r="C1242" s="24" t="s">
        <v>2840</v>
      </c>
      <c r="D1242" s="24" t="s">
        <v>2841</v>
      </c>
      <c r="E1242" s="24">
        <v>9.18792405561E11</v>
      </c>
      <c r="F1242" s="168" t="s">
        <v>2487</v>
      </c>
      <c r="G1242" s="178"/>
    </row>
    <row r="1243" hidden="1">
      <c r="A1243" s="152">
        <v>43575.0</v>
      </c>
      <c r="B1243" s="24"/>
      <c r="C1243" s="24" t="s">
        <v>2842</v>
      </c>
      <c r="D1243" s="24" t="s">
        <v>2843</v>
      </c>
      <c r="E1243" s="24">
        <v>7.226169986E9</v>
      </c>
      <c r="F1243" s="168" t="s">
        <v>2487</v>
      </c>
      <c r="G1243" s="178"/>
    </row>
    <row r="1244" hidden="1">
      <c r="A1244" s="152">
        <v>43575.0</v>
      </c>
      <c r="B1244" s="24"/>
      <c r="C1244" s="24" t="s">
        <v>2719</v>
      </c>
      <c r="D1244" s="24" t="s">
        <v>2720</v>
      </c>
      <c r="E1244" s="24">
        <v>9.66530394502E11</v>
      </c>
      <c r="F1244" s="168" t="s">
        <v>2487</v>
      </c>
      <c r="G1244" s="178"/>
    </row>
    <row r="1245" hidden="1">
      <c r="A1245" s="152">
        <v>43575.0</v>
      </c>
      <c r="B1245" s="24"/>
      <c r="C1245" s="24" t="s">
        <v>2844</v>
      </c>
      <c r="D1245" s="24" t="s">
        <v>2845</v>
      </c>
      <c r="E1245" s="24">
        <v>5.53179837E8</v>
      </c>
      <c r="F1245" s="168" t="s">
        <v>2487</v>
      </c>
      <c r="G1245" s="178"/>
    </row>
    <row r="1246" hidden="1">
      <c r="A1246" s="152">
        <v>43575.0</v>
      </c>
      <c r="B1246" s="24"/>
      <c r="C1246" s="24" t="s">
        <v>2846</v>
      </c>
      <c r="D1246" s="24" t="s">
        <v>2847</v>
      </c>
      <c r="E1246" s="24">
        <v>9.71509530073E11</v>
      </c>
      <c r="F1246" s="168" t="s">
        <v>2487</v>
      </c>
      <c r="G1246" s="178"/>
    </row>
    <row r="1247" hidden="1">
      <c r="A1247" s="152">
        <v>43575.0</v>
      </c>
      <c r="B1247" s="24"/>
      <c r="C1247" s="24" t="s">
        <v>2848</v>
      </c>
      <c r="D1247" s="24" t="s">
        <v>2849</v>
      </c>
      <c r="E1247" s="24">
        <v>5.06585905E8</v>
      </c>
      <c r="F1247" s="168" t="s">
        <v>2487</v>
      </c>
      <c r="G1247" s="178"/>
    </row>
    <row r="1248" hidden="1">
      <c r="A1248" s="152">
        <v>43575.0</v>
      </c>
      <c r="B1248" s="24"/>
      <c r="C1248" s="24" t="s">
        <v>2850</v>
      </c>
      <c r="D1248" s="24" t="s">
        <v>2851</v>
      </c>
      <c r="E1248" s="24">
        <v>9.71508128139E11</v>
      </c>
      <c r="F1248" s="168" t="s">
        <v>2487</v>
      </c>
      <c r="G1248" s="178"/>
    </row>
    <row r="1249" hidden="1">
      <c r="A1249" s="152">
        <v>43575.0</v>
      </c>
      <c r="B1249" s="24"/>
      <c r="C1249" s="24" t="s">
        <v>2852</v>
      </c>
      <c r="D1249" s="24" t="s">
        <v>2853</v>
      </c>
      <c r="E1249" s="24">
        <v>5.40850359E8</v>
      </c>
      <c r="F1249" s="168" t="s">
        <v>2487</v>
      </c>
      <c r="G1249" s="178"/>
    </row>
    <row r="1250" hidden="1">
      <c r="A1250" s="152">
        <v>43575.0</v>
      </c>
      <c r="B1250" s="24"/>
      <c r="C1250" s="24" t="s">
        <v>2854</v>
      </c>
      <c r="D1250" s="24" t="s">
        <v>2855</v>
      </c>
      <c r="E1250" s="24">
        <v>9.66505855616E11</v>
      </c>
      <c r="F1250" s="168" t="s">
        <v>2487</v>
      </c>
      <c r="G1250" s="178"/>
    </row>
    <row r="1251" hidden="1">
      <c r="A1251" s="152">
        <v>43575.0</v>
      </c>
      <c r="B1251" s="24"/>
      <c r="C1251" s="24" t="s">
        <v>2856</v>
      </c>
      <c r="D1251" s="24" t="s">
        <v>2857</v>
      </c>
      <c r="E1251" s="24">
        <v>5.59523327E8</v>
      </c>
      <c r="F1251" s="168" t="s">
        <v>2487</v>
      </c>
      <c r="G1251" s="178"/>
    </row>
    <row r="1252" hidden="1">
      <c r="A1252" s="152">
        <v>43576.0</v>
      </c>
      <c r="B1252" s="24"/>
      <c r="C1252" s="24" t="s">
        <v>2858</v>
      </c>
      <c r="D1252" s="24" t="s">
        <v>2859</v>
      </c>
      <c r="E1252" s="24">
        <v>5.220713595E9</v>
      </c>
      <c r="F1252" s="168" t="s">
        <v>2487</v>
      </c>
      <c r="G1252" s="178"/>
    </row>
    <row r="1253" hidden="1">
      <c r="A1253" s="152">
        <v>43576.0</v>
      </c>
      <c r="B1253" s="24"/>
      <c r="C1253" s="24" t="s">
        <v>2860</v>
      </c>
      <c r="D1253" s="24" t="s">
        <v>2861</v>
      </c>
      <c r="E1253" s="24">
        <v>9.71555700336E11</v>
      </c>
      <c r="F1253" s="168" t="s">
        <v>2487</v>
      </c>
      <c r="G1253" s="178"/>
    </row>
    <row r="1254" hidden="1">
      <c r="A1254" s="152">
        <v>43576.0</v>
      </c>
      <c r="B1254" s="24"/>
      <c r="C1254" s="24" t="s">
        <v>2862</v>
      </c>
      <c r="D1254" s="24" t="s">
        <v>2863</v>
      </c>
      <c r="E1254" s="24">
        <v>9.71505725311E11</v>
      </c>
      <c r="F1254" s="168" t="s">
        <v>2487</v>
      </c>
      <c r="G1254" s="178"/>
    </row>
    <row r="1255" hidden="1">
      <c r="A1255" s="152">
        <v>43576.0</v>
      </c>
      <c r="B1255" s="24"/>
      <c r="C1255" s="24" t="s">
        <v>2864</v>
      </c>
      <c r="D1255" s="24" t="s">
        <v>2865</v>
      </c>
      <c r="E1255" s="24">
        <v>5.04617161E8</v>
      </c>
      <c r="F1255" s="168" t="s">
        <v>2487</v>
      </c>
      <c r="G1255" s="178"/>
    </row>
    <row r="1256" hidden="1">
      <c r="A1256" s="152">
        <v>43576.0</v>
      </c>
      <c r="B1256" s="24"/>
      <c r="C1256" s="24" t="s">
        <v>2866</v>
      </c>
      <c r="D1256" s="24" t="s">
        <v>2867</v>
      </c>
      <c r="E1256" s="24">
        <v>9.66552489689E11</v>
      </c>
      <c r="F1256" s="168" t="s">
        <v>2487</v>
      </c>
      <c r="G1256" s="178"/>
    </row>
    <row r="1257" hidden="1">
      <c r="A1257" s="152">
        <v>43576.0</v>
      </c>
      <c r="B1257" s="24"/>
      <c r="C1257" s="24" t="s">
        <v>2868</v>
      </c>
      <c r="D1257" s="24" t="s">
        <v>2869</v>
      </c>
      <c r="E1257" s="24">
        <v>5.06525673E8</v>
      </c>
      <c r="F1257" s="168" t="s">
        <v>2487</v>
      </c>
      <c r="G1257" s="178"/>
    </row>
    <row r="1258" hidden="1">
      <c r="A1258" s="152">
        <v>43577.0</v>
      </c>
      <c r="B1258" s="24"/>
      <c r="C1258" s="24" t="s">
        <v>2870</v>
      </c>
      <c r="D1258" s="24" t="s">
        <v>2871</v>
      </c>
      <c r="E1258" s="24">
        <v>5.06577863E8</v>
      </c>
      <c r="F1258" s="168" t="s">
        <v>2487</v>
      </c>
      <c r="G1258" s="178"/>
    </row>
    <row r="1259" hidden="1">
      <c r="A1259" s="152">
        <v>43577.0</v>
      </c>
      <c r="B1259" s="24"/>
      <c r="C1259" s="24" t="s">
        <v>2872</v>
      </c>
      <c r="D1259" s="24" t="s">
        <v>2873</v>
      </c>
      <c r="E1259" s="24">
        <v>8.874127466E9</v>
      </c>
      <c r="F1259" s="168" t="s">
        <v>2487</v>
      </c>
      <c r="G1259" s="178"/>
    </row>
    <row r="1260" hidden="1">
      <c r="A1260" s="152">
        <v>43577.0</v>
      </c>
      <c r="B1260" s="24"/>
      <c r="C1260" s="24" t="s">
        <v>2874</v>
      </c>
      <c r="D1260" s="24" t="s">
        <v>2875</v>
      </c>
      <c r="E1260" s="24">
        <v>8.438589716E9</v>
      </c>
      <c r="F1260" s="168" t="s">
        <v>2487</v>
      </c>
      <c r="G1260" s="178"/>
    </row>
    <row r="1261" hidden="1">
      <c r="A1261" s="152">
        <v>43577.0</v>
      </c>
      <c r="B1261" s="24"/>
      <c r="C1261" s="24" t="s">
        <v>2876</v>
      </c>
      <c r="D1261" s="24" t="s">
        <v>2877</v>
      </c>
      <c r="E1261" s="24">
        <v>9.71522511491E11</v>
      </c>
      <c r="F1261" s="168" t="s">
        <v>2487</v>
      </c>
      <c r="G1261" s="178"/>
    </row>
    <row r="1262" hidden="1">
      <c r="A1262" s="152">
        <v>43577.0</v>
      </c>
      <c r="B1262" s="24"/>
      <c r="C1262" s="24" t="s">
        <v>2878</v>
      </c>
      <c r="D1262" s="24" t="s">
        <v>2879</v>
      </c>
      <c r="E1262" s="24">
        <v>9.71524592012E11</v>
      </c>
      <c r="F1262" s="168" t="s">
        <v>2487</v>
      </c>
      <c r="G1262" s="178"/>
    </row>
    <row r="1263" hidden="1">
      <c r="A1263" s="152">
        <v>43577.0</v>
      </c>
      <c r="B1263" s="24"/>
      <c r="C1263" s="24" t="s">
        <v>2880</v>
      </c>
      <c r="D1263" s="24" t="s">
        <v>2881</v>
      </c>
      <c r="E1263" s="24">
        <v>9.71504668792E11</v>
      </c>
      <c r="F1263" s="168" t="s">
        <v>2487</v>
      </c>
      <c r="G1263" s="178"/>
    </row>
    <row r="1264" hidden="1">
      <c r="A1264" s="152">
        <v>43577.0</v>
      </c>
      <c r="B1264" s="24"/>
      <c r="C1264" s="24" t="s">
        <v>2882</v>
      </c>
      <c r="D1264" s="185" t="s">
        <v>2883</v>
      </c>
      <c r="E1264" s="24">
        <v>9.66549872929E11</v>
      </c>
      <c r="F1264" s="168" t="s">
        <v>2487</v>
      </c>
      <c r="G1264" s="178"/>
    </row>
    <row r="1265" hidden="1">
      <c r="A1265" s="152">
        <v>43577.0</v>
      </c>
      <c r="B1265" s="24"/>
      <c r="C1265" s="24" t="s">
        <v>2884</v>
      </c>
      <c r="D1265" s="24" t="s">
        <v>2885</v>
      </c>
      <c r="E1265" s="24">
        <v>9.66503912695E11</v>
      </c>
      <c r="F1265" s="168" t="s">
        <v>2487</v>
      </c>
      <c r="G1265" s="178"/>
    </row>
    <row r="1266" hidden="1">
      <c r="A1266" s="152">
        <v>43577.0</v>
      </c>
      <c r="B1266" s="24"/>
      <c r="C1266" s="24" t="s">
        <v>2886</v>
      </c>
      <c r="D1266" s="24" t="s">
        <v>2887</v>
      </c>
      <c r="E1266" s="24">
        <v>9.71559898418E11</v>
      </c>
      <c r="F1266" s="168" t="s">
        <v>2487</v>
      </c>
      <c r="G1266" s="178"/>
    </row>
    <row r="1267" hidden="1">
      <c r="A1267" s="152">
        <v>43577.0</v>
      </c>
      <c r="B1267" s="24"/>
      <c r="C1267" s="24" t="s">
        <v>2888</v>
      </c>
      <c r="D1267" s="24" t="s">
        <v>2889</v>
      </c>
      <c r="E1267" s="24">
        <v>5.5903646E8</v>
      </c>
      <c r="F1267" s="168" t="s">
        <v>2487</v>
      </c>
      <c r="G1267" s="178"/>
    </row>
    <row r="1268" hidden="1">
      <c r="A1268" s="152">
        <v>43577.0</v>
      </c>
      <c r="B1268" s="22"/>
      <c r="C1268" s="22" t="s">
        <v>2890</v>
      </c>
      <c r="D1268" s="22" t="s">
        <v>2891</v>
      </c>
      <c r="E1268" s="20" t="s">
        <v>2892</v>
      </c>
      <c r="F1268" s="168" t="s">
        <v>2487</v>
      </c>
      <c r="G1268" s="178"/>
    </row>
    <row r="1269" hidden="1">
      <c r="A1269" s="45">
        <v>43579.0</v>
      </c>
      <c r="B1269" s="24"/>
      <c r="C1269" s="24" t="s">
        <v>2893</v>
      </c>
      <c r="D1269" s="24" t="s">
        <v>2894</v>
      </c>
      <c r="E1269" s="24">
        <v>5.21010415E8</v>
      </c>
      <c r="F1269" s="168" t="s">
        <v>2487</v>
      </c>
      <c r="G1269" s="178"/>
    </row>
    <row r="1270" hidden="1">
      <c r="A1270" s="45">
        <v>43579.0</v>
      </c>
      <c r="B1270" s="24"/>
      <c r="C1270" s="24" t="s">
        <v>2895</v>
      </c>
      <c r="D1270" s="24" t="s">
        <v>2896</v>
      </c>
      <c r="E1270" s="24">
        <v>9.71554227161E11</v>
      </c>
      <c r="F1270" s="168" t="s">
        <v>2487</v>
      </c>
      <c r="G1270" s="178"/>
    </row>
    <row r="1271" hidden="1">
      <c r="A1271" s="45">
        <v>43579.0</v>
      </c>
      <c r="B1271" s="24"/>
      <c r="C1271" s="24" t="s">
        <v>2897</v>
      </c>
      <c r="D1271" s="24" t="s">
        <v>2898</v>
      </c>
      <c r="E1271" s="24">
        <v>9.71554314172E11</v>
      </c>
      <c r="F1271" s="168" t="s">
        <v>2487</v>
      </c>
      <c r="G1271" s="178"/>
    </row>
    <row r="1272" hidden="1">
      <c r="A1272" s="45">
        <v>43579.0</v>
      </c>
      <c r="B1272" s="24"/>
      <c r="C1272" s="24" t="s">
        <v>2899</v>
      </c>
      <c r="D1272" s="24" t="s">
        <v>2900</v>
      </c>
      <c r="E1272" s="24">
        <v>5.06505083E8</v>
      </c>
      <c r="F1272" s="168" t="s">
        <v>2487</v>
      </c>
      <c r="G1272" s="178"/>
    </row>
    <row r="1273" hidden="1">
      <c r="A1273" s="152">
        <v>43582.0</v>
      </c>
      <c r="B1273" s="24"/>
      <c r="C1273" s="24" t="s">
        <v>2901</v>
      </c>
      <c r="D1273" s="24" t="s">
        <v>2902</v>
      </c>
      <c r="E1273" s="24" t="s">
        <v>2903</v>
      </c>
      <c r="F1273" s="168" t="s">
        <v>2487</v>
      </c>
      <c r="G1273" s="178"/>
    </row>
    <row r="1274" hidden="1">
      <c r="A1274" s="152">
        <v>43582.0</v>
      </c>
      <c r="B1274" s="24"/>
      <c r="C1274" s="24" t="s">
        <v>2904</v>
      </c>
      <c r="D1274" s="24" t="s">
        <v>2905</v>
      </c>
      <c r="E1274" s="24" t="s">
        <v>2906</v>
      </c>
      <c r="F1274" s="168" t="s">
        <v>2487</v>
      </c>
      <c r="G1274" s="178"/>
    </row>
    <row r="1275" hidden="1">
      <c r="A1275" s="152">
        <v>43582.0</v>
      </c>
      <c r="B1275" s="24"/>
      <c r="C1275" s="24" t="s">
        <v>2907</v>
      </c>
      <c r="D1275" s="24" t="s">
        <v>2908</v>
      </c>
      <c r="E1275" s="24" t="s">
        <v>2909</v>
      </c>
      <c r="F1275" s="168" t="s">
        <v>2487</v>
      </c>
      <c r="G1275" s="178"/>
    </row>
    <row r="1276" hidden="1">
      <c r="A1276" s="152">
        <v>43582.0</v>
      </c>
      <c r="B1276" s="24"/>
      <c r="C1276" s="24" t="s">
        <v>2910</v>
      </c>
      <c r="D1276" s="24" t="s">
        <v>2911</v>
      </c>
      <c r="E1276" s="24" t="s">
        <v>2912</v>
      </c>
      <c r="F1276" s="168" t="s">
        <v>2487</v>
      </c>
      <c r="G1276" s="178"/>
    </row>
    <row r="1277" hidden="1">
      <c r="A1277" s="152">
        <v>43582.0</v>
      </c>
      <c r="B1277" s="24"/>
      <c r="C1277" s="24" t="s">
        <v>2913</v>
      </c>
      <c r="D1277" s="24" t="s">
        <v>2914</v>
      </c>
      <c r="E1277" s="24" t="s">
        <v>2915</v>
      </c>
      <c r="F1277" s="168" t="s">
        <v>2487</v>
      </c>
      <c r="G1277" s="178"/>
    </row>
    <row r="1278" hidden="1">
      <c r="A1278" s="152">
        <v>43582.0</v>
      </c>
      <c r="B1278" s="24"/>
      <c r="C1278" s="24" t="s">
        <v>2916</v>
      </c>
      <c r="D1278" s="24" t="s">
        <v>2917</v>
      </c>
      <c r="E1278" s="24" t="s">
        <v>2918</v>
      </c>
      <c r="F1278" s="168" t="s">
        <v>2487</v>
      </c>
      <c r="G1278" s="178"/>
    </row>
    <row r="1279" hidden="1">
      <c r="A1279" s="152">
        <v>43582.0</v>
      </c>
      <c r="B1279" s="24"/>
      <c r="C1279" s="24" t="s">
        <v>2919</v>
      </c>
      <c r="D1279" s="24" t="s">
        <v>2920</v>
      </c>
      <c r="E1279" s="24" t="s">
        <v>2921</v>
      </c>
      <c r="F1279" s="168" t="s">
        <v>2487</v>
      </c>
      <c r="G1279" s="178"/>
    </row>
    <row r="1280" hidden="1">
      <c r="A1280" s="152">
        <v>43582.0</v>
      </c>
      <c r="B1280" s="24"/>
      <c r="C1280" s="24" t="s">
        <v>2922</v>
      </c>
      <c r="D1280" s="24" t="s">
        <v>2923</v>
      </c>
      <c r="E1280" s="24" t="s">
        <v>2924</v>
      </c>
      <c r="F1280" s="168" t="s">
        <v>2487</v>
      </c>
      <c r="G1280" s="178"/>
    </row>
    <row r="1281" hidden="1">
      <c r="A1281" s="152">
        <v>43582.0</v>
      </c>
      <c r="B1281" s="24"/>
      <c r="C1281" s="24" t="s">
        <v>2925</v>
      </c>
      <c r="D1281" s="24" t="s">
        <v>2926</v>
      </c>
      <c r="E1281" s="24" t="s">
        <v>2927</v>
      </c>
      <c r="F1281" s="168" t="s">
        <v>2487</v>
      </c>
      <c r="G1281" s="178"/>
    </row>
    <row r="1282" hidden="1">
      <c r="A1282" s="152">
        <v>43582.0</v>
      </c>
      <c r="B1282" s="24"/>
      <c r="C1282" s="24" t="s">
        <v>2928</v>
      </c>
      <c r="D1282" s="24" t="s">
        <v>2929</v>
      </c>
      <c r="E1282" s="24" t="s">
        <v>2930</v>
      </c>
      <c r="F1282" s="168" t="s">
        <v>2487</v>
      </c>
      <c r="G1282" s="178"/>
    </row>
    <row r="1283" hidden="1">
      <c r="A1283" s="152">
        <v>43582.0</v>
      </c>
      <c r="B1283" s="24"/>
      <c r="C1283" s="24" t="s">
        <v>2931</v>
      </c>
      <c r="D1283" s="24" t="s">
        <v>2932</v>
      </c>
      <c r="E1283" s="24" t="s">
        <v>2933</v>
      </c>
      <c r="F1283" s="168" t="s">
        <v>2487</v>
      </c>
      <c r="G1283" s="178"/>
    </row>
    <row r="1284" hidden="1">
      <c r="A1284" s="152">
        <v>43582.0</v>
      </c>
      <c r="B1284" s="24"/>
      <c r="C1284" s="24" t="s">
        <v>2934</v>
      </c>
      <c r="D1284" s="24" t="s">
        <v>2935</v>
      </c>
      <c r="E1284" s="24" t="s">
        <v>2936</v>
      </c>
      <c r="F1284" s="168" t="s">
        <v>2487</v>
      </c>
      <c r="G1284" s="178"/>
    </row>
    <row r="1285" hidden="1">
      <c r="A1285" s="152">
        <v>43582.0</v>
      </c>
      <c r="B1285" s="24"/>
      <c r="C1285" s="24" t="s">
        <v>2937</v>
      </c>
      <c r="D1285" s="24" t="s">
        <v>2938</v>
      </c>
      <c r="E1285" s="24" t="s">
        <v>2939</v>
      </c>
      <c r="F1285" s="168" t="s">
        <v>2487</v>
      </c>
      <c r="G1285" s="178"/>
    </row>
    <row r="1286" hidden="1">
      <c r="A1286" s="152">
        <v>43582.0</v>
      </c>
      <c r="B1286" s="24"/>
      <c r="C1286" s="24" t="s">
        <v>2940</v>
      </c>
      <c r="D1286" s="24" t="s">
        <v>2941</v>
      </c>
      <c r="E1286" s="24" t="s">
        <v>2942</v>
      </c>
      <c r="F1286" s="168" t="s">
        <v>2487</v>
      </c>
      <c r="G1286" s="178"/>
    </row>
    <row r="1287" hidden="1">
      <c r="A1287" s="152">
        <v>43582.0</v>
      </c>
      <c r="B1287" s="24"/>
      <c r="C1287" s="24" t="s">
        <v>2943</v>
      </c>
      <c r="D1287" s="24" t="s">
        <v>2944</v>
      </c>
      <c r="E1287" s="24" t="s">
        <v>2945</v>
      </c>
      <c r="F1287" s="168" t="s">
        <v>2487</v>
      </c>
      <c r="G1287" s="178"/>
    </row>
    <row r="1288" hidden="1">
      <c r="A1288" s="152">
        <v>43582.0</v>
      </c>
      <c r="B1288" s="24"/>
      <c r="C1288" s="24" t="s">
        <v>2946</v>
      </c>
      <c r="D1288" s="24" t="s">
        <v>2947</v>
      </c>
      <c r="E1288" s="24" t="s">
        <v>2948</v>
      </c>
      <c r="F1288" s="168" t="s">
        <v>2487</v>
      </c>
      <c r="G1288" s="178"/>
    </row>
    <row r="1289" hidden="1">
      <c r="A1289" s="152">
        <v>43582.0</v>
      </c>
      <c r="B1289" s="24"/>
      <c r="C1289" s="24" t="s">
        <v>2949</v>
      </c>
      <c r="D1289" s="24" t="s">
        <v>2950</v>
      </c>
      <c r="E1289" s="24" t="s">
        <v>2951</v>
      </c>
      <c r="F1289" s="168" t="s">
        <v>2487</v>
      </c>
      <c r="G1289" s="178"/>
    </row>
    <row r="1290" hidden="1">
      <c r="A1290" s="152">
        <v>43582.0</v>
      </c>
      <c r="B1290" s="24"/>
      <c r="C1290" s="24" t="s">
        <v>2952</v>
      </c>
      <c r="D1290" s="24" t="s">
        <v>2953</v>
      </c>
      <c r="E1290" s="24" t="s">
        <v>2954</v>
      </c>
      <c r="F1290" s="168" t="s">
        <v>2487</v>
      </c>
      <c r="G1290" s="178"/>
    </row>
    <row r="1291" hidden="1">
      <c r="A1291" s="152">
        <v>43582.0</v>
      </c>
      <c r="B1291" s="24"/>
      <c r="C1291" s="24" t="s">
        <v>2955</v>
      </c>
      <c r="D1291" s="24" t="s">
        <v>2956</v>
      </c>
      <c r="E1291" s="24" t="s">
        <v>2957</v>
      </c>
      <c r="F1291" s="168" t="s">
        <v>2487</v>
      </c>
      <c r="G1291" s="178"/>
    </row>
    <row r="1292" hidden="1">
      <c r="A1292" s="152">
        <v>43582.0</v>
      </c>
      <c r="B1292" s="24"/>
      <c r="C1292" s="24" t="s">
        <v>2958</v>
      </c>
      <c r="D1292" s="24" t="s">
        <v>2959</v>
      </c>
      <c r="E1292" s="24" t="s">
        <v>2960</v>
      </c>
      <c r="F1292" s="168" t="s">
        <v>2487</v>
      </c>
      <c r="G1292" s="178"/>
    </row>
    <row r="1293" hidden="1">
      <c r="A1293" s="152">
        <v>43582.0</v>
      </c>
      <c r="B1293" s="24"/>
      <c r="C1293" s="24" t="s">
        <v>2961</v>
      </c>
      <c r="D1293" s="24" t="s">
        <v>2962</v>
      </c>
      <c r="E1293" s="24" t="s">
        <v>2963</v>
      </c>
      <c r="F1293" s="168" t="s">
        <v>2487</v>
      </c>
      <c r="G1293" s="178"/>
    </row>
    <row r="1294" hidden="1">
      <c r="A1294" s="62">
        <v>43585.0</v>
      </c>
      <c r="B1294" s="186"/>
      <c r="C1294" s="186" t="s">
        <v>2964</v>
      </c>
      <c r="D1294" s="24" t="s">
        <v>2965</v>
      </c>
      <c r="E1294" s="24">
        <v>9.66561432252E11</v>
      </c>
      <c r="F1294" s="168" t="s">
        <v>2487</v>
      </c>
      <c r="G1294" s="178"/>
    </row>
    <row r="1295" hidden="1">
      <c r="A1295" s="187">
        <v>43585.0</v>
      </c>
      <c r="B1295" s="24"/>
      <c r="C1295" s="24" t="s">
        <v>2966</v>
      </c>
      <c r="D1295" s="24" t="s">
        <v>2967</v>
      </c>
      <c r="E1295" s="26" t="s">
        <v>2968</v>
      </c>
      <c r="F1295" s="168" t="s">
        <v>2487</v>
      </c>
      <c r="G1295" s="178"/>
    </row>
    <row r="1296" hidden="1">
      <c r="A1296" s="187">
        <v>43585.0</v>
      </c>
      <c r="B1296" s="24"/>
      <c r="C1296" s="24" t="s">
        <v>2969</v>
      </c>
      <c r="D1296" s="24" t="s">
        <v>2970</v>
      </c>
      <c r="E1296" s="26" t="s">
        <v>2971</v>
      </c>
      <c r="F1296" s="168" t="s">
        <v>2487</v>
      </c>
      <c r="G1296" s="178"/>
    </row>
    <row r="1297" hidden="1">
      <c r="A1297" s="187">
        <v>43585.0</v>
      </c>
      <c r="B1297" s="24"/>
      <c r="C1297" s="24" t="s">
        <v>2972</v>
      </c>
      <c r="D1297" s="24" t="s">
        <v>2973</v>
      </c>
      <c r="E1297" s="26" t="s">
        <v>2974</v>
      </c>
      <c r="F1297" s="168" t="s">
        <v>2487</v>
      </c>
      <c r="G1297" s="178"/>
    </row>
    <row r="1298" hidden="1">
      <c r="A1298" s="187">
        <v>43585.0</v>
      </c>
      <c r="B1298" s="19"/>
      <c r="C1298" s="19" t="s">
        <v>2975</v>
      </c>
      <c r="D1298" s="24" t="s">
        <v>2976</v>
      </c>
      <c r="E1298" s="24">
        <v>9.71550901384E11</v>
      </c>
      <c r="F1298" s="168" t="s">
        <v>2487</v>
      </c>
      <c r="G1298" s="178"/>
    </row>
    <row r="1299" hidden="1">
      <c r="A1299" s="152">
        <v>43589.0</v>
      </c>
      <c r="B1299" s="19"/>
      <c r="C1299" s="19" t="s">
        <v>2977</v>
      </c>
      <c r="D1299" s="19" t="s">
        <v>2978</v>
      </c>
      <c r="E1299" s="19" t="s">
        <v>2979</v>
      </c>
      <c r="F1299" s="168" t="s">
        <v>2487</v>
      </c>
      <c r="G1299" s="178"/>
    </row>
    <row r="1300" hidden="1">
      <c r="A1300" s="152">
        <v>43589.0</v>
      </c>
      <c r="B1300" s="19"/>
      <c r="C1300" s="19" t="s">
        <v>2980</v>
      </c>
      <c r="D1300" s="19" t="s">
        <v>2981</v>
      </c>
      <c r="E1300" s="19" t="s">
        <v>2982</v>
      </c>
      <c r="F1300" s="168" t="s">
        <v>2487</v>
      </c>
      <c r="G1300" s="178"/>
    </row>
    <row r="1301" hidden="1">
      <c r="A1301" s="152">
        <v>43589.0</v>
      </c>
      <c r="B1301" s="19"/>
      <c r="C1301" s="19" t="s">
        <v>2983</v>
      </c>
      <c r="D1301" s="19" t="s">
        <v>2984</v>
      </c>
      <c r="E1301" s="19" t="s">
        <v>2985</v>
      </c>
      <c r="F1301" s="168" t="s">
        <v>2487</v>
      </c>
      <c r="G1301" s="178"/>
    </row>
    <row r="1302" hidden="1">
      <c r="A1302" s="152">
        <v>43589.0</v>
      </c>
      <c r="B1302" s="19"/>
      <c r="C1302" s="19" t="s">
        <v>2986</v>
      </c>
      <c r="D1302" s="19" t="s">
        <v>2987</v>
      </c>
      <c r="E1302" s="19" t="s">
        <v>2988</v>
      </c>
      <c r="F1302" s="168" t="s">
        <v>2487</v>
      </c>
      <c r="G1302" s="178"/>
    </row>
    <row r="1303" hidden="1">
      <c r="A1303" s="152">
        <v>43589.0</v>
      </c>
      <c r="B1303" s="19"/>
      <c r="C1303" s="19" t="s">
        <v>2989</v>
      </c>
      <c r="D1303" s="19" t="s">
        <v>2990</v>
      </c>
      <c r="E1303" s="19" t="s">
        <v>2991</v>
      </c>
      <c r="F1303" s="168" t="s">
        <v>2487</v>
      </c>
      <c r="G1303" s="178"/>
    </row>
    <row r="1304" hidden="1">
      <c r="A1304" s="188">
        <v>43601.0</v>
      </c>
      <c r="B1304" s="24"/>
      <c r="C1304" s="24" t="s">
        <v>2992</v>
      </c>
      <c r="D1304" s="24" t="s">
        <v>2993</v>
      </c>
      <c r="E1304" s="24">
        <v>9.71593655566E11</v>
      </c>
      <c r="F1304" s="168" t="s">
        <v>2487</v>
      </c>
      <c r="G1304" s="178"/>
    </row>
    <row r="1305" hidden="1">
      <c r="A1305" s="152"/>
      <c r="B1305" s="19"/>
      <c r="C1305" s="19" t="s">
        <v>2858</v>
      </c>
      <c r="D1305" s="19" t="s">
        <v>2994</v>
      </c>
      <c r="E1305" s="20" t="s">
        <v>2995</v>
      </c>
      <c r="F1305" s="168" t="s">
        <v>2487</v>
      </c>
      <c r="G1305" s="178"/>
    </row>
    <row r="1306" hidden="1">
      <c r="A1306" s="152"/>
      <c r="B1306" s="19"/>
      <c r="C1306" s="19" t="s">
        <v>2996</v>
      </c>
      <c r="D1306" s="19" t="s">
        <v>2997</v>
      </c>
      <c r="E1306" s="20" t="s">
        <v>2998</v>
      </c>
      <c r="F1306" s="168" t="s">
        <v>2487</v>
      </c>
      <c r="G1306" s="178"/>
    </row>
    <row r="1307">
      <c r="A1307" s="152"/>
      <c r="B1307" s="189"/>
      <c r="C1307" s="189" t="s">
        <v>2215</v>
      </c>
      <c r="D1307" s="190" t="s">
        <v>2216</v>
      </c>
      <c r="E1307" s="191">
        <v>3.376122641E10</v>
      </c>
      <c r="F1307" s="191" t="s">
        <v>2999</v>
      </c>
      <c r="G1307" s="39" t="s">
        <v>574</v>
      </c>
    </row>
    <row r="1308">
      <c r="A1308" s="101"/>
      <c r="B1308" s="192"/>
      <c r="C1308" s="192" t="s">
        <v>3000</v>
      </c>
      <c r="D1308" s="193" t="s">
        <v>3001</v>
      </c>
      <c r="E1308" s="194" t="s">
        <v>3002</v>
      </c>
      <c r="F1308" s="195" t="s">
        <v>2999</v>
      </c>
      <c r="G1308" s="39" t="s">
        <v>3003</v>
      </c>
    </row>
    <row r="1309">
      <c r="A1309" s="101"/>
      <c r="B1309" s="192"/>
      <c r="C1309" s="192" t="s">
        <v>3004</v>
      </c>
      <c r="D1309" s="193" t="s">
        <v>3005</v>
      </c>
      <c r="E1309" s="196">
        <v>9.71558491969E11</v>
      </c>
      <c r="F1309" s="195" t="s">
        <v>2999</v>
      </c>
      <c r="G1309" s="39" t="s">
        <v>3006</v>
      </c>
    </row>
    <row r="1310">
      <c r="A1310" s="101"/>
      <c r="B1310" s="192"/>
      <c r="C1310" s="192" t="s">
        <v>3007</v>
      </c>
      <c r="D1310" s="193" t="s">
        <v>3008</v>
      </c>
      <c r="E1310" s="194">
        <v>9.19873258627E11</v>
      </c>
      <c r="F1310" s="195" t="s">
        <v>2999</v>
      </c>
      <c r="G1310" s="39" t="s">
        <v>574</v>
      </c>
    </row>
    <row r="1311">
      <c r="A1311" s="101"/>
      <c r="B1311" s="192"/>
      <c r="C1311" s="192" t="s">
        <v>3009</v>
      </c>
      <c r="D1311" s="193" t="s">
        <v>3010</v>
      </c>
      <c r="E1311" s="196">
        <v>9.71545242805E11</v>
      </c>
      <c r="F1311" s="195" t="s">
        <v>2999</v>
      </c>
      <c r="G1311" s="39" t="s">
        <v>251</v>
      </c>
    </row>
    <row r="1312">
      <c r="A1312" s="101"/>
      <c r="B1312" s="192"/>
      <c r="C1312" s="192" t="s">
        <v>2259</v>
      </c>
      <c r="D1312" s="197" t="s">
        <v>2260</v>
      </c>
      <c r="E1312" s="196">
        <v>9.71501065794E11</v>
      </c>
      <c r="F1312" s="195" t="s">
        <v>2232</v>
      </c>
      <c r="G1312" s="39" t="s">
        <v>3011</v>
      </c>
    </row>
    <row r="1313">
      <c r="A1313" s="101"/>
      <c r="B1313" s="192"/>
      <c r="C1313" s="192" t="s">
        <v>2238</v>
      </c>
      <c r="D1313" s="197" t="s">
        <v>2239</v>
      </c>
      <c r="E1313" s="196">
        <v>9.23212203706E11</v>
      </c>
      <c r="F1313" s="195" t="s">
        <v>2232</v>
      </c>
      <c r="G1313" s="39" t="s">
        <v>574</v>
      </c>
    </row>
    <row r="1314">
      <c r="A1314" s="101"/>
      <c r="B1314" s="192"/>
      <c r="C1314" s="192" t="s">
        <v>3012</v>
      </c>
      <c r="D1314" s="193" t="s">
        <v>3013</v>
      </c>
      <c r="E1314" s="194">
        <v>9.19464278157E11</v>
      </c>
      <c r="F1314" s="195" t="s">
        <v>2999</v>
      </c>
      <c r="G1314" s="39" t="s">
        <v>574</v>
      </c>
    </row>
    <row r="1315">
      <c r="A1315" s="101"/>
      <c r="B1315" s="192"/>
      <c r="C1315" s="192" t="s">
        <v>2266</v>
      </c>
      <c r="D1315" s="193" t="s">
        <v>2267</v>
      </c>
      <c r="E1315" s="194">
        <v>9.23003493626E11</v>
      </c>
      <c r="F1315" s="195" t="s">
        <v>2232</v>
      </c>
      <c r="G1315" s="39" t="s">
        <v>255</v>
      </c>
    </row>
    <row r="1316">
      <c r="A1316" s="101"/>
      <c r="B1316" s="192"/>
      <c r="C1316" s="192" t="s">
        <v>3014</v>
      </c>
      <c r="D1316" s="197" t="s">
        <v>3015</v>
      </c>
      <c r="E1316" s="194">
        <f>+79036928135</f>
        <v>79036928135</v>
      </c>
      <c r="F1316" s="195" t="s">
        <v>2999</v>
      </c>
      <c r="G1316" s="39" t="s">
        <v>574</v>
      </c>
    </row>
    <row r="1317">
      <c r="A1317" s="101"/>
      <c r="B1317" s="192"/>
      <c r="C1317" s="192" t="s">
        <v>3016</v>
      </c>
      <c r="D1317" s="193" t="s">
        <v>3017</v>
      </c>
      <c r="E1317" s="194">
        <v>9.71506719999E11</v>
      </c>
      <c r="F1317" s="195" t="s">
        <v>2999</v>
      </c>
      <c r="G1317" s="39" t="s">
        <v>3018</v>
      </c>
    </row>
    <row r="1318">
      <c r="A1318" s="101"/>
      <c r="B1318" s="192"/>
      <c r="C1318" s="192" t="s">
        <v>3019</v>
      </c>
      <c r="D1318" s="195" t="s">
        <v>3020</v>
      </c>
      <c r="E1318" s="196">
        <f>+923008707969</f>
        <v>923008707969</v>
      </c>
      <c r="F1318" s="195" t="s">
        <v>2232</v>
      </c>
      <c r="G1318" s="39" t="s">
        <v>168</v>
      </c>
    </row>
    <row r="1319">
      <c r="A1319" s="101"/>
      <c r="B1319" s="192"/>
      <c r="C1319" s="192" t="s">
        <v>3021</v>
      </c>
      <c r="D1319" s="197" t="s">
        <v>3022</v>
      </c>
      <c r="E1319" s="196">
        <v>9.71504814426E11</v>
      </c>
      <c r="F1319" s="195" t="s">
        <v>2999</v>
      </c>
      <c r="G1319" s="39" t="s">
        <v>574</v>
      </c>
    </row>
    <row r="1320">
      <c r="A1320" s="101"/>
      <c r="B1320" s="192"/>
      <c r="C1320" s="192" t="s">
        <v>3023</v>
      </c>
      <c r="D1320" s="197" t="s">
        <v>3024</v>
      </c>
      <c r="E1320" s="196">
        <v>9.71545252245E11</v>
      </c>
      <c r="F1320" s="195" t="s">
        <v>2999</v>
      </c>
      <c r="G1320" s="39" t="s">
        <v>2077</v>
      </c>
    </row>
    <row r="1321">
      <c r="A1321" s="101"/>
      <c r="B1321" s="192"/>
      <c r="C1321" s="192" t="s">
        <v>3025</v>
      </c>
      <c r="D1321" s="193" t="s">
        <v>3026</v>
      </c>
      <c r="E1321" s="194">
        <f>+971502700277</f>
        <v>971502700277</v>
      </c>
      <c r="F1321" s="195" t="s">
        <v>2232</v>
      </c>
      <c r="G1321" s="39" t="s">
        <v>1518</v>
      </c>
    </row>
    <row r="1322">
      <c r="A1322" s="101"/>
      <c r="B1322" s="192"/>
      <c r="C1322" s="192" t="s">
        <v>3027</v>
      </c>
      <c r="D1322" s="197" t="s">
        <v>3028</v>
      </c>
      <c r="E1322" s="194">
        <v>9.71502559075E11</v>
      </c>
      <c r="F1322" s="195" t="s">
        <v>2999</v>
      </c>
      <c r="G1322" s="39" t="s">
        <v>3029</v>
      </c>
    </row>
    <row r="1323">
      <c r="A1323" s="101"/>
      <c r="B1323" s="192"/>
      <c r="C1323" s="192" t="s">
        <v>3030</v>
      </c>
      <c r="D1323" s="193" t="s">
        <v>3031</v>
      </c>
      <c r="E1323" s="194">
        <v>9.71505030004E11</v>
      </c>
      <c r="F1323" s="195" t="s">
        <v>2999</v>
      </c>
      <c r="G1323" s="39" t="s">
        <v>3032</v>
      </c>
    </row>
    <row r="1324">
      <c r="A1324" s="101"/>
      <c r="B1324" s="192"/>
      <c r="C1324" s="192" t="s">
        <v>3033</v>
      </c>
      <c r="D1324" s="193" t="s">
        <v>3034</v>
      </c>
      <c r="E1324" s="196" t="s">
        <v>3035</v>
      </c>
      <c r="F1324" s="195" t="s">
        <v>2999</v>
      </c>
      <c r="G1324" s="39" t="s">
        <v>3036</v>
      </c>
    </row>
    <row r="1325">
      <c r="A1325" s="101"/>
      <c r="B1325" s="192"/>
      <c r="C1325" s="192" t="s">
        <v>3037</v>
      </c>
      <c r="D1325" s="193" t="s">
        <v>3038</v>
      </c>
      <c r="E1325" s="194" t="s">
        <v>3039</v>
      </c>
      <c r="F1325" s="195" t="s">
        <v>2999</v>
      </c>
    </row>
    <row r="1326">
      <c r="A1326" s="101"/>
      <c r="B1326" s="192"/>
      <c r="C1326" s="192" t="s">
        <v>3040</v>
      </c>
      <c r="D1326" s="193" t="s">
        <v>3041</v>
      </c>
      <c r="E1326" s="194" t="s">
        <v>3042</v>
      </c>
      <c r="F1326" s="195" t="s">
        <v>2999</v>
      </c>
      <c r="G1326" s="39" t="s">
        <v>168</v>
      </c>
    </row>
    <row r="1327">
      <c r="A1327" s="101"/>
      <c r="B1327" s="192"/>
      <c r="C1327" s="192" t="s">
        <v>3043</v>
      </c>
      <c r="D1327" s="193" t="s">
        <v>3044</v>
      </c>
      <c r="E1327" s="196" t="s">
        <v>3045</v>
      </c>
      <c r="F1327" s="195" t="s">
        <v>2999</v>
      </c>
    </row>
    <row r="1328">
      <c r="A1328" s="101"/>
      <c r="B1328" s="192"/>
      <c r="C1328" s="192" t="s">
        <v>3046</v>
      </c>
      <c r="D1328" s="193" t="s">
        <v>3047</v>
      </c>
      <c r="E1328" s="196" t="s">
        <v>3048</v>
      </c>
      <c r="F1328" s="195" t="s">
        <v>2999</v>
      </c>
      <c r="G1328" s="39" t="s">
        <v>3049</v>
      </c>
    </row>
    <row r="1329">
      <c r="A1329" s="101"/>
      <c r="B1329" s="192"/>
      <c r="C1329" s="192" t="s">
        <v>3050</v>
      </c>
      <c r="D1329" s="193" t="s">
        <v>3051</v>
      </c>
      <c r="E1329" s="194" t="s">
        <v>3052</v>
      </c>
      <c r="F1329" s="195" t="s">
        <v>2999</v>
      </c>
      <c r="G1329" s="39" t="s">
        <v>574</v>
      </c>
    </row>
    <row r="1330">
      <c r="A1330" s="101"/>
      <c r="B1330" s="192"/>
      <c r="C1330" s="192" t="s">
        <v>3053</v>
      </c>
      <c r="D1330" s="193" t="s">
        <v>3054</v>
      </c>
      <c r="E1330" s="196" t="s">
        <v>3055</v>
      </c>
      <c r="F1330" s="195" t="s">
        <v>2999</v>
      </c>
      <c r="G1330" s="39" t="s">
        <v>574</v>
      </c>
    </row>
    <row r="1331">
      <c r="A1331" s="101"/>
      <c r="B1331" s="192"/>
      <c r="C1331" s="192" t="s">
        <v>3056</v>
      </c>
      <c r="D1331" s="193" t="s">
        <v>3057</v>
      </c>
      <c r="E1331" s="194">
        <f>+971559610889</f>
        <v>971559610889</v>
      </c>
      <c r="F1331" s="195" t="s">
        <v>2999</v>
      </c>
      <c r="G1331" s="39" t="s">
        <v>168</v>
      </c>
    </row>
    <row r="1332">
      <c r="A1332" s="101"/>
      <c r="B1332" s="192"/>
      <c r="C1332" s="192" t="s">
        <v>3058</v>
      </c>
      <c r="D1332" s="193" t="s">
        <v>3059</v>
      </c>
      <c r="E1332" s="194">
        <v>9.66554437331E11</v>
      </c>
      <c r="F1332" s="195" t="s">
        <v>2999</v>
      </c>
      <c r="G1332" s="39" t="s">
        <v>3060</v>
      </c>
    </row>
    <row r="1333">
      <c r="A1333" s="101"/>
      <c r="B1333" s="192"/>
      <c r="C1333" s="192" t="s">
        <v>3061</v>
      </c>
      <c r="D1333" s="193" t="s">
        <v>3062</v>
      </c>
      <c r="E1333" s="196">
        <v>9.71505687838E11</v>
      </c>
      <c r="F1333" s="195" t="s">
        <v>2999</v>
      </c>
      <c r="G1333" s="39" t="s">
        <v>168</v>
      </c>
    </row>
    <row r="1334">
      <c r="A1334" s="101"/>
      <c r="B1334" s="192"/>
      <c r="C1334" s="192" t="s">
        <v>3063</v>
      </c>
      <c r="D1334" s="196" t="s">
        <v>3064</v>
      </c>
      <c r="E1334" s="196">
        <v>9.71521101158E11</v>
      </c>
      <c r="F1334" s="195" t="s">
        <v>2999</v>
      </c>
      <c r="G1334" s="39" t="s">
        <v>516</v>
      </c>
    </row>
    <row r="1335">
      <c r="A1335" s="101"/>
      <c r="B1335" s="192"/>
      <c r="C1335" s="192" t="s">
        <v>3065</v>
      </c>
      <c r="D1335" s="193" t="s">
        <v>3066</v>
      </c>
      <c r="E1335" s="194" t="s">
        <v>3067</v>
      </c>
      <c r="F1335" s="195" t="s">
        <v>2999</v>
      </c>
      <c r="G1335" s="39" t="s">
        <v>574</v>
      </c>
    </row>
    <row r="1336">
      <c r="A1336" s="101"/>
      <c r="B1336" s="192"/>
      <c r="C1336" s="192" t="s">
        <v>3068</v>
      </c>
      <c r="D1336" s="195"/>
      <c r="E1336" s="194" t="s">
        <v>3069</v>
      </c>
      <c r="F1336" s="195" t="s">
        <v>2999</v>
      </c>
      <c r="G1336" s="39" t="s">
        <v>168</v>
      </c>
    </row>
    <row r="1337">
      <c r="A1337" s="101"/>
      <c r="B1337" s="192"/>
      <c r="C1337" s="192" t="s">
        <v>3070</v>
      </c>
      <c r="D1337" s="195"/>
      <c r="E1337" s="196">
        <v>5.66544922E8</v>
      </c>
      <c r="F1337" s="195" t="s">
        <v>2999</v>
      </c>
      <c r="G1337" s="39" t="s">
        <v>168</v>
      </c>
    </row>
    <row r="1338">
      <c r="A1338" s="101"/>
      <c r="B1338" s="192"/>
      <c r="C1338" s="192" t="s">
        <v>3071</v>
      </c>
      <c r="D1338" s="193" t="s">
        <v>3072</v>
      </c>
      <c r="E1338" s="194" t="s">
        <v>3073</v>
      </c>
      <c r="F1338" s="195" t="s">
        <v>2999</v>
      </c>
      <c r="G1338" s="39" t="s">
        <v>168</v>
      </c>
    </row>
    <row r="1339">
      <c r="A1339" s="101"/>
      <c r="B1339" s="192"/>
      <c r="C1339" s="192" t="s">
        <v>3074</v>
      </c>
      <c r="D1339" s="198" t="s">
        <v>3075</v>
      </c>
      <c r="E1339" s="194" t="s">
        <v>3076</v>
      </c>
      <c r="F1339" s="195" t="s">
        <v>2999</v>
      </c>
      <c r="G1339" s="39" t="s">
        <v>168</v>
      </c>
    </row>
    <row r="1340">
      <c r="A1340" s="101"/>
      <c r="B1340" s="192"/>
      <c r="C1340" s="192" t="s">
        <v>3077</v>
      </c>
      <c r="D1340" s="193" t="s">
        <v>3078</v>
      </c>
      <c r="E1340" s="194" t="s">
        <v>3079</v>
      </c>
      <c r="F1340" s="195" t="s">
        <v>2999</v>
      </c>
    </row>
    <row r="1341">
      <c r="A1341" s="101"/>
      <c r="B1341" s="192"/>
      <c r="C1341" s="192" t="s">
        <v>3080</v>
      </c>
      <c r="D1341" s="193" t="s">
        <v>3081</v>
      </c>
      <c r="E1341" s="194" t="s">
        <v>3082</v>
      </c>
      <c r="F1341" s="195" t="s">
        <v>2999</v>
      </c>
      <c r="G1341" s="39" t="s">
        <v>168</v>
      </c>
    </row>
    <row r="1342">
      <c r="A1342" s="101"/>
      <c r="B1342" s="192"/>
      <c r="C1342" s="192" t="s">
        <v>3083</v>
      </c>
      <c r="D1342" s="197" t="s">
        <v>3084</v>
      </c>
      <c r="E1342" s="194" t="s">
        <v>3085</v>
      </c>
      <c r="F1342" s="195" t="s">
        <v>2999</v>
      </c>
      <c r="G1342" s="39" t="s">
        <v>574</v>
      </c>
    </row>
    <row r="1343">
      <c r="A1343" s="101"/>
      <c r="B1343" s="192"/>
      <c r="C1343" s="192" t="s">
        <v>3086</v>
      </c>
      <c r="D1343" s="195"/>
      <c r="E1343" s="194" t="s">
        <v>3087</v>
      </c>
      <c r="F1343" s="195" t="s">
        <v>2999</v>
      </c>
      <c r="G1343" s="39" t="s">
        <v>574</v>
      </c>
    </row>
    <row r="1344">
      <c r="A1344" s="101"/>
      <c r="B1344" s="192"/>
      <c r="C1344" s="192" t="s">
        <v>3088</v>
      </c>
      <c r="D1344" s="197" t="s">
        <v>3089</v>
      </c>
      <c r="E1344" s="194" t="s">
        <v>3090</v>
      </c>
      <c r="F1344" s="195" t="s">
        <v>2999</v>
      </c>
      <c r="G1344" s="39" t="s">
        <v>574</v>
      </c>
    </row>
    <row r="1345">
      <c r="A1345" s="101"/>
      <c r="B1345" s="192"/>
      <c r="C1345" s="192" t="s">
        <v>3091</v>
      </c>
      <c r="D1345" s="197" t="s">
        <v>3092</v>
      </c>
      <c r="E1345" s="194" t="s">
        <v>3093</v>
      </c>
      <c r="F1345" s="195" t="s">
        <v>2999</v>
      </c>
      <c r="G1345" s="39" t="s">
        <v>172</v>
      </c>
    </row>
    <row r="1346">
      <c r="A1346" s="101"/>
      <c r="B1346" s="192"/>
      <c r="C1346" s="192" t="s">
        <v>3094</v>
      </c>
      <c r="D1346" s="193" t="s">
        <v>3095</v>
      </c>
      <c r="E1346" s="194" t="s">
        <v>3096</v>
      </c>
      <c r="F1346" s="195" t="s">
        <v>2999</v>
      </c>
    </row>
    <row r="1347">
      <c r="A1347" s="101"/>
      <c r="B1347" s="192"/>
      <c r="C1347" s="192" t="s">
        <v>3097</v>
      </c>
      <c r="D1347" s="197" t="s">
        <v>3098</v>
      </c>
      <c r="E1347" s="194" t="s">
        <v>3099</v>
      </c>
      <c r="F1347" s="195" t="s">
        <v>2999</v>
      </c>
      <c r="G1347" s="39" t="s">
        <v>3100</v>
      </c>
    </row>
    <row r="1348">
      <c r="A1348" s="101"/>
      <c r="B1348" s="192"/>
      <c r="C1348" s="192" t="s">
        <v>3101</v>
      </c>
      <c r="D1348" s="193" t="s">
        <v>3102</v>
      </c>
      <c r="E1348" s="194" t="s">
        <v>3103</v>
      </c>
      <c r="F1348" s="195" t="s">
        <v>2999</v>
      </c>
      <c r="G1348" s="39" t="s">
        <v>516</v>
      </c>
    </row>
    <row r="1349">
      <c r="A1349" s="101"/>
      <c r="B1349" s="192"/>
      <c r="C1349" s="192" t="s">
        <v>3104</v>
      </c>
      <c r="D1349" s="193" t="s">
        <v>3105</v>
      </c>
      <c r="E1349" s="196" t="s">
        <v>3106</v>
      </c>
      <c r="F1349" s="195" t="s">
        <v>2999</v>
      </c>
      <c r="G1349" s="39" t="s">
        <v>168</v>
      </c>
    </row>
    <row r="1350">
      <c r="A1350" s="101"/>
      <c r="B1350" s="192"/>
      <c r="C1350" s="192" t="s">
        <v>3107</v>
      </c>
      <c r="D1350" s="193" t="s">
        <v>3108</v>
      </c>
      <c r="E1350" s="196" t="s">
        <v>3109</v>
      </c>
      <c r="F1350" s="195" t="s">
        <v>2999</v>
      </c>
      <c r="G1350" s="39" t="s">
        <v>3110</v>
      </c>
    </row>
    <row r="1351">
      <c r="A1351" s="101"/>
      <c r="B1351" s="192"/>
      <c r="C1351" s="192" t="s">
        <v>3111</v>
      </c>
      <c r="D1351" s="197" t="s">
        <v>3112</v>
      </c>
      <c r="E1351" s="196" t="s">
        <v>3113</v>
      </c>
      <c r="F1351" s="195" t="s">
        <v>2999</v>
      </c>
      <c r="G1351" s="39" t="s">
        <v>168</v>
      </c>
    </row>
    <row r="1352">
      <c r="A1352" s="101"/>
      <c r="B1352" s="192"/>
      <c r="C1352" s="192" t="s">
        <v>3114</v>
      </c>
      <c r="D1352" s="195" t="s">
        <v>3115</v>
      </c>
      <c r="E1352" s="195">
        <v>3.93886251929E11</v>
      </c>
      <c r="F1352" s="195" t="s">
        <v>2999</v>
      </c>
    </row>
    <row r="1353">
      <c r="A1353" s="101"/>
      <c r="B1353" s="192"/>
      <c r="C1353" s="192" t="s">
        <v>3116</v>
      </c>
      <c r="D1353" s="193" t="s">
        <v>3117</v>
      </c>
      <c r="E1353" s="196">
        <v>9.71504348737E11</v>
      </c>
      <c r="F1353" s="195" t="s">
        <v>2999</v>
      </c>
      <c r="G1353" s="39" t="s">
        <v>172</v>
      </c>
    </row>
    <row r="1354">
      <c r="A1354" s="101"/>
      <c r="B1354" s="192"/>
      <c r="C1354" s="192" t="s">
        <v>3118</v>
      </c>
      <c r="D1354" s="193" t="s">
        <v>3119</v>
      </c>
      <c r="E1354" s="194">
        <v>9.71557663784E11</v>
      </c>
      <c r="F1354" s="195" t="s">
        <v>2999</v>
      </c>
      <c r="G1354" s="39" t="s">
        <v>168</v>
      </c>
    </row>
    <row r="1355">
      <c r="A1355" s="101"/>
      <c r="B1355" s="192"/>
      <c r="C1355" s="192" t="s">
        <v>3120</v>
      </c>
      <c r="D1355" s="193" t="s">
        <v>3121</v>
      </c>
      <c r="E1355" s="194">
        <v>9.71545696955E11</v>
      </c>
      <c r="F1355" s="195" t="s">
        <v>2999</v>
      </c>
    </row>
    <row r="1356">
      <c r="A1356" s="101"/>
      <c r="B1356" s="192"/>
      <c r="C1356" s="192" t="s">
        <v>3122</v>
      </c>
      <c r="D1356" s="193" t="s">
        <v>3123</v>
      </c>
      <c r="E1356" s="194">
        <v>9.71559184537E11</v>
      </c>
      <c r="F1356" s="195" t="s">
        <v>2232</v>
      </c>
      <c r="G1356" s="39" t="s">
        <v>168</v>
      </c>
    </row>
    <row r="1357">
      <c r="A1357" s="101"/>
      <c r="B1357" s="192"/>
      <c r="C1357" s="192" t="s">
        <v>3124</v>
      </c>
      <c r="D1357" s="197" t="s">
        <v>3125</v>
      </c>
      <c r="E1357" s="194" t="s">
        <v>3126</v>
      </c>
      <c r="F1357" s="195" t="s">
        <v>2232</v>
      </c>
      <c r="G1357" s="39" t="s">
        <v>574</v>
      </c>
    </row>
    <row r="1358">
      <c r="A1358" s="101"/>
      <c r="B1358" s="192"/>
      <c r="C1358" s="192" t="s">
        <v>3127</v>
      </c>
      <c r="D1358" s="197" t="s">
        <v>3128</v>
      </c>
      <c r="E1358" s="196">
        <v>9.71556550006E11</v>
      </c>
      <c r="F1358" s="195" t="s">
        <v>2232</v>
      </c>
      <c r="G1358" s="39" t="s">
        <v>168</v>
      </c>
    </row>
    <row r="1359">
      <c r="A1359" s="101"/>
      <c r="B1359" s="192"/>
      <c r="C1359" s="192" t="s">
        <v>3129</v>
      </c>
      <c r="D1359" s="197" t="s">
        <v>3130</v>
      </c>
      <c r="E1359" s="196">
        <v>9.71561106066E11</v>
      </c>
      <c r="F1359" s="195" t="s">
        <v>2232</v>
      </c>
      <c r="G1359" s="39" t="s">
        <v>574</v>
      </c>
    </row>
    <row r="1360">
      <c r="A1360" s="101"/>
      <c r="B1360" s="192"/>
      <c r="C1360" s="192" t="s">
        <v>3131</v>
      </c>
      <c r="D1360" s="193" t="s">
        <v>3132</v>
      </c>
      <c r="E1360" s="196">
        <v>4.47831881529E11</v>
      </c>
      <c r="F1360" s="195" t="s">
        <v>2232</v>
      </c>
      <c r="G1360" s="39" t="s">
        <v>3133</v>
      </c>
    </row>
    <row r="1361">
      <c r="A1361" s="101"/>
      <c r="B1361" s="192"/>
      <c r="C1361" s="192" t="s">
        <v>3134</v>
      </c>
      <c r="D1361" s="193" t="s">
        <v>3135</v>
      </c>
      <c r="E1361" s="194">
        <f>+971508566067</f>
        <v>971508566067</v>
      </c>
      <c r="F1361" s="195" t="s">
        <v>2999</v>
      </c>
      <c r="G1361" s="39" t="s">
        <v>574</v>
      </c>
    </row>
    <row r="1362">
      <c r="A1362" s="101"/>
      <c r="B1362" s="192"/>
      <c r="C1362" s="192" t="s">
        <v>3136</v>
      </c>
      <c r="D1362" s="199" t="s">
        <v>3137</v>
      </c>
      <c r="E1362" s="195">
        <f>971504409860</f>
        <v>971504409860</v>
      </c>
      <c r="F1362" s="195" t="s">
        <v>2999</v>
      </c>
      <c r="G1362" s="39" t="s">
        <v>574</v>
      </c>
    </row>
    <row r="1363">
      <c r="A1363" s="101"/>
      <c r="B1363" s="192"/>
      <c r="C1363" s="192" t="s">
        <v>3138</v>
      </c>
      <c r="D1363" s="193" t="s">
        <v>3139</v>
      </c>
      <c r="E1363" s="196">
        <v>9.71565016302E11</v>
      </c>
      <c r="F1363" s="195" t="s">
        <v>2999</v>
      </c>
      <c r="G1363" s="39" t="s">
        <v>3140</v>
      </c>
    </row>
    <row r="1364">
      <c r="A1364" s="101"/>
      <c r="B1364" s="192"/>
      <c r="C1364" s="192" t="s">
        <v>3141</v>
      </c>
      <c r="D1364" s="193" t="s">
        <v>3142</v>
      </c>
      <c r="E1364" s="196">
        <v>9.66570760605E11</v>
      </c>
      <c r="F1364" s="195" t="s">
        <v>2999</v>
      </c>
      <c r="G1364" s="39" t="s">
        <v>574</v>
      </c>
    </row>
    <row r="1365">
      <c r="A1365" s="101"/>
      <c r="B1365" s="192"/>
      <c r="C1365" s="192" t="s">
        <v>3143</v>
      </c>
      <c r="D1365" s="193" t="s">
        <v>3144</v>
      </c>
      <c r="E1365" s="194" t="s">
        <v>3145</v>
      </c>
      <c r="F1365" s="195" t="s">
        <v>2999</v>
      </c>
      <c r="G1365" s="39" t="s">
        <v>3146</v>
      </c>
    </row>
    <row r="1366">
      <c r="A1366" s="101"/>
      <c r="B1366" s="192"/>
      <c r="C1366" s="192" t="s">
        <v>3147</v>
      </c>
      <c r="D1366" s="193" t="s">
        <v>3148</v>
      </c>
      <c r="E1366" s="194">
        <v>9.71555965036E11</v>
      </c>
      <c r="F1366" s="195" t="s">
        <v>2999</v>
      </c>
      <c r="G1366" s="39" t="s">
        <v>574</v>
      </c>
    </row>
    <row r="1367">
      <c r="A1367" s="101"/>
      <c r="B1367" s="192"/>
      <c r="C1367" s="192" t="s">
        <v>3149</v>
      </c>
      <c r="D1367" s="197" t="s">
        <v>3150</v>
      </c>
      <c r="E1367" s="194">
        <v>9.71544211188E11</v>
      </c>
      <c r="F1367" s="195" t="s">
        <v>2999</v>
      </c>
      <c r="G1367" s="39" t="s">
        <v>168</v>
      </c>
    </row>
    <row r="1368">
      <c r="A1368" s="101"/>
      <c r="B1368" s="192"/>
      <c r="C1368" s="192" t="s">
        <v>3151</v>
      </c>
      <c r="D1368" s="198" t="s">
        <v>2361</v>
      </c>
      <c r="E1368" s="196">
        <v>9.23234694314E11</v>
      </c>
      <c r="F1368" s="195" t="s">
        <v>2999</v>
      </c>
      <c r="G1368" s="39"/>
    </row>
    <row r="1369">
      <c r="A1369" s="101"/>
      <c r="B1369" s="192"/>
      <c r="C1369" s="192" t="s">
        <v>3152</v>
      </c>
      <c r="D1369" s="193" t="s">
        <v>3153</v>
      </c>
      <c r="E1369" s="194">
        <v>9.71527312286E11</v>
      </c>
      <c r="F1369" s="195" t="s">
        <v>2999</v>
      </c>
      <c r="G1369" s="39" t="s">
        <v>3154</v>
      </c>
    </row>
    <row r="1370">
      <c r="A1370" s="101"/>
      <c r="B1370" s="192"/>
      <c r="C1370" s="192" t="s">
        <v>3155</v>
      </c>
      <c r="D1370" s="197" t="s">
        <v>3156</v>
      </c>
      <c r="E1370" s="196">
        <v>9.71555523E11</v>
      </c>
      <c r="F1370" s="195" t="s">
        <v>2999</v>
      </c>
    </row>
    <row r="1371">
      <c r="A1371" s="101"/>
      <c r="B1371" s="192"/>
      <c r="C1371" s="192" t="s">
        <v>3157</v>
      </c>
      <c r="D1371" s="197" t="s">
        <v>3158</v>
      </c>
      <c r="E1371" s="196">
        <f>+971561140297</f>
        <v>971561140297</v>
      </c>
      <c r="F1371" s="195" t="s">
        <v>2999</v>
      </c>
      <c r="G1371" s="39" t="s">
        <v>168</v>
      </c>
    </row>
    <row r="1372">
      <c r="A1372" s="101"/>
      <c r="B1372" s="192"/>
      <c r="C1372" s="192" t="s">
        <v>3159</v>
      </c>
      <c r="D1372" s="193" t="s">
        <v>3160</v>
      </c>
      <c r="E1372" s="194">
        <v>9.7150224723E11</v>
      </c>
      <c r="F1372" s="195" t="s">
        <v>2999</v>
      </c>
      <c r="G1372" s="39" t="s">
        <v>979</v>
      </c>
    </row>
    <row r="1373">
      <c r="A1373" s="101"/>
      <c r="B1373" s="192"/>
      <c r="C1373" s="192" t="s">
        <v>3161</v>
      </c>
      <c r="D1373" s="197" t="s">
        <v>3162</v>
      </c>
      <c r="E1373" s="196">
        <v>9.23439253375E11</v>
      </c>
      <c r="F1373" s="195" t="s">
        <v>2999</v>
      </c>
    </row>
    <row r="1374">
      <c r="A1374" s="101"/>
      <c r="B1374" s="192"/>
      <c r="C1374" s="192" t="s">
        <v>3163</v>
      </c>
      <c r="D1374" s="200" t="s">
        <v>3164</v>
      </c>
      <c r="E1374" s="199">
        <v>9.71525173612E11</v>
      </c>
      <c r="F1374" s="195" t="s">
        <v>2999</v>
      </c>
      <c r="G1374" s="39" t="s">
        <v>168</v>
      </c>
    </row>
    <row r="1375">
      <c r="A1375" s="101"/>
      <c r="B1375" s="192"/>
      <c r="C1375" s="192" t="s">
        <v>3165</v>
      </c>
      <c r="D1375" s="197" t="s">
        <v>3166</v>
      </c>
      <c r="E1375" s="196">
        <v>9.71508002192E11</v>
      </c>
      <c r="F1375" s="195" t="s">
        <v>2999</v>
      </c>
      <c r="G1375" s="39" t="s">
        <v>168</v>
      </c>
    </row>
    <row r="1376">
      <c r="A1376" s="101"/>
      <c r="B1376" s="192"/>
      <c r="C1376" s="192" t="s">
        <v>3167</v>
      </c>
      <c r="D1376" s="201" t="s">
        <v>3168</v>
      </c>
      <c r="E1376" s="196" t="s">
        <v>3169</v>
      </c>
      <c r="F1376" s="195" t="s">
        <v>2999</v>
      </c>
      <c r="G1376" s="39" t="s">
        <v>168</v>
      </c>
    </row>
    <row r="1377">
      <c r="A1377" s="101"/>
      <c r="B1377" s="192"/>
      <c r="C1377" s="192" t="s">
        <v>3170</v>
      </c>
      <c r="D1377" s="197" t="s">
        <v>3171</v>
      </c>
      <c r="E1377" s="196">
        <v>9.71502206417E11</v>
      </c>
      <c r="F1377" s="195" t="s">
        <v>2999</v>
      </c>
      <c r="G1377" s="39" t="s">
        <v>168</v>
      </c>
    </row>
    <row r="1378">
      <c r="A1378" s="101"/>
      <c r="B1378" s="192"/>
      <c r="C1378" s="192" t="s">
        <v>3172</v>
      </c>
      <c r="D1378" s="197" t="s">
        <v>3173</v>
      </c>
      <c r="E1378" s="196">
        <v>9.23083638056E11</v>
      </c>
      <c r="F1378" s="195" t="s">
        <v>2999</v>
      </c>
    </row>
    <row r="1379">
      <c r="A1379" s="101"/>
      <c r="B1379" s="192"/>
      <c r="C1379" s="192" t="s">
        <v>3174</v>
      </c>
      <c r="D1379" s="197" t="s">
        <v>3175</v>
      </c>
      <c r="E1379" s="196">
        <v>4.47818026609E11</v>
      </c>
      <c r="F1379" s="195" t="s">
        <v>2999</v>
      </c>
    </row>
    <row r="1380">
      <c r="A1380" s="101"/>
      <c r="B1380" s="192"/>
      <c r="C1380" s="192" t="s">
        <v>3176</v>
      </c>
      <c r="D1380" s="200" t="s">
        <v>3177</v>
      </c>
      <c r="E1380" s="199">
        <f>79037262717</f>
        <v>79037262717</v>
      </c>
      <c r="F1380" s="195" t="s">
        <v>2999</v>
      </c>
    </row>
    <row r="1381">
      <c r="A1381" s="101"/>
      <c r="B1381" s="192"/>
      <c r="C1381" s="192" t="s">
        <v>2272</v>
      </c>
      <c r="D1381" s="197" t="s">
        <v>2273</v>
      </c>
      <c r="E1381" s="196">
        <v>9.7155690808E11</v>
      </c>
      <c r="F1381" s="195" t="s">
        <v>2232</v>
      </c>
      <c r="G1381" s="39" t="s">
        <v>574</v>
      </c>
    </row>
    <row r="1382">
      <c r="A1382" s="101"/>
      <c r="B1382" s="192"/>
      <c r="C1382" s="192" t="s">
        <v>2337</v>
      </c>
      <c r="D1382" s="198" t="s">
        <v>2338</v>
      </c>
      <c r="E1382" s="194" t="s">
        <v>2339</v>
      </c>
      <c r="F1382" s="195" t="s">
        <v>2232</v>
      </c>
      <c r="G1382" s="39" t="s">
        <v>3178</v>
      </c>
    </row>
    <row r="1383">
      <c r="A1383" s="101"/>
      <c r="B1383" s="192"/>
      <c r="C1383" s="192" t="s">
        <v>2380</v>
      </c>
      <c r="D1383" s="197" t="s">
        <v>2202</v>
      </c>
      <c r="E1383" s="196">
        <v>9.23458676247E11</v>
      </c>
      <c r="F1383" s="195" t="s">
        <v>2232</v>
      </c>
      <c r="G1383" s="39" t="s">
        <v>168</v>
      </c>
    </row>
    <row r="1384">
      <c r="A1384" s="101"/>
      <c r="B1384" s="192"/>
      <c r="C1384" s="192" t="s">
        <v>3179</v>
      </c>
      <c r="D1384" s="197" t="s">
        <v>3180</v>
      </c>
      <c r="E1384" s="196">
        <f>+923004330106</f>
        <v>923004330106</v>
      </c>
      <c r="F1384" s="195" t="s">
        <v>2232</v>
      </c>
    </row>
    <row r="1385">
      <c r="A1385" s="101"/>
      <c r="B1385" s="192"/>
      <c r="C1385" s="192" t="s">
        <v>3181</v>
      </c>
      <c r="D1385" s="197" t="s">
        <v>3182</v>
      </c>
      <c r="E1385" s="196">
        <v>9.71551045377E11</v>
      </c>
      <c r="F1385" s="195" t="s">
        <v>2999</v>
      </c>
      <c r="G1385" s="39" t="s">
        <v>168</v>
      </c>
    </row>
    <row r="1386">
      <c r="A1386" s="101"/>
      <c r="B1386" s="192"/>
      <c r="C1386" s="192" t="s">
        <v>3183</v>
      </c>
      <c r="D1386" s="197" t="s">
        <v>3184</v>
      </c>
      <c r="E1386" s="196">
        <f>+447401573852</f>
        <v>447401573852</v>
      </c>
      <c r="F1386" s="195" t="s">
        <v>2232</v>
      </c>
    </row>
    <row r="1387">
      <c r="A1387" s="101"/>
      <c r="B1387" s="192"/>
      <c r="C1387" s="192" t="s">
        <v>3185</v>
      </c>
      <c r="D1387" s="197" t="s">
        <v>3186</v>
      </c>
      <c r="E1387" s="196">
        <f>+96566626242</f>
        <v>96566626242</v>
      </c>
      <c r="F1387" s="195" t="s">
        <v>2232</v>
      </c>
      <c r="G1387" s="39" t="s">
        <v>3187</v>
      </c>
    </row>
    <row r="1388">
      <c r="A1388" s="101"/>
      <c r="B1388" s="192"/>
      <c r="C1388" s="192" t="s">
        <v>3188</v>
      </c>
      <c r="D1388" s="197" t="s">
        <v>3189</v>
      </c>
      <c r="E1388" s="196">
        <v>9.71506751234E11</v>
      </c>
      <c r="F1388" s="195" t="s">
        <v>2999</v>
      </c>
      <c r="G1388" s="39" t="s">
        <v>168</v>
      </c>
    </row>
    <row r="1389">
      <c r="A1389" s="101"/>
      <c r="B1389" s="192"/>
      <c r="C1389" s="192" t="s">
        <v>3190</v>
      </c>
      <c r="D1389" s="201" t="s">
        <v>3191</v>
      </c>
      <c r="E1389" s="196" t="s">
        <v>3192</v>
      </c>
      <c r="F1389" s="195" t="s">
        <v>2999</v>
      </c>
      <c r="G1389" s="39" t="s">
        <v>168</v>
      </c>
    </row>
    <row r="1390">
      <c r="A1390" s="101"/>
      <c r="B1390" s="192"/>
      <c r="C1390" s="192" t="s">
        <v>3193</v>
      </c>
      <c r="D1390" s="197" t="s">
        <v>3194</v>
      </c>
      <c r="E1390" s="196" t="s">
        <v>3195</v>
      </c>
      <c r="F1390" s="195" t="s">
        <v>2999</v>
      </c>
      <c r="G1390" s="39" t="s">
        <v>168</v>
      </c>
    </row>
    <row r="1391">
      <c r="A1391" s="101"/>
      <c r="B1391" s="192"/>
      <c r="C1391" s="192" t="s">
        <v>3196</v>
      </c>
      <c r="D1391" s="197" t="s">
        <v>3197</v>
      </c>
      <c r="E1391" s="196">
        <v>9.71527663733E11</v>
      </c>
      <c r="F1391" s="195" t="s">
        <v>2999</v>
      </c>
    </row>
    <row r="1392">
      <c r="A1392" s="101"/>
      <c r="B1392" s="192"/>
      <c r="C1392" s="192" t="s">
        <v>3198</v>
      </c>
      <c r="D1392" s="197" t="s">
        <v>3199</v>
      </c>
      <c r="E1392" s="196">
        <v>9.71508884293E11</v>
      </c>
      <c r="F1392" s="195" t="s">
        <v>2999</v>
      </c>
      <c r="G1392" s="39" t="s">
        <v>168</v>
      </c>
    </row>
    <row r="1393">
      <c r="A1393" s="101"/>
      <c r="B1393" s="192"/>
      <c r="C1393" s="192" t="s">
        <v>3200</v>
      </c>
      <c r="D1393" s="197" t="s">
        <v>3201</v>
      </c>
      <c r="E1393" s="196">
        <f>+971504444534</f>
        <v>971504444534</v>
      </c>
      <c r="F1393" s="195" t="s">
        <v>2999</v>
      </c>
      <c r="G1393" s="39" t="s">
        <v>574</v>
      </c>
    </row>
    <row r="1394">
      <c r="A1394" s="101"/>
      <c r="B1394" s="192"/>
      <c r="C1394" s="192" t="s">
        <v>3202</v>
      </c>
      <c r="D1394" s="197" t="s">
        <v>3203</v>
      </c>
      <c r="E1394" s="196">
        <f>+971557410999</f>
        <v>971557410999</v>
      </c>
      <c r="F1394" s="195" t="s">
        <v>2999</v>
      </c>
      <c r="G1394" s="39" t="s">
        <v>574</v>
      </c>
    </row>
    <row r="1395">
      <c r="A1395" s="101"/>
      <c r="B1395" s="192"/>
      <c r="C1395" s="192" t="s">
        <v>3204</v>
      </c>
      <c r="D1395" s="197" t="s">
        <v>3205</v>
      </c>
      <c r="E1395" s="196">
        <f>+923008184774</f>
        <v>923008184774</v>
      </c>
      <c r="F1395" s="195" t="s">
        <v>2999</v>
      </c>
    </row>
    <row r="1396">
      <c r="A1396" s="101"/>
      <c r="B1396" s="192"/>
      <c r="C1396" s="192" t="s">
        <v>3206</v>
      </c>
      <c r="D1396" s="201" t="s">
        <v>3207</v>
      </c>
      <c r="E1396" s="196">
        <f>+971565533348</f>
        <v>971565533348</v>
      </c>
      <c r="F1396" s="195" t="s">
        <v>2999</v>
      </c>
      <c r="G1396" s="39" t="s">
        <v>172</v>
      </c>
    </row>
    <row r="1397">
      <c r="A1397" s="101"/>
      <c r="B1397" s="192"/>
      <c r="C1397" s="192" t="s">
        <v>3208</v>
      </c>
      <c r="D1397" s="197" t="s">
        <v>3209</v>
      </c>
      <c r="E1397" s="196">
        <f>+526444142281</f>
        <v>526444142281</v>
      </c>
      <c r="F1397" s="195" t="s">
        <v>2999</v>
      </c>
      <c r="G1397" s="39" t="s">
        <v>172</v>
      </c>
    </row>
    <row r="1398">
      <c r="A1398" s="101"/>
      <c r="B1398" s="192"/>
      <c r="C1398" s="192" t="s">
        <v>3210</v>
      </c>
      <c r="D1398" s="197" t="s">
        <v>3211</v>
      </c>
      <c r="E1398" s="196">
        <f>+971503366118</f>
        <v>971503366118</v>
      </c>
      <c r="F1398" s="195" t="s">
        <v>2999</v>
      </c>
      <c r="G1398" s="39" t="s">
        <v>168</v>
      </c>
    </row>
    <row r="1399">
      <c r="A1399" s="202"/>
      <c r="B1399" s="203"/>
      <c r="C1399" s="192" t="s">
        <v>3212</v>
      </c>
      <c r="D1399" s="201" t="s">
        <v>3213</v>
      </c>
      <c r="E1399" s="196">
        <f>+971565258789</f>
        <v>971565258789</v>
      </c>
      <c r="F1399" s="195" t="s">
        <v>2999</v>
      </c>
      <c r="G1399" s="39" t="s">
        <v>168</v>
      </c>
    </row>
    <row r="1400">
      <c r="A1400" s="202"/>
      <c r="B1400" s="203"/>
      <c r="C1400" s="192" t="s">
        <v>3214</v>
      </c>
      <c r="D1400" s="197" t="s">
        <v>3215</v>
      </c>
      <c r="E1400" s="196">
        <f>+971557510020</f>
        <v>971557510020</v>
      </c>
      <c r="F1400" s="195" t="s">
        <v>2999</v>
      </c>
      <c r="G1400" s="39" t="s">
        <v>3216</v>
      </c>
    </row>
    <row r="1401">
      <c r="A1401" s="202"/>
      <c r="B1401" s="203"/>
      <c r="C1401" s="192" t="s">
        <v>3217</v>
      </c>
      <c r="D1401" s="197" t="s">
        <v>3218</v>
      </c>
      <c r="E1401" s="196">
        <f>+971503319334</f>
        <v>971503319334</v>
      </c>
      <c r="F1401" s="195" t="s">
        <v>2999</v>
      </c>
      <c r="G1401" s="39" t="s">
        <v>168</v>
      </c>
    </row>
    <row r="1402">
      <c r="A1402" s="202"/>
      <c r="B1402" s="203"/>
      <c r="C1402" s="192" t="s">
        <v>3219</v>
      </c>
      <c r="D1402" s="197" t="s">
        <v>3220</v>
      </c>
      <c r="E1402" s="196">
        <f>+971504464272</f>
        <v>971504464272</v>
      </c>
      <c r="F1402" s="195" t="s">
        <v>2999</v>
      </c>
      <c r="G1402" s="39" t="s">
        <v>168</v>
      </c>
    </row>
    <row r="1403">
      <c r="A1403" s="202"/>
      <c r="B1403" s="203"/>
      <c r="C1403" s="192" t="s">
        <v>3221</v>
      </c>
      <c r="D1403" s="197" t="s">
        <v>3222</v>
      </c>
      <c r="E1403" s="196">
        <f>+971505586413</f>
        <v>971505586413</v>
      </c>
      <c r="F1403" s="195" t="s">
        <v>2999</v>
      </c>
      <c r="G1403" s="39" t="s">
        <v>574</v>
      </c>
    </row>
    <row r="1404">
      <c r="A1404" s="202"/>
      <c r="B1404" s="203"/>
      <c r="C1404" s="192" t="s">
        <v>3223</v>
      </c>
      <c r="D1404" s="197" t="s">
        <v>3224</v>
      </c>
      <c r="E1404" s="196">
        <f>+971553506444</f>
        <v>971553506444</v>
      </c>
      <c r="F1404" s="195" t="s">
        <v>2999</v>
      </c>
      <c r="G1404" s="39" t="s">
        <v>168</v>
      </c>
    </row>
    <row r="1405">
      <c r="A1405" s="202"/>
      <c r="B1405" s="203"/>
      <c r="C1405" s="192" t="s">
        <v>3225</v>
      </c>
      <c r="D1405" s="197" t="s">
        <v>3226</v>
      </c>
      <c r="E1405" s="196">
        <f>+971505944339</f>
        <v>971505944339</v>
      </c>
      <c r="F1405" s="195" t="s">
        <v>2999</v>
      </c>
      <c r="G1405" s="39" t="s">
        <v>574</v>
      </c>
    </row>
    <row r="1406">
      <c r="A1406" s="202"/>
      <c r="B1406" s="203"/>
      <c r="C1406" s="192" t="s">
        <v>3227</v>
      </c>
      <c r="D1406" s="197" t="s">
        <v>3228</v>
      </c>
      <c r="E1406" s="196">
        <f>+971585612959</f>
        <v>971585612959</v>
      </c>
      <c r="F1406" s="195" t="s">
        <v>2999</v>
      </c>
      <c r="G1406" s="39" t="s">
        <v>3229</v>
      </c>
    </row>
    <row r="1407">
      <c r="A1407" s="202"/>
      <c r="B1407" s="203"/>
      <c r="C1407" s="192" t="s">
        <v>3230</v>
      </c>
      <c r="D1407" s="197" t="s">
        <v>3231</v>
      </c>
      <c r="E1407" s="196">
        <f>+971504554947</f>
        <v>971504554947</v>
      </c>
      <c r="F1407" s="195" t="s">
        <v>2999</v>
      </c>
      <c r="G1407" s="39" t="s">
        <v>168</v>
      </c>
    </row>
    <row r="1408">
      <c r="A1408" s="202"/>
      <c r="B1408" s="203"/>
      <c r="C1408" s="192" t="s">
        <v>3232</v>
      </c>
      <c r="D1408" s="197" t="s">
        <v>3233</v>
      </c>
      <c r="E1408" s="196">
        <f>+971506416269</f>
        <v>971506416269</v>
      </c>
      <c r="F1408" s="195" t="s">
        <v>2999</v>
      </c>
      <c r="G1408" s="39" t="s">
        <v>168</v>
      </c>
    </row>
    <row r="1409">
      <c r="A1409" s="202"/>
      <c r="B1409" s="203"/>
      <c r="C1409" s="192" t="s">
        <v>3234</v>
      </c>
      <c r="D1409" s="197" t="s">
        <v>3235</v>
      </c>
      <c r="E1409" s="196" t="s">
        <v>3236</v>
      </c>
      <c r="F1409" s="195" t="s">
        <v>2999</v>
      </c>
      <c r="G1409" s="39" t="s">
        <v>574</v>
      </c>
    </row>
    <row r="1410">
      <c r="A1410" s="202"/>
      <c r="B1410" s="203"/>
      <c r="C1410" s="192" t="s">
        <v>3237</v>
      </c>
      <c r="D1410" s="197" t="s">
        <v>3238</v>
      </c>
      <c r="E1410" s="196">
        <f>+971555486147</f>
        <v>971555486147</v>
      </c>
      <c r="F1410" s="195" t="s">
        <v>2999</v>
      </c>
      <c r="G1410" s="39" t="s">
        <v>574</v>
      </c>
    </row>
    <row r="1411">
      <c r="A1411" s="202"/>
      <c r="B1411" s="203"/>
      <c r="C1411" s="192" t="s">
        <v>3239</v>
      </c>
      <c r="D1411" s="197" t="s">
        <v>3240</v>
      </c>
      <c r="E1411" s="196" t="s">
        <v>3241</v>
      </c>
      <c r="F1411" s="195" t="s">
        <v>2999</v>
      </c>
      <c r="G1411" s="39" t="s">
        <v>574</v>
      </c>
    </row>
    <row r="1412">
      <c r="A1412" s="202"/>
      <c r="B1412" s="203"/>
      <c r="C1412" s="192" t="s">
        <v>3242</v>
      </c>
      <c r="D1412" s="197" t="s">
        <v>3243</v>
      </c>
      <c r="E1412" s="196">
        <f>+971521351036</f>
        <v>971521351036</v>
      </c>
      <c r="F1412" s="195" t="s">
        <v>2999</v>
      </c>
      <c r="G1412" s="39" t="s">
        <v>574</v>
      </c>
    </row>
    <row r="1413">
      <c r="A1413" s="202"/>
      <c r="B1413" s="203"/>
      <c r="C1413" s="192" t="s">
        <v>3244</v>
      </c>
      <c r="D1413" s="197" t="s">
        <v>3245</v>
      </c>
      <c r="E1413" s="196">
        <f>+966545700001</f>
        <v>966545700001</v>
      </c>
      <c r="F1413" s="195" t="s">
        <v>2999</v>
      </c>
      <c r="G1413" s="39" t="s">
        <v>2068</v>
      </c>
    </row>
    <row r="1414">
      <c r="A1414" s="202"/>
      <c r="B1414" s="203"/>
      <c r="C1414" s="192" t="s">
        <v>3246</v>
      </c>
      <c r="D1414" s="197" t="s">
        <v>3247</v>
      </c>
      <c r="E1414" s="196">
        <v>9.71055981771E11</v>
      </c>
      <c r="F1414" s="195" t="s">
        <v>2999</v>
      </c>
      <c r="G1414" s="39" t="s">
        <v>979</v>
      </c>
    </row>
    <row r="1415">
      <c r="A1415" s="202"/>
      <c r="B1415" s="203"/>
      <c r="C1415" s="192" t="s">
        <v>3248</v>
      </c>
      <c r="D1415" s="197" t="s">
        <v>3249</v>
      </c>
      <c r="E1415" s="196">
        <f>+971551880018</f>
        <v>971551880018</v>
      </c>
      <c r="F1415" s="195" t="s">
        <v>2999</v>
      </c>
      <c r="G1415" s="39" t="s">
        <v>574</v>
      </c>
    </row>
    <row r="1416">
      <c r="A1416" s="202"/>
      <c r="B1416" s="203"/>
      <c r="C1416" s="192" t="s">
        <v>3250</v>
      </c>
      <c r="D1416" s="197" t="s">
        <v>3251</v>
      </c>
      <c r="E1416" s="196">
        <f>+966532553300</f>
        <v>966532553300</v>
      </c>
      <c r="F1416" s="195" t="s">
        <v>2999</v>
      </c>
      <c r="G1416" s="39" t="s">
        <v>3252</v>
      </c>
    </row>
    <row r="1417">
      <c r="A1417" s="202"/>
      <c r="B1417" s="203"/>
      <c r="C1417" s="192" t="s">
        <v>3253</v>
      </c>
      <c r="D1417" s="201" t="s">
        <v>3254</v>
      </c>
      <c r="E1417" s="196">
        <v>9.23427373522E11</v>
      </c>
      <c r="F1417" s="195" t="s">
        <v>2999</v>
      </c>
      <c r="G1417" s="39" t="s">
        <v>3255</v>
      </c>
    </row>
    <row r="1418">
      <c r="A1418" s="202"/>
      <c r="B1418" s="203"/>
      <c r="C1418" s="192" t="s">
        <v>3256</v>
      </c>
      <c r="D1418" s="197" t="s">
        <v>3257</v>
      </c>
      <c r="E1418" s="196">
        <v>9.71565349562E11</v>
      </c>
      <c r="F1418" s="195" t="s">
        <v>2999</v>
      </c>
    </row>
    <row r="1419">
      <c r="A1419" s="202"/>
      <c r="B1419" s="203"/>
      <c r="C1419" s="192" t="s">
        <v>3258</v>
      </c>
      <c r="D1419" s="197" t="s">
        <v>2206</v>
      </c>
      <c r="E1419" s="196">
        <v>9.71528535042E11</v>
      </c>
      <c r="F1419" s="195" t="s">
        <v>2999</v>
      </c>
      <c r="G1419" s="39" t="s">
        <v>574</v>
      </c>
    </row>
    <row r="1420">
      <c r="A1420" s="202"/>
      <c r="B1420" s="203"/>
      <c r="C1420" s="192" t="s">
        <v>3259</v>
      </c>
      <c r="D1420" s="197" t="s">
        <v>3260</v>
      </c>
      <c r="E1420" s="196">
        <v>9.7158214665E11</v>
      </c>
      <c r="F1420" s="195" t="s">
        <v>2999</v>
      </c>
      <c r="G1420" s="39" t="s">
        <v>3261</v>
      </c>
    </row>
    <row r="1421">
      <c r="A1421" s="202"/>
      <c r="B1421" s="203"/>
      <c r="C1421" s="192" t="s">
        <v>3262</v>
      </c>
      <c r="D1421" s="197" t="s">
        <v>3263</v>
      </c>
      <c r="E1421" s="196">
        <v>4.47803041461E11</v>
      </c>
      <c r="F1421" s="195" t="s">
        <v>2999</v>
      </c>
      <c r="G1421" s="39" t="s">
        <v>3264</v>
      </c>
    </row>
    <row r="1422">
      <c r="A1422" s="202"/>
      <c r="B1422" s="203"/>
      <c r="C1422" s="192" t="s">
        <v>3265</v>
      </c>
      <c r="D1422" s="197" t="s">
        <v>3266</v>
      </c>
      <c r="E1422" s="196">
        <v>9.71555562929E11</v>
      </c>
      <c r="F1422" s="195" t="s">
        <v>2999</v>
      </c>
    </row>
    <row r="1423">
      <c r="A1423" s="202"/>
      <c r="B1423" s="203"/>
      <c r="C1423" s="192" t="s">
        <v>3267</v>
      </c>
      <c r="D1423" s="197" t="s">
        <v>3268</v>
      </c>
      <c r="E1423" s="196">
        <v>9.66504328357E11</v>
      </c>
      <c r="F1423" s="195" t="s">
        <v>2999</v>
      </c>
      <c r="G1423" s="39" t="s">
        <v>3269</v>
      </c>
    </row>
    <row r="1424">
      <c r="A1424" s="202"/>
      <c r="B1424" s="203"/>
      <c r="C1424" s="192" t="s">
        <v>3270</v>
      </c>
      <c r="D1424" s="197" t="s">
        <v>3271</v>
      </c>
      <c r="E1424" s="196" t="s">
        <v>3272</v>
      </c>
      <c r="F1424" s="195" t="s">
        <v>2999</v>
      </c>
      <c r="G1424" s="39" t="s">
        <v>168</v>
      </c>
    </row>
    <row r="1425">
      <c r="A1425" s="202"/>
      <c r="B1425" s="203"/>
      <c r="C1425" s="192" t="s">
        <v>3273</v>
      </c>
      <c r="D1425" s="200" t="s">
        <v>3274</v>
      </c>
      <c r="E1425" s="199" t="s">
        <v>3275</v>
      </c>
      <c r="F1425" s="195" t="s">
        <v>2999</v>
      </c>
      <c r="G1425" s="39" t="s">
        <v>574</v>
      </c>
    </row>
    <row r="1426">
      <c r="A1426" s="202"/>
      <c r="B1426" s="203"/>
      <c r="C1426" s="192" t="s">
        <v>3276</v>
      </c>
      <c r="D1426" s="197" t="s">
        <v>3277</v>
      </c>
      <c r="E1426" s="196">
        <v>9.71564557009E11</v>
      </c>
      <c r="F1426" s="195" t="s">
        <v>2999</v>
      </c>
      <c r="G1426" s="39" t="s">
        <v>574</v>
      </c>
    </row>
    <row r="1427">
      <c r="A1427" s="202"/>
      <c r="B1427" s="203"/>
      <c r="C1427" s="192" t="s">
        <v>3278</v>
      </c>
      <c r="D1427" s="197" t="s">
        <v>3279</v>
      </c>
      <c r="E1427" s="196">
        <v>9.71558484545E11</v>
      </c>
      <c r="F1427" s="195" t="s">
        <v>2999</v>
      </c>
      <c r="G1427" s="39" t="s">
        <v>574</v>
      </c>
    </row>
    <row r="1428">
      <c r="A1428" s="202"/>
      <c r="B1428" s="203"/>
      <c r="C1428" s="192" t="s">
        <v>3280</v>
      </c>
      <c r="D1428" s="197" t="s">
        <v>3281</v>
      </c>
      <c r="E1428" s="196" t="s">
        <v>3282</v>
      </c>
      <c r="F1428" s="195" t="s">
        <v>2999</v>
      </c>
      <c r="G1428" s="39" t="s">
        <v>574</v>
      </c>
    </row>
    <row r="1429">
      <c r="A1429" s="202"/>
      <c r="B1429" s="203"/>
      <c r="C1429" s="192" t="s">
        <v>3283</v>
      </c>
      <c r="D1429" s="197" t="s">
        <v>3284</v>
      </c>
      <c r="E1429" s="196" t="s">
        <v>3285</v>
      </c>
      <c r="F1429" s="195" t="s">
        <v>2999</v>
      </c>
      <c r="G1429" s="39" t="s">
        <v>574</v>
      </c>
    </row>
    <row r="1430">
      <c r="A1430" s="202"/>
      <c r="B1430" s="203"/>
      <c r="C1430" s="192" t="s">
        <v>3286</v>
      </c>
      <c r="D1430" s="197" t="s">
        <v>3287</v>
      </c>
      <c r="E1430" s="196" t="s">
        <v>3288</v>
      </c>
      <c r="F1430" s="195" t="s">
        <v>2999</v>
      </c>
      <c r="G1430" s="39" t="s">
        <v>168</v>
      </c>
    </row>
    <row r="1431">
      <c r="A1431" s="202"/>
      <c r="B1431" s="203"/>
      <c r="C1431" s="192" t="s">
        <v>3289</v>
      </c>
      <c r="D1431" s="197" t="s">
        <v>3290</v>
      </c>
      <c r="E1431" s="196" t="s">
        <v>3291</v>
      </c>
      <c r="F1431" s="195" t="s">
        <v>2999</v>
      </c>
      <c r="G1431" s="39" t="s">
        <v>3292</v>
      </c>
    </row>
    <row r="1432">
      <c r="A1432" s="202"/>
      <c r="B1432" s="203"/>
      <c r="C1432" s="192" t="s">
        <v>3293</v>
      </c>
      <c r="D1432" s="197" t="s">
        <v>3294</v>
      </c>
      <c r="E1432" s="196" t="s">
        <v>3295</v>
      </c>
      <c r="F1432" s="195" t="s">
        <v>2999</v>
      </c>
      <c r="G1432" s="39" t="s">
        <v>2495</v>
      </c>
    </row>
    <row r="1433">
      <c r="A1433" s="202"/>
      <c r="B1433" s="203"/>
      <c r="C1433" s="192" t="s">
        <v>3296</v>
      </c>
      <c r="D1433" s="197" t="s">
        <v>3297</v>
      </c>
      <c r="E1433" s="196" t="s">
        <v>3298</v>
      </c>
      <c r="F1433" s="195" t="s">
        <v>2999</v>
      </c>
      <c r="G1433" s="39" t="s">
        <v>2495</v>
      </c>
    </row>
    <row r="1434">
      <c r="A1434" s="202"/>
      <c r="B1434" s="203"/>
      <c r="C1434" s="192" t="s">
        <v>3299</v>
      </c>
      <c r="D1434" s="201" t="s">
        <v>3300</v>
      </c>
      <c r="E1434" s="204" t="s">
        <v>3301</v>
      </c>
      <c r="F1434" s="195" t="s">
        <v>2999</v>
      </c>
      <c r="G1434" s="39" t="s">
        <v>574</v>
      </c>
    </row>
    <row r="1435">
      <c r="A1435" s="202"/>
      <c r="B1435" s="203"/>
      <c r="C1435" s="192" t="s">
        <v>3302</v>
      </c>
      <c r="D1435" s="197" t="s">
        <v>3303</v>
      </c>
      <c r="E1435" s="196" t="s">
        <v>3304</v>
      </c>
      <c r="F1435" s="195" t="s">
        <v>2999</v>
      </c>
      <c r="G1435" s="39" t="s">
        <v>168</v>
      </c>
    </row>
    <row r="1436">
      <c r="A1436" s="202"/>
      <c r="B1436" s="203"/>
      <c r="C1436" s="192" t="s">
        <v>3305</v>
      </c>
      <c r="D1436" s="197" t="s">
        <v>3306</v>
      </c>
      <c r="E1436" s="196" t="s">
        <v>3307</v>
      </c>
      <c r="F1436" s="195" t="s">
        <v>2999</v>
      </c>
      <c r="G1436" s="39" t="s">
        <v>3308</v>
      </c>
    </row>
    <row r="1437">
      <c r="A1437" s="202"/>
      <c r="B1437" s="203"/>
      <c r="C1437" s="192" t="s">
        <v>3309</v>
      </c>
      <c r="D1437" s="197" t="s">
        <v>3310</v>
      </c>
      <c r="E1437" s="196" t="s">
        <v>3311</v>
      </c>
      <c r="F1437" s="195" t="s">
        <v>2999</v>
      </c>
      <c r="G1437" s="39" t="s">
        <v>168</v>
      </c>
    </row>
    <row r="1438">
      <c r="A1438" s="202"/>
      <c r="B1438" s="203"/>
      <c r="C1438" s="192" t="s">
        <v>3312</v>
      </c>
      <c r="D1438" s="197" t="s">
        <v>3313</v>
      </c>
      <c r="E1438" s="196" t="s">
        <v>3314</v>
      </c>
      <c r="F1438" s="195" t="s">
        <v>2999</v>
      </c>
      <c r="G1438" s="39" t="s">
        <v>168</v>
      </c>
    </row>
    <row r="1439">
      <c r="A1439" s="202"/>
      <c r="B1439" s="203"/>
      <c r="C1439" s="192" t="s">
        <v>3315</v>
      </c>
      <c r="D1439" s="197" t="s">
        <v>3316</v>
      </c>
      <c r="E1439" s="204" t="s">
        <v>3317</v>
      </c>
      <c r="F1439" s="195" t="s">
        <v>2999</v>
      </c>
    </row>
    <row r="1440">
      <c r="A1440" s="202"/>
      <c r="B1440" s="203"/>
      <c r="C1440" s="192" t="s">
        <v>3318</v>
      </c>
      <c r="D1440" s="197" t="s">
        <v>3319</v>
      </c>
      <c r="E1440" s="194" t="s">
        <v>3320</v>
      </c>
      <c r="F1440" s="195" t="s">
        <v>2999</v>
      </c>
      <c r="G1440" s="39" t="s">
        <v>168</v>
      </c>
    </row>
    <row r="1441">
      <c r="A1441" s="202"/>
      <c r="B1441" s="203"/>
      <c r="C1441" s="192" t="s">
        <v>3321</v>
      </c>
      <c r="D1441" s="197" t="s">
        <v>3322</v>
      </c>
      <c r="E1441" s="194" t="s">
        <v>3323</v>
      </c>
      <c r="F1441" s="195" t="s">
        <v>2999</v>
      </c>
      <c r="G1441" s="39" t="s">
        <v>168</v>
      </c>
    </row>
    <row r="1442">
      <c r="A1442" s="202"/>
      <c r="B1442" s="203"/>
      <c r="C1442" s="192" t="s">
        <v>3324</v>
      </c>
      <c r="D1442" s="201" t="s">
        <v>3325</v>
      </c>
      <c r="E1442" s="194" t="s">
        <v>3326</v>
      </c>
      <c r="F1442" s="195" t="s">
        <v>2999</v>
      </c>
      <c r="G1442" s="39" t="s">
        <v>168</v>
      </c>
    </row>
    <row r="1443">
      <c r="A1443" s="202"/>
      <c r="B1443" s="203"/>
      <c r="C1443" s="192" t="s">
        <v>3327</v>
      </c>
      <c r="D1443" s="197" t="s">
        <v>3328</v>
      </c>
      <c r="E1443" s="196" t="s">
        <v>3329</v>
      </c>
      <c r="F1443" s="195" t="s">
        <v>2999</v>
      </c>
      <c r="G1443" s="39" t="s">
        <v>574</v>
      </c>
    </row>
    <row r="1444">
      <c r="A1444" s="202"/>
      <c r="B1444" s="203"/>
      <c r="C1444" s="192" t="s">
        <v>3330</v>
      </c>
      <c r="D1444" s="197" t="s">
        <v>3331</v>
      </c>
      <c r="E1444" s="196" t="s">
        <v>3332</v>
      </c>
      <c r="F1444" s="195" t="s">
        <v>2999</v>
      </c>
      <c r="G1444" s="39" t="s">
        <v>574</v>
      </c>
    </row>
    <row r="1445">
      <c r="A1445" s="202"/>
      <c r="B1445" s="203"/>
      <c r="C1445" s="192" t="s">
        <v>3333</v>
      </c>
      <c r="D1445" s="197" t="s">
        <v>3334</v>
      </c>
      <c r="E1445" s="196" t="s">
        <v>3335</v>
      </c>
      <c r="F1445" s="195" t="s">
        <v>2999</v>
      </c>
      <c r="G1445" s="39" t="s">
        <v>574</v>
      </c>
    </row>
    <row r="1446">
      <c r="A1446" s="202"/>
      <c r="B1446" s="203"/>
      <c r="C1446" s="192" t="s">
        <v>3336</v>
      </c>
      <c r="D1446" s="193" t="s">
        <v>3337</v>
      </c>
      <c r="E1446" s="199"/>
      <c r="F1446" s="195" t="s">
        <v>2999</v>
      </c>
    </row>
    <row r="1447">
      <c r="A1447" s="202"/>
      <c r="B1447" s="203"/>
      <c r="C1447" s="192" t="s">
        <v>3338</v>
      </c>
      <c r="D1447" s="197" t="s">
        <v>3339</v>
      </c>
      <c r="E1447" s="196" t="s">
        <v>3340</v>
      </c>
      <c r="F1447" s="195" t="s">
        <v>2999</v>
      </c>
    </row>
    <row r="1448">
      <c r="A1448" s="202"/>
      <c r="B1448" s="203"/>
      <c r="C1448" s="192" t="s">
        <v>3341</v>
      </c>
      <c r="D1448" s="197" t="s">
        <v>3342</v>
      </c>
      <c r="E1448" s="196" t="s">
        <v>3343</v>
      </c>
      <c r="F1448" s="195" t="s">
        <v>2999</v>
      </c>
    </row>
    <row r="1449">
      <c r="A1449" s="202"/>
      <c r="B1449" s="203"/>
      <c r="C1449" s="192" t="s">
        <v>3344</v>
      </c>
      <c r="D1449" s="197" t="s">
        <v>3345</v>
      </c>
      <c r="E1449" s="196" t="s">
        <v>3346</v>
      </c>
      <c r="F1449" s="195" t="s">
        <v>2999</v>
      </c>
      <c r="G1449" s="39" t="s">
        <v>574</v>
      </c>
    </row>
    <row r="1450">
      <c r="A1450" s="202"/>
      <c r="B1450" s="203"/>
      <c r="C1450" s="192" t="s">
        <v>3347</v>
      </c>
      <c r="D1450" s="197" t="s">
        <v>3348</v>
      </c>
      <c r="E1450" s="196" t="s">
        <v>3349</v>
      </c>
      <c r="F1450" s="195" t="s">
        <v>2999</v>
      </c>
      <c r="G1450" s="39" t="s">
        <v>168</v>
      </c>
    </row>
    <row r="1451">
      <c r="A1451" s="202"/>
      <c r="B1451" s="203"/>
      <c r="C1451" s="192" t="s">
        <v>3350</v>
      </c>
      <c r="D1451" s="201" t="s">
        <v>3351</v>
      </c>
      <c r="E1451" s="204" t="s">
        <v>3352</v>
      </c>
      <c r="F1451" s="195" t="s">
        <v>2999</v>
      </c>
    </row>
    <row r="1452">
      <c r="A1452" s="202"/>
      <c r="B1452" s="203"/>
      <c r="C1452" s="192" t="s">
        <v>3353</v>
      </c>
      <c r="D1452" s="197" t="s">
        <v>3354</v>
      </c>
      <c r="E1452" s="196" t="s">
        <v>3355</v>
      </c>
      <c r="F1452" s="195" t="s">
        <v>2999</v>
      </c>
    </row>
    <row r="1453">
      <c r="A1453" s="202"/>
      <c r="B1453" s="203"/>
      <c r="C1453" s="192" t="s">
        <v>3356</v>
      </c>
      <c r="D1453" s="197" t="s">
        <v>3357</v>
      </c>
      <c r="E1453" s="196" t="s">
        <v>3358</v>
      </c>
      <c r="F1453" s="195" t="s">
        <v>2999</v>
      </c>
      <c r="G1453" s="39" t="s">
        <v>3359</v>
      </c>
    </row>
    <row r="1454">
      <c r="A1454" s="202"/>
      <c r="B1454" s="203"/>
      <c r="C1454" s="192" t="s">
        <v>3360</v>
      </c>
      <c r="D1454" s="197" t="s">
        <v>3361</v>
      </c>
      <c r="E1454" s="196">
        <v>9.71556685354E11</v>
      </c>
      <c r="F1454" s="195" t="s">
        <v>2999</v>
      </c>
      <c r="G1454" s="39" t="s">
        <v>3362</v>
      </c>
    </row>
    <row r="1455">
      <c r="A1455" s="202"/>
      <c r="B1455" s="203"/>
      <c r="C1455" s="192" t="s">
        <v>3363</v>
      </c>
      <c r="D1455" s="197" t="s">
        <v>3364</v>
      </c>
      <c r="E1455" s="196">
        <f>+48602317594</f>
        <v>48602317594</v>
      </c>
      <c r="F1455" s="195" t="s">
        <v>2999</v>
      </c>
    </row>
    <row r="1456">
      <c r="A1456" s="202"/>
      <c r="B1456" s="203"/>
      <c r="C1456" s="192" t="s">
        <v>3365</v>
      </c>
      <c r="D1456" s="197" t="s">
        <v>3366</v>
      </c>
      <c r="E1456" s="196">
        <f>+971567083979</f>
        <v>971567083979</v>
      </c>
      <c r="F1456" s="195" t="s">
        <v>2999</v>
      </c>
      <c r="G1456" s="39" t="s">
        <v>168</v>
      </c>
    </row>
    <row r="1457">
      <c r="A1457" s="202"/>
      <c r="B1457" s="203"/>
      <c r="C1457" s="192" t="s">
        <v>3367</v>
      </c>
      <c r="D1457" s="201" t="s">
        <v>3368</v>
      </c>
      <c r="E1457" s="196">
        <v>9.19820079911E11</v>
      </c>
      <c r="F1457" s="195" t="s">
        <v>2999</v>
      </c>
      <c r="G1457" s="39" t="s">
        <v>516</v>
      </c>
    </row>
    <row r="1458">
      <c r="A1458" s="202"/>
      <c r="B1458" s="203"/>
      <c r="C1458" s="192" t="s">
        <v>3369</v>
      </c>
      <c r="D1458" s="197" t="s">
        <v>2206</v>
      </c>
      <c r="E1458" s="196">
        <v>9.71506588653E11</v>
      </c>
      <c r="F1458" s="195" t="s">
        <v>2999</v>
      </c>
      <c r="G1458" s="39" t="s">
        <v>2077</v>
      </c>
    </row>
    <row r="1459">
      <c r="A1459" s="202"/>
      <c r="B1459" s="203"/>
      <c r="C1459" s="192" t="s">
        <v>3370</v>
      </c>
      <c r="D1459" s="205"/>
      <c r="E1459" s="194">
        <v>9.71563552465E11</v>
      </c>
      <c r="F1459" s="195" t="s">
        <v>2999</v>
      </c>
      <c r="G1459" s="39" t="s">
        <v>574</v>
      </c>
    </row>
    <row r="1460">
      <c r="A1460" s="202"/>
      <c r="B1460" s="203"/>
      <c r="C1460" s="192" t="s">
        <v>3371</v>
      </c>
      <c r="D1460" s="197" t="s">
        <v>3372</v>
      </c>
      <c r="E1460" s="196">
        <v>9.71551999958E11</v>
      </c>
      <c r="F1460" s="195" t="s">
        <v>2999</v>
      </c>
      <c r="G1460" s="39" t="s">
        <v>574</v>
      </c>
    </row>
    <row r="1461">
      <c r="A1461" s="202"/>
      <c r="B1461" s="203"/>
      <c r="C1461" s="192" t="s">
        <v>3373</v>
      </c>
      <c r="D1461" s="199"/>
      <c r="E1461" s="199"/>
      <c r="F1461" s="195" t="s">
        <v>2999</v>
      </c>
    </row>
    <row r="1462">
      <c r="A1462" s="202"/>
      <c r="B1462" s="206"/>
      <c r="C1462" s="207" t="s">
        <v>3374</v>
      </c>
      <c r="D1462" s="201" t="s">
        <v>3375</v>
      </c>
      <c r="E1462" s="196">
        <v>3.3782898963E10</v>
      </c>
      <c r="F1462" s="195" t="s">
        <v>2999</v>
      </c>
      <c r="G1462" s="39" t="s">
        <v>574</v>
      </c>
    </row>
    <row r="1463">
      <c r="A1463" s="202"/>
      <c r="B1463" s="203"/>
      <c r="C1463" s="192" t="s">
        <v>3376</v>
      </c>
      <c r="D1463" s="197" t="s">
        <v>3377</v>
      </c>
      <c r="E1463" s="196">
        <v>9.18684897786E11</v>
      </c>
      <c r="F1463" s="195" t="s">
        <v>2999</v>
      </c>
      <c r="G1463" s="39" t="s">
        <v>2077</v>
      </c>
    </row>
    <row r="1464">
      <c r="A1464" s="202"/>
      <c r="B1464" s="203"/>
      <c r="C1464" s="192" t="s">
        <v>3378</v>
      </c>
      <c r="D1464" s="198" t="s">
        <v>3379</v>
      </c>
      <c r="E1464" s="199" t="s">
        <v>3380</v>
      </c>
      <c r="F1464" s="195" t="s">
        <v>2999</v>
      </c>
    </row>
    <row r="1465">
      <c r="A1465" s="202"/>
      <c r="B1465" s="203"/>
      <c r="C1465" s="192" t="s">
        <v>3381</v>
      </c>
      <c r="D1465" s="197" t="s">
        <v>3382</v>
      </c>
      <c r="E1465" s="196">
        <f>+971552745713</f>
        <v>971552745713</v>
      </c>
      <c r="F1465" s="195" t="s">
        <v>2999</v>
      </c>
      <c r="G1465" s="39" t="s">
        <v>168</v>
      </c>
    </row>
    <row r="1466">
      <c r="A1466" s="202"/>
      <c r="B1466" s="203"/>
      <c r="C1466" s="192" t="s">
        <v>3383</v>
      </c>
      <c r="D1466" s="197" t="s">
        <v>2206</v>
      </c>
      <c r="E1466" s="196">
        <v>9.6597254496E10</v>
      </c>
      <c r="F1466" s="195" t="s">
        <v>2999</v>
      </c>
      <c r="G1466" s="39" t="s">
        <v>574</v>
      </c>
    </row>
    <row r="1467">
      <c r="A1467" s="202"/>
      <c r="B1467" s="203"/>
      <c r="C1467" s="192" t="s">
        <v>3384</v>
      </c>
      <c r="D1467" s="197" t="s">
        <v>3385</v>
      </c>
      <c r="E1467" s="196">
        <f>+971582104317</f>
        <v>971582104317</v>
      </c>
      <c r="F1467" s="195" t="s">
        <v>2999</v>
      </c>
      <c r="G1467" s="39" t="s">
        <v>3386</v>
      </c>
    </row>
    <row r="1468">
      <c r="A1468" s="202"/>
      <c r="B1468" s="203"/>
      <c r="C1468" s="192" t="s">
        <v>3387</v>
      </c>
      <c r="D1468" s="205"/>
      <c r="E1468" s="199"/>
      <c r="F1468" s="195" t="s">
        <v>2999</v>
      </c>
    </row>
    <row r="1469">
      <c r="A1469" s="202"/>
      <c r="B1469" s="203"/>
      <c r="C1469" s="192" t="s">
        <v>3388</v>
      </c>
      <c r="D1469" s="208"/>
      <c r="E1469" s="199"/>
      <c r="F1469" s="195" t="s">
        <v>2999</v>
      </c>
    </row>
    <row r="1470">
      <c r="A1470" s="202"/>
      <c r="B1470" s="203"/>
      <c r="C1470" s="192" t="s">
        <v>3389</v>
      </c>
      <c r="D1470" s="208"/>
      <c r="E1470" s="199"/>
      <c r="F1470" s="195" t="s">
        <v>2999</v>
      </c>
    </row>
    <row r="1471">
      <c r="A1471" s="202"/>
      <c r="B1471" s="203"/>
      <c r="C1471" s="192" t="s">
        <v>3390</v>
      </c>
      <c r="D1471" s="199"/>
      <c r="E1471" s="199"/>
      <c r="F1471" s="195" t="s">
        <v>2999</v>
      </c>
    </row>
    <row r="1472">
      <c r="A1472" s="202"/>
      <c r="B1472" s="203"/>
      <c r="C1472" s="192" t="s">
        <v>3391</v>
      </c>
      <c r="D1472" s="199"/>
      <c r="E1472" s="199"/>
      <c r="F1472" s="195" t="s">
        <v>2999</v>
      </c>
    </row>
    <row r="1473">
      <c r="A1473" s="202"/>
      <c r="B1473" s="203"/>
      <c r="C1473" s="192" t="s">
        <v>3392</v>
      </c>
      <c r="D1473" s="197" t="s">
        <v>3393</v>
      </c>
      <c r="E1473" s="196">
        <v>9.18718996238E11</v>
      </c>
      <c r="F1473" s="195" t="s">
        <v>2999</v>
      </c>
      <c r="G1473" s="39" t="s">
        <v>533</v>
      </c>
    </row>
    <row r="1474">
      <c r="A1474" s="202"/>
      <c r="B1474" s="203"/>
      <c r="C1474" s="192" t="s">
        <v>3394</v>
      </c>
      <c r="D1474" s="205"/>
      <c r="E1474" s="194">
        <v>9.71503749306E11</v>
      </c>
      <c r="F1474" s="195" t="s">
        <v>2999</v>
      </c>
      <c r="G1474" s="39" t="s">
        <v>3395</v>
      </c>
    </row>
    <row r="1475">
      <c r="A1475" s="202"/>
      <c r="B1475" s="203"/>
      <c r="C1475" s="192" t="s">
        <v>3396</v>
      </c>
      <c r="D1475" s="205" t="s">
        <v>3397</v>
      </c>
      <c r="E1475" s="196" t="s">
        <v>3398</v>
      </c>
      <c r="F1475" s="195" t="s">
        <v>2999</v>
      </c>
      <c r="G1475" s="39" t="s">
        <v>979</v>
      </c>
    </row>
    <row r="1476">
      <c r="A1476" s="202"/>
      <c r="B1476" s="203"/>
      <c r="C1476" s="192" t="s">
        <v>3399</v>
      </c>
      <c r="D1476" s="196" t="s">
        <v>3400</v>
      </c>
      <c r="E1476" s="196" t="s">
        <v>3401</v>
      </c>
      <c r="F1476" s="195" t="s">
        <v>2999</v>
      </c>
      <c r="G1476" s="39" t="s">
        <v>533</v>
      </c>
    </row>
    <row r="1477">
      <c r="A1477" s="202"/>
      <c r="B1477" s="203"/>
      <c r="C1477" s="192" t="s">
        <v>3402</v>
      </c>
      <c r="D1477" s="209" t="s">
        <v>3403</v>
      </c>
      <c r="E1477" s="210" t="s">
        <v>3404</v>
      </c>
      <c r="F1477" s="195" t="s">
        <v>2999</v>
      </c>
      <c r="G1477" s="39" t="s">
        <v>574</v>
      </c>
    </row>
    <row r="1478">
      <c r="A1478" s="202"/>
      <c r="B1478" s="203"/>
      <c r="C1478" s="192" t="s">
        <v>3405</v>
      </c>
      <c r="D1478" s="209" t="s">
        <v>3406</v>
      </c>
      <c r="E1478" s="210" t="s">
        <v>3407</v>
      </c>
      <c r="F1478" s="195" t="s">
        <v>2999</v>
      </c>
      <c r="G1478" s="39" t="s">
        <v>574</v>
      </c>
    </row>
    <row r="1479">
      <c r="A1479" s="202"/>
      <c r="B1479" s="203"/>
      <c r="C1479" s="192" t="s">
        <v>3408</v>
      </c>
      <c r="D1479" s="209" t="s">
        <v>3409</v>
      </c>
      <c r="E1479" s="211" t="s">
        <v>3410</v>
      </c>
      <c r="F1479" s="195" t="s">
        <v>2999</v>
      </c>
      <c r="G1479" s="39" t="s">
        <v>3411</v>
      </c>
    </row>
    <row r="1480">
      <c r="A1480" s="202"/>
      <c r="B1480" s="203"/>
      <c r="C1480" s="192" t="s">
        <v>3412</v>
      </c>
      <c r="D1480" s="209" t="s">
        <v>3413</v>
      </c>
      <c r="E1480" s="210" t="s">
        <v>3414</v>
      </c>
      <c r="F1480" s="195" t="s">
        <v>2999</v>
      </c>
      <c r="G1480" s="39" t="s">
        <v>574</v>
      </c>
    </row>
    <row r="1481">
      <c r="A1481" s="202"/>
      <c r="B1481" s="203"/>
      <c r="C1481" s="192" t="s">
        <v>3415</v>
      </c>
      <c r="D1481" s="212" t="s">
        <v>3416</v>
      </c>
      <c r="E1481" s="210">
        <v>7.96774126E9</v>
      </c>
      <c r="F1481" s="195" t="s">
        <v>2999</v>
      </c>
      <c r="G1481" s="39" t="s">
        <v>172</v>
      </c>
    </row>
    <row r="1482">
      <c r="A1482" s="202"/>
      <c r="B1482" s="203"/>
      <c r="C1482" s="192" t="s">
        <v>3417</v>
      </c>
      <c r="D1482" s="209" t="s">
        <v>3418</v>
      </c>
      <c r="E1482" s="210">
        <v>4.6704566156E10</v>
      </c>
      <c r="F1482" s="195" t="s">
        <v>2999</v>
      </c>
      <c r="G1482" s="39" t="s">
        <v>574</v>
      </c>
    </row>
    <row r="1483">
      <c r="A1483" s="202"/>
      <c r="B1483" s="203"/>
      <c r="C1483" s="192" t="s">
        <v>3419</v>
      </c>
      <c r="D1483" s="209" t="s">
        <v>3420</v>
      </c>
      <c r="E1483" s="210">
        <v>9.71585167126E11</v>
      </c>
      <c r="F1483" s="195" t="s">
        <v>2999</v>
      </c>
    </row>
    <row r="1484">
      <c r="A1484" s="202"/>
      <c r="B1484" s="203"/>
      <c r="C1484" s="192" t="s">
        <v>3421</v>
      </c>
      <c r="D1484" s="209" t="s">
        <v>3422</v>
      </c>
      <c r="E1484" s="210">
        <v>9.71565666902E11</v>
      </c>
      <c r="F1484" s="195" t="s">
        <v>2999</v>
      </c>
      <c r="G1484" s="39" t="s">
        <v>2077</v>
      </c>
    </row>
    <row r="1485">
      <c r="A1485" s="202"/>
      <c r="B1485" s="203"/>
      <c r="C1485" s="192" t="s">
        <v>3423</v>
      </c>
      <c r="D1485" s="209" t="s">
        <v>3424</v>
      </c>
      <c r="E1485" s="210">
        <v>9.71555451378E11</v>
      </c>
      <c r="F1485" s="195" t="s">
        <v>2999</v>
      </c>
      <c r="G1485" s="39" t="s">
        <v>574</v>
      </c>
    </row>
    <row r="1486">
      <c r="A1486" s="202"/>
      <c r="B1486" s="203"/>
      <c r="C1486" s="192" t="s">
        <v>3425</v>
      </c>
      <c r="D1486" s="209" t="s">
        <v>3426</v>
      </c>
      <c r="E1486" s="210">
        <v>9.71556086615E11</v>
      </c>
      <c r="F1486" s="195" t="s">
        <v>2999</v>
      </c>
      <c r="G1486" s="39" t="s">
        <v>168</v>
      </c>
    </row>
    <row r="1487">
      <c r="A1487" s="202"/>
      <c r="B1487" s="203"/>
      <c r="C1487" s="192" t="s">
        <v>3427</v>
      </c>
      <c r="D1487" s="212" t="s">
        <v>3428</v>
      </c>
      <c r="E1487" s="210">
        <v>9.71507816163E11</v>
      </c>
      <c r="F1487" s="195" t="s">
        <v>2999</v>
      </c>
      <c r="G1487" s="39" t="s">
        <v>168</v>
      </c>
    </row>
    <row r="1488">
      <c r="A1488" s="202"/>
      <c r="B1488" s="203"/>
      <c r="C1488" s="192" t="s">
        <v>3429</v>
      </c>
      <c r="D1488" s="209" t="s">
        <v>3430</v>
      </c>
      <c r="E1488" s="210">
        <v>9.71504766633E11</v>
      </c>
      <c r="F1488" s="195" t="s">
        <v>2999</v>
      </c>
      <c r="G1488" s="39" t="s">
        <v>168</v>
      </c>
    </row>
    <row r="1489">
      <c r="A1489" s="202"/>
      <c r="B1489" s="203"/>
      <c r="C1489" s="192" t="s">
        <v>3431</v>
      </c>
      <c r="D1489" s="213" t="s">
        <v>3432</v>
      </c>
      <c r="E1489" s="196">
        <v>3.02109490279E11</v>
      </c>
      <c r="F1489" s="195" t="s">
        <v>2232</v>
      </c>
    </row>
    <row r="1490">
      <c r="A1490" s="202"/>
      <c r="B1490" s="203"/>
      <c r="C1490" s="192" t="s">
        <v>3433</v>
      </c>
      <c r="D1490" s="197" t="s">
        <v>3434</v>
      </c>
      <c r="E1490" s="196">
        <v>9.71503578755E11</v>
      </c>
      <c r="F1490" s="195" t="s">
        <v>2232</v>
      </c>
      <c r="G1490" s="39" t="s">
        <v>3435</v>
      </c>
    </row>
    <row r="1491">
      <c r="A1491" s="202"/>
      <c r="B1491" s="203"/>
      <c r="C1491" s="192" t="s">
        <v>3436</v>
      </c>
      <c r="D1491" s="197" t="s">
        <v>3437</v>
      </c>
      <c r="E1491" s="196">
        <v>9.715624121E11</v>
      </c>
      <c r="F1491" s="195" t="s">
        <v>2232</v>
      </c>
      <c r="G1491" s="39" t="s">
        <v>168</v>
      </c>
    </row>
    <row r="1492">
      <c r="A1492" s="202"/>
      <c r="B1492" s="203"/>
      <c r="C1492" s="192" t="s">
        <v>3438</v>
      </c>
      <c r="D1492" s="197" t="s">
        <v>3439</v>
      </c>
      <c r="E1492" s="196">
        <v>9.71508760356E11</v>
      </c>
      <c r="F1492" s="195" t="s">
        <v>2232</v>
      </c>
      <c r="G1492" s="39" t="s">
        <v>574</v>
      </c>
    </row>
    <row r="1493">
      <c r="A1493" s="202"/>
      <c r="B1493" s="203"/>
      <c r="C1493" s="192" t="s">
        <v>3440</v>
      </c>
      <c r="D1493" s="194"/>
      <c r="E1493" s="194">
        <f>+18502723232</f>
        <v>18502723232</v>
      </c>
      <c r="F1493" s="195" t="s">
        <v>2232</v>
      </c>
    </row>
    <row r="1494">
      <c r="A1494" s="202"/>
      <c r="B1494" s="203"/>
      <c r="C1494" s="192" t="s">
        <v>3441</v>
      </c>
      <c r="D1494" s="198" t="s">
        <v>3442</v>
      </c>
      <c r="E1494" s="194">
        <v>8.844775566E9</v>
      </c>
      <c r="F1494" s="195" t="s">
        <v>2232</v>
      </c>
    </row>
    <row r="1495">
      <c r="A1495" s="202"/>
      <c r="B1495" s="203"/>
      <c r="C1495" s="192" t="s">
        <v>3443</v>
      </c>
      <c r="D1495" s="201" t="s">
        <v>3444</v>
      </c>
      <c r="E1495" s="196" t="s">
        <v>3445</v>
      </c>
      <c r="F1495" s="195" t="s">
        <v>2232</v>
      </c>
      <c r="G1495" s="39" t="s">
        <v>533</v>
      </c>
    </row>
    <row r="1496">
      <c r="A1496" s="202"/>
      <c r="B1496" s="203"/>
      <c r="C1496" s="192" t="s">
        <v>3446</v>
      </c>
      <c r="D1496" s="197" t="s">
        <v>3447</v>
      </c>
      <c r="E1496" s="196">
        <v>8.4655445787888E13</v>
      </c>
      <c r="F1496" s="195" t="s">
        <v>2232</v>
      </c>
    </row>
    <row r="1497">
      <c r="A1497" s="202"/>
      <c r="B1497" s="203"/>
      <c r="C1497" s="192" t="s">
        <v>3448</v>
      </c>
      <c r="D1497" s="197" t="s">
        <v>3449</v>
      </c>
      <c r="E1497" s="196">
        <v>9.71501006906E11</v>
      </c>
      <c r="F1497" s="195" t="s">
        <v>2232</v>
      </c>
      <c r="G1497" s="39" t="s">
        <v>3395</v>
      </c>
    </row>
    <row r="1498">
      <c r="A1498" s="202"/>
      <c r="B1498" s="203"/>
      <c r="C1498" s="192" t="s">
        <v>3450</v>
      </c>
      <c r="D1498" s="201" t="s">
        <v>3451</v>
      </c>
      <c r="E1498" s="196">
        <f>+971507760727</f>
        <v>971507760727</v>
      </c>
      <c r="F1498" s="195" t="s">
        <v>2232</v>
      </c>
      <c r="G1498" s="39" t="s">
        <v>1202</v>
      </c>
    </row>
    <row r="1499">
      <c r="A1499" s="202"/>
      <c r="B1499" s="203"/>
      <c r="C1499" s="192" t="s">
        <v>3452</v>
      </c>
      <c r="D1499" s="201" t="s">
        <v>3453</v>
      </c>
      <c r="E1499" s="196">
        <v>1.3478579009E10</v>
      </c>
      <c r="F1499" s="195" t="s">
        <v>2232</v>
      </c>
    </row>
    <row r="1500">
      <c r="A1500" s="202"/>
      <c r="B1500" s="203"/>
      <c r="C1500" s="192" t="s">
        <v>3454</v>
      </c>
      <c r="D1500" s="197" t="s">
        <v>3455</v>
      </c>
      <c r="E1500" s="196">
        <v>9.71589239973E11</v>
      </c>
      <c r="F1500" s="195" t="s">
        <v>2232</v>
      </c>
      <c r="G1500" s="39" t="s">
        <v>574</v>
      </c>
    </row>
    <row r="1501">
      <c r="A1501" s="202"/>
      <c r="B1501" s="203"/>
      <c r="C1501" s="192" t="s">
        <v>3456</v>
      </c>
      <c r="D1501" s="197" t="s">
        <v>3457</v>
      </c>
      <c r="E1501" s="196">
        <v>4.4784652417E11</v>
      </c>
      <c r="F1501" s="195" t="s">
        <v>2232</v>
      </c>
    </row>
    <row r="1502">
      <c r="A1502" s="202"/>
      <c r="B1502" s="203"/>
      <c r="C1502" s="192" t="s">
        <v>3458</v>
      </c>
      <c r="D1502" s="197" t="s">
        <v>3459</v>
      </c>
      <c r="E1502" s="196">
        <v>9.71526503242E11</v>
      </c>
      <c r="F1502" s="195" t="s">
        <v>2232</v>
      </c>
      <c r="G1502" s="39" t="s">
        <v>3460</v>
      </c>
    </row>
    <row r="1503">
      <c r="A1503" s="202"/>
      <c r="B1503" s="203"/>
      <c r="C1503" s="192" t="s">
        <v>3461</v>
      </c>
      <c r="D1503" s="201" t="s">
        <v>3462</v>
      </c>
      <c r="E1503" s="196">
        <v>9.71507325582E11</v>
      </c>
      <c r="F1503" s="195" t="s">
        <v>2232</v>
      </c>
      <c r="G1503" s="39" t="s">
        <v>574</v>
      </c>
    </row>
    <row r="1504">
      <c r="A1504" s="202"/>
      <c r="B1504" s="203"/>
      <c r="C1504" s="192" t="s">
        <v>3463</v>
      </c>
      <c r="D1504" s="197" t="s">
        <v>3464</v>
      </c>
      <c r="E1504" s="196">
        <v>9.71559087931E11</v>
      </c>
      <c r="F1504" s="195" t="s">
        <v>2232</v>
      </c>
      <c r="G1504" s="39" t="s">
        <v>3465</v>
      </c>
    </row>
    <row r="1505">
      <c r="A1505" s="202"/>
      <c r="B1505" s="203"/>
      <c r="C1505" s="192" t="s">
        <v>3466</v>
      </c>
      <c r="D1505" s="197" t="s">
        <v>3467</v>
      </c>
      <c r="E1505" s="196">
        <v>9.71504966559E11</v>
      </c>
      <c r="F1505" s="195" t="s">
        <v>2999</v>
      </c>
      <c r="G1505" s="39" t="s">
        <v>2077</v>
      </c>
    </row>
    <row r="1506">
      <c r="A1506" s="202"/>
      <c r="B1506" s="203"/>
      <c r="C1506" s="192" t="s">
        <v>3468</v>
      </c>
      <c r="D1506" s="197" t="s">
        <v>3469</v>
      </c>
      <c r="E1506" s="196">
        <v>9.66555474919E11</v>
      </c>
      <c r="F1506" s="195" t="s">
        <v>2999</v>
      </c>
      <c r="G1506" s="39" t="s">
        <v>1009</v>
      </c>
    </row>
    <row r="1507">
      <c r="A1507" s="202"/>
      <c r="B1507" s="203"/>
      <c r="C1507" s="192" t="s">
        <v>3470</v>
      </c>
      <c r="D1507" s="201" t="s">
        <v>3471</v>
      </c>
      <c r="E1507" s="196">
        <v>9.71503832034E11</v>
      </c>
      <c r="F1507" s="195" t="s">
        <v>2999</v>
      </c>
      <c r="G1507" s="39" t="s">
        <v>3472</v>
      </c>
    </row>
    <row r="1508">
      <c r="A1508" s="202"/>
      <c r="B1508" s="203"/>
      <c r="C1508" s="192" t="s">
        <v>3473</v>
      </c>
      <c r="D1508" s="197" t="s">
        <v>3474</v>
      </c>
      <c r="E1508" s="196">
        <f>+966505149161</f>
        <v>966505149161</v>
      </c>
      <c r="F1508" s="195" t="s">
        <v>2999</v>
      </c>
      <c r="G1508" s="39" t="s">
        <v>168</v>
      </c>
    </row>
    <row r="1509" hidden="1">
      <c r="A1509" s="202"/>
      <c r="B1509" s="214" t="s">
        <v>3475</v>
      </c>
      <c r="C1509" s="215" t="s">
        <v>3476</v>
      </c>
      <c r="D1509" s="216" t="s">
        <v>3477</v>
      </c>
      <c r="E1509" s="217"/>
      <c r="F1509" s="218" t="s">
        <v>3478</v>
      </c>
      <c r="H1509" s="178"/>
      <c r="I1509" s="178"/>
      <c r="J1509" s="178"/>
      <c r="K1509" s="178"/>
      <c r="L1509" s="178"/>
      <c r="M1509" s="178"/>
      <c r="N1509" s="178"/>
      <c r="O1509" s="178"/>
      <c r="P1509" s="178"/>
      <c r="Q1509" s="178"/>
      <c r="R1509" s="178"/>
      <c r="S1509" s="178"/>
      <c r="T1509" s="178"/>
      <c r="U1509" s="178"/>
      <c r="V1509" s="178"/>
      <c r="W1509" s="178"/>
      <c r="X1509" s="178"/>
      <c r="Y1509" s="178"/>
      <c r="Z1509" s="178"/>
      <c r="AA1509" s="178"/>
      <c r="AB1509" s="178"/>
      <c r="AC1509" s="178"/>
      <c r="AD1509" s="178"/>
      <c r="AE1509" s="178"/>
      <c r="AF1509" s="178"/>
      <c r="AG1509" s="178"/>
      <c r="AH1509" s="178"/>
      <c r="AI1509" s="178"/>
    </row>
    <row r="1510" hidden="1">
      <c r="A1510" s="202"/>
      <c r="B1510" s="219" t="s">
        <v>3475</v>
      </c>
      <c r="C1510" s="220" t="s">
        <v>3479</v>
      </c>
      <c r="D1510" s="220" t="s">
        <v>51</v>
      </c>
      <c r="E1510" s="221" t="s">
        <v>3480</v>
      </c>
      <c r="F1510" s="222" t="s">
        <v>3478</v>
      </c>
      <c r="G1510" s="39" t="s">
        <v>251</v>
      </c>
      <c r="H1510" s="178"/>
      <c r="I1510" s="178"/>
      <c r="J1510" s="178"/>
      <c r="K1510" s="178"/>
      <c r="L1510" s="178"/>
      <c r="M1510" s="178"/>
      <c r="N1510" s="178"/>
      <c r="O1510" s="178"/>
      <c r="P1510" s="178"/>
      <c r="Q1510" s="178"/>
      <c r="R1510" s="178"/>
      <c r="S1510" s="178"/>
      <c r="T1510" s="178"/>
      <c r="U1510" s="178"/>
      <c r="V1510" s="178"/>
      <c r="W1510" s="178"/>
      <c r="X1510" s="178"/>
      <c r="Y1510" s="178"/>
      <c r="Z1510" s="178"/>
      <c r="AA1510" s="178"/>
      <c r="AB1510" s="178"/>
      <c r="AC1510" s="178"/>
      <c r="AD1510" s="178"/>
      <c r="AE1510" s="178"/>
      <c r="AF1510" s="178"/>
      <c r="AG1510" s="178"/>
      <c r="AH1510" s="178"/>
      <c r="AI1510" s="178"/>
    </row>
    <row r="1511" hidden="1">
      <c r="A1511" s="202"/>
      <c r="B1511" s="219" t="s">
        <v>3475</v>
      </c>
      <c r="C1511" s="220" t="s">
        <v>3481</v>
      </c>
      <c r="D1511" s="220" t="s">
        <v>3482</v>
      </c>
      <c r="E1511" s="223" t="s">
        <v>3483</v>
      </c>
      <c r="F1511" s="224" t="s">
        <v>3484</v>
      </c>
      <c r="G1511" s="39" t="s">
        <v>574</v>
      </c>
      <c r="H1511" s="178"/>
      <c r="I1511" s="178"/>
      <c r="J1511" s="178"/>
      <c r="K1511" s="178"/>
      <c r="L1511" s="178"/>
      <c r="M1511" s="178"/>
      <c r="N1511" s="178"/>
      <c r="O1511" s="178"/>
      <c r="P1511" s="178"/>
      <c r="Q1511" s="178"/>
      <c r="R1511" s="178"/>
      <c r="S1511" s="178"/>
      <c r="T1511" s="178"/>
      <c r="U1511" s="178"/>
      <c r="V1511" s="178"/>
      <c r="W1511" s="178"/>
      <c r="X1511" s="178"/>
      <c r="Y1511" s="178"/>
      <c r="Z1511" s="178"/>
      <c r="AA1511" s="178"/>
      <c r="AB1511" s="178"/>
      <c r="AC1511" s="178"/>
      <c r="AD1511" s="178"/>
      <c r="AE1511" s="178"/>
      <c r="AF1511" s="178"/>
      <c r="AG1511" s="178"/>
      <c r="AH1511" s="178"/>
      <c r="AI1511" s="178"/>
    </row>
    <row r="1512" hidden="1">
      <c r="A1512" s="202"/>
      <c r="B1512" s="219" t="s">
        <v>3475</v>
      </c>
      <c r="C1512" s="220" t="s">
        <v>3485</v>
      </c>
      <c r="D1512" s="225" t="s">
        <v>3486</v>
      </c>
      <c r="E1512" s="226" t="s">
        <v>3487</v>
      </c>
      <c r="F1512" s="224" t="s">
        <v>3484</v>
      </c>
      <c r="G1512" s="39" t="s">
        <v>574</v>
      </c>
      <c r="H1512" s="178"/>
      <c r="I1512" s="178"/>
      <c r="J1512" s="178"/>
      <c r="K1512" s="178"/>
      <c r="L1512" s="178"/>
      <c r="M1512" s="178"/>
      <c r="N1512" s="178"/>
      <c r="O1512" s="178"/>
      <c r="P1512" s="178"/>
      <c r="Q1512" s="178"/>
      <c r="R1512" s="178"/>
      <c r="S1512" s="178"/>
      <c r="T1512" s="178"/>
      <c r="U1512" s="178"/>
      <c r="V1512" s="178"/>
      <c r="W1512" s="178"/>
      <c r="X1512" s="178"/>
      <c r="Y1512" s="178"/>
      <c r="Z1512" s="178"/>
      <c r="AA1512" s="178"/>
      <c r="AB1512" s="178"/>
      <c r="AC1512" s="178"/>
      <c r="AD1512" s="178"/>
      <c r="AE1512" s="178"/>
      <c r="AF1512" s="178"/>
      <c r="AG1512" s="178"/>
      <c r="AH1512" s="178"/>
      <c r="AI1512" s="178"/>
    </row>
    <row r="1513" hidden="1">
      <c r="A1513" s="202"/>
      <c r="B1513" s="219" t="s">
        <v>3488</v>
      </c>
      <c r="C1513" s="227" t="s">
        <v>3489</v>
      </c>
      <c r="D1513" s="228" t="s">
        <v>3490</v>
      </c>
      <c r="E1513" s="229" t="s">
        <v>3491</v>
      </c>
      <c r="F1513" s="230" t="s">
        <v>3492</v>
      </c>
      <c r="G1513" s="39" t="s">
        <v>251</v>
      </c>
      <c r="H1513" s="178"/>
      <c r="I1513" s="178"/>
      <c r="J1513" s="178"/>
      <c r="K1513" s="178"/>
      <c r="L1513" s="178"/>
      <c r="M1513" s="178"/>
      <c r="N1513" s="178"/>
      <c r="O1513" s="178"/>
      <c r="P1513" s="178"/>
      <c r="Q1513" s="178"/>
      <c r="R1513" s="178"/>
      <c r="S1513" s="178"/>
      <c r="T1513" s="178"/>
      <c r="U1513" s="178"/>
      <c r="V1513" s="178"/>
      <c r="W1513" s="178"/>
      <c r="X1513" s="178"/>
      <c r="Y1513" s="178"/>
      <c r="Z1513" s="178"/>
      <c r="AA1513" s="178"/>
      <c r="AB1513" s="178"/>
      <c r="AC1513" s="178"/>
      <c r="AD1513" s="178"/>
      <c r="AE1513" s="178"/>
      <c r="AF1513" s="178"/>
      <c r="AG1513" s="178"/>
      <c r="AH1513" s="178"/>
      <c r="AI1513" s="178"/>
    </row>
    <row r="1514" hidden="1">
      <c r="A1514" s="202"/>
      <c r="B1514" s="219" t="s">
        <v>3488</v>
      </c>
      <c r="C1514" s="227" t="s">
        <v>3493</v>
      </c>
      <c r="D1514" s="231" t="s">
        <v>3494</v>
      </c>
      <c r="E1514" s="232" t="s">
        <v>3495</v>
      </c>
      <c r="F1514" s="230" t="s">
        <v>3492</v>
      </c>
      <c r="G1514" s="39" t="s">
        <v>574</v>
      </c>
      <c r="H1514" s="178"/>
      <c r="I1514" s="178"/>
      <c r="J1514" s="178"/>
      <c r="K1514" s="178"/>
      <c r="L1514" s="178"/>
      <c r="M1514" s="178"/>
      <c r="N1514" s="178"/>
      <c r="O1514" s="178"/>
      <c r="P1514" s="178"/>
      <c r="Q1514" s="178"/>
      <c r="R1514" s="178"/>
      <c r="S1514" s="178"/>
      <c r="T1514" s="178"/>
      <c r="U1514" s="178"/>
      <c r="V1514" s="178"/>
      <c r="W1514" s="178"/>
      <c r="X1514" s="178"/>
      <c r="Y1514" s="178"/>
      <c r="Z1514" s="178"/>
      <c r="AA1514" s="178"/>
      <c r="AB1514" s="178"/>
      <c r="AC1514" s="178"/>
      <c r="AD1514" s="178"/>
      <c r="AE1514" s="178"/>
      <c r="AF1514" s="178"/>
      <c r="AG1514" s="178"/>
      <c r="AH1514" s="178"/>
      <c r="AI1514" s="178"/>
    </row>
    <row r="1515" hidden="1">
      <c r="A1515" s="202"/>
      <c r="B1515" s="219" t="s">
        <v>3488</v>
      </c>
      <c r="C1515" s="227" t="s">
        <v>3496</v>
      </c>
      <c r="D1515" s="231" t="s">
        <v>3497</v>
      </c>
      <c r="E1515" s="232" t="s">
        <v>3498</v>
      </c>
      <c r="F1515" s="230" t="s">
        <v>3492</v>
      </c>
      <c r="G1515" s="39" t="s">
        <v>574</v>
      </c>
      <c r="H1515" s="178"/>
      <c r="I1515" s="178"/>
      <c r="J1515" s="178"/>
      <c r="K1515" s="178"/>
      <c r="L1515" s="178"/>
      <c r="M1515" s="178"/>
      <c r="N1515" s="178"/>
      <c r="O1515" s="178"/>
      <c r="P1515" s="178"/>
      <c r="Q1515" s="178"/>
      <c r="R1515" s="178"/>
      <c r="S1515" s="178"/>
      <c r="T1515" s="178"/>
      <c r="U1515" s="178"/>
      <c r="V1515" s="178"/>
      <c r="W1515" s="178"/>
      <c r="X1515" s="178"/>
      <c r="Y1515" s="178"/>
      <c r="Z1515" s="178"/>
      <c r="AA1515" s="178"/>
      <c r="AB1515" s="178"/>
      <c r="AC1515" s="178"/>
      <c r="AD1515" s="178"/>
      <c r="AE1515" s="178"/>
      <c r="AF1515" s="178"/>
      <c r="AG1515" s="178"/>
      <c r="AH1515" s="178"/>
      <c r="AI1515" s="178"/>
    </row>
    <row r="1516" hidden="1">
      <c r="A1516" s="202"/>
      <c r="B1516" s="219" t="s">
        <v>3488</v>
      </c>
      <c r="C1516" s="227" t="s">
        <v>3499</v>
      </c>
      <c r="D1516" s="231" t="s">
        <v>3500</v>
      </c>
      <c r="E1516" s="232" t="s">
        <v>3501</v>
      </c>
      <c r="F1516" s="230" t="s">
        <v>3492</v>
      </c>
      <c r="G1516" s="39" t="s">
        <v>574</v>
      </c>
      <c r="H1516" s="178"/>
      <c r="I1516" s="178"/>
      <c r="J1516" s="178"/>
      <c r="K1516" s="178"/>
      <c r="L1516" s="178"/>
      <c r="M1516" s="178"/>
      <c r="N1516" s="178"/>
      <c r="O1516" s="178"/>
      <c r="P1516" s="178"/>
      <c r="Q1516" s="178"/>
      <c r="R1516" s="178"/>
      <c r="S1516" s="178"/>
      <c r="T1516" s="178"/>
      <c r="U1516" s="178"/>
      <c r="V1516" s="178"/>
      <c r="W1516" s="178"/>
      <c r="X1516" s="178"/>
      <c r="Y1516" s="178"/>
      <c r="Z1516" s="178"/>
      <c r="AA1516" s="178"/>
      <c r="AB1516" s="178"/>
      <c r="AC1516" s="178"/>
      <c r="AD1516" s="178"/>
      <c r="AE1516" s="178"/>
      <c r="AF1516" s="178"/>
      <c r="AG1516" s="178"/>
      <c r="AH1516" s="178"/>
      <c r="AI1516" s="178"/>
    </row>
    <row r="1517" hidden="1">
      <c r="A1517" s="202"/>
      <c r="B1517" s="219" t="s">
        <v>3488</v>
      </c>
      <c r="C1517" s="220" t="s">
        <v>3502</v>
      </c>
      <c r="D1517" s="220" t="s">
        <v>3503</v>
      </c>
      <c r="E1517" s="223" t="s">
        <v>3504</v>
      </c>
      <c r="F1517" s="230" t="s">
        <v>3492</v>
      </c>
      <c r="G1517" s="39" t="s">
        <v>574</v>
      </c>
      <c r="H1517" s="178"/>
      <c r="I1517" s="178"/>
      <c r="J1517" s="178"/>
      <c r="K1517" s="178"/>
      <c r="L1517" s="178"/>
      <c r="M1517" s="178"/>
      <c r="N1517" s="178"/>
      <c r="O1517" s="178"/>
      <c r="P1517" s="178"/>
      <c r="Q1517" s="178"/>
      <c r="R1517" s="178"/>
      <c r="S1517" s="178"/>
      <c r="T1517" s="178"/>
      <c r="U1517" s="178"/>
      <c r="V1517" s="178"/>
      <c r="W1517" s="178"/>
      <c r="X1517" s="178"/>
      <c r="Y1517" s="178"/>
      <c r="Z1517" s="178"/>
      <c r="AA1517" s="178"/>
      <c r="AB1517" s="178"/>
      <c r="AC1517" s="178"/>
      <c r="AD1517" s="178"/>
      <c r="AE1517" s="178"/>
      <c r="AF1517" s="178"/>
      <c r="AG1517" s="178"/>
      <c r="AH1517" s="178"/>
      <c r="AI1517" s="178"/>
    </row>
    <row r="1518" hidden="1">
      <c r="A1518" s="202"/>
      <c r="B1518" s="219" t="s">
        <v>3505</v>
      </c>
      <c r="C1518" s="231" t="s">
        <v>3506</v>
      </c>
      <c r="D1518" s="231" t="s">
        <v>3507</v>
      </c>
      <c r="E1518" s="232" t="s">
        <v>3508</v>
      </c>
      <c r="F1518" s="230" t="s">
        <v>3492</v>
      </c>
      <c r="G1518" s="39" t="s">
        <v>574</v>
      </c>
      <c r="H1518" s="178"/>
      <c r="I1518" s="178"/>
      <c r="J1518" s="178"/>
      <c r="K1518" s="178"/>
      <c r="L1518" s="178"/>
      <c r="M1518" s="178"/>
      <c r="N1518" s="178"/>
      <c r="O1518" s="178"/>
      <c r="P1518" s="178"/>
      <c r="Q1518" s="178"/>
      <c r="R1518" s="178"/>
      <c r="S1518" s="178"/>
      <c r="T1518" s="178"/>
      <c r="U1518" s="178"/>
      <c r="V1518" s="178"/>
      <c r="W1518" s="178"/>
      <c r="X1518" s="178"/>
      <c r="Y1518" s="178"/>
      <c r="Z1518" s="178"/>
      <c r="AA1518" s="178"/>
      <c r="AB1518" s="178"/>
      <c r="AC1518" s="178"/>
      <c r="AD1518" s="178"/>
      <c r="AE1518" s="178"/>
      <c r="AF1518" s="178"/>
      <c r="AG1518" s="178"/>
      <c r="AH1518" s="178"/>
      <c r="AI1518" s="178"/>
    </row>
    <row r="1519" hidden="1">
      <c r="A1519" s="202"/>
      <c r="B1519" s="219" t="s">
        <v>3505</v>
      </c>
      <c r="C1519" s="231" t="s">
        <v>3509</v>
      </c>
      <c r="D1519" s="231" t="s">
        <v>3510</v>
      </c>
      <c r="E1519" s="232" t="s">
        <v>3511</v>
      </c>
      <c r="F1519" s="230" t="s">
        <v>3492</v>
      </c>
      <c r="G1519" s="39" t="s">
        <v>251</v>
      </c>
      <c r="H1519" s="178"/>
      <c r="I1519" s="178"/>
      <c r="J1519" s="178"/>
      <c r="K1519" s="178"/>
      <c r="L1519" s="178"/>
      <c r="M1519" s="178"/>
      <c r="N1519" s="178"/>
      <c r="O1519" s="178"/>
      <c r="P1519" s="178"/>
      <c r="Q1519" s="178"/>
      <c r="R1519" s="178"/>
      <c r="S1519" s="178"/>
      <c r="T1519" s="178"/>
      <c r="U1519" s="178"/>
      <c r="V1519" s="178"/>
      <c r="W1519" s="178"/>
      <c r="X1519" s="178"/>
      <c r="Y1519" s="178"/>
      <c r="Z1519" s="178"/>
      <c r="AA1519" s="178"/>
      <c r="AB1519" s="178"/>
      <c r="AC1519" s="178"/>
      <c r="AD1519" s="178"/>
      <c r="AE1519" s="178"/>
      <c r="AF1519" s="178"/>
      <c r="AG1519" s="178"/>
      <c r="AH1519" s="178"/>
      <c r="AI1519" s="178"/>
    </row>
    <row r="1520" hidden="1">
      <c r="A1520" s="202"/>
      <c r="B1520" s="219" t="s">
        <v>3505</v>
      </c>
      <c r="C1520" s="231" t="s">
        <v>3512</v>
      </c>
      <c r="D1520" s="231" t="s">
        <v>3513</v>
      </c>
      <c r="E1520" s="232" t="s">
        <v>3514</v>
      </c>
      <c r="F1520" s="230" t="s">
        <v>3492</v>
      </c>
      <c r="G1520" s="39" t="s">
        <v>574</v>
      </c>
      <c r="H1520" s="178"/>
      <c r="I1520" s="178"/>
      <c r="J1520" s="178"/>
      <c r="K1520" s="178"/>
      <c r="L1520" s="178"/>
      <c r="M1520" s="178"/>
      <c r="N1520" s="178"/>
      <c r="O1520" s="178"/>
      <c r="P1520" s="178"/>
      <c r="Q1520" s="178"/>
      <c r="R1520" s="178"/>
      <c r="S1520" s="178"/>
      <c r="T1520" s="178"/>
      <c r="U1520" s="178"/>
      <c r="V1520" s="178"/>
      <c r="W1520" s="178"/>
      <c r="X1520" s="178"/>
      <c r="Y1520" s="178"/>
      <c r="Z1520" s="178"/>
      <c r="AA1520" s="178"/>
      <c r="AB1520" s="178"/>
      <c r="AC1520" s="178"/>
      <c r="AD1520" s="178"/>
      <c r="AE1520" s="178"/>
      <c r="AF1520" s="178"/>
      <c r="AG1520" s="178"/>
      <c r="AH1520" s="178"/>
      <c r="AI1520" s="178"/>
    </row>
    <row r="1521" hidden="1">
      <c r="A1521" s="202"/>
      <c r="B1521" s="219" t="s">
        <v>3505</v>
      </c>
      <c r="C1521" s="228" t="s">
        <v>3515</v>
      </c>
      <c r="D1521" s="230" t="s">
        <v>3516</v>
      </c>
      <c r="E1521" s="233" t="s">
        <v>3517</v>
      </c>
      <c r="F1521" s="230" t="s">
        <v>3492</v>
      </c>
      <c r="G1521" s="39" t="s">
        <v>251</v>
      </c>
      <c r="H1521" s="178"/>
      <c r="I1521" s="178"/>
      <c r="J1521" s="178"/>
      <c r="K1521" s="178"/>
      <c r="L1521" s="178"/>
      <c r="M1521" s="178"/>
      <c r="N1521" s="178"/>
      <c r="O1521" s="178"/>
      <c r="P1521" s="178"/>
      <c r="Q1521" s="178"/>
      <c r="R1521" s="178"/>
      <c r="S1521" s="178"/>
      <c r="T1521" s="178"/>
      <c r="U1521" s="178"/>
      <c r="V1521" s="178"/>
      <c r="W1521" s="178"/>
      <c r="X1521" s="178"/>
      <c r="Y1521" s="178"/>
      <c r="Z1521" s="178"/>
      <c r="AA1521" s="178"/>
      <c r="AB1521" s="178"/>
      <c r="AC1521" s="178"/>
      <c r="AD1521" s="178"/>
      <c r="AE1521" s="178"/>
      <c r="AF1521" s="178"/>
      <c r="AG1521" s="178"/>
      <c r="AH1521" s="178"/>
      <c r="AI1521" s="178"/>
    </row>
    <row r="1522" hidden="1">
      <c r="A1522" s="202"/>
      <c r="B1522" s="219" t="s">
        <v>3505</v>
      </c>
      <c r="C1522" s="230" t="s">
        <v>3518</v>
      </c>
      <c r="D1522" s="230" t="s">
        <v>3519</v>
      </c>
      <c r="E1522" s="233" t="s">
        <v>3520</v>
      </c>
      <c r="F1522" s="230" t="s">
        <v>3492</v>
      </c>
      <c r="G1522" s="39" t="s">
        <v>574</v>
      </c>
      <c r="H1522" s="178"/>
      <c r="I1522" s="178"/>
      <c r="J1522" s="178"/>
      <c r="K1522" s="178"/>
      <c r="L1522" s="178"/>
      <c r="M1522" s="178"/>
      <c r="N1522" s="178"/>
      <c r="O1522" s="178"/>
      <c r="P1522" s="178"/>
      <c r="Q1522" s="178"/>
      <c r="R1522" s="178"/>
      <c r="S1522" s="178"/>
      <c r="T1522" s="178"/>
      <c r="U1522" s="178"/>
      <c r="V1522" s="178"/>
      <c r="W1522" s="178"/>
      <c r="X1522" s="178"/>
      <c r="Y1522" s="178"/>
      <c r="Z1522" s="178"/>
      <c r="AA1522" s="178"/>
      <c r="AB1522" s="178"/>
      <c r="AC1522" s="178"/>
      <c r="AD1522" s="178"/>
      <c r="AE1522" s="178"/>
      <c r="AF1522" s="178"/>
      <c r="AG1522" s="178"/>
      <c r="AH1522" s="178"/>
      <c r="AI1522" s="178"/>
    </row>
    <row r="1523" hidden="1">
      <c r="A1523" s="202"/>
      <c r="B1523" s="219" t="s">
        <v>3505</v>
      </c>
      <c r="C1523" s="230" t="s">
        <v>3521</v>
      </c>
      <c r="D1523" s="230" t="s">
        <v>3522</v>
      </c>
      <c r="E1523" s="233" t="s">
        <v>3523</v>
      </c>
      <c r="F1523" s="230" t="s">
        <v>3492</v>
      </c>
      <c r="G1523" s="39" t="s">
        <v>574</v>
      </c>
      <c r="H1523" s="178"/>
      <c r="I1523" s="178"/>
      <c r="J1523" s="178"/>
      <c r="K1523" s="178"/>
      <c r="L1523" s="178"/>
      <c r="M1523" s="178"/>
      <c r="N1523" s="178"/>
      <c r="O1523" s="178"/>
      <c r="P1523" s="178"/>
      <c r="Q1523" s="178"/>
      <c r="R1523" s="178"/>
      <c r="S1523" s="178"/>
      <c r="T1523" s="178"/>
      <c r="U1523" s="178"/>
      <c r="V1523" s="178"/>
      <c r="W1523" s="178"/>
      <c r="X1523" s="178"/>
      <c r="Y1523" s="178"/>
      <c r="Z1523" s="178"/>
      <c r="AA1523" s="178"/>
      <c r="AB1523" s="178"/>
      <c r="AC1523" s="178"/>
      <c r="AD1523" s="178"/>
      <c r="AE1523" s="178"/>
      <c r="AF1523" s="178"/>
      <c r="AG1523" s="178"/>
      <c r="AH1523" s="178"/>
      <c r="AI1523" s="178"/>
    </row>
    <row r="1524" hidden="1">
      <c r="A1524" s="202"/>
      <c r="B1524" s="219" t="s">
        <v>3524</v>
      </c>
      <c r="C1524" s="234" t="s">
        <v>3525</v>
      </c>
      <c r="D1524" s="228" t="s">
        <v>3526</v>
      </c>
      <c r="E1524" s="235" t="s">
        <v>3527</v>
      </c>
      <c r="F1524" s="230" t="s">
        <v>3492</v>
      </c>
      <c r="G1524" s="39" t="s">
        <v>574</v>
      </c>
      <c r="H1524" s="178"/>
      <c r="I1524" s="178"/>
      <c r="J1524" s="178"/>
      <c r="K1524" s="178"/>
      <c r="L1524" s="178"/>
      <c r="M1524" s="178"/>
      <c r="N1524" s="178"/>
      <c r="O1524" s="178"/>
      <c r="P1524" s="178"/>
      <c r="Q1524" s="178"/>
      <c r="R1524" s="178"/>
      <c r="S1524" s="178"/>
      <c r="T1524" s="178"/>
      <c r="U1524" s="178"/>
      <c r="V1524" s="178"/>
      <c r="W1524" s="178"/>
      <c r="X1524" s="178"/>
      <c r="Y1524" s="178"/>
      <c r="Z1524" s="178"/>
      <c r="AA1524" s="178"/>
      <c r="AB1524" s="178"/>
      <c r="AC1524" s="178"/>
      <c r="AD1524" s="178"/>
      <c r="AE1524" s="178"/>
      <c r="AF1524" s="178"/>
      <c r="AG1524" s="178"/>
      <c r="AH1524" s="178"/>
      <c r="AI1524" s="178"/>
    </row>
    <row r="1525" hidden="1">
      <c r="A1525" s="202"/>
      <c r="B1525" s="219" t="s">
        <v>3524</v>
      </c>
      <c r="C1525" s="234" t="s">
        <v>3528</v>
      </c>
      <c r="D1525" s="236" t="s">
        <v>3529</v>
      </c>
      <c r="E1525" s="237" t="s">
        <v>3530</v>
      </c>
      <c r="F1525" s="230" t="s">
        <v>3492</v>
      </c>
      <c r="G1525" s="39" t="s">
        <v>574</v>
      </c>
      <c r="H1525" s="178"/>
      <c r="I1525" s="178"/>
      <c r="J1525" s="178"/>
      <c r="K1525" s="178"/>
      <c r="L1525" s="178"/>
      <c r="M1525" s="178"/>
      <c r="N1525" s="178"/>
      <c r="O1525" s="178"/>
      <c r="P1525" s="178"/>
      <c r="Q1525" s="178"/>
      <c r="R1525" s="178"/>
      <c r="S1525" s="178"/>
      <c r="T1525" s="178"/>
      <c r="U1525" s="178"/>
      <c r="V1525" s="178"/>
      <c r="W1525" s="178"/>
      <c r="X1525" s="178"/>
      <c r="Y1525" s="178"/>
      <c r="Z1525" s="178"/>
      <c r="AA1525" s="178"/>
      <c r="AB1525" s="178"/>
      <c r="AC1525" s="178"/>
      <c r="AD1525" s="178"/>
      <c r="AE1525" s="178"/>
      <c r="AF1525" s="178"/>
      <c r="AG1525" s="178"/>
      <c r="AH1525" s="178"/>
      <c r="AI1525" s="178"/>
    </row>
    <row r="1526" hidden="1">
      <c r="A1526" s="202"/>
      <c r="B1526" s="219" t="s">
        <v>3531</v>
      </c>
      <c r="C1526" s="238" t="s">
        <v>3532</v>
      </c>
      <c r="D1526" s="238" t="s">
        <v>3533</v>
      </c>
      <c r="E1526" s="239" t="s">
        <v>3534</v>
      </c>
      <c r="F1526" s="238" t="s">
        <v>3535</v>
      </c>
      <c r="G1526" s="39" t="s">
        <v>574</v>
      </c>
      <c r="H1526" s="178"/>
      <c r="I1526" s="178"/>
      <c r="J1526" s="178"/>
      <c r="K1526" s="178"/>
      <c r="L1526" s="178"/>
      <c r="M1526" s="178"/>
      <c r="N1526" s="178"/>
      <c r="O1526" s="178"/>
      <c r="P1526" s="178"/>
      <c r="Q1526" s="178"/>
      <c r="R1526" s="178"/>
      <c r="S1526" s="178"/>
      <c r="T1526" s="178"/>
      <c r="U1526" s="178"/>
      <c r="V1526" s="178"/>
      <c r="W1526" s="178"/>
      <c r="X1526" s="178"/>
      <c r="Y1526" s="178"/>
      <c r="Z1526" s="178"/>
      <c r="AA1526" s="178"/>
      <c r="AB1526" s="178"/>
      <c r="AC1526" s="178"/>
      <c r="AD1526" s="178"/>
      <c r="AE1526" s="178"/>
      <c r="AF1526" s="178"/>
      <c r="AG1526" s="178"/>
      <c r="AH1526" s="178"/>
      <c r="AI1526" s="178"/>
    </row>
    <row r="1527" hidden="1">
      <c r="A1527" s="202"/>
      <c r="B1527" s="219" t="s">
        <v>3531</v>
      </c>
      <c r="C1527" s="238" t="s">
        <v>3536</v>
      </c>
      <c r="D1527" s="238" t="s">
        <v>3537</v>
      </c>
      <c r="E1527" s="239" t="s">
        <v>3538</v>
      </c>
      <c r="F1527" s="238" t="s">
        <v>3539</v>
      </c>
      <c r="G1527" s="39" t="s">
        <v>574</v>
      </c>
      <c r="H1527" s="178"/>
      <c r="I1527" s="178"/>
      <c r="J1527" s="178"/>
      <c r="K1527" s="178"/>
      <c r="L1527" s="178"/>
      <c r="M1527" s="178"/>
      <c r="N1527" s="178"/>
      <c r="O1527" s="178"/>
      <c r="P1527" s="178"/>
      <c r="Q1527" s="178"/>
      <c r="R1527" s="178"/>
      <c r="S1527" s="178"/>
      <c r="T1527" s="178"/>
      <c r="U1527" s="178"/>
      <c r="V1527" s="178"/>
      <c r="W1527" s="178"/>
      <c r="X1527" s="178"/>
      <c r="Y1527" s="178"/>
      <c r="Z1527" s="178"/>
      <c r="AA1527" s="178"/>
      <c r="AB1527" s="178"/>
      <c r="AC1527" s="178"/>
      <c r="AD1527" s="178"/>
      <c r="AE1527" s="178"/>
      <c r="AF1527" s="178"/>
      <c r="AG1527" s="178"/>
      <c r="AH1527" s="178"/>
      <c r="AI1527" s="178"/>
    </row>
    <row r="1528" hidden="1">
      <c r="A1528" s="202"/>
      <c r="B1528" s="219" t="s">
        <v>3531</v>
      </c>
      <c r="C1528" s="238" t="s">
        <v>3540</v>
      </c>
      <c r="D1528" s="238" t="s">
        <v>3540</v>
      </c>
      <c r="E1528" s="239" t="s">
        <v>3541</v>
      </c>
      <c r="F1528" s="238" t="s">
        <v>3535</v>
      </c>
      <c r="G1528" s="39" t="s">
        <v>574</v>
      </c>
      <c r="H1528" s="178"/>
      <c r="I1528" s="178"/>
      <c r="J1528" s="178"/>
      <c r="K1528" s="178"/>
      <c r="L1528" s="178"/>
      <c r="M1528" s="178"/>
      <c r="N1528" s="178"/>
      <c r="O1528" s="178"/>
      <c r="P1528" s="178"/>
      <c r="Q1528" s="178"/>
      <c r="R1528" s="178"/>
      <c r="S1528" s="178"/>
      <c r="T1528" s="178"/>
      <c r="U1528" s="178"/>
      <c r="V1528" s="178"/>
      <c r="W1528" s="178"/>
      <c r="X1528" s="178"/>
      <c r="Y1528" s="178"/>
      <c r="Z1528" s="178"/>
      <c r="AA1528" s="178"/>
      <c r="AB1528" s="178"/>
      <c r="AC1528" s="178"/>
      <c r="AD1528" s="178"/>
      <c r="AE1528" s="178"/>
      <c r="AF1528" s="178"/>
      <c r="AG1528" s="178"/>
      <c r="AH1528" s="178"/>
      <c r="AI1528" s="178"/>
    </row>
    <row r="1529" hidden="1">
      <c r="A1529" s="202"/>
      <c r="B1529" s="219" t="s">
        <v>3531</v>
      </c>
      <c r="C1529" s="238" t="s">
        <v>3542</v>
      </c>
      <c r="D1529" s="238" t="s">
        <v>3543</v>
      </c>
      <c r="E1529" s="239" t="s">
        <v>3544</v>
      </c>
      <c r="F1529" s="238" t="s">
        <v>3535</v>
      </c>
      <c r="G1529" s="39" t="s">
        <v>574</v>
      </c>
      <c r="H1529" s="178"/>
      <c r="I1529" s="178"/>
      <c r="J1529" s="178"/>
      <c r="K1529" s="178"/>
      <c r="L1529" s="178"/>
      <c r="M1529" s="178"/>
      <c r="N1529" s="178"/>
      <c r="O1529" s="178"/>
      <c r="P1529" s="178"/>
      <c r="Q1529" s="178"/>
      <c r="R1529" s="178"/>
      <c r="S1529" s="178"/>
      <c r="T1529" s="178"/>
      <c r="U1529" s="178"/>
      <c r="V1529" s="178"/>
      <c r="W1529" s="178"/>
      <c r="X1529" s="178"/>
      <c r="Y1529" s="178"/>
      <c r="Z1529" s="178"/>
      <c r="AA1529" s="178"/>
      <c r="AB1529" s="178"/>
      <c r="AC1529" s="178"/>
      <c r="AD1529" s="178"/>
      <c r="AE1529" s="178"/>
      <c r="AF1529" s="178"/>
      <c r="AG1529" s="178"/>
      <c r="AH1529" s="178"/>
      <c r="AI1529" s="178"/>
    </row>
    <row r="1530" hidden="1">
      <c r="A1530" s="202"/>
      <c r="B1530" s="240">
        <v>43692.0</v>
      </c>
      <c r="C1530" s="231" t="s">
        <v>3545</v>
      </c>
      <c r="D1530" s="231" t="s">
        <v>3546</v>
      </c>
      <c r="E1530" s="241" t="s">
        <v>3547</v>
      </c>
      <c r="F1530" s="228" t="s">
        <v>3548</v>
      </c>
      <c r="G1530" s="39" t="s">
        <v>574</v>
      </c>
      <c r="H1530" s="178"/>
      <c r="I1530" s="178"/>
      <c r="J1530" s="178"/>
      <c r="K1530" s="178"/>
      <c r="L1530" s="178"/>
      <c r="M1530" s="178"/>
      <c r="N1530" s="178"/>
      <c r="O1530" s="178"/>
      <c r="P1530" s="178"/>
      <c r="Q1530" s="178"/>
      <c r="R1530" s="178"/>
      <c r="S1530" s="178"/>
      <c r="T1530" s="178"/>
      <c r="U1530" s="178"/>
      <c r="V1530" s="178"/>
      <c r="W1530" s="178"/>
      <c r="X1530" s="178"/>
      <c r="Y1530" s="178"/>
      <c r="Z1530" s="178"/>
      <c r="AA1530" s="178"/>
      <c r="AB1530" s="178"/>
      <c r="AC1530" s="178"/>
      <c r="AD1530" s="178"/>
      <c r="AE1530" s="178"/>
      <c r="AF1530" s="178"/>
      <c r="AG1530" s="178"/>
      <c r="AH1530" s="178"/>
      <c r="AI1530" s="178"/>
    </row>
    <row r="1531" hidden="1">
      <c r="A1531" s="202"/>
      <c r="B1531" s="240">
        <v>43692.0</v>
      </c>
      <c r="C1531" s="231" t="s">
        <v>3549</v>
      </c>
      <c r="D1531" s="231" t="s">
        <v>3550</v>
      </c>
      <c r="E1531" s="241" t="s">
        <v>3551</v>
      </c>
      <c r="F1531" s="228" t="s">
        <v>3548</v>
      </c>
      <c r="G1531" s="39" t="s">
        <v>574</v>
      </c>
      <c r="H1531" s="178"/>
      <c r="I1531" s="178"/>
      <c r="J1531" s="178"/>
      <c r="K1531" s="178"/>
      <c r="L1531" s="178"/>
      <c r="M1531" s="178"/>
      <c r="N1531" s="178"/>
      <c r="O1531" s="178"/>
      <c r="P1531" s="178"/>
      <c r="Q1531" s="178"/>
      <c r="R1531" s="178"/>
      <c r="S1531" s="178"/>
      <c r="T1531" s="178"/>
      <c r="U1531" s="178"/>
      <c r="V1531" s="178"/>
      <c r="W1531" s="178"/>
      <c r="X1531" s="178"/>
      <c r="Y1531" s="178"/>
      <c r="Z1531" s="178"/>
      <c r="AA1531" s="178"/>
      <c r="AB1531" s="178"/>
      <c r="AC1531" s="178"/>
      <c r="AD1531" s="178"/>
      <c r="AE1531" s="178"/>
      <c r="AF1531" s="178"/>
      <c r="AG1531" s="178"/>
      <c r="AH1531" s="178"/>
      <c r="AI1531" s="178"/>
    </row>
    <row r="1532" hidden="1">
      <c r="A1532" s="202"/>
      <c r="B1532" s="240">
        <v>43692.0</v>
      </c>
      <c r="C1532" s="231" t="s">
        <v>3552</v>
      </c>
      <c r="D1532" s="231" t="s">
        <v>3553</v>
      </c>
      <c r="E1532" s="242" t="s">
        <v>3380</v>
      </c>
      <c r="F1532" s="228" t="s">
        <v>3548</v>
      </c>
      <c r="H1532" s="178"/>
      <c r="I1532" s="178"/>
      <c r="J1532" s="178"/>
      <c r="K1532" s="178"/>
      <c r="L1532" s="178"/>
      <c r="M1532" s="178"/>
      <c r="N1532" s="178"/>
      <c r="O1532" s="178"/>
      <c r="P1532" s="178"/>
      <c r="Q1532" s="178"/>
      <c r="R1532" s="178"/>
      <c r="S1532" s="178"/>
      <c r="T1532" s="178"/>
      <c r="U1532" s="178"/>
      <c r="V1532" s="178"/>
      <c r="W1532" s="178"/>
      <c r="X1532" s="178"/>
      <c r="Y1532" s="178"/>
      <c r="Z1532" s="178"/>
      <c r="AA1532" s="178"/>
      <c r="AB1532" s="178"/>
      <c r="AC1532" s="178"/>
      <c r="AD1532" s="178"/>
      <c r="AE1532" s="178"/>
      <c r="AF1532" s="178"/>
      <c r="AG1532" s="178"/>
      <c r="AH1532" s="178"/>
      <c r="AI1532" s="178"/>
    </row>
    <row r="1533" hidden="1">
      <c r="A1533" s="202"/>
      <c r="B1533" s="240">
        <v>43693.0</v>
      </c>
      <c r="C1533" s="231" t="s">
        <v>3554</v>
      </c>
      <c r="D1533" s="231" t="s">
        <v>3555</v>
      </c>
      <c r="E1533" s="232" t="s">
        <v>3556</v>
      </c>
      <c r="F1533" s="228" t="s">
        <v>3535</v>
      </c>
      <c r="G1533" s="39" t="s">
        <v>574</v>
      </c>
      <c r="H1533" s="178"/>
      <c r="I1533" s="178"/>
      <c r="J1533" s="178"/>
      <c r="K1533" s="178"/>
      <c r="L1533" s="178"/>
      <c r="M1533" s="178"/>
      <c r="N1533" s="178"/>
      <c r="O1533" s="178"/>
      <c r="P1533" s="178"/>
      <c r="Q1533" s="178"/>
      <c r="R1533" s="178"/>
      <c r="S1533" s="178"/>
      <c r="T1533" s="178"/>
      <c r="U1533" s="178"/>
      <c r="V1533" s="178"/>
      <c r="W1533" s="178"/>
      <c r="X1533" s="178"/>
      <c r="Y1533" s="178"/>
      <c r="Z1533" s="178"/>
      <c r="AA1533" s="178"/>
      <c r="AB1533" s="178"/>
      <c r="AC1533" s="178"/>
      <c r="AD1533" s="178"/>
      <c r="AE1533" s="178"/>
      <c r="AF1533" s="178"/>
      <c r="AG1533" s="178"/>
      <c r="AH1533" s="178"/>
      <c r="AI1533" s="178"/>
    </row>
    <row r="1534" hidden="1">
      <c r="A1534" s="202"/>
      <c r="B1534" s="240">
        <v>43695.0</v>
      </c>
      <c r="C1534" s="220" t="s">
        <v>3557</v>
      </c>
      <c r="D1534" s="220" t="s">
        <v>3558</v>
      </c>
      <c r="E1534" s="223" t="s">
        <v>3559</v>
      </c>
      <c r="F1534" s="228" t="s">
        <v>3548</v>
      </c>
      <c r="G1534" s="39" t="s">
        <v>574</v>
      </c>
      <c r="H1534" s="178"/>
      <c r="I1534" s="178"/>
      <c r="J1534" s="178"/>
      <c r="K1534" s="178"/>
      <c r="L1534" s="178"/>
      <c r="M1534" s="178"/>
      <c r="N1534" s="178"/>
      <c r="O1534" s="178"/>
      <c r="P1534" s="178"/>
      <c r="Q1534" s="178"/>
      <c r="R1534" s="178"/>
      <c r="S1534" s="178"/>
      <c r="T1534" s="178"/>
      <c r="U1534" s="178"/>
      <c r="V1534" s="178"/>
      <c r="W1534" s="178"/>
      <c r="X1534" s="178"/>
      <c r="Y1534" s="178"/>
      <c r="Z1534" s="178"/>
      <c r="AA1534" s="178"/>
      <c r="AB1534" s="178"/>
      <c r="AC1534" s="178"/>
      <c r="AD1534" s="178"/>
      <c r="AE1534" s="178"/>
      <c r="AF1534" s="178"/>
      <c r="AG1534" s="178"/>
      <c r="AH1534" s="178"/>
      <c r="AI1534" s="178"/>
    </row>
    <row r="1535" hidden="1">
      <c r="A1535" s="202"/>
      <c r="B1535" s="240">
        <v>43695.0</v>
      </c>
      <c r="C1535" s="220" t="s">
        <v>3560</v>
      </c>
      <c r="D1535" s="220" t="s">
        <v>3561</v>
      </c>
      <c r="E1535" s="223" t="s">
        <v>3562</v>
      </c>
      <c r="F1535" s="228" t="s">
        <v>3548</v>
      </c>
      <c r="G1535" s="39" t="s">
        <v>574</v>
      </c>
      <c r="H1535" s="178"/>
      <c r="I1535" s="178"/>
      <c r="J1535" s="178"/>
      <c r="K1535" s="178"/>
      <c r="L1535" s="178"/>
      <c r="M1535" s="178"/>
      <c r="N1535" s="178"/>
      <c r="O1535" s="178"/>
      <c r="P1535" s="178"/>
      <c r="Q1535" s="178"/>
      <c r="R1535" s="178"/>
      <c r="S1535" s="178"/>
      <c r="T1535" s="178"/>
      <c r="U1535" s="178"/>
      <c r="V1535" s="178"/>
      <c r="W1535" s="178"/>
      <c r="X1535" s="178"/>
      <c r="Y1535" s="178"/>
      <c r="Z1535" s="178"/>
      <c r="AA1535" s="178"/>
      <c r="AB1535" s="178"/>
      <c r="AC1535" s="178"/>
      <c r="AD1535" s="178"/>
      <c r="AE1535" s="178"/>
      <c r="AF1535" s="178"/>
      <c r="AG1535" s="178"/>
      <c r="AH1535" s="178"/>
      <c r="AI1535" s="178"/>
    </row>
    <row r="1536" hidden="1">
      <c r="A1536" s="202"/>
      <c r="B1536" s="240">
        <v>43695.0</v>
      </c>
      <c r="C1536" s="234" t="s">
        <v>3563</v>
      </c>
      <c r="D1536" s="234" t="s">
        <v>3564</v>
      </c>
      <c r="E1536" s="237" t="s">
        <v>3565</v>
      </c>
      <c r="F1536" s="234" t="s">
        <v>3535</v>
      </c>
      <c r="H1536" s="243"/>
      <c r="I1536" s="178"/>
      <c r="J1536" s="178"/>
      <c r="K1536" s="178"/>
      <c r="L1536" s="178"/>
      <c r="M1536" s="178"/>
      <c r="N1536" s="178"/>
      <c r="O1536" s="178"/>
      <c r="P1536" s="178"/>
      <c r="Q1536" s="178"/>
      <c r="R1536" s="178"/>
      <c r="S1536" s="178"/>
      <c r="T1536" s="178"/>
      <c r="U1536" s="178"/>
      <c r="V1536" s="178"/>
      <c r="W1536" s="178"/>
      <c r="X1536" s="178"/>
      <c r="Y1536" s="178"/>
      <c r="Z1536" s="178"/>
      <c r="AA1536" s="178"/>
      <c r="AB1536" s="178"/>
      <c r="AC1536" s="178"/>
      <c r="AD1536" s="178"/>
      <c r="AE1536" s="178"/>
      <c r="AF1536" s="178"/>
      <c r="AG1536" s="178"/>
      <c r="AH1536" s="178"/>
      <c r="AI1536" s="178"/>
    </row>
    <row r="1537" hidden="1">
      <c r="A1537" s="202"/>
      <c r="B1537" s="244" t="s">
        <v>3566</v>
      </c>
      <c r="C1537" s="234" t="s">
        <v>3567</v>
      </c>
      <c r="D1537" s="234" t="s">
        <v>3568</v>
      </c>
      <c r="E1537" s="237" t="s">
        <v>3569</v>
      </c>
      <c r="F1537" s="245" t="s">
        <v>3548</v>
      </c>
      <c r="H1537" s="246"/>
      <c r="I1537" s="178"/>
      <c r="J1537" s="178"/>
      <c r="K1537" s="178"/>
      <c r="L1537" s="178"/>
      <c r="M1537" s="178"/>
      <c r="N1537" s="178"/>
      <c r="O1537" s="178"/>
      <c r="P1537" s="178"/>
      <c r="Q1537" s="178"/>
      <c r="R1537" s="178"/>
      <c r="S1537" s="178"/>
      <c r="T1537" s="178"/>
      <c r="U1537" s="178"/>
      <c r="V1537" s="178"/>
      <c r="W1537" s="178"/>
      <c r="X1537" s="178"/>
      <c r="Y1537" s="178"/>
      <c r="Z1537" s="178"/>
      <c r="AA1537" s="178"/>
      <c r="AB1537" s="178"/>
      <c r="AC1537" s="178"/>
      <c r="AD1537" s="178"/>
      <c r="AE1537" s="178"/>
      <c r="AF1537" s="178"/>
      <c r="AG1537" s="178"/>
      <c r="AH1537" s="178"/>
      <c r="AI1537" s="178"/>
    </row>
    <row r="1538" hidden="1">
      <c r="A1538" s="202"/>
      <c r="B1538" s="178"/>
      <c r="C1538" s="178"/>
      <c r="D1538" s="178"/>
      <c r="E1538" s="178"/>
      <c r="F1538" s="178"/>
      <c r="G1538" s="247"/>
      <c r="H1538" s="178"/>
      <c r="I1538" s="178"/>
      <c r="J1538" s="178"/>
      <c r="K1538" s="178"/>
      <c r="L1538" s="178"/>
      <c r="M1538" s="178"/>
      <c r="N1538" s="178"/>
      <c r="O1538" s="178"/>
      <c r="P1538" s="178"/>
      <c r="Q1538" s="178"/>
      <c r="R1538" s="178"/>
      <c r="S1538" s="178"/>
      <c r="T1538" s="178"/>
      <c r="U1538" s="178"/>
      <c r="V1538" s="178"/>
      <c r="W1538" s="178"/>
      <c r="X1538" s="178"/>
      <c r="Y1538" s="178"/>
      <c r="Z1538" s="178"/>
      <c r="AA1538" s="178"/>
      <c r="AB1538" s="178"/>
      <c r="AC1538" s="178"/>
      <c r="AD1538" s="178"/>
      <c r="AE1538" s="178"/>
      <c r="AF1538" s="178"/>
      <c r="AG1538" s="178"/>
      <c r="AH1538" s="178"/>
      <c r="AI1538" s="178"/>
    </row>
    <row r="1539" hidden="1">
      <c r="A1539" s="202"/>
      <c r="B1539" s="178"/>
      <c r="C1539" s="178"/>
      <c r="D1539" s="178"/>
      <c r="E1539" s="178"/>
      <c r="F1539" s="178"/>
      <c r="G1539" s="247"/>
      <c r="H1539" s="178"/>
      <c r="I1539" s="178"/>
      <c r="J1539" s="178"/>
      <c r="K1539" s="178"/>
      <c r="L1539" s="178"/>
      <c r="M1539" s="178"/>
      <c r="N1539" s="178"/>
      <c r="O1539" s="178"/>
      <c r="P1539" s="178"/>
      <c r="Q1539" s="178"/>
      <c r="R1539" s="178"/>
      <c r="S1539" s="178"/>
      <c r="T1539" s="178"/>
      <c r="U1539" s="178"/>
      <c r="V1539" s="178"/>
      <c r="W1539" s="178"/>
      <c r="X1539" s="178"/>
      <c r="Y1539" s="178"/>
      <c r="Z1539" s="178"/>
      <c r="AA1539" s="178"/>
      <c r="AB1539" s="178"/>
      <c r="AC1539" s="178"/>
      <c r="AD1539" s="178"/>
      <c r="AE1539" s="178"/>
      <c r="AF1539" s="178"/>
      <c r="AG1539" s="178"/>
      <c r="AH1539" s="178"/>
      <c r="AI1539" s="178"/>
    </row>
    <row r="1540" hidden="1">
      <c r="A1540" s="202"/>
      <c r="B1540" s="178"/>
      <c r="C1540" s="178"/>
      <c r="D1540" s="178"/>
      <c r="E1540" s="178"/>
      <c r="F1540" s="178"/>
      <c r="G1540" s="247"/>
      <c r="H1540" s="178"/>
      <c r="I1540" s="178"/>
      <c r="J1540" s="178"/>
      <c r="K1540" s="178"/>
      <c r="L1540" s="178"/>
      <c r="M1540" s="178"/>
      <c r="N1540" s="178"/>
      <c r="O1540" s="178"/>
      <c r="P1540" s="178"/>
      <c r="Q1540" s="178"/>
      <c r="R1540" s="178"/>
      <c r="S1540" s="178"/>
      <c r="T1540" s="178"/>
      <c r="U1540" s="178"/>
      <c r="V1540" s="178"/>
      <c r="W1540" s="178"/>
      <c r="X1540" s="178"/>
      <c r="Y1540" s="178"/>
      <c r="Z1540" s="178"/>
      <c r="AA1540" s="178"/>
      <c r="AB1540" s="178"/>
      <c r="AC1540" s="178"/>
      <c r="AD1540" s="178"/>
      <c r="AE1540" s="178"/>
      <c r="AF1540" s="178"/>
      <c r="AG1540" s="178"/>
      <c r="AH1540" s="178"/>
      <c r="AI1540" s="178"/>
    </row>
    <row r="1541" hidden="1">
      <c r="A1541" s="202"/>
      <c r="B1541" s="203"/>
      <c r="C1541" s="203"/>
      <c r="D1541" s="209"/>
      <c r="E1541" s="248"/>
      <c r="F1541" s="249"/>
      <c r="G1541" s="39"/>
    </row>
    <row r="1542" hidden="1">
      <c r="A1542" s="202"/>
      <c r="B1542" s="203"/>
      <c r="C1542" s="203"/>
      <c r="D1542" s="209"/>
      <c r="E1542" s="248"/>
      <c r="F1542" s="249"/>
      <c r="G1542" s="39"/>
    </row>
    <row r="1543" hidden="1">
      <c r="A1543" s="202"/>
      <c r="B1543" s="203"/>
      <c r="C1543" s="203"/>
      <c r="D1543" s="209"/>
      <c r="E1543" s="248"/>
      <c r="F1543" s="249"/>
      <c r="G1543" s="39"/>
    </row>
    <row r="1544" hidden="1">
      <c r="A1544" s="202"/>
      <c r="B1544" s="203"/>
      <c r="C1544" s="203"/>
      <c r="D1544" s="209"/>
      <c r="E1544" s="248"/>
      <c r="F1544" s="249"/>
      <c r="G1544" s="39"/>
    </row>
    <row r="1545" hidden="1">
      <c r="A1545" s="202"/>
      <c r="B1545" s="203"/>
      <c r="C1545" s="203"/>
      <c r="D1545" s="209"/>
      <c r="E1545" s="248"/>
      <c r="F1545" s="249"/>
      <c r="G1545" s="39"/>
    </row>
    <row r="1546" hidden="1">
      <c r="A1546" s="202"/>
      <c r="B1546" s="203"/>
      <c r="C1546" s="203"/>
      <c r="D1546" s="209"/>
      <c r="E1546" s="248"/>
      <c r="F1546" s="249"/>
      <c r="G1546" s="39"/>
    </row>
    <row r="1547" hidden="1">
      <c r="A1547" s="202"/>
      <c r="B1547" s="203"/>
      <c r="C1547" s="203"/>
      <c r="D1547" s="209"/>
      <c r="E1547" s="248"/>
      <c r="F1547" s="249"/>
      <c r="G1547" s="39"/>
    </row>
    <row r="1548" hidden="1">
      <c r="A1548" s="202"/>
      <c r="B1548" s="203"/>
      <c r="C1548" s="203"/>
      <c r="D1548" s="209"/>
      <c r="E1548" s="248"/>
      <c r="F1548" s="249"/>
      <c r="G1548" s="39"/>
    </row>
    <row r="1549" hidden="1">
      <c r="A1549" s="202"/>
      <c r="B1549" s="203"/>
      <c r="C1549" s="203"/>
      <c r="D1549" s="209"/>
      <c r="E1549" s="248"/>
      <c r="F1549" s="249"/>
      <c r="G1549" s="39"/>
    </row>
    <row r="1550" hidden="1">
      <c r="A1550" s="202"/>
      <c r="B1550" s="203"/>
      <c r="C1550" s="203"/>
      <c r="D1550" s="209"/>
      <c r="E1550" s="248"/>
      <c r="F1550" s="249"/>
      <c r="G1550" s="39"/>
    </row>
    <row r="1551" hidden="1">
      <c r="A1551" s="202"/>
      <c r="B1551" s="203"/>
      <c r="C1551" s="203"/>
      <c r="D1551" s="209"/>
      <c r="E1551" s="248"/>
      <c r="F1551" s="249"/>
      <c r="G1551" s="39"/>
    </row>
    <row r="1552" hidden="1">
      <c r="A1552" s="202"/>
      <c r="B1552" s="203"/>
      <c r="C1552" s="203"/>
      <c r="D1552" s="209"/>
      <c r="E1552" s="248"/>
      <c r="F1552" s="249"/>
      <c r="G1552" s="39"/>
    </row>
    <row r="1553" hidden="1">
      <c r="A1553" s="202"/>
      <c r="B1553" s="203"/>
      <c r="C1553" s="203"/>
      <c r="D1553" s="209"/>
      <c r="E1553" s="248"/>
      <c r="F1553" s="249"/>
      <c r="G1553" s="39"/>
    </row>
    <row r="1554" hidden="1">
      <c r="A1554" s="202"/>
      <c r="B1554" s="203"/>
      <c r="C1554" s="203"/>
      <c r="D1554" s="209"/>
      <c r="E1554" s="248"/>
      <c r="F1554" s="249"/>
      <c r="G1554" s="39"/>
    </row>
    <row r="1555" hidden="1">
      <c r="A1555" s="202"/>
      <c r="B1555" s="203"/>
      <c r="C1555" s="203"/>
      <c r="D1555" s="209"/>
      <c r="E1555" s="248"/>
      <c r="F1555" s="249"/>
      <c r="G1555" s="39"/>
    </row>
    <row r="1556" hidden="1">
      <c r="A1556" s="202"/>
      <c r="B1556" s="203"/>
      <c r="C1556" s="203"/>
      <c r="D1556" s="209"/>
      <c r="E1556" s="248"/>
      <c r="F1556" s="249"/>
      <c r="G1556" s="39"/>
    </row>
    <row r="1557" hidden="1">
      <c r="A1557" s="202"/>
      <c r="B1557" s="203"/>
      <c r="C1557" s="203"/>
      <c r="D1557" s="209"/>
      <c r="E1557" s="248"/>
      <c r="F1557" s="249"/>
      <c r="G1557" s="39"/>
    </row>
    <row r="1558" hidden="1">
      <c r="A1558" s="202"/>
      <c r="B1558" s="203"/>
      <c r="C1558" s="203"/>
      <c r="D1558" s="209"/>
      <c r="E1558" s="248"/>
      <c r="F1558" s="249"/>
      <c r="G1558" s="39"/>
    </row>
    <row r="1559" hidden="1">
      <c r="A1559" s="202"/>
      <c r="B1559" s="203"/>
      <c r="C1559" s="203"/>
      <c r="D1559" s="209"/>
      <c r="E1559" s="248"/>
      <c r="F1559" s="249"/>
      <c r="G1559" s="39"/>
    </row>
    <row r="1560" hidden="1">
      <c r="A1560" s="202"/>
      <c r="B1560" s="203"/>
      <c r="C1560" s="203"/>
      <c r="D1560" s="209"/>
      <c r="E1560" s="248"/>
      <c r="F1560" s="249"/>
      <c r="G1560" s="39"/>
    </row>
    <row r="1561" hidden="1">
      <c r="A1561" s="202"/>
      <c r="B1561" s="203"/>
      <c r="C1561" s="203"/>
      <c r="D1561" s="209"/>
      <c r="E1561" s="248"/>
      <c r="F1561" s="249"/>
      <c r="G1561" s="39"/>
    </row>
    <row r="1562" hidden="1">
      <c r="A1562" s="202"/>
      <c r="B1562" s="203"/>
      <c r="C1562" s="203"/>
      <c r="D1562" s="209"/>
      <c r="E1562" s="248"/>
      <c r="F1562" s="249"/>
      <c r="G1562" s="39"/>
    </row>
    <row r="1563" hidden="1">
      <c r="A1563" s="202"/>
      <c r="B1563" s="203"/>
      <c r="C1563" s="203"/>
      <c r="D1563" s="209"/>
      <c r="E1563" s="248"/>
      <c r="F1563" s="249"/>
      <c r="G1563" s="39"/>
    </row>
    <row r="1564" hidden="1">
      <c r="A1564" s="202"/>
      <c r="B1564" s="203"/>
      <c r="C1564" s="203"/>
      <c r="D1564" s="209"/>
      <c r="E1564" s="248"/>
      <c r="F1564" s="249"/>
      <c r="G1564" s="39"/>
    </row>
    <row r="1565" hidden="1">
      <c r="A1565" s="202"/>
      <c r="B1565" s="203"/>
      <c r="C1565" s="203"/>
      <c r="D1565" s="209"/>
      <c r="E1565" s="248"/>
      <c r="F1565" s="249"/>
      <c r="G1565" s="39"/>
    </row>
    <row r="1566" hidden="1">
      <c r="A1566" s="202"/>
      <c r="B1566" s="203"/>
      <c r="C1566" s="203"/>
      <c r="D1566" s="209"/>
      <c r="E1566" s="248"/>
      <c r="F1566" s="249"/>
      <c r="G1566" s="39"/>
    </row>
    <row r="1567" hidden="1">
      <c r="A1567" s="202"/>
      <c r="B1567" s="203"/>
      <c r="C1567" s="203"/>
      <c r="D1567" s="209"/>
      <c r="E1567" s="248"/>
      <c r="F1567" s="249"/>
      <c r="G1567" s="39"/>
    </row>
    <row r="1568" hidden="1">
      <c r="A1568" s="202"/>
      <c r="B1568" s="203"/>
      <c r="C1568" s="203"/>
      <c r="D1568" s="209"/>
      <c r="E1568" s="248"/>
      <c r="F1568" s="249"/>
      <c r="G1568" s="39"/>
    </row>
    <row r="1569" hidden="1">
      <c r="A1569" s="202"/>
      <c r="B1569" s="203"/>
      <c r="C1569" s="203"/>
      <c r="D1569" s="209"/>
      <c r="E1569" s="248"/>
      <c r="F1569" s="249"/>
      <c r="G1569" s="39"/>
    </row>
    <row r="1570" hidden="1">
      <c r="A1570" s="202"/>
      <c r="B1570" s="203"/>
      <c r="C1570" s="203"/>
      <c r="D1570" s="209"/>
      <c r="E1570" s="248"/>
      <c r="F1570" s="249"/>
      <c r="G1570" s="39"/>
    </row>
    <row r="1571" hidden="1">
      <c r="A1571" s="202"/>
      <c r="B1571" s="203"/>
      <c r="C1571" s="203"/>
      <c r="D1571" s="209"/>
      <c r="E1571" s="248"/>
      <c r="F1571" s="249"/>
      <c r="G1571" s="39"/>
    </row>
    <row r="1572" hidden="1">
      <c r="A1572" s="202"/>
      <c r="B1572" s="203"/>
      <c r="C1572" s="203"/>
      <c r="D1572" s="209"/>
      <c r="E1572" s="248"/>
      <c r="F1572" s="249"/>
      <c r="G1572" s="39"/>
    </row>
    <row r="1573" hidden="1">
      <c r="A1573" s="202"/>
      <c r="B1573" s="203"/>
      <c r="C1573" s="203"/>
      <c r="D1573" s="209"/>
      <c r="E1573" s="248"/>
      <c r="F1573" s="249"/>
      <c r="G1573" s="39"/>
    </row>
    <row r="1574" hidden="1">
      <c r="A1574" s="202"/>
      <c r="B1574" s="203"/>
      <c r="C1574" s="203"/>
      <c r="D1574" s="209"/>
      <c r="E1574" s="248"/>
      <c r="F1574" s="249"/>
      <c r="G1574" s="39"/>
    </row>
    <row r="1575" hidden="1">
      <c r="A1575" s="202"/>
      <c r="B1575" s="203"/>
      <c r="C1575" s="203"/>
      <c r="D1575" s="209"/>
      <c r="E1575" s="248"/>
      <c r="F1575" s="249"/>
      <c r="G1575" s="39"/>
    </row>
    <row r="1576" hidden="1">
      <c r="A1576" s="202"/>
      <c r="B1576" s="203"/>
      <c r="C1576" s="203"/>
      <c r="D1576" s="209"/>
      <c r="E1576" s="248"/>
      <c r="F1576" s="249"/>
      <c r="G1576" s="39"/>
    </row>
    <row r="1577" hidden="1">
      <c r="A1577" s="202"/>
      <c r="B1577" s="203"/>
      <c r="C1577" s="203"/>
      <c r="D1577" s="209"/>
      <c r="E1577" s="248"/>
      <c r="F1577" s="249"/>
      <c r="G1577" s="39"/>
    </row>
    <row r="1578" hidden="1">
      <c r="A1578" s="202"/>
      <c r="B1578" s="203"/>
      <c r="C1578" s="203"/>
      <c r="D1578" s="209"/>
      <c r="E1578" s="248"/>
      <c r="F1578" s="249"/>
      <c r="G1578" s="39"/>
    </row>
    <row r="1579" hidden="1">
      <c r="A1579" s="202"/>
      <c r="B1579" s="203"/>
      <c r="C1579" s="203"/>
      <c r="D1579" s="209"/>
      <c r="E1579" s="248"/>
      <c r="F1579" s="249"/>
      <c r="G1579" s="39"/>
    </row>
    <row r="1580" hidden="1">
      <c r="A1580" s="202"/>
      <c r="B1580" s="203"/>
      <c r="C1580" s="203"/>
      <c r="D1580" s="209"/>
      <c r="E1580" s="248"/>
      <c r="F1580" s="249"/>
      <c r="G1580" s="39"/>
    </row>
    <row r="1581" hidden="1">
      <c r="A1581" s="202"/>
      <c r="B1581" s="203"/>
      <c r="C1581" s="203"/>
      <c r="D1581" s="209"/>
      <c r="E1581" s="248"/>
      <c r="F1581" s="249"/>
      <c r="G1581" s="39"/>
    </row>
    <row r="1582" hidden="1">
      <c r="A1582" s="202"/>
      <c r="B1582" s="203"/>
      <c r="C1582" s="203"/>
      <c r="D1582" s="209"/>
      <c r="E1582" s="248"/>
      <c r="F1582" s="249"/>
      <c r="G1582" s="39"/>
    </row>
    <row r="1583" hidden="1">
      <c r="A1583" s="202"/>
      <c r="B1583" s="203"/>
      <c r="C1583" s="203"/>
      <c r="D1583" s="209"/>
      <c r="E1583" s="248"/>
      <c r="F1583" s="249"/>
      <c r="G1583" s="39"/>
    </row>
    <row r="1584" hidden="1">
      <c r="A1584" s="202"/>
      <c r="B1584" s="203"/>
      <c r="C1584" s="203"/>
      <c r="D1584" s="209"/>
      <c r="E1584" s="248"/>
      <c r="F1584" s="249"/>
      <c r="G1584" s="39"/>
    </row>
    <row r="1585" hidden="1">
      <c r="A1585" s="202"/>
      <c r="B1585" s="203"/>
      <c r="C1585" s="203"/>
      <c r="D1585" s="209"/>
      <c r="E1585" s="248"/>
      <c r="F1585" s="249"/>
      <c r="G1585" s="39"/>
    </row>
    <row r="1586" hidden="1">
      <c r="A1586" s="202"/>
      <c r="B1586" s="203"/>
      <c r="C1586" s="203"/>
      <c r="D1586" s="209"/>
      <c r="E1586" s="248"/>
      <c r="F1586" s="249"/>
      <c r="G1586" s="39"/>
    </row>
    <row r="1587" hidden="1">
      <c r="A1587" s="202"/>
      <c r="B1587" s="203"/>
      <c r="C1587" s="203"/>
      <c r="D1587" s="209"/>
      <c r="E1587" s="248"/>
      <c r="F1587" s="249"/>
      <c r="G1587" s="39"/>
    </row>
    <row r="1588" hidden="1">
      <c r="A1588" s="202"/>
      <c r="B1588" s="203"/>
      <c r="C1588" s="203"/>
      <c r="D1588" s="209"/>
      <c r="E1588" s="248"/>
      <c r="F1588" s="249"/>
      <c r="G1588" s="39"/>
    </row>
    <row r="1589" hidden="1">
      <c r="A1589" s="202"/>
      <c r="B1589" s="203"/>
      <c r="C1589" s="203"/>
      <c r="D1589" s="209"/>
      <c r="E1589" s="248"/>
      <c r="F1589" s="249"/>
      <c r="G1589" s="39"/>
    </row>
    <row r="1590" hidden="1">
      <c r="A1590" s="202"/>
      <c r="B1590" s="203"/>
      <c r="C1590" s="203"/>
      <c r="D1590" s="209"/>
      <c r="E1590" s="248"/>
      <c r="F1590" s="249"/>
      <c r="G1590" s="39"/>
    </row>
    <row r="1591" hidden="1">
      <c r="A1591" s="202"/>
      <c r="B1591" s="203"/>
      <c r="C1591" s="203"/>
      <c r="D1591" s="209"/>
      <c r="E1591" s="248"/>
      <c r="F1591" s="249"/>
      <c r="G1591" s="39"/>
    </row>
    <row r="1592" hidden="1">
      <c r="A1592" s="202"/>
      <c r="B1592" s="203"/>
      <c r="C1592" s="203"/>
      <c r="D1592" s="209"/>
      <c r="E1592" s="248"/>
      <c r="F1592" s="249"/>
      <c r="G1592" s="39"/>
    </row>
    <row r="1593" hidden="1">
      <c r="A1593" s="202"/>
      <c r="B1593" s="203"/>
      <c r="C1593" s="203"/>
      <c r="D1593" s="209"/>
      <c r="E1593" s="248"/>
      <c r="F1593" s="249"/>
      <c r="G1593" s="39"/>
    </row>
    <row r="1594" hidden="1">
      <c r="A1594" s="202"/>
      <c r="B1594" s="203"/>
      <c r="C1594" s="203"/>
      <c r="D1594" s="209"/>
      <c r="E1594" s="248"/>
      <c r="F1594" s="249"/>
      <c r="G1594" s="39"/>
    </row>
    <row r="1595" hidden="1">
      <c r="A1595" s="202"/>
      <c r="B1595" s="203"/>
      <c r="C1595" s="203"/>
      <c r="D1595" s="209"/>
      <c r="E1595" s="248"/>
      <c r="F1595" s="249"/>
      <c r="G1595" s="39"/>
    </row>
    <row r="1596" hidden="1">
      <c r="A1596" s="202"/>
      <c r="B1596" s="203"/>
      <c r="C1596" s="203"/>
      <c r="D1596" s="209"/>
      <c r="E1596" s="248"/>
      <c r="F1596" s="249"/>
      <c r="G1596" s="39"/>
    </row>
    <row r="1597" hidden="1">
      <c r="A1597" s="202"/>
      <c r="B1597" s="203"/>
      <c r="C1597" s="203"/>
      <c r="D1597" s="209"/>
      <c r="E1597" s="248"/>
      <c r="F1597" s="249"/>
      <c r="G1597" s="39"/>
    </row>
    <row r="1598" hidden="1">
      <c r="A1598" s="202"/>
      <c r="B1598" s="203"/>
      <c r="C1598" s="203"/>
      <c r="D1598" s="209"/>
      <c r="E1598" s="248"/>
      <c r="F1598" s="249"/>
      <c r="G1598" s="39"/>
    </row>
    <row r="1599" hidden="1">
      <c r="A1599" s="202"/>
      <c r="B1599" s="203"/>
      <c r="C1599" s="203"/>
      <c r="D1599" s="209"/>
      <c r="E1599" s="248"/>
      <c r="F1599" s="249"/>
      <c r="G1599" s="39"/>
    </row>
    <row r="1600" hidden="1">
      <c r="A1600" s="202"/>
      <c r="B1600" s="203"/>
      <c r="C1600" s="203"/>
      <c r="D1600" s="209"/>
      <c r="E1600" s="248"/>
      <c r="F1600" s="249"/>
      <c r="G1600" s="39"/>
    </row>
    <row r="1601" hidden="1">
      <c r="A1601" s="202"/>
      <c r="B1601" s="203"/>
      <c r="C1601" s="203"/>
      <c r="D1601" s="209"/>
      <c r="E1601" s="248"/>
      <c r="F1601" s="249"/>
      <c r="G1601" s="39"/>
    </row>
    <row r="1602" hidden="1">
      <c r="A1602" s="202"/>
      <c r="B1602" s="203"/>
      <c r="C1602" s="203"/>
      <c r="D1602" s="209"/>
      <c r="E1602" s="248"/>
      <c r="F1602" s="249"/>
      <c r="G1602" s="39"/>
    </row>
    <row r="1603" hidden="1">
      <c r="A1603" s="202"/>
      <c r="B1603" s="203"/>
      <c r="C1603" s="203"/>
      <c r="D1603" s="209"/>
      <c r="E1603" s="248"/>
      <c r="F1603" s="249"/>
      <c r="G1603" s="39"/>
    </row>
    <row r="1604" hidden="1">
      <c r="A1604" s="202"/>
      <c r="B1604" s="203"/>
      <c r="C1604" s="203"/>
      <c r="D1604" s="209"/>
      <c r="E1604" s="248"/>
      <c r="F1604" s="249"/>
      <c r="G1604" s="39"/>
    </row>
    <row r="1605" hidden="1">
      <c r="A1605" s="202"/>
      <c r="B1605" s="203"/>
      <c r="C1605" s="203"/>
      <c r="D1605" s="209"/>
      <c r="E1605" s="248"/>
      <c r="F1605" s="249"/>
      <c r="G1605" s="39"/>
    </row>
    <row r="1606" hidden="1">
      <c r="A1606" s="202"/>
      <c r="B1606" s="203"/>
      <c r="C1606" s="203"/>
      <c r="D1606" s="209"/>
      <c r="E1606" s="248"/>
      <c r="F1606" s="249"/>
      <c r="G1606" s="39"/>
    </row>
    <row r="1607" hidden="1">
      <c r="A1607" s="202"/>
      <c r="B1607" s="203"/>
      <c r="C1607" s="203"/>
      <c r="D1607" s="209"/>
      <c r="E1607" s="248"/>
      <c r="F1607" s="249"/>
      <c r="G1607" s="39"/>
    </row>
    <row r="1608" hidden="1">
      <c r="A1608" s="202"/>
      <c r="B1608" s="203"/>
      <c r="C1608" s="203"/>
      <c r="D1608" s="209"/>
      <c r="E1608" s="248"/>
      <c r="F1608" s="249"/>
      <c r="G1608" s="39"/>
    </row>
    <row r="1609" hidden="1">
      <c r="A1609" s="202"/>
      <c r="B1609" s="203"/>
      <c r="C1609" s="203"/>
      <c r="D1609" s="209"/>
      <c r="E1609" s="248"/>
      <c r="F1609" s="249"/>
      <c r="G1609" s="39"/>
    </row>
    <row r="1610" hidden="1">
      <c r="A1610" s="202"/>
      <c r="B1610" s="203"/>
      <c r="C1610" s="203"/>
      <c r="D1610" s="209"/>
      <c r="E1610" s="248"/>
      <c r="F1610" s="249"/>
      <c r="G1610" s="39"/>
    </row>
    <row r="1611" hidden="1">
      <c r="A1611" s="202"/>
      <c r="B1611" s="203"/>
      <c r="C1611" s="203"/>
      <c r="D1611" s="209"/>
      <c r="E1611" s="248"/>
      <c r="F1611" s="249"/>
      <c r="G1611" s="39"/>
    </row>
    <row r="1612" hidden="1">
      <c r="A1612" s="202"/>
      <c r="B1612" s="203"/>
      <c r="C1612" s="203"/>
      <c r="D1612" s="209"/>
      <c r="E1612" s="248"/>
      <c r="F1612" s="249"/>
      <c r="G1612" s="39"/>
    </row>
    <row r="1613" hidden="1">
      <c r="A1613" s="202"/>
      <c r="B1613" s="203"/>
      <c r="C1613" s="203"/>
      <c r="D1613" s="209"/>
      <c r="E1613" s="248"/>
      <c r="F1613" s="249"/>
      <c r="G1613" s="39"/>
    </row>
    <row r="1614" hidden="1">
      <c r="A1614" s="202"/>
      <c r="B1614" s="203"/>
      <c r="C1614" s="203"/>
      <c r="D1614" s="209"/>
      <c r="E1614" s="248"/>
      <c r="F1614" s="249"/>
      <c r="G1614" s="39"/>
    </row>
    <row r="1615" hidden="1">
      <c r="A1615" s="202"/>
      <c r="B1615" s="203"/>
      <c r="C1615" s="203"/>
      <c r="D1615" s="209"/>
      <c r="E1615" s="248"/>
      <c r="F1615" s="249"/>
      <c r="G1615" s="39"/>
    </row>
    <row r="1616" hidden="1">
      <c r="A1616" s="202"/>
      <c r="B1616" s="203"/>
      <c r="C1616" s="203"/>
      <c r="D1616" s="209"/>
      <c r="E1616" s="248"/>
      <c r="F1616" s="249"/>
      <c r="G1616" s="39"/>
    </row>
    <row r="1617" hidden="1">
      <c r="A1617" s="202"/>
      <c r="B1617" s="203"/>
      <c r="C1617" s="203"/>
      <c r="D1617" s="209"/>
      <c r="E1617" s="248"/>
      <c r="F1617" s="249"/>
      <c r="G1617" s="39"/>
    </row>
    <row r="1618" hidden="1">
      <c r="A1618" s="202"/>
      <c r="B1618" s="203"/>
      <c r="C1618" s="203"/>
      <c r="D1618" s="209"/>
      <c r="E1618" s="248"/>
      <c r="F1618" s="249"/>
      <c r="G1618" s="39"/>
    </row>
    <row r="1619" hidden="1">
      <c r="A1619" s="202"/>
      <c r="B1619" s="203"/>
      <c r="C1619" s="203"/>
      <c r="D1619" s="209"/>
      <c r="E1619" s="248"/>
      <c r="F1619" s="249"/>
      <c r="G1619" s="39"/>
    </row>
    <row r="1620" hidden="1">
      <c r="A1620" s="202"/>
      <c r="B1620" s="203"/>
      <c r="C1620" s="203"/>
      <c r="D1620" s="209"/>
      <c r="E1620" s="248"/>
      <c r="F1620" s="249"/>
      <c r="G1620" s="39"/>
    </row>
    <row r="1621" hidden="1">
      <c r="A1621" s="202"/>
      <c r="B1621" s="203"/>
      <c r="C1621" s="203"/>
      <c r="D1621" s="209"/>
      <c r="E1621" s="248"/>
      <c r="F1621" s="249"/>
      <c r="G1621" s="39"/>
    </row>
    <row r="1622" hidden="1">
      <c r="A1622" s="202"/>
      <c r="B1622" s="203"/>
      <c r="C1622" s="203"/>
      <c r="D1622" s="209"/>
      <c r="E1622" s="248"/>
      <c r="F1622" s="249"/>
      <c r="G1622" s="39"/>
    </row>
    <row r="1623" hidden="1">
      <c r="A1623" s="202"/>
      <c r="B1623" s="203"/>
      <c r="C1623" s="203"/>
      <c r="D1623" s="209"/>
      <c r="E1623" s="248"/>
      <c r="F1623" s="249"/>
      <c r="G1623" s="39"/>
    </row>
    <row r="1624" hidden="1">
      <c r="A1624" s="202"/>
      <c r="B1624" s="203"/>
      <c r="C1624" s="203"/>
      <c r="D1624" s="209"/>
      <c r="E1624" s="248"/>
      <c r="F1624" s="249"/>
      <c r="G1624" s="39"/>
    </row>
    <row r="1625" hidden="1">
      <c r="A1625" s="202"/>
      <c r="B1625" s="203"/>
      <c r="C1625" s="203"/>
      <c r="D1625" s="209"/>
      <c r="E1625" s="248"/>
      <c r="F1625" s="249"/>
      <c r="G1625" s="39"/>
    </row>
    <row r="1626" hidden="1">
      <c r="A1626" s="202"/>
      <c r="B1626" s="203"/>
      <c r="C1626" s="203"/>
      <c r="D1626" s="209"/>
      <c r="E1626" s="248"/>
      <c r="F1626" s="249"/>
      <c r="G1626" s="39"/>
    </row>
    <row r="1627" hidden="1">
      <c r="A1627" s="202"/>
      <c r="B1627" s="203"/>
      <c r="C1627" s="203"/>
      <c r="D1627" s="209"/>
      <c r="E1627" s="248"/>
      <c r="F1627" s="249"/>
      <c r="G1627" s="39"/>
    </row>
    <row r="1628" hidden="1">
      <c r="A1628" s="202"/>
      <c r="B1628" s="203"/>
      <c r="C1628" s="203"/>
      <c r="D1628" s="209"/>
      <c r="E1628" s="248"/>
      <c r="F1628" s="249"/>
      <c r="G1628" s="39"/>
    </row>
    <row r="1629" hidden="1">
      <c r="A1629" s="202"/>
      <c r="B1629" s="203"/>
      <c r="C1629" s="203"/>
      <c r="D1629" s="209"/>
      <c r="E1629" s="248"/>
      <c r="F1629" s="249"/>
      <c r="G1629" s="39"/>
    </row>
    <row r="1630" hidden="1">
      <c r="A1630" s="202"/>
      <c r="B1630" s="203"/>
      <c r="C1630" s="203"/>
      <c r="D1630" s="209"/>
      <c r="E1630" s="248"/>
      <c r="F1630" s="249"/>
      <c r="G1630" s="39"/>
    </row>
    <row r="1631" hidden="1">
      <c r="A1631" s="202"/>
      <c r="B1631" s="203"/>
      <c r="C1631" s="203"/>
      <c r="D1631" s="209"/>
      <c r="E1631" s="248"/>
      <c r="F1631" s="249"/>
      <c r="G1631" s="39"/>
    </row>
    <row r="1632" hidden="1">
      <c r="A1632" s="202"/>
      <c r="B1632" s="203"/>
      <c r="C1632" s="203"/>
      <c r="D1632" s="209"/>
      <c r="E1632" s="248"/>
      <c r="F1632" s="249"/>
      <c r="G1632" s="39"/>
    </row>
    <row r="1633" hidden="1">
      <c r="A1633" s="202"/>
      <c r="B1633" s="203"/>
      <c r="C1633" s="203"/>
      <c r="D1633" s="209"/>
      <c r="E1633" s="248"/>
      <c r="F1633" s="249"/>
      <c r="G1633" s="39"/>
    </row>
    <row r="1634" hidden="1">
      <c r="A1634" s="202"/>
      <c r="B1634" s="203"/>
      <c r="C1634" s="203"/>
      <c r="D1634" s="209"/>
      <c r="E1634" s="248"/>
      <c r="F1634" s="249"/>
      <c r="G1634" s="39"/>
    </row>
    <row r="1635" hidden="1">
      <c r="A1635" s="202"/>
      <c r="B1635" s="203"/>
      <c r="C1635" s="203"/>
      <c r="D1635" s="209"/>
      <c r="E1635" s="248"/>
      <c r="F1635" s="249"/>
      <c r="G1635" s="39"/>
    </row>
    <row r="1636" hidden="1">
      <c r="A1636" s="202"/>
      <c r="B1636" s="203"/>
      <c r="C1636" s="203"/>
      <c r="D1636" s="209"/>
      <c r="E1636" s="248"/>
      <c r="F1636" s="249"/>
      <c r="G1636" s="39"/>
    </row>
    <row r="1637" hidden="1">
      <c r="A1637" s="202"/>
      <c r="B1637" s="203"/>
      <c r="C1637" s="203"/>
      <c r="D1637" s="209"/>
      <c r="E1637" s="248"/>
      <c r="F1637" s="249"/>
      <c r="G1637" s="39"/>
    </row>
    <row r="1638" hidden="1">
      <c r="A1638" s="202"/>
      <c r="B1638" s="203"/>
      <c r="C1638" s="203"/>
      <c r="D1638" s="209"/>
      <c r="E1638" s="248"/>
      <c r="F1638" s="249"/>
      <c r="G1638" s="39"/>
    </row>
    <row r="1639" hidden="1">
      <c r="A1639" s="202"/>
      <c r="B1639" s="203"/>
      <c r="C1639" s="203"/>
      <c r="D1639" s="209"/>
      <c r="E1639" s="248"/>
      <c r="F1639" s="249"/>
      <c r="G1639" s="39"/>
    </row>
    <row r="1640" hidden="1">
      <c r="A1640" s="202"/>
      <c r="B1640" s="203"/>
      <c r="C1640" s="203"/>
      <c r="D1640" s="209"/>
      <c r="E1640" s="248"/>
      <c r="F1640" s="249"/>
      <c r="G1640" s="39"/>
    </row>
    <row r="1641" hidden="1">
      <c r="A1641" s="202"/>
      <c r="B1641" s="203"/>
      <c r="C1641" s="203"/>
      <c r="D1641" s="209"/>
      <c r="E1641" s="248"/>
      <c r="F1641" s="249"/>
      <c r="G1641" s="39"/>
    </row>
    <row r="1642" hidden="1">
      <c r="A1642" s="202"/>
      <c r="B1642" s="203"/>
      <c r="C1642" s="203"/>
      <c r="D1642" s="209"/>
      <c r="E1642" s="248"/>
      <c r="F1642" s="249"/>
      <c r="G1642" s="39"/>
    </row>
    <row r="1643" hidden="1">
      <c r="A1643" s="202"/>
      <c r="B1643" s="203"/>
      <c r="C1643" s="203"/>
      <c r="D1643" s="209"/>
      <c r="E1643" s="248"/>
      <c r="F1643" s="249"/>
      <c r="G1643" s="39"/>
    </row>
    <row r="1644" hidden="1">
      <c r="A1644" s="202"/>
      <c r="B1644" s="203"/>
      <c r="C1644" s="203"/>
      <c r="D1644" s="209"/>
      <c r="E1644" s="248"/>
      <c r="F1644" s="249"/>
      <c r="G1644" s="39"/>
    </row>
    <row r="1645" hidden="1">
      <c r="A1645" s="202"/>
      <c r="B1645" s="203"/>
      <c r="C1645" s="203"/>
      <c r="D1645" s="209"/>
      <c r="E1645" s="248"/>
      <c r="F1645" s="249"/>
      <c r="G1645" s="39"/>
    </row>
    <row r="1646" hidden="1">
      <c r="A1646" s="202"/>
      <c r="B1646" s="203"/>
      <c r="C1646" s="203"/>
      <c r="D1646" s="209"/>
      <c r="E1646" s="248"/>
      <c r="F1646" s="249"/>
      <c r="G1646" s="39"/>
    </row>
    <row r="1647" hidden="1">
      <c r="A1647" s="202"/>
      <c r="B1647" s="203"/>
      <c r="C1647" s="203"/>
      <c r="D1647" s="209"/>
      <c r="E1647" s="248"/>
      <c r="F1647" s="249"/>
      <c r="G1647" s="39"/>
    </row>
    <row r="1648" hidden="1">
      <c r="A1648" s="202"/>
      <c r="B1648" s="203"/>
      <c r="C1648" s="203"/>
      <c r="D1648" s="209"/>
      <c r="E1648" s="248"/>
      <c r="F1648" s="249"/>
      <c r="G1648" s="39"/>
    </row>
    <row r="1649" hidden="1">
      <c r="A1649" s="202"/>
      <c r="B1649" s="203"/>
      <c r="C1649" s="203"/>
      <c r="D1649" s="209"/>
      <c r="E1649" s="248"/>
      <c r="F1649" s="249"/>
      <c r="G1649" s="39"/>
    </row>
    <row r="1650" hidden="1">
      <c r="A1650" s="202"/>
      <c r="B1650" s="203"/>
      <c r="C1650" s="203"/>
      <c r="D1650" s="209"/>
      <c r="E1650" s="248"/>
      <c r="F1650" s="249"/>
      <c r="G1650" s="39"/>
    </row>
    <row r="1651" hidden="1">
      <c r="A1651" s="202"/>
      <c r="B1651" s="203"/>
      <c r="C1651" s="203"/>
      <c r="D1651" s="209"/>
      <c r="E1651" s="248"/>
      <c r="F1651" s="249"/>
      <c r="G1651" s="39"/>
    </row>
    <row r="1652" hidden="1">
      <c r="A1652" s="202"/>
      <c r="B1652" s="203"/>
      <c r="C1652" s="203"/>
      <c r="D1652" s="209"/>
      <c r="E1652" s="248"/>
      <c r="F1652" s="249"/>
      <c r="G1652" s="39"/>
    </row>
    <row r="1653" hidden="1">
      <c r="A1653" s="202"/>
      <c r="B1653" s="203"/>
      <c r="C1653" s="203"/>
      <c r="D1653" s="209"/>
      <c r="E1653" s="248"/>
      <c r="F1653" s="249"/>
      <c r="G1653" s="39"/>
    </row>
    <row r="1654" hidden="1">
      <c r="A1654" s="202"/>
      <c r="B1654" s="203"/>
      <c r="C1654" s="203"/>
      <c r="D1654" s="209"/>
      <c r="E1654" s="248"/>
      <c r="F1654" s="249"/>
      <c r="G1654" s="39"/>
    </row>
    <row r="1655" hidden="1">
      <c r="A1655" s="202"/>
      <c r="B1655" s="203"/>
      <c r="C1655" s="203"/>
      <c r="D1655" s="209"/>
      <c r="E1655" s="248"/>
      <c r="F1655" s="249"/>
      <c r="G1655" s="39"/>
    </row>
    <row r="1656" hidden="1">
      <c r="A1656" s="202"/>
      <c r="B1656" s="203"/>
      <c r="C1656" s="203"/>
      <c r="D1656" s="209"/>
      <c r="E1656" s="248"/>
      <c r="F1656" s="249"/>
      <c r="G1656" s="39"/>
    </row>
    <row r="1657" hidden="1">
      <c r="A1657" s="202"/>
      <c r="B1657" s="203"/>
      <c r="C1657" s="203"/>
      <c r="D1657" s="209"/>
      <c r="E1657" s="248"/>
      <c r="F1657" s="249"/>
      <c r="G1657" s="39"/>
    </row>
    <row r="1658" hidden="1">
      <c r="A1658" s="202"/>
      <c r="B1658" s="203"/>
      <c r="C1658" s="203"/>
      <c r="D1658" s="209"/>
      <c r="E1658" s="248"/>
      <c r="F1658" s="249"/>
      <c r="G1658" s="39"/>
    </row>
    <row r="1659" hidden="1">
      <c r="A1659" s="202"/>
      <c r="B1659" s="203"/>
      <c r="C1659" s="203"/>
      <c r="D1659" s="209"/>
      <c r="E1659" s="248"/>
      <c r="F1659" s="249"/>
      <c r="G1659" s="39"/>
    </row>
    <row r="1660" hidden="1">
      <c r="A1660" s="202"/>
      <c r="B1660" s="203"/>
      <c r="C1660" s="203"/>
      <c r="D1660" s="209"/>
      <c r="E1660" s="248"/>
      <c r="F1660" s="249"/>
      <c r="G1660" s="39"/>
    </row>
    <row r="1661" hidden="1">
      <c r="A1661" s="202"/>
      <c r="B1661" s="203"/>
      <c r="C1661" s="203"/>
      <c r="D1661" s="209"/>
      <c r="E1661" s="248"/>
      <c r="F1661" s="249"/>
      <c r="G1661" s="39"/>
    </row>
    <row r="1662" hidden="1">
      <c r="A1662" s="202"/>
      <c r="B1662" s="203"/>
      <c r="C1662" s="203"/>
      <c r="D1662" s="209"/>
      <c r="E1662" s="248"/>
      <c r="F1662" s="249"/>
      <c r="G1662" s="39"/>
    </row>
    <row r="1663" hidden="1">
      <c r="A1663" s="202"/>
      <c r="B1663" s="203"/>
      <c r="C1663" s="203"/>
      <c r="D1663" s="209"/>
      <c r="E1663" s="248"/>
      <c r="F1663" s="249"/>
      <c r="G1663" s="39"/>
    </row>
    <row r="1664" hidden="1">
      <c r="A1664" s="202"/>
      <c r="B1664" s="203"/>
      <c r="C1664" s="203"/>
      <c r="D1664" s="209"/>
      <c r="E1664" s="248"/>
      <c r="F1664" s="249"/>
      <c r="G1664" s="39"/>
    </row>
    <row r="1665" hidden="1">
      <c r="A1665" s="202"/>
      <c r="B1665" s="203"/>
      <c r="C1665" s="203"/>
      <c r="D1665" s="209"/>
      <c r="E1665" s="248"/>
      <c r="F1665" s="249"/>
      <c r="G1665" s="39"/>
    </row>
    <row r="1666" hidden="1">
      <c r="A1666" s="202"/>
      <c r="B1666" s="203"/>
      <c r="C1666" s="203"/>
      <c r="D1666" s="209"/>
      <c r="E1666" s="248"/>
      <c r="F1666" s="249"/>
      <c r="G1666" s="39"/>
    </row>
    <row r="1667" hidden="1">
      <c r="A1667" s="202"/>
      <c r="B1667" s="203"/>
      <c r="C1667" s="203"/>
      <c r="D1667" s="209"/>
      <c r="E1667" s="248"/>
      <c r="F1667" s="249"/>
      <c r="G1667" s="39"/>
    </row>
    <row r="1668" hidden="1">
      <c r="A1668" s="202"/>
      <c r="B1668" s="203"/>
      <c r="C1668" s="203"/>
      <c r="D1668" s="209"/>
      <c r="E1668" s="248"/>
      <c r="F1668" s="249"/>
      <c r="G1668" s="39"/>
    </row>
    <row r="1669" hidden="1">
      <c r="A1669" s="202"/>
      <c r="B1669" s="203"/>
      <c r="C1669" s="203"/>
      <c r="D1669" s="209"/>
      <c r="E1669" s="248"/>
      <c r="F1669" s="249"/>
      <c r="G1669" s="39"/>
    </row>
    <row r="1670" hidden="1">
      <c r="A1670" s="202"/>
      <c r="B1670" s="203"/>
      <c r="C1670" s="203"/>
      <c r="D1670" s="209"/>
      <c r="E1670" s="248"/>
      <c r="F1670" s="249"/>
      <c r="G1670" s="39"/>
    </row>
    <row r="1671" hidden="1">
      <c r="A1671" s="202"/>
      <c r="B1671" s="203"/>
      <c r="C1671" s="203"/>
      <c r="D1671" s="209"/>
      <c r="E1671" s="248"/>
      <c r="F1671" s="249"/>
      <c r="G1671" s="39"/>
    </row>
    <row r="1672" hidden="1">
      <c r="A1672" s="202"/>
      <c r="B1672" s="203"/>
      <c r="C1672" s="203"/>
      <c r="D1672" s="209"/>
      <c r="E1672" s="248"/>
      <c r="F1672" s="249"/>
      <c r="G1672" s="39"/>
    </row>
    <row r="1673" hidden="1">
      <c r="A1673" s="202"/>
      <c r="B1673" s="203"/>
      <c r="C1673" s="203"/>
      <c r="D1673" s="209"/>
      <c r="E1673" s="248"/>
      <c r="F1673" s="249"/>
      <c r="G1673" s="39"/>
    </row>
    <row r="1674" hidden="1">
      <c r="A1674" s="202"/>
      <c r="B1674" s="203"/>
      <c r="C1674" s="203"/>
      <c r="D1674" s="209"/>
      <c r="E1674" s="248"/>
      <c r="F1674" s="249"/>
      <c r="G1674" s="39"/>
    </row>
    <row r="1675" hidden="1">
      <c r="A1675" s="202"/>
      <c r="B1675" s="203"/>
      <c r="C1675" s="203"/>
      <c r="D1675" s="209"/>
      <c r="E1675" s="248"/>
      <c r="F1675" s="249"/>
      <c r="G1675" s="39"/>
    </row>
    <row r="1676" hidden="1">
      <c r="A1676" s="202"/>
      <c r="B1676" s="203"/>
      <c r="C1676" s="203"/>
      <c r="D1676" s="209"/>
      <c r="E1676" s="248"/>
      <c r="F1676" s="249"/>
      <c r="G1676" s="39"/>
    </row>
    <row r="1677" hidden="1">
      <c r="A1677" s="202"/>
      <c r="B1677" s="203"/>
      <c r="C1677" s="203"/>
      <c r="D1677" s="209"/>
      <c r="E1677" s="248"/>
      <c r="F1677" s="249"/>
      <c r="G1677" s="39"/>
    </row>
    <row r="1678" hidden="1">
      <c r="A1678" s="202"/>
      <c r="B1678" s="203"/>
      <c r="C1678" s="203"/>
      <c r="D1678" s="209"/>
      <c r="E1678" s="248"/>
      <c r="F1678" s="249"/>
      <c r="G1678" s="39"/>
    </row>
    <row r="1679" hidden="1">
      <c r="A1679" s="202"/>
      <c r="B1679" s="203"/>
      <c r="C1679" s="203"/>
      <c r="D1679" s="209"/>
      <c r="E1679" s="248"/>
      <c r="F1679" s="249"/>
      <c r="G1679" s="39"/>
    </row>
    <row r="1680" hidden="1">
      <c r="A1680" s="202"/>
      <c r="B1680" s="203"/>
      <c r="C1680" s="203"/>
      <c r="D1680" s="209"/>
      <c r="E1680" s="248"/>
      <c r="F1680" s="249"/>
      <c r="G1680" s="39"/>
    </row>
    <row r="1681" hidden="1">
      <c r="A1681" s="202"/>
      <c r="B1681" s="203"/>
      <c r="C1681" s="203"/>
      <c r="D1681" s="209"/>
      <c r="E1681" s="248"/>
      <c r="F1681" s="249"/>
      <c r="G1681" s="39"/>
    </row>
    <row r="1682" hidden="1">
      <c r="A1682" s="202"/>
      <c r="B1682" s="203"/>
      <c r="C1682" s="203"/>
      <c r="D1682" s="209"/>
      <c r="E1682" s="248"/>
      <c r="F1682" s="249"/>
      <c r="G1682" s="39"/>
    </row>
    <row r="1683" hidden="1">
      <c r="A1683" s="202"/>
      <c r="B1683" s="203"/>
      <c r="C1683" s="203"/>
      <c r="D1683" s="209"/>
      <c r="E1683" s="248"/>
      <c r="F1683" s="249"/>
      <c r="G1683" s="39"/>
    </row>
    <row r="1684" hidden="1">
      <c r="A1684" s="202"/>
      <c r="B1684" s="203"/>
      <c r="C1684" s="203"/>
      <c r="D1684" s="209"/>
      <c r="E1684" s="248"/>
      <c r="F1684" s="249"/>
      <c r="G1684" s="39"/>
    </row>
    <row r="1685" hidden="1">
      <c r="A1685" s="202"/>
      <c r="B1685" s="203"/>
      <c r="C1685" s="203"/>
      <c r="D1685" s="209"/>
      <c r="E1685" s="248"/>
      <c r="F1685" s="249"/>
      <c r="G1685" s="39"/>
    </row>
    <row r="1686" hidden="1">
      <c r="A1686" s="202"/>
      <c r="B1686" s="203"/>
      <c r="C1686" s="203"/>
      <c r="D1686" s="209"/>
      <c r="E1686" s="248"/>
      <c r="F1686" s="249"/>
      <c r="G1686" s="39"/>
    </row>
    <row r="1687" hidden="1">
      <c r="A1687" s="202"/>
      <c r="B1687" s="203"/>
      <c r="C1687" s="203"/>
      <c r="D1687" s="209"/>
      <c r="E1687" s="248"/>
      <c r="F1687" s="249"/>
      <c r="G1687" s="39"/>
    </row>
    <row r="1688" hidden="1">
      <c r="A1688" s="202"/>
      <c r="B1688" s="203"/>
      <c r="C1688" s="203"/>
      <c r="D1688" s="209"/>
      <c r="E1688" s="248"/>
      <c r="F1688" s="249"/>
      <c r="G1688" s="39"/>
    </row>
    <row r="1689" hidden="1">
      <c r="A1689" s="202"/>
      <c r="B1689" s="203"/>
      <c r="C1689" s="203"/>
      <c r="D1689" s="209"/>
      <c r="E1689" s="248"/>
      <c r="F1689" s="249"/>
      <c r="G1689" s="39"/>
    </row>
    <row r="1690" hidden="1">
      <c r="A1690" s="202"/>
      <c r="B1690" s="203"/>
      <c r="C1690" s="203"/>
      <c r="D1690" s="209"/>
      <c r="E1690" s="248"/>
      <c r="F1690" s="249"/>
      <c r="G1690" s="39"/>
    </row>
    <row r="1691" hidden="1">
      <c r="A1691" s="202"/>
      <c r="B1691" s="203"/>
      <c r="C1691" s="203"/>
      <c r="D1691" s="209"/>
      <c r="E1691" s="248"/>
      <c r="F1691" s="249"/>
      <c r="G1691" s="39"/>
    </row>
    <row r="1692" hidden="1">
      <c r="A1692" s="202"/>
      <c r="B1692" s="203"/>
      <c r="C1692" s="203"/>
      <c r="D1692" s="209"/>
      <c r="E1692" s="248"/>
      <c r="F1692" s="249"/>
      <c r="G1692" s="39"/>
    </row>
    <row r="1693" hidden="1">
      <c r="A1693" s="202"/>
      <c r="B1693" s="203"/>
      <c r="C1693" s="203"/>
      <c r="D1693" s="209"/>
      <c r="E1693" s="248"/>
      <c r="F1693" s="249"/>
      <c r="G1693" s="39"/>
    </row>
    <row r="1694" hidden="1">
      <c r="A1694" s="202"/>
      <c r="B1694" s="203"/>
      <c r="C1694" s="203"/>
      <c r="D1694" s="209"/>
      <c r="E1694" s="248"/>
      <c r="F1694" s="249"/>
      <c r="G1694" s="39"/>
    </row>
    <row r="1695" hidden="1">
      <c r="A1695" s="202"/>
      <c r="B1695" s="203"/>
      <c r="C1695" s="203"/>
      <c r="D1695" s="209"/>
      <c r="E1695" s="248"/>
      <c r="F1695" s="249"/>
      <c r="G1695" s="39"/>
    </row>
    <row r="1696" hidden="1">
      <c r="A1696" s="202"/>
      <c r="B1696" s="203"/>
      <c r="C1696" s="203"/>
      <c r="D1696" s="209"/>
      <c r="E1696" s="248"/>
      <c r="F1696" s="249"/>
      <c r="G1696" s="39"/>
    </row>
    <row r="1697" hidden="1">
      <c r="A1697" s="202"/>
      <c r="B1697" s="203"/>
      <c r="C1697" s="203"/>
      <c r="D1697" s="209"/>
      <c r="E1697" s="248"/>
      <c r="F1697" s="249"/>
      <c r="G1697" s="39"/>
    </row>
    <row r="1698" hidden="1">
      <c r="A1698" s="202"/>
      <c r="B1698" s="203"/>
      <c r="C1698" s="203"/>
      <c r="D1698" s="209"/>
      <c r="E1698" s="248"/>
      <c r="F1698" s="249"/>
      <c r="G1698" s="39"/>
    </row>
    <row r="1699" hidden="1">
      <c r="A1699" s="202"/>
      <c r="B1699" s="203"/>
      <c r="C1699" s="203"/>
      <c r="D1699" s="209"/>
      <c r="E1699" s="248"/>
      <c r="F1699" s="249"/>
      <c r="G1699" s="39"/>
    </row>
    <row r="1700" hidden="1">
      <c r="A1700" s="202"/>
      <c r="B1700" s="203"/>
      <c r="C1700" s="203"/>
      <c r="D1700" s="209"/>
      <c r="E1700" s="248"/>
      <c r="F1700" s="249"/>
      <c r="G1700" s="39"/>
    </row>
    <row r="1701" hidden="1">
      <c r="A1701" s="202"/>
      <c r="B1701" s="203"/>
      <c r="C1701" s="203"/>
      <c r="D1701" s="209"/>
      <c r="E1701" s="248"/>
      <c r="F1701" s="249"/>
      <c r="G1701" s="39"/>
    </row>
    <row r="1702" hidden="1">
      <c r="A1702" s="202"/>
      <c r="B1702" s="203"/>
      <c r="C1702" s="203"/>
      <c r="D1702" s="209"/>
      <c r="E1702" s="248"/>
      <c r="F1702" s="249"/>
      <c r="G1702" s="39"/>
    </row>
    <row r="1703" hidden="1">
      <c r="A1703" s="202"/>
      <c r="B1703" s="203"/>
      <c r="C1703" s="203"/>
      <c r="D1703" s="209"/>
      <c r="E1703" s="248"/>
      <c r="F1703" s="249"/>
      <c r="G1703" s="39"/>
    </row>
    <row r="1704" hidden="1">
      <c r="A1704" s="202"/>
      <c r="B1704" s="203"/>
      <c r="C1704" s="203"/>
      <c r="D1704" s="209"/>
      <c r="E1704" s="248"/>
      <c r="F1704" s="249"/>
      <c r="G1704" s="39"/>
    </row>
    <row r="1705" hidden="1">
      <c r="A1705" s="202"/>
      <c r="B1705" s="203"/>
      <c r="C1705" s="203"/>
      <c r="D1705" s="209"/>
      <c r="E1705" s="248"/>
      <c r="F1705" s="249"/>
      <c r="G1705" s="39"/>
    </row>
    <row r="1706" hidden="1">
      <c r="A1706" s="202"/>
      <c r="B1706" s="203"/>
      <c r="C1706" s="203"/>
      <c r="D1706" s="209"/>
      <c r="E1706" s="248"/>
      <c r="F1706" s="249"/>
      <c r="G1706" s="39"/>
    </row>
    <row r="1707" hidden="1">
      <c r="A1707" s="202"/>
      <c r="B1707" s="203"/>
      <c r="C1707" s="203"/>
      <c r="D1707" s="209"/>
      <c r="E1707" s="248"/>
      <c r="F1707" s="249"/>
      <c r="G1707" s="39"/>
    </row>
    <row r="1708" hidden="1">
      <c r="A1708" s="202"/>
      <c r="B1708" s="203"/>
      <c r="C1708" s="203"/>
      <c r="D1708" s="209"/>
      <c r="E1708" s="248"/>
      <c r="F1708" s="249"/>
      <c r="G1708" s="39"/>
    </row>
    <row r="1709" hidden="1">
      <c r="A1709" s="202"/>
      <c r="B1709" s="203"/>
      <c r="C1709" s="203"/>
      <c r="D1709" s="209"/>
      <c r="E1709" s="248"/>
      <c r="F1709" s="249"/>
      <c r="G1709" s="39"/>
    </row>
    <row r="1710" hidden="1">
      <c r="A1710" s="202"/>
      <c r="B1710" s="203"/>
      <c r="C1710" s="203"/>
      <c r="D1710" s="209"/>
      <c r="E1710" s="248"/>
      <c r="F1710" s="249"/>
      <c r="G1710" s="39"/>
    </row>
    <row r="1711" hidden="1">
      <c r="A1711" s="202"/>
      <c r="B1711" s="203"/>
      <c r="C1711" s="203"/>
      <c r="D1711" s="209"/>
      <c r="E1711" s="248"/>
      <c r="F1711" s="249"/>
      <c r="G1711" s="39"/>
    </row>
    <row r="1712" hidden="1">
      <c r="A1712" s="202"/>
      <c r="B1712" s="203"/>
      <c r="C1712" s="203"/>
      <c r="D1712" s="209"/>
      <c r="E1712" s="248"/>
      <c r="F1712" s="249"/>
      <c r="G1712" s="39"/>
    </row>
    <row r="1713" hidden="1">
      <c r="A1713" s="202"/>
      <c r="B1713" s="203"/>
      <c r="C1713" s="203"/>
      <c r="D1713" s="209"/>
      <c r="E1713" s="248"/>
      <c r="F1713" s="249"/>
      <c r="G1713" s="39"/>
    </row>
    <row r="1714" hidden="1">
      <c r="A1714" s="202"/>
      <c r="B1714" s="203"/>
      <c r="C1714" s="203"/>
      <c r="D1714" s="209"/>
      <c r="E1714" s="248"/>
      <c r="F1714" s="249"/>
      <c r="G1714" s="39"/>
    </row>
    <row r="1715" hidden="1">
      <c r="A1715" s="202"/>
      <c r="B1715" s="203"/>
      <c r="C1715" s="203"/>
      <c r="D1715" s="209"/>
      <c r="E1715" s="248"/>
      <c r="F1715" s="249"/>
      <c r="G1715" s="39"/>
    </row>
    <row r="1716" hidden="1">
      <c r="A1716" s="202"/>
      <c r="B1716" s="203"/>
      <c r="C1716" s="203"/>
      <c r="D1716" s="209"/>
      <c r="E1716" s="248"/>
      <c r="F1716" s="249"/>
      <c r="G1716" s="39"/>
    </row>
    <row r="1717" hidden="1">
      <c r="A1717" s="202"/>
      <c r="B1717" s="203"/>
      <c r="C1717" s="203"/>
      <c r="D1717" s="209"/>
      <c r="E1717" s="248"/>
      <c r="F1717" s="249"/>
      <c r="G1717" s="39"/>
    </row>
    <row r="1718" hidden="1">
      <c r="A1718" s="202"/>
      <c r="B1718" s="203"/>
      <c r="C1718" s="203"/>
      <c r="D1718" s="209"/>
      <c r="E1718" s="248"/>
      <c r="F1718" s="249"/>
      <c r="G1718" s="39"/>
    </row>
    <row r="1719" hidden="1">
      <c r="A1719" s="202"/>
      <c r="B1719" s="203"/>
      <c r="C1719" s="203"/>
      <c r="D1719" s="209"/>
      <c r="E1719" s="248"/>
      <c r="F1719" s="249"/>
      <c r="G1719" s="39"/>
    </row>
    <row r="1720" hidden="1">
      <c r="A1720" s="202"/>
      <c r="B1720" s="203"/>
      <c r="C1720" s="203"/>
      <c r="D1720" s="209"/>
      <c r="E1720" s="248"/>
      <c r="F1720" s="249"/>
      <c r="G1720" s="39"/>
    </row>
    <row r="1721" hidden="1">
      <c r="A1721" s="202"/>
      <c r="B1721" s="203"/>
      <c r="C1721" s="203"/>
      <c r="D1721" s="209"/>
      <c r="E1721" s="248"/>
      <c r="F1721" s="249"/>
      <c r="G1721" s="39"/>
    </row>
    <row r="1722" hidden="1">
      <c r="A1722" s="202"/>
      <c r="B1722" s="203"/>
      <c r="C1722" s="203"/>
      <c r="D1722" s="209"/>
      <c r="E1722" s="248"/>
      <c r="F1722" s="249"/>
      <c r="G1722" s="39"/>
    </row>
    <row r="1723" hidden="1">
      <c r="A1723" s="202"/>
      <c r="B1723" s="203"/>
      <c r="C1723" s="203"/>
      <c r="D1723" s="209"/>
      <c r="E1723" s="248"/>
      <c r="F1723" s="249"/>
      <c r="G1723" s="39"/>
    </row>
    <row r="1724" hidden="1">
      <c r="A1724" s="202"/>
      <c r="B1724" s="203"/>
      <c r="C1724" s="203"/>
      <c r="D1724" s="209"/>
      <c r="E1724" s="248"/>
      <c r="F1724" s="249"/>
      <c r="G1724" s="39"/>
    </row>
    <row r="1725" hidden="1">
      <c r="A1725" s="202"/>
      <c r="B1725" s="203"/>
      <c r="C1725" s="203"/>
      <c r="D1725" s="209"/>
      <c r="E1725" s="248"/>
      <c r="F1725" s="249"/>
      <c r="G1725" s="39"/>
    </row>
    <row r="1726" hidden="1">
      <c r="A1726" s="202"/>
      <c r="B1726" s="203"/>
      <c r="C1726" s="203"/>
      <c r="D1726" s="209"/>
      <c r="E1726" s="248"/>
      <c r="F1726" s="249"/>
      <c r="G1726" s="39"/>
    </row>
    <row r="1727" hidden="1">
      <c r="A1727" s="202"/>
      <c r="B1727" s="203"/>
      <c r="C1727" s="203"/>
      <c r="D1727" s="209"/>
      <c r="E1727" s="248"/>
      <c r="F1727" s="249"/>
      <c r="G1727" s="39"/>
    </row>
    <row r="1728" hidden="1">
      <c r="A1728" s="202"/>
      <c r="B1728" s="203"/>
      <c r="C1728" s="203"/>
      <c r="D1728" s="209"/>
      <c r="E1728" s="248"/>
      <c r="F1728" s="249"/>
      <c r="G1728" s="39"/>
    </row>
    <row r="1729" hidden="1">
      <c r="A1729" s="202"/>
      <c r="B1729" s="203"/>
      <c r="C1729" s="203"/>
      <c r="D1729" s="209"/>
      <c r="E1729" s="248"/>
      <c r="F1729" s="249"/>
      <c r="G1729" s="39"/>
    </row>
    <row r="1730" hidden="1">
      <c r="A1730" s="202"/>
      <c r="B1730" s="203"/>
      <c r="C1730" s="203"/>
      <c r="D1730" s="209"/>
      <c r="E1730" s="248"/>
      <c r="F1730" s="249"/>
      <c r="G1730" s="39"/>
    </row>
    <row r="1731" hidden="1">
      <c r="A1731" s="202"/>
      <c r="B1731" s="203"/>
      <c r="C1731" s="203"/>
      <c r="D1731" s="209"/>
      <c r="E1731" s="248"/>
      <c r="F1731" s="249"/>
      <c r="G1731" s="39"/>
    </row>
    <row r="1732" hidden="1">
      <c r="A1732" s="202"/>
      <c r="B1732" s="203"/>
      <c r="C1732" s="203"/>
      <c r="D1732" s="209"/>
      <c r="E1732" s="248"/>
      <c r="F1732" s="249"/>
      <c r="G1732" s="39"/>
    </row>
    <row r="1733" hidden="1">
      <c r="A1733" s="202"/>
      <c r="B1733" s="203"/>
      <c r="C1733" s="203"/>
      <c r="D1733" s="209"/>
      <c r="E1733" s="248"/>
      <c r="F1733" s="249"/>
      <c r="G1733" s="39"/>
    </row>
    <row r="1734" hidden="1">
      <c r="A1734" s="202"/>
      <c r="B1734" s="203"/>
      <c r="C1734" s="203"/>
      <c r="D1734" s="209"/>
      <c r="E1734" s="248"/>
      <c r="F1734" s="249"/>
      <c r="G1734" s="39"/>
    </row>
    <row r="1735" hidden="1">
      <c r="A1735" s="202"/>
      <c r="B1735" s="203"/>
      <c r="C1735" s="203"/>
      <c r="D1735" s="209"/>
      <c r="E1735" s="248"/>
      <c r="F1735" s="249"/>
      <c r="G1735" s="39"/>
    </row>
    <row r="1736" hidden="1">
      <c r="A1736" s="202"/>
      <c r="B1736" s="203"/>
      <c r="C1736" s="203"/>
      <c r="D1736" s="209"/>
      <c r="E1736" s="248"/>
      <c r="F1736" s="249"/>
      <c r="G1736" s="39"/>
    </row>
    <row r="1737" hidden="1">
      <c r="A1737" s="202"/>
      <c r="B1737" s="203"/>
      <c r="C1737" s="203"/>
      <c r="D1737" s="209"/>
      <c r="E1737" s="248"/>
      <c r="F1737" s="249"/>
      <c r="G1737" s="39"/>
    </row>
    <row r="1738" hidden="1">
      <c r="A1738" s="202"/>
      <c r="B1738" s="203"/>
      <c r="C1738" s="203"/>
      <c r="D1738" s="209"/>
      <c r="E1738" s="248"/>
      <c r="F1738" s="249"/>
      <c r="G1738" s="39"/>
    </row>
    <row r="1739" hidden="1">
      <c r="A1739" s="202"/>
      <c r="B1739" s="203"/>
      <c r="C1739" s="203"/>
      <c r="D1739" s="209"/>
      <c r="E1739" s="248"/>
      <c r="F1739" s="249"/>
      <c r="G1739" s="39"/>
    </row>
    <row r="1740" hidden="1">
      <c r="A1740" s="202"/>
      <c r="B1740" s="203"/>
      <c r="C1740" s="203"/>
      <c r="D1740" s="209"/>
      <c r="E1740" s="248"/>
      <c r="F1740" s="249"/>
      <c r="G1740" s="39"/>
    </row>
    <row r="1741" hidden="1">
      <c r="A1741" s="202"/>
      <c r="B1741" s="203"/>
      <c r="C1741" s="203"/>
      <c r="D1741" s="209"/>
      <c r="E1741" s="248"/>
      <c r="F1741" s="249"/>
      <c r="G1741" s="39"/>
    </row>
    <row r="1742" hidden="1">
      <c r="A1742" s="202"/>
      <c r="B1742" s="203"/>
      <c r="C1742" s="203"/>
      <c r="D1742" s="209"/>
      <c r="E1742" s="248"/>
      <c r="F1742" s="249"/>
      <c r="G1742" s="39"/>
    </row>
    <row r="1743" hidden="1">
      <c r="A1743" s="202"/>
      <c r="B1743" s="203"/>
      <c r="C1743" s="203"/>
      <c r="D1743" s="209"/>
      <c r="E1743" s="248"/>
      <c r="F1743" s="249"/>
      <c r="G1743" s="39"/>
    </row>
    <row r="1744" hidden="1">
      <c r="A1744" s="202"/>
      <c r="B1744" s="203"/>
      <c r="C1744" s="203"/>
      <c r="D1744" s="209"/>
      <c r="E1744" s="248"/>
      <c r="F1744" s="249"/>
      <c r="G1744" s="39"/>
    </row>
    <row r="1745" hidden="1">
      <c r="A1745" s="202"/>
      <c r="B1745" s="203"/>
      <c r="C1745" s="203"/>
      <c r="D1745" s="209"/>
      <c r="E1745" s="248"/>
      <c r="F1745" s="249"/>
      <c r="G1745" s="39"/>
    </row>
    <row r="1746" hidden="1">
      <c r="A1746" s="202"/>
      <c r="B1746" s="203"/>
      <c r="C1746" s="203"/>
      <c r="D1746" s="209"/>
      <c r="E1746" s="248"/>
      <c r="F1746" s="249"/>
      <c r="G1746" s="39"/>
    </row>
    <row r="1747" hidden="1">
      <c r="A1747" s="202"/>
      <c r="B1747" s="203"/>
      <c r="C1747" s="203"/>
      <c r="D1747" s="209"/>
      <c r="E1747" s="248"/>
      <c r="F1747" s="249"/>
      <c r="G1747" s="39"/>
    </row>
    <row r="1748" hidden="1">
      <c r="A1748" s="202"/>
      <c r="B1748" s="203"/>
      <c r="C1748" s="203"/>
      <c r="D1748" s="209"/>
      <c r="E1748" s="248"/>
      <c r="F1748" s="249"/>
      <c r="G1748" s="39"/>
    </row>
    <row r="1749" hidden="1">
      <c r="A1749" s="202"/>
      <c r="B1749" s="203"/>
      <c r="C1749" s="203"/>
      <c r="D1749" s="209"/>
      <c r="E1749" s="248"/>
      <c r="F1749" s="249"/>
      <c r="G1749" s="39"/>
    </row>
    <row r="1750" hidden="1">
      <c r="A1750" s="202"/>
      <c r="B1750" s="203"/>
      <c r="C1750" s="203"/>
      <c r="D1750" s="209"/>
      <c r="E1750" s="248"/>
      <c r="F1750" s="249"/>
      <c r="G1750" s="39"/>
    </row>
    <row r="1751" hidden="1">
      <c r="A1751" s="202"/>
      <c r="B1751" s="203"/>
      <c r="C1751" s="203"/>
      <c r="D1751" s="209"/>
      <c r="E1751" s="248"/>
      <c r="F1751" s="249"/>
      <c r="G1751" s="39"/>
    </row>
    <row r="1752" hidden="1">
      <c r="A1752" s="202"/>
      <c r="B1752" s="203"/>
      <c r="C1752" s="203"/>
      <c r="D1752" s="209"/>
      <c r="E1752" s="248"/>
      <c r="F1752" s="249"/>
      <c r="G1752" s="39"/>
    </row>
    <row r="1753" hidden="1">
      <c r="A1753" s="202"/>
      <c r="B1753" s="203"/>
      <c r="C1753" s="203"/>
      <c r="D1753" s="209"/>
      <c r="E1753" s="248"/>
      <c r="F1753" s="249"/>
      <c r="G1753" s="39"/>
    </row>
    <row r="1754" hidden="1">
      <c r="A1754" s="202"/>
      <c r="B1754" s="203"/>
      <c r="C1754" s="203"/>
      <c r="D1754" s="209"/>
      <c r="E1754" s="248"/>
      <c r="F1754" s="249"/>
      <c r="G1754" s="39"/>
    </row>
    <row r="1755" hidden="1">
      <c r="A1755" s="202"/>
      <c r="B1755" s="203"/>
      <c r="C1755" s="203"/>
      <c r="D1755" s="209"/>
      <c r="E1755" s="248"/>
      <c r="F1755" s="249"/>
      <c r="G1755" s="39"/>
    </row>
    <row r="1756" hidden="1">
      <c r="A1756" s="202"/>
      <c r="B1756" s="203"/>
      <c r="C1756" s="203"/>
      <c r="D1756" s="209"/>
      <c r="E1756" s="248"/>
      <c r="F1756" s="249"/>
      <c r="G1756" s="39"/>
    </row>
    <row r="1757" hidden="1">
      <c r="A1757" s="202"/>
      <c r="B1757" s="203"/>
      <c r="C1757" s="203"/>
      <c r="D1757" s="209"/>
      <c r="E1757" s="248"/>
      <c r="F1757" s="249"/>
      <c r="G1757" s="39"/>
    </row>
    <row r="1758" hidden="1">
      <c r="A1758" s="202"/>
      <c r="B1758" s="203"/>
      <c r="C1758" s="203"/>
      <c r="D1758" s="209"/>
      <c r="E1758" s="248"/>
      <c r="F1758" s="249"/>
      <c r="G1758" s="39"/>
    </row>
    <row r="1759" hidden="1">
      <c r="A1759" s="202"/>
      <c r="B1759" s="203"/>
      <c r="C1759" s="203"/>
      <c r="D1759" s="209"/>
      <c r="E1759" s="248"/>
      <c r="F1759" s="249"/>
      <c r="G1759" s="39"/>
    </row>
    <row r="1760" hidden="1">
      <c r="A1760" s="202"/>
      <c r="B1760" s="203"/>
      <c r="C1760" s="203"/>
      <c r="D1760" s="209"/>
      <c r="E1760" s="248"/>
      <c r="F1760" s="249"/>
      <c r="G1760" s="39"/>
    </row>
    <row r="1761" hidden="1">
      <c r="A1761" s="202"/>
      <c r="B1761" s="203"/>
      <c r="C1761" s="203"/>
      <c r="D1761" s="209"/>
      <c r="E1761" s="248"/>
      <c r="F1761" s="249"/>
      <c r="G1761" s="39"/>
    </row>
    <row r="1762" hidden="1">
      <c r="A1762" s="202"/>
      <c r="B1762" s="203"/>
      <c r="C1762" s="203"/>
      <c r="D1762" s="209"/>
      <c r="E1762" s="248"/>
      <c r="F1762" s="249"/>
      <c r="G1762" s="39"/>
    </row>
    <row r="1763" hidden="1">
      <c r="A1763" s="202"/>
      <c r="B1763" s="203"/>
      <c r="C1763" s="203"/>
      <c r="D1763" s="209"/>
      <c r="E1763" s="248"/>
      <c r="F1763" s="249"/>
      <c r="G1763" s="39"/>
    </row>
    <row r="1764" hidden="1">
      <c r="A1764" s="202"/>
      <c r="B1764" s="203"/>
      <c r="C1764" s="203"/>
      <c r="D1764" s="209"/>
      <c r="E1764" s="248"/>
      <c r="F1764" s="249"/>
      <c r="G1764" s="39"/>
    </row>
    <row r="1765" hidden="1">
      <c r="A1765" s="202"/>
      <c r="B1765" s="203"/>
      <c r="C1765" s="203"/>
      <c r="D1765" s="209"/>
      <c r="E1765" s="248"/>
      <c r="F1765" s="249"/>
      <c r="G1765" s="39"/>
    </row>
    <row r="1766" hidden="1">
      <c r="A1766" s="202"/>
      <c r="B1766" s="203"/>
      <c r="C1766" s="203"/>
      <c r="D1766" s="209"/>
      <c r="E1766" s="248"/>
      <c r="F1766" s="249"/>
      <c r="G1766" s="39"/>
    </row>
    <row r="1767" hidden="1">
      <c r="A1767" s="202"/>
      <c r="B1767" s="203"/>
      <c r="C1767" s="203"/>
      <c r="D1767" s="209"/>
      <c r="E1767" s="248"/>
      <c r="F1767" s="249"/>
      <c r="G1767" s="39"/>
    </row>
    <row r="1768" hidden="1">
      <c r="A1768" s="202"/>
      <c r="B1768" s="203"/>
      <c r="C1768" s="203"/>
      <c r="D1768" s="209"/>
      <c r="E1768" s="248"/>
      <c r="F1768" s="249"/>
      <c r="G1768" s="39"/>
    </row>
    <row r="1769" hidden="1">
      <c r="A1769" s="202"/>
      <c r="B1769" s="203"/>
      <c r="C1769" s="203"/>
      <c r="D1769" s="209"/>
      <c r="E1769" s="248"/>
      <c r="F1769" s="249"/>
      <c r="G1769" s="39"/>
    </row>
    <row r="1770" hidden="1">
      <c r="A1770" s="202"/>
      <c r="B1770" s="203"/>
      <c r="C1770" s="203"/>
      <c r="D1770" s="209"/>
      <c r="E1770" s="248"/>
      <c r="F1770" s="249"/>
      <c r="G1770" s="39"/>
    </row>
    <row r="1771" hidden="1">
      <c r="A1771" s="202"/>
      <c r="B1771" s="203"/>
      <c r="C1771" s="203"/>
      <c r="D1771" s="209"/>
      <c r="E1771" s="248"/>
      <c r="F1771" s="249"/>
      <c r="G1771" s="39"/>
    </row>
    <row r="1772" hidden="1">
      <c r="A1772" s="202"/>
      <c r="B1772" s="203"/>
      <c r="C1772" s="203"/>
      <c r="D1772" s="209"/>
      <c r="E1772" s="248"/>
      <c r="F1772" s="249"/>
      <c r="G1772" s="39"/>
    </row>
    <row r="1773" hidden="1">
      <c r="A1773" s="202"/>
      <c r="B1773" s="203"/>
      <c r="C1773" s="203"/>
      <c r="D1773" s="209"/>
      <c r="E1773" s="248"/>
      <c r="F1773" s="249"/>
      <c r="G1773" s="39"/>
    </row>
    <row r="1774" hidden="1">
      <c r="A1774" s="202"/>
      <c r="B1774" s="203"/>
      <c r="C1774" s="203"/>
      <c r="D1774" s="209"/>
      <c r="E1774" s="248"/>
      <c r="F1774" s="249"/>
      <c r="G1774" s="39"/>
    </row>
    <row r="1775" hidden="1">
      <c r="A1775" s="202"/>
      <c r="B1775" s="203"/>
      <c r="C1775" s="203"/>
      <c r="D1775" s="209"/>
      <c r="E1775" s="248"/>
      <c r="F1775" s="249"/>
      <c r="G1775" s="39"/>
    </row>
    <row r="1776" hidden="1">
      <c r="A1776" s="202"/>
      <c r="B1776" s="203"/>
      <c r="C1776" s="203"/>
      <c r="D1776" s="209"/>
      <c r="E1776" s="248"/>
      <c r="F1776" s="249"/>
      <c r="G1776" s="39"/>
    </row>
    <row r="1777" hidden="1">
      <c r="A1777" s="202"/>
      <c r="B1777" s="203"/>
      <c r="C1777" s="203"/>
      <c r="D1777" s="209"/>
      <c r="E1777" s="248"/>
      <c r="F1777" s="249"/>
      <c r="G1777" s="39"/>
    </row>
    <row r="1778" hidden="1">
      <c r="A1778" s="202"/>
      <c r="B1778" s="203"/>
      <c r="C1778" s="203"/>
      <c r="D1778" s="209"/>
      <c r="E1778" s="248"/>
      <c r="F1778" s="249"/>
      <c r="G1778" s="39"/>
    </row>
    <row r="1779" hidden="1">
      <c r="A1779" s="202"/>
      <c r="B1779" s="203"/>
      <c r="C1779" s="203"/>
      <c r="D1779" s="209"/>
      <c r="E1779" s="248"/>
      <c r="F1779" s="249"/>
      <c r="G1779" s="39"/>
    </row>
    <row r="1780" hidden="1">
      <c r="A1780" s="202"/>
      <c r="B1780" s="203"/>
      <c r="C1780" s="203"/>
      <c r="D1780" s="209"/>
      <c r="E1780" s="248"/>
      <c r="F1780" s="249"/>
      <c r="G1780" s="39"/>
    </row>
    <row r="1781" hidden="1">
      <c r="A1781" s="202"/>
      <c r="B1781" s="203"/>
      <c r="C1781" s="203"/>
      <c r="D1781" s="209"/>
      <c r="E1781" s="248"/>
      <c r="F1781" s="249"/>
      <c r="G1781" s="39"/>
    </row>
    <row r="1782" hidden="1">
      <c r="A1782" s="202"/>
      <c r="B1782" s="203"/>
      <c r="C1782" s="203"/>
      <c r="D1782" s="209"/>
      <c r="E1782" s="248"/>
      <c r="F1782" s="249"/>
      <c r="G1782" s="39"/>
    </row>
    <row r="1783" hidden="1">
      <c r="A1783" s="202"/>
      <c r="B1783" s="203"/>
      <c r="C1783" s="203"/>
      <c r="D1783" s="209"/>
      <c r="E1783" s="248"/>
      <c r="F1783" s="249"/>
      <c r="G1783" s="39"/>
    </row>
    <row r="1784" hidden="1">
      <c r="A1784" s="202"/>
      <c r="B1784" s="203"/>
      <c r="C1784" s="203"/>
      <c r="D1784" s="209"/>
      <c r="E1784" s="248"/>
      <c r="F1784" s="249"/>
      <c r="G1784" s="39"/>
    </row>
    <row r="1785" hidden="1">
      <c r="A1785" s="202"/>
      <c r="B1785" s="203"/>
      <c r="C1785" s="203"/>
      <c r="D1785" s="209"/>
      <c r="E1785" s="248"/>
      <c r="F1785" s="249"/>
      <c r="G1785" s="39"/>
    </row>
    <row r="1786" hidden="1">
      <c r="A1786" s="202"/>
      <c r="B1786" s="203"/>
      <c r="C1786" s="203"/>
      <c r="D1786" s="209"/>
      <c r="E1786" s="248"/>
      <c r="F1786" s="249"/>
      <c r="G1786" s="39"/>
    </row>
    <row r="1787" hidden="1">
      <c r="A1787" s="202"/>
      <c r="B1787" s="203"/>
      <c r="C1787" s="203"/>
      <c r="D1787" s="209"/>
      <c r="E1787" s="248"/>
      <c r="F1787" s="249"/>
      <c r="G1787" s="39"/>
    </row>
    <row r="1788" hidden="1">
      <c r="A1788" s="202"/>
      <c r="B1788" s="203"/>
      <c r="C1788" s="203"/>
      <c r="D1788" s="209"/>
      <c r="E1788" s="248"/>
      <c r="F1788" s="249"/>
      <c r="G1788" s="39"/>
    </row>
    <row r="1789" hidden="1">
      <c r="A1789" s="202"/>
      <c r="B1789" s="203"/>
      <c r="C1789" s="203"/>
      <c r="D1789" s="209"/>
      <c r="E1789" s="248"/>
      <c r="F1789" s="249"/>
      <c r="G1789" s="39"/>
    </row>
    <row r="1790" hidden="1">
      <c r="A1790" s="202"/>
      <c r="B1790" s="203"/>
      <c r="C1790" s="203"/>
      <c r="D1790" s="209"/>
      <c r="E1790" s="248"/>
      <c r="F1790" s="249"/>
      <c r="G1790" s="39"/>
    </row>
    <row r="1791" hidden="1">
      <c r="A1791" s="202"/>
      <c r="B1791" s="203"/>
      <c r="C1791" s="203"/>
      <c r="D1791" s="209"/>
      <c r="E1791" s="248"/>
      <c r="F1791" s="249"/>
      <c r="G1791" s="39"/>
    </row>
    <row r="1792" hidden="1">
      <c r="A1792" s="202"/>
      <c r="B1792" s="203"/>
      <c r="C1792" s="203"/>
      <c r="D1792" s="209"/>
      <c r="E1792" s="248"/>
      <c r="F1792" s="249"/>
      <c r="G1792" s="39"/>
    </row>
    <row r="1793" hidden="1">
      <c r="A1793" s="202"/>
      <c r="B1793" s="203"/>
      <c r="C1793" s="203"/>
      <c r="D1793" s="209"/>
      <c r="E1793" s="248"/>
      <c r="F1793" s="249"/>
      <c r="G1793" s="39"/>
    </row>
    <row r="1794" hidden="1">
      <c r="A1794" s="202"/>
      <c r="B1794" s="203"/>
      <c r="C1794" s="203"/>
      <c r="D1794" s="209"/>
      <c r="E1794" s="248"/>
      <c r="F1794" s="249"/>
      <c r="G1794" s="39"/>
    </row>
    <row r="1795" hidden="1">
      <c r="A1795" s="202"/>
      <c r="B1795" s="203"/>
      <c r="C1795" s="203"/>
      <c r="D1795" s="209"/>
      <c r="E1795" s="248"/>
      <c r="F1795" s="249"/>
      <c r="G1795" s="39"/>
    </row>
    <row r="1796" hidden="1">
      <c r="A1796" s="202"/>
      <c r="B1796" s="203"/>
      <c r="C1796" s="203"/>
      <c r="D1796" s="209"/>
      <c r="E1796" s="248"/>
      <c r="F1796" s="249"/>
      <c r="G1796" s="39"/>
    </row>
    <row r="1797" hidden="1">
      <c r="A1797" s="202"/>
      <c r="B1797" s="203"/>
      <c r="C1797" s="203"/>
      <c r="D1797" s="209"/>
      <c r="E1797" s="248"/>
      <c r="F1797" s="249"/>
      <c r="G1797" s="39"/>
    </row>
    <row r="1798" hidden="1">
      <c r="A1798" s="202"/>
      <c r="B1798" s="203"/>
      <c r="C1798" s="203"/>
      <c r="D1798" s="209"/>
      <c r="E1798" s="248"/>
      <c r="F1798" s="249"/>
      <c r="G1798" s="39"/>
    </row>
    <row r="1799" hidden="1">
      <c r="A1799" s="202"/>
      <c r="B1799" s="203"/>
      <c r="C1799" s="203"/>
      <c r="D1799" s="209"/>
      <c r="E1799" s="248"/>
      <c r="F1799" s="249"/>
      <c r="G1799" s="39"/>
    </row>
    <row r="1800" hidden="1">
      <c r="A1800" s="202"/>
      <c r="B1800" s="203"/>
      <c r="C1800" s="203"/>
      <c r="D1800" s="209"/>
      <c r="E1800" s="248"/>
      <c r="F1800" s="249"/>
      <c r="G1800" s="39"/>
    </row>
    <row r="1801" hidden="1">
      <c r="A1801" s="202"/>
      <c r="B1801" s="203"/>
      <c r="C1801" s="203"/>
      <c r="D1801" s="209"/>
      <c r="E1801" s="248"/>
      <c r="F1801" s="249"/>
      <c r="G1801" s="39"/>
    </row>
    <row r="1802" hidden="1">
      <c r="A1802" s="202"/>
      <c r="B1802" s="203"/>
      <c r="C1802" s="203"/>
      <c r="D1802" s="209"/>
      <c r="E1802" s="248"/>
      <c r="F1802" s="249"/>
      <c r="G1802" s="39"/>
    </row>
    <row r="1803" hidden="1">
      <c r="A1803" s="202"/>
      <c r="B1803" s="203"/>
      <c r="C1803" s="203"/>
      <c r="D1803" s="209"/>
      <c r="E1803" s="248"/>
      <c r="F1803" s="249"/>
      <c r="G1803" s="39"/>
    </row>
    <row r="1804" hidden="1">
      <c r="A1804" s="202"/>
      <c r="B1804" s="203"/>
      <c r="C1804" s="203"/>
      <c r="D1804" s="209"/>
      <c r="E1804" s="248"/>
      <c r="F1804" s="249"/>
      <c r="G1804" s="39"/>
    </row>
    <row r="1805" hidden="1">
      <c r="A1805" s="202"/>
      <c r="B1805" s="203"/>
      <c r="C1805" s="203"/>
      <c r="D1805" s="209"/>
      <c r="E1805" s="248"/>
      <c r="F1805" s="249"/>
      <c r="G1805" s="39"/>
    </row>
    <row r="1806" hidden="1">
      <c r="A1806" s="202"/>
      <c r="B1806" s="203"/>
      <c r="C1806" s="203"/>
      <c r="D1806" s="209"/>
      <c r="E1806" s="248"/>
      <c r="F1806" s="249"/>
      <c r="G1806" s="39"/>
    </row>
    <row r="1807" hidden="1">
      <c r="A1807" s="202"/>
      <c r="B1807" s="203"/>
      <c r="C1807" s="203"/>
      <c r="D1807" s="209"/>
      <c r="E1807" s="248"/>
      <c r="F1807" s="249"/>
      <c r="G1807" s="39"/>
    </row>
    <row r="1808" hidden="1">
      <c r="A1808" s="202"/>
      <c r="B1808" s="203"/>
      <c r="C1808" s="203"/>
      <c r="D1808" s="209"/>
      <c r="E1808" s="248"/>
      <c r="F1808" s="249"/>
      <c r="G1808" s="39"/>
    </row>
    <row r="1809" hidden="1">
      <c r="A1809" s="202"/>
      <c r="B1809" s="203"/>
      <c r="C1809" s="203"/>
      <c r="D1809" s="209"/>
      <c r="E1809" s="248"/>
      <c r="F1809" s="249"/>
      <c r="G1809" s="39"/>
    </row>
    <row r="1810" hidden="1">
      <c r="A1810" s="202"/>
      <c r="B1810" s="203"/>
      <c r="C1810" s="203"/>
      <c r="D1810" s="209"/>
      <c r="E1810" s="248"/>
      <c r="F1810" s="249"/>
      <c r="G1810" s="39"/>
    </row>
    <row r="1811" hidden="1">
      <c r="A1811" s="202"/>
      <c r="B1811" s="203"/>
      <c r="C1811" s="203"/>
      <c r="D1811" s="209"/>
      <c r="E1811" s="248"/>
      <c r="F1811" s="249"/>
      <c r="G1811" s="39"/>
    </row>
    <row r="1812" hidden="1">
      <c r="A1812" s="202"/>
      <c r="B1812" s="203"/>
      <c r="C1812" s="203"/>
      <c r="D1812" s="209"/>
      <c r="E1812" s="248"/>
      <c r="F1812" s="249"/>
      <c r="G1812" s="39"/>
    </row>
    <row r="1813" hidden="1">
      <c r="A1813" s="202"/>
      <c r="B1813" s="203"/>
      <c r="C1813" s="203"/>
      <c r="D1813" s="209"/>
      <c r="E1813" s="248"/>
      <c r="F1813" s="249"/>
      <c r="G1813" s="39"/>
    </row>
    <row r="1814" hidden="1">
      <c r="A1814" s="202"/>
      <c r="B1814" s="203"/>
      <c r="C1814" s="203"/>
      <c r="D1814" s="209"/>
      <c r="E1814" s="248"/>
      <c r="F1814" s="249"/>
      <c r="G1814" s="39"/>
    </row>
    <row r="1815" hidden="1">
      <c r="A1815" s="202"/>
      <c r="B1815" s="203"/>
      <c r="C1815" s="203"/>
      <c r="D1815" s="209"/>
      <c r="E1815" s="248"/>
      <c r="F1815" s="249"/>
      <c r="G1815" s="39"/>
    </row>
    <row r="1816" hidden="1">
      <c r="A1816" s="202"/>
      <c r="B1816" s="203"/>
      <c r="C1816" s="203"/>
      <c r="D1816" s="209"/>
      <c r="E1816" s="248"/>
      <c r="F1816" s="249"/>
      <c r="G1816" s="39"/>
    </row>
    <row r="1817" hidden="1">
      <c r="A1817" s="202"/>
      <c r="B1817" s="203"/>
      <c r="C1817" s="203"/>
      <c r="D1817" s="209"/>
      <c r="E1817" s="248"/>
      <c r="F1817" s="249"/>
      <c r="G1817" s="39"/>
    </row>
    <row r="1818" hidden="1">
      <c r="A1818" s="202"/>
      <c r="B1818" s="203"/>
      <c r="C1818" s="203"/>
      <c r="D1818" s="209"/>
      <c r="E1818" s="248"/>
      <c r="F1818" s="249"/>
      <c r="G1818" s="39"/>
    </row>
    <row r="1819" hidden="1">
      <c r="A1819" s="202"/>
      <c r="B1819" s="203"/>
      <c r="C1819" s="203"/>
      <c r="D1819" s="209"/>
      <c r="E1819" s="248"/>
      <c r="F1819" s="249"/>
      <c r="G1819" s="39"/>
    </row>
    <row r="1820" hidden="1">
      <c r="A1820" s="202"/>
      <c r="B1820" s="203"/>
      <c r="C1820" s="203"/>
      <c r="D1820" s="209"/>
      <c r="E1820" s="248"/>
      <c r="F1820" s="249"/>
      <c r="G1820" s="39"/>
    </row>
    <row r="1821" hidden="1">
      <c r="A1821" s="202"/>
      <c r="B1821" s="203"/>
      <c r="C1821" s="203"/>
      <c r="D1821" s="209"/>
      <c r="E1821" s="248"/>
      <c r="F1821" s="249"/>
      <c r="G1821" s="39"/>
    </row>
    <row r="1822" hidden="1">
      <c r="A1822" s="202"/>
      <c r="B1822" s="203"/>
      <c r="C1822" s="203"/>
      <c r="D1822" s="209"/>
      <c r="E1822" s="248"/>
      <c r="F1822" s="249"/>
      <c r="G1822" s="39"/>
    </row>
    <row r="1823" hidden="1">
      <c r="A1823" s="202"/>
      <c r="B1823" s="203"/>
      <c r="C1823" s="203"/>
      <c r="D1823" s="209"/>
      <c r="E1823" s="248"/>
      <c r="F1823" s="249"/>
      <c r="G1823" s="39"/>
    </row>
    <row r="1824" hidden="1">
      <c r="A1824" s="202"/>
      <c r="B1824" s="203"/>
      <c r="C1824" s="203"/>
      <c r="D1824" s="209"/>
      <c r="E1824" s="248"/>
      <c r="F1824" s="249"/>
      <c r="G1824" s="39"/>
    </row>
    <row r="1825" hidden="1">
      <c r="A1825" s="202"/>
      <c r="B1825" s="203"/>
      <c r="C1825" s="203"/>
      <c r="D1825" s="209"/>
      <c r="E1825" s="248"/>
      <c r="F1825" s="249"/>
      <c r="G1825" s="39"/>
    </row>
    <row r="1826" hidden="1">
      <c r="A1826" s="202"/>
      <c r="B1826" s="203"/>
      <c r="C1826" s="203"/>
      <c r="D1826" s="209"/>
      <c r="E1826" s="248"/>
      <c r="F1826" s="249"/>
      <c r="G1826" s="39"/>
    </row>
    <row r="1827" hidden="1">
      <c r="A1827" s="202"/>
      <c r="B1827" s="203"/>
      <c r="C1827" s="203"/>
      <c r="D1827" s="209"/>
      <c r="E1827" s="248"/>
      <c r="F1827" s="249"/>
      <c r="G1827" s="39"/>
    </row>
    <row r="1828" hidden="1">
      <c r="A1828" s="202"/>
      <c r="B1828" s="203"/>
      <c r="C1828" s="203"/>
      <c r="D1828" s="209"/>
      <c r="E1828" s="248"/>
      <c r="F1828" s="249"/>
      <c r="G1828" s="39"/>
    </row>
    <row r="1829" hidden="1">
      <c r="A1829" s="202"/>
      <c r="B1829" s="203"/>
      <c r="C1829" s="203"/>
      <c r="D1829" s="209"/>
      <c r="E1829" s="248"/>
      <c r="F1829" s="249"/>
      <c r="G1829" s="39"/>
    </row>
    <row r="1830" hidden="1">
      <c r="A1830" s="202"/>
      <c r="B1830" s="203"/>
      <c r="C1830" s="203"/>
      <c r="D1830" s="209"/>
      <c r="E1830" s="248"/>
      <c r="F1830" s="249"/>
      <c r="G1830" s="39"/>
    </row>
    <row r="1831" hidden="1">
      <c r="A1831" s="202"/>
      <c r="B1831" s="203"/>
      <c r="C1831" s="203"/>
      <c r="D1831" s="209"/>
      <c r="E1831" s="248"/>
      <c r="F1831" s="249"/>
      <c r="G1831" s="39"/>
    </row>
    <row r="1832" hidden="1">
      <c r="A1832" s="202"/>
      <c r="B1832" s="203"/>
      <c r="C1832" s="203"/>
      <c r="D1832" s="209"/>
      <c r="E1832" s="248"/>
      <c r="F1832" s="249"/>
      <c r="G1832" s="39"/>
    </row>
    <row r="1833" hidden="1">
      <c r="A1833" s="202"/>
      <c r="B1833" s="203"/>
      <c r="C1833" s="203"/>
      <c r="D1833" s="209"/>
      <c r="E1833" s="248"/>
      <c r="F1833" s="249"/>
      <c r="G1833" s="39"/>
    </row>
    <row r="1834" hidden="1">
      <c r="A1834" s="202"/>
      <c r="B1834" s="203"/>
      <c r="C1834" s="203"/>
      <c r="D1834" s="209"/>
      <c r="E1834" s="248"/>
      <c r="F1834" s="249"/>
      <c r="G1834" s="39"/>
    </row>
    <row r="1835" hidden="1">
      <c r="A1835" s="202"/>
      <c r="B1835" s="203"/>
      <c r="C1835" s="203"/>
      <c r="D1835" s="209"/>
      <c r="E1835" s="248"/>
      <c r="F1835" s="249"/>
      <c r="G1835" s="39"/>
    </row>
    <row r="1836" hidden="1">
      <c r="A1836" s="202"/>
      <c r="B1836" s="203"/>
      <c r="C1836" s="203"/>
      <c r="D1836" s="209"/>
      <c r="E1836" s="248"/>
      <c r="F1836" s="249"/>
      <c r="G1836" s="39"/>
    </row>
    <row r="1837" hidden="1">
      <c r="A1837" s="202"/>
      <c r="B1837" s="203"/>
      <c r="C1837" s="203"/>
      <c r="D1837" s="209"/>
      <c r="E1837" s="248"/>
      <c r="F1837" s="249"/>
      <c r="G1837" s="39"/>
    </row>
    <row r="1838" hidden="1">
      <c r="A1838" s="202"/>
      <c r="B1838" s="203"/>
      <c r="C1838" s="203"/>
      <c r="D1838" s="209"/>
      <c r="E1838" s="248"/>
      <c r="F1838" s="249"/>
      <c r="G1838" s="39"/>
    </row>
    <row r="1839" hidden="1">
      <c r="A1839" s="202"/>
      <c r="B1839" s="203"/>
      <c r="C1839" s="203"/>
      <c r="D1839" s="209"/>
      <c r="E1839" s="248"/>
      <c r="F1839" s="249"/>
      <c r="G1839" s="39"/>
    </row>
    <row r="1840" hidden="1">
      <c r="A1840" s="202"/>
      <c r="B1840" s="203"/>
      <c r="C1840" s="203"/>
      <c r="D1840" s="209"/>
      <c r="E1840" s="248"/>
      <c r="F1840" s="249"/>
      <c r="G1840" s="39"/>
    </row>
    <row r="1841" hidden="1">
      <c r="A1841" s="202"/>
      <c r="B1841" s="203"/>
      <c r="C1841" s="203"/>
      <c r="D1841" s="209"/>
      <c r="E1841" s="248"/>
      <c r="F1841" s="249"/>
      <c r="G1841" s="39"/>
    </row>
    <row r="1842" hidden="1">
      <c r="A1842" s="202"/>
      <c r="B1842" s="203"/>
      <c r="C1842" s="203"/>
      <c r="D1842" s="209"/>
      <c r="E1842" s="248"/>
      <c r="F1842" s="249"/>
      <c r="G1842" s="39"/>
    </row>
    <row r="1843" hidden="1">
      <c r="A1843" s="202"/>
      <c r="B1843" s="203"/>
      <c r="C1843" s="203"/>
      <c r="D1843" s="209"/>
      <c r="E1843" s="248"/>
      <c r="F1843" s="249"/>
      <c r="G1843" s="39"/>
    </row>
    <row r="1844" hidden="1">
      <c r="A1844" s="202"/>
      <c r="B1844" s="203"/>
      <c r="C1844" s="203"/>
      <c r="D1844" s="209"/>
      <c r="E1844" s="248"/>
      <c r="F1844" s="249"/>
      <c r="G1844" s="39"/>
    </row>
    <row r="1845" hidden="1">
      <c r="A1845" s="202"/>
      <c r="B1845" s="203"/>
      <c r="C1845" s="203"/>
      <c r="D1845" s="209"/>
      <c r="E1845" s="248"/>
      <c r="F1845" s="249"/>
      <c r="G1845" s="39"/>
    </row>
    <row r="1846" hidden="1">
      <c r="A1846" s="202"/>
      <c r="B1846" s="203"/>
      <c r="C1846" s="203"/>
      <c r="D1846" s="209"/>
      <c r="E1846" s="248"/>
      <c r="F1846" s="249"/>
      <c r="G1846" s="39"/>
    </row>
    <row r="1847" hidden="1">
      <c r="A1847" s="202"/>
      <c r="B1847" s="203"/>
      <c r="C1847" s="203"/>
      <c r="D1847" s="209"/>
      <c r="E1847" s="248"/>
      <c r="F1847" s="249"/>
      <c r="G1847" s="39"/>
    </row>
    <row r="1848" hidden="1">
      <c r="A1848" s="202"/>
      <c r="B1848" s="203"/>
      <c r="C1848" s="203"/>
      <c r="D1848" s="209"/>
      <c r="E1848" s="248"/>
      <c r="F1848" s="249"/>
      <c r="G1848" s="39"/>
    </row>
    <row r="1849" hidden="1">
      <c r="A1849" s="202"/>
      <c r="B1849" s="203"/>
      <c r="C1849" s="203"/>
      <c r="D1849" s="209"/>
      <c r="E1849" s="248"/>
      <c r="F1849" s="249"/>
      <c r="G1849" s="39"/>
    </row>
    <row r="1850" hidden="1">
      <c r="A1850" s="202"/>
      <c r="B1850" s="203"/>
      <c r="C1850" s="203"/>
      <c r="D1850" s="209"/>
      <c r="E1850" s="248"/>
      <c r="F1850" s="249"/>
      <c r="G1850" s="39"/>
    </row>
    <row r="1851" hidden="1">
      <c r="A1851" s="202"/>
      <c r="B1851" s="203"/>
      <c r="C1851" s="203"/>
      <c r="D1851" s="209"/>
      <c r="E1851" s="248"/>
      <c r="F1851" s="249"/>
      <c r="G1851" s="39"/>
    </row>
    <row r="1852" hidden="1">
      <c r="A1852" s="202"/>
      <c r="B1852" s="203"/>
      <c r="C1852" s="203"/>
      <c r="D1852" s="209"/>
      <c r="E1852" s="248"/>
      <c r="F1852" s="249"/>
      <c r="G1852" s="39"/>
    </row>
    <row r="1853" hidden="1">
      <c r="A1853" s="202"/>
      <c r="B1853" s="203"/>
      <c r="C1853" s="203"/>
      <c r="D1853" s="209"/>
      <c r="E1853" s="248"/>
      <c r="F1853" s="249"/>
      <c r="G1853" s="39"/>
    </row>
    <row r="1854" hidden="1">
      <c r="A1854" s="202"/>
      <c r="B1854" s="203"/>
      <c r="C1854" s="203"/>
      <c r="D1854" s="209"/>
      <c r="E1854" s="248"/>
      <c r="F1854" s="249"/>
      <c r="G1854" s="39"/>
    </row>
    <row r="1855" hidden="1">
      <c r="A1855" s="202"/>
      <c r="B1855" s="203"/>
      <c r="C1855" s="203"/>
      <c r="D1855" s="209"/>
      <c r="E1855" s="248"/>
      <c r="F1855" s="249"/>
      <c r="G1855" s="39"/>
    </row>
    <row r="1856" hidden="1">
      <c r="A1856" s="202"/>
      <c r="B1856" s="203"/>
      <c r="C1856" s="203"/>
      <c r="D1856" s="209"/>
      <c r="E1856" s="248"/>
      <c r="F1856" s="249"/>
      <c r="G1856" s="39"/>
    </row>
    <row r="1857" hidden="1">
      <c r="A1857" s="202"/>
      <c r="B1857" s="203"/>
      <c r="C1857" s="203"/>
      <c r="D1857" s="209"/>
      <c r="E1857" s="248"/>
      <c r="F1857" s="249"/>
      <c r="G1857" s="39"/>
    </row>
    <row r="1858" hidden="1">
      <c r="A1858" s="202"/>
      <c r="B1858" s="203"/>
      <c r="C1858" s="203"/>
      <c r="D1858" s="209"/>
      <c r="E1858" s="248"/>
      <c r="F1858" s="249"/>
      <c r="G1858" s="39"/>
    </row>
    <row r="1859" hidden="1">
      <c r="A1859" s="202"/>
      <c r="B1859" s="203"/>
      <c r="C1859" s="203"/>
      <c r="D1859" s="209"/>
      <c r="E1859" s="248"/>
      <c r="F1859" s="249"/>
      <c r="G1859" s="39"/>
    </row>
    <row r="1860" hidden="1">
      <c r="A1860" s="202"/>
      <c r="B1860" s="203"/>
      <c r="C1860" s="203"/>
      <c r="D1860" s="209"/>
      <c r="E1860" s="248"/>
      <c r="F1860" s="249"/>
      <c r="G1860" s="39"/>
    </row>
    <row r="1861" hidden="1">
      <c r="A1861" s="202"/>
      <c r="B1861" s="203"/>
      <c r="C1861" s="203"/>
      <c r="D1861" s="209"/>
      <c r="E1861" s="248"/>
      <c r="F1861" s="249"/>
      <c r="G1861" s="39"/>
    </row>
    <row r="1862" hidden="1">
      <c r="A1862" s="202"/>
      <c r="B1862" s="203"/>
      <c r="C1862" s="203"/>
      <c r="D1862" s="209"/>
      <c r="E1862" s="248"/>
      <c r="F1862" s="249"/>
      <c r="G1862" s="39"/>
    </row>
    <row r="1863" hidden="1">
      <c r="A1863" s="202"/>
      <c r="B1863" s="203"/>
      <c r="C1863" s="203"/>
      <c r="D1863" s="209"/>
      <c r="E1863" s="248"/>
      <c r="F1863" s="249"/>
      <c r="G1863" s="39"/>
    </row>
    <row r="1864" hidden="1">
      <c r="A1864" s="202"/>
      <c r="B1864" s="203"/>
      <c r="C1864" s="203"/>
      <c r="D1864" s="209"/>
      <c r="E1864" s="248"/>
      <c r="F1864" s="249"/>
      <c r="G1864" s="39"/>
    </row>
    <row r="1865" hidden="1">
      <c r="A1865" s="202"/>
      <c r="B1865" s="203"/>
      <c r="C1865" s="203"/>
      <c r="D1865" s="209"/>
      <c r="E1865" s="248"/>
      <c r="F1865" s="249"/>
      <c r="G1865" s="39"/>
    </row>
    <row r="1866" hidden="1">
      <c r="A1866" s="202"/>
      <c r="B1866" s="203"/>
      <c r="C1866" s="203"/>
      <c r="D1866" s="209"/>
      <c r="E1866" s="248"/>
      <c r="F1866" s="249"/>
      <c r="G1866" s="39"/>
    </row>
    <row r="1867" hidden="1">
      <c r="A1867" s="202"/>
      <c r="B1867" s="203"/>
      <c r="C1867" s="203"/>
      <c r="D1867" s="209"/>
      <c r="E1867" s="248"/>
      <c r="F1867" s="249"/>
      <c r="G1867" s="39"/>
    </row>
    <row r="1868" hidden="1">
      <c r="A1868" s="202"/>
      <c r="B1868" s="203"/>
      <c r="C1868" s="203"/>
      <c r="D1868" s="209"/>
      <c r="E1868" s="248"/>
      <c r="F1868" s="249"/>
      <c r="G1868" s="39"/>
    </row>
    <row r="1869" hidden="1">
      <c r="A1869" s="202"/>
      <c r="B1869" s="203"/>
      <c r="C1869" s="203"/>
      <c r="D1869" s="209"/>
      <c r="E1869" s="248"/>
      <c r="F1869" s="249"/>
      <c r="G1869" s="39"/>
    </row>
    <row r="1870" hidden="1">
      <c r="A1870" s="202"/>
      <c r="B1870" s="203"/>
      <c r="C1870" s="203"/>
      <c r="D1870" s="209"/>
      <c r="E1870" s="248"/>
      <c r="F1870" s="249"/>
      <c r="G1870" s="39"/>
    </row>
    <row r="1871" hidden="1">
      <c r="A1871" s="202"/>
      <c r="B1871" s="203"/>
      <c r="C1871" s="203"/>
      <c r="D1871" s="209"/>
      <c r="E1871" s="248"/>
      <c r="F1871" s="249"/>
      <c r="G1871" s="39"/>
    </row>
    <row r="1872" hidden="1">
      <c r="A1872" s="202"/>
      <c r="B1872" s="203"/>
      <c r="C1872" s="203"/>
      <c r="D1872" s="209"/>
      <c r="E1872" s="248"/>
      <c r="F1872" s="249"/>
      <c r="G1872" s="39"/>
    </row>
    <row r="1873" hidden="1">
      <c r="A1873" s="202"/>
      <c r="B1873" s="203"/>
      <c r="C1873" s="203"/>
      <c r="D1873" s="209"/>
      <c r="E1873" s="248"/>
      <c r="F1873" s="249"/>
      <c r="G1873" s="39"/>
    </row>
    <row r="1874" hidden="1">
      <c r="A1874" s="202"/>
      <c r="B1874" s="203"/>
      <c r="C1874" s="203"/>
      <c r="D1874" s="209"/>
      <c r="E1874" s="248"/>
      <c r="F1874" s="249"/>
      <c r="G1874" s="39"/>
    </row>
    <row r="1875" hidden="1">
      <c r="A1875" s="202"/>
      <c r="B1875" s="203"/>
      <c r="C1875" s="203"/>
      <c r="D1875" s="209"/>
      <c r="E1875" s="248"/>
      <c r="F1875" s="249"/>
      <c r="G1875" s="39"/>
    </row>
    <row r="1876" hidden="1">
      <c r="A1876" s="202"/>
      <c r="B1876" s="203"/>
      <c r="C1876" s="203"/>
      <c r="D1876" s="209"/>
      <c r="E1876" s="248"/>
      <c r="F1876" s="249"/>
      <c r="G1876" s="39"/>
    </row>
    <row r="1877" hidden="1">
      <c r="A1877" s="202"/>
      <c r="B1877" s="203"/>
      <c r="C1877" s="203"/>
      <c r="D1877" s="209"/>
      <c r="E1877" s="248"/>
      <c r="F1877" s="249"/>
      <c r="G1877" s="39"/>
    </row>
    <row r="1878" hidden="1">
      <c r="A1878" s="202"/>
      <c r="B1878" s="203"/>
      <c r="C1878" s="203"/>
      <c r="D1878" s="209"/>
      <c r="E1878" s="248"/>
      <c r="F1878" s="249"/>
      <c r="G1878" s="39"/>
    </row>
    <row r="1879" hidden="1">
      <c r="A1879" s="202"/>
      <c r="B1879" s="203"/>
      <c r="C1879" s="203"/>
      <c r="D1879" s="209"/>
      <c r="E1879" s="248"/>
      <c r="F1879" s="249"/>
      <c r="G1879" s="39"/>
    </row>
    <row r="1880" hidden="1">
      <c r="A1880" s="202"/>
      <c r="B1880" s="203"/>
      <c r="C1880" s="203"/>
      <c r="D1880" s="209"/>
      <c r="E1880" s="248"/>
      <c r="F1880" s="249"/>
      <c r="G1880" s="39"/>
    </row>
    <row r="1881" hidden="1">
      <c r="A1881" s="202"/>
      <c r="B1881" s="203"/>
      <c r="C1881" s="203"/>
      <c r="D1881" s="209"/>
      <c r="E1881" s="248"/>
      <c r="F1881" s="249"/>
      <c r="G1881" s="39"/>
    </row>
    <row r="1882" hidden="1">
      <c r="A1882" s="202"/>
      <c r="B1882" s="203"/>
      <c r="C1882" s="203"/>
      <c r="D1882" s="209"/>
      <c r="E1882" s="248"/>
      <c r="F1882" s="249"/>
      <c r="G1882" s="39"/>
    </row>
    <row r="1883" hidden="1">
      <c r="A1883" s="202"/>
      <c r="B1883" s="203"/>
      <c r="C1883" s="203"/>
      <c r="D1883" s="209"/>
      <c r="E1883" s="248"/>
      <c r="F1883" s="249"/>
      <c r="G1883" s="39"/>
    </row>
    <row r="1884" hidden="1">
      <c r="A1884" s="202"/>
      <c r="B1884" s="203"/>
      <c r="C1884" s="203"/>
      <c r="D1884" s="209"/>
      <c r="E1884" s="248"/>
      <c r="F1884" s="249"/>
      <c r="G1884" s="39"/>
    </row>
    <row r="1885" hidden="1">
      <c r="A1885" s="202"/>
      <c r="B1885" s="203"/>
      <c r="C1885" s="203"/>
      <c r="D1885" s="209"/>
      <c r="E1885" s="248"/>
      <c r="F1885" s="249"/>
      <c r="G1885" s="39"/>
    </row>
    <row r="1886" hidden="1">
      <c r="A1886" s="202"/>
      <c r="B1886" s="203"/>
      <c r="C1886" s="203"/>
      <c r="D1886" s="209"/>
      <c r="E1886" s="248"/>
      <c r="F1886" s="249"/>
      <c r="G1886" s="39"/>
    </row>
    <row r="1887" hidden="1">
      <c r="A1887" s="202"/>
      <c r="B1887" s="203"/>
      <c r="C1887" s="203"/>
      <c r="D1887" s="209"/>
      <c r="E1887" s="248"/>
      <c r="F1887" s="249"/>
      <c r="G1887" s="39"/>
    </row>
    <row r="1888" hidden="1">
      <c r="A1888" s="202"/>
      <c r="B1888" s="203"/>
      <c r="C1888" s="203"/>
      <c r="D1888" s="209"/>
      <c r="E1888" s="248"/>
      <c r="F1888" s="249"/>
      <c r="G1888" s="39"/>
    </row>
    <row r="1889" hidden="1">
      <c r="A1889" s="202"/>
      <c r="B1889" s="203"/>
      <c r="C1889" s="203"/>
      <c r="D1889" s="209"/>
      <c r="E1889" s="248"/>
      <c r="F1889" s="249"/>
      <c r="G1889" s="39"/>
    </row>
    <row r="1890" hidden="1">
      <c r="A1890" s="202"/>
      <c r="B1890" s="203"/>
      <c r="C1890" s="203"/>
      <c r="D1890" s="209"/>
      <c r="E1890" s="248"/>
      <c r="F1890" s="249"/>
      <c r="G1890" s="39"/>
    </row>
    <row r="1891" hidden="1">
      <c r="A1891" s="202"/>
      <c r="B1891" s="203"/>
      <c r="C1891" s="203"/>
      <c r="D1891" s="209"/>
      <c r="E1891" s="248"/>
      <c r="F1891" s="249"/>
      <c r="G1891" s="39"/>
    </row>
    <row r="1892" hidden="1">
      <c r="A1892" s="202"/>
      <c r="B1892" s="203"/>
      <c r="C1892" s="203"/>
      <c r="D1892" s="209"/>
      <c r="E1892" s="248"/>
      <c r="F1892" s="249"/>
      <c r="G1892" s="39"/>
    </row>
    <row r="1893" hidden="1">
      <c r="A1893" s="202"/>
      <c r="B1893" s="203"/>
      <c r="C1893" s="203"/>
      <c r="D1893" s="209"/>
      <c r="E1893" s="248"/>
      <c r="F1893" s="249"/>
      <c r="G1893" s="39"/>
    </row>
    <row r="1894" hidden="1">
      <c r="A1894" s="202"/>
      <c r="B1894" s="203"/>
      <c r="C1894" s="203"/>
      <c r="D1894" s="209"/>
      <c r="E1894" s="248"/>
      <c r="F1894" s="249"/>
      <c r="G1894" s="39"/>
    </row>
    <row r="1895" hidden="1">
      <c r="A1895" s="202"/>
      <c r="B1895" s="203"/>
      <c r="C1895" s="203"/>
      <c r="D1895" s="209"/>
      <c r="E1895" s="248"/>
      <c r="F1895" s="249"/>
      <c r="G1895" s="39"/>
    </row>
    <row r="1896" hidden="1">
      <c r="A1896" s="202"/>
      <c r="B1896" s="203"/>
      <c r="C1896" s="203"/>
      <c r="D1896" s="209"/>
      <c r="E1896" s="248"/>
      <c r="F1896" s="249"/>
      <c r="G1896" s="39"/>
    </row>
    <row r="1897" hidden="1">
      <c r="A1897" s="202"/>
      <c r="B1897" s="203"/>
      <c r="C1897" s="203"/>
      <c r="D1897" s="209"/>
      <c r="E1897" s="248"/>
      <c r="F1897" s="249"/>
      <c r="G1897" s="39"/>
    </row>
    <row r="1898" hidden="1">
      <c r="A1898" s="202"/>
      <c r="B1898" s="203"/>
      <c r="C1898" s="203"/>
      <c r="D1898" s="209"/>
      <c r="E1898" s="248"/>
      <c r="F1898" s="249"/>
      <c r="G1898" s="39"/>
    </row>
    <row r="1899" hidden="1">
      <c r="A1899" s="202"/>
      <c r="B1899" s="203"/>
      <c r="C1899" s="203"/>
      <c r="D1899" s="209"/>
      <c r="E1899" s="248"/>
      <c r="F1899" s="249"/>
      <c r="G1899" s="39"/>
    </row>
    <row r="1900" hidden="1">
      <c r="A1900" s="202"/>
      <c r="B1900" s="203"/>
      <c r="C1900" s="203"/>
      <c r="D1900" s="209"/>
      <c r="E1900" s="248"/>
      <c r="F1900" s="249"/>
      <c r="G1900" s="39"/>
    </row>
    <row r="1901" hidden="1">
      <c r="A1901" s="202"/>
      <c r="B1901" s="203"/>
      <c r="C1901" s="203"/>
      <c r="D1901" s="209"/>
      <c r="E1901" s="248"/>
      <c r="F1901" s="249"/>
      <c r="G1901" s="39"/>
    </row>
    <row r="1902" hidden="1">
      <c r="A1902" s="202"/>
      <c r="B1902" s="203"/>
      <c r="C1902" s="203"/>
      <c r="D1902" s="209"/>
      <c r="E1902" s="248"/>
      <c r="F1902" s="249"/>
      <c r="G1902" s="39"/>
    </row>
    <row r="1903" hidden="1">
      <c r="A1903" s="202"/>
      <c r="B1903" s="203"/>
      <c r="C1903" s="203"/>
      <c r="D1903" s="209"/>
      <c r="E1903" s="248"/>
      <c r="F1903" s="249"/>
      <c r="G1903" s="39"/>
    </row>
    <row r="1904" hidden="1">
      <c r="A1904" s="202"/>
      <c r="B1904" s="203"/>
      <c r="C1904" s="203"/>
      <c r="D1904" s="209"/>
      <c r="E1904" s="248"/>
      <c r="F1904" s="249"/>
      <c r="G1904" s="39"/>
    </row>
    <row r="1905" hidden="1">
      <c r="A1905" s="202"/>
      <c r="B1905" s="203"/>
      <c r="C1905" s="203"/>
      <c r="D1905" s="209"/>
      <c r="E1905" s="248"/>
      <c r="F1905" s="249"/>
      <c r="G1905" s="39"/>
    </row>
    <row r="1906" hidden="1">
      <c r="A1906" s="202"/>
      <c r="B1906" s="203"/>
      <c r="C1906" s="203"/>
      <c r="D1906" s="209"/>
      <c r="E1906" s="248"/>
      <c r="F1906" s="249"/>
      <c r="G1906" s="39"/>
    </row>
    <row r="1907" hidden="1">
      <c r="A1907" s="202"/>
      <c r="B1907" s="203"/>
      <c r="C1907" s="203"/>
      <c r="D1907" s="209"/>
      <c r="E1907" s="248"/>
      <c r="F1907" s="249"/>
      <c r="G1907" s="39"/>
    </row>
    <row r="1908" hidden="1">
      <c r="A1908" s="202"/>
      <c r="B1908" s="203"/>
      <c r="C1908" s="203"/>
      <c r="D1908" s="209"/>
      <c r="E1908" s="248"/>
      <c r="F1908" s="249"/>
      <c r="G1908" s="39"/>
    </row>
    <row r="1909" hidden="1">
      <c r="A1909" s="202"/>
      <c r="B1909" s="203"/>
      <c r="C1909" s="203"/>
      <c r="D1909" s="209"/>
      <c r="E1909" s="248"/>
      <c r="F1909" s="249"/>
      <c r="G1909" s="39"/>
    </row>
    <row r="1910" hidden="1">
      <c r="A1910" s="202"/>
      <c r="B1910" s="203"/>
      <c r="C1910" s="203"/>
      <c r="D1910" s="209"/>
      <c r="E1910" s="248"/>
      <c r="F1910" s="249"/>
      <c r="G1910" s="39"/>
    </row>
    <row r="1911" hidden="1">
      <c r="A1911" s="202"/>
      <c r="B1911" s="203"/>
      <c r="C1911" s="203"/>
      <c r="D1911" s="209"/>
      <c r="E1911" s="248"/>
      <c r="F1911" s="249"/>
      <c r="G1911" s="39"/>
    </row>
    <row r="1912" hidden="1">
      <c r="A1912" s="202"/>
      <c r="B1912" s="203"/>
      <c r="C1912" s="203"/>
      <c r="D1912" s="209"/>
      <c r="E1912" s="248"/>
      <c r="F1912" s="249"/>
      <c r="G1912" s="39"/>
    </row>
    <row r="1913" hidden="1">
      <c r="A1913" s="202"/>
      <c r="B1913" s="203"/>
      <c r="C1913" s="203"/>
      <c r="D1913" s="209"/>
      <c r="E1913" s="248"/>
      <c r="F1913" s="249"/>
      <c r="G1913" s="39"/>
    </row>
    <row r="1914" hidden="1">
      <c r="A1914" s="202"/>
      <c r="B1914" s="203"/>
      <c r="C1914" s="203"/>
      <c r="D1914" s="209"/>
      <c r="E1914" s="248"/>
      <c r="F1914" s="249"/>
      <c r="G1914" s="39"/>
    </row>
    <row r="1915" hidden="1">
      <c r="A1915" s="202"/>
      <c r="B1915" s="203"/>
      <c r="C1915" s="203"/>
      <c r="D1915" s="209"/>
      <c r="E1915" s="248"/>
      <c r="F1915" s="249"/>
      <c r="G1915" s="39"/>
    </row>
    <row r="1916" hidden="1">
      <c r="A1916" s="202"/>
      <c r="B1916" s="203"/>
      <c r="C1916" s="203"/>
      <c r="D1916" s="209"/>
      <c r="E1916" s="248"/>
      <c r="F1916" s="249"/>
      <c r="G1916" s="39"/>
    </row>
    <row r="1917" hidden="1">
      <c r="A1917" s="202"/>
      <c r="B1917" s="203"/>
      <c r="C1917" s="203"/>
      <c r="D1917" s="209"/>
      <c r="E1917" s="248"/>
      <c r="F1917" s="249"/>
      <c r="G1917" s="39"/>
    </row>
    <row r="1918" hidden="1">
      <c r="A1918" s="202"/>
      <c r="B1918" s="203"/>
      <c r="C1918" s="203"/>
      <c r="D1918" s="209"/>
      <c r="E1918" s="248"/>
      <c r="F1918" s="249"/>
      <c r="G1918" s="39"/>
    </row>
    <row r="1919" hidden="1">
      <c r="A1919" s="202"/>
      <c r="B1919" s="203"/>
      <c r="C1919" s="203"/>
      <c r="D1919" s="209"/>
      <c r="E1919" s="248"/>
      <c r="F1919" s="249"/>
      <c r="G1919" s="39"/>
    </row>
    <row r="1920" hidden="1">
      <c r="A1920" s="202"/>
      <c r="B1920" s="203"/>
      <c r="C1920" s="203"/>
      <c r="D1920" s="209"/>
      <c r="E1920" s="248"/>
      <c r="F1920" s="249"/>
      <c r="G1920" s="39"/>
    </row>
    <row r="1921" hidden="1">
      <c r="A1921" s="202"/>
      <c r="B1921" s="203"/>
      <c r="C1921" s="203"/>
      <c r="D1921" s="209"/>
      <c r="E1921" s="248"/>
      <c r="F1921" s="249"/>
      <c r="G1921" s="39"/>
    </row>
    <row r="1922" hidden="1">
      <c r="A1922" s="202"/>
      <c r="B1922" s="203"/>
      <c r="C1922" s="203"/>
      <c r="D1922" s="209"/>
      <c r="E1922" s="248"/>
      <c r="F1922" s="249"/>
      <c r="G1922" s="39"/>
    </row>
    <row r="1923" hidden="1">
      <c r="A1923" s="202"/>
      <c r="B1923" s="203"/>
      <c r="C1923" s="203"/>
      <c r="D1923" s="209"/>
      <c r="E1923" s="248"/>
      <c r="F1923" s="249"/>
      <c r="G1923" s="39"/>
    </row>
    <row r="1924" hidden="1">
      <c r="A1924" s="202"/>
      <c r="B1924" s="203"/>
      <c r="C1924" s="203"/>
      <c r="D1924" s="209"/>
      <c r="E1924" s="248"/>
      <c r="F1924" s="249"/>
      <c r="G1924" s="39"/>
    </row>
    <row r="1925" hidden="1">
      <c r="A1925" s="202"/>
      <c r="B1925" s="203"/>
      <c r="C1925" s="203"/>
      <c r="D1925" s="209"/>
      <c r="E1925" s="248"/>
      <c r="F1925" s="249"/>
      <c r="G1925" s="39"/>
    </row>
    <row r="1926" hidden="1">
      <c r="A1926" s="202"/>
      <c r="B1926" s="203"/>
      <c r="C1926" s="203"/>
      <c r="D1926" s="209"/>
      <c r="E1926" s="248"/>
      <c r="F1926" s="249"/>
      <c r="G1926" s="39"/>
    </row>
    <row r="1927" hidden="1">
      <c r="A1927" s="202"/>
      <c r="B1927" s="203"/>
      <c r="C1927" s="203"/>
      <c r="D1927" s="209"/>
      <c r="E1927" s="248"/>
      <c r="F1927" s="249"/>
      <c r="G1927" s="39"/>
    </row>
    <row r="1928" hidden="1">
      <c r="A1928" s="202"/>
      <c r="B1928" s="203"/>
      <c r="C1928" s="203"/>
      <c r="D1928" s="209"/>
      <c r="E1928" s="248"/>
      <c r="F1928" s="249"/>
      <c r="G1928" s="39"/>
    </row>
    <row r="1929" hidden="1">
      <c r="A1929" s="202"/>
      <c r="B1929" s="203"/>
      <c r="C1929" s="203"/>
      <c r="D1929" s="209"/>
      <c r="E1929" s="248"/>
      <c r="F1929" s="249"/>
      <c r="G1929" s="39"/>
    </row>
    <row r="1930" hidden="1">
      <c r="A1930" s="202"/>
      <c r="B1930" s="203"/>
      <c r="C1930" s="203"/>
      <c r="D1930" s="209"/>
      <c r="E1930" s="248"/>
      <c r="F1930" s="249"/>
      <c r="G1930" s="39"/>
    </row>
    <row r="1931" hidden="1">
      <c r="A1931" s="202"/>
      <c r="B1931" s="203"/>
      <c r="C1931" s="203"/>
      <c r="D1931" s="209"/>
      <c r="E1931" s="248"/>
      <c r="F1931" s="249"/>
      <c r="G1931" s="39"/>
    </row>
    <row r="1932" hidden="1">
      <c r="A1932" s="202"/>
      <c r="B1932" s="203"/>
      <c r="C1932" s="203"/>
      <c r="D1932" s="209"/>
      <c r="E1932" s="248"/>
      <c r="F1932" s="249"/>
      <c r="G1932" s="39"/>
    </row>
    <row r="1933" hidden="1">
      <c r="A1933" s="202"/>
      <c r="B1933" s="203"/>
      <c r="C1933" s="203"/>
      <c r="D1933" s="209"/>
      <c r="E1933" s="248"/>
      <c r="F1933" s="249"/>
      <c r="G1933" s="39"/>
    </row>
    <row r="1934" hidden="1">
      <c r="A1934" s="202"/>
      <c r="B1934" s="203"/>
      <c r="C1934" s="203"/>
      <c r="D1934" s="209"/>
      <c r="E1934" s="248"/>
      <c r="F1934" s="249"/>
      <c r="G1934" s="39"/>
    </row>
    <row r="1935" hidden="1">
      <c r="A1935" s="202"/>
      <c r="B1935" s="203"/>
      <c r="C1935" s="203"/>
      <c r="D1935" s="209"/>
      <c r="E1935" s="248"/>
      <c r="F1935" s="249"/>
      <c r="G1935" s="39"/>
    </row>
    <row r="1936" hidden="1">
      <c r="A1936" s="202"/>
      <c r="B1936" s="203"/>
      <c r="C1936" s="203"/>
      <c r="D1936" s="209"/>
      <c r="E1936" s="248"/>
      <c r="F1936" s="249"/>
      <c r="G1936" s="39"/>
    </row>
    <row r="1937" hidden="1">
      <c r="A1937" s="202"/>
      <c r="B1937" s="203"/>
      <c r="C1937" s="203"/>
      <c r="D1937" s="209"/>
      <c r="E1937" s="248"/>
      <c r="F1937" s="249"/>
      <c r="G1937" s="39"/>
    </row>
    <row r="1938" hidden="1">
      <c r="A1938" s="202"/>
      <c r="B1938" s="203"/>
      <c r="C1938" s="203"/>
      <c r="D1938" s="209"/>
      <c r="E1938" s="248"/>
      <c r="F1938" s="249"/>
      <c r="G1938" s="39"/>
    </row>
    <row r="1939" hidden="1">
      <c r="A1939" s="202"/>
      <c r="B1939" s="203"/>
      <c r="C1939" s="203"/>
      <c r="D1939" s="209"/>
      <c r="E1939" s="248"/>
      <c r="F1939" s="249"/>
      <c r="G1939" s="39"/>
    </row>
    <row r="1940" hidden="1">
      <c r="A1940" s="202"/>
      <c r="B1940" s="203"/>
      <c r="C1940" s="203"/>
      <c r="D1940" s="209"/>
      <c r="E1940" s="248"/>
      <c r="F1940" s="249"/>
      <c r="G1940" s="39"/>
    </row>
    <row r="1941" hidden="1">
      <c r="A1941" s="202"/>
      <c r="B1941" s="203"/>
      <c r="C1941" s="203"/>
      <c r="D1941" s="209"/>
      <c r="E1941" s="248"/>
      <c r="F1941" s="249"/>
      <c r="G1941" s="39"/>
    </row>
    <row r="1942" hidden="1">
      <c r="A1942" s="202"/>
      <c r="B1942" s="203"/>
      <c r="C1942" s="203"/>
      <c r="D1942" s="209"/>
      <c r="E1942" s="248"/>
      <c r="F1942" s="249"/>
      <c r="G1942" s="39"/>
    </row>
    <row r="1943" hidden="1">
      <c r="A1943" s="202"/>
      <c r="B1943" s="203"/>
      <c r="C1943" s="203"/>
      <c r="D1943" s="209"/>
      <c r="E1943" s="248"/>
      <c r="F1943" s="249"/>
      <c r="G1943" s="39"/>
    </row>
    <row r="1944" hidden="1">
      <c r="A1944" s="202"/>
      <c r="B1944" s="203"/>
      <c r="C1944" s="203"/>
      <c r="D1944" s="209"/>
      <c r="E1944" s="248"/>
      <c r="F1944" s="249"/>
      <c r="G1944" s="39"/>
    </row>
    <row r="1945" hidden="1">
      <c r="A1945" s="202"/>
      <c r="B1945" s="203"/>
      <c r="C1945" s="203"/>
      <c r="D1945" s="209"/>
      <c r="E1945" s="248"/>
      <c r="F1945" s="249"/>
      <c r="G1945" s="39"/>
    </row>
    <row r="1946" hidden="1">
      <c r="A1946" s="202"/>
      <c r="B1946" s="203"/>
      <c r="C1946" s="203"/>
      <c r="D1946" s="209"/>
      <c r="E1946" s="248"/>
      <c r="F1946" s="249"/>
      <c r="G1946" s="39"/>
    </row>
    <row r="1947" hidden="1">
      <c r="A1947" s="202"/>
      <c r="B1947" s="203"/>
      <c r="C1947" s="203"/>
      <c r="D1947" s="209"/>
      <c r="E1947" s="248"/>
      <c r="F1947" s="249"/>
      <c r="G1947" s="39"/>
    </row>
    <row r="1948" hidden="1">
      <c r="A1948" s="202"/>
      <c r="B1948" s="203"/>
      <c r="C1948" s="203"/>
      <c r="D1948" s="209"/>
      <c r="E1948" s="248"/>
      <c r="F1948" s="249"/>
      <c r="G1948" s="39"/>
    </row>
    <row r="1949" hidden="1">
      <c r="A1949" s="202"/>
      <c r="B1949" s="203"/>
      <c r="C1949" s="203"/>
      <c r="D1949" s="209"/>
      <c r="E1949" s="248"/>
      <c r="F1949" s="249"/>
      <c r="G1949" s="39"/>
    </row>
    <row r="1950" hidden="1">
      <c r="A1950" s="202"/>
      <c r="B1950" s="203"/>
      <c r="C1950" s="203"/>
      <c r="D1950" s="209"/>
      <c r="E1950" s="248"/>
      <c r="F1950" s="249"/>
      <c r="G1950" s="39"/>
    </row>
    <row r="1951" hidden="1">
      <c r="A1951" s="202"/>
      <c r="B1951" s="203"/>
      <c r="C1951" s="203"/>
      <c r="D1951" s="209"/>
      <c r="E1951" s="248"/>
      <c r="F1951" s="249"/>
      <c r="G1951" s="39"/>
    </row>
    <row r="1952" hidden="1">
      <c r="A1952" s="202"/>
      <c r="B1952" s="203"/>
      <c r="C1952" s="203"/>
      <c r="D1952" s="209"/>
      <c r="E1952" s="248"/>
      <c r="F1952" s="249"/>
      <c r="G1952" s="39"/>
    </row>
    <row r="1953" hidden="1">
      <c r="A1953" s="202"/>
      <c r="B1953" s="203"/>
      <c r="C1953" s="203"/>
      <c r="D1953" s="209"/>
      <c r="E1953" s="248"/>
      <c r="F1953" s="249"/>
      <c r="G1953" s="39"/>
    </row>
    <row r="1954" hidden="1">
      <c r="A1954" s="202"/>
      <c r="B1954" s="203"/>
      <c r="C1954" s="203"/>
      <c r="D1954" s="209"/>
      <c r="E1954" s="248"/>
      <c r="F1954" s="249"/>
      <c r="G1954" s="39"/>
    </row>
    <row r="1955" hidden="1">
      <c r="A1955" s="202"/>
      <c r="B1955" s="203"/>
      <c r="C1955" s="203"/>
      <c r="D1955" s="209"/>
      <c r="E1955" s="248"/>
      <c r="F1955" s="249"/>
      <c r="G1955" s="39"/>
    </row>
    <row r="1956" hidden="1">
      <c r="A1956" s="202"/>
      <c r="B1956" s="203"/>
      <c r="C1956" s="203"/>
      <c r="D1956" s="209"/>
      <c r="E1956" s="248"/>
      <c r="F1956" s="249"/>
      <c r="G1956" s="39"/>
    </row>
    <row r="1957" hidden="1">
      <c r="A1957" s="202"/>
      <c r="B1957" s="203"/>
      <c r="C1957" s="203"/>
      <c r="D1957" s="209"/>
      <c r="E1957" s="248"/>
      <c r="F1957" s="249"/>
      <c r="G1957" s="39"/>
    </row>
    <row r="1958" hidden="1">
      <c r="A1958" s="202"/>
      <c r="B1958" s="203"/>
      <c r="C1958" s="203"/>
      <c r="D1958" s="209"/>
      <c r="E1958" s="248"/>
      <c r="F1958" s="249"/>
      <c r="G1958" s="39"/>
    </row>
    <row r="1959" hidden="1">
      <c r="A1959" s="202"/>
      <c r="B1959" s="203"/>
      <c r="C1959" s="203"/>
      <c r="D1959" s="209"/>
      <c r="E1959" s="248"/>
      <c r="F1959" s="249"/>
      <c r="G1959" s="39"/>
    </row>
    <row r="1960" hidden="1">
      <c r="A1960" s="202"/>
      <c r="B1960" s="203"/>
      <c r="C1960" s="203"/>
      <c r="D1960" s="209"/>
      <c r="E1960" s="248"/>
      <c r="F1960" s="249"/>
      <c r="G1960" s="39"/>
    </row>
    <row r="1961" hidden="1">
      <c r="A1961" s="202"/>
      <c r="B1961" s="203"/>
      <c r="C1961" s="203"/>
      <c r="D1961" s="209"/>
      <c r="E1961" s="248"/>
      <c r="F1961" s="249"/>
      <c r="G1961" s="39"/>
    </row>
    <row r="1962" hidden="1">
      <c r="A1962" s="202"/>
      <c r="B1962" s="203"/>
      <c r="C1962" s="203"/>
      <c r="D1962" s="209"/>
      <c r="E1962" s="248"/>
      <c r="F1962" s="249"/>
      <c r="G1962" s="39"/>
    </row>
    <row r="1963" hidden="1">
      <c r="A1963" s="202"/>
      <c r="B1963" s="203"/>
      <c r="C1963" s="203"/>
      <c r="D1963" s="209"/>
      <c r="E1963" s="248"/>
      <c r="F1963" s="249"/>
      <c r="G1963" s="39"/>
    </row>
    <row r="1964" hidden="1">
      <c r="A1964" s="202"/>
      <c r="B1964" s="203"/>
      <c r="C1964" s="203"/>
      <c r="D1964" s="209"/>
      <c r="E1964" s="248"/>
      <c r="F1964" s="249"/>
      <c r="G1964" s="39"/>
    </row>
    <row r="1965" hidden="1">
      <c r="A1965" s="202"/>
      <c r="B1965" s="203"/>
      <c r="C1965" s="203"/>
      <c r="D1965" s="209"/>
      <c r="E1965" s="248"/>
      <c r="F1965" s="249"/>
      <c r="G1965" s="39"/>
    </row>
    <row r="1966" hidden="1">
      <c r="A1966" s="202"/>
      <c r="B1966" s="203"/>
      <c r="C1966" s="203"/>
      <c r="D1966" s="209"/>
      <c r="E1966" s="248"/>
      <c r="F1966" s="249"/>
      <c r="G1966" s="39"/>
    </row>
    <row r="1967" hidden="1">
      <c r="A1967" s="202"/>
      <c r="B1967" s="203"/>
      <c r="C1967" s="203"/>
      <c r="D1967" s="209"/>
      <c r="E1967" s="248"/>
      <c r="F1967" s="249"/>
      <c r="G1967" s="39"/>
    </row>
    <row r="1968" hidden="1">
      <c r="A1968" s="202"/>
      <c r="B1968" s="203"/>
      <c r="C1968" s="203"/>
      <c r="D1968" s="209"/>
      <c r="E1968" s="248"/>
      <c r="F1968" s="249"/>
      <c r="G1968" s="39"/>
    </row>
    <row r="1969" hidden="1">
      <c r="A1969" s="202"/>
      <c r="B1969" s="203"/>
      <c r="C1969" s="203"/>
      <c r="D1969" s="209"/>
      <c r="E1969" s="248"/>
      <c r="F1969" s="249"/>
      <c r="G1969" s="39"/>
    </row>
    <row r="1970" hidden="1">
      <c r="A1970" s="202"/>
      <c r="B1970" s="203"/>
      <c r="C1970" s="203"/>
      <c r="D1970" s="209"/>
      <c r="E1970" s="248"/>
      <c r="F1970" s="249"/>
      <c r="G1970" s="39"/>
    </row>
    <row r="1971" hidden="1">
      <c r="A1971" s="202"/>
      <c r="B1971" s="203"/>
      <c r="C1971" s="203"/>
      <c r="D1971" s="209"/>
      <c r="E1971" s="248"/>
      <c r="F1971" s="249"/>
      <c r="G1971" s="39"/>
    </row>
    <row r="1972" hidden="1">
      <c r="A1972" s="202"/>
      <c r="B1972" s="203"/>
      <c r="C1972" s="203"/>
      <c r="D1972" s="209"/>
      <c r="E1972" s="248"/>
      <c r="F1972" s="249"/>
      <c r="G1972" s="39"/>
    </row>
    <row r="1973" hidden="1">
      <c r="A1973" s="202"/>
      <c r="B1973" s="203"/>
      <c r="C1973" s="203"/>
      <c r="D1973" s="209"/>
      <c r="E1973" s="248"/>
      <c r="F1973" s="249"/>
      <c r="G1973" s="39"/>
    </row>
    <row r="1974" hidden="1">
      <c r="A1974" s="202"/>
      <c r="B1974" s="203"/>
      <c r="C1974" s="203"/>
      <c r="D1974" s="209"/>
      <c r="E1974" s="248"/>
      <c r="F1974" s="249"/>
      <c r="G1974" s="39"/>
    </row>
    <row r="1975" hidden="1">
      <c r="A1975" s="202"/>
      <c r="B1975" s="203"/>
      <c r="C1975" s="203"/>
      <c r="D1975" s="209"/>
      <c r="E1975" s="248"/>
      <c r="F1975" s="249"/>
      <c r="G1975" s="39"/>
    </row>
    <row r="1976" hidden="1">
      <c r="A1976" s="202"/>
      <c r="B1976" s="203"/>
      <c r="C1976" s="203"/>
      <c r="D1976" s="209"/>
      <c r="E1976" s="248"/>
      <c r="F1976" s="249"/>
      <c r="G1976" s="39"/>
    </row>
    <row r="1977" hidden="1">
      <c r="A1977" s="202"/>
      <c r="B1977" s="203"/>
      <c r="C1977" s="203"/>
      <c r="D1977" s="209"/>
      <c r="E1977" s="248"/>
      <c r="F1977" s="249"/>
      <c r="G1977" s="39"/>
    </row>
    <row r="1978" hidden="1">
      <c r="A1978" s="202"/>
      <c r="B1978" s="203"/>
      <c r="C1978" s="203"/>
      <c r="D1978" s="209"/>
      <c r="E1978" s="248"/>
      <c r="F1978" s="249"/>
      <c r="G1978" s="39"/>
    </row>
    <row r="1979" hidden="1">
      <c r="A1979" s="202"/>
      <c r="B1979" s="203"/>
      <c r="C1979" s="203"/>
      <c r="D1979" s="209"/>
      <c r="E1979" s="248"/>
      <c r="F1979" s="249"/>
      <c r="G1979" s="39"/>
    </row>
    <row r="1980" hidden="1">
      <c r="A1980" s="202"/>
      <c r="B1980" s="203"/>
      <c r="C1980" s="203"/>
      <c r="D1980" s="209"/>
      <c r="E1980" s="248"/>
      <c r="F1980" s="249"/>
      <c r="G1980" s="39"/>
    </row>
    <row r="1981" hidden="1">
      <c r="A1981" s="202"/>
      <c r="B1981" s="203"/>
      <c r="C1981" s="203"/>
      <c r="D1981" s="209"/>
      <c r="E1981" s="248"/>
      <c r="F1981" s="249"/>
      <c r="G1981" s="39"/>
    </row>
    <row r="1982" hidden="1">
      <c r="A1982" s="202"/>
      <c r="B1982" s="203"/>
      <c r="C1982" s="203"/>
      <c r="D1982" s="209"/>
      <c r="E1982" s="248"/>
      <c r="F1982" s="249"/>
      <c r="G1982" s="39"/>
    </row>
    <row r="1983" hidden="1">
      <c r="A1983" s="202"/>
      <c r="B1983" s="203"/>
      <c r="C1983" s="203"/>
      <c r="D1983" s="209"/>
      <c r="E1983" s="248"/>
      <c r="F1983" s="249"/>
      <c r="G1983" s="39"/>
    </row>
    <row r="1984" hidden="1">
      <c r="A1984" s="202"/>
      <c r="B1984" s="203"/>
      <c r="C1984" s="203"/>
      <c r="D1984" s="209"/>
      <c r="E1984" s="248"/>
      <c r="F1984" s="249"/>
      <c r="G1984" s="39"/>
    </row>
    <row r="1985" hidden="1">
      <c r="A1985" s="202"/>
      <c r="B1985" s="203"/>
      <c r="C1985" s="203"/>
      <c r="D1985" s="209"/>
      <c r="E1985" s="248"/>
      <c r="F1985" s="249"/>
      <c r="G1985" s="39"/>
    </row>
    <row r="1986" hidden="1">
      <c r="A1986" s="202"/>
      <c r="B1986" s="203"/>
      <c r="C1986" s="203"/>
      <c r="D1986" s="209"/>
      <c r="E1986" s="248"/>
      <c r="F1986" s="249"/>
      <c r="G1986" s="39"/>
    </row>
    <row r="1987" hidden="1">
      <c r="A1987" s="202"/>
      <c r="B1987" s="203"/>
      <c r="C1987" s="203"/>
      <c r="D1987" s="209"/>
      <c r="E1987" s="248"/>
      <c r="F1987" s="249"/>
      <c r="G1987" s="39"/>
    </row>
    <row r="1988" hidden="1">
      <c r="A1988" s="202"/>
      <c r="B1988" s="203"/>
      <c r="C1988" s="203"/>
      <c r="D1988" s="209"/>
      <c r="E1988" s="248"/>
      <c r="F1988" s="249"/>
      <c r="G1988" s="39"/>
    </row>
    <row r="1989" hidden="1">
      <c r="A1989" s="202"/>
      <c r="B1989" s="203"/>
      <c r="C1989" s="203"/>
      <c r="D1989" s="209"/>
      <c r="E1989" s="248"/>
      <c r="F1989" s="249"/>
      <c r="G1989" s="39"/>
    </row>
    <row r="1990" hidden="1">
      <c r="A1990" s="202"/>
      <c r="B1990" s="203"/>
      <c r="C1990" s="203"/>
      <c r="D1990" s="209"/>
      <c r="E1990" s="248"/>
      <c r="F1990" s="249"/>
      <c r="G1990" s="39"/>
    </row>
    <row r="1991" hidden="1">
      <c r="A1991" s="202"/>
      <c r="B1991" s="203"/>
      <c r="C1991" s="203"/>
      <c r="D1991" s="209"/>
      <c r="E1991" s="248"/>
      <c r="F1991" s="249"/>
      <c r="G1991" s="39"/>
    </row>
    <row r="1992" hidden="1">
      <c r="A1992" s="202"/>
      <c r="B1992" s="203"/>
      <c r="C1992" s="203"/>
      <c r="D1992" s="209"/>
      <c r="E1992" s="248"/>
      <c r="F1992" s="249"/>
      <c r="G1992" s="39"/>
    </row>
    <row r="1993" hidden="1">
      <c r="A1993" s="202"/>
      <c r="B1993" s="203"/>
      <c r="C1993" s="203"/>
      <c r="D1993" s="209"/>
      <c r="E1993" s="248"/>
      <c r="F1993" s="249"/>
      <c r="G1993" s="39"/>
    </row>
    <row r="1994" hidden="1">
      <c r="A1994" s="202"/>
      <c r="B1994" s="203"/>
      <c r="C1994" s="203"/>
      <c r="D1994" s="209"/>
      <c r="E1994" s="248"/>
      <c r="F1994" s="249"/>
      <c r="G1994" s="39"/>
    </row>
    <row r="1995" hidden="1">
      <c r="A1995" s="202"/>
      <c r="B1995" s="203"/>
      <c r="C1995" s="203"/>
      <c r="D1995" s="209"/>
      <c r="E1995" s="248"/>
      <c r="F1995" s="249"/>
      <c r="G1995" s="39"/>
    </row>
    <row r="1996" hidden="1">
      <c r="A1996" s="202"/>
      <c r="B1996" s="203"/>
      <c r="C1996" s="203"/>
      <c r="D1996" s="209"/>
      <c r="E1996" s="248"/>
      <c r="F1996" s="249"/>
      <c r="G1996" s="39"/>
    </row>
    <row r="1997" hidden="1">
      <c r="A1997" s="202"/>
      <c r="B1997" s="203"/>
      <c r="C1997" s="203"/>
      <c r="D1997" s="209"/>
      <c r="E1997" s="248"/>
      <c r="F1997" s="249"/>
      <c r="G1997" s="39"/>
    </row>
    <row r="1998" hidden="1">
      <c r="A1998" s="202"/>
      <c r="B1998" s="203"/>
      <c r="C1998" s="203"/>
      <c r="D1998" s="209"/>
      <c r="E1998" s="248"/>
      <c r="F1998" s="249"/>
      <c r="G1998" s="39"/>
    </row>
    <row r="1999" hidden="1">
      <c r="A1999" s="202"/>
      <c r="B1999" s="203"/>
      <c r="C1999" s="203"/>
      <c r="D1999" s="209"/>
      <c r="E1999" s="248"/>
      <c r="F1999" s="249"/>
      <c r="G1999" s="39"/>
    </row>
    <row r="2000" hidden="1">
      <c r="A2000" s="202"/>
      <c r="B2000" s="203"/>
      <c r="C2000" s="203"/>
      <c r="D2000" s="209"/>
      <c r="E2000" s="248"/>
      <c r="F2000" s="249"/>
      <c r="G2000" s="39"/>
    </row>
    <row r="2001" hidden="1">
      <c r="A2001" s="202"/>
      <c r="B2001" s="203"/>
      <c r="C2001" s="203"/>
      <c r="D2001" s="209"/>
      <c r="E2001" s="248"/>
      <c r="F2001" s="249"/>
      <c r="G2001" s="39"/>
    </row>
    <row r="2002" hidden="1">
      <c r="A2002" s="202"/>
      <c r="B2002" s="203"/>
      <c r="C2002" s="203"/>
      <c r="D2002" s="209"/>
      <c r="E2002" s="248"/>
      <c r="F2002" s="249"/>
      <c r="G2002" s="39"/>
    </row>
    <row r="2003" hidden="1">
      <c r="A2003" s="202"/>
      <c r="B2003" s="203"/>
      <c r="C2003" s="203"/>
      <c r="D2003" s="209"/>
      <c r="E2003" s="248"/>
      <c r="F2003" s="249"/>
      <c r="G2003" s="39"/>
    </row>
    <row r="2004" hidden="1">
      <c r="A2004" s="202"/>
      <c r="B2004" s="203"/>
      <c r="C2004" s="203"/>
      <c r="D2004" s="209"/>
      <c r="E2004" s="248"/>
      <c r="F2004" s="249"/>
      <c r="G2004" s="39"/>
    </row>
    <row r="2005" hidden="1">
      <c r="A2005" s="202"/>
      <c r="B2005" s="203"/>
      <c r="C2005" s="203"/>
      <c r="D2005" s="209"/>
      <c r="E2005" s="248"/>
      <c r="F2005" s="249"/>
      <c r="G2005" s="39"/>
    </row>
    <row r="2006" hidden="1">
      <c r="A2006" s="202"/>
      <c r="B2006" s="203"/>
      <c r="C2006" s="203"/>
      <c r="D2006" s="209"/>
      <c r="E2006" s="248"/>
      <c r="F2006" s="249"/>
      <c r="G2006" s="39"/>
    </row>
    <row r="2007" hidden="1">
      <c r="A2007" s="202"/>
      <c r="B2007" s="203"/>
      <c r="C2007" s="203"/>
      <c r="D2007" s="209"/>
      <c r="E2007" s="248"/>
      <c r="F2007" s="249"/>
      <c r="G2007" s="39"/>
    </row>
    <row r="2008" hidden="1">
      <c r="A2008" s="202"/>
      <c r="B2008" s="203"/>
      <c r="C2008" s="203"/>
      <c r="D2008" s="209"/>
      <c r="E2008" s="248"/>
      <c r="F2008" s="249"/>
      <c r="G2008" s="39"/>
    </row>
    <row r="2009" hidden="1">
      <c r="A2009" s="202"/>
      <c r="B2009" s="203"/>
      <c r="C2009" s="203"/>
      <c r="D2009" s="209"/>
      <c r="E2009" s="248"/>
      <c r="F2009" s="249"/>
      <c r="G2009" s="39"/>
    </row>
    <row r="2010" hidden="1">
      <c r="A2010" s="202"/>
      <c r="B2010" s="203"/>
      <c r="C2010" s="203"/>
      <c r="D2010" s="209"/>
      <c r="E2010" s="248"/>
      <c r="F2010" s="249"/>
      <c r="G2010" s="39"/>
    </row>
    <row r="2011" hidden="1">
      <c r="A2011" s="202"/>
      <c r="B2011" s="203"/>
      <c r="C2011" s="203"/>
      <c r="D2011" s="209"/>
      <c r="E2011" s="248"/>
      <c r="F2011" s="249"/>
      <c r="G2011" s="39"/>
    </row>
    <row r="2012" hidden="1">
      <c r="A2012" s="202"/>
      <c r="B2012" s="203"/>
      <c r="C2012" s="203"/>
      <c r="D2012" s="209"/>
      <c r="E2012" s="248"/>
      <c r="F2012" s="249"/>
      <c r="G2012" s="39"/>
    </row>
    <row r="2013" hidden="1">
      <c r="A2013" s="202"/>
      <c r="B2013" s="203"/>
      <c r="C2013" s="203"/>
      <c r="D2013" s="209"/>
      <c r="E2013" s="248"/>
      <c r="F2013" s="249"/>
      <c r="G2013" s="39"/>
    </row>
    <row r="2014" hidden="1">
      <c r="A2014" s="202"/>
      <c r="B2014" s="203"/>
      <c r="C2014" s="203"/>
      <c r="D2014" s="209"/>
      <c r="E2014" s="248"/>
      <c r="F2014" s="249"/>
      <c r="G2014" s="39"/>
    </row>
    <row r="2015" hidden="1">
      <c r="A2015" s="202"/>
      <c r="B2015" s="203"/>
      <c r="C2015" s="203"/>
      <c r="D2015" s="209"/>
      <c r="E2015" s="248"/>
      <c r="F2015" s="249"/>
      <c r="G2015" s="39"/>
    </row>
    <row r="2016" hidden="1">
      <c r="A2016" s="202"/>
      <c r="B2016" s="203"/>
      <c r="C2016" s="203"/>
      <c r="D2016" s="209"/>
      <c r="E2016" s="248"/>
      <c r="F2016" s="249"/>
      <c r="G2016" s="39"/>
    </row>
    <row r="2017" hidden="1">
      <c r="A2017" s="202"/>
      <c r="B2017" s="203"/>
      <c r="C2017" s="203"/>
      <c r="D2017" s="209"/>
      <c r="E2017" s="248"/>
      <c r="F2017" s="249"/>
      <c r="G2017" s="39"/>
    </row>
    <row r="2018" hidden="1">
      <c r="A2018" s="202"/>
      <c r="B2018" s="203"/>
      <c r="C2018" s="203"/>
      <c r="D2018" s="209"/>
      <c r="E2018" s="248"/>
      <c r="F2018" s="249"/>
      <c r="G2018" s="39"/>
    </row>
    <row r="2019" hidden="1">
      <c r="A2019" s="202"/>
      <c r="B2019" s="203"/>
      <c r="C2019" s="203"/>
      <c r="D2019" s="209"/>
      <c r="E2019" s="248"/>
      <c r="F2019" s="249"/>
      <c r="G2019" s="39"/>
    </row>
    <row r="2020" hidden="1">
      <c r="A2020" s="202"/>
      <c r="B2020" s="203"/>
      <c r="C2020" s="203"/>
      <c r="D2020" s="209"/>
      <c r="E2020" s="248"/>
      <c r="F2020" s="249"/>
      <c r="G2020" s="39"/>
    </row>
    <row r="2021" hidden="1">
      <c r="A2021" s="202"/>
      <c r="B2021" s="203"/>
      <c r="C2021" s="203"/>
      <c r="D2021" s="209"/>
      <c r="E2021" s="248"/>
      <c r="F2021" s="249"/>
      <c r="G2021" s="39"/>
    </row>
    <row r="2022" hidden="1">
      <c r="A2022" s="202"/>
      <c r="B2022" s="203"/>
      <c r="C2022" s="203"/>
      <c r="D2022" s="209"/>
      <c r="E2022" s="248"/>
      <c r="F2022" s="249"/>
      <c r="G2022" s="39"/>
    </row>
    <row r="2023" hidden="1">
      <c r="A2023" s="202"/>
      <c r="B2023" s="203"/>
      <c r="C2023" s="203"/>
      <c r="D2023" s="209"/>
      <c r="E2023" s="248"/>
      <c r="F2023" s="249"/>
      <c r="G2023" s="39"/>
    </row>
    <row r="2024" hidden="1">
      <c r="A2024" s="202"/>
      <c r="B2024" s="203"/>
      <c r="C2024" s="203"/>
      <c r="D2024" s="209"/>
      <c r="E2024" s="248"/>
      <c r="F2024" s="249"/>
      <c r="G2024" s="39"/>
    </row>
    <row r="2025" hidden="1">
      <c r="A2025" s="202"/>
      <c r="B2025" s="203"/>
      <c r="C2025" s="203"/>
      <c r="D2025" s="209"/>
      <c r="E2025" s="248"/>
      <c r="F2025" s="249"/>
      <c r="G2025" s="39"/>
    </row>
    <row r="2026" hidden="1">
      <c r="A2026" s="202"/>
      <c r="B2026" s="203"/>
      <c r="C2026" s="203"/>
      <c r="D2026" s="209"/>
      <c r="E2026" s="248"/>
      <c r="F2026" s="249"/>
      <c r="G2026" s="39"/>
    </row>
    <row r="2027" hidden="1">
      <c r="A2027" s="202"/>
      <c r="B2027" s="203"/>
      <c r="C2027" s="203"/>
      <c r="D2027" s="209"/>
      <c r="E2027" s="248"/>
      <c r="F2027" s="249"/>
      <c r="G2027" s="39"/>
    </row>
    <row r="2028" hidden="1">
      <c r="A2028" s="202"/>
      <c r="B2028" s="203"/>
      <c r="C2028" s="203"/>
      <c r="D2028" s="209"/>
      <c r="E2028" s="248"/>
      <c r="F2028" s="249"/>
      <c r="G2028" s="39"/>
    </row>
    <row r="2029" hidden="1">
      <c r="A2029" s="202"/>
      <c r="B2029" s="203"/>
      <c r="C2029" s="203"/>
      <c r="D2029" s="209"/>
      <c r="E2029" s="248"/>
      <c r="F2029" s="249"/>
      <c r="G2029" s="39"/>
    </row>
    <row r="2030" hidden="1">
      <c r="A2030" s="202"/>
      <c r="B2030" s="203"/>
      <c r="C2030" s="203"/>
      <c r="D2030" s="209"/>
      <c r="E2030" s="248"/>
      <c r="F2030" s="249"/>
      <c r="G2030" s="39"/>
    </row>
    <row r="2031" hidden="1">
      <c r="A2031" s="202"/>
      <c r="B2031" s="203"/>
      <c r="C2031" s="203"/>
      <c r="D2031" s="209"/>
      <c r="E2031" s="248"/>
      <c r="F2031" s="249"/>
      <c r="G2031" s="39"/>
    </row>
    <row r="2032" hidden="1">
      <c r="A2032" s="202"/>
      <c r="B2032" s="203"/>
      <c r="C2032" s="203"/>
      <c r="D2032" s="209"/>
      <c r="E2032" s="248"/>
      <c r="F2032" s="249"/>
      <c r="G2032" s="39"/>
    </row>
    <row r="2033" hidden="1">
      <c r="A2033" s="202"/>
      <c r="B2033" s="203"/>
      <c r="C2033" s="203"/>
      <c r="D2033" s="209"/>
      <c r="E2033" s="248"/>
      <c r="F2033" s="249"/>
      <c r="G2033" s="39"/>
    </row>
    <row r="2034" hidden="1">
      <c r="A2034" s="202"/>
      <c r="B2034" s="203"/>
      <c r="C2034" s="203"/>
      <c r="D2034" s="209"/>
      <c r="E2034" s="248"/>
      <c r="F2034" s="249"/>
      <c r="G2034" s="39"/>
    </row>
    <row r="2035" hidden="1">
      <c r="A2035" s="202"/>
      <c r="B2035" s="203"/>
      <c r="C2035" s="203"/>
      <c r="D2035" s="209"/>
      <c r="E2035" s="248"/>
      <c r="F2035" s="249"/>
      <c r="G2035" s="39"/>
    </row>
    <row r="2036" hidden="1">
      <c r="A2036" s="202"/>
      <c r="B2036" s="203"/>
      <c r="C2036" s="203"/>
      <c r="D2036" s="209"/>
      <c r="E2036" s="248"/>
      <c r="F2036" s="249"/>
      <c r="G2036" s="39"/>
    </row>
    <row r="2037" hidden="1">
      <c r="A2037" s="202"/>
      <c r="B2037" s="203"/>
      <c r="C2037" s="203"/>
      <c r="D2037" s="209"/>
      <c r="E2037" s="248"/>
      <c r="F2037" s="249"/>
      <c r="G2037" s="39"/>
    </row>
    <row r="2038" hidden="1">
      <c r="A2038" s="202"/>
      <c r="B2038" s="203"/>
      <c r="C2038" s="203"/>
      <c r="D2038" s="209"/>
      <c r="E2038" s="248"/>
      <c r="F2038" s="249"/>
      <c r="G2038" s="39"/>
    </row>
    <row r="2039" hidden="1">
      <c r="A2039" s="202"/>
      <c r="B2039" s="203"/>
      <c r="C2039" s="203"/>
      <c r="D2039" s="209"/>
      <c r="E2039" s="248"/>
      <c r="F2039" s="249"/>
      <c r="G2039" s="39"/>
    </row>
    <row r="2040" hidden="1">
      <c r="A2040" s="202"/>
      <c r="B2040" s="203"/>
      <c r="C2040" s="203"/>
      <c r="D2040" s="209"/>
      <c r="E2040" s="248"/>
      <c r="F2040" s="249"/>
      <c r="G2040" s="39"/>
    </row>
    <row r="2041" hidden="1">
      <c r="A2041" s="202"/>
      <c r="B2041" s="203"/>
      <c r="C2041" s="203"/>
      <c r="D2041" s="209"/>
      <c r="E2041" s="248"/>
      <c r="F2041" s="249"/>
      <c r="G2041" s="39"/>
    </row>
    <row r="2042" hidden="1">
      <c r="A2042" s="202"/>
      <c r="B2042" s="203"/>
      <c r="C2042" s="203"/>
      <c r="D2042" s="209"/>
      <c r="E2042" s="248"/>
      <c r="F2042" s="249"/>
      <c r="G2042" s="39"/>
    </row>
    <row r="2043" hidden="1">
      <c r="A2043" s="202"/>
      <c r="B2043" s="203"/>
      <c r="C2043" s="203"/>
      <c r="D2043" s="209"/>
      <c r="E2043" s="248"/>
      <c r="F2043" s="249"/>
      <c r="G2043" s="39"/>
    </row>
    <row r="2044" hidden="1">
      <c r="A2044" s="202"/>
      <c r="B2044" s="203"/>
      <c r="C2044" s="203"/>
      <c r="D2044" s="209"/>
      <c r="E2044" s="248"/>
      <c r="F2044" s="249"/>
      <c r="G2044" s="39"/>
    </row>
    <row r="2045" hidden="1">
      <c r="A2045" s="202"/>
      <c r="B2045" s="203"/>
      <c r="C2045" s="203"/>
      <c r="D2045" s="209"/>
      <c r="E2045" s="248"/>
      <c r="F2045" s="249"/>
      <c r="G2045" s="39"/>
    </row>
    <row r="2046" hidden="1">
      <c r="A2046" s="202"/>
      <c r="B2046" s="203"/>
      <c r="C2046" s="203"/>
      <c r="D2046" s="209"/>
      <c r="E2046" s="248"/>
      <c r="F2046" s="249"/>
      <c r="G2046" s="39"/>
    </row>
    <row r="2047" hidden="1">
      <c r="A2047" s="202"/>
      <c r="B2047" s="203"/>
      <c r="C2047" s="203"/>
      <c r="D2047" s="209"/>
      <c r="E2047" s="248"/>
      <c r="F2047" s="249"/>
      <c r="G2047" s="39"/>
    </row>
    <row r="2048" hidden="1">
      <c r="A2048" s="202"/>
      <c r="B2048" s="203"/>
      <c r="C2048" s="203"/>
      <c r="D2048" s="209"/>
      <c r="E2048" s="248"/>
      <c r="F2048" s="249"/>
      <c r="G2048" s="39"/>
    </row>
    <row r="2049" hidden="1">
      <c r="A2049" s="202"/>
      <c r="B2049" s="203"/>
      <c r="C2049" s="203"/>
      <c r="D2049" s="209"/>
      <c r="E2049" s="248"/>
      <c r="F2049" s="249"/>
      <c r="G2049" s="39"/>
    </row>
    <row r="2050" hidden="1">
      <c r="A2050" s="202"/>
      <c r="B2050" s="203"/>
      <c r="C2050" s="203"/>
      <c r="D2050" s="209"/>
      <c r="E2050" s="248"/>
      <c r="F2050" s="249"/>
      <c r="G2050" s="39"/>
    </row>
    <row r="2051" hidden="1">
      <c r="A2051" s="202"/>
      <c r="B2051" s="203"/>
      <c r="C2051" s="203"/>
      <c r="D2051" s="209"/>
      <c r="E2051" s="248"/>
      <c r="F2051" s="249"/>
      <c r="G2051" s="39"/>
    </row>
    <row r="2052" hidden="1">
      <c r="A2052" s="202"/>
      <c r="B2052" s="203"/>
      <c r="C2052" s="203"/>
      <c r="D2052" s="209"/>
      <c r="E2052" s="248"/>
      <c r="F2052" s="249"/>
      <c r="G2052" s="39"/>
    </row>
    <row r="2053" hidden="1">
      <c r="A2053" s="202"/>
      <c r="B2053" s="203"/>
      <c r="C2053" s="203"/>
      <c r="D2053" s="209"/>
      <c r="E2053" s="248"/>
      <c r="F2053" s="249"/>
      <c r="G2053" s="39"/>
    </row>
    <row r="2054" hidden="1">
      <c r="A2054" s="202"/>
      <c r="B2054" s="203"/>
      <c r="C2054" s="203"/>
      <c r="D2054" s="209"/>
      <c r="E2054" s="248"/>
      <c r="F2054" s="249"/>
      <c r="G2054" s="39"/>
    </row>
    <row r="2055" hidden="1">
      <c r="A2055" s="202"/>
      <c r="B2055" s="203"/>
      <c r="C2055" s="203"/>
      <c r="D2055" s="209"/>
      <c r="E2055" s="248"/>
      <c r="F2055" s="249"/>
      <c r="G2055" s="39"/>
    </row>
    <row r="2056" hidden="1">
      <c r="A2056" s="202"/>
      <c r="B2056" s="203"/>
      <c r="C2056" s="203"/>
      <c r="D2056" s="209"/>
      <c r="E2056" s="248"/>
      <c r="F2056" s="249"/>
      <c r="G2056" s="39"/>
    </row>
    <row r="2057" hidden="1">
      <c r="A2057" s="202"/>
      <c r="B2057" s="203"/>
      <c r="C2057" s="203"/>
      <c r="D2057" s="209"/>
      <c r="E2057" s="248"/>
      <c r="F2057" s="249"/>
      <c r="G2057" s="39"/>
    </row>
    <row r="2058" hidden="1">
      <c r="A2058" s="202"/>
      <c r="B2058" s="203"/>
      <c r="C2058" s="203"/>
      <c r="D2058" s="209"/>
      <c r="E2058" s="248"/>
      <c r="F2058" s="249"/>
      <c r="G2058" s="39"/>
    </row>
    <row r="2059" hidden="1">
      <c r="A2059" s="202"/>
      <c r="B2059" s="203"/>
      <c r="C2059" s="203"/>
      <c r="D2059" s="209"/>
      <c r="E2059" s="248"/>
      <c r="F2059" s="249"/>
      <c r="G2059" s="39"/>
    </row>
    <row r="2060" hidden="1">
      <c r="A2060" s="202"/>
      <c r="B2060" s="203"/>
      <c r="C2060" s="203"/>
      <c r="D2060" s="209"/>
      <c r="E2060" s="248"/>
      <c r="F2060" s="249"/>
      <c r="G2060" s="39"/>
    </row>
    <row r="2061" hidden="1">
      <c r="A2061" s="202"/>
      <c r="B2061" s="203"/>
      <c r="C2061" s="203"/>
      <c r="D2061" s="209"/>
      <c r="E2061" s="248"/>
      <c r="F2061" s="249"/>
      <c r="G2061" s="39"/>
    </row>
    <row r="2062" hidden="1">
      <c r="A2062" s="202"/>
      <c r="B2062" s="203"/>
      <c r="C2062" s="203"/>
      <c r="D2062" s="209"/>
      <c r="E2062" s="248"/>
      <c r="F2062" s="249"/>
      <c r="G2062" s="39"/>
    </row>
    <row r="2063" hidden="1">
      <c r="A2063" s="202"/>
      <c r="B2063" s="203"/>
      <c r="C2063" s="203"/>
      <c r="D2063" s="209"/>
      <c r="E2063" s="248"/>
      <c r="F2063" s="249"/>
      <c r="G2063" s="39"/>
    </row>
    <row r="2064" hidden="1">
      <c r="A2064" s="202"/>
      <c r="B2064" s="203"/>
      <c r="C2064" s="203"/>
      <c r="D2064" s="209"/>
      <c r="E2064" s="248"/>
      <c r="F2064" s="249"/>
      <c r="G2064" s="39"/>
    </row>
    <row r="2065" hidden="1">
      <c r="A2065" s="202"/>
      <c r="B2065" s="203"/>
      <c r="C2065" s="203"/>
      <c r="D2065" s="209"/>
      <c r="E2065" s="248"/>
      <c r="F2065" s="249"/>
      <c r="G2065" s="39"/>
    </row>
    <row r="2066" hidden="1">
      <c r="A2066" s="202"/>
      <c r="B2066" s="203"/>
      <c r="C2066" s="203"/>
      <c r="D2066" s="209"/>
      <c r="E2066" s="248"/>
      <c r="F2066" s="249"/>
      <c r="G2066" s="39"/>
    </row>
    <row r="2067" hidden="1">
      <c r="A2067" s="202"/>
      <c r="B2067" s="203"/>
      <c r="C2067" s="203"/>
      <c r="D2067" s="209"/>
      <c r="E2067" s="248"/>
      <c r="F2067" s="249"/>
      <c r="G2067" s="39"/>
    </row>
    <row r="2068" hidden="1">
      <c r="A2068" s="202"/>
      <c r="B2068" s="203"/>
      <c r="C2068" s="203"/>
      <c r="D2068" s="209"/>
      <c r="E2068" s="248"/>
      <c r="F2068" s="249"/>
      <c r="G2068" s="39"/>
    </row>
    <row r="2069" hidden="1">
      <c r="A2069" s="202"/>
      <c r="B2069" s="203"/>
      <c r="C2069" s="203"/>
      <c r="D2069" s="209"/>
      <c r="E2069" s="248"/>
      <c r="F2069" s="249"/>
      <c r="G2069" s="39"/>
    </row>
    <row r="2070" hidden="1">
      <c r="A2070" s="202"/>
      <c r="B2070" s="203"/>
      <c r="C2070" s="203"/>
      <c r="D2070" s="209"/>
      <c r="E2070" s="248"/>
      <c r="F2070" s="249"/>
      <c r="G2070" s="39"/>
    </row>
    <row r="2071" hidden="1">
      <c r="A2071" s="202"/>
      <c r="B2071" s="203"/>
      <c r="C2071" s="203"/>
      <c r="D2071" s="209"/>
      <c r="E2071" s="248"/>
      <c r="F2071" s="249"/>
      <c r="G2071" s="39"/>
    </row>
    <row r="2072" hidden="1">
      <c r="A2072" s="202"/>
      <c r="B2072" s="203"/>
      <c r="C2072" s="203"/>
      <c r="D2072" s="209"/>
      <c r="E2072" s="248"/>
      <c r="F2072" s="249"/>
      <c r="G2072" s="39"/>
    </row>
    <row r="2073" hidden="1">
      <c r="A2073" s="202"/>
      <c r="B2073" s="203"/>
      <c r="C2073" s="203"/>
      <c r="D2073" s="209"/>
      <c r="E2073" s="248"/>
      <c r="F2073" s="249"/>
      <c r="G2073" s="39"/>
    </row>
    <row r="2074" hidden="1">
      <c r="A2074" s="202"/>
      <c r="B2074" s="203"/>
      <c r="C2074" s="203"/>
      <c r="D2074" s="209"/>
      <c r="E2074" s="248"/>
      <c r="F2074" s="249"/>
      <c r="G2074" s="39"/>
    </row>
    <row r="2075" hidden="1">
      <c r="A2075" s="202"/>
      <c r="B2075" s="203"/>
      <c r="C2075" s="203"/>
      <c r="D2075" s="209"/>
      <c r="E2075" s="248"/>
      <c r="F2075" s="249"/>
      <c r="G2075" s="39"/>
    </row>
    <row r="2076" hidden="1">
      <c r="A2076" s="202"/>
      <c r="B2076" s="203"/>
      <c r="C2076" s="203"/>
      <c r="D2076" s="209"/>
      <c r="E2076" s="248"/>
      <c r="F2076" s="249"/>
      <c r="G2076" s="39"/>
    </row>
    <row r="2077" hidden="1">
      <c r="A2077" s="202"/>
      <c r="B2077" s="203"/>
      <c r="C2077" s="203"/>
      <c r="D2077" s="209"/>
      <c r="E2077" s="248"/>
      <c r="F2077" s="249"/>
      <c r="G2077" s="39"/>
    </row>
    <row r="2078" hidden="1">
      <c r="A2078" s="202"/>
      <c r="B2078" s="203"/>
      <c r="C2078" s="203"/>
      <c r="D2078" s="209"/>
      <c r="E2078" s="248"/>
      <c r="F2078" s="249"/>
      <c r="G2078" s="39"/>
    </row>
    <row r="2079" hidden="1">
      <c r="A2079" s="202"/>
      <c r="B2079" s="203"/>
      <c r="C2079" s="203"/>
      <c r="D2079" s="209"/>
      <c r="E2079" s="248"/>
      <c r="F2079" s="249"/>
      <c r="G2079" s="39"/>
    </row>
    <row r="2080" hidden="1">
      <c r="A2080" s="202"/>
      <c r="B2080" s="203"/>
      <c r="C2080" s="203"/>
      <c r="D2080" s="209"/>
      <c r="E2080" s="248"/>
      <c r="F2080" s="249"/>
      <c r="G2080" s="39"/>
    </row>
    <row r="2081" hidden="1">
      <c r="A2081" s="202"/>
      <c r="B2081" s="203"/>
      <c r="C2081" s="203"/>
      <c r="D2081" s="209"/>
      <c r="E2081" s="248"/>
      <c r="F2081" s="249"/>
      <c r="G2081" s="39"/>
    </row>
    <row r="2082" hidden="1">
      <c r="A2082" s="202"/>
      <c r="B2082" s="203"/>
      <c r="C2082" s="203"/>
      <c r="D2082" s="209"/>
      <c r="E2082" s="248"/>
      <c r="F2082" s="249"/>
      <c r="G2082" s="39"/>
    </row>
    <row r="2083" hidden="1">
      <c r="A2083" s="202"/>
      <c r="B2083" s="203"/>
      <c r="C2083" s="203"/>
      <c r="D2083" s="209"/>
      <c r="E2083" s="248"/>
      <c r="F2083" s="249"/>
      <c r="G2083" s="39"/>
    </row>
    <row r="2084" hidden="1">
      <c r="A2084" s="202"/>
      <c r="B2084" s="203"/>
      <c r="C2084" s="203"/>
      <c r="D2084" s="209"/>
      <c r="E2084" s="248"/>
      <c r="F2084" s="249"/>
      <c r="G2084" s="39"/>
    </row>
    <row r="2085" hidden="1">
      <c r="A2085" s="202"/>
      <c r="B2085" s="203"/>
      <c r="C2085" s="203"/>
      <c r="D2085" s="209"/>
      <c r="E2085" s="248"/>
      <c r="F2085" s="249"/>
      <c r="G2085" s="39"/>
    </row>
    <row r="2086" hidden="1">
      <c r="A2086" s="202"/>
      <c r="B2086" s="203"/>
      <c r="C2086" s="203"/>
      <c r="D2086" s="209"/>
      <c r="E2086" s="248"/>
      <c r="F2086" s="249"/>
      <c r="G2086" s="39"/>
    </row>
    <row r="2087" hidden="1">
      <c r="A2087" s="202"/>
      <c r="B2087" s="203"/>
      <c r="C2087" s="203"/>
      <c r="D2087" s="209"/>
      <c r="E2087" s="248"/>
      <c r="F2087" s="249"/>
      <c r="G2087" s="39"/>
    </row>
    <row r="2088" hidden="1">
      <c r="A2088" s="202"/>
      <c r="B2088" s="203"/>
      <c r="C2088" s="203"/>
      <c r="D2088" s="209"/>
      <c r="E2088" s="248"/>
      <c r="F2088" s="249"/>
      <c r="G2088" s="39"/>
    </row>
    <row r="2089" hidden="1">
      <c r="A2089" s="202"/>
      <c r="B2089" s="203"/>
      <c r="C2089" s="203"/>
      <c r="D2089" s="209"/>
      <c r="E2089" s="248"/>
      <c r="F2089" s="249"/>
      <c r="G2089" s="39"/>
    </row>
    <row r="2090" hidden="1">
      <c r="A2090" s="202"/>
      <c r="B2090" s="203"/>
      <c r="C2090" s="203"/>
      <c r="D2090" s="209"/>
      <c r="E2090" s="248"/>
      <c r="F2090" s="249"/>
      <c r="G2090" s="39"/>
    </row>
    <row r="2091" hidden="1">
      <c r="A2091" s="202"/>
      <c r="B2091" s="203"/>
      <c r="C2091" s="203"/>
      <c r="D2091" s="209"/>
      <c r="E2091" s="248"/>
      <c r="F2091" s="249"/>
      <c r="G2091" s="39"/>
    </row>
    <row r="2092" hidden="1">
      <c r="A2092" s="202"/>
      <c r="B2092" s="203"/>
      <c r="C2092" s="203"/>
      <c r="D2092" s="209"/>
      <c r="E2092" s="248"/>
      <c r="F2092" s="249"/>
      <c r="G2092" s="39"/>
    </row>
    <row r="2093" hidden="1">
      <c r="A2093" s="202"/>
      <c r="B2093" s="203"/>
      <c r="C2093" s="203"/>
      <c r="D2093" s="209"/>
      <c r="E2093" s="248"/>
      <c r="F2093" s="249"/>
      <c r="G2093" s="39"/>
    </row>
    <row r="2094" hidden="1">
      <c r="A2094" s="202"/>
      <c r="B2094" s="203"/>
      <c r="C2094" s="203"/>
      <c r="D2094" s="209"/>
      <c r="E2094" s="248"/>
      <c r="F2094" s="249"/>
      <c r="G2094" s="39"/>
    </row>
    <row r="2095" hidden="1">
      <c r="A2095" s="202"/>
      <c r="B2095" s="203"/>
      <c r="C2095" s="203"/>
      <c r="D2095" s="209"/>
      <c r="E2095" s="248"/>
      <c r="F2095" s="249"/>
      <c r="G2095" s="39"/>
    </row>
    <row r="2096" hidden="1">
      <c r="A2096" s="202"/>
      <c r="B2096" s="203"/>
      <c r="C2096" s="203"/>
      <c r="D2096" s="209"/>
      <c r="E2096" s="248"/>
      <c r="F2096" s="249"/>
      <c r="G2096" s="39"/>
    </row>
    <row r="2097" hidden="1">
      <c r="A2097" s="202"/>
      <c r="B2097" s="203"/>
      <c r="C2097" s="203"/>
      <c r="D2097" s="209"/>
      <c r="E2097" s="248"/>
      <c r="F2097" s="249"/>
      <c r="G2097" s="39"/>
    </row>
    <row r="2098" hidden="1">
      <c r="A2098" s="202"/>
      <c r="B2098" s="203"/>
      <c r="C2098" s="203"/>
      <c r="D2098" s="209"/>
      <c r="E2098" s="248"/>
      <c r="F2098" s="249"/>
      <c r="G2098" s="39"/>
    </row>
    <row r="2099" hidden="1">
      <c r="A2099" s="202"/>
      <c r="B2099" s="203"/>
      <c r="C2099" s="203"/>
      <c r="D2099" s="209"/>
      <c r="E2099" s="248"/>
      <c r="F2099" s="249"/>
      <c r="G2099" s="39"/>
    </row>
    <row r="2100" hidden="1">
      <c r="A2100" s="202"/>
      <c r="B2100" s="203"/>
      <c r="C2100" s="203"/>
      <c r="D2100" s="209"/>
      <c r="E2100" s="248"/>
      <c r="F2100" s="249"/>
      <c r="G2100" s="39"/>
    </row>
    <row r="2101" hidden="1">
      <c r="A2101" s="202"/>
      <c r="B2101" s="203"/>
      <c r="C2101" s="203"/>
      <c r="D2101" s="209"/>
      <c r="E2101" s="248"/>
      <c r="F2101" s="249"/>
      <c r="G2101" s="39"/>
    </row>
    <row r="2102" hidden="1">
      <c r="A2102" s="202"/>
      <c r="B2102" s="203"/>
      <c r="C2102" s="203"/>
      <c r="D2102" s="209"/>
      <c r="E2102" s="248"/>
      <c r="F2102" s="249"/>
      <c r="G2102" s="39"/>
    </row>
    <row r="2103" hidden="1">
      <c r="A2103" s="202"/>
      <c r="B2103" s="203"/>
      <c r="C2103" s="203"/>
      <c r="D2103" s="209"/>
      <c r="E2103" s="248"/>
      <c r="F2103" s="249"/>
      <c r="G2103" s="39"/>
    </row>
    <row r="2104" hidden="1">
      <c r="A2104" s="202"/>
      <c r="B2104" s="203"/>
      <c r="C2104" s="203"/>
      <c r="D2104" s="209"/>
      <c r="E2104" s="248"/>
      <c r="F2104" s="249"/>
      <c r="G2104" s="39"/>
    </row>
    <row r="2105" hidden="1">
      <c r="A2105" s="202"/>
      <c r="B2105" s="203"/>
      <c r="C2105" s="203"/>
      <c r="D2105" s="209"/>
      <c r="E2105" s="248"/>
      <c r="F2105" s="249"/>
      <c r="G2105" s="39"/>
    </row>
    <row r="2106" hidden="1">
      <c r="A2106" s="202"/>
      <c r="B2106" s="203"/>
      <c r="C2106" s="203"/>
      <c r="D2106" s="209"/>
      <c r="E2106" s="248"/>
      <c r="F2106" s="249"/>
      <c r="G2106" s="39"/>
    </row>
    <row r="2107" hidden="1">
      <c r="A2107" s="202"/>
      <c r="B2107" s="203"/>
      <c r="C2107" s="203"/>
      <c r="D2107" s="209"/>
      <c r="E2107" s="248"/>
      <c r="F2107" s="249"/>
      <c r="G2107" s="39"/>
    </row>
    <row r="2108" hidden="1">
      <c r="A2108" s="202"/>
      <c r="B2108" s="203"/>
      <c r="C2108" s="203"/>
      <c r="D2108" s="209"/>
      <c r="E2108" s="248"/>
      <c r="F2108" s="249"/>
      <c r="G2108" s="39"/>
    </row>
    <row r="2109" hidden="1">
      <c r="A2109" s="202"/>
      <c r="B2109" s="203"/>
      <c r="C2109" s="203"/>
      <c r="D2109" s="209"/>
      <c r="E2109" s="248"/>
      <c r="F2109" s="249"/>
      <c r="G2109" s="39"/>
    </row>
    <row r="2110" hidden="1">
      <c r="A2110" s="202"/>
      <c r="B2110" s="203"/>
      <c r="C2110" s="203"/>
      <c r="D2110" s="209"/>
      <c r="E2110" s="248"/>
      <c r="F2110" s="249"/>
      <c r="G2110" s="39"/>
    </row>
    <row r="2111" hidden="1">
      <c r="A2111" s="202"/>
      <c r="B2111" s="203"/>
      <c r="C2111" s="203"/>
      <c r="D2111" s="209"/>
      <c r="E2111" s="248"/>
      <c r="F2111" s="249"/>
      <c r="G2111" s="39"/>
    </row>
    <row r="2112" hidden="1">
      <c r="A2112" s="202"/>
      <c r="B2112" s="203"/>
      <c r="C2112" s="203"/>
      <c r="D2112" s="209"/>
      <c r="E2112" s="248"/>
      <c r="F2112" s="249"/>
      <c r="G2112" s="39"/>
    </row>
    <row r="2113" hidden="1">
      <c r="A2113" s="202"/>
      <c r="B2113" s="203"/>
      <c r="C2113" s="203"/>
      <c r="D2113" s="209"/>
      <c r="E2113" s="248"/>
      <c r="F2113" s="249"/>
      <c r="G2113" s="39"/>
    </row>
    <row r="2114" hidden="1">
      <c r="A2114" s="202"/>
      <c r="B2114" s="203"/>
      <c r="C2114" s="203"/>
      <c r="D2114" s="209"/>
      <c r="E2114" s="248"/>
      <c r="F2114" s="249"/>
      <c r="G2114" s="39"/>
    </row>
    <row r="2115" hidden="1">
      <c r="A2115" s="202"/>
      <c r="B2115" s="203"/>
      <c r="C2115" s="203"/>
      <c r="D2115" s="209"/>
      <c r="E2115" s="248"/>
      <c r="F2115" s="249"/>
      <c r="G2115" s="39"/>
    </row>
    <row r="2116" hidden="1">
      <c r="A2116" s="202"/>
      <c r="B2116" s="203"/>
      <c r="C2116" s="203"/>
      <c r="D2116" s="209"/>
      <c r="E2116" s="248"/>
      <c r="F2116" s="249"/>
      <c r="G2116" s="39"/>
    </row>
    <row r="2117" hidden="1">
      <c r="A2117" s="202"/>
      <c r="B2117" s="203"/>
      <c r="C2117" s="203"/>
      <c r="D2117" s="209"/>
      <c r="E2117" s="248"/>
      <c r="F2117" s="249"/>
      <c r="G2117" s="39"/>
    </row>
    <row r="2118" hidden="1">
      <c r="A2118" s="202"/>
      <c r="B2118" s="203"/>
      <c r="C2118" s="203"/>
      <c r="D2118" s="209"/>
      <c r="E2118" s="248"/>
      <c r="F2118" s="249"/>
      <c r="G2118" s="39"/>
    </row>
    <row r="2119" hidden="1">
      <c r="A2119" s="202"/>
      <c r="B2119" s="203"/>
      <c r="C2119" s="203"/>
      <c r="D2119" s="209"/>
      <c r="E2119" s="248"/>
      <c r="F2119" s="249"/>
      <c r="G2119" s="39"/>
    </row>
    <row r="2120" hidden="1">
      <c r="A2120" s="202"/>
      <c r="B2120" s="203"/>
      <c r="C2120" s="203"/>
      <c r="D2120" s="209"/>
      <c r="E2120" s="248"/>
      <c r="F2120" s="249"/>
      <c r="G2120" s="39"/>
    </row>
    <row r="2121" hidden="1">
      <c r="A2121" s="202"/>
      <c r="B2121" s="203"/>
      <c r="C2121" s="203"/>
      <c r="D2121" s="209"/>
      <c r="E2121" s="248"/>
      <c r="F2121" s="249"/>
      <c r="G2121" s="39"/>
    </row>
    <row r="2122" hidden="1">
      <c r="A2122" s="202"/>
      <c r="B2122" s="203"/>
      <c r="C2122" s="203"/>
      <c r="D2122" s="209"/>
      <c r="E2122" s="248"/>
      <c r="F2122" s="249"/>
      <c r="G2122" s="39"/>
    </row>
    <row r="2123" hidden="1">
      <c r="A2123" s="202"/>
      <c r="B2123" s="203"/>
      <c r="C2123" s="203"/>
      <c r="D2123" s="209"/>
      <c r="E2123" s="248"/>
      <c r="F2123" s="249"/>
      <c r="G2123" s="39"/>
    </row>
    <row r="2124" hidden="1">
      <c r="A2124" s="202"/>
      <c r="B2124" s="203"/>
      <c r="C2124" s="203"/>
      <c r="D2124" s="209"/>
      <c r="E2124" s="248"/>
      <c r="F2124" s="249"/>
      <c r="G2124" s="39"/>
    </row>
    <row r="2125" hidden="1">
      <c r="A2125" s="202"/>
      <c r="B2125" s="203"/>
      <c r="C2125" s="203"/>
      <c r="D2125" s="209"/>
      <c r="E2125" s="248"/>
      <c r="F2125" s="249"/>
      <c r="G2125" s="39"/>
    </row>
    <row r="2126" hidden="1">
      <c r="A2126" s="202"/>
      <c r="B2126" s="203"/>
      <c r="C2126" s="203"/>
      <c r="D2126" s="209"/>
      <c r="E2126" s="248"/>
      <c r="F2126" s="249"/>
      <c r="G2126" s="39"/>
    </row>
    <row r="2127" hidden="1">
      <c r="A2127" s="202"/>
      <c r="B2127" s="203"/>
      <c r="C2127" s="203"/>
      <c r="D2127" s="209"/>
      <c r="E2127" s="248"/>
      <c r="F2127" s="249"/>
      <c r="G2127" s="39"/>
    </row>
    <row r="2128" hidden="1">
      <c r="A2128" s="202"/>
      <c r="B2128" s="203"/>
      <c r="C2128" s="203"/>
      <c r="D2128" s="209"/>
      <c r="E2128" s="248"/>
      <c r="F2128" s="249"/>
      <c r="G2128" s="39"/>
    </row>
    <row r="2129" hidden="1">
      <c r="A2129" s="202"/>
      <c r="B2129" s="203"/>
      <c r="C2129" s="203"/>
      <c r="D2129" s="209"/>
      <c r="E2129" s="248"/>
      <c r="F2129" s="249"/>
      <c r="G2129" s="39"/>
    </row>
    <row r="2130" hidden="1">
      <c r="A2130" s="202"/>
      <c r="B2130" s="203"/>
      <c r="C2130" s="203"/>
      <c r="D2130" s="209"/>
      <c r="E2130" s="248"/>
      <c r="F2130" s="249"/>
      <c r="G2130" s="39"/>
    </row>
    <row r="2131" hidden="1">
      <c r="A2131" s="202"/>
      <c r="B2131" s="203"/>
      <c r="C2131" s="203"/>
      <c r="D2131" s="209"/>
      <c r="E2131" s="248"/>
      <c r="F2131" s="249"/>
      <c r="G2131" s="39"/>
    </row>
    <row r="2132" hidden="1">
      <c r="A2132" s="202"/>
      <c r="B2132" s="203"/>
      <c r="C2132" s="203"/>
      <c r="D2132" s="209"/>
      <c r="E2132" s="248"/>
      <c r="F2132" s="249"/>
      <c r="G2132" s="39"/>
    </row>
    <row r="2133" hidden="1">
      <c r="A2133" s="202"/>
      <c r="B2133" s="203"/>
      <c r="C2133" s="203"/>
      <c r="D2133" s="209"/>
      <c r="E2133" s="248"/>
      <c r="F2133" s="249"/>
      <c r="G2133" s="39"/>
    </row>
    <row r="2134" hidden="1">
      <c r="A2134" s="202"/>
      <c r="B2134" s="203"/>
      <c r="C2134" s="203"/>
      <c r="D2134" s="209"/>
      <c r="E2134" s="248"/>
      <c r="F2134" s="249"/>
      <c r="G2134" s="39"/>
    </row>
    <row r="2135" hidden="1">
      <c r="A2135" s="202"/>
      <c r="B2135" s="203"/>
      <c r="C2135" s="203"/>
      <c r="D2135" s="209"/>
      <c r="E2135" s="248"/>
      <c r="F2135" s="249"/>
      <c r="G2135" s="39"/>
    </row>
    <row r="2136" hidden="1">
      <c r="A2136" s="202"/>
      <c r="B2136" s="203"/>
      <c r="C2136" s="203"/>
      <c r="D2136" s="209"/>
      <c r="E2136" s="248"/>
      <c r="F2136" s="249"/>
      <c r="G2136" s="39"/>
    </row>
    <row r="2137" hidden="1">
      <c r="A2137" s="202"/>
      <c r="B2137" s="203"/>
      <c r="C2137" s="203"/>
      <c r="D2137" s="209"/>
      <c r="E2137" s="248"/>
      <c r="F2137" s="249"/>
      <c r="G2137" s="39"/>
    </row>
    <row r="2138" hidden="1">
      <c r="A2138" s="202"/>
      <c r="B2138" s="203"/>
      <c r="C2138" s="203"/>
      <c r="D2138" s="209"/>
      <c r="E2138" s="248"/>
      <c r="F2138" s="249"/>
      <c r="G2138" s="39"/>
    </row>
    <row r="2139" hidden="1">
      <c r="A2139" s="202"/>
      <c r="B2139" s="203"/>
      <c r="C2139" s="203"/>
      <c r="D2139" s="209"/>
      <c r="E2139" s="248"/>
      <c r="F2139" s="249"/>
      <c r="G2139" s="39"/>
    </row>
    <row r="2140" hidden="1">
      <c r="A2140" s="202"/>
      <c r="B2140" s="203"/>
      <c r="C2140" s="203"/>
      <c r="D2140" s="209"/>
      <c r="E2140" s="248"/>
      <c r="F2140" s="249"/>
      <c r="G2140" s="39"/>
    </row>
    <row r="2141" hidden="1">
      <c r="A2141" s="202"/>
      <c r="B2141" s="203"/>
      <c r="C2141" s="203"/>
      <c r="D2141" s="209"/>
      <c r="E2141" s="248"/>
      <c r="F2141" s="249"/>
      <c r="G2141" s="39"/>
    </row>
    <row r="2142" hidden="1">
      <c r="A2142" s="202"/>
      <c r="B2142" s="203"/>
      <c r="C2142" s="203"/>
      <c r="D2142" s="209"/>
      <c r="E2142" s="248"/>
      <c r="F2142" s="249"/>
      <c r="G2142" s="39"/>
    </row>
    <row r="2143" hidden="1">
      <c r="A2143" s="202"/>
      <c r="B2143" s="203"/>
      <c r="C2143" s="203"/>
      <c r="D2143" s="209"/>
      <c r="E2143" s="248"/>
      <c r="F2143" s="249"/>
      <c r="G2143" s="39"/>
    </row>
    <row r="2144" hidden="1">
      <c r="A2144" s="202"/>
      <c r="B2144" s="203"/>
      <c r="C2144" s="203"/>
      <c r="D2144" s="209"/>
      <c r="E2144" s="248"/>
      <c r="F2144" s="249"/>
      <c r="G2144" s="39"/>
    </row>
    <row r="2145" hidden="1">
      <c r="A2145" s="202"/>
      <c r="B2145" s="203"/>
      <c r="C2145" s="203"/>
      <c r="D2145" s="209"/>
      <c r="E2145" s="248"/>
      <c r="F2145" s="249"/>
      <c r="G2145" s="39"/>
    </row>
    <row r="2146" hidden="1">
      <c r="A2146" s="202"/>
      <c r="B2146" s="203"/>
      <c r="C2146" s="203"/>
      <c r="D2146" s="209"/>
      <c r="E2146" s="248"/>
      <c r="F2146" s="249"/>
      <c r="G2146" s="39"/>
    </row>
    <row r="2147" hidden="1">
      <c r="A2147" s="202"/>
      <c r="B2147" s="203"/>
      <c r="C2147" s="203"/>
      <c r="D2147" s="209"/>
      <c r="E2147" s="248"/>
      <c r="F2147" s="249"/>
      <c r="G2147" s="39"/>
    </row>
    <row r="2148" hidden="1">
      <c r="A2148" s="202"/>
      <c r="B2148" s="203"/>
      <c r="C2148" s="203"/>
      <c r="D2148" s="209"/>
      <c r="E2148" s="248"/>
      <c r="F2148" s="249"/>
      <c r="G2148" s="39"/>
    </row>
    <row r="2149" hidden="1">
      <c r="A2149" s="202"/>
      <c r="B2149" s="203"/>
      <c r="C2149" s="203"/>
      <c r="D2149" s="209"/>
      <c r="E2149" s="248"/>
      <c r="F2149" s="249"/>
      <c r="G2149" s="39"/>
    </row>
    <row r="2150" hidden="1">
      <c r="A2150" s="202"/>
      <c r="B2150" s="203"/>
      <c r="C2150" s="203"/>
      <c r="D2150" s="209"/>
      <c r="E2150" s="248"/>
      <c r="F2150" s="249"/>
      <c r="G2150" s="39"/>
    </row>
    <row r="2151" hidden="1">
      <c r="A2151" s="202"/>
      <c r="B2151" s="203"/>
      <c r="C2151" s="203"/>
      <c r="D2151" s="209"/>
      <c r="E2151" s="248"/>
      <c r="F2151" s="249"/>
      <c r="G2151" s="39"/>
    </row>
    <row r="2152" hidden="1">
      <c r="A2152" s="202"/>
      <c r="B2152" s="203"/>
      <c r="C2152" s="203"/>
      <c r="D2152" s="209"/>
      <c r="E2152" s="248"/>
      <c r="F2152" s="249"/>
      <c r="G2152" s="39"/>
    </row>
    <row r="2153" hidden="1">
      <c r="A2153" s="202"/>
      <c r="B2153" s="203"/>
      <c r="C2153" s="203"/>
      <c r="D2153" s="209"/>
      <c r="E2153" s="248"/>
      <c r="F2153" s="249"/>
      <c r="G2153" s="39"/>
    </row>
    <row r="2154" hidden="1">
      <c r="A2154" s="202"/>
      <c r="B2154" s="203"/>
      <c r="C2154" s="203"/>
      <c r="D2154" s="209"/>
      <c r="E2154" s="248"/>
      <c r="F2154" s="249"/>
      <c r="G2154" s="39"/>
    </row>
    <row r="2155" hidden="1">
      <c r="A2155" s="202"/>
      <c r="B2155" s="203"/>
      <c r="C2155" s="203"/>
      <c r="D2155" s="209"/>
      <c r="E2155" s="248"/>
      <c r="F2155" s="249"/>
      <c r="G2155" s="39"/>
    </row>
    <row r="2156" hidden="1">
      <c r="A2156" s="202"/>
      <c r="B2156" s="203"/>
      <c r="C2156" s="203"/>
      <c r="D2156" s="209"/>
      <c r="E2156" s="248"/>
      <c r="F2156" s="249"/>
      <c r="G2156" s="39"/>
    </row>
    <row r="2157" hidden="1">
      <c r="A2157" s="202"/>
      <c r="B2157" s="203"/>
      <c r="C2157" s="203"/>
      <c r="D2157" s="209"/>
      <c r="E2157" s="248"/>
      <c r="F2157" s="249"/>
      <c r="G2157" s="39"/>
    </row>
    <row r="2158" hidden="1">
      <c r="A2158" s="202"/>
      <c r="B2158" s="203"/>
      <c r="C2158" s="203"/>
      <c r="D2158" s="209"/>
      <c r="E2158" s="248"/>
      <c r="F2158" s="249"/>
      <c r="G2158" s="39"/>
    </row>
    <row r="2159" hidden="1">
      <c r="A2159" s="202"/>
      <c r="B2159" s="203"/>
      <c r="C2159" s="203"/>
      <c r="D2159" s="209"/>
      <c r="E2159" s="248"/>
      <c r="F2159" s="249"/>
      <c r="G2159" s="39"/>
    </row>
    <row r="2160" hidden="1">
      <c r="A2160" s="202"/>
      <c r="B2160" s="203"/>
      <c r="C2160" s="203"/>
      <c r="D2160" s="209"/>
      <c r="E2160" s="248"/>
      <c r="F2160" s="249"/>
      <c r="G2160" s="39"/>
    </row>
    <row r="2161" hidden="1">
      <c r="A2161" s="202"/>
      <c r="B2161" s="203"/>
      <c r="C2161" s="203"/>
      <c r="D2161" s="209"/>
      <c r="E2161" s="248"/>
      <c r="F2161" s="249"/>
      <c r="G2161" s="39"/>
    </row>
    <row r="2162" hidden="1">
      <c r="A2162" s="202"/>
      <c r="B2162" s="203"/>
      <c r="C2162" s="203"/>
      <c r="D2162" s="209"/>
      <c r="E2162" s="248"/>
      <c r="F2162" s="249"/>
      <c r="G2162" s="39"/>
    </row>
    <row r="2163" hidden="1">
      <c r="A2163" s="202"/>
      <c r="B2163" s="203"/>
      <c r="C2163" s="203"/>
      <c r="D2163" s="209"/>
      <c r="E2163" s="248"/>
      <c r="F2163" s="249"/>
      <c r="G2163" s="39"/>
    </row>
    <row r="2164" hidden="1">
      <c r="A2164" s="202"/>
      <c r="B2164" s="203"/>
      <c r="C2164" s="203"/>
      <c r="D2164" s="209"/>
      <c r="E2164" s="248"/>
      <c r="F2164" s="249"/>
      <c r="G2164" s="39"/>
    </row>
    <row r="2165" hidden="1">
      <c r="A2165" s="202"/>
      <c r="B2165" s="203"/>
      <c r="C2165" s="203"/>
      <c r="D2165" s="209"/>
      <c r="E2165" s="248"/>
      <c r="F2165" s="249"/>
      <c r="G2165" s="39"/>
    </row>
    <row r="2166" hidden="1">
      <c r="A2166" s="202"/>
      <c r="B2166" s="203"/>
      <c r="C2166" s="203"/>
      <c r="D2166" s="209"/>
      <c r="E2166" s="248"/>
      <c r="F2166" s="249"/>
      <c r="G2166" s="39"/>
    </row>
    <row r="2167" hidden="1">
      <c r="A2167" s="202"/>
      <c r="B2167" s="203"/>
      <c r="C2167" s="203"/>
      <c r="D2167" s="209"/>
      <c r="E2167" s="248"/>
      <c r="F2167" s="249"/>
      <c r="G2167" s="39"/>
    </row>
    <row r="2168" hidden="1">
      <c r="A2168" s="202"/>
      <c r="B2168" s="203"/>
      <c r="C2168" s="203"/>
      <c r="D2168" s="209"/>
      <c r="E2168" s="248"/>
      <c r="F2168" s="249"/>
      <c r="G2168" s="39"/>
    </row>
    <row r="2169" hidden="1">
      <c r="A2169" s="202"/>
      <c r="B2169" s="203"/>
      <c r="C2169" s="203"/>
      <c r="D2169" s="209"/>
      <c r="E2169" s="248"/>
      <c r="F2169" s="249"/>
      <c r="G2169" s="39"/>
    </row>
    <row r="2170" hidden="1">
      <c r="A2170" s="202"/>
      <c r="B2170" s="203"/>
      <c r="C2170" s="203"/>
      <c r="D2170" s="209"/>
      <c r="E2170" s="248"/>
      <c r="F2170" s="249"/>
      <c r="G2170" s="39"/>
    </row>
    <row r="2171" hidden="1">
      <c r="A2171" s="202"/>
      <c r="B2171" s="203"/>
      <c r="C2171" s="203"/>
      <c r="D2171" s="209"/>
      <c r="E2171" s="248"/>
      <c r="F2171" s="249"/>
      <c r="G2171" s="39"/>
    </row>
    <row r="2172" hidden="1">
      <c r="A2172" s="202"/>
      <c r="B2172" s="203"/>
      <c r="C2172" s="203"/>
      <c r="D2172" s="209"/>
      <c r="E2172" s="248"/>
      <c r="F2172" s="249"/>
      <c r="G2172" s="39"/>
    </row>
    <row r="2173" hidden="1">
      <c r="A2173" s="202"/>
      <c r="B2173" s="203"/>
      <c r="C2173" s="203"/>
      <c r="D2173" s="209"/>
      <c r="E2173" s="248"/>
      <c r="F2173" s="249"/>
      <c r="G2173" s="39"/>
    </row>
    <row r="2174" hidden="1">
      <c r="A2174" s="202"/>
      <c r="B2174" s="203"/>
      <c r="C2174" s="203"/>
      <c r="D2174" s="209"/>
      <c r="E2174" s="248"/>
      <c r="F2174" s="249"/>
      <c r="G2174" s="39"/>
    </row>
    <row r="2175" hidden="1">
      <c r="A2175" s="202"/>
      <c r="B2175" s="203"/>
      <c r="C2175" s="203"/>
      <c r="D2175" s="209"/>
      <c r="E2175" s="248"/>
      <c r="F2175" s="249"/>
      <c r="G2175" s="39"/>
    </row>
    <row r="2176" hidden="1">
      <c r="A2176" s="202"/>
      <c r="B2176" s="203"/>
      <c r="C2176" s="203"/>
      <c r="D2176" s="209"/>
      <c r="E2176" s="248"/>
      <c r="F2176" s="249"/>
      <c r="G2176" s="39"/>
    </row>
    <row r="2177" hidden="1">
      <c r="A2177" s="202"/>
      <c r="B2177" s="203"/>
      <c r="C2177" s="203"/>
      <c r="D2177" s="209"/>
      <c r="E2177" s="248"/>
      <c r="F2177" s="249"/>
      <c r="G2177" s="39"/>
    </row>
    <row r="2178" hidden="1">
      <c r="A2178" s="202"/>
      <c r="B2178" s="203"/>
      <c r="C2178" s="203"/>
      <c r="D2178" s="209"/>
      <c r="E2178" s="248"/>
      <c r="F2178" s="249"/>
      <c r="G2178" s="39"/>
    </row>
    <row r="2179" hidden="1">
      <c r="A2179" s="202"/>
      <c r="B2179" s="203"/>
      <c r="C2179" s="203"/>
      <c r="D2179" s="209"/>
      <c r="E2179" s="248"/>
      <c r="F2179" s="249"/>
      <c r="G2179" s="39"/>
    </row>
    <row r="2180" hidden="1">
      <c r="A2180" s="202"/>
      <c r="B2180" s="203"/>
      <c r="C2180" s="203"/>
      <c r="D2180" s="209"/>
      <c r="E2180" s="248"/>
      <c r="F2180" s="249"/>
      <c r="G2180" s="39"/>
    </row>
    <row r="2181" hidden="1">
      <c r="A2181" s="202"/>
      <c r="B2181" s="203"/>
      <c r="C2181" s="203"/>
      <c r="D2181" s="209"/>
      <c r="E2181" s="248"/>
      <c r="F2181" s="249"/>
      <c r="G2181" s="39"/>
    </row>
    <row r="2182" hidden="1">
      <c r="A2182" s="202"/>
      <c r="B2182" s="203"/>
      <c r="C2182" s="203"/>
      <c r="D2182" s="209"/>
      <c r="E2182" s="248"/>
      <c r="F2182" s="249"/>
      <c r="G2182" s="39"/>
    </row>
    <row r="2183" hidden="1">
      <c r="A2183" s="202"/>
      <c r="B2183" s="203"/>
      <c r="C2183" s="203"/>
      <c r="D2183" s="209"/>
      <c r="E2183" s="248"/>
      <c r="F2183" s="249"/>
      <c r="G2183" s="39"/>
    </row>
    <row r="2184" hidden="1">
      <c r="A2184" s="202"/>
      <c r="B2184" s="203"/>
      <c r="C2184" s="203"/>
      <c r="D2184" s="209"/>
      <c r="E2184" s="248"/>
      <c r="F2184" s="249"/>
      <c r="G2184" s="39"/>
    </row>
    <row r="2185" hidden="1">
      <c r="A2185" s="202"/>
      <c r="B2185" s="203"/>
      <c r="C2185" s="203"/>
      <c r="D2185" s="209"/>
      <c r="E2185" s="248"/>
      <c r="F2185" s="249"/>
      <c r="G2185" s="39"/>
    </row>
    <row r="2186" hidden="1">
      <c r="A2186" s="202"/>
      <c r="B2186" s="203"/>
      <c r="C2186" s="203"/>
      <c r="D2186" s="209"/>
      <c r="E2186" s="248"/>
      <c r="F2186" s="249"/>
      <c r="G2186" s="39"/>
    </row>
    <row r="2187" hidden="1">
      <c r="A2187" s="202"/>
      <c r="B2187" s="203"/>
      <c r="C2187" s="203"/>
      <c r="D2187" s="209"/>
      <c r="E2187" s="248"/>
      <c r="F2187" s="249"/>
      <c r="G2187" s="39"/>
    </row>
    <row r="2188" hidden="1">
      <c r="A2188" s="202"/>
      <c r="B2188" s="203"/>
      <c r="C2188" s="203"/>
      <c r="D2188" s="209"/>
      <c r="E2188" s="248"/>
      <c r="F2188" s="249"/>
      <c r="G2188" s="39"/>
    </row>
    <row r="2189" hidden="1">
      <c r="A2189" s="202"/>
      <c r="B2189" s="203"/>
      <c r="C2189" s="203"/>
      <c r="D2189" s="209"/>
      <c r="E2189" s="248"/>
      <c r="F2189" s="249"/>
      <c r="G2189" s="39"/>
    </row>
    <row r="2190" hidden="1">
      <c r="A2190" s="202"/>
      <c r="B2190" s="203"/>
      <c r="C2190" s="203"/>
      <c r="D2190" s="209"/>
      <c r="E2190" s="248"/>
      <c r="F2190" s="249"/>
      <c r="G2190" s="39"/>
    </row>
    <row r="2191" hidden="1">
      <c r="A2191" s="202"/>
      <c r="B2191" s="203"/>
      <c r="C2191" s="203"/>
      <c r="D2191" s="209"/>
      <c r="E2191" s="248"/>
      <c r="F2191" s="249"/>
      <c r="G2191" s="39"/>
    </row>
    <row r="2192" hidden="1">
      <c r="A2192" s="202"/>
      <c r="B2192" s="203"/>
      <c r="C2192" s="203"/>
      <c r="D2192" s="209"/>
      <c r="E2192" s="248"/>
      <c r="F2192" s="249"/>
      <c r="G2192" s="39"/>
    </row>
    <row r="2193" hidden="1">
      <c r="A2193" s="202"/>
      <c r="B2193" s="203"/>
      <c r="C2193" s="203"/>
      <c r="D2193" s="209"/>
      <c r="E2193" s="248"/>
      <c r="F2193" s="249"/>
      <c r="G2193" s="39"/>
    </row>
    <row r="2194" hidden="1">
      <c r="A2194" s="202"/>
      <c r="B2194" s="203"/>
      <c r="C2194" s="203"/>
      <c r="D2194" s="209"/>
      <c r="E2194" s="248"/>
      <c r="F2194" s="249"/>
      <c r="G2194" s="39"/>
    </row>
    <row r="2195" hidden="1">
      <c r="A2195" s="202"/>
      <c r="B2195" s="203"/>
      <c r="C2195" s="203"/>
      <c r="D2195" s="209"/>
      <c r="E2195" s="248"/>
      <c r="F2195" s="249"/>
      <c r="G2195" s="39"/>
    </row>
    <row r="2196" hidden="1">
      <c r="A2196" s="202"/>
      <c r="B2196" s="203"/>
      <c r="C2196" s="203"/>
      <c r="D2196" s="209"/>
      <c r="E2196" s="248"/>
      <c r="F2196" s="249"/>
      <c r="G2196" s="39"/>
    </row>
    <row r="2197" hidden="1">
      <c r="A2197" s="202"/>
      <c r="B2197" s="203"/>
      <c r="C2197" s="203"/>
      <c r="D2197" s="209"/>
      <c r="E2197" s="248"/>
      <c r="F2197" s="249"/>
      <c r="G2197" s="39"/>
    </row>
    <row r="2198" hidden="1">
      <c r="A2198" s="202"/>
      <c r="B2198" s="203"/>
      <c r="C2198" s="203"/>
      <c r="D2198" s="209"/>
      <c r="E2198" s="248"/>
      <c r="F2198" s="249"/>
      <c r="G2198" s="39"/>
    </row>
    <row r="2199" hidden="1">
      <c r="A2199" s="202"/>
      <c r="B2199" s="203"/>
      <c r="C2199" s="203"/>
      <c r="D2199" s="209"/>
      <c r="E2199" s="248"/>
      <c r="F2199" s="249"/>
      <c r="G2199" s="39"/>
    </row>
    <row r="2200" hidden="1">
      <c r="A2200" s="202"/>
      <c r="B2200" s="203"/>
      <c r="C2200" s="203"/>
      <c r="D2200" s="209"/>
      <c r="E2200" s="248"/>
      <c r="F2200" s="249"/>
      <c r="G2200" s="39"/>
    </row>
    <row r="2201" hidden="1">
      <c r="A2201" s="202"/>
      <c r="B2201" s="203"/>
      <c r="C2201" s="203"/>
      <c r="D2201" s="209"/>
      <c r="E2201" s="248"/>
      <c r="F2201" s="249"/>
      <c r="G2201" s="39"/>
    </row>
    <row r="2202" hidden="1">
      <c r="A2202" s="202"/>
      <c r="B2202" s="203"/>
      <c r="C2202" s="203"/>
      <c r="D2202" s="209"/>
      <c r="E2202" s="248"/>
      <c r="F2202" s="249"/>
      <c r="G2202" s="39"/>
    </row>
    <row r="2203" hidden="1">
      <c r="A2203" s="202"/>
      <c r="B2203" s="203"/>
      <c r="C2203" s="203"/>
      <c r="D2203" s="209"/>
      <c r="E2203" s="248"/>
      <c r="F2203" s="249"/>
      <c r="G2203" s="39"/>
    </row>
    <row r="2204" hidden="1">
      <c r="A2204" s="202"/>
      <c r="B2204" s="203"/>
      <c r="C2204" s="203"/>
      <c r="D2204" s="209"/>
      <c r="E2204" s="248"/>
      <c r="F2204" s="249"/>
      <c r="G2204" s="39"/>
    </row>
    <row r="2205" hidden="1">
      <c r="A2205" s="202"/>
      <c r="B2205" s="203"/>
      <c r="C2205" s="203"/>
      <c r="D2205" s="209"/>
      <c r="E2205" s="248"/>
      <c r="F2205" s="249"/>
      <c r="G2205" s="39"/>
    </row>
    <row r="2206" hidden="1">
      <c r="A2206" s="202"/>
      <c r="B2206" s="203"/>
      <c r="C2206" s="203"/>
      <c r="D2206" s="209"/>
      <c r="E2206" s="248"/>
      <c r="F2206" s="249"/>
      <c r="G2206" s="39"/>
    </row>
    <row r="2207" hidden="1">
      <c r="A2207" s="202"/>
      <c r="B2207" s="203"/>
      <c r="C2207" s="203"/>
      <c r="D2207" s="209"/>
      <c r="E2207" s="248"/>
      <c r="F2207" s="249"/>
      <c r="G2207" s="39"/>
    </row>
    <row r="2208" hidden="1">
      <c r="A2208" s="202"/>
      <c r="B2208" s="203"/>
      <c r="C2208" s="203"/>
      <c r="D2208" s="209"/>
      <c r="E2208" s="248"/>
      <c r="F2208" s="249"/>
      <c r="G2208" s="39"/>
    </row>
    <row r="2209" hidden="1">
      <c r="A2209" s="202"/>
      <c r="B2209" s="203"/>
      <c r="C2209" s="203"/>
      <c r="D2209" s="209"/>
      <c r="E2209" s="248"/>
      <c r="F2209" s="249"/>
      <c r="G2209" s="39"/>
    </row>
    <row r="2210" hidden="1">
      <c r="A2210" s="202"/>
      <c r="B2210" s="203"/>
      <c r="C2210" s="203"/>
      <c r="D2210" s="209"/>
      <c r="E2210" s="248"/>
      <c r="F2210" s="249"/>
      <c r="G2210" s="39"/>
    </row>
    <row r="2211" hidden="1">
      <c r="A2211" s="202"/>
      <c r="B2211" s="203"/>
      <c r="C2211" s="203"/>
      <c r="D2211" s="209"/>
      <c r="E2211" s="248"/>
      <c r="F2211" s="249"/>
      <c r="G2211" s="39"/>
    </row>
    <row r="2212" hidden="1">
      <c r="A2212" s="202"/>
      <c r="B2212" s="203"/>
      <c r="C2212" s="203"/>
      <c r="D2212" s="209"/>
      <c r="E2212" s="248"/>
      <c r="F2212" s="249"/>
      <c r="G2212" s="39"/>
    </row>
    <row r="2213" hidden="1">
      <c r="A2213" s="202"/>
      <c r="B2213" s="203"/>
      <c r="C2213" s="203"/>
      <c r="D2213" s="209"/>
      <c r="E2213" s="248"/>
      <c r="F2213" s="249"/>
      <c r="G2213" s="39"/>
    </row>
    <row r="2214" hidden="1">
      <c r="A2214" s="202"/>
      <c r="B2214" s="203"/>
      <c r="C2214" s="203"/>
      <c r="D2214" s="209"/>
      <c r="E2214" s="248"/>
      <c r="F2214" s="249"/>
      <c r="G2214" s="39"/>
    </row>
    <row r="2215" hidden="1">
      <c r="A2215" s="202"/>
      <c r="B2215" s="203"/>
      <c r="C2215" s="203"/>
      <c r="D2215" s="209"/>
      <c r="E2215" s="248"/>
      <c r="F2215" s="249"/>
      <c r="G2215" s="39"/>
    </row>
    <row r="2216" hidden="1">
      <c r="A2216" s="202"/>
      <c r="B2216" s="203"/>
      <c r="C2216" s="203"/>
      <c r="D2216" s="209"/>
      <c r="E2216" s="248"/>
      <c r="F2216" s="249"/>
      <c r="G2216" s="39"/>
    </row>
    <row r="2217" hidden="1">
      <c r="A2217" s="202"/>
      <c r="B2217" s="203"/>
      <c r="C2217" s="203"/>
      <c r="D2217" s="209"/>
      <c r="E2217" s="248"/>
      <c r="F2217" s="249"/>
      <c r="G2217" s="39"/>
    </row>
    <row r="2218" hidden="1">
      <c r="A2218" s="202"/>
      <c r="B2218" s="203"/>
      <c r="C2218" s="203"/>
      <c r="D2218" s="209"/>
      <c r="E2218" s="248"/>
      <c r="F2218" s="249"/>
      <c r="G2218" s="39"/>
    </row>
    <row r="2219" hidden="1">
      <c r="A2219" s="202"/>
      <c r="B2219" s="203"/>
      <c r="C2219" s="203"/>
      <c r="D2219" s="209"/>
      <c r="E2219" s="248"/>
      <c r="F2219" s="249"/>
      <c r="G2219" s="39"/>
    </row>
    <row r="2220" hidden="1">
      <c r="A2220" s="202"/>
      <c r="B2220" s="203"/>
      <c r="C2220" s="203"/>
      <c r="D2220" s="209"/>
      <c r="E2220" s="248"/>
      <c r="F2220" s="249"/>
      <c r="G2220" s="39"/>
    </row>
    <row r="2221" hidden="1">
      <c r="A2221" s="202"/>
      <c r="B2221" s="203"/>
      <c r="C2221" s="203"/>
      <c r="D2221" s="209"/>
      <c r="E2221" s="248"/>
      <c r="F2221" s="249"/>
      <c r="G2221" s="39"/>
    </row>
    <row r="2222" hidden="1">
      <c r="A2222" s="202"/>
      <c r="B2222" s="203"/>
      <c r="C2222" s="203"/>
      <c r="D2222" s="209"/>
      <c r="E2222" s="248"/>
      <c r="F2222" s="249"/>
      <c r="G2222" s="39"/>
    </row>
    <row r="2223" hidden="1">
      <c r="A2223" s="202"/>
      <c r="B2223" s="203"/>
      <c r="C2223" s="203"/>
      <c r="D2223" s="209"/>
      <c r="E2223" s="248"/>
      <c r="F2223" s="249"/>
      <c r="G2223" s="39"/>
    </row>
    <row r="2224" hidden="1">
      <c r="A2224" s="202"/>
      <c r="B2224" s="203"/>
      <c r="C2224" s="203"/>
      <c r="D2224" s="209"/>
      <c r="E2224" s="248"/>
      <c r="F2224" s="249"/>
      <c r="G2224" s="39"/>
    </row>
    <row r="2225" hidden="1">
      <c r="A2225" s="202"/>
      <c r="B2225" s="203"/>
      <c r="C2225" s="203"/>
      <c r="D2225" s="209"/>
      <c r="E2225" s="248"/>
      <c r="F2225" s="249"/>
      <c r="G2225" s="39"/>
    </row>
    <row r="2226" hidden="1">
      <c r="A2226" s="202"/>
      <c r="B2226" s="203"/>
      <c r="C2226" s="203"/>
      <c r="D2226" s="209"/>
      <c r="E2226" s="248"/>
      <c r="F2226" s="249"/>
      <c r="G2226" s="39"/>
    </row>
    <row r="2227" hidden="1">
      <c r="A2227" s="202"/>
      <c r="B2227" s="203"/>
      <c r="C2227" s="203"/>
      <c r="D2227" s="209"/>
      <c r="E2227" s="248"/>
      <c r="F2227" s="249"/>
      <c r="G2227" s="39"/>
    </row>
    <row r="2228" hidden="1">
      <c r="A2228" s="202"/>
      <c r="B2228" s="203"/>
      <c r="C2228" s="203"/>
      <c r="D2228" s="209"/>
      <c r="E2228" s="248"/>
      <c r="F2228" s="249"/>
      <c r="G2228" s="39"/>
    </row>
    <row r="2229" hidden="1">
      <c r="A2229" s="202"/>
      <c r="B2229" s="203"/>
      <c r="C2229" s="203"/>
      <c r="D2229" s="209"/>
      <c r="E2229" s="248"/>
      <c r="F2229" s="249"/>
      <c r="G2229" s="39"/>
    </row>
    <row r="2230" hidden="1">
      <c r="A2230" s="202"/>
      <c r="B2230" s="203"/>
      <c r="C2230" s="203"/>
      <c r="D2230" s="209"/>
      <c r="E2230" s="248"/>
      <c r="F2230" s="249"/>
      <c r="G2230" s="39"/>
    </row>
    <row r="2231" hidden="1">
      <c r="A2231" s="202"/>
      <c r="B2231" s="203"/>
      <c r="C2231" s="203"/>
      <c r="D2231" s="209"/>
      <c r="E2231" s="248"/>
      <c r="F2231" s="249"/>
      <c r="G2231" s="39"/>
    </row>
    <row r="2232" hidden="1">
      <c r="A2232" s="202"/>
      <c r="B2232" s="203"/>
      <c r="C2232" s="203"/>
      <c r="D2232" s="209"/>
      <c r="E2232" s="248"/>
      <c r="F2232" s="249"/>
      <c r="G2232" s="39"/>
    </row>
    <row r="2233" hidden="1">
      <c r="A2233" s="202"/>
      <c r="B2233" s="203"/>
      <c r="C2233" s="203"/>
      <c r="D2233" s="209"/>
      <c r="E2233" s="248"/>
      <c r="F2233" s="249"/>
      <c r="G2233" s="39"/>
    </row>
    <row r="2234" hidden="1">
      <c r="A2234" s="202"/>
      <c r="B2234" s="203"/>
      <c r="C2234" s="203"/>
      <c r="D2234" s="209"/>
      <c r="E2234" s="248"/>
      <c r="F2234" s="249"/>
      <c r="G2234" s="39"/>
    </row>
    <row r="2235" hidden="1">
      <c r="A2235" s="202"/>
      <c r="B2235" s="203"/>
      <c r="C2235" s="203"/>
      <c r="D2235" s="209"/>
      <c r="E2235" s="248"/>
      <c r="F2235" s="249"/>
      <c r="G2235" s="39"/>
    </row>
    <row r="2236" hidden="1">
      <c r="A2236" s="202"/>
      <c r="B2236" s="203"/>
      <c r="C2236" s="203"/>
      <c r="D2236" s="209"/>
      <c r="E2236" s="248"/>
      <c r="F2236" s="249"/>
      <c r="G2236" s="39"/>
    </row>
    <row r="2237" hidden="1">
      <c r="A2237" s="202"/>
      <c r="B2237" s="203"/>
      <c r="C2237" s="203"/>
      <c r="D2237" s="209"/>
      <c r="E2237" s="248"/>
      <c r="F2237" s="249"/>
      <c r="G2237" s="39"/>
    </row>
    <row r="2238" hidden="1">
      <c r="A2238" s="202"/>
      <c r="B2238" s="203"/>
      <c r="C2238" s="203"/>
      <c r="D2238" s="209"/>
      <c r="E2238" s="248"/>
      <c r="F2238" s="249"/>
      <c r="G2238" s="39"/>
    </row>
    <row r="2239" hidden="1">
      <c r="A2239" s="202"/>
      <c r="B2239" s="203"/>
      <c r="C2239" s="203"/>
      <c r="D2239" s="209"/>
      <c r="E2239" s="248"/>
      <c r="F2239" s="249"/>
      <c r="G2239" s="39"/>
    </row>
    <row r="2240" hidden="1">
      <c r="A2240" s="202"/>
      <c r="B2240" s="203"/>
      <c r="C2240" s="203"/>
      <c r="D2240" s="209"/>
      <c r="E2240" s="248"/>
      <c r="F2240" s="249"/>
      <c r="G2240" s="39"/>
    </row>
    <row r="2241" hidden="1">
      <c r="A2241" s="202"/>
      <c r="B2241" s="203"/>
      <c r="C2241" s="203"/>
      <c r="D2241" s="209"/>
      <c r="E2241" s="248"/>
      <c r="F2241" s="249"/>
      <c r="G2241" s="39"/>
    </row>
    <row r="2242" hidden="1">
      <c r="A2242" s="202"/>
      <c r="B2242" s="203"/>
      <c r="C2242" s="203"/>
      <c r="D2242" s="209"/>
      <c r="E2242" s="248"/>
      <c r="F2242" s="249"/>
      <c r="G2242" s="39"/>
    </row>
    <row r="2243" hidden="1">
      <c r="A2243" s="202"/>
      <c r="B2243" s="203"/>
      <c r="C2243" s="203"/>
      <c r="D2243" s="209"/>
      <c r="E2243" s="248"/>
      <c r="F2243" s="249"/>
      <c r="G2243" s="39"/>
    </row>
    <row r="2244" hidden="1">
      <c r="A2244" s="202"/>
      <c r="B2244" s="203"/>
      <c r="C2244" s="203"/>
      <c r="D2244" s="209"/>
      <c r="E2244" s="248"/>
      <c r="F2244" s="249"/>
      <c r="G2244" s="39"/>
    </row>
    <row r="2245" hidden="1">
      <c r="A2245" s="202"/>
      <c r="B2245" s="203"/>
      <c r="C2245" s="203"/>
      <c r="D2245" s="209"/>
      <c r="E2245" s="248"/>
      <c r="F2245" s="249"/>
      <c r="G2245" s="39"/>
    </row>
    <row r="2246" hidden="1">
      <c r="A2246" s="202"/>
      <c r="B2246" s="203"/>
      <c r="C2246" s="203"/>
      <c r="D2246" s="209"/>
      <c r="E2246" s="248"/>
      <c r="F2246" s="249"/>
      <c r="G2246" s="39"/>
    </row>
    <row r="2247" hidden="1">
      <c r="A2247" s="202"/>
      <c r="B2247" s="203"/>
      <c r="C2247" s="203"/>
      <c r="D2247" s="209"/>
      <c r="E2247" s="248"/>
      <c r="F2247" s="249"/>
      <c r="G2247" s="39"/>
    </row>
    <row r="2248" hidden="1">
      <c r="A2248" s="202"/>
      <c r="B2248" s="203"/>
      <c r="C2248" s="203"/>
      <c r="D2248" s="209"/>
      <c r="E2248" s="248"/>
      <c r="F2248" s="249"/>
      <c r="G2248" s="39"/>
    </row>
    <row r="2249" hidden="1">
      <c r="A2249" s="202"/>
      <c r="B2249" s="203"/>
      <c r="C2249" s="203"/>
      <c r="D2249" s="209"/>
      <c r="E2249" s="248"/>
      <c r="F2249" s="249"/>
      <c r="G2249" s="39"/>
    </row>
    <row r="2250" hidden="1">
      <c r="A2250" s="202"/>
      <c r="B2250" s="203"/>
      <c r="C2250" s="203"/>
      <c r="D2250" s="209"/>
      <c r="E2250" s="248"/>
      <c r="F2250" s="249"/>
      <c r="G2250" s="39"/>
    </row>
    <row r="2251" hidden="1">
      <c r="A2251" s="202"/>
      <c r="B2251" s="203"/>
      <c r="C2251" s="203"/>
      <c r="D2251" s="209"/>
      <c r="E2251" s="248"/>
      <c r="F2251" s="249"/>
      <c r="G2251" s="39"/>
    </row>
    <row r="2252" hidden="1">
      <c r="A2252" s="202"/>
      <c r="B2252" s="203"/>
      <c r="C2252" s="203"/>
      <c r="D2252" s="209"/>
      <c r="E2252" s="248"/>
      <c r="F2252" s="249"/>
      <c r="G2252" s="39"/>
    </row>
    <row r="2253" hidden="1">
      <c r="A2253" s="202"/>
      <c r="B2253" s="203"/>
      <c r="C2253" s="203"/>
      <c r="D2253" s="209"/>
      <c r="E2253" s="248"/>
      <c r="F2253" s="249"/>
      <c r="G2253" s="39"/>
    </row>
    <row r="2254" hidden="1">
      <c r="A2254" s="202"/>
      <c r="B2254" s="203"/>
      <c r="C2254" s="203"/>
      <c r="D2254" s="209"/>
      <c r="E2254" s="248"/>
      <c r="F2254" s="249"/>
      <c r="G2254" s="39"/>
    </row>
    <row r="2255" hidden="1">
      <c r="A2255" s="202"/>
      <c r="B2255" s="203"/>
      <c r="C2255" s="203"/>
      <c r="D2255" s="209"/>
      <c r="E2255" s="248"/>
      <c r="F2255" s="249"/>
      <c r="G2255" s="39"/>
    </row>
    <row r="2256" hidden="1">
      <c r="A2256" s="202"/>
      <c r="B2256" s="203"/>
      <c r="C2256" s="203"/>
      <c r="D2256" s="209"/>
      <c r="E2256" s="248"/>
      <c r="F2256" s="249"/>
      <c r="G2256" s="39"/>
    </row>
    <row r="2257" hidden="1">
      <c r="A2257" s="202"/>
      <c r="B2257" s="203"/>
      <c r="C2257" s="203"/>
      <c r="D2257" s="209"/>
      <c r="E2257" s="248"/>
      <c r="F2257" s="249"/>
      <c r="G2257" s="39"/>
    </row>
    <row r="2258" hidden="1">
      <c r="A2258" s="202"/>
      <c r="B2258" s="203"/>
      <c r="C2258" s="203"/>
      <c r="D2258" s="209"/>
      <c r="E2258" s="248"/>
      <c r="F2258" s="249"/>
      <c r="G2258" s="39"/>
    </row>
    <row r="2259" hidden="1">
      <c r="A2259" s="202"/>
      <c r="B2259" s="203"/>
      <c r="C2259" s="203"/>
      <c r="D2259" s="209"/>
      <c r="E2259" s="248"/>
      <c r="F2259" s="249"/>
      <c r="G2259" s="39"/>
    </row>
    <row r="2260" hidden="1">
      <c r="A2260" s="202"/>
      <c r="B2260" s="203"/>
      <c r="C2260" s="203"/>
      <c r="D2260" s="209"/>
      <c r="E2260" s="248"/>
      <c r="F2260" s="249"/>
      <c r="G2260" s="39"/>
    </row>
    <row r="2261" hidden="1">
      <c r="A2261" s="202"/>
      <c r="B2261" s="203"/>
      <c r="C2261" s="203"/>
      <c r="D2261" s="209"/>
      <c r="E2261" s="248"/>
      <c r="F2261" s="249"/>
      <c r="G2261" s="39"/>
    </row>
    <row r="2262" hidden="1">
      <c r="A2262" s="202"/>
      <c r="B2262" s="203"/>
      <c r="C2262" s="203"/>
      <c r="D2262" s="209"/>
      <c r="E2262" s="248"/>
      <c r="F2262" s="249"/>
      <c r="G2262" s="39"/>
    </row>
    <row r="2263" hidden="1">
      <c r="A2263" s="202"/>
      <c r="B2263" s="203"/>
      <c r="C2263" s="203"/>
      <c r="D2263" s="209"/>
      <c r="E2263" s="248"/>
      <c r="F2263" s="249"/>
      <c r="G2263" s="39"/>
    </row>
    <row r="2264" hidden="1">
      <c r="A2264" s="202"/>
      <c r="B2264" s="203"/>
      <c r="C2264" s="203"/>
      <c r="D2264" s="209"/>
      <c r="E2264" s="248"/>
      <c r="F2264" s="249"/>
      <c r="G2264" s="39"/>
    </row>
    <row r="2265" hidden="1">
      <c r="A2265" s="202"/>
      <c r="B2265" s="203"/>
      <c r="C2265" s="203"/>
      <c r="D2265" s="209"/>
      <c r="E2265" s="248"/>
      <c r="F2265" s="249"/>
      <c r="G2265" s="39"/>
    </row>
    <row r="2266" hidden="1">
      <c r="A2266" s="202"/>
      <c r="B2266" s="203"/>
      <c r="C2266" s="203"/>
      <c r="D2266" s="209"/>
      <c r="E2266" s="248"/>
      <c r="F2266" s="249"/>
      <c r="G2266" s="39"/>
    </row>
    <row r="2267" hidden="1">
      <c r="A2267" s="202"/>
      <c r="B2267" s="203"/>
      <c r="C2267" s="203"/>
      <c r="D2267" s="209"/>
      <c r="E2267" s="248"/>
      <c r="F2267" s="249"/>
      <c r="G2267" s="39"/>
    </row>
    <row r="2268" hidden="1">
      <c r="A2268" s="202"/>
      <c r="B2268" s="203"/>
      <c r="C2268" s="203"/>
      <c r="D2268" s="209"/>
      <c r="E2268" s="248"/>
      <c r="F2268" s="249"/>
      <c r="G2268" s="39"/>
    </row>
    <row r="2269" hidden="1">
      <c r="A2269" s="202"/>
      <c r="B2269" s="203"/>
      <c r="C2269" s="203"/>
      <c r="D2269" s="209"/>
      <c r="E2269" s="248"/>
      <c r="F2269" s="249"/>
      <c r="G2269" s="39"/>
    </row>
    <row r="2270" hidden="1">
      <c r="A2270" s="202"/>
      <c r="B2270" s="203"/>
      <c r="C2270" s="203"/>
      <c r="D2270" s="209"/>
      <c r="E2270" s="248"/>
      <c r="F2270" s="249"/>
      <c r="G2270" s="39"/>
    </row>
    <row r="2271" hidden="1">
      <c r="A2271" s="202"/>
      <c r="B2271" s="203"/>
      <c r="C2271" s="203"/>
      <c r="D2271" s="209"/>
      <c r="E2271" s="248"/>
      <c r="F2271" s="249"/>
      <c r="G2271" s="39"/>
    </row>
    <row r="2272" hidden="1">
      <c r="A2272" s="202"/>
      <c r="B2272" s="203"/>
      <c r="C2272" s="203"/>
      <c r="D2272" s="209"/>
      <c r="E2272" s="248"/>
      <c r="F2272" s="249"/>
      <c r="G2272" s="39"/>
    </row>
    <row r="2273" hidden="1">
      <c r="A2273" s="202"/>
      <c r="B2273" s="203"/>
      <c r="C2273" s="203"/>
      <c r="D2273" s="209"/>
      <c r="E2273" s="248"/>
      <c r="F2273" s="249"/>
      <c r="G2273" s="39"/>
    </row>
    <row r="2274" hidden="1">
      <c r="A2274" s="202"/>
      <c r="B2274" s="203"/>
      <c r="C2274" s="203"/>
      <c r="D2274" s="209"/>
      <c r="E2274" s="248"/>
      <c r="F2274" s="249"/>
      <c r="G2274" s="39"/>
    </row>
    <row r="2275" hidden="1">
      <c r="A2275" s="202"/>
      <c r="B2275" s="203"/>
      <c r="C2275" s="203"/>
      <c r="D2275" s="209"/>
      <c r="E2275" s="248"/>
      <c r="F2275" s="249"/>
      <c r="G2275" s="39"/>
    </row>
    <row r="2276" hidden="1">
      <c r="A2276" s="202"/>
      <c r="B2276" s="203"/>
      <c r="C2276" s="203"/>
      <c r="D2276" s="209"/>
      <c r="E2276" s="248"/>
      <c r="F2276" s="249"/>
      <c r="G2276" s="39"/>
    </row>
    <row r="2277" hidden="1">
      <c r="A2277" s="202"/>
      <c r="B2277" s="203"/>
      <c r="C2277" s="203"/>
      <c r="D2277" s="209"/>
      <c r="E2277" s="248"/>
      <c r="F2277" s="249"/>
      <c r="G2277" s="39"/>
    </row>
    <row r="2278" hidden="1">
      <c r="A2278" s="202"/>
      <c r="B2278" s="203"/>
      <c r="C2278" s="203"/>
      <c r="D2278" s="209"/>
      <c r="E2278" s="248"/>
      <c r="F2278" s="249"/>
      <c r="G2278" s="39"/>
    </row>
    <row r="2279" hidden="1">
      <c r="A2279" s="202"/>
      <c r="B2279" s="203"/>
      <c r="C2279" s="203"/>
      <c r="D2279" s="209"/>
      <c r="E2279" s="248"/>
      <c r="F2279" s="249"/>
      <c r="G2279" s="39"/>
    </row>
    <row r="2280" hidden="1">
      <c r="A2280" s="202"/>
      <c r="B2280" s="203"/>
      <c r="C2280" s="203"/>
      <c r="D2280" s="209"/>
      <c r="E2280" s="248"/>
      <c r="F2280" s="249"/>
      <c r="G2280" s="39"/>
    </row>
    <row r="2281" hidden="1">
      <c r="A2281" s="202"/>
      <c r="B2281" s="203"/>
      <c r="C2281" s="203"/>
      <c r="D2281" s="209"/>
      <c r="E2281" s="248"/>
      <c r="F2281" s="249"/>
      <c r="G2281" s="39"/>
    </row>
    <row r="2282" hidden="1">
      <c r="A2282" s="202"/>
      <c r="B2282" s="203"/>
      <c r="C2282" s="203"/>
      <c r="D2282" s="209"/>
      <c r="E2282" s="248"/>
      <c r="F2282" s="249"/>
      <c r="G2282" s="39"/>
    </row>
    <row r="2283" hidden="1">
      <c r="A2283" s="202"/>
      <c r="B2283" s="203"/>
      <c r="C2283" s="203"/>
      <c r="D2283" s="209"/>
      <c r="E2283" s="248"/>
      <c r="F2283" s="249"/>
      <c r="G2283" s="39"/>
    </row>
    <row r="2284" hidden="1">
      <c r="A2284" s="202"/>
      <c r="B2284" s="203"/>
      <c r="C2284" s="203"/>
      <c r="D2284" s="209"/>
      <c r="E2284" s="248"/>
      <c r="F2284" s="249"/>
      <c r="G2284" s="39"/>
    </row>
    <row r="2285" hidden="1">
      <c r="A2285" s="202"/>
      <c r="B2285" s="203"/>
      <c r="C2285" s="203"/>
      <c r="D2285" s="209"/>
      <c r="E2285" s="248"/>
      <c r="F2285" s="249"/>
      <c r="G2285" s="39"/>
    </row>
    <row r="2286" hidden="1">
      <c r="A2286" s="202"/>
      <c r="B2286" s="203"/>
      <c r="C2286" s="203"/>
      <c r="D2286" s="209"/>
      <c r="E2286" s="248"/>
      <c r="F2286" s="249"/>
      <c r="G2286" s="39"/>
    </row>
    <row r="2287" hidden="1">
      <c r="A2287" s="202"/>
      <c r="B2287" s="203"/>
      <c r="C2287" s="203"/>
      <c r="D2287" s="209"/>
      <c r="E2287" s="248"/>
      <c r="F2287" s="249"/>
      <c r="G2287" s="39"/>
    </row>
    <row r="2288" hidden="1">
      <c r="A2288" s="202"/>
      <c r="B2288" s="203"/>
      <c r="C2288" s="203"/>
      <c r="D2288" s="209"/>
      <c r="E2288" s="248"/>
      <c r="F2288" s="249"/>
      <c r="G2288" s="39"/>
    </row>
    <row r="2289" hidden="1">
      <c r="A2289" s="202"/>
      <c r="B2289" s="203"/>
      <c r="C2289" s="203"/>
      <c r="D2289" s="209"/>
      <c r="E2289" s="248"/>
      <c r="F2289" s="249"/>
      <c r="G2289" s="39"/>
    </row>
    <row r="2290" hidden="1">
      <c r="A2290" s="202"/>
      <c r="B2290" s="203"/>
      <c r="C2290" s="203"/>
      <c r="D2290" s="209"/>
      <c r="E2290" s="248"/>
      <c r="F2290" s="249"/>
      <c r="G2290" s="39"/>
    </row>
    <row r="2291" hidden="1">
      <c r="A2291" s="202"/>
      <c r="B2291" s="203"/>
      <c r="C2291" s="203"/>
      <c r="D2291" s="209"/>
      <c r="E2291" s="248"/>
      <c r="F2291" s="249"/>
      <c r="G2291" s="39"/>
    </row>
    <row r="2292" hidden="1">
      <c r="A2292" s="202"/>
      <c r="B2292" s="203"/>
      <c r="C2292" s="203"/>
      <c r="D2292" s="209"/>
      <c r="E2292" s="248"/>
      <c r="F2292" s="249"/>
      <c r="G2292" s="39"/>
    </row>
    <row r="2293" hidden="1">
      <c r="A2293" s="202"/>
      <c r="B2293" s="203"/>
      <c r="C2293" s="203"/>
      <c r="D2293" s="209"/>
      <c r="E2293" s="248"/>
      <c r="F2293" s="249"/>
      <c r="G2293" s="39"/>
    </row>
    <row r="2294" hidden="1">
      <c r="A2294" s="202"/>
      <c r="B2294" s="203"/>
      <c r="C2294" s="203"/>
      <c r="D2294" s="209"/>
      <c r="E2294" s="248"/>
      <c r="F2294" s="249"/>
      <c r="G2294" s="39"/>
    </row>
    <row r="2295" hidden="1">
      <c r="A2295" s="202"/>
      <c r="B2295" s="203"/>
      <c r="C2295" s="203"/>
      <c r="D2295" s="209"/>
      <c r="E2295" s="248"/>
      <c r="F2295" s="249"/>
      <c r="G2295" s="39"/>
    </row>
    <row r="2296" hidden="1">
      <c r="A2296" s="202"/>
      <c r="B2296" s="203"/>
      <c r="C2296" s="203"/>
      <c r="D2296" s="209"/>
      <c r="E2296" s="248"/>
      <c r="F2296" s="249"/>
      <c r="G2296" s="39"/>
    </row>
    <row r="2297" hidden="1">
      <c r="A2297" s="202"/>
      <c r="B2297" s="203"/>
      <c r="C2297" s="203"/>
      <c r="D2297" s="209"/>
      <c r="E2297" s="248"/>
      <c r="F2297" s="249"/>
      <c r="G2297" s="39"/>
    </row>
    <row r="2298" hidden="1">
      <c r="A2298" s="202"/>
      <c r="B2298" s="203"/>
      <c r="C2298" s="203"/>
      <c r="D2298" s="209"/>
      <c r="E2298" s="248"/>
      <c r="F2298" s="249"/>
      <c r="G2298" s="39"/>
    </row>
    <row r="2299" hidden="1">
      <c r="A2299" s="202"/>
      <c r="B2299" s="203"/>
      <c r="C2299" s="203"/>
      <c r="D2299" s="209"/>
      <c r="E2299" s="248"/>
      <c r="F2299" s="249"/>
      <c r="G2299" s="39"/>
    </row>
    <row r="2300" hidden="1">
      <c r="A2300" s="202"/>
      <c r="B2300" s="203"/>
      <c r="C2300" s="203"/>
      <c r="D2300" s="209"/>
      <c r="E2300" s="248"/>
      <c r="F2300" s="249"/>
      <c r="G2300" s="39"/>
    </row>
    <row r="2301" hidden="1">
      <c r="A2301" s="202"/>
      <c r="B2301" s="203"/>
      <c r="C2301" s="203"/>
      <c r="D2301" s="209"/>
      <c r="E2301" s="248"/>
      <c r="F2301" s="249"/>
      <c r="G2301" s="39"/>
    </row>
    <row r="2302" hidden="1">
      <c r="A2302" s="202"/>
      <c r="B2302" s="203"/>
      <c r="C2302" s="203"/>
      <c r="D2302" s="209"/>
      <c r="E2302" s="248"/>
      <c r="F2302" s="249"/>
      <c r="G2302" s="39"/>
    </row>
    <row r="2303" hidden="1">
      <c r="A2303" s="202"/>
      <c r="B2303" s="203"/>
      <c r="C2303" s="203"/>
      <c r="D2303" s="209"/>
      <c r="E2303" s="248"/>
      <c r="F2303" s="249"/>
      <c r="G2303" s="39"/>
    </row>
    <row r="2304" hidden="1">
      <c r="A2304" s="202"/>
      <c r="B2304" s="203"/>
      <c r="C2304" s="203"/>
      <c r="D2304" s="209"/>
      <c r="E2304" s="248"/>
      <c r="F2304" s="249"/>
      <c r="G2304" s="39"/>
    </row>
    <row r="2305" hidden="1">
      <c r="A2305" s="202"/>
      <c r="B2305" s="203"/>
      <c r="C2305" s="203"/>
      <c r="D2305" s="209"/>
      <c r="E2305" s="248"/>
      <c r="F2305" s="249"/>
      <c r="G2305" s="39"/>
    </row>
    <row r="2306" hidden="1">
      <c r="A2306" s="202"/>
      <c r="B2306" s="203"/>
      <c r="C2306" s="203"/>
      <c r="D2306" s="209"/>
      <c r="E2306" s="248"/>
      <c r="F2306" s="249"/>
      <c r="G2306" s="39"/>
    </row>
    <row r="2307" hidden="1">
      <c r="A2307" s="202"/>
      <c r="B2307" s="203"/>
      <c r="C2307" s="203"/>
      <c r="D2307" s="209"/>
      <c r="E2307" s="248"/>
      <c r="F2307" s="249"/>
      <c r="G2307" s="39"/>
    </row>
    <row r="2308" hidden="1">
      <c r="A2308" s="202"/>
      <c r="B2308" s="203"/>
      <c r="C2308" s="203"/>
      <c r="D2308" s="209"/>
      <c r="E2308" s="248"/>
      <c r="F2308" s="249"/>
      <c r="G2308" s="39"/>
    </row>
    <row r="2309" hidden="1">
      <c r="A2309" s="202"/>
      <c r="B2309" s="203"/>
      <c r="C2309" s="203"/>
      <c r="D2309" s="209"/>
      <c r="E2309" s="248"/>
      <c r="F2309" s="249"/>
      <c r="G2309" s="39"/>
    </row>
    <row r="2310" hidden="1">
      <c r="A2310" s="202"/>
      <c r="B2310" s="203"/>
      <c r="C2310" s="203"/>
      <c r="D2310" s="209"/>
      <c r="E2310" s="248"/>
      <c r="F2310" s="249"/>
      <c r="G2310" s="39"/>
    </row>
    <row r="2311" hidden="1">
      <c r="A2311" s="202"/>
      <c r="B2311" s="203"/>
      <c r="C2311" s="203"/>
      <c r="D2311" s="209"/>
      <c r="E2311" s="248"/>
      <c r="F2311" s="249"/>
      <c r="G2311" s="39"/>
    </row>
    <row r="2312" hidden="1">
      <c r="A2312" s="202"/>
      <c r="B2312" s="203"/>
      <c r="C2312" s="203"/>
      <c r="D2312" s="209"/>
      <c r="E2312" s="248"/>
      <c r="F2312" s="249"/>
      <c r="G2312" s="39"/>
    </row>
    <row r="2313" hidden="1">
      <c r="A2313" s="202"/>
      <c r="B2313" s="203"/>
      <c r="C2313" s="203"/>
      <c r="D2313" s="209"/>
      <c r="E2313" s="248"/>
      <c r="F2313" s="249"/>
      <c r="G2313" s="39"/>
    </row>
    <row r="2314" hidden="1">
      <c r="A2314" s="202"/>
      <c r="B2314" s="203"/>
      <c r="C2314" s="203"/>
      <c r="D2314" s="209"/>
      <c r="E2314" s="248"/>
      <c r="F2314" s="249"/>
      <c r="G2314" s="39"/>
    </row>
    <row r="2315" hidden="1">
      <c r="A2315" s="202"/>
      <c r="B2315" s="203"/>
      <c r="C2315" s="203"/>
      <c r="D2315" s="209"/>
      <c r="E2315" s="248"/>
      <c r="F2315" s="249"/>
      <c r="G2315" s="39"/>
    </row>
    <row r="2316" hidden="1">
      <c r="A2316" s="202"/>
      <c r="B2316" s="203"/>
      <c r="C2316" s="203"/>
      <c r="D2316" s="209"/>
      <c r="E2316" s="248"/>
      <c r="F2316" s="249"/>
      <c r="G2316" s="39"/>
    </row>
    <row r="2317" hidden="1">
      <c r="A2317" s="202"/>
      <c r="B2317" s="203"/>
      <c r="C2317" s="203"/>
      <c r="D2317" s="209"/>
      <c r="E2317" s="248"/>
      <c r="F2317" s="249"/>
      <c r="G2317" s="39"/>
    </row>
    <row r="2318" hidden="1">
      <c r="A2318" s="202"/>
      <c r="B2318" s="203"/>
      <c r="C2318" s="203"/>
      <c r="D2318" s="209"/>
      <c r="E2318" s="248"/>
      <c r="F2318" s="249"/>
      <c r="G2318" s="39"/>
    </row>
    <row r="2319" hidden="1">
      <c r="A2319" s="202"/>
      <c r="B2319" s="203"/>
      <c r="C2319" s="203"/>
      <c r="D2319" s="209"/>
      <c r="E2319" s="248"/>
      <c r="F2319" s="249"/>
      <c r="G2319" s="39"/>
    </row>
    <row r="2320" hidden="1">
      <c r="A2320" s="202"/>
      <c r="B2320" s="203"/>
      <c r="C2320" s="203"/>
      <c r="D2320" s="209"/>
      <c r="E2320" s="248"/>
      <c r="F2320" s="249"/>
      <c r="G2320" s="39"/>
    </row>
    <row r="2321" hidden="1">
      <c r="A2321" s="202"/>
      <c r="B2321" s="203"/>
      <c r="C2321" s="203"/>
      <c r="D2321" s="209"/>
      <c r="E2321" s="248"/>
      <c r="F2321" s="249"/>
      <c r="G2321" s="39"/>
    </row>
    <row r="2322" hidden="1">
      <c r="A2322" s="202"/>
      <c r="B2322" s="203"/>
      <c r="C2322" s="203"/>
      <c r="D2322" s="209"/>
      <c r="E2322" s="248"/>
      <c r="F2322" s="249"/>
      <c r="G2322" s="39"/>
    </row>
    <row r="2323" hidden="1">
      <c r="A2323" s="202"/>
      <c r="B2323" s="203"/>
      <c r="C2323" s="203"/>
      <c r="D2323" s="209"/>
      <c r="E2323" s="248"/>
      <c r="F2323" s="249"/>
      <c r="G2323" s="39"/>
    </row>
    <row r="2324" hidden="1">
      <c r="A2324" s="202"/>
      <c r="B2324" s="203"/>
      <c r="C2324" s="203"/>
      <c r="D2324" s="209"/>
      <c r="E2324" s="248"/>
      <c r="F2324" s="249"/>
      <c r="G2324" s="39"/>
    </row>
    <row r="2325" hidden="1">
      <c r="A2325" s="202"/>
      <c r="B2325" s="203"/>
      <c r="C2325" s="203"/>
      <c r="D2325" s="209"/>
      <c r="E2325" s="248"/>
      <c r="F2325" s="249"/>
      <c r="G2325" s="39"/>
    </row>
    <row r="2326" hidden="1">
      <c r="A2326" s="202"/>
      <c r="B2326" s="203"/>
      <c r="C2326" s="203"/>
      <c r="D2326" s="209"/>
      <c r="E2326" s="248"/>
      <c r="F2326" s="249"/>
      <c r="G2326" s="39"/>
    </row>
    <row r="2327" hidden="1">
      <c r="A2327" s="202"/>
      <c r="B2327" s="203"/>
      <c r="C2327" s="203"/>
      <c r="D2327" s="209"/>
      <c r="E2327" s="248"/>
      <c r="F2327" s="249"/>
      <c r="G2327" s="39"/>
    </row>
    <row r="2328" hidden="1">
      <c r="A2328" s="202"/>
      <c r="B2328" s="203"/>
      <c r="C2328" s="203"/>
      <c r="D2328" s="209"/>
      <c r="E2328" s="248"/>
      <c r="F2328" s="249"/>
      <c r="G2328" s="39"/>
    </row>
    <row r="2329" hidden="1">
      <c r="A2329" s="202"/>
      <c r="B2329" s="203"/>
      <c r="C2329" s="203"/>
      <c r="D2329" s="209"/>
      <c r="E2329" s="248"/>
      <c r="F2329" s="249"/>
      <c r="G2329" s="39"/>
    </row>
    <row r="2330" hidden="1">
      <c r="A2330" s="202"/>
      <c r="B2330" s="203"/>
      <c r="C2330" s="203"/>
      <c r="D2330" s="209"/>
      <c r="E2330" s="248"/>
      <c r="F2330" s="249"/>
      <c r="G2330" s="39"/>
    </row>
    <row r="2331" hidden="1">
      <c r="A2331" s="202"/>
      <c r="B2331" s="203"/>
      <c r="C2331" s="203"/>
      <c r="D2331" s="209"/>
      <c r="E2331" s="248"/>
      <c r="F2331" s="249"/>
      <c r="G2331" s="39"/>
    </row>
    <row r="2332" hidden="1">
      <c r="A2332" s="202"/>
      <c r="B2332" s="203"/>
      <c r="C2332" s="203"/>
      <c r="D2332" s="209"/>
      <c r="E2332" s="248"/>
      <c r="F2332" s="249"/>
      <c r="G2332" s="39"/>
    </row>
    <row r="2333" hidden="1">
      <c r="A2333" s="202"/>
      <c r="B2333" s="203"/>
      <c r="C2333" s="203"/>
      <c r="D2333" s="209"/>
      <c r="E2333" s="248"/>
      <c r="F2333" s="249"/>
      <c r="G2333" s="39"/>
    </row>
    <row r="2334" hidden="1">
      <c r="A2334" s="202"/>
      <c r="B2334" s="203"/>
      <c r="C2334" s="203"/>
      <c r="D2334" s="209"/>
      <c r="E2334" s="248"/>
      <c r="F2334" s="249"/>
      <c r="G2334" s="39"/>
    </row>
    <row r="2335" hidden="1">
      <c r="A2335" s="202"/>
      <c r="B2335" s="203"/>
      <c r="C2335" s="203"/>
      <c r="D2335" s="209"/>
      <c r="E2335" s="248"/>
      <c r="F2335" s="249"/>
      <c r="G2335" s="39"/>
    </row>
    <row r="2336" hidden="1">
      <c r="A2336" s="202"/>
      <c r="B2336" s="203"/>
      <c r="C2336" s="203"/>
      <c r="D2336" s="209"/>
      <c r="E2336" s="248"/>
      <c r="F2336" s="249"/>
      <c r="G2336" s="39"/>
    </row>
    <row r="2337" hidden="1">
      <c r="A2337" s="202"/>
      <c r="B2337" s="203"/>
      <c r="C2337" s="203"/>
      <c r="D2337" s="209"/>
      <c r="E2337" s="248"/>
      <c r="F2337" s="249"/>
      <c r="G2337" s="39"/>
    </row>
    <row r="2338" hidden="1">
      <c r="A2338" s="202"/>
      <c r="B2338" s="203"/>
      <c r="C2338" s="203"/>
      <c r="D2338" s="209"/>
      <c r="E2338" s="248"/>
      <c r="F2338" s="249"/>
      <c r="G2338" s="39"/>
    </row>
    <row r="2339" hidden="1">
      <c r="A2339" s="202"/>
      <c r="B2339" s="203"/>
      <c r="C2339" s="203"/>
      <c r="D2339" s="209"/>
      <c r="E2339" s="248"/>
      <c r="F2339" s="249"/>
      <c r="G2339" s="39"/>
    </row>
    <row r="2340" hidden="1">
      <c r="A2340" s="202"/>
      <c r="B2340" s="203"/>
      <c r="C2340" s="203"/>
      <c r="D2340" s="209"/>
      <c r="E2340" s="248"/>
      <c r="F2340" s="249"/>
      <c r="G2340" s="39"/>
    </row>
    <row r="2341" hidden="1">
      <c r="A2341" s="202"/>
      <c r="B2341" s="203"/>
      <c r="C2341" s="203"/>
      <c r="D2341" s="209"/>
      <c r="E2341" s="248"/>
      <c r="F2341" s="249"/>
      <c r="G2341" s="39"/>
    </row>
    <row r="2342" hidden="1">
      <c r="A2342" s="202"/>
      <c r="B2342" s="203"/>
      <c r="C2342" s="203"/>
      <c r="D2342" s="209"/>
      <c r="E2342" s="248"/>
      <c r="F2342" s="249"/>
      <c r="G2342" s="39"/>
    </row>
    <row r="2343" hidden="1">
      <c r="A2343" s="202"/>
      <c r="B2343" s="203"/>
      <c r="C2343" s="203"/>
      <c r="D2343" s="209"/>
      <c r="E2343" s="248"/>
      <c r="F2343" s="249"/>
      <c r="G2343" s="39"/>
    </row>
    <row r="2344" hidden="1">
      <c r="A2344" s="202"/>
      <c r="B2344" s="203"/>
      <c r="C2344" s="203"/>
      <c r="D2344" s="209"/>
      <c r="E2344" s="248"/>
      <c r="F2344" s="249"/>
      <c r="G2344" s="39"/>
    </row>
    <row r="2345" hidden="1">
      <c r="A2345" s="202"/>
      <c r="B2345" s="203"/>
      <c r="C2345" s="203"/>
      <c r="D2345" s="209"/>
      <c r="E2345" s="248"/>
      <c r="F2345" s="249"/>
      <c r="G2345" s="39"/>
    </row>
    <row r="2346" hidden="1">
      <c r="A2346" s="202"/>
      <c r="B2346" s="203"/>
      <c r="C2346" s="203"/>
      <c r="D2346" s="209"/>
      <c r="E2346" s="248"/>
      <c r="F2346" s="249"/>
      <c r="G2346" s="39"/>
    </row>
    <row r="2347" hidden="1">
      <c r="A2347" s="202"/>
      <c r="B2347" s="203"/>
      <c r="C2347" s="203"/>
      <c r="D2347" s="209"/>
      <c r="E2347" s="248"/>
      <c r="F2347" s="249"/>
      <c r="G2347" s="39"/>
    </row>
    <row r="2348" hidden="1">
      <c r="A2348" s="202"/>
      <c r="B2348" s="203"/>
      <c r="C2348" s="203"/>
      <c r="D2348" s="209"/>
      <c r="E2348" s="248"/>
      <c r="F2348" s="249"/>
      <c r="G2348" s="39"/>
    </row>
    <row r="2349" hidden="1">
      <c r="A2349" s="202"/>
      <c r="B2349" s="203"/>
      <c r="C2349" s="203"/>
      <c r="D2349" s="209"/>
      <c r="E2349" s="248"/>
      <c r="F2349" s="249"/>
      <c r="G2349" s="39"/>
    </row>
    <row r="2350" hidden="1">
      <c r="A2350" s="202"/>
      <c r="B2350" s="203"/>
      <c r="C2350" s="203"/>
      <c r="D2350" s="209"/>
      <c r="E2350" s="248"/>
      <c r="F2350" s="249"/>
      <c r="G2350" s="39"/>
    </row>
    <row r="2351" hidden="1">
      <c r="A2351" s="202"/>
      <c r="B2351" s="203"/>
      <c r="C2351" s="203"/>
      <c r="D2351" s="209"/>
      <c r="E2351" s="248"/>
      <c r="F2351" s="249"/>
      <c r="G2351" s="39"/>
    </row>
    <row r="2352" hidden="1">
      <c r="A2352" s="202"/>
      <c r="B2352" s="203"/>
      <c r="C2352" s="203"/>
      <c r="D2352" s="209"/>
      <c r="E2352" s="248"/>
      <c r="F2352" s="249"/>
      <c r="G2352" s="39"/>
    </row>
    <row r="2353" hidden="1">
      <c r="A2353" s="202"/>
      <c r="B2353" s="203"/>
      <c r="C2353" s="203"/>
      <c r="D2353" s="209"/>
      <c r="E2353" s="248"/>
      <c r="F2353" s="249"/>
      <c r="G2353" s="39"/>
    </row>
    <row r="2354" hidden="1">
      <c r="A2354" s="202"/>
      <c r="B2354" s="203"/>
      <c r="C2354" s="203"/>
      <c r="D2354" s="209"/>
      <c r="E2354" s="248"/>
      <c r="F2354" s="249"/>
      <c r="G2354" s="39"/>
    </row>
    <row r="2355" hidden="1">
      <c r="A2355" s="202"/>
      <c r="B2355" s="203"/>
      <c r="C2355" s="203"/>
      <c r="D2355" s="209"/>
      <c r="E2355" s="248"/>
      <c r="F2355" s="249"/>
      <c r="G2355" s="39"/>
    </row>
    <row r="2356" hidden="1">
      <c r="A2356" s="202"/>
      <c r="B2356" s="203"/>
      <c r="C2356" s="203"/>
      <c r="D2356" s="209"/>
      <c r="E2356" s="248"/>
      <c r="F2356" s="249"/>
      <c r="G2356" s="39"/>
    </row>
    <row r="2357" hidden="1">
      <c r="A2357" s="202"/>
      <c r="B2357" s="203"/>
      <c r="C2357" s="203"/>
      <c r="D2357" s="209"/>
      <c r="E2357" s="248"/>
      <c r="F2357" s="249"/>
      <c r="G2357" s="39"/>
    </row>
    <row r="2358" hidden="1">
      <c r="A2358" s="202"/>
      <c r="B2358" s="203"/>
      <c r="C2358" s="203"/>
      <c r="D2358" s="209"/>
      <c r="E2358" s="248"/>
      <c r="F2358" s="249"/>
      <c r="G2358" s="39"/>
    </row>
    <row r="2359" hidden="1">
      <c r="A2359" s="202"/>
      <c r="B2359" s="203"/>
      <c r="C2359" s="203"/>
      <c r="D2359" s="209"/>
      <c r="E2359" s="248"/>
      <c r="F2359" s="249"/>
      <c r="G2359" s="39"/>
    </row>
    <row r="2360" hidden="1">
      <c r="A2360" s="202"/>
      <c r="B2360" s="203"/>
      <c r="C2360" s="203"/>
      <c r="D2360" s="209"/>
      <c r="E2360" s="248"/>
      <c r="F2360" s="249"/>
      <c r="G2360" s="39"/>
    </row>
    <row r="2361" hidden="1">
      <c r="A2361" s="202"/>
      <c r="B2361" s="203"/>
      <c r="C2361" s="203"/>
      <c r="D2361" s="209"/>
      <c r="E2361" s="248"/>
      <c r="F2361" s="249"/>
      <c r="G2361" s="39"/>
    </row>
    <row r="2362" hidden="1">
      <c r="A2362" s="202"/>
      <c r="B2362" s="203"/>
      <c r="C2362" s="203"/>
      <c r="D2362" s="209"/>
      <c r="E2362" s="248"/>
      <c r="F2362" s="249"/>
      <c r="G2362" s="39"/>
    </row>
    <row r="2363" hidden="1">
      <c r="A2363" s="202"/>
      <c r="B2363" s="203"/>
      <c r="C2363" s="203"/>
      <c r="D2363" s="209"/>
      <c r="E2363" s="248"/>
      <c r="F2363" s="249"/>
      <c r="G2363" s="39"/>
    </row>
    <row r="2364" hidden="1">
      <c r="A2364" s="202"/>
      <c r="B2364" s="203"/>
      <c r="C2364" s="203"/>
      <c r="D2364" s="209"/>
      <c r="E2364" s="248"/>
      <c r="F2364" s="249"/>
      <c r="G2364" s="39"/>
    </row>
    <row r="2365" hidden="1">
      <c r="A2365" s="202"/>
      <c r="B2365" s="203"/>
      <c r="C2365" s="203"/>
      <c r="D2365" s="209"/>
      <c r="E2365" s="248"/>
      <c r="F2365" s="249"/>
      <c r="G2365" s="39"/>
    </row>
    <row r="2366" hidden="1">
      <c r="A2366" s="202"/>
      <c r="B2366" s="203"/>
      <c r="C2366" s="203"/>
      <c r="D2366" s="209"/>
      <c r="E2366" s="248"/>
      <c r="F2366" s="249"/>
      <c r="G2366" s="39"/>
    </row>
    <row r="2367" hidden="1">
      <c r="A2367" s="202"/>
      <c r="B2367" s="203"/>
      <c r="C2367" s="203"/>
      <c r="D2367" s="209"/>
      <c r="E2367" s="248"/>
      <c r="F2367" s="249"/>
      <c r="G2367" s="39"/>
    </row>
    <row r="2368" hidden="1">
      <c r="A2368" s="202"/>
      <c r="B2368" s="203"/>
      <c r="C2368" s="203"/>
      <c r="D2368" s="209"/>
      <c r="E2368" s="248"/>
      <c r="F2368" s="249"/>
      <c r="G2368" s="39"/>
    </row>
    <row r="2369" hidden="1">
      <c r="A2369" s="202"/>
      <c r="B2369" s="203"/>
      <c r="C2369" s="203"/>
      <c r="D2369" s="209"/>
      <c r="E2369" s="248"/>
      <c r="F2369" s="249"/>
      <c r="G2369" s="39"/>
    </row>
    <row r="2370" hidden="1">
      <c r="A2370" s="202"/>
      <c r="B2370" s="203"/>
      <c r="C2370" s="203"/>
      <c r="D2370" s="209"/>
      <c r="E2370" s="248"/>
      <c r="F2370" s="249"/>
      <c r="G2370" s="39"/>
    </row>
    <row r="2371" hidden="1">
      <c r="A2371" s="202"/>
      <c r="B2371" s="203"/>
      <c r="C2371" s="203"/>
      <c r="D2371" s="209"/>
      <c r="E2371" s="248"/>
      <c r="F2371" s="249"/>
      <c r="G2371" s="39"/>
    </row>
    <row r="2372" hidden="1">
      <c r="A2372" s="202"/>
      <c r="B2372" s="203"/>
      <c r="C2372" s="203"/>
      <c r="D2372" s="209"/>
      <c r="E2372" s="248"/>
      <c r="F2372" s="249"/>
      <c r="G2372" s="39"/>
    </row>
    <row r="2373" hidden="1">
      <c r="A2373" s="202"/>
      <c r="B2373" s="203"/>
      <c r="C2373" s="203"/>
      <c r="D2373" s="209"/>
      <c r="E2373" s="248"/>
      <c r="F2373" s="249"/>
      <c r="G2373" s="39"/>
    </row>
    <row r="2374" hidden="1">
      <c r="A2374" s="202"/>
      <c r="B2374" s="203"/>
      <c r="C2374" s="203"/>
      <c r="D2374" s="209"/>
      <c r="E2374" s="248"/>
      <c r="F2374" s="249"/>
      <c r="G2374" s="39"/>
    </row>
    <row r="2375" hidden="1">
      <c r="A2375" s="202"/>
      <c r="B2375" s="203"/>
      <c r="C2375" s="203"/>
      <c r="D2375" s="209"/>
      <c r="E2375" s="248"/>
      <c r="F2375" s="249"/>
      <c r="G2375" s="39"/>
    </row>
    <row r="2376" hidden="1">
      <c r="A2376" s="202"/>
      <c r="B2376" s="203"/>
      <c r="C2376" s="203"/>
      <c r="D2376" s="209"/>
      <c r="E2376" s="248"/>
      <c r="F2376" s="249"/>
      <c r="G2376" s="39"/>
    </row>
    <row r="2377" hidden="1">
      <c r="A2377" s="202"/>
      <c r="B2377" s="203"/>
      <c r="C2377" s="203"/>
      <c r="D2377" s="209"/>
      <c r="E2377" s="248"/>
      <c r="F2377" s="249"/>
      <c r="G2377" s="39"/>
    </row>
    <row r="2378" hidden="1">
      <c r="A2378" s="202"/>
      <c r="B2378" s="203"/>
      <c r="C2378" s="203"/>
      <c r="D2378" s="209"/>
      <c r="E2378" s="248"/>
      <c r="F2378" s="249"/>
      <c r="G2378" s="39"/>
    </row>
    <row r="2379" hidden="1">
      <c r="A2379" s="202"/>
      <c r="B2379" s="203"/>
      <c r="C2379" s="203"/>
      <c r="D2379" s="209"/>
      <c r="E2379" s="248"/>
      <c r="F2379" s="249"/>
      <c r="G2379" s="39"/>
    </row>
    <row r="2380" hidden="1">
      <c r="A2380" s="202"/>
      <c r="B2380" s="203"/>
      <c r="C2380" s="203"/>
      <c r="D2380" s="209"/>
      <c r="E2380" s="248"/>
      <c r="F2380" s="249"/>
      <c r="G2380" s="39"/>
    </row>
    <row r="2381" hidden="1">
      <c r="A2381" s="202"/>
      <c r="B2381" s="203"/>
      <c r="C2381" s="203"/>
      <c r="D2381" s="209"/>
      <c r="E2381" s="248"/>
      <c r="F2381" s="249"/>
      <c r="G2381" s="39"/>
    </row>
    <row r="2382" hidden="1">
      <c r="A2382" s="202"/>
      <c r="B2382" s="203"/>
      <c r="C2382" s="203"/>
      <c r="D2382" s="209"/>
      <c r="E2382" s="248"/>
      <c r="F2382" s="249"/>
      <c r="G2382" s="39"/>
    </row>
    <row r="2383" hidden="1">
      <c r="A2383" s="202"/>
      <c r="B2383" s="203"/>
      <c r="C2383" s="203"/>
      <c r="D2383" s="209"/>
      <c r="E2383" s="248"/>
      <c r="F2383" s="249"/>
      <c r="G2383" s="39"/>
    </row>
    <row r="2384" hidden="1">
      <c r="A2384" s="202"/>
      <c r="B2384" s="203"/>
      <c r="C2384" s="203"/>
      <c r="D2384" s="209"/>
      <c r="E2384" s="248"/>
      <c r="F2384" s="249"/>
      <c r="G2384" s="39"/>
    </row>
    <row r="2385" hidden="1">
      <c r="A2385" s="202"/>
      <c r="B2385" s="203"/>
      <c r="C2385" s="203"/>
      <c r="D2385" s="209"/>
      <c r="E2385" s="248"/>
      <c r="F2385" s="249"/>
      <c r="G2385" s="39"/>
    </row>
    <row r="2386" hidden="1">
      <c r="A2386" s="202"/>
      <c r="B2386" s="203"/>
      <c r="C2386" s="203"/>
      <c r="D2386" s="209"/>
      <c r="E2386" s="248"/>
      <c r="F2386" s="249"/>
      <c r="G2386" s="39"/>
    </row>
    <row r="2387" hidden="1">
      <c r="A2387" s="202"/>
      <c r="B2387" s="203"/>
      <c r="C2387" s="203"/>
      <c r="D2387" s="209"/>
      <c r="E2387" s="248"/>
      <c r="F2387" s="249"/>
      <c r="G2387" s="39"/>
    </row>
    <row r="2388" hidden="1">
      <c r="A2388" s="202"/>
      <c r="B2388" s="203"/>
      <c r="C2388" s="203"/>
      <c r="D2388" s="209"/>
      <c r="E2388" s="248"/>
      <c r="F2388" s="249"/>
      <c r="G2388" s="39"/>
    </row>
    <row r="2389" hidden="1">
      <c r="A2389" s="202"/>
      <c r="B2389" s="203"/>
      <c r="C2389" s="203"/>
      <c r="D2389" s="209"/>
      <c r="E2389" s="248"/>
      <c r="F2389" s="249"/>
      <c r="G2389" s="39"/>
    </row>
    <row r="2390" hidden="1">
      <c r="A2390" s="202"/>
      <c r="B2390" s="203"/>
      <c r="C2390" s="203"/>
      <c r="D2390" s="209"/>
      <c r="E2390" s="248"/>
      <c r="F2390" s="249"/>
      <c r="G2390" s="39"/>
    </row>
    <row r="2391" hidden="1">
      <c r="A2391" s="202"/>
      <c r="B2391" s="203"/>
      <c r="C2391" s="203"/>
      <c r="D2391" s="209"/>
      <c r="E2391" s="248"/>
      <c r="F2391" s="249"/>
      <c r="G2391" s="39"/>
    </row>
    <row r="2392" hidden="1">
      <c r="A2392" s="202"/>
      <c r="B2392" s="203"/>
      <c r="C2392" s="203"/>
      <c r="D2392" s="209"/>
      <c r="E2392" s="248"/>
      <c r="F2392" s="249"/>
      <c r="G2392" s="39"/>
    </row>
    <row r="2393" hidden="1">
      <c r="A2393" s="202"/>
      <c r="B2393" s="203"/>
      <c r="C2393" s="203"/>
      <c r="D2393" s="209"/>
      <c r="E2393" s="248"/>
      <c r="F2393" s="249"/>
      <c r="G2393" s="39"/>
    </row>
    <row r="2394" hidden="1">
      <c r="A2394" s="202"/>
      <c r="B2394" s="203"/>
      <c r="C2394" s="203"/>
      <c r="D2394" s="209"/>
      <c r="E2394" s="248"/>
      <c r="F2394" s="249"/>
      <c r="G2394" s="39"/>
    </row>
    <row r="2395" hidden="1">
      <c r="A2395" s="202"/>
      <c r="B2395" s="203"/>
      <c r="C2395" s="203"/>
      <c r="D2395" s="209"/>
      <c r="E2395" s="248"/>
      <c r="F2395" s="249"/>
      <c r="G2395" s="39"/>
    </row>
    <row r="2396" hidden="1">
      <c r="A2396" s="202"/>
      <c r="B2396" s="203"/>
      <c r="C2396" s="203"/>
      <c r="D2396" s="209"/>
      <c r="E2396" s="248"/>
      <c r="F2396" s="249"/>
      <c r="G2396" s="39"/>
    </row>
    <row r="2397" hidden="1">
      <c r="A2397" s="202"/>
      <c r="B2397" s="203"/>
      <c r="C2397" s="203"/>
      <c r="D2397" s="209"/>
      <c r="E2397" s="248"/>
      <c r="F2397" s="249"/>
      <c r="G2397" s="39"/>
    </row>
    <row r="2398" hidden="1">
      <c r="A2398" s="202"/>
      <c r="B2398" s="203"/>
      <c r="C2398" s="203"/>
      <c r="D2398" s="209"/>
      <c r="E2398" s="248"/>
      <c r="F2398" s="249"/>
      <c r="G2398" s="39"/>
    </row>
    <row r="2399" hidden="1">
      <c r="A2399" s="202"/>
      <c r="B2399" s="203"/>
      <c r="C2399" s="203"/>
      <c r="D2399" s="209"/>
      <c r="E2399" s="248"/>
      <c r="F2399" s="249"/>
      <c r="G2399" s="39"/>
    </row>
    <row r="2400" hidden="1">
      <c r="A2400" s="202"/>
      <c r="B2400" s="203"/>
      <c r="C2400" s="203"/>
      <c r="D2400" s="209"/>
      <c r="E2400" s="248"/>
      <c r="F2400" s="249"/>
      <c r="G2400" s="39"/>
    </row>
    <row r="2401" hidden="1">
      <c r="A2401" s="202"/>
      <c r="B2401" s="203"/>
      <c r="C2401" s="203"/>
      <c r="D2401" s="209"/>
      <c r="E2401" s="248"/>
      <c r="F2401" s="249"/>
      <c r="G2401" s="39"/>
    </row>
    <row r="2402" hidden="1">
      <c r="A2402" s="202"/>
      <c r="B2402" s="203"/>
      <c r="C2402" s="203"/>
      <c r="D2402" s="209"/>
      <c r="E2402" s="248"/>
      <c r="F2402" s="249"/>
      <c r="G2402" s="39"/>
    </row>
    <row r="2403" hidden="1">
      <c r="A2403" s="202"/>
      <c r="B2403" s="203"/>
      <c r="C2403" s="203"/>
      <c r="D2403" s="209"/>
      <c r="E2403" s="248"/>
      <c r="F2403" s="249"/>
      <c r="G2403" s="39"/>
    </row>
    <row r="2404" hidden="1">
      <c r="A2404" s="202"/>
      <c r="B2404" s="203"/>
      <c r="C2404" s="203"/>
      <c r="D2404" s="209"/>
      <c r="E2404" s="248"/>
      <c r="F2404" s="249"/>
      <c r="G2404" s="39"/>
    </row>
    <row r="2405" hidden="1">
      <c r="A2405" s="202"/>
      <c r="B2405" s="203"/>
      <c r="C2405" s="203"/>
      <c r="D2405" s="209"/>
      <c r="E2405" s="248"/>
      <c r="F2405" s="249"/>
      <c r="G2405" s="39"/>
    </row>
    <row r="2406" hidden="1">
      <c r="A2406" s="202"/>
      <c r="B2406" s="203"/>
      <c r="C2406" s="203"/>
      <c r="D2406" s="209"/>
      <c r="E2406" s="248"/>
      <c r="F2406" s="249"/>
      <c r="G2406" s="39"/>
    </row>
    <row r="2407" hidden="1">
      <c r="A2407" s="202"/>
      <c r="B2407" s="203"/>
      <c r="C2407" s="203"/>
      <c r="D2407" s="209"/>
      <c r="E2407" s="248"/>
      <c r="F2407" s="249"/>
      <c r="G2407" s="39"/>
    </row>
    <row r="2408" hidden="1">
      <c r="A2408" s="202"/>
      <c r="B2408" s="203"/>
      <c r="C2408" s="203"/>
      <c r="D2408" s="209"/>
      <c r="E2408" s="248"/>
      <c r="F2408" s="249"/>
      <c r="G2408" s="39"/>
    </row>
    <row r="2409" hidden="1">
      <c r="A2409" s="202"/>
      <c r="B2409" s="203"/>
      <c r="C2409" s="203"/>
      <c r="D2409" s="209"/>
      <c r="E2409" s="248"/>
      <c r="F2409" s="249"/>
      <c r="G2409" s="39"/>
    </row>
    <row r="2410" hidden="1">
      <c r="A2410" s="202"/>
      <c r="B2410" s="203"/>
      <c r="C2410" s="203"/>
      <c r="D2410" s="209"/>
      <c r="E2410" s="248"/>
      <c r="F2410" s="249"/>
      <c r="G2410" s="39"/>
    </row>
    <row r="2411" hidden="1">
      <c r="A2411" s="202"/>
      <c r="B2411" s="203"/>
      <c r="C2411" s="203"/>
      <c r="D2411" s="209"/>
      <c r="E2411" s="248"/>
      <c r="F2411" s="249"/>
      <c r="G2411" s="39"/>
    </row>
    <row r="2412" hidden="1">
      <c r="A2412" s="202"/>
      <c r="B2412" s="203"/>
      <c r="C2412" s="203"/>
      <c r="D2412" s="209"/>
      <c r="E2412" s="248"/>
      <c r="F2412" s="249"/>
      <c r="G2412" s="39"/>
    </row>
    <row r="2413" hidden="1">
      <c r="A2413" s="202"/>
      <c r="B2413" s="203"/>
      <c r="C2413" s="203"/>
      <c r="D2413" s="209"/>
      <c r="E2413" s="248"/>
      <c r="F2413" s="249"/>
      <c r="G2413" s="39"/>
    </row>
    <row r="2414" hidden="1">
      <c r="A2414" s="202"/>
      <c r="B2414" s="203"/>
      <c r="C2414" s="203"/>
      <c r="D2414" s="209"/>
      <c r="E2414" s="248"/>
      <c r="F2414" s="249"/>
      <c r="G2414" s="39"/>
    </row>
    <row r="2415" hidden="1">
      <c r="A2415" s="202"/>
      <c r="B2415" s="203"/>
      <c r="C2415" s="203"/>
      <c r="D2415" s="209"/>
      <c r="E2415" s="248"/>
      <c r="F2415" s="249"/>
      <c r="G2415" s="39"/>
    </row>
    <row r="2416" hidden="1">
      <c r="A2416" s="202"/>
      <c r="B2416" s="203"/>
      <c r="C2416" s="203"/>
      <c r="D2416" s="209"/>
      <c r="E2416" s="248"/>
      <c r="F2416" s="249"/>
      <c r="G2416" s="39"/>
    </row>
    <row r="2417" hidden="1">
      <c r="A2417" s="202"/>
      <c r="B2417" s="203"/>
      <c r="C2417" s="203"/>
      <c r="D2417" s="209"/>
      <c r="E2417" s="248"/>
      <c r="F2417" s="249"/>
      <c r="G2417" s="39"/>
    </row>
    <row r="2418" hidden="1">
      <c r="A2418" s="202"/>
      <c r="B2418" s="203"/>
      <c r="C2418" s="203"/>
      <c r="D2418" s="209"/>
      <c r="E2418" s="248"/>
      <c r="F2418" s="249"/>
      <c r="G2418" s="39"/>
    </row>
    <row r="2419" hidden="1">
      <c r="A2419" s="202"/>
      <c r="B2419" s="203"/>
      <c r="C2419" s="203"/>
      <c r="D2419" s="209"/>
      <c r="E2419" s="248"/>
      <c r="F2419" s="249"/>
      <c r="G2419" s="39"/>
    </row>
    <row r="2420" hidden="1">
      <c r="A2420" s="202"/>
      <c r="B2420" s="203"/>
      <c r="C2420" s="203"/>
      <c r="D2420" s="209"/>
      <c r="E2420" s="248"/>
      <c r="F2420" s="249"/>
      <c r="G2420" s="39"/>
    </row>
    <row r="2421" hidden="1">
      <c r="A2421" s="202"/>
      <c r="B2421" s="203"/>
      <c r="C2421" s="203"/>
      <c r="D2421" s="209"/>
      <c r="E2421" s="248"/>
      <c r="F2421" s="249"/>
      <c r="G2421" s="39"/>
    </row>
    <row r="2422" hidden="1">
      <c r="A2422" s="202"/>
      <c r="B2422" s="203"/>
      <c r="C2422" s="203"/>
      <c r="D2422" s="209"/>
      <c r="E2422" s="248"/>
      <c r="F2422" s="249"/>
      <c r="G2422" s="39"/>
    </row>
    <row r="2423" hidden="1">
      <c r="A2423" s="202"/>
      <c r="B2423" s="203"/>
      <c r="C2423" s="203"/>
      <c r="D2423" s="209"/>
      <c r="E2423" s="248"/>
      <c r="F2423" s="249"/>
      <c r="G2423" s="39"/>
    </row>
    <row r="2424" hidden="1">
      <c r="A2424" s="202"/>
      <c r="B2424" s="203"/>
      <c r="C2424" s="203"/>
      <c r="D2424" s="209"/>
      <c r="E2424" s="248"/>
      <c r="F2424" s="249"/>
      <c r="G2424" s="39"/>
    </row>
    <row r="2425" hidden="1">
      <c r="A2425" s="202"/>
      <c r="B2425" s="203"/>
      <c r="C2425" s="203"/>
      <c r="D2425" s="209"/>
      <c r="E2425" s="248"/>
      <c r="F2425" s="249"/>
      <c r="G2425" s="39"/>
    </row>
    <row r="2426" hidden="1">
      <c r="A2426" s="202"/>
      <c r="B2426" s="203"/>
      <c r="C2426" s="203"/>
      <c r="D2426" s="209"/>
      <c r="E2426" s="248"/>
      <c r="F2426" s="249"/>
      <c r="G2426" s="39"/>
    </row>
    <row r="2427" hidden="1">
      <c r="A2427" s="202"/>
      <c r="B2427" s="203"/>
      <c r="C2427" s="203"/>
      <c r="D2427" s="209"/>
      <c r="E2427" s="248"/>
      <c r="F2427" s="249"/>
      <c r="G2427" s="39"/>
    </row>
    <row r="2428" hidden="1">
      <c r="A2428" s="202"/>
      <c r="B2428" s="203"/>
      <c r="C2428" s="203"/>
      <c r="D2428" s="209"/>
      <c r="E2428" s="248"/>
      <c r="F2428" s="249"/>
      <c r="G2428" s="39"/>
    </row>
    <row r="2429" hidden="1">
      <c r="A2429" s="202"/>
      <c r="B2429" s="203"/>
      <c r="C2429" s="203"/>
      <c r="D2429" s="209"/>
      <c r="E2429" s="248"/>
      <c r="F2429" s="249"/>
      <c r="G2429" s="39"/>
    </row>
    <row r="2430" hidden="1">
      <c r="A2430" s="202"/>
      <c r="B2430" s="203"/>
      <c r="C2430" s="203"/>
      <c r="D2430" s="209"/>
      <c r="E2430" s="248"/>
      <c r="F2430" s="249"/>
      <c r="G2430" s="39"/>
    </row>
    <row r="2431" hidden="1">
      <c r="A2431" s="202"/>
      <c r="B2431" s="203"/>
      <c r="C2431" s="203"/>
      <c r="D2431" s="209"/>
      <c r="E2431" s="248"/>
      <c r="F2431" s="249"/>
      <c r="G2431" s="39"/>
    </row>
    <row r="2432" hidden="1">
      <c r="A2432" s="202"/>
      <c r="B2432" s="203"/>
      <c r="C2432" s="203"/>
      <c r="D2432" s="209"/>
      <c r="E2432" s="248"/>
      <c r="F2432" s="249"/>
      <c r="G2432" s="39"/>
    </row>
    <row r="2433" hidden="1">
      <c r="A2433" s="202"/>
      <c r="B2433" s="203"/>
      <c r="C2433" s="203"/>
      <c r="D2433" s="209"/>
      <c r="E2433" s="248"/>
      <c r="F2433" s="249"/>
      <c r="G2433" s="39"/>
    </row>
    <row r="2434" hidden="1">
      <c r="A2434" s="202"/>
      <c r="B2434" s="203"/>
      <c r="C2434" s="203"/>
      <c r="D2434" s="209"/>
      <c r="E2434" s="248"/>
      <c r="F2434" s="249"/>
      <c r="G2434" s="39"/>
    </row>
    <row r="2435" hidden="1">
      <c r="A2435" s="202"/>
      <c r="B2435" s="203"/>
      <c r="C2435" s="203"/>
      <c r="D2435" s="209"/>
      <c r="E2435" s="248"/>
      <c r="F2435" s="249"/>
      <c r="G2435" s="39"/>
    </row>
    <row r="2436" hidden="1">
      <c r="A2436" s="202"/>
      <c r="B2436" s="203"/>
      <c r="C2436" s="203"/>
      <c r="D2436" s="209"/>
      <c r="E2436" s="248"/>
      <c r="F2436" s="249"/>
      <c r="G2436" s="39"/>
    </row>
    <row r="2437" hidden="1">
      <c r="A2437" s="202"/>
      <c r="B2437" s="203"/>
      <c r="C2437" s="203"/>
      <c r="D2437" s="209"/>
      <c r="E2437" s="248"/>
      <c r="F2437" s="249"/>
      <c r="G2437" s="39"/>
    </row>
    <row r="2438" hidden="1">
      <c r="A2438" s="202"/>
      <c r="B2438" s="203"/>
      <c r="C2438" s="203"/>
      <c r="D2438" s="209"/>
      <c r="E2438" s="248"/>
      <c r="F2438" s="249"/>
      <c r="G2438" s="39"/>
    </row>
    <row r="2439" hidden="1">
      <c r="A2439" s="202"/>
      <c r="B2439" s="203"/>
      <c r="C2439" s="203"/>
      <c r="D2439" s="209"/>
      <c r="E2439" s="248"/>
      <c r="F2439" s="249"/>
      <c r="G2439" s="39"/>
    </row>
    <row r="2440" hidden="1">
      <c r="A2440" s="202"/>
      <c r="B2440" s="203"/>
      <c r="C2440" s="203"/>
      <c r="D2440" s="209"/>
      <c r="E2440" s="248"/>
      <c r="F2440" s="249"/>
      <c r="G2440" s="39"/>
    </row>
    <row r="2441" hidden="1">
      <c r="A2441" s="202"/>
      <c r="B2441" s="203"/>
      <c r="C2441" s="203"/>
      <c r="D2441" s="209"/>
      <c r="E2441" s="248"/>
      <c r="F2441" s="249"/>
      <c r="G2441" s="39"/>
    </row>
    <row r="2442" hidden="1">
      <c r="A2442" s="202"/>
      <c r="B2442" s="203"/>
      <c r="C2442" s="203"/>
      <c r="D2442" s="209"/>
      <c r="E2442" s="248"/>
      <c r="F2442" s="249"/>
      <c r="G2442" s="39"/>
    </row>
    <row r="2443" hidden="1">
      <c r="A2443" s="202"/>
      <c r="B2443" s="203"/>
      <c r="C2443" s="203"/>
      <c r="D2443" s="209"/>
      <c r="E2443" s="248"/>
      <c r="F2443" s="249"/>
      <c r="G2443" s="39"/>
    </row>
    <row r="2444" hidden="1">
      <c r="A2444" s="202"/>
      <c r="B2444" s="203"/>
      <c r="C2444" s="203"/>
      <c r="D2444" s="209"/>
      <c r="E2444" s="248"/>
      <c r="F2444" s="249"/>
      <c r="G2444" s="39"/>
    </row>
    <row r="2445" hidden="1">
      <c r="A2445" s="202"/>
      <c r="B2445" s="203"/>
      <c r="C2445" s="203"/>
      <c r="D2445" s="209"/>
      <c r="E2445" s="248"/>
      <c r="F2445" s="249"/>
      <c r="G2445" s="39"/>
    </row>
    <row r="2446" hidden="1">
      <c r="A2446" s="202"/>
      <c r="B2446" s="203"/>
      <c r="C2446" s="203"/>
      <c r="D2446" s="209"/>
      <c r="E2446" s="248"/>
      <c r="F2446" s="249"/>
      <c r="G2446" s="39"/>
    </row>
    <row r="2447" hidden="1">
      <c r="A2447" s="202"/>
      <c r="B2447" s="203"/>
      <c r="C2447" s="203"/>
      <c r="D2447" s="209"/>
      <c r="E2447" s="248"/>
      <c r="F2447" s="249"/>
      <c r="G2447" s="39"/>
    </row>
    <row r="2448" hidden="1">
      <c r="A2448" s="202"/>
      <c r="B2448" s="203"/>
      <c r="C2448" s="203"/>
      <c r="D2448" s="209"/>
      <c r="E2448" s="248"/>
      <c r="F2448" s="249"/>
      <c r="G2448" s="39"/>
    </row>
    <row r="2449" hidden="1">
      <c r="A2449" s="202"/>
      <c r="B2449" s="203"/>
      <c r="C2449" s="203"/>
      <c r="D2449" s="209"/>
      <c r="E2449" s="248"/>
      <c r="F2449" s="249"/>
      <c r="G2449" s="39"/>
    </row>
    <row r="2450" hidden="1">
      <c r="A2450" s="202"/>
      <c r="B2450" s="203"/>
      <c r="C2450" s="203"/>
      <c r="D2450" s="209"/>
      <c r="E2450" s="248"/>
      <c r="F2450" s="249"/>
      <c r="G2450" s="39"/>
    </row>
    <row r="2451" hidden="1">
      <c r="A2451" s="202"/>
      <c r="B2451" s="203"/>
      <c r="C2451" s="203"/>
      <c r="D2451" s="209"/>
      <c r="E2451" s="248"/>
      <c r="F2451" s="249"/>
      <c r="G2451" s="39"/>
    </row>
    <row r="2452" hidden="1">
      <c r="A2452" s="202"/>
      <c r="B2452" s="203"/>
      <c r="C2452" s="203"/>
      <c r="D2452" s="209"/>
      <c r="E2452" s="248"/>
      <c r="F2452" s="249"/>
      <c r="G2452" s="39"/>
    </row>
    <row r="2453" hidden="1">
      <c r="A2453" s="202"/>
      <c r="B2453" s="203"/>
      <c r="C2453" s="203"/>
      <c r="D2453" s="209"/>
      <c r="E2453" s="248"/>
      <c r="F2453" s="249"/>
      <c r="G2453" s="39"/>
    </row>
    <row r="2454" hidden="1">
      <c r="A2454" s="202"/>
      <c r="B2454" s="203"/>
      <c r="C2454" s="203"/>
      <c r="D2454" s="209"/>
      <c r="E2454" s="248"/>
      <c r="F2454" s="249"/>
      <c r="G2454" s="39"/>
    </row>
    <row r="2455" hidden="1">
      <c r="A2455" s="202"/>
      <c r="B2455" s="203"/>
      <c r="C2455" s="203"/>
      <c r="D2455" s="209"/>
      <c r="E2455" s="248"/>
      <c r="F2455" s="249"/>
      <c r="G2455" s="39"/>
    </row>
    <row r="2456" hidden="1">
      <c r="A2456" s="202"/>
      <c r="B2456" s="203"/>
      <c r="C2456" s="203"/>
      <c r="D2456" s="209"/>
      <c r="E2456" s="248"/>
      <c r="F2456" s="249"/>
      <c r="G2456" s="39"/>
    </row>
    <row r="2457" hidden="1">
      <c r="A2457" s="202"/>
      <c r="B2457" s="203"/>
      <c r="C2457" s="203"/>
      <c r="D2457" s="209"/>
      <c r="E2457" s="248"/>
      <c r="F2457" s="249"/>
      <c r="G2457" s="39"/>
    </row>
    <row r="2458" hidden="1">
      <c r="A2458" s="202"/>
      <c r="B2458" s="203"/>
      <c r="C2458" s="203"/>
      <c r="D2458" s="209"/>
      <c r="E2458" s="248"/>
      <c r="F2458" s="249"/>
      <c r="G2458" s="39"/>
    </row>
    <row r="2459" hidden="1">
      <c r="A2459" s="202"/>
      <c r="B2459" s="203"/>
      <c r="C2459" s="203"/>
      <c r="D2459" s="209"/>
      <c r="E2459" s="248"/>
      <c r="F2459" s="249"/>
      <c r="G2459" s="39"/>
    </row>
    <row r="2460" hidden="1">
      <c r="A2460" s="202"/>
      <c r="B2460" s="203"/>
      <c r="C2460" s="203"/>
      <c r="D2460" s="209"/>
      <c r="E2460" s="248"/>
      <c r="F2460" s="249"/>
      <c r="G2460" s="39"/>
    </row>
    <row r="2461" hidden="1">
      <c r="A2461" s="202"/>
      <c r="B2461" s="203"/>
      <c r="C2461" s="203"/>
      <c r="D2461" s="209"/>
      <c r="E2461" s="248"/>
      <c r="F2461" s="249"/>
      <c r="G2461" s="39"/>
    </row>
    <row r="2462" hidden="1">
      <c r="A2462" s="202"/>
      <c r="B2462" s="203"/>
      <c r="C2462" s="203"/>
      <c r="D2462" s="209"/>
      <c r="E2462" s="248"/>
      <c r="F2462" s="249"/>
      <c r="G2462" s="39"/>
    </row>
    <row r="2463" hidden="1">
      <c r="A2463" s="202"/>
      <c r="B2463" s="203"/>
      <c r="C2463" s="203"/>
      <c r="D2463" s="209"/>
      <c r="E2463" s="248"/>
      <c r="F2463" s="249"/>
      <c r="G2463" s="39"/>
    </row>
    <row r="2464" hidden="1">
      <c r="A2464" s="202"/>
      <c r="B2464" s="203"/>
      <c r="C2464" s="203"/>
      <c r="D2464" s="209"/>
      <c r="E2464" s="248"/>
      <c r="F2464" s="249"/>
      <c r="G2464" s="39"/>
    </row>
    <row r="2465" hidden="1">
      <c r="A2465" s="202"/>
      <c r="B2465" s="203"/>
      <c r="C2465" s="203"/>
      <c r="D2465" s="209"/>
      <c r="E2465" s="248"/>
      <c r="F2465" s="249"/>
      <c r="G2465" s="39"/>
    </row>
    <row r="2466" hidden="1">
      <c r="A2466" s="202"/>
      <c r="B2466" s="203"/>
      <c r="C2466" s="203"/>
      <c r="D2466" s="209"/>
      <c r="E2466" s="248"/>
      <c r="F2466" s="249"/>
      <c r="G2466" s="39"/>
    </row>
    <row r="2467" hidden="1">
      <c r="A2467" s="202"/>
      <c r="B2467" s="203"/>
      <c r="C2467" s="203"/>
      <c r="D2467" s="209"/>
      <c r="E2467" s="248"/>
      <c r="F2467" s="249"/>
      <c r="G2467" s="39"/>
    </row>
    <row r="2468" hidden="1">
      <c r="A2468" s="202"/>
      <c r="B2468" s="203"/>
      <c r="C2468" s="203"/>
      <c r="D2468" s="209"/>
      <c r="E2468" s="248"/>
      <c r="F2468" s="249"/>
      <c r="G2468" s="39"/>
    </row>
    <row r="2469" hidden="1">
      <c r="A2469" s="202"/>
      <c r="B2469" s="203"/>
      <c r="C2469" s="203"/>
      <c r="D2469" s="209"/>
      <c r="E2469" s="248"/>
      <c r="F2469" s="249"/>
      <c r="G2469" s="39"/>
    </row>
    <row r="2470" hidden="1">
      <c r="A2470" s="202"/>
      <c r="B2470" s="203"/>
      <c r="C2470" s="203"/>
      <c r="D2470" s="209"/>
      <c r="E2470" s="248"/>
      <c r="F2470" s="249"/>
      <c r="G2470" s="39"/>
    </row>
    <row r="2471" hidden="1">
      <c r="A2471" s="202"/>
      <c r="B2471" s="203"/>
      <c r="C2471" s="203"/>
      <c r="D2471" s="209"/>
      <c r="E2471" s="248"/>
      <c r="F2471" s="249"/>
      <c r="G2471" s="39"/>
    </row>
    <row r="2472" hidden="1">
      <c r="A2472" s="202"/>
      <c r="B2472" s="203"/>
      <c r="C2472" s="203"/>
      <c r="D2472" s="209"/>
      <c r="E2472" s="248"/>
      <c r="F2472" s="249"/>
      <c r="G2472" s="39"/>
    </row>
    <row r="2473" hidden="1">
      <c r="A2473" s="202"/>
      <c r="B2473" s="203"/>
      <c r="C2473" s="203"/>
      <c r="D2473" s="209"/>
      <c r="E2473" s="248"/>
      <c r="F2473" s="249"/>
      <c r="G2473" s="39"/>
    </row>
    <row r="2474" hidden="1">
      <c r="A2474" s="202"/>
      <c r="B2474" s="203"/>
      <c r="C2474" s="203"/>
      <c r="D2474" s="209"/>
      <c r="E2474" s="248"/>
      <c r="F2474" s="249"/>
      <c r="G2474" s="39"/>
    </row>
    <row r="2475" hidden="1">
      <c r="A2475" s="202"/>
      <c r="B2475" s="203"/>
      <c r="C2475" s="203"/>
      <c r="D2475" s="209"/>
      <c r="E2475" s="248"/>
      <c r="F2475" s="249"/>
      <c r="G2475" s="39"/>
    </row>
    <row r="2476" hidden="1">
      <c r="A2476" s="202"/>
      <c r="B2476" s="203"/>
      <c r="C2476" s="203"/>
      <c r="D2476" s="209"/>
      <c r="E2476" s="248"/>
      <c r="F2476" s="249"/>
      <c r="G2476" s="39"/>
    </row>
    <row r="2477" hidden="1">
      <c r="A2477" s="202"/>
      <c r="B2477" s="203"/>
      <c r="C2477" s="203"/>
      <c r="D2477" s="209"/>
      <c r="E2477" s="248"/>
      <c r="F2477" s="249"/>
      <c r="G2477" s="39"/>
    </row>
    <row r="2478" hidden="1">
      <c r="A2478" s="202"/>
      <c r="B2478" s="203"/>
      <c r="C2478" s="203"/>
      <c r="D2478" s="209"/>
      <c r="E2478" s="248"/>
      <c r="F2478" s="249"/>
      <c r="G2478" s="39"/>
    </row>
    <row r="2479" hidden="1">
      <c r="A2479" s="202"/>
      <c r="B2479" s="203"/>
      <c r="C2479" s="203"/>
      <c r="D2479" s="209"/>
      <c r="E2479" s="248"/>
      <c r="F2479" s="249"/>
      <c r="G2479" s="39"/>
    </row>
  </sheetData>
  <autoFilter ref="$F$1:$F$2479">
    <filterColumn colId="0">
      <filters>
        <filter val="Port De La Mer"/>
        <filter val="Port de La Mer La Rive"/>
        <filter val="Port de La Mer"/>
        <filter val="LA MER"/>
        <filter val="LA RIVE"/>
      </filters>
    </filterColumn>
  </autoFilter>
  <hyperlinks>
    <hyperlink r:id="rId1" ref="D2"/>
    <hyperlink r:id="rId2" ref="D12"/>
    <hyperlink r:id="rId3" ref="D16"/>
    <hyperlink r:id="rId4" ref="D41"/>
    <hyperlink r:id="rId5" ref="D125"/>
    <hyperlink r:id="rId6" ref="D318"/>
    <hyperlink r:id="rId7" ref="D320"/>
    <hyperlink r:id="rId8" ref="C350"/>
    <hyperlink r:id="rId9" ref="D753"/>
    <hyperlink r:id="rId10" ref="D755"/>
    <hyperlink r:id="rId11" ref="C801"/>
    <hyperlink r:id="rId12" ref="D801"/>
    <hyperlink r:id="rId13" ref="D802"/>
    <hyperlink r:id="rId14" ref="D803"/>
    <hyperlink r:id="rId15" ref="D804"/>
    <hyperlink r:id="rId16" ref="D805"/>
    <hyperlink r:id="rId17" ref="D806"/>
    <hyperlink r:id="rId18" ref="D807"/>
    <hyperlink r:id="rId19" ref="D808"/>
    <hyperlink r:id="rId20" ref="D809"/>
    <hyperlink r:id="rId21" ref="C810"/>
    <hyperlink r:id="rId22" ref="D810"/>
    <hyperlink r:id="rId23" ref="D811"/>
    <hyperlink r:id="rId24" ref="D812"/>
    <hyperlink r:id="rId25" ref="D813"/>
    <hyperlink r:id="rId26" ref="D814"/>
    <hyperlink r:id="rId27" ref="D815"/>
    <hyperlink r:id="rId28" ref="D816"/>
    <hyperlink r:id="rId29" ref="D817"/>
    <hyperlink r:id="rId30" ref="D818"/>
    <hyperlink r:id="rId31" ref="D819"/>
    <hyperlink r:id="rId32" ref="D820"/>
    <hyperlink r:id="rId33" ref="D821"/>
    <hyperlink r:id="rId34" ref="D822"/>
    <hyperlink r:id="rId35" ref="D823"/>
    <hyperlink r:id="rId36" ref="D824"/>
    <hyperlink r:id="rId37" ref="D825"/>
    <hyperlink r:id="rId38" ref="D826"/>
    <hyperlink r:id="rId39" ref="D827"/>
    <hyperlink r:id="rId40" ref="D828"/>
    <hyperlink r:id="rId41" ref="D829"/>
    <hyperlink r:id="rId42" ref="D830"/>
    <hyperlink r:id="rId43" ref="D831"/>
    <hyperlink r:id="rId44" ref="D832"/>
    <hyperlink r:id="rId45" ref="D833"/>
    <hyperlink r:id="rId46" ref="D834"/>
    <hyperlink r:id="rId47" ref="C835"/>
    <hyperlink r:id="rId48" ref="D835"/>
    <hyperlink r:id="rId49" ref="D836"/>
    <hyperlink r:id="rId50" ref="D837"/>
    <hyperlink r:id="rId51" ref="D838"/>
    <hyperlink r:id="rId52" ref="D839"/>
    <hyperlink r:id="rId53" ref="D840"/>
    <hyperlink r:id="rId54" ref="D841"/>
    <hyperlink r:id="rId55" ref="D842"/>
    <hyperlink r:id="rId56" ref="D843"/>
    <hyperlink r:id="rId57" ref="D844"/>
    <hyperlink r:id="rId58" ref="D845"/>
    <hyperlink r:id="rId59" ref="D846"/>
    <hyperlink r:id="rId60" ref="D847"/>
    <hyperlink r:id="rId61" ref="D848"/>
    <hyperlink r:id="rId62" ref="D849"/>
    <hyperlink r:id="rId63" ref="D850"/>
    <hyperlink r:id="rId64" ref="D851"/>
    <hyperlink r:id="rId65" ref="D852"/>
    <hyperlink r:id="rId66" ref="C853"/>
    <hyperlink r:id="rId67" ref="D853"/>
    <hyperlink r:id="rId68" ref="D854"/>
    <hyperlink r:id="rId69" ref="D855"/>
    <hyperlink r:id="rId70" ref="D856"/>
    <hyperlink r:id="rId71" ref="D857"/>
    <hyperlink r:id="rId72" ref="D858"/>
    <hyperlink r:id="rId73" ref="D859"/>
    <hyperlink r:id="rId74" ref="C860"/>
    <hyperlink r:id="rId75" ref="D860"/>
    <hyperlink r:id="rId76" ref="C861"/>
    <hyperlink r:id="rId77" ref="D861"/>
    <hyperlink r:id="rId78" ref="C862"/>
    <hyperlink r:id="rId79" ref="D862"/>
    <hyperlink r:id="rId80" ref="C863"/>
    <hyperlink r:id="rId81" ref="D863"/>
    <hyperlink r:id="rId82" ref="C864"/>
    <hyperlink r:id="rId83" ref="D864"/>
    <hyperlink r:id="rId84" ref="C865"/>
    <hyperlink r:id="rId85" ref="D865"/>
    <hyperlink r:id="rId86" ref="C866"/>
    <hyperlink r:id="rId87" ref="D866"/>
    <hyperlink r:id="rId88" ref="C867"/>
    <hyperlink r:id="rId89" ref="D867"/>
    <hyperlink r:id="rId90" ref="C868"/>
    <hyperlink r:id="rId91" ref="D868"/>
    <hyperlink r:id="rId92" ref="C869"/>
    <hyperlink r:id="rId93" ref="D869"/>
    <hyperlink r:id="rId94" ref="C870"/>
    <hyperlink r:id="rId95" ref="D870"/>
    <hyperlink r:id="rId96" ref="C871"/>
    <hyperlink r:id="rId97" ref="D871"/>
    <hyperlink r:id="rId98" ref="C872"/>
    <hyperlink r:id="rId99" ref="D872"/>
    <hyperlink r:id="rId100" ref="C873"/>
    <hyperlink r:id="rId101" ref="D873"/>
    <hyperlink r:id="rId102" ref="C874"/>
    <hyperlink r:id="rId103" ref="D874"/>
    <hyperlink r:id="rId104" ref="C875"/>
    <hyperlink r:id="rId105" ref="D875"/>
    <hyperlink r:id="rId106" ref="C876"/>
    <hyperlink r:id="rId107" ref="D876"/>
    <hyperlink r:id="rId108" ref="C877"/>
    <hyperlink r:id="rId109" ref="D877"/>
    <hyperlink r:id="rId110" ref="C878"/>
    <hyperlink r:id="rId111" ref="D878"/>
    <hyperlink r:id="rId112" ref="C879"/>
    <hyperlink r:id="rId113" ref="D879"/>
    <hyperlink r:id="rId114" ref="C880"/>
    <hyperlink r:id="rId115" ref="D880"/>
    <hyperlink r:id="rId116" ref="C881"/>
    <hyperlink r:id="rId117" ref="D881"/>
    <hyperlink r:id="rId118" ref="C882"/>
    <hyperlink r:id="rId119" ref="D882"/>
    <hyperlink r:id="rId120" ref="C883"/>
    <hyperlink r:id="rId121" ref="D883"/>
    <hyperlink r:id="rId122" ref="C884"/>
    <hyperlink r:id="rId123" ref="D884"/>
    <hyperlink r:id="rId124" ref="C885"/>
    <hyperlink r:id="rId125" ref="D885"/>
    <hyperlink r:id="rId126" ref="C886"/>
    <hyperlink r:id="rId127" ref="D886"/>
    <hyperlink r:id="rId128" ref="C887"/>
    <hyperlink r:id="rId129" ref="D887"/>
    <hyperlink r:id="rId130" ref="C888"/>
    <hyperlink r:id="rId131" ref="D888"/>
    <hyperlink r:id="rId132" ref="C889"/>
    <hyperlink r:id="rId133" ref="D889"/>
    <hyperlink r:id="rId134" ref="C890"/>
    <hyperlink r:id="rId135" ref="D890"/>
    <hyperlink r:id="rId136" ref="C891"/>
    <hyperlink r:id="rId137" ref="D891"/>
    <hyperlink r:id="rId138" ref="C892"/>
    <hyperlink r:id="rId139" ref="D892"/>
    <hyperlink r:id="rId140" ref="C893"/>
    <hyperlink r:id="rId141" ref="D893"/>
    <hyperlink r:id="rId142" ref="C894"/>
    <hyperlink r:id="rId143" ref="D894"/>
    <hyperlink r:id="rId144" ref="C895"/>
    <hyperlink r:id="rId145" ref="D895"/>
    <hyperlink r:id="rId146" ref="C896"/>
    <hyperlink r:id="rId147" ref="D896"/>
    <hyperlink r:id="rId148" ref="C897"/>
    <hyperlink r:id="rId149" ref="D897"/>
    <hyperlink r:id="rId150" ref="C898"/>
    <hyperlink r:id="rId151" ref="D898"/>
    <hyperlink r:id="rId152" ref="C899"/>
    <hyperlink r:id="rId153" ref="D899"/>
    <hyperlink r:id="rId154" ref="C900"/>
    <hyperlink r:id="rId155" ref="D900"/>
    <hyperlink r:id="rId156" ref="C901"/>
    <hyperlink r:id="rId157" ref="D901"/>
    <hyperlink r:id="rId158" ref="C902"/>
    <hyperlink r:id="rId159" ref="D902"/>
    <hyperlink r:id="rId160" ref="C903"/>
    <hyperlink r:id="rId161" ref="D903"/>
    <hyperlink r:id="rId162" ref="C904"/>
    <hyperlink r:id="rId163" ref="D904"/>
    <hyperlink r:id="rId164" ref="C905"/>
    <hyperlink r:id="rId165" ref="D905"/>
    <hyperlink r:id="rId166" ref="C906"/>
    <hyperlink r:id="rId167" ref="D906"/>
    <hyperlink r:id="rId168" ref="C907"/>
    <hyperlink r:id="rId169" ref="D907"/>
    <hyperlink r:id="rId170" ref="C908"/>
    <hyperlink r:id="rId171" ref="D908"/>
    <hyperlink r:id="rId172" ref="C909"/>
    <hyperlink r:id="rId173" ref="D909"/>
    <hyperlink r:id="rId174" ref="C910"/>
    <hyperlink r:id="rId175" ref="D910"/>
    <hyperlink r:id="rId176" ref="C911"/>
    <hyperlink r:id="rId177" ref="D911"/>
    <hyperlink r:id="rId178" ref="C912"/>
    <hyperlink r:id="rId179" ref="D912"/>
    <hyperlink r:id="rId180" ref="C913"/>
    <hyperlink r:id="rId181" ref="D913"/>
    <hyperlink r:id="rId182" ref="C914"/>
    <hyperlink r:id="rId183" ref="D914"/>
    <hyperlink r:id="rId184" ref="C915"/>
    <hyperlink r:id="rId185" ref="D915"/>
    <hyperlink r:id="rId186" ref="C916"/>
    <hyperlink r:id="rId187" ref="D916"/>
    <hyperlink r:id="rId188" ref="C917"/>
    <hyperlink r:id="rId189" ref="D917"/>
    <hyperlink r:id="rId190" ref="C918"/>
    <hyperlink r:id="rId191" ref="D918"/>
    <hyperlink r:id="rId192" ref="C919"/>
    <hyperlink r:id="rId193" ref="D919"/>
    <hyperlink r:id="rId194" ref="C920"/>
    <hyperlink r:id="rId195" ref="D920"/>
    <hyperlink r:id="rId196" ref="C921"/>
    <hyperlink r:id="rId197" ref="C922"/>
    <hyperlink r:id="rId198" ref="D922"/>
    <hyperlink r:id="rId199" ref="C923"/>
    <hyperlink r:id="rId200" ref="D923"/>
    <hyperlink r:id="rId201" ref="C924"/>
    <hyperlink r:id="rId202" ref="D924"/>
    <hyperlink r:id="rId203" ref="C925"/>
    <hyperlink r:id="rId204" ref="D925"/>
    <hyperlink r:id="rId205" ref="C926"/>
    <hyperlink r:id="rId206" ref="D926"/>
    <hyperlink r:id="rId207" ref="C927"/>
    <hyperlink r:id="rId208" ref="D927"/>
    <hyperlink r:id="rId209" ref="C928"/>
    <hyperlink r:id="rId210" ref="D928"/>
    <hyperlink r:id="rId211" ref="C929"/>
    <hyperlink r:id="rId212" ref="D929"/>
    <hyperlink r:id="rId213" ref="C930"/>
    <hyperlink r:id="rId214" ref="D930"/>
    <hyperlink r:id="rId215" ref="C931"/>
    <hyperlink r:id="rId216" ref="D931"/>
    <hyperlink r:id="rId217" ref="C932"/>
    <hyperlink r:id="rId218" ref="D932"/>
    <hyperlink r:id="rId219" ref="C933"/>
    <hyperlink r:id="rId220" ref="D933"/>
    <hyperlink r:id="rId221" ref="C934"/>
    <hyperlink r:id="rId222" ref="D934"/>
    <hyperlink r:id="rId223" ref="C935"/>
    <hyperlink r:id="rId224" ref="D935"/>
    <hyperlink r:id="rId225" ref="C936"/>
    <hyperlink r:id="rId226" ref="D936"/>
    <hyperlink r:id="rId227" ref="C937"/>
    <hyperlink r:id="rId228" ref="D937"/>
    <hyperlink r:id="rId229" ref="C938"/>
    <hyperlink r:id="rId230" ref="D938"/>
    <hyperlink r:id="rId231" ref="C939"/>
    <hyperlink r:id="rId232" ref="C940"/>
    <hyperlink r:id="rId233" ref="D940"/>
    <hyperlink r:id="rId234" ref="C941"/>
    <hyperlink r:id="rId235" ref="D941"/>
    <hyperlink r:id="rId236" ref="C942"/>
    <hyperlink r:id="rId237" ref="D942"/>
    <hyperlink r:id="rId238" ref="C943"/>
    <hyperlink r:id="rId239" ref="D943"/>
    <hyperlink r:id="rId240" ref="C944"/>
    <hyperlink r:id="rId241" ref="D944"/>
    <hyperlink r:id="rId242" ref="C945"/>
    <hyperlink r:id="rId243" ref="D945"/>
    <hyperlink r:id="rId244" ref="C946"/>
    <hyperlink r:id="rId245" ref="D946"/>
    <hyperlink r:id="rId246" ref="C947"/>
    <hyperlink r:id="rId247" ref="D947"/>
    <hyperlink r:id="rId248" ref="C948"/>
    <hyperlink r:id="rId249" ref="C949"/>
    <hyperlink r:id="rId250" ref="D949"/>
    <hyperlink r:id="rId251" ref="C950"/>
    <hyperlink r:id="rId252" ref="D950"/>
    <hyperlink r:id="rId253" ref="C951"/>
    <hyperlink r:id="rId254" ref="D951"/>
    <hyperlink r:id="rId255" ref="C952"/>
    <hyperlink r:id="rId256" ref="D952"/>
    <hyperlink r:id="rId257" ref="C953"/>
    <hyperlink r:id="rId258" ref="D953"/>
    <hyperlink r:id="rId259" ref="C954"/>
    <hyperlink r:id="rId260" ref="D954"/>
    <hyperlink r:id="rId261" ref="C955"/>
    <hyperlink r:id="rId262" ref="D955"/>
    <hyperlink r:id="rId263" ref="C956"/>
    <hyperlink r:id="rId264" ref="D956"/>
    <hyperlink r:id="rId265" ref="C957"/>
    <hyperlink r:id="rId266" ref="D957"/>
    <hyperlink r:id="rId267" ref="C958"/>
    <hyperlink r:id="rId268" ref="D958"/>
    <hyperlink r:id="rId269" ref="C959"/>
    <hyperlink r:id="rId270" ref="D959"/>
    <hyperlink r:id="rId271" ref="C960"/>
    <hyperlink r:id="rId272" ref="D960"/>
    <hyperlink r:id="rId273" ref="C961"/>
    <hyperlink r:id="rId274" ref="D961"/>
    <hyperlink r:id="rId275" ref="C962"/>
    <hyperlink r:id="rId276" ref="D962"/>
    <hyperlink r:id="rId277" ref="C963"/>
    <hyperlink r:id="rId278" ref="D963"/>
    <hyperlink r:id="rId279" ref="C964"/>
    <hyperlink r:id="rId280" ref="D964"/>
    <hyperlink r:id="rId281" ref="C965"/>
    <hyperlink r:id="rId282" ref="D965"/>
    <hyperlink r:id="rId283" ref="C966"/>
    <hyperlink r:id="rId284" ref="D966"/>
    <hyperlink r:id="rId285" ref="C967"/>
    <hyperlink r:id="rId286" ref="D967"/>
    <hyperlink r:id="rId287" ref="C968"/>
    <hyperlink r:id="rId288" ref="D968"/>
    <hyperlink r:id="rId289" ref="C969"/>
    <hyperlink r:id="rId290" ref="D969"/>
    <hyperlink r:id="rId291" ref="C970"/>
    <hyperlink r:id="rId292" ref="D970"/>
    <hyperlink r:id="rId293" ref="C971"/>
    <hyperlink r:id="rId294" ref="D971"/>
    <hyperlink r:id="rId295" ref="C972"/>
    <hyperlink r:id="rId296" ref="D972"/>
    <hyperlink r:id="rId297" ref="C973"/>
    <hyperlink r:id="rId298" ref="D973"/>
    <hyperlink r:id="rId299" ref="C974"/>
    <hyperlink r:id="rId300" ref="D974"/>
    <hyperlink r:id="rId301" ref="C975"/>
    <hyperlink r:id="rId302" ref="D975"/>
    <hyperlink r:id="rId303" ref="C976"/>
    <hyperlink r:id="rId304" ref="D976"/>
    <hyperlink r:id="rId305" ref="C977"/>
    <hyperlink r:id="rId306" ref="D977"/>
    <hyperlink r:id="rId307" ref="C978"/>
    <hyperlink r:id="rId308" ref="D978"/>
    <hyperlink r:id="rId309" ref="C979"/>
    <hyperlink r:id="rId310" ref="D979"/>
    <hyperlink r:id="rId311" ref="C980"/>
    <hyperlink r:id="rId312" ref="D980"/>
    <hyperlink r:id="rId313" ref="C981"/>
    <hyperlink r:id="rId314" ref="D981"/>
    <hyperlink r:id="rId315" ref="C982"/>
    <hyperlink r:id="rId316" ref="D982"/>
    <hyperlink r:id="rId317" ref="C983"/>
    <hyperlink r:id="rId318" ref="D983"/>
    <hyperlink r:id="rId319" ref="C984"/>
    <hyperlink r:id="rId320" ref="D984"/>
    <hyperlink r:id="rId321" ref="C985"/>
    <hyperlink r:id="rId322" ref="D985"/>
    <hyperlink r:id="rId323" ref="C986"/>
    <hyperlink r:id="rId324" ref="D986"/>
    <hyperlink r:id="rId325" ref="C987"/>
    <hyperlink r:id="rId326" ref="D987"/>
    <hyperlink r:id="rId327" ref="C988"/>
    <hyperlink r:id="rId328" ref="D988"/>
    <hyperlink r:id="rId329" ref="C989"/>
    <hyperlink r:id="rId330" ref="D989"/>
    <hyperlink r:id="rId331" ref="C990"/>
    <hyperlink r:id="rId332" ref="D990"/>
    <hyperlink r:id="rId333" ref="C991"/>
    <hyperlink r:id="rId334" ref="D991"/>
    <hyperlink r:id="rId335" ref="C992"/>
    <hyperlink r:id="rId336" ref="D992"/>
    <hyperlink r:id="rId337" ref="C993"/>
    <hyperlink r:id="rId338" ref="D993"/>
    <hyperlink r:id="rId339" ref="C994"/>
    <hyperlink r:id="rId340" ref="D994"/>
    <hyperlink r:id="rId341" ref="C995"/>
    <hyperlink r:id="rId342" ref="D995"/>
    <hyperlink r:id="rId343" ref="C996"/>
    <hyperlink r:id="rId344" ref="D996"/>
    <hyperlink r:id="rId345" ref="C997"/>
    <hyperlink r:id="rId346" ref="D997"/>
    <hyperlink r:id="rId347" ref="C998"/>
    <hyperlink r:id="rId348" ref="D998"/>
    <hyperlink r:id="rId349" ref="C999"/>
    <hyperlink r:id="rId350" ref="D999"/>
    <hyperlink r:id="rId351" ref="C1000"/>
    <hyperlink r:id="rId352" ref="D1000"/>
    <hyperlink r:id="rId353" ref="C1001"/>
    <hyperlink r:id="rId354" ref="D1001"/>
    <hyperlink r:id="rId355" ref="C1002"/>
    <hyperlink r:id="rId356" ref="D1002"/>
    <hyperlink r:id="rId357" ref="C1003"/>
    <hyperlink r:id="rId358" ref="D1003"/>
    <hyperlink r:id="rId359" ref="C1004"/>
    <hyperlink r:id="rId360" ref="D1004"/>
    <hyperlink r:id="rId361" ref="C1005"/>
    <hyperlink r:id="rId362" ref="D1005"/>
    <hyperlink r:id="rId363" ref="C1006"/>
    <hyperlink r:id="rId364" ref="D1006"/>
    <hyperlink r:id="rId365" ref="C1007"/>
    <hyperlink r:id="rId366" ref="D1007"/>
    <hyperlink r:id="rId367" ref="C1008"/>
    <hyperlink r:id="rId368" ref="D1008"/>
    <hyperlink r:id="rId369" ref="C1009"/>
    <hyperlink r:id="rId370" ref="D1009"/>
    <hyperlink r:id="rId371" ref="C1010"/>
    <hyperlink r:id="rId372" ref="D1010"/>
    <hyperlink r:id="rId373" ref="C1011"/>
    <hyperlink r:id="rId374" ref="D1011"/>
    <hyperlink r:id="rId375" ref="C1012"/>
    <hyperlink r:id="rId376" ref="D1012"/>
    <hyperlink r:id="rId377" ref="C1013"/>
    <hyperlink r:id="rId378" ref="D1013"/>
    <hyperlink r:id="rId379" ref="C1014"/>
    <hyperlink r:id="rId380" ref="D1014"/>
    <hyperlink r:id="rId381" ref="C1015"/>
    <hyperlink r:id="rId382" ref="D1015"/>
    <hyperlink r:id="rId383" ref="C1016"/>
    <hyperlink r:id="rId384" ref="D1016"/>
    <hyperlink r:id="rId385" ref="C1017"/>
    <hyperlink r:id="rId386" ref="D1017"/>
    <hyperlink r:id="rId387" ref="C1018"/>
    <hyperlink r:id="rId388" ref="D1018"/>
    <hyperlink r:id="rId389" ref="C1019"/>
    <hyperlink r:id="rId390" ref="D1019"/>
    <hyperlink r:id="rId391" ref="C1020"/>
    <hyperlink r:id="rId392" ref="D1020"/>
    <hyperlink r:id="rId393" ref="C1021"/>
    <hyperlink r:id="rId394" ref="D1021"/>
    <hyperlink r:id="rId395" ref="C1022"/>
    <hyperlink r:id="rId396" ref="D1022"/>
    <hyperlink r:id="rId397" ref="C1023"/>
    <hyperlink r:id="rId398" ref="D1023"/>
    <hyperlink r:id="rId399" ref="C1024"/>
    <hyperlink r:id="rId400" ref="D1024"/>
    <hyperlink r:id="rId401" ref="D1063"/>
    <hyperlink r:id="rId402" ref="C1307"/>
    <hyperlink r:id="rId403" ref="D1307"/>
    <hyperlink r:id="rId404" ref="C1308"/>
    <hyperlink r:id="rId405" ref="D1308"/>
    <hyperlink r:id="rId406" ref="C1309"/>
    <hyperlink r:id="rId407" ref="D1309"/>
    <hyperlink r:id="rId408" ref="C1310"/>
    <hyperlink r:id="rId409" ref="D1310"/>
    <hyperlink r:id="rId410" ref="C1311"/>
    <hyperlink r:id="rId411" ref="D1311"/>
    <hyperlink r:id="rId412" ref="C1312"/>
    <hyperlink r:id="rId413" ref="D1312"/>
    <hyperlink r:id="rId414" ref="C1313"/>
    <hyperlink r:id="rId415" ref="D1313"/>
    <hyperlink r:id="rId416" ref="C1314"/>
    <hyperlink r:id="rId417" ref="D1314"/>
    <hyperlink r:id="rId418" ref="C1315"/>
    <hyperlink r:id="rId419" ref="D1315"/>
    <hyperlink r:id="rId420" ref="C1316"/>
    <hyperlink r:id="rId421" ref="D1316"/>
    <hyperlink r:id="rId422" ref="C1317"/>
    <hyperlink r:id="rId423" ref="D1317"/>
    <hyperlink r:id="rId424" ref="C1318"/>
    <hyperlink r:id="rId425" ref="C1319"/>
    <hyperlink r:id="rId426" ref="D1319"/>
    <hyperlink r:id="rId427" ref="C1320"/>
    <hyperlink r:id="rId428" ref="D1320"/>
    <hyperlink r:id="rId429" ref="C1321"/>
    <hyperlink r:id="rId430" ref="D1321"/>
    <hyperlink r:id="rId431" ref="C1322"/>
    <hyperlink r:id="rId432" ref="D1322"/>
    <hyperlink r:id="rId433" ref="C1323"/>
    <hyperlink r:id="rId434" ref="D1323"/>
    <hyperlink r:id="rId435" ref="C1324"/>
    <hyperlink r:id="rId436" ref="D1324"/>
    <hyperlink r:id="rId437" ref="C1325"/>
    <hyperlink r:id="rId438" ref="D1325"/>
    <hyperlink r:id="rId439" ref="C1326"/>
    <hyperlink r:id="rId440" ref="D1326"/>
    <hyperlink r:id="rId441" ref="C1327"/>
    <hyperlink r:id="rId442" ref="D1327"/>
    <hyperlink r:id="rId443" ref="C1328"/>
    <hyperlink r:id="rId444" ref="D1328"/>
    <hyperlink r:id="rId445" ref="C1329"/>
    <hyperlink r:id="rId446" ref="D1329"/>
    <hyperlink r:id="rId447" ref="C1330"/>
    <hyperlink r:id="rId448" ref="D1330"/>
    <hyperlink r:id="rId449" ref="C1331"/>
    <hyperlink r:id="rId450" ref="D1331"/>
    <hyperlink r:id="rId451" ref="C1332"/>
    <hyperlink r:id="rId452" ref="D1332"/>
    <hyperlink r:id="rId453" ref="C1333"/>
    <hyperlink r:id="rId454" ref="D1333"/>
    <hyperlink r:id="rId455" ref="C1334"/>
    <hyperlink r:id="rId456" ref="C1335"/>
    <hyperlink r:id="rId457" ref="D1335"/>
    <hyperlink r:id="rId458" ref="C1336"/>
    <hyperlink r:id="rId459" ref="C1337"/>
    <hyperlink r:id="rId460" ref="C1338"/>
    <hyperlink r:id="rId461" ref="D1338"/>
    <hyperlink r:id="rId462" ref="C1339"/>
    <hyperlink r:id="rId463" ref="D1339"/>
    <hyperlink r:id="rId464" ref="C1340"/>
    <hyperlink r:id="rId465" ref="D1340"/>
    <hyperlink r:id="rId466" ref="C1341"/>
    <hyperlink r:id="rId467" ref="D1341"/>
    <hyperlink r:id="rId468" ref="C1342"/>
    <hyperlink r:id="rId469" ref="D1342"/>
    <hyperlink r:id="rId470" ref="C1343"/>
    <hyperlink r:id="rId471" ref="C1344"/>
    <hyperlink r:id="rId472" ref="D1344"/>
    <hyperlink r:id="rId473" ref="C1345"/>
    <hyperlink r:id="rId474" ref="D1345"/>
    <hyperlink r:id="rId475" ref="C1346"/>
    <hyperlink r:id="rId476" ref="D1346"/>
    <hyperlink r:id="rId477" ref="C1347"/>
    <hyperlink r:id="rId478" ref="D1347"/>
    <hyperlink r:id="rId479" ref="C1348"/>
    <hyperlink r:id="rId480" ref="D1348"/>
    <hyperlink r:id="rId481" ref="C1349"/>
    <hyperlink r:id="rId482" ref="D1349"/>
    <hyperlink r:id="rId483" ref="C1350"/>
    <hyperlink r:id="rId484" ref="D1350"/>
    <hyperlink r:id="rId485" ref="C1351"/>
    <hyperlink r:id="rId486" ref="D1351"/>
    <hyperlink r:id="rId487" ref="C1352"/>
    <hyperlink r:id="rId488" ref="C1353"/>
    <hyperlink r:id="rId489" ref="D1353"/>
    <hyperlink r:id="rId490" ref="C1354"/>
    <hyperlink r:id="rId491" ref="D1354"/>
    <hyperlink r:id="rId492" ref="C1355"/>
    <hyperlink r:id="rId493" ref="D1355"/>
    <hyperlink r:id="rId494" ref="C1356"/>
    <hyperlink r:id="rId495" ref="D1356"/>
    <hyperlink r:id="rId496" ref="C1357"/>
    <hyperlink r:id="rId497" ref="D1357"/>
    <hyperlink r:id="rId498" ref="C1358"/>
    <hyperlink r:id="rId499" ref="D1358"/>
    <hyperlink r:id="rId500" ref="C1359"/>
    <hyperlink r:id="rId501" ref="D1359"/>
    <hyperlink r:id="rId502" ref="C1360"/>
    <hyperlink r:id="rId503" ref="D1360"/>
    <hyperlink r:id="rId504" ref="C1361"/>
    <hyperlink r:id="rId505" ref="D1361"/>
    <hyperlink r:id="rId506" ref="C1362"/>
    <hyperlink r:id="rId507" ref="C1363"/>
    <hyperlink r:id="rId508" ref="D1363"/>
    <hyperlink r:id="rId509" ref="C1364"/>
    <hyperlink r:id="rId510" ref="D1364"/>
    <hyperlink r:id="rId511" ref="C1365"/>
    <hyperlink r:id="rId512" ref="D1365"/>
    <hyperlink r:id="rId513" ref="C1366"/>
    <hyperlink r:id="rId514" ref="D1366"/>
    <hyperlink r:id="rId515" ref="C1367"/>
    <hyperlink r:id="rId516" ref="D1367"/>
    <hyperlink r:id="rId517" ref="C1368"/>
    <hyperlink r:id="rId518" ref="D1368"/>
    <hyperlink r:id="rId519" ref="C1369"/>
    <hyperlink r:id="rId520" ref="D1369"/>
    <hyperlink r:id="rId521" ref="C1370"/>
    <hyperlink r:id="rId522" ref="D1370"/>
    <hyperlink r:id="rId523" ref="C1371"/>
    <hyperlink r:id="rId524" ref="D1371"/>
    <hyperlink r:id="rId525" ref="C1372"/>
    <hyperlink r:id="rId526" ref="D1372"/>
    <hyperlink r:id="rId527" ref="C1373"/>
    <hyperlink r:id="rId528" ref="D1373"/>
    <hyperlink r:id="rId529" ref="C1374"/>
    <hyperlink r:id="rId530" ref="C1375"/>
    <hyperlink r:id="rId531" ref="D1375"/>
    <hyperlink r:id="rId532" ref="C1376"/>
    <hyperlink r:id="rId533" ref="D1376"/>
    <hyperlink r:id="rId534" ref="C1377"/>
    <hyperlink r:id="rId535" ref="D1377"/>
    <hyperlink r:id="rId536" ref="C1378"/>
    <hyperlink r:id="rId537" ref="D1378"/>
    <hyperlink r:id="rId538" ref="C1379"/>
    <hyperlink r:id="rId539" ref="D1379"/>
    <hyperlink r:id="rId540" ref="C1380"/>
    <hyperlink r:id="rId541" ref="C1381"/>
    <hyperlink r:id="rId542" ref="D1381"/>
    <hyperlink r:id="rId543" ref="C1382"/>
    <hyperlink r:id="rId544" ref="D1382"/>
    <hyperlink r:id="rId545" ref="C1383"/>
    <hyperlink r:id="rId546" ref="D1383"/>
    <hyperlink r:id="rId547" ref="C1384"/>
    <hyperlink r:id="rId548" ref="D1384"/>
    <hyperlink r:id="rId549" ref="C1385"/>
    <hyperlink r:id="rId550" ref="D1385"/>
    <hyperlink r:id="rId551" ref="C1386"/>
    <hyperlink r:id="rId552" ref="D1386"/>
    <hyperlink r:id="rId553" ref="C1387"/>
    <hyperlink r:id="rId554" ref="D1387"/>
    <hyperlink r:id="rId555" ref="C1388"/>
    <hyperlink r:id="rId556" ref="D1388"/>
    <hyperlink r:id="rId557" ref="C1389"/>
    <hyperlink r:id="rId558" ref="D1389"/>
    <hyperlink r:id="rId559" ref="C1390"/>
    <hyperlink r:id="rId560" ref="D1390"/>
    <hyperlink r:id="rId561" ref="C1391"/>
    <hyperlink r:id="rId562" ref="D1391"/>
    <hyperlink r:id="rId563" ref="C1392"/>
    <hyperlink r:id="rId564" ref="D1392"/>
    <hyperlink r:id="rId565" ref="C1393"/>
    <hyperlink r:id="rId566" ref="D1393"/>
    <hyperlink r:id="rId567" ref="C1394"/>
    <hyperlink r:id="rId568" ref="D1394"/>
    <hyperlink r:id="rId569" ref="C1395"/>
    <hyperlink r:id="rId570" ref="D1395"/>
    <hyperlink r:id="rId571" ref="C1396"/>
    <hyperlink r:id="rId572" ref="D1396"/>
    <hyperlink r:id="rId573" ref="C1397"/>
    <hyperlink r:id="rId574" ref="D1397"/>
    <hyperlink r:id="rId575" ref="C1398"/>
    <hyperlink r:id="rId576" ref="D1398"/>
    <hyperlink r:id="rId577" ref="C1399"/>
    <hyperlink r:id="rId578" ref="D1399"/>
    <hyperlink r:id="rId579" ref="C1400"/>
    <hyperlink r:id="rId580" ref="D1400"/>
    <hyperlink r:id="rId581" ref="C1401"/>
    <hyperlink r:id="rId582" ref="D1401"/>
    <hyperlink r:id="rId583" ref="C1402"/>
    <hyperlink r:id="rId584" ref="D1402"/>
    <hyperlink r:id="rId585" ref="C1403"/>
    <hyperlink r:id="rId586" ref="D1403"/>
    <hyperlink r:id="rId587" ref="C1404"/>
    <hyperlink r:id="rId588" ref="D1404"/>
    <hyperlink r:id="rId589" ref="C1405"/>
    <hyperlink r:id="rId590" ref="D1405"/>
    <hyperlink r:id="rId591" ref="C1406"/>
    <hyperlink r:id="rId592" ref="D1406"/>
    <hyperlink r:id="rId593" ref="C1407"/>
    <hyperlink r:id="rId594" ref="D1407"/>
    <hyperlink r:id="rId595" ref="C1408"/>
    <hyperlink r:id="rId596" ref="D1408"/>
    <hyperlink r:id="rId597" ref="C1409"/>
    <hyperlink r:id="rId598" ref="D1409"/>
    <hyperlink r:id="rId599" ref="C1410"/>
    <hyperlink r:id="rId600" ref="D1410"/>
    <hyperlink r:id="rId601" ref="C1411"/>
    <hyperlink r:id="rId602" ref="D1411"/>
    <hyperlink r:id="rId603" ref="C1412"/>
    <hyperlink r:id="rId604" ref="D1412"/>
    <hyperlink r:id="rId605" ref="C1413"/>
    <hyperlink r:id="rId606" ref="D1413"/>
    <hyperlink r:id="rId607" ref="C1414"/>
    <hyperlink r:id="rId608" ref="D1414"/>
    <hyperlink r:id="rId609" ref="C1415"/>
    <hyperlink r:id="rId610" ref="D1415"/>
    <hyperlink r:id="rId611" ref="C1416"/>
    <hyperlink r:id="rId612" ref="D1416"/>
    <hyperlink r:id="rId613" ref="C1417"/>
    <hyperlink r:id="rId614" ref="D1417"/>
    <hyperlink r:id="rId615" ref="C1418"/>
    <hyperlink r:id="rId616" ref="D1418"/>
    <hyperlink r:id="rId617" ref="C1419"/>
    <hyperlink r:id="rId618" ref="D1419"/>
    <hyperlink r:id="rId619" ref="C1420"/>
    <hyperlink r:id="rId620" ref="D1420"/>
    <hyperlink r:id="rId621" ref="C1421"/>
    <hyperlink r:id="rId622" ref="D1421"/>
    <hyperlink r:id="rId623" ref="C1422"/>
    <hyperlink r:id="rId624" ref="D1422"/>
    <hyperlink r:id="rId625" ref="C1423"/>
    <hyperlink r:id="rId626" ref="D1423"/>
    <hyperlink r:id="rId627" ref="C1424"/>
    <hyperlink r:id="rId628" ref="D1424"/>
    <hyperlink r:id="rId629" ref="C1425"/>
    <hyperlink r:id="rId630" ref="C1426"/>
    <hyperlink r:id="rId631" ref="D1426"/>
    <hyperlink r:id="rId632" ref="C1427"/>
    <hyperlink r:id="rId633" ref="D1427"/>
    <hyperlink r:id="rId634" ref="C1428"/>
    <hyperlink r:id="rId635" ref="D1428"/>
    <hyperlink r:id="rId636" ref="C1429"/>
    <hyperlink r:id="rId637" ref="D1429"/>
    <hyperlink r:id="rId638" ref="C1430"/>
    <hyperlink r:id="rId639" ref="D1430"/>
    <hyperlink r:id="rId640" ref="C1431"/>
    <hyperlink r:id="rId641" ref="D1431"/>
    <hyperlink r:id="rId642" ref="C1432"/>
    <hyperlink r:id="rId643" ref="D1432"/>
    <hyperlink r:id="rId644" ref="C1433"/>
    <hyperlink r:id="rId645" ref="D1433"/>
    <hyperlink r:id="rId646" ref="C1434"/>
    <hyperlink r:id="rId647" ref="D1434"/>
    <hyperlink r:id="rId648" ref="C1435"/>
    <hyperlink r:id="rId649" ref="D1435"/>
    <hyperlink r:id="rId650" ref="C1436"/>
    <hyperlink r:id="rId651" ref="D1436"/>
    <hyperlink r:id="rId652" ref="C1437"/>
    <hyperlink r:id="rId653" ref="D1437"/>
    <hyperlink r:id="rId654" ref="C1438"/>
    <hyperlink r:id="rId655" ref="D1438"/>
    <hyperlink r:id="rId656" ref="C1439"/>
    <hyperlink r:id="rId657" ref="D1439"/>
    <hyperlink r:id="rId658" ref="C1440"/>
    <hyperlink r:id="rId659" ref="D1440"/>
    <hyperlink r:id="rId660" ref="C1441"/>
    <hyperlink r:id="rId661" ref="D1441"/>
    <hyperlink r:id="rId662" ref="C1442"/>
    <hyperlink r:id="rId663" ref="D1442"/>
    <hyperlink r:id="rId664" ref="C1443"/>
    <hyperlink r:id="rId665" ref="D1443"/>
    <hyperlink r:id="rId666" ref="C1444"/>
    <hyperlink r:id="rId667" ref="D1444"/>
    <hyperlink r:id="rId668" ref="C1445"/>
    <hyperlink r:id="rId669" ref="D1445"/>
    <hyperlink r:id="rId670" ref="C1446"/>
    <hyperlink r:id="rId671" ref="D1446"/>
    <hyperlink r:id="rId672" ref="C1447"/>
    <hyperlink r:id="rId673" ref="D1447"/>
    <hyperlink r:id="rId674" ref="C1448"/>
    <hyperlink r:id="rId675" ref="D1448"/>
    <hyperlink r:id="rId676" ref="C1449"/>
    <hyperlink r:id="rId677" ref="D1449"/>
    <hyperlink r:id="rId678" ref="C1450"/>
    <hyperlink r:id="rId679" ref="D1450"/>
    <hyperlink r:id="rId680" ref="C1451"/>
    <hyperlink r:id="rId681" ref="D1451"/>
    <hyperlink r:id="rId682" ref="C1452"/>
    <hyperlink r:id="rId683" ref="D1452"/>
    <hyperlink r:id="rId684" ref="C1453"/>
    <hyperlink r:id="rId685" ref="D1453"/>
    <hyperlink r:id="rId686" ref="C1454"/>
    <hyperlink r:id="rId687" ref="D1454"/>
    <hyperlink r:id="rId688" ref="C1455"/>
    <hyperlink r:id="rId689" ref="D1455"/>
    <hyperlink r:id="rId690" ref="C1456"/>
    <hyperlink r:id="rId691" ref="D1456"/>
    <hyperlink r:id="rId692" ref="C1457"/>
    <hyperlink r:id="rId693" ref="D1457"/>
    <hyperlink r:id="rId694" ref="C1458"/>
    <hyperlink r:id="rId695" ref="D1458"/>
    <hyperlink r:id="rId696" ref="C1459"/>
    <hyperlink r:id="rId697" ref="C1460"/>
    <hyperlink r:id="rId698" ref="D1460"/>
    <hyperlink r:id="rId699" ref="C1461"/>
    <hyperlink r:id="rId700" ref="D1462"/>
    <hyperlink r:id="rId701" ref="C1463"/>
    <hyperlink r:id="rId702" ref="D1463"/>
    <hyperlink r:id="rId703" ref="C1464"/>
    <hyperlink r:id="rId704" ref="D1464"/>
    <hyperlink r:id="rId705" ref="C1465"/>
    <hyperlink r:id="rId706" ref="D1465"/>
    <hyperlink r:id="rId707" ref="C1466"/>
    <hyperlink r:id="rId708" ref="D1466"/>
    <hyperlink r:id="rId709" ref="C1467"/>
    <hyperlink r:id="rId710" ref="D1467"/>
    <hyperlink r:id="rId711" ref="C1468"/>
    <hyperlink r:id="rId712" ref="C1469"/>
    <hyperlink r:id="rId713" ref="C1470"/>
    <hyperlink r:id="rId714" ref="C1471"/>
    <hyperlink r:id="rId715" ref="C1472"/>
    <hyperlink r:id="rId716" ref="C1473"/>
    <hyperlink r:id="rId717" ref="D1473"/>
    <hyperlink r:id="rId718" ref="C1474"/>
    <hyperlink r:id="rId719" ref="C1475"/>
    <hyperlink r:id="rId720" ref="C1476"/>
    <hyperlink r:id="rId721" ref="C1477"/>
    <hyperlink r:id="rId722" ref="D1477"/>
    <hyperlink r:id="rId723" ref="C1478"/>
    <hyperlink r:id="rId724" ref="D1478"/>
    <hyperlink r:id="rId725" ref="C1479"/>
    <hyperlink r:id="rId726" ref="D1479"/>
    <hyperlink r:id="rId727" ref="C1480"/>
    <hyperlink r:id="rId728" ref="D1480"/>
    <hyperlink r:id="rId729" ref="C1481"/>
    <hyperlink r:id="rId730" ref="D1481"/>
    <hyperlink r:id="rId731" ref="C1482"/>
    <hyperlink r:id="rId732" ref="D1482"/>
    <hyperlink r:id="rId733" ref="C1483"/>
    <hyperlink r:id="rId734" ref="D1483"/>
    <hyperlink r:id="rId735" ref="C1484"/>
    <hyperlink r:id="rId736" ref="D1484"/>
    <hyperlink r:id="rId737" ref="C1485"/>
    <hyperlink r:id="rId738" ref="D1485"/>
    <hyperlink r:id="rId739" ref="C1486"/>
    <hyperlink r:id="rId740" ref="D1486"/>
    <hyperlink r:id="rId741" ref="C1487"/>
    <hyperlink r:id="rId742" ref="D1487"/>
    <hyperlink r:id="rId743" ref="C1488"/>
    <hyperlink r:id="rId744" ref="D1488"/>
    <hyperlink r:id="rId745" ref="C1489"/>
    <hyperlink r:id="rId746" ref="D1489"/>
    <hyperlink r:id="rId747" ref="C1490"/>
    <hyperlink r:id="rId748" ref="D1490"/>
    <hyperlink r:id="rId749" ref="C1491"/>
    <hyperlink r:id="rId750" ref="D1491"/>
    <hyperlink r:id="rId751" ref="C1492"/>
    <hyperlink r:id="rId752" ref="D1492"/>
    <hyperlink r:id="rId753" ref="C1493"/>
    <hyperlink r:id="rId754" ref="C1494"/>
    <hyperlink r:id="rId755" ref="D1494"/>
    <hyperlink r:id="rId756" ref="C1495"/>
    <hyperlink r:id="rId757" ref="D1495"/>
    <hyperlink r:id="rId758" ref="C1496"/>
    <hyperlink r:id="rId759" ref="D1496"/>
    <hyperlink r:id="rId760" ref="C1497"/>
    <hyperlink r:id="rId761" ref="D1497"/>
    <hyperlink r:id="rId762" ref="C1498"/>
    <hyperlink r:id="rId763" ref="D1498"/>
    <hyperlink r:id="rId764" ref="C1499"/>
    <hyperlink r:id="rId765" ref="D1499"/>
    <hyperlink r:id="rId766" ref="C1500"/>
    <hyperlink r:id="rId767" ref="D1500"/>
    <hyperlink r:id="rId768" ref="C1501"/>
    <hyperlink r:id="rId769" ref="D1501"/>
    <hyperlink r:id="rId770" ref="C1502"/>
    <hyperlink r:id="rId771" ref="D1502"/>
    <hyperlink r:id="rId772" ref="C1503"/>
    <hyperlink r:id="rId773" ref="D1503"/>
    <hyperlink r:id="rId774" ref="C1504"/>
    <hyperlink r:id="rId775" ref="D1504"/>
    <hyperlink r:id="rId776" ref="C1505"/>
    <hyperlink r:id="rId777" ref="D1505"/>
    <hyperlink r:id="rId778" ref="C1506"/>
    <hyperlink r:id="rId779" ref="D1506"/>
    <hyperlink r:id="rId780" ref="C1507"/>
    <hyperlink r:id="rId781" ref="D1507"/>
    <hyperlink r:id="rId782" ref="C1508"/>
    <hyperlink r:id="rId783" ref="D1508"/>
    <hyperlink r:id="rId784" ref="D1512"/>
  </hyperlinks>
  <drawing r:id="rId78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14"/>
    <col customWidth="1" min="2" max="2" width="27.86"/>
    <col customWidth="1" min="3" max="3" width="22.29"/>
    <col customWidth="1" min="4" max="4" width="25.14"/>
    <col customWidth="1" min="5" max="5" width="16.86"/>
    <col customWidth="1" min="6" max="6" width="39.0"/>
    <col customWidth="1" min="7" max="7" width="46.0"/>
    <col customWidth="1" min="8" max="26" width="27.86"/>
  </cols>
  <sheetData>
    <row r="1" ht="21.75" customHeight="1">
      <c r="A1" s="250" t="s">
        <v>3570</v>
      </c>
      <c r="B1" s="250" t="s">
        <v>3571</v>
      </c>
      <c r="C1" s="250" t="s">
        <v>0</v>
      </c>
      <c r="D1" s="250" t="s">
        <v>1</v>
      </c>
      <c r="E1" s="250" t="s">
        <v>3572</v>
      </c>
      <c r="F1" s="251" t="s">
        <v>3573</v>
      </c>
      <c r="G1" s="250" t="s">
        <v>3574</v>
      </c>
      <c r="H1" s="252"/>
      <c r="I1" s="252"/>
      <c r="J1" s="252"/>
      <c r="K1" s="252"/>
      <c r="L1" s="252"/>
      <c r="M1" s="252"/>
      <c r="N1" s="252"/>
      <c r="O1" s="252"/>
      <c r="P1" s="252"/>
      <c r="Q1" s="252"/>
      <c r="R1" s="252"/>
      <c r="S1" s="252"/>
      <c r="T1" s="252"/>
      <c r="U1" s="252"/>
      <c r="V1" s="252"/>
      <c r="W1" s="252"/>
      <c r="X1" s="252"/>
      <c r="Y1" s="252"/>
      <c r="Z1" s="252"/>
    </row>
    <row r="2">
      <c r="A2" s="253" t="s">
        <v>3575</v>
      </c>
      <c r="B2" s="253" t="s">
        <v>3576</v>
      </c>
      <c r="C2" s="253" t="s">
        <v>3577</v>
      </c>
      <c r="D2" s="253" t="s">
        <v>3578</v>
      </c>
      <c r="E2" s="254">
        <f>44795656422</f>
        <v>44795656422</v>
      </c>
      <c r="F2" s="255" t="s">
        <v>3579</v>
      </c>
      <c r="G2" s="254"/>
      <c r="H2" s="256"/>
      <c r="I2" s="256"/>
      <c r="J2" s="256"/>
      <c r="K2" s="256"/>
      <c r="L2" s="256"/>
      <c r="M2" s="256"/>
      <c r="N2" s="256"/>
      <c r="O2" s="256"/>
      <c r="P2" s="256"/>
      <c r="Q2" s="256"/>
      <c r="R2" s="256"/>
      <c r="S2" s="256"/>
      <c r="T2" s="256"/>
      <c r="U2" s="256"/>
      <c r="V2" s="256"/>
      <c r="W2" s="256"/>
      <c r="X2" s="256"/>
      <c r="Y2" s="256"/>
      <c r="Z2" s="256"/>
    </row>
    <row r="3">
      <c r="A3" s="253" t="s">
        <v>3580</v>
      </c>
      <c r="B3" s="257" t="s">
        <v>3581</v>
      </c>
      <c r="C3" s="257" t="s">
        <v>3582</v>
      </c>
      <c r="D3" s="257" t="s">
        <v>3583</v>
      </c>
      <c r="E3" s="257">
        <v>9.71506407359E11</v>
      </c>
      <c r="F3" s="255" t="s">
        <v>3584</v>
      </c>
      <c r="G3" s="253" t="s">
        <v>3585</v>
      </c>
      <c r="H3" s="256"/>
      <c r="I3" s="256"/>
      <c r="J3" s="256"/>
      <c r="K3" s="256"/>
      <c r="L3" s="256"/>
      <c r="M3" s="256"/>
      <c r="N3" s="256"/>
      <c r="O3" s="256"/>
      <c r="P3" s="256"/>
      <c r="Q3" s="256"/>
      <c r="R3" s="256"/>
      <c r="S3" s="256"/>
      <c r="T3" s="256"/>
      <c r="U3" s="256"/>
      <c r="V3" s="256"/>
      <c r="W3" s="256"/>
      <c r="X3" s="256"/>
      <c r="Y3" s="256"/>
      <c r="Z3" s="256"/>
    </row>
    <row r="4">
      <c r="A4" s="253" t="s">
        <v>3586</v>
      </c>
      <c r="B4" s="253" t="s">
        <v>3587</v>
      </c>
      <c r="C4" s="253" t="s">
        <v>3588</v>
      </c>
      <c r="D4" s="253" t="s">
        <v>3589</v>
      </c>
      <c r="E4" s="254">
        <f>923008440375</f>
        <v>923008440375</v>
      </c>
      <c r="F4" s="255" t="s">
        <v>168</v>
      </c>
      <c r="G4" s="253" t="s">
        <v>3590</v>
      </c>
      <c r="H4" s="256"/>
      <c r="I4" s="256"/>
      <c r="J4" s="256"/>
      <c r="K4" s="256"/>
      <c r="L4" s="256"/>
      <c r="M4" s="256"/>
      <c r="N4" s="256"/>
      <c r="O4" s="256"/>
      <c r="P4" s="256"/>
      <c r="Q4" s="256"/>
      <c r="R4" s="256"/>
      <c r="S4" s="256"/>
      <c r="T4" s="256"/>
      <c r="U4" s="256"/>
      <c r="V4" s="256"/>
      <c r="W4" s="256"/>
      <c r="X4" s="256"/>
      <c r="Y4" s="256"/>
      <c r="Z4" s="256"/>
    </row>
    <row r="5">
      <c r="A5" s="258" t="s">
        <v>3586</v>
      </c>
      <c r="B5" s="258" t="s">
        <v>3587</v>
      </c>
      <c r="C5" s="253" t="s">
        <v>3591</v>
      </c>
      <c r="D5" s="253" t="s">
        <v>3592</v>
      </c>
      <c r="E5" s="253">
        <v>9.71506009185E11</v>
      </c>
      <c r="F5" s="255" t="s">
        <v>3593</v>
      </c>
      <c r="G5" s="253" t="s">
        <v>3590</v>
      </c>
      <c r="H5" s="256"/>
      <c r="I5" s="256"/>
      <c r="J5" s="256"/>
      <c r="K5" s="256"/>
      <c r="L5" s="256"/>
      <c r="M5" s="256"/>
      <c r="N5" s="256"/>
      <c r="O5" s="256"/>
      <c r="P5" s="256"/>
      <c r="Q5" s="256"/>
      <c r="R5" s="256"/>
      <c r="S5" s="256"/>
      <c r="T5" s="256"/>
      <c r="U5" s="256"/>
      <c r="V5" s="256"/>
      <c r="W5" s="256"/>
      <c r="X5" s="256"/>
      <c r="Y5" s="256"/>
      <c r="Z5" s="256"/>
    </row>
    <row r="6">
      <c r="A6" s="258" t="s">
        <v>3586</v>
      </c>
      <c r="B6" s="258" t="s">
        <v>3587</v>
      </c>
      <c r="C6" s="253" t="s">
        <v>3594</v>
      </c>
      <c r="D6" s="253" t="s">
        <v>3595</v>
      </c>
      <c r="E6" s="254">
        <f>905445203274</f>
        <v>905445203274</v>
      </c>
      <c r="F6" s="255" t="s">
        <v>251</v>
      </c>
      <c r="G6" s="253" t="s">
        <v>168</v>
      </c>
      <c r="H6" s="256"/>
      <c r="I6" s="256"/>
      <c r="J6" s="256"/>
      <c r="K6" s="256"/>
      <c r="L6" s="256"/>
      <c r="M6" s="256"/>
      <c r="N6" s="256"/>
      <c r="O6" s="256"/>
      <c r="P6" s="256"/>
      <c r="Q6" s="256"/>
      <c r="R6" s="256"/>
      <c r="S6" s="256"/>
      <c r="T6" s="256"/>
      <c r="U6" s="256"/>
      <c r="V6" s="256"/>
      <c r="W6" s="256"/>
      <c r="X6" s="256"/>
      <c r="Y6" s="256"/>
      <c r="Z6" s="256"/>
    </row>
    <row r="7">
      <c r="A7" s="258" t="s">
        <v>3586</v>
      </c>
      <c r="B7" s="253" t="s">
        <v>3596</v>
      </c>
      <c r="C7" s="253" t="s">
        <v>3597</v>
      </c>
      <c r="D7" s="253" t="s">
        <v>3598</v>
      </c>
      <c r="E7" s="253">
        <v>9.66598114219E11</v>
      </c>
      <c r="F7" s="255" t="s">
        <v>3599</v>
      </c>
      <c r="G7" s="253"/>
      <c r="H7" s="256"/>
      <c r="I7" s="256"/>
      <c r="J7" s="256"/>
      <c r="K7" s="256"/>
      <c r="L7" s="256"/>
      <c r="M7" s="256"/>
      <c r="N7" s="256"/>
      <c r="O7" s="256"/>
      <c r="P7" s="256"/>
      <c r="Q7" s="256"/>
      <c r="R7" s="256"/>
      <c r="S7" s="256"/>
      <c r="T7" s="256"/>
      <c r="U7" s="256"/>
      <c r="V7" s="256"/>
      <c r="W7" s="256"/>
      <c r="X7" s="256"/>
      <c r="Y7" s="256"/>
      <c r="Z7" s="256"/>
    </row>
    <row r="8">
      <c r="A8" s="258" t="s">
        <v>3586</v>
      </c>
      <c r="B8" s="253" t="s">
        <v>3600</v>
      </c>
      <c r="C8" s="253" t="s">
        <v>3601</v>
      </c>
      <c r="D8" s="253" t="s">
        <v>3602</v>
      </c>
      <c r="E8" s="253">
        <v>9.592010814E9</v>
      </c>
      <c r="F8" s="255" t="s">
        <v>1153</v>
      </c>
      <c r="G8" s="254"/>
      <c r="H8" s="256"/>
      <c r="I8" s="256"/>
      <c r="J8" s="256"/>
      <c r="K8" s="256"/>
      <c r="L8" s="256"/>
      <c r="M8" s="256"/>
      <c r="N8" s="256"/>
      <c r="O8" s="256"/>
      <c r="P8" s="256"/>
      <c r="Q8" s="256"/>
      <c r="R8" s="256"/>
      <c r="S8" s="256"/>
      <c r="T8" s="256"/>
      <c r="U8" s="256"/>
      <c r="V8" s="256"/>
      <c r="W8" s="256"/>
      <c r="X8" s="256"/>
      <c r="Y8" s="256"/>
      <c r="Z8" s="256"/>
    </row>
    <row r="9">
      <c r="A9" s="258" t="s">
        <v>3586</v>
      </c>
      <c r="B9" s="253" t="s">
        <v>3600</v>
      </c>
      <c r="C9" s="253" t="s">
        <v>3603</v>
      </c>
      <c r="D9" s="253" t="s">
        <v>3604</v>
      </c>
      <c r="E9" s="253">
        <v>3.58531539219E11</v>
      </c>
      <c r="F9" s="255" t="s">
        <v>3605</v>
      </c>
      <c r="G9" s="254"/>
      <c r="H9" s="256"/>
      <c r="I9" s="256"/>
      <c r="J9" s="256"/>
      <c r="K9" s="256"/>
      <c r="L9" s="256"/>
      <c r="M9" s="256"/>
      <c r="N9" s="256"/>
      <c r="O9" s="256"/>
      <c r="P9" s="256"/>
      <c r="Q9" s="256"/>
      <c r="R9" s="256"/>
      <c r="S9" s="256"/>
      <c r="T9" s="256"/>
      <c r="U9" s="256"/>
      <c r="V9" s="256"/>
      <c r="W9" s="256"/>
      <c r="X9" s="256"/>
      <c r="Y9" s="256"/>
      <c r="Z9" s="256"/>
    </row>
    <row r="10">
      <c r="A10" s="258" t="s">
        <v>3586</v>
      </c>
      <c r="B10" s="253" t="s">
        <v>3606</v>
      </c>
      <c r="C10" s="253" t="s">
        <v>3607</v>
      </c>
      <c r="D10" s="253" t="s">
        <v>3608</v>
      </c>
      <c r="E10" s="253">
        <v>9.23434127392E11</v>
      </c>
      <c r="F10" s="255" t="s">
        <v>3609</v>
      </c>
      <c r="G10" s="254"/>
      <c r="H10" s="256"/>
      <c r="I10" s="256"/>
      <c r="J10" s="256"/>
      <c r="K10" s="256"/>
      <c r="L10" s="256"/>
      <c r="M10" s="256"/>
      <c r="N10" s="256"/>
      <c r="O10" s="256"/>
      <c r="P10" s="256"/>
      <c r="Q10" s="256"/>
      <c r="R10" s="256"/>
      <c r="S10" s="256"/>
      <c r="T10" s="256"/>
      <c r="U10" s="256"/>
      <c r="V10" s="256"/>
      <c r="W10" s="256"/>
      <c r="X10" s="256"/>
      <c r="Y10" s="256"/>
      <c r="Z10" s="256"/>
    </row>
    <row r="11">
      <c r="A11" s="253" t="s">
        <v>3610</v>
      </c>
      <c r="B11" s="253" t="s">
        <v>3576</v>
      </c>
      <c r="C11" s="253" t="s">
        <v>3611</v>
      </c>
      <c r="D11" s="253" t="s">
        <v>3612</v>
      </c>
      <c r="E11" s="253">
        <v>9.66545555807E11</v>
      </c>
      <c r="F11" s="255" t="s">
        <v>3613</v>
      </c>
      <c r="G11" s="253" t="s">
        <v>979</v>
      </c>
      <c r="H11" s="256"/>
      <c r="I11" s="256"/>
      <c r="J11" s="256"/>
      <c r="K11" s="256"/>
      <c r="L11" s="256"/>
      <c r="M11" s="256"/>
      <c r="N11" s="256"/>
      <c r="O11" s="256"/>
      <c r="P11" s="256"/>
      <c r="Q11" s="256"/>
      <c r="R11" s="256"/>
      <c r="S11" s="256"/>
      <c r="T11" s="256"/>
      <c r="U11" s="256"/>
      <c r="V11" s="256"/>
      <c r="W11" s="256"/>
      <c r="X11" s="256"/>
      <c r="Y11" s="256"/>
      <c r="Z11" s="256"/>
    </row>
    <row r="12">
      <c r="A12" s="258" t="s">
        <v>3610</v>
      </c>
      <c r="B12" s="259" t="s">
        <v>3614</v>
      </c>
      <c r="C12" s="259" t="s">
        <v>3615</v>
      </c>
      <c r="D12" s="259" t="s">
        <v>3616</v>
      </c>
      <c r="E12" s="259">
        <v>9.71543120737E11</v>
      </c>
      <c r="F12" s="260" t="s">
        <v>3617</v>
      </c>
      <c r="G12" s="259" t="s">
        <v>3618</v>
      </c>
      <c r="H12" s="256"/>
      <c r="I12" s="256"/>
      <c r="J12" s="256"/>
      <c r="K12" s="256"/>
      <c r="L12" s="256"/>
      <c r="M12" s="256"/>
      <c r="N12" s="256"/>
      <c r="O12" s="256"/>
      <c r="P12" s="256"/>
      <c r="Q12" s="256"/>
      <c r="R12" s="256"/>
      <c r="S12" s="256"/>
      <c r="T12" s="256"/>
      <c r="U12" s="256"/>
      <c r="V12" s="256"/>
      <c r="W12" s="256"/>
      <c r="X12" s="256"/>
      <c r="Y12" s="256"/>
      <c r="Z12" s="256"/>
    </row>
    <row r="13" ht="18.0" customHeight="1">
      <c r="A13" s="258" t="s">
        <v>3610</v>
      </c>
      <c r="B13" s="253" t="s">
        <v>3576</v>
      </c>
      <c r="C13" s="253" t="s">
        <v>3619</v>
      </c>
      <c r="D13" s="253" t="s">
        <v>3620</v>
      </c>
      <c r="E13" s="253">
        <v>9.596111395E9</v>
      </c>
      <c r="F13" s="255" t="s">
        <v>3621</v>
      </c>
      <c r="G13" s="253" t="s">
        <v>3622</v>
      </c>
      <c r="H13" s="256"/>
      <c r="I13" s="256"/>
      <c r="J13" s="256"/>
      <c r="K13" s="256"/>
      <c r="L13" s="256"/>
      <c r="M13" s="256"/>
      <c r="N13" s="256"/>
      <c r="O13" s="256"/>
      <c r="P13" s="256"/>
      <c r="Q13" s="256"/>
      <c r="R13" s="256"/>
      <c r="S13" s="256"/>
      <c r="T13" s="256"/>
      <c r="U13" s="256"/>
      <c r="V13" s="256"/>
      <c r="W13" s="256"/>
      <c r="X13" s="256"/>
      <c r="Y13" s="256"/>
      <c r="Z13" s="256"/>
    </row>
    <row r="14">
      <c r="A14" s="258" t="s">
        <v>3610</v>
      </c>
      <c r="B14" s="253" t="s">
        <v>3623</v>
      </c>
      <c r="C14" s="253" t="s">
        <v>3624</v>
      </c>
      <c r="D14" s="253" t="s">
        <v>3625</v>
      </c>
      <c r="E14" s="253">
        <v>9.6655383647E11</v>
      </c>
      <c r="F14" s="255" t="s">
        <v>3626</v>
      </c>
      <c r="G14" s="254"/>
      <c r="H14" s="256"/>
      <c r="I14" s="256"/>
      <c r="J14" s="256"/>
      <c r="K14" s="256"/>
      <c r="L14" s="256"/>
      <c r="M14" s="256"/>
      <c r="N14" s="256"/>
      <c r="O14" s="256"/>
      <c r="P14" s="256"/>
      <c r="Q14" s="256"/>
      <c r="R14" s="256"/>
      <c r="S14" s="256"/>
      <c r="T14" s="256"/>
      <c r="U14" s="256"/>
      <c r="V14" s="256"/>
      <c r="W14" s="256"/>
      <c r="X14" s="256"/>
      <c r="Y14" s="256"/>
      <c r="Z14" s="256"/>
    </row>
    <row r="15">
      <c r="A15" s="261" t="s">
        <v>3627</v>
      </c>
      <c r="B15" s="262" t="s">
        <v>3628</v>
      </c>
      <c r="C15" s="263" t="s">
        <v>3629</v>
      </c>
      <c r="D15" s="263" t="s">
        <v>3630</v>
      </c>
      <c r="E15" s="263">
        <v>5.51307552E8</v>
      </c>
      <c r="F15" s="264"/>
      <c r="G15" s="254"/>
      <c r="H15" s="256"/>
      <c r="I15" s="256"/>
      <c r="J15" s="256"/>
      <c r="K15" s="256"/>
      <c r="L15" s="256"/>
      <c r="M15" s="256"/>
      <c r="N15" s="256"/>
      <c r="O15" s="256"/>
      <c r="P15" s="256"/>
      <c r="Q15" s="256"/>
      <c r="R15" s="256"/>
      <c r="S15" s="256"/>
      <c r="T15" s="256"/>
      <c r="U15" s="256"/>
      <c r="V15" s="256"/>
      <c r="W15" s="256"/>
      <c r="X15" s="256"/>
      <c r="Y15" s="256"/>
      <c r="Z15" s="256"/>
    </row>
    <row r="16">
      <c r="A16" s="261" t="s">
        <v>3631</v>
      </c>
      <c r="B16" s="254"/>
      <c r="C16" s="261" t="s">
        <v>3632</v>
      </c>
      <c r="D16" s="265" t="s">
        <v>3633</v>
      </c>
      <c r="E16" s="265">
        <v>9.7155468605E11</v>
      </c>
      <c r="F16" s="266" t="s">
        <v>3613</v>
      </c>
      <c r="G16" s="254"/>
      <c r="H16" s="256"/>
      <c r="I16" s="256"/>
      <c r="J16" s="256"/>
      <c r="K16" s="256"/>
      <c r="L16" s="256"/>
      <c r="M16" s="256"/>
      <c r="N16" s="256"/>
      <c r="O16" s="256"/>
      <c r="P16" s="256"/>
      <c r="Q16" s="256"/>
      <c r="R16" s="256"/>
      <c r="S16" s="256"/>
      <c r="T16" s="256"/>
      <c r="U16" s="256"/>
      <c r="V16" s="256"/>
      <c r="W16" s="256"/>
      <c r="X16" s="256"/>
      <c r="Y16" s="256"/>
      <c r="Z16" s="256"/>
    </row>
    <row r="17">
      <c r="A17" s="253" t="s">
        <v>3631</v>
      </c>
      <c r="B17" s="267"/>
      <c r="C17" s="268" t="s">
        <v>3634</v>
      </c>
      <c r="D17" s="259" t="s">
        <v>3635</v>
      </c>
      <c r="E17" s="259">
        <v>5.07309423E8</v>
      </c>
      <c r="F17" s="260" t="s">
        <v>3636</v>
      </c>
      <c r="G17" s="259" t="s">
        <v>3637</v>
      </c>
      <c r="H17" s="256"/>
      <c r="I17" s="256"/>
      <c r="J17" s="256"/>
      <c r="K17" s="256"/>
      <c r="L17" s="256"/>
      <c r="M17" s="256"/>
      <c r="N17" s="256"/>
      <c r="O17" s="256"/>
      <c r="P17" s="256"/>
      <c r="Q17" s="256"/>
      <c r="R17" s="256"/>
      <c r="S17" s="256"/>
      <c r="T17" s="256"/>
      <c r="U17" s="256"/>
      <c r="V17" s="256"/>
      <c r="W17" s="256"/>
      <c r="X17" s="256"/>
      <c r="Y17" s="256"/>
      <c r="Z17" s="256"/>
    </row>
    <row r="18">
      <c r="A18" s="253" t="s">
        <v>3631</v>
      </c>
      <c r="B18" s="254" t="s">
        <v>3638</v>
      </c>
      <c r="C18" s="254" t="s">
        <v>3632</v>
      </c>
      <c r="D18" s="254" t="s">
        <v>3639</v>
      </c>
      <c r="E18" s="254">
        <f>+971554686050</f>
        <v>971554686050</v>
      </c>
      <c r="F18" s="264"/>
      <c r="G18" s="254"/>
      <c r="H18" s="256"/>
      <c r="I18" s="256"/>
      <c r="J18" s="256"/>
      <c r="K18" s="256"/>
      <c r="L18" s="256"/>
      <c r="M18" s="256"/>
      <c r="N18" s="256"/>
      <c r="O18" s="256"/>
      <c r="P18" s="256"/>
      <c r="Q18" s="256"/>
      <c r="R18" s="256"/>
      <c r="S18" s="256"/>
      <c r="T18" s="256"/>
      <c r="U18" s="256"/>
      <c r="V18" s="256"/>
      <c r="W18" s="256"/>
      <c r="X18" s="256"/>
      <c r="Y18" s="256"/>
      <c r="Z18" s="256"/>
    </row>
    <row r="19">
      <c r="A19" s="253" t="s">
        <v>3640</v>
      </c>
      <c r="B19" s="254"/>
      <c r="C19" s="261" t="s">
        <v>3641</v>
      </c>
      <c r="D19" s="253" t="s">
        <v>3642</v>
      </c>
      <c r="E19" s="253">
        <v>9.71503674691E11</v>
      </c>
      <c r="F19" s="255" t="s">
        <v>168</v>
      </c>
      <c r="G19" s="254"/>
      <c r="H19" s="256"/>
      <c r="I19" s="256"/>
      <c r="J19" s="256"/>
      <c r="K19" s="256"/>
      <c r="L19" s="256"/>
      <c r="M19" s="256"/>
      <c r="N19" s="256"/>
      <c r="O19" s="256"/>
      <c r="P19" s="256"/>
      <c r="Q19" s="256"/>
      <c r="R19" s="256"/>
      <c r="S19" s="256"/>
      <c r="T19" s="256"/>
      <c r="U19" s="256"/>
      <c r="V19" s="256"/>
      <c r="W19" s="256"/>
      <c r="X19" s="256"/>
      <c r="Y19" s="256"/>
      <c r="Z19" s="256"/>
    </row>
    <row r="20">
      <c r="A20" s="253" t="s">
        <v>3643</v>
      </c>
      <c r="B20" s="254" t="s">
        <v>3628</v>
      </c>
      <c r="C20" s="254" t="s">
        <v>3644</v>
      </c>
      <c r="D20" s="254" t="s">
        <v>3645</v>
      </c>
      <c r="E20" s="269" t="s">
        <v>3646</v>
      </c>
      <c r="F20" s="255" t="s">
        <v>3647</v>
      </c>
      <c r="G20" s="254"/>
      <c r="H20" s="256"/>
      <c r="I20" s="256"/>
      <c r="J20" s="256"/>
      <c r="K20" s="256"/>
      <c r="L20" s="256"/>
      <c r="M20" s="256"/>
      <c r="N20" s="256"/>
      <c r="O20" s="256"/>
      <c r="P20" s="256"/>
      <c r="Q20" s="256"/>
      <c r="R20" s="256"/>
      <c r="S20" s="256"/>
      <c r="T20" s="256"/>
      <c r="U20" s="256"/>
      <c r="V20" s="256"/>
      <c r="W20" s="256"/>
      <c r="X20" s="256"/>
      <c r="Y20" s="256"/>
      <c r="Z20" s="256"/>
    </row>
    <row r="21">
      <c r="A21" s="253" t="s">
        <v>3643</v>
      </c>
      <c r="B21" s="254" t="s">
        <v>3628</v>
      </c>
      <c r="C21" s="254" t="s">
        <v>3648</v>
      </c>
      <c r="D21" s="254" t="s">
        <v>3649</v>
      </c>
      <c r="E21" s="269" t="s">
        <v>3650</v>
      </c>
      <c r="F21" s="255" t="s">
        <v>3647</v>
      </c>
      <c r="G21" s="254"/>
      <c r="H21" s="256"/>
      <c r="I21" s="256"/>
      <c r="J21" s="256"/>
      <c r="K21" s="256"/>
      <c r="L21" s="256"/>
      <c r="M21" s="256"/>
      <c r="N21" s="256"/>
      <c r="O21" s="256"/>
      <c r="P21" s="256"/>
      <c r="Q21" s="256"/>
      <c r="R21" s="256"/>
      <c r="S21" s="256"/>
      <c r="T21" s="256"/>
      <c r="U21" s="256"/>
      <c r="V21" s="256"/>
      <c r="W21" s="256"/>
      <c r="X21" s="256"/>
      <c r="Y21" s="256"/>
      <c r="Z21" s="256"/>
    </row>
    <row r="22">
      <c r="A22" s="253" t="s">
        <v>3651</v>
      </c>
      <c r="B22" s="270" t="s">
        <v>3652</v>
      </c>
      <c r="C22" s="271" t="s">
        <v>3653</v>
      </c>
      <c r="D22" s="271" t="s">
        <v>3654</v>
      </c>
      <c r="E22" s="272" t="s">
        <v>3655</v>
      </c>
      <c r="F22" s="255" t="s">
        <v>251</v>
      </c>
      <c r="G22" s="254"/>
      <c r="H22" s="256"/>
      <c r="I22" s="256"/>
      <c r="J22" s="256"/>
      <c r="K22" s="256"/>
      <c r="L22" s="256"/>
      <c r="M22" s="256"/>
      <c r="N22" s="256"/>
      <c r="O22" s="256"/>
      <c r="P22" s="256"/>
      <c r="Q22" s="256"/>
      <c r="R22" s="256"/>
      <c r="S22" s="256"/>
      <c r="T22" s="256"/>
      <c r="U22" s="256"/>
      <c r="V22" s="256"/>
      <c r="W22" s="256"/>
      <c r="X22" s="256"/>
      <c r="Y22" s="256"/>
      <c r="Z22" s="256"/>
    </row>
    <row r="23">
      <c r="A23" s="273">
        <v>43732.0</v>
      </c>
      <c r="B23" s="254" t="s">
        <v>3652</v>
      </c>
      <c r="C23" s="271" t="s">
        <v>3656</v>
      </c>
      <c r="D23" s="271" t="s">
        <v>3657</v>
      </c>
      <c r="E23" s="272" t="s">
        <v>3658</v>
      </c>
      <c r="F23" s="255" t="s">
        <v>168</v>
      </c>
      <c r="G23" s="254"/>
      <c r="H23" s="256"/>
      <c r="I23" s="256"/>
      <c r="J23" s="256"/>
      <c r="K23" s="256"/>
      <c r="L23" s="256"/>
      <c r="M23" s="256"/>
      <c r="N23" s="256"/>
      <c r="O23" s="256"/>
      <c r="P23" s="256"/>
      <c r="Q23" s="256"/>
      <c r="R23" s="256"/>
      <c r="S23" s="256"/>
      <c r="T23" s="256"/>
      <c r="U23" s="256"/>
      <c r="V23" s="256"/>
      <c r="W23" s="256"/>
      <c r="X23" s="256"/>
      <c r="Y23" s="256"/>
      <c r="Z23" s="256"/>
    </row>
    <row r="24">
      <c r="A24" s="273">
        <v>43732.0</v>
      </c>
      <c r="B24" s="254" t="s">
        <v>3652</v>
      </c>
      <c r="C24" s="271" t="s">
        <v>3659</v>
      </c>
      <c r="D24" s="274" t="s">
        <v>3660</v>
      </c>
      <c r="E24" s="272" t="s">
        <v>3661</v>
      </c>
      <c r="F24" s="255" t="s">
        <v>979</v>
      </c>
      <c r="G24" s="254"/>
      <c r="H24" s="256"/>
      <c r="I24" s="256"/>
      <c r="J24" s="256"/>
      <c r="K24" s="256"/>
      <c r="L24" s="256"/>
      <c r="M24" s="256"/>
      <c r="N24" s="256"/>
      <c r="O24" s="256"/>
      <c r="P24" s="256"/>
      <c r="Q24" s="256"/>
      <c r="R24" s="256"/>
      <c r="S24" s="256"/>
      <c r="T24" s="256"/>
      <c r="U24" s="256"/>
      <c r="V24" s="256"/>
      <c r="W24" s="256"/>
      <c r="X24" s="256"/>
      <c r="Y24" s="256"/>
      <c r="Z24" s="256"/>
    </row>
    <row r="25">
      <c r="A25" s="273">
        <v>43732.0</v>
      </c>
      <c r="B25" s="275" t="s">
        <v>3662</v>
      </c>
      <c r="C25" s="254" t="s">
        <v>3663</v>
      </c>
      <c r="D25" s="254" t="s">
        <v>3664</v>
      </c>
      <c r="E25" s="254">
        <f>+971502385629</f>
        <v>971502385629</v>
      </c>
      <c r="F25" s="264" t="s">
        <v>3665</v>
      </c>
      <c r="G25" s="254"/>
      <c r="H25" s="256"/>
      <c r="I25" s="256"/>
      <c r="J25" s="256"/>
      <c r="K25" s="256"/>
      <c r="L25" s="256"/>
      <c r="M25" s="256"/>
      <c r="N25" s="256"/>
      <c r="O25" s="256"/>
      <c r="P25" s="256"/>
      <c r="Q25" s="256"/>
      <c r="R25" s="256"/>
      <c r="S25" s="256"/>
      <c r="T25" s="256"/>
      <c r="U25" s="256"/>
      <c r="V25" s="256"/>
      <c r="W25" s="256"/>
      <c r="X25" s="256"/>
      <c r="Y25" s="256"/>
      <c r="Z25" s="256"/>
    </row>
    <row r="26">
      <c r="A26" s="273">
        <v>43732.0</v>
      </c>
      <c r="B26" s="275" t="s">
        <v>3662</v>
      </c>
      <c r="C26" s="254" t="s">
        <v>3666</v>
      </c>
      <c r="D26" s="254" t="s">
        <v>3667</v>
      </c>
      <c r="E26" s="254">
        <f>+2001128904653</f>
        <v>2001128904653</v>
      </c>
      <c r="F26" s="255" t="s">
        <v>3668</v>
      </c>
      <c r="G26" s="254"/>
      <c r="H26" s="256"/>
      <c r="I26" s="256"/>
      <c r="J26" s="256"/>
      <c r="K26" s="256"/>
      <c r="L26" s="256"/>
      <c r="M26" s="256"/>
      <c r="N26" s="256"/>
      <c r="O26" s="256"/>
      <c r="P26" s="256"/>
      <c r="Q26" s="256"/>
      <c r="R26" s="256"/>
      <c r="S26" s="256"/>
      <c r="T26" s="256"/>
      <c r="U26" s="256"/>
      <c r="V26" s="256"/>
      <c r="W26" s="256"/>
      <c r="X26" s="256"/>
      <c r="Y26" s="256"/>
      <c r="Z26" s="256"/>
    </row>
    <row r="27">
      <c r="A27" s="254"/>
      <c r="B27" s="253" t="s">
        <v>3669</v>
      </c>
      <c r="C27" s="253" t="s">
        <v>3670</v>
      </c>
      <c r="D27" s="253" t="s">
        <v>3671</v>
      </c>
      <c r="E27" s="254">
        <f>971556301370</f>
        <v>971556301370</v>
      </c>
      <c r="F27" s="255" t="s">
        <v>3672</v>
      </c>
      <c r="G27" s="254"/>
      <c r="H27" s="256"/>
      <c r="I27" s="256"/>
      <c r="J27" s="256"/>
      <c r="K27" s="256"/>
      <c r="L27" s="256"/>
      <c r="M27" s="256"/>
      <c r="N27" s="256"/>
      <c r="O27" s="256"/>
      <c r="P27" s="256"/>
      <c r="Q27" s="256"/>
      <c r="R27" s="256"/>
      <c r="S27" s="256"/>
      <c r="T27" s="256"/>
      <c r="U27" s="256"/>
      <c r="V27" s="256"/>
      <c r="W27" s="256"/>
      <c r="X27" s="256"/>
      <c r="Y27" s="256"/>
      <c r="Z27" s="256"/>
    </row>
    <row r="28">
      <c r="A28" s="273">
        <v>43733.0</v>
      </c>
      <c r="B28" s="254" t="s">
        <v>3673</v>
      </c>
      <c r="C28" s="254" t="s">
        <v>3674</v>
      </c>
      <c r="D28" s="254" t="s">
        <v>3675</v>
      </c>
      <c r="E28" s="269" t="s">
        <v>3676</v>
      </c>
      <c r="F28" s="255" t="s">
        <v>251</v>
      </c>
      <c r="G28" s="254"/>
      <c r="H28" s="256"/>
      <c r="I28" s="256"/>
      <c r="J28" s="256"/>
      <c r="K28" s="256"/>
      <c r="L28" s="256"/>
      <c r="M28" s="256"/>
      <c r="N28" s="256"/>
      <c r="O28" s="256"/>
      <c r="P28" s="256"/>
      <c r="Q28" s="256"/>
      <c r="R28" s="256"/>
      <c r="S28" s="256"/>
      <c r="T28" s="256"/>
      <c r="U28" s="256"/>
      <c r="V28" s="256"/>
      <c r="W28" s="256"/>
      <c r="X28" s="256"/>
      <c r="Y28" s="256"/>
      <c r="Z28" s="256"/>
    </row>
    <row r="29">
      <c r="A29" s="273">
        <v>43734.0</v>
      </c>
      <c r="B29" s="254" t="s">
        <v>3673</v>
      </c>
      <c r="C29" s="254" t="s">
        <v>3677</v>
      </c>
      <c r="D29" s="254" t="s">
        <v>3678</v>
      </c>
      <c r="E29" s="254">
        <f>+9620795605610</f>
        <v>9620795605610</v>
      </c>
      <c r="F29" s="255" t="s">
        <v>3679</v>
      </c>
      <c r="G29" s="254"/>
      <c r="H29" s="256"/>
      <c r="I29" s="256"/>
      <c r="J29" s="256"/>
      <c r="K29" s="256"/>
      <c r="L29" s="256"/>
      <c r="M29" s="256"/>
      <c r="N29" s="256"/>
      <c r="O29" s="256"/>
      <c r="P29" s="256"/>
      <c r="Q29" s="256"/>
      <c r="R29" s="256"/>
      <c r="S29" s="256"/>
      <c r="T29" s="256"/>
      <c r="U29" s="256"/>
      <c r="V29" s="256"/>
      <c r="W29" s="256"/>
      <c r="X29" s="256"/>
      <c r="Y29" s="256"/>
      <c r="Z29" s="256"/>
    </row>
    <row r="30">
      <c r="A30" s="273">
        <v>43734.0</v>
      </c>
      <c r="B30" s="254" t="s">
        <v>3680</v>
      </c>
      <c r="C30" s="276" t="s">
        <v>3681</v>
      </c>
      <c r="D30" s="276" t="s">
        <v>3682</v>
      </c>
      <c r="E30" s="277" t="s">
        <v>3683</v>
      </c>
      <c r="F30" s="255" t="s">
        <v>3684</v>
      </c>
      <c r="G30" s="254"/>
      <c r="H30" s="256"/>
      <c r="I30" s="256"/>
      <c r="J30" s="256"/>
      <c r="K30" s="256"/>
      <c r="L30" s="256"/>
      <c r="M30" s="256"/>
      <c r="N30" s="256"/>
      <c r="O30" s="256"/>
      <c r="P30" s="256"/>
      <c r="Q30" s="256"/>
      <c r="R30" s="256"/>
      <c r="S30" s="256"/>
      <c r="T30" s="256"/>
      <c r="U30" s="256"/>
      <c r="V30" s="256"/>
      <c r="W30" s="256"/>
      <c r="X30" s="256"/>
      <c r="Y30" s="256"/>
      <c r="Z30" s="256"/>
    </row>
    <row r="31">
      <c r="A31" s="273">
        <v>43736.0</v>
      </c>
      <c r="B31" s="254" t="s">
        <v>3685</v>
      </c>
      <c r="C31" s="254" t="s">
        <v>3686</v>
      </c>
      <c r="D31" s="254" t="s">
        <v>3687</v>
      </c>
      <c r="E31" s="254">
        <f>+971555485231</f>
        <v>971555485231</v>
      </c>
      <c r="F31" s="255" t="s">
        <v>3688</v>
      </c>
      <c r="G31" s="253"/>
      <c r="H31" s="256"/>
      <c r="I31" s="256"/>
      <c r="J31" s="256"/>
      <c r="K31" s="256"/>
      <c r="L31" s="256"/>
      <c r="M31" s="256"/>
      <c r="N31" s="256"/>
      <c r="O31" s="256"/>
      <c r="P31" s="256"/>
      <c r="Q31" s="256"/>
      <c r="R31" s="256"/>
      <c r="S31" s="256"/>
      <c r="T31" s="256"/>
      <c r="U31" s="256"/>
      <c r="V31" s="256"/>
      <c r="W31" s="256"/>
      <c r="X31" s="256"/>
      <c r="Y31" s="256"/>
      <c r="Z31" s="256"/>
    </row>
    <row r="32">
      <c r="A32" s="273">
        <v>43737.0</v>
      </c>
      <c r="B32" s="254" t="s">
        <v>3689</v>
      </c>
      <c r="C32" s="254" t="s">
        <v>3690</v>
      </c>
      <c r="D32" s="254" t="s">
        <v>3691</v>
      </c>
      <c r="E32" s="254">
        <f>+971508466462</f>
        <v>971508466462</v>
      </c>
      <c r="F32" s="255" t="s">
        <v>2225</v>
      </c>
      <c r="G32" s="253" t="s">
        <v>3692</v>
      </c>
      <c r="H32" s="256"/>
      <c r="I32" s="256"/>
      <c r="J32" s="256"/>
      <c r="K32" s="256"/>
      <c r="L32" s="256"/>
      <c r="M32" s="256"/>
      <c r="N32" s="256"/>
      <c r="O32" s="256"/>
      <c r="P32" s="256"/>
      <c r="Q32" s="256"/>
      <c r="R32" s="256"/>
      <c r="S32" s="256"/>
      <c r="T32" s="256"/>
      <c r="U32" s="256"/>
      <c r="V32" s="256"/>
      <c r="W32" s="256"/>
      <c r="X32" s="256"/>
      <c r="Y32" s="256"/>
      <c r="Z32" s="256"/>
    </row>
    <row r="33">
      <c r="A33" s="273">
        <v>43738.0</v>
      </c>
      <c r="B33" s="278" t="s">
        <v>3576</v>
      </c>
      <c r="C33" s="275" t="s">
        <v>3693</v>
      </c>
      <c r="D33" s="275" t="s">
        <v>3694</v>
      </c>
      <c r="E33" s="275">
        <v>9.6891320917E10</v>
      </c>
      <c r="F33" s="255" t="s">
        <v>979</v>
      </c>
      <c r="G33" s="254"/>
      <c r="H33" s="256"/>
      <c r="I33" s="256"/>
      <c r="J33" s="256"/>
      <c r="K33" s="256"/>
      <c r="L33" s="256"/>
      <c r="M33" s="256"/>
      <c r="N33" s="256"/>
      <c r="O33" s="256"/>
      <c r="P33" s="256"/>
      <c r="Q33" s="256"/>
      <c r="R33" s="256"/>
      <c r="S33" s="256"/>
      <c r="T33" s="256"/>
      <c r="U33" s="256"/>
      <c r="V33" s="256"/>
      <c r="W33" s="256"/>
      <c r="X33" s="256"/>
      <c r="Y33" s="256"/>
      <c r="Z33" s="256"/>
    </row>
    <row r="34">
      <c r="A34" s="279">
        <v>43739.0</v>
      </c>
      <c r="B34" s="254" t="s">
        <v>3673</v>
      </c>
      <c r="C34" s="254" t="s">
        <v>3695</v>
      </c>
      <c r="D34" s="254" t="s">
        <v>3696</v>
      </c>
      <c r="E34" s="254">
        <f>+971501461118</f>
        <v>971501461118</v>
      </c>
      <c r="F34" s="264" t="s">
        <v>3697</v>
      </c>
      <c r="G34" s="253" t="s">
        <v>168</v>
      </c>
      <c r="H34" s="256"/>
      <c r="I34" s="256"/>
      <c r="J34" s="256"/>
      <c r="K34" s="256"/>
      <c r="L34" s="256"/>
      <c r="M34" s="256"/>
      <c r="N34" s="256"/>
      <c r="O34" s="256"/>
      <c r="P34" s="256"/>
      <c r="Q34" s="256"/>
      <c r="R34" s="256"/>
      <c r="S34" s="256"/>
      <c r="T34" s="256"/>
      <c r="U34" s="256"/>
      <c r="V34" s="256"/>
      <c r="W34" s="256"/>
      <c r="X34" s="256"/>
      <c r="Y34" s="256"/>
      <c r="Z34" s="256"/>
    </row>
    <row r="35">
      <c r="A35" s="279">
        <v>43739.0</v>
      </c>
      <c r="B35" s="254" t="s">
        <v>3662</v>
      </c>
      <c r="C35" s="254" t="s">
        <v>3698</v>
      </c>
      <c r="D35" s="254" t="s">
        <v>3699</v>
      </c>
      <c r="E35" s="254">
        <v>7.476408404E9</v>
      </c>
      <c r="F35" s="264" t="s">
        <v>3697</v>
      </c>
      <c r="G35" s="253" t="s">
        <v>3700</v>
      </c>
      <c r="H35" s="256"/>
      <c r="I35" s="256"/>
      <c r="J35" s="256"/>
      <c r="K35" s="256"/>
      <c r="L35" s="256"/>
      <c r="M35" s="256"/>
      <c r="N35" s="256"/>
      <c r="O35" s="256"/>
      <c r="P35" s="256"/>
      <c r="Q35" s="256"/>
      <c r="R35" s="256"/>
      <c r="S35" s="256"/>
      <c r="T35" s="256"/>
      <c r="U35" s="256"/>
      <c r="V35" s="256"/>
      <c r="W35" s="256"/>
      <c r="X35" s="256"/>
      <c r="Y35" s="256"/>
      <c r="Z35" s="256"/>
    </row>
    <row r="36">
      <c r="A36" s="280">
        <v>43743.0</v>
      </c>
      <c r="B36" s="254" t="s">
        <v>3701</v>
      </c>
      <c r="C36" s="254" t="s">
        <v>3702</v>
      </c>
      <c r="D36" s="254" t="s">
        <v>3703</v>
      </c>
      <c r="E36" s="254">
        <f>+9710552003049</f>
        <v>9710552003049</v>
      </c>
      <c r="F36" s="255" t="s">
        <v>3704</v>
      </c>
      <c r="G36" s="253" t="s">
        <v>3705</v>
      </c>
      <c r="H36" s="256"/>
      <c r="I36" s="256"/>
      <c r="J36" s="256"/>
      <c r="K36" s="256"/>
      <c r="L36" s="256"/>
      <c r="M36" s="256"/>
      <c r="N36" s="256"/>
      <c r="O36" s="256"/>
      <c r="P36" s="256"/>
      <c r="Q36" s="256"/>
      <c r="R36" s="256"/>
      <c r="S36" s="256"/>
      <c r="T36" s="256"/>
      <c r="U36" s="256"/>
      <c r="V36" s="256"/>
      <c r="W36" s="256"/>
      <c r="X36" s="256"/>
      <c r="Y36" s="256"/>
      <c r="Z36" s="256"/>
    </row>
    <row r="37">
      <c r="A37" s="280">
        <v>43743.0</v>
      </c>
      <c r="B37" s="254" t="s">
        <v>3701</v>
      </c>
      <c r="C37" s="254" t="s">
        <v>3706</v>
      </c>
      <c r="D37" s="254" t="s">
        <v>3707</v>
      </c>
      <c r="E37" s="254">
        <f>+971506409829</f>
        <v>971506409829</v>
      </c>
      <c r="F37" s="255" t="s">
        <v>3708</v>
      </c>
      <c r="G37" s="254"/>
      <c r="H37" s="256"/>
      <c r="I37" s="256"/>
      <c r="J37" s="256"/>
      <c r="K37" s="256"/>
      <c r="L37" s="256"/>
      <c r="M37" s="256"/>
      <c r="N37" s="256"/>
      <c r="O37" s="256"/>
      <c r="P37" s="256"/>
      <c r="Q37" s="256"/>
      <c r="R37" s="256"/>
      <c r="S37" s="256"/>
      <c r="T37" s="256"/>
      <c r="U37" s="256"/>
      <c r="V37" s="256"/>
      <c r="W37" s="256"/>
      <c r="X37" s="256"/>
      <c r="Y37" s="256"/>
      <c r="Z37" s="256"/>
    </row>
    <row r="38">
      <c r="A38" s="280">
        <v>43743.0</v>
      </c>
      <c r="B38" s="254" t="s">
        <v>3701</v>
      </c>
      <c r="C38" s="254" t="s">
        <v>3709</v>
      </c>
      <c r="D38" s="254" t="s">
        <v>3710</v>
      </c>
      <c r="E38" s="254">
        <f>+971552666317</f>
        <v>971552666317</v>
      </c>
      <c r="F38" s="255" t="s">
        <v>3711</v>
      </c>
      <c r="G38" s="253" t="s">
        <v>3712</v>
      </c>
      <c r="H38" s="256"/>
      <c r="I38" s="256"/>
      <c r="J38" s="256"/>
      <c r="K38" s="256"/>
      <c r="L38" s="256"/>
      <c r="M38" s="256"/>
      <c r="N38" s="256"/>
      <c r="O38" s="256"/>
      <c r="P38" s="256"/>
      <c r="Q38" s="256"/>
      <c r="R38" s="256"/>
      <c r="S38" s="256"/>
      <c r="T38" s="256"/>
      <c r="U38" s="256"/>
      <c r="V38" s="256"/>
      <c r="W38" s="256"/>
      <c r="X38" s="256"/>
      <c r="Y38" s="256"/>
      <c r="Z38" s="256"/>
    </row>
    <row r="39">
      <c r="A39" s="280">
        <v>43743.0</v>
      </c>
      <c r="B39" s="254" t="s">
        <v>3701</v>
      </c>
      <c r="C39" s="254" t="s">
        <v>3713</v>
      </c>
      <c r="D39" s="254" t="s">
        <v>3714</v>
      </c>
      <c r="E39" s="254">
        <f>+971552982928</f>
        <v>971552982928</v>
      </c>
      <c r="F39" s="255" t="s">
        <v>3711</v>
      </c>
      <c r="G39" s="259" t="s">
        <v>3715</v>
      </c>
      <c r="H39" s="256"/>
      <c r="I39" s="256"/>
      <c r="J39" s="256"/>
      <c r="K39" s="256"/>
      <c r="L39" s="256"/>
      <c r="M39" s="256"/>
      <c r="N39" s="256"/>
      <c r="O39" s="256"/>
      <c r="P39" s="256"/>
      <c r="Q39" s="256"/>
      <c r="R39" s="256"/>
      <c r="S39" s="256"/>
      <c r="T39" s="256"/>
      <c r="U39" s="256"/>
      <c r="V39" s="256"/>
      <c r="W39" s="256"/>
      <c r="X39" s="256"/>
      <c r="Y39" s="256"/>
      <c r="Z39" s="256"/>
    </row>
    <row r="40">
      <c r="A40" s="280">
        <v>43743.0</v>
      </c>
      <c r="B40" s="254" t="s">
        <v>3701</v>
      </c>
      <c r="C40" s="254" t="s">
        <v>3716</v>
      </c>
      <c r="D40" s="254" t="s">
        <v>3717</v>
      </c>
      <c r="E40" s="254">
        <f>+971506227620</f>
        <v>971506227620</v>
      </c>
      <c r="F40" s="255" t="s">
        <v>2077</v>
      </c>
      <c r="G40" s="254"/>
      <c r="H40" s="256"/>
      <c r="I40" s="256"/>
      <c r="J40" s="256"/>
      <c r="K40" s="256"/>
      <c r="L40" s="256"/>
      <c r="M40" s="256"/>
      <c r="N40" s="256"/>
      <c r="O40" s="256"/>
      <c r="P40" s="256"/>
      <c r="Q40" s="256"/>
      <c r="R40" s="256"/>
      <c r="S40" s="256"/>
      <c r="T40" s="256"/>
      <c r="U40" s="256"/>
      <c r="V40" s="256"/>
      <c r="W40" s="256"/>
      <c r="X40" s="256"/>
      <c r="Y40" s="256"/>
      <c r="Z40" s="256"/>
    </row>
    <row r="41">
      <c r="A41" s="280">
        <v>43743.0</v>
      </c>
      <c r="B41" s="254" t="s">
        <v>3701</v>
      </c>
      <c r="C41" s="254" t="s">
        <v>2840</v>
      </c>
      <c r="D41" s="254" t="s">
        <v>3718</v>
      </c>
      <c r="E41" s="254">
        <f>+971561082270</f>
        <v>971561082270</v>
      </c>
      <c r="F41" s="255" t="s">
        <v>3719</v>
      </c>
      <c r="G41" s="254"/>
      <c r="H41" s="256"/>
      <c r="I41" s="256"/>
      <c r="J41" s="256"/>
      <c r="K41" s="256"/>
      <c r="L41" s="256"/>
      <c r="M41" s="256"/>
      <c r="N41" s="256"/>
      <c r="O41" s="256"/>
      <c r="P41" s="256"/>
      <c r="Q41" s="256"/>
      <c r="R41" s="256"/>
      <c r="S41" s="256"/>
      <c r="T41" s="256"/>
      <c r="U41" s="256"/>
      <c r="V41" s="256"/>
      <c r="W41" s="256"/>
      <c r="X41" s="256"/>
      <c r="Y41" s="256"/>
      <c r="Z41" s="256"/>
    </row>
    <row r="42">
      <c r="A42" s="280">
        <v>43743.0</v>
      </c>
      <c r="B42" s="254" t="s">
        <v>3701</v>
      </c>
      <c r="C42" s="254" t="s">
        <v>3720</v>
      </c>
      <c r="D42" s="254" t="s">
        <v>3721</v>
      </c>
      <c r="E42" s="254">
        <f>+971505018193</f>
        <v>971505018193</v>
      </c>
      <c r="F42" s="255" t="s">
        <v>3722</v>
      </c>
      <c r="G42" s="253" t="s">
        <v>2077</v>
      </c>
      <c r="H42" s="256"/>
      <c r="I42" s="256"/>
      <c r="J42" s="256"/>
      <c r="K42" s="256"/>
      <c r="L42" s="256"/>
      <c r="M42" s="256"/>
      <c r="N42" s="256"/>
      <c r="O42" s="256"/>
      <c r="P42" s="256"/>
      <c r="Q42" s="256"/>
      <c r="R42" s="256"/>
      <c r="S42" s="256"/>
      <c r="T42" s="256"/>
      <c r="U42" s="256"/>
      <c r="V42" s="256"/>
      <c r="W42" s="256"/>
      <c r="X42" s="256"/>
      <c r="Y42" s="256"/>
      <c r="Z42" s="256"/>
    </row>
    <row r="43">
      <c r="A43" s="280">
        <v>43743.0</v>
      </c>
      <c r="B43" s="254" t="s">
        <v>3701</v>
      </c>
      <c r="C43" s="254" t="s">
        <v>1012</v>
      </c>
      <c r="D43" s="254" t="s">
        <v>1013</v>
      </c>
      <c r="E43" s="254">
        <f>+9710553298666</f>
        <v>9710553298666</v>
      </c>
      <c r="F43" s="255" t="s">
        <v>3723</v>
      </c>
      <c r="G43" s="253" t="s">
        <v>168</v>
      </c>
      <c r="H43" s="256"/>
      <c r="I43" s="256"/>
      <c r="J43" s="256"/>
      <c r="K43" s="256"/>
      <c r="L43" s="256"/>
      <c r="M43" s="256"/>
      <c r="N43" s="256"/>
      <c r="O43" s="256"/>
      <c r="P43" s="256"/>
      <c r="Q43" s="256"/>
      <c r="R43" s="256"/>
      <c r="S43" s="256"/>
      <c r="T43" s="256"/>
      <c r="U43" s="256"/>
      <c r="V43" s="256"/>
      <c r="W43" s="256"/>
      <c r="X43" s="256"/>
      <c r="Y43" s="256"/>
      <c r="Z43" s="256"/>
    </row>
    <row r="44">
      <c r="A44" s="280">
        <v>43743.0</v>
      </c>
      <c r="B44" s="254" t="s">
        <v>3701</v>
      </c>
      <c r="C44" s="271" t="s">
        <v>3724</v>
      </c>
      <c r="D44" s="271" t="s">
        <v>3725</v>
      </c>
      <c r="E44" s="272" t="s">
        <v>3726</v>
      </c>
      <c r="F44" s="255" t="s">
        <v>3727</v>
      </c>
      <c r="G44" s="253" t="s">
        <v>3728</v>
      </c>
      <c r="H44" s="256"/>
      <c r="I44" s="256"/>
      <c r="J44" s="256"/>
      <c r="K44" s="256"/>
      <c r="L44" s="256"/>
      <c r="M44" s="256"/>
      <c r="N44" s="256"/>
      <c r="O44" s="256"/>
      <c r="P44" s="256"/>
      <c r="Q44" s="256"/>
      <c r="R44" s="256"/>
      <c r="S44" s="256"/>
      <c r="T44" s="256"/>
      <c r="U44" s="256"/>
      <c r="V44" s="256"/>
      <c r="W44" s="256"/>
      <c r="X44" s="256"/>
      <c r="Y44" s="256"/>
      <c r="Z44" s="256"/>
    </row>
    <row r="45">
      <c r="A45" s="280">
        <v>43743.0</v>
      </c>
      <c r="B45" s="254" t="s">
        <v>3701</v>
      </c>
      <c r="C45" s="271" t="s">
        <v>3729</v>
      </c>
      <c r="D45" s="271" t="s">
        <v>3730</v>
      </c>
      <c r="E45" s="272" t="s">
        <v>3731</v>
      </c>
      <c r="F45" s="255" t="s">
        <v>3732</v>
      </c>
      <c r="G45" s="259" t="s">
        <v>3733</v>
      </c>
      <c r="H45" s="256"/>
      <c r="I45" s="256"/>
      <c r="J45" s="256"/>
      <c r="K45" s="256"/>
      <c r="L45" s="256"/>
      <c r="M45" s="256"/>
      <c r="N45" s="256"/>
      <c r="O45" s="256"/>
      <c r="P45" s="256"/>
      <c r="Q45" s="256"/>
      <c r="R45" s="256"/>
      <c r="S45" s="256"/>
      <c r="T45" s="256"/>
      <c r="U45" s="256"/>
      <c r="V45" s="256"/>
      <c r="W45" s="256"/>
      <c r="X45" s="256"/>
      <c r="Y45" s="256"/>
      <c r="Z45" s="256"/>
    </row>
    <row r="46">
      <c r="A46" s="280">
        <v>43743.0</v>
      </c>
      <c r="B46" s="254" t="s">
        <v>3701</v>
      </c>
      <c r="C46" s="271" t="s">
        <v>3734</v>
      </c>
      <c r="D46" s="271" t="s">
        <v>3735</v>
      </c>
      <c r="E46" s="272" t="s">
        <v>3736</v>
      </c>
      <c r="F46" s="255" t="s">
        <v>3723</v>
      </c>
      <c r="G46" s="254"/>
      <c r="H46" s="256"/>
      <c r="I46" s="256"/>
      <c r="J46" s="256"/>
      <c r="K46" s="256"/>
      <c r="L46" s="256"/>
      <c r="M46" s="256"/>
      <c r="N46" s="256"/>
      <c r="O46" s="256"/>
      <c r="P46" s="256"/>
      <c r="Q46" s="256"/>
      <c r="R46" s="256"/>
      <c r="S46" s="256"/>
      <c r="T46" s="256"/>
      <c r="U46" s="256"/>
      <c r="V46" s="256"/>
      <c r="W46" s="256"/>
      <c r="X46" s="256"/>
      <c r="Y46" s="256"/>
      <c r="Z46" s="256"/>
    </row>
    <row r="47">
      <c r="A47" s="280">
        <v>43743.0</v>
      </c>
      <c r="B47" s="254" t="s">
        <v>3652</v>
      </c>
      <c r="C47" s="271" t="s">
        <v>3737</v>
      </c>
      <c r="D47" s="271" t="s">
        <v>3738</v>
      </c>
      <c r="E47" s="272" t="s">
        <v>3739</v>
      </c>
      <c r="F47" s="255" t="s">
        <v>1009</v>
      </c>
      <c r="G47" s="254"/>
      <c r="H47" s="256"/>
      <c r="I47" s="256"/>
      <c r="J47" s="256"/>
      <c r="K47" s="256"/>
      <c r="L47" s="256"/>
      <c r="M47" s="256"/>
      <c r="N47" s="256"/>
      <c r="O47" s="256"/>
      <c r="P47" s="256"/>
      <c r="Q47" s="256"/>
      <c r="R47" s="256"/>
      <c r="S47" s="256"/>
      <c r="T47" s="256"/>
      <c r="U47" s="256"/>
      <c r="V47" s="256"/>
      <c r="W47" s="256"/>
      <c r="X47" s="256"/>
      <c r="Y47" s="256"/>
      <c r="Z47" s="256"/>
    </row>
    <row r="48">
      <c r="A48" s="280">
        <v>43743.0</v>
      </c>
      <c r="B48" s="254" t="s">
        <v>3701</v>
      </c>
      <c r="C48" s="271" t="s">
        <v>3740</v>
      </c>
      <c r="D48" s="271" t="s">
        <v>3741</v>
      </c>
      <c r="E48" s="272" t="s">
        <v>3742</v>
      </c>
      <c r="F48" s="255" t="s">
        <v>3743</v>
      </c>
      <c r="G48" s="253" t="s">
        <v>1009</v>
      </c>
      <c r="H48" s="256"/>
      <c r="I48" s="256"/>
      <c r="J48" s="256"/>
      <c r="K48" s="256"/>
      <c r="L48" s="256"/>
      <c r="M48" s="256"/>
      <c r="N48" s="256"/>
      <c r="O48" s="256"/>
      <c r="P48" s="256"/>
      <c r="Q48" s="256"/>
      <c r="R48" s="256"/>
      <c r="S48" s="256"/>
      <c r="T48" s="256"/>
      <c r="U48" s="256"/>
      <c r="V48" s="256"/>
      <c r="W48" s="256"/>
      <c r="X48" s="256"/>
      <c r="Y48" s="256"/>
      <c r="Z48" s="256"/>
    </row>
    <row r="49">
      <c r="A49" s="281">
        <v>43744.0</v>
      </c>
      <c r="B49" s="254" t="s">
        <v>3673</v>
      </c>
      <c r="C49" s="254" t="s">
        <v>3744</v>
      </c>
      <c r="D49" s="254" t="s">
        <v>3745</v>
      </c>
      <c r="E49" s="254">
        <f>+447496520013</f>
        <v>447496520013</v>
      </c>
      <c r="F49" s="255" t="s">
        <v>3746</v>
      </c>
      <c r="G49" s="254"/>
      <c r="H49" s="256"/>
      <c r="I49" s="256"/>
      <c r="J49" s="256"/>
      <c r="K49" s="282"/>
      <c r="L49" s="256"/>
      <c r="M49" s="256"/>
      <c r="N49" s="256"/>
      <c r="O49" s="256"/>
      <c r="P49" s="256"/>
      <c r="Q49" s="256"/>
      <c r="R49" s="256"/>
      <c r="S49" s="256"/>
      <c r="T49" s="256"/>
      <c r="U49" s="256"/>
      <c r="V49" s="256"/>
      <c r="W49" s="256"/>
      <c r="X49" s="256"/>
      <c r="Y49" s="256"/>
      <c r="Z49" s="256"/>
    </row>
    <row r="50">
      <c r="A50" s="283">
        <v>43748.0</v>
      </c>
      <c r="B50" s="254" t="s">
        <v>3747</v>
      </c>
      <c r="C50" s="254" t="s">
        <v>3748</v>
      </c>
      <c r="D50" s="254" t="s">
        <v>3749</v>
      </c>
      <c r="E50" s="254">
        <f>+971508186772</f>
        <v>971508186772</v>
      </c>
      <c r="F50" s="264" t="s">
        <v>3665</v>
      </c>
      <c r="G50" s="254"/>
      <c r="H50" s="256"/>
      <c r="I50" s="256"/>
      <c r="J50" s="256"/>
      <c r="K50" s="256"/>
      <c r="L50" s="256"/>
      <c r="M50" s="256"/>
      <c r="N50" s="256"/>
      <c r="O50" s="256"/>
      <c r="P50" s="256"/>
      <c r="Q50" s="256"/>
      <c r="R50" s="256"/>
      <c r="S50" s="256"/>
      <c r="T50" s="256"/>
      <c r="U50" s="256"/>
      <c r="V50" s="256"/>
      <c r="W50" s="256"/>
      <c r="X50" s="256"/>
      <c r="Y50" s="256"/>
      <c r="Z50" s="256"/>
    </row>
    <row r="51">
      <c r="A51" s="284">
        <v>43749.0</v>
      </c>
      <c r="B51" s="285" t="s">
        <v>3576</v>
      </c>
      <c r="C51" s="275" t="s">
        <v>3750</v>
      </c>
      <c r="D51" s="275" t="s">
        <v>3751</v>
      </c>
      <c r="E51" s="275">
        <v>9.7155959622E11</v>
      </c>
      <c r="F51" s="255" t="s">
        <v>574</v>
      </c>
      <c r="G51" s="254"/>
      <c r="H51" s="256"/>
      <c r="I51" s="256"/>
      <c r="J51" s="256"/>
      <c r="K51" s="256"/>
      <c r="L51" s="256"/>
      <c r="M51" s="256"/>
      <c r="N51" s="256"/>
      <c r="O51" s="256"/>
      <c r="P51" s="256"/>
      <c r="Q51" s="256"/>
      <c r="R51" s="256"/>
      <c r="S51" s="256"/>
      <c r="T51" s="256"/>
      <c r="U51" s="256"/>
      <c r="V51" s="256"/>
      <c r="W51" s="256"/>
      <c r="X51" s="256"/>
      <c r="Y51" s="256"/>
      <c r="Z51" s="256"/>
    </row>
    <row r="52">
      <c r="A52" s="284">
        <v>43749.0</v>
      </c>
      <c r="B52" s="278" t="s">
        <v>3576</v>
      </c>
      <c r="C52" s="275" t="s">
        <v>3752</v>
      </c>
      <c r="D52" s="275" t="s">
        <v>3753</v>
      </c>
      <c r="E52" s="275">
        <v>9.71529578857E11</v>
      </c>
      <c r="F52" s="255" t="s">
        <v>574</v>
      </c>
      <c r="G52" s="254"/>
      <c r="H52" s="256"/>
      <c r="I52" s="256"/>
      <c r="J52" s="256"/>
      <c r="K52" s="256"/>
      <c r="L52" s="256"/>
      <c r="M52" s="256"/>
      <c r="N52" s="256"/>
      <c r="O52" s="256"/>
      <c r="P52" s="256"/>
      <c r="Q52" s="256"/>
      <c r="R52" s="256"/>
      <c r="S52" s="256"/>
      <c r="T52" s="256"/>
      <c r="U52" s="256"/>
      <c r="V52" s="256"/>
      <c r="W52" s="256"/>
      <c r="X52" s="256"/>
      <c r="Y52" s="256"/>
      <c r="Z52" s="256"/>
    </row>
    <row r="53">
      <c r="A53" s="284">
        <v>43749.0</v>
      </c>
      <c r="B53" s="278" t="s">
        <v>3576</v>
      </c>
      <c r="C53" s="275" t="s">
        <v>3754</v>
      </c>
      <c r="D53" s="275" t="s">
        <v>3755</v>
      </c>
      <c r="E53" s="275">
        <v>9.71554848248E11</v>
      </c>
      <c r="F53" s="255" t="s">
        <v>168</v>
      </c>
      <c r="G53" s="254"/>
      <c r="H53" s="256"/>
      <c r="I53" s="256"/>
      <c r="J53" s="256"/>
      <c r="K53" s="256"/>
      <c r="L53" s="256"/>
      <c r="M53" s="256"/>
      <c r="N53" s="256"/>
      <c r="O53" s="256"/>
      <c r="P53" s="256"/>
      <c r="Q53" s="256"/>
      <c r="R53" s="256"/>
      <c r="S53" s="256"/>
      <c r="T53" s="256"/>
      <c r="U53" s="256"/>
      <c r="V53" s="256"/>
      <c r="W53" s="256"/>
      <c r="X53" s="256"/>
      <c r="Y53" s="256"/>
      <c r="Z53" s="256"/>
    </row>
    <row r="54">
      <c r="A54" s="284">
        <v>43749.0</v>
      </c>
      <c r="B54" s="278" t="s">
        <v>3576</v>
      </c>
      <c r="C54" s="275" t="s">
        <v>3756</v>
      </c>
      <c r="D54" s="275" t="s">
        <v>3757</v>
      </c>
      <c r="E54" s="275">
        <v>9.71545273134E11</v>
      </c>
      <c r="F54" s="255" t="s">
        <v>574</v>
      </c>
      <c r="G54" s="254"/>
      <c r="H54" s="256"/>
      <c r="I54" s="256"/>
      <c r="J54" s="256"/>
      <c r="K54" s="256"/>
      <c r="L54" s="256"/>
      <c r="M54" s="256"/>
      <c r="N54" s="256"/>
      <c r="O54" s="256"/>
      <c r="P54" s="256"/>
      <c r="Q54" s="256"/>
      <c r="R54" s="256"/>
      <c r="S54" s="256"/>
      <c r="T54" s="256"/>
      <c r="U54" s="256"/>
      <c r="V54" s="256"/>
      <c r="W54" s="256"/>
      <c r="X54" s="256"/>
      <c r="Y54" s="256"/>
      <c r="Z54" s="256"/>
    </row>
    <row r="55">
      <c r="A55" s="284">
        <v>43751.0</v>
      </c>
      <c r="B55" s="254" t="s">
        <v>3758</v>
      </c>
      <c r="C55" s="254" t="s">
        <v>3759</v>
      </c>
      <c r="D55" s="254" t="s">
        <v>3760</v>
      </c>
      <c r="E55" s="254">
        <f>+79521103333</f>
        <v>79521103333</v>
      </c>
      <c r="F55" s="255" t="s">
        <v>574</v>
      </c>
      <c r="G55" s="286"/>
      <c r="H55" s="256"/>
      <c r="I55" s="256"/>
      <c r="J55" s="256"/>
      <c r="K55" s="256"/>
      <c r="L55" s="256"/>
      <c r="M55" s="256"/>
      <c r="N55" s="256"/>
      <c r="O55" s="256"/>
      <c r="P55" s="256"/>
      <c r="Q55" s="256"/>
      <c r="R55" s="256"/>
      <c r="S55" s="256"/>
      <c r="T55" s="256"/>
      <c r="U55" s="256"/>
      <c r="V55" s="256"/>
      <c r="W55" s="256"/>
      <c r="X55" s="256"/>
      <c r="Y55" s="256"/>
      <c r="Z55" s="256"/>
    </row>
    <row r="56">
      <c r="A56" s="284">
        <v>43751.0</v>
      </c>
      <c r="B56" s="254" t="s">
        <v>3758</v>
      </c>
      <c r="C56" s="254" t="s">
        <v>3761</v>
      </c>
      <c r="D56" s="254" t="s">
        <v>3762</v>
      </c>
      <c r="E56" s="254">
        <f>+971506570449</f>
        <v>971506570449</v>
      </c>
      <c r="F56" s="255" t="s">
        <v>574</v>
      </c>
      <c r="G56" s="287"/>
      <c r="H56" s="256"/>
      <c r="I56" s="256"/>
      <c r="J56" s="256"/>
      <c r="K56" s="256"/>
      <c r="L56" s="256"/>
      <c r="M56" s="256"/>
      <c r="N56" s="256"/>
      <c r="O56" s="256"/>
      <c r="P56" s="256"/>
      <c r="Q56" s="256"/>
      <c r="R56" s="256"/>
      <c r="S56" s="256"/>
      <c r="T56" s="256"/>
      <c r="U56" s="256"/>
      <c r="V56" s="256"/>
      <c r="W56" s="256"/>
      <c r="X56" s="256"/>
      <c r="Y56" s="256"/>
      <c r="Z56" s="256"/>
    </row>
    <row r="57">
      <c r="A57" s="284">
        <v>43752.0</v>
      </c>
      <c r="B57" s="254" t="s">
        <v>3763</v>
      </c>
      <c r="C57" s="276" t="s">
        <v>3764</v>
      </c>
      <c r="D57" s="276" t="s">
        <v>3765</v>
      </c>
      <c r="E57" s="277" t="s">
        <v>3766</v>
      </c>
      <c r="F57" s="255" t="s">
        <v>3767</v>
      </c>
      <c r="G57" s="288" t="s">
        <v>3768</v>
      </c>
      <c r="H57" s="256"/>
      <c r="I57" s="256"/>
      <c r="J57" s="256"/>
      <c r="K57" s="256"/>
      <c r="L57" s="256"/>
      <c r="M57" s="256"/>
      <c r="N57" s="256"/>
      <c r="O57" s="256"/>
      <c r="P57" s="256"/>
      <c r="Q57" s="256"/>
      <c r="R57" s="256"/>
      <c r="S57" s="256"/>
      <c r="T57" s="256"/>
      <c r="U57" s="256"/>
      <c r="V57" s="256"/>
      <c r="W57" s="256"/>
      <c r="X57" s="256"/>
      <c r="Y57" s="256"/>
      <c r="Z57" s="256"/>
    </row>
    <row r="58">
      <c r="A58" s="289">
        <v>43753.0</v>
      </c>
      <c r="B58" s="254" t="s">
        <v>3763</v>
      </c>
      <c r="C58" s="254" t="s">
        <v>3769</v>
      </c>
      <c r="D58" s="254" t="s">
        <v>3770</v>
      </c>
      <c r="E58" s="254" t="s">
        <v>3771</v>
      </c>
      <c r="F58" s="255" t="s">
        <v>1153</v>
      </c>
      <c r="G58" s="254"/>
      <c r="H58" s="256"/>
      <c r="I58" s="256"/>
      <c r="J58" s="256"/>
      <c r="K58" s="256"/>
      <c r="L58" s="256"/>
      <c r="M58" s="256"/>
      <c r="N58" s="256"/>
      <c r="O58" s="256"/>
      <c r="P58" s="256"/>
      <c r="Q58" s="256"/>
      <c r="R58" s="256"/>
      <c r="S58" s="256"/>
      <c r="T58" s="256"/>
      <c r="U58" s="256"/>
      <c r="V58" s="256"/>
      <c r="W58" s="256"/>
      <c r="X58" s="256"/>
      <c r="Y58" s="256"/>
      <c r="Z58" s="256"/>
    </row>
    <row r="59">
      <c r="A59" s="289">
        <v>43755.0</v>
      </c>
      <c r="B59" s="254" t="s">
        <v>3772</v>
      </c>
      <c r="C59" s="254" t="s">
        <v>3773</v>
      </c>
      <c r="D59" s="254" t="s">
        <v>3774</v>
      </c>
      <c r="E59" s="254">
        <f>+6593800301</f>
        <v>6593800301</v>
      </c>
      <c r="F59" s="255" t="s">
        <v>3775</v>
      </c>
      <c r="G59" s="254"/>
      <c r="H59" s="256"/>
      <c r="I59" s="256"/>
      <c r="J59" s="256"/>
      <c r="K59" s="256"/>
      <c r="L59" s="256"/>
      <c r="M59" s="256"/>
      <c r="N59" s="256"/>
      <c r="O59" s="256"/>
      <c r="P59" s="256"/>
      <c r="Q59" s="256"/>
      <c r="R59" s="256"/>
      <c r="S59" s="256"/>
      <c r="T59" s="256"/>
      <c r="U59" s="256"/>
      <c r="V59" s="256"/>
      <c r="W59" s="256"/>
      <c r="X59" s="256"/>
      <c r="Y59" s="256"/>
      <c r="Z59" s="256"/>
    </row>
    <row r="60">
      <c r="A60" s="289">
        <v>43757.0</v>
      </c>
      <c r="B60" s="254" t="s">
        <v>3776</v>
      </c>
      <c r="C60" s="254" t="s">
        <v>3777</v>
      </c>
      <c r="D60" s="254" t="s">
        <v>3778</v>
      </c>
      <c r="E60" s="254">
        <v>4.47735630029E11</v>
      </c>
      <c r="F60" s="255" t="s">
        <v>574</v>
      </c>
      <c r="G60" s="254"/>
      <c r="H60" s="256"/>
      <c r="I60" s="256"/>
      <c r="J60" s="256"/>
      <c r="K60" s="256"/>
      <c r="L60" s="256"/>
      <c r="M60" s="256"/>
      <c r="N60" s="256"/>
      <c r="O60" s="256"/>
      <c r="P60" s="256"/>
      <c r="Q60" s="256"/>
      <c r="R60" s="256"/>
      <c r="S60" s="256"/>
      <c r="T60" s="256"/>
      <c r="U60" s="256"/>
      <c r="V60" s="256"/>
      <c r="W60" s="256"/>
      <c r="X60" s="256"/>
      <c r="Y60" s="256"/>
      <c r="Z60" s="256"/>
    </row>
    <row r="61">
      <c r="A61" s="284">
        <v>43760.0</v>
      </c>
      <c r="B61" s="254" t="s">
        <v>3772</v>
      </c>
      <c r="C61" s="254" t="s">
        <v>3779</v>
      </c>
      <c r="D61" s="254" t="s">
        <v>3780</v>
      </c>
      <c r="E61" s="254">
        <f>+4407506372841</f>
        <v>4407506372841</v>
      </c>
      <c r="F61" s="255" t="s">
        <v>574</v>
      </c>
      <c r="G61" s="254"/>
      <c r="H61" s="256"/>
      <c r="I61" s="256"/>
      <c r="J61" s="256"/>
      <c r="K61" s="256"/>
      <c r="L61" s="256"/>
      <c r="M61" s="256"/>
      <c r="N61" s="256"/>
      <c r="O61" s="256"/>
      <c r="P61" s="256"/>
      <c r="Q61" s="256"/>
      <c r="R61" s="256"/>
      <c r="S61" s="256"/>
      <c r="T61" s="256"/>
      <c r="U61" s="256"/>
      <c r="V61" s="256"/>
      <c r="W61" s="256"/>
      <c r="X61" s="256"/>
      <c r="Y61" s="256"/>
      <c r="Z61" s="256"/>
    </row>
    <row r="62">
      <c r="A62" s="289">
        <v>43766.0</v>
      </c>
      <c r="B62" s="254" t="s">
        <v>3652</v>
      </c>
      <c r="C62" s="254"/>
      <c r="D62" s="290" t="s">
        <v>3781</v>
      </c>
      <c r="E62" s="254"/>
      <c r="F62" s="264"/>
      <c r="G62" s="254"/>
      <c r="H62" s="256"/>
      <c r="I62" s="256"/>
      <c r="J62" s="256"/>
      <c r="K62" s="256"/>
      <c r="L62" s="256"/>
      <c r="M62" s="256"/>
      <c r="N62" s="256"/>
      <c r="O62" s="256"/>
      <c r="P62" s="256"/>
      <c r="Q62" s="256"/>
      <c r="R62" s="256"/>
      <c r="S62" s="256"/>
      <c r="T62" s="256"/>
      <c r="U62" s="256"/>
      <c r="V62" s="256"/>
      <c r="W62" s="256"/>
      <c r="X62" s="256"/>
      <c r="Y62" s="256"/>
      <c r="Z62" s="256"/>
    </row>
    <row r="63">
      <c r="A63" s="279">
        <v>43768.0</v>
      </c>
      <c r="B63" s="254" t="s">
        <v>3782</v>
      </c>
      <c r="C63" s="254" t="s">
        <v>3783</v>
      </c>
      <c r="D63" s="254" t="s">
        <v>3784</v>
      </c>
      <c r="E63" s="269" t="s">
        <v>3785</v>
      </c>
      <c r="F63" s="264" t="s">
        <v>3786</v>
      </c>
      <c r="G63" s="254"/>
      <c r="H63" s="256"/>
      <c r="I63" s="256"/>
      <c r="J63" s="256"/>
      <c r="K63" s="256"/>
      <c r="L63" s="256"/>
      <c r="M63" s="256"/>
      <c r="N63" s="256"/>
      <c r="O63" s="256"/>
      <c r="P63" s="256"/>
      <c r="Q63" s="256"/>
      <c r="R63" s="256"/>
      <c r="S63" s="256"/>
      <c r="T63" s="256"/>
      <c r="U63" s="256"/>
      <c r="V63" s="256"/>
      <c r="W63" s="256"/>
      <c r="X63" s="256"/>
      <c r="Y63" s="256"/>
      <c r="Z63" s="256"/>
    </row>
    <row r="64">
      <c r="A64" s="280">
        <v>43769.0</v>
      </c>
      <c r="B64" s="254" t="s">
        <v>3787</v>
      </c>
      <c r="C64" s="271" t="s">
        <v>3788</v>
      </c>
      <c r="D64" s="271" t="s">
        <v>3789</v>
      </c>
      <c r="E64" s="272" t="s">
        <v>3790</v>
      </c>
      <c r="F64" s="255" t="s">
        <v>3791</v>
      </c>
      <c r="G64" s="253" t="s">
        <v>3792</v>
      </c>
      <c r="H64" s="256"/>
      <c r="I64" s="256"/>
      <c r="J64" s="256"/>
      <c r="K64" s="256"/>
      <c r="L64" s="256"/>
      <c r="M64" s="256"/>
      <c r="N64" s="256"/>
      <c r="O64" s="256"/>
      <c r="P64" s="256"/>
      <c r="Q64" s="256"/>
      <c r="R64" s="256"/>
      <c r="S64" s="256"/>
      <c r="T64" s="256"/>
      <c r="U64" s="256"/>
      <c r="V64" s="256"/>
      <c r="W64" s="256"/>
      <c r="X64" s="256"/>
      <c r="Y64" s="256"/>
      <c r="Z64" s="256"/>
    </row>
    <row r="65">
      <c r="A65" s="280">
        <v>43775.0</v>
      </c>
      <c r="B65" s="254" t="s">
        <v>3793</v>
      </c>
      <c r="C65" s="254" t="s">
        <v>3794</v>
      </c>
      <c r="D65" s="254" t="s">
        <v>3795</v>
      </c>
      <c r="E65" s="254">
        <f>+447494115901</f>
        <v>447494115901</v>
      </c>
      <c r="F65" s="255" t="s">
        <v>251</v>
      </c>
      <c r="G65" s="254"/>
      <c r="H65" s="256"/>
      <c r="I65" s="256"/>
      <c r="J65" s="256"/>
      <c r="K65" s="256"/>
      <c r="L65" s="256"/>
      <c r="M65" s="256"/>
      <c r="N65" s="256"/>
      <c r="O65" s="256"/>
      <c r="P65" s="256"/>
      <c r="Q65" s="256"/>
      <c r="R65" s="256"/>
      <c r="S65" s="256"/>
      <c r="T65" s="256"/>
      <c r="U65" s="256"/>
      <c r="V65" s="256"/>
      <c r="W65" s="256"/>
      <c r="X65" s="256"/>
      <c r="Y65" s="256"/>
      <c r="Z65" s="256"/>
    </row>
    <row r="66">
      <c r="A66" s="280">
        <v>43775.0</v>
      </c>
      <c r="B66" s="254" t="s">
        <v>3796</v>
      </c>
      <c r="C66" s="254" t="s">
        <v>2858</v>
      </c>
      <c r="D66" s="254" t="s">
        <v>3797</v>
      </c>
      <c r="E66" s="254">
        <v>5.52222352E8</v>
      </c>
      <c r="F66" s="255" t="s">
        <v>251</v>
      </c>
      <c r="G66" s="253" t="s">
        <v>251</v>
      </c>
      <c r="H66" s="256"/>
      <c r="I66" s="256"/>
      <c r="J66" s="256"/>
      <c r="K66" s="256"/>
      <c r="L66" s="256"/>
      <c r="M66" s="256"/>
      <c r="N66" s="256"/>
      <c r="O66" s="256"/>
      <c r="P66" s="256"/>
      <c r="Q66" s="256"/>
      <c r="R66" s="256"/>
      <c r="S66" s="256"/>
      <c r="T66" s="256"/>
      <c r="U66" s="256"/>
      <c r="V66" s="256"/>
      <c r="W66" s="256"/>
      <c r="X66" s="256"/>
      <c r="Y66" s="256"/>
      <c r="Z66" s="256"/>
    </row>
    <row r="67">
      <c r="A67" s="280">
        <v>43775.0</v>
      </c>
      <c r="B67" s="254" t="s">
        <v>3796</v>
      </c>
      <c r="C67" s="254" t="s">
        <v>3798</v>
      </c>
      <c r="D67" s="254" t="s">
        <v>3799</v>
      </c>
      <c r="E67" s="254">
        <f>+971553180817</f>
        <v>971553180817</v>
      </c>
      <c r="F67" s="255" t="s">
        <v>251</v>
      </c>
      <c r="G67" s="253" t="s">
        <v>251</v>
      </c>
      <c r="H67" s="256"/>
      <c r="I67" s="256"/>
      <c r="J67" s="256"/>
      <c r="K67" s="256"/>
      <c r="L67" s="256"/>
      <c r="M67" s="256"/>
      <c r="N67" s="256"/>
      <c r="O67" s="256"/>
      <c r="P67" s="256"/>
      <c r="Q67" s="256"/>
      <c r="R67" s="256"/>
      <c r="S67" s="256"/>
      <c r="T67" s="256"/>
      <c r="U67" s="256"/>
      <c r="V67" s="256"/>
      <c r="W67" s="256"/>
      <c r="X67" s="256"/>
      <c r="Y67" s="256"/>
      <c r="Z67" s="256"/>
    </row>
    <row r="68">
      <c r="A68" s="280">
        <v>43776.0</v>
      </c>
      <c r="B68" s="254" t="s">
        <v>3793</v>
      </c>
      <c r="C68" s="254" t="s">
        <v>3800</v>
      </c>
      <c r="D68" s="254" t="s">
        <v>3801</v>
      </c>
      <c r="E68" s="254">
        <f>+447403797064</f>
        <v>447403797064</v>
      </c>
      <c r="F68" s="255" t="s">
        <v>3802</v>
      </c>
      <c r="G68" s="254"/>
      <c r="H68" s="256"/>
      <c r="I68" s="256"/>
      <c r="J68" s="256"/>
      <c r="K68" s="256"/>
      <c r="L68" s="256"/>
      <c r="M68" s="256"/>
      <c r="N68" s="256"/>
      <c r="O68" s="256"/>
      <c r="P68" s="256"/>
      <c r="Q68" s="256"/>
      <c r="R68" s="256"/>
      <c r="S68" s="256"/>
      <c r="T68" s="256"/>
      <c r="U68" s="256"/>
      <c r="V68" s="256"/>
      <c r="W68" s="256"/>
      <c r="X68" s="256"/>
      <c r="Y68" s="256"/>
      <c r="Z68" s="256"/>
    </row>
    <row r="69">
      <c r="A69" s="289">
        <v>43783.0</v>
      </c>
      <c r="B69" s="254" t="s">
        <v>3803</v>
      </c>
      <c r="C69" s="254" t="s">
        <v>3804</v>
      </c>
      <c r="D69" s="254" t="s">
        <v>3805</v>
      </c>
      <c r="E69" s="254">
        <v>7.701911194E9</v>
      </c>
      <c r="F69" s="264" t="s">
        <v>3806</v>
      </c>
      <c r="G69" s="253" t="s">
        <v>3807</v>
      </c>
      <c r="H69" s="256"/>
      <c r="I69" s="256"/>
      <c r="J69" s="256"/>
      <c r="K69" s="256"/>
      <c r="L69" s="256"/>
      <c r="M69" s="256"/>
      <c r="N69" s="256"/>
      <c r="O69" s="256"/>
      <c r="P69" s="256"/>
      <c r="Q69" s="256"/>
      <c r="R69" s="256"/>
      <c r="S69" s="256"/>
      <c r="T69" s="256"/>
      <c r="U69" s="256"/>
      <c r="V69" s="256"/>
      <c r="W69" s="256"/>
      <c r="X69" s="256"/>
      <c r="Y69" s="256"/>
      <c r="Z69" s="256"/>
    </row>
    <row r="70">
      <c r="A70" s="291">
        <v>43786.0</v>
      </c>
      <c r="B70" s="254" t="s">
        <v>3793</v>
      </c>
      <c r="C70" s="254" t="s">
        <v>3808</v>
      </c>
      <c r="D70" s="254" t="s">
        <v>3809</v>
      </c>
      <c r="E70" s="254">
        <f>+962797207670</f>
        <v>962797207670</v>
      </c>
      <c r="F70" s="264" t="s">
        <v>3810</v>
      </c>
      <c r="G70" s="253" t="s">
        <v>168</v>
      </c>
      <c r="H70" s="256"/>
      <c r="I70" s="256"/>
      <c r="J70" s="256"/>
      <c r="K70" s="256"/>
      <c r="L70" s="256"/>
      <c r="M70" s="256"/>
      <c r="N70" s="256"/>
      <c r="O70" s="256"/>
      <c r="P70" s="256"/>
      <c r="Q70" s="256"/>
      <c r="R70" s="256"/>
      <c r="S70" s="256"/>
      <c r="T70" s="256"/>
      <c r="U70" s="256"/>
      <c r="V70" s="256"/>
      <c r="W70" s="256"/>
      <c r="X70" s="256"/>
      <c r="Y70" s="256"/>
      <c r="Z70" s="256"/>
    </row>
    <row r="71">
      <c r="A71" s="291">
        <v>43786.0</v>
      </c>
      <c r="B71" s="254" t="s">
        <v>3793</v>
      </c>
      <c r="C71" s="254" t="s">
        <v>3811</v>
      </c>
      <c r="D71" s="254" t="s">
        <v>3812</v>
      </c>
      <c r="E71" s="254">
        <f>+971506752244</f>
        <v>971506752244</v>
      </c>
      <c r="F71" s="264" t="s">
        <v>3813</v>
      </c>
      <c r="G71" s="253" t="s">
        <v>251</v>
      </c>
      <c r="H71" s="256"/>
      <c r="I71" s="256"/>
      <c r="J71" s="256"/>
      <c r="K71" s="256"/>
      <c r="L71" s="256"/>
      <c r="M71" s="256"/>
      <c r="N71" s="256"/>
      <c r="O71" s="256"/>
      <c r="P71" s="256"/>
      <c r="Q71" s="256"/>
      <c r="R71" s="256"/>
      <c r="S71" s="256"/>
      <c r="T71" s="256"/>
      <c r="U71" s="256"/>
      <c r="V71" s="256"/>
      <c r="W71" s="256"/>
      <c r="X71" s="256"/>
      <c r="Y71" s="256"/>
      <c r="Z71" s="256"/>
    </row>
    <row r="72">
      <c r="A72" s="292">
        <v>43787.0</v>
      </c>
      <c r="B72" s="254" t="s">
        <v>3793</v>
      </c>
      <c r="C72" s="264" t="s">
        <v>3814</v>
      </c>
      <c r="D72" s="254" t="s">
        <v>3815</v>
      </c>
      <c r="E72" s="254">
        <f>+447738204173</f>
        <v>447738204173</v>
      </c>
      <c r="F72" s="255" t="s">
        <v>3816</v>
      </c>
      <c r="G72" s="253" t="s">
        <v>1009</v>
      </c>
      <c r="H72" s="256"/>
      <c r="I72" s="256"/>
      <c r="J72" s="256"/>
      <c r="K72" s="256"/>
      <c r="L72" s="256"/>
      <c r="M72" s="256"/>
      <c r="N72" s="256"/>
      <c r="O72" s="256"/>
      <c r="P72" s="256"/>
      <c r="Q72" s="256"/>
      <c r="R72" s="256"/>
      <c r="S72" s="256"/>
      <c r="T72" s="256"/>
      <c r="U72" s="256"/>
      <c r="V72" s="256"/>
      <c r="W72" s="256"/>
      <c r="X72" s="256"/>
      <c r="Y72" s="256"/>
      <c r="Z72" s="256"/>
    </row>
    <row r="73">
      <c r="A73" s="292">
        <v>43788.0</v>
      </c>
      <c r="B73" s="254" t="s">
        <v>3793</v>
      </c>
      <c r="C73" s="264" t="s">
        <v>3817</v>
      </c>
      <c r="D73" s="254" t="s">
        <v>3818</v>
      </c>
      <c r="E73" s="254">
        <f>+4407932527227</f>
        <v>4407932527227</v>
      </c>
      <c r="F73" s="255" t="s">
        <v>251</v>
      </c>
      <c r="G73" s="254"/>
      <c r="H73" s="256"/>
      <c r="I73" s="256"/>
      <c r="J73" s="256"/>
      <c r="K73" s="256"/>
      <c r="L73" s="256"/>
      <c r="M73" s="256"/>
      <c r="N73" s="256"/>
      <c r="O73" s="256"/>
      <c r="P73" s="256"/>
      <c r="Q73" s="256"/>
      <c r="R73" s="256"/>
      <c r="S73" s="256"/>
      <c r="T73" s="256"/>
      <c r="U73" s="256"/>
      <c r="V73" s="256"/>
      <c r="W73" s="256"/>
      <c r="X73" s="256"/>
      <c r="Y73" s="256"/>
      <c r="Z73" s="256"/>
    </row>
    <row r="74">
      <c r="A74" s="292">
        <v>43788.0</v>
      </c>
      <c r="B74" s="254" t="s">
        <v>3793</v>
      </c>
      <c r="C74" s="264" t="s">
        <v>3819</v>
      </c>
      <c r="D74" s="254" t="s">
        <v>3820</v>
      </c>
      <c r="E74" s="254">
        <f>+9710552036622</f>
        <v>9710552036622</v>
      </c>
      <c r="F74" s="255" t="s">
        <v>3821</v>
      </c>
      <c r="G74" s="254"/>
      <c r="H74" s="256"/>
      <c r="I74" s="256"/>
      <c r="J74" s="256"/>
      <c r="K74" s="256"/>
      <c r="L74" s="256"/>
      <c r="M74" s="256"/>
      <c r="N74" s="256"/>
      <c r="O74" s="256"/>
      <c r="P74" s="256"/>
      <c r="Q74" s="256"/>
      <c r="R74" s="256"/>
      <c r="S74" s="256"/>
      <c r="T74" s="256"/>
      <c r="U74" s="256"/>
      <c r="V74" s="256"/>
      <c r="W74" s="256"/>
      <c r="X74" s="256"/>
      <c r="Y74" s="256"/>
      <c r="Z74" s="256"/>
    </row>
    <row r="75">
      <c r="A75" s="291">
        <v>43789.0</v>
      </c>
      <c r="B75" s="275" t="s">
        <v>3822</v>
      </c>
      <c r="C75" s="285" t="s">
        <v>3823</v>
      </c>
      <c r="D75" s="293" t="s">
        <v>3824</v>
      </c>
      <c r="E75" s="275" t="s">
        <v>3825</v>
      </c>
      <c r="F75" s="255" t="s">
        <v>251</v>
      </c>
      <c r="G75" s="254"/>
      <c r="H75" s="256"/>
      <c r="I75" s="256"/>
      <c r="J75" s="256"/>
      <c r="K75" s="256"/>
      <c r="L75" s="256"/>
      <c r="M75" s="256"/>
      <c r="N75" s="256"/>
      <c r="O75" s="256"/>
      <c r="P75" s="256"/>
      <c r="Q75" s="256"/>
      <c r="R75" s="256"/>
      <c r="S75" s="256"/>
      <c r="T75" s="256"/>
      <c r="U75" s="256"/>
      <c r="V75" s="256"/>
      <c r="W75" s="256"/>
      <c r="X75" s="256"/>
      <c r="Y75" s="256"/>
      <c r="Z75" s="256"/>
    </row>
    <row r="76">
      <c r="A76" s="291">
        <v>43789.0</v>
      </c>
      <c r="B76" s="275" t="s">
        <v>3826</v>
      </c>
      <c r="C76" s="264" t="s">
        <v>3827</v>
      </c>
      <c r="D76" s="294" t="s">
        <v>3828</v>
      </c>
      <c r="E76" s="295" t="s">
        <v>3829</v>
      </c>
      <c r="F76" s="255" t="s">
        <v>3830</v>
      </c>
      <c r="G76" s="254"/>
      <c r="H76" s="256"/>
      <c r="I76" s="256"/>
      <c r="J76" s="256"/>
      <c r="K76" s="256"/>
      <c r="L76" s="256"/>
      <c r="M76" s="256"/>
      <c r="N76" s="256"/>
      <c r="O76" s="256"/>
      <c r="P76" s="256"/>
      <c r="Q76" s="256"/>
      <c r="R76" s="256"/>
      <c r="S76" s="256"/>
      <c r="T76" s="256"/>
      <c r="U76" s="256"/>
      <c r="V76" s="256"/>
      <c r="W76" s="256"/>
      <c r="X76" s="256"/>
      <c r="Y76" s="256"/>
      <c r="Z76" s="256"/>
    </row>
    <row r="77">
      <c r="A77" s="296">
        <v>43792.0</v>
      </c>
      <c r="B77" s="254" t="s">
        <v>3803</v>
      </c>
      <c r="C77" s="264" t="s">
        <v>3831</v>
      </c>
      <c r="D77" s="297" t="s">
        <v>3832</v>
      </c>
      <c r="E77" s="271" t="s">
        <v>3833</v>
      </c>
      <c r="F77" s="255" t="s">
        <v>168</v>
      </c>
      <c r="G77" s="254"/>
      <c r="H77" s="256"/>
      <c r="I77" s="256"/>
      <c r="J77" s="256"/>
      <c r="K77" s="256"/>
      <c r="L77" s="256"/>
      <c r="M77" s="256"/>
      <c r="N77" s="256"/>
      <c r="O77" s="256"/>
      <c r="P77" s="256"/>
      <c r="Q77" s="256"/>
      <c r="R77" s="256"/>
      <c r="S77" s="256"/>
      <c r="T77" s="256"/>
      <c r="U77" s="256"/>
      <c r="V77" s="256"/>
      <c r="W77" s="256"/>
      <c r="X77" s="256"/>
      <c r="Y77" s="256"/>
      <c r="Z77" s="256"/>
    </row>
    <row r="78">
      <c r="A78" s="291">
        <v>43795.0</v>
      </c>
      <c r="B78" s="254" t="s">
        <v>3834</v>
      </c>
      <c r="C78" s="264" t="s">
        <v>3835</v>
      </c>
      <c r="D78" s="254" t="s">
        <v>3836</v>
      </c>
      <c r="E78" s="254">
        <f>+918474836674</f>
        <v>918474836674</v>
      </c>
      <c r="F78" s="255" t="s">
        <v>168</v>
      </c>
      <c r="G78" s="254"/>
      <c r="H78" s="256"/>
      <c r="I78" s="256"/>
      <c r="J78" s="256"/>
      <c r="K78" s="256"/>
      <c r="L78" s="256"/>
      <c r="M78" s="256"/>
      <c r="N78" s="256"/>
      <c r="O78" s="256"/>
      <c r="P78" s="256"/>
      <c r="Q78" s="256"/>
      <c r="R78" s="256"/>
      <c r="S78" s="256"/>
      <c r="T78" s="256"/>
      <c r="U78" s="256"/>
      <c r="V78" s="256"/>
      <c r="W78" s="256"/>
      <c r="X78" s="256"/>
      <c r="Y78" s="256"/>
      <c r="Z78" s="256"/>
    </row>
    <row r="79">
      <c r="A79" s="291">
        <v>43796.0</v>
      </c>
      <c r="B79" s="269" t="s">
        <v>3793</v>
      </c>
      <c r="C79" s="298" t="s">
        <v>3837</v>
      </c>
      <c r="D79" s="269" t="s">
        <v>3838</v>
      </c>
      <c r="E79" s="269" t="s">
        <v>3839</v>
      </c>
      <c r="F79" s="255" t="s">
        <v>3840</v>
      </c>
      <c r="G79" s="254"/>
      <c r="H79" s="256"/>
      <c r="I79" s="256"/>
      <c r="J79" s="256"/>
      <c r="K79" s="256"/>
      <c r="L79" s="256"/>
      <c r="M79" s="256"/>
      <c r="N79" s="256"/>
      <c r="O79" s="256"/>
      <c r="P79" s="256"/>
      <c r="Q79" s="256"/>
      <c r="R79" s="256"/>
      <c r="S79" s="256"/>
      <c r="T79" s="256"/>
      <c r="U79" s="256"/>
      <c r="V79" s="256"/>
      <c r="W79" s="256"/>
      <c r="X79" s="256"/>
      <c r="Y79" s="256"/>
      <c r="Z79" s="256"/>
    </row>
    <row r="80">
      <c r="A80" s="291">
        <v>43796.0</v>
      </c>
      <c r="B80" s="269" t="s">
        <v>3782</v>
      </c>
      <c r="C80" s="298" t="s">
        <v>3841</v>
      </c>
      <c r="D80" s="269" t="s">
        <v>3842</v>
      </c>
      <c r="E80" s="269" t="s">
        <v>3843</v>
      </c>
      <c r="F80" s="255" t="s">
        <v>3844</v>
      </c>
      <c r="G80" s="254"/>
      <c r="H80" s="256"/>
      <c r="I80" s="256"/>
      <c r="J80" s="256"/>
      <c r="K80" s="256"/>
      <c r="L80" s="256"/>
      <c r="M80" s="256"/>
      <c r="N80" s="256"/>
      <c r="O80" s="256"/>
      <c r="P80" s="256"/>
      <c r="Q80" s="256"/>
      <c r="R80" s="256"/>
      <c r="S80" s="256"/>
      <c r="T80" s="256"/>
      <c r="U80" s="256"/>
      <c r="V80" s="256"/>
      <c r="W80" s="256"/>
      <c r="X80" s="256"/>
      <c r="Y80" s="256"/>
      <c r="Z80" s="256"/>
    </row>
    <row r="81">
      <c r="A81" s="299">
        <v>43799.0</v>
      </c>
      <c r="B81" s="254" t="s">
        <v>3845</v>
      </c>
      <c r="C81" s="264" t="s">
        <v>3846</v>
      </c>
      <c r="D81" s="254" t="s">
        <v>3847</v>
      </c>
      <c r="E81" s="254">
        <v>9.71556159827E11</v>
      </c>
      <c r="F81" s="255" t="s">
        <v>3848</v>
      </c>
      <c r="G81" s="254"/>
      <c r="H81" s="256"/>
      <c r="I81" s="256"/>
      <c r="J81" s="256"/>
      <c r="K81" s="256"/>
      <c r="L81" s="256"/>
      <c r="M81" s="256"/>
      <c r="N81" s="256"/>
      <c r="O81" s="256"/>
      <c r="P81" s="256"/>
      <c r="Q81" s="256"/>
      <c r="R81" s="256"/>
      <c r="S81" s="256"/>
      <c r="T81" s="256"/>
      <c r="U81" s="256"/>
      <c r="V81" s="256"/>
      <c r="W81" s="256"/>
      <c r="X81" s="256"/>
      <c r="Y81" s="256"/>
      <c r="Z81" s="256"/>
    </row>
    <row r="82">
      <c r="A82" s="299">
        <v>43799.0</v>
      </c>
      <c r="B82" s="254" t="s">
        <v>3845</v>
      </c>
      <c r="C82" s="264" t="s">
        <v>3849</v>
      </c>
      <c r="D82" s="254" t="s">
        <v>3850</v>
      </c>
      <c r="E82" s="254">
        <v>9.10981917179E12</v>
      </c>
      <c r="F82" s="255" t="s">
        <v>168</v>
      </c>
      <c r="G82" s="254"/>
      <c r="H82" s="256"/>
      <c r="I82" s="256"/>
      <c r="J82" s="256"/>
      <c r="K82" s="256"/>
      <c r="L82" s="256"/>
      <c r="M82" s="256"/>
      <c r="N82" s="256"/>
      <c r="O82" s="256"/>
      <c r="P82" s="256"/>
      <c r="Q82" s="256"/>
      <c r="R82" s="256"/>
      <c r="S82" s="256"/>
      <c r="T82" s="256"/>
      <c r="U82" s="256"/>
      <c r="V82" s="256"/>
      <c r="W82" s="256"/>
      <c r="X82" s="256"/>
      <c r="Y82" s="256"/>
      <c r="Z82" s="256"/>
    </row>
    <row r="83">
      <c r="A83" s="299">
        <v>43799.0</v>
      </c>
      <c r="B83" s="254" t="s">
        <v>3845</v>
      </c>
      <c r="C83" s="264" t="s">
        <v>3851</v>
      </c>
      <c r="D83" s="254"/>
      <c r="E83" s="254">
        <v>9.71503378396E11</v>
      </c>
      <c r="F83" s="255" t="s">
        <v>168</v>
      </c>
      <c r="G83" s="254"/>
      <c r="H83" s="256"/>
      <c r="I83" s="256"/>
      <c r="J83" s="256"/>
      <c r="K83" s="256"/>
      <c r="L83" s="256"/>
      <c r="M83" s="256"/>
      <c r="N83" s="256"/>
      <c r="O83" s="256"/>
      <c r="P83" s="256"/>
      <c r="Q83" s="256"/>
      <c r="R83" s="256"/>
      <c r="S83" s="256"/>
      <c r="T83" s="256"/>
      <c r="U83" s="256"/>
      <c r="V83" s="256"/>
      <c r="W83" s="256"/>
      <c r="X83" s="256"/>
      <c r="Y83" s="256"/>
      <c r="Z83" s="256"/>
    </row>
    <row r="84">
      <c r="A84" s="299">
        <v>43800.0</v>
      </c>
      <c r="B84" s="254" t="s">
        <v>3852</v>
      </c>
      <c r="C84" s="264" t="s">
        <v>3853</v>
      </c>
      <c r="D84" s="254">
        <v>9.71559907013E11</v>
      </c>
      <c r="E84" s="300" t="s">
        <v>3854</v>
      </c>
      <c r="F84" s="255" t="s">
        <v>2077</v>
      </c>
      <c r="G84" s="254"/>
      <c r="H84" s="256"/>
      <c r="I84" s="256"/>
      <c r="J84" s="256"/>
      <c r="K84" s="256"/>
      <c r="L84" s="256"/>
      <c r="M84" s="256"/>
      <c r="N84" s="256"/>
      <c r="O84" s="256"/>
      <c r="P84" s="256"/>
      <c r="Q84" s="256"/>
      <c r="R84" s="256"/>
      <c r="S84" s="256"/>
      <c r="T84" s="256"/>
      <c r="U84" s="256"/>
      <c r="V84" s="256"/>
      <c r="W84" s="256"/>
      <c r="X84" s="256"/>
      <c r="Y84" s="256"/>
      <c r="Z84" s="256"/>
    </row>
    <row r="85">
      <c r="A85" s="299">
        <v>43800.0</v>
      </c>
      <c r="B85" s="254" t="s">
        <v>3852</v>
      </c>
      <c r="C85" s="264" t="s">
        <v>3855</v>
      </c>
      <c r="D85" s="254">
        <v>4.47459149483E11</v>
      </c>
      <c r="E85" s="254" t="s">
        <v>3856</v>
      </c>
      <c r="F85" s="255" t="s">
        <v>3857</v>
      </c>
      <c r="G85" s="254"/>
      <c r="H85" s="256"/>
      <c r="I85" s="256"/>
      <c r="J85" s="256"/>
      <c r="K85" s="256"/>
      <c r="L85" s="256"/>
      <c r="M85" s="256"/>
      <c r="N85" s="256"/>
      <c r="O85" s="256"/>
      <c r="P85" s="256"/>
      <c r="Q85" s="256"/>
      <c r="R85" s="256"/>
      <c r="S85" s="256"/>
      <c r="T85" s="256"/>
      <c r="U85" s="256"/>
      <c r="V85" s="256"/>
      <c r="W85" s="256"/>
      <c r="X85" s="256"/>
      <c r="Y85" s="256"/>
      <c r="Z85" s="256"/>
    </row>
    <row r="86">
      <c r="A86" s="291">
        <v>41247.0</v>
      </c>
      <c r="B86" s="254" t="s">
        <v>3845</v>
      </c>
      <c r="C86" s="301" t="s">
        <v>2880</v>
      </c>
      <c r="D86" s="271" t="s">
        <v>2881</v>
      </c>
      <c r="E86" s="272" t="s">
        <v>3858</v>
      </c>
      <c r="F86" s="255" t="s">
        <v>3859</v>
      </c>
      <c r="G86" s="254"/>
      <c r="H86" s="256"/>
      <c r="I86" s="256"/>
      <c r="J86" s="256"/>
      <c r="K86" s="256"/>
      <c r="L86" s="256"/>
      <c r="M86" s="256"/>
      <c r="N86" s="256"/>
      <c r="O86" s="256"/>
      <c r="P86" s="256"/>
      <c r="Q86" s="256"/>
      <c r="R86" s="256"/>
      <c r="S86" s="256"/>
      <c r="T86" s="256"/>
      <c r="U86" s="256"/>
      <c r="V86" s="256"/>
      <c r="W86" s="256"/>
      <c r="X86" s="256"/>
      <c r="Y86" s="256"/>
      <c r="Z86" s="256"/>
    </row>
    <row r="87">
      <c r="A87" s="291">
        <v>41248.0</v>
      </c>
      <c r="B87" s="254" t="s">
        <v>3845</v>
      </c>
      <c r="C87" s="264" t="s">
        <v>3860</v>
      </c>
      <c r="D87" s="254" t="s">
        <v>3861</v>
      </c>
      <c r="E87" s="254">
        <v>9.656673637E10</v>
      </c>
      <c r="F87" s="255" t="s">
        <v>3862</v>
      </c>
      <c r="G87" s="254"/>
      <c r="H87" s="256"/>
      <c r="I87" s="256"/>
      <c r="J87" s="256"/>
      <c r="K87" s="256"/>
      <c r="L87" s="256"/>
      <c r="M87" s="256"/>
      <c r="N87" s="256"/>
      <c r="O87" s="256"/>
      <c r="P87" s="256"/>
      <c r="Q87" s="256"/>
      <c r="R87" s="256"/>
      <c r="S87" s="256"/>
      <c r="T87" s="256"/>
      <c r="U87" s="256"/>
      <c r="V87" s="256"/>
      <c r="W87" s="256"/>
      <c r="X87" s="256"/>
      <c r="Y87" s="256"/>
      <c r="Z87" s="256"/>
    </row>
    <row r="88">
      <c r="A88" s="291">
        <v>41248.0</v>
      </c>
      <c r="B88" s="254" t="s">
        <v>3845</v>
      </c>
      <c r="C88" s="264" t="s">
        <v>3863</v>
      </c>
      <c r="D88" s="254" t="s">
        <v>3864</v>
      </c>
      <c r="E88" s="254">
        <v>9.647901396802E12</v>
      </c>
      <c r="F88" s="255" t="s">
        <v>168</v>
      </c>
      <c r="G88" s="254"/>
      <c r="H88" s="256"/>
      <c r="I88" s="256"/>
      <c r="J88" s="256"/>
      <c r="K88" s="256"/>
      <c r="L88" s="256"/>
      <c r="M88" s="256"/>
      <c r="N88" s="256"/>
      <c r="O88" s="256"/>
      <c r="P88" s="256"/>
      <c r="Q88" s="256"/>
      <c r="R88" s="256"/>
      <c r="S88" s="256"/>
      <c r="T88" s="256"/>
      <c r="U88" s="256"/>
      <c r="V88" s="256"/>
      <c r="W88" s="256"/>
      <c r="X88" s="256"/>
      <c r="Y88" s="256"/>
      <c r="Z88" s="256"/>
    </row>
    <row r="89">
      <c r="A89" s="291">
        <v>41248.0</v>
      </c>
      <c r="B89" s="254" t="s">
        <v>3845</v>
      </c>
      <c r="C89" s="264" t="s">
        <v>3865</v>
      </c>
      <c r="D89" s="254" t="s">
        <v>3866</v>
      </c>
      <c r="E89" s="254">
        <v>3.364830673E10</v>
      </c>
      <c r="F89" s="255" t="s">
        <v>251</v>
      </c>
      <c r="G89" s="254"/>
      <c r="H89" s="256"/>
      <c r="I89" s="256"/>
      <c r="J89" s="256"/>
      <c r="K89" s="256"/>
      <c r="L89" s="256"/>
      <c r="M89" s="256"/>
      <c r="N89" s="256"/>
      <c r="O89" s="256"/>
      <c r="P89" s="256"/>
      <c r="Q89" s="256"/>
      <c r="R89" s="256"/>
      <c r="S89" s="256"/>
      <c r="T89" s="256"/>
      <c r="U89" s="256"/>
      <c r="V89" s="256"/>
      <c r="W89" s="256"/>
      <c r="X89" s="256"/>
      <c r="Y89" s="256"/>
      <c r="Z89" s="256"/>
    </row>
    <row r="90">
      <c r="A90" s="291">
        <v>41250.0</v>
      </c>
      <c r="B90" s="254" t="s">
        <v>3845</v>
      </c>
      <c r="C90" s="264" t="s">
        <v>3867</v>
      </c>
      <c r="D90" s="254" t="s">
        <v>3868</v>
      </c>
      <c r="E90" s="254">
        <v>9.71508611097E11</v>
      </c>
      <c r="F90" s="255" t="s">
        <v>3869</v>
      </c>
      <c r="G90" s="254"/>
      <c r="H90" s="256"/>
      <c r="I90" s="256"/>
      <c r="J90" s="256"/>
      <c r="K90" s="256"/>
      <c r="L90" s="256"/>
      <c r="M90" s="256"/>
      <c r="N90" s="256"/>
      <c r="O90" s="256"/>
      <c r="P90" s="256"/>
      <c r="Q90" s="256"/>
      <c r="R90" s="256"/>
      <c r="S90" s="256"/>
      <c r="T90" s="256"/>
      <c r="U90" s="256"/>
      <c r="V90" s="256"/>
      <c r="W90" s="256"/>
      <c r="X90" s="256"/>
      <c r="Y90" s="256"/>
      <c r="Z90" s="256"/>
    </row>
    <row r="91">
      <c r="A91" s="291">
        <v>41250.0</v>
      </c>
      <c r="B91" s="254" t="s">
        <v>3845</v>
      </c>
      <c r="C91" s="264" t="s">
        <v>3870</v>
      </c>
      <c r="D91" s="254" t="s">
        <v>3871</v>
      </c>
      <c r="E91" s="254">
        <v>2.58820568492E11</v>
      </c>
      <c r="F91" s="255" t="s">
        <v>3862</v>
      </c>
      <c r="G91" s="254"/>
      <c r="H91" s="256"/>
      <c r="I91" s="256"/>
      <c r="J91" s="256"/>
      <c r="K91" s="256"/>
      <c r="L91" s="256"/>
      <c r="M91" s="256"/>
      <c r="N91" s="256"/>
      <c r="O91" s="256"/>
      <c r="P91" s="256"/>
      <c r="Q91" s="256"/>
      <c r="R91" s="256"/>
      <c r="S91" s="256"/>
      <c r="T91" s="256"/>
      <c r="U91" s="256"/>
      <c r="V91" s="256"/>
      <c r="W91" s="256"/>
      <c r="X91" s="256"/>
      <c r="Y91" s="256"/>
      <c r="Z91" s="256"/>
    </row>
    <row r="92">
      <c r="A92" s="291">
        <v>41250.0</v>
      </c>
      <c r="B92" s="254" t="s">
        <v>3845</v>
      </c>
      <c r="C92" s="264" t="s">
        <v>3872</v>
      </c>
      <c r="D92" s="254" t="s">
        <v>3873</v>
      </c>
      <c r="E92" s="254">
        <v>4.0723220024E10</v>
      </c>
      <c r="F92" s="255" t="s">
        <v>3862</v>
      </c>
      <c r="G92" s="254"/>
      <c r="H92" s="256"/>
      <c r="I92" s="256"/>
      <c r="J92" s="256"/>
      <c r="K92" s="256"/>
      <c r="L92" s="256"/>
      <c r="M92" s="256"/>
      <c r="N92" s="256"/>
      <c r="O92" s="256"/>
      <c r="P92" s="256"/>
      <c r="Q92" s="256"/>
      <c r="R92" s="256"/>
      <c r="S92" s="256"/>
      <c r="T92" s="256"/>
      <c r="U92" s="256"/>
      <c r="V92" s="256"/>
      <c r="W92" s="256"/>
      <c r="X92" s="256"/>
      <c r="Y92" s="256"/>
      <c r="Z92" s="256"/>
    </row>
    <row r="93">
      <c r="A93" s="291">
        <v>41251.0</v>
      </c>
      <c r="B93" s="254" t="s">
        <v>3845</v>
      </c>
      <c r="C93" s="254" t="s">
        <v>3874</v>
      </c>
      <c r="D93" s="254" t="s">
        <v>3875</v>
      </c>
      <c r="E93" s="254">
        <f>+971507898939</f>
        <v>971507898939</v>
      </c>
      <c r="F93" s="255" t="s">
        <v>168</v>
      </c>
      <c r="G93" s="254"/>
      <c r="H93" s="256"/>
      <c r="I93" s="256"/>
      <c r="J93" s="256"/>
      <c r="K93" s="256"/>
      <c r="L93" s="256"/>
      <c r="M93" s="256"/>
      <c r="N93" s="256"/>
      <c r="O93" s="256"/>
      <c r="P93" s="256"/>
      <c r="Q93" s="256"/>
      <c r="R93" s="256"/>
      <c r="S93" s="256"/>
      <c r="T93" s="256"/>
      <c r="U93" s="256"/>
      <c r="V93" s="256"/>
      <c r="W93" s="256"/>
      <c r="X93" s="256"/>
      <c r="Y93" s="256"/>
      <c r="Z93" s="256"/>
    </row>
    <row r="94">
      <c r="A94" s="291">
        <v>41251.0</v>
      </c>
      <c r="B94" s="254" t="s">
        <v>3834</v>
      </c>
      <c r="C94" s="254" t="s">
        <v>3876</v>
      </c>
      <c r="D94" s="254" t="s">
        <v>3877</v>
      </c>
      <c r="E94" s="254">
        <f>+17803991190</f>
        <v>17803991190</v>
      </c>
      <c r="F94" s="255" t="s">
        <v>168</v>
      </c>
      <c r="G94" s="254"/>
      <c r="H94" s="256"/>
      <c r="I94" s="256"/>
      <c r="J94" s="256"/>
      <c r="K94" s="256"/>
      <c r="L94" s="256"/>
      <c r="M94" s="256"/>
      <c r="N94" s="256"/>
      <c r="O94" s="256"/>
      <c r="P94" s="256"/>
      <c r="Q94" s="256"/>
      <c r="R94" s="256"/>
      <c r="S94" s="256"/>
      <c r="T94" s="256"/>
      <c r="U94" s="256"/>
      <c r="V94" s="256"/>
      <c r="W94" s="256"/>
      <c r="X94" s="256"/>
      <c r="Y94" s="256"/>
      <c r="Z94" s="256"/>
    </row>
    <row r="95">
      <c r="A95" s="291">
        <v>41251.0</v>
      </c>
      <c r="B95" s="254" t="s">
        <v>3834</v>
      </c>
      <c r="C95" s="254" t="s">
        <v>3878</v>
      </c>
      <c r="D95" s="254" t="s">
        <v>3879</v>
      </c>
      <c r="E95" s="254">
        <f>+16048979349</f>
        <v>16048979349</v>
      </c>
      <c r="F95" s="255" t="s">
        <v>3862</v>
      </c>
      <c r="G95" s="254"/>
      <c r="H95" s="256"/>
      <c r="I95" s="256"/>
      <c r="J95" s="256"/>
      <c r="K95" s="256"/>
      <c r="L95" s="256"/>
      <c r="M95" s="256"/>
      <c r="N95" s="256"/>
      <c r="O95" s="256"/>
      <c r="P95" s="256"/>
      <c r="Q95" s="256"/>
      <c r="R95" s="256"/>
      <c r="S95" s="256"/>
      <c r="T95" s="256"/>
      <c r="U95" s="256"/>
      <c r="V95" s="256"/>
      <c r="W95" s="256"/>
      <c r="X95" s="256"/>
      <c r="Y95" s="256"/>
      <c r="Z95" s="256"/>
    </row>
    <row r="96">
      <c r="A96" s="291">
        <v>43808.0</v>
      </c>
      <c r="B96" s="254" t="s">
        <v>3880</v>
      </c>
      <c r="C96" s="264" t="s">
        <v>3881</v>
      </c>
      <c r="D96" s="254" t="s">
        <v>3882</v>
      </c>
      <c r="E96" s="254">
        <v>9.2187371E7</v>
      </c>
      <c r="F96" s="255" t="s">
        <v>251</v>
      </c>
      <c r="G96" s="254"/>
      <c r="H96" s="256"/>
      <c r="I96" s="256"/>
      <c r="J96" s="256"/>
      <c r="K96" s="256"/>
      <c r="L96" s="256"/>
      <c r="M96" s="256"/>
      <c r="N96" s="256"/>
      <c r="O96" s="256"/>
      <c r="P96" s="256"/>
      <c r="Q96" s="256"/>
      <c r="R96" s="256"/>
      <c r="S96" s="256"/>
      <c r="T96" s="256"/>
      <c r="U96" s="256"/>
      <c r="V96" s="256"/>
      <c r="W96" s="256"/>
      <c r="X96" s="256"/>
      <c r="Y96" s="256"/>
      <c r="Z96" s="256"/>
    </row>
    <row r="97">
      <c r="A97" s="291">
        <v>43809.0</v>
      </c>
      <c r="B97" s="254" t="s">
        <v>3852</v>
      </c>
      <c r="C97" s="254" t="s">
        <v>3883</v>
      </c>
      <c r="D97" s="286" t="s">
        <v>3884</v>
      </c>
      <c r="E97" s="254">
        <f>+14372131887</f>
        <v>14372131887</v>
      </c>
      <c r="F97" s="255" t="s">
        <v>168</v>
      </c>
      <c r="G97" s="254"/>
      <c r="H97" s="256"/>
      <c r="I97" s="256"/>
      <c r="J97" s="256"/>
      <c r="K97" s="256"/>
      <c r="L97" s="256"/>
      <c r="M97" s="256"/>
      <c r="N97" s="256"/>
      <c r="O97" s="256"/>
      <c r="P97" s="256"/>
      <c r="Q97" s="256"/>
      <c r="R97" s="256"/>
      <c r="S97" s="256"/>
      <c r="T97" s="256"/>
      <c r="U97" s="256"/>
      <c r="V97" s="256"/>
      <c r="W97" s="256"/>
      <c r="X97" s="256"/>
      <c r="Y97" s="256"/>
      <c r="Z97" s="256"/>
    </row>
    <row r="98">
      <c r="A98" s="291">
        <v>43809.0</v>
      </c>
      <c r="B98" s="254" t="s">
        <v>3852</v>
      </c>
      <c r="C98" s="254" t="s">
        <v>3885</v>
      </c>
      <c r="D98" s="286" t="s">
        <v>3886</v>
      </c>
      <c r="E98" s="254">
        <f>+16478655145</f>
        <v>16478655145</v>
      </c>
      <c r="F98" s="255" t="s">
        <v>3887</v>
      </c>
      <c r="G98" s="254"/>
      <c r="H98" s="256"/>
      <c r="I98" s="256"/>
      <c r="J98" s="256"/>
      <c r="K98" s="256"/>
      <c r="L98" s="256"/>
      <c r="M98" s="256"/>
      <c r="N98" s="256"/>
      <c r="O98" s="256"/>
      <c r="P98" s="256"/>
      <c r="Q98" s="256"/>
      <c r="R98" s="256"/>
      <c r="S98" s="256"/>
      <c r="T98" s="256"/>
      <c r="U98" s="256"/>
      <c r="V98" s="256"/>
      <c r="W98" s="256"/>
      <c r="X98" s="256"/>
      <c r="Y98" s="256"/>
      <c r="Z98" s="256"/>
    </row>
    <row r="99">
      <c r="A99" s="291">
        <v>43809.0</v>
      </c>
      <c r="B99" s="254" t="s">
        <v>3852</v>
      </c>
      <c r="C99" s="254" t="s">
        <v>3888</v>
      </c>
      <c r="D99" s="286" t="s">
        <v>3889</v>
      </c>
      <c r="E99" s="254">
        <f>+13067167111</f>
        <v>13067167111</v>
      </c>
      <c r="F99" s="255" t="s">
        <v>3890</v>
      </c>
      <c r="G99" s="254"/>
      <c r="H99" s="256"/>
      <c r="I99" s="256"/>
      <c r="J99" s="256"/>
      <c r="K99" s="256"/>
      <c r="L99" s="256"/>
      <c r="M99" s="256"/>
      <c r="N99" s="256"/>
      <c r="O99" s="256"/>
      <c r="P99" s="256"/>
      <c r="Q99" s="256"/>
      <c r="R99" s="256"/>
      <c r="S99" s="256"/>
      <c r="T99" s="256"/>
      <c r="U99" s="256"/>
      <c r="V99" s="256"/>
      <c r="W99" s="256"/>
      <c r="X99" s="256"/>
      <c r="Y99" s="256"/>
      <c r="Z99" s="256"/>
    </row>
    <row r="100">
      <c r="A100" s="302">
        <v>43822.0</v>
      </c>
      <c r="B100" s="254" t="s">
        <v>2429</v>
      </c>
      <c r="C100" s="254" t="s">
        <v>3891</v>
      </c>
      <c r="D100" s="254" t="s">
        <v>3892</v>
      </c>
      <c r="E100" s="254">
        <f>+966598768835</f>
        <v>966598768835</v>
      </c>
      <c r="F100" s="255" t="s">
        <v>168</v>
      </c>
      <c r="G100" s="254"/>
      <c r="H100" s="256"/>
      <c r="I100" s="256"/>
      <c r="J100" s="256"/>
      <c r="K100" s="256"/>
      <c r="L100" s="256"/>
      <c r="M100" s="256"/>
      <c r="N100" s="256"/>
      <c r="O100" s="256"/>
      <c r="P100" s="256"/>
      <c r="Q100" s="256"/>
      <c r="R100" s="256"/>
      <c r="S100" s="256"/>
      <c r="T100" s="256"/>
      <c r="U100" s="256"/>
      <c r="V100" s="256"/>
      <c r="W100" s="256"/>
      <c r="X100" s="256"/>
      <c r="Y100" s="256"/>
      <c r="Z100" s="256"/>
    </row>
    <row r="101">
      <c r="A101" s="302">
        <v>43827.0</v>
      </c>
      <c r="B101" s="254" t="s">
        <v>2429</v>
      </c>
      <c r="C101" s="254" t="s">
        <v>3893</v>
      </c>
      <c r="D101" s="254" t="s">
        <v>3894</v>
      </c>
      <c r="E101" s="254">
        <f>+96567010554</f>
        <v>96567010554</v>
      </c>
      <c r="F101" s="255" t="s">
        <v>168</v>
      </c>
      <c r="G101" s="254"/>
      <c r="H101" s="256"/>
      <c r="I101" s="256"/>
      <c r="J101" s="256"/>
      <c r="K101" s="256"/>
      <c r="L101" s="256"/>
      <c r="M101" s="256"/>
      <c r="N101" s="256"/>
      <c r="O101" s="256"/>
      <c r="P101" s="256"/>
      <c r="Q101" s="256"/>
      <c r="R101" s="256"/>
      <c r="S101" s="256"/>
      <c r="T101" s="256"/>
      <c r="U101" s="256"/>
      <c r="V101" s="256"/>
      <c r="W101" s="256"/>
      <c r="X101" s="256"/>
      <c r="Y101" s="256"/>
      <c r="Z101" s="256"/>
    </row>
    <row r="102">
      <c r="A102" s="302">
        <v>43827.0</v>
      </c>
      <c r="B102" s="254" t="s">
        <v>3895</v>
      </c>
      <c r="C102" s="254" t="s">
        <v>3896</v>
      </c>
      <c r="D102" s="254" t="s">
        <v>3897</v>
      </c>
      <c r="E102" s="254">
        <f>+6598634213</f>
        <v>6598634213</v>
      </c>
      <c r="F102" s="255" t="s">
        <v>168</v>
      </c>
      <c r="G102" s="254"/>
      <c r="H102" s="256"/>
      <c r="I102" s="256"/>
      <c r="J102" s="256"/>
      <c r="K102" s="256"/>
      <c r="L102" s="256"/>
      <c r="M102" s="256"/>
      <c r="N102" s="256"/>
      <c r="O102" s="256"/>
      <c r="P102" s="256"/>
      <c r="Q102" s="256"/>
      <c r="R102" s="256"/>
      <c r="S102" s="256"/>
      <c r="T102" s="256"/>
      <c r="U102" s="256"/>
      <c r="V102" s="256"/>
      <c r="W102" s="256"/>
      <c r="X102" s="256"/>
      <c r="Y102" s="256"/>
      <c r="Z102" s="256"/>
    </row>
    <row r="103">
      <c r="A103" s="302">
        <v>43836.0</v>
      </c>
      <c r="B103" s="254" t="s">
        <v>3898</v>
      </c>
      <c r="C103" s="254" t="s">
        <v>3899</v>
      </c>
      <c r="D103" s="254" t="s">
        <v>3900</v>
      </c>
      <c r="E103" s="254">
        <f>+9710556545604</f>
        <v>9710556545604</v>
      </c>
      <c r="F103" s="255" t="s">
        <v>168</v>
      </c>
      <c r="G103" s="254"/>
      <c r="H103" s="256"/>
      <c r="I103" s="256"/>
      <c r="J103" s="256"/>
      <c r="K103" s="256"/>
      <c r="L103" s="256"/>
      <c r="M103" s="256"/>
      <c r="N103" s="256"/>
      <c r="O103" s="256"/>
      <c r="P103" s="256"/>
      <c r="Q103" s="256"/>
      <c r="R103" s="256"/>
      <c r="S103" s="256"/>
      <c r="T103" s="256"/>
      <c r="U103" s="256"/>
      <c r="V103" s="256"/>
      <c r="W103" s="256"/>
      <c r="X103" s="256"/>
      <c r="Y103" s="256"/>
      <c r="Z103" s="256"/>
    </row>
    <row r="104">
      <c r="A104" s="302">
        <v>43836.0</v>
      </c>
      <c r="B104" s="254" t="s">
        <v>3901</v>
      </c>
      <c r="C104" s="254" t="s">
        <v>3902</v>
      </c>
      <c r="D104" s="254" t="s">
        <v>3903</v>
      </c>
      <c r="E104" s="254">
        <f>+971555855269</f>
        <v>971555855269</v>
      </c>
      <c r="F104" s="255" t="s">
        <v>3904</v>
      </c>
      <c r="G104" s="254"/>
      <c r="H104" s="256"/>
      <c r="I104" s="256"/>
      <c r="J104" s="256"/>
      <c r="K104" s="256"/>
      <c r="L104" s="256"/>
      <c r="M104" s="256"/>
      <c r="N104" s="256"/>
      <c r="O104" s="256"/>
      <c r="P104" s="256"/>
      <c r="Q104" s="256"/>
      <c r="R104" s="256"/>
      <c r="S104" s="256"/>
      <c r="T104" s="256"/>
      <c r="U104" s="256"/>
      <c r="V104" s="256"/>
      <c r="W104" s="256"/>
      <c r="X104" s="256"/>
      <c r="Y104" s="256"/>
      <c r="Z104" s="256"/>
    </row>
    <row r="105">
      <c r="A105" s="302">
        <v>43836.0</v>
      </c>
      <c r="B105" s="254" t="s">
        <v>3901</v>
      </c>
      <c r="C105" s="254" t="s">
        <v>3905</v>
      </c>
      <c r="D105" s="254" t="s">
        <v>3906</v>
      </c>
      <c r="E105" s="254">
        <f>+9710551333364</f>
        <v>9710551333364</v>
      </c>
      <c r="F105" s="255" t="s">
        <v>168</v>
      </c>
      <c r="G105" s="254"/>
      <c r="H105" s="256"/>
      <c r="I105" s="256"/>
      <c r="J105" s="256"/>
      <c r="K105" s="256"/>
      <c r="L105" s="256"/>
      <c r="M105" s="256"/>
      <c r="N105" s="256"/>
      <c r="O105" s="256"/>
      <c r="P105" s="256"/>
      <c r="Q105" s="256"/>
      <c r="R105" s="256"/>
      <c r="S105" s="256"/>
      <c r="T105" s="256"/>
      <c r="U105" s="256"/>
      <c r="V105" s="256"/>
      <c r="W105" s="256"/>
      <c r="X105" s="256"/>
      <c r="Y105" s="256"/>
      <c r="Z105" s="256"/>
    </row>
    <row r="106">
      <c r="A106" s="302">
        <v>43836.0</v>
      </c>
      <c r="B106" s="254" t="s">
        <v>3901</v>
      </c>
      <c r="C106" s="254" t="s">
        <v>3907</v>
      </c>
      <c r="D106" s="254" t="s">
        <v>3908</v>
      </c>
      <c r="E106" s="254">
        <f>+971562293232</f>
        <v>971562293232</v>
      </c>
      <c r="F106" s="255" t="s">
        <v>168</v>
      </c>
      <c r="G106" s="254"/>
      <c r="H106" s="256"/>
      <c r="I106" s="256"/>
      <c r="J106" s="256"/>
      <c r="K106" s="256"/>
      <c r="L106" s="256"/>
      <c r="M106" s="256"/>
      <c r="N106" s="256"/>
      <c r="O106" s="256"/>
      <c r="P106" s="256"/>
      <c r="Q106" s="256"/>
      <c r="R106" s="256"/>
      <c r="S106" s="256"/>
      <c r="T106" s="256"/>
      <c r="U106" s="256"/>
      <c r="V106" s="256"/>
      <c r="W106" s="256"/>
      <c r="X106" s="256"/>
      <c r="Y106" s="256"/>
      <c r="Z106" s="256"/>
    </row>
    <row r="107">
      <c r="A107" s="302">
        <v>43836.0</v>
      </c>
      <c r="B107" s="254" t="s">
        <v>3909</v>
      </c>
      <c r="C107" s="254" t="s">
        <v>3910</v>
      </c>
      <c r="D107" s="254" t="s">
        <v>3911</v>
      </c>
      <c r="E107" s="254">
        <f>+971505361463</f>
        <v>971505361463</v>
      </c>
      <c r="F107" s="255" t="s">
        <v>168</v>
      </c>
      <c r="G107" s="254"/>
      <c r="H107" s="256"/>
      <c r="I107" s="256"/>
      <c r="J107" s="256"/>
      <c r="K107" s="256"/>
      <c r="L107" s="256"/>
      <c r="M107" s="256"/>
      <c r="N107" s="256"/>
      <c r="O107" s="256"/>
      <c r="P107" s="256"/>
      <c r="Q107" s="256"/>
      <c r="R107" s="256"/>
      <c r="S107" s="256"/>
      <c r="T107" s="256"/>
      <c r="U107" s="256"/>
      <c r="V107" s="256"/>
      <c r="W107" s="256"/>
      <c r="X107" s="256"/>
      <c r="Y107" s="256"/>
      <c r="Z107" s="256"/>
    </row>
    <row r="108">
      <c r="A108" s="302">
        <v>43836.0</v>
      </c>
      <c r="B108" s="254" t="s">
        <v>3796</v>
      </c>
      <c r="C108" s="254" t="s">
        <v>3912</v>
      </c>
      <c r="D108" s="254" t="s">
        <v>3913</v>
      </c>
      <c r="E108" s="254">
        <f>+447878649639</f>
        <v>447878649639</v>
      </c>
      <c r="F108" s="255" t="s">
        <v>3914</v>
      </c>
      <c r="G108" s="254"/>
      <c r="H108" s="256"/>
      <c r="I108" s="256"/>
      <c r="J108" s="256"/>
      <c r="K108" s="256"/>
      <c r="L108" s="256"/>
      <c r="M108" s="256"/>
      <c r="N108" s="256"/>
      <c r="O108" s="256"/>
      <c r="P108" s="256"/>
      <c r="Q108" s="256"/>
      <c r="R108" s="256"/>
      <c r="S108" s="256"/>
      <c r="T108" s="256"/>
      <c r="U108" s="256"/>
      <c r="V108" s="256"/>
      <c r="W108" s="256"/>
      <c r="X108" s="256"/>
      <c r="Y108" s="256"/>
      <c r="Z108" s="256"/>
    </row>
    <row r="109">
      <c r="A109" s="302">
        <v>43836.0</v>
      </c>
      <c r="B109" s="254" t="s">
        <v>3796</v>
      </c>
      <c r="C109" s="254" t="s">
        <v>3915</v>
      </c>
      <c r="D109" s="254" t="s">
        <v>3916</v>
      </c>
      <c r="E109" s="254">
        <f>+9710556656733</f>
        <v>9710556656733</v>
      </c>
      <c r="F109" s="255" t="s">
        <v>3914</v>
      </c>
      <c r="G109" s="254"/>
      <c r="H109" s="256"/>
      <c r="I109" s="256"/>
      <c r="J109" s="256"/>
      <c r="K109" s="256"/>
      <c r="L109" s="256"/>
      <c r="M109" s="256"/>
      <c r="N109" s="256"/>
      <c r="O109" s="256"/>
      <c r="P109" s="256"/>
      <c r="Q109" s="256"/>
      <c r="R109" s="256"/>
      <c r="S109" s="256"/>
      <c r="T109" s="256"/>
      <c r="U109" s="256"/>
      <c r="V109" s="256"/>
      <c r="W109" s="256"/>
      <c r="X109" s="256"/>
      <c r="Y109" s="256"/>
      <c r="Z109" s="256"/>
    </row>
    <row r="110">
      <c r="A110" s="302">
        <v>43836.0</v>
      </c>
      <c r="B110" s="254" t="s">
        <v>3796</v>
      </c>
      <c r="C110" s="254" t="s">
        <v>3917</v>
      </c>
      <c r="D110" s="254" t="s">
        <v>3918</v>
      </c>
      <c r="E110" s="254">
        <f>+971505099505</f>
        <v>971505099505</v>
      </c>
      <c r="F110" s="255" t="s">
        <v>3914</v>
      </c>
      <c r="G110" s="254"/>
      <c r="H110" s="256"/>
      <c r="I110" s="256"/>
      <c r="J110" s="256"/>
      <c r="K110" s="256"/>
      <c r="L110" s="256"/>
      <c r="M110" s="256"/>
      <c r="N110" s="256"/>
      <c r="O110" s="256"/>
      <c r="P110" s="256"/>
      <c r="Q110" s="256"/>
      <c r="R110" s="256"/>
      <c r="S110" s="256"/>
      <c r="T110" s="256"/>
      <c r="U110" s="256"/>
      <c r="V110" s="256"/>
      <c r="W110" s="256"/>
      <c r="X110" s="256"/>
      <c r="Y110" s="256"/>
      <c r="Z110" s="256"/>
    </row>
    <row r="111">
      <c r="A111" s="302">
        <v>43836.0</v>
      </c>
      <c r="B111" s="254" t="s">
        <v>3796</v>
      </c>
      <c r="C111" s="254" t="s">
        <v>3919</v>
      </c>
      <c r="D111" s="254" t="s">
        <v>3920</v>
      </c>
      <c r="E111" s="254">
        <f>+971503078051</f>
        <v>971503078051</v>
      </c>
      <c r="F111" s="255" t="s">
        <v>3921</v>
      </c>
      <c r="G111" s="254"/>
      <c r="H111" s="256"/>
      <c r="I111" s="256"/>
      <c r="J111" s="256"/>
      <c r="K111" s="256"/>
      <c r="L111" s="256"/>
      <c r="M111" s="256"/>
      <c r="N111" s="256"/>
      <c r="O111" s="256"/>
      <c r="P111" s="256"/>
      <c r="Q111" s="256"/>
      <c r="R111" s="256"/>
      <c r="S111" s="256"/>
      <c r="T111" s="256"/>
      <c r="U111" s="256"/>
      <c r="V111" s="256"/>
      <c r="W111" s="256"/>
      <c r="X111" s="256"/>
      <c r="Y111" s="256"/>
      <c r="Z111" s="256"/>
    </row>
    <row r="112">
      <c r="A112" s="302">
        <v>43836.0</v>
      </c>
      <c r="B112" s="254" t="s">
        <v>3796</v>
      </c>
      <c r="C112" s="254" t="s">
        <v>3922</v>
      </c>
      <c r="D112" s="254" t="s">
        <v>3923</v>
      </c>
      <c r="E112" s="254">
        <f>+447817569551</f>
        <v>447817569551</v>
      </c>
      <c r="F112" s="255" t="s">
        <v>3914</v>
      </c>
      <c r="G112" s="254"/>
      <c r="H112" s="256"/>
      <c r="I112" s="256"/>
      <c r="J112" s="256"/>
      <c r="K112" s="256"/>
      <c r="L112" s="256"/>
      <c r="M112" s="256"/>
      <c r="N112" s="256"/>
      <c r="O112" s="256"/>
      <c r="P112" s="256"/>
      <c r="Q112" s="256"/>
      <c r="R112" s="256"/>
      <c r="S112" s="256"/>
      <c r="T112" s="256"/>
      <c r="U112" s="256"/>
      <c r="V112" s="256"/>
      <c r="W112" s="256"/>
      <c r="X112" s="256"/>
      <c r="Y112" s="256"/>
      <c r="Z112" s="256"/>
    </row>
    <row r="113">
      <c r="A113" s="302">
        <v>43836.0</v>
      </c>
      <c r="B113" s="254" t="s">
        <v>3796</v>
      </c>
      <c r="C113" s="254" t="s">
        <v>3924</v>
      </c>
      <c r="D113" s="254" t="s">
        <v>3925</v>
      </c>
      <c r="E113" s="254">
        <v>9.71502183443E11</v>
      </c>
      <c r="F113" s="255" t="s">
        <v>3926</v>
      </c>
      <c r="G113" s="254"/>
      <c r="H113" s="256"/>
      <c r="I113" s="256"/>
      <c r="J113" s="256"/>
      <c r="K113" s="256"/>
      <c r="L113" s="256"/>
      <c r="M113" s="256"/>
      <c r="N113" s="256"/>
      <c r="O113" s="256"/>
      <c r="P113" s="256"/>
      <c r="Q113" s="256"/>
      <c r="R113" s="256"/>
      <c r="S113" s="256"/>
      <c r="T113" s="256"/>
      <c r="U113" s="256"/>
      <c r="V113" s="256"/>
      <c r="W113" s="256"/>
      <c r="X113" s="256"/>
      <c r="Y113" s="256"/>
      <c r="Z113" s="256"/>
    </row>
    <row r="114">
      <c r="A114" s="302">
        <v>43836.0</v>
      </c>
      <c r="B114" s="254" t="s">
        <v>3927</v>
      </c>
      <c r="C114" s="254" t="s">
        <v>3928</v>
      </c>
      <c r="D114" s="254" t="s">
        <v>3929</v>
      </c>
      <c r="E114" s="254">
        <f>+971555808855</f>
        <v>971555808855</v>
      </c>
      <c r="F114" s="255" t="s">
        <v>3930</v>
      </c>
      <c r="G114" s="259" t="s">
        <v>3931</v>
      </c>
      <c r="H114" s="256"/>
      <c r="I114" s="256"/>
      <c r="J114" s="256"/>
      <c r="K114" s="256"/>
      <c r="L114" s="256"/>
      <c r="M114" s="256"/>
      <c r="N114" s="256"/>
      <c r="O114" s="256"/>
      <c r="P114" s="256"/>
      <c r="Q114" s="256"/>
      <c r="R114" s="256"/>
      <c r="S114" s="256"/>
      <c r="T114" s="256"/>
      <c r="U114" s="256"/>
      <c r="V114" s="256"/>
      <c r="W114" s="256"/>
      <c r="X114" s="256"/>
      <c r="Y114" s="256"/>
      <c r="Z114" s="256"/>
    </row>
    <row r="115">
      <c r="A115" s="302">
        <v>43836.0</v>
      </c>
      <c r="B115" s="254" t="s">
        <v>3852</v>
      </c>
      <c r="C115" s="254" t="s">
        <v>3932</v>
      </c>
      <c r="D115" s="254" t="s">
        <v>3933</v>
      </c>
      <c r="E115" s="254">
        <f>+16478922522</f>
        <v>16478922522</v>
      </c>
      <c r="F115" s="255" t="s">
        <v>2077</v>
      </c>
      <c r="G115" s="254"/>
      <c r="H115" s="256"/>
      <c r="I115" s="256"/>
      <c r="J115" s="256"/>
      <c r="K115" s="256"/>
      <c r="L115" s="256"/>
      <c r="M115" s="256"/>
      <c r="N115" s="256"/>
      <c r="O115" s="256"/>
      <c r="P115" s="256"/>
      <c r="Q115" s="256"/>
      <c r="R115" s="256"/>
      <c r="S115" s="256"/>
      <c r="T115" s="256"/>
      <c r="U115" s="256"/>
      <c r="V115" s="256"/>
      <c r="W115" s="256"/>
      <c r="X115" s="256"/>
      <c r="Y115" s="256"/>
      <c r="Z115" s="256"/>
    </row>
    <row r="116">
      <c r="A116" s="302">
        <v>43836.0</v>
      </c>
      <c r="B116" s="254" t="s">
        <v>3852</v>
      </c>
      <c r="C116" s="254" t="s">
        <v>3934</v>
      </c>
      <c r="D116" s="254" t="s">
        <v>3935</v>
      </c>
      <c r="E116" s="254">
        <f>+14169898138</f>
        <v>14169898138</v>
      </c>
      <c r="F116" s="255" t="s">
        <v>3914</v>
      </c>
      <c r="G116" s="254"/>
      <c r="H116" s="256"/>
      <c r="I116" s="256"/>
      <c r="J116" s="256"/>
      <c r="K116" s="256"/>
      <c r="L116" s="256"/>
      <c r="M116" s="256"/>
      <c r="N116" s="256"/>
      <c r="O116" s="256"/>
      <c r="P116" s="256"/>
      <c r="Q116" s="256"/>
      <c r="R116" s="256"/>
      <c r="S116" s="256"/>
      <c r="T116" s="256"/>
      <c r="U116" s="256"/>
      <c r="V116" s="256"/>
      <c r="W116" s="256"/>
      <c r="X116" s="256"/>
      <c r="Y116" s="256"/>
      <c r="Z116" s="256"/>
    </row>
    <row r="117">
      <c r="A117" s="302">
        <v>43836.0</v>
      </c>
      <c r="B117" s="254" t="s">
        <v>3852</v>
      </c>
      <c r="C117" s="254" t="s">
        <v>3936</v>
      </c>
      <c r="D117" s="254" t="s">
        <v>3937</v>
      </c>
      <c r="E117" s="254">
        <f>+16472373642</f>
        <v>16472373642</v>
      </c>
      <c r="F117" s="255" t="s">
        <v>2077</v>
      </c>
      <c r="G117" s="254"/>
      <c r="H117" s="256"/>
      <c r="I117" s="256"/>
      <c r="J117" s="256"/>
      <c r="K117" s="256"/>
      <c r="L117" s="256"/>
      <c r="M117" s="256"/>
      <c r="N117" s="256"/>
      <c r="O117" s="256"/>
      <c r="P117" s="256"/>
      <c r="Q117" s="256"/>
      <c r="R117" s="256"/>
      <c r="S117" s="256"/>
      <c r="T117" s="256"/>
      <c r="U117" s="256"/>
      <c r="V117" s="256"/>
      <c r="W117" s="256"/>
      <c r="X117" s="256"/>
      <c r="Y117" s="256"/>
      <c r="Z117" s="256"/>
    </row>
    <row r="118">
      <c r="A118" s="302">
        <v>43836.0</v>
      </c>
      <c r="B118" s="254" t="s">
        <v>3787</v>
      </c>
      <c r="C118" s="275" t="s">
        <v>3938</v>
      </c>
      <c r="D118" s="275" t="s">
        <v>3939</v>
      </c>
      <c r="E118" s="303" t="s">
        <v>3940</v>
      </c>
      <c r="F118" s="255" t="s">
        <v>3941</v>
      </c>
      <c r="G118" s="254"/>
      <c r="H118" s="256"/>
      <c r="I118" s="256"/>
      <c r="J118" s="256"/>
      <c r="K118" s="256"/>
      <c r="L118" s="256"/>
      <c r="M118" s="256"/>
      <c r="N118" s="256"/>
      <c r="O118" s="256"/>
      <c r="P118" s="256"/>
      <c r="Q118" s="256"/>
      <c r="R118" s="256"/>
      <c r="S118" s="256"/>
      <c r="T118" s="256"/>
      <c r="U118" s="256"/>
      <c r="V118" s="256"/>
      <c r="W118" s="256"/>
      <c r="X118" s="256"/>
      <c r="Y118" s="256"/>
      <c r="Z118" s="256"/>
    </row>
    <row r="119">
      <c r="A119" s="302">
        <v>43836.0</v>
      </c>
      <c r="B119" s="254" t="s">
        <v>3787</v>
      </c>
      <c r="C119" s="275" t="s">
        <v>3942</v>
      </c>
      <c r="D119" s="275" t="s">
        <v>3943</v>
      </c>
      <c r="E119" s="303" t="s">
        <v>3944</v>
      </c>
      <c r="F119" s="255" t="s">
        <v>3945</v>
      </c>
      <c r="G119" s="254"/>
      <c r="H119" s="256"/>
      <c r="I119" s="256"/>
      <c r="J119" s="256"/>
      <c r="K119" s="256"/>
      <c r="L119" s="256"/>
      <c r="M119" s="256"/>
      <c r="N119" s="256"/>
      <c r="O119" s="256"/>
      <c r="P119" s="256"/>
      <c r="Q119" s="256"/>
      <c r="R119" s="256"/>
      <c r="S119" s="256"/>
      <c r="T119" s="256"/>
      <c r="U119" s="256"/>
      <c r="V119" s="256"/>
      <c r="W119" s="256"/>
      <c r="X119" s="256"/>
      <c r="Y119" s="256"/>
      <c r="Z119" s="256"/>
    </row>
    <row r="120">
      <c r="A120" s="302">
        <v>43843.0</v>
      </c>
      <c r="B120" s="254" t="s">
        <v>3946</v>
      </c>
      <c r="C120" s="254" t="s">
        <v>3947</v>
      </c>
      <c r="D120" s="254" t="s">
        <v>3948</v>
      </c>
      <c r="E120" s="254">
        <f>+16478499060</f>
        <v>16478499060</v>
      </c>
      <c r="F120" s="255" t="s">
        <v>3949</v>
      </c>
      <c r="G120" s="254"/>
      <c r="H120" s="256"/>
      <c r="I120" s="256"/>
      <c r="J120" s="256"/>
      <c r="K120" s="256"/>
      <c r="L120" s="256"/>
      <c r="M120" s="256"/>
      <c r="N120" s="256"/>
      <c r="O120" s="256"/>
      <c r="P120" s="256"/>
      <c r="Q120" s="256"/>
      <c r="R120" s="256"/>
      <c r="S120" s="256"/>
      <c r="T120" s="256"/>
      <c r="U120" s="256"/>
      <c r="V120" s="256"/>
      <c r="W120" s="256"/>
      <c r="X120" s="256"/>
      <c r="Y120" s="256"/>
      <c r="Z120" s="256"/>
    </row>
    <row r="121">
      <c r="A121" s="302">
        <v>43843.0</v>
      </c>
      <c r="B121" s="254" t="s">
        <v>3946</v>
      </c>
      <c r="C121" s="254" t="s">
        <v>3950</v>
      </c>
      <c r="D121" s="254" t="s">
        <v>3951</v>
      </c>
      <c r="E121" s="254">
        <f>+16478621126</f>
        <v>16478621126</v>
      </c>
      <c r="F121" s="255" t="s">
        <v>3914</v>
      </c>
      <c r="G121" s="254"/>
      <c r="H121" s="256"/>
      <c r="I121" s="256"/>
      <c r="J121" s="256"/>
      <c r="K121" s="256"/>
      <c r="L121" s="256"/>
      <c r="M121" s="256"/>
      <c r="N121" s="256"/>
      <c r="O121" s="256"/>
      <c r="P121" s="256"/>
      <c r="Q121" s="256"/>
      <c r="R121" s="256"/>
      <c r="S121" s="256"/>
      <c r="T121" s="256"/>
      <c r="U121" s="256"/>
      <c r="V121" s="256"/>
      <c r="W121" s="256"/>
      <c r="X121" s="256"/>
      <c r="Y121" s="256"/>
      <c r="Z121" s="256"/>
    </row>
    <row r="122">
      <c r="A122" s="302">
        <v>43843.0</v>
      </c>
      <c r="B122" s="254" t="s">
        <v>3946</v>
      </c>
      <c r="C122" s="254" t="s">
        <v>3952</v>
      </c>
      <c r="D122" s="254" t="s">
        <v>3953</v>
      </c>
      <c r="E122" s="254">
        <f>+447575343923</f>
        <v>447575343923</v>
      </c>
      <c r="F122" s="255" t="s">
        <v>3954</v>
      </c>
      <c r="G122" s="254"/>
      <c r="H122" s="256"/>
      <c r="I122" s="256"/>
      <c r="J122" s="256"/>
      <c r="K122" s="256"/>
      <c r="L122" s="256"/>
      <c r="M122" s="256"/>
      <c r="N122" s="256"/>
      <c r="O122" s="256"/>
      <c r="P122" s="256"/>
      <c r="Q122" s="256"/>
      <c r="R122" s="256"/>
      <c r="S122" s="256"/>
      <c r="T122" s="256"/>
      <c r="U122" s="256"/>
      <c r="V122" s="256"/>
      <c r="W122" s="256"/>
      <c r="X122" s="256"/>
      <c r="Y122" s="256"/>
      <c r="Z122" s="256"/>
    </row>
    <row r="123">
      <c r="A123" s="302">
        <v>43845.0</v>
      </c>
      <c r="B123" s="254" t="s">
        <v>3852</v>
      </c>
      <c r="C123" s="254" t="s">
        <v>3955</v>
      </c>
      <c r="D123" s="254" t="s">
        <v>3956</v>
      </c>
      <c r="E123" s="254">
        <f>+4407730922662</f>
        <v>4407730922662</v>
      </c>
      <c r="F123" s="255" t="s">
        <v>251</v>
      </c>
      <c r="G123" s="254"/>
      <c r="H123" s="256"/>
      <c r="I123" s="256"/>
      <c r="J123" s="256"/>
      <c r="K123" s="256"/>
      <c r="L123" s="256"/>
      <c r="M123" s="256"/>
      <c r="N123" s="256"/>
      <c r="O123" s="256"/>
      <c r="P123" s="256"/>
      <c r="Q123" s="256"/>
      <c r="R123" s="256"/>
      <c r="S123" s="256"/>
      <c r="T123" s="256"/>
      <c r="U123" s="256"/>
      <c r="V123" s="256"/>
      <c r="W123" s="256"/>
      <c r="X123" s="256"/>
      <c r="Y123" s="256"/>
      <c r="Z123" s="256"/>
    </row>
    <row r="124">
      <c r="A124" s="302">
        <v>43850.0</v>
      </c>
      <c r="B124" s="254" t="s">
        <v>3822</v>
      </c>
      <c r="C124" s="275" t="s">
        <v>3957</v>
      </c>
      <c r="D124" s="275" t="s">
        <v>3958</v>
      </c>
      <c r="E124" s="303" t="s">
        <v>3959</v>
      </c>
      <c r="F124" s="285" t="s">
        <v>3960</v>
      </c>
      <c r="G124" s="254"/>
      <c r="H124" s="256"/>
      <c r="I124" s="256"/>
      <c r="J124" s="256"/>
      <c r="K124" s="256"/>
      <c r="L124" s="256"/>
      <c r="M124" s="256"/>
      <c r="N124" s="256"/>
      <c r="O124" s="256"/>
      <c r="P124" s="256"/>
      <c r="Q124" s="256"/>
      <c r="R124" s="256"/>
      <c r="S124" s="256"/>
      <c r="T124" s="256"/>
      <c r="U124" s="256"/>
      <c r="V124" s="256"/>
      <c r="W124" s="256"/>
      <c r="X124" s="256"/>
      <c r="Y124" s="256"/>
      <c r="Z124" s="256"/>
    </row>
    <row r="125">
      <c r="A125" s="302">
        <v>43850.0</v>
      </c>
      <c r="B125" s="254" t="s">
        <v>3822</v>
      </c>
      <c r="C125" s="275" t="s">
        <v>3961</v>
      </c>
      <c r="D125" s="275" t="s">
        <v>3962</v>
      </c>
      <c r="E125" s="303" t="s">
        <v>3963</v>
      </c>
      <c r="F125" s="285" t="s">
        <v>3964</v>
      </c>
      <c r="G125" s="254"/>
      <c r="H125" s="256"/>
      <c r="I125" s="256"/>
      <c r="J125" s="256"/>
      <c r="K125" s="256"/>
      <c r="L125" s="256"/>
      <c r="M125" s="256"/>
      <c r="N125" s="256"/>
      <c r="O125" s="256"/>
      <c r="P125" s="256"/>
      <c r="Q125" s="256"/>
      <c r="R125" s="256"/>
      <c r="S125" s="256"/>
      <c r="T125" s="256"/>
      <c r="U125" s="256"/>
      <c r="V125" s="256"/>
      <c r="W125" s="256"/>
      <c r="X125" s="256"/>
      <c r="Y125" s="256"/>
      <c r="Z125" s="256"/>
    </row>
    <row r="126">
      <c r="A126" s="302">
        <v>43850.0</v>
      </c>
      <c r="B126" s="254" t="s">
        <v>3787</v>
      </c>
      <c r="C126" s="275" t="s">
        <v>3965</v>
      </c>
      <c r="D126" s="275" t="s">
        <v>3966</v>
      </c>
      <c r="E126" s="303" t="s">
        <v>3967</v>
      </c>
      <c r="F126" s="285" t="s">
        <v>3968</v>
      </c>
      <c r="G126" s="254"/>
      <c r="H126" s="256"/>
      <c r="I126" s="256"/>
      <c r="J126" s="256"/>
      <c r="K126" s="256"/>
      <c r="L126" s="256"/>
      <c r="M126" s="256"/>
      <c r="N126" s="256"/>
      <c r="O126" s="256"/>
      <c r="P126" s="256"/>
      <c r="Q126" s="256"/>
      <c r="R126" s="256"/>
      <c r="S126" s="256"/>
      <c r="T126" s="256"/>
      <c r="U126" s="256"/>
      <c r="V126" s="256"/>
      <c r="W126" s="256"/>
      <c r="X126" s="256"/>
      <c r="Y126" s="256"/>
      <c r="Z126" s="256"/>
    </row>
    <row r="127">
      <c r="A127" s="302">
        <v>43850.0</v>
      </c>
      <c r="B127" s="254" t="s">
        <v>3787</v>
      </c>
      <c r="C127" s="275" t="s">
        <v>3969</v>
      </c>
      <c r="D127" s="275" t="s">
        <v>3970</v>
      </c>
      <c r="E127" s="303" t="s">
        <v>3971</v>
      </c>
      <c r="F127" s="285" t="s">
        <v>3968</v>
      </c>
      <c r="G127" s="254"/>
      <c r="H127" s="256"/>
      <c r="I127" s="256"/>
      <c r="J127" s="256"/>
      <c r="K127" s="256"/>
      <c r="L127" s="256"/>
      <c r="M127" s="256"/>
      <c r="N127" s="256"/>
      <c r="O127" s="256"/>
      <c r="P127" s="256"/>
      <c r="Q127" s="256"/>
      <c r="R127" s="256"/>
      <c r="S127" s="256"/>
      <c r="T127" s="256"/>
      <c r="U127" s="256"/>
      <c r="V127" s="256"/>
      <c r="W127" s="256"/>
      <c r="X127" s="256"/>
      <c r="Y127" s="256"/>
      <c r="Z127" s="256"/>
    </row>
    <row r="128">
      <c r="A128" s="302">
        <v>43850.0</v>
      </c>
      <c r="B128" s="254" t="s">
        <v>3972</v>
      </c>
      <c r="C128" s="254" t="s">
        <v>3973</v>
      </c>
      <c r="D128" s="254" t="s">
        <v>3974</v>
      </c>
      <c r="E128" s="254">
        <v>5.02066847E8</v>
      </c>
      <c r="F128" s="264" t="s">
        <v>3810</v>
      </c>
      <c r="G128" s="253" t="s">
        <v>3975</v>
      </c>
      <c r="H128" s="256"/>
      <c r="I128" s="256"/>
      <c r="J128" s="256"/>
      <c r="K128" s="256"/>
      <c r="L128" s="256"/>
      <c r="M128" s="256"/>
      <c r="N128" s="256"/>
      <c r="O128" s="256"/>
      <c r="P128" s="256"/>
      <c r="Q128" s="256"/>
      <c r="R128" s="256"/>
      <c r="S128" s="256"/>
      <c r="T128" s="256"/>
      <c r="U128" s="256"/>
      <c r="V128" s="256"/>
      <c r="W128" s="256"/>
      <c r="X128" s="256"/>
      <c r="Y128" s="256"/>
      <c r="Z128" s="256"/>
    </row>
    <row r="129">
      <c r="A129" s="302">
        <v>43852.0</v>
      </c>
      <c r="B129" s="254" t="s">
        <v>3787</v>
      </c>
      <c r="C129" s="275" t="s">
        <v>3976</v>
      </c>
      <c r="D129" s="275" t="s">
        <v>3977</v>
      </c>
      <c r="E129" s="303" t="s">
        <v>3978</v>
      </c>
      <c r="F129" s="285" t="s">
        <v>3968</v>
      </c>
      <c r="G129" s="253" t="s">
        <v>3979</v>
      </c>
      <c r="H129" s="256"/>
      <c r="I129" s="256"/>
      <c r="J129" s="256"/>
      <c r="K129" s="256"/>
      <c r="L129" s="256"/>
      <c r="M129" s="256"/>
      <c r="N129" s="256"/>
      <c r="O129" s="256"/>
      <c r="P129" s="256"/>
      <c r="Q129" s="256"/>
      <c r="R129" s="256"/>
      <c r="S129" s="256"/>
      <c r="T129" s="256"/>
      <c r="U129" s="256"/>
      <c r="V129" s="256"/>
      <c r="W129" s="256"/>
      <c r="X129" s="256"/>
      <c r="Y129" s="256"/>
      <c r="Z129" s="256"/>
    </row>
    <row r="130">
      <c r="A130" s="302">
        <v>43853.0</v>
      </c>
      <c r="B130" s="254" t="s">
        <v>3796</v>
      </c>
      <c r="C130" s="254" t="s">
        <v>3980</v>
      </c>
      <c r="D130" s="254" t="s">
        <v>3981</v>
      </c>
      <c r="E130" s="254">
        <f>+447947758880</f>
        <v>447947758880</v>
      </c>
      <c r="F130" s="264" t="s">
        <v>3982</v>
      </c>
      <c r="G130" s="254"/>
      <c r="H130" s="256"/>
      <c r="I130" s="256"/>
      <c r="J130" s="256"/>
      <c r="K130" s="256"/>
      <c r="L130" s="256"/>
      <c r="M130" s="256"/>
      <c r="N130" s="256"/>
      <c r="O130" s="256"/>
      <c r="P130" s="256"/>
      <c r="Q130" s="256"/>
      <c r="R130" s="256"/>
      <c r="S130" s="256"/>
      <c r="T130" s="256"/>
      <c r="U130" s="256"/>
      <c r="V130" s="256"/>
      <c r="W130" s="256"/>
      <c r="X130" s="256"/>
      <c r="Y130" s="256"/>
      <c r="Z130" s="256"/>
    </row>
    <row r="131">
      <c r="A131" s="302">
        <v>43853.0</v>
      </c>
      <c r="B131" s="254" t="s">
        <v>3796</v>
      </c>
      <c r="C131" s="254" t="s">
        <v>3983</v>
      </c>
      <c r="D131" s="254" t="s">
        <v>3984</v>
      </c>
      <c r="E131" s="254">
        <f>+971556071917</f>
        <v>971556071917</v>
      </c>
      <c r="F131" s="264" t="s">
        <v>3985</v>
      </c>
      <c r="G131" s="254"/>
      <c r="H131" s="256"/>
      <c r="I131" s="256"/>
      <c r="J131" s="256"/>
      <c r="K131" s="256"/>
      <c r="L131" s="256"/>
      <c r="M131" s="256"/>
      <c r="N131" s="256"/>
      <c r="O131" s="256"/>
      <c r="P131" s="256"/>
      <c r="Q131" s="256"/>
      <c r="R131" s="256"/>
      <c r="S131" s="256"/>
      <c r="T131" s="256"/>
      <c r="U131" s="256"/>
      <c r="V131" s="256"/>
      <c r="W131" s="256"/>
      <c r="X131" s="256"/>
      <c r="Y131" s="256"/>
      <c r="Z131" s="256"/>
    </row>
    <row r="132">
      <c r="A132" s="302">
        <v>43853.0</v>
      </c>
      <c r="B132" s="254" t="s">
        <v>3986</v>
      </c>
      <c r="C132" s="254" t="s">
        <v>3987</v>
      </c>
      <c r="D132" s="254" t="s">
        <v>3988</v>
      </c>
      <c r="E132" s="254">
        <f>+966540969669</f>
        <v>966540969669</v>
      </c>
      <c r="F132" s="264" t="s">
        <v>3989</v>
      </c>
      <c r="G132" s="253" t="s">
        <v>3990</v>
      </c>
      <c r="H132" s="256"/>
      <c r="I132" s="256"/>
      <c r="J132" s="256"/>
      <c r="K132" s="256"/>
      <c r="L132" s="256"/>
      <c r="M132" s="256"/>
      <c r="N132" s="256"/>
      <c r="O132" s="256"/>
      <c r="P132" s="256"/>
      <c r="Q132" s="256"/>
      <c r="R132" s="256"/>
      <c r="S132" s="256"/>
      <c r="T132" s="256"/>
      <c r="U132" s="256"/>
      <c r="V132" s="256"/>
      <c r="W132" s="256"/>
      <c r="X132" s="256"/>
      <c r="Y132" s="256"/>
      <c r="Z132" s="256"/>
    </row>
    <row r="133">
      <c r="A133" s="302">
        <v>43855.0</v>
      </c>
      <c r="B133" s="254" t="s">
        <v>3991</v>
      </c>
      <c r="C133" s="254" t="s">
        <v>3992</v>
      </c>
      <c r="D133" s="254" t="s">
        <v>3993</v>
      </c>
      <c r="E133" s="254">
        <f>+962779977661</f>
        <v>962779977661</v>
      </c>
      <c r="F133" s="255" t="s">
        <v>3994</v>
      </c>
      <c r="G133" s="253" t="s">
        <v>3995</v>
      </c>
      <c r="H133" s="256"/>
      <c r="I133" s="256"/>
      <c r="J133" s="256"/>
      <c r="K133" s="256"/>
      <c r="L133" s="256"/>
      <c r="M133" s="256"/>
      <c r="N133" s="256"/>
      <c r="O133" s="256"/>
      <c r="P133" s="256"/>
      <c r="Q133" s="256"/>
      <c r="R133" s="256"/>
      <c r="S133" s="256"/>
      <c r="T133" s="256"/>
      <c r="U133" s="256"/>
      <c r="V133" s="256"/>
      <c r="W133" s="256"/>
      <c r="X133" s="256"/>
      <c r="Y133" s="256"/>
      <c r="Z133" s="256"/>
    </row>
    <row r="134">
      <c r="A134" s="302">
        <v>43855.0</v>
      </c>
      <c r="B134" s="254" t="s">
        <v>3991</v>
      </c>
      <c r="C134" s="254" t="s">
        <v>3996</v>
      </c>
      <c r="D134" s="254" t="s">
        <v>3997</v>
      </c>
      <c r="E134" s="254">
        <f>+97333063023</f>
        <v>97333063023</v>
      </c>
      <c r="F134" s="255" t="s">
        <v>3998</v>
      </c>
      <c r="G134" s="253" t="s">
        <v>3995</v>
      </c>
      <c r="H134" s="256"/>
      <c r="I134" s="256"/>
      <c r="J134" s="256"/>
      <c r="K134" s="256"/>
      <c r="L134" s="256"/>
      <c r="M134" s="256"/>
      <c r="N134" s="256"/>
      <c r="O134" s="256"/>
      <c r="P134" s="256"/>
      <c r="Q134" s="256"/>
      <c r="R134" s="256"/>
      <c r="S134" s="256"/>
      <c r="T134" s="256"/>
      <c r="U134" s="256"/>
      <c r="V134" s="256"/>
      <c r="W134" s="256"/>
      <c r="X134" s="256"/>
      <c r="Y134" s="256"/>
      <c r="Z134" s="256"/>
    </row>
    <row r="135">
      <c r="A135" s="302">
        <v>43855.0</v>
      </c>
      <c r="B135" s="254" t="s">
        <v>3787</v>
      </c>
      <c r="C135" s="254" t="s">
        <v>3999</v>
      </c>
      <c r="D135" s="254" t="s">
        <v>4000</v>
      </c>
      <c r="E135" s="254">
        <f>+97455810929</f>
        <v>97455810929</v>
      </c>
      <c r="F135" s="255" t="s">
        <v>4001</v>
      </c>
      <c r="G135" s="253" t="s">
        <v>3995</v>
      </c>
      <c r="H135" s="256"/>
      <c r="I135" s="256"/>
      <c r="J135" s="256"/>
      <c r="K135" s="256"/>
      <c r="L135" s="256"/>
      <c r="M135" s="256"/>
      <c r="N135" s="256"/>
      <c r="O135" s="256"/>
      <c r="P135" s="256"/>
      <c r="Q135" s="256"/>
      <c r="R135" s="256"/>
      <c r="S135" s="256"/>
      <c r="T135" s="256"/>
      <c r="U135" s="256"/>
      <c r="V135" s="256"/>
      <c r="W135" s="256"/>
      <c r="X135" s="256"/>
      <c r="Y135" s="256"/>
      <c r="Z135" s="256"/>
    </row>
    <row r="136">
      <c r="A136" s="302">
        <v>43856.0</v>
      </c>
      <c r="B136" s="254" t="s">
        <v>3986</v>
      </c>
      <c r="C136" s="254" t="s">
        <v>4002</v>
      </c>
      <c r="D136" s="254" t="s">
        <v>4003</v>
      </c>
      <c r="E136" s="254" t="s">
        <v>4004</v>
      </c>
      <c r="F136" s="264" t="s">
        <v>4005</v>
      </c>
      <c r="G136" s="254"/>
      <c r="H136" s="256"/>
      <c r="I136" s="256"/>
      <c r="J136" s="256"/>
      <c r="K136" s="256"/>
      <c r="L136" s="256"/>
      <c r="M136" s="256"/>
      <c r="N136" s="256"/>
      <c r="O136" s="256"/>
      <c r="P136" s="256"/>
      <c r="Q136" s="256"/>
      <c r="R136" s="256"/>
      <c r="S136" s="256"/>
      <c r="T136" s="256"/>
      <c r="U136" s="256"/>
      <c r="V136" s="256"/>
      <c r="W136" s="256"/>
      <c r="X136" s="256"/>
      <c r="Y136" s="256"/>
      <c r="Z136" s="256"/>
    </row>
    <row r="137">
      <c r="A137" s="302">
        <v>43857.0</v>
      </c>
      <c r="B137" s="254" t="s">
        <v>4006</v>
      </c>
      <c r="C137" s="254" t="s">
        <v>4007</v>
      </c>
      <c r="D137" s="254" t="s">
        <v>4008</v>
      </c>
      <c r="E137" s="254">
        <f>+254704659709</f>
        <v>254704659709</v>
      </c>
      <c r="F137" s="255" t="s">
        <v>4009</v>
      </c>
      <c r="G137" s="253" t="s">
        <v>168</v>
      </c>
      <c r="H137" s="256"/>
      <c r="I137" s="256"/>
      <c r="J137" s="256"/>
      <c r="K137" s="256"/>
      <c r="L137" s="256"/>
      <c r="M137" s="256"/>
      <c r="N137" s="256"/>
      <c r="O137" s="256"/>
      <c r="P137" s="256"/>
      <c r="Q137" s="256"/>
      <c r="R137" s="256"/>
      <c r="S137" s="256"/>
      <c r="T137" s="256"/>
      <c r="U137" s="256"/>
      <c r="V137" s="256"/>
      <c r="W137" s="256"/>
      <c r="X137" s="256"/>
      <c r="Y137" s="256"/>
      <c r="Z137" s="256"/>
    </row>
    <row r="138">
      <c r="A138" s="302">
        <v>43860.0</v>
      </c>
      <c r="B138" s="254" t="s">
        <v>4010</v>
      </c>
      <c r="C138" s="271" t="s">
        <v>4011</v>
      </c>
      <c r="D138" s="271" t="s">
        <v>4012</v>
      </c>
      <c r="E138" s="272" t="s">
        <v>4013</v>
      </c>
      <c r="F138" s="255" t="s">
        <v>4014</v>
      </c>
      <c r="G138" s="254"/>
      <c r="H138" s="256"/>
      <c r="I138" s="256"/>
      <c r="J138" s="256"/>
      <c r="K138" s="256"/>
      <c r="L138" s="256"/>
      <c r="M138" s="256"/>
      <c r="N138" s="256"/>
      <c r="O138" s="256"/>
      <c r="P138" s="256"/>
      <c r="Q138" s="256"/>
      <c r="R138" s="256"/>
      <c r="S138" s="256"/>
      <c r="T138" s="256"/>
      <c r="U138" s="256"/>
      <c r="V138" s="256"/>
      <c r="W138" s="256"/>
      <c r="X138" s="256"/>
      <c r="Y138" s="256"/>
      <c r="Z138" s="256"/>
    </row>
    <row r="139">
      <c r="A139" s="302">
        <v>43858.0</v>
      </c>
      <c r="B139" s="254" t="s">
        <v>3787</v>
      </c>
      <c r="C139" s="254" t="s">
        <v>4015</v>
      </c>
      <c r="D139" s="254" t="s">
        <v>4016</v>
      </c>
      <c r="E139" s="254">
        <f>+97433882302</f>
        <v>97433882302</v>
      </c>
      <c r="F139" s="255" t="s">
        <v>4017</v>
      </c>
      <c r="G139" s="253" t="s">
        <v>4018</v>
      </c>
      <c r="H139" s="256"/>
      <c r="I139" s="256"/>
      <c r="J139" s="256"/>
      <c r="K139" s="256"/>
      <c r="L139" s="256"/>
      <c r="M139" s="256"/>
      <c r="N139" s="256"/>
      <c r="O139" s="256"/>
      <c r="P139" s="256"/>
      <c r="Q139" s="256"/>
      <c r="R139" s="256"/>
      <c r="S139" s="256"/>
      <c r="T139" s="256"/>
      <c r="U139" s="256"/>
      <c r="V139" s="256"/>
      <c r="W139" s="256"/>
      <c r="X139" s="256"/>
      <c r="Y139" s="256"/>
      <c r="Z139" s="256"/>
    </row>
    <row r="140">
      <c r="A140" s="302">
        <v>43859.0</v>
      </c>
      <c r="B140" s="254" t="s">
        <v>4019</v>
      </c>
      <c r="C140" s="254" t="s">
        <v>4020</v>
      </c>
      <c r="D140" s="254" t="s">
        <v>4021</v>
      </c>
      <c r="E140" s="269" t="s">
        <v>4022</v>
      </c>
      <c r="F140" s="255" t="s">
        <v>4023</v>
      </c>
      <c r="G140" s="253" t="s">
        <v>251</v>
      </c>
      <c r="H140" s="256"/>
      <c r="I140" s="256"/>
      <c r="J140" s="256"/>
      <c r="K140" s="256"/>
      <c r="L140" s="256"/>
      <c r="M140" s="256"/>
      <c r="N140" s="256"/>
      <c r="O140" s="256"/>
      <c r="P140" s="256"/>
      <c r="Q140" s="256"/>
      <c r="R140" s="256"/>
      <c r="S140" s="256"/>
      <c r="T140" s="256"/>
      <c r="U140" s="256"/>
      <c r="V140" s="256"/>
      <c r="W140" s="256"/>
      <c r="X140" s="256"/>
      <c r="Y140" s="256"/>
      <c r="Z140" s="256"/>
    </row>
    <row r="141">
      <c r="A141" s="302">
        <v>43859.0</v>
      </c>
      <c r="B141" s="254" t="s">
        <v>4019</v>
      </c>
      <c r="C141" s="254" t="s">
        <v>4024</v>
      </c>
      <c r="D141" s="254" t="s">
        <v>4025</v>
      </c>
      <c r="E141" s="269" t="s">
        <v>4026</v>
      </c>
      <c r="F141" s="255" t="s">
        <v>4027</v>
      </c>
      <c r="G141" s="254"/>
      <c r="H141" s="256"/>
      <c r="I141" s="256"/>
      <c r="J141" s="256"/>
      <c r="K141" s="256"/>
      <c r="L141" s="256"/>
      <c r="M141" s="256"/>
      <c r="N141" s="256"/>
      <c r="O141" s="256"/>
      <c r="P141" s="256"/>
      <c r="Q141" s="256"/>
      <c r="R141" s="256"/>
      <c r="S141" s="256"/>
      <c r="T141" s="256"/>
      <c r="U141" s="256"/>
      <c r="V141" s="256"/>
      <c r="W141" s="256"/>
      <c r="X141" s="256"/>
      <c r="Y141" s="256"/>
      <c r="Z141" s="256"/>
    </row>
    <row r="142">
      <c r="A142" s="302">
        <v>43859.0</v>
      </c>
      <c r="B142" s="254" t="s">
        <v>4019</v>
      </c>
      <c r="C142" s="254" t="s">
        <v>4028</v>
      </c>
      <c r="D142" s="254" t="s">
        <v>4029</v>
      </c>
      <c r="E142" s="269" t="s">
        <v>4030</v>
      </c>
      <c r="F142" s="255" t="s">
        <v>4031</v>
      </c>
      <c r="G142" s="254"/>
      <c r="H142" s="256"/>
      <c r="I142" s="256"/>
      <c r="J142" s="256"/>
      <c r="K142" s="256"/>
      <c r="L142" s="256"/>
      <c r="M142" s="256"/>
      <c r="N142" s="256"/>
      <c r="O142" s="256"/>
      <c r="P142" s="256"/>
      <c r="Q142" s="256"/>
      <c r="R142" s="256"/>
      <c r="S142" s="256"/>
      <c r="T142" s="256"/>
      <c r="U142" s="256"/>
      <c r="V142" s="256"/>
      <c r="W142" s="256"/>
      <c r="X142" s="256"/>
      <c r="Y142" s="256"/>
      <c r="Z142" s="256"/>
    </row>
    <row r="143">
      <c r="A143" s="302">
        <v>43860.0</v>
      </c>
      <c r="B143" s="254" t="s">
        <v>4032</v>
      </c>
      <c r="C143" s="254" t="s">
        <v>4033</v>
      </c>
      <c r="D143" s="254" t="s">
        <v>4034</v>
      </c>
      <c r="E143" s="254">
        <f>+971567025326</f>
        <v>971567025326</v>
      </c>
      <c r="F143" s="255" t="s">
        <v>4035</v>
      </c>
      <c r="G143" s="254"/>
      <c r="H143" s="256"/>
      <c r="I143" s="256"/>
      <c r="J143" s="256"/>
      <c r="K143" s="256"/>
      <c r="L143" s="256"/>
      <c r="M143" s="256"/>
      <c r="N143" s="256"/>
      <c r="O143" s="256"/>
      <c r="P143" s="256"/>
      <c r="Q143" s="256"/>
      <c r="R143" s="256"/>
      <c r="S143" s="256"/>
      <c r="T143" s="256"/>
      <c r="U143" s="256"/>
      <c r="V143" s="256"/>
      <c r="W143" s="256"/>
      <c r="X143" s="256"/>
      <c r="Y143" s="256"/>
      <c r="Z143" s="256"/>
    </row>
    <row r="144">
      <c r="A144" s="299">
        <v>43862.0</v>
      </c>
      <c r="B144" s="254" t="s">
        <v>4036</v>
      </c>
      <c r="C144" s="254" t="s">
        <v>4037</v>
      </c>
      <c r="D144" s="254" t="s">
        <v>4038</v>
      </c>
      <c r="E144" s="254">
        <f>+17039536363</f>
        <v>17039536363</v>
      </c>
      <c r="F144" s="255" t="s">
        <v>4039</v>
      </c>
      <c r="G144" s="254"/>
      <c r="H144" s="256"/>
      <c r="I144" s="256"/>
      <c r="J144" s="256"/>
      <c r="K144" s="256"/>
      <c r="L144" s="256"/>
      <c r="M144" s="256"/>
      <c r="N144" s="256"/>
      <c r="O144" s="256"/>
      <c r="P144" s="256"/>
      <c r="Q144" s="256"/>
      <c r="R144" s="256"/>
      <c r="S144" s="256"/>
      <c r="T144" s="256"/>
      <c r="U144" s="256"/>
      <c r="V144" s="256"/>
      <c r="W144" s="256"/>
      <c r="X144" s="256"/>
      <c r="Y144" s="256"/>
      <c r="Z144" s="256"/>
    </row>
    <row r="145">
      <c r="A145" s="299">
        <v>43862.0</v>
      </c>
      <c r="B145" s="254" t="s">
        <v>4040</v>
      </c>
      <c r="C145" s="254" t="s">
        <v>4041</v>
      </c>
      <c r="D145" s="254" t="s">
        <v>4042</v>
      </c>
      <c r="E145" s="269" t="s">
        <v>4043</v>
      </c>
      <c r="F145" s="255" t="s">
        <v>4044</v>
      </c>
      <c r="G145" s="254"/>
      <c r="H145" s="256"/>
      <c r="I145" s="256"/>
      <c r="J145" s="256"/>
      <c r="K145" s="256"/>
      <c r="L145" s="256"/>
      <c r="M145" s="256"/>
      <c r="N145" s="256"/>
      <c r="O145" s="256"/>
      <c r="P145" s="256"/>
      <c r="Q145" s="256"/>
      <c r="R145" s="256"/>
      <c r="S145" s="256"/>
      <c r="T145" s="256"/>
      <c r="U145" s="256"/>
      <c r="V145" s="256"/>
      <c r="W145" s="256"/>
      <c r="X145" s="256"/>
      <c r="Y145" s="256"/>
      <c r="Z145" s="256"/>
    </row>
    <row r="146">
      <c r="A146" s="254" t="s">
        <v>4045</v>
      </c>
      <c r="B146" s="254" t="s">
        <v>4046</v>
      </c>
      <c r="C146" s="271" t="s">
        <v>2412</v>
      </c>
      <c r="D146" s="271" t="s">
        <v>4047</v>
      </c>
      <c r="E146" s="272" t="s">
        <v>4048</v>
      </c>
      <c r="F146" s="255" t="s">
        <v>4049</v>
      </c>
      <c r="G146" s="254"/>
      <c r="H146" s="256"/>
      <c r="I146" s="256"/>
      <c r="J146" s="256"/>
      <c r="K146" s="256"/>
      <c r="L146" s="256"/>
      <c r="M146" s="256"/>
      <c r="N146" s="256"/>
      <c r="O146" s="256"/>
      <c r="P146" s="256"/>
      <c r="Q146" s="256"/>
      <c r="R146" s="256"/>
      <c r="S146" s="256"/>
      <c r="T146" s="256"/>
      <c r="U146" s="256"/>
      <c r="V146" s="256"/>
      <c r="W146" s="256"/>
      <c r="X146" s="256"/>
      <c r="Y146" s="256"/>
      <c r="Z146" s="256"/>
    </row>
    <row r="147">
      <c r="A147" s="254" t="s">
        <v>4050</v>
      </c>
      <c r="B147" s="254" t="s">
        <v>4051</v>
      </c>
      <c r="C147" s="254" t="s">
        <v>4052</v>
      </c>
      <c r="D147" s="254" t="s">
        <v>4053</v>
      </c>
      <c r="E147" s="269" t="s">
        <v>4054</v>
      </c>
      <c r="F147" s="255" t="s">
        <v>4055</v>
      </c>
      <c r="G147" s="254"/>
      <c r="H147" s="256"/>
      <c r="I147" s="256"/>
      <c r="J147" s="256"/>
      <c r="K147" s="256"/>
      <c r="L147" s="256"/>
      <c r="M147" s="256"/>
      <c r="N147" s="256"/>
      <c r="O147" s="256"/>
      <c r="P147" s="256"/>
      <c r="Q147" s="256"/>
      <c r="R147" s="256"/>
      <c r="S147" s="256"/>
      <c r="T147" s="256"/>
      <c r="U147" s="256"/>
      <c r="V147" s="256"/>
      <c r="W147" s="256"/>
      <c r="X147" s="256"/>
      <c r="Y147" s="256"/>
      <c r="Z147" s="256"/>
    </row>
    <row r="148">
      <c r="A148" s="299" t="s">
        <v>4056</v>
      </c>
      <c r="B148" s="254" t="s">
        <v>4010</v>
      </c>
      <c r="C148" s="254" t="s">
        <v>4057</v>
      </c>
      <c r="D148" s="254" t="s">
        <v>4058</v>
      </c>
      <c r="E148" s="304" t="s">
        <v>4059</v>
      </c>
      <c r="F148" s="255" t="s">
        <v>4060</v>
      </c>
      <c r="G148" s="286" t="s">
        <v>3810</v>
      </c>
      <c r="H148" s="256"/>
      <c r="I148" s="256"/>
      <c r="J148" s="256"/>
      <c r="K148" s="256"/>
      <c r="L148" s="256"/>
      <c r="M148" s="256"/>
      <c r="N148" s="256"/>
      <c r="O148" s="256"/>
      <c r="P148" s="256"/>
      <c r="Q148" s="256"/>
      <c r="R148" s="256"/>
      <c r="S148" s="256"/>
      <c r="T148" s="256"/>
      <c r="U148" s="256"/>
      <c r="V148" s="256"/>
      <c r="W148" s="256"/>
      <c r="X148" s="256"/>
      <c r="Y148" s="256"/>
      <c r="Z148" s="256"/>
    </row>
    <row r="149">
      <c r="A149" s="299" t="s">
        <v>4056</v>
      </c>
      <c r="B149" s="254" t="s">
        <v>3852</v>
      </c>
      <c r="C149" s="254" t="s">
        <v>4061</v>
      </c>
      <c r="D149" s="254" t="s">
        <v>4062</v>
      </c>
      <c r="E149" s="304" t="s">
        <v>4063</v>
      </c>
      <c r="F149" s="255" t="s">
        <v>4064</v>
      </c>
      <c r="G149" s="288" t="s">
        <v>4065</v>
      </c>
      <c r="H149" s="256"/>
      <c r="I149" s="256"/>
      <c r="J149" s="256"/>
      <c r="K149" s="256"/>
      <c r="L149" s="256"/>
      <c r="M149" s="256"/>
      <c r="N149" s="256"/>
      <c r="O149" s="256"/>
      <c r="P149" s="256"/>
      <c r="Q149" s="256"/>
      <c r="R149" s="256"/>
      <c r="S149" s="256"/>
      <c r="T149" s="256"/>
      <c r="U149" s="256"/>
      <c r="V149" s="256"/>
      <c r="W149" s="256"/>
      <c r="X149" s="256"/>
      <c r="Y149" s="256"/>
      <c r="Z149" s="256"/>
    </row>
    <row r="150">
      <c r="A150" s="305">
        <v>43866.0</v>
      </c>
      <c r="B150" s="254" t="s">
        <v>4036</v>
      </c>
      <c r="C150" s="254" t="s">
        <v>4037</v>
      </c>
      <c r="D150" s="254" t="s">
        <v>4038</v>
      </c>
      <c r="E150" s="254">
        <v>1.7039536363E10</v>
      </c>
      <c r="F150" s="306" t="s">
        <v>4066</v>
      </c>
      <c r="G150" s="254"/>
      <c r="H150" s="256"/>
      <c r="I150" s="256"/>
      <c r="J150" s="256"/>
      <c r="K150" s="256"/>
      <c r="L150" s="256"/>
      <c r="M150" s="256"/>
      <c r="N150" s="256"/>
      <c r="O150" s="256"/>
      <c r="P150" s="256"/>
      <c r="Q150" s="256"/>
      <c r="R150" s="256"/>
      <c r="S150" s="256"/>
      <c r="T150" s="256"/>
      <c r="U150" s="256"/>
      <c r="V150" s="256"/>
      <c r="W150" s="256"/>
      <c r="X150" s="256"/>
      <c r="Y150" s="256"/>
      <c r="Z150" s="256"/>
    </row>
    <row r="151">
      <c r="A151" s="269" t="s">
        <v>4067</v>
      </c>
      <c r="B151" s="254" t="s">
        <v>4019</v>
      </c>
      <c r="C151" s="254" t="s">
        <v>4068</v>
      </c>
      <c r="D151" s="254" t="s">
        <v>4069</v>
      </c>
      <c r="E151" s="254">
        <f>+9660546777320</f>
        <v>9660546777320</v>
      </c>
      <c r="F151" s="306" t="s">
        <v>4070</v>
      </c>
      <c r="G151" s="254"/>
      <c r="H151" s="256"/>
      <c r="I151" s="256"/>
      <c r="J151" s="256"/>
      <c r="K151" s="256"/>
      <c r="L151" s="256"/>
      <c r="M151" s="256"/>
      <c r="N151" s="256"/>
      <c r="O151" s="256"/>
      <c r="P151" s="256"/>
      <c r="Q151" s="256"/>
      <c r="R151" s="256"/>
      <c r="S151" s="256"/>
      <c r="T151" s="256"/>
      <c r="U151" s="256"/>
      <c r="V151" s="256"/>
      <c r="W151" s="256"/>
      <c r="X151" s="256"/>
      <c r="Y151" s="256"/>
      <c r="Z151" s="256"/>
    </row>
    <row r="152">
      <c r="A152" s="269" t="s">
        <v>4067</v>
      </c>
      <c r="B152" s="254" t="s">
        <v>4019</v>
      </c>
      <c r="C152" s="254" t="s">
        <v>4071</v>
      </c>
      <c r="D152" s="254" t="s">
        <v>4072</v>
      </c>
      <c r="E152" s="269" t="s">
        <v>4073</v>
      </c>
      <c r="F152" s="255" t="s">
        <v>1153</v>
      </c>
      <c r="G152" s="254"/>
      <c r="H152" s="256"/>
      <c r="I152" s="256"/>
      <c r="J152" s="256"/>
      <c r="K152" s="256"/>
      <c r="L152" s="256"/>
      <c r="M152" s="256"/>
      <c r="N152" s="256"/>
      <c r="O152" s="256"/>
      <c r="P152" s="256"/>
      <c r="Q152" s="256"/>
      <c r="R152" s="256"/>
      <c r="S152" s="256"/>
      <c r="T152" s="256"/>
      <c r="U152" s="256"/>
      <c r="V152" s="256"/>
      <c r="W152" s="256"/>
      <c r="X152" s="256"/>
      <c r="Y152" s="256"/>
      <c r="Z152" s="256"/>
    </row>
    <row r="153">
      <c r="A153" s="299">
        <v>43870.0</v>
      </c>
      <c r="B153" s="254" t="s">
        <v>4074</v>
      </c>
      <c r="C153" s="254" t="s">
        <v>4075</v>
      </c>
      <c r="D153" s="254" t="s">
        <v>4076</v>
      </c>
      <c r="E153" s="254">
        <f>+9660538593976</f>
        <v>9660538593976</v>
      </c>
      <c r="F153" s="255" t="s">
        <v>4077</v>
      </c>
      <c r="G153" s="254"/>
      <c r="H153" s="256"/>
      <c r="I153" s="256"/>
      <c r="J153" s="256"/>
      <c r="K153" s="256"/>
      <c r="L153" s="256"/>
      <c r="M153" s="256"/>
      <c r="N153" s="256"/>
      <c r="O153" s="256"/>
      <c r="P153" s="256"/>
      <c r="Q153" s="256"/>
      <c r="R153" s="256"/>
      <c r="S153" s="256"/>
      <c r="T153" s="256"/>
      <c r="U153" s="256"/>
      <c r="V153" s="256"/>
      <c r="W153" s="256"/>
      <c r="X153" s="256"/>
      <c r="Y153" s="256"/>
      <c r="Z153" s="256"/>
    </row>
    <row r="154">
      <c r="A154" s="299">
        <v>43870.0</v>
      </c>
      <c r="B154" s="254" t="s">
        <v>3793</v>
      </c>
      <c r="C154" s="254" t="s">
        <v>4078</v>
      </c>
      <c r="D154" s="254" t="s">
        <v>4079</v>
      </c>
      <c r="E154" s="254">
        <f>+48696455122</f>
        <v>48696455122</v>
      </c>
      <c r="F154" s="255" t="s">
        <v>1009</v>
      </c>
      <c r="G154" s="254"/>
      <c r="H154" s="256"/>
      <c r="I154" s="256"/>
      <c r="J154" s="256"/>
      <c r="K154" s="256"/>
      <c r="L154" s="256"/>
      <c r="M154" s="256"/>
      <c r="N154" s="256"/>
      <c r="O154" s="256"/>
      <c r="P154" s="256"/>
      <c r="Q154" s="256"/>
      <c r="R154" s="256"/>
      <c r="S154" s="256"/>
      <c r="T154" s="256"/>
      <c r="U154" s="256"/>
      <c r="V154" s="256"/>
      <c r="W154" s="256"/>
      <c r="X154" s="256"/>
      <c r="Y154" s="256"/>
      <c r="Z154" s="256"/>
    </row>
    <row r="155">
      <c r="A155" s="299">
        <v>43871.0</v>
      </c>
      <c r="B155" s="254" t="s">
        <v>4019</v>
      </c>
      <c r="C155" s="254" t="s">
        <v>4080</v>
      </c>
      <c r="D155" s="254" t="s">
        <v>4081</v>
      </c>
      <c r="E155" s="254">
        <f>+971507025343</f>
        <v>971507025343</v>
      </c>
      <c r="F155" s="255" t="s">
        <v>4082</v>
      </c>
      <c r="G155" s="253" t="s">
        <v>168</v>
      </c>
      <c r="H155" s="256"/>
      <c r="I155" s="256"/>
      <c r="J155" s="256"/>
      <c r="K155" s="256"/>
      <c r="L155" s="256"/>
      <c r="M155" s="256"/>
      <c r="N155" s="256"/>
      <c r="O155" s="256"/>
      <c r="P155" s="256"/>
      <c r="Q155" s="256"/>
      <c r="R155" s="256"/>
      <c r="S155" s="256"/>
      <c r="T155" s="256"/>
      <c r="U155" s="256"/>
      <c r="V155" s="256"/>
      <c r="W155" s="256"/>
      <c r="X155" s="256"/>
      <c r="Y155" s="256"/>
      <c r="Z155" s="256"/>
    </row>
    <row r="156">
      <c r="A156" s="299">
        <v>43871.0</v>
      </c>
      <c r="B156" s="254" t="s">
        <v>3986</v>
      </c>
      <c r="C156" s="254" t="s">
        <v>4083</v>
      </c>
      <c r="D156" s="254" t="s">
        <v>4084</v>
      </c>
      <c r="E156" s="269" t="s">
        <v>4085</v>
      </c>
      <c r="F156" s="255" t="s">
        <v>251</v>
      </c>
      <c r="G156" s="254"/>
      <c r="H156" s="256"/>
      <c r="I156" s="256"/>
      <c r="J156" s="256"/>
      <c r="K156" s="256"/>
      <c r="L156" s="256"/>
      <c r="M156" s="256"/>
      <c r="N156" s="256"/>
      <c r="O156" s="256"/>
      <c r="P156" s="256"/>
      <c r="Q156" s="256"/>
      <c r="R156" s="256"/>
      <c r="S156" s="256"/>
      <c r="T156" s="256"/>
      <c r="U156" s="256"/>
      <c r="V156" s="256"/>
      <c r="W156" s="256"/>
      <c r="X156" s="256"/>
      <c r="Y156" s="256"/>
      <c r="Z156" s="256"/>
    </row>
    <row r="157">
      <c r="A157" s="299">
        <v>43872.0</v>
      </c>
      <c r="B157" s="254" t="s">
        <v>4019</v>
      </c>
      <c r="C157" s="254" t="s">
        <v>4086</v>
      </c>
      <c r="D157" s="254" t="s">
        <v>4087</v>
      </c>
      <c r="E157" s="269" t="s">
        <v>4088</v>
      </c>
      <c r="F157" s="255" t="s">
        <v>1009</v>
      </c>
      <c r="G157" s="254"/>
      <c r="H157" s="256"/>
      <c r="I157" s="256"/>
      <c r="J157" s="256"/>
      <c r="K157" s="256"/>
      <c r="L157" s="256"/>
      <c r="M157" s="256"/>
      <c r="N157" s="256"/>
      <c r="O157" s="256"/>
      <c r="P157" s="256"/>
      <c r="Q157" s="256"/>
      <c r="R157" s="256"/>
      <c r="S157" s="256"/>
      <c r="T157" s="256"/>
      <c r="U157" s="256"/>
      <c r="V157" s="256"/>
      <c r="W157" s="256"/>
      <c r="X157" s="256"/>
      <c r="Y157" s="256"/>
      <c r="Z157" s="256"/>
    </row>
    <row r="158">
      <c r="A158" s="299">
        <v>43872.0</v>
      </c>
      <c r="B158" s="254" t="s">
        <v>3787</v>
      </c>
      <c r="C158" s="254" t="s">
        <v>4089</v>
      </c>
      <c r="D158" s="254" t="s">
        <v>4090</v>
      </c>
      <c r="E158" s="269" t="s">
        <v>4091</v>
      </c>
      <c r="F158" s="255" t="s">
        <v>4092</v>
      </c>
      <c r="G158" s="253" t="s">
        <v>4093</v>
      </c>
      <c r="H158" s="256"/>
      <c r="I158" s="256"/>
      <c r="J158" s="256"/>
      <c r="K158" s="256"/>
      <c r="L158" s="256"/>
      <c r="M158" s="256"/>
      <c r="N158" s="256"/>
      <c r="O158" s="256"/>
      <c r="P158" s="256"/>
      <c r="Q158" s="256"/>
      <c r="R158" s="256"/>
      <c r="S158" s="256"/>
      <c r="T158" s="256"/>
      <c r="U158" s="256"/>
      <c r="V158" s="256"/>
      <c r="W158" s="256"/>
      <c r="X158" s="256"/>
      <c r="Y158" s="256"/>
      <c r="Z158" s="256"/>
    </row>
    <row r="159">
      <c r="A159" s="299">
        <v>43872.0</v>
      </c>
      <c r="B159" s="254" t="s">
        <v>4094</v>
      </c>
      <c r="C159" s="254" t="s">
        <v>4095</v>
      </c>
      <c r="D159" s="254" t="s">
        <v>4096</v>
      </c>
      <c r="E159" s="269" t="s">
        <v>4097</v>
      </c>
      <c r="F159" s="255" t="s">
        <v>4098</v>
      </c>
      <c r="G159" s="254"/>
      <c r="H159" s="256"/>
      <c r="I159" s="256"/>
      <c r="J159" s="256"/>
      <c r="K159" s="256"/>
      <c r="L159" s="256"/>
      <c r="M159" s="256"/>
      <c r="N159" s="256"/>
      <c r="O159" s="256"/>
      <c r="P159" s="256"/>
      <c r="Q159" s="256"/>
      <c r="R159" s="256"/>
      <c r="S159" s="256"/>
      <c r="T159" s="256"/>
      <c r="U159" s="256"/>
      <c r="V159" s="256"/>
      <c r="W159" s="256"/>
      <c r="X159" s="256"/>
      <c r="Y159" s="256"/>
      <c r="Z159" s="256"/>
    </row>
    <row r="160" ht="17.25" customHeight="1">
      <c r="A160" s="299">
        <v>43873.0</v>
      </c>
      <c r="B160" s="254" t="s">
        <v>3986</v>
      </c>
      <c r="C160" s="254" t="s">
        <v>4099</v>
      </c>
      <c r="D160" s="254" t="s">
        <v>4100</v>
      </c>
      <c r="E160" s="254">
        <f>+966545497360</f>
        <v>966545497360</v>
      </c>
      <c r="F160" s="255" t="s">
        <v>4101</v>
      </c>
      <c r="G160" s="307" t="s">
        <v>4102</v>
      </c>
      <c r="H160" s="256"/>
      <c r="I160" s="256"/>
      <c r="J160" s="256"/>
      <c r="K160" s="256"/>
      <c r="L160" s="256"/>
      <c r="M160" s="256"/>
      <c r="N160" s="256"/>
      <c r="O160" s="256"/>
      <c r="P160" s="256"/>
      <c r="Q160" s="256"/>
      <c r="R160" s="256"/>
      <c r="S160" s="256"/>
      <c r="T160" s="256"/>
      <c r="U160" s="256"/>
      <c r="V160" s="256"/>
      <c r="W160" s="256"/>
      <c r="X160" s="256"/>
      <c r="Y160" s="256"/>
      <c r="Z160" s="256"/>
    </row>
    <row r="161">
      <c r="A161" s="299">
        <v>43874.0</v>
      </c>
      <c r="B161" s="254" t="s">
        <v>3986</v>
      </c>
      <c r="C161" s="254" t="s">
        <v>4103</v>
      </c>
      <c r="D161" s="254" t="s">
        <v>4104</v>
      </c>
      <c r="E161" s="254">
        <f>+46704410000</f>
        <v>46704410000</v>
      </c>
      <c r="F161" s="255" t="s">
        <v>3636</v>
      </c>
      <c r="G161" s="254"/>
      <c r="H161" s="256"/>
      <c r="I161" s="256"/>
      <c r="J161" s="256"/>
      <c r="K161" s="256"/>
      <c r="L161" s="256"/>
      <c r="M161" s="256"/>
      <c r="N161" s="256"/>
      <c r="O161" s="256"/>
      <c r="P161" s="256"/>
      <c r="Q161" s="256"/>
      <c r="R161" s="256"/>
      <c r="S161" s="256"/>
      <c r="T161" s="256"/>
      <c r="U161" s="256"/>
      <c r="V161" s="256"/>
      <c r="W161" s="256"/>
      <c r="X161" s="256"/>
      <c r="Y161" s="256"/>
      <c r="Z161" s="256"/>
    </row>
    <row r="162">
      <c r="A162" s="299">
        <v>43874.0</v>
      </c>
      <c r="B162" s="254" t="s">
        <v>4094</v>
      </c>
      <c r="C162" s="254" t="s">
        <v>4105</v>
      </c>
      <c r="D162" s="254" t="s">
        <v>4106</v>
      </c>
      <c r="E162" s="254">
        <f>+966543910063</f>
        <v>966543910063</v>
      </c>
      <c r="F162" s="255" t="s">
        <v>251</v>
      </c>
      <c r="G162" s="254"/>
      <c r="H162" s="256"/>
      <c r="I162" s="256"/>
      <c r="J162" s="256"/>
      <c r="K162" s="256"/>
      <c r="L162" s="256"/>
      <c r="M162" s="256"/>
      <c r="N162" s="256"/>
      <c r="O162" s="256"/>
      <c r="P162" s="256"/>
      <c r="Q162" s="256"/>
      <c r="R162" s="256"/>
      <c r="S162" s="256"/>
      <c r="T162" s="256"/>
      <c r="U162" s="256"/>
      <c r="V162" s="256"/>
      <c r="W162" s="256"/>
      <c r="X162" s="256"/>
      <c r="Y162" s="256"/>
      <c r="Z162" s="256"/>
    </row>
    <row r="163">
      <c r="A163" s="299">
        <v>43877.0</v>
      </c>
      <c r="B163" s="254" t="s">
        <v>3946</v>
      </c>
      <c r="C163" s="254" t="s">
        <v>4107</v>
      </c>
      <c r="D163" s="254" t="s">
        <v>4108</v>
      </c>
      <c r="E163" s="254">
        <f>+966593937924</f>
        <v>966593937924</v>
      </c>
      <c r="F163" s="255" t="s">
        <v>2246</v>
      </c>
      <c r="G163" s="254"/>
      <c r="H163" s="256"/>
      <c r="I163" s="256"/>
      <c r="J163" s="256"/>
      <c r="K163" s="256"/>
      <c r="L163" s="256"/>
      <c r="M163" s="256"/>
      <c r="N163" s="256"/>
      <c r="O163" s="256"/>
      <c r="P163" s="256"/>
      <c r="Q163" s="256"/>
      <c r="R163" s="256"/>
      <c r="S163" s="256"/>
      <c r="T163" s="256"/>
      <c r="U163" s="256"/>
      <c r="V163" s="256"/>
      <c r="W163" s="256"/>
      <c r="X163" s="256"/>
      <c r="Y163" s="256"/>
      <c r="Z163" s="256"/>
    </row>
    <row r="164">
      <c r="A164" s="299">
        <v>43877.0</v>
      </c>
      <c r="B164" s="254" t="s">
        <v>3946</v>
      </c>
      <c r="C164" s="254" t="s">
        <v>4109</v>
      </c>
      <c r="D164" s="254" t="s">
        <v>4110</v>
      </c>
      <c r="E164" s="254">
        <f>+919323896347</f>
        <v>919323896347</v>
      </c>
      <c r="F164" s="255" t="s">
        <v>251</v>
      </c>
      <c r="G164" s="254"/>
      <c r="H164" s="256"/>
      <c r="I164" s="256"/>
      <c r="J164" s="256"/>
      <c r="K164" s="256"/>
      <c r="L164" s="256"/>
      <c r="M164" s="256"/>
      <c r="N164" s="256"/>
      <c r="O164" s="256"/>
      <c r="P164" s="256"/>
      <c r="Q164" s="256"/>
      <c r="R164" s="256"/>
      <c r="S164" s="256"/>
      <c r="T164" s="256"/>
      <c r="U164" s="256"/>
      <c r="V164" s="256"/>
      <c r="W164" s="256"/>
      <c r="X164" s="256"/>
      <c r="Y164" s="256"/>
      <c r="Z164" s="256"/>
    </row>
    <row r="165">
      <c r="A165" s="299">
        <v>43877.0</v>
      </c>
      <c r="B165" s="254" t="s">
        <v>4111</v>
      </c>
      <c r="C165" s="254" t="s">
        <v>4112</v>
      </c>
      <c r="D165" s="254" t="s">
        <v>4113</v>
      </c>
      <c r="E165" s="308">
        <v>9.71507705471E11</v>
      </c>
      <c r="F165" s="255" t="s">
        <v>251</v>
      </c>
      <c r="G165" s="254"/>
      <c r="H165" s="256"/>
      <c r="I165" s="256"/>
      <c r="J165" s="256"/>
      <c r="K165" s="256"/>
      <c r="L165" s="256"/>
      <c r="M165" s="256"/>
      <c r="N165" s="256"/>
      <c r="O165" s="256"/>
      <c r="P165" s="256"/>
      <c r="Q165" s="256"/>
      <c r="R165" s="256"/>
      <c r="S165" s="256"/>
      <c r="T165" s="256"/>
      <c r="U165" s="256"/>
      <c r="V165" s="256"/>
      <c r="W165" s="256"/>
      <c r="X165" s="256"/>
      <c r="Y165" s="256"/>
      <c r="Z165" s="256"/>
    </row>
    <row r="166">
      <c r="A166" s="299">
        <v>43877.0</v>
      </c>
      <c r="B166" s="254" t="s">
        <v>3946</v>
      </c>
      <c r="C166" s="254" t="s">
        <v>4107</v>
      </c>
      <c r="D166" s="254" t="s">
        <v>4108</v>
      </c>
      <c r="E166" s="263">
        <f>+966593937924</f>
        <v>966593937924</v>
      </c>
      <c r="F166" s="264"/>
      <c r="G166" s="286" t="s">
        <v>3810</v>
      </c>
      <c r="H166" s="256"/>
      <c r="I166" s="256"/>
      <c r="J166" s="256"/>
      <c r="K166" s="256"/>
      <c r="L166" s="256"/>
      <c r="M166" s="256"/>
      <c r="N166" s="256"/>
      <c r="O166" s="256"/>
      <c r="P166" s="256"/>
      <c r="Q166" s="256"/>
      <c r="R166" s="256"/>
      <c r="S166" s="256"/>
      <c r="T166" s="256"/>
      <c r="U166" s="256"/>
      <c r="V166" s="256"/>
      <c r="W166" s="256"/>
      <c r="X166" s="256"/>
      <c r="Y166" s="256"/>
      <c r="Z166" s="256"/>
    </row>
    <row r="167">
      <c r="A167" s="299">
        <v>43877.0</v>
      </c>
      <c r="B167" s="254" t="s">
        <v>4111</v>
      </c>
      <c r="C167" s="254" t="s">
        <v>4114</v>
      </c>
      <c r="D167" s="254" t="s">
        <v>4115</v>
      </c>
      <c r="E167" s="308">
        <v>9.71501547372E11</v>
      </c>
      <c r="F167" s="255" t="s">
        <v>4116</v>
      </c>
      <c r="G167" s="254"/>
      <c r="H167" s="256"/>
      <c r="I167" s="256"/>
      <c r="J167" s="256"/>
      <c r="K167" s="256"/>
      <c r="L167" s="256"/>
      <c r="M167" s="256"/>
      <c r="N167" s="256"/>
      <c r="O167" s="256"/>
      <c r="P167" s="256"/>
      <c r="Q167" s="256"/>
      <c r="R167" s="256"/>
      <c r="S167" s="256"/>
      <c r="T167" s="256"/>
      <c r="U167" s="256"/>
      <c r="V167" s="256"/>
      <c r="W167" s="256"/>
      <c r="X167" s="256"/>
      <c r="Y167" s="256"/>
      <c r="Z167" s="256"/>
    </row>
    <row r="168">
      <c r="A168" s="299">
        <v>43877.0</v>
      </c>
      <c r="B168" s="254" t="s">
        <v>4111</v>
      </c>
      <c r="C168" s="254" t="s">
        <v>4112</v>
      </c>
      <c r="D168" s="254" t="s">
        <v>4113</v>
      </c>
      <c r="E168" s="308">
        <v>9.71507705471E11</v>
      </c>
      <c r="F168" s="255" t="s">
        <v>4117</v>
      </c>
      <c r="G168" s="307" t="s">
        <v>4102</v>
      </c>
      <c r="H168" s="256"/>
      <c r="I168" s="256"/>
      <c r="J168" s="256"/>
      <c r="K168" s="256"/>
      <c r="L168" s="256"/>
      <c r="M168" s="256"/>
      <c r="N168" s="256"/>
      <c r="O168" s="256"/>
      <c r="P168" s="256"/>
      <c r="Q168" s="256"/>
      <c r="R168" s="256"/>
      <c r="S168" s="256"/>
      <c r="T168" s="256"/>
      <c r="U168" s="256"/>
      <c r="V168" s="256"/>
      <c r="W168" s="256"/>
      <c r="X168" s="256"/>
      <c r="Y168" s="256"/>
      <c r="Z168" s="256"/>
    </row>
    <row r="169">
      <c r="A169" s="299">
        <v>43880.0</v>
      </c>
      <c r="B169" s="264" t="s">
        <v>4118</v>
      </c>
      <c r="C169" s="275" t="s">
        <v>4119</v>
      </c>
      <c r="D169" s="275" t="s">
        <v>4120</v>
      </c>
      <c r="E169" s="303" t="s">
        <v>4121</v>
      </c>
      <c r="F169" s="255" t="s">
        <v>255</v>
      </c>
      <c r="G169" s="275"/>
      <c r="H169" s="256"/>
      <c r="I169" s="256"/>
      <c r="J169" s="256"/>
      <c r="K169" s="256"/>
      <c r="L169" s="256"/>
      <c r="M169" s="256"/>
      <c r="N169" s="256"/>
      <c r="O169" s="256"/>
      <c r="P169" s="256"/>
      <c r="Q169" s="256"/>
      <c r="R169" s="256"/>
      <c r="S169" s="256"/>
      <c r="T169" s="256"/>
      <c r="U169" s="256"/>
      <c r="V169" s="256"/>
      <c r="W169" s="256"/>
      <c r="X169" s="256"/>
      <c r="Y169" s="256"/>
      <c r="Z169" s="256"/>
    </row>
    <row r="170">
      <c r="A170" s="299">
        <v>43880.0</v>
      </c>
      <c r="B170" s="264" t="s">
        <v>4118</v>
      </c>
      <c r="C170" s="275" t="s">
        <v>4122</v>
      </c>
      <c r="D170" s="275" t="s">
        <v>4123</v>
      </c>
      <c r="E170" s="303" t="s">
        <v>4124</v>
      </c>
      <c r="F170" s="255" t="s">
        <v>4125</v>
      </c>
      <c r="G170" s="275"/>
      <c r="H170" s="256"/>
      <c r="I170" s="256"/>
      <c r="J170" s="256"/>
      <c r="K170" s="256"/>
      <c r="L170" s="256"/>
      <c r="M170" s="256"/>
      <c r="N170" s="256"/>
      <c r="O170" s="256"/>
      <c r="P170" s="256"/>
      <c r="Q170" s="256"/>
      <c r="R170" s="256"/>
      <c r="S170" s="256"/>
      <c r="T170" s="256"/>
      <c r="U170" s="256"/>
      <c r="V170" s="256"/>
      <c r="W170" s="256"/>
      <c r="X170" s="256"/>
      <c r="Y170" s="256"/>
      <c r="Z170" s="256"/>
    </row>
    <row r="171">
      <c r="A171" s="299">
        <v>43880.0</v>
      </c>
      <c r="B171" s="254" t="s">
        <v>4126</v>
      </c>
      <c r="C171" s="254" t="s">
        <v>4127</v>
      </c>
      <c r="D171" s="254" t="s">
        <v>4128</v>
      </c>
      <c r="E171" s="254">
        <f>+96566893431</f>
        <v>96566893431</v>
      </c>
      <c r="F171" s="255" t="s">
        <v>4129</v>
      </c>
      <c r="G171" s="254"/>
      <c r="H171" s="256"/>
      <c r="I171" s="256"/>
      <c r="J171" s="256"/>
      <c r="K171" s="256"/>
      <c r="L171" s="256"/>
      <c r="M171" s="256"/>
      <c r="N171" s="256"/>
      <c r="O171" s="256"/>
      <c r="P171" s="256"/>
      <c r="Q171" s="256"/>
      <c r="R171" s="256"/>
      <c r="S171" s="256"/>
      <c r="T171" s="256"/>
      <c r="U171" s="256"/>
      <c r="V171" s="256"/>
      <c r="W171" s="256"/>
      <c r="X171" s="256"/>
      <c r="Y171" s="256"/>
      <c r="Z171" s="256"/>
    </row>
    <row r="172">
      <c r="A172" s="305">
        <v>43883.0</v>
      </c>
      <c r="B172" s="254"/>
      <c r="C172" s="254"/>
      <c r="D172" s="254"/>
      <c r="E172" s="254">
        <f>447956698800</f>
        <v>447956698800</v>
      </c>
      <c r="F172" s="264"/>
      <c r="G172" s="254"/>
      <c r="H172" s="256"/>
      <c r="I172" s="256"/>
      <c r="J172" s="256"/>
      <c r="K172" s="256"/>
      <c r="L172" s="256"/>
      <c r="M172" s="256"/>
      <c r="N172" s="256"/>
      <c r="O172" s="256"/>
      <c r="P172" s="256"/>
      <c r="Q172" s="256"/>
      <c r="R172" s="256"/>
      <c r="S172" s="256"/>
      <c r="T172" s="256"/>
      <c r="U172" s="256"/>
      <c r="V172" s="256"/>
      <c r="W172" s="256"/>
      <c r="X172" s="256"/>
      <c r="Y172" s="256"/>
      <c r="Z172" s="256"/>
    </row>
    <row r="173">
      <c r="A173" s="254"/>
      <c r="B173" s="254"/>
      <c r="C173" s="254"/>
      <c r="D173" s="254"/>
      <c r="E173" s="253">
        <v>9.66564108648E11</v>
      </c>
      <c r="F173" s="264"/>
      <c r="G173" s="254"/>
      <c r="H173" s="256"/>
      <c r="I173" s="256"/>
      <c r="J173" s="256"/>
      <c r="K173" s="256"/>
      <c r="L173" s="256"/>
      <c r="M173" s="256"/>
      <c r="N173" s="256"/>
      <c r="O173" s="256"/>
      <c r="P173" s="256"/>
      <c r="Q173" s="256"/>
      <c r="R173" s="256"/>
      <c r="S173" s="256"/>
      <c r="T173" s="256"/>
      <c r="U173" s="256"/>
      <c r="V173" s="256"/>
      <c r="W173" s="256"/>
      <c r="X173" s="256"/>
      <c r="Y173" s="256"/>
      <c r="Z173" s="256"/>
    </row>
    <row r="174">
      <c r="A174" s="254"/>
      <c r="B174" s="253" t="s">
        <v>4130</v>
      </c>
      <c r="C174" s="254"/>
      <c r="D174" s="254"/>
      <c r="E174" s="253">
        <v>9.66567409391E11</v>
      </c>
      <c r="F174" s="255" t="s">
        <v>4131</v>
      </c>
      <c r="G174" s="259" t="s">
        <v>4132</v>
      </c>
      <c r="H174" s="256"/>
      <c r="I174" s="256"/>
      <c r="J174" s="256"/>
      <c r="K174" s="256"/>
      <c r="L174" s="256"/>
      <c r="M174" s="256"/>
      <c r="N174" s="256"/>
      <c r="O174" s="256"/>
      <c r="P174" s="256"/>
      <c r="Q174" s="256"/>
      <c r="R174" s="256"/>
      <c r="S174" s="256"/>
      <c r="T174" s="256"/>
      <c r="U174" s="256"/>
      <c r="V174" s="256"/>
      <c r="W174" s="256"/>
      <c r="X174" s="256"/>
      <c r="Y174" s="256"/>
      <c r="Z174" s="256"/>
    </row>
    <row r="175" ht="16.5" customHeight="1">
      <c r="A175" s="309">
        <v>43892.0</v>
      </c>
      <c r="B175" s="264" t="s">
        <v>4133</v>
      </c>
      <c r="C175" s="264" t="s">
        <v>4134</v>
      </c>
      <c r="D175" s="264" t="s">
        <v>4135</v>
      </c>
      <c r="E175" s="298" t="s">
        <v>4136</v>
      </c>
      <c r="F175" s="255" t="s">
        <v>168</v>
      </c>
      <c r="G175" s="264"/>
      <c r="H175" s="310"/>
      <c r="I175" s="310"/>
      <c r="J175" s="310"/>
      <c r="K175" s="256"/>
      <c r="L175" s="256"/>
      <c r="M175" s="256"/>
      <c r="N175" s="256"/>
      <c r="O175" s="256"/>
      <c r="P175" s="256"/>
      <c r="Q175" s="256"/>
      <c r="R175" s="256"/>
      <c r="S175" s="256"/>
      <c r="T175" s="256"/>
      <c r="U175" s="256"/>
      <c r="V175" s="256"/>
      <c r="W175" s="256"/>
      <c r="X175" s="256"/>
      <c r="Y175" s="256"/>
      <c r="Z175" s="256"/>
    </row>
    <row r="176" ht="18.0" customHeight="1">
      <c r="A176" s="309">
        <v>43892.0</v>
      </c>
      <c r="B176" s="264" t="s">
        <v>4133</v>
      </c>
      <c r="C176" s="264" t="s">
        <v>4137</v>
      </c>
      <c r="D176" s="264" t="s">
        <v>4138</v>
      </c>
      <c r="E176" s="298" t="s">
        <v>4139</v>
      </c>
      <c r="F176" s="255" t="s">
        <v>4140</v>
      </c>
      <c r="G176" s="264"/>
      <c r="H176" s="310"/>
      <c r="I176" s="310"/>
      <c r="J176" s="310"/>
      <c r="K176" s="256"/>
      <c r="L176" s="256"/>
      <c r="M176" s="256"/>
      <c r="N176" s="256"/>
      <c r="O176" s="256"/>
      <c r="P176" s="256"/>
      <c r="Q176" s="256"/>
      <c r="R176" s="256"/>
      <c r="S176" s="256"/>
      <c r="T176" s="256"/>
      <c r="U176" s="256"/>
      <c r="V176" s="256"/>
      <c r="W176" s="256"/>
      <c r="X176" s="256"/>
      <c r="Y176" s="256"/>
      <c r="Z176" s="256"/>
    </row>
    <row r="177" ht="16.5" customHeight="1">
      <c r="A177" s="309">
        <v>43893.0</v>
      </c>
      <c r="B177" s="264" t="s">
        <v>4118</v>
      </c>
      <c r="C177" s="264" t="s">
        <v>4141</v>
      </c>
      <c r="D177" s="264" t="s">
        <v>4142</v>
      </c>
      <c r="E177" s="298" t="s">
        <v>4143</v>
      </c>
      <c r="F177" s="255" t="s">
        <v>4144</v>
      </c>
      <c r="G177" s="264"/>
      <c r="H177" s="310"/>
      <c r="I177" s="310"/>
      <c r="J177" s="310"/>
      <c r="K177" s="256"/>
      <c r="L177" s="256"/>
      <c r="M177" s="256"/>
      <c r="N177" s="256"/>
      <c r="O177" s="256"/>
      <c r="P177" s="256"/>
      <c r="Q177" s="256"/>
      <c r="R177" s="256"/>
      <c r="S177" s="256"/>
      <c r="T177" s="256"/>
      <c r="U177" s="256"/>
      <c r="V177" s="256"/>
      <c r="W177" s="256"/>
      <c r="X177" s="256"/>
      <c r="Y177" s="256"/>
      <c r="Z177" s="256"/>
    </row>
    <row r="178" ht="17.25" customHeight="1">
      <c r="A178" s="309">
        <v>43893.0</v>
      </c>
      <c r="B178" s="264" t="s">
        <v>4145</v>
      </c>
      <c r="C178" s="264" t="s">
        <v>4146</v>
      </c>
      <c r="D178" s="264" t="s">
        <v>4147</v>
      </c>
      <c r="E178" s="264">
        <f>+971558854649</f>
        <v>971558854649</v>
      </c>
      <c r="F178" s="255" t="s">
        <v>4148</v>
      </c>
      <c r="G178" s="260" t="s">
        <v>4149</v>
      </c>
      <c r="H178" s="310"/>
      <c r="I178" s="310"/>
      <c r="J178" s="310"/>
      <c r="K178" s="256"/>
      <c r="L178" s="256"/>
      <c r="M178" s="256"/>
      <c r="N178" s="256"/>
      <c r="O178" s="256"/>
      <c r="P178" s="256"/>
      <c r="Q178" s="256"/>
      <c r="R178" s="256"/>
      <c r="S178" s="256"/>
      <c r="T178" s="256"/>
      <c r="U178" s="256"/>
      <c r="V178" s="256"/>
      <c r="W178" s="256"/>
      <c r="X178" s="256"/>
      <c r="Y178" s="256"/>
      <c r="Z178" s="256"/>
    </row>
    <row r="179" ht="17.25" customHeight="1">
      <c r="A179" s="309">
        <v>43895.0</v>
      </c>
      <c r="B179" s="264" t="s">
        <v>4150</v>
      </c>
      <c r="C179" s="285" t="s">
        <v>4151</v>
      </c>
      <c r="D179" s="285" t="s">
        <v>4152</v>
      </c>
      <c r="E179" s="311" t="s">
        <v>4153</v>
      </c>
      <c r="F179" s="255" t="s">
        <v>172</v>
      </c>
      <c r="G179" s="264"/>
      <c r="H179" s="310"/>
      <c r="I179" s="310"/>
      <c r="J179" s="310"/>
      <c r="K179" s="256"/>
      <c r="L179" s="256"/>
      <c r="M179" s="256"/>
      <c r="N179" s="256"/>
      <c r="O179" s="256"/>
      <c r="P179" s="256"/>
      <c r="Q179" s="256"/>
      <c r="R179" s="256"/>
      <c r="S179" s="256"/>
      <c r="T179" s="256"/>
      <c r="U179" s="256"/>
      <c r="V179" s="256"/>
      <c r="W179" s="256"/>
      <c r="X179" s="256"/>
      <c r="Y179" s="256"/>
      <c r="Z179" s="256"/>
    </row>
    <row r="180" ht="17.25" customHeight="1">
      <c r="A180" s="309">
        <v>43895.0</v>
      </c>
      <c r="B180" s="264" t="s">
        <v>4154</v>
      </c>
      <c r="C180" s="264" t="s">
        <v>4155</v>
      </c>
      <c r="D180" s="264" t="s">
        <v>4156</v>
      </c>
      <c r="E180" s="264">
        <f>+923125078918</f>
        <v>923125078918</v>
      </c>
      <c r="F180" s="255" t="s">
        <v>4157</v>
      </c>
      <c r="G180" s="255" t="s">
        <v>4157</v>
      </c>
      <c r="H180" s="310"/>
      <c r="I180" s="310"/>
      <c r="J180" s="310"/>
      <c r="K180" s="256"/>
      <c r="L180" s="256"/>
      <c r="M180" s="256"/>
      <c r="N180" s="256"/>
      <c r="O180" s="256"/>
      <c r="P180" s="256"/>
      <c r="Q180" s="256"/>
      <c r="R180" s="256"/>
      <c r="S180" s="256"/>
      <c r="T180" s="256"/>
      <c r="U180" s="256"/>
      <c r="V180" s="256"/>
      <c r="W180" s="256"/>
      <c r="X180" s="256"/>
      <c r="Y180" s="256"/>
      <c r="Z180" s="256"/>
    </row>
    <row r="181" ht="17.25" customHeight="1">
      <c r="A181" s="309">
        <v>43895.0</v>
      </c>
      <c r="B181" s="264" t="s">
        <v>4036</v>
      </c>
      <c r="C181" s="264" t="s">
        <v>4158</v>
      </c>
      <c r="D181" s="264" t="s">
        <v>4159</v>
      </c>
      <c r="E181" s="264">
        <f>+966591143002</f>
        <v>966591143002</v>
      </c>
      <c r="F181" s="312" t="s">
        <v>4160</v>
      </c>
      <c r="G181" s="264"/>
      <c r="H181" s="310"/>
      <c r="I181" s="310"/>
      <c r="J181" s="310"/>
      <c r="K181" s="256"/>
      <c r="L181" s="256"/>
      <c r="M181" s="256"/>
      <c r="N181" s="256"/>
      <c r="O181" s="256"/>
      <c r="P181" s="256"/>
      <c r="Q181" s="256"/>
      <c r="R181" s="256"/>
      <c r="S181" s="256"/>
      <c r="T181" s="256"/>
      <c r="U181" s="256"/>
      <c r="V181" s="256"/>
      <c r="W181" s="256"/>
      <c r="X181" s="256"/>
      <c r="Y181" s="256"/>
      <c r="Z181" s="256"/>
    </row>
    <row r="182" ht="17.25" customHeight="1">
      <c r="A182" s="309">
        <v>43895.0</v>
      </c>
      <c r="B182" s="264" t="s">
        <v>3793</v>
      </c>
      <c r="C182" s="264" t="s">
        <v>4161</v>
      </c>
      <c r="D182" s="264" t="s">
        <v>4162</v>
      </c>
      <c r="E182" s="298" t="s">
        <v>4163</v>
      </c>
      <c r="F182" s="255" t="s">
        <v>172</v>
      </c>
      <c r="G182" s="264"/>
      <c r="H182" s="310"/>
      <c r="I182" s="310"/>
      <c r="J182" s="310"/>
      <c r="K182" s="256"/>
      <c r="L182" s="256"/>
      <c r="M182" s="256"/>
      <c r="N182" s="256"/>
      <c r="O182" s="256"/>
      <c r="P182" s="256"/>
      <c r="Q182" s="256"/>
      <c r="R182" s="256"/>
      <c r="S182" s="256"/>
      <c r="T182" s="256"/>
      <c r="U182" s="256"/>
      <c r="V182" s="256"/>
      <c r="W182" s="256"/>
      <c r="X182" s="256"/>
      <c r="Y182" s="256"/>
      <c r="Z182" s="256"/>
    </row>
    <row r="183" ht="18.0" customHeight="1">
      <c r="A183" s="309">
        <v>43897.0</v>
      </c>
      <c r="B183" s="264" t="s">
        <v>4164</v>
      </c>
      <c r="C183" s="264" t="s">
        <v>4165</v>
      </c>
      <c r="D183" s="264" t="s">
        <v>4166</v>
      </c>
      <c r="E183" s="264">
        <f>+9660503029960</f>
        <v>9660503029960</v>
      </c>
      <c r="F183" s="255" t="s">
        <v>4167</v>
      </c>
      <c r="G183" s="264"/>
      <c r="H183" s="310"/>
      <c r="I183" s="310"/>
      <c r="J183" s="310"/>
      <c r="K183" s="256"/>
      <c r="L183" s="256"/>
      <c r="M183" s="256"/>
      <c r="N183" s="256"/>
      <c r="O183" s="256"/>
      <c r="P183" s="256"/>
      <c r="Q183" s="256"/>
      <c r="R183" s="256"/>
      <c r="S183" s="256"/>
      <c r="T183" s="256"/>
      <c r="U183" s="256"/>
      <c r="V183" s="256"/>
      <c r="W183" s="256"/>
      <c r="X183" s="256"/>
      <c r="Y183" s="256"/>
      <c r="Z183" s="256"/>
    </row>
    <row r="184" ht="13.5" customHeight="1">
      <c r="A184" s="309">
        <v>43897.0</v>
      </c>
      <c r="B184" s="264" t="s">
        <v>4164</v>
      </c>
      <c r="C184" s="264" t="s">
        <v>4168</v>
      </c>
      <c r="D184" s="264" t="s">
        <v>4169</v>
      </c>
      <c r="E184" s="264">
        <f>+971501645946</f>
        <v>971501645946</v>
      </c>
      <c r="F184" s="255" t="s">
        <v>4170</v>
      </c>
      <c r="G184" s="255" t="s">
        <v>4171</v>
      </c>
      <c r="H184" s="310"/>
      <c r="I184" s="310"/>
      <c r="J184" s="310"/>
      <c r="K184" s="256"/>
      <c r="L184" s="256"/>
      <c r="M184" s="256"/>
      <c r="N184" s="256"/>
      <c r="O184" s="256"/>
      <c r="P184" s="256"/>
      <c r="Q184" s="256"/>
      <c r="R184" s="256"/>
      <c r="S184" s="256"/>
      <c r="T184" s="256"/>
      <c r="U184" s="256"/>
      <c r="V184" s="256"/>
      <c r="W184" s="256"/>
      <c r="X184" s="256"/>
      <c r="Y184" s="256"/>
      <c r="Z184" s="256"/>
    </row>
    <row r="185" ht="16.5" customHeight="1">
      <c r="A185" s="309">
        <v>43897.0</v>
      </c>
      <c r="B185" s="264" t="s">
        <v>4172</v>
      </c>
      <c r="C185" s="285" t="s">
        <v>4173</v>
      </c>
      <c r="D185" s="285" t="s">
        <v>4174</v>
      </c>
      <c r="E185" s="311" t="s">
        <v>4175</v>
      </c>
      <c r="F185" s="255" t="s">
        <v>4167</v>
      </c>
      <c r="G185" s="264"/>
      <c r="H185" s="310"/>
      <c r="I185" s="310"/>
      <c r="J185" s="310"/>
      <c r="K185" s="256"/>
      <c r="L185" s="256"/>
      <c r="M185" s="256"/>
      <c r="N185" s="256"/>
      <c r="O185" s="256"/>
      <c r="P185" s="256"/>
      <c r="Q185" s="256"/>
      <c r="R185" s="256"/>
      <c r="S185" s="256"/>
      <c r="T185" s="256"/>
      <c r="U185" s="256"/>
      <c r="V185" s="256"/>
      <c r="W185" s="256"/>
      <c r="X185" s="256"/>
      <c r="Y185" s="256"/>
      <c r="Z185" s="256"/>
    </row>
    <row r="186" ht="17.25" customHeight="1">
      <c r="A186" s="309">
        <v>43897.0</v>
      </c>
      <c r="B186" s="264" t="s">
        <v>4172</v>
      </c>
      <c r="C186" s="285" t="s">
        <v>4176</v>
      </c>
      <c r="D186" s="285" t="s">
        <v>4177</v>
      </c>
      <c r="E186" s="311" t="s">
        <v>4178</v>
      </c>
      <c r="F186" s="255" t="s">
        <v>4179</v>
      </c>
      <c r="G186" s="264"/>
      <c r="H186" s="310"/>
      <c r="I186" s="310"/>
      <c r="J186" s="310"/>
      <c r="K186" s="256"/>
      <c r="L186" s="256"/>
      <c r="M186" s="256"/>
      <c r="N186" s="256"/>
      <c r="O186" s="256"/>
      <c r="P186" s="256"/>
      <c r="Q186" s="256"/>
      <c r="R186" s="256"/>
      <c r="S186" s="256"/>
      <c r="T186" s="256"/>
      <c r="U186" s="256"/>
      <c r="V186" s="256"/>
      <c r="W186" s="256"/>
      <c r="X186" s="256"/>
      <c r="Y186" s="256"/>
      <c r="Z186" s="256"/>
    </row>
    <row r="187" ht="18.0" customHeight="1">
      <c r="A187" s="309">
        <v>43897.0</v>
      </c>
      <c r="B187" s="264" t="s">
        <v>4172</v>
      </c>
      <c r="C187" s="285" t="s">
        <v>4180</v>
      </c>
      <c r="D187" s="285" t="s">
        <v>4181</v>
      </c>
      <c r="E187" s="311" t="s">
        <v>4182</v>
      </c>
      <c r="F187" s="255" t="s">
        <v>4167</v>
      </c>
      <c r="G187" s="264"/>
      <c r="H187" s="310"/>
      <c r="I187" s="310"/>
      <c r="J187" s="310"/>
      <c r="K187" s="256"/>
      <c r="L187" s="256"/>
      <c r="M187" s="256"/>
      <c r="N187" s="256"/>
      <c r="O187" s="256"/>
      <c r="P187" s="256"/>
      <c r="Q187" s="256"/>
      <c r="R187" s="256"/>
      <c r="S187" s="256"/>
      <c r="T187" s="256"/>
      <c r="U187" s="256"/>
      <c r="V187" s="256"/>
      <c r="W187" s="256"/>
      <c r="X187" s="256"/>
      <c r="Y187" s="256"/>
      <c r="Z187" s="256"/>
    </row>
    <row r="188" ht="18.75" customHeight="1">
      <c r="A188" s="309">
        <v>43897.0</v>
      </c>
      <c r="B188" s="264" t="s">
        <v>4172</v>
      </c>
      <c r="C188" s="285" t="s">
        <v>4183</v>
      </c>
      <c r="D188" s="285" t="s">
        <v>4184</v>
      </c>
      <c r="E188" s="311" t="s">
        <v>4185</v>
      </c>
      <c r="F188" s="255" t="s">
        <v>4167</v>
      </c>
      <c r="G188" s="313"/>
      <c r="H188" s="310"/>
      <c r="I188" s="310"/>
      <c r="J188" s="310"/>
      <c r="K188" s="256"/>
      <c r="L188" s="256"/>
      <c r="M188" s="256"/>
      <c r="N188" s="256"/>
      <c r="O188" s="256"/>
      <c r="P188" s="256"/>
      <c r="Q188" s="256"/>
      <c r="R188" s="256"/>
      <c r="S188" s="256"/>
      <c r="T188" s="256"/>
      <c r="U188" s="256"/>
      <c r="V188" s="256"/>
      <c r="W188" s="256"/>
      <c r="X188" s="256"/>
      <c r="Y188" s="256"/>
      <c r="Z188" s="256"/>
    </row>
    <row r="189" ht="17.25" customHeight="1">
      <c r="A189" s="309">
        <v>43899.0</v>
      </c>
      <c r="B189" s="264" t="s">
        <v>4186</v>
      </c>
      <c r="C189" s="264" t="s">
        <v>4187</v>
      </c>
      <c r="D189" s="264" t="s">
        <v>4188</v>
      </c>
      <c r="E189" s="298" t="s">
        <v>4189</v>
      </c>
      <c r="F189" s="255" t="s">
        <v>4190</v>
      </c>
      <c r="G189" s="260" t="s">
        <v>4191</v>
      </c>
      <c r="H189" s="310"/>
      <c r="I189" s="310"/>
      <c r="J189" s="310"/>
      <c r="K189" s="256"/>
      <c r="L189" s="256"/>
      <c r="M189" s="256"/>
      <c r="N189" s="256"/>
      <c r="O189" s="256"/>
      <c r="P189" s="256"/>
      <c r="Q189" s="256"/>
      <c r="R189" s="256"/>
      <c r="S189" s="256"/>
      <c r="T189" s="256"/>
      <c r="U189" s="256"/>
      <c r="V189" s="256"/>
      <c r="W189" s="256"/>
      <c r="X189" s="256"/>
      <c r="Y189" s="256"/>
      <c r="Z189" s="256"/>
    </row>
    <row r="190">
      <c r="A190" s="314">
        <v>43899.0</v>
      </c>
      <c r="B190" s="315" t="s">
        <v>4192</v>
      </c>
      <c r="C190" s="315" t="s">
        <v>4193</v>
      </c>
      <c r="D190" s="315" t="s">
        <v>4194</v>
      </c>
      <c r="E190" s="316">
        <f>+971566764509</f>
        <v>971566764509</v>
      </c>
      <c r="F190" s="317"/>
      <c r="G190" s="270"/>
      <c r="H190" s="318"/>
      <c r="I190" s="318"/>
      <c r="J190" s="318"/>
      <c r="K190" s="318"/>
      <c r="L190" s="318"/>
      <c r="M190" s="318"/>
      <c r="N190" s="318"/>
      <c r="O190" s="318"/>
      <c r="P190" s="318"/>
      <c r="Q190" s="318"/>
      <c r="R190" s="318"/>
      <c r="S190" s="318"/>
      <c r="T190" s="318"/>
      <c r="U190" s="318"/>
      <c r="V190" s="318"/>
      <c r="W190" s="318"/>
      <c r="X190" s="318"/>
      <c r="Y190" s="319"/>
      <c r="Z190" s="319"/>
    </row>
    <row r="191" ht="20.25" customHeight="1">
      <c r="A191" s="266" t="s">
        <v>4195</v>
      </c>
      <c r="B191" s="266" t="s">
        <v>4196</v>
      </c>
      <c r="C191" s="266" t="s">
        <v>4197</v>
      </c>
      <c r="D191" s="266" t="s">
        <v>4198</v>
      </c>
      <c r="E191" s="266">
        <v>9.71559557184E11</v>
      </c>
      <c r="F191" s="266" t="s">
        <v>4199</v>
      </c>
      <c r="G191" s="254"/>
      <c r="H191" s="256"/>
      <c r="I191" s="256"/>
      <c r="J191" s="256"/>
      <c r="K191" s="256"/>
      <c r="L191" s="256"/>
      <c r="M191" s="256"/>
      <c r="N191" s="256"/>
      <c r="O191" s="256"/>
      <c r="P191" s="256"/>
      <c r="Q191" s="256"/>
      <c r="R191" s="256"/>
      <c r="S191" s="256"/>
      <c r="T191" s="256"/>
      <c r="U191" s="256"/>
      <c r="V191" s="256"/>
      <c r="W191" s="256"/>
      <c r="X191" s="256"/>
      <c r="Y191" s="256"/>
      <c r="Z191" s="256"/>
    </row>
    <row r="192" ht="17.25" customHeight="1">
      <c r="A192" s="266" t="s">
        <v>4195</v>
      </c>
      <c r="B192" s="266" t="s">
        <v>4200</v>
      </c>
      <c r="C192" s="266" t="s">
        <v>4201</v>
      </c>
      <c r="D192" s="266" t="s">
        <v>4202</v>
      </c>
      <c r="E192" s="285">
        <f>+966545284565</f>
        <v>966545284565</v>
      </c>
      <c r="F192" s="255" t="s">
        <v>4144</v>
      </c>
      <c r="G192" s="254"/>
      <c r="H192" s="256"/>
      <c r="I192" s="256"/>
      <c r="J192" s="256"/>
      <c r="K192" s="256"/>
      <c r="L192" s="256"/>
      <c r="M192" s="256"/>
      <c r="N192" s="256"/>
      <c r="O192" s="256"/>
      <c r="P192" s="256"/>
      <c r="Q192" s="256"/>
      <c r="R192" s="256"/>
      <c r="S192" s="256"/>
      <c r="T192" s="256"/>
      <c r="U192" s="256"/>
      <c r="V192" s="256"/>
      <c r="W192" s="256"/>
      <c r="X192" s="256"/>
      <c r="Y192" s="256"/>
      <c r="Z192" s="256"/>
    </row>
    <row r="193" ht="18.0" customHeight="1">
      <c r="A193" s="266" t="s">
        <v>4195</v>
      </c>
      <c r="B193" s="266" t="s">
        <v>4192</v>
      </c>
      <c r="C193" s="266" t="s">
        <v>4203</v>
      </c>
      <c r="D193" s="266" t="s">
        <v>4204</v>
      </c>
      <c r="E193" s="285">
        <f>+971508516435</f>
        <v>971508516435</v>
      </c>
      <c r="F193" s="255" t="s">
        <v>251</v>
      </c>
      <c r="G193" s="254"/>
      <c r="H193" s="320"/>
      <c r="I193" s="256"/>
      <c r="J193" s="256"/>
      <c r="K193" s="256"/>
      <c r="L193" s="256"/>
      <c r="M193" s="256"/>
      <c r="N193" s="256"/>
      <c r="O193" s="256"/>
      <c r="P193" s="256"/>
      <c r="Q193" s="256"/>
      <c r="R193" s="256"/>
      <c r="S193" s="256"/>
      <c r="T193" s="256"/>
      <c r="U193" s="256"/>
      <c r="V193" s="256"/>
      <c r="W193" s="256"/>
      <c r="X193" s="256"/>
      <c r="Y193" s="256"/>
      <c r="Z193" s="256"/>
    </row>
    <row r="194" ht="15.75" customHeight="1">
      <c r="A194" s="266" t="s">
        <v>4195</v>
      </c>
      <c r="B194" s="266" t="s">
        <v>4192</v>
      </c>
      <c r="C194" s="266" t="s">
        <v>4205</v>
      </c>
      <c r="D194" s="266" t="s">
        <v>4206</v>
      </c>
      <c r="E194" s="285">
        <f>+971505508245</f>
        <v>971505508245</v>
      </c>
      <c r="F194" s="255" t="s">
        <v>168</v>
      </c>
      <c r="G194" s="254"/>
      <c r="H194" s="320"/>
      <c r="I194" s="256"/>
      <c r="J194" s="256"/>
      <c r="K194" s="256"/>
      <c r="L194" s="256"/>
      <c r="M194" s="256"/>
      <c r="N194" s="256"/>
      <c r="O194" s="256"/>
      <c r="P194" s="256"/>
      <c r="Q194" s="256"/>
      <c r="R194" s="256"/>
      <c r="S194" s="256"/>
      <c r="T194" s="256"/>
      <c r="U194" s="256"/>
      <c r="V194" s="256"/>
      <c r="W194" s="256"/>
      <c r="X194" s="256"/>
      <c r="Y194" s="256"/>
      <c r="Z194" s="256"/>
    </row>
    <row r="195" ht="15.75" customHeight="1">
      <c r="A195" s="321">
        <v>43902.0</v>
      </c>
      <c r="B195" s="266" t="s">
        <v>4192</v>
      </c>
      <c r="C195" s="266" t="s">
        <v>4207</v>
      </c>
      <c r="D195" s="266" t="s">
        <v>4208</v>
      </c>
      <c r="E195" s="285">
        <f>+971502363279</f>
        <v>971502363279</v>
      </c>
      <c r="F195" s="255" t="s">
        <v>3792</v>
      </c>
      <c r="G195" s="254"/>
      <c r="H195" s="320"/>
      <c r="I195" s="256"/>
      <c r="J195" s="256"/>
      <c r="K195" s="256"/>
      <c r="L195" s="256"/>
      <c r="M195" s="256"/>
      <c r="N195" s="256"/>
      <c r="O195" s="256"/>
      <c r="P195" s="256"/>
      <c r="Q195" s="256"/>
      <c r="R195" s="256"/>
      <c r="S195" s="256"/>
      <c r="T195" s="256"/>
      <c r="U195" s="256"/>
      <c r="V195" s="256"/>
      <c r="W195" s="256"/>
      <c r="X195" s="256"/>
      <c r="Y195" s="256"/>
      <c r="Z195" s="256"/>
    </row>
    <row r="196" ht="17.25" customHeight="1">
      <c r="A196" s="321">
        <v>43902.0</v>
      </c>
      <c r="B196" s="266" t="s">
        <v>4094</v>
      </c>
      <c r="C196" s="266" t="s">
        <v>4209</v>
      </c>
      <c r="D196" s="266" t="s">
        <v>4210</v>
      </c>
      <c r="E196" s="285">
        <f>+966538779748</f>
        <v>966538779748</v>
      </c>
      <c r="F196" s="266" t="s">
        <v>4211</v>
      </c>
      <c r="G196" s="254"/>
      <c r="H196" s="256"/>
      <c r="I196" s="256"/>
      <c r="J196" s="256"/>
      <c r="K196" s="256"/>
      <c r="L196" s="256"/>
      <c r="M196" s="256"/>
      <c r="N196" s="256"/>
      <c r="O196" s="256"/>
      <c r="P196" s="256"/>
      <c r="Q196" s="256"/>
      <c r="R196" s="256"/>
      <c r="S196" s="256"/>
      <c r="T196" s="256"/>
      <c r="U196" s="256"/>
      <c r="V196" s="256"/>
      <c r="W196" s="256"/>
      <c r="X196" s="256"/>
      <c r="Y196" s="256"/>
      <c r="Z196" s="256"/>
    </row>
    <row r="197" ht="16.5" customHeight="1">
      <c r="A197" s="321">
        <v>43904.0</v>
      </c>
      <c r="B197" s="266" t="s">
        <v>4212</v>
      </c>
      <c r="C197" s="266" t="s">
        <v>4213</v>
      </c>
      <c r="D197" s="266" t="s">
        <v>4214</v>
      </c>
      <c r="E197" s="266">
        <v>9.71553852291E11</v>
      </c>
      <c r="F197" s="266" t="s">
        <v>4215</v>
      </c>
      <c r="G197" s="254"/>
      <c r="H197" s="256"/>
      <c r="I197" s="256"/>
      <c r="J197" s="256"/>
      <c r="K197" s="256"/>
      <c r="L197" s="256"/>
      <c r="M197" s="256"/>
      <c r="N197" s="256"/>
      <c r="O197" s="256"/>
      <c r="P197" s="256"/>
      <c r="Q197" s="256"/>
      <c r="R197" s="256"/>
      <c r="S197" s="256"/>
      <c r="T197" s="256"/>
      <c r="U197" s="256"/>
      <c r="V197" s="256"/>
      <c r="W197" s="256"/>
      <c r="X197" s="256"/>
      <c r="Y197" s="256"/>
      <c r="Z197" s="256"/>
    </row>
    <row r="198" ht="14.25" customHeight="1">
      <c r="A198" s="321">
        <v>43904.0</v>
      </c>
      <c r="B198" s="266" t="s">
        <v>4094</v>
      </c>
      <c r="C198" s="266" t="s">
        <v>4216</v>
      </c>
      <c r="D198" s="266" t="s">
        <v>4217</v>
      </c>
      <c r="E198" s="285">
        <f>+88001844460360</f>
        <v>88001844460360</v>
      </c>
      <c r="F198" s="266" t="s">
        <v>4218</v>
      </c>
      <c r="G198" s="254"/>
      <c r="H198" s="256"/>
      <c r="I198" s="256"/>
      <c r="J198" s="256"/>
      <c r="K198" s="256"/>
      <c r="L198" s="256"/>
      <c r="M198" s="256"/>
      <c r="N198" s="256"/>
      <c r="O198" s="256"/>
      <c r="P198" s="256"/>
      <c r="Q198" s="256"/>
      <c r="R198" s="256"/>
      <c r="S198" s="256"/>
      <c r="T198" s="256"/>
      <c r="U198" s="256"/>
      <c r="V198" s="256"/>
      <c r="W198" s="256"/>
      <c r="X198" s="256"/>
      <c r="Y198" s="256"/>
      <c r="Z198" s="256"/>
    </row>
    <row r="199" ht="18.0" customHeight="1">
      <c r="A199" s="321">
        <v>43905.0</v>
      </c>
      <c r="B199" s="266" t="s">
        <v>4219</v>
      </c>
      <c r="C199" s="322" t="s">
        <v>4220</v>
      </c>
      <c r="D199" s="255" t="s">
        <v>4221</v>
      </c>
      <c r="E199" s="255">
        <v>9.66552455971E11</v>
      </c>
      <c r="F199" s="255" t="s">
        <v>4222</v>
      </c>
      <c r="G199" s="254"/>
      <c r="H199" s="256"/>
      <c r="I199" s="256"/>
      <c r="J199" s="256"/>
      <c r="K199" s="256"/>
      <c r="L199" s="256"/>
      <c r="M199" s="256"/>
      <c r="N199" s="256"/>
      <c r="O199" s="256"/>
      <c r="P199" s="256"/>
      <c r="Q199" s="256"/>
      <c r="R199" s="256"/>
      <c r="S199" s="256"/>
      <c r="T199" s="256"/>
      <c r="U199" s="256"/>
      <c r="V199" s="256"/>
      <c r="W199" s="256"/>
      <c r="X199" s="256"/>
      <c r="Y199" s="256"/>
      <c r="Z199" s="256"/>
    </row>
    <row r="200">
      <c r="A200" s="323">
        <v>43907.0</v>
      </c>
      <c r="B200" s="315" t="s">
        <v>4223</v>
      </c>
      <c r="C200" s="315" t="s">
        <v>4224</v>
      </c>
      <c r="D200" s="315" t="s">
        <v>4225</v>
      </c>
      <c r="E200" s="315">
        <v>9.71506547745E11</v>
      </c>
      <c r="F200" s="260" t="s">
        <v>4226</v>
      </c>
      <c r="G200" s="270"/>
      <c r="H200" s="318"/>
      <c r="I200" s="318"/>
      <c r="J200" s="318"/>
      <c r="K200" s="318"/>
      <c r="L200" s="318"/>
      <c r="M200" s="318"/>
      <c r="N200" s="318"/>
      <c r="O200" s="318"/>
      <c r="P200" s="318"/>
      <c r="Q200" s="318"/>
      <c r="R200" s="318"/>
      <c r="S200" s="318"/>
      <c r="T200" s="318"/>
      <c r="U200" s="318"/>
      <c r="V200" s="318"/>
      <c r="W200" s="318"/>
      <c r="X200" s="318"/>
      <c r="Y200" s="319"/>
      <c r="Z200" s="319"/>
    </row>
    <row r="201">
      <c r="A201" s="323">
        <v>43909.0</v>
      </c>
      <c r="B201" s="315" t="s">
        <v>4227</v>
      </c>
      <c r="C201" s="315" t="s">
        <v>4228</v>
      </c>
      <c r="D201" s="315" t="s">
        <v>4229</v>
      </c>
      <c r="E201" s="315">
        <v>5.99323434E8</v>
      </c>
      <c r="F201" s="324"/>
      <c r="G201" s="270"/>
      <c r="H201" s="318"/>
      <c r="I201" s="318"/>
      <c r="J201" s="318"/>
      <c r="K201" s="318"/>
      <c r="L201" s="318"/>
      <c r="M201" s="318"/>
      <c r="N201" s="318"/>
      <c r="O201" s="318"/>
      <c r="P201" s="318"/>
      <c r="Q201" s="318"/>
      <c r="R201" s="318"/>
      <c r="S201" s="318"/>
      <c r="T201" s="318"/>
      <c r="U201" s="318"/>
      <c r="V201" s="318"/>
      <c r="W201" s="318"/>
      <c r="X201" s="318"/>
      <c r="Y201" s="319"/>
      <c r="Z201" s="319"/>
    </row>
    <row r="202">
      <c r="A202" s="323">
        <v>43909.0</v>
      </c>
      <c r="B202" s="315" t="s">
        <v>4230</v>
      </c>
      <c r="C202" s="315" t="s">
        <v>4231</v>
      </c>
      <c r="D202" s="315" t="s">
        <v>4232</v>
      </c>
      <c r="E202" s="315">
        <v>9.71555780686E11</v>
      </c>
      <c r="F202" s="324" t="s">
        <v>4233</v>
      </c>
      <c r="G202" s="270"/>
      <c r="H202" s="318"/>
      <c r="I202" s="318"/>
      <c r="J202" s="318"/>
      <c r="K202" s="318"/>
      <c r="L202" s="318"/>
      <c r="M202" s="318"/>
      <c r="N202" s="318"/>
      <c r="O202" s="318"/>
      <c r="P202" s="318"/>
      <c r="Q202" s="318"/>
      <c r="R202" s="318"/>
      <c r="S202" s="318"/>
      <c r="T202" s="318"/>
      <c r="U202" s="318"/>
      <c r="V202" s="318"/>
      <c r="W202" s="318"/>
      <c r="X202" s="318"/>
      <c r="Y202" s="319"/>
      <c r="Z202" s="319"/>
    </row>
    <row r="203">
      <c r="A203" s="323">
        <v>43911.0</v>
      </c>
      <c r="B203" s="315" t="s">
        <v>4234</v>
      </c>
      <c r="C203" s="315" t="s">
        <v>4235</v>
      </c>
      <c r="D203" s="315" t="s">
        <v>4236</v>
      </c>
      <c r="E203" s="315">
        <v>9.6597560044E10</v>
      </c>
      <c r="F203" s="324" t="s">
        <v>4237</v>
      </c>
      <c r="G203" s="270"/>
      <c r="H203" s="318"/>
      <c r="I203" s="318"/>
      <c r="J203" s="318"/>
      <c r="K203" s="318"/>
      <c r="L203" s="318"/>
      <c r="M203" s="318"/>
      <c r="N203" s="318"/>
      <c r="O203" s="318"/>
      <c r="P203" s="318"/>
      <c r="Q203" s="318"/>
      <c r="R203" s="318"/>
      <c r="S203" s="318"/>
      <c r="T203" s="318"/>
      <c r="U203" s="318"/>
      <c r="V203" s="318"/>
      <c r="W203" s="318"/>
      <c r="X203" s="318"/>
      <c r="Y203" s="319"/>
      <c r="Z203" s="319"/>
    </row>
    <row r="204" ht="18.75" customHeight="1">
      <c r="A204" s="323">
        <v>43911.0</v>
      </c>
      <c r="B204" s="315" t="s">
        <v>4234</v>
      </c>
      <c r="C204" s="315" t="s">
        <v>4238</v>
      </c>
      <c r="D204" s="315" t="s">
        <v>4239</v>
      </c>
      <c r="E204" s="315">
        <v>5.94644757E8</v>
      </c>
      <c r="F204" s="317"/>
      <c r="G204" s="270"/>
      <c r="H204" s="318"/>
      <c r="I204" s="318"/>
      <c r="J204" s="318"/>
      <c r="K204" s="318"/>
      <c r="L204" s="318"/>
      <c r="M204" s="318"/>
      <c r="N204" s="318"/>
      <c r="O204" s="318"/>
      <c r="P204" s="318"/>
      <c r="Q204" s="318"/>
      <c r="R204" s="318"/>
      <c r="S204" s="318"/>
      <c r="T204" s="318"/>
      <c r="U204" s="318"/>
      <c r="V204" s="318"/>
      <c r="W204" s="318"/>
      <c r="X204" s="318"/>
      <c r="Y204" s="319"/>
      <c r="Z204" s="319"/>
    </row>
    <row r="205">
      <c r="A205" s="323">
        <v>43911.0</v>
      </c>
      <c r="B205" s="315" t="s">
        <v>4234</v>
      </c>
      <c r="C205" s="315" t="s">
        <v>4240</v>
      </c>
      <c r="D205" s="315" t="s">
        <v>4241</v>
      </c>
      <c r="E205" s="315">
        <v>5.55979937E8</v>
      </c>
      <c r="F205" s="324" t="s">
        <v>4242</v>
      </c>
      <c r="G205" s="270"/>
      <c r="H205" s="318"/>
      <c r="I205" s="318"/>
      <c r="J205" s="318"/>
      <c r="K205" s="318"/>
      <c r="L205" s="318"/>
      <c r="M205" s="318"/>
      <c r="N205" s="318"/>
      <c r="O205" s="318"/>
      <c r="P205" s="318"/>
      <c r="Q205" s="318"/>
      <c r="R205" s="318"/>
      <c r="S205" s="318"/>
      <c r="T205" s="318"/>
      <c r="U205" s="318"/>
      <c r="V205" s="318"/>
      <c r="W205" s="318"/>
      <c r="X205" s="318"/>
      <c r="Y205" s="319"/>
      <c r="Z205" s="319"/>
    </row>
    <row r="206">
      <c r="A206" s="325">
        <v>43912.0</v>
      </c>
      <c r="B206" s="258" t="s">
        <v>4243</v>
      </c>
      <c r="C206" s="258" t="s">
        <v>4244</v>
      </c>
      <c r="D206" s="258" t="s">
        <v>4245</v>
      </c>
      <c r="E206" s="258">
        <v>9.660544097363E12</v>
      </c>
      <c r="F206" s="261" t="s">
        <v>4215</v>
      </c>
      <c r="G206" s="326" t="s">
        <v>251</v>
      </c>
      <c r="H206" s="327"/>
      <c r="I206" s="327"/>
      <c r="J206" s="327"/>
      <c r="K206" s="328"/>
      <c r="L206" s="328"/>
      <c r="M206" s="328"/>
      <c r="N206" s="328"/>
      <c r="O206" s="328"/>
      <c r="P206" s="328"/>
      <c r="Q206" s="328"/>
      <c r="R206" s="328"/>
      <c r="S206" s="328"/>
      <c r="T206" s="328"/>
      <c r="U206" s="328"/>
      <c r="V206" s="328"/>
      <c r="W206" s="328"/>
      <c r="X206" s="328"/>
      <c r="Y206" s="328"/>
      <c r="Z206" s="329"/>
    </row>
    <row r="207">
      <c r="A207" s="325">
        <v>43912.0</v>
      </c>
      <c r="B207" s="258" t="s">
        <v>4246</v>
      </c>
      <c r="C207" s="258" t="s">
        <v>4247</v>
      </c>
      <c r="D207" s="258" t="s">
        <v>4248</v>
      </c>
      <c r="E207" s="258">
        <v>5.51065817E8</v>
      </c>
      <c r="F207" s="261" t="s">
        <v>4249</v>
      </c>
      <c r="G207" s="326" t="s">
        <v>4250</v>
      </c>
      <c r="H207" s="327"/>
      <c r="I207" s="327"/>
      <c r="J207" s="327"/>
      <c r="K207" s="328"/>
      <c r="L207" s="328"/>
      <c r="M207" s="328"/>
      <c r="N207" s="328"/>
      <c r="O207" s="328"/>
      <c r="P207" s="328"/>
      <c r="Q207" s="328"/>
      <c r="R207" s="328"/>
      <c r="S207" s="328"/>
      <c r="T207" s="328"/>
      <c r="U207" s="328"/>
      <c r="V207" s="328"/>
      <c r="W207" s="328"/>
      <c r="X207" s="328"/>
      <c r="Y207" s="328"/>
      <c r="Z207" s="329"/>
    </row>
    <row r="208">
      <c r="A208" s="325">
        <v>43912.0</v>
      </c>
      <c r="B208" s="258" t="s">
        <v>4251</v>
      </c>
      <c r="C208" s="258" t="s">
        <v>4252</v>
      </c>
      <c r="D208" s="258" t="s">
        <v>4253</v>
      </c>
      <c r="E208" s="258">
        <v>5.62210959E8</v>
      </c>
      <c r="F208" s="261" t="s">
        <v>4254</v>
      </c>
      <c r="G208" s="326" t="s">
        <v>4255</v>
      </c>
      <c r="H208" s="327"/>
      <c r="I208" s="327"/>
      <c r="J208" s="327"/>
      <c r="K208" s="328"/>
      <c r="L208" s="328"/>
      <c r="M208" s="328"/>
      <c r="N208" s="328"/>
      <c r="O208" s="328"/>
      <c r="P208" s="328"/>
      <c r="Q208" s="328"/>
      <c r="R208" s="328"/>
      <c r="S208" s="328"/>
      <c r="T208" s="328"/>
      <c r="U208" s="328"/>
      <c r="V208" s="328"/>
      <c r="W208" s="328"/>
      <c r="X208" s="328"/>
      <c r="Y208" s="328"/>
      <c r="Z208" s="329"/>
    </row>
    <row r="209">
      <c r="A209" s="314">
        <v>43915.0</v>
      </c>
      <c r="B209" s="330" t="s">
        <v>4256</v>
      </c>
      <c r="C209" s="330" t="s">
        <v>4257</v>
      </c>
      <c r="D209" s="330" t="s">
        <v>4258</v>
      </c>
      <c r="E209" s="330">
        <v>9.6566993323E10</v>
      </c>
      <c r="F209" s="315" t="s">
        <v>4259</v>
      </c>
      <c r="G209" s="331" t="s">
        <v>4260</v>
      </c>
      <c r="H209" s="332"/>
      <c r="I209" s="333"/>
      <c r="J209" s="256"/>
      <c r="K209" s="256"/>
      <c r="L209" s="256"/>
      <c r="M209" s="256"/>
      <c r="N209" s="256"/>
      <c r="O209" s="256"/>
      <c r="P209" s="256"/>
      <c r="Q209" s="256"/>
      <c r="R209" s="256"/>
      <c r="S209" s="256"/>
      <c r="T209" s="256"/>
      <c r="U209" s="256"/>
      <c r="V209" s="256"/>
      <c r="W209" s="256"/>
      <c r="X209" s="256"/>
      <c r="Y209" s="319"/>
      <c r="Z209" s="319"/>
    </row>
    <row r="210">
      <c r="A210" s="314">
        <v>43915.0</v>
      </c>
      <c r="B210" s="334"/>
      <c r="C210" s="330" t="s">
        <v>4261</v>
      </c>
      <c r="D210" s="330" t="s">
        <v>4262</v>
      </c>
      <c r="E210" s="330">
        <v>9.71505911862E11</v>
      </c>
      <c r="F210" s="315" t="s">
        <v>4263</v>
      </c>
      <c r="G210" s="331" t="s">
        <v>4264</v>
      </c>
      <c r="H210" s="332"/>
      <c r="I210" s="333"/>
      <c r="J210" s="256"/>
      <c r="K210" s="256"/>
      <c r="L210" s="256"/>
      <c r="M210" s="256"/>
      <c r="N210" s="256"/>
      <c r="O210" s="256"/>
      <c r="P210" s="256"/>
      <c r="Q210" s="256"/>
      <c r="R210" s="256"/>
      <c r="S210" s="256"/>
      <c r="T210" s="256"/>
      <c r="U210" s="256"/>
      <c r="V210" s="256"/>
      <c r="W210" s="256"/>
      <c r="X210" s="256"/>
      <c r="Y210" s="319"/>
      <c r="Z210" s="319"/>
    </row>
    <row r="211" ht="18.0" customHeight="1">
      <c r="A211" s="314">
        <v>43915.0</v>
      </c>
      <c r="B211" s="334"/>
      <c r="C211" s="330" t="s">
        <v>4265</v>
      </c>
      <c r="D211" s="330" t="s">
        <v>4266</v>
      </c>
      <c r="E211" s="330">
        <v>9.71529318104E11</v>
      </c>
      <c r="F211" s="315" t="s">
        <v>4267</v>
      </c>
      <c r="G211" s="331"/>
      <c r="H211" s="332"/>
      <c r="I211" s="333"/>
      <c r="J211" s="256"/>
      <c r="K211" s="256"/>
      <c r="L211" s="256"/>
      <c r="M211" s="256"/>
      <c r="N211" s="256"/>
      <c r="O211" s="256"/>
      <c r="P211" s="256"/>
      <c r="Q211" s="256"/>
      <c r="R211" s="256"/>
      <c r="S211" s="256"/>
      <c r="T211" s="256"/>
      <c r="U211" s="256"/>
      <c r="V211" s="256"/>
      <c r="W211" s="256"/>
      <c r="X211" s="256"/>
      <c r="Y211" s="319"/>
      <c r="Z211" s="319"/>
    </row>
    <row r="212">
      <c r="A212" s="335">
        <v>43918.0</v>
      </c>
      <c r="B212" s="315" t="s">
        <v>4268</v>
      </c>
      <c r="C212" s="315" t="s">
        <v>4269</v>
      </c>
      <c r="D212" s="315" t="s">
        <v>4270</v>
      </c>
      <c r="E212" s="315" t="s">
        <v>4271</v>
      </c>
      <c r="F212" s="315" t="s">
        <v>3985</v>
      </c>
      <c r="G212" s="315" t="s">
        <v>457</v>
      </c>
      <c r="H212" s="332"/>
      <c r="I212" s="332"/>
      <c r="J212" s="256"/>
      <c r="K212" s="256"/>
      <c r="L212" s="256"/>
      <c r="M212" s="256"/>
      <c r="N212" s="256"/>
      <c r="O212" s="256"/>
      <c r="P212" s="256"/>
      <c r="Q212" s="256"/>
      <c r="R212" s="256"/>
      <c r="S212" s="256"/>
      <c r="T212" s="256"/>
      <c r="U212" s="256"/>
      <c r="V212" s="256"/>
      <c r="W212" s="256"/>
      <c r="X212" s="256"/>
      <c r="Y212" s="319"/>
      <c r="Z212" s="319"/>
    </row>
    <row r="213">
      <c r="A213" s="335">
        <v>43918.0</v>
      </c>
      <c r="B213" s="315" t="s">
        <v>4212</v>
      </c>
      <c r="C213" s="315" t="s">
        <v>4272</v>
      </c>
      <c r="D213" s="315" t="s">
        <v>4273</v>
      </c>
      <c r="E213" s="330">
        <v>9.660551825571E12</v>
      </c>
      <c r="F213" s="315" t="s">
        <v>4274</v>
      </c>
      <c r="G213" s="315" t="s">
        <v>4275</v>
      </c>
      <c r="H213" s="332"/>
      <c r="I213" s="332"/>
      <c r="J213" s="256"/>
      <c r="K213" s="256"/>
      <c r="L213" s="256"/>
      <c r="M213" s="256"/>
      <c r="N213" s="256"/>
      <c r="O213" s="256"/>
      <c r="P213" s="256"/>
      <c r="Q213" s="256"/>
      <c r="R213" s="256"/>
      <c r="S213" s="256"/>
      <c r="T213" s="256"/>
      <c r="U213" s="256"/>
      <c r="V213" s="256"/>
      <c r="W213" s="256"/>
      <c r="X213" s="256"/>
      <c r="Y213" s="319"/>
      <c r="Z213" s="319"/>
    </row>
    <row r="214">
      <c r="A214" s="314">
        <v>43919.0</v>
      </c>
      <c r="B214" s="326" t="s">
        <v>4234</v>
      </c>
      <c r="C214" s="326" t="s">
        <v>4276</v>
      </c>
      <c r="D214" s="326" t="s">
        <v>4277</v>
      </c>
      <c r="E214" s="336" t="s">
        <v>4278</v>
      </c>
      <c r="F214" s="324" t="s">
        <v>4279</v>
      </c>
      <c r="G214" s="270"/>
      <c r="H214" s="318"/>
      <c r="I214" s="318"/>
      <c r="J214" s="318"/>
      <c r="K214" s="318"/>
      <c r="L214" s="318"/>
      <c r="M214" s="318"/>
      <c r="N214" s="318"/>
      <c r="O214" s="318"/>
      <c r="P214" s="318"/>
      <c r="Q214" s="318"/>
      <c r="R214" s="318"/>
      <c r="S214" s="318"/>
      <c r="T214" s="318"/>
      <c r="U214" s="318"/>
      <c r="V214" s="318"/>
      <c r="W214" s="318"/>
      <c r="X214" s="318"/>
      <c r="Y214" s="337"/>
      <c r="Z214" s="337"/>
    </row>
    <row r="215">
      <c r="A215" s="338">
        <v>43925.0</v>
      </c>
      <c r="B215" s="334"/>
      <c r="C215" s="334" t="s">
        <v>4280</v>
      </c>
      <c r="D215" s="334" t="s">
        <v>4281</v>
      </c>
      <c r="E215" s="334">
        <f>+971567931531</f>
        <v>971567931531</v>
      </c>
      <c r="F215" s="316" t="s">
        <v>4282</v>
      </c>
      <c r="G215" s="339"/>
      <c r="H215" s="340"/>
      <c r="I215" s="319"/>
      <c r="J215" s="319"/>
      <c r="K215" s="256"/>
      <c r="L215" s="256"/>
      <c r="M215" s="256"/>
      <c r="N215" s="256"/>
      <c r="O215" s="256"/>
      <c r="P215" s="256"/>
      <c r="Q215" s="256"/>
      <c r="R215" s="256"/>
      <c r="S215" s="256"/>
      <c r="T215" s="256"/>
      <c r="U215" s="256"/>
      <c r="V215" s="256"/>
      <c r="W215" s="256"/>
      <c r="X215" s="256"/>
      <c r="Y215" s="319"/>
      <c r="Z215" s="319"/>
    </row>
    <row r="216">
      <c r="A216" s="338">
        <v>43925.0</v>
      </c>
      <c r="B216" s="334"/>
      <c r="C216" s="334" t="s">
        <v>4283</v>
      </c>
      <c r="D216" s="334" t="s">
        <v>4284</v>
      </c>
      <c r="E216" s="334">
        <f>+971569693222</f>
        <v>971569693222</v>
      </c>
      <c r="F216" s="316" t="s">
        <v>4285</v>
      </c>
      <c r="G216" s="339"/>
      <c r="H216" s="340"/>
      <c r="I216" s="337"/>
      <c r="J216" s="337"/>
      <c r="K216" s="318"/>
      <c r="L216" s="256"/>
      <c r="M216" s="256"/>
      <c r="N216" s="256"/>
      <c r="O216" s="256"/>
      <c r="P216" s="256"/>
      <c r="Q216" s="256"/>
      <c r="R216" s="256"/>
      <c r="S216" s="256"/>
      <c r="T216" s="256"/>
      <c r="U216" s="256"/>
      <c r="V216" s="256"/>
      <c r="W216" s="256"/>
      <c r="X216" s="256"/>
      <c r="Y216" s="319"/>
      <c r="Z216" s="319"/>
    </row>
    <row r="217">
      <c r="A217" s="341">
        <v>43926.0</v>
      </c>
      <c r="B217" s="339"/>
      <c r="C217" s="339" t="s">
        <v>4286</v>
      </c>
      <c r="D217" s="339" t="s">
        <v>4287</v>
      </c>
      <c r="E217" s="342" t="s">
        <v>4288</v>
      </c>
      <c r="F217" s="343" t="s">
        <v>4289</v>
      </c>
      <c r="G217" s="339"/>
      <c r="H217" s="340"/>
      <c r="I217" s="340"/>
      <c r="J217" s="337"/>
      <c r="K217" s="337"/>
      <c r="L217" s="319"/>
      <c r="M217" s="319"/>
      <c r="N217" s="319"/>
      <c r="O217" s="319"/>
      <c r="P217" s="319"/>
      <c r="Q217" s="319"/>
      <c r="R217" s="319"/>
      <c r="S217" s="319"/>
      <c r="T217" s="319"/>
      <c r="U217" s="319"/>
      <c r="V217" s="319"/>
      <c r="W217" s="319"/>
      <c r="X217" s="319"/>
      <c r="Y217" s="319"/>
      <c r="Z217" s="319"/>
    </row>
    <row r="218">
      <c r="A218" s="341">
        <v>43926.0</v>
      </c>
      <c r="B218" s="344" t="s">
        <v>4290</v>
      </c>
      <c r="C218" s="344" t="s">
        <v>4291</v>
      </c>
      <c r="D218" s="344" t="s">
        <v>4292</v>
      </c>
      <c r="E218" s="344">
        <v>9.71566828182E11</v>
      </c>
      <c r="F218" s="315" t="s">
        <v>4293</v>
      </c>
      <c r="G218" s="330" t="s">
        <v>4294</v>
      </c>
      <c r="H218" s="337"/>
      <c r="I218" s="337"/>
      <c r="J218" s="337"/>
      <c r="K218" s="337"/>
      <c r="L218" s="319"/>
      <c r="M218" s="319"/>
      <c r="N218" s="319"/>
      <c r="O218" s="319"/>
      <c r="P218" s="319"/>
      <c r="Q218" s="319"/>
      <c r="R218" s="319"/>
      <c r="S218" s="319"/>
      <c r="T218" s="319"/>
      <c r="U218" s="319"/>
      <c r="V218" s="319"/>
      <c r="W218" s="319"/>
      <c r="X218" s="319"/>
      <c r="Y218" s="319"/>
      <c r="Z218" s="319"/>
    </row>
    <row r="219">
      <c r="A219" s="345">
        <v>43928.0</v>
      </c>
      <c r="B219" s="346" t="s">
        <v>3787</v>
      </c>
      <c r="C219" s="344" t="s">
        <v>4295</v>
      </c>
      <c r="D219" s="344" t="s">
        <v>4296</v>
      </c>
      <c r="E219" s="344">
        <v>9.66508569852E11</v>
      </c>
      <c r="F219" s="347" t="s">
        <v>4297</v>
      </c>
      <c r="G219" s="347"/>
      <c r="H219" s="348"/>
      <c r="I219" s="348"/>
      <c r="J219" s="337"/>
      <c r="K219" s="337"/>
      <c r="L219" s="319"/>
      <c r="M219" s="319"/>
      <c r="N219" s="319"/>
      <c r="O219" s="319"/>
      <c r="P219" s="319"/>
      <c r="Q219" s="319"/>
      <c r="R219" s="319"/>
      <c r="S219" s="319"/>
      <c r="T219" s="319"/>
      <c r="U219" s="319"/>
      <c r="V219" s="319"/>
      <c r="W219" s="319"/>
      <c r="X219" s="319"/>
      <c r="Y219" s="319"/>
      <c r="Z219" s="319"/>
    </row>
    <row r="220">
      <c r="A220" s="345">
        <v>43928.0</v>
      </c>
      <c r="B220" s="346" t="s">
        <v>4298</v>
      </c>
      <c r="C220" s="344" t="s">
        <v>4299</v>
      </c>
      <c r="D220" s="344" t="s">
        <v>4300</v>
      </c>
      <c r="E220" s="344">
        <v>5.5874684E7</v>
      </c>
      <c r="F220" s="316" t="s">
        <v>4301</v>
      </c>
      <c r="G220" s="316"/>
      <c r="H220" s="348"/>
      <c r="I220" s="348"/>
      <c r="J220" s="337"/>
      <c r="K220" s="337"/>
      <c r="L220" s="319"/>
      <c r="M220" s="319"/>
      <c r="N220" s="319"/>
      <c r="O220" s="319"/>
      <c r="P220" s="319"/>
      <c r="Q220" s="319"/>
      <c r="R220" s="319"/>
      <c r="S220" s="319"/>
      <c r="T220" s="319"/>
      <c r="U220" s="319"/>
      <c r="V220" s="319"/>
      <c r="W220" s="319"/>
      <c r="X220" s="319"/>
      <c r="Y220" s="319"/>
      <c r="Z220" s="319"/>
    </row>
    <row r="221">
      <c r="A221" s="345">
        <v>43928.0</v>
      </c>
      <c r="B221" s="349" t="s">
        <v>4290</v>
      </c>
      <c r="C221" s="349" t="s">
        <v>4302</v>
      </c>
      <c r="D221" s="349" t="s">
        <v>4303</v>
      </c>
      <c r="E221" s="349" t="s">
        <v>4304</v>
      </c>
      <c r="F221" s="347" t="s">
        <v>4305</v>
      </c>
      <c r="G221" s="347"/>
      <c r="H221" s="329"/>
      <c r="I221" s="329"/>
      <c r="J221" s="337"/>
      <c r="K221" s="337"/>
      <c r="L221" s="319"/>
      <c r="M221" s="319"/>
      <c r="N221" s="319"/>
      <c r="O221" s="319"/>
      <c r="P221" s="319"/>
      <c r="Q221" s="319"/>
      <c r="R221" s="319"/>
      <c r="S221" s="319"/>
      <c r="T221" s="319"/>
      <c r="U221" s="319"/>
      <c r="V221" s="319"/>
      <c r="W221" s="319"/>
      <c r="X221" s="319"/>
      <c r="Y221" s="319"/>
      <c r="Z221" s="319"/>
    </row>
    <row r="222">
      <c r="A222" s="345">
        <v>43928.0</v>
      </c>
      <c r="B222" s="350"/>
      <c r="C222" s="351" t="s">
        <v>4306</v>
      </c>
      <c r="D222" s="326" t="s">
        <v>4307</v>
      </c>
      <c r="E222" s="351">
        <f>+966538597794</f>
        <v>966538597794</v>
      </c>
      <c r="F222" s="352" t="s">
        <v>4308</v>
      </c>
      <c r="G222" s="352"/>
      <c r="H222" s="353"/>
      <c r="I222" s="337"/>
      <c r="J222" s="337"/>
      <c r="K222" s="337"/>
      <c r="L222" s="319"/>
      <c r="M222" s="319"/>
      <c r="N222" s="319"/>
      <c r="O222" s="319"/>
      <c r="P222" s="319"/>
      <c r="Q222" s="319"/>
      <c r="R222" s="319"/>
      <c r="S222" s="319"/>
      <c r="T222" s="319"/>
      <c r="U222" s="319"/>
      <c r="V222" s="319"/>
      <c r="W222" s="319"/>
      <c r="X222" s="319"/>
      <c r="Y222" s="319"/>
      <c r="Z222" s="319"/>
    </row>
    <row r="223">
      <c r="A223" s="354">
        <v>43929.0</v>
      </c>
      <c r="B223" s="355" t="s">
        <v>4212</v>
      </c>
      <c r="C223" s="356" t="s">
        <v>4309</v>
      </c>
      <c r="D223" s="351" t="s">
        <v>4310</v>
      </c>
      <c r="E223" s="351">
        <v>9.71551862974E11</v>
      </c>
      <c r="F223" s="357" t="s">
        <v>4311</v>
      </c>
      <c r="G223" s="253" t="s">
        <v>4312</v>
      </c>
      <c r="H223" s="256"/>
      <c r="I223" s="256"/>
      <c r="J223" s="256"/>
      <c r="K223" s="256"/>
      <c r="L223" s="256"/>
      <c r="M223" s="256"/>
      <c r="N223" s="256"/>
      <c r="O223" s="256"/>
      <c r="P223" s="256"/>
      <c r="Q223" s="256"/>
      <c r="R223" s="256"/>
      <c r="S223" s="256"/>
      <c r="T223" s="256"/>
      <c r="U223" s="256"/>
      <c r="V223" s="256"/>
      <c r="W223" s="256"/>
      <c r="X223" s="256"/>
      <c r="Y223" s="256"/>
      <c r="Z223" s="256"/>
    </row>
    <row r="224">
      <c r="A224" s="354">
        <v>43929.0</v>
      </c>
      <c r="B224" s="351" t="s">
        <v>4268</v>
      </c>
      <c r="C224" s="351" t="s">
        <v>4313</v>
      </c>
      <c r="D224" s="351" t="s">
        <v>4314</v>
      </c>
      <c r="E224" s="358" t="s">
        <v>4315</v>
      </c>
      <c r="F224" s="357" t="s">
        <v>4316</v>
      </c>
      <c r="G224" s="355" t="s">
        <v>4317</v>
      </c>
      <c r="H224" s="318"/>
      <c r="I224" s="256"/>
      <c r="J224" s="256"/>
      <c r="K224" s="256"/>
      <c r="L224" s="256"/>
      <c r="M224" s="256"/>
      <c r="N224" s="256"/>
      <c r="O224" s="256"/>
      <c r="P224" s="256"/>
      <c r="Q224" s="256"/>
      <c r="R224" s="256"/>
      <c r="S224" s="256"/>
      <c r="T224" s="256"/>
      <c r="U224" s="256"/>
      <c r="V224" s="256"/>
      <c r="W224" s="256"/>
      <c r="X224" s="256"/>
      <c r="Y224" s="256"/>
      <c r="Z224" s="256"/>
    </row>
    <row r="225">
      <c r="A225" s="354">
        <v>43929.0</v>
      </c>
      <c r="B225" s="351" t="s">
        <v>4318</v>
      </c>
      <c r="C225" s="356" t="s">
        <v>4313</v>
      </c>
      <c r="D225" s="356" t="s">
        <v>4314</v>
      </c>
      <c r="E225" s="359" t="s">
        <v>4315</v>
      </c>
      <c r="F225" s="360"/>
      <c r="G225" s="351"/>
      <c r="H225" s="318"/>
      <c r="I225" s="256"/>
      <c r="J225" s="256"/>
      <c r="K225" s="256"/>
      <c r="L225" s="256"/>
      <c r="M225" s="256"/>
      <c r="N225" s="256"/>
      <c r="O225" s="256"/>
      <c r="P225" s="256"/>
      <c r="Q225" s="256"/>
      <c r="R225" s="256"/>
      <c r="S225" s="256"/>
      <c r="T225" s="256"/>
      <c r="U225" s="256"/>
      <c r="V225" s="256"/>
      <c r="W225" s="256"/>
      <c r="X225" s="256"/>
      <c r="Y225" s="256"/>
      <c r="Z225" s="256"/>
    </row>
    <row r="226">
      <c r="A226" s="354">
        <v>43929.0</v>
      </c>
      <c r="B226" s="351" t="s">
        <v>4246</v>
      </c>
      <c r="C226" s="351" t="s">
        <v>4319</v>
      </c>
      <c r="D226" s="351" t="s">
        <v>4320</v>
      </c>
      <c r="E226" s="361">
        <v>9.71509409376E11</v>
      </c>
      <c r="F226" s="357" t="s">
        <v>4321</v>
      </c>
      <c r="G226" s="357" t="s">
        <v>4322</v>
      </c>
      <c r="H226" s="362"/>
      <c r="I226" s="256"/>
      <c r="J226" s="256"/>
      <c r="K226" s="256"/>
      <c r="L226" s="256"/>
      <c r="M226" s="256"/>
      <c r="N226" s="256"/>
      <c r="O226" s="256"/>
      <c r="P226" s="256"/>
      <c r="Q226" s="256"/>
      <c r="R226" s="256"/>
      <c r="S226" s="256"/>
      <c r="T226" s="256"/>
      <c r="U226" s="256"/>
      <c r="V226" s="256"/>
      <c r="W226" s="256"/>
      <c r="X226" s="256"/>
      <c r="Y226" s="256"/>
      <c r="Z226" s="256"/>
    </row>
    <row r="227">
      <c r="A227" s="363">
        <v>43930.0</v>
      </c>
      <c r="B227" s="364" t="s">
        <v>4290</v>
      </c>
      <c r="C227" s="364" t="s">
        <v>4323</v>
      </c>
      <c r="D227" s="364" t="s">
        <v>4324</v>
      </c>
      <c r="E227" s="364">
        <v>9.71508769819E11</v>
      </c>
      <c r="F227" s="365" t="s">
        <v>4325</v>
      </c>
      <c r="G227" s="270"/>
      <c r="H227" s="318"/>
      <c r="I227" s="256"/>
      <c r="J227" s="256"/>
      <c r="K227" s="256"/>
      <c r="L227" s="256"/>
      <c r="M227" s="256"/>
      <c r="N227" s="256"/>
      <c r="O227" s="256"/>
      <c r="P227" s="256"/>
      <c r="Q227" s="256"/>
      <c r="R227" s="256"/>
      <c r="S227" s="256"/>
      <c r="T227" s="256"/>
      <c r="U227" s="256"/>
      <c r="V227" s="256"/>
      <c r="W227" s="256"/>
      <c r="X227" s="256"/>
      <c r="Y227" s="256"/>
      <c r="Z227" s="256"/>
    </row>
    <row r="228" ht="18.0" customHeight="1">
      <c r="A228" s="354">
        <v>43930.0</v>
      </c>
      <c r="B228" s="360" t="s">
        <v>4326</v>
      </c>
      <c r="C228" s="360" t="s">
        <v>4327</v>
      </c>
      <c r="D228" s="360" t="s">
        <v>4328</v>
      </c>
      <c r="E228" s="360">
        <v>9.71554118791E11</v>
      </c>
      <c r="F228" s="357" t="s">
        <v>4329</v>
      </c>
      <c r="G228" s="270"/>
      <c r="H228" s="318"/>
      <c r="I228" s="256"/>
      <c r="J228" s="256"/>
      <c r="K228" s="256"/>
      <c r="L228" s="256"/>
      <c r="M228" s="256"/>
      <c r="N228" s="256"/>
      <c r="O228" s="256"/>
      <c r="P228" s="256"/>
      <c r="Q228" s="256"/>
      <c r="R228" s="256"/>
      <c r="S228" s="256"/>
      <c r="T228" s="256"/>
      <c r="U228" s="256"/>
      <c r="V228" s="256"/>
      <c r="W228" s="256"/>
      <c r="X228" s="256"/>
      <c r="Y228" s="256"/>
      <c r="Z228" s="256"/>
    </row>
    <row r="229" ht="14.25" customHeight="1">
      <c r="A229" s="354">
        <v>43930.0</v>
      </c>
      <c r="B229" s="254" t="s">
        <v>4150</v>
      </c>
      <c r="C229" s="254" t="s">
        <v>4330</v>
      </c>
      <c r="D229" s="254" t="s">
        <v>4331</v>
      </c>
      <c r="E229" s="254">
        <v>9.71547934019E11</v>
      </c>
      <c r="F229" s="255" t="s">
        <v>4332</v>
      </c>
      <c r="G229" s="253" t="s">
        <v>4333</v>
      </c>
      <c r="H229" s="256"/>
      <c r="I229" s="256"/>
      <c r="J229" s="256"/>
      <c r="K229" s="256"/>
      <c r="L229" s="256"/>
      <c r="M229" s="256"/>
      <c r="N229" s="256"/>
      <c r="O229" s="256"/>
      <c r="P229" s="256"/>
      <c r="Q229" s="256"/>
      <c r="R229" s="256"/>
      <c r="S229" s="256"/>
      <c r="T229" s="256"/>
      <c r="U229" s="256"/>
      <c r="V229" s="256"/>
      <c r="W229" s="256"/>
      <c r="X229" s="256"/>
      <c r="Y229" s="256"/>
      <c r="Z229" s="256"/>
    </row>
    <row r="230">
      <c r="A230" s="354">
        <v>43932.0</v>
      </c>
      <c r="B230" s="254" t="s">
        <v>4334</v>
      </c>
      <c r="C230" s="254" t="s">
        <v>4335</v>
      </c>
      <c r="D230" s="254" t="s">
        <v>4336</v>
      </c>
      <c r="E230" s="254">
        <v>9.66554458786E11</v>
      </c>
      <c r="F230" s="357" t="s">
        <v>4337</v>
      </c>
      <c r="G230" s="254"/>
      <c r="H230" s="256"/>
      <c r="I230" s="256"/>
      <c r="J230" s="256"/>
      <c r="K230" s="256"/>
      <c r="L230" s="256"/>
      <c r="M230" s="256"/>
      <c r="N230" s="256"/>
      <c r="O230" s="256"/>
      <c r="P230" s="256"/>
      <c r="Q230" s="256"/>
      <c r="R230" s="256"/>
      <c r="S230" s="256"/>
      <c r="T230" s="256"/>
      <c r="U230" s="256"/>
      <c r="V230" s="256"/>
      <c r="W230" s="256"/>
      <c r="X230" s="256"/>
      <c r="Y230" s="256"/>
      <c r="Z230" s="256"/>
    </row>
    <row r="231" ht="15.75" customHeight="1">
      <c r="A231" s="354">
        <v>43932.0</v>
      </c>
      <c r="B231" s="254" t="s">
        <v>4246</v>
      </c>
      <c r="C231" s="254" t="s">
        <v>4338</v>
      </c>
      <c r="D231" s="254" t="s">
        <v>4339</v>
      </c>
      <c r="E231" s="254" t="s">
        <v>4340</v>
      </c>
      <c r="F231" s="357" t="s">
        <v>4341</v>
      </c>
      <c r="G231" s="254"/>
      <c r="H231" s="256"/>
      <c r="I231" s="256"/>
      <c r="J231" s="256"/>
      <c r="K231" s="256"/>
      <c r="L231" s="256"/>
      <c r="M231" s="256"/>
      <c r="N231" s="256"/>
      <c r="O231" s="256"/>
      <c r="P231" s="256"/>
      <c r="Q231" s="256"/>
      <c r="R231" s="256"/>
      <c r="S231" s="256"/>
      <c r="T231" s="256"/>
      <c r="U231" s="256"/>
      <c r="V231" s="256"/>
      <c r="W231" s="256"/>
      <c r="X231" s="256"/>
      <c r="Y231" s="256"/>
      <c r="Z231" s="256"/>
    </row>
    <row r="232">
      <c r="A232" s="351" t="s">
        <v>4342</v>
      </c>
      <c r="B232" s="351" t="s">
        <v>4326</v>
      </c>
      <c r="C232" s="351" t="s">
        <v>4343</v>
      </c>
      <c r="D232" s="351" t="s">
        <v>4344</v>
      </c>
      <c r="E232" s="351">
        <v>5.03526811E8</v>
      </c>
      <c r="F232" s="357" t="s">
        <v>1009</v>
      </c>
      <c r="G232" s="254"/>
      <c r="H232" s="256"/>
      <c r="I232" s="256"/>
      <c r="J232" s="256"/>
      <c r="K232" s="256"/>
      <c r="L232" s="256"/>
      <c r="M232" s="256"/>
      <c r="N232" s="256"/>
      <c r="O232" s="256"/>
      <c r="P232" s="256"/>
      <c r="Q232" s="256"/>
      <c r="R232" s="256"/>
      <c r="S232" s="256"/>
      <c r="T232" s="256"/>
      <c r="U232" s="256"/>
      <c r="V232" s="256"/>
      <c r="W232" s="256"/>
      <c r="X232" s="256"/>
      <c r="Y232" s="256"/>
      <c r="Z232" s="256"/>
    </row>
    <row r="233" ht="17.25" customHeight="1">
      <c r="A233" s="351" t="s">
        <v>4342</v>
      </c>
      <c r="B233" s="350" t="s">
        <v>4150</v>
      </c>
      <c r="C233" s="350" t="s">
        <v>4345</v>
      </c>
      <c r="D233" s="350" t="s">
        <v>4346</v>
      </c>
      <c r="E233" s="366">
        <v>9.71554705294E11</v>
      </c>
      <c r="F233" s="357" t="s">
        <v>4347</v>
      </c>
      <c r="G233" s="253" t="s">
        <v>4348</v>
      </c>
      <c r="H233" s="256"/>
      <c r="I233" s="256"/>
      <c r="J233" s="256"/>
      <c r="K233" s="256"/>
      <c r="L233" s="256"/>
      <c r="M233" s="256"/>
      <c r="N233" s="256"/>
      <c r="O233" s="256"/>
      <c r="P233" s="256"/>
      <c r="Q233" s="256"/>
      <c r="R233" s="256"/>
      <c r="S233" s="256"/>
      <c r="T233" s="256"/>
      <c r="U233" s="256"/>
      <c r="V233" s="256"/>
      <c r="W233" s="256"/>
      <c r="X233" s="256"/>
      <c r="Y233" s="256"/>
      <c r="Z233" s="256"/>
    </row>
    <row r="234">
      <c r="A234" s="351" t="s">
        <v>4342</v>
      </c>
      <c r="B234" s="254" t="s">
        <v>3787</v>
      </c>
      <c r="C234" s="254" t="s">
        <v>4349</v>
      </c>
      <c r="D234" s="254" t="s">
        <v>4350</v>
      </c>
      <c r="E234" s="254">
        <v>9.645875724E9</v>
      </c>
      <c r="F234" s="255" t="s">
        <v>4351</v>
      </c>
      <c r="G234" s="254"/>
      <c r="H234" s="256"/>
      <c r="I234" s="256"/>
      <c r="J234" s="256"/>
      <c r="K234" s="256"/>
      <c r="L234" s="256"/>
      <c r="M234" s="256"/>
      <c r="N234" s="256"/>
      <c r="O234" s="256"/>
      <c r="P234" s="256"/>
      <c r="Q234" s="256"/>
      <c r="R234" s="256"/>
      <c r="S234" s="256"/>
      <c r="T234" s="256"/>
      <c r="U234" s="256"/>
      <c r="V234" s="256"/>
      <c r="W234" s="256"/>
      <c r="X234" s="256"/>
      <c r="Y234" s="256"/>
      <c r="Z234" s="256"/>
    </row>
    <row r="235">
      <c r="A235" s="367">
        <v>43934.0</v>
      </c>
      <c r="B235" s="351" t="s">
        <v>4352</v>
      </c>
      <c r="C235" s="351" t="s">
        <v>4353</v>
      </c>
      <c r="D235" s="351" t="s">
        <v>4354</v>
      </c>
      <c r="E235" s="351">
        <v>9.71506165358E11</v>
      </c>
      <c r="F235" s="357" t="s">
        <v>4355</v>
      </c>
      <c r="G235" s="254"/>
      <c r="H235" s="256"/>
      <c r="I235" s="256"/>
      <c r="J235" s="256"/>
      <c r="K235" s="256"/>
      <c r="L235" s="256"/>
      <c r="M235" s="256"/>
      <c r="N235" s="256"/>
      <c r="O235" s="256"/>
      <c r="P235" s="256"/>
      <c r="Q235" s="256"/>
      <c r="R235" s="256"/>
      <c r="S235" s="256"/>
      <c r="T235" s="256"/>
      <c r="U235" s="256"/>
      <c r="V235" s="256"/>
      <c r="W235" s="256"/>
      <c r="X235" s="256"/>
      <c r="Y235" s="256"/>
      <c r="Z235" s="256"/>
    </row>
    <row r="236">
      <c r="A236" s="367">
        <v>43934.0</v>
      </c>
      <c r="B236" s="351" t="s">
        <v>3946</v>
      </c>
      <c r="C236" s="351" t="s">
        <v>4356</v>
      </c>
      <c r="D236" s="351" t="s">
        <v>4357</v>
      </c>
      <c r="E236" s="351" t="s">
        <v>4358</v>
      </c>
      <c r="F236" s="357" t="s">
        <v>4359</v>
      </c>
      <c r="G236" s="254"/>
      <c r="H236" s="256"/>
      <c r="I236" s="256"/>
      <c r="J236" s="256"/>
      <c r="K236" s="256"/>
      <c r="L236" s="256"/>
      <c r="M236" s="256"/>
      <c r="N236" s="256"/>
      <c r="O236" s="256"/>
      <c r="P236" s="256"/>
      <c r="Q236" s="256"/>
      <c r="R236" s="256"/>
      <c r="S236" s="256"/>
      <c r="T236" s="256"/>
      <c r="U236" s="256"/>
      <c r="V236" s="256"/>
      <c r="W236" s="256"/>
      <c r="X236" s="256"/>
      <c r="Y236" s="256"/>
      <c r="Z236" s="256"/>
    </row>
    <row r="237">
      <c r="A237" s="368">
        <v>43935.0</v>
      </c>
      <c r="B237" s="369" t="s">
        <v>4352</v>
      </c>
      <c r="C237" s="369" t="s">
        <v>4360</v>
      </c>
      <c r="D237" s="369" t="s">
        <v>4361</v>
      </c>
      <c r="E237" s="370" t="s">
        <v>4362</v>
      </c>
      <c r="F237" s="371" t="s">
        <v>4359</v>
      </c>
      <c r="G237" s="372"/>
      <c r="H237" s="373"/>
      <c r="I237" s="373"/>
      <c r="J237" s="373"/>
      <c r="K237" s="373"/>
      <c r="L237" s="373"/>
      <c r="M237" s="373"/>
      <c r="N237" s="373"/>
      <c r="O237" s="373"/>
      <c r="P237" s="373"/>
      <c r="Q237" s="373"/>
      <c r="R237" s="373"/>
      <c r="S237" s="373"/>
      <c r="T237" s="373"/>
      <c r="U237" s="373"/>
      <c r="V237" s="373"/>
      <c r="W237" s="373"/>
      <c r="X237" s="373"/>
      <c r="Y237" s="373"/>
      <c r="Z237" s="373"/>
    </row>
    <row r="238">
      <c r="A238" s="368">
        <v>43935.0</v>
      </c>
      <c r="B238" s="369" t="s">
        <v>4246</v>
      </c>
      <c r="C238" s="369" t="s">
        <v>4286</v>
      </c>
      <c r="D238" s="369" t="s">
        <v>4287</v>
      </c>
      <c r="E238" s="372">
        <v>9.71508769819E11</v>
      </c>
      <c r="F238" s="371" t="s">
        <v>4363</v>
      </c>
      <c r="G238" s="372"/>
      <c r="H238" s="373"/>
      <c r="I238" s="373"/>
      <c r="J238" s="373"/>
      <c r="K238" s="373"/>
      <c r="L238" s="373"/>
      <c r="M238" s="373"/>
      <c r="N238" s="373"/>
      <c r="O238" s="373"/>
      <c r="P238" s="373"/>
      <c r="Q238" s="373"/>
      <c r="R238" s="373"/>
      <c r="S238" s="373"/>
      <c r="T238" s="373"/>
      <c r="U238" s="373"/>
      <c r="V238" s="373"/>
      <c r="W238" s="373"/>
      <c r="X238" s="373"/>
      <c r="Y238" s="373"/>
      <c r="Z238" s="373"/>
    </row>
    <row r="239">
      <c r="A239" s="374">
        <v>43936.0</v>
      </c>
      <c r="B239" s="369" t="s">
        <v>4364</v>
      </c>
      <c r="C239" s="375" t="s">
        <v>4365</v>
      </c>
      <c r="D239" s="375" t="s">
        <v>4366</v>
      </c>
      <c r="E239" s="375">
        <v>9.6655363069E10</v>
      </c>
      <c r="F239" s="376" t="s">
        <v>4359</v>
      </c>
      <c r="G239" s="377"/>
      <c r="H239" s="256"/>
      <c r="I239" s="256"/>
      <c r="J239" s="256"/>
      <c r="K239" s="256"/>
      <c r="L239" s="256"/>
      <c r="M239" s="256"/>
      <c r="N239" s="256"/>
      <c r="O239" s="256"/>
      <c r="P239" s="256"/>
      <c r="Q239" s="256"/>
      <c r="R239" s="256"/>
      <c r="S239" s="256"/>
      <c r="T239" s="256"/>
      <c r="U239" s="256"/>
      <c r="V239" s="256"/>
      <c r="W239" s="256"/>
      <c r="X239" s="256"/>
      <c r="Y239" s="256"/>
      <c r="Z239" s="256"/>
    </row>
    <row r="240">
      <c r="A240" s="378">
        <v>43937.0</v>
      </c>
      <c r="B240" s="379" t="s">
        <v>4367</v>
      </c>
      <c r="C240" s="379" t="s">
        <v>4368</v>
      </c>
      <c r="D240" s="379" t="s">
        <v>4369</v>
      </c>
      <c r="E240" s="380" t="s">
        <v>4370</v>
      </c>
      <c r="F240" s="381" t="s">
        <v>4371</v>
      </c>
      <c r="G240" s="382"/>
      <c r="H240" s="383"/>
      <c r="I240" s="384"/>
      <c r="J240" s="384"/>
      <c r="K240" s="384"/>
      <c r="L240" s="384"/>
      <c r="M240" s="384"/>
      <c r="N240" s="384"/>
      <c r="O240" s="384"/>
      <c r="P240" s="384"/>
      <c r="Q240" s="384"/>
      <c r="R240" s="384"/>
      <c r="S240" s="384"/>
      <c r="T240" s="384"/>
      <c r="U240" s="384"/>
      <c r="V240" s="384"/>
      <c r="W240" s="384"/>
      <c r="X240" s="384"/>
      <c r="Y240" s="384"/>
      <c r="Z240" s="384"/>
    </row>
    <row r="241">
      <c r="A241" s="385">
        <v>43939.0</v>
      </c>
      <c r="B241" s="379" t="s">
        <v>4212</v>
      </c>
      <c r="C241" s="379" t="s">
        <v>4372</v>
      </c>
      <c r="D241" s="379" t="s">
        <v>4373</v>
      </c>
      <c r="E241" s="379">
        <f>+966592607968</f>
        <v>966592607968</v>
      </c>
      <c r="F241" s="381" t="s">
        <v>4374</v>
      </c>
      <c r="G241" s="382"/>
      <c r="H241" s="383"/>
      <c r="I241" s="384"/>
      <c r="J241" s="384"/>
      <c r="K241" s="384"/>
      <c r="L241" s="384"/>
      <c r="M241" s="384"/>
      <c r="N241" s="384"/>
      <c r="O241" s="384"/>
      <c r="P241" s="384"/>
      <c r="Q241" s="384"/>
      <c r="R241" s="384"/>
      <c r="S241" s="384"/>
      <c r="T241" s="384"/>
      <c r="U241" s="384"/>
      <c r="V241" s="384"/>
      <c r="W241" s="384"/>
      <c r="X241" s="384"/>
      <c r="Y241" s="384"/>
      <c r="Z241" s="384"/>
    </row>
    <row r="242" ht="18.75" customHeight="1">
      <c r="A242" s="385">
        <v>43939.0</v>
      </c>
      <c r="B242" s="379" t="s">
        <v>4212</v>
      </c>
      <c r="C242" s="379" t="s">
        <v>4375</v>
      </c>
      <c r="D242" s="379" t="s">
        <v>4376</v>
      </c>
      <c r="E242" s="379">
        <f>+9710506302489</f>
        <v>9710506302489</v>
      </c>
      <c r="F242" s="381" t="s">
        <v>4377</v>
      </c>
      <c r="G242" s="382"/>
      <c r="H242" s="383"/>
      <c r="I242" s="384"/>
      <c r="J242" s="384"/>
      <c r="K242" s="384"/>
      <c r="L242" s="384"/>
      <c r="M242" s="384"/>
      <c r="N242" s="384"/>
      <c r="O242" s="384"/>
      <c r="P242" s="384"/>
      <c r="Q242" s="384"/>
      <c r="R242" s="384"/>
      <c r="S242" s="384"/>
      <c r="T242" s="384"/>
      <c r="U242" s="384"/>
      <c r="V242" s="384"/>
      <c r="W242" s="384"/>
      <c r="X242" s="384"/>
      <c r="Y242" s="384"/>
      <c r="Z242" s="384"/>
    </row>
    <row r="243">
      <c r="A243" s="385">
        <v>43939.0</v>
      </c>
      <c r="B243" s="379" t="s">
        <v>4326</v>
      </c>
      <c r="C243" s="379" t="s">
        <v>4378</v>
      </c>
      <c r="D243" s="379" t="s">
        <v>4379</v>
      </c>
      <c r="E243" s="379">
        <f>+971561183508</f>
        <v>971561183508</v>
      </c>
      <c r="F243" s="381" t="s">
        <v>4380</v>
      </c>
      <c r="G243" s="382"/>
      <c r="H243" s="383"/>
      <c r="I243" s="384"/>
      <c r="J243" s="384"/>
      <c r="K243" s="384"/>
      <c r="L243" s="384"/>
      <c r="M243" s="384"/>
      <c r="N243" s="384"/>
      <c r="O243" s="384"/>
      <c r="P243" s="384"/>
      <c r="Q243" s="384"/>
      <c r="R243" s="384"/>
      <c r="S243" s="384"/>
      <c r="T243" s="384"/>
      <c r="U243" s="384"/>
      <c r="V243" s="384"/>
      <c r="W243" s="384"/>
      <c r="X243" s="384"/>
      <c r="Y243" s="384"/>
      <c r="Z243" s="384"/>
    </row>
    <row r="244" ht="16.5" customHeight="1">
      <c r="A244" s="385">
        <v>43939.0</v>
      </c>
      <c r="B244" s="379" t="s">
        <v>4326</v>
      </c>
      <c r="C244" s="379" t="s">
        <v>4381</v>
      </c>
      <c r="D244" s="379" t="s">
        <v>4382</v>
      </c>
      <c r="E244" s="379">
        <v>5.68032611E8</v>
      </c>
      <c r="F244" s="381" t="s">
        <v>4383</v>
      </c>
      <c r="G244" s="382"/>
      <c r="H244" s="383"/>
      <c r="I244" s="384"/>
      <c r="J244" s="384"/>
      <c r="K244" s="384"/>
      <c r="L244" s="384"/>
      <c r="M244" s="384"/>
      <c r="N244" s="384"/>
      <c r="O244" s="384"/>
      <c r="P244" s="384"/>
      <c r="Q244" s="384"/>
      <c r="R244" s="384"/>
      <c r="S244" s="384"/>
      <c r="T244" s="384"/>
      <c r="U244" s="384"/>
      <c r="V244" s="384"/>
      <c r="W244" s="384"/>
      <c r="X244" s="384"/>
      <c r="Y244" s="384"/>
      <c r="Z244" s="384"/>
    </row>
    <row r="245" ht="18.0" customHeight="1">
      <c r="A245" s="386">
        <v>43941.0</v>
      </c>
      <c r="B245" s="387" t="s">
        <v>4326</v>
      </c>
      <c r="C245" s="382" t="s">
        <v>4384</v>
      </c>
      <c r="D245" s="379" t="s">
        <v>4385</v>
      </c>
      <c r="E245" s="380" t="s">
        <v>4386</v>
      </c>
      <c r="F245" s="381" t="s">
        <v>4387</v>
      </c>
      <c r="G245" s="388"/>
      <c r="H245" s="389"/>
      <c r="I245" s="389"/>
      <c r="J245" s="389"/>
      <c r="K245" s="389"/>
      <c r="L245" s="389"/>
      <c r="M245" s="389"/>
      <c r="N245" s="389"/>
      <c r="O245" s="389"/>
      <c r="P245" s="389"/>
      <c r="Q245" s="389"/>
      <c r="R245" s="389"/>
      <c r="S245" s="389"/>
      <c r="T245" s="389"/>
      <c r="U245" s="389"/>
      <c r="V245" s="389"/>
      <c r="W245" s="389"/>
      <c r="X245" s="389"/>
      <c r="Y245" s="389"/>
      <c r="Z245" s="389"/>
    </row>
    <row r="246" ht="18.0" customHeight="1">
      <c r="A246" s="386">
        <v>43941.0</v>
      </c>
      <c r="B246" s="379" t="s">
        <v>4150</v>
      </c>
      <c r="C246" s="379" t="s">
        <v>4388</v>
      </c>
      <c r="D246" s="379" t="s">
        <v>4389</v>
      </c>
      <c r="E246" s="390">
        <v>9.71552903325E11</v>
      </c>
      <c r="F246" s="381" t="s">
        <v>4390</v>
      </c>
      <c r="G246" s="388"/>
      <c r="H246" s="389"/>
      <c r="I246" s="389"/>
      <c r="J246" s="389"/>
      <c r="K246" s="389"/>
      <c r="L246" s="389"/>
      <c r="M246" s="389"/>
      <c r="N246" s="389"/>
      <c r="O246" s="389"/>
      <c r="P246" s="389"/>
      <c r="Q246" s="389"/>
      <c r="R246" s="389"/>
      <c r="S246" s="389"/>
      <c r="T246" s="389"/>
      <c r="U246" s="389"/>
      <c r="V246" s="389"/>
      <c r="W246" s="389"/>
      <c r="X246" s="389"/>
      <c r="Y246" s="389"/>
      <c r="Z246" s="389"/>
    </row>
    <row r="247">
      <c r="A247" s="386">
        <v>43942.0</v>
      </c>
      <c r="B247" s="387" t="s">
        <v>4367</v>
      </c>
      <c r="C247" s="391" t="s">
        <v>4391</v>
      </c>
      <c r="D247" s="391" t="s">
        <v>4392</v>
      </c>
      <c r="E247" s="391">
        <v>9.15863528E9</v>
      </c>
      <c r="F247" s="392" t="s">
        <v>4393</v>
      </c>
      <c r="G247" s="388"/>
      <c r="H247" s="389"/>
      <c r="I247" s="389"/>
      <c r="J247" s="389"/>
      <c r="K247" s="389"/>
      <c r="L247" s="389"/>
      <c r="M247" s="389"/>
      <c r="N247" s="389"/>
      <c r="O247" s="389"/>
      <c r="P247" s="389"/>
      <c r="Q247" s="389"/>
      <c r="R247" s="389"/>
      <c r="S247" s="389"/>
      <c r="T247" s="389"/>
      <c r="U247" s="389"/>
      <c r="V247" s="389"/>
      <c r="W247" s="389"/>
      <c r="X247" s="389"/>
      <c r="Y247" s="389"/>
      <c r="Z247" s="389"/>
    </row>
    <row r="248">
      <c r="A248" s="386">
        <v>43942.0</v>
      </c>
      <c r="B248" s="387" t="s">
        <v>4394</v>
      </c>
      <c r="C248" s="391" t="s">
        <v>4395</v>
      </c>
      <c r="D248" s="391" t="s">
        <v>4396</v>
      </c>
      <c r="E248" s="391">
        <v>9.66544487002E11</v>
      </c>
      <c r="F248" s="392" t="s">
        <v>4397</v>
      </c>
      <c r="G248" s="388"/>
      <c r="H248" s="389"/>
      <c r="I248" s="389"/>
      <c r="J248" s="389"/>
      <c r="K248" s="389"/>
      <c r="L248" s="389"/>
      <c r="M248" s="389"/>
      <c r="N248" s="389"/>
      <c r="O248" s="389"/>
      <c r="P248" s="389"/>
      <c r="Q248" s="389"/>
      <c r="R248" s="389"/>
      <c r="S248" s="389"/>
      <c r="T248" s="389"/>
      <c r="U248" s="389"/>
      <c r="V248" s="389"/>
      <c r="W248" s="389"/>
      <c r="X248" s="389"/>
      <c r="Y248" s="389"/>
      <c r="Z248" s="389"/>
    </row>
    <row r="249">
      <c r="A249" s="368">
        <v>43944.0</v>
      </c>
      <c r="B249" s="393" t="s">
        <v>4398</v>
      </c>
      <c r="C249" s="394" t="s">
        <v>4399</v>
      </c>
      <c r="D249" s="394" t="s">
        <v>4400</v>
      </c>
      <c r="E249" s="395">
        <v>9.71501774523E11</v>
      </c>
      <c r="F249" s="396" t="s">
        <v>251</v>
      </c>
      <c r="G249" s="397"/>
      <c r="H249" s="398"/>
      <c r="J249" s="256"/>
      <c r="K249" s="256"/>
      <c r="L249" s="256"/>
      <c r="M249" s="256"/>
      <c r="N249" s="256"/>
      <c r="O249" s="256"/>
      <c r="P249" s="256"/>
      <c r="Q249" s="256"/>
      <c r="R249" s="256"/>
      <c r="S249" s="256"/>
      <c r="T249" s="256"/>
      <c r="U249" s="256"/>
      <c r="V249" s="256"/>
      <c r="W249" s="256"/>
      <c r="X249" s="256"/>
      <c r="Y249" s="256"/>
      <c r="Z249" s="256"/>
    </row>
    <row r="250">
      <c r="A250" s="368">
        <v>43944.0</v>
      </c>
      <c r="B250" s="393" t="s">
        <v>4398</v>
      </c>
      <c r="C250" s="394" t="s">
        <v>4401</v>
      </c>
      <c r="D250" s="394" t="s">
        <v>4402</v>
      </c>
      <c r="E250" s="395">
        <v>9.71505071077E11</v>
      </c>
      <c r="F250" s="396" t="s">
        <v>4403</v>
      </c>
      <c r="G250" s="397"/>
      <c r="H250" s="398"/>
      <c r="J250" s="256"/>
      <c r="K250" s="256"/>
      <c r="L250" s="256"/>
      <c r="M250" s="256"/>
      <c r="N250" s="256"/>
      <c r="O250" s="256"/>
      <c r="P250" s="256"/>
      <c r="Q250" s="256"/>
      <c r="R250" s="256"/>
      <c r="S250" s="256"/>
      <c r="T250" s="256"/>
      <c r="U250" s="256"/>
      <c r="V250" s="256"/>
      <c r="W250" s="256"/>
      <c r="X250" s="256"/>
      <c r="Y250" s="256"/>
      <c r="Z250" s="256"/>
    </row>
    <row r="251">
      <c r="A251" s="368">
        <v>43944.0</v>
      </c>
      <c r="B251" s="393" t="s">
        <v>4398</v>
      </c>
      <c r="C251" s="394" t="s">
        <v>4404</v>
      </c>
      <c r="D251" s="394" t="s">
        <v>4405</v>
      </c>
      <c r="E251" s="395">
        <v>8.80174019116E12</v>
      </c>
      <c r="F251" s="396" t="s">
        <v>4406</v>
      </c>
      <c r="G251" s="397"/>
      <c r="H251" s="398"/>
      <c r="J251" s="256"/>
      <c r="K251" s="256"/>
      <c r="L251" s="256"/>
      <c r="M251" s="256"/>
      <c r="N251" s="256"/>
      <c r="O251" s="256"/>
      <c r="P251" s="256"/>
      <c r="Q251" s="256"/>
      <c r="R251" s="256"/>
      <c r="S251" s="256"/>
      <c r="T251" s="256"/>
      <c r="U251" s="256"/>
      <c r="V251" s="256"/>
      <c r="W251" s="256"/>
      <c r="X251" s="256"/>
      <c r="Y251" s="256"/>
      <c r="Z251" s="256"/>
    </row>
    <row r="252">
      <c r="A252" s="399">
        <v>43947.0</v>
      </c>
      <c r="B252" s="400" t="s">
        <v>4407</v>
      </c>
      <c r="C252" s="401" t="s">
        <v>4408</v>
      </c>
      <c r="D252" s="401" t="s">
        <v>4409</v>
      </c>
      <c r="E252" s="401">
        <f>+393284217202</f>
        <v>393284217202</v>
      </c>
      <c r="F252" s="401"/>
      <c r="G252" s="256"/>
      <c r="H252" s="256"/>
      <c r="I252" s="256"/>
      <c r="J252" s="256"/>
      <c r="K252" s="256"/>
      <c r="L252" s="256"/>
      <c r="M252" s="256"/>
      <c r="N252" s="256"/>
      <c r="O252" s="256"/>
      <c r="P252" s="256"/>
      <c r="Q252" s="256"/>
      <c r="R252" s="256"/>
      <c r="S252" s="256"/>
      <c r="T252" s="256"/>
      <c r="U252" s="256"/>
      <c r="V252" s="256"/>
      <c r="W252" s="256"/>
      <c r="X252" s="256"/>
      <c r="Y252" s="256"/>
      <c r="Z252" s="256"/>
    </row>
    <row r="253">
      <c r="A253" s="402">
        <v>43948.0</v>
      </c>
      <c r="B253" s="403" t="s">
        <v>4410</v>
      </c>
      <c r="C253" s="404" t="s">
        <v>4411</v>
      </c>
      <c r="D253" s="404" t="s">
        <v>4412</v>
      </c>
      <c r="E253" s="404">
        <f>+37369296454</f>
        <v>37369296454</v>
      </c>
      <c r="F253" s="404"/>
      <c r="G253" s="256"/>
      <c r="H253" s="256"/>
      <c r="I253" s="256"/>
      <c r="J253" s="256"/>
      <c r="K253" s="256"/>
      <c r="L253" s="256"/>
      <c r="M253" s="256"/>
      <c r="N253" s="256"/>
      <c r="O253" s="256"/>
      <c r="P253" s="256"/>
      <c r="Q253" s="256"/>
      <c r="R253" s="256"/>
      <c r="S253" s="256"/>
      <c r="T253" s="256"/>
      <c r="U253" s="256"/>
      <c r="V253" s="256"/>
      <c r="W253" s="256"/>
      <c r="X253" s="256"/>
      <c r="Y253" s="256"/>
      <c r="Z253" s="256"/>
    </row>
    <row r="254">
      <c r="A254" s="402">
        <v>43949.0</v>
      </c>
      <c r="B254" s="404" t="s">
        <v>4246</v>
      </c>
      <c r="C254" s="404" t="s">
        <v>4413</v>
      </c>
      <c r="D254" s="404" t="s">
        <v>4414</v>
      </c>
      <c r="E254" s="404">
        <f>+971558766909</f>
        <v>971558766909</v>
      </c>
      <c r="F254" s="404"/>
      <c r="G254" s="256"/>
      <c r="H254" s="256"/>
      <c r="I254" s="256"/>
      <c r="J254" s="256"/>
      <c r="K254" s="256"/>
      <c r="L254" s="256"/>
      <c r="M254" s="256"/>
      <c r="N254" s="256"/>
      <c r="O254" s="256"/>
      <c r="P254" s="256"/>
      <c r="Q254" s="256"/>
      <c r="R254" s="256"/>
      <c r="S254" s="256"/>
      <c r="T254" s="256"/>
      <c r="U254" s="256"/>
      <c r="V254" s="256"/>
      <c r="W254" s="256"/>
      <c r="X254" s="256"/>
      <c r="Y254" s="256"/>
      <c r="Z254" s="256"/>
    </row>
    <row r="255">
      <c r="A255" s="402">
        <v>43950.0</v>
      </c>
      <c r="B255" s="405" t="s">
        <v>4415</v>
      </c>
      <c r="C255" s="406" t="s">
        <v>4416</v>
      </c>
      <c r="D255" s="406" t="s">
        <v>4417</v>
      </c>
      <c r="E255" s="406">
        <f>+380635397978</f>
        <v>380635397978</v>
      </c>
      <c r="F255" s="406"/>
      <c r="G255" s="256"/>
      <c r="H255" s="256"/>
      <c r="I255" s="256"/>
      <c r="J255" s="256"/>
      <c r="K255" s="256"/>
      <c r="L255" s="256"/>
      <c r="M255" s="256"/>
      <c r="N255" s="256"/>
      <c r="O255" s="256"/>
      <c r="P255" s="256"/>
      <c r="Q255" s="256"/>
      <c r="R255" s="256"/>
      <c r="S255" s="256"/>
      <c r="T255" s="256"/>
      <c r="U255" s="256"/>
      <c r="V255" s="256"/>
      <c r="W255" s="256"/>
      <c r="X255" s="256"/>
      <c r="Y255" s="256"/>
      <c r="Z255" s="256"/>
    </row>
    <row r="256">
      <c r="A256" s="402">
        <v>43951.0</v>
      </c>
      <c r="B256" s="401" t="s">
        <v>4410</v>
      </c>
      <c r="C256" s="404" t="s">
        <v>4418</v>
      </c>
      <c r="D256" s="404" t="s">
        <v>4419</v>
      </c>
      <c r="E256" s="404">
        <f>+359876805065</f>
        <v>359876805065</v>
      </c>
      <c r="F256" s="404"/>
      <c r="G256" s="256"/>
      <c r="H256" s="256"/>
      <c r="I256" s="256"/>
      <c r="J256" s="256"/>
      <c r="K256" s="256"/>
      <c r="L256" s="256"/>
      <c r="M256" s="256"/>
      <c r="N256" s="256"/>
      <c r="O256" s="256"/>
      <c r="P256" s="256"/>
      <c r="Q256" s="256"/>
      <c r="R256" s="256"/>
      <c r="S256" s="256"/>
      <c r="T256" s="256"/>
      <c r="U256" s="256"/>
      <c r="V256" s="256"/>
      <c r="W256" s="256"/>
      <c r="X256" s="256"/>
      <c r="Y256" s="256"/>
      <c r="Z256" s="256"/>
    </row>
    <row r="257">
      <c r="A257" s="407">
        <v>43941.0</v>
      </c>
      <c r="B257" s="408" t="s">
        <v>4420</v>
      </c>
      <c r="C257" s="401" t="s">
        <v>4421</v>
      </c>
      <c r="D257" s="401" t="s">
        <v>4422</v>
      </c>
      <c r="E257" s="401">
        <f>+966501469491</f>
        <v>966501469491</v>
      </c>
      <c r="F257" s="401"/>
      <c r="G257" s="256"/>
      <c r="H257" s="256"/>
      <c r="I257" s="256"/>
      <c r="J257" s="256"/>
      <c r="K257" s="256"/>
      <c r="L257" s="256"/>
      <c r="M257" s="256"/>
      <c r="N257" s="256"/>
      <c r="O257" s="256"/>
      <c r="P257" s="256"/>
      <c r="Q257" s="256"/>
      <c r="R257" s="256"/>
      <c r="S257" s="256"/>
      <c r="T257" s="256"/>
      <c r="U257" s="256"/>
      <c r="V257" s="256"/>
      <c r="W257" s="256"/>
      <c r="X257" s="256"/>
      <c r="Y257" s="256"/>
      <c r="Z257" s="256"/>
    </row>
    <row r="258">
      <c r="A258" s="409">
        <v>43942.0</v>
      </c>
      <c r="B258" s="408" t="s">
        <v>4150</v>
      </c>
      <c r="C258" s="404" t="s">
        <v>4423</v>
      </c>
      <c r="D258" s="404" t="s">
        <v>4424</v>
      </c>
      <c r="E258" s="410">
        <v>9.71528006073E11</v>
      </c>
      <c r="F258" s="411" t="s">
        <v>4425</v>
      </c>
      <c r="G258" s="256"/>
      <c r="H258" s="256"/>
      <c r="I258" s="256"/>
      <c r="J258" s="256"/>
      <c r="K258" s="256"/>
      <c r="L258" s="256"/>
      <c r="M258" s="256"/>
      <c r="N258" s="256"/>
      <c r="O258" s="256"/>
      <c r="P258" s="256"/>
      <c r="Q258" s="256"/>
      <c r="R258" s="256"/>
      <c r="S258" s="256"/>
      <c r="T258" s="256"/>
      <c r="U258" s="256"/>
      <c r="V258" s="256"/>
      <c r="W258" s="256"/>
      <c r="X258" s="256"/>
      <c r="Y258" s="256"/>
      <c r="Z258" s="256"/>
    </row>
    <row r="259">
      <c r="A259" s="407">
        <v>43944.0</v>
      </c>
      <c r="B259" s="408" t="s">
        <v>4150</v>
      </c>
      <c r="C259" s="404" t="s">
        <v>4426</v>
      </c>
      <c r="D259" s="404" t="s">
        <v>4427</v>
      </c>
      <c r="E259" s="410">
        <v>4.91722535606E11</v>
      </c>
      <c r="F259" s="410"/>
      <c r="G259" s="256"/>
      <c r="H259" s="256"/>
      <c r="I259" s="256"/>
      <c r="J259" s="256"/>
      <c r="K259" s="256"/>
      <c r="L259" s="256"/>
      <c r="M259" s="256"/>
      <c r="N259" s="256"/>
      <c r="O259" s="256"/>
      <c r="P259" s="256"/>
      <c r="Q259" s="256"/>
      <c r="R259" s="256"/>
      <c r="S259" s="256"/>
      <c r="T259" s="256"/>
      <c r="U259" s="256"/>
      <c r="V259" s="256"/>
      <c r="W259" s="256"/>
      <c r="X259" s="256"/>
      <c r="Y259" s="256"/>
      <c r="Z259" s="256"/>
    </row>
    <row r="260">
      <c r="A260" s="409">
        <v>43947.0</v>
      </c>
      <c r="B260" s="408" t="s">
        <v>4407</v>
      </c>
      <c r="C260" s="401" t="s">
        <v>4428</v>
      </c>
      <c r="D260" s="401" t="s">
        <v>4429</v>
      </c>
      <c r="E260" s="401">
        <f>+789163419035</f>
        <v>789163419035</v>
      </c>
      <c r="F260" s="401"/>
      <c r="G260" s="256"/>
      <c r="H260" s="256"/>
      <c r="I260" s="256"/>
      <c r="J260" s="256"/>
      <c r="K260" s="256"/>
      <c r="L260" s="256"/>
      <c r="M260" s="256"/>
      <c r="N260" s="256"/>
      <c r="O260" s="256"/>
      <c r="P260" s="256"/>
      <c r="Q260" s="256"/>
      <c r="R260" s="256"/>
      <c r="S260" s="256"/>
      <c r="T260" s="256"/>
      <c r="U260" s="256"/>
      <c r="V260" s="256"/>
      <c r="W260" s="256"/>
      <c r="X260" s="256"/>
      <c r="Y260" s="256"/>
      <c r="Z260" s="256"/>
    </row>
    <row r="261">
      <c r="A261" s="407">
        <v>43948.0</v>
      </c>
      <c r="B261" s="412" t="s">
        <v>4410</v>
      </c>
      <c r="C261" s="404" t="s">
        <v>4430</v>
      </c>
      <c r="D261" s="404" t="s">
        <v>4431</v>
      </c>
      <c r="E261" s="404">
        <f>+37256812252</f>
        <v>37256812252</v>
      </c>
      <c r="F261" s="404"/>
      <c r="G261" s="256"/>
      <c r="H261" s="256"/>
      <c r="I261" s="256"/>
      <c r="J261" s="256"/>
      <c r="K261" s="256"/>
      <c r="L261" s="256"/>
      <c r="M261" s="256"/>
      <c r="N261" s="256"/>
      <c r="O261" s="256"/>
      <c r="P261" s="256"/>
      <c r="Q261" s="256"/>
      <c r="R261" s="256"/>
      <c r="S261" s="256"/>
      <c r="T261" s="256"/>
      <c r="U261" s="256"/>
      <c r="V261" s="256"/>
      <c r="W261" s="256"/>
      <c r="X261" s="256"/>
      <c r="Y261" s="256"/>
      <c r="Z261" s="256"/>
    </row>
    <row r="262">
      <c r="A262" s="407">
        <v>43948.0</v>
      </c>
      <c r="B262" s="412" t="s">
        <v>4410</v>
      </c>
      <c r="C262" s="404" t="s">
        <v>4432</v>
      </c>
      <c r="D262" s="404" t="s">
        <v>4433</v>
      </c>
      <c r="E262" s="404">
        <f>+393409000878</f>
        <v>393409000878</v>
      </c>
      <c r="F262" s="413" t="s">
        <v>4434</v>
      </c>
      <c r="G262" s="256"/>
      <c r="H262" s="256"/>
      <c r="I262" s="256"/>
      <c r="J262" s="256"/>
      <c r="K262" s="256"/>
      <c r="L262" s="256"/>
      <c r="M262" s="256"/>
      <c r="N262" s="256"/>
      <c r="O262" s="256"/>
      <c r="P262" s="256"/>
      <c r="Q262" s="256"/>
      <c r="R262" s="256"/>
      <c r="S262" s="256"/>
      <c r="T262" s="256"/>
      <c r="U262" s="256"/>
      <c r="V262" s="256"/>
      <c r="W262" s="256"/>
      <c r="X262" s="256"/>
      <c r="Y262" s="256"/>
      <c r="Z262" s="256"/>
    </row>
    <row r="263">
      <c r="A263" s="402">
        <v>43951.0</v>
      </c>
      <c r="B263" s="401" t="s">
        <v>4410</v>
      </c>
      <c r="C263" s="404" t="s">
        <v>4435</v>
      </c>
      <c r="D263" s="404" t="s">
        <v>4436</v>
      </c>
      <c r="E263" s="404">
        <f>+380674432355</f>
        <v>380674432355</v>
      </c>
      <c r="F263" s="404"/>
      <c r="G263" s="17"/>
      <c r="H263" s="256"/>
      <c r="I263" s="256"/>
      <c r="J263" s="256"/>
      <c r="K263" s="256"/>
      <c r="L263" s="256"/>
      <c r="M263" s="256"/>
      <c r="N263" s="256"/>
      <c r="O263" s="256"/>
      <c r="P263" s="256"/>
      <c r="Q263" s="256"/>
      <c r="R263" s="256"/>
      <c r="S263" s="256"/>
      <c r="T263" s="256"/>
      <c r="U263" s="256"/>
      <c r="V263" s="256"/>
      <c r="W263" s="256"/>
      <c r="X263" s="256"/>
      <c r="Y263" s="256"/>
      <c r="Z263" s="256"/>
    </row>
    <row r="264">
      <c r="A264" s="414" t="s">
        <v>4437</v>
      </c>
      <c r="B264" s="398" t="s">
        <v>4410</v>
      </c>
      <c r="C264" s="404" t="s">
        <v>4438</v>
      </c>
      <c r="D264" s="398" t="s">
        <v>4439</v>
      </c>
      <c r="E264" s="404">
        <f>+79781358760</f>
        <v>79781358760</v>
      </c>
      <c r="F264" s="404" t="s">
        <v>3985</v>
      </c>
      <c r="G264" s="17"/>
      <c r="H264" s="256"/>
      <c r="I264" s="256"/>
      <c r="J264" s="256"/>
      <c r="K264" s="256"/>
      <c r="L264" s="256"/>
      <c r="M264" s="256"/>
      <c r="N264" s="256"/>
      <c r="O264" s="256"/>
      <c r="P264" s="256"/>
      <c r="Q264" s="256"/>
      <c r="R264" s="256"/>
      <c r="S264" s="256"/>
      <c r="T264" s="256"/>
      <c r="U264" s="256"/>
      <c r="V264" s="256"/>
      <c r="W264" s="256"/>
      <c r="X264" s="256"/>
      <c r="Y264" s="256"/>
      <c r="Z264" s="256"/>
    </row>
    <row r="265">
      <c r="A265" s="404" t="s">
        <v>4440</v>
      </c>
      <c r="B265" s="404" t="s">
        <v>4441</v>
      </c>
      <c r="C265" s="404" t="s">
        <v>4442</v>
      </c>
      <c r="D265" s="404" t="s">
        <v>4443</v>
      </c>
      <c r="E265" s="404">
        <f>+380633345566</f>
        <v>380633345566</v>
      </c>
      <c r="F265" s="404" t="s">
        <v>3985</v>
      </c>
      <c r="G265" s="17"/>
      <c r="H265" s="256"/>
      <c r="I265" s="256"/>
      <c r="J265" s="256"/>
      <c r="K265" s="256"/>
      <c r="L265" s="256"/>
      <c r="M265" s="256"/>
      <c r="N265" s="256"/>
      <c r="O265" s="256"/>
      <c r="P265" s="256"/>
      <c r="Q265" s="256"/>
      <c r="R265" s="256"/>
      <c r="S265" s="256"/>
      <c r="T265" s="256"/>
      <c r="U265" s="256"/>
      <c r="V265" s="256"/>
      <c r="W265" s="256"/>
      <c r="X265" s="256"/>
      <c r="Y265" s="256"/>
      <c r="Z265" s="256"/>
    </row>
    <row r="266">
      <c r="A266" s="404" t="s">
        <v>4440</v>
      </c>
      <c r="B266" s="404" t="s">
        <v>4441</v>
      </c>
      <c r="C266" s="404" t="s">
        <v>4444</v>
      </c>
      <c r="D266" s="404" t="s">
        <v>4445</v>
      </c>
      <c r="E266" s="404">
        <f>+77019999095</f>
        <v>77019999095</v>
      </c>
      <c r="F266" s="404" t="s">
        <v>4446</v>
      </c>
      <c r="G266" s="17"/>
      <c r="H266" s="256"/>
      <c r="I266" s="256"/>
      <c r="J266" s="256"/>
      <c r="K266" s="256"/>
      <c r="L266" s="256"/>
      <c r="M266" s="256"/>
      <c r="N266" s="256"/>
      <c r="O266" s="256"/>
      <c r="P266" s="256"/>
      <c r="Q266" s="256"/>
      <c r="R266" s="256"/>
      <c r="S266" s="256"/>
      <c r="T266" s="256"/>
      <c r="U266" s="256"/>
      <c r="V266" s="256"/>
      <c r="W266" s="256"/>
      <c r="X266" s="256"/>
      <c r="Y266" s="256"/>
      <c r="Z266" s="256"/>
    </row>
    <row r="267">
      <c r="A267" s="256"/>
      <c r="B267" s="256"/>
      <c r="C267" s="256"/>
      <c r="D267" s="256"/>
      <c r="E267" s="256"/>
      <c r="G267" s="256"/>
      <c r="H267" s="256"/>
      <c r="I267" s="256"/>
      <c r="J267" s="256"/>
      <c r="K267" s="256"/>
      <c r="L267" s="256"/>
      <c r="M267" s="256"/>
      <c r="N267" s="256"/>
      <c r="O267" s="256"/>
      <c r="P267" s="256"/>
      <c r="Q267" s="256"/>
      <c r="R267" s="256"/>
      <c r="S267" s="256"/>
      <c r="T267" s="256"/>
      <c r="U267" s="256"/>
      <c r="V267" s="256"/>
      <c r="W267" s="256"/>
      <c r="X267" s="256"/>
      <c r="Y267" s="256"/>
      <c r="Z267" s="256"/>
    </row>
    <row r="268">
      <c r="A268" s="256"/>
      <c r="B268" s="256"/>
      <c r="C268" s="256"/>
      <c r="D268" s="256"/>
      <c r="E268" s="256"/>
      <c r="F268" s="310"/>
      <c r="G268" s="256"/>
      <c r="H268" s="256"/>
      <c r="I268" s="256"/>
      <c r="J268" s="256"/>
      <c r="K268" s="256"/>
      <c r="L268" s="256"/>
      <c r="M268" s="256"/>
      <c r="N268" s="256"/>
      <c r="O268" s="256"/>
      <c r="P268" s="256"/>
      <c r="Q268" s="256"/>
      <c r="R268" s="256"/>
      <c r="S268" s="256"/>
      <c r="T268" s="256"/>
      <c r="U268" s="256"/>
      <c r="V268" s="256"/>
      <c r="W268" s="256"/>
      <c r="X268" s="256"/>
      <c r="Y268" s="256"/>
      <c r="Z268" s="256"/>
    </row>
    <row r="269">
      <c r="A269" s="256"/>
      <c r="B269" s="256"/>
      <c r="C269" s="256"/>
      <c r="D269" s="256"/>
      <c r="E269" s="256"/>
      <c r="F269" s="310"/>
      <c r="G269" s="256"/>
      <c r="H269" s="256"/>
      <c r="I269" s="256"/>
      <c r="J269" s="256"/>
      <c r="K269" s="256"/>
      <c r="L269" s="256"/>
      <c r="M269" s="256"/>
      <c r="N269" s="256"/>
      <c r="O269" s="256"/>
      <c r="P269" s="256"/>
      <c r="Q269" s="256"/>
      <c r="R269" s="256"/>
      <c r="S269" s="256"/>
      <c r="T269" s="256"/>
      <c r="U269" s="256"/>
      <c r="V269" s="256"/>
      <c r="W269" s="256"/>
      <c r="X269" s="256"/>
      <c r="Y269" s="256"/>
      <c r="Z269" s="256"/>
    </row>
    <row r="270">
      <c r="A270" s="256"/>
      <c r="B270" s="256"/>
      <c r="C270" s="256"/>
      <c r="D270" s="256"/>
      <c r="E270" s="256"/>
      <c r="F270" s="310"/>
      <c r="G270" s="256"/>
      <c r="H270" s="256"/>
      <c r="I270" s="256"/>
      <c r="J270" s="256"/>
      <c r="K270" s="256"/>
      <c r="L270" s="256"/>
      <c r="M270" s="256"/>
      <c r="N270" s="256"/>
      <c r="O270" s="256"/>
      <c r="P270" s="256"/>
      <c r="Q270" s="256"/>
      <c r="R270" s="256"/>
      <c r="S270" s="256"/>
      <c r="T270" s="256"/>
      <c r="U270" s="256"/>
      <c r="V270" s="256"/>
      <c r="W270" s="256"/>
      <c r="X270" s="256"/>
      <c r="Y270" s="256"/>
      <c r="Z270" s="256"/>
    </row>
    <row r="271">
      <c r="A271" s="256"/>
      <c r="B271" s="256"/>
      <c r="C271" s="256"/>
      <c r="D271" s="256"/>
      <c r="E271" s="256"/>
      <c r="F271" s="310"/>
      <c r="G271" s="256"/>
      <c r="H271" s="256"/>
      <c r="I271" s="256"/>
      <c r="J271" s="256"/>
      <c r="K271" s="256"/>
      <c r="L271" s="256"/>
      <c r="M271" s="256"/>
      <c r="N271" s="256"/>
      <c r="O271" s="256"/>
      <c r="P271" s="256"/>
      <c r="Q271" s="256"/>
      <c r="R271" s="256"/>
      <c r="S271" s="256"/>
      <c r="T271" s="256"/>
      <c r="U271" s="256"/>
      <c r="V271" s="256"/>
      <c r="W271" s="256"/>
      <c r="X271" s="256"/>
      <c r="Y271" s="256"/>
      <c r="Z271" s="256"/>
    </row>
    <row r="272">
      <c r="A272" s="256"/>
      <c r="B272" s="256"/>
      <c r="C272" s="256"/>
      <c r="D272" s="256"/>
      <c r="E272" s="256"/>
      <c r="F272" s="310"/>
      <c r="G272" s="256"/>
      <c r="H272" s="256"/>
      <c r="I272" s="256"/>
      <c r="J272" s="256"/>
      <c r="K272" s="256"/>
      <c r="L272" s="256"/>
      <c r="M272" s="256"/>
      <c r="N272" s="256"/>
      <c r="O272" s="256"/>
      <c r="P272" s="256"/>
      <c r="Q272" s="256"/>
      <c r="R272" s="256"/>
      <c r="S272" s="256"/>
      <c r="T272" s="256"/>
      <c r="U272" s="256"/>
      <c r="V272" s="256"/>
      <c r="W272" s="256"/>
      <c r="X272" s="256"/>
      <c r="Y272" s="256"/>
      <c r="Z272" s="256"/>
    </row>
    <row r="273">
      <c r="A273" s="256"/>
      <c r="B273" s="256"/>
      <c r="C273" s="256"/>
      <c r="D273" s="256"/>
      <c r="E273" s="256"/>
      <c r="F273" s="310"/>
      <c r="G273" s="256"/>
      <c r="H273" s="256"/>
      <c r="I273" s="256"/>
      <c r="J273" s="256"/>
      <c r="K273" s="256"/>
      <c r="L273" s="256"/>
      <c r="M273" s="256"/>
      <c r="N273" s="256"/>
      <c r="O273" s="256"/>
      <c r="P273" s="256"/>
      <c r="Q273" s="256"/>
      <c r="R273" s="256"/>
      <c r="S273" s="256"/>
      <c r="T273" s="256"/>
      <c r="U273" s="256"/>
      <c r="V273" s="256"/>
      <c r="W273" s="256"/>
      <c r="X273" s="256"/>
      <c r="Y273" s="256"/>
      <c r="Z273" s="256"/>
    </row>
    <row r="274">
      <c r="A274" s="256"/>
      <c r="B274" s="256"/>
      <c r="C274" s="256"/>
      <c r="D274" s="256"/>
      <c r="E274" s="256"/>
      <c r="F274" s="310"/>
      <c r="G274" s="256"/>
      <c r="H274" s="256"/>
      <c r="I274" s="256"/>
      <c r="J274" s="256"/>
      <c r="K274" s="256"/>
      <c r="L274" s="256"/>
      <c r="M274" s="256"/>
      <c r="N274" s="256"/>
      <c r="O274" s="256"/>
      <c r="P274" s="256"/>
      <c r="Q274" s="256"/>
      <c r="R274" s="256"/>
      <c r="S274" s="256"/>
      <c r="T274" s="256"/>
      <c r="U274" s="256"/>
      <c r="V274" s="256"/>
      <c r="W274" s="256"/>
      <c r="X274" s="256"/>
      <c r="Y274" s="256"/>
      <c r="Z274" s="256"/>
    </row>
    <row r="275">
      <c r="A275" s="256"/>
      <c r="B275" s="256"/>
      <c r="C275" s="256"/>
      <c r="D275" s="256"/>
      <c r="E275" s="256"/>
      <c r="F275" s="310"/>
      <c r="G275" s="256"/>
      <c r="H275" s="256"/>
      <c r="I275" s="256"/>
      <c r="J275" s="256"/>
      <c r="K275" s="256"/>
      <c r="L275" s="256"/>
      <c r="M275" s="256"/>
      <c r="N275" s="256"/>
      <c r="O275" s="256"/>
      <c r="P275" s="256"/>
      <c r="Q275" s="256"/>
      <c r="R275" s="256"/>
      <c r="S275" s="256"/>
      <c r="T275" s="256"/>
      <c r="U275" s="256"/>
      <c r="V275" s="256"/>
      <c r="W275" s="256"/>
      <c r="X275" s="256"/>
      <c r="Y275" s="256"/>
      <c r="Z275" s="256"/>
    </row>
    <row r="276">
      <c r="A276" s="256"/>
      <c r="B276" s="256"/>
      <c r="C276" s="256"/>
      <c r="D276" s="256"/>
      <c r="E276" s="256"/>
      <c r="F276" s="310"/>
      <c r="G276" s="256"/>
      <c r="H276" s="256"/>
      <c r="I276" s="256"/>
      <c r="J276" s="256"/>
      <c r="K276" s="256"/>
      <c r="L276" s="256"/>
      <c r="M276" s="256"/>
      <c r="N276" s="256"/>
      <c r="O276" s="256"/>
      <c r="P276" s="256"/>
      <c r="Q276" s="256"/>
      <c r="R276" s="256"/>
      <c r="S276" s="256"/>
      <c r="T276" s="256"/>
      <c r="U276" s="256"/>
      <c r="V276" s="256"/>
      <c r="W276" s="256"/>
      <c r="X276" s="256"/>
      <c r="Y276" s="256"/>
      <c r="Z276" s="256"/>
    </row>
    <row r="277">
      <c r="A277" s="256"/>
      <c r="B277" s="256"/>
      <c r="C277" s="256"/>
      <c r="D277" s="256"/>
      <c r="E277" s="256"/>
      <c r="F277" s="310"/>
      <c r="G277" s="256"/>
      <c r="H277" s="256"/>
      <c r="I277" s="256"/>
      <c r="J277" s="256"/>
      <c r="K277" s="256"/>
      <c r="L277" s="256"/>
      <c r="M277" s="256"/>
      <c r="N277" s="256"/>
      <c r="O277" s="256"/>
      <c r="P277" s="256"/>
      <c r="Q277" s="256"/>
      <c r="R277" s="256"/>
      <c r="S277" s="256"/>
      <c r="T277" s="256"/>
      <c r="U277" s="256"/>
      <c r="V277" s="256"/>
      <c r="W277" s="256"/>
      <c r="X277" s="256"/>
      <c r="Y277" s="256"/>
      <c r="Z277" s="256"/>
    </row>
    <row r="278">
      <c r="A278" s="256"/>
      <c r="B278" s="256"/>
      <c r="C278" s="256"/>
      <c r="D278" s="256"/>
      <c r="E278" s="256"/>
      <c r="F278" s="310"/>
      <c r="G278" s="256"/>
      <c r="H278" s="256"/>
      <c r="I278" s="256"/>
      <c r="J278" s="256"/>
      <c r="K278" s="256"/>
      <c r="L278" s="256"/>
      <c r="M278" s="256"/>
      <c r="N278" s="256"/>
      <c r="O278" s="256"/>
      <c r="P278" s="256"/>
      <c r="Q278" s="256"/>
      <c r="R278" s="256"/>
      <c r="S278" s="256"/>
      <c r="T278" s="256"/>
      <c r="U278" s="256"/>
      <c r="V278" s="256"/>
      <c r="W278" s="256"/>
      <c r="X278" s="256"/>
      <c r="Y278" s="256"/>
      <c r="Z278" s="256"/>
    </row>
    <row r="279">
      <c r="A279" s="256"/>
      <c r="B279" s="256"/>
      <c r="C279" s="256"/>
      <c r="D279" s="256"/>
      <c r="E279" s="256"/>
      <c r="F279" s="310"/>
      <c r="G279" s="256"/>
      <c r="H279" s="256"/>
      <c r="I279" s="256"/>
      <c r="J279" s="256"/>
      <c r="K279" s="256"/>
      <c r="L279" s="256"/>
      <c r="M279" s="256"/>
      <c r="N279" s="256"/>
      <c r="O279" s="256"/>
      <c r="P279" s="256"/>
      <c r="Q279" s="256"/>
      <c r="R279" s="256"/>
      <c r="S279" s="256"/>
      <c r="T279" s="256"/>
      <c r="U279" s="256"/>
      <c r="V279" s="256"/>
      <c r="W279" s="256"/>
      <c r="X279" s="256"/>
      <c r="Y279" s="256"/>
      <c r="Z279" s="256"/>
    </row>
    <row r="280">
      <c r="A280" s="256"/>
      <c r="B280" s="256"/>
      <c r="C280" s="256"/>
      <c r="D280" s="256"/>
      <c r="E280" s="256"/>
      <c r="F280" s="310"/>
      <c r="G280" s="256"/>
      <c r="H280" s="256"/>
      <c r="I280" s="256"/>
      <c r="J280" s="256"/>
      <c r="K280" s="256"/>
      <c r="L280" s="256"/>
      <c r="M280" s="256"/>
      <c r="N280" s="256"/>
      <c r="O280" s="256"/>
      <c r="P280" s="256"/>
      <c r="Q280" s="256"/>
      <c r="R280" s="256"/>
      <c r="S280" s="256"/>
      <c r="T280" s="256"/>
      <c r="U280" s="256"/>
      <c r="V280" s="256"/>
      <c r="W280" s="256"/>
      <c r="X280" s="256"/>
      <c r="Y280" s="256"/>
      <c r="Z280" s="256"/>
    </row>
    <row r="281">
      <c r="A281" s="256"/>
      <c r="B281" s="256"/>
      <c r="C281" s="256"/>
      <c r="D281" s="256"/>
      <c r="E281" s="256"/>
      <c r="F281" s="310"/>
      <c r="G281" s="256"/>
      <c r="H281" s="256"/>
      <c r="I281" s="256"/>
      <c r="J281" s="256"/>
      <c r="K281" s="256"/>
      <c r="L281" s="256"/>
      <c r="M281" s="256"/>
      <c r="N281" s="256"/>
      <c r="O281" s="256"/>
      <c r="P281" s="256"/>
      <c r="Q281" s="256"/>
      <c r="R281" s="256"/>
      <c r="S281" s="256"/>
      <c r="T281" s="256"/>
      <c r="U281" s="256"/>
      <c r="V281" s="256"/>
      <c r="W281" s="256"/>
      <c r="X281" s="256"/>
      <c r="Y281" s="256"/>
      <c r="Z281" s="256"/>
    </row>
    <row r="282">
      <c r="A282" s="256"/>
      <c r="B282" s="256"/>
      <c r="C282" s="256"/>
      <c r="D282" s="256"/>
      <c r="E282" s="256"/>
      <c r="F282" s="310"/>
      <c r="G282" s="256"/>
      <c r="H282" s="256"/>
      <c r="I282" s="256"/>
      <c r="J282" s="256"/>
      <c r="K282" s="256"/>
      <c r="L282" s="256"/>
      <c r="M282" s="256"/>
      <c r="N282" s="256"/>
      <c r="O282" s="256"/>
      <c r="P282" s="256"/>
      <c r="Q282" s="256"/>
      <c r="R282" s="256"/>
      <c r="S282" s="256"/>
      <c r="T282" s="256"/>
      <c r="U282" s="256"/>
      <c r="V282" s="256"/>
      <c r="W282" s="256"/>
      <c r="X282" s="256"/>
      <c r="Y282" s="256"/>
      <c r="Z282" s="256"/>
    </row>
    <row r="283">
      <c r="A283" s="256"/>
      <c r="B283" s="256"/>
      <c r="C283" s="256"/>
      <c r="D283" s="256"/>
      <c r="E283" s="256"/>
      <c r="F283" s="310"/>
      <c r="G283" s="256"/>
      <c r="H283" s="256"/>
      <c r="I283" s="256"/>
      <c r="J283" s="256"/>
      <c r="K283" s="256"/>
      <c r="L283" s="256"/>
      <c r="M283" s="256"/>
      <c r="N283" s="256"/>
      <c r="O283" s="256"/>
      <c r="P283" s="256"/>
      <c r="Q283" s="256"/>
      <c r="R283" s="256"/>
      <c r="S283" s="256"/>
      <c r="T283" s="256"/>
      <c r="U283" s="256"/>
      <c r="V283" s="256"/>
      <c r="W283" s="256"/>
      <c r="X283" s="256"/>
      <c r="Y283" s="256"/>
      <c r="Z283" s="256"/>
    </row>
    <row r="284">
      <c r="A284" s="256"/>
      <c r="B284" s="256"/>
      <c r="C284" s="256"/>
      <c r="D284" s="256"/>
      <c r="E284" s="256"/>
      <c r="F284" s="310"/>
      <c r="G284" s="256"/>
      <c r="H284" s="256"/>
      <c r="I284" s="256"/>
      <c r="J284" s="256"/>
      <c r="K284" s="256"/>
      <c r="L284" s="256"/>
      <c r="M284" s="256"/>
      <c r="N284" s="256"/>
      <c r="O284" s="256"/>
      <c r="P284" s="256"/>
      <c r="Q284" s="256"/>
      <c r="R284" s="256"/>
      <c r="S284" s="256"/>
      <c r="T284" s="256"/>
      <c r="U284" s="256"/>
      <c r="V284" s="256"/>
      <c r="W284" s="256"/>
      <c r="X284" s="256"/>
      <c r="Y284" s="256"/>
      <c r="Z284" s="256"/>
    </row>
    <row r="285">
      <c r="A285" s="256"/>
      <c r="B285" s="256"/>
      <c r="C285" s="256"/>
      <c r="D285" s="256"/>
      <c r="E285" s="256"/>
      <c r="F285" s="310"/>
      <c r="G285" s="256"/>
      <c r="H285" s="256"/>
      <c r="I285" s="256"/>
      <c r="J285" s="256"/>
      <c r="K285" s="256"/>
      <c r="L285" s="256"/>
      <c r="M285" s="256"/>
      <c r="N285" s="256"/>
      <c r="O285" s="256"/>
      <c r="P285" s="256"/>
      <c r="Q285" s="256"/>
      <c r="R285" s="256"/>
      <c r="S285" s="256"/>
      <c r="T285" s="256"/>
      <c r="U285" s="256"/>
      <c r="V285" s="256"/>
      <c r="W285" s="256"/>
      <c r="X285" s="256"/>
      <c r="Y285" s="256"/>
      <c r="Z285" s="256"/>
    </row>
    <row r="286">
      <c r="A286" s="256"/>
      <c r="B286" s="256"/>
      <c r="C286" s="256"/>
      <c r="D286" s="256"/>
      <c r="E286" s="256"/>
      <c r="F286" s="310"/>
      <c r="G286" s="256"/>
      <c r="H286" s="256"/>
      <c r="I286" s="256"/>
      <c r="J286" s="256"/>
      <c r="K286" s="256"/>
      <c r="L286" s="256"/>
      <c r="M286" s="256"/>
      <c r="N286" s="256"/>
      <c r="O286" s="256"/>
      <c r="P286" s="256"/>
      <c r="Q286" s="256"/>
      <c r="R286" s="256"/>
      <c r="S286" s="256"/>
      <c r="T286" s="256"/>
      <c r="U286" s="256"/>
      <c r="V286" s="256"/>
      <c r="W286" s="256"/>
      <c r="X286" s="256"/>
      <c r="Y286" s="256"/>
      <c r="Z286" s="256"/>
    </row>
    <row r="287">
      <c r="A287" s="256"/>
      <c r="B287" s="256"/>
      <c r="C287" s="256"/>
      <c r="D287" s="256"/>
      <c r="E287" s="256"/>
      <c r="F287" s="310"/>
      <c r="G287" s="256"/>
      <c r="H287" s="256"/>
      <c r="I287" s="256"/>
      <c r="J287" s="256"/>
      <c r="K287" s="256"/>
      <c r="L287" s="256"/>
      <c r="M287" s="256"/>
      <c r="N287" s="256"/>
      <c r="O287" s="256"/>
      <c r="P287" s="256"/>
      <c r="Q287" s="256"/>
      <c r="R287" s="256"/>
      <c r="S287" s="256"/>
      <c r="T287" s="256"/>
      <c r="U287" s="256"/>
      <c r="V287" s="256"/>
      <c r="W287" s="256"/>
      <c r="X287" s="256"/>
      <c r="Y287" s="256"/>
      <c r="Z287" s="256"/>
    </row>
    <row r="288">
      <c r="A288" s="256"/>
      <c r="B288" s="256"/>
      <c r="C288" s="256"/>
      <c r="D288" s="256"/>
      <c r="E288" s="256"/>
      <c r="F288" s="310"/>
      <c r="G288" s="256"/>
      <c r="H288" s="256"/>
      <c r="I288" s="256"/>
      <c r="J288" s="256"/>
      <c r="K288" s="256"/>
      <c r="L288" s="256"/>
      <c r="M288" s="256"/>
      <c r="N288" s="256"/>
      <c r="O288" s="256"/>
      <c r="P288" s="256"/>
      <c r="Q288" s="256"/>
      <c r="R288" s="256"/>
      <c r="S288" s="256"/>
      <c r="T288" s="256"/>
      <c r="U288" s="256"/>
      <c r="V288" s="256"/>
      <c r="W288" s="256"/>
      <c r="X288" s="256"/>
      <c r="Y288" s="256"/>
      <c r="Z288" s="256"/>
    </row>
    <row r="289">
      <c r="A289" s="256"/>
      <c r="B289" s="256"/>
      <c r="C289" s="256"/>
      <c r="D289" s="256"/>
      <c r="E289" s="256"/>
      <c r="F289" s="310"/>
      <c r="G289" s="256"/>
      <c r="H289" s="256"/>
      <c r="I289" s="256"/>
      <c r="J289" s="256"/>
      <c r="K289" s="256"/>
      <c r="L289" s="256"/>
      <c r="M289" s="256"/>
      <c r="N289" s="256"/>
      <c r="O289" s="256"/>
      <c r="P289" s="256"/>
      <c r="Q289" s="256"/>
      <c r="R289" s="256"/>
      <c r="S289" s="256"/>
      <c r="T289" s="256"/>
      <c r="U289" s="256"/>
      <c r="V289" s="256"/>
      <c r="W289" s="256"/>
      <c r="X289" s="256"/>
      <c r="Y289" s="256"/>
      <c r="Z289" s="256"/>
    </row>
    <row r="290">
      <c r="A290" s="256"/>
      <c r="B290" s="256"/>
      <c r="C290" s="256"/>
      <c r="D290" s="256"/>
      <c r="E290" s="256"/>
      <c r="F290" s="310"/>
      <c r="G290" s="256"/>
      <c r="H290" s="256"/>
      <c r="I290" s="256"/>
      <c r="J290" s="256"/>
      <c r="K290" s="256"/>
      <c r="L290" s="256"/>
      <c r="M290" s="256"/>
      <c r="N290" s="256"/>
      <c r="O290" s="256"/>
      <c r="P290" s="256"/>
      <c r="Q290" s="256"/>
      <c r="R290" s="256"/>
      <c r="S290" s="256"/>
      <c r="T290" s="256"/>
      <c r="U290" s="256"/>
      <c r="V290" s="256"/>
      <c r="W290" s="256"/>
      <c r="X290" s="256"/>
      <c r="Y290" s="256"/>
      <c r="Z290" s="256"/>
    </row>
    <row r="291">
      <c r="A291" s="256"/>
      <c r="B291" s="256"/>
      <c r="C291" s="256"/>
      <c r="D291" s="256"/>
      <c r="E291" s="256"/>
      <c r="F291" s="310"/>
      <c r="G291" s="256"/>
      <c r="H291" s="256"/>
      <c r="I291" s="256"/>
      <c r="J291" s="256"/>
      <c r="K291" s="256"/>
      <c r="L291" s="256"/>
      <c r="M291" s="256"/>
      <c r="N291" s="256"/>
      <c r="O291" s="256"/>
      <c r="P291" s="256"/>
      <c r="Q291" s="256"/>
      <c r="R291" s="256"/>
      <c r="S291" s="256"/>
      <c r="T291" s="256"/>
      <c r="U291" s="256"/>
      <c r="V291" s="256"/>
      <c r="W291" s="256"/>
      <c r="X291" s="256"/>
      <c r="Y291" s="256"/>
      <c r="Z291" s="256"/>
    </row>
    <row r="292">
      <c r="A292" s="256"/>
      <c r="B292" s="256"/>
      <c r="C292" s="256"/>
      <c r="D292" s="256"/>
      <c r="E292" s="256"/>
      <c r="F292" s="310"/>
      <c r="G292" s="256"/>
      <c r="H292" s="256"/>
      <c r="I292" s="256"/>
      <c r="J292" s="256"/>
      <c r="K292" s="256"/>
      <c r="L292" s="256"/>
      <c r="M292" s="256"/>
      <c r="N292" s="256"/>
      <c r="O292" s="256"/>
      <c r="P292" s="256"/>
      <c r="Q292" s="256"/>
      <c r="R292" s="256"/>
      <c r="S292" s="256"/>
      <c r="T292" s="256"/>
      <c r="U292" s="256"/>
      <c r="V292" s="256"/>
      <c r="W292" s="256"/>
      <c r="X292" s="256"/>
      <c r="Y292" s="256"/>
      <c r="Z292" s="256"/>
    </row>
    <row r="293">
      <c r="A293" s="256"/>
      <c r="B293" s="256"/>
      <c r="C293" s="256"/>
      <c r="D293" s="256"/>
      <c r="E293" s="256"/>
      <c r="F293" s="310"/>
      <c r="G293" s="256"/>
      <c r="H293" s="256"/>
      <c r="I293" s="256"/>
      <c r="J293" s="256"/>
      <c r="K293" s="256"/>
      <c r="L293" s="256"/>
      <c r="M293" s="256"/>
      <c r="N293" s="256"/>
      <c r="O293" s="256"/>
      <c r="P293" s="256"/>
      <c r="Q293" s="256"/>
      <c r="R293" s="256"/>
      <c r="S293" s="256"/>
      <c r="T293" s="256"/>
      <c r="U293" s="256"/>
      <c r="V293" s="256"/>
      <c r="W293" s="256"/>
      <c r="X293" s="256"/>
      <c r="Y293" s="256"/>
      <c r="Z293" s="256"/>
    </row>
    <row r="294">
      <c r="A294" s="256"/>
      <c r="B294" s="256"/>
      <c r="C294" s="256"/>
      <c r="D294" s="256"/>
      <c r="E294" s="256"/>
      <c r="F294" s="310"/>
      <c r="G294" s="256"/>
      <c r="H294" s="256"/>
      <c r="I294" s="256"/>
      <c r="J294" s="256"/>
      <c r="K294" s="256"/>
      <c r="L294" s="256"/>
      <c r="M294" s="256"/>
      <c r="N294" s="256"/>
      <c r="O294" s="256"/>
      <c r="P294" s="256"/>
      <c r="Q294" s="256"/>
      <c r="R294" s="256"/>
      <c r="S294" s="256"/>
      <c r="T294" s="256"/>
      <c r="U294" s="256"/>
      <c r="V294" s="256"/>
      <c r="W294" s="256"/>
      <c r="X294" s="256"/>
      <c r="Y294" s="256"/>
      <c r="Z294" s="256"/>
    </row>
    <row r="295">
      <c r="A295" s="256"/>
      <c r="B295" s="256"/>
      <c r="C295" s="256"/>
      <c r="D295" s="256"/>
      <c r="E295" s="256"/>
      <c r="F295" s="310"/>
      <c r="G295" s="256"/>
      <c r="H295" s="256"/>
      <c r="I295" s="256"/>
      <c r="J295" s="256"/>
      <c r="K295" s="256"/>
      <c r="L295" s="256"/>
      <c r="M295" s="256"/>
      <c r="N295" s="256"/>
      <c r="O295" s="256"/>
      <c r="P295" s="256"/>
      <c r="Q295" s="256"/>
      <c r="R295" s="256"/>
      <c r="S295" s="256"/>
      <c r="T295" s="256"/>
      <c r="U295" s="256"/>
      <c r="V295" s="256"/>
      <c r="W295" s="256"/>
      <c r="X295" s="256"/>
      <c r="Y295" s="256"/>
      <c r="Z295" s="256"/>
    </row>
    <row r="296">
      <c r="A296" s="256"/>
      <c r="B296" s="256"/>
      <c r="C296" s="256"/>
      <c r="D296" s="256"/>
      <c r="E296" s="256"/>
      <c r="F296" s="310"/>
      <c r="G296" s="256"/>
      <c r="H296" s="256"/>
      <c r="I296" s="256"/>
      <c r="J296" s="256"/>
      <c r="K296" s="256"/>
      <c r="L296" s="256"/>
      <c r="M296" s="256"/>
      <c r="N296" s="256"/>
      <c r="O296" s="256"/>
      <c r="P296" s="256"/>
      <c r="Q296" s="256"/>
      <c r="R296" s="256"/>
      <c r="S296" s="256"/>
      <c r="T296" s="256"/>
      <c r="U296" s="256"/>
      <c r="V296" s="256"/>
      <c r="W296" s="256"/>
      <c r="X296" s="256"/>
      <c r="Y296" s="256"/>
      <c r="Z296" s="256"/>
    </row>
    <row r="297">
      <c r="A297" s="256"/>
      <c r="B297" s="256"/>
      <c r="C297" s="256"/>
      <c r="D297" s="256"/>
      <c r="E297" s="256"/>
      <c r="F297" s="310"/>
      <c r="G297" s="256"/>
      <c r="H297" s="256"/>
      <c r="I297" s="256"/>
      <c r="J297" s="256"/>
      <c r="K297" s="256"/>
      <c r="L297" s="256"/>
      <c r="M297" s="256"/>
      <c r="N297" s="256"/>
      <c r="O297" s="256"/>
      <c r="P297" s="256"/>
      <c r="Q297" s="256"/>
      <c r="R297" s="256"/>
      <c r="S297" s="256"/>
      <c r="T297" s="256"/>
      <c r="U297" s="256"/>
      <c r="V297" s="256"/>
      <c r="W297" s="256"/>
      <c r="X297" s="256"/>
      <c r="Y297" s="256"/>
      <c r="Z297" s="256"/>
    </row>
    <row r="298">
      <c r="A298" s="256"/>
      <c r="B298" s="256"/>
      <c r="C298" s="256"/>
      <c r="D298" s="256"/>
      <c r="E298" s="256"/>
      <c r="F298" s="310"/>
      <c r="G298" s="256"/>
      <c r="H298" s="256"/>
      <c r="I298" s="256"/>
      <c r="J298" s="256"/>
      <c r="K298" s="256"/>
      <c r="L298" s="256"/>
      <c r="M298" s="256"/>
      <c r="N298" s="256"/>
      <c r="O298" s="256"/>
      <c r="P298" s="256"/>
      <c r="Q298" s="256"/>
      <c r="R298" s="256"/>
      <c r="S298" s="256"/>
      <c r="T298" s="256"/>
      <c r="U298" s="256"/>
      <c r="V298" s="256"/>
      <c r="W298" s="256"/>
      <c r="X298" s="256"/>
      <c r="Y298" s="256"/>
      <c r="Z298" s="256"/>
    </row>
    <row r="299">
      <c r="A299" s="256"/>
      <c r="B299" s="256"/>
      <c r="C299" s="256"/>
      <c r="D299" s="256"/>
      <c r="E299" s="256"/>
      <c r="F299" s="310"/>
      <c r="G299" s="256"/>
      <c r="H299" s="256"/>
      <c r="I299" s="256"/>
      <c r="J299" s="256"/>
      <c r="K299" s="256"/>
      <c r="L299" s="256"/>
      <c r="M299" s="256"/>
      <c r="N299" s="256"/>
      <c r="O299" s="256"/>
      <c r="P299" s="256"/>
      <c r="Q299" s="256"/>
      <c r="R299" s="256"/>
      <c r="S299" s="256"/>
      <c r="T299" s="256"/>
      <c r="U299" s="256"/>
      <c r="V299" s="256"/>
      <c r="W299" s="256"/>
      <c r="X299" s="256"/>
      <c r="Y299" s="256"/>
      <c r="Z299" s="256"/>
    </row>
    <row r="300">
      <c r="A300" s="256"/>
      <c r="B300" s="256"/>
      <c r="C300" s="256"/>
      <c r="D300" s="256"/>
      <c r="E300" s="256"/>
      <c r="F300" s="310"/>
      <c r="G300" s="256"/>
      <c r="H300" s="256"/>
      <c r="I300" s="256"/>
      <c r="J300" s="256"/>
      <c r="K300" s="256"/>
      <c r="L300" s="256"/>
      <c r="M300" s="256"/>
      <c r="N300" s="256"/>
      <c r="O300" s="256"/>
      <c r="P300" s="256"/>
      <c r="Q300" s="256"/>
      <c r="R300" s="256"/>
      <c r="S300" s="256"/>
      <c r="T300" s="256"/>
      <c r="U300" s="256"/>
      <c r="V300" s="256"/>
      <c r="W300" s="256"/>
      <c r="X300" s="256"/>
      <c r="Y300" s="256"/>
      <c r="Z300" s="256"/>
    </row>
    <row r="301">
      <c r="A301" s="256"/>
      <c r="B301" s="256"/>
      <c r="C301" s="256"/>
      <c r="D301" s="256"/>
      <c r="E301" s="256"/>
      <c r="F301" s="310"/>
      <c r="G301" s="256"/>
      <c r="H301" s="256"/>
      <c r="I301" s="256"/>
      <c r="J301" s="256"/>
      <c r="K301" s="256"/>
      <c r="L301" s="256"/>
      <c r="M301" s="256"/>
      <c r="N301" s="256"/>
      <c r="O301" s="256"/>
      <c r="P301" s="256"/>
      <c r="Q301" s="256"/>
      <c r="R301" s="256"/>
      <c r="S301" s="256"/>
      <c r="T301" s="256"/>
      <c r="U301" s="256"/>
      <c r="V301" s="256"/>
      <c r="W301" s="256"/>
      <c r="X301" s="256"/>
      <c r="Y301" s="256"/>
      <c r="Z301" s="256"/>
    </row>
    <row r="302">
      <c r="A302" s="256"/>
      <c r="B302" s="256"/>
      <c r="C302" s="256"/>
      <c r="D302" s="256"/>
      <c r="E302" s="256"/>
      <c r="F302" s="310"/>
      <c r="G302" s="256"/>
      <c r="H302" s="256"/>
      <c r="I302" s="256"/>
      <c r="J302" s="256"/>
      <c r="K302" s="256"/>
      <c r="L302" s="256"/>
      <c r="M302" s="256"/>
      <c r="N302" s="256"/>
      <c r="O302" s="256"/>
      <c r="P302" s="256"/>
      <c r="Q302" s="256"/>
      <c r="R302" s="256"/>
      <c r="S302" s="256"/>
      <c r="T302" s="256"/>
      <c r="U302" s="256"/>
      <c r="V302" s="256"/>
      <c r="W302" s="256"/>
      <c r="X302" s="256"/>
      <c r="Y302" s="256"/>
      <c r="Z302" s="256"/>
    </row>
    <row r="303">
      <c r="A303" s="256"/>
      <c r="B303" s="256"/>
      <c r="C303" s="256"/>
      <c r="D303" s="256"/>
      <c r="E303" s="256"/>
      <c r="F303" s="310"/>
      <c r="G303" s="256"/>
      <c r="H303" s="256"/>
      <c r="I303" s="256"/>
      <c r="J303" s="256"/>
      <c r="K303" s="256"/>
      <c r="L303" s="256"/>
      <c r="M303" s="256"/>
      <c r="N303" s="256"/>
      <c r="O303" s="256"/>
      <c r="P303" s="256"/>
      <c r="Q303" s="256"/>
      <c r="R303" s="256"/>
      <c r="S303" s="256"/>
      <c r="T303" s="256"/>
      <c r="U303" s="256"/>
      <c r="V303" s="256"/>
      <c r="W303" s="256"/>
      <c r="X303" s="256"/>
      <c r="Y303" s="256"/>
      <c r="Z303" s="256"/>
    </row>
    <row r="304">
      <c r="A304" s="256"/>
      <c r="B304" s="256"/>
      <c r="C304" s="256"/>
      <c r="D304" s="256"/>
      <c r="E304" s="256"/>
      <c r="F304" s="310"/>
      <c r="G304" s="256"/>
      <c r="H304" s="256"/>
      <c r="I304" s="256"/>
      <c r="J304" s="256"/>
      <c r="K304" s="256"/>
      <c r="L304" s="256"/>
      <c r="M304" s="256"/>
      <c r="N304" s="256"/>
      <c r="O304" s="256"/>
      <c r="P304" s="256"/>
      <c r="Q304" s="256"/>
      <c r="R304" s="256"/>
      <c r="S304" s="256"/>
      <c r="T304" s="256"/>
      <c r="U304" s="256"/>
      <c r="V304" s="256"/>
      <c r="W304" s="256"/>
      <c r="X304" s="256"/>
      <c r="Y304" s="256"/>
      <c r="Z304" s="256"/>
    </row>
    <row r="305">
      <c r="A305" s="256"/>
      <c r="B305" s="256"/>
      <c r="C305" s="256"/>
      <c r="D305" s="256"/>
      <c r="E305" s="256"/>
      <c r="F305" s="310"/>
      <c r="G305" s="256"/>
      <c r="H305" s="256"/>
      <c r="I305" s="256"/>
      <c r="J305" s="256"/>
      <c r="K305" s="256"/>
      <c r="L305" s="256"/>
      <c r="M305" s="256"/>
      <c r="N305" s="256"/>
      <c r="O305" s="256"/>
      <c r="P305" s="256"/>
      <c r="Q305" s="256"/>
      <c r="R305" s="256"/>
      <c r="S305" s="256"/>
      <c r="T305" s="256"/>
      <c r="U305" s="256"/>
      <c r="V305" s="256"/>
      <c r="W305" s="256"/>
      <c r="X305" s="256"/>
      <c r="Y305" s="256"/>
      <c r="Z305" s="256"/>
    </row>
    <row r="306">
      <c r="A306" s="256"/>
      <c r="B306" s="256"/>
      <c r="C306" s="256"/>
      <c r="D306" s="256"/>
      <c r="E306" s="256"/>
      <c r="F306" s="310"/>
      <c r="G306" s="256"/>
      <c r="H306" s="256"/>
      <c r="I306" s="256"/>
      <c r="J306" s="256"/>
      <c r="K306" s="256"/>
      <c r="L306" s="256"/>
      <c r="M306" s="256"/>
      <c r="N306" s="256"/>
      <c r="O306" s="256"/>
      <c r="P306" s="256"/>
      <c r="Q306" s="256"/>
      <c r="R306" s="256"/>
      <c r="S306" s="256"/>
      <c r="T306" s="256"/>
      <c r="U306" s="256"/>
      <c r="V306" s="256"/>
      <c r="W306" s="256"/>
      <c r="X306" s="256"/>
      <c r="Y306" s="256"/>
      <c r="Z306" s="256"/>
    </row>
    <row r="307">
      <c r="A307" s="256"/>
      <c r="B307" s="256"/>
      <c r="C307" s="256"/>
      <c r="D307" s="256"/>
      <c r="E307" s="256"/>
      <c r="F307" s="310"/>
      <c r="G307" s="256"/>
      <c r="H307" s="256"/>
      <c r="I307" s="256"/>
      <c r="J307" s="256"/>
      <c r="K307" s="256"/>
      <c r="L307" s="256"/>
      <c r="M307" s="256"/>
      <c r="N307" s="256"/>
      <c r="O307" s="256"/>
      <c r="P307" s="256"/>
      <c r="Q307" s="256"/>
      <c r="R307" s="256"/>
      <c r="S307" s="256"/>
      <c r="T307" s="256"/>
      <c r="U307" s="256"/>
      <c r="V307" s="256"/>
      <c r="W307" s="256"/>
      <c r="X307" s="256"/>
      <c r="Y307" s="256"/>
      <c r="Z307" s="256"/>
    </row>
    <row r="308">
      <c r="A308" s="256"/>
      <c r="B308" s="256"/>
      <c r="C308" s="256"/>
      <c r="D308" s="256"/>
      <c r="E308" s="256"/>
      <c r="F308" s="310"/>
      <c r="G308" s="256"/>
      <c r="H308" s="256"/>
      <c r="I308" s="256"/>
      <c r="J308" s="256"/>
      <c r="K308" s="256"/>
      <c r="L308" s="256"/>
      <c r="M308" s="256"/>
      <c r="N308" s="256"/>
      <c r="O308" s="256"/>
      <c r="P308" s="256"/>
      <c r="Q308" s="256"/>
      <c r="R308" s="256"/>
      <c r="S308" s="256"/>
      <c r="T308" s="256"/>
      <c r="U308" s="256"/>
      <c r="V308" s="256"/>
      <c r="W308" s="256"/>
      <c r="X308" s="256"/>
      <c r="Y308" s="256"/>
      <c r="Z308" s="256"/>
    </row>
    <row r="309">
      <c r="A309" s="256"/>
      <c r="B309" s="256"/>
      <c r="C309" s="256"/>
      <c r="D309" s="256"/>
      <c r="E309" s="256"/>
      <c r="F309" s="310"/>
      <c r="G309" s="256"/>
      <c r="H309" s="256"/>
      <c r="I309" s="256"/>
      <c r="J309" s="256"/>
      <c r="K309" s="256"/>
      <c r="L309" s="256"/>
      <c r="M309" s="256"/>
      <c r="N309" s="256"/>
      <c r="O309" s="256"/>
      <c r="P309" s="256"/>
      <c r="Q309" s="256"/>
      <c r="R309" s="256"/>
      <c r="S309" s="256"/>
      <c r="T309" s="256"/>
      <c r="U309" s="256"/>
      <c r="V309" s="256"/>
      <c r="W309" s="256"/>
      <c r="X309" s="256"/>
      <c r="Y309" s="256"/>
      <c r="Z309" s="256"/>
    </row>
    <row r="310">
      <c r="A310" s="256"/>
      <c r="B310" s="256"/>
      <c r="C310" s="256"/>
      <c r="D310" s="256"/>
      <c r="E310" s="256"/>
      <c r="F310" s="310"/>
      <c r="G310" s="256"/>
      <c r="H310" s="256"/>
      <c r="I310" s="256"/>
      <c r="J310" s="256"/>
      <c r="K310" s="256"/>
      <c r="L310" s="256"/>
      <c r="M310" s="256"/>
      <c r="N310" s="256"/>
      <c r="O310" s="256"/>
      <c r="P310" s="256"/>
      <c r="Q310" s="256"/>
      <c r="R310" s="256"/>
      <c r="S310" s="256"/>
      <c r="T310" s="256"/>
      <c r="U310" s="256"/>
      <c r="V310" s="256"/>
      <c r="W310" s="256"/>
      <c r="X310" s="256"/>
      <c r="Y310" s="256"/>
      <c r="Z310" s="256"/>
    </row>
    <row r="311">
      <c r="A311" s="256"/>
      <c r="B311" s="256"/>
      <c r="C311" s="256"/>
      <c r="D311" s="256"/>
      <c r="E311" s="256"/>
      <c r="F311" s="310"/>
      <c r="G311" s="256"/>
      <c r="H311" s="256"/>
      <c r="I311" s="256"/>
      <c r="J311" s="256"/>
      <c r="K311" s="256"/>
      <c r="L311" s="256"/>
      <c r="M311" s="256"/>
      <c r="N311" s="256"/>
      <c r="O311" s="256"/>
      <c r="P311" s="256"/>
      <c r="Q311" s="256"/>
      <c r="R311" s="256"/>
      <c r="S311" s="256"/>
      <c r="T311" s="256"/>
      <c r="U311" s="256"/>
      <c r="V311" s="256"/>
      <c r="W311" s="256"/>
      <c r="X311" s="256"/>
      <c r="Y311" s="256"/>
      <c r="Z311" s="256"/>
    </row>
    <row r="312">
      <c r="A312" s="256"/>
      <c r="B312" s="256"/>
      <c r="C312" s="256"/>
      <c r="D312" s="256"/>
      <c r="E312" s="256"/>
      <c r="F312" s="310"/>
      <c r="G312" s="256"/>
      <c r="H312" s="256"/>
      <c r="I312" s="256"/>
      <c r="J312" s="256"/>
      <c r="K312" s="256"/>
      <c r="L312" s="256"/>
      <c r="M312" s="256"/>
      <c r="N312" s="256"/>
      <c r="O312" s="256"/>
      <c r="P312" s="256"/>
      <c r="Q312" s="256"/>
      <c r="R312" s="256"/>
      <c r="S312" s="256"/>
      <c r="T312" s="256"/>
      <c r="U312" s="256"/>
      <c r="V312" s="256"/>
      <c r="W312" s="256"/>
      <c r="X312" s="256"/>
      <c r="Y312" s="256"/>
      <c r="Z312" s="256"/>
    </row>
    <row r="313">
      <c r="A313" s="256"/>
      <c r="B313" s="256"/>
      <c r="C313" s="256"/>
      <c r="D313" s="256"/>
      <c r="E313" s="256"/>
      <c r="F313" s="310"/>
      <c r="G313" s="256"/>
      <c r="H313" s="256"/>
      <c r="I313" s="256"/>
      <c r="J313" s="256"/>
      <c r="K313" s="256"/>
      <c r="L313" s="256"/>
      <c r="M313" s="256"/>
      <c r="N313" s="256"/>
      <c r="O313" s="256"/>
      <c r="P313" s="256"/>
      <c r="Q313" s="256"/>
      <c r="R313" s="256"/>
      <c r="S313" s="256"/>
      <c r="T313" s="256"/>
      <c r="U313" s="256"/>
      <c r="V313" s="256"/>
      <c r="W313" s="256"/>
      <c r="X313" s="256"/>
      <c r="Y313" s="256"/>
      <c r="Z313" s="256"/>
    </row>
    <row r="314">
      <c r="A314" s="256"/>
      <c r="B314" s="256"/>
      <c r="C314" s="256"/>
      <c r="D314" s="256"/>
      <c r="E314" s="256"/>
      <c r="F314" s="310"/>
      <c r="G314" s="256"/>
      <c r="H314" s="256"/>
      <c r="I314" s="256"/>
      <c r="J314" s="256"/>
      <c r="K314" s="256"/>
      <c r="L314" s="256"/>
      <c r="M314" s="256"/>
      <c r="N314" s="256"/>
      <c r="O314" s="256"/>
      <c r="P314" s="256"/>
      <c r="Q314" s="256"/>
      <c r="R314" s="256"/>
      <c r="S314" s="256"/>
      <c r="T314" s="256"/>
      <c r="U314" s="256"/>
      <c r="V314" s="256"/>
      <c r="W314" s="256"/>
      <c r="X314" s="256"/>
      <c r="Y314" s="256"/>
      <c r="Z314" s="256"/>
    </row>
    <row r="315">
      <c r="A315" s="256"/>
      <c r="B315" s="256"/>
      <c r="C315" s="256"/>
      <c r="D315" s="256"/>
      <c r="E315" s="256"/>
      <c r="F315" s="310"/>
      <c r="G315" s="256"/>
      <c r="H315" s="256"/>
      <c r="I315" s="256"/>
      <c r="J315" s="256"/>
      <c r="K315" s="256"/>
      <c r="L315" s="256"/>
      <c r="M315" s="256"/>
      <c r="N315" s="256"/>
      <c r="O315" s="256"/>
      <c r="P315" s="256"/>
      <c r="Q315" s="256"/>
      <c r="R315" s="256"/>
      <c r="S315" s="256"/>
      <c r="T315" s="256"/>
      <c r="U315" s="256"/>
      <c r="V315" s="256"/>
      <c r="W315" s="256"/>
      <c r="X315" s="256"/>
      <c r="Y315" s="256"/>
      <c r="Z315" s="256"/>
    </row>
    <row r="316">
      <c r="A316" s="256"/>
      <c r="B316" s="256"/>
      <c r="C316" s="256"/>
      <c r="D316" s="256"/>
      <c r="E316" s="256"/>
      <c r="F316" s="310"/>
      <c r="G316" s="256"/>
      <c r="H316" s="256"/>
      <c r="I316" s="256"/>
      <c r="J316" s="256"/>
      <c r="K316" s="256"/>
      <c r="L316" s="256"/>
      <c r="M316" s="256"/>
      <c r="N316" s="256"/>
      <c r="O316" s="256"/>
      <c r="P316" s="256"/>
      <c r="Q316" s="256"/>
      <c r="R316" s="256"/>
      <c r="S316" s="256"/>
      <c r="T316" s="256"/>
      <c r="U316" s="256"/>
      <c r="V316" s="256"/>
      <c r="W316" s="256"/>
      <c r="X316" s="256"/>
      <c r="Y316" s="256"/>
      <c r="Z316" s="256"/>
    </row>
    <row r="317">
      <c r="A317" s="256"/>
      <c r="B317" s="256"/>
      <c r="C317" s="256"/>
      <c r="D317" s="256"/>
      <c r="E317" s="256"/>
      <c r="F317" s="310"/>
      <c r="G317" s="256"/>
      <c r="H317" s="256"/>
      <c r="I317" s="256"/>
      <c r="J317" s="256"/>
      <c r="K317" s="256"/>
      <c r="L317" s="256"/>
      <c r="M317" s="256"/>
      <c r="N317" s="256"/>
      <c r="O317" s="256"/>
      <c r="P317" s="256"/>
      <c r="Q317" s="256"/>
      <c r="R317" s="256"/>
      <c r="S317" s="256"/>
      <c r="T317" s="256"/>
      <c r="U317" s="256"/>
      <c r="V317" s="256"/>
      <c r="W317" s="256"/>
      <c r="X317" s="256"/>
      <c r="Y317" s="256"/>
      <c r="Z317" s="256"/>
    </row>
    <row r="318">
      <c r="A318" s="256"/>
      <c r="B318" s="256"/>
      <c r="C318" s="256"/>
      <c r="D318" s="256"/>
      <c r="E318" s="256"/>
      <c r="F318" s="310"/>
      <c r="G318" s="256"/>
      <c r="H318" s="256"/>
      <c r="I318" s="256"/>
      <c r="J318" s="256"/>
      <c r="K318" s="256"/>
      <c r="L318" s="256"/>
      <c r="M318" s="256"/>
      <c r="N318" s="256"/>
      <c r="O318" s="256"/>
      <c r="P318" s="256"/>
      <c r="Q318" s="256"/>
      <c r="R318" s="256"/>
      <c r="S318" s="256"/>
      <c r="T318" s="256"/>
      <c r="U318" s="256"/>
      <c r="V318" s="256"/>
      <c r="W318" s="256"/>
      <c r="X318" s="256"/>
      <c r="Y318" s="256"/>
      <c r="Z318" s="256"/>
    </row>
    <row r="319">
      <c r="A319" s="256"/>
      <c r="B319" s="256"/>
      <c r="C319" s="256"/>
      <c r="D319" s="256"/>
      <c r="E319" s="256"/>
      <c r="F319" s="310"/>
      <c r="G319" s="256"/>
      <c r="H319" s="256"/>
      <c r="I319" s="256"/>
      <c r="J319" s="256"/>
      <c r="K319" s="256"/>
      <c r="L319" s="256"/>
      <c r="M319" s="256"/>
      <c r="N319" s="256"/>
      <c r="O319" s="256"/>
      <c r="P319" s="256"/>
      <c r="Q319" s="256"/>
      <c r="R319" s="256"/>
      <c r="S319" s="256"/>
      <c r="T319" s="256"/>
      <c r="U319" s="256"/>
      <c r="V319" s="256"/>
      <c r="W319" s="256"/>
      <c r="X319" s="256"/>
      <c r="Y319" s="256"/>
      <c r="Z319" s="256"/>
    </row>
    <row r="320">
      <c r="A320" s="256"/>
      <c r="B320" s="256"/>
      <c r="C320" s="256"/>
      <c r="D320" s="256"/>
      <c r="E320" s="256"/>
      <c r="F320" s="310"/>
      <c r="G320" s="256"/>
      <c r="H320" s="256"/>
      <c r="I320" s="256"/>
      <c r="J320" s="256"/>
      <c r="K320" s="256"/>
      <c r="L320" s="256"/>
      <c r="M320" s="256"/>
      <c r="N320" s="256"/>
      <c r="O320" s="256"/>
      <c r="P320" s="256"/>
      <c r="Q320" s="256"/>
      <c r="R320" s="256"/>
      <c r="S320" s="256"/>
      <c r="T320" s="256"/>
      <c r="U320" s="256"/>
      <c r="V320" s="256"/>
      <c r="W320" s="256"/>
      <c r="X320" s="256"/>
      <c r="Y320" s="256"/>
      <c r="Z320" s="256"/>
    </row>
    <row r="321">
      <c r="A321" s="256"/>
      <c r="B321" s="256"/>
      <c r="C321" s="256"/>
      <c r="D321" s="256"/>
      <c r="E321" s="256"/>
      <c r="F321" s="310"/>
      <c r="G321" s="256"/>
      <c r="H321" s="256"/>
      <c r="I321" s="256"/>
      <c r="J321" s="256"/>
      <c r="K321" s="256"/>
      <c r="L321" s="256"/>
      <c r="M321" s="256"/>
      <c r="N321" s="256"/>
      <c r="O321" s="256"/>
      <c r="P321" s="256"/>
      <c r="Q321" s="256"/>
      <c r="R321" s="256"/>
      <c r="S321" s="256"/>
      <c r="T321" s="256"/>
      <c r="U321" s="256"/>
      <c r="V321" s="256"/>
      <c r="W321" s="256"/>
      <c r="X321" s="256"/>
      <c r="Y321" s="256"/>
      <c r="Z321" s="256"/>
    </row>
    <row r="322">
      <c r="A322" s="256"/>
      <c r="B322" s="256"/>
      <c r="C322" s="256"/>
      <c r="D322" s="256"/>
      <c r="E322" s="256"/>
      <c r="F322" s="310"/>
      <c r="G322" s="256"/>
      <c r="H322" s="256"/>
      <c r="I322" s="256"/>
      <c r="J322" s="256"/>
      <c r="K322" s="256"/>
      <c r="L322" s="256"/>
      <c r="M322" s="256"/>
      <c r="N322" s="256"/>
      <c r="O322" s="256"/>
      <c r="P322" s="256"/>
      <c r="Q322" s="256"/>
      <c r="R322" s="256"/>
      <c r="S322" s="256"/>
      <c r="T322" s="256"/>
      <c r="U322" s="256"/>
      <c r="V322" s="256"/>
      <c r="W322" s="256"/>
      <c r="X322" s="256"/>
      <c r="Y322" s="256"/>
      <c r="Z322" s="256"/>
    </row>
    <row r="323">
      <c r="A323" s="256"/>
      <c r="B323" s="256"/>
      <c r="C323" s="256"/>
      <c r="D323" s="256"/>
      <c r="E323" s="256"/>
      <c r="F323" s="310"/>
      <c r="G323" s="256"/>
      <c r="H323" s="256"/>
      <c r="I323" s="256"/>
      <c r="J323" s="256"/>
      <c r="K323" s="256"/>
      <c r="L323" s="256"/>
      <c r="M323" s="256"/>
      <c r="N323" s="256"/>
      <c r="O323" s="256"/>
      <c r="P323" s="256"/>
      <c r="Q323" s="256"/>
      <c r="R323" s="256"/>
      <c r="S323" s="256"/>
      <c r="T323" s="256"/>
      <c r="U323" s="256"/>
      <c r="V323" s="256"/>
      <c r="W323" s="256"/>
      <c r="X323" s="256"/>
      <c r="Y323" s="256"/>
      <c r="Z323" s="256"/>
    </row>
    <row r="324">
      <c r="A324" s="256"/>
      <c r="B324" s="256"/>
      <c r="C324" s="256"/>
      <c r="D324" s="256"/>
      <c r="E324" s="256"/>
      <c r="F324" s="310"/>
      <c r="G324" s="256"/>
      <c r="H324" s="256"/>
      <c r="I324" s="256"/>
      <c r="J324" s="256"/>
      <c r="K324" s="256"/>
      <c r="L324" s="256"/>
      <c r="M324" s="256"/>
      <c r="N324" s="256"/>
      <c r="O324" s="256"/>
      <c r="P324" s="256"/>
      <c r="Q324" s="256"/>
      <c r="R324" s="256"/>
      <c r="S324" s="256"/>
      <c r="T324" s="256"/>
      <c r="U324" s="256"/>
      <c r="V324" s="256"/>
      <c r="W324" s="256"/>
      <c r="X324" s="256"/>
      <c r="Y324" s="256"/>
      <c r="Z324" s="256"/>
    </row>
    <row r="325">
      <c r="A325" s="256"/>
      <c r="B325" s="256"/>
      <c r="C325" s="256"/>
      <c r="D325" s="256"/>
      <c r="E325" s="256"/>
      <c r="F325" s="310"/>
      <c r="G325" s="256"/>
      <c r="H325" s="256"/>
      <c r="I325" s="256"/>
      <c r="J325" s="256"/>
      <c r="K325" s="256"/>
      <c r="L325" s="256"/>
      <c r="M325" s="256"/>
      <c r="N325" s="256"/>
      <c r="O325" s="256"/>
      <c r="P325" s="256"/>
      <c r="Q325" s="256"/>
      <c r="R325" s="256"/>
      <c r="S325" s="256"/>
      <c r="T325" s="256"/>
      <c r="U325" s="256"/>
      <c r="V325" s="256"/>
      <c r="W325" s="256"/>
      <c r="X325" s="256"/>
      <c r="Y325" s="256"/>
      <c r="Z325" s="256"/>
    </row>
    <row r="326">
      <c r="A326" s="256"/>
      <c r="B326" s="256"/>
      <c r="C326" s="256"/>
      <c r="D326" s="256"/>
      <c r="E326" s="256"/>
      <c r="F326" s="310"/>
      <c r="G326" s="256"/>
      <c r="H326" s="256"/>
      <c r="I326" s="256"/>
      <c r="J326" s="256"/>
      <c r="K326" s="256"/>
      <c r="L326" s="256"/>
      <c r="M326" s="256"/>
      <c r="N326" s="256"/>
      <c r="O326" s="256"/>
      <c r="P326" s="256"/>
      <c r="Q326" s="256"/>
      <c r="R326" s="256"/>
      <c r="S326" s="256"/>
      <c r="T326" s="256"/>
      <c r="U326" s="256"/>
      <c r="V326" s="256"/>
      <c r="W326" s="256"/>
      <c r="X326" s="256"/>
      <c r="Y326" s="256"/>
      <c r="Z326" s="256"/>
    </row>
    <row r="327">
      <c r="A327" s="256"/>
      <c r="B327" s="256"/>
      <c r="C327" s="256"/>
      <c r="D327" s="256"/>
      <c r="E327" s="256"/>
      <c r="F327" s="310"/>
      <c r="G327" s="256"/>
      <c r="H327" s="256"/>
      <c r="I327" s="256"/>
      <c r="J327" s="256"/>
      <c r="K327" s="256"/>
      <c r="L327" s="256"/>
      <c r="M327" s="256"/>
      <c r="N327" s="256"/>
      <c r="O327" s="256"/>
      <c r="P327" s="256"/>
      <c r="Q327" s="256"/>
      <c r="R327" s="256"/>
      <c r="S327" s="256"/>
      <c r="T327" s="256"/>
      <c r="U327" s="256"/>
      <c r="V327" s="256"/>
      <c r="W327" s="256"/>
      <c r="X327" s="256"/>
      <c r="Y327" s="256"/>
      <c r="Z327" s="256"/>
    </row>
    <row r="328">
      <c r="A328" s="256"/>
      <c r="B328" s="256"/>
      <c r="C328" s="256"/>
      <c r="D328" s="256"/>
      <c r="E328" s="256"/>
      <c r="F328" s="310"/>
      <c r="G328" s="256"/>
      <c r="H328" s="256"/>
      <c r="I328" s="256"/>
      <c r="J328" s="256"/>
      <c r="K328" s="256"/>
      <c r="L328" s="256"/>
      <c r="M328" s="256"/>
      <c r="N328" s="256"/>
      <c r="O328" s="256"/>
      <c r="P328" s="256"/>
      <c r="Q328" s="256"/>
      <c r="R328" s="256"/>
      <c r="S328" s="256"/>
      <c r="T328" s="256"/>
      <c r="U328" s="256"/>
      <c r="V328" s="256"/>
      <c r="W328" s="256"/>
      <c r="X328" s="256"/>
      <c r="Y328" s="256"/>
      <c r="Z328" s="256"/>
    </row>
    <row r="329">
      <c r="A329" s="256"/>
      <c r="B329" s="256"/>
      <c r="C329" s="256"/>
      <c r="D329" s="256"/>
      <c r="E329" s="256"/>
      <c r="F329" s="310"/>
      <c r="G329" s="256"/>
      <c r="H329" s="256"/>
      <c r="I329" s="256"/>
      <c r="J329" s="256"/>
      <c r="K329" s="256"/>
      <c r="L329" s="256"/>
      <c r="M329" s="256"/>
      <c r="N329" s="256"/>
      <c r="O329" s="256"/>
      <c r="P329" s="256"/>
      <c r="Q329" s="256"/>
      <c r="R329" s="256"/>
      <c r="S329" s="256"/>
      <c r="T329" s="256"/>
      <c r="U329" s="256"/>
      <c r="V329" s="256"/>
      <c r="W329" s="256"/>
      <c r="X329" s="256"/>
      <c r="Y329" s="256"/>
      <c r="Z329" s="256"/>
    </row>
    <row r="330">
      <c r="A330" s="256"/>
      <c r="B330" s="256"/>
      <c r="C330" s="256"/>
      <c r="D330" s="256"/>
      <c r="E330" s="256"/>
      <c r="F330" s="310"/>
      <c r="G330" s="256"/>
      <c r="H330" s="256"/>
      <c r="I330" s="256"/>
      <c r="J330" s="256"/>
      <c r="K330" s="256"/>
      <c r="L330" s="256"/>
      <c r="M330" s="256"/>
      <c r="N330" s="256"/>
      <c r="O330" s="256"/>
      <c r="P330" s="256"/>
      <c r="Q330" s="256"/>
      <c r="R330" s="256"/>
      <c r="S330" s="256"/>
      <c r="T330" s="256"/>
      <c r="U330" s="256"/>
      <c r="V330" s="256"/>
      <c r="W330" s="256"/>
      <c r="X330" s="256"/>
      <c r="Y330" s="256"/>
      <c r="Z330" s="256"/>
    </row>
    <row r="331">
      <c r="A331" s="256"/>
      <c r="B331" s="256"/>
      <c r="C331" s="256"/>
      <c r="D331" s="256"/>
      <c r="E331" s="256"/>
      <c r="F331" s="310"/>
      <c r="G331" s="256"/>
      <c r="H331" s="256"/>
      <c r="I331" s="256"/>
      <c r="J331" s="256"/>
      <c r="K331" s="256"/>
      <c r="L331" s="256"/>
      <c r="M331" s="256"/>
      <c r="N331" s="256"/>
      <c r="O331" s="256"/>
      <c r="P331" s="256"/>
      <c r="Q331" s="256"/>
      <c r="R331" s="256"/>
      <c r="S331" s="256"/>
      <c r="T331" s="256"/>
      <c r="U331" s="256"/>
      <c r="V331" s="256"/>
      <c r="W331" s="256"/>
      <c r="X331" s="256"/>
      <c r="Y331" s="256"/>
      <c r="Z331" s="256"/>
    </row>
    <row r="332">
      <c r="A332" s="256"/>
      <c r="B332" s="256"/>
      <c r="C332" s="256"/>
      <c r="D332" s="256"/>
      <c r="E332" s="256"/>
      <c r="F332" s="310"/>
      <c r="G332" s="256"/>
      <c r="H332" s="256"/>
      <c r="I332" s="256"/>
      <c r="J332" s="256"/>
      <c r="K332" s="256"/>
      <c r="L332" s="256"/>
      <c r="M332" s="256"/>
      <c r="N332" s="256"/>
      <c r="O332" s="256"/>
      <c r="P332" s="256"/>
      <c r="Q332" s="256"/>
      <c r="R332" s="256"/>
      <c r="S332" s="256"/>
      <c r="T332" s="256"/>
      <c r="U332" s="256"/>
      <c r="V332" s="256"/>
      <c r="W332" s="256"/>
      <c r="X332" s="256"/>
      <c r="Y332" s="256"/>
      <c r="Z332" s="256"/>
    </row>
    <row r="333">
      <c r="A333" s="256"/>
      <c r="B333" s="256"/>
      <c r="C333" s="256"/>
      <c r="D333" s="256"/>
      <c r="E333" s="256"/>
      <c r="F333" s="310"/>
      <c r="G333" s="256"/>
      <c r="H333" s="256"/>
      <c r="I333" s="256"/>
      <c r="J333" s="256"/>
      <c r="K333" s="256"/>
      <c r="L333" s="256"/>
      <c r="M333" s="256"/>
      <c r="N333" s="256"/>
      <c r="O333" s="256"/>
      <c r="P333" s="256"/>
      <c r="Q333" s="256"/>
      <c r="R333" s="256"/>
      <c r="S333" s="256"/>
      <c r="T333" s="256"/>
      <c r="U333" s="256"/>
      <c r="V333" s="256"/>
      <c r="W333" s="256"/>
      <c r="X333" s="256"/>
      <c r="Y333" s="256"/>
      <c r="Z333" s="256"/>
    </row>
    <row r="334">
      <c r="A334" s="256"/>
      <c r="B334" s="256"/>
      <c r="C334" s="256"/>
      <c r="D334" s="256"/>
      <c r="E334" s="256"/>
      <c r="F334" s="310"/>
      <c r="G334" s="256"/>
      <c r="H334" s="256"/>
      <c r="I334" s="256"/>
      <c r="J334" s="256"/>
      <c r="K334" s="256"/>
      <c r="L334" s="256"/>
      <c r="M334" s="256"/>
      <c r="N334" s="256"/>
      <c r="O334" s="256"/>
      <c r="P334" s="256"/>
      <c r="Q334" s="256"/>
      <c r="R334" s="256"/>
      <c r="S334" s="256"/>
      <c r="T334" s="256"/>
      <c r="U334" s="256"/>
      <c r="V334" s="256"/>
      <c r="W334" s="256"/>
      <c r="X334" s="256"/>
      <c r="Y334" s="256"/>
      <c r="Z334" s="256"/>
    </row>
    <row r="335">
      <c r="A335" s="256"/>
      <c r="B335" s="256"/>
      <c r="C335" s="256"/>
      <c r="D335" s="256"/>
      <c r="E335" s="256"/>
      <c r="F335" s="310"/>
      <c r="G335" s="256"/>
      <c r="H335" s="256"/>
      <c r="I335" s="256"/>
      <c r="J335" s="256"/>
      <c r="K335" s="256"/>
      <c r="L335" s="256"/>
      <c r="M335" s="256"/>
      <c r="N335" s="256"/>
      <c r="O335" s="256"/>
      <c r="P335" s="256"/>
      <c r="Q335" s="256"/>
      <c r="R335" s="256"/>
      <c r="S335" s="256"/>
      <c r="T335" s="256"/>
      <c r="U335" s="256"/>
      <c r="V335" s="256"/>
      <c r="W335" s="256"/>
      <c r="X335" s="256"/>
      <c r="Y335" s="256"/>
      <c r="Z335" s="256"/>
    </row>
    <row r="336">
      <c r="A336" s="256"/>
      <c r="B336" s="256"/>
      <c r="C336" s="256"/>
      <c r="D336" s="256"/>
      <c r="E336" s="256"/>
      <c r="F336" s="310"/>
      <c r="G336" s="256"/>
      <c r="H336" s="256"/>
      <c r="I336" s="256"/>
      <c r="J336" s="256"/>
      <c r="K336" s="256"/>
      <c r="L336" s="256"/>
      <c r="M336" s="256"/>
      <c r="N336" s="256"/>
      <c r="O336" s="256"/>
      <c r="P336" s="256"/>
      <c r="Q336" s="256"/>
      <c r="R336" s="256"/>
      <c r="S336" s="256"/>
      <c r="T336" s="256"/>
      <c r="U336" s="256"/>
      <c r="V336" s="256"/>
      <c r="W336" s="256"/>
      <c r="X336" s="256"/>
      <c r="Y336" s="256"/>
      <c r="Z336" s="256"/>
    </row>
    <row r="337">
      <c r="A337" s="256"/>
      <c r="B337" s="256"/>
      <c r="C337" s="256"/>
      <c r="D337" s="256"/>
      <c r="E337" s="256"/>
      <c r="F337" s="310"/>
      <c r="G337" s="256"/>
      <c r="H337" s="256"/>
      <c r="I337" s="256"/>
      <c r="J337" s="256"/>
      <c r="K337" s="256"/>
      <c r="L337" s="256"/>
      <c r="M337" s="256"/>
      <c r="N337" s="256"/>
      <c r="O337" s="256"/>
      <c r="P337" s="256"/>
      <c r="Q337" s="256"/>
      <c r="R337" s="256"/>
      <c r="S337" s="256"/>
      <c r="T337" s="256"/>
      <c r="U337" s="256"/>
      <c r="V337" s="256"/>
      <c r="W337" s="256"/>
      <c r="X337" s="256"/>
      <c r="Y337" s="256"/>
      <c r="Z337" s="256"/>
    </row>
    <row r="338">
      <c r="A338" s="256"/>
      <c r="B338" s="256"/>
      <c r="C338" s="256"/>
      <c r="D338" s="256"/>
      <c r="E338" s="256"/>
      <c r="F338" s="310"/>
      <c r="G338" s="256"/>
      <c r="H338" s="256"/>
      <c r="I338" s="256"/>
      <c r="J338" s="256"/>
      <c r="K338" s="256"/>
      <c r="L338" s="256"/>
      <c r="M338" s="256"/>
      <c r="N338" s="256"/>
      <c r="O338" s="256"/>
      <c r="P338" s="256"/>
      <c r="Q338" s="256"/>
      <c r="R338" s="256"/>
      <c r="S338" s="256"/>
      <c r="T338" s="256"/>
      <c r="U338" s="256"/>
      <c r="V338" s="256"/>
      <c r="W338" s="256"/>
      <c r="X338" s="256"/>
      <c r="Y338" s="256"/>
      <c r="Z338" s="256"/>
    </row>
    <row r="339">
      <c r="A339" s="256"/>
      <c r="B339" s="256"/>
      <c r="C339" s="256"/>
      <c r="D339" s="256"/>
      <c r="E339" s="256"/>
      <c r="F339" s="310"/>
      <c r="G339" s="256"/>
      <c r="H339" s="256"/>
      <c r="I339" s="256"/>
      <c r="J339" s="256"/>
      <c r="K339" s="256"/>
      <c r="L339" s="256"/>
      <c r="M339" s="256"/>
      <c r="N339" s="256"/>
      <c r="O339" s="256"/>
      <c r="P339" s="256"/>
      <c r="Q339" s="256"/>
      <c r="R339" s="256"/>
      <c r="S339" s="256"/>
      <c r="T339" s="256"/>
      <c r="U339" s="256"/>
      <c r="V339" s="256"/>
      <c r="W339" s="256"/>
      <c r="X339" s="256"/>
      <c r="Y339" s="256"/>
      <c r="Z339" s="256"/>
    </row>
    <row r="340">
      <c r="A340" s="256"/>
      <c r="B340" s="256"/>
      <c r="C340" s="256"/>
      <c r="D340" s="256"/>
      <c r="E340" s="256"/>
      <c r="F340" s="310"/>
      <c r="G340" s="256"/>
      <c r="H340" s="256"/>
      <c r="I340" s="256"/>
      <c r="J340" s="256"/>
      <c r="K340" s="256"/>
      <c r="L340" s="256"/>
      <c r="M340" s="256"/>
      <c r="N340" s="256"/>
      <c r="O340" s="256"/>
      <c r="P340" s="256"/>
      <c r="Q340" s="256"/>
      <c r="R340" s="256"/>
      <c r="S340" s="256"/>
      <c r="T340" s="256"/>
      <c r="U340" s="256"/>
      <c r="V340" s="256"/>
      <c r="W340" s="256"/>
      <c r="X340" s="256"/>
      <c r="Y340" s="256"/>
      <c r="Z340" s="256"/>
    </row>
    <row r="341">
      <c r="A341" s="256"/>
      <c r="B341" s="256"/>
      <c r="C341" s="256"/>
      <c r="D341" s="256"/>
      <c r="E341" s="256"/>
      <c r="F341" s="310"/>
      <c r="G341" s="256"/>
      <c r="H341" s="256"/>
      <c r="I341" s="256"/>
      <c r="J341" s="256"/>
      <c r="K341" s="256"/>
      <c r="L341" s="256"/>
      <c r="M341" s="256"/>
      <c r="N341" s="256"/>
      <c r="O341" s="256"/>
      <c r="P341" s="256"/>
      <c r="Q341" s="256"/>
      <c r="R341" s="256"/>
      <c r="S341" s="256"/>
      <c r="T341" s="256"/>
      <c r="U341" s="256"/>
      <c r="V341" s="256"/>
      <c r="W341" s="256"/>
      <c r="X341" s="256"/>
      <c r="Y341" s="256"/>
      <c r="Z341" s="256"/>
    </row>
    <row r="342">
      <c r="A342" s="256"/>
      <c r="B342" s="256"/>
      <c r="C342" s="256"/>
      <c r="D342" s="256"/>
      <c r="E342" s="256"/>
      <c r="F342" s="310"/>
      <c r="G342" s="256"/>
      <c r="H342" s="256"/>
      <c r="I342" s="256"/>
      <c r="J342" s="256"/>
      <c r="K342" s="256"/>
      <c r="L342" s="256"/>
      <c r="M342" s="256"/>
      <c r="N342" s="256"/>
      <c r="O342" s="256"/>
      <c r="P342" s="256"/>
      <c r="Q342" s="256"/>
      <c r="R342" s="256"/>
      <c r="S342" s="256"/>
      <c r="T342" s="256"/>
      <c r="U342" s="256"/>
      <c r="V342" s="256"/>
      <c r="W342" s="256"/>
      <c r="X342" s="256"/>
      <c r="Y342" s="256"/>
      <c r="Z342" s="256"/>
    </row>
    <row r="343">
      <c r="A343" s="256"/>
      <c r="B343" s="256"/>
      <c r="C343" s="256"/>
      <c r="D343" s="256"/>
      <c r="E343" s="256"/>
      <c r="F343" s="310"/>
      <c r="G343" s="256"/>
      <c r="H343" s="256"/>
      <c r="I343" s="256"/>
      <c r="J343" s="256"/>
      <c r="K343" s="256"/>
      <c r="L343" s="256"/>
      <c r="M343" s="256"/>
      <c r="N343" s="256"/>
      <c r="O343" s="256"/>
      <c r="P343" s="256"/>
      <c r="Q343" s="256"/>
      <c r="R343" s="256"/>
      <c r="S343" s="256"/>
      <c r="T343" s="256"/>
      <c r="U343" s="256"/>
      <c r="V343" s="256"/>
      <c r="W343" s="256"/>
      <c r="X343" s="256"/>
      <c r="Y343" s="256"/>
      <c r="Z343" s="256"/>
    </row>
    <row r="344">
      <c r="A344" s="256"/>
      <c r="B344" s="256"/>
      <c r="C344" s="256"/>
      <c r="D344" s="256"/>
      <c r="E344" s="256"/>
      <c r="F344" s="310"/>
      <c r="G344" s="256"/>
      <c r="H344" s="256"/>
      <c r="I344" s="256"/>
      <c r="J344" s="256"/>
      <c r="K344" s="256"/>
      <c r="L344" s="256"/>
      <c r="M344" s="256"/>
      <c r="N344" s="256"/>
      <c r="O344" s="256"/>
      <c r="P344" s="256"/>
      <c r="Q344" s="256"/>
      <c r="R344" s="256"/>
      <c r="S344" s="256"/>
      <c r="T344" s="256"/>
      <c r="U344" s="256"/>
      <c r="V344" s="256"/>
      <c r="W344" s="256"/>
      <c r="X344" s="256"/>
      <c r="Y344" s="256"/>
      <c r="Z344" s="256"/>
    </row>
    <row r="345">
      <c r="A345" s="256"/>
      <c r="B345" s="256"/>
      <c r="C345" s="256"/>
      <c r="D345" s="256"/>
      <c r="E345" s="256"/>
      <c r="F345" s="310"/>
      <c r="G345" s="256"/>
      <c r="H345" s="256"/>
      <c r="I345" s="256"/>
      <c r="J345" s="256"/>
      <c r="K345" s="256"/>
      <c r="L345" s="256"/>
      <c r="M345" s="256"/>
      <c r="N345" s="256"/>
      <c r="O345" s="256"/>
      <c r="P345" s="256"/>
      <c r="Q345" s="256"/>
      <c r="R345" s="256"/>
      <c r="S345" s="256"/>
      <c r="T345" s="256"/>
      <c r="U345" s="256"/>
      <c r="V345" s="256"/>
      <c r="W345" s="256"/>
      <c r="X345" s="256"/>
      <c r="Y345" s="256"/>
      <c r="Z345" s="256"/>
    </row>
    <row r="346">
      <c r="A346" s="256"/>
      <c r="B346" s="256"/>
      <c r="C346" s="256"/>
      <c r="D346" s="256"/>
      <c r="E346" s="256"/>
      <c r="F346" s="310"/>
      <c r="G346" s="256"/>
      <c r="H346" s="256"/>
      <c r="I346" s="256"/>
      <c r="J346" s="256"/>
      <c r="K346" s="256"/>
      <c r="L346" s="256"/>
      <c r="M346" s="256"/>
      <c r="N346" s="256"/>
      <c r="O346" s="256"/>
      <c r="P346" s="256"/>
      <c r="Q346" s="256"/>
      <c r="R346" s="256"/>
      <c r="S346" s="256"/>
      <c r="T346" s="256"/>
      <c r="U346" s="256"/>
      <c r="V346" s="256"/>
      <c r="W346" s="256"/>
      <c r="X346" s="256"/>
      <c r="Y346" s="256"/>
      <c r="Z346" s="256"/>
    </row>
    <row r="347">
      <c r="A347" s="256"/>
      <c r="B347" s="256"/>
      <c r="C347" s="256"/>
      <c r="D347" s="256"/>
      <c r="E347" s="256"/>
      <c r="F347" s="310"/>
      <c r="G347" s="256"/>
      <c r="H347" s="256"/>
      <c r="I347" s="256"/>
      <c r="J347" s="256"/>
      <c r="K347" s="256"/>
      <c r="L347" s="256"/>
      <c r="M347" s="256"/>
      <c r="N347" s="256"/>
      <c r="O347" s="256"/>
      <c r="P347" s="256"/>
      <c r="Q347" s="256"/>
      <c r="R347" s="256"/>
      <c r="S347" s="256"/>
      <c r="T347" s="256"/>
      <c r="U347" s="256"/>
      <c r="V347" s="256"/>
      <c r="W347" s="256"/>
      <c r="X347" s="256"/>
      <c r="Y347" s="256"/>
      <c r="Z347" s="256"/>
    </row>
    <row r="348">
      <c r="A348" s="256"/>
      <c r="B348" s="256"/>
      <c r="C348" s="256"/>
      <c r="D348" s="256"/>
      <c r="E348" s="256"/>
      <c r="F348" s="310"/>
      <c r="G348" s="256"/>
      <c r="H348" s="256"/>
      <c r="I348" s="256"/>
      <c r="J348" s="256"/>
      <c r="K348" s="256"/>
      <c r="L348" s="256"/>
      <c r="M348" s="256"/>
      <c r="N348" s="256"/>
      <c r="O348" s="256"/>
      <c r="P348" s="256"/>
      <c r="Q348" s="256"/>
      <c r="R348" s="256"/>
      <c r="S348" s="256"/>
      <c r="T348" s="256"/>
      <c r="U348" s="256"/>
      <c r="V348" s="256"/>
      <c r="W348" s="256"/>
      <c r="X348" s="256"/>
      <c r="Y348" s="256"/>
      <c r="Z348" s="256"/>
    </row>
    <row r="349">
      <c r="A349" s="256"/>
      <c r="B349" s="256"/>
      <c r="C349" s="256"/>
      <c r="D349" s="256"/>
      <c r="E349" s="256"/>
      <c r="F349" s="310"/>
      <c r="G349" s="256"/>
      <c r="H349" s="256"/>
      <c r="I349" s="256"/>
      <c r="J349" s="256"/>
      <c r="K349" s="256"/>
      <c r="L349" s="256"/>
      <c r="M349" s="256"/>
      <c r="N349" s="256"/>
      <c r="O349" s="256"/>
      <c r="P349" s="256"/>
      <c r="Q349" s="256"/>
      <c r="R349" s="256"/>
      <c r="S349" s="256"/>
      <c r="T349" s="256"/>
      <c r="U349" s="256"/>
      <c r="V349" s="256"/>
      <c r="W349" s="256"/>
      <c r="X349" s="256"/>
      <c r="Y349" s="256"/>
      <c r="Z349" s="256"/>
    </row>
    <row r="350">
      <c r="A350" s="256"/>
      <c r="B350" s="256"/>
      <c r="C350" s="256"/>
      <c r="D350" s="256"/>
      <c r="E350" s="256"/>
      <c r="F350" s="310"/>
      <c r="G350" s="256"/>
      <c r="H350" s="256"/>
      <c r="I350" s="256"/>
      <c r="J350" s="256"/>
      <c r="K350" s="256"/>
      <c r="L350" s="256"/>
      <c r="M350" s="256"/>
      <c r="N350" s="256"/>
      <c r="O350" s="256"/>
      <c r="P350" s="256"/>
      <c r="Q350" s="256"/>
      <c r="R350" s="256"/>
      <c r="S350" s="256"/>
      <c r="T350" s="256"/>
      <c r="U350" s="256"/>
      <c r="V350" s="256"/>
      <c r="W350" s="256"/>
      <c r="X350" s="256"/>
      <c r="Y350" s="256"/>
      <c r="Z350" s="256"/>
    </row>
    <row r="351">
      <c r="A351" s="256"/>
      <c r="B351" s="256"/>
      <c r="C351" s="256"/>
      <c r="D351" s="256"/>
      <c r="E351" s="256"/>
      <c r="F351" s="310"/>
      <c r="G351" s="256"/>
      <c r="H351" s="256"/>
      <c r="I351" s="256"/>
      <c r="J351" s="256"/>
      <c r="K351" s="256"/>
      <c r="L351" s="256"/>
      <c r="M351" s="256"/>
      <c r="N351" s="256"/>
      <c r="O351" s="256"/>
      <c r="P351" s="256"/>
      <c r="Q351" s="256"/>
      <c r="R351" s="256"/>
      <c r="S351" s="256"/>
      <c r="T351" s="256"/>
      <c r="U351" s="256"/>
      <c r="V351" s="256"/>
      <c r="W351" s="256"/>
      <c r="X351" s="256"/>
      <c r="Y351" s="256"/>
      <c r="Z351" s="256"/>
    </row>
    <row r="352">
      <c r="A352" s="256"/>
      <c r="B352" s="256"/>
      <c r="C352" s="256"/>
      <c r="D352" s="256"/>
      <c r="E352" s="256"/>
      <c r="F352" s="310"/>
      <c r="G352" s="256"/>
      <c r="H352" s="256"/>
      <c r="I352" s="256"/>
      <c r="J352" s="256"/>
      <c r="K352" s="256"/>
      <c r="L352" s="256"/>
      <c r="M352" s="256"/>
      <c r="N352" s="256"/>
      <c r="O352" s="256"/>
      <c r="P352" s="256"/>
      <c r="Q352" s="256"/>
      <c r="R352" s="256"/>
      <c r="S352" s="256"/>
      <c r="T352" s="256"/>
      <c r="U352" s="256"/>
      <c r="V352" s="256"/>
      <c r="W352" s="256"/>
      <c r="X352" s="256"/>
      <c r="Y352" s="256"/>
      <c r="Z352" s="256"/>
    </row>
    <row r="353">
      <c r="A353" s="256"/>
      <c r="B353" s="256"/>
      <c r="C353" s="256"/>
      <c r="D353" s="256"/>
      <c r="E353" s="256"/>
      <c r="F353" s="310"/>
      <c r="G353" s="256"/>
      <c r="H353" s="256"/>
      <c r="I353" s="256"/>
      <c r="J353" s="256"/>
      <c r="K353" s="256"/>
      <c r="L353" s="256"/>
      <c r="M353" s="256"/>
      <c r="N353" s="256"/>
      <c r="O353" s="256"/>
      <c r="P353" s="256"/>
      <c r="Q353" s="256"/>
      <c r="R353" s="256"/>
      <c r="S353" s="256"/>
      <c r="T353" s="256"/>
      <c r="U353" s="256"/>
      <c r="V353" s="256"/>
      <c r="W353" s="256"/>
      <c r="X353" s="256"/>
      <c r="Y353" s="256"/>
      <c r="Z353" s="256"/>
    </row>
    <row r="354">
      <c r="A354" s="256"/>
      <c r="B354" s="256"/>
      <c r="C354" s="256"/>
      <c r="D354" s="256"/>
      <c r="E354" s="256"/>
      <c r="F354" s="310"/>
      <c r="G354" s="256"/>
      <c r="H354" s="256"/>
      <c r="I354" s="256"/>
      <c r="J354" s="256"/>
      <c r="K354" s="256"/>
      <c r="L354" s="256"/>
      <c r="M354" s="256"/>
      <c r="N354" s="256"/>
      <c r="O354" s="256"/>
      <c r="P354" s="256"/>
      <c r="Q354" s="256"/>
      <c r="R354" s="256"/>
      <c r="S354" s="256"/>
      <c r="T354" s="256"/>
      <c r="U354" s="256"/>
      <c r="V354" s="256"/>
      <c r="W354" s="256"/>
      <c r="X354" s="256"/>
      <c r="Y354" s="256"/>
      <c r="Z354" s="256"/>
    </row>
    <row r="355">
      <c r="A355" s="256"/>
      <c r="B355" s="256"/>
      <c r="C355" s="256"/>
      <c r="D355" s="256"/>
      <c r="E355" s="256"/>
      <c r="F355" s="310"/>
      <c r="G355" s="256"/>
      <c r="H355" s="256"/>
      <c r="I355" s="256"/>
      <c r="J355" s="256"/>
      <c r="K355" s="256"/>
      <c r="L355" s="256"/>
      <c r="M355" s="256"/>
      <c r="N355" s="256"/>
      <c r="O355" s="256"/>
      <c r="P355" s="256"/>
      <c r="Q355" s="256"/>
      <c r="R355" s="256"/>
      <c r="S355" s="256"/>
      <c r="T355" s="256"/>
      <c r="U355" s="256"/>
      <c r="V355" s="256"/>
      <c r="W355" s="256"/>
      <c r="X355" s="256"/>
      <c r="Y355" s="256"/>
      <c r="Z355" s="256"/>
    </row>
    <row r="356">
      <c r="A356" s="256"/>
      <c r="B356" s="256"/>
      <c r="C356" s="256"/>
      <c r="D356" s="256"/>
      <c r="E356" s="256"/>
      <c r="F356" s="310"/>
      <c r="G356" s="256"/>
      <c r="H356" s="256"/>
      <c r="I356" s="256"/>
      <c r="J356" s="256"/>
      <c r="K356" s="256"/>
      <c r="L356" s="256"/>
      <c r="M356" s="256"/>
      <c r="N356" s="256"/>
      <c r="O356" s="256"/>
      <c r="P356" s="256"/>
      <c r="Q356" s="256"/>
      <c r="R356" s="256"/>
      <c r="S356" s="256"/>
      <c r="T356" s="256"/>
      <c r="U356" s="256"/>
      <c r="V356" s="256"/>
      <c r="W356" s="256"/>
      <c r="X356" s="256"/>
      <c r="Y356" s="256"/>
      <c r="Z356" s="256"/>
    </row>
    <row r="357">
      <c r="A357" s="256"/>
      <c r="B357" s="256"/>
      <c r="C357" s="256"/>
      <c r="D357" s="256"/>
      <c r="E357" s="256"/>
      <c r="F357" s="310"/>
      <c r="G357" s="256"/>
      <c r="H357" s="256"/>
      <c r="I357" s="256"/>
      <c r="J357" s="256"/>
      <c r="K357" s="256"/>
      <c r="L357" s="256"/>
      <c r="M357" s="256"/>
      <c r="N357" s="256"/>
      <c r="O357" s="256"/>
      <c r="P357" s="256"/>
      <c r="Q357" s="256"/>
      <c r="R357" s="256"/>
      <c r="S357" s="256"/>
      <c r="T357" s="256"/>
      <c r="U357" s="256"/>
      <c r="V357" s="256"/>
      <c r="W357" s="256"/>
      <c r="X357" s="256"/>
      <c r="Y357" s="256"/>
      <c r="Z357" s="256"/>
    </row>
    <row r="358">
      <c r="A358" s="256"/>
      <c r="B358" s="256"/>
      <c r="C358" s="256"/>
      <c r="D358" s="256"/>
      <c r="E358" s="256"/>
      <c r="F358" s="310"/>
      <c r="G358" s="256"/>
      <c r="H358" s="256"/>
      <c r="I358" s="256"/>
      <c r="J358" s="256"/>
      <c r="K358" s="256"/>
      <c r="L358" s="256"/>
      <c r="M358" s="256"/>
      <c r="N358" s="256"/>
      <c r="O358" s="256"/>
      <c r="P358" s="256"/>
      <c r="Q358" s="256"/>
      <c r="R358" s="256"/>
      <c r="S358" s="256"/>
      <c r="T358" s="256"/>
      <c r="U358" s="256"/>
      <c r="V358" s="256"/>
      <c r="W358" s="256"/>
      <c r="X358" s="256"/>
      <c r="Y358" s="256"/>
      <c r="Z358" s="256"/>
    </row>
    <row r="359">
      <c r="A359" s="256"/>
      <c r="B359" s="256"/>
      <c r="C359" s="256"/>
      <c r="D359" s="256"/>
      <c r="E359" s="256"/>
      <c r="F359" s="310"/>
      <c r="G359" s="256"/>
      <c r="H359" s="256"/>
      <c r="I359" s="256"/>
      <c r="J359" s="256"/>
      <c r="K359" s="256"/>
      <c r="L359" s="256"/>
      <c r="M359" s="256"/>
      <c r="N359" s="256"/>
      <c r="O359" s="256"/>
      <c r="P359" s="256"/>
      <c r="Q359" s="256"/>
      <c r="R359" s="256"/>
      <c r="S359" s="256"/>
      <c r="T359" s="256"/>
      <c r="U359" s="256"/>
      <c r="V359" s="256"/>
      <c r="W359" s="256"/>
      <c r="X359" s="256"/>
      <c r="Y359" s="256"/>
      <c r="Z359" s="256"/>
    </row>
    <row r="360">
      <c r="A360" s="256"/>
      <c r="B360" s="256"/>
      <c r="C360" s="256"/>
      <c r="D360" s="256"/>
      <c r="E360" s="256"/>
      <c r="F360" s="310"/>
      <c r="G360" s="256"/>
      <c r="H360" s="256"/>
      <c r="I360" s="256"/>
      <c r="J360" s="256"/>
      <c r="K360" s="256"/>
      <c r="L360" s="256"/>
      <c r="M360" s="256"/>
      <c r="N360" s="256"/>
      <c r="O360" s="256"/>
      <c r="P360" s="256"/>
      <c r="Q360" s="256"/>
      <c r="R360" s="256"/>
      <c r="S360" s="256"/>
      <c r="T360" s="256"/>
      <c r="U360" s="256"/>
      <c r="V360" s="256"/>
      <c r="W360" s="256"/>
      <c r="X360" s="256"/>
      <c r="Y360" s="256"/>
      <c r="Z360" s="256"/>
    </row>
    <row r="361">
      <c r="A361" s="256"/>
      <c r="B361" s="256"/>
      <c r="C361" s="256"/>
      <c r="D361" s="256"/>
      <c r="E361" s="256"/>
      <c r="F361" s="310"/>
      <c r="G361" s="256"/>
      <c r="H361" s="256"/>
      <c r="I361" s="256"/>
      <c r="J361" s="256"/>
      <c r="K361" s="256"/>
      <c r="L361" s="256"/>
      <c r="M361" s="256"/>
      <c r="N361" s="256"/>
      <c r="O361" s="256"/>
      <c r="P361" s="256"/>
      <c r="Q361" s="256"/>
      <c r="R361" s="256"/>
      <c r="S361" s="256"/>
      <c r="T361" s="256"/>
      <c r="U361" s="256"/>
      <c r="V361" s="256"/>
      <c r="W361" s="256"/>
      <c r="X361" s="256"/>
      <c r="Y361" s="256"/>
      <c r="Z361" s="256"/>
    </row>
    <row r="362">
      <c r="A362" s="256"/>
      <c r="B362" s="256"/>
      <c r="C362" s="256"/>
      <c r="D362" s="256"/>
      <c r="E362" s="256"/>
      <c r="F362" s="310"/>
      <c r="G362" s="256"/>
      <c r="H362" s="256"/>
      <c r="I362" s="256"/>
      <c r="J362" s="256"/>
      <c r="K362" s="256"/>
      <c r="L362" s="256"/>
      <c r="M362" s="256"/>
      <c r="N362" s="256"/>
      <c r="O362" s="256"/>
      <c r="P362" s="256"/>
      <c r="Q362" s="256"/>
      <c r="R362" s="256"/>
      <c r="S362" s="256"/>
      <c r="T362" s="256"/>
      <c r="U362" s="256"/>
      <c r="V362" s="256"/>
      <c r="W362" s="256"/>
      <c r="X362" s="256"/>
      <c r="Y362" s="256"/>
      <c r="Z362" s="256"/>
    </row>
    <row r="363">
      <c r="A363" s="256"/>
      <c r="B363" s="256"/>
      <c r="C363" s="256"/>
      <c r="D363" s="256"/>
      <c r="E363" s="256"/>
      <c r="F363" s="310"/>
      <c r="G363" s="256"/>
      <c r="H363" s="256"/>
      <c r="I363" s="256"/>
      <c r="J363" s="256"/>
      <c r="K363" s="256"/>
      <c r="L363" s="256"/>
      <c r="M363" s="256"/>
      <c r="N363" s="256"/>
      <c r="O363" s="256"/>
      <c r="P363" s="256"/>
      <c r="Q363" s="256"/>
      <c r="R363" s="256"/>
      <c r="S363" s="256"/>
      <c r="T363" s="256"/>
      <c r="U363" s="256"/>
      <c r="V363" s="256"/>
      <c r="W363" s="256"/>
      <c r="X363" s="256"/>
      <c r="Y363" s="256"/>
      <c r="Z363" s="256"/>
    </row>
    <row r="364">
      <c r="A364" s="256"/>
      <c r="B364" s="256"/>
      <c r="C364" s="256"/>
      <c r="D364" s="256"/>
      <c r="E364" s="256"/>
      <c r="F364" s="310"/>
      <c r="G364" s="256"/>
      <c r="H364" s="256"/>
      <c r="I364" s="256"/>
      <c r="J364" s="256"/>
      <c r="K364" s="256"/>
      <c r="L364" s="256"/>
      <c r="M364" s="256"/>
      <c r="N364" s="256"/>
      <c r="O364" s="256"/>
      <c r="P364" s="256"/>
      <c r="Q364" s="256"/>
      <c r="R364" s="256"/>
      <c r="S364" s="256"/>
      <c r="T364" s="256"/>
      <c r="U364" s="256"/>
      <c r="V364" s="256"/>
      <c r="W364" s="256"/>
      <c r="X364" s="256"/>
      <c r="Y364" s="256"/>
      <c r="Z364" s="256"/>
    </row>
    <row r="365">
      <c r="A365" s="256"/>
      <c r="B365" s="256"/>
      <c r="C365" s="256"/>
      <c r="D365" s="256"/>
      <c r="E365" s="256"/>
      <c r="F365" s="310"/>
      <c r="G365" s="256"/>
      <c r="H365" s="256"/>
      <c r="I365" s="256"/>
      <c r="J365" s="256"/>
      <c r="K365" s="256"/>
      <c r="L365" s="256"/>
      <c r="M365" s="256"/>
      <c r="N365" s="256"/>
      <c r="O365" s="256"/>
      <c r="P365" s="256"/>
      <c r="Q365" s="256"/>
      <c r="R365" s="256"/>
      <c r="S365" s="256"/>
      <c r="T365" s="256"/>
      <c r="U365" s="256"/>
      <c r="V365" s="256"/>
      <c r="W365" s="256"/>
      <c r="X365" s="256"/>
      <c r="Y365" s="256"/>
      <c r="Z365" s="256"/>
    </row>
    <row r="366">
      <c r="A366" s="256"/>
      <c r="B366" s="256"/>
      <c r="C366" s="256"/>
      <c r="D366" s="256"/>
      <c r="E366" s="256"/>
      <c r="F366" s="310"/>
      <c r="G366" s="256"/>
      <c r="H366" s="256"/>
      <c r="I366" s="256"/>
      <c r="J366" s="256"/>
      <c r="K366" s="256"/>
      <c r="L366" s="256"/>
      <c r="M366" s="256"/>
      <c r="N366" s="256"/>
      <c r="O366" s="256"/>
      <c r="P366" s="256"/>
      <c r="Q366" s="256"/>
      <c r="R366" s="256"/>
      <c r="S366" s="256"/>
      <c r="T366" s="256"/>
      <c r="U366" s="256"/>
      <c r="V366" s="256"/>
      <c r="W366" s="256"/>
      <c r="X366" s="256"/>
      <c r="Y366" s="256"/>
      <c r="Z366" s="256"/>
    </row>
    <row r="367">
      <c r="A367" s="256"/>
      <c r="B367" s="256"/>
      <c r="C367" s="256"/>
      <c r="D367" s="256"/>
      <c r="E367" s="256"/>
      <c r="F367" s="310"/>
      <c r="G367" s="256"/>
      <c r="H367" s="256"/>
      <c r="I367" s="256"/>
      <c r="J367" s="256"/>
      <c r="K367" s="256"/>
      <c r="L367" s="256"/>
      <c r="M367" s="256"/>
      <c r="N367" s="256"/>
      <c r="O367" s="256"/>
      <c r="P367" s="256"/>
      <c r="Q367" s="256"/>
      <c r="R367" s="256"/>
      <c r="S367" s="256"/>
      <c r="T367" s="256"/>
      <c r="U367" s="256"/>
      <c r="V367" s="256"/>
      <c r="W367" s="256"/>
      <c r="X367" s="256"/>
      <c r="Y367" s="256"/>
      <c r="Z367" s="256"/>
    </row>
    <row r="368">
      <c r="A368" s="256"/>
      <c r="B368" s="256"/>
      <c r="C368" s="256"/>
      <c r="D368" s="256"/>
      <c r="E368" s="256"/>
      <c r="F368" s="310"/>
      <c r="G368" s="256"/>
      <c r="H368" s="256"/>
      <c r="I368" s="256"/>
      <c r="J368" s="256"/>
      <c r="K368" s="256"/>
      <c r="L368" s="256"/>
      <c r="M368" s="256"/>
      <c r="N368" s="256"/>
      <c r="O368" s="256"/>
      <c r="P368" s="256"/>
      <c r="Q368" s="256"/>
      <c r="R368" s="256"/>
      <c r="S368" s="256"/>
      <c r="T368" s="256"/>
      <c r="U368" s="256"/>
      <c r="V368" s="256"/>
      <c r="W368" s="256"/>
      <c r="X368" s="256"/>
      <c r="Y368" s="256"/>
      <c r="Z368" s="256"/>
    </row>
    <row r="369">
      <c r="A369" s="256"/>
      <c r="B369" s="256"/>
      <c r="C369" s="256"/>
      <c r="D369" s="256"/>
      <c r="E369" s="256"/>
      <c r="F369" s="310"/>
      <c r="G369" s="256"/>
      <c r="H369" s="256"/>
      <c r="I369" s="256"/>
      <c r="J369" s="256"/>
      <c r="K369" s="256"/>
      <c r="L369" s="256"/>
      <c r="M369" s="256"/>
      <c r="N369" s="256"/>
      <c r="O369" s="256"/>
      <c r="P369" s="256"/>
      <c r="Q369" s="256"/>
      <c r="R369" s="256"/>
      <c r="S369" s="256"/>
      <c r="T369" s="256"/>
      <c r="U369" s="256"/>
      <c r="V369" s="256"/>
      <c r="W369" s="256"/>
      <c r="X369" s="256"/>
      <c r="Y369" s="256"/>
      <c r="Z369" s="256"/>
    </row>
    <row r="370">
      <c r="A370" s="256"/>
      <c r="B370" s="256"/>
      <c r="C370" s="256"/>
      <c r="D370" s="256"/>
      <c r="E370" s="256"/>
      <c r="F370" s="310"/>
      <c r="G370" s="256"/>
      <c r="H370" s="256"/>
      <c r="I370" s="256"/>
      <c r="J370" s="256"/>
      <c r="K370" s="256"/>
      <c r="L370" s="256"/>
      <c r="M370" s="256"/>
      <c r="N370" s="256"/>
      <c r="O370" s="256"/>
      <c r="P370" s="256"/>
      <c r="Q370" s="256"/>
      <c r="R370" s="256"/>
      <c r="S370" s="256"/>
      <c r="T370" s="256"/>
      <c r="U370" s="256"/>
      <c r="V370" s="256"/>
      <c r="W370" s="256"/>
      <c r="X370" s="256"/>
      <c r="Y370" s="256"/>
      <c r="Z370" s="256"/>
    </row>
    <row r="371">
      <c r="A371" s="256"/>
      <c r="B371" s="256"/>
      <c r="C371" s="256"/>
      <c r="D371" s="256"/>
      <c r="E371" s="256"/>
      <c r="F371" s="310"/>
      <c r="G371" s="256"/>
      <c r="H371" s="256"/>
      <c r="I371" s="256"/>
      <c r="J371" s="256"/>
      <c r="K371" s="256"/>
      <c r="L371" s="256"/>
      <c r="M371" s="256"/>
      <c r="N371" s="256"/>
      <c r="O371" s="256"/>
      <c r="P371" s="256"/>
      <c r="Q371" s="256"/>
      <c r="R371" s="256"/>
      <c r="S371" s="256"/>
      <c r="T371" s="256"/>
      <c r="U371" s="256"/>
      <c r="V371" s="256"/>
      <c r="W371" s="256"/>
      <c r="X371" s="256"/>
      <c r="Y371" s="256"/>
      <c r="Z371" s="256"/>
    </row>
    <row r="372">
      <c r="A372" s="256"/>
      <c r="B372" s="256"/>
      <c r="C372" s="256"/>
      <c r="D372" s="256"/>
      <c r="E372" s="256"/>
      <c r="F372" s="310"/>
      <c r="G372" s="256"/>
      <c r="H372" s="256"/>
      <c r="I372" s="256"/>
      <c r="J372" s="256"/>
      <c r="K372" s="256"/>
      <c r="L372" s="256"/>
      <c r="M372" s="256"/>
      <c r="N372" s="256"/>
      <c r="O372" s="256"/>
      <c r="P372" s="256"/>
      <c r="Q372" s="256"/>
      <c r="R372" s="256"/>
      <c r="S372" s="256"/>
      <c r="T372" s="256"/>
      <c r="U372" s="256"/>
      <c r="V372" s="256"/>
      <c r="W372" s="256"/>
      <c r="X372" s="256"/>
      <c r="Y372" s="256"/>
      <c r="Z372" s="256"/>
    </row>
    <row r="373">
      <c r="A373" s="256"/>
      <c r="B373" s="256"/>
      <c r="C373" s="256"/>
      <c r="D373" s="256"/>
      <c r="E373" s="256"/>
      <c r="F373" s="310"/>
      <c r="G373" s="256"/>
      <c r="H373" s="256"/>
      <c r="I373" s="256"/>
      <c r="J373" s="256"/>
      <c r="K373" s="256"/>
      <c r="L373" s="256"/>
      <c r="M373" s="256"/>
      <c r="N373" s="256"/>
      <c r="O373" s="256"/>
      <c r="P373" s="256"/>
      <c r="Q373" s="256"/>
      <c r="R373" s="256"/>
      <c r="S373" s="256"/>
      <c r="T373" s="256"/>
      <c r="U373" s="256"/>
      <c r="V373" s="256"/>
      <c r="W373" s="256"/>
      <c r="X373" s="256"/>
      <c r="Y373" s="256"/>
      <c r="Z373" s="256"/>
    </row>
    <row r="374">
      <c r="A374" s="256"/>
      <c r="B374" s="256"/>
      <c r="C374" s="256"/>
      <c r="D374" s="256"/>
      <c r="E374" s="256"/>
      <c r="F374" s="310"/>
      <c r="G374" s="256"/>
      <c r="H374" s="256"/>
      <c r="I374" s="256"/>
      <c r="J374" s="256"/>
      <c r="K374" s="256"/>
      <c r="L374" s="256"/>
      <c r="M374" s="256"/>
      <c r="N374" s="256"/>
      <c r="O374" s="256"/>
      <c r="P374" s="256"/>
      <c r="Q374" s="256"/>
      <c r="R374" s="256"/>
      <c r="S374" s="256"/>
      <c r="T374" s="256"/>
      <c r="U374" s="256"/>
      <c r="V374" s="256"/>
      <c r="W374" s="256"/>
      <c r="X374" s="256"/>
      <c r="Y374" s="256"/>
      <c r="Z374" s="256"/>
    </row>
    <row r="375">
      <c r="A375" s="256"/>
      <c r="B375" s="256"/>
      <c r="C375" s="256"/>
      <c r="D375" s="256"/>
      <c r="E375" s="256"/>
      <c r="F375" s="310"/>
      <c r="G375" s="256"/>
      <c r="H375" s="256"/>
      <c r="I375" s="256"/>
      <c r="J375" s="256"/>
      <c r="K375" s="256"/>
      <c r="L375" s="256"/>
      <c r="M375" s="256"/>
      <c r="N375" s="256"/>
      <c r="O375" s="256"/>
      <c r="P375" s="256"/>
      <c r="Q375" s="256"/>
      <c r="R375" s="256"/>
      <c r="S375" s="256"/>
      <c r="T375" s="256"/>
      <c r="U375" s="256"/>
      <c r="V375" s="256"/>
      <c r="W375" s="256"/>
      <c r="X375" s="256"/>
      <c r="Y375" s="256"/>
      <c r="Z375" s="256"/>
    </row>
    <row r="376">
      <c r="A376" s="256"/>
      <c r="B376" s="256"/>
      <c r="C376" s="256"/>
      <c r="D376" s="256"/>
      <c r="E376" s="256"/>
      <c r="F376" s="310"/>
      <c r="G376" s="256"/>
      <c r="H376" s="256"/>
      <c r="I376" s="256"/>
      <c r="J376" s="256"/>
      <c r="K376" s="256"/>
      <c r="L376" s="256"/>
      <c r="M376" s="256"/>
      <c r="N376" s="256"/>
      <c r="O376" s="256"/>
      <c r="P376" s="256"/>
      <c r="Q376" s="256"/>
      <c r="R376" s="256"/>
      <c r="S376" s="256"/>
      <c r="T376" s="256"/>
      <c r="U376" s="256"/>
      <c r="V376" s="256"/>
      <c r="W376" s="256"/>
      <c r="X376" s="256"/>
      <c r="Y376" s="256"/>
      <c r="Z376" s="256"/>
    </row>
    <row r="377">
      <c r="A377" s="256"/>
      <c r="B377" s="256"/>
      <c r="C377" s="256"/>
      <c r="D377" s="256"/>
      <c r="E377" s="256"/>
      <c r="F377" s="310"/>
      <c r="G377" s="256"/>
      <c r="H377" s="256"/>
      <c r="I377" s="256"/>
      <c r="J377" s="256"/>
      <c r="K377" s="256"/>
      <c r="L377" s="256"/>
      <c r="M377" s="256"/>
      <c r="N377" s="256"/>
      <c r="O377" s="256"/>
      <c r="P377" s="256"/>
      <c r="Q377" s="256"/>
      <c r="R377" s="256"/>
      <c r="S377" s="256"/>
      <c r="T377" s="256"/>
      <c r="U377" s="256"/>
      <c r="V377" s="256"/>
      <c r="W377" s="256"/>
      <c r="X377" s="256"/>
      <c r="Y377" s="256"/>
      <c r="Z377" s="256"/>
    </row>
    <row r="378">
      <c r="A378" s="256"/>
      <c r="B378" s="256"/>
      <c r="C378" s="256"/>
      <c r="D378" s="256"/>
      <c r="E378" s="256"/>
      <c r="F378" s="310"/>
      <c r="G378" s="256"/>
      <c r="H378" s="256"/>
      <c r="I378" s="256"/>
      <c r="J378" s="256"/>
      <c r="K378" s="256"/>
      <c r="L378" s="256"/>
      <c r="M378" s="256"/>
      <c r="N378" s="256"/>
      <c r="O378" s="256"/>
      <c r="P378" s="256"/>
      <c r="Q378" s="256"/>
      <c r="R378" s="256"/>
      <c r="S378" s="256"/>
      <c r="T378" s="256"/>
      <c r="U378" s="256"/>
      <c r="V378" s="256"/>
      <c r="W378" s="256"/>
      <c r="X378" s="256"/>
      <c r="Y378" s="256"/>
      <c r="Z378" s="256"/>
    </row>
    <row r="379">
      <c r="A379" s="256"/>
      <c r="B379" s="256"/>
      <c r="C379" s="256"/>
      <c r="D379" s="256"/>
      <c r="E379" s="256"/>
      <c r="F379" s="310"/>
      <c r="G379" s="256"/>
      <c r="H379" s="256"/>
      <c r="I379" s="256"/>
      <c r="J379" s="256"/>
      <c r="K379" s="256"/>
      <c r="L379" s="256"/>
      <c r="M379" s="256"/>
      <c r="N379" s="256"/>
      <c r="O379" s="256"/>
      <c r="P379" s="256"/>
      <c r="Q379" s="256"/>
      <c r="R379" s="256"/>
      <c r="S379" s="256"/>
      <c r="T379" s="256"/>
      <c r="U379" s="256"/>
      <c r="V379" s="256"/>
      <c r="W379" s="256"/>
      <c r="X379" s="256"/>
      <c r="Y379" s="256"/>
      <c r="Z379" s="256"/>
    </row>
    <row r="380">
      <c r="A380" s="256"/>
      <c r="B380" s="256"/>
      <c r="C380" s="256"/>
      <c r="D380" s="256"/>
      <c r="E380" s="256"/>
      <c r="F380" s="310"/>
      <c r="G380" s="256"/>
      <c r="H380" s="256"/>
      <c r="I380" s="256"/>
      <c r="J380" s="256"/>
      <c r="K380" s="256"/>
      <c r="L380" s="256"/>
      <c r="M380" s="256"/>
      <c r="N380" s="256"/>
      <c r="O380" s="256"/>
      <c r="P380" s="256"/>
      <c r="Q380" s="256"/>
      <c r="R380" s="256"/>
      <c r="S380" s="256"/>
      <c r="T380" s="256"/>
      <c r="U380" s="256"/>
      <c r="V380" s="256"/>
      <c r="W380" s="256"/>
      <c r="X380" s="256"/>
      <c r="Y380" s="256"/>
      <c r="Z380" s="256"/>
    </row>
    <row r="381">
      <c r="A381" s="256"/>
      <c r="B381" s="256"/>
      <c r="C381" s="256"/>
      <c r="D381" s="256"/>
      <c r="E381" s="256"/>
      <c r="F381" s="310"/>
      <c r="G381" s="256"/>
      <c r="H381" s="256"/>
      <c r="I381" s="256"/>
      <c r="J381" s="256"/>
      <c r="K381" s="256"/>
      <c r="L381" s="256"/>
      <c r="M381" s="256"/>
      <c r="N381" s="256"/>
      <c r="O381" s="256"/>
      <c r="P381" s="256"/>
      <c r="Q381" s="256"/>
      <c r="R381" s="256"/>
      <c r="S381" s="256"/>
      <c r="T381" s="256"/>
      <c r="U381" s="256"/>
      <c r="V381" s="256"/>
      <c r="W381" s="256"/>
      <c r="X381" s="256"/>
      <c r="Y381" s="256"/>
      <c r="Z381" s="256"/>
    </row>
    <row r="382">
      <c r="A382" s="256"/>
      <c r="B382" s="256"/>
      <c r="C382" s="256"/>
      <c r="D382" s="256"/>
      <c r="E382" s="256"/>
      <c r="F382" s="310"/>
      <c r="G382" s="256"/>
      <c r="H382" s="256"/>
      <c r="I382" s="256"/>
      <c r="J382" s="256"/>
      <c r="K382" s="256"/>
      <c r="L382" s="256"/>
      <c r="M382" s="256"/>
      <c r="N382" s="256"/>
      <c r="O382" s="256"/>
      <c r="P382" s="256"/>
      <c r="Q382" s="256"/>
      <c r="R382" s="256"/>
      <c r="S382" s="256"/>
      <c r="T382" s="256"/>
      <c r="U382" s="256"/>
      <c r="V382" s="256"/>
      <c r="W382" s="256"/>
      <c r="X382" s="256"/>
      <c r="Y382" s="256"/>
      <c r="Z382" s="256"/>
    </row>
    <row r="383">
      <c r="A383" s="256"/>
      <c r="B383" s="256"/>
      <c r="C383" s="256"/>
      <c r="D383" s="256"/>
      <c r="E383" s="256"/>
      <c r="F383" s="310"/>
      <c r="G383" s="256"/>
      <c r="H383" s="256"/>
      <c r="I383" s="256"/>
      <c r="J383" s="256"/>
      <c r="K383" s="256"/>
      <c r="L383" s="256"/>
      <c r="M383" s="256"/>
      <c r="N383" s="256"/>
      <c r="O383" s="256"/>
      <c r="P383" s="256"/>
      <c r="Q383" s="256"/>
      <c r="R383" s="256"/>
      <c r="S383" s="256"/>
      <c r="T383" s="256"/>
      <c r="U383" s="256"/>
      <c r="V383" s="256"/>
      <c r="W383" s="256"/>
      <c r="X383" s="256"/>
      <c r="Y383" s="256"/>
      <c r="Z383" s="256"/>
    </row>
    <row r="384">
      <c r="A384" s="256"/>
      <c r="B384" s="256"/>
      <c r="C384" s="256"/>
      <c r="D384" s="256"/>
      <c r="E384" s="256"/>
      <c r="F384" s="310"/>
      <c r="G384" s="256"/>
      <c r="H384" s="256"/>
      <c r="I384" s="256"/>
      <c r="J384" s="256"/>
      <c r="K384" s="256"/>
      <c r="L384" s="256"/>
      <c r="M384" s="256"/>
      <c r="N384" s="256"/>
      <c r="O384" s="256"/>
      <c r="P384" s="256"/>
      <c r="Q384" s="256"/>
      <c r="R384" s="256"/>
      <c r="S384" s="256"/>
      <c r="T384" s="256"/>
      <c r="U384" s="256"/>
      <c r="V384" s="256"/>
      <c r="W384" s="256"/>
      <c r="X384" s="256"/>
      <c r="Y384" s="256"/>
      <c r="Z384" s="256"/>
    </row>
    <row r="385">
      <c r="A385" s="256"/>
      <c r="B385" s="256"/>
      <c r="C385" s="256"/>
      <c r="D385" s="256"/>
      <c r="E385" s="256"/>
      <c r="F385" s="310"/>
      <c r="G385" s="256"/>
      <c r="H385" s="256"/>
      <c r="I385" s="256"/>
      <c r="J385" s="256"/>
      <c r="K385" s="256"/>
      <c r="L385" s="256"/>
      <c r="M385" s="256"/>
      <c r="N385" s="256"/>
      <c r="O385" s="256"/>
      <c r="P385" s="256"/>
      <c r="Q385" s="256"/>
      <c r="R385" s="256"/>
      <c r="S385" s="256"/>
      <c r="T385" s="256"/>
      <c r="U385" s="256"/>
      <c r="V385" s="256"/>
      <c r="W385" s="256"/>
      <c r="X385" s="256"/>
      <c r="Y385" s="256"/>
      <c r="Z385" s="256"/>
    </row>
    <row r="386">
      <c r="A386" s="256"/>
      <c r="B386" s="256"/>
      <c r="C386" s="256"/>
      <c r="D386" s="256"/>
      <c r="E386" s="256"/>
      <c r="F386" s="310"/>
      <c r="G386" s="256"/>
      <c r="H386" s="256"/>
      <c r="I386" s="256"/>
      <c r="J386" s="256"/>
      <c r="K386" s="256"/>
      <c r="L386" s="256"/>
      <c r="M386" s="256"/>
      <c r="N386" s="256"/>
      <c r="O386" s="256"/>
      <c r="P386" s="256"/>
      <c r="Q386" s="256"/>
      <c r="R386" s="256"/>
      <c r="S386" s="256"/>
      <c r="T386" s="256"/>
      <c r="U386" s="256"/>
      <c r="V386" s="256"/>
      <c r="W386" s="256"/>
      <c r="X386" s="256"/>
      <c r="Y386" s="256"/>
      <c r="Z386" s="256"/>
    </row>
    <row r="387">
      <c r="A387" s="256"/>
      <c r="B387" s="256"/>
      <c r="C387" s="256"/>
      <c r="D387" s="256"/>
      <c r="E387" s="256"/>
      <c r="F387" s="310"/>
      <c r="G387" s="256"/>
      <c r="H387" s="256"/>
      <c r="I387" s="256"/>
      <c r="J387" s="256"/>
      <c r="K387" s="256"/>
      <c r="L387" s="256"/>
      <c r="M387" s="256"/>
      <c r="N387" s="256"/>
      <c r="O387" s="256"/>
      <c r="P387" s="256"/>
      <c r="Q387" s="256"/>
      <c r="R387" s="256"/>
      <c r="S387" s="256"/>
      <c r="T387" s="256"/>
      <c r="U387" s="256"/>
      <c r="V387" s="256"/>
      <c r="W387" s="256"/>
      <c r="X387" s="256"/>
      <c r="Y387" s="256"/>
      <c r="Z387" s="256"/>
    </row>
    <row r="388">
      <c r="A388" s="256"/>
      <c r="B388" s="256"/>
      <c r="C388" s="256"/>
      <c r="D388" s="256"/>
      <c r="E388" s="256"/>
      <c r="F388" s="310"/>
      <c r="G388" s="256"/>
      <c r="H388" s="256"/>
      <c r="I388" s="256"/>
      <c r="J388" s="256"/>
      <c r="K388" s="256"/>
      <c r="L388" s="256"/>
      <c r="M388" s="256"/>
      <c r="N388" s="256"/>
      <c r="O388" s="256"/>
      <c r="P388" s="256"/>
      <c r="Q388" s="256"/>
      <c r="R388" s="256"/>
      <c r="S388" s="256"/>
      <c r="T388" s="256"/>
      <c r="U388" s="256"/>
      <c r="V388" s="256"/>
      <c r="W388" s="256"/>
      <c r="X388" s="256"/>
      <c r="Y388" s="256"/>
      <c r="Z388" s="256"/>
    </row>
    <row r="389">
      <c r="A389" s="256"/>
      <c r="B389" s="256"/>
      <c r="C389" s="256"/>
      <c r="D389" s="256"/>
      <c r="E389" s="256"/>
      <c r="F389" s="310"/>
      <c r="G389" s="256"/>
      <c r="H389" s="256"/>
      <c r="I389" s="256"/>
      <c r="J389" s="256"/>
      <c r="K389" s="256"/>
      <c r="L389" s="256"/>
      <c r="M389" s="256"/>
      <c r="N389" s="256"/>
      <c r="O389" s="256"/>
      <c r="P389" s="256"/>
      <c r="Q389" s="256"/>
      <c r="R389" s="256"/>
      <c r="S389" s="256"/>
      <c r="T389" s="256"/>
      <c r="U389" s="256"/>
      <c r="V389" s="256"/>
      <c r="W389" s="256"/>
      <c r="X389" s="256"/>
      <c r="Y389" s="256"/>
      <c r="Z389" s="256"/>
    </row>
    <row r="390">
      <c r="A390" s="256"/>
      <c r="B390" s="256"/>
      <c r="C390" s="256"/>
      <c r="D390" s="256"/>
      <c r="E390" s="256"/>
      <c r="F390" s="310"/>
      <c r="G390" s="256"/>
      <c r="H390" s="256"/>
      <c r="I390" s="256"/>
      <c r="J390" s="256"/>
      <c r="K390" s="256"/>
      <c r="L390" s="256"/>
      <c r="M390" s="256"/>
      <c r="N390" s="256"/>
      <c r="O390" s="256"/>
      <c r="P390" s="256"/>
      <c r="Q390" s="256"/>
      <c r="R390" s="256"/>
      <c r="S390" s="256"/>
      <c r="T390" s="256"/>
      <c r="U390" s="256"/>
      <c r="V390" s="256"/>
      <c r="W390" s="256"/>
      <c r="X390" s="256"/>
      <c r="Y390" s="256"/>
      <c r="Z390" s="256"/>
    </row>
    <row r="391">
      <c r="A391" s="256"/>
      <c r="B391" s="256"/>
      <c r="C391" s="256"/>
      <c r="D391" s="256"/>
      <c r="E391" s="256"/>
      <c r="F391" s="310"/>
      <c r="G391" s="256"/>
      <c r="H391" s="256"/>
      <c r="I391" s="256"/>
      <c r="J391" s="256"/>
      <c r="K391" s="256"/>
      <c r="L391" s="256"/>
      <c r="M391" s="256"/>
      <c r="N391" s="256"/>
      <c r="O391" s="256"/>
      <c r="P391" s="256"/>
      <c r="Q391" s="256"/>
      <c r="R391" s="256"/>
      <c r="S391" s="256"/>
      <c r="T391" s="256"/>
      <c r="U391" s="256"/>
      <c r="V391" s="256"/>
      <c r="W391" s="256"/>
      <c r="X391" s="256"/>
      <c r="Y391" s="256"/>
      <c r="Z391" s="256"/>
    </row>
    <row r="392">
      <c r="A392" s="256"/>
      <c r="B392" s="256"/>
      <c r="C392" s="256"/>
      <c r="D392" s="256"/>
      <c r="E392" s="256"/>
      <c r="F392" s="310"/>
      <c r="G392" s="256"/>
      <c r="H392" s="256"/>
      <c r="I392" s="256"/>
      <c r="J392" s="256"/>
      <c r="K392" s="256"/>
      <c r="L392" s="256"/>
      <c r="M392" s="256"/>
      <c r="N392" s="256"/>
      <c r="O392" s="256"/>
      <c r="P392" s="256"/>
      <c r="Q392" s="256"/>
      <c r="R392" s="256"/>
      <c r="S392" s="256"/>
      <c r="T392" s="256"/>
      <c r="U392" s="256"/>
      <c r="V392" s="256"/>
      <c r="W392" s="256"/>
      <c r="X392" s="256"/>
      <c r="Y392" s="256"/>
      <c r="Z392" s="256"/>
    </row>
    <row r="393">
      <c r="A393" s="256"/>
      <c r="B393" s="256"/>
      <c r="C393" s="256"/>
      <c r="D393" s="256"/>
      <c r="E393" s="256"/>
      <c r="F393" s="310"/>
      <c r="G393" s="256"/>
      <c r="H393" s="256"/>
      <c r="I393" s="256"/>
      <c r="J393" s="256"/>
      <c r="K393" s="256"/>
      <c r="L393" s="256"/>
      <c r="M393" s="256"/>
      <c r="N393" s="256"/>
      <c r="O393" s="256"/>
      <c r="P393" s="256"/>
      <c r="Q393" s="256"/>
      <c r="R393" s="256"/>
      <c r="S393" s="256"/>
      <c r="T393" s="256"/>
      <c r="U393" s="256"/>
      <c r="V393" s="256"/>
      <c r="W393" s="256"/>
      <c r="X393" s="256"/>
      <c r="Y393" s="256"/>
      <c r="Z393" s="256"/>
    </row>
    <row r="394">
      <c r="A394" s="256"/>
      <c r="B394" s="256"/>
      <c r="C394" s="256"/>
      <c r="D394" s="256"/>
      <c r="E394" s="256"/>
      <c r="F394" s="310"/>
      <c r="G394" s="256"/>
      <c r="H394" s="256"/>
      <c r="I394" s="256"/>
      <c r="J394" s="256"/>
      <c r="K394" s="256"/>
      <c r="L394" s="256"/>
      <c r="M394" s="256"/>
      <c r="N394" s="256"/>
      <c r="O394" s="256"/>
      <c r="P394" s="256"/>
      <c r="Q394" s="256"/>
      <c r="R394" s="256"/>
      <c r="S394" s="256"/>
      <c r="T394" s="256"/>
      <c r="U394" s="256"/>
      <c r="V394" s="256"/>
      <c r="W394" s="256"/>
      <c r="X394" s="256"/>
      <c r="Y394" s="256"/>
      <c r="Z394" s="256"/>
    </row>
    <row r="395">
      <c r="A395" s="256"/>
      <c r="B395" s="256"/>
      <c r="C395" s="256"/>
      <c r="D395" s="256"/>
      <c r="E395" s="256"/>
      <c r="F395" s="310"/>
      <c r="G395" s="256"/>
      <c r="H395" s="256"/>
      <c r="I395" s="256"/>
      <c r="J395" s="256"/>
      <c r="K395" s="256"/>
      <c r="L395" s="256"/>
      <c r="M395" s="256"/>
      <c r="N395" s="256"/>
      <c r="O395" s="256"/>
      <c r="P395" s="256"/>
      <c r="Q395" s="256"/>
      <c r="R395" s="256"/>
      <c r="S395" s="256"/>
      <c r="T395" s="256"/>
      <c r="U395" s="256"/>
      <c r="V395" s="256"/>
      <c r="W395" s="256"/>
      <c r="X395" s="256"/>
      <c r="Y395" s="256"/>
      <c r="Z395" s="256"/>
    </row>
    <row r="396">
      <c r="A396" s="256"/>
      <c r="B396" s="256"/>
      <c r="C396" s="256"/>
      <c r="D396" s="256"/>
      <c r="E396" s="256"/>
      <c r="F396" s="310"/>
      <c r="G396" s="256"/>
      <c r="H396" s="256"/>
      <c r="I396" s="256"/>
      <c r="J396" s="256"/>
      <c r="K396" s="256"/>
      <c r="L396" s="256"/>
      <c r="M396" s="256"/>
      <c r="N396" s="256"/>
      <c r="O396" s="256"/>
      <c r="P396" s="256"/>
      <c r="Q396" s="256"/>
      <c r="R396" s="256"/>
      <c r="S396" s="256"/>
      <c r="T396" s="256"/>
      <c r="U396" s="256"/>
      <c r="V396" s="256"/>
      <c r="W396" s="256"/>
      <c r="X396" s="256"/>
      <c r="Y396" s="256"/>
      <c r="Z396" s="256"/>
    </row>
    <row r="397">
      <c r="A397" s="256"/>
      <c r="B397" s="256"/>
      <c r="C397" s="256"/>
      <c r="D397" s="256"/>
      <c r="E397" s="256"/>
      <c r="F397" s="310"/>
      <c r="G397" s="256"/>
      <c r="H397" s="256"/>
      <c r="I397" s="256"/>
      <c r="J397" s="256"/>
      <c r="K397" s="256"/>
      <c r="L397" s="256"/>
      <c r="M397" s="256"/>
      <c r="N397" s="256"/>
      <c r="O397" s="256"/>
      <c r="P397" s="256"/>
      <c r="Q397" s="256"/>
      <c r="R397" s="256"/>
      <c r="S397" s="256"/>
      <c r="T397" s="256"/>
      <c r="U397" s="256"/>
      <c r="V397" s="256"/>
      <c r="W397" s="256"/>
      <c r="X397" s="256"/>
      <c r="Y397" s="256"/>
      <c r="Z397" s="256"/>
    </row>
    <row r="398">
      <c r="A398" s="256"/>
      <c r="B398" s="256"/>
      <c r="C398" s="256"/>
      <c r="D398" s="256"/>
      <c r="E398" s="256"/>
      <c r="F398" s="310"/>
      <c r="G398" s="256"/>
      <c r="H398" s="256"/>
      <c r="I398" s="256"/>
      <c r="J398" s="256"/>
      <c r="K398" s="256"/>
      <c r="L398" s="256"/>
      <c r="M398" s="256"/>
      <c r="N398" s="256"/>
      <c r="O398" s="256"/>
      <c r="P398" s="256"/>
      <c r="Q398" s="256"/>
      <c r="R398" s="256"/>
      <c r="S398" s="256"/>
      <c r="T398" s="256"/>
      <c r="U398" s="256"/>
      <c r="V398" s="256"/>
      <c r="W398" s="256"/>
      <c r="X398" s="256"/>
      <c r="Y398" s="256"/>
      <c r="Z398" s="256"/>
    </row>
    <row r="399">
      <c r="A399" s="256"/>
      <c r="B399" s="256"/>
      <c r="C399" s="256"/>
      <c r="D399" s="256"/>
      <c r="E399" s="256"/>
      <c r="F399" s="310"/>
      <c r="G399" s="256"/>
      <c r="H399" s="256"/>
      <c r="I399" s="256"/>
      <c r="J399" s="256"/>
      <c r="K399" s="256"/>
      <c r="L399" s="256"/>
      <c r="M399" s="256"/>
      <c r="N399" s="256"/>
      <c r="O399" s="256"/>
      <c r="P399" s="256"/>
      <c r="Q399" s="256"/>
      <c r="R399" s="256"/>
      <c r="S399" s="256"/>
      <c r="T399" s="256"/>
      <c r="U399" s="256"/>
      <c r="V399" s="256"/>
      <c r="W399" s="256"/>
      <c r="X399" s="256"/>
      <c r="Y399" s="256"/>
      <c r="Z399" s="256"/>
    </row>
    <row r="400">
      <c r="A400" s="256"/>
      <c r="B400" s="256"/>
      <c r="C400" s="256"/>
      <c r="D400" s="256"/>
      <c r="E400" s="256"/>
      <c r="F400" s="310"/>
      <c r="G400" s="256"/>
      <c r="H400" s="256"/>
      <c r="I400" s="256"/>
      <c r="J400" s="256"/>
      <c r="K400" s="256"/>
      <c r="L400" s="256"/>
      <c r="M400" s="256"/>
      <c r="N400" s="256"/>
      <c r="O400" s="256"/>
      <c r="P400" s="256"/>
      <c r="Q400" s="256"/>
      <c r="R400" s="256"/>
      <c r="S400" s="256"/>
      <c r="T400" s="256"/>
      <c r="U400" s="256"/>
      <c r="V400" s="256"/>
      <c r="W400" s="256"/>
      <c r="X400" s="256"/>
      <c r="Y400" s="256"/>
      <c r="Z400" s="256"/>
    </row>
    <row r="401">
      <c r="A401" s="256"/>
      <c r="B401" s="256"/>
      <c r="C401" s="256"/>
      <c r="D401" s="256"/>
      <c r="E401" s="256"/>
      <c r="F401" s="310"/>
      <c r="G401" s="256"/>
      <c r="H401" s="256"/>
      <c r="I401" s="256"/>
      <c r="J401" s="256"/>
      <c r="K401" s="256"/>
      <c r="L401" s="256"/>
      <c r="M401" s="256"/>
      <c r="N401" s="256"/>
      <c r="O401" s="256"/>
      <c r="P401" s="256"/>
      <c r="Q401" s="256"/>
      <c r="R401" s="256"/>
      <c r="S401" s="256"/>
      <c r="T401" s="256"/>
      <c r="U401" s="256"/>
      <c r="V401" s="256"/>
      <c r="W401" s="256"/>
      <c r="X401" s="256"/>
      <c r="Y401" s="256"/>
      <c r="Z401" s="256"/>
    </row>
    <row r="402">
      <c r="A402" s="256"/>
      <c r="B402" s="256"/>
      <c r="C402" s="256"/>
      <c r="D402" s="256"/>
      <c r="E402" s="256"/>
      <c r="F402" s="310"/>
      <c r="G402" s="256"/>
      <c r="H402" s="256"/>
      <c r="I402" s="256"/>
      <c r="J402" s="256"/>
      <c r="K402" s="256"/>
      <c r="L402" s="256"/>
      <c r="M402" s="256"/>
      <c r="N402" s="256"/>
      <c r="O402" s="256"/>
      <c r="P402" s="256"/>
      <c r="Q402" s="256"/>
      <c r="R402" s="256"/>
      <c r="S402" s="256"/>
      <c r="T402" s="256"/>
      <c r="U402" s="256"/>
      <c r="V402" s="256"/>
      <c r="W402" s="256"/>
      <c r="X402" s="256"/>
      <c r="Y402" s="256"/>
      <c r="Z402" s="256"/>
    </row>
    <row r="403">
      <c r="A403" s="256"/>
      <c r="B403" s="256"/>
      <c r="C403" s="256"/>
      <c r="D403" s="256"/>
      <c r="E403" s="256"/>
      <c r="F403" s="310"/>
      <c r="G403" s="256"/>
      <c r="H403" s="256"/>
      <c r="I403" s="256"/>
      <c r="J403" s="256"/>
      <c r="K403" s="256"/>
      <c r="L403" s="256"/>
      <c r="M403" s="256"/>
      <c r="N403" s="256"/>
      <c r="O403" s="256"/>
      <c r="P403" s="256"/>
      <c r="Q403" s="256"/>
      <c r="R403" s="256"/>
      <c r="S403" s="256"/>
      <c r="T403" s="256"/>
      <c r="U403" s="256"/>
      <c r="V403" s="256"/>
      <c r="W403" s="256"/>
      <c r="X403" s="256"/>
      <c r="Y403" s="256"/>
      <c r="Z403" s="256"/>
    </row>
    <row r="404">
      <c r="A404" s="256"/>
      <c r="B404" s="256"/>
      <c r="C404" s="256"/>
      <c r="D404" s="256"/>
      <c r="E404" s="256"/>
      <c r="F404" s="310"/>
      <c r="G404" s="256"/>
      <c r="H404" s="256"/>
      <c r="I404" s="256"/>
      <c r="J404" s="256"/>
      <c r="K404" s="256"/>
      <c r="L404" s="256"/>
      <c r="M404" s="256"/>
      <c r="N404" s="256"/>
      <c r="O404" s="256"/>
      <c r="P404" s="256"/>
      <c r="Q404" s="256"/>
      <c r="R404" s="256"/>
      <c r="S404" s="256"/>
      <c r="T404" s="256"/>
      <c r="U404" s="256"/>
      <c r="V404" s="256"/>
      <c r="W404" s="256"/>
      <c r="X404" s="256"/>
      <c r="Y404" s="256"/>
      <c r="Z404" s="256"/>
    </row>
    <row r="405">
      <c r="A405" s="256"/>
      <c r="B405" s="256"/>
      <c r="C405" s="256"/>
      <c r="D405" s="256"/>
      <c r="E405" s="256"/>
      <c r="F405" s="310"/>
      <c r="G405" s="256"/>
      <c r="H405" s="256"/>
      <c r="I405" s="256"/>
      <c r="J405" s="256"/>
      <c r="K405" s="256"/>
      <c r="L405" s="256"/>
      <c r="M405" s="256"/>
      <c r="N405" s="256"/>
      <c r="O405" s="256"/>
      <c r="P405" s="256"/>
      <c r="Q405" s="256"/>
      <c r="R405" s="256"/>
      <c r="S405" s="256"/>
      <c r="T405" s="256"/>
      <c r="U405" s="256"/>
      <c r="V405" s="256"/>
      <c r="W405" s="256"/>
      <c r="X405" s="256"/>
      <c r="Y405" s="256"/>
      <c r="Z405" s="256"/>
    </row>
    <row r="406">
      <c r="A406" s="256"/>
      <c r="B406" s="256"/>
      <c r="C406" s="256"/>
      <c r="D406" s="256"/>
      <c r="E406" s="256"/>
      <c r="F406" s="310"/>
      <c r="G406" s="256"/>
      <c r="H406" s="256"/>
      <c r="I406" s="256"/>
      <c r="J406" s="256"/>
      <c r="K406" s="256"/>
      <c r="L406" s="256"/>
      <c r="M406" s="256"/>
      <c r="N406" s="256"/>
      <c r="O406" s="256"/>
      <c r="P406" s="256"/>
      <c r="Q406" s="256"/>
      <c r="R406" s="256"/>
      <c r="S406" s="256"/>
      <c r="T406" s="256"/>
      <c r="U406" s="256"/>
      <c r="V406" s="256"/>
      <c r="W406" s="256"/>
      <c r="X406" s="256"/>
      <c r="Y406" s="256"/>
      <c r="Z406" s="256"/>
    </row>
    <row r="407">
      <c r="A407" s="256"/>
      <c r="B407" s="256"/>
      <c r="C407" s="256"/>
      <c r="D407" s="256"/>
      <c r="E407" s="256"/>
      <c r="F407" s="310"/>
      <c r="G407" s="256"/>
      <c r="H407" s="256"/>
      <c r="I407" s="256"/>
      <c r="J407" s="256"/>
      <c r="K407" s="256"/>
      <c r="L407" s="256"/>
      <c r="M407" s="256"/>
      <c r="N407" s="256"/>
      <c r="O407" s="256"/>
      <c r="P407" s="256"/>
      <c r="Q407" s="256"/>
      <c r="R407" s="256"/>
      <c r="S407" s="256"/>
      <c r="T407" s="256"/>
      <c r="U407" s="256"/>
      <c r="V407" s="256"/>
      <c r="W407" s="256"/>
      <c r="X407" s="256"/>
      <c r="Y407" s="256"/>
      <c r="Z407" s="256"/>
    </row>
    <row r="408">
      <c r="A408" s="256"/>
      <c r="B408" s="256"/>
      <c r="C408" s="256"/>
      <c r="D408" s="256"/>
      <c r="E408" s="256"/>
      <c r="F408" s="310"/>
      <c r="G408" s="256"/>
      <c r="H408" s="256"/>
      <c r="I408" s="256"/>
      <c r="J408" s="256"/>
      <c r="K408" s="256"/>
      <c r="L408" s="256"/>
      <c r="M408" s="256"/>
      <c r="N408" s="256"/>
      <c r="O408" s="256"/>
      <c r="P408" s="256"/>
      <c r="Q408" s="256"/>
      <c r="R408" s="256"/>
      <c r="S408" s="256"/>
      <c r="T408" s="256"/>
      <c r="U408" s="256"/>
      <c r="V408" s="256"/>
      <c r="W408" s="256"/>
      <c r="X408" s="256"/>
      <c r="Y408" s="256"/>
      <c r="Z408" s="256"/>
    </row>
    <row r="409">
      <c r="A409" s="256"/>
      <c r="B409" s="256"/>
      <c r="C409" s="256"/>
      <c r="D409" s="256"/>
      <c r="E409" s="256"/>
      <c r="F409" s="310"/>
      <c r="G409" s="256"/>
      <c r="H409" s="256"/>
      <c r="I409" s="256"/>
      <c r="J409" s="256"/>
      <c r="K409" s="256"/>
      <c r="L409" s="256"/>
      <c r="M409" s="256"/>
      <c r="N409" s="256"/>
      <c r="O409" s="256"/>
      <c r="P409" s="256"/>
      <c r="Q409" s="256"/>
      <c r="R409" s="256"/>
      <c r="S409" s="256"/>
      <c r="T409" s="256"/>
      <c r="U409" s="256"/>
      <c r="V409" s="256"/>
      <c r="W409" s="256"/>
      <c r="X409" s="256"/>
      <c r="Y409" s="256"/>
      <c r="Z409" s="256"/>
    </row>
    <row r="410">
      <c r="A410" s="256"/>
      <c r="B410" s="256"/>
      <c r="C410" s="256"/>
      <c r="D410" s="256"/>
      <c r="E410" s="256"/>
      <c r="F410" s="310"/>
      <c r="G410" s="256"/>
      <c r="H410" s="256"/>
      <c r="I410" s="256"/>
      <c r="J410" s="256"/>
      <c r="K410" s="256"/>
      <c r="L410" s="256"/>
      <c r="M410" s="256"/>
      <c r="N410" s="256"/>
      <c r="O410" s="256"/>
      <c r="P410" s="256"/>
      <c r="Q410" s="256"/>
      <c r="R410" s="256"/>
      <c r="S410" s="256"/>
      <c r="T410" s="256"/>
      <c r="U410" s="256"/>
      <c r="V410" s="256"/>
      <c r="W410" s="256"/>
      <c r="X410" s="256"/>
      <c r="Y410" s="256"/>
      <c r="Z410" s="256"/>
    </row>
    <row r="411">
      <c r="A411" s="256"/>
      <c r="B411" s="256"/>
      <c r="C411" s="256"/>
      <c r="D411" s="256"/>
      <c r="E411" s="256"/>
      <c r="F411" s="310"/>
      <c r="G411" s="256"/>
      <c r="H411" s="256"/>
      <c r="I411" s="256"/>
      <c r="J411" s="256"/>
      <c r="K411" s="256"/>
      <c r="L411" s="256"/>
      <c r="M411" s="256"/>
      <c r="N411" s="256"/>
      <c r="O411" s="256"/>
      <c r="P411" s="256"/>
      <c r="Q411" s="256"/>
      <c r="R411" s="256"/>
      <c r="S411" s="256"/>
      <c r="T411" s="256"/>
      <c r="U411" s="256"/>
      <c r="V411" s="256"/>
      <c r="W411" s="256"/>
      <c r="X411" s="256"/>
      <c r="Y411" s="256"/>
      <c r="Z411" s="256"/>
    </row>
    <row r="412">
      <c r="A412" s="256"/>
      <c r="B412" s="256"/>
      <c r="C412" s="256"/>
      <c r="D412" s="256"/>
      <c r="E412" s="256"/>
      <c r="F412" s="310"/>
      <c r="G412" s="256"/>
      <c r="H412" s="256"/>
      <c r="I412" s="256"/>
      <c r="J412" s="256"/>
      <c r="K412" s="256"/>
      <c r="L412" s="256"/>
      <c r="M412" s="256"/>
      <c r="N412" s="256"/>
      <c r="O412" s="256"/>
      <c r="P412" s="256"/>
      <c r="Q412" s="256"/>
      <c r="R412" s="256"/>
      <c r="S412" s="256"/>
      <c r="T412" s="256"/>
      <c r="U412" s="256"/>
      <c r="V412" s="256"/>
      <c r="W412" s="256"/>
      <c r="X412" s="256"/>
      <c r="Y412" s="256"/>
      <c r="Z412" s="256"/>
    </row>
    <row r="413">
      <c r="A413" s="256"/>
      <c r="B413" s="256"/>
      <c r="C413" s="256"/>
      <c r="D413" s="256"/>
      <c r="E413" s="256"/>
      <c r="F413" s="310"/>
      <c r="G413" s="256"/>
      <c r="H413" s="256"/>
      <c r="I413" s="256"/>
      <c r="J413" s="256"/>
      <c r="K413" s="256"/>
      <c r="L413" s="256"/>
      <c r="M413" s="256"/>
      <c r="N413" s="256"/>
      <c r="O413" s="256"/>
      <c r="P413" s="256"/>
      <c r="Q413" s="256"/>
      <c r="R413" s="256"/>
      <c r="S413" s="256"/>
      <c r="T413" s="256"/>
      <c r="U413" s="256"/>
      <c r="V413" s="256"/>
      <c r="W413" s="256"/>
      <c r="X413" s="256"/>
      <c r="Y413" s="256"/>
      <c r="Z413" s="256"/>
    </row>
    <row r="414">
      <c r="A414" s="256"/>
      <c r="B414" s="256"/>
      <c r="C414" s="256"/>
      <c r="D414" s="256"/>
      <c r="E414" s="256"/>
      <c r="F414" s="310"/>
      <c r="G414" s="256"/>
      <c r="H414" s="256"/>
      <c r="I414" s="256"/>
      <c r="J414" s="256"/>
      <c r="K414" s="256"/>
      <c r="L414" s="256"/>
      <c r="M414" s="256"/>
      <c r="N414" s="256"/>
      <c r="O414" s="256"/>
      <c r="P414" s="256"/>
      <c r="Q414" s="256"/>
      <c r="R414" s="256"/>
      <c r="S414" s="256"/>
      <c r="T414" s="256"/>
      <c r="U414" s="256"/>
      <c r="V414" s="256"/>
      <c r="W414" s="256"/>
      <c r="X414" s="256"/>
      <c r="Y414" s="256"/>
      <c r="Z414" s="256"/>
    </row>
    <row r="415">
      <c r="A415" s="256"/>
      <c r="B415" s="256"/>
      <c r="C415" s="256"/>
      <c r="D415" s="256"/>
      <c r="E415" s="256"/>
      <c r="F415" s="310"/>
      <c r="G415" s="256"/>
      <c r="H415" s="256"/>
      <c r="I415" s="256"/>
      <c r="J415" s="256"/>
      <c r="K415" s="256"/>
      <c r="L415" s="256"/>
      <c r="M415" s="256"/>
      <c r="N415" s="256"/>
      <c r="O415" s="256"/>
      <c r="P415" s="256"/>
      <c r="Q415" s="256"/>
      <c r="R415" s="256"/>
      <c r="S415" s="256"/>
      <c r="T415" s="256"/>
      <c r="U415" s="256"/>
      <c r="V415" s="256"/>
      <c r="W415" s="256"/>
      <c r="X415" s="256"/>
      <c r="Y415" s="256"/>
      <c r="Z415" s="256"/>
    </row>
    <row r="416">
      <c r="A416" s="256"/>
      <c r="B416" s="256"/>
      <c r="C416" s="256"/>
      <c r="D416" s="256"/>
      <c r="E416" s="256"/>
      <c r="F416" s="310"/>
      <c r="G416" s="256"/>
      <c r="H416" s="256"/>
      <c r="I416" s="256"/>
      <c r="J416" s="256"/>
      <c r="K416" s="256"/>
      <c r="L416" s="256"/>
      <c r="M416" s="256"/>
      <c r="N416" s="256"/>
      <c r="O416" s="256"/>
      <c r="P416" s="256"/>
      <c r="Q416" s="256"/>
      <c r="R416" s="256"/>
      <c r="S416" s="256"/>
      <c r="T416" s="256"/>
      <c r="U416" s="256"/>
      <c r="V416" s="256"/>
      <c r="W416" s="256"/>
      <c r="X416" s="256"/>
      <c r="Y416" s="256"/>
      <c r="Z416" s="256"/>
    </row>
    <row r="417">
      <c r="A417" s="256"/>
      <c r="B417" s="256"/>
      <c r="C417" s="256"/>
      <c r="D417" s="256"/>
      <c r="E417" s="256"/>
      <c r="F417" s="310"/>
      <c r="G417" s="256"/>
      <c r="H417" s="256"/>
      <c r="I417" s="256"/>
      <c r="J417" s="256"/>
      <c r="K417" s="256"/>
      <c r="L417" s="256"/>
      <c r="M417" s="256"/>
      <c r="N417" s="256"/>
      <c r="O417" s="256"/>
      <c r="P417" s="256"/>
      <c r="Q417" s="256"/>
      <c r="R417" s="256"/>
      <c r="S417" s="256"/>
      <c r="T417" s="256"/>
      <c r="U417" s="256"/>
      <c r="V417" s="256"/>
      <c r="W417" s="256"/>
      <c r="X417" s="256"/>
      <c r="Y417" s="256"/>
      <c r="Z417" s="256"/>
    </row>
    <row r="418">
      <c r="A418" s="256"/>
      <c r="B418" s="256"/>
      <c r="C418" s="256"/>
      <c r="D418" s="256"/>
      <c r="E418" s="256"/>
      <c r="F418" s="310"/>
      <c r="G418" s="256"/>
      <c r="H418" s="256"/>
      <c r="I418" s="256"/>
      <c r="J418" s="256"/>
      <c r="K418" s="256"/>
      <c r="L418" s="256"/>
      <c r="M418" s="256"/>
      <c r="N418" s="256"/>
      <c r="O418" s="256"/>
      <c r="P418" s="256"/>
      <c r="Q418" s="256"/>
      <c r="R418" s="256"/>
      <c r="S418" s="256"/>
      <c r="T418" s="256"/>
      <c r="U418" s="256"/>
      <c r="V418" s="256"/>
      <c r="W418" s="256"/>
      <c r="X418" s="256"/>
      <c r="Y418" s="256"/>
      <c r="Z418" s="256"/>
    </row>
    <row r="419">
      <c r="A419" s="256"/>
      <c r="B419" s="256"/>
      <c r="C419" s="256"/>
      <c r="D419" s="256"/>
      <c r="E419" s="256"/>
      <c r="F419" s="310"/>
      <c r="G419" s="256"/>
      <c r="H419" s="256"/>
      <c r="I419" s="256"/>
      <c r="J419" s="256"/>
      <c r="K419" s="256"/>
      <c r="L419" s="256"/>
      <c r="M419" s="256"/>
      <c r="N419" s="256"/>
      <c r="O419" s="256"/>
      <c r="P419" s="256"/>
      <c r="Q419" s="256"/>
      <c r="R419" s="256"/>
      <c r="S419" s="256"/>
      <c r="T419" s="256"/>
      <c r="U419" s="256"/>
      <c r="V419" s="256"/>
      <c r="W419" s="256"/>
      <c r="X419" s="256"/>
      <c r="Y419" s="256"/>
      <c r="Z419" s="256"/>
    </row>
    <row r="420">
      <c r="A420" s="256"/>
      <c r="B420" s="256"/>
      <c r="C420" s="256"/>
      <c r="D420" s="256"/>
      <c r="E420" s="256"/>
      <c r="F420" s="310"/>
      <c r="G420" s="256"/>
      <c r="H420" s="256"/>
      <c r="I420" s="256"/>
      <c r="J420" s="256"/>
      <c r="K420" s="256"/>
      <c r="L420" s="256"/>
      <c r="M420" s="256"/>
      <c r="N420" s="256"/>
      <c r="O420" s="256"/>
      <c r="P420" s="256"/>
      <c r="Q420" s="256"/>
      <c r="R420" s="256"/>
      <c r="S420" s="256"/>
      <c r="T420" s="256"/>
      <c r="U420" s="256"/>
      <c r="V420" s="256"/>
      <c r="W420" s="256"/>
      <c r="X420" s="256"/>
      <c r="Y420" s="256"/>
      <c r="Z420" s="256"/>
    </row>
    <row r="421">
      <c r="A421" s="256"/>
      <c r="B421" s="256"/>
      <c r="C421" s="256"/>
      <c r="D421" s="256"/>
      <c r="E421" s="256"/>
      <c r="F421" s="310"/>
      <c r="G421" s="256"/>
      <c r="H421" s="256"/>
      <c r="I421" s="256"/>
      <c r="J421" s="256"/>
      <c r="K421" s="256"/>
      <c r="L421" s="256"/>
      <c r="M421" s="256"/>
      <c r="N421" s="256"/>
      <c r="O421" s="256"/>
      <c r="P421" s="256"/>
      <c r="Q421" s="256"/>
      <c r="R421" s="256"/>
      <c r="S421" s="256"/>
      <c r="T421" s="256"/>
      <c r="U421" s="256"/>
      <c r="V421" s="256"/>
      <c r="W421" s="256"/>
      <c r="X421" s="256"/>
      <c r="Y421" s="256"/>
      <c r="Z421" s="256"/>
    </row>
    <row r="422">
      <c r="A422" s="256"/>
      <c r="B422" s="256"/>
      <c r="C422" s="256"/>
      <c r="D422" s="256"/>
      <c r="E422" s="256"/>
      <c r="F422" s="310"/>
      <c r="G422" s="256"/>
      <c r="H422" s="256"/>
      <c r="I422" s="256"/>
      <c r="J422" s="256"/>
      <c r="K422" s="256"/>
      <c r="L422" s="256"/>
      <c r="M422" s="256"/>
      <c r="N422" s="256"/>
      <c r="O422" s="256"/>
      <c r="P422" s="256"/>
      <c r="Q422" s="256"/>
      <c r="R422" s="256"/>
      <c r="S422" s="256"/>
      <c r="T422" s="256"/>
      <c r="U422" s="256"/>
      <c r="V422" s="256"/>
      <c r="W422" s="256"/>
      <c r="X422" s="256"/>
      <c r="Y422" s="256"/>
      <c r="Z422" s="256"/>
    </row>
    <row r="423">
      <c r="A423" s="256"/>
      <c r="B423" s="256"/>
      <c r="C423" s="256"/>
      <c r="D423" s="256"/>
      <c r="E423" s="256"/>
      <c r="F423" s="310"/>
      <c r="G423" s="256"/>
      <c r="H423" s="256"/>
      <c r="I423" s="256"/>
      <c r="J423" s="256"/>
      <c r="K423" s="256"/>
      <c r="L423" s="256"/>
      <c r="M423" s="256"/>
      <c r="N423" s="256"/>
      <c r="O423" s="256"/>
      <c r="P423" s="256"/>
      <c r="Q423" s="256"/>
      <c r="R423" s="256"/>
      <c r="S423" s="256"/>
      <c r="T423" s="256"/>
      <c r="U423" s="256"/>
      <c r="V423" s="256"/>
      <c r="W423" s="256"/>
      <c r="X423" s="256"/>
      <c r="Y423" s="256"/>
      <c r="Z423" s="256"/>
    </row>
    <row r="424">
      <c r="A424" s="256"/>
      <c r="B424" s="256"/>
      <c r="C424" s="256"/>
      <c r="D424" s="256"/>
      <c r="E424" s="256"/>
      <c r="F424" s="310"/>
      <c r="G424" s="256"/>
      <c r="H424" s="256"/>
      <c r="I424" s="256"/>
      <c r="J424" s="256"/>
      <c r="K424" s="256"/>
      <c r="L424" s="256"/>
      <c r="M424" s="256"/>
      <c r="N424" s="256"/>
      <c r="O424" s="256"/>
      <c r="P424" s="256"/>
      <c r="Q424" s="256"/>
      <c r="R424" s="256"/>
      <c r="S424" s="256"/>
      <c r="T424" s="256"/>
      <c r="U424" s="256"/>
      <c r="V424" s="256"/>
      <c r="W424" s="256"/>
      <c r="X424" s="256"/>
      <c r="Y424" s="256"/>
      <c r="Z424" s="256"/>
    </row>
    <row r="425">
      <c r="A425" s="256"/>
      <c r="B425" s="256"/>
      <c r="C425" s="256"/>
      <c r="D425" s="256"/>
      <c r="E425" s="256"/>
      <c r="F425" s="310"/>
      <c r="G425" s="256"/>
      <c r="H425" s="256"/>
      <c r="I425" s="256"/>
      <c r="J425" s="256"/>
      <c r="K425" s="256"/>
      <c r="L425" s="256"/>
      <c r="M425" s="256"/>
      <c r="N425" s="256"/>
      <c r="O425" s="256"/>
      <c r="P425" s="256"/>
      <c r="Q425" s="256"/>
      <c r="R425" s="256"/>
      <c r="S425" s="256"/>
      <c r="T425" s="256"/>
      <c r="U425" s="256"/>
      <c r="V425" s="256"/>
      <c r="W425" s="256"/>
      <c r="X425" s="256"/>
      <c r="Y425" s="256"/>
      <c r="Z425" s="256"/>
    </row>
    <row r="426">
      <c r="A426" s="256"/>
      <c r="B426" s="256"/>
      <c r="C426" s="256"/>
      <c r="D426" s="256"/>
      <c r="E426" s="256"/>
      <c r="F426" s="310"/>
      <c r="G426" s="256"/>
      <c r="H426" s="256"/>
      <c r="I426" s="256"/>
      <c r="J426" s="256"/>
      <c r="K426" s="256"/>
      <c r="L426" s="256"/>
      <c r="M426" s="256"/>
      <c r="N426" s="256"/>
      <c r="O426" s="256"/>
      <c r="P426" s="256"/>
      <c r="Q426" s="256"/>
      <c r="R426" s="256"/>
      <c r="S426" s="256"/>
      <c r="T426" s="256"/>
      <c r="U426" s="256"/>
      <c r="V426" s="256"/>
      <c r="W426" s="256"/>
      <c r="X426" s="256"/>
      <c r="Y426" s="256"/>
      <c r="Z426" s="256"/>
    </row>
    <row r="427">
      <c r="A427" s="256"/>
      <c r="B427" s="256"/>
      <c r="C427" s="256"/>
      <c r="D427" s="256"/>
      <c r="E427" s="256"/>
      <c r="F427" s="310"/>
      <c r="G427" s="256"/>
      <c r="H427" s="256"/>
      <c r="I427" s="256"/>
      <c r="J427" s="256"/>
      <c r="K427" s="256"/>
      <c r="L427" s="256"/>
      <c r="M427" s="256"/>
      <c r="N427" s="256"/>
      <c r="O427" s="256"/>
      <c r="P427" s="256"/>
      <c r="Q427" s="256"/>
      <c r="R427" s="256"/>
      <c r="S427" s="256"/>
      <c r="T427" s="256"/>
      <c r="U427" s="256"/>
      <c r="V427" s="256"/>
      <c r="W427" s="256"/>
      <c r="X427" s="256"/>
      <c r="Y427" s="256"/>
      <c r="Z427" s="256"/>
    </row>
    <row r="428">
      <c r="A428" s="256"/>
      <c r="B428" s="256"/>
      <c r="C428" s="256"/>
      <c r="D428" s="256"/>
      <c r="E428" s="256"/>
      <c r="F428" s="310"/>
      <c r="G428" s="256"/>
      <c r="H428" s="256"/>
      <c r="I428" s="256"/>
      <c r="J428" s="256"/>
      <c r="K428" s="256"/>
      <c r="L428" s="256"/>
      <c r="M428" s="256"/>
      <c r="N428" s="256"/>
      <c r="O428" s="256"/>
      <c r="P428" s="256"/>
      <c r="Q428" s="256"/>
      <c r="R428" s="256"/>
      <c r="S428" s="256"/>
      <c r="T428" s="256"/>
      <c r="U428" s="256"/>
      <c r="V428" s="256"/>
      <c r="W428" s="256"/>
      <c r="X428" s="256"/>
      <c r="Y428" s="256"/>
      <c r="Z428" s="256"/>
    </row>
    <row r="429">
      <c r="A429" s="256"/>
      <c r="B429" s="256"/>
      <c r="C429" s="256"/>
      <c r="D429" s="256"/>
      <c r="E429" s="256"/>
      <c r="F429" s="310"/>
      <c r="G429" s="256"/>
      <c r="H429" s="256"/>
      <c r="I429" s="256"/>
      <c r="J429" s="256"/>
      <c r="K429" s="256"/>
      <c r="L429" s="256"/>
      <c r="M429" s="256"/>
      <c r="N429" s="256"/>
      <c r="O429" s="256"/>
      <c r="P429" s="256"/>
      <c r="Q429" s="256"/>
      <c r="R429" s="256"/>
      <c r="S429" s="256"/>
      <c r="T429" s="256"/>
      <c r="U429" s="256"/>
      <c r="V429" s="256"/>
      <c r="W429" s="256"/>
      <c r="X429" s="256"/>
      <c r="Y429" s="256"/>
      <c r="Z429" s="256"/>
    </row>
    <row r="430">
      <c r="A430" s="256"/>
      <c r="B430" s="256"/>
      <c r="C430" s="256"/>
      <c r="D430" s="256"/>
      <c r="E430" s="256"/>
      <c r="F430" s="310"/>
      <c r="G430" s="256"/>
      <c r="H430" s="256"/>
      <c r="I430" s="256"/>
      <c r="J430" s="256"/>
      <c r="K430" s="256"/>
      <c r="L430" s="256"/>
      <c r="M430" s="256"/>
      <c r="N430" s="256"/>
      <c r="O430" s="256"/>
      <c r="P430" s="256"/>
      <c r="Q430" s="256"/>
      <c r="R430" s="256"/>
      <c r="S430" s="256"/>
      <c r="T430" s="256"/>
      <c r="U430" s="256"/>
      <c r="V430" s="256"/>
      <c r="W430" s="256"/>
      <c r="X430" s="256"/>
      <c r="Y430" s="256"/>
      <c r="Z430" s="256"/>
    </row>
    <row r="431">
      <c r="A431" s="256"/>
      <c r="B431" s="256"/>
      <c r="C431" s="256"/>
      <c r="D431" s="256"/>
      <c r="E431" s="256"/>
      <c r="F431" s="310"/>
      <c r="G431" s="256"/>
      <c r="H431" s="256"/>
      <c r="I431" s="256"/>
      <c r="J431" s="256"/>
      <c r="K431" s="256"/>
      <c r="L431" s="256"/>
      <c r="M431" s="256"/>
      <c r="N431" s="256"/>
      <c r="O431" s="256"/>
      <c r="P431" s="256"/>
      <c r="Q431" s="256"/>
      <c r="R431" s="256"/>
      <c r="S431" s="256"/>
      <c r="T431" s="256"/>
      <c r="U431" s="256"/>
      <c r="V431" s="256"/>
      <c r="W431" s="256"/>
      <c r="X431" s="256"/>
      <c r="Y431" s="256"/>
      <c r="Z431" s="256"/>
    </row>
    <row r="432">
      <c r="A432" s="256"/>
      <c r="B432" s="256"/>
      <c r="C432" s="256"/>
      <c r="D432" s="256"/>
      <c r="E432" s="256"/>
      <c r="F432" s="310"/>
      <c r="G432" s="256"/>
      <c r="H432" s="256"/>
      <c r="I432" s="256"/>
      <c r="J432" s="256"/>
      <c r="K432" s="256"/>
      <c r="L432" s="256"/>
      <c r="M432" s="256"/>
      <c r="N432" s="256"/>
      <c r="O432" s="256"/>
      <c r="P432" s="256"/>
      <c r="Q432" s="256"/>
      <c r="R432" s="256"/>
      <c r="S432" s="256"/>
      <c r="T432" s="256"/>
      <c r="U432" s="256"/>
      <c r="V432" s="256"/>
      <c r="W432" s="256"/>
      <c r="X432" s="256"/>
      <c r="Y432" s="256"/>
      <c r="Z432" s="256"/>
    </row>
    <row r="433">
      <c r="A433" s="256"/>
      <c r="B433" s="256"/>
      <c r="C433" s="256"/>
      <c r="D433" s="256"/>
      <c r="E433" s="256"/>
      <c r="F433" s="310"/>
      <c r="G433" s="256"/>
      <c r="H433" s="256"/>
      <c r="I433" s="256"/>
      <c r="J433" s="256"/>
      <c r="K433" s="256"/>
      <c r="L433" s="256"/>
      <c r="M433" s="256"/>
      <c r="N433" s="256"/>
      <c r="O433" s="256"/>
      <c r="P433" s="256"/>
      <c r="Q433" s="256"/>
      <c r="R433" s="256"/>
      <c r="S433" s="256"/>
      <c r="T433" s="256"/>
      <c r="U433" s="256"/>
      <c r="V433" s="256"/>
      <c r="W433" s="256"/>
      <c r="X433" s="256"/>
      <c r="Y433" s="256"/>
      <c r="Z433" s="256"/>
    </row>
    <row r="434">
      <c r="A434" s="256"/>
      <c r="B434" s="256"/>
      <c r="C434" s="256"/>
      <c r="D434" s="256"/>
      <c r="E434" s="256"/>
      <c r="F434" s="310"/>
      <c r="G434" s="256"/>
      <c r="H434" s="256"/>
      <c r="I434" s="256"/>
      <c r="J434" s="256"/>
      <c r="K434" s="256"/>
      <c r="L434" s="256"/>
      <c r="M434" s="256"/>
      <c r="N434" s="256"/>
      <c r="O434" s="256"/>
      <c r="P434" s="256"/>
      <c r="Q434" s="256"/>
      <c r="R434" s="256"/>
      <c r="S434" s="256"/>
      <c r="T434" s="256"/>
      <c r="U434" s="256"/>
      <c r="V434" s="256"/>
      <c r="W434" s="256"/>
      <c r="X434" s="256"/>
      <c r="Y434" s="256"/>
      <c r="Z434" s="256"/>
    </row>
    <row r="435">
      <c r="A435" s="256"/>
      <c r="B435" s="256"/>
      <c r="C435" s="256"/>
      <c r="D435" s="256"/>
      <c r="E435" s="256"/>
      <c r="F435" s="310"/>
      <c r="G435" s="256"/>
      <c r="H435" s="256"/>
      <c r="I435" s="256"/>
      <c r="J435" s="256"/>
      <c r="K435" s="256"/>
      <c r="L435" s="256"/>
      <c r="M435" s="256"/>
      <c r="N435" s="256"/>
      <c r="O435" s="256"/>
      <c r="P435" s="256"/>
      <c r="Q435" s="256"/>
      <c r="R435" s="256"/>
      <c r="S435" s="256"/>
      <c r="T435" s="256"/>
      <c r="U435" s="256"/>
      <c r="V435" s="256"/>
      <c r="W435" s="256"/>
      <c r="X435" s="256"/>
      <c r="Y435" s="256"/>
      <c r="Z435" s="256"/>
    </row>
    <row r="436">
      <c r="A436" s="256"/>
      <c r="B436" s="256"/>
      <c r="C436" s="256"/>
      <c r="D436" s="256"/>
      <c r="E436" s="256"/>
      <c r="F436" s="310"/>
      <c r="G436" s="256"/>
      <c r="H436" s="256"/>
      <c r="I436" s="256"/>
      <c r="J436" s="256"/>
      <c r="K436" s="256"/>
      <c r="L436" s="256"/>
      <c r="M436" s="256"/>
      <c r="N436" s="256"/>
      <c r="O436" s="256"/>
      <c r="P436" s="256"/>
      <c r="Q436" s="256"/>
      <c r="R436" s="256"/>
      <c r="S436" s="256"/>
      <c r="T436" s="256"/>
      <c r="U436" s="256"/>
      <c r="V436" s="256"/>
      <c r="W436" s="256"/>
      <c r="X436" s="256"/>
      <c r="Y436" s="256"/>
      <c r="Z436" s="256"/>
    </row>
    <row r="437">
      <c r="A437" s="256"/>
      <c r="B437" s="256"/>
      <c r="C437" s="256"/>
      <c r="D437" s="256"/>
      <c r="E437" s="256"/>
      <c r="F437" s="310"/>
      <c r="G437" s="256"/>
      <c r="H437" s="256"/>
      <c r="I437" s="256"/>
      <c r="J437" s="256"/>
      <c r="K437" s="256"/>
      <c r="L437" s="256"/>
      <c r="M437" s="256"/>
      <c r="N437" s="256"/>
      <c r="O437" s="256"/>
      <c r="P437" s="256"/>
      <c r="Q437" s="256"/>
      <c r="R437" s="256"/>
      <c r="S437" s="256"/>
      <c r="T437" s="256"/>
      <c r="U437" s="256"/>
      <c r="V437" s="256"/>
      <c r="W437" s="256"/>
      <c r="X437" s="256"/>
      <c r="Y437" s="256"/>
      <c r="Z437" s="256"/>
    </row>
    <row r="438">
      <c r="A438" s="256"/>
      <c r="B438" s="256"/>
      <c r="C438" s="256"/>
      <c r="D438" s="256"/>
      <c r="E438" s="256"/>
      <c r="F438" s="310"/>
      <c r="G438" s="256"/>
      <c r="H438" s="256"/>
      <c r="I438" s="256"/>
      <c r="J438" s="256"/>
      <c r="K438" s="256"/>
      <c r="L438" s="256"/>
      <c r="M438" s="256"/>
      <c r="N438" s="256"/>
      <c r="O438" s="256"/>
      <c r="P438" s="256"/>
      <c r="Q438" s="256"/>
      <c r="R438" s="256"/>
      <c r="S438" s="256"/>
      <c r="T438" s="256"/>
      <c r="U438" s="256"/>
      <c r="V438" s="256"/>
      <c r="W438" s="256"/>
      <c r="X438" s="256"/>
      <c r="Y438" s="256"/>
      <c r="Z438" s="256"/>
    </row>
    <row r="439">
      <c r="A439" s="256"/>
      <c r="B439" s="256"/>
      <c r="C439" s="256"/>
      <c r="D439" s="256"/>
      <c r="E439" s="256"/>
      <c r="F439" s="310"/>
      <c r="G439" s="256"/>
      <c r="H439" s="256"/>
      <c r="I439" s="256"/>
      <c r="J439" s="256"/>
      <c r="K439" s="256"/>
      <c r="L439" s="256"/>
      <c r="M439" s="256"/>
      <c r="N439" s="256"/>
      <c r="O439" s="256"/>
      <c r="P439" s="256"/>
      <c r="Q439" s="256"/>
      <c r="R439" s="256"/>
      <c r="S439" s="256"/>
      <c r="T439" s="256"/>
      <c r="U439" s="256"/>
      <c r="V439" s="256"/>
      <c r="W439" s="256"/>
      <c r="X439" s="256"/>
      <c r="Y439" s="256"/>
      <c r="Z439" s="256"/>
    </row>
    <row r="440">
      <c r="A440" s="256"/>
      <c r="B440" s="256"/>
      <c r="C440" s="256"/>
      <c r="D440" s="256"/>
      <c r="E440" s="256"/>
      <c r="F440" s="310"/>
      <c r="G440" s="256"/>
      <c r="H440" s="256"/>
      <c r="I440" s="256"/>
      <c r="J440" s="256"/>
      <c r="K440" s="256"/>
      <c r="L440" s="256"/>
      <c r="M440" s="256"/>
      <c r="N440" s="256"/>
      <c r="O440" s="256"/>
      <c r="P440" s="256"/>
      <c r="Q440" s="256"/>
      <c r="R440" s="256"/>
      <c r="S440" s="256"/>
      <c r="T440" s="256"/>
      <c r="U440" s="256"/>
      <c r="V440" s="256"/>
      <c r="W440" s="256"/>
      <c r="X440" s="256"/>
      <c r="Y440" s="256"/>
      <c r="Z440" s="256"/>
    </row>
    <row r="441">
      <c r="A441" s="256"/>
      <c r="B441" s="256"/>
      <c r="C441" s="256"/>
      <c r="D441" s="256"/>
      <c r="E441" s="256"/>
      <c r="F441" s="310"/>
      <c r="G441" s="256"/>
      <c r="H441" s="256"/>
      <c r="I441" s="256"/>
      <c r="J441" s="256"/>
      <c r="K441" s="256"/>
      <c r="L441" s="256"/>
      <c r="M441" s="256"/>
      <c r="N441" s="256"/>
      <c r="O441" s="256"/>
      <c r="P441" s="256"/>
      <c r="Q441" s="256"/>
      <c r="R441" s="256"/>
      <c r="S441" s="256"/>
      <c r="T441" s="256"/>
      <c r="U441" s="256"/>
      <c r="V441" s="256"/>
      <c r="W441" s="256"/>
      <c r="X441" s="256"/>
      <c r="Y441" s="256"/>
      <c r="Z441" s="256"/>
    </row>
    <row r="442">
      <c r="A442" s="256"/>
      <c r="B442" s="256"/>
      <c r="C442" s="256"/>
      <c r="D442" s="256"/>
      <c r="E442" s="256"/>
      <c r="F442" s="310"/>
      <c r="G442" s="256"/>
      <c r="H442" s="256"/>
      <c r="I442" s="256"/>
      <c r="J442" s="256"/>
      <c r="K442" s="256"/>
      <c r="L442" s="256"/>
      <c r="M442" s="256"/>
      <c r="N442" s="256"/>
      <c r="O442" s="256"/>
      <c r="P442" s="256"/>
      <c r="Q442" s="256"/>
      <c r="R442" s="256"/>
      <c r="S442" s="256"/>
      <c r="T442" s="256"/>
      <c r="U442" s="256"/>
      <c r="V442" s="256"/>
      <c r="W442" s="256"/>
      <c r="X442" s="256"/>
      <c r="Y442" s="256"/>
      <c r="Z442" s="256"/>
    </row>
    <row r="443">
      <c r="A443" s="256"/>
      <c r="B443" s="256"/>
      <c r="C443" s="256"/>
      <c r="D443" s="256"/>
      <c r="E443" s="256"/>
      <c r="F443" s="310"/>
      <c r="G443" s="256"/>
      <c r="H443" s="256"/>
      <c r="I443" s="256"/>
      <c r="J443" s="256"/>
      <c r="K443" s="256"/>
      <c r="L443" s="256"/>
      <c r="M443" s="256"/>
      <c r="N443" s="256"/>
      <c r="O443" s="256"/>
      <c r="P443" s="256"/>
      <c r="Q443" s="256"/>
      <c r="R443" s="256"/>
      <c r="S443" s="256"/>
      <c r="T443" s="256"/>
      <c r="U443" s="256"/>
      <c r="V443" s="256"/>
      <c r="W443" s="256"/>
      <c r="X443" s="256"/>
      <c r="Y443" s="256"/>
      <c r="Z443" s="256"/>
    </row>
    <row r="444">
      <c r="A444" s="256"/>
      <c r="B444" s="256"/>
      <c r="C444" s="256"/>
      <c r="D444" s="256"/>
      <c r="E444" s="256"/>
      <c r="F444" s="310"/>
      <c r="G444" s="256"/>
      <c r="H444" s="256"/>
      <c r="I444" s="256"/>
      <c r="J444" s="256"/>
      <c r="K444" s="256"/>
      <c r="L444" s="256"/>
      <c r="M444" s="256"/>
      <c r="N444" s="256"/>
      <c r="O444" s="256"/>
      <c r="P444" s="256"/>
      <c r="Q444" s="256"/>
      <c r="R444" s="256"/>
      <c r="S444" s="256"/>
      <c r="T444" s="256"/>
      <c r="U444" s="256"/>
      <c r="V444" s="256"/>
      <c r="W444" s="256"/>
      <c r="X444" s="256"/>
      <c r="Y444" s="256"/>
      <c r="Z444" s="256"/>
    </row>
    <row r="445">
      <c r="A445" s="256"/>
      <c r="B445" s="256"/>
      <c r="C445" s="256"/>
      <c r="D445" s="256"/>
      <c r="E445" s="256"/>
      <c r="F445" s="310"/>
      <c r="G445" s="256"/>
      <c r="H445" s="256"/>
      <c r="I445" s="256"/>
      <c r="J445" s="256"/>
      <c r="K445" s="256"/>
      <c r="L445" s="256"/>
      <c r="M445" s="256"/>
      <c r="N445" s="256"/>
      <c r="O445" s="256"/>
      <c r="P445" s="256"/>
      <c r="Q445" s="256"/>
      <c r="R445" s="256"/>
      <c r="S445" s="256"/>
      <c r="T445" s="256"/>
      <c r="U445" s="256"/>
      <c r="V445" s="256"/>
      <c r="W445" s="256"/>
      <c r="X445" s="256"/>
      <c r="Y445" s="256"/>
      <c r="Z445" s="256"/>
    </row>
    <row r="446">
      <c r="A446" s="256"/>
      <c r="B446" s="256"/>
      <c r="C446" s="256"/>
      <c r="D446" s="256"/>
      <c r="E446" s="256"/>
      <c r="F446" s="310"/>
      <c r="G446" s="256"/>
      <c r="H446" s="256"/>
      <c r="I446" s="256"/>
      <c r="J446" s="256"/>
      <c r="K446" s="256"/>
      <c r="L446" s="256"/>
      <c r="M446" s="256"/>
      <c r="N446" s="256"/>
      <c r="O446" s="256"/>
      <c r="P446" s="256"/>
      <c r="Q446" s="256"/>
      <c r="R446" s="256"/>
      <c r="S446" s="256"/>
      <c r="T446" s="256"/>
      <c r="U446" s="256"/>
      <c r="V446" s="256"/>
      <c r="W446" s="256"/>
      <c r="X446" s="256"/>
      <c r="Y446" s="256"/>
      <c r="Z446" s="256"/>
    </row>
    <row r="447">
      <c r="A447" s="256"/>
      <c r="B447" s="256"/>
      <c r="C447" s="256"/>
      <c r="D447" s="256"/>
      <c r="E447" s="256"/>
      <c r="F447" s="310"/>
      <c r="G447" s="256"/>
      <c r="H447" s="256"/>
      <c r="I447" s="256"/>
      <c r="J447" s="256"/>
      <c r="K447" s="256"/>
      <c r="L447" s="256"/>
      <c r="M447" s="256"/>
      <c r="N447" s="256"/>
      <c r="O447" s="256"/>
      <c r="P447" s="256"/>
      <c r="Q447" s="256"/>
      <c r="R447" s="256"/>
      <c r="S447" s="256"/>
      <c r="T447" s="256"/>
      <c r="U447" s="256"/>
      <c r="V447" s="256"/>
      <c r="W447" s="256"/>
      <c r="X447" s="256"/>
      <c r="Y447" s="256"/>
      <c r="Z447" s="256"/>
    </row>
    <row r="448">
      <c r="A448" s="256"/>
      <c r="B448" s="256"/>
      <c r="C448" s="256"/>
      <c r="D448" s="256"/>
      <c r="E448" s="256"/>
      <c r="F448" s="310"/>
      <c r="G448" s="256"/>
      <c r="H448" s="256"/>
      <c r="I448" s="256"/>
      <c r="J448" s="256"/>
      <c r="K448" s="256"/>
      <c r="L448" s="256"/>
      <c r="M448" s="256"/>
      <c r="N448" s="256"/>
      <c r="O448" s="256"/>
      <c r="P448" s="256"/>
      <c r="Q448" s="256"/>
      <c r="R448" s="256"/>
      <c r="S448" s="256"/>
      <c r="T448" s="256"/>
      <c r="U448" s="256"/>
      <c r="V448" s="256"/>
      <c r="W448" s="256"/>
      <c r="X448" s="256"/>
      <c r="Y448" s="256"/>
      <c r="Z448" s="256"/>
    </row>
    <row r="449">
      <c r="A449" s="256"/>
      <c r="B449" s="256"/>
      <c r="C449" s="256"/>
      <c r="D449" s="256"/>
      <c r="E449" s="256"/>
      <c r="F449" s="310"/>
      <c r="G449" s="256"/>
      <c r="H449" s="256"/>
      <c r="I449" s="256"/>
      <c r="J449" s="256"/>
      <c r="K449" s="256"/>
      <c r="L449" s="256"/>
      <c r="M449" s="256"/>
      <c r="N449" s="256"/>
      <c r="O449" s="256"/>
      <c r="P449" s="256"/>
      <c r="Q449" s="256"/>
      <c r="R449" s="256"/>
      <c r="S449" s="256"/>
      <c r="T449" s="256"/>
      <c r="U449" s="256"/>
      <c r="V449" s="256"/>
      <c r="W449" s="256"/>
      <c r="X449" s="256"/>
      <c r="Y449" s="256"/>
      <c r="Z449" s="256"/>
    </row>
    <row r="450">
      <c r="A450" s="256"/>
      <c r="B450" s="256"/>
      <c r="C450" s="256"/>
      <c r="D450" s="256"/>
      <c r="E450" s="256"/>
      <c r="F450" s="310"/>
      <c r="G450" s="256"/>
      <c r="H450" s="256"/>
      <c r="I450" s="256"/>
      <c r="J450" s="256"/>
      <c r="K450" s="256"/>
      <c r="L450" s="256"/>
      <c r="M450" s="256"/>
      <c r="N450" s="256"/>
      <c r="O450" s="256"/>
      <c r="P450" s="256"/>
      <c r="Q450" s="256"/>
      <c r="R450" s="256"/>
      <c r="S450" s="256"/>
      <c r="T450" s="256"/>
      <c r="U450" s="256"/>
      <c r="V450" s="256"/>
      <c r="W450" s="256"/>
      <c r="X450" s="256"/>
      <c r="Y450" s="256"/>
      <c r="Z450" s="256"/>
    </row>
    <row r="451">
      <c r="A451" s="256"/>
      <c r="B451" s="256"/>
      <c r="C451" s="256"/>
      <c r="D451" s="256"/>
      <c r="E451" s="256"/>
      <c r="F451" s="310"/>
      <c r="G451" s="256"/>
      <c r="H451" s="256"/>
      <c r="I451" s="256"/>
      <c r="J451" s="256"/>
      <c r="K451" s="256"/>
      <c r="L451" s="256"/>
      <c r="M451" s="256"/>
      <c r="N451" s="256"/>
      <c r="O451" s="256"/>
      <c r="P451" s="256"/>
      <c r="Q451" s="256"/>
      <c r="R451" s="256"/>
      <c r="S451" s="256"/>
      <c r="T451" s="256"/>
      <c r="U451" s="256"/>
      <c r="V451" s="256"/>
      <c r="W451" s="256"/>
      <c r="X451" s="256"/>
      <c r="Y451" s="256"/>
      <c r="Z451" s="256"/>
    </row>
    <row r="452">
      <c r="A452" s="256"/>
      <c r="B452" s="256"/>
      <c r="C452" s="256"/>
      <c r="D452" s="256"/>
      <c r="E452" s="256"/>
      <c r="F452" s="310"/>
      <c r="G452" s="256"/>
      <c r="H452" s="256"/>
      <c r="I452" s="256"/>
      <c r="J452" s="256"/>
      <c r="K452" s="256"/>
      <c r="L452" s="256"/>
      <c r="M452" s="256"/>
      <c r="N452" s="256"/>
      <c r="O452" s="256"/>
      <c r="P452" s="256"/>
      <c r="Q452" s="256"/>
      <c r="R452" s="256"/>
      <c r="S452" s="256"/>
      <c r="T452" s="256"/>
      <c r="U452" s="256"/>
      <c r="V452" s="256"/>
      <c r="W452" s="256"/>
      <c r="X452" s="256"/>
      <c r="Y452" s="256"/>
      <c r="Z452" s="256"/>
    </row>
    <row r="453">
      <c r="A453" s="256"/>
      <c r="B453" s="256"/>
      <c r="C453" s="256"/>
      <c r="D453" s="256"/>
      <c r="E453" s="256"/>
      <c r="F453" s="310"/>
      <c r="G453" s="256"/>
      <c r="H453" s="256"/>
      <c r="I453" s="256"/>
      <c r="J453" s="256"/>
      <c r="K453" s="256"/>
      <c r="L453" s="256"/>
      <c r="M453" s="256"/>
      <c r="N453" s="256"/>
      <c r="O453" s="256"/>
      <c r="P453" s="256"/>
      <c r="Q453" s="256"/>
      <c r="R453" s="256"/>
      <c r="S453" s="256"/>
      <c r="T453" s="256"/>
      <c r="U453" s="256"/>
      <c r="V453" s="256"/>
      <c r="W453" s="256"/>
      <c r="X453" s="256"/>
      <c r="Y453" s="256"/>
      <c r="Z453" s="256"/>
    </row>
    <row r="454">
      <c r="A454" s="256"/>
      <c r="B454" s="256"/>
      <c r="C454" s="256"/>
      <c r="D454" s="256"/>
      <c r="E454" s="256"/>
      <c r="F454" s="310"/>
      <c r="G454" s="256"/>
      <c r="H454" s="256"/>
      <c r="I454" s="256"/>
      <c r="J454" s="256"/>
      <c r="K454" s="256"/>
      <c r="L454" s="256"/>
      <c r="M454" s="256"/>
      <c r="N454" s="256"/>
      <c r="O454" s="256"/>
      <c r="P454" s="256"/>
      <c r="Q454" s="256"/>
      <c r="R454" s="256"/>
      <c r="S454" s="256"/>
      <c r="T454" s="256"/>
      <c r="U454" s="256"/>
      <c r="V454" s="256"/>
      <c r="W454" s="256"/>
      <c r="X454" s="256"/>
      <c r="Y454" s="256"/>
      <c r="Z454" s="256"/>
    </row>
    <row r="455">
      <c r="A455" s="256"/>
      <c r="B455" s="256"/>
      <c r="C455" s="256"/>
      <c r="D455" s="256"/>
      <c r="E455" s="256"/>
      <c r="F455" s="310"/>
      <c r="G455" s="256"/>
      <c r="H455" s="256"/>
      <c r="I455" s="256"/>
      <c r="J455" s="256"/>
      <c r="K455" s="256"/>
      <c r="L455" s="256"/>
      <c r="M455" s="256"/>
      <c r="N455" s="256"/>
      <c r="O455" s="256"/>
      <c r="P455" s="256"/>
      <c r="Q455" s="256"/>
      <c r="R455" s="256"/>
      <c r="S455" s="256"/>
      <c r="T455" s="256"/>
      <c r="U455" s="256"/>
      <c r="V455" s="256"/>
      <c r="W455" s="256"/>
      <c r="X455" s="256"/>
      <c r="Y455" s="256"/>
      <c r="Z455" s="256"/>
    </row>
    <row r="456">
      <c r="A456" s="256"/>
      <c r="B456" s="256"/>
      <c r="C456" s="256"/>
      <c r="D456" s="256"/>
      <c r="E456" s="256"/>
      <c r="F456" s="310"/>
      <c r="G456" s="256"/>
      <c r="H456" s="256"/>
      <c r="I456" s="256"/>
      <c r="J456" s="256"/>
      <c r="K456" s="256"/>
      <c r="L456" s="256"/>
      <c r="M456" s="256"/>
      <c r="N456" s="256"/>
      <c r="O456" s="256"/>
      <c r="P456" s="256"/>
      <c r="Q456" s="256"/>
      <c r="R456" s="256"/>
      <c r="S456" s="256"/>
      <c r="T456" s="256"/>
      <c r="U456" s="256"/>
      <c r="V456" s="256"/>
      <c r="W456" s="256"/>
      <c r="X456" s="256"/>
      <c r="Y456" s="256"/>
      <c r="Z456" s="256"/>
    </row>
    <row r="457">
      <c r="A457" s="256"/>
      <c r="B457" s="256"/>
      <c r="C457" s="256"/>
      <c r="D457" s="256"/>
      <c r="E457" s="256"/>
      <c r="F457" s="310"/>
      <c r="G457" s="256"/>
      <c r="H457" s="256"/>
      <c r="I457" s="256"/>
      <c r="J457" s="256"/>
      <c r="K457" s="256"/>
      <c r="L457" s="256"/>
      <c r="M457" s="256"/>
      <c r="N457" s="256"/>
      <c r="O457" s="256"/>
      <c r="P457" s="256"/>
      <c r="Q457" s="256"/>
      <c r="R457" s="256"/>
      <c r="S457" s="256"/>
      <c r="T457" s="256"/>
      <c r="U457" s="256"/>
      <c r="V457" s="256"/>
      <c r="W457" s="256"/>
      <c r="X457" s="256"/>
      <c r="Y457" s="256"/>
      <c r="Z457" s="256"/>
    </row>
    <row r="458">
      <c r="A458" s="256"/>
      <c r="B458" s="256"/>
      <c r="C458" s="256"/>
      <c r="D458" s="256"/>
      <c r="E458" s="256"/>
      <c r="F458" s="310"/>
      <c r="G458" s="256"/>
      <c r="H458" s="256"/>
      <c r="I458" s="256"/>
      <c r="J458" s="256"/>
      <c r="K458" s="256"/>
      <c r="L458" s="256"/>
      <c r="M458" s="256"/>
      <c r="N458" s="256"/>
      <c r="O458" s="256"/>
      <c r="P458" s="256"/>
      <c r="Q458" s="256"/>
      <c r="R458" s="256"/>
      <c r="S458" s="256"/>
      <c r="T458" s="256"/>
      <c r="U458" s="256"/>
      <c r="V458" s="256"/>
      <c r="W458" s="256"/>
      <c r="X458" s="256"/>
      <c r="Y458" s="256"/>
      <c r="Z458" s="256"/>
    </row>
    <row r="459">
      <c r="A459" s="256"/>
      <c r="B459" s="256"/>
      <c r="C459" s="256"/>
      <c r="D459" s="256"/>
      <c r="E459" s="256"/>
      <c r="F459" s="310"/>
      <c r="G459" s="256"/>
      <c r="H459" s="256"/>
      <c r="I459" s="256"/>
      <c r="J459" s="256"/>
      <c r="K459" s="256"/>
      <c r="L459" s="256"/>
      <c r="M459" s="256"/>
      <c r="N459" s="256"/>
      <c r="O459" s="256"/>
      <c r="P459" s="256"/>
      <c r="Q459" s="256"/>
      <c r="R459" s="256"/>
      <c r="S459" s="256"/>
      <c r="T459" s="256"/>
      <c r="U459" s="256"/>
      <c r="V459" s="256"/>
      <c r="W459" s="256"/>
      <c r="X459" s="256"/>
      <c r="Y459" s="256"/>
      <c r="Z459" s="256"/>
    </row>
    <row r="460">
      <c r="A460" s="256"/>
      <c r="B460" s="256"/>
      <c r="C460" s="256"/>
      <c r="D460" s="256"/>
      <c r="E460" s="256"/>
      <c r="F460" s="310"/>
      <c r="G460" s="256"/>
      <c r="H460" s="256"/>
      <c r="I460" s="256"/>
      <c r="J460" s="256"/>
      <c r="K460" s="256"/>
      <c r="L460" s="256"/>
      <c r="M460" s="256"/>
      <c r="N460" s="256"/>
      <c r="O460" s="256"/>
      <c r="P460" s="256"/>
      <c r="Q460" s="256"/>
      <c r="R460" s="256"/>
      <c r="S460" s="256"/>
      <c r="T460" s="256"/>
      <c r="U460" s="256"/>
      <c r="V460" s="256"/>
      <c r="W460" s="256"/>
      <c r="X460" s="256"/>
      <c r="Y460" s="256"/>
      <c r="Z460" s="256"/>
    </row>
    <row r="461">
      <c r="A461" s="256"/>
      <c r="B461" s="256"/>
      <c r="C461" s="256"/>
      <c r="D461" s="256"/>
      <c r="E461" s="256"/>
      <c r="F461" s="310"/>
      <c r="G461" s="256"/>
      <c r="H461" s="256"/>
      <c r="I461" s="256"/>
      <c r="J461" s="256"/>
      <c r="K461" s="256"/>
      <c r="L461" s="256"/>
      <c r="M461" s="256"/>
      <c r="N461" s="256"/>
      <c r="O461" s="256"/>
      <c r="P461" s="256"/>
      <c r="Q461" s="256"/>
      <c r="R461" s="256"/>
      <c r="S461" s="256"/>
      <c r="T461" s="256"/>
      <c r="U461" s="256"/>
      <c r="V461" s="256"/>
      <c r="W461" s="256"/>
      <c r="X461" s="256"/>
      <c r="Y461" s="256"/>
      <c r="Z461" s="256"/>
    </row>
    <row r="462">
      <c r="A462" s="256"/>
      <c r="B462" s="256"/>
      <c r="C462" s="256"/>
      <c r="D462" s="256"/>
      <c r="E462" s="256"/>
      <c r="F462" s="310"/>
      <c r="G462" s="256"/>
      <c r="H462" s="256"/>
      <c r="I462" s="256"/>
      <c r="J462" s="256"/>
      <c r="K462" s="256"/>
      <c r="L462" s="256"/>
      <c r="M462" s="256"/>
      <c r="N462" s="256"/>
      <c r="O462" s="256"/>
      <c r="P462" s="256"/>
      <c r="Q462" s="256"/>
      <c r="R462" s="256"/>
      <c r="S462" s="256"/>
      <c r="T462" s="256"/>
      <c r="U462" s="256"/>
      <c r="V462" s="256"/>
      <c r="W462" s="256"/>
      <c r="X462" s="256"/>
      <c r="Y462" s="256"/>
      <c r="Z462" s="256"/>
    </row>
    <row r="463">
      <c r="A463" s="256"/>
      <c r="B463" s="256"/>
      <c r="C463" s="256"/>
      <c r="D463" s="256"/>
      <c r="E463" s="256"/>
      <c r="F463" s="310"/>
      <c r="G463" s="256"/>
      <c r="H463" s="256"/>
      <c r="I463" s="256"/>
      <c r="J463" s="256"/>
      <c r="K463" s="256"/>
      <c r="L463" s="256"/>
      <c r="M463" s="256"/>
      <c r="N463" s="256"/>
      <c r="O463" s="256"/>
      <c r="P463" s="256"/>
      <c r="Q463" s="256"/>
      <c r="R463" s="256"/>
      <c r="S463" s="256"/>
      <c r="T463" s="256"/>
      <c r="U463" s="256"/>
      <c r="V463" s="256"/>
      <c r="W463" s="256"/>
      <c r="X463" s="256"/>
      <c r="Y463" s="256"/>
      <c r="Z463" s="256"/>
    </row>
    <row r="464">
      <c r="A464" s="256"/>
      <c r="B464" s="256"/>
      <c r="C464" s="256"/>
      <c r="D464" s="256"/>
      <c r="E464" s="256"/>
      <c r="F464" s="310"/>
      <c r="G464" s="256"/>
      <c r="H464" s="256"/>
      <c r="I464" s="256"/>
      <c r="J464" s="256"/>
      <c r="K464" s="256"/>
      <c r="L464" s="256"/>
      <c r="M464" s="256"/>
      <c r="N464" s="256"/>
      <c r="O464" s="256"/>
      <c r="P464" s="256"/>
      <c r="Q464" s="256"/>
      <c r="R464" s="256"/>
      <c r="S464" s="256"/>
      <c r="T464" s="256"/>
      <c r="U464" s="256"/>
      <c r="V464" s="256"/>
      <c r="W464" s="256"/>
      <c r="X464" s="256"/>
      <c r="Y464" s="256"/>
      <c r="Z464" s="256"/>
    </row>
    <row r="465">
      <c r="A465" s="256"/>
      <c r="B465" s="256"/>
      <c r="C465" s="256"/>
      <c r="D465" s="256"/>
      <c r="E465" s="256"/>
      <c r="F465" s="310"/>
      <c r="G465" s="256"/>
      <c r="H465" s="256"/>
      <c r="I465" s="256"/>
      <c r="J465" s="256"/>
      <c r="K465" s="256"/>
      <c r="L465" s="256"/>
      <c r="M465" s="256"/>
      <c r="N465" s="256"/>
      <c r="O465" s="256"/>
      <c r="P465" s="256"/>
      <c r="Q465" s="256"/>
      <c r="R465" s="256"/>
      <c r="S465" s="256"/>
      <c r="T465" s="256"/>
      <c r="U465" s="256"/>
      <c r="V465" s="256"/>
      <c r="W465" s="256"/>
      <c r="X465" s="256"/>
      <c r="Y465" s="256"/>
      <c r="Z465" s="256"/>
    </row>
    <row r="466">
      <c r="A466" s="256"/>
      <c r="B466" s="256"/>
      <c r="C466" s="256"/>
      <c r="D466" s="256"/>
      <c r="E466" s="256"/>
      <c r="F466" s="310"/>
      <c r="G466" s="256"/>
      <c r="H466" s="256"/>
      <c r="I466" s="256"/>
      <c r="J466" s="256"/>
      <c r="K466" s="256"/>
      <c r="L466" s="256"/>
      <c r="M466" s="256"/>
      <c r="N466" s="256"/>
      <c r="O466" s="256"/>
      <c r="P466" s="256"/>
      <c r="Q466" s="256"/>
      <c r="R466" s="256"/>
      <c r="S466" s="256"/>
      <c r="T466" s="256"/>
      <c r="U466" s="256"/>
      <c r="V466" s="256"/>
      <c r="W466" s="256"/>
      <c r="X466" s="256"/>
      <c r="Y466" s="256"/>
      <c r="Z466" s="256"/>
    </row>
    <row r="467">
      <c r="A467" s="256"/>
      <c r="B467" s="256"/>
      <c r="C467" s="256"/>
      <c r="D467" s="256"/>
      <c r="E467" s="256"/>
      <c r="F467" s="310"/>
      <c r="G467" s="256"/>
      <c r="H467" s="256"/>
      <c r="I467" s="256"/>
      <c r="J467" s="256"/>
      <c r="K467" s="256"/>
      <c r="L467" s="256"/>
      <c r="M467" s="256"/>
      <c r="N467" s="256"/>
      <c r="O467" s="256"/>
      <c r="P467" s="256"/>
      <c r="Q467" s="256"/>
      <c r="R467" s="256"/>
      <c r="S467" s="256"/>
      <c r="T467" s="256"/>
      <c r="U467" s="256"/>
      <c r="V467" s="256"/>
      <c r="W467" s="256"/>
      <c r="X467" s="256"/>
      <c r="Y467" s="256"/>
      <c r="Z467" s="256"/>
    </row>
    <row r="468">
      <c r="A468" s="256"/>
      <c r="B468" s="256"/>
      <c r="C468" s="256"/>
      <c r="D468" s="256"/>
      <c r="E468" s="256"/>
      <c r="F468" s="310"/>
      <c r="G468" s="256"/>
      <c r="H468" s="256"/>
      <c r="I468" s="256"/>
      <c r="J468" s="256"/>
      <c r="K468" s="256"/>
      <c r="L468" s="256"/>
      <c r="M468" s="256"/>
      <c r="N468" s="256"/>
      <c r="O468" s="256"/>
      <c r="P468" s="256"/>
      <c r="Q468" s="256"/>
      <c r="R468" s="256"/>
      <c r="S468" s="256"/>
      <c r="T468" s="256"/>
      <c r="U468" s="256"/>
      <c r="V468" s="256"/>
      <c r="W468" s="256"/>
      <c r="X468" s="256"/>
      <c r="Y468" s="256"/>
      <c r="Z468" s="256"/>
    </row>
    <row r="469">
      <c r="A469" s="256"/>
      <c r="B469" s="256"/>
      <c r="C469" s="256"/>
      <c r="D469" s="256"/>
      <c r="E469" s="256"/>
      <c r="F469" s="310"/>
      <c r="G469" s="256"/>
      <c r="H469" s="256"/>
      <c r="I469" s="256"/>
      <c r="J469" s="256"/>
      <c r="K469" s="256"/>
      <c r="L469" s="256"/>
      <c r="M469" s="256"/>
      <c r="N469" s="256"/>
      <c r="O469" s="256"/>
      <c r="P469" s="256"/>
      <c r="Q469" s="256"/>
      <c r="R469" s="256"/>
      <c r="S469" s="256"/>
      <c r="T469" s="256"/>
      <c r="U469" s="256"/>
      <c r="V469" s="256"/>
      <c r="W469" s="256"/>
      <c r="X469" s="256"/>
      <c r="Y469" s="256"/>
      <c r="Z469" s="256"/>
    </row>
    <row r="470">
      <c r="A470" s="256"/>
      <c r="B470" s="256"/>
      <c r="C470" s="256"/>
      <c r="D470" s="256"/>
      <c r="E470" s="256"/>
      <c r="F470" s="310"/>
      <c r="G470" s="256"/>
      <c r="H470" s="256"/>
      <c r="I470" s="256"/>
      <c r="J470" s="256"/>
      <c r="K470" s="256"/>
      <c r="L470" s="256"/>
      <c r="M470" s="256"/>
      <c r="N470" s="256"/>
      <c r="O470" s="256"/>
      <c r="P470" s="256"/>
      <c r="Q470" s="256"/>
      <c r="R470" s="256"/>
      <c r="S470" s="256"/>
      <c r="T470" s="256"/>
      <c r="U470" s="256"/>
      <c r="V470" s="256"/>
      <c r="W470" s="256"/>
      <c r="X470" s="256"/>
      <c r="Y470" s="256"/>
      <c r="Z470" s="256"/>
    </row>
    <row r="471">
      <c r="A471" s="256"/>
      <c r="B471" s="256"/>
      <c r="C471" s="256"/>
      <c r="D471" s="256"/>
      <c r="E471" s="256"/>
      <c r="F471" s="310"/>
      <c r="G471" s="256"/>
      <c r="H471" s="256"/>
      <c r="I471" s="256"/>
      <c r="J471" s="256"/>
      <c r="K471" s="256"/>
      <c r="L471" s="256"/>
      <c r="M471" s="256"/>
      <c r="N471" s="256"/>
      <c r="O471" s="256"/>
      <c r="P471" s="256"/>
      <c r="Q471" s="256"/>
      <c r="R471" s="256"/>
      <c r="S471" s="256"/>
      <c r="T471" s="256"/>
      <c r="U471" s="256"/>
      <c r="V471" s="256"/>
      <c r="W471" s="256"/>
      <c r="X471" s="256"/>
      <c r="Y471" s="256"/>
      <c r="Z471" s="256"/>
    </row>
    <row r="472">
      <c r="A472" s="256"/>
      <c r="B472" s="256"/>
      <c r="C472" s="256"/>
      <c r="D472" s="256"/>
      <c r="E472" s="256"/>
      <c r="F472" s="310"/>
      <c r="G472" s="256"/>
      <c r="H472" s="256"/>
      <c r="I472" s="256"/>
      <c r="J472" s="256"/>
      <c r="K472" s="256"/>
      <c r="L472" s="256"/>
      <c r="M472" s="256"/>
      <c r="N472" s="256"/>
      <c r="O472" s="256"/>
      <c r="P472" s="256"/>
      <c r="Q472" s="256"/>
      <c r="R472" s="256"/>
      <c r="S472" s="256"/>
      <c r="T472" s="256"/>
      <c r="U472" s="256"/>
      <c r="V472" s="256"/>
      <c r="W472" s="256"/>
      <c r="X472" s="256"/>
      <c r="Y472" s="256"/>
      <c r="Z472" s="256"/>
    </row>
    <row r="473">
      <c r="A473" s="256"/>
      <c r="B473" s="256"/>
      <c r="C473" s="256"/>
      <c r="D473" s="256"/>
      <c r="E473" s="256"/>
      <c r="F473" s="310"/>
      <c r="G473" s="256"/>
      <c r="H473" s="256"/>
      <c r="I473" s="256"/>
      <c r="J473" s="256"/>
      <c r="K473" s="256"/>
      <c r="L473" s="256"/>
      <c r="M473" s="256"/>
      <c r="N473" s="256"/>
      <c r="O473" s="256"/>
      <c r="P473" s="256"/>
      <c r="Q473" s="256"/>
      <c r="R473" s="256"/>
      <c r="S473" s="256"/>
      <c r="T473" s="256"/>
      <c r="U473" s="256"/>
      <c r="V473" s="256"/>
      <c r="W473" s="256"/>
      <c r="X473" s="256"/>
      <c r="Y473" s="256"/>
      <c r="Z473" s="256"/>
    </row>
    <row r="474">
      <c r="A474" s="256"/>
      <c r="B474" s="256"/>
      <c r="C474" s="256"/>
      <c r="D474" s="256"/>
      <c r="E474" s="256"/>
      <c r="F474" s="310"/>
      <c r="G474" s="256"/>
      <c r="H474" s="256"/>
      <c r="I474" s="256"/>
      <c r="J474" s="256"/>
      <c r="K474" s="256"/>
      <c r="L474" s="256"/>
      <c r="M474" s="256"/>
      <c r="N474" s="256"/>
      <c r="O474" s="256"/>
      <c r="P474" s="256"/>
      <c r="Q474" s="256"/>
      <c r="R474" s="256"/>
      <c r="S474" s="256"/>
      <c r="T474" s="256"/>
      <c r="U474" s="256"/>
      <c r="V474" s="256"/>
      <c r="W474" s="256"/>
      <c r="X474" s="256"/>
      <c r="Y474" s="256"/>
      <c r="Z474" s="256"/>
    </row>
    <row r="475">
      <c r="A475" s="256"/>
      <c r="B475" s="256"/>
      <c r="C475" s="256"/>
      <c r="D475" s="256"/>
      <c r="E475" s="256"/>
      <c r="F475" s="310"/>
      <c r="G475" s="256"/>
      <c r="H475" s="256"/>
      <c r="I475" s="256"/>
      <c r="J475" s="256"/>
      <c r="K475" s="256"/>
      <c r="L475" s="256"/>
      <c r="M475" s="256"/>
      <c r="N475" s="256"/>
      <c r="O475" s="256"/>
      <c r="P475" s="256"/>
      <c r="Q475" s="256"/>
      <c r="R475" s="256"/>
      <c r="S475" s="256"/>
      <c r="T475" s="256"/>
      <c r="U475" s="256"/>
      <c r="V475" s="256"/>
      <c r="W475" s="256"/>
      <c r="X475" s="256"/>
      <c r="Y475" s="256"/>
      <c r="Z475" s="256"/>
    </row>
    <row r="476">
      <c r="A476" s="256"/>
      <c r="B476" s="256"/>
      <c r="C476" s="256"/>
      <c r="D476" s="256"/>
      <c r="E476" s="256"/>
      <c r="F476" s="310"/>
      <c r="G476" s="256"/>
      <c r="H476" s="256"/>
      <c r="I476" s="256"/>
      <c r="J476" s="256"/>
      <c r="K476" s="256"/>
      <c r="L476" s="256"/>
      <c r="M476" s="256"/>
      <c r="N476" s="256"/>
      <c r="O476" s="256"/>
      <c r="P476" s="256"/>
      <c r="Q476" s="256"/>
      <c r="R476" s="256"/>
      <c r="S476" s="256"/>
      <c r="T476" s="256"/>
      <c r="U476" s="256"/>
      <c r="V476" s="256"/>
      <c r="W476" s="256"/>
      <c r="X476" s="256"/>
      <c r="Y476" s="256"/>
      <c r="Z476" s="256"/>
    </row>
    <row r="477">
      <c r="A477" s="256"/>
      <c r="B477" s="256"/>
      <c r="C477" s="256"/>
      <c r="D477" s="256"/>
      <c r="E477" s="256"/>
      <c r="F477" s="310"/>
      <c r="G477" s="256"/>
      <c r="H477" s="256"/>
      <c r="I477" s="256"/>
      <c r="J477" s="256"/>
      <c r="K477" s="256"/>
      <c r="L477" s="256"/>
      <c r="M477" s="256"/>
      <c r="N477" s="256"/>
      <c r="O477" s="256"/>
      <c r="P477" s="256"/>
      <c r="Q477" s="256"/>
      <c r="R477" s="256"/>
      <c r="S477" s="256"/>
      <c r="T477" s="256"/>
      <c r="U477" s="256"/>
      <c r="V477" s="256"/>
      <c r="W477" s="256"/>
      <c r="X477" s="256"/>
      <c r="Y477" s="256"/>
      <c r="Z477" s="256"/>
    </row>
    <row r="478">
      <c r="A478" s="256"/>
      <c r="B478" s="256"/>
      <c r="C478" s="256"/>
      <c r="D478" s="256"/>
      <c r="E478" s="256"/>
      <c r="F478" s="310"/>
      <c r="G478" s="256"/>
      <c r="H478" s="256"/>
      <c r="I478" s="256"/>
      <c r="J478" s="256"/>
      <c r="K478" s="256"/>
      <c r="L478" s="256"/>
      <c r="M478" s="256"/>
      <c r="N478" s="256"/>
      <c r="O478" s="256"/>
      <c r="P478" s="256"/>
      <c r="Q478" s="256"/>
      <c r="R478" s="256"/>
      <c r="S478" s="256"/>
      <c r="T478" s="256"/>
      <c r="U478" s="256"/>
      <c r="V478" s="256"/>
      <c r="W478" s="256"/>
      <c r="X478" s="256"/>
      <c r="Y478" s="256"/>
      <c r="Z478" s="256"/>
    </row>
    <row r="479">
      <c r="A479" s="256"/>
      <c r="B479" s="256"/>
      <c r="C479" s="256"/>
      <c r="D479" s="256"/>
      <c r="E479" s="256"/>
      <c r="F479" s="310"/>
      <c r="G479" s="256"/>
      <c r="H479" s="256"/>
      <c r="I479" s="256"/>
      <c r="J479" s="256"/>
      <c r="K479" s="256"/>
      <c r="L479" s="256"/>
      <c r="M479" s="256"/>
      <c r="N479" s="256"/>
      <c r="O479" s="256"/>
      <c r="P479" s="256"/>
      <c r="Q479" s="256"/>
      <c r="R479" s="256"/>
      <c r="S479" s="256"/>
      <c r="T479" s="256"/>
      <c r="U479" s="256"/>
      <c r="V479" s="256"/>
      <c r="W479" s="256"/>
      <c r="X479" s="256"/>
      <c r="Y479" s="256"/>
      <c r="Z479" s="256"/>
    </row>
    <row r="480">
      <c r="A480" s="256"/>
      <c r="B480" s="256"/>
      <c r="C480" s="256"/>
      <c r="D480" s="256"/>
      <c r="E480" s="256"/>
      <c r="F480" s="310"/>
      <c r="G480" s="256"/>
      <c r="H480" s="256"/>
      <c r="I480" s="256"/>
      <c r="J480" s="256"/>
      <c r="K480" s="256"/>
      <c r="L480" s="256"/>
      <c r="M480" s="256"/>
      <c r="N480" s="256"/>
      <c r="O480" s="256"/>
      <c r="P480" s="256"/>
      <c r="Q480" s="256"/>
      <c r="R480" s="256"/>
      <c r="S480" s="256"/>
      <c r="T480" s="256"/>
      <c r="U480" s="256"/>
      <c r="V480" s="256"/>
      <c r="W480" s="256"/>
      <c r="X480" s="256"/>
      <c r="Y480" s="256"/>
      <c r="Z480" s="256"/>
    </row>
    <row r="481">
      <c r="A481" s="256"/>
      <c r="B481" s="256"/>
      <c r="C481" s="256"/>
      <c r="D481" s="256"/>
      <c r="E481" s="256"/>
      <c r="F481" s="310"/>
      <c r="G481" s="256"/>
      <c r="H481" s="256"/>
      <c r="I481" s="256"/>
      <c r="J481" s="256"/>
      <c r="K481" s="256"/>
      <c r="L481" s="256"/>
      <c r="M481" s="256"/>
      <c r="N481" s="256"/>
      <c r="O481" s="256"/>
      <c r="P481" s="256"/>
      <c r="Q481" s="256"/>
      <c r="R481" s="256"/>
      <c r="S481" s="256"/>
      <c r="T481" s="256"/>
      <c r="U481" s="256"/>
      <c r="V481" s="256"/>
      <c r="W481" s="256"/>
      <c r="X481" s="256"/>
      <c r="Y481" s="256"/>
      <c r="Z481" s="256"/>
    </row>
    <row r="482">
      <c r="A482" s="256"/>
      <c r="B482" s="256"/>
      <c r="C482" s="256"/>
      <c r="D482" s="256"/>
      <c r="E482" s="256"/>
      <c r="F482" s="310"/>
      <c r="G482" s="256"/>
      <c r="H482" s="256"/>
      <c r="I482" s="256"/>
      <c r="J482" s="256"/>
      <c r="K482" s="256"/>
      <c r="L482" s="256"/>
      <c r="M482" s="256"/>
      <c r="N482" s="256"/>
      <c r="O482" s="256"/>
      <c r="P482" s="256"/>
      <c r="Q482" s="256"/>
      <c r="R482" s="256"/>
      <c r="S482" s="256"/>
      <c r="T482" s="256"/>
      <c r="U482" s="256"/>
      <c r="V482" s="256"/>
      <c r="W482" s="256"/>
      <c r="X482" s="256"/>
      <c r="Y482" s="256"/>
      <c r="Z482" s="256"/>
    </row>
    <row r="483">
      <c r="A483" s="256"/>
      <c r="B483" s="256"/>
      <c r="C483" s="256"/>
      <c r="D483" s="256"/>
      <c r="E483" s="256"/>
      <c r="F483" s="310"/>
      <c r="G483" s="256"/>
      <c r="H483" s="256"/>
      <c r="I483" s="256"/>
      <c r="J483" s="256"/>
      <c r="K483" s="256"/>
      <c r="L483" s="256"/>
      <c r="M483" s="256"/>
      <c r="N483" s="256"/>
      <c r="O483" s="256"/>
      <c r="P483" s="256"/>
      <c r="Q483" s="256"/>
      <c r="R483" s="256"/>
      <c r="S483" s="256"/>
      <c r="T483" s="256"/>
      <c r="U483" s="256"/>
      <c r="V483" s="256"/>
      <c r="W483" s="256"/>
      <c r="X483" s="256"/>
      <c r="Y483" s="256"/>
      <c r="Z483" s="256"/>
    </row>
    <row r="484">
      <c r="A484" s="256"/>
      <c r="B484" s="256"/>
      <c r="C484" s="256"/>
      <c r="D484" s="256"/>
      <c r="E484" s="256"/>
      <c r="F484" s="310"/>
      <c r="G484" s="256"/>
      <c r="H484" s="256"/>
      <c r="I484" s="256"/>
      <c r="J484" s="256"/>
      <c r="K484" s="256"/>
      <c r="L484" s="256"/>
      <c r="M484" s="256"/>
      <c r="N484" s="256"/>
      <c r="O484" s="256"/>
      <c r="P484" s="256"/>
      <c r="Q484" s="256"/>
      <c r="R484" s="256"/>
      <c r="S484" s="256"/>
      <c r="T484" s="256"/>
      <c r="U484" s="256"/>
      <c r="V484" s="256"/>
      <c r="W484" s="256"/>
      <c r="X484" s="256"/>
      <c r="Y484" s="256"/>
      <c r="Z484" s="256"/>
    </row>
    <row r="485">
      <c r="A485" s="256"/>
      <c r="B485" s="256"/>
      <c r="C485" s="256"/>
      <c r="D485" s="256"/>
      <c r="E485" s="256"/>
      <c r="F485" s="310"/>
      <c r="G485" s="256"/>
      <c r="H485" s="256"/>
      <c r="I485" s="256"/>
      <c r="J485" s="256"/>
      <c r="K485" s="256"/>
      <c r="L485" s="256"/>
      <c r="M485" s="256"/>
      <c r="N485" s="256"/>
      <c r="O485" s="256"/>
      <c r="P485" s="256"/>
      <c r="Q485" s="256"/>
      <c r="R485" s="256"/>
      <c r="S485" s="256"/>
      <c r="T485" s="256"/>
      <c r="U485" s="256"/>
      <c r="V485" s="256"/>
      <c r="W485" s="256"/>
      <c r="X485" s="256"/>
      <c r="Y485" s="256"/>
      <c r="Z485" s="256"/>
    </row>
    <row r="486">
      <c r="A486" s="256"/>
      <c r="B486" s="256"/>
      <c r="C486" s="256"/>
      <c r="D486" s="256"/>
      <c r="E486" s="256"/>
      <c r="F486" s="310"/>
      <c r="G486" s="256"/>
      <c r="H486" s="256"/>
      <c r="I486" s="256"/>
      <c r="J486" s="256"/>
      <c r="K486" s="256"/>
      <c r="L486" s="256"/>
      <c r="M486" s="256"/>
      <c r="N486" s="256"/>
      <c r="O486" s="256"/>
      <c r="P486" s="256"/>
      <c r="Q486" s="256"/>
      <c r="R486" s="256"/>
      <c r="S486" s="256"/>
      <c r="T486" s="256"/>
      <c r="U486" s="256"/>
      <c r="V486" s="256"/>
      <c r="W486" s="256"/>
      <c r="X486" s="256"/>
      <c r="Y486" s="256"/>
      <c r="Z486" s="256"/>
    </row>
    <row r="487">
      <c r="A487" s="256"/>
      <c r="B487" s="256"/>
      <c r="C487" s="256"/>
      <c r="D487" s="256"/>
      <c r="E487" s="256"/>
      <c r="F487" s="310"/>
      <c r="G487" s="256"/>
      <c r="H487" s="256"/>
      <c r="I487" s="256"/>
      <c r="J487" s="256"/>
      <c r="K487" s="256"/>
      <c r="L487" s="256"/>
      <c r="M487" s="256"/>
      <c r="N487" s="256"/>
      <c r="O487" s="256"/>
      <c r="P487" s="256"/>
      <c r="Q487" s="256"/>
      <c r="R487" s="256"/>
      <c r="S487" s="256"/>
      <c r="T487" s="256"/>
      <c r="U487" s="256"/>
      <c r="V487" s="256"/>
      <c r="W487" s="256"/>
      <c r="X487" s="256"/>
      <c r="Y487" s="256"/>
      <c r="Z487" s="256"/>
    </row>
    <row r="488">
      <c r="A488" s="256"/>
      <c r="B488" s="256"/>
      <c r="C488" s="256"/>
      <c r="D488" s="256"/>
      <c r="E488" s="256"/>
      <c r="F488" s="310"/>
      <c r="G488" s="256"/>
      <c r="H488" s="256"/>
      <c r="I488" s="256"/>
      <c r="J488" s="256"/>
      <c r="K488" s="256"/>
      <c r="L488" s="256"/>
      <c r="M488" s="256"/>
      <c r="N488" s="256"/>
      <c r="O488" s="256"/>
      <c r="P488" s="256"/>
      <c r="Q488" s="256"/>
      <c r="R488" s="256"/>
      <c r="S488" s="256"/>
      <c r="T488" s="256"/>
      <c r="U488" s="256"/>
      <c r="V488" s="256"/>
      <c r="W488" s="256"/>
      <c r="X488" s="256"/>
      <c r="Y488" s="256"/>
      <c r="Z488" s="256"/>
    </row>
    <row r="489">
      <c r="A489" s="256"/>
      <c r="B489" s="256"/>
      <c r="C489" s="256"/>
      <c r="D489" s="256"/>
      <c r="E489" s="256"/>
      <c r="F489" s="310"/>
      <c r="G489" s="256"/>
      <c r="H489" s="256"/>
      <c r="I489" s="256"/>
      <c r="J489" s="256"/>
      <c r="K489" s="256"/>
      <c r="L489" s="256"/>
      <c r="M489" s="256"/>
      <c r="N489" s="256"/>
      <c r="O489" s="256"/>
      <c r="P489" s="256"/>
      <c r="Q489" s="256"/>
      <c r="R489" s="256"/>
      <c r="S489" s="256"/>
      <c r="T489" s="256"/>
      <c r="U489" s="256"/>
      <c r="V489" s="256"/>
      <c r="W489" s="256"/>
      <c r="X489" s="256"/>
      <c r="Y489" s="256"/>
      <c r="Z489" s="256"/>
    </row>
    <row r="490">
      <c r="A490" s="256"/>
      <c r="B490" s="256"/>
      <c r="C490" s="256"/>
      <c r="D490" s="256"/>
      <c r="E490" s="256"/>
      <c r="F490" s="310"/>
      <c r="G490" s="256"/>
      <c r="H490" s="256"/>
      <c r="I490" s="256"/>
      <c r="J490" s="256"/>
      <c r="K490" s="256"/>
      <c r="L490" s="256"/>
      <c r="M490" s="256"/>
      <c r="N490" s="256"/>
      <c r="O490" s="256"/>
      <c r="P490" s="256"/>
      <c r="Q490" s="256"/>
      <c r="R490" s="256"/>
      <c r="S490" s="256"/>
      <c r="T490" s="256"/>
      <c r="U490" s="256"/>
      <c r="V490" s="256"/>
      <c r="W490" s="256"/>
      <c r="X490" s="256"/>
      <c r="Y490" s="256"/>
      <c r="Z490" s="256"/>
    </row>
    <row r="491">
      <c r="A491" s="256"/>
      <c r="B491" s="256"/>
      <c r="C491" s="256"/>
      <c r="D491" s="256"/>
      <c r="E491" s="256"/>
      <c r="F491" s="310"/>
      <c r="G491" s="256"/>
      <c r="H491" s="256"/>
      <c r="I491" s="256"/>
      <c r="J491" s="256"/>
      <c r="K491" s="256"/>
      <c r="L491" s="256"/>
      <c r="M491" s="256"/>
      <c r="N491" s="256"/>
      <c r="O491" s="256"/>
      <c r="P491" s="256"/>
      <c r="Q491" s="256"/>
      <c r="R491" s="256"/>
      <c r="S491" s="256"/>
      <c r="T491" s="256"/>
      <c r="U491" s="256"/>
      <c r="V491" s="256"/>
      <c r="W491" s="256"/>
      <c r="X491" s="256"/>
      <c r="Y491" s="256"/>
      <c r="Z491" s="256"/>
    </row>
    <row r="492">
      <c r="A492" s="256"/>
      <c r="B492" s="256"/>
      <c r="C492" s="256"/>
      <c r="D492" s="256"/>
      <c r="E492" s="256"/>
      <c r="F492" s="310"/>
      <c r="G492" s="256"/>
      <c r="H492" s="256"/>
      <c r="I492" s="256"/>
      <c r="J492" s="256"/>
      <c r="K492" s="256"/>
      <c r="L492" s="256"/>
      <c r="M492" s="256"/>
      <c r="N492" s="256"/>
      <c r="O492" s="256"/>
      <c r="P492" s="256"/>
      <c r="Q492" s="256"/>
      <c r="R492" s="256"/>
      <c r="S492" s="256"/>
      <c r="T492" s="256"/>
      <c r="U492" s="256"/>
      <c r="V492" s="256"/>
      <c r="W492" s="256"/>
      <c r="X492" s="256"/>
      <c r="Y492" s="256"/>
      <c r="Z492" s="256"/>
    </row>
    <row r="493">
      <c r="A493" s="256"/>
      <c r="B493" s="256"/>
      <c r="C493" s="256"/>
      <c r="D493" s="256"/>
      <c r="E493" s="256"/>
      <c r="F493" s="310"/>
      <c r="G493" s="256"/>
      <c r="H493" s="256"/>
      <c r="I493" s="256"/>
      <c r="J493" s="256"/>
      <c r="K493" s="256"/>
      <c r="L493" s="256"/>
      <c r="M493" s="256"/>
      <c r="N493" s="256"/>
      <c r="O493" s="256"/>
      <c r="P493" s="256"/>
      <c r="Q493" s="256"/>
      <c r="R493" s="256"/>
      <c r="S493" s="256"/>
      <c r="T493" s="256"/>
      <c r="U493" s="256"/>
      <c r="V493" s="256"/>
      <c r="W493" s="256"/>
      <c r="X493" s="256"/>
      <c r="Y493" s="256"/>
      <c r="Z493" s="256"/>
    </row>
    <row r="494">
      <c r="A494" s="256"/>
      <c r="B494" s="256"/>
      <c r="C494" s="256"/>
      <c r="D494" s="256"/>
      <c r="E494" s="256"/>
      <c r="F494" s="310"/>
      <c r="G494" s="256"/>
      <c r="H494" s="256"/>
      <c r="I494" s="256"/>
      <c r="J494" s="256"/>
      <c r="K494" s="256"/>
      <c r="L494" s="256"/>
      <c r="M494" s="256"/>
      <c r="N494" s="256"/>
      <c r="O494" s="256"/>
      <c r="P494" s="256"/>
      <c r="Q494" s="256"/>
      <c r="R494" s="256"/>
      <c r="S494" s="256"/>
      <c r="T494" s="256"/>
      <c r="U494" s="256"/>
      <c r="V494" s="256"/>
      <c r="W494" s="256"/>
      <c r="X494" s="256"/>
      <c r="Y494" s="256"/>
      <c r="Z494" s="256"/>
    </row>
    <row r="495">
      <c r="A495" s="256"/>
      <c r="B495" s="256"/>
      <c r="C495" s="256"/>
      <c r="D495" s="256"/>
      <c r="E495" s="256"/>
      <c r="F495" s="310"/>
      <c r="G495" s="256"/>
      <c r="H495" s="256"/>
      <c r="I495" s="256"/>
      <c r="J495" s="256"/>
      <c r="K495" s="256"/>
      <c r="L495" s="256"/>
      <c r="M495" s="256"/>
      <c r="N495" s="256"/>
      <c r="O495" s="256"/>
      <c r="P495" s="256"/>
      <c r="Q495" s="256"/>
      <c r="R495" s="256"/>
      <c r="S495" s="256"/>
      <c r="T495" s="256"/>
      <c r="U495" s="256"/>
      <c r="V495" s="256"/>
      <c r="W495" s="256"/>
      <c r="X495" s="256"/>
      <c r="Y495" s="256"/>
      <c r="Z495" s="256"/>
    </row>
    <row r="496">
      <c r="A496" s="256"/>
      <c r="B496" s="256"/>
      <c r="C496" s="256"/>
      <c r="D496" s="256"/>
      <c r="E496" s="256"/>
      <c r="F496" s="310"/>
      <c r="G496" s="256"/>
      <c r="H496" s="256"/>
      <c r="I496" s="256"/>
      <c r="J496" s="256"/>
      <c r="K496" s="256"/>
      <c r="L496" s="256"/>
      <c r="M496" s="256"/>
      <c r="N496" s="256"/>
      <c r="O496" s="256"/>
      <c r="P496" s="256"/>
      <c r="Q496" s="256"/>
      <c r="R496" s="256"/>
      <c r="S496" s="256"/>
      <c r="T496" s="256"/>
      <c r="U496" s="256"/>
      <c r="V496" s="256"/>
      <c r="W496" s="256"/>
      <c r="X496" s="256"/>
      <c r="Y496" s="256"/>
      <c r="Z496" s="256"/>
    </row>
    <row r="497">
      <c r="A497" s="256"/>
      <c r="B497" s="256"/>
      <c r="C497" s="256"/>
      <c r="D497" s="256"/>
      <c r="E497" s="256"/>
      <c r="F497" s="310"/>
      <c r="G497" s="256"/>
      <c r="H497" s="256"/>
      <c r="I497" s="256"/>
      <c r="J497" s="256"/>
      <c r="K497" s="256"/>
      <c r="L497" s="256"/>
      <c r="M497" s="256"/>
      <c r="N497" s="256"/>
      <c r="O497" s="256"/>
      <c r="P497" s="256"/>
      <c r="Q497" s="256"/>
      <c r="R497" s="256"/>
      <c r="S497" s="256"/>
      <c r="T497" s="256"/>
      <c r="U497" s="256"/>
      <c r="V497" s="256"/>
      <c r="W497" s="256"/>
      <c r="X497" s="256"/>
      <c r="Y497" s="256"/>
      <c r="Z497" s="256"/>
    </row>
    <row r="498">
      <c r="A498" s="256"/>
      <c r="B498" s="256"/>
      <c r="C498" s="256"/>
      <c r="D498" s="256"/>
      <c r="E498" s="256"/>
      <c r="F498" s="310"/>
      <c r="G498" s="256"/>
      <c r="H498" s="256"/>
      <c r="I498" s="256"/>
      <c r="J498" s="256"/>
      <c r="K498" s="256"/>
      <c r="L498" s="256"/>
      <c r="M498" s="256"/>
      <c r="N498" s="256"/>
      <c r="O498" s="256"/>
      <c r="P498" s="256"/>
      <c r="Q498" s="256"/>
      <c r="R498" s="256"/>
      <c r="S498" s="256"/>
      <c r="T498" s="256"/>
      <c r="U498" s="256"/>
      <c r="V498" s="256"/>
      <c r="W498" s="256"/>
      <c r="X498" s="256"/>
      <c r="Y498" s="256"/>
      <c r="Z498" s="256"/>
    </row>
    <row r="499">
      <c r="A499" s="256"/>
      <c r="B499" s="256"/>
      <c r="C499" s="256"/>
      <c r="D499" s="256"/>
      <c r="E499" s="256"/>
      <c r="F499" s="310"/>
      <c r="G499" s="256"/>
      <c r="H499" s="256"/>
      <c r="I499" s="256"/>
      <c r="J499" s="256"/>
      <c r="K499" s="256"/>
      <c r="L499" s="256"/>
      <c r="M499" s="256"/>
      <c r="N499" s="256"/>
      <c r="O499" s="256"/>
      <c r="P499" s="256"/>
      <c r="Q499" s="256"/>
      <c r="R499" s="256"/>
      <c r="S499" s="256"/>
      <c r="T499" s="256"/>
      <c r="U499" s="256"/>
      <c r="V499" s="256"/>
      <c r="W499" s="256"/>
      <c r="X499" s="256"/>
      <c r="Y499" s="256"/>
      <c r="Z499" s="256"/>
    </row>
    <row r="500">
      <c r="A500" s="256"/>
      <c r="B500" s="256"/>
      <c r="C500" s="256"/>
      <c r="D500" s="256"/>
      <c r="E500" s="256"/>
      <c r="F500" s="310"/>
      <c r="G500" s="256"/>
      <c r="H500" s="256"/>
      <c r="I500" s="256"/>
      <c r="J500" s="256"/>
      <c r="K500" s="256"/>
      <c r="L500" s="256"/>
      <c r="M500" s="256"/>
      <c r="N500" s="256"/>
      <c r="O500" s="256"/>
      <c r="P500" s="256"/>
      <c r="Q500" s="256"/>
      <c r="R500" s="256"/>
      <c r="S500" s="256"/>
      <c r="T500" s="256"/>
      <c r="U500" s="256"/>
      <c r="V500" s="256"/>
      <c r="W500" s="256"/>
      <c r="X500" s="256"/>
      <c r="Y500" s="256"/>
      <c r="Z500" s="256"/>
    </row>
    <row r="501">
      <c r="A501" s="256"/>
      <c r="B501" s="256"/>
      <c r="C501" s="256"/>
      <c r="D501" s="256"/>
      <c r="E501" s="256"/>
      <c r="F501" s="310"/>
      <c r="G501" s="256"/>
      <c r="H501" s="256"/>
      <c r="I501" s="256"/>
      <c r="J501" s="256"/>
      <c r="K501" s="256"/>
      <c r="L501" s="256"/>
      <c r="M501" s="256"/>
      <c r="N501" s="256"/>
      <c r="O501" s="256"/>
      <c r="P501" s="256"/>
      <c r="Q501" s="256"/>
      <c r="R501" s="256"/>
      <c r="S501" s="256"/>
      <c r="T501" s="256"/>
      <c r="U501" s="256"/>
      <c r="V501" s="256"/>
      <c r="W501" s="256"/>
      <c r="X501" s="256"/>
      <c r="Y501" s="256"/>
      <c r="Z501" s="256"/>
    </row>
    <row r="502">
      <c r="A502" s="256"/>
      <c r="B502" s="256"/>
      <c r="C502" s="256"/>
      <c r="D502" s="256"/>
      <c r="E502" s="256"/>
      <c r="F502" s="310"/>
      <c r="G502" s="256"/>
      <c r="H502" s="256"/>
      <c r="I502" s="256"/>
      <c r="J502" s="256"/>
      <c r="K502" s="256"/>
      <c r="L502" s="256"/>
      <c r="M502" s="256"/>
      <c r="N502" s="256"/>
      <c r="O502" s="256"/>
      <c r="P502" s="256"/>
      <c r="Q502" s="256"/>
      <c r="R502" s="256"/>
      <c r="S502" s="256"/>
      <c r="T502" s="256"/>
      <c r="U502" s="256"/>
      <c r="V502" s="256"/>
      <c r="W502" s="256"/>
      <c r="X502" s="256"/>
      <c r="Y502" s="256"/>
      <c r="Z502" s="256"/>
    </row>
    <row r="503">
      <c r="A503" s="256"/>
      <c r="B503" s="256"/>
      <c r="C503" s="256"/>
      <c r="D503" s="256"/>
      <c r="E503" s="256"/>
      <c r="F503" s="310"/>
      <c r="G503" s="256"/>
      <c r="H503" s="256"/>
      <c r="I503" s="256"/>
      <c r="J503" s="256"/>
      <c r="K503" s="256"/>
      <c r="L503" s="256"/>
      <c r="M503" s="256"/>
      <c r="N503" s="256"/>
      <c r="O503" s="256"/>
      <c r="P503" s="256"/>
      <c r="Q503" s="256"/>
      <c r="R503" s="256"/>
      <c r="S503" s="256"/>
      <c r="T503" s="256"/>
      <c r="U503" s="256"/>
      <c r="V503" s="256"/>
      <c r="W503" s="256"/>
      <c r="X503" s="256"/>
      <c r="Y503" s="256"/>
      <c r="Z503" s="256"/>
    </row>
    <row r="504">
      <c r="A504" s="256"/>
      <c r="B504" s="256"/>
      <c r="C504" s="256"/>
      <c r="D504" s="256"/>
      <c r="E504" s="256"/>
      <c r="F504" s="310"/>
      <c r="G504" s="256"/>
      <c r="H504" s="256"/>
      <c r="I504" s="256"/>
      <c r="J504" s="256"/>
      <c r="K504" s="256"/>
      <c r="L504" s="256"/>
      <c r="M504" s="256"/>
      <c r="N504" s="256"/>
      <c r="O504" s="256"/>
      <c r="P504" s="256"/>
      <c r="Q504" s="256"/>
      <c r="R504" s="256"/>
      <c r="S504" s="256"/>
      <c r="T504" s="256"/>
      <c r="U504" s="256"/>
      <c r="V504" s="256"/>
      <c r="W504" s="256"/>
      <c r="X504" s="256"/>
      <c r="Y504" s="256"/>
      <c r="Z504" s="256"/>
    </row>
    <row r="505">
      <c r="A505" s="256"/>
      <c r="B505" s="256"/>
      <c r="C505" s="256"/>
      <c r="D505" s="256"/>
      <c r="E505" s="256"/>
      <c r="F505" s="310"/>
      <c r="G505" s="256"/>
      <c r="H505" s="256"/>
      <c r="I505" s="256"/>
      <c r="J505" s="256"/>
      <c r="K505" s="256"/>
      <c r="L505" s="256"/>
      <c r="M505" s="256"/>
      <c r="N505" s="256"/>
      <c r="O505" s="256"/>
      <c r="P505" s="256"/>
      <c r="Q505" s="256"/>
      <c r="R505" s="256"/>
      <c r="S505" s="256"/>
      <c r="T505" s="256"/>
      <c r="U505" s="256"/>
      <c r="V505" s="256"/>
      <c r="W505" s="256"/>
      <c r="X505" s="256"/>
      <c r="Y505" s="256"/>
      <c r="Z505" s="256"/>
    </row>
    <row r="506">
      <c r="A506" s="256"/>
      <c r="B506" s="256"/>
      <c r="C506" s="256"/>
      <c r="D506" s="256"/>
      <c r="E506" s="256"/>
      <c r="F506" s="310"/>
      <c r="G506" s="256"/>
      <c r="H506" s="256"/>
      <c r="I506" s="256"/>
      <c r="J506" s="256"/>
      <c r="K506" s="256"/>
      <c r="L506" s="256"/>
      <c r="M506" s="256"/>
      <c r="N506" s="256"/>
      <c r="O506" s="256"/>
      <c r="P506" s="256"/>
      <c r="Q506" s="256"/>
      <c r="R506" s="256"/>
      <c r="S506" s="256"/>
      <c r="T506" s="256"/>
      <c r="U506" s="256"/>
      <c r="V506" s="256"/>
      <c r="W506" s="256"/>
      <c r="X506" s="256"/>
      <c r="Y506" s="256"/>
      <c r="Z506" s="256"/>
    </row>
    <row r="507">
      <c r="A507" s="256"/>
      <c r="B507" s="256"/>
      <c r="C507" s="256"/>
      <c r="D507" s="256"/>
      <c r="E507" s="256"/>
      <c r="F507" s="310"/>
      <c r="G507" s="256"/>
      <c r="H507" s="256"/>
      <c r="I507" s="256"/>
      <c r="J507" s="256"/>
      <c r="K507" s="256"/>
      <c r="L507" s="256"/>
      <c r="M507" s="256"/>
      <c r="N507" s="256"/>
      <c r="O507" s="256"/>
      <c r="P507" s="256"/>
      <c r="Q507" s="256"/>
      <c r="R507" s="256"/>
      <c r="S507" s="256"/>
      <c r="T507" s="256"/>
      <c r="U507" s="256"/>
      <c r="V507" s="256"/>
      <c r="W507" s="256"/>
      <c r="X507" s="256"/>
      <c r="Y507" s="256"/>
      <c r="Z507" s="256"/>
    </row>
    <row r="508">
      <c r="A508" s="256"/>
      <c r="B508" s="256"/>
      <c r="C508" s="256"/>
      <c r="D508" s="256"/>
      <c r="E508" s="256"/>
      <c r="F508" s="310"/>
      <c r="G508" s="256"/>
      <c r="H508" s="256"/>
      <c r="I508" s="256"/>
      <c r="J508" s="256"/>
      <c r="K508" s="256"/>
      <c r="L508" s="256"/>
      <c r="M508" s="256"/>
      <c r="N508" s="256"/>
      <c r="O508" s="256"/>
      <c r="P508" s="256"/>
      <c r="Q508" s="256"/>
      <c r="R508" s="256"/>
      <c r="S508" s="256"/>
      <c r="T508" s="256"/>
      <c r="U508" s="256"/>
      <c r="V508" s="256"/>
      <c r="W508" s="256"/>
      <c r="X508" s="256"/>
      <c r="Y508" s="256"/>
      <c r="Z508" s="256"/>
    </row>
    <row r="509">
      <c r="A509" s="256"/>
      <c r="B509" s="256"/>
      <c r="C509" s="256"/>
      <c r="D509" s="256"/>
      <c r="E509" s="256"/>
      <c r="F509" s="310"/>
      <c r="G509" s="256"/>
      <c r="H509" s="256"/>
      <c r="I509" s="256"/>
      <c r="J509" s="256"/>
      <c r="K509" s="256"/>
      <c r="L509" s="256"/>
      <c r="M509" s="256"/>
      <c r="N509" s="256"/>
      <c r="O509" s="256"/>
      <c r="P509" s="256"/>
      <c r="Q509" s="256"/>
      <c r="R509" s="256"/>
      <c r="S509" s="256"/>
      <c r="T509" s="256"/>
      <c r="U509" s="256"/>
      <c r="V509" s="256"/>
      <c r="W509" s="256"/>
      <c r="X509" s="256"/>
      <c r="Y509" s="256"/>
      <c r="Z509" s="256"/>
    </row>
    <row r="510">
      <c r="A510" s="256"/>
      <c r="B510" s="256"/>
      <c r="C510" s="256"/>
      <c r="D510" s="256"/>
      <c r="E510" s="256"/>
      <c r="F510" s="310"/>
      <c r="G510" s="256"/>
      <c r="H510" s="256"/>
      <c r="I510" s="256"/>
      <c r="J510" s="256"/>
      <c r="K510" s="256"/>
      <c r="L510" s="256"/>
      <c r="M510" s="256"/>
      <c r="N510" s="256"/>
      <c r="O510" s="256"/>
      <c r="P510" s="256"/>
      <c r="Q510" s="256"/>
      <c r="R510" s="256"/>
      <c r="S510" s="256"/>
      <c r="T510" s="256"/>
      <c r="U510" s="256"/>
      <c r="V510" s="256"/>
      <c r="W510" s="256"/>
      <c r="X510" s="256"/>
      <c r="Y510" s="256"/>
      <c r="Z510" s="256"/>
    </row>
    <row r="511">
      <c r="A511" s="256"/>
      <c r="B511" s="256"/>
      <c r="C511" s="256"/>
      <c r="D511" s="256"/>
      <c r="E511" s="256"/>
      <c r="F511" s="310"/>
      <c r="G511" s="256"/>
      <c r="H511" s="256"/>
      <c r="I511" s="256"/>
      <c r="J511" s="256"/>
      <c r="K511" s="256"/>
      <c r="L511" s="256"/>
      <c r="M511" s="256"/>
      <c r="N511" s="256"/>
      <c r="O511" s="256"/>
      <c r="P511" s="256"/>
      <c r="Q511" s="256"/>
      <c r="R511" s="256"/>
      <c r="S511" s="256"/>
      <c r="T511" s="256"/>
      <c r="U511" s="256"/>
      <c r="V511" s="256"/>
      <c r="W511" s="256"/>
      <c r="X511" s="256"/>
      <c r="Y511" s="256"/>
      <c r="Z511" s="256"/>
    </row>
    <row r="512">
      <c r="A512" s="256"/>
      <c r="B512" s="256"/>
      <c r="C512" s="256"/>
      <c r="D512" s="256"/>
      <c r="E512" s="256"/>
      <c r="F512" s="310"/>
      <c r="G512" s="256"/>
      <c r="H512" s="256"/>
      <c r="I512" s="256"/>
      <c r="J512" s="256"/>
      <c r="K512" s="256"/>
      <c r="L512" s="256"/>
      <c r="M512" s="256"/>
      <c r="N512" s="256"/>
      <c r="O512" s="256"/>
      <c r="P512" s="256"/>
      <c r="Q512" s="256"/>
      <c r="R512" s="256"/>
      <c r="S512" s="256"/>
      <c r="T512" s="256"/>
      <c r="U512" s="256"/>
      <c r="V512" s="256"/>
      <c r="W512" s="256"/>
      <c r="X512" s="256"/>
      <c r="Y512" s="256"/>
      <c r="Z512" s="256"/>
    </row>
    <row r="513">
      <c r="A513" s="256"/>
      <c r="B513" s="256"/>
      <c r="C513" s="256"/>
      <c r="D513" s="256"/>
      <c r="E513" s="256"/>
      <c r="F513" s="310"/>
      <c r="G513" s="256"/>
      <c r="H513" s="256"/>
      <c r="I513" s="256"/>
      <c r="J513" s="256"/>
      <c r="K513" s="256"/>
      <c r="L513" s="256"/>
      <c r="M513" s="256"/>
      <c r="N513" s="256"/>
      <c r="O513" s="256"/>
      <c r="P513" s="256"/>
      <c r="Q513" s="256"/>
      <c r="R513" s="256"/>
      <c r="S513" s="256"/>
      <c r="T513" s="256"/>
      <c r="U513" s="256"/>
      <c r="V513" s="256"/>
      <c r="W513" s="256"/>
      <c r="X513" s="256"/>
      <c r="Y513" s="256"/>
      <c r="Z513" s="256"/>
    </row>
    <row r="514">
      <c r="A514" s="256"/>
      <c r="B514" s="256"/>
      <c r="C514" s="256"/>
      <c r="D514" s="256"/>
      <c r="E514" s="256"/>
      <c r="F514" s="310"/>
      <c r="G514" s="256"/>
      <c r="H514" s="256"/>
      <c r="I514" s="256"/>
      <c r="J514" s="256"/>
      <c r="K514" s="256"/>
      <c r="L514" s="256"/>
      <c r="M514" s="256"/>
      <c r="N514" s="256"/>
      <c r="O514" s="256"/>
      <c r="P514" s="256"/>
      <c r="Q514" s="256"/>
      <c r="R514" s="256"/>
      <c r="S514" s="256"/>
      <c r="T514" s="256"/>
      <c r="U514" s="256"/>
      <c r="V514" s="256"/>
      <c r="W514" s="256"/>
      <c r="X514" s="256"/>
      <c r="Y514" s="256"/>
      <c r="Z514" s="256"/>
    </row>
    <row r="515">
      <c r="A515" s="256"/>
      <c r="B515" s="256"/>
      <c r="C515" s="256"/>
      <c r="D515" s="256"/>
      <c r="E515" s="256"/>
      <c r="F515" s="310"/>
      <c r="G515" s="256"/>
      <c r="H515" s="256"/>
      <c r="I515" s="256"/>
      <c r="J515" s="256"/>
      <c r="K515" s="256"/>
      <c r="L515" s="256"/>
      <c r="M515" s="256"/>
      <c r="N515" s="256"/>
      <c r="O515" s="256"/>
      <c r="P515" s="256"/>
      <c r="Q515" s="256"/>
      <c r="R515" s="256"/>
      <c r="S515" s="256"/>
      <c r="T515" s="256"/>
      <c r="U515" s="256"/>
      <c r="V515" s="256"/>
      <c r="W515" s="256"/>
      <c r="X515" s="256"/>
      <c r="Y515" s="256"/>
      <c r="Z515" s="256"/>
    </row>
    <row r="516">
      <c r="A516" s="256"/>
      <c r="B516" s="256"/>
      <c r="C516" s="256"/>
      <c r="D516" s="256"/>
      <c r="E516" s="256"/>
      <c r="F516" s="310"/>
      <c r="G516" s="256"/>
      <c r="H516" s="256"/>
      <c r="I516" s="256"/>
      <c r="J516" s="256"/>
      <c r="K516" s="256"/>
      <c r="L516" s="256"/>
      <c r="M516" s="256"/>
      <c r="N516" s="256"/>
      <c r="O516" s="256"/>
      <c r="P516" s="256"/>
      <c r="Q516" s="256"/>
      <c r="R516" s="256"/>
      <c r="S516" s="256"/>
      <c r="T516" s="256"/>
      <c r="U516" s="256"/>
      <c r="V516" s="256"/>
      <c r="W516" s="256"/>
      <c r="X516" s="256"/>
      <c r="Y516" s="256"/>
      <c r="Z516" s="256"/>
    </row>
    <row r="517">
      <c r="A517" s="256"/>
      <c r="B517" s="256"/>
      <c r="C517" s="256"/>
      <c r="D517" s="256"/>
      <c r="E517" s="256"/>
      <c r="F517" s="310"/>
      <c r="G517" s="256"/>
      <c r="H517" s="256"/>
      <c r="I517" s="256"/>
      <c r="J517" s="256"/>
      <c r="K517" s="256"/>
      <c r="L517" s="256"/>
      <c r="M517" s="256"/>
      <c r="N517" s="256"/>
      <c r="O517" s="256"/>
      <c r="P517" s="256"/>
      <c r="Q517" s="256"/>
      <c r="R517" s="256"/>
      <c r="S517" s="256"/>
      <c r="T517" s="256"/>
      <c r="U517" s="256"/>
      <c r="V517" s="256"/>
      <c r="W517" s="256"/>
      <c r="X517" s="256"/>
      <c r="Y517" s="256"/>
      <c r="Z517" s="256"/>
    </row>
    <row r="518">
      <c r="A518" s="256"/>
      <c r="B518" s="256"/>
      <c r="C518" s="256"/>
      <c r="D518" s="256"/>
      <c r="E518" s="256"/>
      <c r="F518" s="310"/>
      <c r="G518" s="256"/>
      <c r="H518" s="256"/>
      <c r="I518" s="256"/>
      <c r="J518" s="256"/>
      <c r="K518" s="256"/>
      <c r="L518" s="256"/>
      <c r="M518" s="256"/>
      <c r="N518" s="256"/>
      <c r="O518" s="256"/>
      <c r="P518" s="256"/>
      <c r="Q518" s="256"/>
      <c r="R518" s="256"/>
      <c r="S518" s="256"/>
      <c r="T518" s="256"/>
      <c r="U518" s="256"/>
      <c r="V518" s="256"/>
      <c r="W518" s="256"/>
      <c r="X518" s="256"/>
      <c r="Y518" s="256"/>
      <c r="Z518" s="256"/>
    </row>
    <row r="519">
      <c r="A519" s="256"/>
      <c r="B519" s="256"/>
      <c r="C519" s="256"/>
      <c r="D519" s="256"/>
      <c r="E519" s="256"/>
      <c r="F519" s="310"/>
      <c r="G519" s="256"/>
      <c r="H519" s="256"/>
      <c r="I519" s="256"/>
      <c r="J519" s="256"/>
      <c r="K519" s="256"/>
      <c r="L519" s="256"/>
      <c r="M519" s="256"/>
      <c r="N519" s="256"/>
      <c r="O519" s="256"/>
      <c r="P519" s="256"/>
      <c r="Q519" s="256"/>
      <c r="R519" s="256"/>
      <c r="S519" s="256"/>
      <c r="T519" s="256"/>
      <c r="U519" s="256"/>
      <c r="V519" s="256"/>
      <c r="W519" s="256"/>
      <c r="X519" s="256"/>
      <c r="Y519" s="256"/>
      <c r="Z519" s="256"/>
    </row>
    <row r="520">
      <c r="A520" s="256"/>
      <c r="B520" s="256"/>
      <c r="C520" s="256"/>
      <c r="D520" s="256"/>
      <c r="E520" s="256"/>
      <c r="F520" s="310"/>
      <c r="G520" s="256"/>
      <c r="H520" s="256"/>
      <c r="I520" s="256"/>
      <c r="J520" s="256"/>
      <c r="K520" s="256"/>
      <c r="L520" s="256"/>
      <c r="M520" s="256"/>
      <c r="N520" s="256"/>
      <c r="O520" s="256"/>
      <c r="P520" s="256"/>
      <c r="Q520" s="256"/>
      <c r="R520" s="256"/>
      <c r="S520" s="256"/>
      <c r="T520" s="256"/>
      <c r="U520" s="256"/>
      <c r="V520" s="256"/>
      <c r="W520" s="256"/>
      <c r="X520" s="256"/>
      <c r="Y520" s="256"/>
      <c r="Z520" s="256"/>
    </row>
    <row r="521">
      <c r="A521" s="256"/>
      <c r="B521" s="256"/>
      <c r="C521" s="256"/>
      <c r="D521" s="256"/>
      <c r="E521" s="256"/>
      <c r="F521" s="310"/>
      <c r="G521" s="256"/>
      <c r="H521" s="256"/>
      <c r="I521" s="256"/>
      <c r="J521" s="256"/>
      <c r="K521" s="256"/>
      <c r="L521" s="256"/>
      <c r="M521" s="256"/>
      <c r="N521" s="256"/>
      <c r="O521" s="256"/>
      <c r="P521" s="256"/>
      <c r="Q521" s="256"/>
      <c r="R521" s="256"/>
      <c r="S521" s="256"/>
      <c r="T521" s="256"/>
      <c r="U521" s="256"/>
      <c r="V521" s="256"/>
      <c r="W521" s="256"/>
      <c r="X521" s="256"/>
      <c r="Y521" s="256"/>
      <c r="Z521" s="256"/>
    </row>
    <row r="522">
      <c r="A522" s="256"/>
      <c r="B522" s="256"/>
      <c r="C522" s="256"/>
      <c r="D522" s="256"/>
      <c r="E522" s="256"/>
      <c r="F522" s="310"/>
      <c r="G522" s="256"/>
      <c r="H522" s="256"/>
      <c r="I522" s="256"/>
      <c r="J522" s="256"/>
      <c r="K522" s="256"/>
      <c r="L522" s="256"/>
      <c r="M522" s="256"/>
      <c r="N522" s="256"/>
      <c r="O522" s="256"/>
      <c r="P522" s="256"/>
      <c r="Q522" s="256"/>
      <c r="R522" s="256"/>
      <c r="S522" s="256"/>
      <c r="T522" s="256"/>
      <c r="U522" s="256"/>
      <c r="V522" s="256"/>
      <c r="W522" s="256"/>
      <c r="X522" s="256"/>
      <c r="Y522" s="256"/>
      <c r="Z522" s="256"/>
    </row>
    <row r="523">
      <c r="A523" s="256"/>
      <c r="B523" s="256"/>
      <c r="C523" s="256"/>
      <c r="D523" s="256"/>
      <c r="E523" s="256"/>
      <c r="F523" s="310"/>
      <c r="G523" s="256"/>
      <c r="H523" s="256"/>
      <c r="I523" s="256"/>
      <c r="J523" s="256"/>
      <c r="K523" s="256"/>
      <c r="L523" s="256"/>
      <c r="M523" s="256"/>
      <c r="N523" s="256"/>
      <c r="O523" s="256"/>
      <c r="P523" s="256"/>
      <c r="Q523" s="256"/>
      <c r="R523" s="256"/>
      <c r="S523" s="256"/>
      <c r="T523" s="256"/>
      <c r="U523" s="256"/>
      <c r="V523" s="256"/>
      <c r="W523" s="256"/>
      <c r="X523" s="256"/>
      <c r="Y523" s="256"/>
      <c r="Z523" s="256"/>
    </row>
    <row r="524">
      <c r="A524" s="256"/>
      <c r="B524" s="256"/>
      <c r="C524" s="256"/>
      <c r="D524" s="256"/>
      <c r="E524" s="256"/>
      <c r="F524" s="310"/>
      <c r="G524" s="256"/>
      <c r="H524" s="256"/>
      <c r="I524" s="256"/>
      <c r="J524" s="256"/>
      <c r="K524" s="256"/>
      <c r="L524" s="256"/>
      <c r="M524" s="256"/>
      <c r="N524" s="256"/>
      <c r="O524" s="256"/>
      <c r="P524" s="256"/>
      <c r="Q524" s="256"/>
      <c r="R524" s="256"/>
      <c r="S524" s="256"/>
      <c r="T524" s="256"/>
      <c r="U524" s="256"/>
      <c r="V524" s="256"/>
      <c r="W524" s="256"/>
      <c r="X524" s="256"/>
      <c r="Y524" s="256"/>
      <c r="Z524" s="256"/>
    </row>
    <row r="525">
      <c r="A525" s="256"/>
      <c r="B525" s="256"/>
      <c r="C525" s="256"/>
      <c r="D525" s="256"/>
      <c r="E525" s="256"/>
      <c r="F525" s="310"/>
      <c r="G525" s="256"/>
      <c r="H525" s="256"/>
      <c r="I525" s="256"/>
      <c r="J525" s="256"/>
      <c r="K525" s="256"/>
      <c r="L525" s="256"/>
      <c r="M525" s="256"/>
      <c r="N525" s="256"/>
      <c r="O525" s="256"/>
      <c r="P525" s="256"/>
      <c r="Q525" s="256"/>
      <c r="R525" s="256"/>
      <c r="S525" s="256"/>
      <c r="T525" s="256"/>
      <c r="U525" s="256"/>
      <c r="V525" s="256"/>
      <c r="W525" s="256"/>
      <c r="X525" s="256"/>
      <c r="Y525" s="256"/>
      <c r="Z525" s="256"/>
    </row>
    <row r="526">
      <c r="A526" s="256"/>
      <c r="B526" s="256"/>
      <c r="C526" s="256"/>
      <c r="D526" s="256"/>
      <c r="E526" s="256"/>
      <c r="F526" s="310"/>
      <c r="G526" s="256"/>
      <c r="H526" s="256"/>
      <c r="I526" s="256"/>
      <c r="J526" s="256"/>
      <c r="K526" s="256"/>
      <c r="L526" s="256"/>
      <c r="M526" s="256"/>
      <c r="N526" s="256"/>
      <c r="O526" s="256"/>
      <c r="P526" s="256"/>
      <c r="Q526" s="256"/>
      <c r="R526" s="256"/>
      <c r="S526" s="256"/>
      <c r="T526" s="256"/>
      <c r="U526" s="256"/>
      <c r="V526" s="256"/>
      <c r="W526" s="256"/>
      <c r="X526" s="256"/>
      <c r="Y526" s="256"/>
      <c r="Z526" s="256"/>
    </row>
    <row r="527">
      <c r="A527" s="256"/>
      <c r="B527" s="256"/>
      <c r="C527" s="256"/>
      <c r="D527" s="256"/>
      <c r="E527" s="256"/>
      <c r="F527" s="310"/>
      <c r="G527" s="256"/>
      <c r="H527" s="256"/>
      <c r="I527" s="256"/>
      <c r="J527" s="256"/>
      <c r="K527" s="256"/>
      <c r="L527" s="256"/>
      <c r="M527" s="256"/>
      <c r="N527" s="256"/>
      <c r="O527" s="256"/>
      <c r="P527" s="256"/>
      <c r="Q527" s="256"/>
      <c r="R527" s="256"/>
      <c r="S527" s="256"/>
      <c r="T527" s="256"/>
      <c r="U527" s="256"/>
      <c r="V527" s="256"/>
      <c r="W527" s="256"/>
      <c r="X527" s="256"/>
      <c r="Y527" s="256"/>
      <c r="Z527" s="256"/>
    </row>
    <row r="528">
      <c r="A528" s="256"/>
      <c r="B528" s="256"/>
      <c r="C528" s="256"/>
      <c r="D528" s="256"/>
      <c r="E528" s="256"/>
      <c r="F528" s="310"/>
      <c r="G528" s="256"/>
      <c r="H528" s="256"/>
      <c r="I528" s="256"/>
      <c r="J528" s="256"/>
      <c r="K528" s="256"/>
      <c r="L528" s="256"/>
      <c r="M528" s="256"/>
      <c r="N528" s="256"/>
      <c r="O528" s="256"/>
      <c r="P528" s="256"/>
      <c r="Q528" s="256"/>
      <c r="R528" s="256"/>
      <c r="S528" s="256"/>
      <c r="T528" s="256"/>
      <c r="U528" s="256"/>
      <c r="V528" s="256"/>
      <c r="W528" s="256"/>
      <c r="X528" s="256"/>
      <c r="Y528" s="256"/>
      <c r="Z528" s="256"/>
    </row>
    <row r="529">
      <c r="A529" s="256"/>
      <c r="B529" s="256"/>
      <c r="C529" s="256"/>
      <c r="D529" s="256"/>
      <c r="E529" s="256"/>
      <c r="F529" s="310"/>
      <c r="G529" s="256"/>
      <c r="H529" s="256"/>
      <c r="I529" s="256"/>
      <c r="J529" s="256"/>
      <c r="K529" s="256"/>
      <c r="L529" s="256"/>
      <c r="M529" s="256"/>
      <c r="N529" s="256"/>
      <c r="O529" s="256"/>
      <c r="P529" s="256"/>
      <c r="Q529" s="256"/>
      <c r="R529" s="256"/>
      <c r="S529" s="256"/>
      <c r="T529" s="256"/>
      <c r="U529" s="256"/>
      <c r="V529" s="256"/>
      <c r="W529" s="256"/>
      <c r="X529" s="256"/>
      <c r="Y529" s="256"/>
      <c r="Z529" s="256"/>
    </row>
    <row r="530">
      <c r="A530" s="256"/>
      <c r="B530" s="256"/>
      <c r="C530" s="256"/>
      <c r="D530" s="256"/>
      <c r="E530" s="256"/>
      <c r="F530" s="310"/>
      <c r="G530" s="256"/>
      <c r="H530" s="256"/>
      <c r="I530" s="256"/>
      <c r="J530" s="256"/>
      <c r="K530" s="256"/>
      <c r="L530" s="256"/>
      <c r="M530" s="256"/>
      <c r="N530" s="256"/>
      <c r="O530" s="256"/>
      <c r="P530" s="256"/>
      <c r="Q530" s="256"/>
      <c r="R530" s="256"/>
      <c r="S530" s="256"/>
      <c r="T530" s="256"/>
      <c r="U530" s="256"/>
      <c r="V530" s="256"/>
      <c r="W530" s="256"/>
      <c r="X530" s="256"/>
      <c r="Y530" s="256"/>
      <c r="Z530" s="256"/>
    </row>
    <row r="531">
      <c r="A531" s="256"/>
      <c r="B531" s="256"/>
      <c r="C531" s="256"/>
      <c r="D531" s="256"/>
      <c r="E531" s="256"/>
      <c r="F531" s="310"/>
      <c r="G531" s="256"/>
      <c r="H531" s="256"/>
      <c r="I531" s="256"/>
      <c r="J531" s="256"/>
      <c r="K531" s="256"/>
      <c r="L531" s="256"/>
      <c r="M531" s="256"/>
      <c r="N531" s="256"/>
      <c r="O531" s="256"/>
      <c r="P531" s="256"/>
      <c r="Q531" s="256"/>
      <c r="R531" s="256"/>
      <c r="S531" s="256"/>
      <c r="T531" s="256"/>
      <c r="U531" s="256"/>
      <c r="V531" s="256"/>
      <c r="W531" s="256"/>
      <c r="X531" s="256"/>
      <c r="Y531" s="256"/>
      <c r="Z531" s="256"/>
    </row>
    <row r="532">
      <c r="A532" s="256"/>
      <c r="B532" s="256"/>
      <c r="C532" s="256"/>
      <c r="D532" s="256"/>
      <c r="E532" s="256"/>
      <c r="F532" s="310"/>
      <c r="G532" s="256"/>
      <c r="H532" s="256"/>
      <c r="I532" s="256"/>
      <c r="J532" s="256"/>
      <c r="K532" s="256"/>
      <c r="L532" s="256"/>
      <c r="M532" s="256"/>
      <c r="N532" s="256"/>
      <c r="O532" s="256"/>
      <c r="P532" s="256"/>
      <c r="Q532" s="256"/>
      <c r="R532" s="256"/>
      <c r="S532" s="256"/>
      <c r="T532" s="256"/>
      <c r="U532" s="256"/>
      <c r="V532" s="256"/>
      <c r="W532" s="256"/>
      <c r="X532" s="256"/>
      <c r="Y532" s="256"/>
      <c r="Z532" s="256"/>
    </row>
    <row r="533">
      <c r="A533" s="256"/>
      <c r="B533" s="256"/>
      <c r="C533" s="256"/>
      <c r="D533" s="256"/>
      <c r="E533" s="256"/>
      <c r="F533" s="310"/>
      <c r="G533" s="256"/>
      <c r="H533" s="256"/>
      <c r="I533" s="256"/>
      <c r="J533" s="256"/>
      <c r="K533" s="256"/>
      <c r="L533" s="256"/>
      <c r="M533" s="256"/>
      <c r="N533" s="256"/>
      <c r="O533" s="256"/>
      <c r="P533" s="256"/>
      <c r="Q533" s="256"/>
      <c r="R533" s="256"/>
      <c r="S533" s="256"/>
      <c r="T533" s="256"/>
      <c r="U533" s="256"/>
      <c r="V533" s="256"/>
      <c r="W533" s="256"/>
      <c r="X533" s="256"/>
      <c r="Y533" s="256"/>
      <c r="Z533" s="256"/>
    </row>
    <row r="534">
      <c r="A534" s="256"/>
      <c r="B534" s="256"/>
      <c r="C534" s="256"/>
      <c r="D534" s="256"/>
      <c r="E534" s="256"/>
      <c r="F534" s="310"/>
      <c r="G534" s="256"/>
      <c r="H534" s="256"/>
      <c r="I534" s="256"/>
      <c r="J534" s="256"/>
      <c r="K534" s="256"/>
      <c r="L534" s="256"/>
      <c r="M534" s="256"/>
      <c r="N534" s="256"/>
      <c r="O534" s="256"/>
      <c r="P534" s="256"/>
      <c r="Q534" s="256"/>
      <c r="R534" s="256"/>
      <c r="S534" s="256"/>
      <c r="T534" s="256"/>
      <c r="U534" s="256"/>
      <c r="V534" s="256"/>
      <c r="W534" s="256"/>
      <c r="X534" s="256"/>
      <c r="Y534" s="256"/>
      <c r="Z534" s="256"/>
    </row>
    <row r="535">
      <c r="A535" s="256"/>
      <c r="B535" s="256"/>
      <c r="C535" s="256"/>
      <c r="D535" s="256"/>
      <c r="E535" s="256"/>
      <c r="F535" s="310"/>
      <c r="G535" s="256"/>
      <c r="H535" s="256"/>
      <c r="I535" s="256"/>
      <c r="J535" s="256"/>
      <c r="K535" s="256"/>
      <c r="L535" s="256"/>
      <c r="M535" s="256"/>
      <c r="N535" s="256"/>
      <c r="O535" s="256"/>
      <c r="P535" s="256"/>
      <c r="Q535" s="256"/>
      <c r="R535" s="256"/>
      <c r="S535" s="256"/>
      <c r="T535" s="256"/>
      <c r="U535" s="256"/>
      <c r="V535" s="256"/>
      <c r="W535" s="256"/>
      <c r="X535" s="256"/>
      <c r="Y535" s="256"/>
      <c r="Z535" s="256"/>
    </row>
    <row r="536">
      <c r="A536" s="256"/>
      <c r="B536" s="256"/>
      <c r="C536" s="256"/>
      <c r="D536" s="256"/>
      <c r="E536" s="256"/>
      <c r="F536" s="310"/>
      <c r="G536" s="256"/>
      <c r="H536" s="256"/>
      <c r="I536" s="256"/>
      <c r="J536" s="256"/>
      <c r="K536" s="256"/>
      <c r="L536" s="256"/>
      <c r="M536" s="256"/>
      <c r="N536" s="256"/>
      <c r="O536" s="256"/>
      <c r="P536" s="256"/>
      <c r="Q536" s="256"/>
      <c r="R536" s="256"/>
      <c r="S536" s="256"/>
      <c r="T536" s="256"/>
      <c r="U536" s="256"/>
      <c r="V536" s="256"/>
      <c r="W536" s="256"/>
      <c r="X536" s="256"/>
      <c r="Y536" s="256"/>
      <c r="Z536" s="256"/>
    </row>
    <row r="537">
      <c r="A537" s="256"/>
      <c r="B537" s="256"/>
      <c r="C537" s="256"/>
      <c r="D537" s="256"/>
      <c r="E537" s="256"/>
      <c r="F537" s="310"/>
      <c r="G537" s="256"/>
      <c r="H537" s="256"/>
      <c r="I537" s="256"/>
      <c r="J537" s="256"/>
      <c r="K537" s="256"/>
      <c r="L537" s="256"/>
      <c r="M537" s="256"/>
      <c r="N537" s="256"/>
      <c r="O537" s="256"/>
      <c r="P537" s="256"/>
      <c r="Q537" s="256"/>
      <c r="R537" s="256"/>
      <c r="S537" s="256"/>
      <c r="T537" s="256"/>
      <c r="U537" s="256"/>
      <c r="V537" s="256"/>
      <c r="W537" s="256"/>
      <c r="X537" s="256"/>
      <c r="Y537" s="256"/>
      <c r="Z537" s="256"/>
    </row>
    <row r="538">
      <c r="A538" s="256"/>
      <c r="B538" s="256"/>
      <c r="C538" s="256"/>
      <c r="D538" s="256"/>
      <c r="E538" s="256"/>
      <c r="F538" s="310"/>
      <c r="G538" s="256"/>
      <c r="H538" s="256"/>
      <c r="I538" s="256"/>
      <c r="J538" s="256"/>
      <c r="K538" s="256"/>
      <c r="L538" s="256"/>
      <c r="M538" s="256"/>
      <c r="N538" s="256"/>
      <c r="O538" s="256"/>
      <c r="P538" s="256"/>
      <c r="Q538" s="256"/>
      <c r="R538" s="256"/>
      <c r="S538" s="256"/>
      <c r="T538" s="256"/>
      <c r="U538" s="256"/>
      <c r="V538" s="256"/>
      <c r="W538" s="256"/>
      <c r="X538" s="256"/>
      <c r="Y538" s="256"/>
      <c r="Z538" s="256"/>
    </row>
    <row r="539">
      <c r="A539" s="256"/>
      <c r="B539" s="256"/>
      <c r="C539" s="256"/>
      <c r="D539" s="256"/>
      <c r="E539" s="256"/>
      <c r="F539" s="310"/>
      <c r="G539" s="256"/>
      <c r="H539" s="256"/>
      <c r="I539" s="256"/>
      <c r="J539" s="256"/>
      <c r="K539" s="256"/>
      <c r="L539" s="256"/>
      <c r="M539" s="256"/>
      <c r="N539" s="256"/>
      <c r="O539" s="256"/>
      <c r="P539" s="256"/>
      <c r="Q539" s="256"/>
      <c r="R539" s="256"/>
      <c r="S539" s="256"/>
      <c r="T539" s="256"/>
      <c r="U539" s="256"/>
      <c r="V539" s="256"/>
      <c r="W539" s="256"/>
      <c r="X539" s="256"/>
      <c r="Y539" s="256"/>
      <c r="Z539" s="256"/>
    </row>
    <row r="540">
      <c r="A540" s="256"/>
      <c r="B540" s="256"/>
      <c r="C540" s="256"/>
      <c r="D540" s="256"/>
      <c r="E540" s="256"/>
      <c r="F540" s="310"/>
      <c r="G540" s="256"/>
      <c r="H540" s="256"/>
      <c r="I540" s="256"/>
      <c r="J540" s="256"/>
      <c r="K540" s="256"/>
      <c r="L540" s="256"/>
      <c r="M540" s="256"/>
      <c r="N540" s="256"/>
      <c r="O540" s="256"/>
      <c r="P540" s="256"/>
      <c r="Q540" s="256"/>
      <c r="R540" s="256"/>
      <c r="S540" s="256"/>
      <c r="T540" s="256"/>
      <c r="U540" s="256"/>
      <c r="V540" s="256"/>
      <c r="W540" s="256"/>
      <c r="X540" s="256"/>
      <c r="Y540" s="256"/>
      <c r="Z540" s="256"/>
    </row>
    <row r="541">
      <c r="A541" s="256"/>
      <c r="B541" s="256"/>
      <c r="C541" s="256"/>
      <c r="D541" s="256"/>
      <c r="E541" s="256"/>
      <c r="F541" s="310"/>
      <c r="G541" s="256"/>
      <c r="H541" s="256"/>
      <c r="I541" s="256"/>
      <c r="J541" s="256"/>
      <c r="K541" s="256"/>
      <c r="L541" s="256"/>
      <c r="M541" s="256"/>
      <c r="N541" s="256"/>
      <c r="O541" s="256"/>
      <c r="P541" s="256"/>
      <c r="Q541" s="256"/>
      <c r="R541" s="256"/>
      <c r="S541" s="256"/>
      <c r="T541" s="256"/>
      <c r="U541" s="256"/>
      <c r="V541" s="256"/>
      <c r="W541" s="256"/>
      <c r="X541" s="256"/>
      <c r="Y541" s="256"/>
      <c r="Z541" s="256"/>
    </row>
    <row r="542">
      <c r="A542" s="256"/>
      <c r="B542" s="256"/>
      <c r="C542" s="256"/>
      <c r="D542" s="256"/>
      <c r="E542" s="256"/>
      <c r="F542" s="310"/>
      <c r="G542" s="256"/>
      <c r="H542" s="256"/>
      <c r="I542" s="256"/>
      <c r="J542" s="256"/>
      <c r="K542" s="256"/>
      <c r="L542" s="256"/>
      <c r="M542" s="256"/>
      <c r="N542" s="256"/>
      <c r="O542" s="256"/>
      <c r="P542" s="256"/>
      <c r="Q542" s="256"/>
      <c r="R542" s="256"/>
      <c r="S542" s="256"/>
      <c r="T542" s="256"/>
      <c r="U542" s="256"/>
      <c r="V542" s="256"/>
      <c r="W542" s="256"/>
      <c r="X542" s="256"/>
      <c r="Y542" s="256"/>
      <c r="Z542" s="256"/>
    </row>
    <row r="543">
      <c r="A543" s="256"/>
      <c r="B543" s="256"/>
      <c r="C543" s="256"/>
      <c r="D543" s="256"/>
      <c r="E543" s="256"/>
      <c r="F543" s="310"/>
      <c r="G543" s="256"/>
      <c r="H543" s="256"/>
      <c r="I543" s="256"/>
      <c r="J543" s="256"/>
      <c r="K543" s="256"/>
      <c r="L543" s="256"/>
      <c r="M543" s="256"/>
      <c r="N543" s="256"/>
      <c r="O543" s="256"/>
      <c r="P543" s="256"/>
      <c r="Q543" s="256"/>
      <c r="R543" s="256"/>
      <c r="S543" s="256"/>
      <c r="T543" s="256"/>
      <c r="U543" s="256"/>
      <c r="V543" s="256"/>
      <c r="W543" s="256"/>
      <c r="X543" s="256"/>
      <c r="Y543" s="256"/>
      <c r="Z543" s="256"/>
    </row>
    <row r="544">
      <c r="A544" s="256"/>
      <c r="B544" s="256"/>
      <c r="C544" s="256"/>
      <c r="D544" s="256"/>
      <c r="E544" s="256"/>
      <c r="F544" s="310"/>
      <c r="G544" s="256"/>
      <c r="H544" s="256"/>
      <c r="I544" s="256"/>
      <c r="J544" s="256"/>
      <c r="K544" s="256"/>
      <c r="L544" s="256"/>
      <c r="M544" s="256"/>
      <c r="N544" s="256"/>
      <c r="O544" s="256"/>
      <c r="P544" s="256"/>
      <c r="Q544" s="256"/>
      <c r="R544" s="256"/>
      <c r="S544" s="256"/>
      <c r="T544" s="256"/>
      <c r="U544" s="256"/>
      <c r="V544" s="256"/>
      <c r="W544" s="256"/>
      <c r="X544" s="256"/>
      <c r="Y544" s="256"/>
      <c r="Z544" s="256"/>
    </row>
    <row r="545">
      <c r="A545" s="256"/>
      <c r="B545" s="256"/>
      <c r="C545" s="256"/>
      <c r="D545" s="256"/>
      <c r="E545" s="256"/>
      <c r="F545" s="310"/>
      <c r="G545" s="256"/>
      <c r="H545" s="256"/>
      <c r="I545" s="256"/>
      <c r="J545" s="256"/>
      <c r="K545" s="256"/>
      <c r="L545" s="256"/>
      <c r="M545" s="256"/>
      <c r="N545" s="256"/>
      <c r="O545" s="256"/>
      <c r="P545" s="256"/>
      <c r="Q545" s="256"/>
      <c r="R545" s="256"/>
      <c r="S545" s="256"/>
      <c r="T545" s="256"/>
      <c r="U545" s="256"/>
      <c r="V545" s="256"/>
      <c r="W545" s="256"/>
      <c r="X545" s="256"/>
      <c r="Y545" s="256"/>
      <c r="Z545" s="256"/>
    </row>
    <row r="546">
      <c r="A546" s="256"/>
      <c r="B546" s="256"/>
      <c r="C546" s="256"/>
      <c r="D546" s="256"/>
      <c r="E546" s="256"/>
      <c r="F546" s="310"/>
      <c r="G546" s="256"/>
      <c r="H546" s="256"/>
      <c r="I546" s="256"/>
      <c r="J546" s="256"/>
      <c r="K546" s="256"/>
      <c r="L546" s="256"/>
      <c r="M546" s="256"/>
      <c r="N546" s="256"/>
      <c r="O546" s="256"/>
      <c r="P546" s="256"/>
      <c r="Q546" s="256"/>
      <c r="R546" s="256"/>
      <c r="S546" s="256"/>
      <c r="T546" s="256"/>
      <c r="U546" s="256"/>
      <c r="V546" s="256"/>
      <c r="W546" s="256"/>
      <c r="X546" s="256"/>
      <c r="Y546" s="256"/>
      <c r="Z546" s="256"/>
    </row>
    <row r="547">
      <c r="A547" s="256"/>
      <c r="B547" s="256"/>
      <c r="C547" s="256"/>
      <c r="D547" s="256"/>
      <c r="E547" s="256"/>
      <c r="F547" s="310"/>
      <c r="G547" s="256"/>
      <c r="H547" s="256"/>
      <c r="I547" s="256"/>
      <c r="J547" s="256"/>
      <c r="K547" s="256"/>
      <c r="L547" s="256"/>
      <c r="M547" s="256"/>
      <c r="N547" s="256"/>
      <c r="O547" s="256"/>
      <c r="P547" s="256"/>
      <c r="Q547" s="256"/>
      <c r="R547" s="256"/>
      <c r="S547" s="256"/>
      <c r="T547" s="256"/>
      <c r="U547" s="256"/>
      <c r="V547" s="256"/>
      <c r="W547" s="256"/>
      <c r="X547" s="256"/>
      <c r="Y547" s="256"/>
      <c r="Z547" s="256"/>
    </row>
    <row r="548">
      <c r="A548" s="256"/>
      <c r="B548" s="256"/>
      <c r="C548" s="256"/>
      <c r="D548" s="256"/>
      <c r="E548" s="256"/>
      <c r="F548" s="310"/>
      <c r="G548" s="256"/>
      <c r="H548" s="256"/>
      <c r="I548" s="256"/>
      <c r="J548" s="256"/>
      <c r="K548" s="256"/>
      <c r="L548" s="256"/>
      <c r="M548" s="256"/>
      <c r="N548" s="256"/>
      <c r="O548" s="256"/>
      <c r="P548" s="256"/>
      <c r="Q548" s="256"/>
      <c r="R548" s="256"/>
      <c r="S548" s="256"/>
      <c r="T548" s="256"/>
      <c r="U548" s="256"/>
      <c r="V548" s="256"/>
      <c r="W548" s="256"/>
      <c r="X548" s="256"/>
      <c r="Y548" s="256"/>
      <c r="Z548" s="256"/>
    </row>
    <row r="549">
      <c r="A549" s="256"/>
      <c r="B549" s="256"/>
      <c r="C549" s="256"/>
      <c r="D549" s="256"/>
      <c r="E549" s="256"/>
      <c r="F549" s="310"/>
      <c r="G549" s="256"/>
      <c r="H549" s="256"/>
      <c r="I549" s="256"/>
      <c r="J549" s="256"/>
      <c r="K549" s="256"/>
      <c r="L549" s="256"/>
      <c r="M549" s="256"/>
      <c r="N549" s="256"/>
      <c r="O549" s="256"/>
      <c r="P549" s="256"/>
      <c r="Q549" s="256"/>
      <c r="R549" s="256"/>
      <c r="S549" s="256"/>
      <c r="T549" s="256"/>
      <c r="U549" s="256"/>
      <c r="V549" s="256"/>
      <c r="W549" s="256"/>
      <c r="X549" s="256"/>
      <c r="Y549" s="256"/>
      <c r="Z549" s="256"/>
    </row>
    <row r="550">
      <c r="A550" s="256"/>
      <c r="B550" s="256"/>
      <c r="C550" s="256"/>
      <c r="D550" s="256"/>
      <c r="E550" s="256"/>
      <c r="F550" s="310"/>
      <c r="G550" s="256"/>
      <c r="H550" s="256"/>
      <c r="I550" s="256"/>
      <c r="J550" s="256"/>
      <c r="K550" s="256"/>
      <c r="L550" s="256"/>
      <c r="M550" s="256"/>
      <c r="N550" s="256"/>
      <c r="O550" s="256"/>
      <c r="P550" s="256"/>
      <c r="Q550" s="256"/>
      <c r="R550" s="256"/>
      <c r="S550" s="256"/>
      <c r="T550" s="256"/>
      <c r="U550" s="256"/>
      <c r="V550" s="256"/>
      <c r="W550" s="256"/>
      <c r="X550" s="256"/>
      <c r="Y550" s="256"/>
      <c r="Z550" s="256"/>
    </row>
    <row r="551">
      <c r="A551" s="256"/>
      <c r="B551" s="256"/>
      <c r="C551" s="256"/>
      <c r="D551" s="256"/>
      <c r="E551" s="256"/>
      <c r="F551" s="310"/>
      <c r="G551" s="256"/>
      <c r="H551" s="256"/>
      <c r="I551" s="256"/>
      <c r="J551" s="256"/>
      <c r="K551" s="256"/>
      <c r="L551" s="256"/>
      <c r="M551" s="256"/>
      <c r="N551" s="256"/>
      <c r="O551" s="256"/>
      <c r="P551" s="256"/>
      <c r="Q551" s="256"/>
      <c r="R551" s="256"/>
      <c r="S551" s="256"/>
      <c r="T551" s="256"/>
      <c r="U551" s="256"/>
      <c r="V551" s="256"/>
      <c r="W551" s="256"/>
      <c r="X551" s="256"/>
      <c r="Y551" s="256"/>
      <c r="Z551" s="256"/>
    </row>
    <row r="552">
      <c r="A552" s="256"/>
      <c r="B552" s="256"/>
      <c r="C552" s="256"/>
      <c r="D552" s="256"/>
      <c r="E552" s="256"/>
      <c r="F552" s="310"/>
      <c r="G552" s="256"/>
      <c r="H552" s="256"/>
      <c r="I552" s="256"/>
      <c r="J552" s="256"/>
      <c r="K552" s="256"/>
      <c r="L552" s="256"/>
      <c r="M552" s="256"/>
      <c r="N552" s="256"/>
      <c r="O552" s="256"/>
      <c r="P552" s="256"/>
      <c r="Q552" s="256"/>
      <c r="R552" s="256"/>
      <c r="S552" s="256"/>
      <c r="T552" s="256"/>
      <c r="U552" s="256"/>
      <c r="V552" s="256"/>
      <c r="W552" s="256"/>
      <c r="X552" s="256"/>
      <c r="Y552" s="256"/>
      <c r="Z552" s="256"/>
    </row>
    <row r="553">
      <c r="A553" s="256"/>
      <c r="B553" s="256"/>
      <c r="C553" s="256"/>
      <c r="D553" s="256"/>
      <c r="E553" s="256"/>
      <c r="F553" s="310"/>
      <c r="G553" s="256"/>
      <c r="H553" s="256"/>
      <c r="I553" s="256"/>
      <c r="J553" s="256"/>
      <c r="K553" s="256"/>
      <c r="L553" s="256"/>
      <c r="M553" s="256"/>
      <c r="N553" s="256"/>
      <c r="O553" s="256"/>
      <c r="P553" s="256"/>
      <c r="Q553" s="256"/>
      <c r="R553" s="256"/>
      <c r="S553" s="256"/>
      <c r="T553" s="256"/>
      <c r="U553" s="256"/>
      <c r="V553" s="256"/>
      <c r="W553" s="256"/>
      <c r="X553" s="256"/>
      <c r="Y553" s="256"/>
      <c r="Z553" s="256"/>
    </row>
    <row r="554">
      <c r="A554" s="256"/>
      <c r="B554" s="256"/>
      <c r="C554" s="256"/>
      <c r="D554" s="256"/>
      <c r="E554" s="256"/>
      <c r="F554" s="310"/>
      <c r="G554" s="256"/>
      <c r="H554" s="256"/>
      <c r="I554" s="256"/>
      <c r="J554" s="256"/>
      <c r="K554" s="256"/>
      <c r="L554" s="256"/>
      <c r="M554" s="256"/>
      <c r="N554" s="256"/>
      <c r="O554" s="256"/>
      <c r="P554" s="256"/>
      <c r="Q554" s="256"/>
      <c r="R554" s="256"/>
      <c r="S554" s="256"/>
      <c r="T554" s="256"/>
      <c r="U554" s="256"/>
      <c r="V554" s="256"/>
      <c r="W554" s="256"/>
      <c r="X554" s="256"/>
      <c r="Y554" s="256"/>
      <c r="Z554" s="256"/>
    </row>
    <row r="555">
      <c r="A555" s="256"/>
      <c r="B555" s="256"/>
      <c r="C555" s="256"/>
      <c r="D555" s="256"/>
      <c r="E555" s="256"/>
      <c r="F555" s="310"/>
      <c r="G555" s="256"/>
      <c r="H555" s="256"/>
      <c r="I555" s="256"/>
      <c r="J555" s="256"/>
      <c r="K555" s="256"/>
      <c r="L555" s="256"/>
      <c r="M555" s="256"/>
      <c r="N555" s="256"/>
      <c r="O555" s="256"/>
      <c r="P555" s="256"/>
      <c r="Q555" s="256"/>
      <c r="R555" s="256"/>
      <c r="S555" s="256"/>
      <c r="T555" s="256"/>
      <c r="U555" s="256"/>
      <c r="V555" s="256"/>
      <c r="W555" s="256"/>
      <c r="X555" s="256"/>
      <c r="Y555" s="256"/>
      <c r="Z555" s="256"/>
    </row>
    <row r="556">
      <c r="A556" s="256"/>
      <c r="B556" s="256"/>
      <c r="C556" s="256"/>
      <c r="D556" s="256"/>
      <c r="E556" s="256"/>
      <c r="F556" s="310"/>
      <c r="G556" s="256"/>
      <c r="H556" s="256"/>
      <c r="I556" s="256"/>
      <c r="J556" s="256"/>
      <c r="K556" s="256"/>
      <c r="L556" s="256"/>
      <c r="M556" s="256"/>
      <c r="N556" s="256"/>
      <c r="O556" s="256"/>
      <c r="P556" s="256"/>
      <c r="Q556" s="256"/>
      <c r="R556" s="256"/>
      <c r="S556" s="256"/>
      <c r="T556" s="256"/>
      <c r="U556" s="256"/>
      <c r="V556" s="256"/>
      <c r="W556" s="256"/>
      <c r="X556" s="256"/>
      <c r="Y556" s="256"/>
      <c r="Z556" s="256"/>
    </row>
    <row r="557">
      <c r="A557" s="256"/>
      <c r="B557" s="256"/>
      <c r="C557" s="256"/>
      <c r="D557" s="256"/>
      <c r="E557" s="256"/>
      <c r="F557" s="310"/>
      <c r="G557" s="256"/>
      <c r="H557" s="256"/>
      <c r="I557" s="256"/>
      <c r="J557" s="256"/>
      <c r="K557" s="256"/>
      <c r="L557" s="256"/>
      <c r="M557" s="256"/>
      <c r="N557" s="256"/>
      <c r="O557" s="256"/>
      <c r="P557" s="256"/>
      <c r="Q557" s="256"/>
      <c r="R557" s="256"/>
      <c r="S557" s="256"/>
      <c r="T557" s="256"/>
      <c r="U557" s="256"/>
      <c r="V557" s="256"/>
      <c r="W557" s="256"/>
      <c r="X557" s="256"/>
      <c r="Y557" s="256"/>
      <c r="Z557" s="256"/>
    </row>
    <row r="558">
      <c r="A558" s="256"/>
      <c r="B558" s="256"/>
      <c r="C558" s="256"/>
      <c r="D558" s="256"/>
      <c r="E558" s="256"/>
      <c r="F558" s="310"/>
      <c r="G558" s="256"/>
      <c r="H558" s="256"/>
      <c r="I558" s="256"/>
      <c r="J558" s="256"/>
      <c r="K558" s="256"/>
      <c r="L558" s="256"/>
      <c r="M558" s="256"/>
      <c r="N558" s="256"/>
      <c r="O558" s="256"/>
      <c r="P558" s="256"/>
      <c r="Q558" s="256"/>
      <c r="R558" s="256"/>
      <c r="S558" s="256"/>
      <c r="T558" s="256"/>
      <c r="U558" s="256"/>
      <c r="V558" s="256"/>
      <c r="W558" s="256"/>
      <c r="X558" s="256"/>
      <c r="Y558" s="256"/>
      <c r="Z558" s="256"/>
    </row>
    <row r="559">
      <c r="A559" s="256"/>
      <c r="B559" s="256"/>
      <c r="C559" s="256"/>
      <c r="D559" s="256"/>
      <c r="E559" s="256"/>
      <c r="F559" s="310"/>
      <c r="G559" s="256"/>
      <c r="H559" s="256"/>
      <c r="I559" s="256"/>
      <c r="J559" s="256"/>
      <c r="K559" s="256"/>
      <c r="L559" s="256"/>
      <c r="M559" s="256"/>
      <c r="N559" s="256"/>
      <c r="O559" s="256"/>
      <c r="P559" s="256"/>
      <c r="Q559" s="256"/>
      <c r="R559" s="256"/>
      <c r="S559" s="256"/>
      <c r="T559" s="256"/>
      <c r="U559" s="256"/>
      <c r="V559" s="256"/>
      <c r="W559" s="256"/>
      <c r="X559" s="256"/>
      <c r="Y559" s="256"/>
      <c r="Z559" s="256"/>
    </row>
    <row r="560">
      <c r="A560" s="256"/>
      <c r="B560" s="256"/>
      <c r="C560" s="256"/>
      <c r="D560" s="256"/>
      <c r="E560" s="256"/>
      <c r="F560" s="310"/>
      <c r="G560" s="256"/>
      <c r="H560" s="256"/>
      <c r="I560" s="256"/>
      <c r="J560" s="256"/>
      <c r="K560" s="256"/>
      <c r="L560" s="256"/>
      <c r="M560" s="256"/>
      <c r="N560" s="256"/>
      <c r="O560" s="256"/>
      <c r="P560" s="256"/>
      <c r="Q560" s="256"/>
      <c r="R560" s="256"/>
      <c r="S560" s="256"/>
      <c r="T560" s="256"/>
      <c r="U560" s="256"/>
      <c r="V560" s="256"/>
      <c r="W560" s="256"/>
      <c r="X560" s="256"/>
      <c r="Y560" s="256"/>
      <c r="Z560" s="256"/>
    </row>
    <row r="561">
      <c r="A561" s="256"/>
      <c r="B561" s="256"/>
      <c r="C561" s="256"/>
      <c r="D561" s="256"/>
      <c r="E561" s="256"/>
      <c r="F561" s="310"/>
      <c r="G561" s="256"/>
      <c r="H561" s="256"/>
      <c r="I561" s="256"/>
      <c r="J561" s="256"/>
      <c r="K561" s="256"/>
      <c r="L561" s="256"/>
      <c r="M561" s="256"/>
      <c r="N561" s="256"/>
      <c r="O561" s="256"/>
      <c r="P561" s="256"/>
      <c r="Q561" s="256"/>
      <c r="R561" s="256"/>
      <c r="S561" s="256"/>
      <c r="T561" s="256"/>
      <c r="U561" s="256"/>
      <c r="V561" s="256"/>
      <c r="W561" s="256"/>
      <c r="X561" s="256"/>
      <c r="Y561" s="256"/>
      <c r="Z561" s="256"/>
    </row>
    <row r="562">
      <c r="A562" s="256"/>
      <c r="B562" s="256"/>
      <c r="C562" s="256"/>
      <c r="D562" s="256"/>
      <c r="E562" s="256"/>
      <c r="F562" s="310"/>
      <c r="G562" s="256"/>
      <c r="H562" s="256"/>
      <c r="I562" s="256"/>
      <c r="J562" s="256"/>
      <c r="K562" s="256"/>
      <c r="L562" s="256"/>
      <c r="M562" s="256"/>
      <c r="N562" s="256"/>
      <c r="O562" s="256"/>
      <c r="P562" s="256"/>
      <c r="Q562" s="256"/>
      <c r="R562" s="256"/>
      <c r="S562" s="256"/>
      <c r="T562" s="256"/>
      <c r="U562" s="256"/>
      <c r="V562" s="256"/>
      <c r="W562" s="256"/>
      <c r="X562" s="256"/>
      <c r="Y562" s="256"/>
      <c r="Z562" s="256"/>
    </row>
    <row r="563">
      <c r="A563" s="256"/>
      <c r="B563" s="256"/>
      <c r="C563" s="256"/>
      <c r="D563" s="256"/>
      <c r="E563" s="256"/>
      <c r="F563" s="310"/>
      <c r="G563" s="256"/>
      <c r="H563" s="256"/>
      <c r="I563" s="256"/>
      <c r="J563" s="256"/>
      <c r="K563" s="256"/>
      <c r="L563" s="256"/>
      <c r="M563" s="256"/>
      <c r="N563" s="256"/>
      <c r="O563" s="256"/>
      <c r="P563" s="256"/>
      <c r="Q563" s="256"/>
      <c r="R563" s="256"/>
      <c r="S563" s="256"/>
      <c r="T563" s="256"/>
      <c r="U563" s="256"/>
      <c r="V563" s="256"/>
      <c r="W563" s="256"/>
      <c r="X563" s="256"/>
      <c r="Y563" s="256"/>
      <c r="Z563" s="256"/>
    </row>
    <row r="564">
      <c r="A564" s="256"/>
      <c r="B564" s="256"/>
      <c r="C564" s="256"/>
      <c r="D564" s="256"/>
      <c r="E564" s="256"/>
      <c r="F564" s="310"/>
      <c r="G564" s="256"/>
      <c r="H564" s="256"/>
      <c r="I564" s="256"/>
      <c r="J564" s="256"/>
      <c r="K564" s="256"/>
      <c r="L564" s="256"/>
      <c r="M564" s="256"/>
      <c r="N564" s="256"/>
      <c r="O564" s="256"/>
      <c r="P564" s="256"/>
      <c r="Q564" s="256"/>
      <c r="R564" s="256"/>
      <c r="S564" s="256"/>
      <c r="T564" s="256"/>
      <c r="U564" s="256"/>
      <c r="V564" s="256"/>
      <c r="W564" s="256"/>
      <c r="X564" s="256"/>
      <c r="Y564" s="256"/>
      <c r="Z564" s="256"/>
    </row>
    <row r="565">
      <c r="A565" s="256"/>
      <c r="B565" s="256"/>
      <c r="C565" s="256"/>
      <c r="D565" s="256"/>
      <c r="E565" s="256"/>
      <c r="F565" s="310"/>
      <c r="G565" s="256"/>
      <c r="H565" s="256"/>
      <c r="I565" s="256"/>
      <c r="J565" s="256"/>
      <c r="K565" s="256"/>
      <c r="L565" s="256"/>
      <c r="M565" s="256"/>
      <c r="N565" s="256"/>
      <c r="O565" s="256"/>
      <c r="P565" s="256"/>
      <c r="Q565" s="256"/>
      <c r="R565" s="256"/>
      <c r="S565" s="256"/>
      <c r="T565" s="256"/>
      <c r="U565" s="256"/>
      <c r="V565" s="256"/>
      <c r="W565" s="256"/>
      <c r="X565" s="256"/>
      <c r="Y565" s="256"/>
      <c r="Z565" s="256"/>
    </row>
    <row r="566">
      <c r="A566" s="256"/>
      <c r="B566" s="256"/>
      <c r="C566" s="256"/>
      <c r="D566" s="256"/>
      <c r="E566" s="256"/>
      <c r="F566" s="310"/>
      <c r="G566" s="256"/>
      <c r="H566" s="256"/>
      <c r="I566" s="256"/>
      <c r="J566" s="256"/>
      <c r="K566" s="256"/>
      <c r="L566" s="256"/>
      <c r="M566" s="256"/>
      <c r="N566" s="256"/>
      <c r="O566" s="256"/>
      <c r="P566" s="256"/>
      <c r="Q566" s="256"/>
      <c r="R566" s="256"/>
      <c r="S566" s="256"/>
      <c r="T566" s="256"/>
      <c r="U566" s="256"/>
      <c r="V566" s="256"/>
      <c r="W566" s="256"/>
      <c r="X566" s="256"/>
      <c r="Y566" s="256"/>
      <c r="Z566" s="256"/>
    </row>
    <row r="567">
      <c r="A567" s="256"/>
      <c r="B567" s="256"/>
      <c r="C567" s="256"/>
      <c r="D567" s="256"/>
      <c r="E567" s="256"/>
      <c r="F567" s="310"/>
      <c r="G567" s="256"/>
      <c r="H567" s="256"/>
      <c r="I567" s="256"/>
      <c r="J567" s="256"/>
      <c r="K567" s="256"/>
      <c r="L567" s="256"/>
      <c r="M567" s="256"/>
      <c r="N567" s="256"/>
      <c r="O567" s="256"/>
      <c r="P567" s="256"/>
      <c r="Q567" s="256"/>
      <c r="R567" s="256"/>
      <c r="S567" s="256"/>
      <c r="T567" s="256"/>
      <c r="U567" s="256"/>
      <c r="V567" s="256"/>
      <c r="W567" s="256"/>
      <c r="X567" s="256"/>
      <c r="Y567" s="256"/>
      <c r="Z567" s="256"/>
    </row>
    <row r="568">
      <c r="A568" s="256"/>
      <c r="B568" s="256"/>
      <c r="C568" s="256"/>
      <c r="D568" s="256"/>
      <c r="E568" s="256"/>
      <c r="F568" s="310"/>
      <c r="G568" s="256"/>
      <c r="H568" s="256"/>
      <c r="I568" s="256"/>
      <c r="J568" s="256"/>
      <c r="K568" s="256"/>
      <c r="L568" s="256"/>
      <c r="M568" s="256"/>
      <c r="N568" s="256"/>
      <c r="O568" s="256"/>
      <c r="P568" s="256"/>
      <c r="Q568" s="256"/>
      <c r="R568" s="256"/>
      <c r="S568" s="256"/>
      <c r="T568" s="256"/>
      <c r="U568" s="256"/>
      <c r="V568" s="256"/>
      <c r="W568" s="256"/>
      <c r="X568" s="256"/>
      <c r="Y568" s="256"/>
      <c r="Z568" s="256"/>
    </row>
    <row r="569">
      <c r="A569" s="256"/>
      <c r="B569" s="256"/>
      <c r="C569" s="256"/>
      <c r="D569" s="256"/>
      <c r="E569" s="256"/>
      <c r="F569" s="310"/>
      <c r="G569" s="256"/>
      <c r="H569" s="256"/>
      <c r="I569" s="256"/>
      <c r="J569" s="256"/>
      <c r="K569" s="256"/>
      <c r="L569" s="256"/>
      <c r="M569" s="256"/>
      <c r="N569" s="256"/>
      <c r="O569" s="256"/>
      <c r="P569" s="256"/>
      <c r="Q569" s="256"/>
      <c r="R569" s="256"/>
      <c r="S569" s="256"/>
      <c r="T569" s="256"/>
      <c r="U569" s="256"/>
      <c r="V569" s="256"/>
      <c r="W569" s="256"/>
      <c r="X569" s="256"/>
      <c r="Y569" s="256"/>
      <c r="Z569" s="256"/>
    </row>
    <row r="570">
      <c r="A570" s="256"/>
      <c r="B570" s="256"/>
      <c r="C570" s="256"/>
      <c r="D570" s="256"/>
      <c r="E570" s="256"/>
      <c r="F570" s="310"/>
      <c r="G570" s="256"/>
      <c r="H570" s="256"/>
      <c r="I570" s="256"/>
      <c r="J570" s="256"/>
      <c r="K570" s="256"/>
      <c r="L570" s="256"/>
      <c r="M570" s="256"/>
      <c r="N570" s="256"/>
      <c r="O570" s="256"/>
      <c r="P570" s="256"/>
      <c r="Q570" s="256"/>
      <c r="R570" s="256"/>
      <c r="S570" s="256"/>
      <c r="T570" s="256"/>
      <c r="U570" s="256"/>
      <c r="V570" s="256"/>
      <c r="W570" s="256"/>
      <c r="X570" s="256"/>
      <c r="Y570" s="256"/>
      <c r="Z570" s="256"/>
    </row>
    <row r="571">
      <c r="A571" s="256"/>
      <c r="B571" s="256"/>
      <c r="C571" s="256"/>
      <c r="D571" s="256"/>
      <c r="E571" s="256"/>
      <c r="F571" s="310"/>
      <c r="G571" s="256"/>
      <c r="H571" s="256"/>
      <c r="I571" s="256"/>
      <c r="J571" s="256"/>
      <c r="K571" s="256"/>
      <c r="L571" s="256"/>
      <c r="M571" s="256"/>
      <c r="N571" s="256"/>
      <c r="O571" s="256"/>
      <c r="P571" s="256"/>
      <c r="Q571" s="256"/>
      <c r="R571" s="256"/>
      <c r="S571" s="256"/>
      <c r="T571" s="256"/>
      <c r="U571" s="256"/>
      <c r="V571" s="256"/>
      <c r="W571" s="256"/>
      <c r="X571" s="256"/>
      <c r="Y571" s="256"/>
      <c r="Z571" s="256"/>
    </row>
    <row r="572">
      <c r="A572" s="256"/>
      <c r="B572" s="256"/>
      <c r="C572" s="256"/>
      <c r="D572" s="256"/>
      <c r="E572" s="256"/>
      <c r="F572" s="310"/>
      <c r="G572" s="256"/>
      <c r="H572" s="256"/>
      <c r="I572" s="256"/>
      <c r="J572" s="256"/>
      <c r="K572" s="256"/>
      <c r="L572" s="256"/>
      <c r="M572" s="256"/>
      <c r="N572" s="256"/>
      <c r="O572" s="256"/>
      <c r="P572" s="256"/>
      <c r="Q572" s="256"/>
      <c r="R572" s="256"/>
      <c r="S572" s="256"/>
      <c r="T572" s="256"/>
      <c r="U572" s="256"/>
      <c r="V572" s="256"/>
      <c r="W572" s="256"/>
      <c r="X572" s="256"/>
      <c r="Y572" s="256"/>
      <c r="Z572" s="256"/>
    </row>
    <row r="573">
      <c r="A573" s="256"/>
      <c r="B573" s="256"/>
      <c r="C573" s="256"/>
      <c r="D573" s="256"/>
      <c r="E573" s="256"/>
      <c r="F573" s="310"/>
      <c r="G573" s="256"/>
      <c r="H573" s="256"/>
      <c r="I573" s="256"/>
      <c r="J573" s="256"/>
      <c r="K573" s="256"/>
      <c r="L573" s="256"/>
      <c r="M573" s="256"/>
      <c r="N573" s="256"/>
      <c r="O573" s="256"/>
      <c r="P573" s="256"/>
      <c r="Q573" s="256"/>
      <c r="R573" s="256"/>
      <c r="S573" s="256"/>
      <c r="T573" s="256"/>
      <c r="U573" s="256"/>
      <c r="V573" s="256"/>
      <c r="W573" s="256"/>
      <c r="X573" s="256"/>
      <c r="Y573" s="256"/>
      <c r="Z573" s="256"/>
    </row>
    <row r="574">
      <c r="A574" s="256"/>
      <c r="B574" s="256"/>
      <c r="C574" s="256"/>
      <c r="D574" s="256"/>
      <c r="E574" s="256"/>
      <c r="F574" s="310"/>
      <c r="G574" s="256"/>
      <c r="H574" s="256"/>
      <c r="I574" s="256"/>
      <c r="J574" s="256"/>
      <c r="K574" s="256"/>
      <c r="L574" s="256"/>
      <c r="M574" s="256"/>
      <c r="N574" s="256"/>
      <c r="O574" s="256"/>
      <c r="P574" s="256"/>
      <c r="Q574" s="256"/>
      <c r="R574" s="256"/>
      <c r="S574" s="256"/>
      <c r="T574" s="256"/>
      <c r="U574" s="256"/>
      <c r="V574" s="256"/>
      <c r="W574" s="256"/>
      <c r="X574" s="256"/>
      <c r="Y574" s="256"/>
      <c r="Z574" s="256"/>
    </row>
    <row r="575">
      <c r="A575" s="256"/>
      <c r="B575" s="256"/>
      <c r="C575" s="256"/>
      <c r="D575" s="256"/>
      <c r="E575" s="256"/>
      <c r="F575" s="310"/>
      <c r="G575" s="256"/>
      <c r="H575" s="256"/>
      <c r="I575" s="256"/>
      <c r="J575" s="256"/>
      <c r="K575" s="256"/>
      <c r="L575" s="256"/>
      <c r="M575" s="256"/>
      <c r="N575" s="256"/>
      <c r="O575" s="256"/>
      <c r="P575" s="256"/>
      <c r="Q575" s="256"/>
      <c r="R575" s="256"/>
      <c r="S575" s="256"/>
      <c r="T575" s="256"/>
      <c r="U575" s="256"/>
      <c r="V575" s="256"/>
      <c r="W575" s="256"/>
      <c r="X575" s="256"/>
      <c r="Y575" s="256"/>
      <c r="Z575" s="256"/>
    </row>
    <row r="576">
      <c r="A576" s="256"/>
      <c r="B576" s="256"/>
      <c r="C576" s="256"/>
      <c r="D576" s="256"/>
      <c r="E576" s="256"/>
      <c r="F576" s="310"/>
      <c r="G576" s="256"/>
      <c r="H576" s="256"/>
      <c r="I576" s="256"/>
      <c r="J576" s="256"/>
      <c r="K576" s="256"/>
      <c r="L576" s="256"/>
      <c r="M576" s="256"/>
      <c r="N576" s="256"/>
      <c r="O576" s="256"/>
      <c r="P576" s="256"/>
      <c r="Q576" s="256"/>
      <c r="R576" s="256"/>
      <c r="S576" s="256"/>
      <c r="T576" s="256"/>
      <c r="U576" s="256"/>
      <c r="V576" s="256"/>
      <c r="W576" s="256"/>
      <c r="X576" s="256"/>
      <c r="Y576" s="256"/>
      <c r="Z576" s="256"/>
    </row>
    <row r="577">
      <c r="A577" s="256"/>
      <c r="B577" s="256"/>
      <c r="C577" s="256"/>
      <c r="D577" s="256"/>
      <c r="E577" s="256"/>
      <c r="F577" s="310"/>
      <c r="G577" s="256"/>
      <c r="H577" s="256"/>
      <c r="I577" s="256"/>
      <c r="J577" s="256"/>
      <c r="K577" s="256"/>
      <c r="L577" s="256"/>
      <c r="M577" s="256"/>
      <c r="N577" s="256"/>
      <c r="O577" s="256"/>
      <c r="P577" s="256"/>
      <c r="Q577" s="256"/>
      <c r="R577" s="256"/>
      <c r="S577" s="256"/>
      <c r="T577" s="256"/>
      <c r="U577" s="256"/>
      <c r="V577" s="256"/>
      <c r="W577" s="256"/>
      <c r="X577" s="256"/>
      <c r="Y577" s="256"/>
      <c r="Z577" s="256"/>
    </row>
    <row r="578">
      <c r="A578" s="256"/>
      <c r="B578" s="256"/>
      <c r="C578" s="256"/>
      <c r="D578" s="256"/>
      <c r="E578" s="256"/>
      <c r="F578" s="310"/>
      <c r="G578" s="256"/>
      <c r="H578" s="256"/>
      <c r="I578" s="256"/>
      <c r="J578" s="256"/>
      <c r="K578" s="256"/>
      <c r="L578" s="256"/>
      <c r="M578" s="256"/>
      <c r="N578" s="256"/>
      <c r="O578" s="256"/>
      <c r="P578" s="256"/>
      <c r="Q578" s="256"/>
      <c r="R578" s="256"/>
      <c r="S578" s="256"/>
      <c r="T578" s="256"/>
      <c r="U578" s="256"/>
      <c r="V578" s="256"/>
      <c r="W578" s="256"/>
      <c r="X578" s="256"/>
      <c r="Y578" s="256"/>
      <c r="Z578" s="256"/>
    </row>
    <row r="579">
      <c r="A579" s="256"/>
      <c r="B579" s="256"/>
      <c r="C579" s="256"/>
      <c r="D579" s="256"/>
      <c r="E579" s="256"/>
      <c r="F579" s="310"/>
      <c r="G579" s="256"/>
      <c r="H579" s="256"/>
      <c r="I579" s="256"/>
      <c r="J579" s="256"/>
      <c r="K579" s="256"/>
      <c r="L579" s="256"/>
      <c r="M579" s="256"/>
      <c r="N579" s="256"/>
      <c r="O579" s="256"/>
      <c r="P579" s="256"/>
      <c r="Q579" s="256"/>
      <c r="R579" s="256"/>
      <c r="S579" s="256"/>
      <c r="T579" s="256"/>
      <c r="U579" s="256"/>
      <c r="V579" s="256"/>
      <c r="W579" s="256"/>
      <c r="X579" s="256"/>
      <c r="Y579" s="256"/>
      <c r="Z579" s="256"/>
    </row>
    <row r="580">
      <c r="A580" s="256"/>
      <c r="B580" s="256"/>
      <c r="C580" s="256"/>
      <c r="D580" s="256"/>
      <c r="E580" s="256"/>
      <c r="F580" s="310"/>
      <c r="G580" s="256"/>
      <c r="H580" s="256"/>
      <c r="I580" s="256"/>
      <c r="J580" s="256"/>
      <c r="K580" s="256"/>
      <c r="L580" s="256"/>
      <c r="M580" s="256"/>
      <c r="N580" s="256"/>
      <c r="O580" s="256"/>
      <c r="P580" s="256"/>
      <c r="Q580" s="256"/>
      <c r="R580" s="256"/>
      <c r="S580" s="256"/>
      <c r="T580" s="256"/>
      <c r="U580" s="256"/>
      <c r="V580" s="256"/>
      <c r="W580" s="256"/>
      <c r="X580" s="256"/>
      <c r="Y580" s="256"/>
      <c r="Z580" s="256"/>
    </row>
    <row r="581">
      <c r="A581" s="256"/>
      <c r="B581" s="256"/>
      <c r="C581" s="256"/>
      <c r="D581" s="256"/>
      <c r="E581" s="256"/>
      <c r="F581" s="310"/>
      <c r="G581" s="256"/>
      <c r="H581" s="256"/>
      <c r="I581" s="256"/>
      <c r="J581" s="256"/>
      <c r="K581" s="256"/>
      <c r="L581" s="256"/>
      <c r="M581" s="256"/>
      <c r="N581" s="256"/>
      <c r="O581" s="256"/>
      <c r="P581" s="256"/>
      <c r="Q581" s="256"/>
      <c r="R581" s="256"/>
      <c r="S581" s="256"/>
      <c r="T581" s="256"/>
      <c r="U581" s="256"/>
      <c r="V581" s="256"/>
      <c r="W581" s="256"/>
      <c r="X581" s="256"/>
      <c r="Y581" s="256"/>
      <c r="Z581" s="256"/>
    </row>
    <row r="582">
      <c r="A582" s="256"/>
      <c r="B582" s="256"/>
      <c r="C582" s="256"/>
      <c r="D582" s="256"/>
      <c r="E582" s="256"/>
      <c r="F582" s="310"/>
      <c r="G582" s="256"/>
      <c r="H582" s="256"/>
      <c r="I582" s="256"/>
      <c r="J582" s="256"/>
      <c r="K582" s="256"/>
      <c r="L582" s="256"/>
      <c r="M582" s="256"/>
      <c r="N582" s="256"/>
      <c r="O582" s="256"/>
      <c r="P582" s="256"/>
      <c r="Q582" s="256"/>
      <c r="R582" s="256"/>
      <c r="S582" s="256"/>
      <c r="T582" s="256"/>
      <c r="U582" s="256"/>
      <c r="V582" s="256"/>
      <c r="W582" s="256"/>
      <c r="X582" s="256"/>
      <c r="Y582" s="256"/>
      <c r="Z582" s="256"/>
    </row>
    <row r="583">
      <c r="A583" s="256"/>
      <c r="B583" s="256"/>
      <c r="C583" s="256"/>
      <c r="D583" s="256"/>
      <c r="E583" s="256"/>
      <c r="F583" s="310"/>
      <c r="G583" s="256"/>
      <c r="H583" s="256"/>
      <c r="I583" s="256"/>
      <c r="J583" s="256"/>
      <c r="K583" s="256"/>
      <c r="L583" s="256"/>
      <c r="M583" s="256"/>
      <c r="N583" s="256"/>
      <c r="O583" s="256"/>
      <c r="P583" s="256"/>
      <c r="Q583" s="256"/>
      <c r="R583" s="256"/>
      <c r="S583" s="256"/>
      <c r="T583" s="256"/>
      <c r="U583" s="256"/>
      <c r="V583" s="256"/>
      <c r="W583" s="256"/>
      <c r="X583" s="256"/>
      <c r="Y583" s="256"/>
      <c r="Z583" s="256"/>
    </row>
    <row r="584">
      <c r="A584" s="256"/>
      <c r="B584" s="256"/>
      <c r="C584" s="256"/>
      <c r="D584" s="256"/>
      <c r="E584" s="256"/>
      <c r="F584" s="310"/>
      <c r="G584" s="256"/>
      <c r="H584" s="256"/>
      <c r="I584" s="256"/>
      <c r="J584" s="256"/>
      <c r="K584" s="256"/>
      <c r="L584" s="256"/>
      <c r="M584" s="256"/>
      <c r="N584" s="256"/>
      <c r="O584" s="256"/>
      <c r="P584" s="256"/>
      <c r="Q584" s="256"/>
      <c r="R584" s="256"/>
      <c r="S584" s="256"/>
      <c r="T584" s="256"/>
      <c r="U584" s="256"/>
      <c r="V584" s="256"/>
      <c r="W584" s="256"/>
      <c r="X584" s="256"/>
      <c r="Y584" s="256"/>
      <c r="Z584" s="256"/>
    </row>
    <row r="585">
      <c r="A585" s="256"/>
      <c r="B585" s="256"/>
      <c r="C585" s="256"/>
      <c r="D585" s="256"/>
      <c r="E585" s="256"/>
      <c r="F585" s="310"/>
      <c r="G585" s="256"/>
      <c r="H585" s="256"/>
      <c r="I585" s="256"/>
      <c r="J585" s="256"/>
      <c r="K585" s="256"/>
      <c r="L585" s="256"/>
      <c r="M585" s="256"/>
      <c r="N585" s="256"/>
      <c r="O585" s="256"/>
      <c r="P585" s="256"/>
      <c r="Q585" s="256"/>
      <c r="R585" s="256"/>
      <c r="S585" s="256"/>
      <c r="T585" s="256"/>
      <c r="U585" s="256"/>
      <c r="V585" s="256"/>
      <c r="W585" s="256"/>
      <c r="X585" s="256"/>
      <c r="Y585" s="256"/>
      <c r="Z585" s="256"/>
    </row>
    <row r="586">
      <c r="A586" s="256"/>
      <c r="B586" s="256"/>
      <c r="C586" s="256"/>
      <c r="D586" s="256"/>
      <c r="E586" s="256"/>
      <c r="F586" s="310"/>
      <c r="G586" s="256"/>
      <c r="H586" s="256"/>
      <c r="I586" s="256"/>
      <c r="J586" s="256"/>
      <c r="K586" s="256"/>
      <c r="L586" s="256"/>
      <c r="M586" s="256"/>
      <c r="N586" s="256"/>
      <c r="O586" s="256"/>
      <c r="P586" s="256"/>
      <c r="Q586" s="256"/>
      <c r="R586" s="256"/>
      <c r="S586" s="256"/>
      <c r="T586" s="256"/>
      <c r="U586" s="256"/>
      <c r="V586" s="256"/>
      <c r="W586" s="256"/>
      <c r="X586" s="256"/>
      <c r="Y586" s="256"/>
      <c r="Z586" s="256"/>
    </row>
    <row r="587">
      <c r="A587" s="256"/>
      <c r="B587" s="256"/>
      <c r="C587" s="256"/>
      <c r="D587" s="256"/>
      <c r="E587" s="256"/>
      <c r="F587" s="310"/>
      <c r="G587" s="256"/>
      <c r="H587" s="256"/>
      <c r="I587" s="256"/>
      <c r="J587" s="256"/>
      <c r="K587" s="256"/>
      <c r="L587" s="256"/>
      <c r="M587" s="256"/>
      <c r="N587" s="256"/>
      <c r="O587" s="256"/>
      <c r="P587" s="256"/>
      <c r="Q587" s="256"/>
      <c r="R587" s="256"/>
      <c r="S587" s="256"/>
      <c r="T587" s="256"/>
      <c r="U587" s="256"/>
      <c r="V587" s="256"/>
      <c r="W587" s="256"/>
      <c r="X587" s="256"/>
      <c r="Y587" s="256"/>
      <c r="Z587" s="256"/>
    </row>
    <row r="588">
      <c r="A588" s="256"/>
      <c r="B588" s="256"/>
      <c r="C588" s="256"/>
      <c r="D588" s="256"/>
      <c r="E588" s="256"/>
      <c r="F588" s="310"/>
      <c r="G588" s="256"/>
      <c r="H588" s="256"/>
      <c r="I588" s="256"/>
      <c r="J588" s="256"/>
      <c r="K588" s="256"/>
      <c r="L588" s="256"/>
      <c r="M588" s="256"/>
      <c r="N588" s="256"/>
      <c r="O588" s="256"/>
      <c r="P588" s="256"/>
      <c r="Q588" s="256"/>
      <c r="R588" s="256"/>
      <c r="S588" s="256"/>
      <c r="T588" s="256"/>
      <c r="U588" s="256"/>
      <c r="V588" s="256"/>
      <c r="W588" s="256"/>
      <c r="X588" s="256"/>
      <c r="Y588" s="256"/>
      <c r="Z588" s="256"/>
    </row>
    <row r="589">
      <c r="A589" s="256"/>
      <c r="B589" s="256"/>
      <c r="C589" s="256"/>
      <c r="D589" s="256"/>
      <c r="E589" s="256"/>
      <c r="F589" s="310"/>
      <c r="G589" s="256"/>
      <c r="H589" s="256"/>
      <c r="I589" s="256"/>
      <c r="J589" s="256"/>
      <c r="K589" s="256"/>
      <c r="L589" s="256"/>
      <c r="M589" s="256"/>
      <c r="N589" s="256"/>
      <c r="O589" s="256"/>
      <c r="P589" s="256"/>
      <c r="Q589" s="256"/>
      <c r="R589" s="256"/>
      <c r="S589" s="256"/>
      <c r="T589" s="256"/>
      <c r="U589" s="256"/>
      <c r="V589" s="256"/>
      <c r="W589" s="256"/>
      <c r="X589" s="256"/>
      <c r="Y589" s="256"/>
      <c r="Z589" s="256"/>
    </row>
    <row r="590">
      <c r="A590" s="256"/>
      <c r="B590" s="256"/>
      <c r="C590" s="256"/>
      <c r="D590" s="256"/>
      <c r="E590" s="256"/>
      <c r="F590" s="310"/>
      <c r="G590" s="256"/>
      <c r="H590" s="256"/>
      <c r="I590" s="256"/>
      <c r="J590" s="256"/>
      <c r="K590" s="256"/>
      <c r="L590" s="256"/>
      <c r="M590" s="256"/>
      <c r="N590" s="256"/>
      <c r="O590" s="256"/>
      <c r="P590" s="256"/>
      <c r="Q590" s="256"/>
      <c r="R590" s="256"/>
      <c r="S590" s="256"/>
      <c r="T590" s="256"/>
      <c r="U590" s="256"/>
      <c r="V590" s="256"/>
      <c r="W590" s="256"/>
      <c r="X590" s="256"/>
      <c r="Y590" s="256"/>
      <c r="Z590" s="256"/>
    </row>
    <row r="591">
      <c r="A591" s="256"/>
      <c r="B591" s="256"/>
      <c r="C591" s="256"/>
      <c r="D591" s="256"/>
      <c r="E591" s="256"/>
      <c r="F591" s="310"/>
      <c r="G591" s="256"/>
      <c r="H591" s="256"/>
      <c r="I591" s="256"/>
      <c r="J591" s="256"/>
      <c r="K591" s="256"/>
      <c r="L591" s="256"/>
      <c r="M591" s="256"/>
      <c r="N591" s="256"/>
      <c r="O591" s="256"/>
      <c r="P591" s="256"/>
      <c r="Q591" s="256"/>
      <c r="R591" s="256"/>
      <c r="S591" s="256"/>
      <c r="T591" s="256"/>
      <c r="U591" s="256"/>
      <c r="V591" s="256"/>
      <c r="W591" s="256"/>
      <c r="X591" s="256"/>
      <c r="Y591" s="256"/>
      <c r="Z591" s="256"/>
    </row>
    <row r="592">
      <c r="A592" s="256"/>
      <c r="B592" s="256"/>
      <c r="C592" s="256"/>
      <c r="D592" s="256"/>
      <c r="E592" s="256"/>
      <c r="F592" s="310"/>
      <c r="G592" s="256"/>
      <c r="H592" s="256"/>
      <c r="I592" s="256"/>
      <c r="J592" s="256"/>
      <c r="K592" s="256"/>
      <c r="L592" s="256"/>
      <c r="M592" s="256"/>
      <c r="N592" s="256"/>
      <c r="O592" s="256"/>
      <c r="P592" s="256"/>
      <c r="Q592" s="256"/>
      <c r="R592" s="256"/>
      <c r="S592" s="256"/>
      <c r="T592" s="256"/>
      <c r="U592" s="256"/>
      <c r="V592" s="256"/>
      <c r="W592" s="256"/>
      <c r="X592" s="256"/>
      <c r="Y592" s="256"/>
      <c r="Z592" s="256"/>
    </row>
    <row r="593">
      <c r="A593" s="256"/>
      <c r="B593" s="256"/>
      <c r="C593" s="256"/>
      <c r="D593" s="256"/>
      <c r="E593" s="256"/>
      <c r="F593" s="310"/>
      <c r="G593" s="256"/>
      <c r="H593" s="256"/>
      <c r="I593" s="256"/>
      <c r="J593" s="256"/>
      <c r="K593" s="256"/>
      <c r="L593" s="256"/>
      <c r="M593" s="256"/>
      <c r="N593" s="256"/>
      <c r="O593" s="256"/>
      <c r="P593" s="256"/>
      <c r="Q593" s="256"/>
      <c r="R593" s="256"/>
      <c r="S593" s="256"/>
      <c r="T593" s="256"/>
      <c r="U593" s="256"/>
      <c r="V593" s="256"/>
      <c r="W593" s="256"/>
      <c r="X593" s="256"/>
      <c r="Y593" s="256"/>
      <c r="Z593" s="256"/>
    </row>
    <row r="594">
      <c r="A594" s="256"/>
      <c r="B594" s="256"/>
      <c r="C594" s="256"/>
      <c r="D594" s="256"/>
      <c r="E594" s="256"/>
      <c r="F594" s="310"/>
      <c r="G594" s="256"/>
      <c r="H594" s="256"/>
      <c r="I594" s="256"/>
      <c r="J594" s="256"/>
      <c r="K594" s="256"/>
      <c r="L594" s="256"/>
      <c r="M594" s="256"/>
      <c r="N594" s="256"/>
      <c r="O594" s="256"/>
      <c r="P594" s="256"/>
      <c r="Q594" s="256"/>
      <c r="R594" s="256"/>
      <c r="S594" s="256"/>
      <c r="T594" s="256"/>
      <c r="U594" s="256"/>
      <c r="V594" s="256"/>
      <c r="W594" s="256"/>
      <c r="X594" s="256"/>
      <c r="Y594" s="256"/>
      <c r="Z594" s="256"/>
    </row>
    <row r="595">
      <c r="A595" s="256"/>
      <c r="B595" s="256"/>
      <c r="C595" s="256"/>
      <c r="D595" s="256"/>
      <c r="E595" s="256"/>
      <c r="F595" s="310"/>
      <c r="G595" s="256"/>
      <c r="H595" s="256"/>
      <c r="I595" s="256"/>
      <c r="J595" s="256"/>
      <c r="K595" s="256"/>
      <c r="L595" s="256"/>
      <c r="M595" s="256"/>
      <c r="N595" s="256"/>
      <c r="O595" s="256"/>
      <c r="P595" s="256"/>
      <c r="Q595" s="256"/>
      <c r="R595" s="256"/>
      <c r="S595" s="256"/>
      <c r="T595" s="256"/>
      <c r="U595" s="256"/>
      <c r="V595" s="256"/>
      <c r="W595" s="256"/>
      <c r="X595" s="256"/>
      <c r="Y595" s="256"/>
      <c r="Z595" s="256"/>
    </row>
    <row r="596">
      <c r="A596" s="256"/>
      <c r="B596" s="256"/>
      <c r="C596" s="256"/>
      <c r="D596" s="256"/>
      <c r="E596" s="256"/>
      <c r="F596" s="310"/>
      <c r="G596" s="256"/>
      <c r="H596" s="256"/>
      <c r="I596" s="256"/>
      <c r="J596" s="256"/>
      <c r="K596" s="256"/>
      <c r="L596" s="256"/>
      <c r="M596" s="256"/>
      <c r="N596" s="256"/>
      <c r="O596" s="256"/>
      <c r="P596" s="256"/>
      <c r="Q596" s="256"/>
      <c r="R596" s="256"/>
      <c r="S596" s="256"/>
      <c r="T596" s="256"/>
      <c r="U596" s="256"/>
      <c r="V596" s="256"/>
      <c r="W596" s="256"/>
      <c r="X596" s="256"/>
      <c r="Y596" s="256"/>
      <c r="Z596" s="256"/>
    </row>
    <row r="597">
      <c r="A597" s="256"/>
      <c r="B597" s="256"/>
      <c r="C597" s="256"/>
      <c r="D597" s="256"/>
      <c r="E597" s="256"/>
      <c r="F597" s="310"/>
      <c r="G597" s="256"/>
      <c r="H597" s="256"/>
      <c r="I597" s="256"/>
      <c r="J597" s="256"/>
      <c r="K597" s="256"/>
      <c r="L597" s="256"/>
      <c r="M597" s="256"/>
      <c r="N597" s="256"/>
      <c r="O597" s="256"/>
      <c r="P597" s="256"/>
      <c r="Q597" s="256"/>
      <c r="R597" s="256"/>
      <c r="S597" s="256"/>
      <c r="T597" s="256"/>
      <c r="U597" s="256"/>
      <c r="V597" s="256"/>
      <c r="W597" s="256"/>
      <c r="X597" s="256"/>
      <c r="Y597" s="256"/>
      <c r="Z597" s="256"/>
    </row>
    <row r="598">
      <c r="A598" s="256"/>
      <c r="B598" s="256"/>
      <c r="C598" s="256"/>
      <c r="D598" s="256"/>
      <c r="E598" s="256"/>
      <c r="F598" s="310"/>
      <c r="G598" s="256"/>
      <c r="H598" s="256"/>
      <c r="I598" s="256"/>
      <c r="J598" s="256"/>
      <c r="K598" s="256"/>
      <c r="L598" s="256"/>
      <c r="M598" s="256"/>
      <c r="N598" s="256"/>
      <c r="O598" s="256"/>
      <c r="P598" s="256"/>
      <c r="Q598" s="256"/>
      <c r="R598" s="256"/>
      <c r="S598" s="256"/>
      <c r="T598" s="256"/>
      <c r="U598" s="256"/>
      <c r="V598" s="256"/>
      <c r="W598" s="256"/>
      <c r="X598" s="256"/>
      <c r="Y598" s="256"/>
      <c r="Z598" s="256"/>
    </row>
    <row r="599">
      <c r="A599" s="256"/>
      <c r="B599" s="256"/>
      <c r="C599" s="256"/>
      <c r="D599" s="256"/>
      <c r="E599" s="256"/>
      <c r="F599" s="310"/>
      <c r="G599" s="256"/>
      <c r="H599" s="256"/>
      <c r="I599" s="256"/>
      <c r="J599" s="256"/>
      <c r="K599" s="256"/>
      <c r="L599" s="256"/>
      <c r="M599" s="256"/>
      <c r="N599" s="256"/>
      <c r="O599" s="256"/>
      <c r="P599" s="256"/>
      <c r="Q599" s="256"/>
      <c r="R599" s="256"/>
      <c r="S599" s="256"/>
      <c r="T599" s="256"/>
      <c r="U599" s="256"/>
      <c r="V599" s="256"/>
      <c r="W599" s="256"/>
      <c r="X599" s="256"/>
      <c r="Y599" s="256"/>
      <c r="Z599" s="256"/>
    </row>
    <row r="600">
      <c r="A600" s="256"/>
      <c r="B600" s="256"/>
      <c r="C600" s="256"/>
      <c r="D600" s="256"/>
      <c r="E600" s="256"/>
      <c r="F600" s="310"/>
      <c r="G600" s="256"/>
      <c r="H600" s="256"/>
      <c r="I600" s="256"/>
      <c r="J600" s="256"/>
      <c r="K600" s="256"/>
      <c r="L600" s="256"/>
      <c r="M600" s="256"/>
      <c r="N600" s="256"/>
      <c r="O600" s="256"/>
      <c r="P600" s="256"/>
      <c r="Q600" s="256"/>
      <c r="R600" s="256"/>
      <c r="S600" s="256"/>
      <c r="T600" s="256"/>
      <c r="U600" s="256"/>
      <c r="V600" s="256"/>
      <c r="W600" s="256"/>
      <c r="X600" s="256"/>
      <c r="Y600" s="256"/>
      <c r="Z600" s="256"/>
    </row>
    <row r="601">
      <c r="A601" s="256"/>
      <c r="B601" s="256"/>
      <c r="C601" s="256"/>
      <c r="D601" s="256"/>
      <c r="E601" s="256"/>
      <c r="F601" s="310"/>
      <c r="G601" s="256"/>
      <c r="H601" s="256"/>
      <c r="I601" s="256"/>
      <c r="J601" s="256"/>
      <c r="K601" s="256"/>
      <c r="L601" s="256"/>
      <c r="M601" s="256"/>
      <c r="N601" s="256"/>
      <c r="O601" s="256"/>
      <c r="P601" s="256"/>
      <c r="Q601" s="256"/>
      <c r="R601" s="256"/>
      <c r="S601" s="256"/>
      <c r="T601" s="256"/>
      <c r="U601" s="256"/>
      <c r="V601" s="256"/>
      <c r="W601" s="256"/>
      <c r="X601" s="256"/>
      <c r="Y601" s="256"/>
      <c r="Z601" s="256"/>
    </row>
    <row r="602">
      <c r="A602" s="256"/>
      <c r="B602" s="256"/>
      <c r="C602" s="256"/>
      <c r="D602" s="256"/>
      <c r="E602" s="256"/>
      <c r="F602" s="310"/>
      <c r="G602" s="256"/>
      <c r="H602" s="256"/>
      <c r="I602" s="256"/>
      <c r="J602" s="256"/>
      <c r="K602" s="256"/>
      <c r="L602" s="256"/>
      <c r="M602" s="256"/>
      <c r="N602" s="256"/>
      <c r="O602" s="256"/>
      <c r="P602" s="256"/>
      <c r="Q602" s="256"/>
      <c r="R602" s="256"/>
      <c r="S602" s="256"/>
      <c r="T602" s="256"/>
      <c r="U602" s="256"/>
      <c r="V602" s="256"/>
      <c r="W602" s="256"/>
      <c r="X602" s="256"/>
      <c r="Y602" s="256"/>
      <c r="Z602" s="256"/>
    </row>
    <row r="603">
      <c r="A603" s="256"/>
      <c r="B603" s="256"/>
      <c r="C603" s="256"/>
      <c r="D603" s="256"/>
      <c r="E603" s="256"/>
      <c r="F603" s="310"/>
      <c r="G603" s="256"/>
      <c r="H603" s="256"/>
      <c r="I603" s="256"/>
      <c r="J603" s="256"/>
      <c r="K603" s="256"/>
      <c r="L603" s="256"/>
      <c r="M603" s="256"/>
      <c r="N603" s="256"/>
      <c r="O603" s="256"/>
      <c r="P603" s="256"/>
      <c r="Q603" s="256"/>
      <c r="R603" s="256"/>
      <c r="S603" s="256"/>
      <c r="T603" s="256"/>
      <c r="U603" s="256"/>
      <c r="V603" s="256"/>
      <c r="W603" s="256"/>
      <c r="X603" s="256"/>
      <c r="Y603" s="256"/>
      <c r="Z603" s="256"/>
    </row>
    <row r="604">
      <c r="A604" s="256"/>
      <c r="B604" s="256"/>
      <c r="C604" s="256"/>
      <c r="D604" s="256"/>
      <c r="E604" s="256"/>
      <c r="F604" s="310"/>
      <c r="G604" s="256"/>
      <c r="H604" s="256"/>
      <c r="I604" s="256"/>
      <c r="J604" s="256"/>
      <c r="K604" s="256"/>
      <c r="L604" s="256"/>
      <c r="M604" s="256"/>
      <c r="N604" s="256"/>
      <c r="O604" s="256"/>
      <c r="P604" s="256"/>
      <c r="Q604" s="256"/>
      <c r="R604" s="256"/>
      <c r="S604" s="256"/>
      <c r="T604" s="256"/>
      <c r="U604" s="256"/>
      <c r="V604" s="256"/>
      <c r="W604" s="256"/>
      <c r="X604" s="256"/>
      <c r="Y604" s="256"/>
      <c r="Z604" s="256"/>
    </row>
    <row r="605">
      <c r="A605" s="256"/>
      <c r="B605" s="256"/>
      <c r="C605" s="256"/>
      <c r="D605" s="256"/>
      <c r="E605" s="256"/>
      <c r="F605" s="310"/>
      <c r="G605" s="256"/>
      <c r="H605" s="256"/>
      <c r="I605" s="256"/>
      <c r="J605" s="256"/>
      <c r="K605" s="256"/>
      <c r="L605" s="256"/>
      <c r="M605" s="256"/>
      <c r="N605" s="256"/>
      <c r="O605" s="256"/>
      <c r="P605" s="256"/>
      <c r="Q605" s="256"/>
      <c r="R605" s="256"/>
      <c r="S605" s="256"/>
      <c r="T605" s="256"/>
      <c r="U605" s="256"/>
      <c r="V605" s="256"/>
      <c r="W605" s="256"/>
      <c r="X605" s="256"/>
      <c r="Y605" s="256"/>
      <c r="Z605" s="256"/>
    </row>
    <row r="606">
      <c r="A606" s="256"/>
      <c r="B606" s="256"/>
      <c r="C606" s="256"/>
      <c r="D606" s="256"/>
      <c r="E606" s="256"/>
      <c r="F606" s="310"/>
      <c r="G606" s="256"/>
      <c r="H606" s="256"/>
      <c r="I606" s="256"/>
      <c r="J606" s="256"/>
      <c r="K606" s="256"/>
      <c r="L606" s="256"/>
      <c r="M606" s="256"/>
      <c r="N606" s="256"/>
      <c r="O606" s="256"/>
      <c r="P606" s="256"/>
      <c r="Q606" s="256"/>
      <c r="R606" s="256"/>
      <c r="S606" s="256"/>
      <c r="T606" s="256"/>
      <c r="U606" s="256"/>
      <c r="V606" s="256"/>
      <c r="W606" s="256"/>
      <c r="X606" s="256"/>
      <c r="Y606" s="256"/>
      <c r="Z606" s="256"/>
    </row>
    <row r="607">
      <c r="A607" s="256"/>
      <c r="B607" s="256"/>
      <c r="C607" s="256"/>
      <c r="D607" s="256"/>
      <c r="E607" s="256"/>
      <c r="F607" s="310"/>
      <c r="G607" s="256"/>
      <c r="H607" s="256"/>
      <c r="I607" s="256"/>
      <c r="J607" s="256"/>
      <c r="K607" s="256"/>
      <c r="L607" s="256"/>
      <c r="M607" s="256"/>
      <c r="N607" s="256"/>
      <c r="O607" s="256"/>
      <c r="P607" s="256"/>
      <c r="Q607" s="256"/>
      <c r="R607" s="256"/>
      <c r="S607" s="256"/>
      <c r="T607" s="256"/>
      <c r="U607" s="256"/>
      <c r="V607" s="256"/>
      <c r="W607" s="256"/>
      <c r="X607" s="256"/>
      <c r="Y607" s="256"/>
      <c r="Z607" s="256"/>
    </row>
    <row r="608">
      <c r="A608" s="256"/>
      <c r="B608" s="256"/>
      <c r="C608" s="256"/>
      <c r="D608" s="256"/>
      <c r="E608" s="256"/>
      <c r="F608" s="310"/>
      <c r="G608" s="256"/>
      <c r="H608" s="256"/>
      <c r="I608" s="256"/>
      <c r="J608" s="256"/>
      <c r="K608" s="256"/>
      <c r="L608" s="256"/>
      <c r="M608" s="256"/>
      <c r="N608" s="256"/>
      <c r="O608" s="256"/>
      <c r="P608" s="256"/>
      <c r="Q608" s="256"/>
      <c r="R608" s="256"/>
      <c r="S608" s="256"/>
      <c r="T608" s="256"/>
      <c r="U608" s="256"/>
      <c r="V608" s="256"/>
      <c r="W608" s="256"/>
      <c r="X608" s="256"/>
      <c r="Y608" s="256"/>
      <c r="Z608" s="256"/>
    </row>
    <row r="609">
      <c r="A609" s="256"/>
      <c r="B609" s="256"/>
      <c r="C609" s="256"/>
      <c r="D609" s="256"/>
      <c r="E609" s="256"/>
      <c r="F609" s="310"/>
      <c r="G609" s="256"/>
      <c r="H609" s="256"/>
      <c r="I609" s="256"/>
      <c r="J609" s="256"/>
      <c r="K609" s="256"/>
      <c r="L609" s="256"/>
      <c r="M609" s="256"/>
      <c r="N609" s="256"/>
      <c r="O609" s="256"/>
      <c r="P609" s="256"/>
      <c r="Q609" s="256"/>
      <c r="R609" s="256"/>
      <c r="S609" s="256"/>
      <c r="T609" s="256"/>
      <c r="U609" s="256"/>
      <c r="V609" s="256"/>
      <c r="W609" s="256"/>
      <c r="X609" s="256"/>
      <c r="Y609" s="256"/>
      <c r="Z609" s="256"/>
    </row>
    <row r="610">
      <c r="A610" s="256"/>
      <c r="B610" s="256"/>
      <c r="C610" s="256"/>
      <c r="D610" s="256"/>
      <c r="E610" s="256"/>
      <c r="F610" s="310"/>
      <c r="G610" s="256"/>
      <c r="H610" s="256"/>
      <c r="I610" s="256"/>
      <c r="J610" s="256"/>
      <c r="K610" s="256"/>
      <c r="L610" s="256"/>
      <c r="M610" s="256"/>
      <c r="N610" s="256"/>
      <c r="O610" s="256"/>
      <c r="P610" s="256"/>
      <c r="Q610" s="256"/>
      <c r="R610" s="256"/>
      <c r="S610" s="256"/>
      <c r="T610" s="256"/>
      <c r="U610" s="256"/>
      <c r="V610" s="256"/>
      <c r="W610" s="256"/>
      <c r="X610" s="256"/>
      <c r="Y610" s="256"/>
      <c r="Z610" s="256"/>
    </row>
    <row r="611">
      <c r="A611" s="256"/>
      <c r="B611" s="256"/>
      <c r="C611" s="256"/>
      <c r="D611" s="256"/>
      <c r="E611" s="256"/>
      <c r="F611" s="310"/>
      <c r="G611" s="256"/>
      <c r="H611" s="256"/>
      <c r="I611" s="256"/>
      <c r="J611" s="256"/>
      <c r="K611" s="256"/>
      <c r="L611" s="256"/>
      <c r="M611" s="256"/>
      <c r="N611" s="256"/>
      <c r="O611" s="256"/>
      <c r="P611" s="256"/>
      <c r="Q611" s="256"/>
      <c r="R611" s="256"/>
      <c r="S611" s="256"/>
      <c r="T611" s="256"/>
      <c r="U611" s="256"/>
      <c r="V611" s="256"/>
      <c r="W611" s="256"/>
      <c r="X611" s="256"/>
      <c r="Y611" s="256"/>
      <c r="Z611" s="256"/>
    </row>
    <row r="612">
      <c r="A612" s="256"/>
      <c r="B612" s="256"/>
      <c r="C612" s="256"/>
      <c r="D612" s="256"/>
      <c r="E612" s="256"/>
      <c r="F612" s="310"/>
      <c r="G612" s="256"/>
      <c r="H612" s="256"/>
      <c r="I612" s="256"/>
      <c r="J612" s="256"/>
      <c r="K612" s="256"/>
      <c r="L612" s="256"/>
      <c r="M612" s="256"/>
      <c r="N612" s="256"/>
      <c r="O612" s="256"/>
      <c r="P612" s="256"/>
      <c r="Q612" s="256"/>
      <c r="R612" s="256"/>
      <c r="S612" s="256"/>
      <c r="T612" s="256"/>
      <c r="U612" s="256"/>
      <c r="V612" s="256"/>
      <c r="W612" s="256"/>
      <c r="X612" s="256"/>
      <c r="Y612" s="256"/>
      <c r="Z612" s="256"/>
    </row>
    <row r="613">
      <c r="A613" s="256"/>
      <c r="B613" s="256"/>
      <c r="C613" s="256"/>
      <c r="D613" s="256"/>
      <c r="E613" s="256"/>
      <c r="F613" s="310"/>
      <c r="G613" s="256"/>
      <c r="H613" s="256"/>
      <c r="I613" s="256"/>
      <c r="J613" s="256"/>
      <c r="K613" s="256"/>
      <c r="L613" s="256"/>
      <c r="M613" s="256"/>
      <c r="N613" s="256"/>
      <c r="O613" s="256"/>
      <c r="P613" s="256"/>
      <c r="Q613" s="256"/>
      <c r="R613" s="256"/>
      <c r="S613" s="256"/>
      <c r="T613" s="256"/>
      <c r="U613" s="256"/>
      <c r="V613" s="256"/>
      <c r="W613" s="256"/>
      <c r="X613" s="256"/>
      <c r="Y613" s="256"/>
      <c r="Z613" s="256"/>
    </row>
    <row r="614">
      <c r="A614" s="256"/>
      <c r="B614" s="256"/>
      <c r="C614" s="256"/>
      <c r="D614" s="256"/>
      <c r="E614" s="256"/>
      <c r="F614" s="310"/>
      <c r="G614" s="256"/>
      <c r="H614" s="256"/>
      <c r="I614" s="256"/>
      <c r="J614" s="256"/>
      <c r="K614" s="256"/>
      <c r="L614" s="256"/>
      <c r="M614" s="256"/>
      <c r="N614" s="256"/>
      <c r="O614" s="256"/>
      <c r="P614" s="256"/>
      <c r="Q614" s="256"/>
      <c r="R614" s="256"/>
      <c r="S614" s="256"/>
      <c r="T614" s="256"/>
      <c r="U614" s="256"/>
      <c r="V614" s="256"/>
      <c r="W614" s="256"/>
      <c r="X614" s="256"/>
      <c r="Y614" s="256"/>
      <c r="Z614" s="256"/>
    </row>
    <row r="615">
      <c r="A615" s="256"/>
      <c r="B615" s="256"/>
      <c r="C615" s="256"/>
      <c r="D615" s="256"/>
      <c r="E615" s="256"/>
      <c r="F615" s="310"/>
      <c r="G615" s="256"/>
      <c r="H615" s="256"/>
      <c r="I615" s="256"/>
      <c r="J615" s="256"/>
      <c r="K615" s="256"/>
      <c r="L615" s="256"/>
      <c r="M615" s="256"/>
      <c r="N615" s="256"/>
      <c r="O615" s="256"/>
      <c r="P615" s="256"/>
      <c r="Q615" s="256"/>
      <c r="R615" s="256"/>
      <c r="S615" s="256"/>
      <c r="T615" s="256"/>
      <c r="U615" s="256"/>
      <c r="V615" s="256"/>
      <c r="W615" s="256"/>
      <c r="X615" s="256"/>
      <c r="Y615" s="256"/>
      <c r="Z615" s="256"/>
    </row>
    <row r="616">
      <c r="A616" s="256"/>
      <c r="B616" s="256"/>
      <c r="C616" s="256"/>
      <c r="D616" s="256"/>
      <c r="E616" s="256"/>
      <c r="F616" s="310"/>
      <c r="G616" s="256"/>
      <c r="H616" s="256"/>
      <c r="I616" s="256"/>
      <c r="J616" s="256"/>
      <c r="K616" s="256"/>
      <c r="L616" s="256"/>
      <c r="M616" s="256"/>
      <c r="N616" s="256"/>
      <c r="O616" s="256"/>
      <c r="P616" s="256"/>
      <c r="Q616" s="256"/>
      <c r="R616" s="256"/>
      <c r="S616" s="256"/>
      <c r="T616" s="256"/>
      <c r="U616" s="256"/>
      <c r="V616" s="256"/>
      <c r="W616" s="256"/>
      <c r="X616" s="256"/>
      <c r="Y616" s="256"/>
      <c r="Z616" s="256"/>
    </row>
    <row r="617">
      <c r="A617" s="256"/>
      <c r="B617" s="256"/>
      <c r="C617" s="256"/>
      <c r="D617" s="256"/>
      <c r="E617" s="256"/>
      <c r="F617" s="310"/>
      <c r="G617" s="256"/>
      <c r="H617" s="256"/>
      <c r="I617" s="256"/>
      <c r="J617" s="256"/>
      <c r="K617" s="256"/>
      <c r="L617" s="256"/>
      <c r="M617" s="256"/>
      <c r="N617" s="256"/>
      <c r="O617" s="256"/>
      <c r="P617" s="256"/>
      <c r="Q617" s="256"/>
      <c r="R617" s="256"/>
      <c r="S617" s="256"/>
      <c r="T617" s="256"/>
      <c r="U617" s="256"/>
      <c r="V617" s="256"/>
      <c r="W617" s="256"/>
      <c r="X617" s="256"/>
      <c r="Y617" s="256"/>
      <c r="Z617" s="256"/>
    </row>
    <row r="618">
      <c r="A618" s="256"/>
      <c r="B618" s="256"/>
      <c r="C618" s="256"/>
      <c r="D618" s="256"/>
      <c r="E618" s="256"/>
      <c r="F618" s="310"/>
      <c r="G618" s="256"/>
      <c r="H618" s="256"/>
      <c r="I618" s="256"/>
      <c r="J618" s="256"/>
      <c r="K618" s="256"/>
      <c r="L618" s="256"/>
      <c r="M618" s="256"/>
      <c r="N618" s="256"/>
      <c r="O618" s="256"/>
      <c r="P618" s="256"/>
      <c r="Q618" s="256"/>
      <c r="R618" s="256"/>
      <c r="S618" s="256"/>
      <c r="T618" s="256"/>
      <c r="U618" s="256"/>
      <c r="V618" s="256"/>
      <c r="W618" s="256"/>
      <c r="X618" s="256"/>
      <c r="Y618" s="256"/>
      <c r="Z618" s="256"/>
    </row>
    <row r="619">
      <c r="A619" s="256"/>
      <c r="B619" s="256"/>
      <c r="C619" s="256"/>
      <c r="D619" s="256"/>
      <c r="E619" s="256"/>
      <c r="F619" s="310"/>
      <c r="G619" s="256"/>
      <c r="H619" s="256"/>
      <c r="I619" s="256"/>
      <c r="J619" s="256"/>
      <c r="K619" s="256"/>
      <c r="L619" s="256"/>
      <c r="M619" s="256"/>
      <c r="N619" s="256"/>
      <c r="O619" s="256"/>
      <c r="P619" s="256"/>
      <c r="Q619" s="256"/>
      <c r="R619" s="256"/>
      <c r="S619" s="256"/>
      <c r="T619" s="256"/>
      <c r="U619" s="256"/>
      <c r="V619" s="256"/>
      <c r="W619" s="256"/>
      <c r="X619" s="256"/>
      <c r="Y619" s="256"/>
      <c r="Z619" s="256"/>
    </row>
    <row r="620">
      <c r="A620" s="256"/>
      <c r="B620" s="256"/>
      <c r="C620" s="256"/>
      <c r="D620" s="256"/>
      <c r="E620" s="256"/>
      <c r="F620" s="310"/>
      <c r="G620" s="256"/>
      <c r="H620" s="256"/>
      <c r="I620" s="256"/>
      <c r="J620" s="256"/>
      <c r="K620" s="256"/>
      <c r="L620" s="256"/>
      <c r="M620" s="256"/>
      <c r="N620" s="256"/>
      <c r="O620" s="256"/>
      <c r="P620" s="256"/>
      <c r="Q620" s="256"/>
      <c r="R620" s="256"/>
      <c r="S620" s="256"/>
      <c r="T620" s="256"/>
      <c r="U620" s="256"/>
      <c r="V620" s="256"/>
      <c r="W620" s="256"/>
      <c r="X620" s="256"/>
      <c r="Y620" s="256"/>
      <c r="Z620" s="256"/>
    </row>
    <row r="621">
      <c r="A621" s="256"/>
      <c r="B621" s="256"/>
      <c r="C621" s="256"/>
      <c r="D621" s="256"/>
      <c r="E621" s="256"/>
      <c r="F621" s="310"/>
      <c r="G621" s="256"/>
      <c r="H621" s="256"/>
      <c r="I621" s="256"/>
      <c r="J621" s="256"/>
      <c r="K621" s="256"/>
      <c r="L621" s="256"/>
      <c r="M621" s="256"/>
      <c r="N621" s="256"/>
      <c r="O621" s="256"/>
      <c r="P621" s="256"/>
      <c r="Q621" s="256"/>
      <c r="R621" s="256"/>
      <c r="S621" s="256"/>
      <c r="T621" s="256"/>
      <c r="U621" s="256"/>
      <c r="V621" s="256"/>
      <c r="W621" s="256"/>
      <c r="X621" s="256"/>
      <c r="Y621" s="256"/>
      <c r="Z621" s="256"/>
    </row>
    <row r="622">
      <c r="A622" s="256"/>
      <c r="B622" s="256"/>
      <c r="C622" s="256"/>
      <c r="D622" s="256"/>
      <c r="E622" s="256"/>
      <c r="F622" s="310"/>
      <c r="G622" s="256"/>
      <c r="H622" s="256"/>
      <c r="I622" s="256"/>
      <c r="J622" s="256"/>
      <c r="K622" s="256"/>
      <c r="L622" s="256"/>
      <c r="M622" s="256"/>
      <c r="N622" s="256"/>
      <c r="O622" s="256"/>
      <c r="P622" s="256"/>
      <c r="Q622" s="256"/>
      <c r="R622" s="256"/>
      <c r="S622" s="256"/>
      <c r="T622" s="256"/>
      <c r="U622" s="256"/>
      <c r="V622" s="256"/>
      <c r="W622" s="256"/>
      <c r="X622" s="256"/>
      <c r="Y622" s="256"/>
      <c r="Z622" s="256"/>
    </row>
    <row r="623">
      <c r="A623" s="256"/>
      <c r="B623" s="256"/>
      <c r="C623" s="256"/>
      <c r="D623" s="256"/>
      <c r="E623" s="256"/>
      <c r="F623" s="310"/>
      <c r="G623" s="256"/>
      <c r="H623" s="256"/>
      <c r="I623" s="256"/>
      <c r="J623" s="256"/>
      <c r="K623" s="256"/>
      <c r="L623" s="256"/>
      <c r="M623" s="256"/>
      <c r="N623" s="256"/>
      <c r="O623" s="256"/>
      <c r="P623" s="256"/>
      <c r="Q623" s="256"/>
      <c r="R623" s="256"/>
      <c r="S623" s="256"/>
      <c r="T623" s="256"/>
      <c r="U623" s="256"/>
      <c r="V623" s="256"/>
      <c r="W623" s="256"/>
      <c r="X623" s="256"/>
      <c r="Y623" s="256"/>
      <c r="Z623" s="256"/>
    </row>
    <row r="624">
      <c r="A624" s="256"/>
      <c r="B624" s="256"/>
      <c r="C624" s="256"/>
      <c r="D624" s="256"/>
      <c r="E624" s="256"/>
      <c r="F624" s="310"/>
      <c r="G624" s="256"/>
      <c r="H624" s="256"/>
      <c r="I624" s="256"/>
      <c r="J624" s="256"/>
      <c r="K624" s="256"/>
      <c r="L624" s="256"/>
      <c r="M624" s="256"/>
      <c r="N624" s="256"/>
      <c r="O624" s="256"/>
      <c r="P624" s="256"/>
      <c r="Q624" s="256"/>
      <c r="R624" s="256"/>
      <c r="S624" s="256"/>
      <c r="T624" s="256"/>
      <c r="U624" s="256"/>
      <c r="V624" s="256"/>
      <c r="W624" s="256"/>
      <c r="X624" s="256"/>
      <c r="Y624" s="256"/>
      <c r="Z624" s="256"/>
    </row>
    <row r="625">
      <c r="A625" s="256"/>
      <c r="B625" s="256"/>
      <c r="C625" s="256"/>
      <c r="D625" s="256"/>
      <c r="E625" s="256"/>
      <c r="F625" s="310"/>
      <c r="G625" s="256"/>
      <c r="H625" s="256"/>
      <c r="I625" s="256"/>
      <c r="J625" s="256"/>
      <c r="K625" s="256"/>
      <c r="L625" s="256"/>
      <c r="M625" s="256"/>
      <c r="N625" s="256"/>
      <c r="O625" s="256"/>
      <c r="P625" s="256"/>
      <c r="Q625" s="256"/>
      <c r="R625" s="256"/>
      <c r="S625" s="256"/>
      <c r="T625" s="256"/>
      <c r="U625" s="256"/>
      <c r="V625" s="256"/>
      <c r="W625" s="256"/>
      <c r="X625" s="256"/>
      <c r="Y625" s="256"/>
      <c r="Z625" s="256"/>
    </row>
    <row r="626">
      <c r="A626" s="256"/>
      <c r="B626" s="256"/>
      <c r="C626" s="256"/>
      <c r="D626" s="256"/>
      <c r="E626" s="256"/>
      <c r="F626" s="310"/>
      <c r="G626" s="256"/>
      <c r="H626" s="256"/>
      <c r="I626" s="256"/>
      <c r="J626" s="256"/>
      <c r="K626" s="256"/>
      <c r="L626" s="256"/>
      <c r="M626" s="256"/>
      <c r="N626" s="256"/>
      <c r="O626" s="256"/>
      <c r="P626" s="256"/>
      <c r="Q626" s="256"/>
      <c r="R626" s="256"/>
      <c r="S626" s="256"/>
      <c r="T626" s="256"/>
      <c r="U626" s="256"/>
      <c r="V626" s="256"/>
      <c r="W626" s="256"/>
      <c r="X626" s="256"/>
      <c r="Y626" s="256"/>
      <c r="Z626" s="256"/>
    </row>
    <row r="627">
      <c r="A627" s="256"/>
      <c r="B627" s="256"/>
      <c r="C627" s="256"/>
      <c r="D627" s="256"/>
      <c r="E627" s="256"/>
      <c r="F627" s="310"/>
      <c r="G627" s="256"/>
      <c r="H627" s="256"/>
      <c r="I627" s="256"/>
      <c r="J627" s="256"/>
      <c r="K627" s="256"/>
      <c r="L627" s="256"/>
      <c r="M627" s="256"/>
      <c r="N627" s="256"/>
      <c r="O627" s="256"/>
      <c r="P627" s="256"/>
      <c r="Q627" s="256"/>
      <c r="R627" s="256"/>
      <c r="S627" s="256"/>
      <c r="T627" s="256"/>
      <c r="U627" s="256"/>
      <c r="V627" s="256"/>
      <c r="W627" s="256"/>
      <c r="X627" s="256"/>
      <c r="Y627" s="256"/>
      <c r="Z627" s="256"/>
    </row>
    <row r="628">
      <c r="A628" s="256"/>
      <c r="B628" s="256"/>
      <c r="C628" s="256"/>
      <c r="D628" s="256"/>
      <c r="E628" s="256"/>
      <c r="F628" s="310"/>
      <c r="G628" s="256"/>
      <c r="H628" s="256"/>
      <c r="I628" s="256"/>
      <c r="J628" s="256"/>
      <c r="K628" s="256"/>
      <c r="L628" s="256"/>
      <c r="M628" s="256"/>
      <c r="N628" s="256"/>
      <c r="O628" s="256"/>
      <c r="P628" s="256"/>
      <c r="Q628" s="256"/>
      <c r="R628" s="256"/>
      <c r="S628" s="256"/>
      <c r="T628" s="256"/>
      <c r="U628" s="256"/>
      <c r="V628" s="256"/>
      <c r="W628" s="256"/>
      <c r="X628" s="256"/>
      <c r="Y628" s="256"/>
      <c r="Z628" s="256"/>
    </row>
    <row r="629">
      <c r="A629" s="256"/>
      <c r="B629" s="256"/>
      <c r="C629" s="256"/>
      <c r="D629" s="256"/>
      <c r="E629" s="256"/>
      <c r="F629" s="310"/>
      <c r="G629" s="256"/>
      <c r="H629" s="256"/>
      <c r="I629" s="256"/>
      <c r="J629" s="256"/>
      <c r="K629" s="256"/>
      <c r="L629" s="256"/>
      <c r="M629" s="256"/>
      <c r="N629" s="256"/>
      <c r="O629" s="256"/>
      <c r="P629" s="256"/>
      <c r="Q629" s="256"/>
      <c r="R629" s="256"/>
      <c r="S629" s="256"/>
      <c r="T629" s="256"/>
      <c r="U629" s="256"/>
      <c r="V629" s="256"/>
      <c r="W629" s="256"/>
      <c r="X629" s="256"/>
      <c r="Y629" s="256"/>
      <c r="Z629" s="256"/>
    </row>
    <row r="630">
      <c r="A630" s="256"/>
      <c r="B630" s="256"/>
      <c r="C630" s="256"/>
      <c r="D630" s="256"/>
      <c r="E630" s="256"/>
      <c r="F630" s="310"/>
      <c r="G630" s="256"/>
      <c r="H630" s="256"/>
      <c r="I630" s="256"/>
      <c r="J630" s="256"/>
      <c r="K630" s="256"/>
      <c r="L630" s="256"/>
      <c r="M630" s="256"/>
      <c r="N630" s="256"/>
      <c r="O630" s="256"/>
      <c r="P630" s="256"/>
      <c r="Q630" s="256"/>
      <c r="R630" s="256"/>
      <c r="S630" s="256"/>
      <c r="T630" s="256"/>
      <c r="U630" s="256"/>
      <c r="V630" s="256"/>
      <c r="W630" s="256"/>
      <c r="X630" s="256"/>
      <c r="Y630" s="256"/>
      <c r="Z630" s="256"/>
    </row>
    <row r="631">
      <c r="A631" s="256"/>
      <c r="B631" s="256"/>
      <c r="C631" s="256"/>
      <c r="D631" s="256"/>
      <c r="E631" s="256"/>
      <c r="F631" s="310"/>
      <c r="G631" s="256"/>
      <c r="H631" s="256"/>
      <c r="I631" s="256"/>
      <c r="J631" s="256"/>
      <c r="K631" s="256"/>
      <c r="L631" s="256"/>
      <c r="M631" s="256"/>
      <c r="N631" s="256"/>
      <c r="O631" s="256"/>
      <c r="P631" s="256"/>
      <c r="Q631" s="256"/>
      <c r="R631" s="256"/>
      <c r="S631" s="256"/>
      <c r="T631" s="256"/>
      <c r="U631" s="256"/>
      <c r="V631" s="256"/>
      <c r="W631" s="256"/>
      <c r="X631" s="256"/>
      <c r="Y631" s="256"/>
      <c r="Z631" s="256"/>
    </row>
    <row r="632">
      <c r="A632" s="256"/>
      <c r="B632" s="256"/>
      <c r="C632" s="256"/>
      <c r="D632" s="256"/>
      <c r="E632" s="256"/>
      <c r="F632" s="310"/>
      <c r="G632" s="256"/>
      <c r="H632" s="256"/>
      <c r="I632" s="256"/>
      <c r="J632" s="256"/>
      <c r="K632" s="256"/>
      <c r="L632" s="256"/>
      <c r="M632" s="256"/>
      <c r="N632" s="256"/>
      <c r="O632" s="256"/>
      <c r="P632" s="256"/>
      <c r="Q632" s="256"/>
      <c r="R632" s="256"/>
      <c r="S632" s="256"/>
      <c r="T632" s="256"/>
      <c r="U632" s="256"/>
      <c r="V632" s="256"/>
      <c r="W632" s="256"/>
      <c r="X632" s="256"/>
      <c r="Y632" s="256"/>
      <c r="Z632" s="256"/>
    </row>
    <row r="633">
      <c r="A633" s="256"/>
      <c r="B633" s="256"/>
      <c r="C633" s="256"/>
      <c r="D633" s="256"/>
      <c r="E633" s="256"/>
      <c r="F633" s="310"/>
      <c r="G633" s="256"/>
      <c r="H633" s="256"/>
      <c r="I633" s="256"/>
      <c r="J633" s="256"/>
      <c r="K633" s="256"/>
      <c r="L633" s="256"/>
      <c r="M633" s="256"/>
      <c r="N633" s="256"/>
      <c r="O633" s="256"/>
      <c r="P633" s="256"/>
      <c r="Q633" s="256"/>
      <c r="R633" s="256"/>
      <c r="S633" s="256"/>
      <c r="T633" s="256"/>
      <c r="U633" s="256"/>
      <c r="V633" s="256"/>
      <c r="W633" s="256"/>
      <c r="X633" s="256"/>
      <c r="Y633" s="256"/>
      <c r="Z633" s="256"/>
    </row>
    <row r="634">
      <c r="A634" s="256"/>
      <c r="B634" s="256"/>
      <c r="C634" s="256"/>
      <c r="D634" s="256"/>
      <c r="E634" s="256"/>
      <c r="F634" s="310"/>
      <c r="G634" s="256"/>
      <c r="H634" s="256"/>
      <c r="I634" s="256"/>
      <c r="J634" s="256"/>
      <c r="K634" s="256"/>
      <c r="L634" s="256"/>
      <c r="M634" s="256"/>
      <c r="N634" s="256"/>
      <c r="O634" s="256"/>
      <c r="P634" s="256"/>
      <c r="Q634" s="256"/>
      <c r="R634" s="256"/>
      <c r="S634" s="256"/>
      <c r="T634" s="256"/>
      <c r="U634" s="256"/>
      <c r="V634" s="256"/>
      <c r="W634" s="256"/>
      <c r="X634" s="256"/>
      <c r="Y634" s="256"/>
      <c r="Z634" s="256"/>
    </row>
    <row r="635">
      <c r="A635" s="256"/>
      <c r="B635" s="256"/>
      <c r="C635" s="256"/>
      <c r="D635" s="256"/>
      <c r="E635" s="256"/>
      <c r="F635" s="310"/>
      <c r="G635" s="256"/>
      <c r="H635" s="256"/>
      <c r="I635" s="256"/>
      <c r="J635" s="256"/>
      <c r="K635" s="256"/>
      <c r="L635" s="256"/>
      <c r="M635" s="256"/>
      <c r="N635" s="256"/>
      <c r="O635" s="256"/>
      <c r="P635" s="256"/>
      <c r="Q635" s="256"/>
      <c r="R635" s="256"/>
      <c r="S635" s="256"/>
      <c r="T635" s="256"/>
      <c r="U635" s="256"/>
      <c r="V635" s="256"/>
      <c r="W635" s="256"/>
      <c r="X635" s="256"/>
      <c r="Y635" s="256"/>
      <c r="Z635" s="256"/>
    </row>
    <row r="636">
      <c r="A636" s="256"/>
      <c r="B636" s="256"/>
      <c r="C636" s="256"/>
      <c r="D636" s="256"/>
      <c r="E636" s="256"/>
      <c r="F636" s="310"/>
      <c r="G636" s="256"/>
      <c r="H636" s="256"/>
      <c r="I636" s="256"/>
      <c r="J636" s="256"/>
      <c r="K636" s="256"/>
      <c r="L636" s="256"/>
      <c r="M636" s="256"/>
      <c r="N636" s="256"/>
      <c r="O636" s="256"/>
      <c r="P636" s="256"/>
      <c r="Q636" s="256"/>
      <c r="R636" s="256"/>
      <c r="S636" s="256"/>
      <c r="T636" s="256"/>
      <c r="U636" s="256"/>
      <c r="V636" s="256"/>
      <c r="W636" s="256"/>
      <c r="X636" s="256"/>
      <c r="Y636" s="256"/>
      <c r="Z636" s="256"/>
    </row>
    <row r="637">
      <c r="A637" s="256"/>
      <c r="B637" s="256"/>
      <c r="C637" s="256"/>
      <c r="D637" s="256"/>
      <c r="E637" s="256"/>
      <c r="F637" s="310"/>
      <c r="G637" s="256"/>
      <c r="H637" s="256"/>
      <c r="I637" s="256"/>
      <c r="J637" s="256"/>
      <c r="K637" s="256"/>
      <c r="L637" s="256"/>
      <c r="M637" s="256"/>
      <c r="N637" s="256"/>
      <c r="O637" s="256"/>
      <c r="P637" s="256"/>
      <c r="Q637" s="256"/>
      <c r="R637" s="256"/>
      <c r="S637" s="256"/>
      <c r="T637" s="256"/>
      <c r="U637" s="256"/>
      <c r="V637" s="256"/>
      <c r="W637" s="256"/>
      <c r="X637" s="256"/>
      <c r="Y637" s="256"/>
      <c r="Z637" s="256"/>
    </row>
    <row r="638">
      <c r="A638" s="256"/>
      <c r="B638" s="256"/>
      <c r="C638" s="256"/>
      <c r="D638" s="256"/>
      <c r="E638" s="256"/>
      <c r="F638" s="310"/>
      <c r="G638" s="256"/>
      <c r="H638" s="256"/>
      <c r="I638" s="256"/>
      <c r="J638" s="256"/>
      <c r="K638" s="256"/>
      <c r="L638" s="256"/>
      <c r="M638" s="256"/>
      <c r="N638" s="256"/>
      <c r="O638" s="256"/>
      <c r="P638" s="256"/>
      <c r="Q638" s="256"/>
      <c r="R638" s="256"/>
      <c r="S638" s="256"/>
      <c r="T638" s="256"/>
      <c r="U638" s="256"/>
      <c r="V638" s="256"/>
      <c r="W638" s="256"/>
      <c r="X638" s="256"/>
      <c r="Y638" s="256"/>
      <c r="Z638" s="256"/>
    </row>
    <row r="639">
      <c r="A639" s="256"/>
      <c r="B639" s="256"/>
      <c r="C639" s="256"/>
      <c r="D639" s="256"/>
      <c r="E639" s="256"/>
      <c r="F639" s="310"/>
      <c r="G639" s="256"/>
      <c r="H639" s="256"/>
      <c r="I639" s="256"/>
      <c r="J639" s="256"/>
      <c r="K639" s="256"/>
      <c r="L639" s="256"/>
      <c r="M639" s="256"/>
      <c r="N639" s="256"/>
      <c r="O639" s="256"/>
      <c r="P639" s="256"/>
      <c r="Q639" s="256"/>
      <c r="R639" s="256"/>
      <c r="S639" s="256"/>
      <c r="T639" s="256"/>
      <c r="U639" s="256"/>
      <c r="V639" s="256"/>
      <c r="W639" s="256"/>
      <c r="X639" s="256"/>
      <c r="Y639" s="256"/>
      <c r="Z639" s="256"/>
    </row>
    <row r="640">
      <c r="A640" s="256"/>
      <c r="B640" s="256"/>
      <c r="C640" s="256"/>
      <c r="D640" s="256"/>
      <c r="E640" s="256"/>
      <c r="F640" s="310"/>
      <c r="G640" s="256"/>
      <c r="H640" s="256"/>
      <c r="I640" s="256"/>
      <c r="J640" s="256"/>
      <c r="K640" s="256"/>
      <c r="L640" s="256"/>
      <c r="M640" s="256"/>
      <c r="N640" s="256"/>
      <c r="O640" s="256"/>
      <c r="P640" s="256"/>
      <c r="Q640" s="256"/>
      <c r="R640" s="256"/>
      <c r="S640" s="256"/>
      <c r="T640" s="256"/>
      <c r="U640" s="256"/>
      <c r="V640" s="256"/>
      <c r="W640" s="256"/>
      <c r="X640" s="256"/>
      <c r="Y640" s="256"/>
      <c r="Z640" s="256"/>
    </row>
    <row r="641">
      <c r="A641" s="256"/>
      <c r="B641" s="256"/>
      <c r="C641" s="256"/>
      <c r="D641" s="256"/>
      <c r="E641" s="256"/>
      <c r="F641" s="310"/>
      <c r="G641" s="256"/>
      <c r="H641" s="256"/>
      <c r="I641" s="256"/>
      <c r="J641" s="256"/>
      <c r="K641" s="256"/>
      <c r="L641" s="256"/>
      <c r="M641" s="256"/>
      <c r="N641" s="256"/>
      <c r="O641" s="256"/>
      <c r="P641" s="256"/>
      <c r="Q641" s="256"/>
      <c r="R641" s="256"/>
      <c r="S641" s="256"/>
      <c r="T641" s="256"/>
      <c r="U641" s="256"/>
      <c r="V641" s="256"/>
      <c r="W641" s="256"/>
      <c r="X641" s="256"/>
      <c r="Y641" s="256"/>
      <c r="Z641" s="256"/>
    </row>
    <row r="642">
      <c r="A642" s="256"/>
      <c r="B642" s="256"/>
      <c r="C642" s="256"/>
      <c r="D642" s="256"/>
      <c r="E642" s="256"/>
      <c r="F642" s="310"/>
      <c r="G642" s="256"/>
      <c r="H642" s="256"/>
      <c r="I642" s="256"/>
      <c r="J642" s="256"/>
      <c r="K642" s="256"/>
      <c r="L642" s="256"/>
      <c r="M642" s="256"/>
      <c r="N642" s="256"/>
      <c r="O642" s="256"/>
      <c r="P642" s="256"/>
      <c r="Q642" s="256"/>
      <c r="R642" s="256"/>
      <c r="S642" s="256"/>
      <c r="T642" s="256"/>
      <c r="U642" s="256"/>
      <c r="V642" s="256"/>
      <c r="W642" s="256"/>
      <c r="X642" s="256"/>
      <c r="Y642" s="256"/>
      <c r="Z642" s="256"/>
    </row>
    <row r="643">
      <c r="A643" s="256"/>
      <c r="B643" s="256"/>
      <c r="C643" s="256"/>
      <c r="D643" s="256"/>
      <c r="E643" s="256"/>
      <c r="F643" s="310"/>
      <c r="G643" s="256"/>
      <c r="H643" s="256"/>
      <c r="I643" s="256"/>
      <c r="J643" s="256"/>
      <c r="K643" s="256"/>
      <c r="L643" s="256"/>
      <c r="M643" s="256"/>
      <c r="N643" s="256"/>
      <c r="O643" s="256"/>
      <c r="P643" s="256"/>
      <c r="Q643" s="256"/>
      <c r="R643" s="256"/>
      <c r="S643" s="256"/>
      <c r="T643" s="256"/>
      <c r="U643" s="256"/>
      <c r="V643" s="256"/>
      <c r="W643" s="256"/>
      <c r="X643" s="256"/>
      <c r="Y643" s="256"/>
      <c r="Z643" s="256"/>
    </row>
    <row r="644">
      <c r="A644" s="256"/>
      <c r="B644" s="256"/>
      <c r="C644" s="256"/>
      <c r="D644" s="256"/>
      <c r="E644" s="256"/>
      <c r="F644" s="310"/>
      <c r="G644" s="256"/>
      <c r="H644" s="256"/>
      <c r="I644" s="256"/>
      <c r="J644" s="256"/>
      <c r="K644" s="256"/>
      <c r="L644" s="256"/>
      <c r="M644" s="256"/>
      <c r="N644" s="256"/>
      <c r="O644" s="256"/>
      <c r="P644" s="256"/>
      <c r="Q644" s="256"/>
      <c r="R644" s="256"/>
      <c r="S644" s="256"/>
      <c r="T644" s="256"/>
      <c r="U644" s="256"/>
      <c r="V644" s="256"/>
      <c r="W644" s="256"/>
      <c r="X644" s="256"/>
      <c r="Y644" s="256"/>
      <c r="Z644" s="256"/>
    </row>
    <row r="645">
      <c r="A645" s="256"/>
      <c r="B645" s="256"/>
      <c r="C645" s="256"/>
      <c r="D645" s="256"/>
      <c r="E645" s="256"/>
      <c r="F645" s="310"/>
      <c r="G645" s="256"/>
      <c r="H645" s="256"/>
      <c r="I645" s="256"/>
      <c r="J645" s="256"/>
      <c r="K645" s="256"/>
      <c r="L645" s="256"/>
      <c r="M645" s="256"/>
      <c r="N645" s="256"/>
      <c r="O645" s="256"/>
      <c r="P645" s="256"/>
      <c r="Q645" s="256"/>
      <c r="R645" s="256"/>
      <c r="S645" s="256"/>
      <c r="T645" s="256"/>
      <c r="U645" s="256"/>
      <c r="V645" s="256"/>
      <c r="W645" s="256"/>
      <c r="X645" s="256"/>
      <c r="Y645" s="256"/>
      <c r="Z645" s="256"/>
    </row>
    <row r="646">
      <c r="A646" s="256"/>
      <c r="B646" s="256"/>
      <c r="C646" s="256"/>
      <c r="D646" s="256"/>
      <c r="E646" s="256"/>
      <c r="F646" s="310"/>
      <c r="G646" s="256"/>
      <c r="H646" s="256"/>
      <c r="I646" s="256"/>
      <c r="J646" s="256"/>
      <c r="K646" s="256"/>
      <c r="L646" s="256"/>
      <c r="M646" s="256"/>
      <c r="N646" s="256"/>
      <c r="O646" s="256"/>
      <c r="P646" s="256"/>
      <c r="Q646" s="256"/>
      <c r="R646" s="256"/>
      <c r="S646" s="256"/>
      <c r="T646" s="256"/>
      <c r="U646" s="256"/>
      <c r="V646" s="256"/>
      <c r="W646" s="256"/>
      <c r="X646" s="256"/>
      <c r="Y646" s="256"/>
      <c r="Z646" s="256"/>
    </row>
    <row r="647">
      <c r="A647" s="256"/>
      <c r="B647" s="256"/>
      <c r="C647" s="256"/>
      <c r="D647" s="256"/>
      <c r="E647" s="256"/>
      <c r="F647" s="310"/>
      <c r="G647" s="256"/>
      <c r="H647" s="256"/>
      <c r="I647" s="256"/>
      <c r="J647" s="256"/>
      <c r="K647" s="256"/>
      <c r="L647" s="256"/>
      <c r="M647" s="256"/>
      <c r="N647" s="256"/>
      <c r="O647" s="256"/>
      <c r="P647" s="256"/>
      <c r="Q647" s="256"/>
      <c r="R647" s="256"/>
      <c r="S647" s="256"/>
      <c r="T647" s="256"/>
      <c r="U647" s="256"/>
      <c r="V647" s="256"/>
      <c r="W647" s="256"/>
      <c r="X647" s="256"/>
      <c r="Y647" s="256"/>
      <c r="Z647" s="256"/>
    </row>
    <row r="648">
      <c r="A648" s="256"/>
      <c r="B648" s="256"/>
      <c r="C648" s="256"/>
      <c r="D648" s="256"/>
      <c r="E648" s="256"/>
      <c r="F648" s="310"/>
      <c r="G648" s="256"/>
      <c r="H648" s="256"/>
      <c r="I648" s="256"/>
      <c r="J648" s="256"/>
      <c r="K648" s="256"/>
      <c r="L648" s="256"/>
      <c r="M648" s="256"/>
      <c r="N648" s="256"/>
      <c r="O648" s="256"/>
      <c r="P648" s="256"/>
      <c r="Q648" s="256"/>
      <c r="R648" s="256"/>
      <c r="S648" s="256"/>
      <c r="T648" s="256"/>
      <c r="U648" s="256"/>
      <c r="V648" s="256"/>
      <c r="W648" s="256"/>
      <c r="X648" s="256"/>
      <c r="Y648" s="256"/>
      <c r="Z648" s="256"/>
    </row>
    <row r="649">
      <c r="A649" s="256"/>
      <c r="B649" s="256"/>
      <c r="C649" s="256"/>
      <c r="D649" s="256"/>
      <c r="E649" s="256"/>
      <c r="F649" s="310"/>
      <c r="G649" s="256"/>
      <c r="H649" s="256"/>
      <c r="I649" s="256"/>
      <c r="J649" s="256"/>
      <c r="K649" s="256"/>
      <c r="L649" s="256"/>
      <c r="M649" s="256"/>
      <c r="N649" s="256"/>
      <c r="O649" s="256"/>
      <c r="P649" s="256"/>
      <c r="Q649" s="256"/>
      <c r="R649" s="256"/>
      <c r="S649" s="256"/>
      <c r="T649" s="256"/>
      <c r="U649" s="256"/>
      <c r="V649" s="256"/>
      <c r="W649" s="256"/>
      <c r="X649" s="256"/>
      <c r="Y649" s="256"/>
      <c r="Z649" s="256"/>
    </row>
    <row r="650">
      <c r="A650" s="256"/>
      <c r="B650" s="256"/>
      <c r="C650" s="256"/>
      <c r="D650" s="256"/>
      <c r="E650" s="256"/>
      <c r="F650" s="310"/>
      <c r="G650" s="256"/>
      <c r="H650" s="256"/>
      <c r="I650" s="256"/>
      <c r="J650" s="256"/>
      <c r="K650" s="256"/>
      <c r="L650" s="256"/>
      <c r="M650" s="256"/>
      <c r="N650" s="256"/>
      <c r="O650" s="256"/>
      <c r="P650" s="256"/>
      <c r="Q650" s="256"/>
      <c r="R650" s="256"/>
      <c r="S650" s="256"/>
      <c r="T650" s="256"/>
      <c r="U650" s="256"/>
      <c r="V650" s="256"/>
      <c r="W650" s="256"/>
      <c r="X650" s="256"/>
      <c r="Y650" s="256"/>
      <c r="Z650" s="256"/>
    </row>
    <row r="651">
      <c r="A651" s="256"/>
      <c r="B651" s="256"/>
      <c r="C651" s="256"/>
      <c r="D651" s="256"/>
      <c r="E651" s="256"/>
      <c r="F651" s="310"/>
      <c r="G651" s="256"/>
      <c r="H651" s="256"/>
      <c r="I651" s="256"/>
      <c r="J651" s="256"/>
      <c r="K651" s="256"/>
      <c r="L651" s="256"/>
      <c r="M651" s="256"/>
      <c r="N651" s="256"/>
      <c r="O651" s="256"/>
      <c r="P651" s="256"/>
      <c r="Q651" s="256"/>
      <c r="R651" s="256"/>
      <c r="S651" s="256"/>
      <c r="T651" s="256"/>
      <c r="U651" s="256"/>
      <c r="V651" s="256"/>
      <c r="W651" s="256"/>
      <c r="X651" s="256"/>
      <c r="Y651" s="256"/>
      <c r="Z651" s="256"/>
    </row>
    <row r="652">
      <c r="A652" s="256"/>
      <c r="B652" s="256"/>
      <c r="C652" s="256"/>
      <c r="D652" s="256"/>
      <c r="E652" s="256"/>
      <c r="F652" s="310"/>
      <c r="G652" s="256"/>
      <c r="H652" s="256"/>
      <c r="I652" s="256"/>
      <c r="J652" s="256"/>
      <c r="K652" s="256"/>
      <c r="L652" s="256"/>
      <c r="M652" s="256"/>
      <c r="N652" s="256"/>
      <c r="O652" s="256"/>
      <c r="P652" s="256"/>
      <c r="Q652" s="256"/>
      <c r="R652" s="256"/>
      <c r="S652" s="256"/>
      <c r="T652" s="256"/>
      <c r="U652" s="256"/>
      <c r="V652" s="256"/>
      <c r="W652" s="256"/>
      <c r="X652" s="256"/>
      <c r="Y652" s="256"/>
      <c r="Z652" s="256"/>
    </row>
    <row r="653">
      <c r="A653" s="256"/>
      <c r="B653" s="256"/>
      <c r="C653" s="256"/>
      <c r="D653" s="256"/>
      <c r="E653" s="256"/>
      <c r="F653" s="310"/>
      <c r="G653" s="256"/>
      <c r="H653" s="256"/>
      <c r="I653" s="256"/>
      <c r="J653" s="256"/>
      <c r="K653" s="256"/>
      <c r="L653" s="256"/>
      <c r="M653" s="256"/>
      <c r="N653" s="256"/>
      <c r="O653" s="256"/>
      <c r="P653" s="256"/>
      <c r="Q653" s="256"/>
      <c r="R653" s="256"/>
      <c r="S653" s="256"/>
      <c r="T653" s="256"/>
      <c r="U653" s="256"/>
      <c r="V653" s="256"/>
      <c r="W653" s="256"/>
      <c r="X653" s="256"/>
      <c r="Y653" s="256"/>
      <c r="Z653" s="256"/>
    </row>
    <row r="654">
      <c r="A654" s="256"/>
      <c r="B654" s="256"/>
      <c r="C654" s="256"/>
      <c r="D654" s="256"/>
      <c r="E654" s="256"/>
      <c r="F654" s="310"/>
      <c r="G654" s="256"/>
      <c r="H654" s="256"/>
      <c r="I654" s="256"/>
      <c r="J654" s="256"/>
      <c r="K654" s="256"/>
      <c r="L654" s="256"/>
      <c r="M654" s="256"/>
      <c r="N654" s="256"/>
      <c r="O654" s="256"/>
      <c r="P654" s="256"/>
      <c r="Q654" s="256"/>
      <c r="R654" s="256"/>
      <c r="S654" s="256"/>
      <c r="T654" s="256"/>
      <c r="U654" s="256"/>
      <c r="V654" s="256"/>
      <c r="W654" s="256"/>
      <c r="X654" s="256"/>
      <c r="Y654" s="256"/>
      <c r="Z654" s="256"/>
    </row>
    <row r="655">
      <c r="A655" s="256"/>
      <c r="B655" s="256"/>
      <c r="C655" s="256"/>
      <c r="D655" s="256"/>
      <c r="E655" s="256"/>
      <c r="F655" s="310"/>
      <c r="G655" s="256"/>
      <c r="H655" s="256"/>
      <c r="I655" s="256"/>
      <c r="J655" s="256"/>
      <c r="K655" s="256"/>
      <c r="L655" s="256"/>
      <c r="M655" s="256"/>
      <c r="N655" s="256"/>
      <c r="O655" s="256"/>
      <c r="P655" s="256"/>
      <c r="Q655" s="256"/>
      <c r="R655" s="256"/>
      <c r="S655" s="256"/>
      <c r="T655" s="256"/>
      <c r="U655" s="256"/>
      <c r="V655" s="256"/>
      <c r="W655" s="256"/>
      <c r="X655" s="256"/>
      <c r="Y655" s="256"/>
      <c r="Z655" s="256"/>
    </row>
    <row r="656">
      <c r="A656" s="256"/>
      <c r="B656" s="256"/>
      <c r="C656" s="256"/>
      <c r="D656" s="256"/>
      <c r="E656" s="256"/>
      <c r="F656" s="310"/>
      <c r="G656" s="256"/>
      <c r="H656" s="256"/>
      <c r="I656" s="256"/>
      <c r="J656" s="256"/>
      <c r="K656" s="256"/>
      <c r="L656" s="256"/>
      <c r="M656" s="256"/>
      <c r="N656" s="256"/>
      <c r="O656" s="256"/>
      <c r="P656" s="256"/>
      <c r="Q656" s="256"/>
      <c r="R656" s="256"/>
      <c r="S656" s="256"/>
      <c r="T656" s="256"/>
      <c r="U656" s="256"/>
      <c r="V656" s="256"/>
      <c r="W656" s="256"/>
      <c r="X656" s="256"/>
      <c r="Y656" s="256"/>
      <c r="Z656" s="256"/>
    </row>
    <row r="657">
      <c r="A657" s="256"/>
      <c r="B657" s="256"/>
      <c r="C657" s="256"/>
      <c r="D657" s="256"/>
      <c r="E657" s="256"/>
      <c r="F657" s="310"/>
      <c r="G657" s="256"/>
      <c r="H657" s="256"/>
      <c r="I657" s="256"/>
      <c r="J657" s="256"/>
      <c r="K657" s="256"/>
      <c r="L657" s="256"/>
      <c r="M657" s="256"/>
      <c r="N657" s="256"/>
      <c r="O657" s="256"/>
      <c r="P657" s="256"/>
      <c r="Q657" s="256"/>
      <c r="R657" s="256"/>
      <c r="S657" s="256"/>
      <c r="T657" s="256"/>
      <c r="U657" s="256"/>
      <c r="V657" s="256"/>
      <c r="W657" s="256"/>
      <c r="X657" s="256"/>
      <c r="Y657" s="256"/>
      <c r="Z657" s="256"/>
    </row>
    <row r="658">
      <c r="A658" s="256"/>
      <c r="B658" s="256"/>
      <c r="C658" s="256"/>
      <c r="D658" s="256"/>
      <c r="E658" s="256"/>
      <c r="F658" s="310"/>
      <c r="G658" s="256"/>
      <c r="H658" s="256"/>
      <c r="I658" s="256"/>
      <c r="J658" s="256"/>
      <c r="K658" s="256"/>
      <c r="L658" s="256"/>
      <c r="M658" s="256"/>
      <c r="N658" s="256"/>
      <c r="O658" s="256"/>
      <c r="P658" s="256"/>
      <c r="Q658" s="256"/>
      <c r="R658" s="256"/>
      <c r="S658" s="256"/>
      <c r="T658" s="256"/>
      <c r="U658" s="256"/>
      <c r="V658" s="256"/>
      <c r="W658" s="256"/>
      <c r="X658" s="256"/>
      <c r="Y658" s="256"/>
      <c r="Z658" s="256"/>
    </row>
    <row r="659">
      <c r="A659" s="256"/>
      <c r="B659" s="256"/>
      <c r="C659" s="256"/>
      <c r="D659" s="256"/>
      <c r="E659" s="256"/>
      <c r="F659" s="310"/>
      <c r="G659" s="256"/>
      <c r="H659" s="256"/>
      <c r="I659" s="256"/>
      <c r="J659" s="256"/>
      <c r="K659" s="256"/>
      <c r="L659" s="256"/>
      <c r="M659" s="256"/>
      <c r="N659" s="256"/>
      <c r="O659" s="256"/>
      <c r="P659" s="256"/>
      <c r="Q659" s="256"/>
      <c r="R659" s="256"/>
      <c r="S659" s="256"/>
      <c r="T659" s="256"/>
      <c r="U659" s="256"/>
      <c r="V659" s="256"/>
      <c r="W659" s="256"/>
      <c r="X659" s="256"/>
      <c r="Y659" s="256"/>
      <c r="Z659" s="256"/>
    </row>
    <row r="660">
      <c r="A660" s="256"/>
      <c r="B660" s="256"/>
      <c r="C660" s="256"/>
      <c r="D660" s="256"/>
      <c r="E660" s="256"/>
      <c r="F660" s="310"/>
      <c r="G660" s="256"/>
      <c r="H660" s="256"/>
      <c r="I660" s="256"/>
      <c r="J660" s="256"/>
      <c r="K660" s="256"/>
      <c r="L660" s="256"/>
      <c r="M660" s="256"/>
      <c r="N660" s="256"/>
      <c r="O660" s="256"/>
      <c r="P660" s="256"/>
      <c r="Q660" s="256"/>
      <c r="R660" s="256"/>
      <c r="S660" s="256"/>
      <c r="T660" s="256"/>
      <c r="U660" s="256"/>
      <c r="V660" s="256"/>
      <c r="W660" s="256"/>
      <c r="X660" s="256"/>
      <c r="Y660" s="256"/>
      <c r="Z660" s="256"/>
    </row>
    <row r="661">
      <c r="A661" s="256"/>
      <c r="B661" s="256"/>
      <c r="C661" s="256"/>
      <c r="D661" s="256"/>
      <c r="E661" s="256"/>
      <c r="F661" s="310"/>
      <c r="G661" s="256"/>
      <c r="H661" s="256"/>
      <c r="I661" s="256"/>
      <c r="J661" s="256"/>
      <c r="K661" s="256"/>
      <c r="L661" s="256"/>
      <c r="M661" s="256"/>
      <c r="N661" s="256"/>
      <c r="O661" s="256"/>
      <c r="P661" s="256"/>
      <c r="Q661" s="256"/>
      <c r="R661" s="256"/>
      <c r="S661" s="256"/>
      <c r="T661" s="256"/>
      <c r="U661" s="256"/>
      <c r="V661" s="256"/>
      <c r="W661" s="256"/>
      <c r="X661" s="256"/>
      <c r="Y661" s="256"/>
      <c r="Z661" s="256"/>
    </row>
    <row r="662">
      <c r="A662" s="256"/>
      <c r="B662" s="256"/>
      <c r="C662" s="256"/>
      <c r="D662" s="256"/>
      <c r="E662" s="256"/>
      <c r="F662" s="310"/>
      <c r="G662" s="256"/>
      <c r="H662" s="256"/>
      <c r="I662" s="256"/>
      <c r="J662" s="256"/>
      <c r="K662" s="256"/>
      <c r="L662" s="256"/>
      <c r="M662" s="256"/>
      <c r="N662" s="256"/>
      <c r="O662" s="256"/>
      <c r="P662" s="256"/>
      <c r="Q662" s="256"/>
      <c r="R662" s="256"/>
      <c r="S662" s="256"/>
      <c r="T662" s="256"/>
      <c r="U662" s="256"/>
      <c r="V662" s="256"/>
      <c r="W662" s="256"/>
      <c r="X662" s="256"/>
      <c r="Y662" s="256"/>
      <c r="Z662" s="256"/>
    </row>
    <row r="663">
      <c r="A663" s="256"/>
      <c r="B663" s="256"/>
      <c r="C663" s="256"/>
      <c r="D663" s="256"/>
      <c r="E663" s="256"/>
      <c r="F663" s="310"/>
      <c r="G663" s="256"/>
      <c r="H663" s="256"/>
      <c r="I663" s="256"/>
      <c r="J663" s="256"/>
      <c r="K663" s="256"/>
      <c r="L663" s="256"/>
      <c r="M663" s="256"/>
      <c r="N663" s="256"/>
      <c r="O663" s="256"/>
      <c r="P663" s="256"/>
      <c r="Q663" s="256"/>
      <c r="R663" s="256"/>
      <c r="S663" s="256"/>
      <c r="T663" s="256"/>
      <c r="U663" s="256"/>
      <c r="V663" s="256"/>
      <c r="W663" s="256"/>
      <c r="X663" s="256"/>
      <c r="Y663" s="256"/>
      <c r="Z663" s="256"/>
    </row>
    <row r="664">
      <c r="A664" s="256"/>
      <c r="B664" s="256"/>
      <c r="C664" s="256"/>
      <c r="D664" s="256"/>
      <c r="E664" s="256"/>
      <c r="F664" s="310"/>
      <c r="G664" s="256"/>
      <c r="H664" s="256"/>
      <c r="I664" s="256"/>
      <c r="J664" s="256"/>
      <c r="K664" s="256"/>
      <c r="L664" s="256"/>
      <c r="M664" s="256"/>
      <c r="N664" s="256"/>
      <c r="O664" s="256"/>
      <c r="P664" s="256"/>
      <c r="Q664" s="256"/>
      <c r="R664" s="256"/>
      <c r="S664" s="256"/>
      <c r="T664" s="256"/>
      <c r="U664" s="256"/>
      <c r="V664" s="256"/>
      <c r="W664" s="256"/>
      <c r="X664" s="256"/>
      <c r="Y664" s="256"/>
      <c r="Z664" s="256"/>
    </row>
    <row r="665">
      <c r="A665" s="256"/>
      <c r="B665" s="256"/>
      <c r="C665" s="256"/>
      <c r="D665" s="256"/>
      <c r="E665" s="256"/>
      <c r="F665" s="310"/>
      <c r="G665" s="256"/>
      <c r="H665" s="256"/>
      <c r="I665" s="256"/>
      <c r="J665" s="256"/>
      <c r="K665" s="256"/>
      <c r="L665" s="256"/>
      <c r="M665" s="256"/>
      <c r="N665" s="256"/>
      <c r="O665" s="256"/>
      <c r="P665" s="256"/>
      <c r="Q665" s="256"/>
      <c r="R665" s="256"/>
      <c r="S665" s="256"/>
      <c r="T665" s="256"/>
      <c r="U665" s="256"/>
      <c r="V665" s="256"/>
      <c r="W665" s="256"/>
      <c r="X665" s="256"/>
      <c r="Y665" s="256"/>
      <c r="Z665" s="256"/>
    </row>
    <row r="666">
      <c r="A666" s="256"/>
      <c r="B666" s="256"/>
      <c r="C666" s="256"/>
      <c r="D666" s="256"/>
      <c r="E666" s="256"/>
      <c r="F666" s="310"/>
      <c r="G666" s="256"/>
      <c r="H666" s="256"/>
      <c r="I666" s="256"/>
      <c r="J666" s="256"/>
      <c r="K666" s="256"/>
      <c r="L666" s="256"/>
      <c r="M666" s="256"/>
      <c r="N666" s="256"/>
      <c r="O666" s="256"/>
      <c r="P666" s="256"/>
      <c r="Q666" s="256"/>
      <c r="R666" s="256"/>
      <c r="S666" s="256"/>
      <c r="T666" s="256"/>
      <c r="U666" s="256"/>
      <c r="V666" s="256"/>
      <c r="W666" s="256"/>
      <c r="X666" s="256"/>
      <c r="Y666" s="256"/>
      <c r="Z666" s="256"/>
    </row>
    <row r="667">
      <c r="A667" s="256"/>
      <c r="B667" s="256"/>
      <c r="C667" s="256"/>
      <c r="D667" s="256"/>
      <c r="E667" s="256"/>
      <c r="F667" s="310"/>
      <c r="G667" s="256"/>
      <c r="H667" s="256"/>
      <c r="I667" s="256"/>
      <c r="J667" s="256"/>
      <c r="K667" s="256"/>
      <c r="L667" s="256"/>
      <c r="M667" s="256"/>
      <c r="N667" s="256"/>
      <c r="O667" s="256"/>
      <c r="P667" s="256"/>
      <c r="Q667" s="256"/>
      <c r="R667" s="256"/>
      <c r="S667" s="256"/>
      <c r="T667" s="256"/>
      <c r="U667" s="256"/>
      <c r="V667" s="256"/>
      <c r="W667" s="256"/>
      <c r="X667" s="256"/>
      <c r="Y667" s="256"/>
      <c r="Z667" s="256"/>
    </row>
    <row r="668">
      <c r="A668" s="256"/>
      <c r="B668" s="256"/>
      <c r="C668" s="256"/>
      <c r="D668" s="256"/>
      <c r="E668" s="256"/>
      <c r="F668" s="310"/>
      <c r="G668" s="256"/>
      <c r="H668" s="256"/>
      <c r="I668" s="256"/>
      <c r="J668" s="256"/>
      <c r="K668" s="256"/>
      <c r="L668" s="256"/>
      <c r="M668" s="256"/>
      <c r="N668" s="256"/>
      <c r="O668" s="256"/>
      <c r="P668" s="256"/>
      <c r="Q668" s="256"/>
      <c r="R668" s="256"/>
      <c r="S668" s="256"/>
      <c r="T668" s="256"/>
      <c r="U668" s="256"/>
      <c r="V668" s="256"/>
      <c r="W668" s="256"/>
      <c r="X668" s="256"/>
      <c r="Y668" s="256"/>
      <c r="Z668" s="256"/>
    </row>
    <row r="669">
      <c r="A669" s="256"/>
      <c r="B669" s="256"/>
      <c r="C669" s="256"/>
      <c r="D669" s="256"/>
      <c r="E669" s="256"/>
      <c r="F669" s="310"/>
      <c r="G669" s="256"/>
      <c r="H669" s="256"/>
      <c r="I669" s="256"/>
      <c r="J669" s="256"/>
      <c r="K669" s="256"/>
      <c r="L669" s="256"/>
      <c r="M669" s="256"/>
      <c r="N669" s="256"/>
      <c r="O669" s="256"/>
      <c r="P669" s="256"/>
      <c r="Q669" s="256"/>
      <c r="R669" s="256"/>
      <c r="S669" s="256"/>
      <c r="T669" s="256"/>
      <c r="U669" s="256"/>
      <c r="V669" s="256"/>
      <c r="W669" s="256"/>
      <c r="X669" s="256"/>
      <c r="Y669" s="256"/>
      <c r="Z669" s="256"/>
    </row>
    <row r="670">
      <c r="A670" s="256"/>
      <c r="B670" s="256"/>
      <c r="C670" s="256"/>
      <c r="D670" s="256"/>
      <c r="E670" s="256"/>
      <c r="F670" s="310"/>
      <c r="G670" s="256"/>
      <c r="H670" s="256"/>
      <c r="I670" s="256"/>
      <c r="J670" s="256"/>
      <c r="K670" s="256"/>
      <c r="L670" s="256"/>
      <c r="M670" s="256"/>
      <c r="N670" s="256"/>
      <c r="O670" s="256"/>
      <c r="P670" s="256"/>
      <c r="Q670" s="256"/>
      <c r="R670" s="256"/>
      <c r="S670" s="256"/>
      <c r="T670" s="256"/>
      <c r="U670" s="256"/>
      <c r="V670" s="256"/>
      <c r="W670" s="256"/>
      <c r="X670" s="256"/>
      <c r="Y670" s="256"/>
      <c r="Z670" s="256"/>
    </row>
    <row r="671">
      <c r="A671" s="256"/>
      <c r="B671" s="256"/>
      <c r="C671" s="256"/>
      <c r="D671" s="256"/>
      <c r="E671" s="256"/>
      <c r="F671" s="310"/>
      <c r="G671" s="256"/>
      <c r="H671" s="256"/>
      <c r="I671" s="256"/>
      <c r="J671" s="256"/>
      <c r="K671" s="256"/>
      <c r="L671" s="256"/>
      <c r="M671" s="256"/>
      <c r="N671" s="256"/>
      <c r="O671" s="256"/>
      <c r="P671" s="256"/>
      <c r="Q671" s="256"/>
      <c r="R671" s="256"/>
      <c r="S671" s="256"/>
      <c r="T671" s="256"/>
      <c r="U671" s="256"/>
      <c r="V671" s="256"/>
      <c r="W671" s="256"/>
      <c r="X671" s="256"/>
      <c r="Y671" s="256"/>
      <c r="Z671" s="256"/>
    </row>
    <row r="672">
      <c r="A672" s="256"/>
      <c r="B672" s="256"/>
      <c r="C672" s="256"/>
      <c r="D672" s="256"/>
      <c r="E672" s="256"/>
      <c r="F672" s="310"/>
      <c r="G672" s="256"/>
      <c r="H672" s="256"/>
      <c r="I672" s="256"/>
      <c r="J672" s="256"/>
      <c r="K672" s="256"/>
      <c r="L672" s="256"/>
      <c r="M672" s="256"/>
      <c r="N672" s="256"/>
      <c r="O672" s="256"/>
      <c r="P672" s="256"/>
      <c r="Q672" s="256"/>
      <c r="R672" s="256"/>
      <c r="S672" s="256"/>
      <c r="T672" s="256"/>
      <c r="U672" s="256"/>
      <c r="V672" s="256"/>
      <c r="W672" s="256"/>
      <c r="X672" s="256"/>
      <c r="Y672" s="256"/>
      <c r="Z672" s="256"/>
    </row>
    <row r="673">
      <c r="A673" s="256"/>
      <c r="B673" s="256"/>
      <c r="C673" s="256"/>
      <c r="D673" s="256"/>
      <c r="E673" s="256"/>
      <c r="F673" s="310"/>
      <c r="G673" s="256"/>
      <c r="H673" s="256"/>
      <c r="I673" s="256"/>
      <c r="J673" s="256"/>
      <c r="K673" s="256"/>
      <c r="L673" s="256"/>
      <c r="M673" s="256"/>
      <c r="N673" s="256"/>
      <c r="O673" s="256"/>
      <c r="P673" s="256"/>
      <c r="Q673" s="256"/>
      <c r="R673" s="256"/>
      <c r="S673" s="256"/>
      <c r="T673" s="256"/>
      <c r="U673" s="256"/>
      <c r="V673" s="256"/>
      <c r="W673" s="256"/>
      <c r="X673" s="256"/>
      <c r="Y673" s="256"/>
      <c r="Z673" s="256"/>
    </row>
    <row r="674">
      <c r="A674" s="256"/>
      <c r="B674" s="256"/>
      <c r="C674" s="256"/>
      <c r="D674" s="256"/>
      <c r="E674" s="256"/>
      <c r="F674" s="310"/>
      <c r="G674" s="256"/>
      <c r="H674" s="256"/>
      <c r="I674" s="256"/>
      <c r="J674" s="256"/>
      <c r="K674" s="256"/>
      <c r="L674" s="256"/>
      <c r="M674" s="256"/>
      <c r="N674" s="256"/>
      <c r="O674" s="256"/>
      <c r="P674" s="256"/>
      <c r="Q674" s="256"/>
      <c r="R674" s="256"/>
      <c r="S674" s="256"/>
      <c r="T674" s="256"/>
      <c r="U674" s="256"/>
      <c r="V674" s="256"/>
      <c r="W674" s="256"/>
      <c r="X674" s="256"/>
      <c r="Y674" s="256"/>
      <c r="Z674" s="256"/>
    </row>
    <row r="675">
      <c r="A675" s="256"/>
      <c r="B675" s="256"/>
      <c r="C675" s="256"/>
      <c r="D675" s="256"/>
      <c r="E675" s="256"/>
      <c r="F675" s="310"/>
      <c r="G675" s="256"/>
      <c r="H675" s="256"/>
      <c r="I675" s="256"/>
      <c r="J675" s="256"/>
      <c r="K675" s="256"/>
      <c r="L675" s="256"/>
      <c r="M675" s="256"/>
      <c r="N675" s="256"/>
      <c r="O675" s="256"/>
      <c r="P675" s="256"/>
      <c r="Q675" s="256"/>
      <c r="R675" s="256"/>
      <c r="S675" s="256"/>
      <c r="T675" s="256"/>
      <c r="U675" s="256"/>
      <c r="V675" s="256"/>
      <c r="W675" s="256"/>
      <c r="X675" s="256"/>
      <c r="Y675" s="256"/>
      <c r="Z675" s="256"/>
    </row>
    <row r="676">
      <c r="A676" s="256"/>
      <c r="B676" s="256"/>
      <c r="C676" s="256"/>
      <c r="D676" s="256"/>
      <c r="E676" s="256"/>
      <c r="F676" s="310"/>
      <c r="G676" s="256"/>
      <c r="H676" s="256"/>
      <c r="I676" s="256"/>
      <c r="J676" s="256"/>
      <c r="K676" s="256"/>
      <c r="L676" s="256"/>
      <c r="M676" s="256"/>
      <c r="N676" s="256"/>
      <c r="O676" s="256"/>
      <c r="P676" s="256"/>
      <c r="Q676" s="256"/>
      <c r="R676" s="256"/>
      <c r="S676" s="256"/>
      <c r="T676" s="256"/>
      <c r="U676" s="256"/>
      <c r="V676" s="256"/>
      <c r="W676" s="256"/>
      <c r="X676" s="256"/>
      <c r="Y676" s="256"/>
      <c r="Z676" s="256"/>
    </row>
    <row r="677">
      <c r="A677" s="256"/>
      <c r="B677" s="256"/>
      <c r="C677" s="256"/>
      <c r="D677" s="256"/>
      <c r="E677" s="256"/>
      <c r="F677" s="310"/>
      <c r="G677" s="256"/>
      <c r="H677" s="256"/>
      <c r="I677" s="256"/>
      <c r="J677" s="256"/>
      <c r="K677" s="256"/>
      <c r="L677" s="256"/>
      <c r="M677" s="256"/>
      <c r="N677" s="256"/>
      <c r="O677" s="256"/>
      <c r="P677" s="256"/>
      <c r="Q677" s="256"/>
      <c r="R677" s="256"/>
      <c r="S677" s="256"/>
      <c r="T677" s="256"/>
      <c r="U677" s="256"/>
      <c r="V677" s="256"/>
      <c r="W677" s="256"/>
      <c r="X677" s="256"/>
      <c r="Y677" s="256"/>
      <c r="Z677" s="256"/>
    </row>
    <row r="678">
      <c r="A678" s="256"/>
      <c r="B678" s="256"/>
      <c r="C678" s="256"/>
      <c r="D678" s="256"/>
      <c r="E678" s="256"/>
      <c r="F678" s="310"/>
      <c r="G678" s="256"/>
      <c r="H678" s="256"/>
      <c r="I678" s="256"/>
      <c r="J678" s="256"/>
      <c r="K678" s="256"/>
      <c r="L678" s="256"/>
      <c r="M678" s="256"/>
      <c r="N678" s="256"/>
      <c r="O678" s="256"/>
      <c r="P678" s="256"/>
      <c r="Q678" s="256"/>
      <c r="R678" s="256"/>
      <c r="S678" s="256"/>
      <c r="T678" s="256"/>
      <c r="U678" s="256"/>
      <c r="V678" s="256"/>
      <c r="W678" s="256"/>
      <c r="X678" s="256"/>
      <c r="Y678" s="256"/>
      <c r="Z678" s="256"/>
    </row>
    <row r="679">
      <c r="A679" s="256"/>
      <c r="B679" s="256"/>
      <c r="C679" s="256"/>
      <c r="D679" s="256"/>
      <c r="E679" s="256"/>
      <c r="F679" s="310"/>
      <c r="G679" s="256"/>
      <c r="H679" s="256"/>
      <c r="I679" s="256"/>
      <c r="J679" s="256"/>
      <c r="K679" s="256"/>
      <c r="L679" s="256"/>
      <c r="M679" s="256"/>
      <c r="N679" s="256"/>
      <c r="O679" s="256"/>
      <c r="P679" s="256"/>
      <c r="Q679" s="256"/>
      <c r="R679" s="256"/>
      <c r="S679" s="256"/>
      <c r="T679" s="256"/>
      <c r="U679" s="256"/>
      <c r="V679" s="256"/>
      <c r="W679" s="256"/>
      <c r="X679" s="256"/>
      <c r="Y679" s="256"/>
      <c r="Z679" s="256"/>
    </row>
    <row r="680">
      <c r="A680" s="256"/>
      <c r="B680" s="256"/>
      <c r="C680" s="256"/>
      <c r="D680" s="256"/>
      <c r="E680" s="256"/>
      <c r="F680" s="310"/>
      <c r="G680" s="256"/>
      <c r="H680" s="256"/>
      <c r="I680" s="256"/>
      <c r="J680" s="256"/>
      <c r="K680" s="256"/>
      <c r="L680" s="256"/>
      <c r="M680" s="256"/>
      <c r="N680" s="256"/>
      <c r="O680" s="256"/>
      <c r="P680" s="256"/>
      <c r="Q680" s="256"/>
      <c r="R680" s="256"/>
      <c r="S680" s="256"/>
      <c r="T680" s="256"/>
      <c r="U680" s="256"/>
      <c r="V680" s="256"/>
      <c r="W680" s="256"/>
      <c r="X680" s="256"/>
      <c r="Y680" s="256"/>
      <c r="Z680" s="256"/>
    </row>
    <row r="681">
      <c r="A681" s="256"/>
      <c r="B681" s="256"/>
      <c r="C681" s="256"/>
      <c r="D681" s="256"/>
      <c r="E681" s="256"/>
      <c r="F681" s="310"/>
      <c r="G681" s="256"/>
      <c r="H681" s="256"/>
      <c r="I681" s="256"/>
      <c r="J681" s="256"/>
      <c r="K681" s="256"/>
      <c r="L681" s="256"/>
      <c r="M681" s="256"/>
      <c r="N681" s="256"/>
      <c r="O681" s="256"/>
      <c r="P681" s="256"/>
      <c r="Q681" s="256"/>
      <c r="R681" s="256"/>
      <c r="S681" s="256"/>
      <c r="T681" s="256"/>
      <c r="U681" s="256"/>
      <c r="V681" s="256"/>
      <c r="W681" s="256"/>
      <c r="X681" s="256"/>
      <c r="Y681" s="256"/>
      <c r="Z681" s="256"/>
    </row>
    <row r="682">
      <c r="A682" s="256"/>
      <c r="B682" s="256"/>
      <c r="C682" s="256"/>
      <c r="D682" s="256"/>
      <c r="E682" s="256"/>
      <c r="F682" s="310"/>
      <c r="G682" s="256"/>
      <c r="H682" s="256"/>
      <c r="I682" s="256"/>
      <c r="J682" s="256"/>
      <c r="K682" s="256"/>
      <c r="L682" s="256"/>
      <c r="M682" s="256"/>
      <c r="N682" s="256"/>
      <c r="O682" s="256"/>
      <c r="P682" s="256"/>
      <c r="Q682" s="256"/>
      <c r="R682" s="256"/>
      <c r="S682" s="256"/>
      <c r="T682" s="256"/>
      <c r="U682" s="256"/>
      <c r="V682" s="256"/>
      <c r="W682" s="256"/>
      <c r="X682" s="256"/>
      <c r="Y682" s="256"/>
      <c r="Z682" s="256"/>
    </row>
    <row r="683">
      <c r="A683" s="256"/>
      <c r="B683" s="256"/>
      <c r="C683" s="256"/>
      <c r="D683" s="256"/>
      <c r="E683" s="256"/>
      <c r="F683" s="310"/>
      <c r="G683" s="256"/>
      <c r="H683" s="256"/>
      <c r="I683" s="256"/>
      <c r="J683" s="256"/>
      <c r="K683" s="256"/>
      <c r="L683" s="256"/>
      <c r="M683" s="256"/>
      <c r="N683" s="256"/>
      <c r="O683" s="256"/>
      <c r="P683" s="256"/>
      <c r="Q683" s="256"/>
      <c r="R683" s="256"/>
      <c r="S683" s="256"/>
      <c r="T683" s="256"/>
      <c r="U683" s="256"/>
      <c r="V683" s="256"/>
      <c r="W683" s="256"/>
      <c r="X683" s="256"/>
      <c r="Y683" s="256"/>
      <c r="Z683" s="256"/>
    </row>
    <row r="684">
      <c r="A684" s="256"/>
      <c r="B684" s="256"/>
      <c r="C684" s="256"/>
      <c r="D684" s="256"/>
      <c r="E684" s="256"/>
      <c r="F684" s="310"/>
      <c r="G684" s="256"/>
      <c r="H684" s="256"/>
      <c r="I684" s="256"/>
      <c r="J684" s="256"/>
      <c r="K684" s="256"/>
      <c r="L684" s="256"/>
      <c r="M684" s="256"/>
      <c r="N684" s="256"/>
      <c r="O684" s="256"/>
      <c r="P684" s="256"/>
      <c r="Q684" s="256"/>
      <c r="R684" s="256"/>
      <c r="S684" s="256"/>
      <c r="T684" s="256"/>
      <c r="U684" s="256"/>
      <c r="V684" s="256"/>
      <c r="W684" s="256"/>
      <c r="X684" s="256"/>
      <c r="Y684" s="256"/>
      <c r="Z684" s="256"/>
    </row>
    <row r="685">
      <c r="A685" s="256"/>
      <c r="B685" s="256"/>
      <c r="C685" s="256"/>
      <c r="D685" s="256"/>
      <c r="E685" s="256"/>
      <c r="F685" s="310"/>
      <c r="G685" s="256"/>
      <c r="H685" s="256"/>
      <c r="I685" s="256"/>
      <c r="J685" s="256"/>
      <c r="K685" s="256"/>
      <c r="L685" s="256"/>
      <c r="M685" s="256"/>
      <c r="N685" s="256"/>
      <c r="O685" s="256"/>
      <c r="P685" s="256"/>
      <c r="Q685" s="256"/>
      <c r="R685" s="256"/>
      <c r="S685" s="256"/>
      <c r="T685" s="256"/>
      <c r="U685" s="256"/>
      <c r="V685" s="256"/>
      <c r="W685" s="256"/>
      <c r="X685" s="256"/>
      <c r="Y685" s="256"/>
      <c r="Z685" s="256"/>
    </row>
    <row r="686">
      <c r="A686" s="256"/>
      <c r="B686" s="256"/>
      <c r="C686" s="256"/>
      <c r="D686" s="256"/>
      <c r="E686" s="256"/>
      <c r="F686" s="310"/>
      <c r="G686" s="256"/>
      <c r="H686" s="256"/>
      <c r="I686" s="256"/>
      <c r="J686" s="256"/>
      <c r="K686" s="256"/>
      <c r="L686" s="256"/>
      <c r="M686" s="256"/>
      <c r="N686" s="256"/>
      <c r="O686" s="256"/>
      <c r="P686" s="256"/>
      <c r="Q686" s="256"/>
      <c r="R686" s="256"/>
      <c r="S686" s="256"/>
      <c r="T686" s="256"/>
      <c r="U686" s="256"/>
      <c r="V686" s="256"/>
      <c r="W686" s="256"/>
      <c r="X686" s="256"/>
      <c r="Y686" s="256"/>
      <c r="Z686" s="256"/>
    </row>
    <row r="687">
      <c r="A687" s="256"/>
      <c r="B687" s="256"/>
      <c r="C687" s="256"/>
      <c r="D687" s="256"/>
      <c r="E687" s="256"/>
      <c r="F687" s="310"/>
      <c r="G687" s="256"/>
      <c r="H687" s="256"/>
      <c r="I687" s="256"/>
      <c r="J687" s="256"/>
      <c r="K687" s="256"/>
      <c r="L687" s="256"/>
      <c r="M687" s="256"/>
      <c r="N687" s="256"/>
      <c r="O687" s="256"/>
      <c r="P687" s="256"/>
      <c r="Q687" s="256"/>
      <c r="R687" s="256"/>
      <c r="S687" s="256"/>
      <c r="T687" s="256"/>
      <c r="U687" s="256"/>
      <c r="V687" s="256"/>
      <c r="W687" s="256"/>
      <c r="X687" s="256"/>
      <c r="Y687" s="256"/>
      <c r="Z687" s="256"/>
    </row>
    <row r="688">
      <c r="A688" s="256"/>
      <c r="B688" s="256"/>
      <c r="C688" s="256"/>
      <c r="D688" s="256"/>
      <c r="E688" s="256"/>
      <c r="F688" s="310"/>
      <c r="G688" s="256"/>
      <c r="H688" s="256"/>
      <c r="I688" s="256"/>
      <c r="J688" s="256"/>
      <c r="K688" s="256"/>
      <c r="L688" s="256"/>
      <c r="M688" s="256"/>
      <c r="N688" s="256"/>
      <c r="O688" s="256"/>
      <c r="P688" s="256"/>
      <c r="Q688" s="256"/>
      <c r="R688" s="256"/>
      <c r="S688" s="256"/>
      <c r="T688" s="256"/>
      <c r="U688" s="256"/>
      <c r="V688" s="256"/>
      <c r="W688" s="256"/>
      <c r="X688" s="256"/>
      <c r="Y688" s="256"/>
      <c r="Z688" s="256"/>
    </row>
    <row r="689">
      <c r="A689" s="256"/>
      <c r="B689" s="256"/>
      <c r="C689" s="256"/>
      <c r="D689" s="256"/>
      <c r="E689" s="256"/>
      <c r="F689" s="310"/>
      <c r="G689" s="256"/>
      <c r="H689" s="256"/>
      <c r="I689" s="256"/>
      <c r="J689" s="256"/>
      <c r="K689" s="256"/>
      <c r="L689" s="256"/>
      <c r="M689" s="256"/>
      <c r="N689" s="256"/>
      <c r="O689" s="256"/>
      <c r="P689" s="256"/>
      <c r="Q689" s="256"/>
      <c r="R689" s="256"/>
      <c r="S689" s="256"/>
      <c r="T689" s="256"/>
      <c r="U689" s="256"/>
      <c r="V689" s="256"/>
      <c r="W689" s="256"/>
      <c r="X689" s="256"/>
      <c r="Y689" s="256"/>
      <c r="Z689" s="256"/>
    </row>
    <row r="690">
      <c r="A690" s="256"/>
      <c r="B690" s="256"/>
      <c r="C690" s="256"/>
      <c r="D690" s="256"/>
      <c r="E690" s="256"/>
      <c r="F690" s="310"/>
      <c r="G690" s="256"/>
      <c r="H690" s="256"/>
      <c r="I690" s="256"/>
      <c r="J690" s="256"/>
      <c r="K690" s="256"/>
      <c r="L690" s="256"/>
      <c r="M690" s="256"/>
      <c r="N690" s="256"/>
      <c r="O690" s="256"/>
      <c r="P690" s="256"/>
      <c r="Q690" s="256"/>
      <c r="R690" s="256"/>
      <c r="S690" s="256"/>
      <c r="T690" s="256"/>
      <c r="U690" s="256"/>
      <c r="V690" s="256"/>
      <c r="W690" s="256"/>
      <c r="X690" s="256"/>
      <c r="Y690" s="256"/>
      <c r="Z690" s="256"/>
    </row>
    <row r="691">
      <c r="A691" s="256"/>
      <c r="B691" s="256"/>
      <c r="C691" s="256"/>
      <c r="D691" s="256"/>
      <c r="E691" s="256"/>
      <c r="F691" s="310"/>
      <c r="G691" s="256"/>
      <c r="H691" s="256"/>
      <c r="I691" s="256"/>
      <c r="J691" s="256"/>
      <c r="K691" s="256"/>
      <c r="L691" s="256"/>
      <c r="M691" s="256"/>
      <c r="N691" s="256"/>
      <c r="O691" s="256"/>
      <c r="P691" s="256"/>
      <c r="Q691" s="256"/>
      <c r="R691" s="256"/>
      <c r="S691" s="256"/>
      <c r="T691" s="256"/>
      <c r="U691" s="256"/>
      <c r="V691" s="256"/>
      <c r="W691" s="256"/>
      <c r="X691" s="256"/>
      <c r="Y691" s="256"/>
      <c r="Z691" s="256"/>
    </row>
    <row r="692">
      <c r="A692" s="256"/>
      <c r="B692" s="256"/>
      <c r="C692" s="256"/>
      <c r="D692" s="256"/>
      <c r="E692" s="256"/>
      <c r="F692" s="310"/>
      <c r="G692" s="256"/>
      <c r="H692" s="256"/>
      <c r="I692" s="256"/>
      <c r="J692" s="256"/>
      <c r="K692" s="256"/>
      <c r="L692" s="256"/>
      <c r="M692" s="256"/>
      <c r="N692" s="256"/>
      <c r="O692" s="256"/>
      <c r="P692" s="256"/>
      <c r="Q692" s="256"/>
      <c r="R692" s="256"/>
      <c r="S692" s="256"/>
      <c r="T692" s="256"/>
      <c r="U692" s="256"/>
      <c r="V692" s="256"/>
      <c r="W692" s="256"/>
      <c r="X692" s="256"/>
      <c r="Y692" s="256"/>
      <c r="Z692" s="256"/>
    </row>
    <row r="693">
      <c r="A693" s="256"/>
      <c r="B693" s="256"/>
      <c r="C693" s="256"/>
      <c r="D693" s="256"/>
      <c r="E693" s="256"/>
      <c r="F693" s="310"/>
      <c r="G693" s="256"/>
      <c r="H693" s="256"/>
      <c r="I693" s="256"/>
      <c r="J693" s="256"/>
      <c r="K693" s="256"/>
      <c r="L693" s="256"/>
      <c r="M693" s="256"/>
      <c r="N693" s="256"/>
      <c r="O693" s="256"/>
      <c r="P693" s="256"/>
      <c r="Q693" s="256"/>
      <c r="R693" s="256"/>
      <c r="S693" s="256"/>
      <c r="T693" s="256"/>
      <c r="U693" s="256"/>
      <c r="V693" s="256"/>
      <c r="W693" s="256"/>
      <c r="X693" s="256"/>
      <c r="Y693" s="256"/>
      <c r="Z693" s="256"/>
    </row>
    <row r="694">
      <c r="A694" s="256"/>
      <c r="B694" s="256"/>
      <c r="C694" s="256"/>
      <c r="D694" s="256"/>
      <c r="E694" s="256"/>
      <c r="F694" s="310"/>
      <c r="G694" s="256"/>
      <c r="H694" s="256"/>
      <c r="I694" s="256"/>
      <c r="J694" s="256"/>
      <c r="K694" s="256"/>
      <c r="L694" s="256"/>
      <c r="M694" s="256"/>
      <c r="N694" s="256"/>
      <c r="O694" s="256"/>
      <c r="P694" s="256"/>
      <c r="Q694" s="256"/>
      <c r="R694" s="256"/>
      <c r="S694" s="256"/>
      <c r="T694" s="256"/>
      <c r="U694" s="256"/>
      <c r="V694" s="256"/>
      <c r="W694" s="256"/>
      <c r="X694" s="256"/>
      <c r="Y694" s="256"/>
      <c r="Z694" s="256"/>
    </row>
    <row r="695">
      <c r="A695" s="256"/>
      <c r="B695" s="256"/>
      <c r="C695" s="256"/>
      <c r="D695" s="256"/>
      <c r="E695" s="256"/>
      <c r="F695" s="310"/>
      <c r="G695" s="256"/>
      <c r="H695" s="256"/>
      <c r="I695" s="256"/>
      <c r="J695" s="256"/>
      <c r="K695" s="256"/>
      <c r="L695" s="256"/>
      <c r="M695" s="256"/>
      <c r="N695" s="256"/>
      <c r="O695" s="256"/>
      <c r="P695" s="256"/>
      <c r="Q695" s="256"/>
      <c r="R695" s="256"/>
      <c r="S695" s="256"/>
      <c r="T695" s="256"/>
      <c r="U695" s="256"/>
      <c r="V695" s="256"/>
      <c r="W695" s="256"/>
      <c r="X695" s="256"/>
      <c r="Y695" s="256"/>
      <c r="Z695" s="256"/>
    </row>
    <row r="696">
      <c r="A696" s="256"/>
      <c r="B696" s="256"/>
      <c r="C696" s="256"/>
      <c r="D696" s="256"/>
      <c r="E696" s="256"/>
      <c r="F696" s="310"/>
      <c r="G696" s="256"/>
      <c r="H696" s="256"/>
      <c r="I696" s="256"/>
      <c r="J696" s="256"/>
      <c r="K696" s="256"/>
      <c r="L696" s="256"/>
      <c r="M696" s="256"/>
      <c r="N696" s="256"/>
      <c r="O696" s="256"/>
      <c r="P696" s="256"/>
      <c r="Q696" s="256"/>
      <c r="R696" s="256"/>
      <c r="S696" s="256"/>
      <c r="T696" s="256"/>
      <c r="U696" s="256"/>
      <c r="V696" s="256"/>
      <c r="W696" s="256"/>
      <c r="X696" s="256"/>
      <c r="Y696" s="256"/>
      <c r="Z696" s="256"/>
    </row>
    <row r="697">
      <c r="A697" s="256"/>
      <c r="B697" s="256"/>
      <c r="C697" s="256"/>
      <c r="D697" s="256"/>
      <c r="E697" s="256"/>
      <c r="F697" s="310"/>
      <c r="G697" s="256"/>
      <c r="H697" s="256"/>
      <c r="I697" s="256"/>
      <c r="J697" s="256"/>
      <c r="K697" s="256"/>
      <c r="L697" s="256"/>
      <c r="M697" s="256"/>
      <c r="N697" s="256"/>
      <c r="O697" s="256"/>
      <c r="P697" s="256"/>
      <c r="Q697" s="256"/>
      <c r="R697" s="256"/>
      <c r="S697" s="256"/>
      <c r="T697" s="256"/>
      <c r="U697" s="256"/>
      <c r="V697" s="256"/>
      <c r="W697" s="256"/>
      <c r="X697" s="256"/>
      <c r="Y697" s="256"/>
      <c r="Z697" s="256"/>
    </row>
    <row r="698">
      <c r="A698" s="256"/>
      <c r="B698" s="256"/>
      <c r="C698" s="256"/>
      <c r="D698" s="256"/>
      <c r="E698" s="256"/>
      <c r="F698" s="310"/>
      <c r="G698" s="256"/>
      <c r="H698" s="256"/>
      <c r="I698" s="256"/>
      <c r="J698" s="256"/>
      <c r="K698" s="256"/>
      <c r="L698" s="256"/>
      <c r="M698" s="256"/>
      <c r="N698" s="256"/>
      <c r="O698" s="256"/>
      <c r="P698" s="256"/>
      <c r="Q698" s="256"/>
      <c r="R698" s="256"/>
      <c r="S698" s="256"/>
      <c r="T698" s="256"/>
      <c r="U698" s="256"/>
      <c r="V698" s="256"/>
      <c r="W698" s="256"/>
      <c r="X698" s="256"/>
      <c r="Y698" s="256"/>
      <c r="Z698" s="256"/>
    </row>
    <row r="699">
      <c r="A699" s="256"/>
      <c r="B699" s="256"/>
      <c r="C699" s="256"/>
      <c r="D699" s="256"/>
      <c r="E699" s="256"/>
      <c r="F699" s="310"/>
      <c r="G699" s="256"/>
      <c r="H699" s="256"/>
      <c r="I699" s="256"/>
      <c r="J699" s="256"/>
      <c r="K699" s="256"/>
      <c r="L699" s="256"/>
      <c r="M699" s="256"/>
      <c r="N699" s="256"/>
      <c r="O699" s="256"/>
      <c r="P699" s="256"/>
      <c r="Q699" s="256"/>
      <c r="R699" s="256"/>
      <c r="S699" s="256"/>
      <c r="T699" s="256"/>
      <c r="U699" s="256"/>
      <c r="V699" s="256"/>
      <c r="W699" s="256"/>
      <c r="X699" s="256"/>
      <c r="Y699" s="256"/>
      <c r="Z699" s="256"/>
    </row>
    <row r="700">
      <c r="A700" s="256"/>
      <c r="B700" s="256"/>
      <c r="C700" s="256"/>
      <c r="D700" s="256"/>
      <c r="E700" s="256"/>
      <c r="F700" s="310"/>
      <c r="G700" s="256"/>
      <c r="H700" s="256"/>
      <c r="I700" s="256"/>
      <c r="J700" s="256"/>
      <c r="K700" s="256"/>
      <c r="L700" s="256"/>
      <c r="M700" s="256"/>
      <c r="N700" s="256"/>
      <c r="O700" s="256"/>
      <c r="P700" s="256"/>
      <c r="Q700" s="256"/>
      <c r="R700" s="256"/>
      <c r="S700" s="256"/>
      <c r="T700" s="256"/>
      <c r="U700" s="256"/>
      <c r="V700" s="256"/>
      <c r="W700" s="256"/>
      <c r="X700" s="256"/>
      <c r="Y700" s="256"/>
      <c r="Z700" s="256"/>
    </row>
    <row r="701">
      <c r="A701" s="256"/>
      <c r="B701" s="256"/>
      <c r="C701" s="256"/>
      <c r="D701" s="256"/>
      <c r="E701" s="256"/>
      <c r="F701" s="310"/>
      <c r="G701" s="256"/>
      <c r="H701" s="256"/>
      <c r="I701" s="256"/>
      <c r="J701" s="256"/>
      <c r="K701" s="256"/>
      <c r="L701" s="256"/>
      <c r="M701" s="256"/>
      <c r="N701" s="256"/>
      <c r="O701" s="256"/>
      <c r="P701" s="256"/>
      <c r="Q701" s="256"/>
      <c r="R701" s="256"/>
      <c r="S701" s="256"/>
      <c r="T701" s="256"/>
      <c r="U701" s="256"/>
      <c r="V701" s="256"/>
      <c r="W701" s="256"/>
      <c r="X701" s="256"/>
      <c r="Y701" s="256"/>
      <c r="Z701" s="256"/>
    </row>
    <row r="702">
      <c r="A702" s="256"/>
      <c r="B702" s="256"/>
      <c r="C702" s="256"/>
      <c r="D702" s="256"/>
      <c r="E702" s="256"/>
      <c r="F702" s="310"/>
      <c r="G702" s="256"/>
      <c r="H702" s="256"/>
      <c r="I702" s="256"/>
      <c r="J702" s="256"/>
      <c r="K702" s="256"/>
      <c r="L702" s="256"/>
      <c r="M702" s="256"/>
      <c r="N702" s="256"/>
      <c r="O702" s="256"/>
      <c r="P702" s="256"/>
      <c r="Q702" s="256"/>
      <c r="R702" s="256"/>
      <c r="S702" s="256"/>
      <c r="T702" s="256"/>
      <c r="U702" s="256"/>
      <c r="V702" s="256"/>
      <c r="W702" s="256"/>
      <c r="X702" s="256"/>
      <c r="Y702" s="256"/>
      <c r="Z702" s="256"/>
    </row>
    <row r="703">
      <c r="A703" s="256"/>
      <c r="B703" s="256"/>
      <c r="C703" s="256"/>
      <c r="D703" s="256"/>
      <c r="E703" s="256"/>
      <c r="F703" s="310"/>
      <c r="G703" s="256"/>
      <c r="H703" s="256"/>
      <c r="I703" s="256"/>
      <c r="J703" s="256"/>
      <c r="K703" s="256"/>
      <c r="L703" s="256"/>
      <c r="M703" s="256"/>
      <c r="N703" s="256"/>
      <c r="O703" s="256"/>
      <c r="P703" s="256"/>
      <c r="Q703" s="256"/>
      <c r="R703" s="256"/>
      <c r="S703" s="256"/>
      <c r="T703" s="256"/>
      <c r="U703" s="256"/>
      <c r="V703" s="256"/>
      <c r="W703" s="256"/>
      <c r="X703" s="256"/>
      <c r="Y703" s="256"/>
      <c r="Z703" s="256"/>
    </row>
    <row r="704">
      <c r="A704" s="256"/>
      <c r="B704" s="256"/>
      <c r="C704" s="256"/>
      <c r="D704" s="256"/>
      <c r="E704" s="256"/>
      <c r="F704" s="310"/>
      <c r="G704" s="256"/>
      <c r="H704" s="256"/>
      <c r="I704" s="256"/>
      <c r="J704" s="256"/>
      <c r="K704" s="256"/>
      <c r="L704" s="256"/>
      <c r="M704" s="256"/>
      <c r="N704" s="256"/>
      <c r="O704" s="256"/>
      <c r="P704" s="256"/>
      <c r="Q704" s="256"/>
      <c r="R704" s="256"/>
      <c r="S704" s="256"/>
      <c r="T704" s="256"/>
      <c r="U704" s="256"/>
      <c r="V704" s="256"/>
      <c r="W704" s="256"/>
      <c r="X704" s="256"/>
      <c r="Y704" s="256"/>
      <c r="Z704" s="256"/>
    </row>
    <row r="705">
      <c r="A705" s="256"/>
      <c r="B705" s="256"/>
      <c r="C705" s="256"/>
      <c r="D705" s="256"/>
      <c r="E705" s="256"/>
      <c r="F705" s="310"/>
      <c r="G705" s="256"/>
      <c r="H705" s="256"/>
      <c r="I705" s="256"/>
      <c r="J705" s="256"/>
      <c r="K705" s="256"/>
      <c r="L705" s="256"/>
      <c r="M705" s="256"/>
      <c r="N705" s="256"/>
      <c r="O705" s="256"/>
      <c r="P705" s="256"/>
      <c r="Q705" s="256"/>
      <c r="R705" s="256"/>
      <c r="S705" s="256"/>
      <c r="T705" s="256"/>
      <c r="U705" s="256"/>
      <c r="V705" s="256"/>
      <c r="W705" s="256"/>
      <c r="X705" s="256"/>
      <c r="Y705" s="256"/>
      <c r="Z705" s="256"/>
    </row>
    <row r="706">
      <c r="A706" s="256"/>
      <c r="B706" s="256"/>
      <c r="C706" s="256"/>
      <c r="D706" s="256"/>
      <c r="E706" s="256"/>
      <c r="F706" s="310"/>
      <c r="G706" s="256"/>
      <c r="H706" s="256"/>
      <c r="I706" s="256"/>
      <c r="J706" s="256"/>
      <c r="K706" s="256"/>
      <c r="L706" s="256"/>
      <c r="M706" s="256"/>
      <c r="N706" s="256"/>
      <c r="O706" s="256"/>
      <c r="P706" s="256"/>
      <c r="Q706" s="256"/>
      <c r="R706" s="256"/>
      <c r="S706" s="256"/>
      <c r="T706" s="256"/>
      <c r="U706" s="256"/>
      <c r="V706" s="256"/>
      <c r="W706" s="256"/>
      <c r="X706" s="256"/>
      <c r="Y706" s="256"/>
      <c r="Z706" s="256"/>
    </row>
    <row r="707">
      <c r="A707" s="256"/>
      <c r="B707" s="256"/>
      <c r="C707" s="256"/>
      <c r="D707" s="256"/>
      <c r="E707" s="256"/>
      <c r="F707" s="310"/>
      <c r="G707" s="256"/>
      <c r="H707" s="256"/>
      <c r="I707" s="256"/>
      <c r="J707" s="256"/>
      <c r="K707" s="256"/>
      <c r="L707" s="256"/>
      <c r="M707" s="256"/>
      <c r="N707" s="256"/>
      <c r="O707" s="256"/>
      <c r="P707" s="256"/>
      <c r="Q707" s="256"/>
      <c r="R707" s="256"/>
      <c r="S707" s="256"/>
      <c r="T707" s="256"/>
      <c r="U707" s="256"/>
      <c r="V707" s="256"/>
      <c r="W707" s="256"/>
      <c r="X707" s="256"/>
      <c r="Y707" s="256"/>
      <c r="Z707" s="256"/>
    </row>
    <row r="708">
      <c r="A708" s="256"/>
      <c r="B708" s="256"/>
      <c r="C708" s="256"/>
      <c r="D708" s="256"/>
      <c r="E708" s="256"/>
      <c r="F708" s="310"/>
      <c r="G708" s="256"/>
      <c r="H708" s="256"/>
      <c r="I708" s="256"/>
      <c r="J708" s="256"/>
      <c r="K708" s="256"/>
      <c r="L708" s="256"/>
      <c r="M708" s="256"/>
      <c r="N708" s="256"/>
      <c r="O708" s="256"/>
      <c r="P708" s="256"/>
      <c r="Q708" s="256"/>
      <c r="R708" s="256"/>
      <c r="S708" s="256"/>
      <c r="T708" s="256"/>
      <c r="U708" s="256"/>
      <c r="V708" s="256"/>
      <c r="W708" s="256"/>
      <c r="X708" s="256"/>
      <c r="Y708" s="256"/>
      <c r="Z708" s="256"/>
    </row>
    <row r="709">
      <c r="A709" s="256"/>
      <c r="B709" s="256"/>
      <c r="C709" s="256"/>
      <c r="D709" s="256"/>
      <c r="E709" s="256"/>
      <c r="F709" s="310"/>
      <c r="G709" s="256"/>
      <c r="H709" s="256"/>
      <c r="I709" s="256"/>
      <c r="J709" s="256"/>
      <c r="K709" s="256"/>
      <c r="L709" s="256"/>
      <c r="M709" s="256"/>
      <c r="N709" s="256"/>
      <c r="O709" s="256"/>
      <c r="P709" s="256"/>
      <c r="Q709" s="256"/>
      <c r="R709" s="256"/>
      <c r="S709" s="256"/>
      <c r="T709" s="256"/>
      <c r="U709" s="256"/>
      <c r="V709" s="256"/>
      <c r="W709" s="256"/>
      <c r="X709" s="256"/>
      <c r="Y709" s="256"/>
      <c r="Z709" s="256"/>
    </row>
    <row r="710">
      <c r="A710" s="256"/>
      <c r="B710" s="256"/>
      <c r="C710" s="256"/>
      <c r="D710" s="256"/>
      <c r="E710" s="256"/>
      <c r="F710" s="310"/>
      <c r="G710" s="256"/>
      <c r="H710" s="256"/>
      <c r="I710" s="256"/>
      <c r="J710" s="256"/>
      <c r="K710" s="256"/>
      <c r="L710" s="256"/>
      <c r="M710" s="256"/>
      <c r="N710" s="256"/>
      <c r="O710" s="256"/>
      <c r="P710" s="256"/>
      <c r="Q710" s="256"/>
      <c r="R710" s="256"/>
      <c r="S710" s="256"/>
      <c r="T710" s="256"/>
      <c r="U710" s="256"/>
      <c r="V710" s="256"/>
      <c r="W710" s="256"/>
      <c r="X710" s="256"/>
      <c r="Y710" s="256"/>
      <c r="Z710" s="256"/>
    </row>
    <row r="711">
      <c r="A711" s="256"/>
      <c r="B711" s="256"/>
      <c r="C711" s="256"/>
      <c r="D711" s="256"/>
      <c r="E711" s="256"/>
      <c r="F711" s="310"/>
      <c r="G711" s="256"/>
      <c r="H711" s="256"/>
      <c r="I711" s="256"/>
      <c r="J711" s="256"/>
      <c r="K711" s="256"/>
      <c r="L711" s="256"/>
      <c r="M711" s="256"/>
      <c r="N711" s="256"/>
      <c r="O711" s="256"/>
      <c r="P711" s="256"/>
      <c r="Q711" s="256"/>
      <c r="R711" s="256"/>
      <c r="S711" s="256"/>
      <c r="T711" s="256"/>
      <c r="U711" s="256"/>
      <c r="V711" s="256"/>
      <c r="W711" s="256"/>
      <c r="X711" s="256"/>
      <c r="Y711" s="256"/>
      <c r="Z711" s="256"/>
    </row>
    <row r="712">
      <c r="A712" s="256"/>
      <c r="B712" s="256"/>
      <c r="C712" s="256"/>
      <c r="D712" s="256"/>
      <c r="E712" s="256"/>
      <c r="F712" s="310"/>
      <c r="G712" s="256"/>
      <c r="H712" s="256"/>
      <c r="I712" s="256"/>
      <c r="J712" s="256"/>
      <c r="K712" s="256"/>
      <c r="L712" s="256"/>
      <c r="M712" s="256"/>
      <c r="N712" s="256"/>
      <c r="O712" s="256"/>
      <c r="P712" s="256"/>
      <c r="Q712" s="256"/>
      <c r="R712" s="256"/>
      <c r="S712" s="256"/>
      <c r="T712" s="256"/>
      <c r="U712" s="256"/>
      <c r="V712" s="256"/>
      <c r="W712" s="256"/>
      <c r="X712" s="256"/>
      <c r="Y712" s="256"/>
      <c r="Z712" s="256"/>
    </row>
    <row r="713">
      <c r="A713" s="256"/>
      <c r="B713" s="256"/>
      <c r="C713" s="256"/>
      <c r="D713" s="256"/>
      <c r="E713" s="256"/>
      <c r="F713" s="310"/>
      <c r="G713" s="256"/>
      <c r="H713" s="256"/>
      <c r="I713" s="256"/>
      <c r="J713" s="256"/>
      <c r="K713" s="256"/>
      <c r="L713" s="256"/>
      <c r="M713" s="256"/>
      <c r="N713" s="256"/>
      <c r="O713" s="256"/>
      <c r="P713" s="256"/>
      <c r="Q713" s="256"/>
      <c r="R713" s="256"/>
      <c r="S713" s="256"/>
      <c r="T713" s="256"/>
      <c r="U713" s="256"/>
      <c r="V713" s="256"/>
      <c r="W713" s="256"/>
      <c r="X713" s="256"/>
      <c r="Y713" s="256"/>
      <c r="Z713" s="256"/>
    </row>
    <row r="714">
      <c r="A714" s="256"/>
      <c r="B714" s="256"/>
      <c r="C714" s="256"/>
      <c r="D714" s="256"/>
      <c r="E714" s="256"/>
      <c r="F714" s="310"/>
      <c r="G714" s="256"/>
      <c r="H714" s="256"/>
      <c r="I714" s="256"/>
      <c r="J714" s="256"/>
      <c r="K714" s="256"/>
      <c r="L714" s="256"/>
      <c r="M714" s="256"/>
      <c r="N714" s="256"/>
      <c r="O714" s="256"/>
      <c r="P714" s="256"/>
      <c r="Q714" s="256"/>
      <c r="R714" s="256"/>
      <c r="S714" s="256"/>
      <c r="T714" s="256"/>
      <c r="U714" s="256"/>
      <c r="V714" s="256"/>
      <c r="W714" s="256"/>
      <c r="X714" s="256"/>
      <c r="Y714" s="256"/>
      <c r="Z714" s="256"/>
    </row>
    <row r="715">
      <c r="A715" s="256"/>
      <c r="B715" s="256"/>
      <c r="C715" s="256"/>
      <c r="D715" s="256"/>
      <c r="E715" s="256"/>
      <c r="F715" s="310"/>
      <c r="G715" s="256"/>
      <c r="H715" s="256"/>
      <c r="I715" s="256"/>
      <c r="J715" s="256"/>
      <c r="K715" s="256"/>
      <c r="L715" s="256"/>
      <c r="M715" s="256"/>
      <c r="N715" s="256"/>
      <c r="O715" s="256"/>
      <c r="P715" s="256"/>
      <c r="Q715" s="256"/>
      <c r="R715" s="256"/>
      <c r="S715" s="256"/>
      <c r="T715" s="256"/>
      <c r="U715" s="256"/>
      <c r="V715" s="256"/>
      <c r="W715" s="256"/>
      <c r="X715" s="256"/>
      <c r="Y715" s="256"/>
      <c r="Z715" s="256"/>
    </row>
    <row r="716">
      <c r="A716" s="256"/>
      <c r="B716" s="256"/>
      <c r="C716" s="256"/>
      <c r="D716" s="256"/>
      <c r="E716" s="256"/>
      <c r="F716" s="310"/>
      <c r="G716" s="256"/>
      <c r="H716" s="256"/>
      <c r="I716" s="256"/>
      <c r="J716" s="256"/>
      <c r="K716" s="256"/>
      <c r="L716" s="256"/>
      <c r="M716" s="256"/>
      <c r="N716" s="256"/>
      <c r="O716" s="256"/>
      <c r="P716" s="256"/>
      <c r="Q716" s="256"/>
      <c r="R716" s="256"/>
      <c r="S716" s="256"/>
      <c r="T716" s="256"/>
      <c r="U716" s="256"/>
      <c r="V716" s="256"/>
      <c r="W716" s="256"/>
      <c r="X716" s="256"/>
      <c r="Y716" s="256"/>
      <c r="Z716" s="256"/>
    </row>
    <row r="717">
      <c r="A717" s="256"/>
      <c r="B717" s="256"/>
      <c r="C717" s="256"/>
      <c r="D717" s="256"/>
      <c r="E717" s="256"/>
      <c r="F717" s="310"/>
      <c r="G717" s="256"/>
      <c r="H717" s="256"/>
      <c r="I717" s="256"/>
      <c r="J717" s="256"/>
      <c r="K717" s="256"/>
      <c r="L717" s="256"/>
      <c r="M717" s="256"/>
      <c r="N717" s="256"/>
      <c r="O717" s="256"/>
      <c r="P717" s="256"/>
      <c r="Q717" s="256"/>
      <c r="R717" s="256"/>
      <c r="S717" s="256"/>
      <c r="T717" s="256"/>
      <c r="U717" s="256"/>
      <c r="V717" s="256"/>
      <c r="W717" s="256"/>
      <c r="X717" s="256"/>
      <c r="Y717" s="256"/>
      <c r="Z717" s="256"/>
    </row>
    <row r="718">
      <c r="A718" s="256"/>
      <c r="B718" s="256"/>
      <c r="C718" s="256"/>
      <c r="D718" s="256"/>
      <c r="E718" s="256"/>
      <c r="F718" s="310"/>
      <c r="G718" s="256"/>
      <c r="H718" s="256"/>
      <c r="I718" s="256"/>
      <c r="J718" s="256"/>
      <c r="K718" s="256"/>
      <c r="L718" s="256"/>
      <c r="M718" s="256"/>
      <c r="N718" s="256"/>
      <c r="O718" s="256"/>
      <c r="P718" s="256"/>
      <c r="Q718" s="256"/>
      <c r="R718" s="256"/>
      <c r="S718" s="256"/>
      <c r="T718" s="256"/>
      <c r="U718" s="256"/>
      <c r="V718" s="256"/>
      <c r="W718" s="256"/>
      <c r="X718" s="256"/>
      <c r="Y718" s="256"/>
      <c r="Z718" s="256"/>
    </row>
    <row r="719">
      <c r="A719" s="256"/>
      <c r="B719" s="256"/>
      <c r="C719" s="256"/>
      <c r="D719" s="256"/>
      <c r="E719" s="256"/>
      <c r="F719" s="310"/>
      <c r="G719" s="256"/>
      <c r="H719" s="256"/>
      <c r="I719" s="256"/>
      <c r="J719" s="256"/>
      <c r="K719" s="256"/>
      <c r="L719" s="256"/>
      <c r="M719" s="256"/>
      <c r="N719" s="256"/>
      <c r="O719" s="256"/>
      <c r="P719" s="256"/>
      <c r="Q719" s="256"/>
      <c r="R719" s="256"/>
      <c r="S719" s="256"/>
      <c r="T719" s="256"/>
      <c r="U719" s="256"/>
      <c r="V719" s="256"/>
      <c r="W719" s="256"/>
      <c r="X719" s="256"/>
      <c r="Y719" s="256"/>
      <c r="Z719" s="256"/>
    </row>
    <row r="720">
      <c r="A720" s="256"/>
      <c r="B720" s="256"/>
      <c r="C720" s="256"/>
      <c r="D720" s="256"/>
      <c r="E720" s="256"/>
      <c r="F720" s="310"/>
      <c r="G720" s="256"/>
      <c r="H720" s="256"/>
      <c r="I720" s="256"/>
      <c r="J720" s="256"/>
      <c r="K720" s="256"/>
      <c r="L720" s="256"/>
      <c r="M720" s="256"/>
      <c r="N720" s="256"/>
      <c r="O720" s="256"/>
      <c r="P720" s="256"/>
      <c r="Q720" s="256"/>
      <c r="R720" s="256"/>
      <c r="S720" s="256"/>
      <c r="T720" s="256"/>
      <c r="U720" s="256"/>
      <c r="V720" s="256"/>
      <c r="W720" s="256"/>
      <c r="X720" s="256"/>
      <c r="Y720" s="256"/>
      <c r="Z720" s="256"/>
    </row>
    <row r="721">
      <c r="A721" s="256"/>
      <c r="B721" s="256"/>
      <c r="C721" s="256"/>
      <c r="D721" s="256"/>
      <c r="E721" s="256"/>
      <c r="F721" s="310"/>
      <c r="G721" s="256"/>
      <c r="H721" s="256"/>
      <c r="I721" s="256"/>
      <c r="J721" s="256"/>
      <c r="K721" s="256"/>
      <c r="L721" s="256"/>
      <c r="M721" s="256"/>
      <c r="N721" s="256"/>
      <c r="O721" s="256"/>
      <c r="P721" s="256"/>
      <c r="Q721" s="256"/>
      <c r="R721" s="256"/>
      <c r="S721" s="256"/>
      <c r="T721" s="256"/>
      <c r="U721" s="256"/>
      <c r="V721" s="256"/>
      <c r="W721" s="256"/>
      <c r="X721" s="256"/>
      <c r="Y721" s="256"/>
      <c r="Z721" s="256"/>
    </row>
    <row r="722">
      <c r="A722" s="256"/>
      <c r="B722" s="256"/>
      <c r="C722" s="256"/>
      <c r="D722" s="256"/>
      <c r="E722" s="256"/>
      <c r="F722" s="310"/>
      <c r="G722" s="256"/>
      <c r="H722" s="256"/>
      <c r="I722" s="256"/>
      <c r="J722" s="256"/>
      <c r="K722" s="256"/>
      <c r="L722" s="256"/>
      <c r="M722" s="256"/>
      <c r="N722" s="256"/>
      <c r="O722" s="256"/>
      <c r="P722" s="256"/>
      <c r="Q722" s="256"/>
      <c r="R722" s="256"/>
      <c r="S722" s="256"/>
      <c r="T722" s="256"/>
      <c r="U722" s="256"/>
      <c r="V722" s="256"/>
      <c r="W722" s="256"/>
      <c r="X722" s="256"/>
      <c r="Y722" s="256"/>
      <c r="Z722" s="256"/>
    </row>
    <row r="723">
      <c r="A723" s="256"/>
      <c r="B723" s="256"/>
      <c r="C723" s="256"/>
      <c r="D723" s="256"/>
      <c r="E723" s="256"/>
      <c r="F723" s="310"/>
      <c r="G723" s="256"/>
      <c r="H723" s="256"/>
      <c r="I723" s="256"/>
      <c r="J723" s="256"/>
      <c r="K723" s="256"/>
      <c r="L723" s="256"/>
      <c r="M723" s="256"/>
      <c r="N723" s="256"/>
      <c r="O723" s="256"/>
      <c r="P723" s="256"/>
      <c r="Q723" s="256"/>
      <c r="R723" s="256"/>
      <c r="S723" s="256"/>
      <c r="T723" s="256"/>
      <c r="U723" s="256"/>
      <c r="V723" s="256"/>
      <c r="W723" s="256"/>
      <c r="X723" s="256"/>
      <c r="Y723" s="256"/>
      <c r="Z723" s="256"/>
    </row>
    <row r="724">
      <c r="A724" s="256"/>
      <c r="B724" s="256"/>
      <c r="C724" s="256"/>
      <c r="D724" s="256"/>
      <c r="E724" s="256"/>
      <c r="F724" s="310"/>
      <c r="G724" s="256"/>
      <c r="H724" s="256"/>
      <c r="I724" s="256"/>
      <c r="J724" s="256"/>
      <c r="K724" s="256"/>
      <c r="L724" s="256"/>
      <c r="M724" s="256"/>
      <c r="N724" s="256"/>
      <c r="O724" s="256"/>
      <c r="P724" s="256"/>
      <c r="Q724" s="256"/>
      <c r="R724" s="256"/>
      <c r="S724" s="256"/>
      <c r="T724" s="256"/>
      <c r="U724" s="256"/>
      <c r="V724" s="256"/>
      <c r="W724" s="256"/>
      <c r="X724" s="256"/>
      <c r="Y724" s="256"/>
      <c r="Z724" s="256"/>
    </row>
    <row r="725">
      <c r="A725" s="256"/>
      <c r="B725" s="256"/>
      <c r="C725" s="256"/>
      <c r="D725" s="256"/>
      <c r="E725" s="256"/>
      <c r="F725" s="310"/>
      <c r="G725" s="256"/>
      <c r="H725" s="256"/>
      <c r="I725" s="256"/>
      <c r="J725" s="256"/>
      <c r="K725" s="256"/>
      <c r="L725" s="256"/>
      <c r="M725" s="256"/>
      <c r="N725" s="256"/>
      <c r="O725" s="256"/>
      <c r="P725" s="256"/>
      <c r="Q725" s="256"/>
      <c r="R725" s="256"/>
      <c r="S725" s="256"/>
      <c r="T725" s="256"/>
      <c r="U725" s="256"/>
      <c r="V725" s="256"/>
      <c r="W725" s="256"/>
      <c r="X725" s="256"/>
      <c r="Y725" s="256"/>
      <c r="Z725" s="256"/>
    </row>
    <row r="726">
      <c r="A726" s="256"/>
      <c r="B726" s="256"/>
      <c r="C726" s="256"/>
      <c r="D726" s="256"/>
      <c r="E726" s="256"/>
      <c r="F726" s="310"/>
      <c r="G726" s="256"/>
      <c r="H726" s="256"/>
      <c r="I726" s="256"/>
      <c r="J726" s="256"/>
      <c r="K726" s="256"/>
      <c r="L726" s="256"/>
      <c r="M726" s="256"/>
      <c r="N726" s="256"/>
      <c r="O726" s="256"/>
      <c r="P726" s="256"/>
      <c r="Q726" s="256"/>
      <c r="R726" s="256"/>
      <c r="S726" s="256"/>
      <c r="T726" s="256"/>
      <c r="U726" s="256"/>
      <c r="V726" s="256"/>
      <c r="W726" s="256"/>
      <c r="X726" s="256"/>
      <c r="Y726" s="256"/>
      <c r="Z726" s="256"/>
    </row>
    <row r="727">
      <c r="A727" s="256"/>
      <c r="B727" s="256"/>
      <c r="C727" s="256"/>
      <c r="D727" s="256"/>
      <c r="E727" s="256"/>
      <c r="F727" s="310"/>
      <c r="G727" s="256"/>
      <c r="H727" s="256"/>
      <c r="I727" s="256"/>
      <c r="J727" s="256"/>
      <c r="K727" s="256"/>
      <c r="L727" s="256"/>
      <c r="M727" s="256"/>
      <c r="N727" s="256"/>
      <c r="O727" s="256"/>
      <c r="P727" s="256"/>
      <c r="Q727" s="256"/>
      <c r="R727" s="256"/>
      <c r="S727" s="256"/>
      <c r="T727" s="256"/>
      <c r="U727" s="256"/>
      <c r="V727" s="256"/>
      <c r="W727" s="256"/>
      <c r="X727" s="256"/>
      <c r="Y727" s="256"/>
      <c r="Z727" s="256"/>
    </row>
    <row r="728">
      <c r="A728" s="256"/>
      <c r="B728" s="256"/>
      <c r="C728" s="256"/>
      <c r="D728" s="256"/>
      <c r="E728" s="256"/>
      <c r="F728" s="310"/>
      <c r="G728" s="256"/>
      <c r="H728" s="256"/>
      <c r="I728" s="256"/>
      <c r="J728" s="256"/>
      <c r="K728" s="256"/>
      <c r="L728" s="256"/>
      <c r="M728" s="256"/>
      <c r="N728" s="256"/>
      <c r="O728" s="256"/>
      <c r="P728" s="256"/>
      <c r="Q728" s="256"/>
      <c r="R728" s="256"/>
      <c r="S728" s="256"/>
      <c r="T728" s="256"/>
      <c r="U728" s="256"/>
      <c r="V728" s="256"/>
      <c r="W728" s="256"/>
      <c r="X728" s="256"/>
      <c r="Y728" s="256"/>
      <c r="Z728" s="256"/>
    </row>
    <row r="729">
      <c r="A729" s="256"/>
      <c r="B729" s="256"/>
      <c r="C729" s="256"/>
      <c r="D729" s="256"/>
      <c r="E729" s="256"/>
      <c r="F729" s="310"/>
      <c r="G729" s="256"/>
      <c r="H729" s="256"/>
      <c r="I729" s="256"/>
      <c r="J729" s="256"/>
      <c r="K729" s="256"/>
      <c r="L729" s="256"/>
      <c r="M729" s="256"/>
      <c r="N729" s="256"/>
      <c r="O729" s="256"/>
      <c r="P729" s="256"/>
      <c r="Q729" s="256"/>
      <c r="R729" s="256"/>
      <c r="S729" s="256"/>
      <c r="T729" s="256"/>
      <c r="U729" s="256"/>
      <c r="V729" s="256"/>
      <c r="W729" s="256"/>
      <c r="X729" s="256"/>
      <c r="Y729" s="256"/>
      <c r="Z729" s="256"/>
    </row>
    <row r="730">
      <c r="A730" s="256"/>
      <c r="B730" s="256"/>
      <c r="C730" s="256"/>
      <c r="D730" s="256"/>
      <c r="E730" s="256"/>
      <c r="F730" s="310"/>
      <c r="G730" s="256"/>
      <c r="H730" s="256"/>
      <c r="I730" s="256"/>
      <c r="J730" s="256"/>
      <c r="K730" s="256"/>
      <c r="L730" s="256"/>
      <c r="M730" s="256"/>
      <c r="N730" s="256"/>
      <c r="O730" s="256"/>
      <c r="P730" s="256"/>
      <c r="Q730" s="256"/>
      <c r="R730" s="256"/>
      <c r="S730" s="256"/>
      <c r="T730" s="256"/>
      <c r="U730" s="256"/>
      <c r="V730" s="256"/>
      <c r="W730" s="256"/>
      <c r="X730" s="256"/>
      <c r="Y730" s="256"/>
      <c r="Z730" s="256"/>
    </row>
    <row r="731">
      <c r="A731" s="256"/>
      <c r="B731" s="256"/>
      <c r="C731" s="256"/>
      <c r="D731" s="256"/>
      <c r="E731" s="256"/>
      <c r="F731" s="310"/>
      <c r="G731" s="256"/>
      <c r="H731" s="256"/>
      <c r="I731" s="256"/>
      <c r="J731" s="256"/>
      <c r="K731" s="256"/>
      <c r="L731" s="256"/>
      <c r="M731" s="256"/>
      <c r="N731" s="256"/>
      <c r="O731" s="256"/>
      <c r="P731" s="256"/>
      <c r="Q731" s="256"/>
      <c r="R731" s="256"/>
      <c r="S731" s="256"/>
      <c r="T731" s="256"/>
      <c r="U731" s="256"/>
      <c r="V731" s="256"/>
      <c r="W731" s="256"/>
      <c r="X731" s="256"/>
      <c r="Y731" s="256"/>
      <c r="Z731" s="256"/>
    </row>
    <row r="732">
      <c r="A732" s="256"/>
      <c r="B732" s="256"/>
      <c r="C732" s="256"/>
      <c r="D732" s="256"/>
      <c r="E732" s="256"/>
      <c r="F732" s="310"/>
      <c r="G732" s="256"/>
      <c r="H732" s="256"/>
      <c r="I732" s="256"/>
      <c r="J732" s="256"/>
      <c r="K732" s="256"/>
      <c r="L732" s="256"/>
      <c r="M732" s="256"/>
      <c r="N732" s="256"/>
      <c r="O732" s="256"/>
      <c r="P732" s="256"/>
      <c r="Q732" s="256"/>
      <c r="R732" s="256"/>
      <c r="S732" s="256"/>
      <c r="T732" s="256"/>
      <c r="U732" s="256"/>
      <c r="V732" s="256"/>
      <c r="W732" s="256"/>
      <c r="X732" s="256"/>
      <c r="Y732" s="256"/>
      <c r="Z732" s="256"/>
    </row>
    <row r="733">
      <c r="A733" s="256"/>
      <c r="B733" s="256"/>
      <c r="C733" s="256"/>
      <c r="D733" s="256"/>
      <c r="E733" s="256"/>
      <c r="F733" s="310"/>
      <c r="G733" s="256"/>
      <c r="H733" s="256"/>
      <c r="I733" s="256"/>
      <c r="J733" s="256"/>
      <c r="K733" s="256"/>
      <c r="L733" s="256"/>
      <c r="M733" s="256"/>
      <c r="N733" s="256"/>
      <c r="O733" s="256"/>
      <c r="P733" s="256"/>
      <c r="Q733" s="256"/>
      <c r="R733" s="256"/>
      <c r="S733" s="256"/>
      <c r="T733" s="256"/>
      <c r="U733" s="256"/>
      <c r="V733" s="256"/>
      <c r="W733" s="256"/>
      <c r="X733" s="256"/>
      <c r="Y733" s="256"/>
      <c r="Z733" s="256"/>
    </row>
    <row r="734">
      <c r="A734" s="256"/>
      <c r="B734" s="256"/>
      <c r="C734" s="256"/>
      <c r="D734" s="256"/>
      <c r="E734" s="256"/>
      <c r="F734" s="310"/>
      <c r="G734" s="256"/>
      <c r="H734" s="256"/>
      <c r="I734" s="256"/>
      <c r="J734" s="256"/>
      <c r="K734" s="256"/>
      <c r="L734" s="256"/>
      <c r="M734" s="256"/>
      <c r="N734" s="256"/>
      <c r="O734" s="256"/>
      <c r="P734" s="256"/>
      <c r="Q734" s="256"/>
      <c r="R734" s="256"/>
      <c r="S734" s="256"/>
      <c r="T734" s="256"/>
      <c r="U734" s="256"/>
      <c r="V734" s="256"/>
      <c r="W734" s="256"/>
      <c r="X734" s="256"/>
      <c r="Y734" s="256"/>
      <c r="Z734" s="256"/>
    </row>
    <row r="735">
      <c r="A735" s="256"/>
      <c r="B735" s="256"/>
      <c r="C735" s="256"/>
      <c r="D735" s="256"/>
      <c r="E735" s="256"/>
      <c r="F735" s="310"/>
      <c r="G735" s="256"/>
      <c r="H735" s="256"/>
      <c r="I735" s="256"/>
      <c r="J735" s="256"/>
      <c r="K735" s="256"/>
      <c r="L735" s="256"/>
      <c r="M735" s="256"/>
      <c r="N735" s="256"/>
      <c r="O735" s="256"/>
      <c r="P735" s="256"/>
      <c r="Q735" s="256"/>
      <c r="R735" s="256"/>
      <c r="S735" s="256"/>
      <c r="T735" s="256"/>
      <c r="U735" s="256"/>
      <c r="V735" s="256"/>
      <c r="W735" s="256"/>
      <c r="X735" s="256"/>
      <c r="Y735" s="256"/>
      <c r="Z735" s="256"/>
    </row>
    <row r="736">
      <c r="A736" s="256"/>
      <c r="B736" s="256"/>
      <c r="C736" s="256"/>
      <c r="D736" s="256"/>
      <c r="E736" s="256"/>
      <c r="F736" s="310"/>
      <c r="G736" s="256"/>
      <c r="H736" s="256"/>
      <c r="I736" s="256"/>
      <c r="J736" s="256"/>
      <c r="K736" s="256"/>
      <c r="L736" s="256"/>
      <c r="M736" s="256"/>
      <c r="N736" s="256"/>
      <c r="O736" s="256"/>
      <c r="P736" s="256"/>
      <c r="Q736" s="256"/>
      <c r="R736" s="256"/>
      <c r="S736" s="256"/>
      <c r="T736" s="256"/>
      <c r="U736" s="256"/>
      <c r="V736" s="256"/>
      <c r="W736" s="256"/>
      <c r="X736" s="256"/>
      <c r="Y736" s="256"/>
      <c r="Z736" s="256"/>
    </row>
    <row r="737">
      <c r="A737" s="256"/>
      <c r="B737" s="256"/>
      <c r="C737" s="256"/>
      <c r="D737" s="256"/>
      <c r="E737" s="256"/>
      <c r="F737" s="310"/>
      <c r="G737" s="256"/>
      <c r="H737" s="256"/>
      <c r="I737" s="256"/>
      <c r="J737" s="256"/>
      <c r="K737" s="256"/>
      <c r="L737" s="256"/>
      <c r="M737" s="256"/>
      <c r="N737" s="256"/>
      <c r="O737" s="256"/>
      <c r="P737" s="256"/>
      <c r="Q737" s="256"/>
      <c r="R737" s="256"/>
      <c r="S737" s="256"/>
      <c r="T737" s="256"/>
      <c r="U737" s="256"/>
      <c r="V737" s="256"/>
      <c r="W737" s="256"/>
      <c r="X737" s="256"/>
      <c r="Y737" s="256"/>
      <c r="Z737" s="256"/>
    </row>
    <row r="738">
      <c r="A738" s="256"/>
      <c r="B738" s="256"/>
      <c r="C738" s="256"/>
      <c r="D738" s="256"/>
      <c r="E738" s="256"/>
      <c r="F738" s="310"/>
      <c r="G738" s="256"/>
      <c r="H738" s="256"/>
      <c r="I738" s="256"/>
      <c r="J738" s="256"/>
      <c r="K738" s="256"/>
      <c r="L738" s="256"/>
      <c r="M738" s="256"/>
      <c r="N738" s="256"/>
      <c r="O738" s="256"/>
      <c r="P738" s="256"/>
      <c r="Q738" s="256"/>
      <c r="R738" s="256"/>
      <c r="S738" s="256"/>
      <c r="T738" s="256"/>
      <c r="U738" s="256"/>
      <c r="V738" s="256"/>
      <c r="W738" s="256"/>
      <c r="X738" s="256"/>
      <c r="Y738" s="256"/>
      <c r="Z738" s="256"/>
    </row>
    <row r="739">
      <c r="A739" s="256"/>
      <c r="B739" s="256"/>
      <c r="C739" s="256"/>
      <c r="D739" s="256"/>
      <c r="E739" s="256"/>
      <c r="F739" s="310"/>
      <c r="G739" s="256"/>
      <c r="H739" s="256"/>
      <c r="I739" s="256"/>
      <c r="J739" s="256"/>
      <c r="K739" s="256"/>
      <c r="L739" s="256"/>
      <c r="M739" s="256"/>
      <c r="N739" s="256"/>
      <c r="O739" s="256"/>
      <c r="P739" s="256"/>
      <c r="Q739" s="256"/>
      <c r="R739" s="256"/>
      <c r="S739" s="256"/>
      <c r="T739" s="256"/>
      <c r="U739" s="256"/>
      <c r="V739" s="256"/>
      <c r="W739" s="256"/>
      <c r="X739" s="256"/>
      <c r="Y739" s="256"/>
      <c r="Z739" s="256"/>
    </row>
    <row r="740">
      <c r="A740" s="256"/>
      <c r="B740" s="256"/>
      <c r="C740" s="256"/>
      <c r="D740" s="256"/>
      <c r="E740" s="256"/>
      <c r="F740" s="310"/>
      <c r="G740" s="256"/>
      <c r="H740" s="256"/>
      <c r="I740" s="256"/>
      <c r="J740" s="256"/>
      <c r="K740" s="256"/>
      <c r="L740" s="256"/>
      <c r="M740" s="256"/>
      <c r="N740" s="256"/>
      <c r="O740" s="256"/>
      <c r="P740" s="256"/>
      <c r="Q740" s="256"/>
      <c r="R740" s="256"/>
      <c r="S740" s="256"/>
      <c r="T740" s="256"/>
      <c r="U740" s="256"/>
      <c r="V740" s="256"/>
      <c r="W740" s="256"/>
      <c r="X740" s="256"/>
      <c r="Y740" s="256"/>
      <c r="Z740" s="256"/>
    </row>
    <row r="741">
      <c r="A741" s="256"/>
      <c r="B741" s="256"/>
      <c r="C741" s="256"/>
      <c r="D741" s="256"/>
      <c r="E741" s="256"/>
      <c r="F741" s="310"/>
      <c r="G741" s="256"/>
      <c r="H741" s="256"/>
      <c r="I741" s="256"/>
      <c r="J741" s="256"/>
      <c r="K741" s="256"/>
      <c r="L741" s="256"/>
      <c r="M741" s="256"/>
      <c r="N741" s="256"/>
      <c r="O741" s="256"/>
      <c r="P741" s="256"/>
      <c r="Q741" s="256"/>
      <c r="R741" s="256"/>
      <c r="S741" s="256"/>
      <c r="T741" s="256"/>
      <c r="U741" s="256"/>
      <c r="V741" s="256"/>
      <c r="W741" s="256"/>
      <c r="X741" s="256"/>
      <c r="Y741" s="256"/>
      <c r="Z741" s="256"/>
    </row>
    <row r="742">
      <c r="A742" s="256"/>
      <c r="B742" s="256"/>
      <c r="C742" s="256"/>
      <c r="D742" s="256"/>
      <c r="E742" s="256"/>
      <c r="F742" s="310"/>
      <c r="G742" s="256"/>
      <c r="H742" s="256"/>
      <c r="I742" s="256"/>
      <c r="J742" s="256"/>
      <c r="K742" s="256"/>
      <c r="L742" s="256"/>
      <c r="M742" s="256"/>
      <c r="N742" s="256"/>
      <c r="O742" s="256"/>
      <c r="P742" s="256"/>
      <c r="Q742" s="256"/>
      <c r="R742" s="256"/>
      <c r="S742" s="256"/>
      <c r="T742" s="256"/>
      <c r="U742" s="256"/>
      <c r="V742" s="256"/>
      <c r="W742" s="256"/>
      <c r="X742" s="256"/>
      <c r="Y742" s="256"/>
      <c r="Z742" s="256"/>
    </row>
    <row r="743">
      <c r="A743" s="256"/>
      <c r="B743" s="256"/>
      <c r="C743" s="256"/>
      <c r="D743" s="256"/>
      <c r="E743" s="256"/>
      <c r="F743" s="310"/>
      <c r="G743" s="256"/>
      <c r="H743" s="256"/>
      <c r="I743" s="256"/>
      <c r="J743" s="256"/>
      <c r="K743" s="256"/>
      <c r="L743" s="256"/>
      <c r="M743" s="256"/>
      <c r="N743" s="256"/>
      <c r="O743" s="256"/>
      <c r="P743" s="256"/>
      <c r="Q743" s="256"/>
      <c r="R743" s="256"/>
      <c r="S743" s="256"/>
      <c r="T743" s="256"/>
      <c r="U743" s="256"/>
      <c r="V743" s="256"/>
      <c r="W743" s="256"/>
      <c r="X743" s="256"/>
      <c r="Y743" s="256"/>
      <c r="Z743" s="256"/>
    </row>
    <row r="744">
      <c r="A744" s="256"/>
      <c r="B744" s="256"/>
      <c r="C744" s="256"/>
      <c r="D744" s="256"/>
      <c r="E744" s="256"/>
      <c r="F744" s="310"/>
      <c r="G744" s="256"/>
      <c r="H744" s="256"/>
      <c r="I744" s="256"/>
      <c r="J744" s="256"/>
      <c r="K744" s="256"/>
      <c r="L744" s="256"/>
      <c r="M744" s="256"/>
      <c r="N744" s="256"/>
      <c r="O744" s="256"/>
      <c r="P744" s="256"/>
      <c r="Q744" s="256"/>
      <c r="R744" s="256"/>
      <c r="S744" s="256"/>
      <c r="T744" s="256"/>
      <c r="U744" s="256"/>
      <c r="V744" s="256"/>
      <c r="W744" s="256"/>
      <c r="X744" s="256"/>
      <c r="Y744" s="256"/>
      <c r="Z744" s="256"/>
    </row>
    <row r="745">
      <c r="A745" s="256"/>
      <c r="B745" s="256"/>
      <c r="C745" s="256"/>
      <c r="D745" s="256"/>
      <c r="E745" s="256"/>
      <c r="F745" s="310"/>
      <c r="G745" s="256"/>
      <c r="H745" s="256"/>
      <c r="I745" s="256"/>
      <c r="J745" s="256"/>
      <c r="K745" s="256"/>
      <c r="L745" s="256"/>
      <c r="M745" s="256"/>
      <c r="N745" s="256"/>
      <c r="O745" s="256"/>
      <c r="P745" s="256"/>
      <c r="Q745" s="256"/>
      <c r="R745" s="256"/>
      <c r="S745" s="256"/>
      <c r="T745" s="256"/>
      <c r="U745" s="256"/>
      <c r="V745" s="256"/>
      <c r="W745" s="256"/>
      <c r="X745" s="256"/>
      <c r="Y745" s="256"/>
      <c r="Z745" s="256"/>
    </row>
    <row r="746">
      <c r="A746" s="256"/>
      <c r="B746" s="256"/>
      <c r="C746" s="256"/>
      <c r="D746" s="256"/>
      <c r="E746" s="256"/>
      <c r="F746" s="310"/>
      <c r="G746" s="256"/>
      <c r="H746" s="256"/>
      <c r="I746" s="256"/>
      <c r="J746" s="256"/>
      <c r="K746" s="256"/>
      <c r="L746" s="256"/>
      <c r="M746" s="256"/>
      <c r="N746" s="256"/>
      <c r="O746" s="256"/>
      <c r="P746" s="256"/>
      <c r="Q746" s="256"/>
      <c r="R746" s="256"/>
      <c r="S746" s="256"/>
      <c r="T746" s="256"/>
      <c r="U746" s="256"/>
      <c r="V746" s="256"/>
      <c r="W746" s="256"/>
      <c r="X746" s="256"/>
      <c r="Y746" s="256"/>
      <c r="Z746" s="256"/>
    </row>
    <row r="747">
      <c r="A747" s="256"/>
      <c r="B747" s="256"/>
      <c r="C747" s="256"/>
      <c r="D747" s="256"/>
      <c r="E747" s="256"/>
      <c r="F747" s="310"/>
      <c r="G747" s="256"/>
      <c r="H747" s="256"/>
      <c r="I747" s="256"/>
      <c r="J747" s="256"/>
      <c r="K747" s="256"/>
      <c r="L747" s="256"/>
      <c r="M747" s="256"/>
      <c r="N747" s="256"/>
      <c r="O747" s="256"/>
      <c r="P747" s="256"/>
      <c r="Q747" s="256"/>
      <c r="R747" s="256"/>
      <c r="S747" s="256"/>
      <c r="T747" s="256"/>
      <c r="U747" s="256"/>
      <c r="V747" s="256"/>
      <c r="W747" s="256"/>
      <c r="X747" s="256"/>
      <c r="Y747" s="256"/>
      <c r="Z747" s="256"/>
    </row>
    <row r="748">
      <c r="A748" s="256"/>
      <c r="B748" s="256"/>
      <c r="C748" s="256"/>
      <c r="D748" s="256"/>
      <c r="E748" s="256"/>
      <c r="F748" s="310"/>
      <c r="G748" s="256"/>
      <c r="H748" s="256"/>
      <c r="I748" s="256"/>
      <c r="J748" s="256"/>
      <c r="K748" s="256"/>
      <c r="L748" s="256"/>
      <c r="M748" s="256"/>
      <c r="N748" s="256"/>
      <c r="O748" s="256"/>
      <c r="P748" s="256"/>
      <c r="Q748" s="256"/>
      <c r="R748" s="256"/>
      <c r="S748" s="256"/>
      <c r="T748" s="256"/>
      <c r="U748" s="256"/>
      <c r="V748" s="256"/>
      <c r="W748" s="256"/>
      <c r="X748" s="256"/>
      <c r="Y748" s="256"/>
      <c r="Z748" s="256"/>
    </row>
    <row r="749">
      <c r="A749" s="256"/>
      <c r="B749" s="256"/>
      <c r="C749" s="256"/>
      <c r="D749" s="256"/>
      <c r="E749" s="256"/>
      <c r="F749" s="310"/>
      <c r="G749" s="256"/>
      <c r="H749" s="256"/>
      <c r="I749" s="256"/>
      <c r="J749" s="256"/>
      <c r="K749" s="256"/>
      <c r="L749" s="256"/>
      <c r="M749" s="256"/>
      <c r="N749" s="256"/>
      <c r="O749" s="256"/>
      <c r="P749" s="256"/>
      <c r="Q749" s="256"/>
      <c r="R749" s="256"/>
      <c r="S749" s="256"/>
      <c r="T749" s="256"/>
      <c r="U749" s="256"/>
      <c r="V749" s="256"/>
      <c r="W749" s="256"/>
      <c r="X749" s="256"/>
      <c r="Y749" s="256"/>
      <c r="Z749" s="256"/>
    </row>
    <row r="750">
      <c r="A750" s="256"/>
      <c r="B750" s="256"/>
      <c r="C750" s="256"/>
      <c r="D750" s="256"/>
      <c r="E750" s="256"/>
      <c r="F750" s="310"/>
      <c r="G750" s="256"/>
      <c r="H750" s="256"/>
      <c r="I750" s="256"/>
      <c r="J750" s="256"/>
      <c r="K750" s="256"/>
      <c r="L750" s="256"/>
      <c r="M750" s="256"/>
      <c r="N750" s="256"/>
      <c r="O750" s="256"/>
      <c r="P750" s="256"/>
      <c r="Q750" s="256"/>
      <c r="R750" s="256"/>
      <c r="S750" s="256"/>
      <c r="T750" s="256"/>
      <c r="U750" s="256"/>
      <c r="V750" s="256"/>
      <c r="W750" s="256"/>
      <c r="X750" s="256"/>
      <c r="Y750" s="256"/>
      <c r="Z750" s="256"/>
    </row>
    <row r="751">
      <c r="A751" s="256"/>
      <c r="B751" s="256"/>
      <c r="C751" s="256"/>
      <c r="D751" s="256"/>
      <c r="E751" s="256"/>
      <c r="F751" s="310"/>
      <c r="G751" s="256"/>
      <c r="H751" s="256"/>
      <c r="I751" s="256"/>
      <c r="J751" s="256"/>
      <c r="K751" s="256"/>
      <c r="L751" s="256"/>
      <c r="M751" s="256"/>
      <c r="N751" s="256"/>
      <c r="O751" s="256"/>
      <c r="P751" s="256"/>
      <c r="Q751" s="256"/>
      <c r="R751" s="256"/>
      <c r="S751" s="256"/>
      <c r="T751" s="256"/>
      <c r="U751" s="256"/>
      <c r="V751" s="256"/>
      <c r="W751" s="256"/>
      <c r="X751" s="256"/>
      <c r="Y751" s="256"/>
      <c r="Z751" s="256"/>
    </row>
    <row r="752">
      <c r="A752" s="256"/>
      <c r="B752" s="256"/>
      <c r="C752" s="256"/>
      <c r="D752" s="256"/>
      <c r="E752" s="256"/>
      <c r="F752" s="310"/>
      <c r="G752" s="256"/>
      <c r="H752" s="256"/>
      <c r="I752" s="256"/>
      <c r="J752" s="256"/>
      <c r="K752" s="256"/>
      <c r="L752" s="256"/>
      <c r="M752" s="256"/>
      <c r="N752" s="256"/>
      <c r="O752" s="256"/>
      <c r="P752" s="256"/>
      <c r="Q752" s="256"/>
      <c r="R752" s="256"/>
      <c r="S752" s="256"/>
      <c r="T752" s="256"/>
      <c r="U752" s="256"/>
      <c r="V752" s="256"/>
      <c r="W752" s="256"/>
      <c r="X752" s="256"/>
      <c r="Y752" s="256"/>
      <c r="Z752" s="256"/>
    </row>
    <row r="753">
      <c r="A753" s="256"/>
      <c r="B753" s="256"/>
      <c r="C753" s="256"/>
      <c r="D753" s="256"/>
      <c r="E753" s="256"/>
      <c r="F753" s="310"/>
      <c r="G753" s="256"/>
      <c r="H753" s="256"/>
      <c r="I753" s="256"/>
      <c r="J753" s="256"/>
      <c r="K753" s="256"/>
      <c r="L753" s="256"/>
      <c r="M753" s="256"/>
      <c r="N753" s="256"/>
      <c r="O753" s="256"/>
      <c r="P753" s="256"/>
      <c r="Q753" s="256"/>
      <c r="R753" s="256"/>
      <c r="S753" s="256"/>
      <c r="T753" s="256"/>
      <c r="U753" s="256"/>
      <c r="V753" s="256"/>
      <c r="W753" s="256"/>
      <c r="X753" s="256"/>
      <c r="Y753" s="256"/>
      <c r="Z753" s="256"/>
    </row>
    <row r="754">
      <c r="A754" s="256"/>
      <c r="B754" s="256"/>
      <c r="C754" s="256"/>
      <c r="D754" s="256"/>
      <c r="E754" s="256"/>
      <c r="F754" s="310"/>
      <c r="G754" s="256"/>
      <c r="H754" s="256"/>
      <c r="I754" s="256"/>
      <c r="J754" s="256"/>
      <c r="K754" s="256"/>
      <c r="L754" s="256"/>
      <c r="M754" s="256"/>
      <c r="N754" s="256"/>
      <c r="O754" s="256"/>
      <c r="P754" s="256"/>
      <c r="Q754" s="256"/>
      <c r="R754" s="256"/>
      <c r="S754" s="256"/>
      <c r="T754" s="256"/>
      <c r="U754" s="256"/>
      <c r="V754" s="256"/>
      <c r="W754" s="256"/>
      <c r="X754" s="256"/>
      <c r="Y754" s="256"/>
      <c r="Z754" s="256"/>
    </row>
    <row r="755">
      <c r="A755" s="256"/>
      <c r="B755" s="256"/>
      <c r="C755" s="256"/>
      <c r="D755" s="256"/>
      <c r="E755" s="256"/>
      <c r="F755" s="310"/>
      <c r="G755" s="256"/>
      <c r="H755" s="256"/>
      <c r="I755" s="256"/>
      <c r="J755" s="256"/>
      <c r="K755" s="256"/>
      <c r="L755" s="256"/>
      <c r="M755" s="256"/>
      <c r="N755" s="256"/>
      <c r="O755" s="256"/>
      <c r="P755" s="256"/>
      <c r="Q755" s="256"/>
      <c r="R755" s="256"/>
      <c r="S755" s="256"/>
      <c r="T755" s="256"/>
      <c r="U755" s="256"/>
      <c r="V755" s="256"/>
      <c r="W755" s="256"/>
      <c r="X755" s="256"/>
      <c r="Y755" s="256"/>
      <c r="Z755" s="256"/>
    </row>
    <row r="756">
      <c r="A756" s="256"/>
      <c r="B756" s="256"/>
      <c r="C756" s="256"/>
      <c r="D756" s="256"/>
      <c r="E756" s="256"/>
      <c r="F756" s="310"/>
      <c r="G756" s="256"/>
      <c r="H756" s="256"/>
      <c r="I756" s="256"/>
      <c r="J756" s="256"/>
      <c r="K756" s="256"/>
      <c r="L756" s="256"/>
      <c r="M756" s="256"/>
      <c r="N756" s="256"/>
      <c r="O756" s="256"/>
      <c r="P756" s="256"/>
      <c r="Q756" s="256"/>
      <c r="R756" s="256"/>
      <c r="S756" s="256"/>
      <c r="T756" s="256"/>
      <c r="U756" s="256"/>
      <c r="V756" s="256"/>
      <c r="W756" s="256"/>
      <c r="X756" s="256"/>
      <c r="Y756" s="256"/>
      <c r="Z756" s="256"/>
    </row>
    <row r="757">
      <c r="A757" s="256"/>
      <c r="B757" s="256"/>
      <c r="C757" s="256"/>
      <c r="D757" s="256"/>
      <c r="E757" s="256"/>
      <c r="F757" s="310"/>
      <c r="G757" s="256"/>
      <c r="H757" s="256"/>
      <c r="I757" s="256"/>
      <c r="J757" s="256"/>
      <c r="K757" s="256"/>
      <c r="L757" s="256"/>
      <c r="M757" s="256"/>
      <c r="N757" s="256"/>
      <c r="O757" s="256"/>
      <c r="P757" s="256"/>
      <c r="Q757" s="256"/>
      <c r="R757" s="256"/>
      <c r="S757" s="256"/>
      <c r="T757" s="256"/>
      <c r="U757" s="256"/>
      <c r="V757" s="256"/>
      <c r="W757" s="256"/>
      <c r="X757" s="256"/>
      <c r="Y757" s="256"/>
      <c r="Z757" s="256"/>
    </row>
    <row r="758">
      <c r="A758" s="256"/>
      <c r="B758" s="256"/>
      <c r="C758" s="256"/>
      <c r="D758" s="256"/>
      <c r="E758" s="256"/>
      <c r="F758" s="310"/>
      <c r="G758" s="256"/>
      <c r="H758" s="256"/>
      <c r="I758" s="256"/>
      <c r="J758" s="256"/>
      <c r="K758" s="256"/>
      <c r="L758" s="256"/>
      <c r="M758" s="256"/>
      <c r="N758" s="256"/>
      <c r="O758" s="256"/>
      <c r="P758" s="256"/>
      <c r="Q758" s="256"/>
      <c r="R758" s="256"/>
      <c r="S758" s="256"/>
      <c r="T758" s="256"/>
      <c r="U758" s="256"/>
      <c r="V758" s="256"/>
      <c r="W758" s="256"/>
      <c r="X758" s="256"/>
      <c r="Y758" s="256"/>
      <c r="Z758" s="256"/>
    </row>
    <row r="759">
      <c r="A759" s="256"/>
      <c r="B759" s="256"/>
      <c r="C759" s="256"/>
      <c r="D759" s="256"/>
      <c r="E759" s="256"/>
      <c r="F759" s="310"/>
      <c r="G759" s="256"/>
      <c r="H759" s="256"/>
      <c r="I759" s="256"/>
      <c r="J759" s="256"/>
      <c r="K759" s="256"/>
      <c r="L759" s="256"/>
      <c r="M759" s="256"/>
      <c r="N759" s="256"/>
      <c r="O759" s="256"/>
      <c r="P759" s="256"/>
      <c r="Q759" s="256"/>
      <c r="R759" s="256"/>
      <c r="S759" s="256"/>
      <c r="T759" s="256"/>
      <c r="U759" s="256"/>
      <c r="V759" s="256"/>
      <c r="W759" s="256"/>
      <c r="X759" s="256"/>
      <c r="Y759" s="256"/>
      <c r="Z759" s="256"/>
    </row>
    <row r="760">
      <c r="A760" s="256"/>
      <c r="B760" s="256"/>
      <c r="C760" s="256"/>
      <c r="D760" s="256"/>
      <c r="E760" s="256"/>
      <c r="F760" s="310"/>
      <c r="G760" s="256"/>
      <c r="H760" s="256"/>
      <c r="I760" s="256"/>
      <c r="J760" s="256"/>
      <c r="K760" s="256"/>
      <c r="L760" s="256"/>
      <c r="M760" s="256"/>
      <c r="N760" s="256"/>
      <c r="O760" s="256"/>
      <c r="P760" s="256"/>
      <c r="Q760" s="256"/>
      <c r="R760" s="256"/>
      <c r="S760" s="256"/>
      <c r="T760" s="256"/>
      <c r="U760" s="256"/>
      <c r="V760" s="256"/>
      <c r="W760" s="256"/>
      <c r="X760" s="256"/>
      <c r="Y760" s="256"/>
      <c r="Z760" s="256"/>
    </row>
    <row r="761">
      <c r="A761" s="256"/>
      <c r="B761" s="256"/>
      <c r="C761" s="256"/>
      <c r="D761" s="256"/>
      <c r="E761" s="256"/>
      <c r="F761" s="310"/>
      <c r="G761" s="256"/>
      <c r="H761" s="256"/>
      <c r="I761" s="256"/>
      <c r="J761" s="256"/>
      <c r="K761" s="256"/>
      <c r="L761" s="256"/>
      <c r="M761" s="256"/>
      <c r="N761" s="256"/>
      <c r="O761" s="256"/>
      <c r="P761" s="256"/>
      <c r="Q761" s="256"/>
      <c r="R761" s="256"/>
      <c r="S761" s="256"/>
      <c r="T761" s="256"/>
      <c r="U761" s="256"/>
      <c r="V761" s="256"/>
      <c r="W761" s="256"/>
      <c r="X761" s="256"/>
      <c r="Y761" s="256"/>
      <c r="Z761" s="256"/>
    </row>
    <row r="762">
      <c r="A762" s="256"/>
      <c r="B762" s="256"/>
      <c r="C762" s="256"/>
      <c r="D762" s="256"/>
      <c r="E762" s="256"/>
      <c r="F762" s="310"/>
      <c r="G762" s="256"/>
      <c r="H762" s="256"/>
      <c r="I762" s="256"/>
      <c r="J762" s="256"/>
      <c r="K762" s="256"/>
      <c r="L762" s="256"/>
      <c r="M762" s="256"/>
      <c r="N762" s="256"/>
      <c r="O762" s="256"/>
      <c r="P762" s="256"/>
      <c r="Q762" s="256"/>
      <c r="R762" s="256"/>
      <c r="S762" s="256"/>
      <c r="T762" s="256"/>
      <c r="U762" s="256"/>
      <c r="V762" s="256"/>
      <c r="W762" s="256"/>
      <c r="X762" s="256"/>
      <c r="Y762" s="256"/>
      <c r="Z762" s="256"/>
    </row>
    <row r="763">
      <c r="A763" s="256"/>
      <c r="B763" s="256"/>
      <c r="C763" s="256"/>
      <c r="D763" s="256"/>
      <c r="E763" s="256"/>
      <c r="F763" s="310"/>
      <c r="G763" s="256"/>
      <c r="H763" s="256"/>
      <c r="I763" s="256"/>
      <c r="J763" s="256"/>
      <c r="K763" s="256"/>
      <c r="L763" s="256"/>
      <c r="M763" s="256"/>
      <c r="N763" s="256"/>
      <c r="O763" s="256"/>
      <c r="P763" s="256"/>
      <c r="Q763" s="256"/>
      <c r="R763" s="256"/>
      <c r="S763" s="256"/>
      <c r="T763" s="256"/>
      <c r="U763" s="256"/>
      <c r="V763" s="256"/>
      <c r="W763" s="256"/>
      <c r="X763" s="256"/>
      <c r="Y763" s="256"/>
      <c r="Z763" s="256"/>
    </row>
    <row r="764">
      <c r="A764" s="256"/>
      <c r="B764" s="256"/>
      <c r="C764" s="256"/>
      <c r="D764" s="256"/>
      <c r="E764" s="256"/>
      <c r="F764" s="310"/>
      <c r="G764" s="256"/>
      <c r="H764" s="256"/>
      <c r="I764" s="256"/>
      <c r="J764" s="256"/>
      <c r="K764" s="256"/>
      <c r="L764" s="256"/>
      <c r="M764" s="256"/>
      <c r="N764" s="256"/>
      <c r="O764" s="256"/>
      <c r="P764" s="256"/>
      <c r="Q764" s="256"/>
      <c r="R764" s="256"/>
      <c r="S764" s="256"/>
      <c r="T764" s="256"/>
      <c r="U764" s="256"/>
      <c r="V764" s="256"/>
      <c r="W764" s="256"/>
      <c r="X764" s="256"/>
      <c r="Y764" s="256"/>
      <c r="Z764" s="256"/>
    </row>
    <row r="765">
      <c r="A765" s="256"/>
      <c r="B765" s="256"/>
      <c r="C765" s="256"/>
      <c r="D765" s="256"/>
      <c r="E765" s="256"/>
      <c r="F765" s="310"/>
      <c r="G765" s="256"/>
      <c r="H765" s="256"/>
      <c r="I765" s="256"/>
      <c r="J765" s="256"/>
      <c r="K765" s="256"/>
      <c r="L765" s="256"/>
      <c r="M765" s="256"/>
      <c r="N765" s="256"/>
      <c r="O765" s="256"/>
      <c r="P765" s="256"/>
      <c r="Q765" s="256"/>
      <c r="R765" s="256"/>
      <c r="S765" s="256"/>
      <c r="T765" s="256"/>
      <c r="U765" s="256"/>
      <c r="V765" s="256"/>
      <c r="W765" s="256"/>
      <c r="X765" s="256"/>
      <c r="Y765" s="256"/>
      <c r="Z765" s="256"/>
    </row>
    <row r="766">
      <c r="A766" s="256"/>
      <c r="B766" s="256"/>
      <c r="C766" s="256"/>
      <c r="D766" s="256"/>
      <c r="E766" s="256"/>
      <c r="F766" s="310"/>
      <c r="G766" s="256"/>
      <c r="H766" s="256"/>
      <c r="I766" s="256"/>
      <c r="J766" s="256"/>
      <c r="K766" s="256"/>
      <c r="L766" s="256"/>
      <c r="M766" s="256"/>
      <c r="N766" s="256"/>
      <c r="O766" s="256"/>
      <c r="P766" s="256"/>
      <c r="Q766" s="256"/>
      <c r="R766" s="256"/>
      <c r="S766" s="256"/>
      <c r="T766" s="256"/>
      <c r="U766" s="256"/>
      <c r="V766" s="256"/>
      <c r="W766" s="256"/>
      <c r="X766" s="256"/>
      <c r="Y766" s="256"/>
      <c r="Z766" s="256"/>
    </row>
    <row r="767">
      <c r="A767" s="256"/>
      <c r="B767" s="256"/>
      <c r="C767" s="256"/>
      <c r="D767" s="256"/>
      <c r="E767" s="256"/>
      <c r="F767" s="310"/>
      <c r="G767" s="256"/>
      <c r="H767" s="256"/>
      <c r="I767" s="256"/>
      <c r="J767" s="256"/>
      <c r="K767" s="256"/>
      <c r="L767" s="256"/>
      <c r="M767" s="256"/>
      <c r="N767" s="256"/>
      <c r="O767" s="256"/>
      <c r="P767" s="256"/>
      <c r="Q767" s="256"/>
      <c r="R767" s="256"/>
      <c r="S767" s="256"/>
      <c r="T767" s="256"/>
      <c r="U767" s="256"/>
      <c r="V767" s="256"/>
      <c r="W767" s="256"/>
      <c r="X767" s="256"/>
      <c r="Y767" s="256"/>
      <c r="Z767" s="256"/>
    </row>
    <row r="768">
      <c r="A768" s="256"/>
      <c r="B768" s="256"/>
      <c r="C768" s="256"/>
      <c r="D768" s="256"/>
      <c r="E768" s="256"/>
      <c r="F768" s="310"/>
      <c r="G768" s="256"/>
      <c r="H768" s="256"/>
      <c r="I768" s="256"/>
      <c r="J768" s="256"/>
      <c r="K768" s="256"/>
      <c r="L768" s="256"/>
      <c r="M768" s="256"/>
      <c r="N768" s="256"/>
      <c r="O768" s="256"/>
      <c r="P768" s="256"/>
      <c r="Q768" s="256"/>
      <c r="R768" s="256"/>
      <c r="S768" s="256"/>
      <c r="T768" s="256"/>
      <c r="U768" s="256"/>
      <c r="V768" s="256"/>
      <c r="W768" s="256"/>
      <c r="X768" s="256"/>
      <c r="Y768" s="256"/>
      <c r="Z768" s="256"/>
    </row>
    <row r="769">
      <c r="A769" s="256"/>
      <c r="B769" s="256"/>
      <c r="C769" s="256"/>
      <c r="D769" s="256"/>
      <c r="E769" s="256"/>
      <c r="F769" s="310"/>
      <c r="G769" s="256"/>
      <c r="H769" s="256"/>
      <c r="I769" s="256"/>
      <c r="J769" s="256"/>
      <c r="K769" s="256"/>
      <c r="L769" s="256"/>
      <c r="M769" s="256"/>
      <c r="N769" s="256"/>
      <c r="O769" s="256"/>
      <c r="P769" s="256"/>
      <c r="Q769" s="256"/>
      <c r="R769" s="256"/>
      <c r="S769" s="256"/>
      <c r="T769" s="256"/>
      <c r="U769" s="256"/>
      <c r="V769" s="256"/>
      <c r="W769" s="256"/>
      <c r="X769" s="256"/>
      <c r="Y769" s="256"/>
      <c r="Z769" s="256"/>
    </row>
    <row r="770">
      <c r="A770" s="256"/>
      <c r="B770" s="256"/>
      <c r="C770" s="256"/>
      <c r="D770" s="256"/>
      <c r="E770" s="256"/>
      <c r="F770" s="310"/>
      <c r="G770" s="256"/>
      <c r="H770" s="256"/>
      <c r="I770" s="256"/>
      <c r="J770" s="256"/>
      <c r="K770" s="256"/>
      <c r="L770" s="256"/>
      <c r="M770" s="256"/>
      <c r="N770" s="256"/>
      <c r="O770" s="256"/>
      <c r="P770" s="256"/>
      <c r="Q770" s="256"/>
      <c r="R770" s="256"/>
      <c r="S770" s="256"/>
      <c r="T770" s="256"/>
      <c r="U770" s="256"/>
      <c r="V770" s="256"/>
      <c r="W770" s="256"/>
      <c r="X770" s="256"/>
      <c r="Y770" s="256"/>
      <c r="Z770" s="256"/>
    </row>
    <row r="771">
      <c r="A771" s="256"/>
      <c r="B771" s="256"/>
      <c r="C771" s="256"/>
      <c r="D771" s="256"/>
      <c r="E771" s="256"/>
      <c r="F771" s="310"/>
      <c r="G771" s="256"/>
      <c r="H771" s="256"/>
      <c r="I771" s="256"/>
      <c r="J771" s="256"/>
      <c r="K771" s="256"/>
      <c r="L771" s="256"/>
      <c r="M771" s="256"/>
      <c r="N771" s="256"/>
      <c r="O771" s="256"/>
      <c r="P771" s="256"/>
      <c r="Q771" s="256"/>
      <c r="R771" s="256"/>
      <c r="S771" s="256"/>
      <c r="T771" s="256"/>
      <c r="U771" s="256"/>
      <c r="V771" s="256"/>
      <c r="W771" s="256"/>
      <c r="X771" s="256"/>
      <c r="Y771" s="256"/>
      <c r="Z771" s="256"/>
    </row>
    <row r="772">
      <c r="A772" s="256"/>
      <c r="B772" s="256"/>
      <c r="C772" s="256"/>
      <c r="D772" s="256"/>
      <c r="E772" s="256"/>
      <c r="F772" s="310"/>
      <c r="G772" s="256"/>
      <c r="H772" s="256"/>
      <c r="I772" s="256"/>
      <c r="J772" s="256"/>
      <c r="K772" s="256"/>
      <c r="L772" s="256"/>
      <c r="M772" s="256"/>
      <c r="N772" s="256"/>
      <c r="O772" s="256"/>
      <c r="P772" s="256"/>
      <c r="Q772" s="256"/>
      <c r="R772" s="256"/>
      <c r="S772" s="256"/>
      <c r="T772" s="256"/>
      <c r="U772" s="256"/>
      <c r="V772" s="256"/>
      <c r="W772" s="256"/>
      <c r="X772" s="256"/>
      <c r="Y772" s="256"/>
      <c r="Z772" s="256"/>
    </row>
    <row r="773">
      <c r="A773" s="256"/>
      <c r="B773" s="256"/>
      <c r="C773" s="256"/>
      <c r="D773" s="256"/>
      <c r="E773" s="256"/>
      <c r="F773" s="310"/>
      <c r="G773" s="256"/>
      <c r="H773" s="256"/>
      <c r="I773" s="256"/>
      <c r="J773" s="256"/>
      <c r="K773" s="256"/>
      <c r="L773" s="256"/>
      <c r="M773" s="256"/>
      <c r="N773" s="256"/>
      <c r="O773" s="256"/>
      <c r="P773" s="256"/>
      <c r="Q773" s="256"/>
      <c r="R773" s="256"/>
      <c r="S773" s="256"/>
      <c r="T773" s="256"/>
      <c r="U773" s="256"/>
      <c r="V773" s="256"/>
      <c r="W773" s="256"/>
      <c r="X773" s="256"/>
      <c r="Y773" s="256"/>
      <c r="Z773" s="256"/>
    </row>
    <row r="774">
      <c r="A774" s="256"/>
      <c r="B774" s="256"/>
      <c r="C774" s="256"/>
      <c r="D774" s="256"/>
      <c r="E774" s="256"/>
      <c r="F774" s="310"/>
      <c r="G774" s="256"/>
      <c r="H774" s="256"/>
      <c r="I774" s="256"/>
      <c r="J774" s="256"/>
      <c r="K774" s="256"/>
      <c r="L774" s="256"/>
      <c r="M774" s="256"/>
      <c r="N774" s="256"/>
      <c r="O774" s="256"/>
      <c r="P774" s="256"/>
      <c r="Q774" s="256"/>
      <c r="R774" s="256"/>
      <c r="S774" s="256"/>
      <c r="T774" s="256"/>
      <c r="U774" s="256"/>
      <c r="V774" s="256"/>
      <c r="W774" s="256"/>
      <c r="X774" s="256"/>
      <c r="Y774" s="256"/>
      <c r="Z774" s="256"/>
    </row>
    <row r="775">
      <c r="A775" s="256"/>
      <c r="B775" s="256"/>
      <c r="C775" s="256"/>
      <c r="D775" s="256"/>
      <c r="E775" s="256"/>
      <c r="F775" s="310"/>
      <c r="G775" s="256"/>
      <c r="H775" s="256"/>
      <c r="I775" s="256"/>
      <c r="J775" s="256"/>
      <c r="K775" s="256"/>
      <c r="L775" s="256"/>
      <c r="M775" s="256"/>
      <c r="N775" s="256"/>
      <c r="O775" s="256"/>
      <c r="P775" s="256"/>
      <c r="Q775" s="256"/>
      <c r="R775" s="256"/>
      <c r="S775" s="256"/>
      <c r="T775" s="256"/>
      <c r="U775" s="256"/>
      <c r="V775" s="256"/>
      <c r="W775" s="256"/>
      <c r="X775" s="256"/>
      <c r="Y775" s="256"/>
      <c r="Z775" s="256"/>
    </row>
    <row r="776">
      <c r="A776" s="256"/>
      <c r="B776" s="256"/>
      <c r="C776" s="256"/>
      <c r="D776" s="256"/>
      <c r="E776" s="256"/>
      <c r="F776" s="310"/>
      <c r="G776" s="256"/>
      <c r="H776" s="256"/>
      <c r="I776" s="256"/>
      <c r="J776" s="256"/>
      <c r="K776" s="256"/>
      <c r="L776" s="256"/>
      <c r="M776" s="256"/>
      <c r="N776" s="256"/>
      <c r="O776" s="256"/>
      <c r="P776" s="256"/>
      <c r="Q776" s="256"/>
      <c r="R776" s="256"/>
      <c r="S776" s="256"/>
      <c r="T776" s="256"/>
      <c r="U776" s="256"/>
      <c r="V776" s="256"/>
      <c r="W776" s="256"/>
      <c r="X776" s="256"/>
      <c r="Y776" s="256"/>
      <c r="Z776" s="256"/>
    </row>
    <row r="777">
      <c r="A777" s="256"/>
      <c r="B777" s="256"/>
      <c r="C777" s="256"/>
      <c r="D777" s="256"/>
      <c r="E777" s="256"/>
      <c r="F777" s="310"/>
      <c r="G777" s="256"/>
      <c r="H777" s="256"/>
      <c r="I777" s="256"/>
      <c r="J777" s="256"/>
      <c r="K777" s="256"/>
      <c r="L777" s="256"/>
      <c r="M777" s="256"/>
      <c r="N777" s="256"/>
      <c r="O777" s="256"/>
      <c r="P777" s="256"/>
      <c r="Q777" s="256"/>
      <c r="R777" s="256"/>
      <c r="S777" s="256"/>
      <c r="T777" s="256"/>
      <c r="U777" s="256"/>
      <c r="V777" s="256"/>
      <c r="W777" s="256"/>
      <c r="X777" s="256"/>
      <c r="Y777" s="256"/>
      <c r="Z777" s="256"/>
    </row>
    <row r="778">
      <c r="A778" s="256"/>
      <c r="B778" s="256"/>
      <c r="C778" s="256"/>
      <c r="D778" s="256"/>
      <c r="E778" s="256"/>
      <c r="F778" s="310"/>
      <c r="G778" s="256"/>
      <c r="H778" s="256"/>
      <c r="I778" s="256"/>
      <c r="J778" s="256"/>
      <c r="K778" s="256"/>
      <c r="L778" s="256"/>
      <c r="M778" s="256"/>
      <c r="N778" s="256"/>
      <c r="O778" s="256"/>
      <c r="P778" s="256"/>
      <c r="Q778" s="256"/>
      <c r="R778" s="256"/>
      <c r="S778" s="256"/>
      <c r="T778" s="256"/>
      <c r="U778" s="256"/>
      <c r="V778" s="256"/>
      <c r="W778" s="256"/>
      <c r="X778" s="256"/>
      <c r="Y778" s="256"/>
      <c r="Z778" s="256"/>
    </row>
    <row r="779">
      <c r="A779" s="256"/>
      <c r="B779" s="256"/>
      <c r="C779" s="256"/>
      <c r="D779" s="256"/>
      <c r="E779" s="256"/>
      <c r="F779" s="310"/>
      <c r="G779" s="256"/>
      <c r="H779" s="256"/>
      <c r="I779" s="256"/>
      <c r="J779" s="256"/>
      <c r="K779" s="256"/>
      <c r="L779" s="256"/>
      <c r="M779" s="256"/>
      <c r="N779" s="256"/>
      <c r="O779" s="256"/>
      <c r="P779" s="256"/>
      <c r="Q779" s="256"/>
      <c r="R779" s="256"/>
      <c r="S779" s="256"/>
      <c r="T779" s="256"/>
      <c r="U779" s="256"/>
      <c r="V779" s="256"/>
      <c r="W779" s="256"/>
      <c r="X779" s="256"/>
      <c r="Y779" s="256"/>
      <c r="Z779" s="256"/>
    </row>
    <row r="780">
      <c r="A780" s="256"/>
      <c r="B780" s="256"/>
      <c r="C780" s="256"/>
      <c r="D780" s="256"/>
      <c r="E780" s="256"/>
      <c r="F780" s="310"/>
      <c r="G780" s="256"/>
      <c r="H780" s="256"/>
      <c r="I780" s="256"/>
      <c r="J780" s="256"/>
      <c r="K780" s="256"/>
      <c r="L780" s="256"/>
      <c r="M780" s="256"/>
      <c r="N780" s="256"/>
      <c r="O780" s="256"/>
      <c r="P780" s="256"/>
      <c r="Q780" s="256"/>
      <c r="R780" s="256"/>
      <c r="S780" s="256"/>
      <c r="T780" s="256"/>
      <c r="U780" s="256"/>
      <c r="V780" s="256"/>
      <c r="W780" s="256"/>
      <c r="X780" s="256"/>
      <c r="Y780" s="256"/>
      <c r="Z780" s="256"/>
    </row>
    <row r="781">
      <c r="A781" s="256"/>
      <c r="B781" s="256"/>
      <c r="C781" s="256"/>
      <c r="D781" s="256"/>
      <c r="E781" s="256"/>
      <c r="F781" s="310"/>
      <c r="G781" s="256"/>
      <c r="H781" s="256"/>
      <c r="I781" s="256"/>
      <c r="J781" s="256"/>
      <c r="K781" s="256"/>
      <c r="L781" s="256"/>
      <c r="M781" s="256"/>
      <c r="N781" s="256"/>
      <c r="O781" s="256"/>
      <c r="P781" s="256"/>
      <c r="Q781" s="256"/>
      <c r="R781" s="256"/>
      <c r="S781" s="256"/>
      <c r="T781" s="256"/>
      <c r="U781" s="256"/>
      <c r="V781" s="256"/>
      <c r="W781" s="256"/>
      <c r="X781" s="256"/>
      <c r="Y781" s="256"/>
      <c r="Z781" s="256"/>
    </row>
    <row r="782">
      <c r="A782" s="256"/>
      <c r="B782" s="256"/>
      <c r="C782" s="256"/>
      <c r="D782" s="256"/>
      <c r="E782" s="256"/>
      <c r="F782" s="310"/>
      <c r="G782" s="256"/>
      <c r="H782" s="256"/>
      <c r="I782" s="256"/>
      <c r="J782" s="256"/>
      <c r="K782" s="256"/>
      <c r="L782" s="256"/>
      <c r="M782" s="256"/>
      <c r="N782" s="256"/>
      <c r="O782" s="256"/>
      <c r="P782" s="256"/>
      <c r="Q782" s="256"/>
      <c r="R782" s="256"/>
      <c r="S782" s="256"/>
      <c r="T782" s="256"/>
      <c r="U782" s="256"/>
      <c r="V782" s="256"/>
      <c r="W782" s="256"/>
      <c r="X782" s="256"/>
      <c r="Y782" s="256"/>
      <c r="Z782" s="256"/>
    </row>
    <row r="783">
      <c r="A783" s="256"/>
      <c r="B783" s="256"/>
      <c r="C783" s="256"/>
      <c r="D783" s="256"/>
      <c r="E783" s="256"/>
      <c r="F783" s="310"/>
      <c r="G783" s="256"/>
      <c r="H783" s="256"/>
      <c r="I783" s="256"/>
      <c r="J783" s="256"/>
      <c r="K783" s="256"/>
      <c r="L783" s="256"/>
      <c r="M783" s="256"/>
      <c r="N783" s="256"/>
      <c r="O783" s="256"/>
      <c r="P783" s="256"/>
      <c r="Q783" s="256"/>
      <c r="R783" s="256"/>
      <c r="S783" s="256"/>
      <c r="T783" s="256"/>
      <c r="U783" s="256"/>
      <c r="V783" s="256"/>
      <c r="W783" s="256"/>
      <c r="X783" s="256"/>
      <c r="Y783" s="256"/>
      <c r="Z783" s="256"/>
    </row>
    <row r="784">
      <c r="A784" s="256"/>
      <c r="B784" s="256"/>
      <c r="C784" s="256"/>
      <c r="D784" s="256"/>
      <c r="E784" s="256"/>
      <c r="F784" s="310"/>
      <c r="G784" s="256"/>
      <c r="H784" s="256"/>
      <c r="I784" s="256"/>
      <c r="J784" s="256"/>
      <c r="K784" s="256"/>
      <c r="L784" s="256"/>
      <c r="M784" s="256"/>
      <c r="N784" s="256"/>
      <c r="O784" s="256"/>
      <c r="P784" s="256"/>
      <c r="Q784" s="256"/>
      <c r="R784" s="256"/>
      <c r="S784" s="256"/>
      <c r="T784" s="256"/>
      <c r="U784" s="256"/>
      <c r="V784" s="256"/>
      <c r="W784" s="256"/>
      <c r="X784" s="256"/>
      <c r="Y784" s="256"/>
      <c r="Z784" s="256"/>
    </row>
    <row r="785">
      <c r="A785" s="256"/>
      <c r="B785" s="256"/>
      <c r="C785" s="256"/>
      <c r="D785" s="256"/>
      <c r="E785" s="256"/>
      <c r="F785" s="310"/>
      <c r="G785" s="256"/>
      <c r="H785" s="256"/>
      <c r="I785" s="256"/>
      <c r="J785" s="256"/>
      <c r="K785" s="256"/>
      <c r="L785" s="256"/>
      <c r="M785" s="256"/>
      <c r="N785" s="256"/>
      <c r="O785" s="256"/>
      <c r="P785" s="256"/>
      <c r="Q785" s="256"/>
      <c r="R785" s="256"/>
      <c r="S785" s="256"/>
      <c r="T785" s="256"/>
      <c r="U785" s="256"/>
      <c r="V785" s="256"/>
      <c r="W785" s="256"/>
      <c r="X785" s="256"/>
      <c r="Y785" s="256"/>
      <c r="Z785" s="256"/>
    </row>
    <row r="786">
      <c r="A786" s="256"/>
      <c r="B786" s="256"/>
      <c r="C786" s="256"/>
      <c r="D786" s="256"/>
      <c r="E786" s="256"/>
      <c r="F786" s="310"/>
      <c r="G786" s="256"/>
      <c r="H786" s="256"/>
      <c r="I786" s="256"/>
      <c r="J786" s="256"/>
      <c r="K786" s="256"/>
      <c r="L786" s="256"/>
      <c r="M786" s="256"/>
      <c r="N786" s="256"/>
      <c r="O786" s="256"/>
      <c r="P786" s="256"/>
      <c r="Q786" s="256"/>
      <c r="R786" s="256"/>
      <c r="S786" s="256"/>
      <c r="T786" s="256"/>
      <c r="U786" s="256"/>
      <c r="V786" s="256"/>
      <c r="W786" s="256"/>
      <c r="X786" s="256"/>
      <c r="Y786" s="256"/>
      <c r="Z786" s="256"/>
    </row>
    <row r="787">
      <c r="A787" s="256"/>
      <c r="B787" s="256"/>
      <c r="C787" s="256"/>
      <c r="D787" s="256"/>
      <c r="E787" s="256"/>
      <c r="F787" s="310"/>
      <c r="G787" s="256"/>
      <c r="H787" s="256"/>
      <c r="I787" s="256"/>
      <c r="J787" s="256"/>
      <c r="K787" s="256"/>
      <c r="L787" s="256"/>
      <c r="M787" s="256"/>
      <c r="N787" s="256"/>
      <c r="O787" s="256"/>
      <c r="P787" s="256"/>
      <c r="Q787" s="256"/>
      <c r="R787" s="256"/>
      <c r="S787" s="256"/>
      <c r="T787" s="256"/>
      <c r="U787" s="256"/>
      <c r="V787" s="256"/>
      <c r="W787" s="256"/>
      <c r="X787" s="256"/>
      <c r="Y787" s="256"/>
      <c r="Z787" s="256"/>
    </row>
    <row r="788">
      <c r="A788" s="256"/>
      <c r="B788" s="256"/>
      <c r="C788" s="256"/>
      <c r="D788" s="256"/>
      <c r="E788" s="256"/>
      <c r="F788" s="310"/>
      <c r="G788" s="256"/>
      <c r="H788" s="256"/>
      <c r="I788" s="256"/>
      <c r="J788" s="256"/>
      <c r="K788" s="256"/>
      <c r="L788" s="256"/>
      <c r="M788" s="256"/>
      <c r="N788" s="256"/>
      <c r="O788" s="256"/>
      <c r="P788" s="256"/>
      <c r="Q788" s="256"/>
      <c r="R788" s="256"/>
      <c r="S788" s="256"/>
      <c r="T788" s="256"/>
      <c r="U788" s="256"/>
      <c r="V788" s="256"/>
      <c r="W788" s="256"/>
      <c r="X788" s="256"/>
      <c r="Y788" s="256"/>
      <c r="Z788" s="256"/>
    </row>
    <row r="789">
      <c r="A789" s="256"/>
      <c r="B789" s="256"/>
      <c r="C789" s="256"/>
      <c r="D789" s="256"/>
      <c r="E789" s="256"/>
      <c r="F789" s="310"/>
      <c r="G789" s="256"/>
      <c r="H789" s="256"/>
      <c r="I789" s="256"/>
      <c r="J789" s="256"/>
      <c r="K789" s="256"/>
      <c r="L789" s="256"/>
      <c r="M789" s="256"/>
      <c r="N789" s="256"/>
      <c r="O789" s="256"/>
      <c r="P789" s="256"/>
      <c r="Q789" s="256"/>
      <c r="R789" s="256"/>
      <c r="S789" s="256"/>
      <c r="T789" s="256"/>
      <c r="U789" s="256"/>
      <c r="V789" s="256"/>
      <c r="W789" s="256"/>
      <c r="X789" s="256"/>
      <c r="Y789" s="256"/>
      <c r="Z789" s="256"/>
    </row>
    <row r="790">
      <c r="A790" s="256"/>
      <c r="B790" s="256"/>
      <c r="C790" s="256"/>
      <c r="D790" s="256"/>
      <c r="E790" s="256"/>
      <c r="F790" s="310"/>
      <c r="G790" s="256"/>
      <c r="H790" s="256"/>
      <c r="I790" s="256"/>
      <c r="J790" s="256"/>
      <c r="K790" s="256"/>
      <c r="L790" s="256"/>
      <c r="M790" s="256"/>
      <c r="N790" s="256"/>
      <c r="O790" s="256"/>
      <c r="P790" s="256"/>
      <c r="Q790" s="256"/>
      <c r="R790" s="256"/>
      <c r="S790" s="256"/>
      <c r="T790" s="256"/>
      <c r="U790" s="256"/>
      <c r="V790" s="256"/>
      <c r="W790" s="256"/>
      <c r="X790" s="256"/>
      <c r="Y790" s="256"/>
      <c r="Z790" s="256"/>
    </row>
    <row r="791">
      <c r="A791" s="256"/>
      <c r="B791" s="256"/>
      <c r="C791" s="256"/>
      <c r="D791" s="256"/>
      <c r="E791" s="256"/>
      <c r="F791" s="310"/>
      <c r="G791" s="256"/>
      <c r="H791" s="256"/>
      <c r="I791" s="256"/>
      <c r="J791" s="256"/>
      <c r="K791" s="256"/>
      <c r="L791" s="256"/>
      <c r="M791" s="256"/>
      <c r="N791" s="256"/>
      <c r="O791" s="256"/>
      <c r="P791" s="256"/>
      <c r="Q791" s="256"/>
      <c r="R791" s="256"/>
      <c r="S791" s="256"/>
      <c r="T791" s="256"/>
      <c r="U791" s="256"/>
      <c r="V791" s="256"/>
      <c r="W791" s="256"/>
      <c r="X791" s="256"/>
      <c r="Y791" s="256"/>
      <c r="Z791" s="256"/>
    </row>
    <row r="792">
      <c r="A792" s="256"/>
      <c r="B792" s="256"/>
      <c r="C792" s="256"/>
      <c r="D792" s="256"/>
      <c r="E792" s="256"/>
      <c r="F792" s="310"/>
      <c r="G792" s="256"/>
      <c r="H792" s="256"/>
      <c r="I792" s="256"/>
      <c r="J792" s="256"/>
      <c r="K792" s="256"/>
      <c r="L792" s="256"/>
      <c r="M792" s="256"/>
      <c r="N792" s="256"/>
      <c r="O792" s="256"/>
      <c r="P792" s="256"/>
      <c r="Q792" s="256"/>
      <c r="R792" s="256"/>
      <c r="S792" s="256"/>
      <c r="T792" s="256"/>
      <c r="U792" s="256"/>
      <c r="V792" s="256"/>
      <c r="W792" s="256"/>
      <c r="X792" s="256"/>
      <c r="Y792" s="256"/>
      <c r="Z792" s="256"/>
    </row>
    <row r="793">
      <c r="A793" s="256"/>
      <c r="B793" s="256"/>
      <c r="C793" s="256"/>
      <c r="D793" s="256"/>
      <c r="E793" s="256"/>
      <c r="F793" s="310"/>
      <c r="G793" s="256"/>
      <c r="H793" s="256"/>
      <c r="I793" s="256"/>
      <c r="J793" s="256"/>
      <c r="K793" s="256"/>
      <c r="L793" s="256"/>
      <c r="M793" s="256"/>
      <c r="N793" s="256"/>
      <c r="O793" s="256"/>
      <c r="P793" s="256"/>
      <c r="Q793" s="256"/>
      <c r="R793" s="256"/>
      <c r="S793" s="256"/>
      <c r="T793" s="256"/>
      <c r="U793" s="256"/>
      <c r="V793" s="256"/>
      <c r="W793" s="256"/>
      <c r="X793" s="256"/>
      <c r="Y793" s="256"/>
      <c r="Z793" s="256"/>
    </row>
    <row r="794">
      <c r="A794" s="256"/>
      <c r="B794" s="256"/>
      <c r="C794" s="256"/>
      <c r="D794" s="256"/>
      <c r="E794" s="256"/>
      <c r="F794" s="310"/>
      <c r="G794" s="256"/>
      <c r="H794" s="256"/>
      <c r="I794" s="256"/>
      <c r="J794" s="256"/>
      <c r="K794" s="256"/>
      <c r="L794" s="256"/>
      <c r="M794" s="256"/>
      <c r="N794" s="256"/>
      <c r="O794" s="256"/>
      <c r="P794" s="256"/>
      <c r="Q794" s="256"/>
      <c r="R794" s="256"/>
      <c r="S794" s="256"/>
      <c r="T794" s="256"/>
      <c r="U794" s="256"/>
      <c r="V794" s="256"/>
      <c r="W794" s="256"/>
      <c r="X794" s="256"/>
      <c r="Y794" s="256"/>
      <c r="Z794" s="256"/>
    </row>
    <row r="795">
      <c r="A795" s="256"/>
      <c r="B795" s="256"/>
      <c r="C795" s="256"/>
      <c r="D795" s="256"/>
      <c r="E795" s="256"/>
      <c r="F795" s="310"/>
      <c r="G795" s="256"/>
      <c r="H795" s="256"/>
      <c r="I795" s="256"/>
      <c r="J795" s="256"/>
      <c r="K795" s="256"/>
      <c r="L795" s="256"/>
      <c r="M795" s="256"/>
      <c r="N795" s="256"/>
      <c r="O795" s="256"/>
      <c r="P795" s="256"/>
      <c r="Q795" s="256"/>
      <c r="R795" s="256"/>
      <c r="S795" s="256"/>
      <c r="T795" s="256"/>
      <c r="U795" s="256"/>
      <c r="V795" s="256"/>
      <c r="W795" s="256"/>
      <c r="X795" s="256"/>
      <c r="Y795" s="256"/>
      <c r="Z795" s="256"/>
    </row>
    <row r="796">
      <c r="A796" s="256"/>
      <c r="B796" s="256"/>
      <c r="C796" s="256"/>
      <c r="D796" s="256"/>
      <c r="E796" s="256"/>
      <c r="F796" s="310"/>
      <c r="G796" s="256"/>
      <c r="H796" s="256"/>
      <c r="I796" s="256"/>
      <c r="J796" s="256"/>
      <c r="K796" s="256"/>
      <c r="L796" s="256"/>
      <c r="M796" s="256"/>
      <c r="N796" s="256"/>
      <c r="O796" s="256"/>
      <c r="P796" s="256"/>
      <c r="Q796" s="256"/>
      <c r="R796" s="256"/>
      <c r="S796" s="256"/>
      <c r="T796" s="256"/>
      <c r="U796" s="256"/>
      <c r="V796" s="256"/>
      <c r="W796" s="256"/>
      <c r="X796" s="256"/>
      <c r="Y796" s="256"/>
      <c r="Z796" s="256"/>
    </row>
    <row r="797">
      <c r="A797" s="256"/>
      <c r="B797" s="256"/>
      <c r="C797" s="256"/>
      <c r="D797" s="256"/>
      <c r="E797" s="256"/>
      <c r="F797" s="310"/>
      <c r="G797" s="256"/>
      <c r="H797" s="256"/>
      <c r="I797" s="256"/>
      <c r="J797" s="256"/>
      <c r="K797" s="256"/>
      <c r="L797" s="256"/>
      <c r="M797" s="256"/>
      <c r="N797" s="256"/>
      <c r="O797" s="256"/>
      <c r="P797" s="256"/>
      <c r="Q797" s="256"/>
      <c r="R797" s="256"/>
      <c r="S797" s="256"/>
      <c r="T797" s="256"/>
      <c r="U797" s="256"/>
      <c r="V797" s="256"/>
      <c r="W797" s="256"/>
      <c r="X797" s="256"/>
      <c r="Y797" s="256"/>
      <c r="Z797" s="256"/>
    </row>
    <row r="798">
      <c r="A798" s="256"/>
      <c r="B798" s="256"/>
      <c r="C798" s="256"/>
      <c r="D798" s="256"/>
      <c r="E798" s="256"/>
      <c r="F798" s="310"/>
      <c r="G798" s="256"/>
      <c r="H798" s="256"/>
      <c r="I798" s="256"/>
      <c r="J798" s="256"/>
      <c r="K798" s="256"/>
      <c r="L798" s="256"/>
      <c r="M798" s="256"/>
      <c r="N798" s="256"/>
      <c r="O798" s="256"/>
      <c r="P798" s="256"/>
      <c r="Q798" s="256"/>
      <c r="R798" s="256"/>
      <c r="S798" s="256"/>
      <c r="T798" s="256"/>
      <c r="U798" s="256"/>
      <c r="V798" s="256"/>
      <c r="W798" s="256"/>
      <c r="X798" s="256"/>
      <c r="Y798" s="256"/>
      <c r="Z798" s="256"/>
    </row>
    <row r="799">
      <c r="A799" s="256"/>
      <c r="B799" s="256"/>
      <c r="C799" s="256"/>
      <c r="D799" s="256"/>
      <c r="E799" s="256"/>
      <c r="F799" s="310"/>
      <c r="G799" s="256"/>
      <c r="H799" s="256"/>
      <c r="I799" s="256"/>
      <c r="J799" s="256"/>
      <c r="K799" s="256"/>
      <c r="L799" s="256"/>
      <c r="M799" s="256"/>
      <c r="N799" s="256"/>
      <c r="O799" s="256"/>
      <c r="P799" s="256"/>
      <c r="Q799" s="256"/>
      <c r="R799" s="256"/>
      <c r="S799" s="256"/>
      <c r="T799" s="256"/>
      <c r="U799" s="256"/>
      <c r="V799" s="256"/>
      <c r="W799" s="256"/>
      <c r="X799" s="256"/>
      <c r="Y799" s="256"/>
      <c r="Z799" s="256"/>
    </row>
    <row r="800">
      <c r="A800" s="256"/>
      <c r="B800" s="256"/>
      <c r="C800" s="256"/>
      <c r="D800" s="256"/>
      <c r="E800" s="256"/>
      <c r="F800" s="310"/>
      <c r="G800" s="256"/>
      <c r="H800" s="256"/>
      <c r="I800" s="256"/>
      <c r="J800" s="256"/>
      <c r="K800" s="256"/>
      <c r="L800" s="256"/>
      <c r="M800" s="256"/>
      <c r="N800" s="256"/>
      <c r="O800" s="256"/>
      <c r="P800" s="256"/>
      <c r="Q800" s="256"/>
      <c r="R800" s="256"/>
      <c r="S800" s="256"/>
      <c r="T800" s="256"/>
      <c r="U800" s="256"/>
      <c r="V800" s="256"/>
      <c r="W800" s="256"/>
      <c r="X800" s="256"/>
      <c r="Y800" s="256"/>
      <c r="Z800" s="256"/>
    </row>
    <row r="801">
      <c r="A801" s="256"/>
      <c r="B801" s="256"/>
      <c r="C801" s="256"/>
      <c r="D801" s="256"/>
      <c r="E801" s="256"/>
      <c r="F801" s="310"/>
      <c r="G801" s="256"/>
      <c r="H801" s="256"/>
      <c r="I801" s="256"/>
      <c r="J801" s="256"/>
      <c r="K801" s="256"/>
      <c r="L801" s="256"/>
      <c r="M801" s="256"/>
      <c r="N801" s="256"/>
      <c r="O801" s="256"/>
      <c r="P801" s="256"/>
      <c r="Q801" s="256"/>
      <c r="R801" s="256"/>
      <c r="S801" s="256"/>
      <c r="T801" s="256"/>
      <c r="U801" s="256"/>
      <c r="V801" s="256"/>
      <c r="W801" s="256"/>
      <c r="X801" s="256"/>
      <c r="Y801" s="256"/>
      <c r="Z801" s="256"/>
    </row>
    <row r="802">
      <c r="A802" s="256"/>
      <c r="B802" s="256"/>
      <c r="C802" s="256"/>
      <c r="D802" s="256"/>
      <c r="E802" s="256"/>
      <c r="F802" s="310"/>
      <c r="G802" s="256"/>
      <c r="H802" s="256"/>
      <c r="I802" s="256"/>
      <c r="J802" s="256"/>
      <c r="K802" s="256"/>
      <c r="L802" s="256"/>
      <c r="M802" s="256"/>
      <c r="N802" s="256"/>
      <c r="O802" s="256"/>
      <c r="P802" s="256"/>
      <c r="Q802" s="256"/>
      <c r="R802" s="256"/>
      <c r="S802" s="256"/>
      <c r="T802" s="256"/>
      <c r="U802" s="256"/>
      <c r="V802" s="256"/>
      <c r="W802" s="256"/>
      <c r="X802" s="256"/>
      <c r="Y802" s="256"/>
      <c r="Z802" s="256"/>
    </row>
    <row r="803">
      <c r="A803" s="256"/>
      <c r="B803" s="256"/>
      <c r="C803" s="256"/>
      <c r="D803" s="256"/>
      <c r="E803" s="256"/>
      <c r="F803" s="310"/>
      <c r="G803" s="256"/>
      <c r="H803" s="256"/>
      <c r="I803" s="256"/>
      <c r="J803" s="256"/>
      <c r="K803" s="256"/>
      <c r="L803" s="256"/>
      <c r="M803" s="256"/>
      <c r="N803" s="256"/>
      <c r="O803" s="256"/>
      <c r="P803" s="256"/>
      <c r="Q803" s="256"/>
      <c r="R803" s="256"/>
      <c r="S803" s="256"/>
      <c r="T803" s="256"/>
      <c r="U803" s="256"/>
      <c r="V803" s="256"/>
      <c r="W803" s="256"/>
      <c r="X803" s="256"/>
      <c r="Y803" s="256"/>
      <c r="Z803" s="256"/>
    </row>
    <row r="804">
      <c r="A804" s="256"/>
      <c r="B804" s="256"/>
      <c r="C804" s="256"/>
      <c r="D804" s="256"/>
      <c r="E804" s="256"/>
      <c r="F804" s="310"/>
      <c r="G804" s="256"/>
      <c r="H804" s="256"/>
      <c r="I804" s="256"/>
      <c r="J804" s="256"/>
      <c r="K804" s="256"/>
      <c r="L804" s="256"/>
      <c r="M804" s="256"/>
      <c r="N804" s="256"/>
      <c r="O804" s="256"/>
      <c r="P804" s="256"/>
      <c r="Q804" s="256"/>
      <c r="R804" s="256"/>
      <c r="S804" s="256"/>
      <c r="T804" s="256"/>
      <c r="U804" s="256"/>
      <c r="V804" s="256"/>
      <c r="W804" s="256"/>
      <c r="X804" s="256"/>
      <c r="Y804" s="256"/>
      <c r="Z804" s="256"/>
    </row>
    <row r="805">
      <c r="A805" s="256"/>
      <c r="B805" s="256"/>
      <c r="C805" s="256"/>
      <c r="D805" s="256"/>
      <c r="E805" s="256"/>
      <c r="F805" s="310"/>
      <c r="G805" s="256"/>
      <c r="H805" s="256"/>
      <c r="I805" s="256"/>
      <c r="J805" s="256"/>
      <c r="K805" s="256"/>
      <c r="L805" s="256"/>
      <c r="M805" s="256"/>
      <c r="N805" s="256"/>
      <c r="O805" s="256"/>
      <c r="P805" s="256"/>
      <c r="Q805" s="256"/>
      <c r="R805" s="256"/>
      <c r="S805" s="256"/>
      <c r="T805" s="256"/>
      <c r="U805" s="256"/>
      <c r="V805" s="256"/>
      <c r="W805" s="256"/>
      <c r="X805" s="256"/>
      <c r="Y805" s="256"/>
      <c r="Z805" s="256"/>
    </row>
    <row r="806">
      <c r="A806" s="256"/>
      <c r="B806" s="256"/>
      <c r="C806" s="256"/>
      <c r="D806" s="256"/>
      <c r="E806" s="256"/>
      <c r="F806" s="310"/>
      <c r="G806" s="256"/>
      <c r="H806" s="256"/>
      <c r="I806" s="256"/>
      <c r="J806" s="256"/>
      <c r="K806" s="256"/>
      <c r="L806" s="256"/>
      <c r="M806" s="256"/>
      <c r="N806" s="256"/>
      <c r="O806" s="256"/>
      <c r="P806" s="256"/>
      <c r="Q806" s="256"/>
      <c r="R806" s="256"/>
      <c r="S806" s="256"/>
      <c r="T806" s="256"/>
      <c r="U806" s="256"/>
      <c r="V806" s="256"/>
      <c r="W806" s="256"/>
      <c r="X806" s="256"/>
      <c r="Y806" s="256"/>
      <c r="Z806" s="256"/>
    </row>
    <row r="807">
      <c r="A807" s="256"/>
      <c r="B807" s="256"/>
      <c r="C807" s="256"/>
      <c r="D807" s="256"/>
      <c r="E807" s="256"/>
      <c r="F807" s="310"/>
      <c r="G807" s="256"/>
      <c r="H807" s="256"/>
      <c r="I807" s="256"/>
      <c r="J807" s="256"/>
      <c r="K807" s="256"/>
      <c r="L807" s="256"/>
      <c r="M807" s="256"/>
      <c r="N807" s="256"/>
      <c r="O807" s="256"/>
      <c r="P807" s="256"/>
      <c r="Q807" s="256"/>
      <c r="R807" s="256"/>
      <c r="S807" s="256"/>
      <c r="T807" s="256"/>
      <c r="U807" s="256"/>
      <c r="V807" s="256"/>
      <c r="W807" s="256"/>
      <c r="X807" s="256"/>
      <c r="Y807" s="256"/>
      <c r="Z807" s="256"/>
    </row>
    <row r="808">
      <c r="A808" s="256"/>
      <c r="B808" s="256"/>
      <c r="C808" s="256"/>
      <c r="D808" s="256"/>
      <c r="E808" s="256"/>
      <c r="F808" s="310"/>
      <c r="G808" s="256"/>
      <c r="H808" s="256"/>
      <c r="I808" s="256"/>
      <c r="J808" s="256"/>
      <c r="K808" s="256"/>
      <c r="L808" s="256"/>
      <c r="M808" s="256"/>
      <c r="N808" s="256"/>
      <c r="O808" s="256"/>
      <c r="P808" s="256"/>
      <c r="Q808" s="256"/>
      <c r="R808" s="256"/>
      <c r="S808" s="256"/>
      <c r="T808" s="256"/>
      <c r="U808" s="256"/>
      <c r="V808" s="256"/>
      <c r="W808" s="256"/>
      <c r="X808" s="256"/>
      <c r="Y808" s="256"/>
      <c r="Z808" s="256"/>
    </row>
    <row r="809">
      <c r="A809" s="256"/>
      <c r="B809" s="256"/>
      <c r="C809" s="256"/>
      <c r="D809" s="256"/>
      <c r="E809" s="256"/>
      <c r="F809" s="310"/>
      <c r="G809" s="256"/>
      <c r="H809" s="256"/>
      <c r="I809" s="256"/>
      <c r="J809" s="256"/>
      <c r="K809" s="256"/>
      <c r="L809" s="256"/>
      <c r="M809" s="256"/>
      <c r="N809" s="256"/>
      <c r="O809" s="256"/>
      <c r="P809" s="256"/>
      <c r="Q809" s="256"/>
      <c r="R809" s="256"/>
      <c r="S809" s="256"/>
      <c r="T809" s="256"/>
      <c r="U809" s="256"/>
      <c r="V809" s="256"/>
      <c r="W809" s="256"/>
      <c r="X809" s="256"/>
      <c r="Y809" s="256"/>
      <c r="Z809" s="256"/>
    </row>
    <row r="810">
      <c r="A810" s="256"/>
      <c r="B810" s="256"/>
      <c r="C810" s="256"/>
      <c r="D810" s="256"/>
      <c r="E810" s="256"/>
      <c r="F810" s="310"/>
      <c r="G810" s="256"/>
      <c r="H810" s="256"/>
      <c r="I810" s="256"/>
      <c r="J810" s="256"/>
      <c r="K810" s="256"/>
      <c r="L810" s="256"/>
      <c r="M810" s="256"/>
      <c r="N810" s="256"/>
      <c r="O810" s="256"/>
      <c r="P810" s="256"/>
      <c r="Q810" s="256"/>
      <c r="R810" s="256"/>
      <c r="S810" s="256"/>
      <c r="T810" s="256"/>
      <c r="U810" s="256"/>
      <c r="V810" s="256"/>
      <c r="W810" s="256"/>
      <c r="X810" s="256"/>
      <c r="Y810" s="256"/>
      <c r="Z810" s="256"/>
    </row>
    <row r="811">
      <c r="A811" s="256"/>
      <c r="B811" s="256"/>
      <c r="C811" s="256"/>
      <c r="D811" s="256"/>
      <c r="E811" s="256"/>
      <c r="F811" s="310"/>
      <c r="G811" s="256"/>
      <c r="H811" s="256"/>
      <c r="I811" s="256"/>
      <c r="J811" s="256"/>
      <c r="K811" s="256"/>
      <c r="L811" s="256"/>
      <c r="M811" s="256"/>
      <c r="N811" s="256"/>
      <c r="O811" s="256"/>
      <c r="P811" s="256"/>
      <c r="Q811" s="256"/>
      <c r="R811" s="256"/>
      <c r="S811" s="256"/>
      <c r="T811" s="256"/>
      <c r="U811" s="256"/>
      <c r="V811" s="256"/>
      <c r="W811" s="256"/>
      <c r="X811" s="256"/>
      <c r="Y811" s="256"/>
      <c r="Z811" s="256"/>
    </row>
    <row r="812">
      <c r="A812" s="256"/>
      <c r="B812" s="256"/>
      <c r="C812" s="256"/>
      <c r="D812" s="256"/>
      <c r="E812" s="256"/>
      <c r="F812" s="310"/>
      <c r="G812" s="256"/>
      <c r="H812" s="256"/>
      <c r="I812" s="256"/>
      <c r="J812" s="256"/>
      <c r="K812" s="256"/>
      <c r="L812" s="256"/>
      <c r="M812" s="256"/>
      <c r="N812" s="256"/>
      <c r="O812" s="256"/>
      <c r="P812" s="256"/>
      <c r="Q812" s="256"/>
      <c r="R812" s="256"/>
      <c r="S812" s="256"/>
      <c r="T812" s="256"/>
      <c r="U812" s="256"/>
      <c r="V812" s="256"/>
      <c r="W812" s="256"/>
      <c r="X812" s="256"/>
      <c r="Y812" s="256"/>
      <c r="Z812" s="256"/>
    </row>
    <row r="813">
      <c r="A813" s="256"/>
      <c r="B813" s="256"/>
      <c r="C813" s="256"/>
      <c r="D813" s="256"/>
      <c r="E813" s="256"/>
      <c r="F813" s="310"/>
      <c r="G813" s="256"/>
      <c r="H813" s="256"/>
      <c r="I813" s="256"/>
      <c r="J813" s="256"/>
      <c r="K813" s="256"/>
      <c r="L813" s="256"/>
      <c r="M813" s="256"/>
      <c r="N813" s="256"/>
      <c r="O813" s="256"/>
      <c r="P813" s="256"/>
      <c r="Q813" s="256"/>
      <c r="R813" s="256"/>
      <c r="S813" s="256"/>
      <c r="T813" s="256"/>
      <c r="U813" s="256"/>
      <c r="V813" s="256"/>
      <c r="W813" s="256"/>
      <c r="X813" s="256"/>
      <c r="Y813" s="256"/>
      <c r="Z813" s="256"/>
    </row>
    <row r="814">
      <c r="A814" s="256"/>
      <c r="B814" s="256"/>
      <c r="C814" s="256"/>
      <c r="D814" s="256"/>
      <c r="E814" s="256"/>
      <c r="F814" s="310"/>
      <c r="G814" s="256"/>
      <c r="H814" s="256"/>
      <c r="I814" s="256"/>
      <c r="J814" s="256"/>
      <c r="K814" s="256"/>
      <c r="L814" s="256"/>
      <c r="M814" s="256"/>
      <c r="N814" s="256"/>
      <c r="O814" s="256"/>
      <c r="P814" s="256"/>
      <c r="Q814" s="256"/>
      <c r="R814" s="256"/>
      <c r="S814" s="256"/>
      <c r="T814" s="256"/>
      <c r="U814" s="256"/>
      <c r="V814" s="256"/>
      <c r="W814" s="256"/>
      <c r="X814" s="256"/>
      <c r="Y814" s="256"/>
      <c r="Z814" s="256"/>
    </row>
    <row r="815">
      <c r="A815" s="256"/>
      <c r="B815" s="256"/>
      <c r="C815" s="256"/>
      <c r="D815" s="256"/>
      <c r="E815" s="256"/>
      <c r="F815" s="310"/>
      <c r="G815" s="256"/>
      <c r="H815" s="256"/>
      <c r="I815" s="256"/>
      <c r="J815" s="256"/>
      <c r="K815" s="256"/>
      <c r="L815" s="256"/>
      <c r="M815" s="256"/>
      <c r="N815" s="256"/>
      <c r="O815" s="256"/>
      <c r="P815" s="256"/>
      <c r="Q815" s="256"/>
      <c r="R815" s="256"/>
      <c r="S815" s="256"/>
      <c r="T815" s="256"/>
      <c r="U815" s="256"/>
      <c r="V815" s="256"/>
      <c r="W815" s="256"/>
      <c r="X815" s="256"/>
      <c r="Y815" s="256"/>
      <c r="Z815" s="256"/>
    </row>
    <row r="816">
      <c r="A816" s="256"/>
      <c r="B816" s="256"/>
      <c r="C816" s="256"/>
      <c r="D816" s="256"/>
      <c r="E816" s="256"/>
      <c r="F816" s="310"/>
      <c r="G816" s="256"/>
      <c r="H816" s="256"/>
      <c r="I816" s="256"/>
      <c r="J816" s="256"/>
      <c r="K816" s="256"/>
      <c r="L816" s="256"/>
      <c r="M816" s="256"/>
      <c r="N816" s="256"/>
      <c r="O816" s="256"/>
      <c r="P816" s="256"/>
      <c r="Q816" s="256"/>
      <c r="R816" s="256"/>
      <c r="S816" s="256"/>
      <c r="T816" s="256"/>
      <c r="U816" s="256"/>
      <c r="V816" s="256"/>
      <c r="W816" s="256"/>
      <c r="X816" s="256"/>
      <c r="Y816" s="256"/>
      <c r="Z816" s="256"/>
    </row>
    <row r="817">
      <c r="A817" s="256"/>
      <c r="B817" s="256"/>
      <c r="C817" s="256"/>
      <c r="D817" s="256"/>
      <c r="E817" s="256"/>
      <c r="F817" s="310"/>
      <c r="G817" s="256"/>
      <c r="H817" s="256"/>
      <c r="I817" s="256"/>
      <c r="J817" s="256"/>
      <c r="K817" s="256"/>
      <c r="L817" s="256"/>
      <c r="M817" s="256"/>
      <c r="N817" s="256"/>
      <c r="O817" s="256"/>
      <c r="P817" s="256"/>
      <c r="Q817" s="256"/>
      <c r="R817" s="256"/>
      <c r="S817" s="256"/>
      <c r="T817" s="256"/>
      <c r="U817" s="256"/>
      <c r="V817" s="256"/>
      <c r="W817" s="256"/>
      <c r="X817" s="256"/>
      <c r="Y817" s="256"/>
      <c r="Z817" s="256"/>
    </row>
    <row r="818">
      <c r="A818" s="256"/>
      <c r="B818" s="256"/>
      <c r="C818" s="256"/>
      <c r="D818" s="256"/>
      <c r="E818" s="256"/>
      <c r="F818" s="310"/>
      <c r="G818" s="256"/>
      <c r="H818" s="256"/>
      <c r="I818" s="256"/>
      <c r="J818" s="256"/>
      <c r="K818" s="256"/>
      <c r="L818" s="256"/>
      <c r="M818" s="256"/>
      <c r="N818" s="256"/>
      <c r="O818" s="256"/>
      <c r="P818" s="256"/>
      <c r="Q818" s="256"/>
      <c r="R818" s="256"/>
      <c r="S818" s="256"/>
      <c r="T818" s="256"/>
      <c r="U818" s="256"/>
      <c r="V818" s="256"/>
      <c r="W818" s="256"/>
      <c r="X818" s="256"/>
      <c r="Y818" s="256"/>
      <c r="Z818" s="256"/>
    </row>
    <row r="819">
      <c r="A819" s="256"/>
      <c r="B819" s="256"/>
      <c r="C819" s="256"/>
      <c r="D819" s="256"/>
      <c r="E819" s="256"/>
      <c r="F819" s="310"/>
      <c r="G819" s="256"/>
      <c r="H819" s="256"/>
      <c r="I819" s="256"/>
      <c r="J819" s="256"/>
      <c r="K819" s="256"/>
      <c r="L819" s="256"/>
      <c r="M819" s="256"/>
      <c r="N819" s="256"/>
      <c r="O819" s="256"/>
      <c r="P819" s="256"/>
      <c r="Q819" s="256"/>
      <c r="R819" s="256"/>
      <c r="S819" s="256"/>
      <c r="T819" s="256"/>
      <c r="U819" s="256"/>
      <c r="V819" s="256"/>
      <c r="W819" s="256"/>
      <c r="X819" s="256"/>
      <c r="Y819" s="256"/>
      <c r="Z819" s="256"/>
    </row>
    <row r="820">
      <c r="A820" s="256"/>
      <c r="B820" s="256"/>
      <c r="C820" s="256"/>
      <c r="D820" s="256"/>
      <c r="E820" s="256"/>
      <c r="F820" s="310"/>
      <c r="G820" s="256"/>
      <c r="H820" s="256"/>
      <c r="I820" s="256"/>
      <c r="J820" s="256"/>
      <c r="K820" s="256"/>
      <c r="L820" s="256"/>
      <c r="M820" s="256"/>
      <c r="N820" s="256"/>
      <c r="O820" s="256"/>
      <c r="P820" s="256"/>
      <c r="Q820" s="256"/>
      <c r="R820" s="256"/>
      <c r="S820" s="256"/>
      <c r="T820" s="256"/>
      <c r="U820" s="256"/>
      <c r="V820" s="256"/>
      <c r="W820" s="256"/>
      <c r="X820" s="256"/>
      <c r="Y820" s="256"/>
      <c r="Z820" s="256"/>
    </row>
    <row r="821">
      <c r="A821" s="256"/>
      <c r="B821" s="256"/>
      <c r="C821" s="256"/>
      <c r="D821" s="256"/>
      <c r="E821" s="256"/>
      <c r="F821" s="310"/>
      <c r="G821" s="256"/>
      <c r="H821" s="256"/>
      <c r="I821" s="256"/>
      <c r="J821" s="256"/>
      <c r="K821" s="256"/>
      <c r="L821" s="256"/>
      <c r="M821" s="256"/>
      <c r="N821" s="256"/>
      <c r="O821" s="256"/>
      <c r="P821" s="256"/>
      <c r="Q821" s="256"/>
      <c r="R821" s="256"/>
      <c r="S821" s="256"/>
      <c r="T821" s="256"/>
      <c r="U821" s="256"/>
      <c r="V821" s="256"/>
      <c r="W821" s="256"/>
      <c r="X821" s="256"/>
      <c r="Y821" s="256"/>
      <c r="Z821" s="256"/>
    </row>
    <row r="822">
      <c r="A822" s="256"/>
      <c r="B822" s="256"/>
      <c r="C822" s="256"/>
      <c r="D822" s="256"/>
      <c r="E822" s="256"/>
      <c r="F822" s="310"/>
      <c r="G822" s="256"/>
      <c r="H822" s="256"/>
      <c r="I822" s="256"/>
      <c r="J822" s="256"/>
      <c r="K822" s="256"/>
      <c r="L822" s="256"/>
      <c r="M822" s="256"/>
      <c r="N822" s="256"/>
      <c r="O822" s="256"/>
      <c r="P822" s="256"/>
      <c r="Q822" s="256"/>
      <c r="R822" s="256"/>
      <c r="S822" s="256"/>
      <c r="T822" s="256"/>
      <c r="U822" s="256"/>
      <c r="V822" s="256"/>
      <c r="W822" s="256"/>
      <c r="X822" s="256"/>
      <c r="Y822" s="256"/>
      <c r="Z822" s="256"/>
    </row>
    <row r="823">
      <c r="A823" s="256"/>
      <c r="B823" s="256"/>
      <c r="C823" s="256"/>
      <c r="D823" s="256"/>
      <c r="E823" s="256"/>
      <c r="F823" s="310"/>
      <c r="G823" s="256"/>
      <c r="H823" s="256"/>
      <c r="I823" s="256"/>
      <c r="J823" s="256"/>
      <c r="K823" s="256"/>
      <c r="L823" s="256"/>
      <c r="M823" s="256"/>
      <c r="N823" s="256"/>
      <c r="O823" s="256"/>
      <c r="P823" s="256"/>
      <c r="Q823" s="256"/>
      <c r="R823" s="256"/>
      <c r="S823" s="256"/>
      <c r="T823" s="256"/>
      <c r="U823" s="256"/>
      <c r="V823" s="256"/>
      <c r="W823" s="256"/>
      <c r="X823" s="256"/>
      <c r="Y823" s="256"/>
      <c r="Z823" s="256"/>
    </row>
    <row r="824">
      <c r="A824" s="256"/>
      <c r="B824" s="256"/>
      <c r="C824" s="256"/>
      <c r="D824" s="256"/>
      <c r="E824" s="256"/>
      <c r="F824" s="310"/>
      <c r="G824" s="256"/>
      <c r="H824" s="256"/>
      <c r="I824" s="256"/>
      <c r="J824" s="256"/>
      <c r="K824" s="256"/>
      <c r="L824" s="256"/>
      <c r="M824" s="256"/>
      <c r="N824" s="256"/>
      <c r="O824" s="256"/>
      <c r="P824" s="256"/>
      <c r="Q824" s="256"/>
      <c r="R824" s="256"/>
      <c r="S824" s="256"/>
      <c r="T824" s="256"/>
      <c r="U824" s="256"/>
      <c r="V824" s="256"/>
      <c r="W824" s="256"/>
      <c r="X824" s="256"/>
      <c r="Y824" s="256"/>
      <c r="Z824" s="256"/>
    </row>
    <row r="825">
      <c r="A825" s="256"/>
      <c r="B825" s="256"/>
      <c r="C825" s="256"/>
      <c r="D825" s="256"/>
      <c r="E825" s="256"/>
      <c r="F825" s="310"/>
      <c r="G825" s="256"/>
      <c r="H825" s="256"/>
      <c r="I825" s="256"/>
      <c r="J825" s="256"/>
      <c r="K825" s="256"/>
      <c r="L825" s="256"/>
      <c r="M825" s="256"/>
      <c r="N825" s="256"/>
      <c r="O825" s="256"/>
      <c r="P825" s="256"/>
      <c r="Q825" s="256"/>
      <c r="R825" s="256"/>
      <c r="S825" s="256"/>
      <c r="T825" s="256"/>
      <c r="U825" s="256"/>
      <c r="V825" s="256"/>
      <c r="W825" s="256"/>
      <c r="X825" s="256"/>
      <c r="Y825" s="256"/>
      <c r="Z825" s="256"/>
    </row>
    <row r="826">
      <c r="A826" s="256"/>
      <c r="B826" s="256"/>
      <c r="C826" s="256"/>
      <c r="D826" s="256"/>
      <c r="E826" s="256"/>
      <c r="F826" s="310"/>
      <c r="G826" s="256"/>
      <c r="H826" s="256"/>
      <c r="I826" s="256"/>
      <c r="J826" s="256"/>
      <c r="K826" s="256"/>
      <c r="L826" s="256"/>
      <c r="M826" s="256"/>
      <c r="N826" s="256"/>
      <c r="O826" s="256"/>
      <c r="P826" s="256"/>
      <c r="Q826" s="256"/>
      <c r="R826" s="256"/>
      <c r="S826" s="256"/>
      <c r="T826" s="256"/>
      <c r="U826" s="256"/>
      <c r="V826" s="256"/>
      <c r="W826" s="256"/>
      <c r="X826" s="256"/>
      <c r="Y826" s="256"/>
      <c r="Z826" s="256"/>
    </row>
    <row r="827">
      <c r="A827" s="256"/>
      <c r="B827" s="256"/>
      <c r="C827" s="256"/>
      <c r="D827" s="256"/>
      <c r="E827" s="256"/>
      <c r="F827" s="310"/>
      <c r="G827" s="256"/>
      <c r="H827" s="256"/>
      <c r="I827" s="256"/>
      <c r="J827" s="256"/>
      <c r="K827" s="256"/>
      <c r="L827" s="256"/>
      <c r="M827" s="256"/>
      <c r="N827" s="256"/>
      <c r="O827" s="256"/>
      <c r="P827" s="256"/>
      <c r="Q827" s="256"/>
      <c r="R827" s="256"/>
      <c r="S827" s="256"/>
      <c r="T827" s="256"/>
      <c r="U827" s="256"/>
      <c r="V827" s="256"/>
      <c r="W827" s="256"/>
      <c r="X827" s="256"/>
      <c r="Y827" s="256"/>
      <c r="Z827" s="256"/>
    </row>
    <row r="828">
      <c r="A828" s="256"/>
      <c r="B828" s="256"/>
      <c r="C828" s="256"/>
      <c r="D828" s="256"/>
      <c r="E828" s="256"/>
      <c r="F828" s="310"/>
      <c r="G828" s="256"/>
      <c r="H828" s="256"/>
      <c r="I828" s="256"/>
      <c r="J828" s="256"/>
      <c r="K828" s="256"/>
      <c r="L828" s="256"/>
      <c r="M828" s="256"/>
      <c r="N828" s="256"/>
      <c r="O828" s="256"/>
      <c r="P828" s="256"/>
      <c r="Q828" s="256"/>
      <c r="R828" s="256"/>
      <c r="S828" s="256"/>
      <c r="T828" s="256"/>
      <c r="U828" s="256"/>
      <c r="V828" s="256"/>
      <c r="W828" s="256"/>
      <c r="X828" s="256"/>
      <c r="Y828" s="256"/>
      <c r="Z828" s="256"/>
    </row>
    <row r="829">
      <c r="A829" s="256"/>
      <c r="B829" s="256"/>
      <c r="C829" s="256"/>
      <c r="D829" s="256"/>
      <c r="E829" s="256"/>
      <c r="F829" s="310"/>
      <c r="G829" s="256"/>
      <c r="H829" s="256"/>
      <c r="I829" s="256"/>
      <c r="J829" s="256"/>
      <c r="K829" s="256"/>
      <c r="L829" s="256"/>
      <c r="M829" s="256"/>
      <c r="N829" s="256"/>
      <c r="O829" s="256"/>
      <c r="P829" s="256"/>
      <c r="Q829" s="256"/>
      <c r="R829" s="256"/>
      <c r="S829" s="256"/>
      <c r="T829" s="256"/>
      <c r="U829" s="256"/>
      <c r="V829" s="256"/>
      <c r="W829" s="256"/>
      <c r="X829" s="256"/>
      <c r="Y829" s="256"/>
      <c r="Z829" s="256"/>
    </row>
    <row r="830">
      <c r="A830" s="256"/>
      <c r="B830" s="256"/>
      <c r="C830" s="256"/>
      <c r="D830" s="256"/>
      <c r="E830" s="256"/>
      <c r="F830" s="310"/>
      <c r="G830" s="256"/>
      <c r="H830" s="256"/>
      <c r="I830" s="256"/>
      <c r="J830" s="256"/>
      <c r="K830" s="256"/>
      <c r="L830" s="256"/>
      <c r="M830" s="256"/>
      <c r="N830" s="256"/>
      <c r="O830" s="256"/>
      <c r="P830" s="256"/>
      <c r="Q830" s="256"/>
      <c r="R830" s="256"/>
      <c r="S830" s="256"/>
      <c r="T830" s="256"/>
      <c r="U830" s="256"/>
      <c r="V830" s="256"/>
      <c r="W830" s="256"/>
      <c r="X830" s="256"/>
      <c r="Y830" s="256"/>
      <c r="Z830" s="256"/>
    </row>
    <row r="831">
      <c r="A831" s="256"/>
      <c r="B831" s="256"/>
      <c r="C831" s="256"/>
      <c r="D831" s="256"/>
      <c r="E831" s="256"/>
      <c r="F831" s="310"/>
      <c r="G831" s="256"/>
      <c r="H831" s="256"/>
      <c r="I831" s="256"/>
      <c r="J831" s="256"/>
      <c r="K831" s="256"/>
      <c r="L831" s="256"/>
      <c r="M831" s="256"/>
      <c r="N831" s="256"/>
      <c r="O831" s="256"/>
      <c r="P831" s="256"/>
      <c r="Q831" s="256"/>
      <c r="R831" s="256"/>
      <c r="S831" s="256"/>
      <c r="T831" s="256"/>
      <c r="U831" s="256"/>
      <c r="V831" s="256"/>
      <c r="W831" s="256"/>
      <c r="X831" s="256"/>
      <c r="Y831" s="256"/>
      <c r="Z831" s="256"/>
    </row>
    <row r="832">
      <c r="A832" s="256"/>
      <c r="B832" s="256"/>
      <c r="C832" s="256"/>
      <c r="D832" s="256"/>
      <c r="E832" s="256"/>
      <c r="F832" s="310"/>
      <c r="G832" s="256"/>
      <c r="H832" s="256"/>
      <c r="I832" s="256"/>
      <c r="J832" s="256"/>
      <c r="K832" s="256"/>
      <c r="L832" s="256"/>
      <c r="M832" s="256"/>
      <c r="N832" s="256"/>
      <c r="O832" s="256"/>
      <c r="P832" s="256"/>
      <c r="Q832" s="256"/>
      <c r="R832" s="256"/>
      <c r="S832" s="256"/>
      <c r="T832" s="256"/>
      <c r="U832" s="256"/>
      <c r="V832" s="256"/>
      <c r="W832" s="256"/>
      <c r="X832" s="256"/>
      <c r="Y832" s="256"/>
      <c r="Z832" s="256"/>
    </row>
    <row r="833">
      <c r="A833" s="256"/>
      <c r="B833" s="256"/>
      <c r="C833" s="256"/>
      <c r="D833" s="256"/>
      <c r="E833" s="256"/>
      <c r="F833" s="310"/>
      <c r="G833" s="256"/>
      <c r="H833" s="256"/>
      <c r="I833" s="256"/>
      <c r="J833" s="256"/>
      <c r="K833" s="256"/>
      <c r="L833" s="256"/>
      <c r="M833" s="256"/>
      <c r="N833" s="256"/>
      <c r="O833" s="256"/>
      <c r="P833" s="256"/>
      <c r="Q833" s="256"/>
      <c r="R833" s="256"/>
      <c r="S833" s="256"/>
      <c r="T833" s="256"/>
      <c r="U833" s="256"/>
      <c r="V833" s="256"/>
      <c r="W833" s="256"/>
      <c r="X833" s="256"/>
      <c r="Y833" s="256"/>
      <c r="Z833" s="256"/>
    </row>
    <row r="834">
      <c r="A834" s="256"/>
      <c r="B834" s="256"/>
      <c r="C834" s="256"/>
      <c r="D834" s="256"/>
      <c r="E834" s="256"/>
      <c r="F834" s="310"/>
      <c r="G834" s="256"/>
      <c r="H834" s="256"/>
      <c r="I834" s="256"/>
      <c r="J834" s="256"/>
      <c r="K834" s="256"/>
      <c r="L834" s="256"/>
      <c r="M834" s="256"/>
      <c r="N834" s="256"/>
      <c r="O834" s="256"/>
      <c r="P834" s="256"/>
      <c r="Q834" s="256"/>
      <c r="R834" s="256"/>
      <c r="S834" s="256"/>
      <c r="T834" s="256"/>
      <c r="U834" s="256"/>
      <c r="V834" s="256"/>
      <c r="W834" s="256"/>
      <c r="X834" s="256"/>
      <c r="Y834" s="256"/>
      <c r="Z834" s="256"/>
    </row>
    <row r="835">
      <c r="A835" s="256"/>
      <c r="B835" s="256"/>
      <c r="C835" s="256"/>
      <c r="D835" s="256"/>
      <c r="E835" s="256"/>
      <c r="F835" s="310"/>
      <c r="G835" s="256"/>
      <c r="H835" s="256"/>
      <c r="I835" s="256"/>
      <c r="J835" s="256"/>
      <c r="K835" s="256"/>
      <c r="L835" s="256"/>
      <c r="M835" s="256"/>
      <c r="N835" s="256"/>
      <c r="O835" s="256"/>
      <c r="P835" s="256"/>
      <c r="Q835" s="256"/>
      <c r="R835" s="256"/>
      <c r="S835" s="256"/>
      <c r="T835" s="256"/>
      <c r="U835" s="256"/>
      <c r="V835" s="256"/>
      <c r="W835" s="256"/>
      <c r="X835" s="256"/>
      <c r="Y835" s="256"/>
      <c r="Z835" s="256"/>
    </row>
    <row r="836">
      <c r="A836" s="256"/>
      <c r="B836" s="256"/>
      <c r="C836" s="256"/>
      <c r="D836" s="256"/>
      <c r="E836" s="256"/>
      <c r="F836" s="310"/>
      <c r="G836" s="256"/>
      <c r="H836" s="256"/>
      <c r="I836" s="256"/>
      <c r="J836" s="256"/>
      <c r="K836" s="256"/>
      <c r="L836" s="256"/>
      <c r="M836" s="256"/>
      <c r="N836" s="256"/>
      <c r="O836" s="256"/>
      <c r="P836" s="256"/>
      <c r="Q836" s="256"/>
      <c r="R836" s="256"/>
      <c r="S836" s="256"/>
      <c r="T836" s="256"/>
      <c r="U836" s="256"/>
      <c r="V836" s="256"/>
      <c r="W836" s="256"/>
      <c r="X836" s="256"/>
      <c r="Y836" s="256"/>
      <c r="Z836" s="256"/>
    </row>
    <row r="837">
      <c r="A837" s="256"/>
      <c r="B837" s="256"/>
      <c r="C837" s="256"/>
      <c r="D837" s="256"/>
      <c r="E837" s="256"/>
      <c r="F837" s="310"/>
      <c r="G837" s="256"/>
      <c r="H837" s="256"/>
      <c r="I837" s="256"/>
      <c r="J837" s="256"/>
      <c r="K837" s="256"/>
      <c r="L837" s="256"/>
      <c r="M837" s="256"/>
      <c r="N837" s="256"/>
      <c r="O837" s="256"/>
      <c r="P837" s="256"/>
      <c r="Q837" s="256"/>
      <c r="R837" s="256"/>
      <c r="S837" s="256"/>
      <c r="T837" s="256"/>
      <c r="U837" s="256"/>
      <c r="V837" s="256"/>
      <c r="W837" s="256"/>
      <c r="X837" s="256"/>
      <c r="Y837" s="256"/>
      <c r="Z837" s="256"/>
    </row>
    <row r="838">
      <c r="A838" s="256"/>
      <c r="B838" s="256"/>
      <c r="C838" s="256"/>
      <c r="D838" s="256"/>
      <c r="E838" s="256"/>
      <c r="F838" s="310"/>
      <c r="G838" s="256"/>
      <c r="H838" s="256"/>
      <c r="I838" s="256"/>
      <c r="J838" s="256"/>
      <c r="K838" s="256"/>
      <c r="L838" s="256"/>
      <c r="M838" s="256"/>
      <c r="N838" s="256"/>
      <c r="O838" s="256"/>
      <c r="P838" s="256"/>
      <c r="Q838" s="256"/>
      <c r="R838" s="256"/>
      <c r="S838" s="256"/>
      <c r="T838" s="256"/>
      <c r="U838" s="256"/>
      <c r="V838" s="256"/>
      <c r="W838" s="256"/>
      <c r="X838" s="256"/>
      <c r="Y838" s="256"/>
      <c r="Z838" s="256"/>
    </row>
    <row r="839">
      <c r="A839" s="256"/>
      <c r="B839" s="256"/>
      <c r="C839" s="256"/>
      <c r="D839" s="256"/>
      <c r="E839" s="256"/>
      <c r="F839" s="310"/>
      <c r="G839" s="256"/>
      <c r="H839" s="256"/>
      <c r="I839" s="256"/>
      <c r="J839" s="256"/>
      <c r="K839" s="256"/>
      <c r="L839" s="256"/>
      <c r="M839" s="256"/>
      <c r="N839" s="256"/>
      <c r="O839" s="256"/>
      <c r="P839" s="256"/>
      <c r="Q839" s="256"/>
      <c r="R839" s="256"/>
      <c r="S839" s="256"/>
      <c r="T839" s="256"/>
      <c r="U839" s="256"/>
      <c r="V839" s="256"/>
      <c r="W839" s="256"/>
      <c r="X839" s="256"/>
      <c r="Y839" s="256"/>
      <c r="Z839" s="256"/>
    </row>
    <row r="840">
      <c r="A840" s="256"/>
      <c r="B840" s="256"/>
      <c r="C840" s="256"/>
      <c r="D840" s="256"/>
      <c r="E840" s="256"/>
      <c r="F840" s="310"/>
      <c r="G840" s="256"/>
      <c r="H840" s="256"/>
      <c r="I840" s="256"/>
      <c r="J840" s="256"/>
      <c r="K840" s="256"/>
      <c r="L840" s="256"/>
      <c r="M840" s="256"/>
      <c r="N840" s="256"/>
      <c r="O840" s="256"/>
      <c r="P840" s="256"/>
      <c r="Q840" s="256"/>
      <c r="R840" s="256"/>
      <c r="S840" s="256"/>
      <c r="T840" s="256"/>
      <c r="U840" s="256"/>
      <c r="V840" s="256"/>
      <c r="W840" s="256"/>
      <c r="X840" s="256"/>
      <c r="Y840" s="256"/>
      <c r="Z840" s="256"/>
    </row>
    <row r="841">
      <c r="A841" s="256"/>
      <c r="B841" s="256"/>
      <c r="C841" s="256"/>
      <c r="D841" s="256"/>
      <c r="E841" s="256"/>
      <c r="F841" s="310"/>
      <c r="G841" s="256"/>
      <c r="H841" s="256"/>
      <c r="I841" s="256"/>
      <c r="J841" s="256"/>
      <c r="K841" s="256"/>
      <c r="L841" s="256"/>
      <c r="M841" s="256"/>
      <c r="N841" s="256"/>
      <c r="O841" s="256"/>
      <c r="P841" s="256"/>
      <c r="Q841" s="256"/>
      <c r="R841" s="256"/>
      <c r="S841" s="256"/>
      <c r="T841" s="256"/>
      <c r="U841" s="256"/>
      <c r="V841" s="256"/>
      <c r="W841" s="256"/>
      <c r="X841" s="256"/>
      <c r="Y841" s="256"/>
      <c r="Z841" s="256"/>
    </row>
    <row r="842">
      <c r="A842" s="256"/>
      <c r="B842" s="256"/>
      <c r="C842" s="256"/>
      <c r="D842" s="256"/>
      <c r="E842" s="256"/>
      <c r="F842" s="310"/>
      <c r="G842" s="256"/>
      <c r="H842" s="256"/>
      <c r="I842" s="256"/>
      <c r="J842" s="256"/>
      <c r="K842" s="256"/>
      <c r="L842" s="256"/>
      <c r="M842" s="256"/>
      <c r="N842" s="256"/>
      <c r="O842" s="256"/>
      <c r="P842" s="256"/>
      <c r="Q842" s="256"/>
      <c r="R842" s="256"/>
      <c r="S842" s="256"/>
      <c r="T842" s="256"/>
      <c r="U842" s="256"/>
      <c r="V842" s="256"/>
      <c r="W842" s="256"/>
      <c r="X842" s="256"/>
      <c r="Y842" s="256"/>
      <c r="Z842" s="256"/>
    </row>
    <row r="843">
      <c r="A843" s="256"/>
      <c r="B843" s="256"/>
      <c r="C843" s="256"/>
      <c r="D843" s="256"/>
      <c r="E843" s="256"/>
      <c r="F843" s="310"/>
      <c r="G843" s="256"/>
      <c r="H843" s="256"/>
      <c r="I843" s="256"/>
      <c r="J843" s="256"/>
      <c r="K843" s="256"/>
      <c r="L843" s="256"/>
      <c r="M843" s="256"/>
      <c r="N843" s="256"/>
      <c r="O843" s="256"/>
      <c r="P843" s="256"/>
      <c r="Q843" s="256"/>
      <c r="R843" s="256"/>
      <c r="S843" s="256"/>
      <c r="T843" s="256"/>
      <c r="U843" s="256"/>
      <c r="V843" s="256"/>
      <c r="W843" s="256"/>
      <c r="X843" s="256"/>
      <c r="Y843" s="256"/>
      <c r="Z843" s="256"/>
    </row>
    <row r="844">
      <c r="A844" s="256"/>
      <c r="B844" s="256"/>
      <c r="C844" s="256"/>
      <c r="D844" s="256"/>
      <c r="E844" s="256"/>
      <c r="F844" s="310"/>
      <c r="G844" s="256"/>
      <c r="H844" s="256"/>
      <c r="I844" s="256"/>
      <c r="J844" s="256"/>
      <c r="K844" s="256"/>
      <c r="L844" s="256"/>
      <c r="M844" s="256"/>
      <c r="N844" s="256"/>
      <c r="O844" s="256"/>
      <c r="P844" s="256"/>
      <c r="Q844" s="256"/>
      <c r="R844" s="256"/>
      <c r="S844" s="256"/>
      <c r="T844" s="256"/>
      <c r="U844" s="256"/>
      <c r="V844" s="256"/>
      <c r="W844" s="256"/>
      <c r="X844" s="256"/>
      <c r="Y844" s="256"/>
      <c r="Z844" s="256"/>
    </row>
    <row r="845">
      <c r="A845" s="256"/>
      <c r="B845" s="256"/>
      <c r="C845" s="256"/>
      <c r="D845" s="256"/>
      <c r="E845" s="256"/>
      <c r="F845" s="310"/>
      <c r="G845" s="256"/>
      <c r="H845" s="256"/>
      <c r="I845" s="256"/>
      <c r="J845" s="256"/>
      <c r="K845" s="256"/>
      <c r="L845" s="256"/>
      <c r="M845" s="256"/>
      <c r="N845" s="256"/>
      <c r="O845" s="256"/>
      <c r="P845" s="256"/>
      <c r="Q845" s="256"/>
      <c r="R845" s="256"/>
      <c r="S845" s="256"/>
      <c r="T845" s="256"/>
      <c r="U845" s="256"/>
      <c r="V845" s="256"/>
      <c r="W845" s="256"/>
      <c r="X845" s="256"/>
      <c r="Y845" s="256"/>
      <c r="Z845" s="256"/>
    </row>
    <row r="846">
      <c r="A846" s="256"/>
      <c r="B846" s="256"/>
      <c r="C846" s="256"/>
      <c r="D846" s="256"/>
      <c r="E846" s="256"/>
      <c r="F846" s="310"/>
      <c r="G846" s="256"/>
      <c r="H846" s="256"/>
      <c r="I846" s="256"/>
      <c r="J846" s="256"/>
      <c r="K846" s="256"/>
      <c r="L846" s="256"/>
      <c r="M846" s="256"/>
      <c r="N846" s="256"/>
      <c r="O846" s="256"/>
      <c r="P846" s="256"/>
      <c r="Q846" s="256"/>
      <c r="R846" s="256"/>
      <c r="S846" s="256"/>
      <c r="T846" s="256"/>
      <c r="U846" s="256"/>
      <c r="V846" s="256"/>
      <c r="W846" s="256"/>
      <c r="X846" s="256"/>
      <c r="Y846" s="256"/>
      <c r="Z846" s="256"/>
    </row>
    <row r="847">
      <c r="A847" s="256"/>
      <c r="B847" s="256"/>
      <c r="C847" s="256"/>
      <c r="D847" s="256"/>
      <c r="E847" s="256"/>
      <c r="F847" s="310"/>
      <c r="G847" s="256"/>
      <c r="H847" s="256"/>
      <c r="I847" s="256"/>
      <c r="J847" s="256"/>
      <c r="K847" s="256"/>
      <c r="L847" s="256"/>
      <c r="M847" s="256"/>
      <c r="N847" s="256"/>
      <c r="O847" s="256"/>
      <c r="P847" s="256"/>
      <c r="Q847" s="256"/>
      <c r="R847" s="256"/>
      <c r="S847" s="256"/>
      <c r="T847" s="256"/>
      <c r="U847" s="256"/>
      <c r="V847" s="256"/>
      <c r="W847" s="256"/>
      <c r="X847" s="256"/>
      <c r="Y847" s="256"/>
      <c r="Z847" s="256"/>
    </row>
    <row r="848">
      <c r="A848" s="256"/>
      <c r="B848" s="256"/>
      <c r="C848" s="256"/>
      <c r="D848" s="256"/>
      <c r="E848" s="256"/>
      <c r="F848" s="310"/>
      <c r="G848" s="256"/>
      <c r="H848" s="256"/>
      <c r="I848" s="256"/>
      <c r="J848" s="256"/>
      <c r="K848" s="256"/>
      <c r="L848" s="256"/>
      <c r="M848" s="256"/>
      <c r="N848" s="256"/>
      <c r="O848" s="256"/>
      <c r="P848" s="256"/>
      <c r="Q848" s="256"/>
      <c r="R848" s="256"/>
      <c r="S848" s="256"/>
      <c r="T848" s="256"/>
      <c r="U848" s="256"/>
      <c r="V848" s="256"/>
      <c r="W848" s="256"/>
      <c r="X848" s="256"/>
      <c r="Y848" s="256"/>
      <c r="Z848" s="256"/>
    </row>
    <row r="849">
      <c r="A849" s="256"/>
      <c r="B849" s="256"/>
      <c r="C849" s="256"/>
      <c r="D849" s="256"/>
      <c r="E849" s="256"/>
      <c r="F849" s="310"/>
      <c r="G849" s="256"/>
      <c r="H849" s="256"/>
      <c r="I849" s="256"/>
      <c r="J849" s="256"/>
      <c r="K849" s="256"/>
      <c r="L849" s="256"/>
      <c r="M849" s="256"/>
      <c r="N849" s="256"/>
      <c r="O849" s="256"/>
      <c r="P849" s="256"/>
      <c r="Q849" s="256"/>
      <c r="R849" s="256"/>
      <c r="S849" s="256"/>
      <c r="T849" s="256"/>
      <c r="U849" s="256"/>
      <c r="V849" s="256"/>
      <c r="W849" s="256"/>
      <c r="X849" s="256"/>
      <c r="Y849" s="256"/>
      <c r="Z849" s="256"/>
    </row>
    <row r="850">
      <c r="A850" s="256"/>
      <c r="B850" s="256"/>
      <c r="C850" s="256"/>
      <c r="D850" s="256"/>
      <c r="E850" s="256"/>
      <c r="F850" s="310"/>
      <c r="G850" s="256"/>
      <c r="H850" s="256"/>
      <c r="I850" s="256"/>
      <c r="J850" s="256"/>
      <c r="K850" s="256"/>
      <c r="L850" s="256"/>
      <c r="M850" s="256"/>
      <c r="N850" s="256"/>
      <c r="O850" s="256"/>
      <c r="P850" s="256"/>
      <c r="Q850" s="256"/>
      <c r="R850" s="256"/>
      <c r="S850" s="256"/>
      <c r="T850" s="256"/>
      <c r="U850" s="256"/>
      <c r="V850" s="256"/>
      <c r="W850" s="256"/>
      <c r="X850" s="256"/>
      <c r="Y850" s="256"/>
      <c r="Z850" s="256"/>
    </row>
    <row r="851">
      <c r="A851" s="256"/>
      <c r="B851" s="256"/>
      <c r="C851" s="256"/>
      <c r="D851" s="256"/>
      <c r="E851" s="256"/>
      <c r="F851" s="310"/>
      <c r="G851" s="256"/>
      <c r="H851" s="256"/>
      <c r="I851" s="256"/>
      <c r="J851" s="256"/>
      <c r="K851" s="256"/>
      <c r="L851" s="256"/>
      <c r="M851" s="256"/>
      <c r="N851" s="256"/>
      <c r="O851" s="256"/>
      <c r="P851" s="256"/>
      <c r="Q851" s="256"/>
      <c r="R851" s="256"/>
      <c r="S851" s="256"/>
      <c r="T851" s="256"/>
      <c r="U851" s="256"/>
      <c r="V851" s="256"/>
      <c r="W851" s="256"/>
      <c r="X851" s="256"/>
      <c r="Y851" s="256"/>
      <c r="Z851" s="256"/>
    </row>
    <row r="852">
      <c r="A852" s="256"/>
      <c r="B852" s="256"/>
      <c r="C852" s="256"/>
      <c r="D852" s="256"/>
      <c r="E852" s="256"/>
      <c r="F852" s="310"/>
      <c r="G852" s="256"/>
      <c r="H852" s="256"/>
      <c r="I852" s="256"/>
      <c r="J852" s="256"/>
      <c r="K852" s="256"/>
      <c r="L852" s="256"/>
      <c r="M852" s="256"/>
      <c r="N852" s="256"/>
      <c r="O852" s="256"/>
      <c r="P852" s="256"/>
      <c r="Q852" s="256"/>
      <c r="R852" s="256"/>
      <c r="S852" s="256"/>
      <c r="T852" s="256"/>
      <c r="U852" s="256"/>
      <c r="V852" s="256"/>
      <c r="W852" s="256"/>
      <c r="X852" s="256"/>
      <c r="Y852" s="256"/>
      <c r="Z852" s="256"/>
    </row>
    <row r="853">
      <c r="A853" s="256"/>
      <c r="B853" s="256"/>
      <c r="C853" s="256"/>
      <c r="D853" s="256"/>
      <c r="E853" s="256"/>
      <c r="F853" s="310"/>
      <c r="G853" s="256"/>
      <c r="H853" s="256"/>
      <c r="I853" s="256"/>
      <c r="J853" s="256"/>
      <c r="K853" s="256"/>
      <c r="L853" s="256"/>
      <c r="M853" s="256"/>
      <c r="N853" s="256"/>
      <c r="O853" s="256"/>
      <c r="P853" s="256"/>
      <c r="Q853" s="256"/>
      <c r="R853" s="256"/>
      <c r="S853" s="256"/>
      <c r="T853" s="256"/>
      <c r="U853" s="256"/>
      <c r="V853" s="256"/>
      <c r="W853" s="256"/>
      <c r="X853" s="256"/>
      <c r="Y853" s="256"/>
      <c r="Z853" s="256"/>
    </row>
    <row r="854">
      <c r="A854" s="256"/>
      <c r="B854" s="256"/>
      <c r="C854" s="256"/>
      <c r="D854" s="256"/>
      <c r="E854" s="256"/>
      <c r="F854" s="310"/>
      <c r="G854" s="256"/>
      <c r="H854" s="256"/>
      <c r="I854" s="256"/>
      <c r="J854" s="256"/>
      <c r="K854" s="256"/>
      <c r="L854" s="256"/>
      <c r="M854" s="256"/>
      <c r="N854" s="256"/>
      <c r="O854" s="256"/>
      <c r="P854" s="256"/>
      <c r="Q854" s="256"/>
      <c r="R854" s="256"/>
      <c r="S854" s="256"/>
      <c r="T854" s="256"/>
      <c r="U854" s="256"/>
      <c r="V854" s="256"/>
      <c r="W854" s="256"/>
      <c r="X854" s="256"/>
      <c r="Y854" s="256"/>
      <c r="Z854" s="256"/>
    </row>
    <row r="855">
      <c r="A855" s="256"/>
      <c r="B855" s="256"/>
      <c r="C855" s="256"/>
      <c r="D855" s="256"/>
      <c r="E855" s="256"/>
      <c r="F855" s="310"/>
      <c r="G855" s="256"/>
      <c r="H855" s="256"/>
      <c r="I855" s="256"/>
      <c r="J855" s="256"/>
      <c r="K855" s="256"/>
      <c r="L855" s="256"/>
      <c r="M855" s="256"/>
      <c r="N855" s="256"/>
      <c r="O855" s="256"/>
      <c r="P855" s="256"/>
      <c r="Q855" s="256"/>
      <c r="R855" s="256"/>
      <c r="S855" s="256"/>
      <c r="T855" s="256"/>
      <c r="U855" s="256"/>
      <c r="V855" s="256"/>
      <c r="W855" s="256"/>
      <c r="X855" s="256"/>
      <c r="Y855" s="256"/>
      <c r="Z855" s="256"/>
    </row>
    <row r="856">
      <c r="A856" s="256"/>
      <c r="B856" s="256"/>
      <c r="C856" s="256"/>
      <c r="D856" s="256"/>
      <c r="E856" s="256"/>
      <c r="F856" s="310"/>
      <c r="G856" s="256"/>
      <c r="H856" s="256"/>
      <c r="I856" s="256"/>
      <c r="J856" s="256"/>
      <c r="K856" s="256"/>
      <c r="L856" s="256"/>
      <c r="M856" s="256"/>
      <c r="N856" s="256"/>
      <c r="O856" s="256"/>
      <c r="P856" s="256"/>
      <c r="Q856" s="256"/>
      <c r="R856" s="256"/>
      <c r="S856" s="256"/>
      <c r="T856" s="256"/>
      <c r="U856" s="256"/>
      <c r="V856" s="256"/>
      <c r="W856" s="256"/>
      <c r="X856" s="256"/>
      <c r="Y856" s="256"/>
      <c r="Z856" s="256"/>
    </row>
    <row r="857">
      <c r="A857" s="256"/>
      <c r="B857" s="256"/>
      <c r="C857" s="256"/>
      <c r="D857" s="256"/>
      <c r="E857" s="256"/>
      <c r="F857" s="310"/>
      <c r="G857" s="256"/>
      <c r="H857" s="256"/>
      <c r="I857" s="256"/>
      <c r="J857" s="256"/>
      <c r="K857" s="256"/>
      <c r="L857" s="256"/>
      <c r="M857" s="256"/>
      <c r="N857" s="256"/>
      <c r="O857" s="256"/>
      <c r="P857" s="256"/>
      <c r="Q857" s="256"/>
      <c r="R857" s="256"/>
      <c r="S857" s="256"/>
      <c r="T857" s="256"/>
      <c r="U857" s="256"/>
      <c r="V857" s="256"/>
      <c r="W857" s="256"/>
      <c r="X857" s="256"/>
      <c r="Y857" s="256"/>
      <c r="Z857" s="256"/>
    </row>
    <row r="858">
      <c r="A858" s="256"/>
      <c r="B858" s="256"/>
      <c r="C858" s="256"/>
      <c r="D858" s="256"/>
      <c r="E858" s="256"/>
      <c r="F858" s="310"/>
      <c r="G858" s="256"/>
      <c r="H858" s="256"/>
      <c r="I858" s="256"/>
      <c r="J858" s="256"/>
      <c r="K858" s="256"/>
      <c r="L858" s="256"/>
      <c r="M858" s="256"/>
      <c r="N858" s="256"/>
      <c r="O858" s="256"/>
      <c r="P858" s="256"/>
      <c r="Q858" s="256"/>
      <c r="R858" s="256"/>
      <c r="S858" s="256"/>
      <c r="T858" s="256"/>
      <c r="U858" s="256"/>
      <c r="V858" s="256"/>
      <c r="W858" s="256"/>
      <c r="X858" s="256"/>
      <c r="Y858" s="256"/>
      <c r="Z858" s="256"/>
    </row>
    <row r="859">
      <c r="A859" s="256"/>
      <c r="B859" s="256"/>
      <c r="C859" s="256"/>
      <c r="D859" s="256"/>
      <c r="E859" s="256"/>
      <c r="F859" s="310"/>
      <c r="G859" s="256"/>
      <c r="H859" s="256"/>
      <c r="I859" s="256"/>
      <c r="J859" s="256"/>
      <c r="K859" s="256"/>
      <c r="L859" s="256"/>
      <c r="M859" s="256"/>
      <c r="N859" s="256"/>
      <c r="O859" s="256"/>
      <c r="P859" s="256"/>
      <c r="Q859" s="256"/>
      <c r="R859" s="256"/>
      <c r="S859" s="256"/>
      <c r="T859" s="256"/>
      <c r="U859" s="256"/>
      <c r="V859" s="256"/>
      <c r="W859" s="256"/>
      <c r="X859" s="256"/>
      <c r="Y859" s="256"/>
      <c r="Z859" s="256"/>
    </row>
    <row r="860">
      <c r="A860" s="256"/>
      <c r="B860" s="256"/>
      <c r="C860" s="256"/>
      <c r="D860" s="256"/>
      <c r="E860" s="256"/>
      <c r="F860" s="310"/>
      <c r="G860" s="256"/>
      <c r="H860" s="256"/>
      <c r="I860" s="256"/>
      <c r="J860" s="256"/>
      <c r="K860" s="256"/>
      <c r="L860" s="256"/>
      <c r="M860" s="256"/>
      <c r="N860" s="256"/>
      <c r="O860" s="256"/>
      <c r="P860" s="256"/>
      <c r="Q860" s="256"/>
      <c r="R860" s="256"/>
      <c r="S860" s="256"/>
      <c r="T860" s="256"/>
      <c r="U860" s="256"/>
      <c r="V860" s="256"/>
      <c r="W860" s="256"/>
      <c r="X860" s="256"/>
      <c r="Y860" s="256"/>
      <c r="Z860" s="256"/>
    </row>
    <row r="861">
      <c r="A861" s="256"/>
      <c r="B861" s="256"/>
      <c r="C861" s="256"/>
      <c r="D861" s="256"/>
      <c r="E861" s="256"/>
      <c r="F861" s="310"/>
      <c r="G861" s="256"/>
      <c r="H861" s="256"/>
      <c r="I861" s="256"/>
      <c r="J861" s="256"/>
      <c r="K861" s="256"/>
      <c r="L861" s="256"/>
      <c r="M861" s="256"/>
      <c r="N861" s="256"/>
      <c r="O861" s="256"/>
      <c r="P861" s="256"/>
      <c r="Q861" s="256"/>
      <c r="R861" s="256"/>
      <c r="S861" s="256"/>
      <c r="T861" s="256"/>
      <c r="U861" s="256"/>
      <c r="V861" s="256"/>
      <c r="W861" s="256"/>
      <c r="X861" s="256"/>
      <c r="Y861" s="256"/>
      <c r="Z861" s="256"/>
    </row>
    <row r="862">
      <c r="A862" s="256"/>
      <c r="B862" s="256"/>
      <c r="C862" s="256"/>
      <c r="D862" s="256"/>
      <c r="E862" s="256"/>
      <c r="F862" s="310"/>
      <c r="G862" s="256"/>
      <c r="H862" s="256"/>
      <c r="I862" s="256"/>
      <c r="J862" s="256"/>
      <c r="K862" s="256"/>
      <c r="L862" s="256"/>
      <c r="M862" s="256"/>
      <c r="N862" s="256"/>
      <c r="O862" s="256"/>
      <c r="P862" s="256"/>
      <c r="Q862" s="256"/>
      <c r="R862" s="256"/>
      <c r="S862" s="256"/>
      <c r="T862" s="256"/>
      <c r="U862" s="256"/>
      <c r="V862" s="256"/>
      <c r="W862" s="256"/>
      <c r="X862" s="256"/>
      <c r="Y862" s="256"/>
      <c r="Z862" s="256"/>
    </row>
    <row r="863">
      <c r="A863" s="256"/>
      <c r="B863" s="256"/>
      <c r="C863" s="256"/>
      <c r="D863" s="256"/>
      <c r="E863" s="256"/>
      <c r="F863" s="310"/>
      <c r="G863" s="256"/>
      <c r="H863" s="256"/>
      <c r="I863" s="256"/>
      <c r="J863" s="256"/>
      <c r="K863" s="256"/>
      <c r="L863" s="256"/>
      <c r="M863" s="256"/>
      <c r="N863" s="256"/>
      <c r="O863" s="256"/>
      <c r="P863" s="256"/>
      <c r="Q863" s="256"/>
      <c r="R863" s="256"/>
      <c r="S863" s="256"/>
      <c r="T863" s="256"/>
      <c r="U863" s="256"/>
      <c r="V863" s="256"/>
      <c r="W863" s="256"/>
      <c r="X863" s="256"/>
      <c r="Y863" s="256"/>
      <c r="Z863" s="256"/>
    </row>
    <row r="864">
      <c r="A864" s="256"/>
      <c r="B864" s="256"/>
      <c r="C864" s="256"/>
      <c r="D864" s="256"/>
      <c r="E864" s="256"/>
      <c r="F864" s="310"/>
      <c r="G864" s="256"/>
      <c r="H864" s="256"/>
      <c r="I864" s="256"/>
      <c r="J864" s="256"/>
      <c r="K864" s="256"/>
      <c r="L864" s="256"/>
      <c r="M864" s="256"/>
      <c r="N864" s="256"/>
      <c r="O864" s="256"/>
      <c r="P864" s="256"/>
      <c r="Q864" s="256"/>
      <c r="R864" s="256"/>
      <c r="S864" s="256"/>
      <c r="T864" s="256"/>
      <c r="U864" s="256"/>
      <c r="V864" s="256"/>
      <c r="W864" s="256"/>
      <c r="X864" s="256"/>
      <c r="Y864" s="256"/>
      <c r="Z864" s="256"/>
    </row>
    <row r="865">
      <c r="A865" s="256"/>
      <c r="B865" s="256"/>
      <c r="C865" s="256"/>
      <c r="D865" s="256"/>
      <c r="E865" s="256"/>
      <c r="F865" s="310"/>
      <c r="G865" s="256"/>
      <c r="H865" s="256"/>
      <c r="I865" s="256"/>
      <c r="J865" s="256"/>
      <c r="K865" s="256"/>
      <c r="L865" s="256"/>
      <c r="M865" s="256"/>
      <c r="N865" s="256"/>
      <c r="O865" s="256"/>
      <c r="P865" s="256"/>
      <c r="Q865" s="256"/>
      <c r="R865" s="256"/>
      <c r="S865" s="256"/>
      <c r="T865" s="256"/>
      <c r="U865" s="256"/>
      <c r="V865" s="256"/>
      <c r="W865" s="256"/>
      <c r="X865" s="256"/>
      <c r="Y865" s="256"/>
      <c r="Z865" s="256"/>
    </row>
    <row r="866">
      <c r="A866" s="256"/>
      <c r="B866" s="256"/>
      <c r="C866" s="256"/>
      <c r="D866" s="256"/>
      <c r="E866" s="256"/>
      <c r="F866" s="310"/>
      <c r="G866" s="256"/>
      <c r="H866" s="256"/>
      <c r="I866" s="256"/>
      <c r="J866" s="256"/>
      <c r="K866" s="256"/>
      <c r="L866" s="256"/>
      <c r="M866" s="256"/>
      <c r="N866" s="256"/>
      <c r="O866" s="256"/>
      <c r="P866" s="256"/>
      <c r="Q866" s="256"/>
      <c r="R866" s="256"/>
      <c r="S866" s="256"/>
      <c r="T866" s="256"/>
      <c r="U866" s="256"/>
      <c r="V866" s="256"/>
      <c r="W866" s="256"/>
      <c r="X866" s="256"/>
      <c r="Y866" s="256"/>
      <c r="Z866" s="256"/>
    </row>
    <row r="867">
      <c r="A867" s="256"/>
      <c r="B867" s="256"/>
      <c r="C867" s="256"/>
      <c r="D867" s="256"/>
      <c r="E867" s="256"/>
      <c r="F867" s="310"/>
      <c r="G867" s="256"/>
      <c r="H867" s="256"/>
      <c r="I867" s="256"/>
      <c r="J867" s="256"/>
      <c r="K867" s="256"/>
      <c r="L867" s="256"/>
      <c r="M867" s="256"/>
      <c r="N867" s="256"/>
      <c r="O867" s="256"/>
      <c r="P867" s="256"/>
      <c r="Q867" s="256"/>
      <c r="R867" s="256"/>
      <c r="S867" s="256"/>
      <c r="T867" s="256"/>
      <c r="U867" s="256"/>
      <c r="V867" s="256"/>
      <c r="W867" s="256"/>
      <c r="X867" s="256"/>
      <c r="Y867" s="256"/>
      <c r="Z867" s="256"/>
    </row>
    <row r="868">
      <c r="A868" s="256"/>
      <c r="B868" s="256"/>
      <c r="C868" s="256"/>
      <c r="D868" s="256"/>
      <c r="E868" s="256"/>
      <c r="F868" s="310"/>
      <c r="G868" s="256"/>
      <c r="H868" s="256"/>
      <c r="I868" s="256"/>
      <c r="J868" s="256"/>
      <c r="K868" s="256"/>
      <c r="L868" s="256"/>
      <c r="M868" s="256"/>
      <c r="N868" s="256"/>
      <c r="O868" s="256"/>
      <c r="P868" s="256"/>
      <c r="Q868" s="256"/>
      <c r="R868" s="256"/>
      <c r="S868" s="256"/>
      <c r="T868" s="256"/>
      <c r="U868" s="256"/>
      <c r="V868" s="256"/>
      <c r="W868" s="256"/>
      <c r="X868" s="256"/>
      <c r="Y868" s="256"/>
      <c r="Z868" s="256"/>
    </row>
    <row r="869">
      <c r="A869" s="256"/>
      <c r="B869" s="256"/>
      <c r="C869" s="256"/>
      <c r="D869" s="256"/>
      <c r="E869" s="256"/>
      <c r="F869" s="310"/>
      <c r="G869" s="256"/>
      <c r="H869" s="256"/>
      <c r="I869" s="256"/>
      <c r="J869" s="256"/>
      <c r="K869" s="256"/>
      <c r="L869" s="256"/>
      <c r="M869" s="256"/>
      <c r="N869" s="256"/>
      <c r="O869" s="256"/>
      <c r="P869" s="256"/>
      <c r="Q869" s="256"/>
      <c r="R869" s="256"/>
      <c r="S869" s="256"/>
      <c r="T869" s="256"/>
      <c r="U869" s="256"/>
      <c r="V869" s="256"/>
      <c r="W869" s="256"/>
      <c r="X869" s="256"/>
      <c r="Y869" s="256"/>
      <c r="Z869" s="256"/>
    </row>
    <row r="870">
      <c r="A870" s="256"/>
      <c r="B870" s="256"/>
      <c r="C870" s="256"/>
      <c r="D870" s="256"/>
      <c r="E870" s="256"/>
      <c r="F870" s="310"/>
      <c r="G870" s="256"/>
      <c r="H870" s="256"/>
      <c r="I870" s="256"/>
      <c r="J870" s="256"/>
      <c r="K870" s="256"/>
      <c r="L870" s="256"/>
      <c r="M870" s="256"/>
      <c r="N870" s="256"/>
      <c r="O870" s="256"/>
      <c r="P870" s="256"/>
      <c r="Q870" s="256"/>
      <c r="R870" s="256"/>
      <c r="S870" s="256"/>
      <c r="T870" s="256"/>
      <c r="U870" s="256"/>
      <c r="V870" s="256"/>
      <c r="W870" s="256"/>
      <c r="X870" s="256"/>
      <c r="Y870" s="256"/>
      <c r="Z870" s="256"/>
    </row>
    <row r="871">
      <c r="A871" s="256"/>
      <c r="B871" s="256"/>
      <c r="C871" s="256"/>
      <c r="D871" s="256"/>
      <c r="E871" s="256"/>
      <c r="F871" s="310"/>
      <c r="G871" s="256"/>
      <c r="H871" s="256"/>
      <c r="I871" s="256"/>
      <c r="J871" s="256"/>
      <c r="K871" s="256"/>
      <c r="L871" s="256"/>
      <c r="M871" s="256"/>
      <c r="N871" s="256"/>
      <c r="O871" s="256"/>
      <c r="P871" s="256"/>
      <c r="Q871" s="256"/>
      <c r="R871" s="256"/>
      <c r="S871" s="256"/>
      <c r="T871" s="256"/>
      <c r="U871" s="256"/>
      <c r="V871" s="256"/>
      <c r="W871" s="256"/>
      <c r="X871" s="256"/>
      <c r="Y871" s="256"/>
      <c r="Z871" s="256"/>
    </row>
    <row r="872">
      <c r="A872" s="256"/>
      <c r="B872" s="256"/>
      <c r="C872" s="256"/>
      <c r="D872" s="256"/>
      <c r="E872" s="256"/>
      <c r="F872" s="310"/>
      <c r="G872" s="256"/>
      <c r="H872" s="256"/>
      <c r="I872" s="256"/>
      <c r="J872" s="256"/>
      <c r="K872" s="256"/>
      <c r="L872" s="256"/>
      <c r="M872" s="256"/>
      <c r="N872" s="256"/>
      <c r="O872" s="256"/>
      <c r="P872" s="256"/>
      <c r="Q872" s="256"/>
      <c r="R872" s="256"/>
      <c r="S872" s="256"/>
      <c r="T872" s="256"/>
      <c r="U872" s="256"/>
      <c r="V872" s="256"/>
      <c r="W872" s="256"/>
      <c r="X872" s="256"/>
      <c r="Y872" s="256"/>
      <c r="Z872" s="256"/>
    </row>
    <row r="873">
      <c r="A873" s="256"/>
      <c r="B873" s="256"/>
      <c r="C873" s="256"/>
      <c r="D873" s="256"/>
      <c r="E873" s="256"/>
      <c r="F873" s="310"/>
      <c r="G873" s="256"/>
      <c r="H873" s="256"/>
      <c r="I873" s="256"/>
      <c r="J873" s="256"/>
      <c r="K873" s="256"/>
      <c r="L873" s="256"/>
      <c r="M873" s="256"/>
      <c r="N873" s="256"/>
      <c r="O873" s="256"/>
      <c r="P873" s="256"/>
      <c r="Q873" s="256"/>
      <c r="R873" s="256"/>
      <c r="S873" s="256"/>
      <c r="T873" s="256"/>
      <c r="U873" s="256"/>
      <c r="V873" s="256"/>
      <c r="W873" s="256"/>
      <c r="X873" s="256"/>
      <c r="Y873" s="256"/>
      <c r="Z873" s="256"/>
    </row>
    <row r="874">
      <c r="A874" s="256"/>
      <c r="B874" s="256"/>
      <c r="C874" s="256"/>
      <c r="D874" s="256"/>
      <c r="E874" s="256"/>
      <c r="F874" s="310"/>
      <c r="G874" s="256"/>
      <c r="H874" s="256"/>
      <c r="I874" s="256"/>
      <c r="J874" s="256"/>
      <c r="K874" s="256"/>
      <c r="L874" s="256"/>
      <c r="M874" s="256"/>
      <c r="N874" s="256"/>
      <c r="O874" s="256"/>
      <c r="P874" s="256"/>
      <c r="Q874" s="256"/>
      <c r="R874" s="256"/>
      <c r="S874" s="256"/>
      <c r="T874" s="256"/>
      <c r="U874" s="256"/>
      <c r="V874" s="256"/>
      <c r="W874" s="256"/>
      <c r="X874" s="256"/>
      <c r="Y874" s="256"/>
      <c r="Z874" s="256"/>
    </row>
    <row r="875">
      <c r="A875" s="256"/>
      <c r="B875" s="256"/>
      <c r="C875" s="256"/>
      <c r="D875" s="256"/>
      <c r="E875" s="256"/>
      <c r="F875" s="310"/>
      <c r="G875" s="256"/>
      <c r="H875" s="256"/>
      <c r="I875" s="256"/>
      <c r="J875" s="256"/>
      <c r="K875" s="256"/>
      <c r="L875" s="256"/>
      <c r="M875" s="256"/>
      <c r="N875" s="256"/>
      <c r="O875" s="256"/>
      <c r="P875" s="256"/>
      <c r="Q875" s="256"/>
      <c r="R875" s="256"/>
      <c r="S875" s="256"/>
      <c r="T875" s="256"/>
      <c r="U875" s="256"/>
      <c r="V875" s="256"/>
      <c r="W875" s="256"/>
      <c r="X875" s="256"/>
      <c r="Y875" s="256"/>
      <c r="Z875" s="256"/>
    </row>
    <row r="876">
      <c r="A876" s="256"/>
      <c r="B876" s="256"/>
      <c r="C876" s="256"/>
      <c r="D876" s="256"/>
      <c r="E876" s="256"/>
      <c r="F876" s="310"/>
      <c r="G876" s="256"/>
      <c r="H876" s="256"/>
      <c r="I876" s="256"/>
      <c r="J876" s="256"/>
      <c r="K876" s="256"/>
      <c r="L876" s="256"/>
      <c r="M876" s="256"/>
      <c r="N876" s="256"/>
      <c r="O876" s="256"/>
      <c r="P876" s="256"/>
      <c r="Q876" s="256"/>
      <c r="R876" s="256"/>
      <c r="S876" s="256"/>
      <c r="T876" s="256"/>
      <c r="U876" s="256"/>
      <c r="V876" s="256"/>
      <c r="W876" s="256"/>
      <c r="X876" s="256"/>
      <c r="Y876" s="256"/>
      <c r="Z876" s="256"/>
    </row>
    <row r="877">
      <c r="A877" s="256"/>
      <c r="B877" s="256"/>
      <c r="C877" s="256"/>
      <c r="D877" s="256"/>
      <c r="E877" s="256"/>
      <c r="F877" s="310"/>
      <c r="G877" s="256"/>
      <c r="H877" s="256"/>
      <c r="I877" s="256"/>
      <c r="J877" s="256"/>
      <c r="K877" s="256"/>
      <c r="L877" s="256"/>
      <c r="M877" s="256"/>
      <c r="N877" s="256"/>
      <c r="O877" s="256"/>
      <c r="P877" s="256"/>
      <c r="Q877" s="256"/>
      <c r="R877" s="256"/>
      <c r="S877" s="256"/>
      <c r="T877" s="256"/>
      <c r="U877" s="256"/>
      <c r="V877" s="256"/>
      <c r="W877" s="256"/>
      <c r="X877" s="256"/>
      <c r="Y877" s="256"/>
      <c r="Z877" s="256"/>
    </row>
    <row r="878">
      <c r="A878" s="256"/>
      <c r="B878" s="256"/>
      <c r="C878" s="256"/>
      <c r="D878" s="256"/>
      <c r="E878" s="256"/>
      <c r="F878" s="310"/>
      <c r="G878" s="256"/>
      <c r="H878" s="256"/>
      <c r="I878" s="256"/>
      <c r="J878" s="256"/>
      <c r="K878" s="256"/>
      <c r="L878" s="256"/>
      <c r="M878" s="256"/>
      <c r="N878" s="256"/>
      <c r="O878" s="256"/>
      <c r="P878" s="256"/>
      <c r="Q878" s="256"/>
      <c r="R878" s="256"/>
      <c r="S878" s="256"/>
      <c r="T878" s="256"/>
      <c r="U878" s="256"/>
      <c r="V878" s="256"/>
      <c r="W878" s="256"/>
      <c r="X878" s="256"/>
      <c r="Y878" s="256"/>
      <c r="Z878" s="256"/>
    </row>
    <row r="879">
      <c r="A879" s="256"/>
      <c r="B879" s="256"/>
      <c r="C879" s="256"/>
      <c r="D879" s="256"/>
      <c r="E879" s="256"/>
      <c r="F879" s="310"/>
      <c r="G879" s="256"/>
      <c r="H879" s="256"/>
      <c r="I879" s="256"/>
      <c r="J879" s="256"/>
      <c r="K879" s="256"/>
      <c r="L879" s="256"/>
      <c r="M879" s="256"/>
      <c r="N879" s="256"/>
      <c r="O879" s="256"/>
      <c r="P879" s="256"/>
      <c r="Q879" s="256"/>
      <c r="R879" s="256"/>
      <c r="S879" s="256"/>
      <c r="T879" s="256"/>
      <c r="U879" s="256"/>
      <c r="V879" s="256"/>
      <c r="W879" s="256"/>
      <c r="X879" s="256"/>
      <c r="Y879" s="256"/>
      <c r="Z879" s="256"/>
    </row>
    <row r="880">
      <c r="A880" s="256"/>
      <c r="B880" s="256"/>
      <c r="C880" s="256"/>
      <c r="D880" s="256"/>
      <c r="E880" s="256"/>
      <c r="F880" s="310"/>
      <c r="G880" s="256"/>
      <c r="H880" s="256"/>
      <c r="I880" s="256"/>
      <c r="J880" s="256"/>
      <c r="K880" s="256"/>
      <c r="L880" s="256"/>
      <c r="M880" s="256"/>
      <c r="N880" s="256"/>
      <c r="O880" s="256"/>
      <c r="P880" s="256"/>
      <c r="Q880" s="256"/>
      <c r="R880" s="256"/>
      <c r="S880" s="256"/>
      <c r="T880" s="256"/>
      <c r="U880" s="256"/>
      <c r="V880" s="256"/>
      <c r="W880" s="256"/>
      <c r="X880" s="256"/>
      <c r="Y880" s="256"/>
      <c r="Z880" s="256"/>
    </row>
    <row r="881">
      <c r="A881" s="256"/>
      <c r="B881" s="256"/>
      <c r="C881" s="256"/>
      <c r="D881" s="256"/>
      <c r="E881" s="256"/>
      <c r="F881" s="310"/>
      <c r="G881" s="256"/>
      <c r="H881" s="256"/>
      <c r="I881" s="256"/>
      <c r="J881" s="256"/>
      <c r="K881" s="256"/>
      <c r="L881" s="256"/>
      <c r="M881" s="256"/>
      <c r="N881" s="256"/>
      <c r="O881" s="256"/>
      <c r="P881" s="256"/>
      <c r="Q881" s="256"/>
      <c r="R881" s="256"/>
      <c r="S881" s="256"/>
      <c r="T881" s="256"/>
      <c r="U881" s="256"/>
      <c r="V881" s="256"/>
      <c r="W881" s="256"/>
      <c r="X881" s="256"/>
      <c r="Y881" s="256"/>
      <c r="Z881" s="256"/>
    </row>
    <row r="882">
      <c r="A882" s="256"/>
      <c r="B882" s="256"/>
      <c r="C882" s="256"/>
      <c r="D882" s="256"/>
      <c r="E882" s="256"/>
      <c r="F882" s="310"/>
      <c r="G882" s="256"/>
      <c r="H882" s="256"/>
      <c r="I882" s="256"/>
      <c r="J882" s="256"/>
      <c r="K882" s="256"/>
      <c r="L882" s="256"/>
      <c r="M882" s="256"/>
      <c r="N882" s="256"/>
      <c r="O882" s="256"/>
      <c r="P882" s="256"/>
      <c r="Q882" s="256"/>
      <c r="R882" s="256"/>
      <c r="S882" s="256"/>
      <c r="T882" s="256"/>
      <c r="U882" s="256"/>
      <c r="V882" s="256"/>
      <c r="W882" s="256"/>
      <c r="X882" s="256"/>
      <c r="Y882" s="256"/>
      <c r="Z882" s="256"/>
    </row>
    <row r="883">
      <c r="A883" s="256"/>
      <c r="B883" s="256"/>
      <c r="C883" s="256"/>
      <c r="D883" s="256"/>
      <c r="E883" s="256"/>
      <c r="F883" s="310"/>
      <c r="G883" s="256"/>
      <c r="H883" s="256"/>
      <c r="I883" s="256"/>
      <c r="J883" s="256"/>
      <c r="K883" s="256"/>
      <c r="L883" s="256"/>
      <c r="M883" s="256"/>
      <c r="N883" s="256"/>
      <c r="O883" s="256"/>
      <c r="P883" s="256"/>
      <c r="Q883" s="256"/>
      <c r="R883" s="256"/>
      <c r="S883" s="256"/>
      <c r="T883" s="256"/>
      <c r="U883" s="256"/>
      <c r="V883" s="256"/>
      <c r="W883" s="256"/>
      <c r="X883" s="256"/>
      <c r="Y883" s="256"/>
      <c r="Z883" s="256"/>
    </row>
    <row r="884">
      <c r="A884" s="256"/>
      <c r="B884" s="256"/>
      <c r="C884" s="256"/>
      <c r="D884" s="256"/>
      <c r="E884" s="256"/>
      <c r="F884" s="310"/>
      <c r="G884" s="256"/>
      <c r="H884" s="256"/>
      <c r="I884" s="256"/>
      <c r="J884" s="256"/>
      <c r="K884" s="256"/>
      <c r="L884" s="256"/>
      <c r="M884" s="256"/>
      <c r="N884" s="256"/>
      <c r="O884" s="256"/>
      <c r="P884" s="256"/>
      <c r="Q884" s="256"/>
      <c r="R884" s="256"/>
      <c r="S884" s="256"/>
      <c r="T884" s="256"/>
      <c r="U884" s="256"/>
      <c r="V884" s="256"/>
      <c r="W884" s="256"/>
      <c r="X884" s="256"/>
      <c r="Y884" s="256"/>
      <c r="Z884" s="256"/>
    </row>
    <row r="885">
      <c r="A885" s="256"/>
      <c r="B885" s="256"/>
      <c r="C885" s="256"/>
      <c r="D885" s="256"/>
      <c r="E885" s="256"/>
      <c r="F885" s="310"/>
      <c r="G885" s="256"/>
      <c r="H885" s="256"/>
      <c r="I885" s="256"/>
      <c r="J885" s="256"/>
      <c r="K885" s="256"/>
      <c r="L885" s="256"/>
      <c r="M885" s="256"/>
      <c r="N885" s="256"/>
      <c r="O885" s="256"/>
      <c r="P885" s="256"/>
      <c r="Q885" s="256"/>
      <c r="R885" s="256"/>
      <c r="S885" s="256"/>
      <c r="T885" s="256"/>
      <c r="U885" s="256"/>
      <c r="V885" s="256"/>
      <c r="W885" s="256"/>
      <c r="X885" s="256"/>
      <c r="Y885" s="256"/>
      <c r="Z885" s="256"/>
    </row>
    <row r="886">
      <c r="A886" s="256"/>
      <c r="B886" s="256"/>
      <c r="C886" s="256"/>
      <c r="D886" s="256"/>
      <c r="E886" s="256"/>
      <c r="F886" s="310"/>
      <c r="G886" s="256"/>
      <c r="H886" s="256"/>
      <c r="I886" s="256"/>
      <c r="J886" s="256"/>
      <c r="K886" s="256"/>
      <c r="L886" s="256"/>
      <c r="M886" s="256"/>
      <c r="N886" s="256"/>
      <c r="O886" s="256"/>
      <c r="P886" s="256"/>
      <c r="Q886" s="256"/>
      <c r="R886" s="256"/>
      <c r="S886" s="256"/>
      <c r="T886" s="256"/>
      <c r="U886" s="256"/>
      <c r="V886" s="256"/>
      <c r="W886" s="256"/>
      <c r="X886" s="256"/>
      <c r="Y886" s="256"/>
      <c r="Z886" s="256"/>
    </row>
    <row r="887">
      <c r="A887" s="256"/>
      <c r="B887" s="256"/>
      <c r="C887" s="256"/>
      <c r="D887" s="256"/>
      <c r="E887" s="256"/>
      <c r="F887" s="310"/>
      <c r="G887" s="256"/>
      <c r="H887" s="256"/>
      <c r="I887" s="256"/>
      <c r="J887" s="256"/>
      <c r="K887" s="256"/>
      <c r="L887" s="256"/>
      <c r="M887" s="256"/>
      <c r="N887" s="256"/>
      <c r="O887" s="256"/>
      <c r="P887" s="256"/>
      <c r="Q887" s="256"/>
      <c r="R887" s="256"/>
      <c r="S887" s="256"/>
      <c r="T887" s="256"/>
      <c r="U887" s="256"/>
      <c r="V887" s="256"/>
      <c r="W887" s="256"/>
      <c r="X887" s="256"/>
      <c r="Y887" s="256"/>
      <c r="Z887" s="256"/>
    </row>
    <row r="888">
      <c r="A888" s="256"/>
      <c r="B888" s="256"/>
      <c r="C888" s="256"/>
      <c r="D888" s="256"/>
      <c r="E888" s="256"/>
      <c r="F888" s="310"/>
      <c r="G888" s="256"/>
      <c r="H888" s="256"/>
      <c r="I888" s="256"/>
      <c r="J888" s="256"/>
      <c r="K888" s="256"/>
      <c r="L888" s="256"/>
      <c r="M888" s="256"/>
      <c r="N888" s="256"/>
      <c r="O888" s="256"/>
      <c r="P888" s="256"/>
      <c r="Q888" s="256"/>
      <c r="R888" s="256"/>
      <c r="S888" s="256"/>
      <c r="T888" s="256"/>
      <c r="U888" s="256"/>
      <c r="V888" s="256"/>
      <c r="W888" s="256"/>
      <c r="X888" s="256"/>
      <c r="Y888" s="256"/>
      <c r="Z888" s="256"/>
    </row>
    <row r="889">
      <c r="A889" s="256"/>
      <c r="B889" s="256"/>
      <c r="C889" s="256"/>
      <c r="D889" s="256"/>
      <c r="E889" s="256"/>
      <c r="F889" s="310"/>
      <c r="G889" s="256"/>
      <c r="H889" s="256"/>
      <c r="I889" s="256"/>
      <c r="J889" s="256"/>
      <c r="K889" s="256"/>
      <c r="L889" s="256"/>
      <c r="M889" s="256"/>
      <c r="N889" s="256"/>
      <c r="O889" s="256"/>
      <c r="P889" s="256"/>
      <c r="Q889" s="256"/>
      <c r="R889" s="256"/>
      <c r="S889" s="256"/>
      <c r="T889" s="256"/>
      <c r="U889" s="256"/>
      <c r="V889" s="256"/>
      <c r="W889" s="256"/>
      <c r="X889" s="256"/>
      <c r="Y889" s="256"/>
      <c r="Z889" s="256"/>
    </row>
    <row r="890">
      <c r="A890" s="256"/>
      <c r="B890" s="256"/>
      <c r="C890" s="256"/>
      <c r="D890" s="256"/>
      <c r="E890" s="256"/>
      <c r="F890" s="310"/>
      <c r="G890" s="256"/>
      <c r="H890" s="256"/>
      <c r="I890" s="256"/>
      <c r="J890" s="256"/>
      <c r="K890" s="256"/>
      <c r="L890" s="256"/>
      <c r="M890" s="256"/>
      <c r="N890" s="256"/>
      <c r="O890" s="256"/>
      <c r="P890" s="256"/>
      <c r="Q890" s="256"/>
      <c r="R890" s="256"/>
      <c r="S890" s="256"/>
      <c r="T890" s="256"/>
      <c r="U890" s="256"/>
      <c r="V890" s="256"/>
      <c r="W890" s="256"/>
      <c r="X890" s="256"/>
      <c r="Y890" s="256"/>
      <c r="Z890" s="256"/>
    </row>
    <row r="891">
      <c r="A891" s="256"/>
      <c r="B891" s="256"/>
      <c r="C891" s="256"/>
      <c r="D891" s="256"/>
      <c r="E891" s="256"/>
      <c r="F891" s="310"/>
      <c r="G891" s="256"/>
      <c r="H891" s="256"/>
      <c r="I891" s="256"/>
      <c r="J891" s="256"/>
      <c r="K891" s="256"/>
      <c r="L891" s="256"/>
      <c r="M891" s="256"/>
      <c r="N891" s="256"/>
      <c r="O891" s="256"/>
      <c r="P891" s="256"/>
      <c r="Q891" s="256"/>
      <c r="R891" s="256"/>
      <c r="S891" s="256"/>
      <c r="T891" s="256"/>
      <c r="U891" s="256"/>
      <c r="V891" s="256"/>
      <c r="W891" s="256"/>
      <c r="X891" s="256"/>
      <c r="Y891" s="256"/>
      <c r="Z891" s="256"/>
    </row>
    <row r="892">
      <c r="A892" s="256"/>
      <c r="B892" s="256"/>
      <c r="C892" s="256"/>
      <c r="D892" s="256"/>
      <c r="E892" s="256"/>
      <c r="F892" s="310"/>
      <c r="G892" s="256"/>
      <c r="H892" s="256"/>
      <c r="I892" s="256"/>
      <c r="J892" s="256"/>
      <c r="K892" s="256"/>
      <c r="L892" s="256"/>
      <c r="M892" s="256"/>
      <c r="N892" s="256"/>
      <c r="O892" s="256"/>
      <c r="P892" s="256"/>
      <c r="Q892" s="256"/>
      <c r="R892" s="256"/>
      <c r="S892" s="256"/>
      <c r="T892" s="256"/>
      <c r="U892" s="256"/>
      <c r="V892" s="256"/>
      <c r="W892" s="256"/>
      <c r="X892" s="256"/>
      <c r="Y892" s="256"/>
      <c r="Z892" s="256"/>
    </row>
    <row r="893">
      <c r="A893" s="256"/>
      <c r="B893" s="256"/>
      <c r="C893" s="256"/>
      <c r="D893" s="256"/>
      <c r="E893" s="256"/>
      <c r="F893" s="310"/>
      <c r="G893" s="256"/>
      <c r="H893" s="256"/>
      <c r="I893" s="256"/>
      <c r="J893" s="256"/>
      <c r="K893" s="256"/>
      <c r="L893" s="256"/>
      <c r="M893" s="256"/>
      <c r="N893" s="256"/>
      <c r="O893" s="256"/>
      <c r="P893" s="256"/>
      <c r="Q893" s="256"/>
      <c r="R893" s="256"/>
      <c r="S893" s="256"/>
      <c r="T893" s="256"/>
      <c r="U893" s="256"/>
      <c r="V893" s="256"/>
      <c r="W893" s="256"/>
      <c r="X893" s="256"/>
      <c r="Y893" s="256"/>
      <c r="Z893" s="256"/>
    </row>
    <row r="894">
      <c r="A894" s="256"/>
      <c r="B894" s="256"/>
      <c r="C894" s="256"/>
      <c r="D894" s="256"/>
      <c r="E894" s="256"/>
      <c r="F894" s="310"/>
      <c r="G894" s="256"/>
      <c r="H894" s="256"/>
      <c r="I894" s="256"/>
      <c r="J894" s="256"/>
      <c r="K894" s="256"/>
      <c r="L894" s="256"/>
      <c r="M894" s="256"/>
      <c r="N894" s="256"/>
      <c r="O894" s="256"/>
      <c r="P894" s="256"/>
      <c r="Q894" s="256"/>
      <c r="R894" s="256"/>
      <c r="S894" s="256"/>
      <c r="T894" s="256"/>
      <c r="U894" s="256"/>
      <c r="V894" s="256"/>
      <c r="W894" s="256"/>
      <c r="X894" s="256"/>
      <c r="Y894" s="256"/>
      <c r="Z894" s="256"/>
    </row>
    <row r="895">
      <c r="A895" s="256"/>
      <c r="B895" s="256"/>
      <c r="C895" s="256"/>
      <c r="D895" s="256"/>
      <c r="E895" s="256"/>
      <c r="F895" s="310"/>
      <c r="G895" s="256"/>
      <c r="H895" s="256"/>
      <c r="I895" s="256"/>
      <c r="J895" s="256"/>
      <c r="K895" s="256"/>
      <c r="L895" s="256"/>
      <c r="M895" s="256"/>
      <c r="N895" s="256"/>
      <c r="O895" s="256"/>
      <c r="P895" s="256"/>
      <c r="Q895" s="256"/>
      <c r="R895" s="256"/>
      <c r="S895" s="256"/>
      <c r="T895" s="256"/>
      <c r="U895" s="256"/>
      <c r="V895" s="256"/>
      <c r="W895" s="256"/>
      <c r="X895" s="256"/>
      <c r="Y895" s="256"/>
      <c r="Z895" s="256"/>
    </row>
    <row r="896">
      <c r="A896" s="256"/>
      <c r="B896" s="256"/>
      <c r="C896" s="256"/>
      <c r="D896" s="256"/>
      <c r="E896" s="256"/>
      <c r="F896" s="310"/>
      <c r="G896" s="256"/>
      <c r="H896" s="256"/>
      <c r="I896" s="256"/>
      <c r="J896" s="256"/>
      <c r="K896" s="256"/>
      <c r="L896" s="256"/>
      <c r="M896" s="256"/>
      <c r="N896" s="256"/>
      <c r="O896" s="256"/>
      <c r="P896" s="256"/>
      <c r="Q896" s="256"/>
      <c r="R896" s="256"/>
      <c r="S896" s="256"/>
      <c r="T896" s="256"/>
      <c r="U896" s="256"/>
      <c r="V896" s="256"/>
      <c r="W896" s="256"/>
      <c r="X896" s="256"/>
      <c r="Y896" s="256"/>
      <c r="Z896" s="256"/>
    </row>
    <row r="897">
      <c r="A897" s="256"/>
      <c r="B897" s="256"/>
      <c r="C897" s="256"/>
      <c r="D897" s="256"/>
      <c r="E897" s="256"/>
      <c r="F897" s="310"/>
      <c r="G897" s="256"/>
      <c r="H897" s="256"/>
      <c r="I897" s="256"/>
      <c r="J897" s="256"/>
      <c r="K897" s="256"/>
      <c r="L897" s="256"/>
      <c r="M897" s="256"/>
      <c r="N897" s="256"/>
      <c r="O897" s="256"/>
      <c r="P897" s="256"/>
      <c r="Q897" s="256"/>
      <c r="R897" s="256"/>
      <c r="S897" s="256"/>
      <c r="T897" s="256"/>
      <c r="U897" s="256"/>
      <c r="V897" s="256"/>
      <c r="W897" s="256"/>
      <c r="X897" s="256"/>
      <c r="Y897" s="256"/>
      <c r="Z897" s="256"/>
    </row>
    <row r="898">
      <c r="A898" s="256"/>
      <c r="B898" s="256"/>
      <c r="C898" s="256"/>
      <c r="D898" s="256"/>
      <c r="E898" s="256"/>
      <c r="F898" s="310"/>
      <c r="G898" s="256"/>
      <c r="H898" s="256"/>
      <c r="I898" s="256"/>
      <c r="J898" s="256"/>
      <c r="K898" s="256"/>
      <c r="L898" s="256"/>
      <c r="M898" s="256"/>
      <c r="N898" s="256"/>
      <c r="O898" s="256"/>
      <c r="P898" s="256"/>
      <c r="Q898" s="256"/>
      <c r="R898" s="256"/>
      <c r="S898" s="256"/>
      <c r="T898" s="256"/>
      <c r="U898" s="256"/>
      <c r="V898" s="256"/>
      <c r="W898" s="256"/>
      <c r="X898" s="256"/>
      <c r="Y898" s="256"/>
      <c r="Z898" s="256"/>
    </row>
    <row r="899">
      <c r="A899" s="256"/>
      <c r="B899" s="256"/>
      <c r="C899" s="256"/>
      <c r="D899" s="256"/>
      <c r="E899" s="256"/>
      <c r="F899" s="310"/>
      <c r="G899" s="256"/>
      <c r="H899" s="256"/>
      <c r="I899" s="256"/>
      <c r="J899" s="256"/>
      <c r="K899" s="256"/>
      <c r="L899" s="256"/>
      <c r="M899" s="256"/>
      <c r="N899" s="256"/>
      <c r="O899" s="256"/>
      <c r="P899" s="256"/>
      <c r="Q899" s="256"/>
      <c r="R899" s="256"/>
      <c r="S899" s="256"/>
      <c r="T899" s="256"/>
      <c r="U899" s="256"/>
      <c r="V899" s="256"/>
      <c r="W899" s="256"/>
      <c r="X899" s="256"/>
      <c r="Y899" s="256"/>
      <c r="Z899" s="256"/>
    </row>
    <row r="900">
      <c r="A900" s="256"/>
      <c r="B900" s="256"/>
      <c r="C900" s="256"/>
      <c r="D900" s="256"/>
      <c r="E900" s="256"/>
      <c r="F900" s="310"/>
      <c r="G900" s="256"/>
      <c r="H900" s="256"/>
      <c r="I900" s="256"/>
      <c r="J900" s="256"/>
      <c r="K900" s="256"/>
      <c r="L900" s="256"/>
      <c r="M900" s="256"/>
      <c r="N900" s="256"/>
      <c r="O900" s="256"/>
      <c r="P900" s="256"/>
      <c r="Q900" s="256"/>
      <c r="R900" s="256"/>
      <c r="S900" s="256"/>
      <c r="T900" s="256"/>
      <c r="U900" s="256"/>
      <c r="V900" s="256"/>
      <c r="W900" s="256"/>
      <c r="X900" s="256"/>
      <c r="Y900" s="256"/>
      <c r="Z900" s="256"/>
    </row>
    <row r="901">
      <c r="A901" s="256"/>
      <c r="B901" s="256"/>
      <c r="C901" s="256"/>
      <c r="D901" s="256"/>
      <c r="E901" s="256"/>
      <c r="F901" s="310"/>
      <c r="G901" s="256"/>
      <c r="H901" s="256"/>
      <c r="I901" s="256"/>
      <c r="J901" s="256"/>
      <c r="K901" s="256"/>
      <c r="L901" s="256"/>
      <c r="M901" s="256"/>
      <c r="N901" s="256"/>
      <c r="O901" s="256"/>
      <c r="P901" s="256"/>
      <c r="Q901" s="256"/>
      <c r="R901" s="256"/>
      <c r="S901" s="256"/>
      <c r="T901" s="256"/>
      <c r="U901" s="256"/>
      <c r="V901" s="256"/>
      <c r="W901" s="256"/>
      <c r="X901" s="256"/>
      <c r="Y901" s="256"/>
      <c r="Z901" s="256"/>
    </row>
    <row r="902">
      <c r="A902" s="256"/>
      <c r="B902" s="256"/>
      <c r="C902" s="256"/>
      <c r="D902" s="256"/>
      <c r="E902" s="256"/>
      <c r="F902" s="310"/>
      <c r="G902" s="256"/>
      <c r="H902" s="256"/>
      <c r="I902" s="256"/>
      <c r="J902" s="256"/>
      <c r="K902" s="256"/>
      <c r="L902" s="256"/>
      <c r="M902" s="256"/>
      <c r="N902" s="256"/>
      <c r="O902" s="256"/>
      <c r="P902" s="256"/>
      <c r="Q902" s="256"/>
      <c r="R902" s="256"/>
      <c r="S902" s="256"/>
      <c r="T902" s="256"/>
      <c r="U902" s="256"/>
      <c r="V902" s="256"/>
      <c r="W902" s="256"/>
      <c r="X902" s="256"/>
      <c r="Y902" s="256"/>
      <c r="Z902" s="256"/>
    </row>
    <row r="903">
      <c r="A903" s="256"/>
      <c r="B903" s="256"/>
      <c r="C903" s="256"/>
      <c r="D903" s="256"/>
      <c r="E903" s="256"/>
      <c r="F903" s="310"/>
      <c r="G903" s="256"/>
      <c r="H903" s="256"/>
      <c r="I903" s="256"/>
      <c r="J903" s="256"/>
      <c r="K903" s="256"/>
      <c r="L903" s="256"/>
      <c r="M903" s="256"/>
      <c r="N903" s="256"/>
      <c r="O903" s="256"/>
      <c r="P903" s="256"/>
      <c r="Q903" s="256"/>
      <c r="R903" s="256"/>
      <c r="S903" s="256"/>
      <c r="T903" s="256"/>
      <c r="U903" s="256"/>
      <c r="V903" s="256"/>
      <c r="W903" s="256"/>
      <c r="X903" s="256"/>
      <c r="Y903" s="256"/>
      <c r="Z903" s="256"/>
    </row>
    <row r="904">
      <c r="A904" s="256"/>
      <c r="B904" s="256"/>
      <c r="C904" s="256"/>
      <c r="D904" s="256"/>
      <c r="E904" s="256"/>
      <c r="F904" s="310"/>
      <c r="G904" s="256"/>
      <c r="H904" s="256"/>
      <c r="I904" s="256"/>
      <c r="J904" s="256"/>
      <c r="K904" s="256"/>
      <c r="L904" s="256"/>
      <c r="M904" s="256"/>
      <c r="N904" s="256"/>
      <c r="O904" s="256"/>
      <c r="P904" s="256"/>
      <c r="Q904" s="256"/>
      <c r="R904" s="256"/>
      <c r="S904" s="256"/>
      <c r="T904" s="256"/>
      <c r="U904" s="256"/>
      <c r="V904" s="256"/>
      <c r="W904" s="256"/>
      <c r="X904" s="256"/>
      <c r="Y904" s="256"/>
      <c r="Z904" s="256"/>
    </row>
    <row r="905">
      <c r="A905" s="256"/>
      <c r="B905" s="256"/>
      <c r="C905" s="256"/>
      <c r="D905" s="256"/>
      <c r="E905" s="256"/>
      <c r="F905" s="310"/>
      <c r="G905" s="256"/>
      <c r="H905" s="256"/>
      <c r="I905" s="256"/>
      <c r="J905" s="256"/>
      <c r="K905" s="256"/>
      <c r="L905" s="256"/>
      <c r="M905" s="256"/>
      <c r="N905" s="256"/>
      <c r="O905" s="256"/>
      <c r="P905" s="256"/>
      <c r="Q905" s="256"/>
      <c r="R905" s="256"/>
      <c r="S905" s="256"/>
      <c r="T905" s="256"/>
      <c r="U905" s="256"/>
      <c r="V905" s="256"/>
      <c r="W905" s="256"/>
      <c r="X905" s="256"/>
      <c r="Y905" s="256"/>
      <c r="Z905" s="256"/>
    </row>
    <row r="906">
      <c r="A906" s="256"/>
      <c r="B906" s="256"/>
      <c r="C906" s="256"/>
      <c r="D906" s="256"/>
      <c r="E906" s="256"/>
      <c r="F906" s="310"/>
      <c r="G906" s="256"/>
      <c r="H906" s="256"/>
      <c r="I906" s="256"/>
      <c r="J906" s="256"/>
      <c r="K906" s="256"/>
      <c r="L906" s="256"/>
      <c r="M906" s="256"/>
      <c r="N906" s="256"/>
      <c r="O906" s="256"/>
      <c r="P906" s="256"/>
      <c r="Q906" s="256"/>
      <c r="R906" s="256"/>
      <c r="S906" s="256"/>
      <c r="T906" s="256"/>
      <c r="U906" s="256"/>
      <c r="V906" s="256"/>
      <c r="W906" s="256"/>
      <c r="X906" s="256"/>
      <c r="Y906" s="256"/>
      <c r="Z906" s="256"/>
    </row>
    <row r="907">
      <c r="A907" s="256"/>
      <c r="B907" s="256"/>
      <c r="C907" s="256"/>
      <c r="D907" s="256"/>
      <c r="E907" s="256"/>
      <c r="F907" s="310"/>
      <c r="G907" s="256"/>
      <c r="H907" s="256"/>
      <c r="I907" s="256"/>
      <c r="J907" s="256"/>
      <c r="K907" s="256"/>
      <c r="L907" s="256"/>
      <c r="M907" s="256"/>
      <c r="N907" s="256"/>
      <c r="O907" s="256"/>
      <c r="P907" s="256"/>
      <c r="Q907" s="256"/>
      <c r="R907" s="256"/>
      <c r="S907" s="256"/>
      <c r="T907" s="256"/>
      <c r="U907" s="256"/>
      <c r="V907" s="256"/>
      <c r="W907" s="256"/>
      <c r="X907" s="256"/>
      <c r="Y907" s="256"/>
      <c r="Z907" s="256"/>
    </row>
    <row r="908">
      <c r="A908" s="256"/>
      <c r="B908" s="256"/>
      <c r="C908" s="256"/>
      <c r="D908" s="256"/>
      <c r="E908" s="256"/>
      <c r="F908" s="310"/>
      <c r="G908" s="256"/>
      <c r="H908" s="256"/>
      <c r="I908" s="256"/>
      <c r="J908" s="256"/>
      <c r="K908" s="256"/>
      <c r="L908" s="256"/>
      <c r="M908" s="256"/>
      <c r="N908" s="256"/>
      <c r="O908" s="256"/>
      <c r="P908" s="256"/>
      <c r="Q908" s="256"/>
      <c r="R908" s="256"/>
      <c r="S908" s="256"/>
      <c r="T908" s="256"/>
      <c r="U908" s="256"/>
      <c r="V908" s="256"/>
      <c r="W908" s="256"/>
      <c r="X908" s="256"/>
      <c r="Y908" s="256"/>
      <c r="Z908" s="256"/>
    </row>
    <row r="909">
      <c r="A909" s="256"/>
      <c r="B909" s="256"/>
      <c r="C909" s="256"/>
      <c r="D909" s="256"/>
      <c r="E909" s="256"/>
      <c r="F909" s="310"/>
      <c r="G909" s="256"/>
      <c r="H909" s="256"/>
      <c r="I909" s="256"/>
      <c r="J909" s="256"/>
      <c r="K909" s="256"/>
      <c r="L909" s="256"/>
      <c r="M909" s="256"/>
      <c r="N909" s="256"/>
      <c r="O909" s="256"/>
      <c r="P909" s="256"/>
      <c r="Q909" s="256"/>
      <c r="R909" s="256"/>
      <c r="S909" s="256"/>
      <c r="T909" s="256"/>
      <c r="U909" s="256"/>
      <c r="V909" s="256"/>
      <c r="W909" s="256"/>
      <c r="X909" s="256"/>
      <c r="Y909" s="256"/>
      <c r="Z909" s="256"/>
    </row>
    <row r="910">
      <c r="A910" s="256"/>
      <c r="B910" s="256"/>
      <c r="C910" s="256"/>
      <c r="D910" s="256"/>
      <c r="E910" s="256"/>
      <c r="F910" s="310"/>
      <c r="G910" s="256"/>
      <c r="H910" s="256"/>
      <c r="I910" s="256"/>
      <c r="J910" s="256"/>
      <c r="K910" s="256"/>
      <c r="L910" s="256"/>
      <c r="M910" s="256"/>
      <c r="N910" s="256"/>
      <c r="O910" s="256"/>
      <c r="P910" s="256"/>
      <c r="Q910" s="256"/>
      <c r="R910" s="256"/>
      <c r="S910" s="256"/>
      <c r="T910" s="256"/>
      <c r="U910" s="256"/>
      <c r="V910" s="256"/>
      <c r="W910" s="256"/>
      <c r="X910" s="256"/>
      <c r="Y910" s="256"/>
      <c r="Z910" s="256"/>
    </row>
    <row r="911">
      <c r="A911" s="256"/>
      <c r="B911" s="256"/>
      <c r="C911" s="256"/>
      <c r="D911" s="256"/>
      <c r="E911" s="256"/>
      <c r="F911" s="310"/>
      <c r="G911" s="256"/>
      <c r="H911" s="256"/>
      <c r="I911" s="256"/>
      <c r="J911" s="256"/>
      <c r="K911" s="256"/>
      <c r="L911" s="256"/>
      <c r="M911" s="256"/>
      <c r="N911" s="256"/>
      <c r="O911" s="256"/>
      <c r="P911" s="256"/>
      <c r="Q911" s="256"/>
      <c r="R911" s="256"/>
      <c r="S911" s="256"/>
      <c r="T911" s="256"/>
      <c r="U911" s="256"/>
      <c r="V911" s="256"/>
      <c r="W911" s="256"/>
      <c r="X911" s="256"/>
      <c r="Y911" s="256"/>
      <c r="Z911" s="256"/>
    </row>
    <row r="912">
      <c r="A912" s="256"/>
      <c r="B912" s="256"/>
      <c r="C912" s="256"/>
      <c r="D912" s="256"/>
      <c r="E912" s="256"/>
      <c r="F912" s="310"/>
      <c r="G912" s="256"/>
      <c r="H912" s="256"/>
      <c r="I912" s="256"/>
      <c r="J912" s="256"/>
      <c r="K912" s="256"/>
      <c r="L912" s="256"/>
      <c r="M912" s="256"/>
      <c r="N912" s="256"/>
      <c r="O912" s="256"/>
      <c r="P912" s="256"/>
      <c r="Q912" s="256"/>
      <c r="R912" s="256"/>
      <c r="S912" s="256"/>
      <c r="T912" s="256"/>
      <c r="U912" s="256"/>
      <c r="V912" s="256"/>
      <c r="W912" s="256"/>
      <c r="X912" s="256"/>
      <c r="Y912" s="256"/>
      <c r="Z912" s="256"/>
    </row>
    <row r="913">
      <c r="A913" s="256"/>
      <c r="B913" s="256"/>
      <c r="C913" s="256"/>
      <c r="D913" s="256"/>
      <c r="E913" s="256"/>
      <c r="F913" s="310"/>
      <c r="G913" s="256"/>
      <c r="H913" s="256"/>
      <c r="I913" s="256"/>
      <c r="J913" s="256"/>
      <c r="K913" s="256"/>
      <c r="L913" s="256"/>
      <c r="M913" s="256"/>
      <c r="N913" s="256"/>
      <c r="O913" s="256"/>
      <c r="P913" s="256"/>
      <c r="Q913" s="256"/>
      <c r="R913" s="256"/>
      <c r="S913" s="256"/>
      <c r="T913" s="256"/>
      <c r="U913" s="256"/>
      <c r="V913" s="256"/>
      <c r="W913" s="256"/>
      <c r="X913" s="256"/>
      <c r="Y913" s="256"/>
      <c r="Z913" s="256"/>
    </row>
    <row r="914">
      <c r="A914" s="256"/>
      <c r="B914" s="256"/>
      <c r="C914" s="256"/>
      <c r="D914" s="256"/>
      <c r="E914" s="256"/>
      <c r="F914" s="310"/>
      <c r="G914" s="256"/>
      <c r="H914" s="256"/>
      <c r="I914" s="256"/>
      <c r="J914" s="256"/>
      <c r="K914" s="256"/>
      <c r="L914" s="256"/>
      <c r="M914" s="256"/>
      <c r="N914" s="256"/>
      <c r="O914" s="256"/>
      <c r="P914" s="256"/>
      <c r="Q914" s="256"/>
      <c r="R914" s="256"/>
      <c r="S914" s="256"/>
      <c r="T914" s="256"/>
      <c r="U914" s="256"/>
      <c r="V914" s="256"/>
      <c r="W914" s="256"/>
      <c r="X914" s="256"/>
      <c r="Y914" s="256"/>
      <c r="Z914" s="256"/>
    </row>
    <row r="915">
      <c r="A915" s="256"/>
      <c r="B915" s="256"/>
      <c r="C915" s="256"/>
      <c r="D915" s="256"/>
      <c r="E915" s="256"/>
      <c r="F915" s="310"/>
      <c r="G915" s="256"/>
      <c r="H915" s="256"/>
      <c r="I915" s="256"/>
      <c r="J915" s="256"/>
      <c r="K915" s="256"/>
      <c r="L915" s="256"/>
      <c r="M915" s="256"/>
      <c r="N915" s="256"/>
      <c r="O915" s="256"/>
      <c r="P915" s="256"/>
      <c r="Q915" s="256"/>
      <c r="R915" s="256"/>
      <c r="S915" s="256"/>
      <c r="T915" s="256"/>
      <c r="U915" s="256"/>
      <c r="V915" s="256"/>
      <c r="W915" s="256"/>
      <c r="X915" s="256"/>
      <c r="Y915" s="256"/>
      <c r="Z915" s="256"/>
    </row>
    <row r="916">
      <c r="A916" s="256"/>
      <c r="B916" s="256"/>
      <c r="C916" s="256"/>
      <c r="D916" s="256"/>
      <c r="E916" s="256"/>
      <c r="F916" s="310"/>
      <c r="G916" s="256"/>
      <c r="H916" s="256"/>
      <c r="I916" s="256"/>
      <c r="J916" s="256"/>
      <c r="K916" s="256"/>
      <c r="L916" s="256"/>
      <c r="M916" s="256"/>
      <c r="N916" s="256"/>
      <c r="O916" s="256"/>
      <c r="P916" s="256"/>
      <c r="Q916" s="256"/>
      <c r="R916" s="256"/>
      <c r="S916" s="256"/>
      <c r="T916" s="256"/>
      <c r="U916" s="256"/>
      <c r="V916" s="256"/>
      <c r="W916" s="256"/>
      <c r="X916" s="256"/>
      <c r="Y916" s="256"/>
      <c r="Z916" s="256"/>
    </row>
    <row r="917">
      <c r="A917" s="256"/>
      <c r="B917" s="256"/>
      <c r="C917" s="256"/>
      <c r="D917" s="256"/>
      <c r="E917" s="256"/>
      <c r="F917" s="310"/>
      <c r="G917" s="256"/>
      <c r="H917" s="256"/>
      <c r="I917" s="256"/>
      <c r="J917" s="256"/>
      <c r="K917" s="256"/>
      <c r="L917" s="256"/>
      <c r="M917" s="256"/>
      <c r="N917" s="256"/>
      <c r="O917" s="256"/>
      <c r="P917" s="256"/>
      <c r="Q917" s="256"/>
      <c r="R917" s="256"/>
      <c r="S917" s="256"/>
      <c r="T917" s="256"/>
      <c r="U917" s="256"/>
      <c r="V917" s="256"/>
      <c r="W917" s="256"/>
      <c r="X917" s="256"/>
      <c r="Y917" s="256"/>
      <c r="Z917" s="256"/>
    </row>
    <row r="918">
      <c r="A918" s="256"/>
      <c r="B918" s="256"/>
      <c r="C918" s="256"/>
      <c r="D918" s="256"/>
      <c r="E918" s="256"/>
      <c r="F918" s="310"/>
      <c r="G918" s="256"/>
      <c r="H918" s="256"/>
      <c r="I918" s="256"/>
      <c r="J918" s="256"/>
      <c r="K918" s="256"/>
      <c r="L918" s="256"/>
      <c r="M918" s="256"/>
      <c r="N918" s="256"/>
      <c r="O918" s="256"/>
      <c r="P918" s="256"/>
      <c r="Q918" s="256"/>
      <c r="R918" s="256"/>
      <c r="S918" s="256"/>
      <c r="T918" s="256"/>
      <c r="U918" s="256"/>
      <c r="V918" s="256"/>
      <c r="W918" s="256"/>
      <c r="X918" s="256"/>
      <c r="Y918" s="256"/>
      <c r="Z918" s="256"/>
    </row>
    <row r="919">
      <c r="A919" s="256"/>
      <c r="B919" s="256"/>
      <c r="C919" s="256"/>
      <c r="D919" s="256"/>
      <c r="E919" s="256"/>
      <c r="F919" s="310"/>
      <c r="G919" s="256"/>
      <c r="H919" s="256"/>
      <c r="I919" s="256"/>
      <c r="J919" s="256"/>
      <c r="K919" s="256"/>
      <c r="L919" s="256"/>
      <c r="M919" s="256"/>
      <c r="N919" s="256"/>
      <c r="O919" s="256"/>
      <c r="P919" s="256"/>
      <c r="Q919" s="256"/>
      <c r="R919" s="256"/>
      <c r="S919" s="256"/>
      <c r="T919" s="256"/>
      <c r="U919" s="256"/>
      <c r="V919" s="256"/>
      <c r="W919" s="256"/>
      <c r="X919" s="256"/>
      <c r="Y919" s="256"/>
      <c r="Z919" s="256"/>
    </row>
    <row r="920">
      <c r="A920" s="256"/>
      <c r="B920" s="256"/>
      <c r="C920" s="256"/>
      <c r="D920" s="256"/>
      <c r="E920" s="256"/>
      <c r="F920" s="310"/>
      <c r="G920" s="256"/>
      <c r="H920" s="256"/>
      <c r="I920" s="256"/>
      <c r="J920" s="256"/>
      <c r="K920" s="256"/>
      <c r="L920" s="256"/>
      <c r="M920" s="256"/>
      <c r="N920" s="256"/>
      <c r="O920" s="256"/>
      <c r="P920" s="256"/>
      <c r="Q920" s="256"/>
      <c r="R920" s="256"/>
      <c r="S920" s="256"/>
      <c r="T920" s="256"/>
      <c r="U920" s="256"/>
      <c r="V920" s="256"/>
      <c r="W920" s="256"/>
      <c r="X920" s="256"/>
      <c r="Y920" s="256"/>
      <c r="Z920" s="256"/>
    </row>
    <row r="921">
      <c r="A921" s="256"/>
      <c r="B921" s="256"/>
      <c r="C921" s="256"/>
      <c r="D921" s="256"/>
      <c r="E921" s="256"/>
      <c r="F921" s="310"/>
      <c r="G921" s="256"/>
      <c r="H921" s="256"/>
      <c r="I921" s="256"/>
      <c r="J921" s="256"/>
      <c r="K921" s="256"/>
      <c r="L921" s="256"/>
      <c r="M921" s="256"/>
      <c r="N921" s="256"/>
      <c r="O921" s="256"/>
      <c r="P921" s="256"/>
      <c r="Q921" s="256"/>
      <c r="R921" s="256"/>
      <c r="S921" s="256"/>
      <c r="T921" s="256"/>
      <c r="U921" s="256"/>
      <c r="V921" s="256"/>
      <c r="W921" s="256"/>
      <c r="X921" s="256"/>
      <c r="Y921" s="256"/>
      <c r="Z921" s="256"/>
    </row>
    <row r="922">
      <c r="A922" s="256"/>
      <c r="B922" s="256"/>
      <c r="C922" s="256"/>
      <c r="D922" s="256"/>
      <c r="E922" s="256"/>
      <c r="F922" s="310"/>
      <c r="G922" s="256"/>
      <c r="H922" s="256"/>
      <c r="I922" s="256"/>
      <c r="J922" s="256"/>
      <c r="K922" s="256"/>
      <c r="L922" s="256"/>
      <c r="M922" s="256"/>
      <c r="N922" s="256"/>
      <c r="O922" s="256"/>
      <c r="P922" s="256"/>
      <c r="Q922" s="256"/>
      <c r="R922" s="256"/>
      <c r="S922" s="256"/>
      <c r="T922" s="256"/>
      <c r="U922" s="256"/>
      <c r="V922" s="256"/>
      <c r="W922" s="256"/>
      <c r="X922" s="256"/>
      <c r="Y922" s="256"/>
      <c r="Z922" s="256"/>
    </row>
    <row r="923">
      <c r="A923" s="256"/>
      <c r="B923" s="256"/>
      <c r="C923" s="256"/>
      <c r="D923" s="256"/>
      <c r="E923" s="256"/>
      <c r="F923" s="310"/>
      <c r="G923" s="256"/>
      <c r="H923" s="256"/>
      <c r="I923" s="256"/>
      <c r="J923" s="256"/>
      <c r="K923" s="256"/>
      <c r="L923" s="256"/>
      <c r="M923" s="256"/>
      <c r="N923" s="256"/>
      <c r="O923" s="256"/>
      <c r="P923" s="256"/>
      <c r="Q923" s="256"/>
      <c r="R923" s="256"/>
      <c r="S923" s="256"/>
      <c r="T923" s="256"/>
      <c r="U923" s="256"/>
      <c r="V923" s="256"/>
      <c r="W923" s="256"/>
      <c r="X923" s="256"/>
      <c r="Y923" s="256"/>
      <c r="Z923" s="256"/>
    </row>
    <row r="924">
      <c r="A924" s="256"/>
      <c r="B924" s="256"/>
      <c r="C924" s="256"/>
      <c r="D924" s="256"/>
      <c r="E924" s="256"/>
      <c r="F924" s="310"/>
      <c r="G924" s="256"/>
      <c r="H924" s="256"/>
      <c r="I924" s="256"/>
      <c r="J924" s="256"/>
      <c r="K924" s="256"/>
      <c r="L924" s="256"/>
      <c r="M924" s="256"/>
      <c r="N924" s="256"/>
      <c r="O924" s="256"/>
      <c r="P924" s="256"/>
      <c r="Q924" s="256"/>
      <c r="R924" s="256"/>
      <c r="S924" s="256"/>
      <c r="T924" s="256"/>
      <c r="U924" s="256"/>
      <c r="V924" s="256"/>
      <c r="W924" s="256"/>
      <c r="X924" s="256"/>
      <c r="Y924" s="256"/>
      <c r="Z924" s="256"/>
    </row>
    <row r="925">
      <c r="A925" s="256"/>
      <c r="B925" s="256"/>
      <c r="C925" s="256"/>
      <c r="D925" s="256"/>
      <c r="E925" s="256"/>
      <c r="F925" s="310"/>
      <c r="G925" s="256"/>
      <c r="H925" s="256"/>
      <c r="I925" s="256"/>
      <c r="J925" s="256"/>
      <c r="K925" s="256"/>
      <c r="L925" s="256"/>
      <c r="M925" s="256"/>
      <c r="N925" s="256"/>
      <c r="O925" s="256"/>
      <c r="P925" s="256"/>
      <c r="Q925" s="256"/>
      <c r="R925" s="256"/>
      <c r="S925" s="256"/>
      <c r="T925" s="256"/>
      <c r="U925" s="256"/>
      <c r="V925" s="256"/>
      <c r="W925" s="256"/>
      <c r="X925" s="256"/>
      <c r="Y925" s="256"/>
      <c r="Z925" s="256"/>
    </row>
    <row r="926">
      <c r="A926" s="256"/>
      <c r="B926" s="256"/>
      <c r="C926" s="256"/>
      <c r="D926" s="256"/>
      <c r="E926" s="256"/>
      <c r="F926" s="310"/>
      <c r="G926" s="256"/>
      <c r="H926" s="256"/>
      <c r="I926" s="256"/>
      <c r="J926" s="256"/>
      <c r="K926" s="256"/>
      <c r="L926" s="256"/>
      <c r="M926" s="256"/>
      <c r="N926" s="256"/>
      <c r="O926" s="256"/>
      <c r="P926" s="256"/>
      <c r="Q926" s="256"/>
      <c r="R926" s="256"/>
      <c r="S926" s="256"/>
      <c r="T926" s="256"/>
      <c r="U926" s="256"/>
      <c r="V926" s="256"/>
      <c r="W926" s="256"/>
      <c r="X926" s="256"/>
      <c r="Y926" s="256"/>
      <c r="Z926" s="256"/>
    </row>
    <row r="927">
      <c r="A927" s="256"/>
      <c r="B927" s="256"/>
      <c r="C927" s="256"/>
      <c r="D927" s="256"/>
      <c r="E927" s="256"/>
      <c r="F927" s="310"/>
      <c r="G927" s="256"/>
      <c r="H927" s="256"/>
      <c r="I927" s="256"/>
      <c r="J927" s="256"/>
      <c r="K927" s="256"/>
      <c r="L927" s="256"/>
      <c r="M927" s="256"/>
      <c r="N927" s="256"/>
      <c r="O927" s="256"/>
      <c r="P927" s="256"/>
      <c r="Q927" s="256"/>
      <c r="R927" s="256"/>
      <c r="S927" s="256"/>
      <c r="T927" s="256"/>
      <c r="U927" s="256"/>
      <c r="V927" s="256"/>
      <c r="W927" s="256"/>
      <c r="X927" s="256"/>
      <c r="Y927" s="256"/>
      <c r="Z927" s="256"/>
    </row>
    <row r="928">
      <c r="A928" s="256"/>
      <c r="B928" s="256"/>
      <c r="C928" s="256"/>
      <c r="D928" s="256"/>
      <c r="E928" s="256"/>
      <c r="F928" s="310"/>
      <c r="G928" s="256"/>
      <c r="H928" s="256"/>
      <c r="I928" s="256"/>
      <c r="J928" s="256"/>
      <c r="K928" s="256"/>
      <c r="L928" s="256"/>
      <c r="M928" s="256"/>
      <c r="N928" s="256"/>
      <c r="O928" s="256"/>
      <c r="P928" s="256"/>
      <c r="Q928" s="256"/>
      <c r="R928" s="256"/>
      <c r="S928" s="256"/>
      <c r="T928" s="256"/>
      <c r="U928" s="256"/>
      <c r="V928" s="256"/>
      <c r="W928" s="256"/>
      <c r="X928" s="256"/>
      <c r="Y928" s="256"/>
      <c r="Z928" s="256"/>
    </row>
    <row r="929">
      <c r="A929" s="256"/>
      <c r="B929" s="256"/>
      <c r="C929" s="256"/>
      <c r="D929" s="256"/>
      <c r="E929" s="256"/>
      <c r="F929" s="310"/>
      <c r="G929" s="256"/>
      <c r="H929" s="256"/>
      <c r="I929" s="256"/>
      <c r="J929" s="256"/>
      <c r="K929" s="256"/>
      <c r="L929" s="256"/>
      <c r="M929" s="256"/>
      <c r="N929" s="256"/>
      <c r="O929" s="256"/>
      <c r="P929" s="256"/>
      <c r="Q929" s="256"/>
      <c r="R929" s="256"/>
      <c r="S929" s="256"/>
      <c r="T929" s="256"/>
      <c r="U929" s="256"/>
      <c r="V929" s="256"/>
      <c r="W929" s="256"/>
      <c r="X929" s="256"/>
      <c r="Y929" s="256"/>
      <c r="Z929" s="256"/>
    </row>
    <row r="930">
      <c r="A930" s="256"/>
      <c r="B930" s="256"/>
      <c r="C930" s="256"/>
      <c r="D930" s="256"/>
      <c r="E930" s="256"/>
      <c r="F930" s="310"/>
      <c r="G930" s="256"/>
      <c r="H930" s="256"/>
      <c r="I930" s="256"/>
      <c r="J930" s="256"/>
      <c r="K930" s="256"/>
      <c r="L930" s="256"/>
      <c r="M930" s="256"/>
      <c r="N930" s="256"/>
      <c r="O930" s="256"/>
      <c r="P930" s="256"/>
      <c r="Q930" s="256"/>
      <c r="R930" s="256"/>
      <c r="S930" s="256"/>
      <c r="T930" s="256"/>
      <c r="U930" s="256"/>
      <c r="V930" s="256"/>
      <c r="W930" s="256"/>
      <c r="X930" s="256"/>
      <c r="Y930" s="256"/>
      <c r="Z930" s="256"/>
    </row>
    <row r="931">
      <c r="A931" s="256"/>
      <c r="B931" s="256"/>
      <c r="C931" s="256"/>
      <c r="D931" s="256"/>
      <c r="E931" s="256"/>
      <c r="F931" s="310"/>
      <c r="G931" s="256"/>
      <c r="H931" s="256"/>
      <c r="I931" s="256"/>
      <c r="J931" s="256"/>
      <c r="K931" s="256"/>
      <c r="L931" s="256"/>
      <c r="M931" s="256"/>
      <c r="N931" s="256"/>
      <c r="O931" s="256"/>
      <c r="P931" s="256"/>
      <c r="Q931" s="256"/>
      <c r="R931" s="256"/>
      <c r="S931" s="256"/>
      <c r="T931" s="256"/>
      <c r="U931" s="256"/>
      <c r="V931" s="256"/>
      <c r="W931" s="256"/>
      <c r="X931" s="256"/>
      <c r="Y931" s="256"/>
      <c r="Z931" s="256"/>
    </row>
    <row r="932">
      <c r="A932" s="256"/>
      <c r="B932" s="256"/>
      <c r="C932" s="256"/>
      <c r="D932" s="256"/>
      <c r="E932" s="256"/>
      <c r="F932" s="310"/>
      <c r="G932" s="256"/>
      <c r="H932" s="256"/>
      <c r="I932" s="256"/>
      <c r="J932" s="256"/>
      <c r="K932" s="256"/>
      <c r="L932" s="256"/>
      <c r="M932" s="256"/>
      <c r="N932" s="256"/>
      <c r="O932" s="256"/>
      <c r="P932" s="256"/>
      <c r="Q932" s="256"/>
      <c r="R932" s="256"/>
      <c r="S932" s="256"/>
      <c r="T932" s="256"/>
      <c r="U932" s="256"/>
      <c r="V932" s="256"/>
      <c r="W932" s="256"/>
      <c r="X932" s="256"/>
      <c r="Y932" s="256"/>
      <c r="Z932" s="256"/>
    </row>
    <row r="933">
      <c r="A933" s="256"/>
      <c r="B933" s="256"/>
      <c r="C933" s="256"/>
      <c r="D933" s="256"/>
      <c r="E933" s="256"/>
      <c r="F933" s="310"/>
      <c r="G933" s="256"/>
      <c r="H933" s="256"/>
      <c r="I933" s="256"/>
      <c r="J933" s="256"/>
      <c r="K933" s="256"/>
      <c r="L933" s="256"/>
      <c r="M933" s="256"/>
      <c r="N933" s="256"/>
      <c r="O933" s="256"/>
      <c r="P933" s="256"/>
      <c r="Q933" s="256"/>
      <c r="R933" s="256"/>
      <c r="S933" s="256"/>
      <c r="T933" s="256"/>
      <c r="U933" s="256"/>
      <c r="V933" s="256"/>
      <c r="W933" s="256"/>
      <c r="X933" s="256"/>
      <c r="Y933" s="256"/>
      <c r="Z933" s="256"/>
    </row>
    <row r="934">
      <c r="A934" s="256"/>
      <c r="B934" s="256"/>
      <c r="C934" s="256"/>
      <c r="D934" s="256"/>
      <c r="E934" s="256"/>
      <c r="F934" s="310"/>
      <c r="G934" s="256"/>
      <c r="H934" s="256"/>
      <c r="I934" s="256"/>
      <c r="J934" s="256"/>
      <c r="K934" s="256"/>
      <c r="L934" s="256"/>
      <c r="M934" s="256"/>
      <c r="N934" s="256"/>
      <c r="O934" s="256"/>
      <c r="P934" s="256"/>
      <c r="Q934" s="256"/>
      <c r="R934" s="256"/>
      <c r="S934" s="256"/>
      <c r="T934" s="256"/>
      <c r="U934" s="256"/>
      <c r="V934" s="256"/>
      <c r="W934" s="256"/>
      <c r="X934" s="256"/>
      <c r="Y934" s="256"/>
      <c r="Z934" s="256"/>
    </row>
    <row r="935">
      <c r="A935" s="256"/>
      <c r="B935" s="256"/>
      <c r="C935" s="256"/>
      <c r="D935" s="256"/>
      <c r="E935" s="256"/>
      <c r="F935" s="310"/>
      <c r="G935" s="256"/>
      <c r="H935" s="256"/>
      <c r="I935" s="256"/>
      <c r="J935" s="256"/>
      <c r="K935" s="256"/>
      <c r="L935" s="256"/>
      <c r="M935" s="256"/>
      <c r="N935" s="256"/>
      <c r="O935" s="256"/>
      <c r="P935" s="256"/>
      <c r="Q935" s="256"/>
      <c r="R935" s="256"/>
      <c r="S935" s="256"/>
      <c r="T935" s="256"/>
      <c r="U935" s="256"/>
      <c r="V935" s="256"/>
      <c r="W935" s="256"/>
      <c r="X935" s="256"/>
      <c r="Y935" s="256"/>
      <c r="Z935" s="256"/>
    </row>
    <row r="936">
      <c r="A936" s="256"/>
      <c r="B936" s="256"/>
      <c r="C936" s="256"/>
      <c r="D936" s="256"/>
      <c r="E936" s="256"/>
      <c r="F936" s="310"/>
      <c r="G936" s="256"/>
      <c r="H936" s="256"/>
      <c r="I936" s="256"/>
      <c r="J936" s="256"/>
      <c r="K936" s="256"/>
      <c r="L936" s="256"/>
      <c r="M936" s="256"/>
      <c r="N936" s="256"/>
      <c r="O936" s="256"/>
      <c r="P936" s="256"/>
      <c r="Q936" s="256"/>
      <c r="R936" s="256"/>
      <c r="S936" s="256"/>
      <c r="T936" s="256"/>
      <c r="U936" s="256"/>
      <c r="V936" s="256"/>
      <c r="W936" s="256"/>
      <c r="X936" s="256"/>
      <c r="Y936" s="256"/>
      <c r="Z936" s="256"/>
    </row>
    <row r="937">
      <c r="A937" s="256"/>
      <c r="B937" s="256"/>
      <c r="C937" s="256"/>
      <c r="D937" s="256"/>
      <c r="E937" s="256"/>
      <c r="F937" s="310"/>
      <c r="G937" s="256"/>
      <c r="H937" s="256"/>
      <c r="I937" s="256"/>
      <c r="J937" s="256"/>
      <c r="K937" s="256"/>
      <c r="L937" s="256"/>
      <c r="M937" s="256"/>
      <c r="N937" s="256"/>
      <c r="O937" s="256"/>
      <c r="P937" s="256"/>
      <c r="Q937" s="256"/>
      <c r="R937" s="256"/>
      <c r="S937" s="256"/>
      <c r="T937" s="256"/>
      <c r="U937" s="256"/>
      <c r="V937" s="256"/>
      <c r="W937" s="256"/>
      <c r="X937" s="256"/>
      <c r="Y937" s="256"/>
      <c r="Z937" s="256"/>
    </row>
    <row r="938">
      <c r="A938" s="256"/>
      <c r="B938" s="256"/>
      <c r="C938" s="256"/>
      <c r="D938" s="256"/>
      <c r="E938" s="256"/>
      <c r="F938" s="310"/>
      <c r="G938" s="256"/>
      <c r="H938" s="256"/>
      <c r="I938" s="256"/>
      <c r="J938" s="256"/>
      <c r="K938" s="256"/>
      <c r="L938" s="256"/>
      <c r="M938" s="256"/>
      <c r="N938" s="256"/>
      <c r="O938" s="256"/>
      <c r="P938" s="256"/>
      <c r="Q938" s="256"/>
      <c r="R938" s="256"/>
      <c r="S938" s="256"/>
      <c r="T938" s="256"/>
      <c r="U938" s="256"/>
      <c r="V938" s="256"/>
      <c r="W938" s="256"/>
      <c r="X938" s="256"/>
      <c r="Y938" s="256"/>
      <c r="Z938" s="256"/>
    </row>
    <row r="939">
      <c r="A939" s="256"/>
      <c r="B939" s="256"/>
      <c r="C939" s="256"/>
      <c r="D939" s="256"/>
      <c r="E939" s="256"/>
      <c r="F939" s="310"/>
      <c r="G939" s="256"/>
      <c r="H939" s="256"/>
      <c r="I939" s="256"/>
      <c r="J939" s="256"/>
      <c r="K939" s="256"/>
      <c r="L939" s="256"/>
      <c r="M939" s="256"/>
      <c r="N939" s="256"/>
      <c r="O939" s="256"/>
      <c r="P939" s="256"/>
      <c r="Q939" s="256"/>
      <c r="R939" s="256"/>
      <c r="S939" s="256"/>
      <c r="T939" s="256"/>
      <c r="U939" s="256"/>
      <c r="V939" s="256"/>
      <c r="W939" s="256"/>
      <c r="X939" s="256"/>
      <c r="Y939" s="256"/>
      <c r="Z939" s="256"/>
    </row>
    <row r="940">
      <c r="A940" s="256"/>
      <c r="B940" s="256"/>
      <c r="C940" s="256"/>
      <c r="D940" s="256"/>
      <c r="E940" s="256"/>
      <c r="F940" s="310"/>
      <c r="G940" s="256"/>
      <c r="H940" s="256"/>
      <c r="I940" s="256"/>
      <c r="J940" s="256"/>
      <c r="K940" s="256"/>
      <c r="L940" s="256"/>
      <c r="M940" s="256"/>
      <c r="N940" s="256"/>
      <c r="O940" s="256"/>
      <c r="P940" s="256"/>
      <c r="Q940" s="256"/>
      <c r="R940" s="256"/>
      <c r="S940" s="256"/>
      <c r="T940" s="256"/>
      <c r="U940" s="256"/>
      <c r="V940" s="256"/>
      <c r="W940" s="256"/>
      <c r="X940" s="256"/>
      <c r="Y940" s="256"/>
      <c r="Z940" s="256"/>
    </row>
    <row r="941">
      <c r="A941" s="256"/>
      <c r="B941" s="256"/>
      <c r="C941" s="256"/>
      <c r="D941" s="256"/>
      <c r="E941" s="256"/>
      <c r="F941" s="310"/>
      <c r="G941" s="256"/>
      <c r="H941" s="256"/>
      <c r="I941" s="256"/>
      <c r="J941" s="256"/>
      <c r="K941" s="256"/>
      <c r="L941" s="256"/>
      <c r="M941" s="256"/>
      <c r="N941" s="256"/>
      <c r="O941" s="256"/>
      <c r="P941" s="256"/>
      <c r="Q941" s="256"/>
      <c r="R941" s="256"/>
      <c r="S941" s="256"/>
      <c r="T941" s="256"/>
      <c r="U941" s="256"/>
      <c r="V941" s="256"/>
      <c r="W941" s="256"/>
      <c r="X941" s="256"/>
      <c r="Y941" s="256"/>
      <c r="Z941" s="256"/>
    </row>
    <row r="942">
      <c r="A942" s="256"/>
      <c r="B942" s="256"/>
      <c r="C942" s="256"/>
      <c r="D942" s="256"/>
      <c r="E942" s="256"/>
      <c r="F942" s="310"/>
      <c r="G942" s="256"/>
      <c r="H942" s="256"/>
      <c r="I942" s="256"/>
      <c r="J942" s="256"/>
      <c r="K942" s="256"/>
      <c r="L942" s="256"/>
      <c r="M942" s="256"/>
      <c r="N942" s="256"/>
      <c r="O942" s="256"/>
      <c r="P942" s="256"/>
      <c r="Q942" s="256"/>
      <c r="R942" s="256"/>
      <c r="S942" s="256"/>
      <c r="T942" s="256"/>
      <c r="U942" s="256"/>
      <c r="V942" s="256"/>
      <c r="W942" s="256"/>
      <c r="X942" s="256"/>
      <c r="Y942" s="256"/>
      <c r="Z942" s="256"/>
    </row>
    <row r="943">
      <c r="A943" s="256"/>
      <c r="B943" s="256"/>
      <c r="C943" s="256"/>
      <c r="D943" s="256"/>
      <c r="E943" s="256"/>
      <c r="F943" s="310"/>
      <c r="G943" s="256"/>
      <c r="H943" s="256"/>
      <c r="I943" s="256"/>
      <c r="J943" s="256"/>
      <c r="K943" s="256"/>
      <c r="L943" s="256"/>
      <c r="M943" s="256"/>
      <c r="N943" s="256"/>
      <c r="O943" s="256"/>
      <c r="P943" s="256"/>
      <c r="Q943" s="256"/>
      <c r="R943" s="256"/>
      <c r="S943" s="256"/>
      <c r="T943" s="256"/>
      <c r="U943" s="256"/>
      <c r="V943" s="256"/>
      <c r="W943" s="256"/>
      <c r="X943" s="256"/>
      <c r="Y943" s="256"/>
      <c r="Z943" s="256"/>
    </row>
    <row r="944">
      <c r="A944" s="256"/>
      <c r="B944" s="256"/>
      <c r="C944" s="256"/>
      <c r="D944" s="256"/>
      <c r="E944" s="256"/>
      <c r="F944" s="310"/>
      <c r="G944" s="256"/>
      <c r="H944" s="256"/>
      <c r="I944" s="256"/>
      <c r="J944" s="256"/>
      <c r="K944" s="256"/>
      <c r="L944" s="256"/>
      <c r="M944" s="256"/>
      <c r="N944" s="256"/>
      <c r="O944" s="256"/>
      <c r="P944" s="256"/>
      <c r="Q944" s="256"/>
      <c r="R944" s="256"/>
      <c r="S944" s="256"/>
      <c r="T944" s="256"/>
      <c r="U944" s="256"/>
      <c r="V944" s="256"/>
      <c r="W944" s="256"/>
      <c r="X944" s="256"/>
      <c r="Y944" s="256"/>
      <c r="Z944" s="256"/>
    </row>
    <row r="945">
      <c r="A945" s="256"/>
      <c r="B945" s="256"/>
      <c r="C945" s="256"/>
      <c r="D945" s="256"/>
      <c r="E945" s="256"/>
      <c r="F945" s="310"/>
      <c r="G945" s="256"/>
      <c r="H945" s="256"/>
      <c r="I945" s="256"/>
      <c r="J945" s="256"/>
      <c r="K945" s="256"/>
      <c r="L945" s="256"/>
      <c r="M945" s="256"/>
      <c r="N945" s="256"/>
      <c r="O945" s="256"/>
      <c r="P945" s="256"/>
      <c r="Q945" s="256"/>
      <c r="R945" s="256"/>
      <c r="S945" s="256"/>
      <c r="T945" s="256"/>
      <c r="U945" s="256"/>
      <c r="V945" s="256"/>
      <c r="W945" s="256"/>
      <c r="X945" s="256"/>
      <c r="Y945" s="256"/>
      <c r="Z945" s="256"/>
    </row>
    <row r="946">
      <c r="A946" s="256"/>
      <c r="B946" s="256"/>
      <c r="C946" s="256"/>
      <c r="D946" s="256"/>
      <c r="E946" s="256"/>
      <c r="F946" s="310"/>
      <c r="G946" s="256"/>
      <c r="H946" s="256"/>
      <c r="I946" s="256"/>
      <c r="J946" s="256"/>
      <c r="K946" s="256"/>
      <c r="L946" s="256"/>
      <c r="M946" s="256"/>
      <c r="N946" s="256"/>
      <c r="O946" s="256"/>
      <c r="P946" s="256"/>
      <c r="Q946" s="256"/>
      <c r="R946" s="256"/>
      <c r="S946" s="256"/>
      <c r="T946" s="256"/>
      <c r="U946" s="256"/>
      <c r="V946" s="256"/>
      <c r="W946" s="256"/>
      <c r="X946" s="256"/>
      <c r="Y946" s="256"/>
      <c r="Z946" s="256"/>
    </row>
    <row r="947">
      <c r="A947" s="256"/>
      <c r="B947" s="256"/>
      <c r="C947" s="256"/>
      <c r="D947" s="256"/>
      <c r="E947" s="256"/>
      <c r="F947" s="310"/>
      <c r="G947" s="256"/>
      <c r="H947" s="256"/>
      <c r="I947" s="256"/>
      <c r="J947" s="256"/>
      <c r="K947" s="256"/>
      <c r="L947" s="256"/>
      <c r="M947" s="256"/>
      <c r="N947" s="256"/>
      <c r="O947" s="256"/>
      <c r="P947" s="256"/>
      <c r="Q947" s="256"/>
      <c r="R947" s="256"/>
      <c r="S947" s="256"/>
      <c r="T947" s="256"/>
      <c r="U947" s="256"/>
      <c r="V947" s="256"/>
      <c r="W947" s="256"/>
      <c r="X947" s="256"/>
      <c r="Y947" s="256"/>
      <c r="Z947" s="256"/>
    </row>
    <row r="948">
      <c r="A948" s="256"/>
      <c r="B948" s="256"/>
      <c r="C948" s="256"/>
      <c r="D948" s="256"/>
      <c r="E948" s="256"/>
      <c r="F948" s="310"/>
      <c r="G948" s="256"/>
      <c r="H948" s="256"/>
      <c r="I948" s="256"/>
      <c r="J948" s="256"/>
      <c r="K948" s="256"/>
      <c r="L948" s="256"/>
      <c r="M948" s="256"/>
      <c r="N948" s="256"/>
      <c r="O948" s="256"/>
      <c r="P948" s="256"/>
      <c r="Q948" s="256"/>
      <c r="R948" s="256"/>
      <c r="S948" s="256"/>
      <c r="T948" s="256"/>
      <c r="U948" s="256"/>
      <c r="V948" s="256"/>
      <c r="W948" s="256"/>
      <c r="X948" s="256"/>
      <c r="Y948" s="256"/>
      <c r="Z948" s="256"/>
    </row>
    <row r="949">
      <c r="A949" s="256"/>
      <c r="B949" s="256"/>
      <c r="C949" s="256"/>
      <c r="D949" s="256"/>
      <c r="E949" s="256"/>
      <c r="F949" s="310"/>
      <c r="G949" s="256"/>
      <c r="H949" s="256"/>
      <c r="I949" s="256"/>
      <c r="J949" s="256"/>
      <c r="K949" s="256"/>
      <c r="L949" s="256"/>
      <c r="M949" s="256"/>
      <c r="N949" s="256"/>
      <c r="O949" s="256"/>
      <c r="P949" s="256"/>
      <c r="Q949" s="256"/>
      <c r="R949" s="256"/>
      <c r="S949" s="256"/>
      <c r="T949" s="256"/>
      <c r="U949" s="256"/>
      <c r="V949" s="256"/>
      <c r="W949" s="256"/>
      <c r="X949" s="256"/>
      <c r="Y949" s="256"/>
      <c r="Z949" s="256"/>
    </row>
    <row r="950">
      <c r="A950" s="256"/>
      <c r="B950" s="256"/>
      <c r="C950" s="256"/>
      <c r="D950" s="256"/>
      <c r="E950" s="256"/>
      <c r="F950" s="310"/>
      <c r="G950" s="256"/>
      <c r="H950" s="256"/>
      <c r="I950" s="256"/>
      <c r="J950" s="256"/>
      <c r="K950" s="256"/>
      <c r="L950" s="256"/>
      <c r="M950" s="256"/>
      <c r="N950" s="256"/>
      <c r="O950" s="256"/>
      <c r="P950" s="256"/>
      <c r="Q950" s="256"/>
      <c r="R950" s="256"/>
      <c r="S950" s="256"/>
      <c r="T950" s="256"/>
      <c r="U950" s="256"/>
      <c r="V950" s="256"/>
      <c r="W950" s="256"/>
      <c r="X950" s="256"/>
      <c r="Y950" s="256"/>
      <c r="Z950" s="256"/>
    </row>
    <row r="951">
      <c r="A951" s="256"/>
      <c r="B951" s="256"/>
      <c r="C951" s="256"/>
      <c r="D951" s="256"/>
      <c r="E951" s="256"/>
      <c r="F951" s="310"/>
      <c r="G951" s="256"/>
      <c r="H951" s="256"/>
      <c r="I951" s="256"/>
      <c r="J951" s="256"/>
      <c r="K951" s="256"/>
      <c r="L951" s="256"/>
      <c r="M951" s="256"/>
      <c r="N951" s="256"/>
      <c r="O951" s="256"/>
      <c r="P951" s="256"/>
      <c r="Q951" s="256"/>
      <c r="R951" s="256"/>
      <c r="S951" s="256"/>
      <c r="T951" s="256"/>
      <c r="U951" s="256"/>
      <c r="V951" s="256"/>
      <c r="W951" s="256"/>
      <c r="X951" s="256"/>
      <c r="Y951" s="256"/>
      <c r="Z951" s="256"/>
    </row>
    <row r="952">
      <c r="A952" s="256"/>
      <c r="B952" s="256"/>
      <c r="C952" s="256"/>
      <c r="D952" s="256"/>
      <c r="E952" s="256"/>
      <c r="F952" s="310"/>
      <c r="G952" s="256"/>
      <c r="H952" s="256"/>
      <c r="I952" s="256"/>
      <c r="J952" s="256"/>
      <c r="K952" s="256"/>
      <c r="L952" s="256"/>
      <c r="M952" s="256"/>
      <c r="N952" s="256"/>
      <c r="O952" s="256"/>
      <c r="P952" s="256"/>
      <c r="Q952" s="256"/>
      <c r="R952" s="256"/>
      <c r="S952" s="256"/>
      <c r="T952" s="256"/>
      <c r="U952" s="256"/>
      <c r="V952" s="256"/>
      <c r="W952" s="256"/>
      <c r="X952" s="256"/>
      <c r="Y952" s="256"/>
      <c r="Z952" s="256"/>
    </row>
    <row r="953">
      <c r="A953" s="256"/>
      <c r="B953" s="256"/>
      <c r="C953" s="256"/>
      <c r="D953" s="256"/>
      <c r="E953" s="256"/>
      <c r="F953" s="310"/>
      <c r="G953" s="256"/>
      <c r="H953" s="256"/>
      <c r="I953" s="256"/>
      <c r="J953" s="256"/>
      <c r="K953" s="256"/>
      <c r="L953" s="256"/>
      <c r="M953" s="256"/>
      <c r="N953" s="256"/>
      <c r="O953" s="256"/>
      <c r="P953" s="256"/>
      <c r="Q953" s="256"/>
      <c r="R953" s="256"/>
      <c r="S953" s="256"/>
      <c r="T953" s="256"/>
      <c r="U953" s="256"/>
      <c r="V953" s="256"/>
      <c r="W953" s="256"/>
      <c r="X953" s="256"/>
      <c r="Y953" s="256"/>
      <c r="Z953" s="256"/>
    </row>
    <row r="954">
      <c r="A954" s="256"/>
      <c r="B954" s="256"/>
      <c r="C954" s="256"/>
      <c r="D954" s="256"/>
      <c r="E954" s="256"/>
      <c r="F954" s="310"/>
      <c r="G954" s="256"/>
      <c r="H954" s="256"/>
      <c r="I954" s="256"/>
      <c r="J954" s="256"/>
      <c r="K954" s="256"/>
      <c r="L954" s="256"/>
      <c r="M954" s="256"/>
      <c r="N954" s="256"/>
      <c r="O954" s="256"/>
      <c r="P954" s="256"/>
      <c r="Q954" s="256"/>
      <c r="R954" s="256"/>
      <c r="S954" s="256"/>
      <c r="T954" s="256"/>
      <c r="U954" s="256"/>
      <c r="V954" s="256"/>
      <c r="W954" s="256"/>
      <c r="X954" s="256"/>
      <c r="Y954" s="256"/>
      <c r="Z954" s="256"/>
    </row>
    <row r="955">
      <c r="A955" s="256"/>
      <c r="B955" s="256"/>
      <c r="C955" s="256"/>
      <c r="D955" s="256"/>
      <c r="E955" s="256"/>
      <c r="F955" s="310"/>
      <c r="G955" s="256"/>
      <c r="H955" s="256"/>
      <c r="I955" s="256"/>
      <c r="J955" s="256"/>
      <c r="K955" s="256"/>
      <c r="L955" s="256"/>
      <c r="M955" s="256"/>
      <c r="N955" s="256"/>
      <c r="O955" s="256"/>
      <c r="P955" s="256"/>
      <c r="Q955" s="256"/>
      <c r="R955" s="256"/>
      <c r="S955" s="256"/>
      <c r="T955" s="256"/>
      <c r="U955" s="256"/>
      <c r="V955" s="256"/>
      <c r="W955" s="256"/>
      <c r="X955" s="256"/>
      <c r="Y955" s="256"/>
      <c r="Z955" s="256"/>
    </row>
    <row r="956">
      <c r="A956" s="256"/>
      <c r="B956" s="256"/>
      <c r="C956" s="256"/>
      <c r="D956" s="256"/>
      <c r="E956" s="256"/>
      <c r="F956" s="310"/>
      <c r="G956" s="256"/>
      <c r="H956" s="256"/>
      <c r="I956" s="256"/>
      <c r="J956" s="256"/>
      <c r="K956" s="256"/>
      <c r="L956" s="256"/>
      <c r="M956" s="256"/>
      <c r="N956" s="256"/>
      <c r="O956" s="256"/>
      <c r="P956" s="256"/>
      <c r="Q956" s="256"/>
      <c r="R956" s="256"/>
      <c r="S956" s="256"/>
      <c r="T956" s="256"/>
      <c r="U956" s="256"/>
      <c r="V956" s="256"/>
      <c r="W956" s="256"/>
      <c r="X956" s="256"/>
      <c r="Y956" s="256"/>
      <c r="Z956" s="256"/>
    </row>
    <row r="957">
      <c r="A957" s="256"/>
      <c r="B957" s="256"/>
      <c r="C957" s="256"/>
      <c r="D957" s="256"/>
      <c r="E957" s="256"/>
      <c r="F957" s="310"/>
      <c r="G957" s="256"/>
      <c r="H957" s="256"/>
      <c r="I957" s="256"/>
      <c r="J957" s="256"/>
      <c r="K957" s="256"/>
      <c r="L957" s="256"/>
      <c r="M957" s="256"/>
      <c r="N957" s="256"/>
      <c r="O957" s="256"/>
      <c r="P957" s="256"/>
      <c r="Q957" s="256"/>
      <c r="R957" s="256"/>
      <c r="S957" s="256"/>
      <c r="T957" s="256"/>
      <c r="U957" s="256"/>
      <c r="V957" s="256"/>
      <c r="W957" s="256"/>
      <c r="X957" s="256"/>
      <c r="Y957" s="256"/>
      <c r="Z957" s="256"/>
    </row>
    <row r="958">
      <c r="A958" s="256"/>
      <c r="B958" s="256"/>
      <c r="C958" s="256"/>
      <c r="D958" s="256"/>
      <c r="E958" s="256"/>
      <c r="F958" s="310"/>
      <c r="G958" s="256"/>
      <c r="H958" s="256"/>
      <c r="I958" s="256"/>
      <c r="J958" s="256"/>
      <c r="K958" s="256"/>
      <c r="L958" s="256"/>
      <c r="M958" s="256"/>
      <c r="N958" s="256"/>
      <c r="O958" s="256"/>
      <c r="P958" s="256"/>
      <c r="Q958" s="256"/>
      <c r="R958" s="256"/>
      <c r="S958" s="256"/>
      <c r="T958" s="256"/>
      <c r="U958" s="256"/>
      <c r="V958" s="256"/>
      <c r="W958" s="256"/>
      <c r="X958" s="256"/>
      <c r="Y958" s="256"/>
      <c r="Z958" s="256"/>
    </row>
    <row r="959">
      <c r="A959" s="256"/>
      <c r="B959" s="256"/>
      <c r="C959" s="256"/>
      <c r="D959" s="256"/>
      <c r="E959" s="256"/>
      <c r="F959" s="310"/>
      <c r="G959" s="256"/>
      <c r="H959" s="256"/>
      <c r="I959" s="256"/>
      <c r="J959" s="256"/>
      <c r="K959" s="256"/>
      <c r="L959" s="256"/>
      <c r="M959" s="256"/>
      <c r="N959" s="256"/>
      <c r="O959" s="256"/>
      <c r="P959" s="256"/>
      <c r="Q959" s="256"/>
      <c r="R959" s="256"/>
      <c r="S959" s="256"/>
      <c r="T959" s="256"/>
      <c r="U959" s="256"/>
      <c r="V959" s="256"/>
      <c r="W959" s="256"/>
      <c r="X959" s="256"/>
      <c r="Y959" s="256"/>
      <c r="Z959" s="256"/>
    </row>
    <row r="960">
      <c r="A960" s="256"/>
      <c r="B960" s="256"/>
      <c r="C960" s="256"/>
      <c r="D960" s="256"/>
      <c r="E960" s="256"/>
      <c r="F960" s="310"/>
      <c r="G960" s="256"/>
      <c r="H960" s="256"/>
      <c r="I960" s="256"/>
      <c r="J960" s="256"/>
      <c r="K960" s="256"/>
      <c r="L960" s="256"/>
      <c r="M960" s="256"/>
      <c r="N960" s="256"/>
      <c r="O960" s="256"/>
      <c r="P960" s="256"/>
      <c r="Q960" s="256"/>
      <c r="R960" s="256"/>
      <c r="S960" s="256"/>
      <c r="T960" s="256"/>
      <c r="U960" s="256"/>
      <c r="V960" s="256"/>
      <c r="W960" s="256"/>
      <c r="X960" s="256"/>
      <c r="Y960" s="256"/>
      <c r="Z960" s="256"/>
    </row>
    <row r="961">
      <c r="A961" s="256"/>
      <c r="B961" s="256"/>
      <c r="C961" s="256"/>
      <c r="D961" s="256"/>
      <c r="E961" s="256"/>
      <c r="F961" s="310"/>
      <c r="G961" s="256"/>
      <c r="H961" s="256"/>
      <c r="I961" s="256"/>
      <c r="J961" s="256"/>
      <c r="K961" s="256"/>
      <c r="L961" s="256"/>
      <c r="M961" s="256"/>
      <c r="N961" s="256"/>
      <c r="O961" s="256"/>
      <c r="P961" s="256"/>
      <c r="Q961" s="256"/>
      <c r="R961" s="256"/>
      <c r="S961" s="256"/>
      <c r="T961" s="256"/>
      <c r="U961" s="256"/>
      <c r="V961" s="256"/>
      <c r="W961" s="256"/>
      <c r="X961" s="256"/>
      <c r="Y961" s="256"/>
      <c r="Z961" s="256"/>
    </row>
    <row r="962">
      <c r="A962" s="256"/>
      <c r="B962" s="256"/>
      <c r="C962" s="256"/>
      <c r="D962" s="256"/>
      <c r="E962" s="256"/>
      <c r="F962" s="310"/>
      <c r="G962" s="256"/>
      <c r="H962" s="256"/>
      <c r="I962" s="256"/>
      <c r="J962" s="256"/>
      <c r="K962" s="256"/>
      <c r="L962" s="256"/>
      <c r="M962" s="256"/>
      <c r="N962" s="256"/>
      <c r="O962" s="256"/>
      <c r="P962" s="256"/>
      <c r="Q962" s="256"/>
      <c r="R962" s="256"/>
      <c r="S962" s="256"/>
      <c r="T962" s="256"/>
      <c r="U962" s="256"/>
      <c r="V962" s="256"/>
      <c r="W962" s="256"/>
      <c r="X962" s="256"/>
      <c r="Y962" s="256"/>
      <c r="Z962" s="256"/>
    </row>
    <row r="963">
      <c r="A963" s="256"/>
      <c r="B963" s="256"/>
      <c r="C963" s="256"/>
      <c r="D963" s="256"/>
      <c r="E963" s="256"/>
      <c r="F963" s="310"/>
      <c r="G963" s="256"/>
      <c r="H963" s="256"/>
      <c r="I963" s="256"/>
      <c r="J963" s="256"/>
      <c r="K963" s="256"/>
      <c r="L963" s="256"/>
      <c r="M963" s="256"/>
      <c r="N963" s="256"/>
      <c r="O963" s="256"/>
      <c r="P963" s="256"/>
      <c r="Q963" s="256"/>
      <c r="R963" s="256"/>
      <c r="S963" s="256"/>
      <c r="T963" s="256"/>
      <c r="U963" s="256"/>
      <c r="V963" s="256"/>
      <c r="W963" s="256"/>
      <c r="X963" s="256"/>
      <c r="Y963" s="256"/>
      <c r="Z963" s="256"/>
    </row>
    <row r="964">
      <c r="A964" s="256"/>
      <c r="B964" s="256"/>
      <c r="C964" s="256"/>
      <c r="D964" s="256"/>
      <c r="E964" s="256"/>
      <c r="F964" s="310"/>
      <c r="G964" s="256"/>
      <c r="H964" s="256"/>
      <c r="I964" s="256"/>
      <c r="J964" s="256"/>
      <c r="K964" s="256"/>
      <c r="L964" s="256"/>
      <c r="M964" s="256"/>
      <c r="N964" s="256"/>
      <c r="O964" s="256"/>
      <c r="P964" s="256"/>
      <c r="Q964" s="256"/>
      <c r="R964" s="256"/>
      <c r="S964" s="256"/>
      <c r="T964" s="256"/>
      <c r="U964" s="256"/>
      <c r="V964" s="256"/>
      <c r="W964" s="256"/>
      <c r="X964" s="256"/>
      <c r="Y964" s="256"/>
      <c r="Z964" s="256"/>
    </row>
    <row r="965">
      <c r="A965" s="256"/>
      <c r="B965" s="256"/>
      <c r="C965" s="256"/>
      <c r="D965" s="256"/>
      <c r="E965" s="256"/>
      <c r="F965" s="310"/>
      <c r="G965" s="256"/>
      <c r="H965" s="256"/>
      <c r="I965" s="256"/>
      <c r="J965" s="256"/>
      <c r="K965" s="256"/>
      <c r="L965" s="256"/>
      <c r="M965" s="256"/>
      <c r="N965" s="256"/>
      <c r="O965" s="256"/>
      <c r="P965" s="256"/>
      <c r="Q965" s="256"/>
      <c r="R965" s="256"/>
      <c r="S965" s="256"/>
      <c r="T965" s="256"/>
      <c r="U965" s="256"/>
      <c r="V965" s="256"/>
      <c r="W965" s="256"/>
      <c r="X965" s="256"/>
      <c r="Y965" s="256"/>
      <c r="Z965" s="256"/>
    </row>
    <row r="966">
      <c r="A966" s="256"/>
      <c r="B966" s="256"/>
      <c r="C966" s="256"/>
      <c r="D966" s="256"/>
      <c r="E966" s="256"/>
      <c r="F966" s="310"/>
      <c r="G966" s="256"/>
      <c r="H966" s="256"/>
      <c r="I966" s="256"/>
      <c r="J966" s="256"/>
      <c r="K966" s="256"/>
      <c r="L966" s="256"/>
      <c r="M966" s="256"/>
      <c r="N966" s="256"/>
      <c r="O966" s="256"/>
      <c r="P966" s="256"/>
      <c r="Q966" s="256"/>
      <c r="R966" s="256"/>
      <c r="S966" s="256"/>
      <c r="T966" s="256"/>
      <c r="U966" s="256"/>
      <c r="V966" s="256"/>
      <c r="W966" s="256"/>
      <c r="X966" s="256"/>
      <c r="Y966" s="256"/>
      <c r="Z966" s="256"/>
    </row>
    <row r="967">
      <c r="A967" s="256"/>
      <c r="B967" s="256"/>
      <c r="C967" s="256"/>
      <c r="D967" s="256"/>
      <c r="E967" s="256"/>
      <c r="F967" s="310"/>
      <c r="G967" s="256"/>
      <c r="H967" s="256"/>
      <c r="I967" s="256"/>
      <c r="J967" s="256"/>
      <c r="K967" s="256"/>
      <c r="L967" s="256"/>
      <c r="M967" s="256"/>
      <c r="N967" s="256"/>
      <c r="O967" s="256"/>
      <c r="P967" s="256"/>
      <c r="Q967" s="256"/>
      <c r="R967" s="256"/>
      <c r="S967" s="256"/>
      <c r="T967" s="256"/>
      <c r="U967" s="256"/>
      <c r="V967" s="256"/>
      <c r="W967" s="256"/>
      <c r="X967" s="256"/>
      <c r="Y967" s="256"/>
      <c r="Z967" s="256"/>
    </row>
    <row r="968">
      <c r="A968" s="256"/>
      <c r="B968" s="256"/>
      <c r="C968" s="256"/>
      <c r="D968" s="256"/>
      <c r="E968" s="256"/>
      <c r="F968" s="310"/>
      <c r="G968" s="256"/>
      <c r="H968" s="256"/>
      <c r="I968" s="256"/>
      <c r="J968" s="256"/>
      <c r="K968" s="256"/>
      <c r="L968" s="256"/>
      <c r="M968" s="256"/>
      <c r="N968" s="256"/>
      <c r="O968" s="256"/>
      <c r="P968" s="256"/>
      <c r="Q968" s="256"/>
      <c r="R968" s="256"/>
      <c r="S968" s="256"/>
      <c r="T968" s="256"/>
      <c r="U968" s="256"/>
      <c r="V968" s="256"/>
      <c r="W968" s="256"/>
      <c r="X968" s="256"/>
      <c r="Y968" s="256"/>
      <c r="Z968" s="256"/>
    </row>
    <row r="969">
      <c r="A969" s="256"/>
      <c r="B969" s="256"/>
      <c r="C969" s="256"/>
      <c r="D969" s="256"/>
      <c r="E969" s="256"/>
      <c r="F969" s="310"/>
      <c r="G969" s="256"/>
      <c r="H969" s="256"/>
      <c r="I969" s="256"/>
      <c r="J969" s="256"/>
      <c r="K969" s="256"/>
      <c r="L969" s="256"/>
      <c r="M969" s="256"/>
      <c r="N969" s="256"/>
      <c r="O969" s="256"/>
      <c r="P969" s="256"/>
      <c r="Q969" s="256"/>
      <c r="R969" s="256"/>
      <c r="S969" s="256"/>
      <c r="T969" s="256"/>
      <c r="U969" s="256"/>
      <c r="V969" s="256"/>
      <c r="W969" s="256"/>
      <c r="X969" s="256"/>
      <c r="Y969" s="256"/>
      <c r="Z969" s="256"/>
    </row>
    <row r="970">
      <c r="A970" s="256"/>
      <c r="B970" s="256"/>
      <c r="C970" s="256"/>
      <c r="D970" s="256"/>
      <c r="E970" s="256"/>
      <c r="F970" s="310"/>
      <c r="G970" s="256"/>
      <c r="H970" s="256"/>
      <c r="I970" s="256"/>
      <c r="J970" s="256"/>
      <c r="K970" s="256"/>
      <c r="L970" s="256"/>
      <c r="M970" s="256"/>
      <c r="N970" s="256"/>
      <c r="O970" s="256"/>
      <c r="P970" s="256"/>
      <c r="Q970" s="256"/>
      <c r="R970" s="256"/>
      <c r="S970" s="256"/>
      <c r="T970" s="256"/>
      <c r="U970" s="256"/>
      <c r="V970" s="256"/>
      <c r="W970" s="256"/>
      <c r="X970" s="256"/>
      <c r="Y970" s="256"/>
      <c r="Z970" s="256"/>
    </row>
    <row r="971">
      <c r="A971" s="256"/>
      <c r="B971" s="256"/>
      <c r="C971" s="256"/>
      <c r="D971" s="256"/>
      <c r="E971" s="256"/>
      <c r="F971" s="310"/>
      <c r="G971" s="256"/>
      <c r="H971" s="256"/>
      <c r="I971" s="256"/>
      <c r="J971" s="256"/>
      <c r="K971" s="256"/>
      <c r="L971" s="256"/>
      <c r="M971" s="256"/>
      <c r="N971" s="256"/>
      <c r="O971" s="256"/>
      <c r="P971" s="256"/>
      <c r="Q971" s="256"/>
      <c r="R971" s="256"/>
      <c r="S971" s="256"/>
      <c r="T971" s="256"/>
      <c r="U971" s="256"/>
      <c r="V971" s="256"/>
      <c r="W971" s="256"/>
      <c r="X971" s="256"/>
      <c r="Y971" s="256"/>
      <c r="Z971" s="256"/>
    </row>
    <row r="972">
      <c r="A972" s="256"/>
      <c r="B972" s="256"/>
      <c r="C972" s="256"/>
      <c r="D972" s="256"/>
      <c r="E972" s="256"/>
      <c r="F972" s="310"/>
      <c r="G972" s="256"/>
      <c r="H972" s="256"/>
      <c r="I972" s="256"/>
      <c r="J972" s="256"/>
      <c r="K972" s="256"/>
      <c r="L972" s="256"/>
      <c r="M972" s="256"/>
      <c r="N972" s="256"/>
      <c r="O972" s="256"/>
      <c r="P972" s="256"/>
      <c r="Q972" s="256"/>
      <c r="R972" s="256"/>
      <c r="S972" s="256"/>
      <c r="T972" s="256"/>
      <c r="U972" s="256"/>
      <c r="V972" s="256"/>
      <c r="W972" s="256"/>
      <c r="X972" s="256"/>
      <c r="Y972" s="256"/>
      <c r="Z972" s="256"/>
    </row>
    <row r="973">
      <c r="A973" s="256"/>
      <c r="B973" s="256"/>
      <c r="C973" s="256"/>
      <c r="D973" s="256"/>
      <c r="E973" s="256"/>
      <c r="F973" s="310"/>
      <c r="G973" s="256"/>
      <c r="H973" s="256"/>
      <c r="I973" s="256"/>
      <c r="J973" s="256"/>
      <c r="K973" s="256"/>
      <c r="L973" s="256"/>
      <c r="M973" s="256"/>
      <c r="N973" s="256"/>
      <c r="O973" s="256"/>
      <c r="P973" s="256"/>
      <c r="Q973" s="256"/>
      <c r="R973" s="256"/>
      <c r="S973" s="256"/>
      <c r="T973" s="256"/>
      <c r="U973" s="256"/>
      <c r="V973" s="256"/>
      <c r="W973" s="256"/>
      <c r="X973" s="256"/>
      <c r="Y973" s="256"/>
      <c r="Z973" s="256"/>
    </row>
    <row r="974">
      <c r="A974" s="256"/>
      <c r="B974" s="256"/>
      <c r="C974" s="256"/>
      <c r="D974" s="256"/>
      <c r="E974" s="256"/>
      <c r="F974" s="310"/>
      <c r="G974" s="256"/>
      <c r="H974" s="256"/>
      <c r="I974" s="256"/>
      <c r="J974" s="256"/>
      <c r="K974" s="256"/>
      <c r="L974" s="256"/>
      <c r="M974" s="256"/>
      <c r="N974" s="256"/>
      <c r="O974" s="256"/>
      <c r="P974" s="256"/>
      <c r="Q974" s="256"/>
      <c r="R974" s="256"/>
      <c r="S974" s="256"/>
      <c r="T974" s="256"/>
      <c r="U974" s="256"/>
      <c r="V974" s="256"/>
      <c r="W974" s="256"/>
      <c r="X974" s="256"/>
      <c r="Y974" s="256"/>
      <c r="Z974" s="256"/>
    </row>
    <row r="975">
      <c r="A975" s="256"/>
      <c r="B975" s="256"/>
      <c r="C975" s="256"/>
      <c r="D975" s="256"/>
      <c r="E975" s="256"/>
      <c r="F975" s="310"/>
      <c r="G975" s="256"/>
      <c r="H975" s="256"/>
      <c r="I975" s="256"/>
      <c r="J975" s="256"/>
      <c r="K975" s="256"/>
      <c r="L975" s="256"/>
      <c r="M975" s="256"/>
      <c r="N975" s="256"/>
      <c r="O975" s="256"/>
      <c r="P975" s="256"/>
      <c r="Q975" s="256"/>
      <c r="R975" s="256"/>
      <c r="S975" s="256"/>
      <c r="T975" s="256"/>
      <c r="U975" s="256"/>
      <c r="V975" s="256"/>
      <c r="W975" s="256"/>
      <c r="X975" s="256"/>
      <c r="Y975" s="256"/>
      <c r="Z975" s="256"/>
    </row>
    <row r="976">
      <c r="A976" s="256"/>
      <c r="B976" s="256"/>
      <c r="C976" s="256"/>
      <c r="D976" s="256"/>
      <c r="E976" s="256"/>
      <c r="F976" s="310"/>
      <c r="G976" s="256"/>
      <c r="H976" s="256"/>
      <c r="I976" s="256"/>
      <c r="J976" s="256"/>
      <c r="K976" s="256"/>
      <c r="L976" s="256"/>
      <c r="M976" s="256"/>
      <c r="N976" s="256"/>
      <c r="O976" s="256"/>
      <c r="P976" s="256"/>
      <c r="Q976" s="256"/>
      <c r="R976" s="256"/>
      <c r="S976" s="256"/>
      <c r="T976" s="256"/>
      <c r="U976" s="256"/>
      <c r="V976" s="256"/>
      <c r="W976" s="256"/>
      <c r="X976" s="256"/>
      <c r="Y976" s="256"/>
      <c r="Z976" s="256"/>
    </row>
    <row r="977">
      <c r="A977" s="256"/>
      <c r="B977" s="256"/>
      <c r="C977" s="256"/>
      <c r="D977" s="256"/>
      <c r="E977" s="256"/>
      <c r="F977" s="310"/>
      <c r="G977" s="256"/>
      <c r="H977" s="256"/>
      <c r="I977" s="256"/>
      <c r="J977" s="256"/>
      <c r="K977" s="256"/>
      <c r="L977" s="256"/>
      <c r="M977" s="256"/>
      <c r="N977" s="256"/>
      <c r="O977" s="256"/>
      <c r="P977" s="256"/>
      <c r="Q977" s="256"/>
      <c r="R977" s="256"/>
      <c r="S977" s="256"/>
      <c r="T977" s="256"/>
      <c r="U977" s="256"/>
      <c r="V977" s="256"/>
      <c r="W977" s="256"/>
      <c r="X977" s="256"/>
      <c r="Y977" s="256"/>
      <c r="Z977" s="256"/>
    </row>
    <row r="978">
      <c r="A978" s="256"/>
      <c r="B978" s="256"/>
      <c r="C978" s="256"/>
      <c r="D978" s="256"/>
      <c r="E978" s="256"/>
      <c r="F978" s="310"/>
      <c r="G978" s="256"/>
      <c r="H978" s="256"/>
      <c r="I978" s="256"/>
      <c r="J978" s="256"/>
      <c r="K978" s="256"/>
      <c r="L978" s="256"/>
      <c r="M978" s="256"/>
      <c r="N978" s="256"/>
      <c r="O978" s="256"/>
      <c r="P978" s="256"/>
      <c r="Q978" s="256"/>
      <c r="R978" s="256"/>
      <c r="S978" s="256"/>
      <c r="T978" s="256"/>
      <c r="U978" s="256"/>
      <c r="V978" s="256"/>
      <c r="W978" s="256"/>
      <c r="X978" s="256"/>
      <c r="Y978" s="256"/>
      <c r="Z978" s="256"/>
    </row>
    <row r="979">
      <c r="A979" s="256"/>
      <c r="B979" s="256"/>
      <c r="C979" s="256"/>
      <c r="D979" s="256"/>
      <c r="E979" s="256"/>
      <c r="F979" s="310"/>
      <c r="G979" s="256"/>
      <c r="H979" s="256"/>
      <c r="I979" s="256"/>
      <c r="J979" s="256"/>
      <c r="K979" s="256"/>
      <c r="L979" s="256"/>
      <c r="M979" s="256"/>
      <c r="N979" s="256"/>
      <c r="O979" s="256"/>
      <c r="P979" s="256"/>
      <c r="Q979" s="256"/>
      <c r="R979" s="256"/>
      <c r="S979" s="256"/>
      <c r="T979" s="256"/>
      <c r="U979" s="256"/>
      <c r="V979" s="256"/>
      <c r="W979" s="256"/>
      <c r="X979" s="256"/>
      <c r="Y979" s="256"/>
      <c r="Z979" s="256"/>
    </row>
    <row r="980">
      <c r="A980" s="256"/>
      <c r="B980" s="256"/>
      <c r="C980" s="256"/>
      <c r="D980" s="256"/>
      <c r="E980" s="256"/>
      <c r="F980" s="310"/>
      <c r="G980" s="256"/>
      <c r="H980" s="256"/>
      <c r="I980" s="256"/>
      <c r="J980" s="256"/>
      <c r="K980" s="256"/>
      <c r="L980" s="256"/>
      <c r="M980" s="256"/>
      <c r="N980" s="256"/>
      <c r="O980" s="256"/>
      <c r="P980" s="256"/>
      <c r="Q980" s="256"/>
      <c r="R980" s="256"/>
      <c r="S980" s="256"/>
      <c r="T980" s="256"/>
      <c r="U980" s="256"/>
      <c r="V980" s="256"/>
      <c r="W980" s="256"/>
      <c r="X980" s="256"/>
      <c r="Y980" s="256"/>
      <c r="Z980" s="256"/>
    </row>
    <row r="981">
      <c r="A981" s="256"/>
      <c r="B981" s="256"/>
      <c r="C981" s="256"/>
      <c r="D981" s="256"/>
      <c r="E981" s="256"/>
      <c r="F981" s="310"/>
      <c r="G981" s="256"/>
      <c r="H981" s="256"/>
      <c r="I981" s="256"/>
      <c r="J981" s="256"/>
      <c r="K981" s="256"/>
      <c r="L981" s="256"/>
      <c r="M981" s="256"/>
      <c r="N981" s="256"/>
      <c r="O981" s="256"/>
      <c r="P981" s="256"/>
      <c r="Q981" s="256"/>
      <c r="R981" s="256"/>
      <c r="S981" s="256"/>
      <c r="T981" s="256"/>
      <c r="U981" s="256"/>
      <c r="V981" s="256"/>
      <c r="W981" s="256"/>
      <c r="X981" s="256"/>
      <c r="Y981" s="256"/>
      <c r="Z981" s="256"/>
    </row>
    <row r="982">
      <c r="A982" s="256"/>
      <c r="B982" s="256"/>
      <c r="C982" s="256"/>
      <c r="D982" s="256"/>
      <c r="E982" s="256"/>
      <c r="F982" s="310"/>
      <c r="G982" s="256"/>
      <c r="H982" s="256"/>
      <c r="I982" s="256"/>
      <c r="J982" s="256"/>
      <c r="K982" s="256"/>
      <c r="L982" s="256"/>
      <c r="M982" s="256"/>
      <c r="N982" s="256"/>
      <c r="O982" s="256"/>
      <c r="P982" s="256"/>
      <c r="Q982" s="256"/>
      <c r="R982" s="256"/>
      <c r="S982" s="256"/>
      <c r="T982" s="256"/>
      <c r="U982" s="256"/>
      <c r="V982" s="256"/>
      <c r="W982" s="256"/>
      <c r="X982" s="256"/>
      <c r="Y982" s="256"/>
      <c r="Z982" s="256"/>
    </row>
    <row r="983">
      <c r="A983" s="256"/>
      <c r="B983" s="256"/>
      <c r="C983" s="256"/>
      <c r="D983" s="256"/>
      <c r="E983" s="256"/>
      <c r="F983" s="310"/>
      <c r="G983" s="256"/>
      <c r="H983" s="256"/>
      <c r="I983" s="256"/>
      <c r="J983" s="256"/>
      <c r="K983" s="256"/>
      <c r="L983" s="256"/>
      <c r="M983" s="256"/>
      <c r="N983" s="256"/>
      <c r="O983" s="256"/>
      <c r="P983" s="256"/>
      <c r="Q983" s="256"/>
      <c r="R983" s="256"/>
      <c r="S983" s="256"/>
      <c r="T983" s="256"/>
      <c r="U983" s="256"/>
      <c r="V983" s="256"/>
      <c r="W983" s="256"/>
      <c r="X983" s="256"/>
      <c r="Y983" s="256"/>
      <c r="Z983" s="256"/>
    </row>
    <row r="984">
      <c r="A984" s="256"/>
      <c r="B984" s="256"/>
      <c r="C984" s="256"/>
      <c r="D984" s="256"/>
      <c r="E984" s="256"/>
      <c r="F984" s="310"/>
      <c r="G984" s="256"/>
      <c r="H984" s="256"/>
      <c r="I984" s="256"/>
      <c r="J984" s="256"/>
      <c r="K984" s="256"/>
      <c r="L984" s="256"/>
      <c r="M984" s="256"/>
      <c r="N984" s="256"/>
      <c r="O984" s="256"/>
      <c r="P984" s="256"/>
      <c r="Q984" s="256"/>
      <c r="R984" s="256"/>
      <c r="S984" s="256"/>
      <c r="T984" s="256"/>
      <c r="U984" s="256"/>
      <c r="V984" s="256"/>
      <c r="W984" s="256"/>
      <c r="X984" s="256"/>
      <c r="Y984" s="256"/>
      <c r="Z984" s="256"/>
    </row>
    <row r="985">
      <c r="A985" s="256"/>
      <c r="B985" s="256"/>
      <c r="C985" s="256"/>
      <c r="D985" s="256"/>
      <c r="E985" s="256"/>
      <c r="F985" s="310"/>
      <c r="G985" s="256"/>
      <c r="H985" s="256"/>
      <c r="I985" s="256"/>
      <c r="J985" s="256"/>
      <c r="K985" s="256"/>
      <c r="L985" s="256"/>
      <c r="M985" s="256"/>
      <c r="N985" s="256"/>
      <c r="O985" s="256"/>
      <c r="P985" s="256"/>
      <c r="Q985" s="256"/>
      <c r="R985" s="256"/>
      <c r="S985" s="256"/>
      <c r="T985" s="256"/>
      <c r="U985" s="256"/>
      <c r="V985" s="256"/>
      <c r="W985" s="256"/>
      <c r="X985" s="256"/>
      <c r="Y985" s="256"/>
      <c r="Z985" s="256"/>
    </row>
    <row r="986">
      <c r="A986" s="256"/>
      <c r="B986" s="256"/>
      <c r="C986" s="256"/>
      <c r="D986" s="256"/>
      <c r="E986" s="256"/>
      <c r="F986" s="310"/>
      <c r="G986" s="256"/>
      <c r="H986" s="256"/>
      <c r="I986" s="256"/>
      <c r="J986" s="256"/>
      <c r="K986" s="256"/>
      <c r="L986" s="256"/>
      <c r="M986" s="256"/>
      <c r="N986" s="256"/>
      <c r="O986" s="256"/>
      <c r="P986" s="256"/>
      <c r="Q986" s="256"/>
      <c r="R986" s="256"/>
      <c r="S986" s="256"/>
      <c r="T986" s="256"/>
      <c r="U986" s="256"/>
      <c r="V986" s="256"/>
      <c r="W986" s="256"/>
      <c r="X986" s="256"/>
      <c r="Y986" s="256"/>
      <c r="Z986" s="256"/>
    </row>
    <row r="987">
      <c r="A987" s="256"/>
      <c r="B987" s="256"/>
      <c r="C987" s="256"/>
      <c r="D987" s="256"/>
      <c r="E987" s="256"/>
      <c r="F987" s="310"/>
      <c r="G987" s="256"/>
      <c r="H987" s="256"/>
      <c r="I987" s="256"/>
      <c r="J987" s="256"/>
      <c r="K987" s="256"/>
      <c r="L987" s="256"/>
      <c r="M987" s="256"/>
      <c r="N987" s="256"/>
      <c r="O987" s="256"/>
      <c r="P987" s="256"/>
      <c r="Q987" s="256"/>
      <c r="R987" s="256"/>
      <c r="S987" s="256"/>
      <c r="T987" s="256"/>
      <c r="U987" s="256"/>
      <c r="V987" s="256"/>
      <c r="W987" s="256"/>
      <c r="X987" s="256"/>
      <c r="Y987" s="256"/>
      <c r="Z987" s="256"/>
    </row>
    <row r="988">
      <c r="A988" s="256"/>
      <c r="B988" s="256"/>
      <c r="C988" s="256"/>
      <c r="D988" s="256"/>
      <c r="E988" s="256"/>
      <c r="F988" s="310"/>
      <c r="G988" s="256"/>
      <c r="H988" s="256"/>
      <c r="I988" s="256"/>
      <c r="J988" s="256"/>
      <c r="K988" s="256"/>
      <c r="L988" s="256"/>
      <c r="M988" s="256"/>
      <c r="N988" s="256"/>
      <c r="O988" s="256"/>
      <c r="P988" s="256"/>
      <c r="Q988" s="256"/>
      <c r="R988" s="256"/>
      <c r="S988" s="256"/>
      <c r="T988" s="256"/>
      <c r="U988" s="256"/>
      <c r="V988" s="256"/>
      <c r="W988" s="256"/>
      <c r="X988" s="256"/>
      <c r="Y988" s="256"/>
      <c r="Z988" s="256"/>
    </row>
    <row r="989">
      <c r="A989" s="256"/>
      <c r="B989" s="256"/>
      <c r="C989" s="256"/>
      <c r="D989" s="256"/>
      <c r="E989" s="256"/>
      <c r="F989" s="310"/>
      <c r="G989" s="256"/>
      <c r="H989" s="256"/>
      <c r="I989" s="256"/>
      <c r="J989" s="256"/>
      <c r="K989" s="256"/>
      <c r="L989" s="256"/>
      <c r="M989" s="256"/>
      <c r="N989" s="256"/>
      <c r="O989" s="256"/>
      <c r="P989" s="256"/>
      <c r="Q989" s="256"/>
      <c r="R989" s="256"/>
      <c r="S989" s="256"/>
      <c r="T989" s="256"/>
      <c r="U989" s="256"/>
      <c r="V989" s="256"/>
      <c r="W989" s="256"/>
      <c r="X989" s="256"/>
      <c r="Y989" s="256"/>
      <c r="Z989" s="256"/>
    </row>
  </sheetData>
  <hyperlinks>
    <hyperlink r:id="rId1" ref="D24"/>
    <hyperlink r:id="rId2" ref="D75"/>
    <hyperlink r:id="rId3" ref="D76"/>
    <hyperlink r:id="rId4" ref="D7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5.43"/>
    <col customWidth="1" min="2" max="2" width="13.86"/>
    <col customWidth="1" min="3" max="3" width="19.14"/>
    <col customWidth="1" min="4" max="4" width="6.29"/>
    <col customWidth="1" min="5" max="5" width="13.86"/>
    <col customWidth="1" min="6" max="6" width="6.71"/>
    <col customWidth="1" min="7" max="7" width="9.14"/>
    <col customWidth="1" min="9" max="9" width="13.43"/>
    <col customWidth="1" min="10" max="10" width="33.71"/>
  </cols>
  <sheetData>
    <row r="1">
      <c r="A1" s="415" t="s">
        <v>0</v>
      </c>
      <c r="B1" s="416" t="s">
        <v>4447</v>
      </c>
      <c r="C1" s="416" t="s">
        <v>3572</v>
      </c>
      <c r="D1" s="416" t="s">
        <v>1</v>
      </c>
      <c r="E1" s="416" t="s">
        <v>4448</v>
      </c>
      <c r="F1" s="416" t="s">
        <v>4449</v>
      </c>
      <c r="G1" s="416" t="s">
        <v>4450</v>
      </c>
      <c r="H1" s="416" t="s">
        <v>4451</v>
      </c>
      <c r="I1" s="416" t="s">
        <v>4452</v>
      </c>
      <c r="J1" s="417" t="s">
        <v>4453</v>
      </c>
      <c r="K1" s="418"/>
      <c r="L1" s="418"/>
      <c r="M1" s="418"/>
      <c r="N1" s="418"/>
      <c r="O1" s="418"/>
      <c r="P1" s="418"/>
      <c r="Q1" s="418"/>
      <c r="R1" s="418"/>
      <c r="S1" s="418"/>
      <c r="T1" s="418"/>
      <c r="U1" s="418"/>
      <c r="V1" s="418"/>
      <c r="W1" s="418"/>
      <c r="X1" s="418"/>
      <c r="Y1" s="418"/>
      <c r="Z1" s="418"/>
    </row>
    <row r="2">
      <c r="A2" s="419" t="s">
        <v>4454</v>
      </c>
      <c r="B2" s="420">
        <v>0.0</v>
      </c>
      <c r="C2" s="420">
        <v>0.0</v>
      </c>
      <c r="D2" s="421" t="s">
        <v>4455</v>
      </c>
      <c r="E2" s="421" t="s">
        <v>4456</v>
      </c>
      <c r="F2" s="421">
        <v>601.0</v>
      </c>
      <c r="G2" s="421">
        <v>6.0</v>
      </c>
      <c r="H2" s="421" t="s">
        <v>4457</v>
      </c>
      <c r="I2" s="421" t="s">
        <v>4458</v>
      </c>
      <c r="J2" s="422"/>
    </row>
    <row r="3">
      <c r="A3" s="419" t="s">
        <v>4459</v>
      </c>
      <c r="B3" s="421">
        <v>2.6815118E7</v>
      </c>
      <c r="C3" s="421" t="s">
        <v>4460</v>
      </c>
      <c r="D3" s="420">
        <v>0.0</v>
      </c>
      <c r="E3" s="421" t="s">
        <v>4456</v>
      </c>
      <c r="F3" s="421">
        <v>701.0</v>
      </c>
      <c r="G3" s="421">
        <v>7.0</v>
      </c>
      <c r="H3" s="421" t="s">
        <v>4457</v>
      </c>
      <c r="I3" s="421" t="s">
        <v>4461</v>
      </c>
      <c r="J3" s="423" t="s">
        <v>3472</v>
      </c>
    </row>
    <row r="4">
      <c r="A4" s="419" t="s">
        <v>4462</v>
      </c>
      <c r="B4" s="421">
        <v>971.0</v>
      </c>
      <c r="C4" s="421" t="s">
        <v>4463</v>
      </c>
      <c r="D4" s="420">
        <v>0.0</v>
      </c>
      <c r="E4" s="421" t="s">
        <v>4456</v>
      </c>
      <c r="F4" s="421">
        <v>801.0</v>
      </c>
      <c r="G4" s="421">
        <v>8.0</v>
      </c>
      <c r="H4" s="421" t="s">
        <v>4457</v>
      </c>
      <c r="I4" s="421" t="s">
        <v>4464</v>
      </c>
      <c r="J4" s="422"/>
    </row>
    <row r="5">
      <c r="A5" s="419" t="s">
        <v>4465</v>
      </c>
      <c r="B5" s="420">
        <v>0.0</v>
      </c>
      <c r="C5" s="421" t="s">
        <v>4466</v>
      </c>
      <c r="D5" s="421" t="s">
        <v>4467</v>
      </c>
      <c r="E5" s="421" t="s">
        <v>4456</v>
      </c>
      <c r="F5" s="421">
        <v>901.0</v>
      </c>
      <c r="G5" s="421">
        <v>9.0</v>
      </c>
      <c r="H5" s="421" t="s">
        <v>4457</v>
      </c>
      <c r="I5" s="421" t="s">
        <v>4468</v>
      </c>
      <c r="J5" s="423" t="s">
        <v>4469</v>
      </c>
    </row>
    <row r="6">
      <c r="A6" s="419" t="s">
        <v>4470</v>
      </c>
      <c r="B6" s="421">
        <v>971.0</v>
      </c>
      <c r="C6" s="421" t="s">
        <v>4471</v>
      </c>
      <c r="D6" s="420">
        <v>0.0</v>
      </c>
      <c r="E6" s="421" t="s">
        <v>4456</v>
      </c>
      <c r="F6" s="421">
        <v>1001.0</v>
      </c>
      <c r="G6" s="421">
        <v>10.0</v>
      </c>
      <c r="H6" s="421" t="s">
        <v>4457</v>
      </c>
      <c r="I6" s="421" t="s">
        <v>4472</v>
      </c>
      <c r="J6" s="423" t="s">
        <v>979</v>
      </c>
    </row>
    <row r="7">
      <c r="A7" s="419" t="s">
        <v>4473</v>
      </c>
      <c r="B7" s="420">
        <v>0.0</v>
      </c>
      <c r="C7" s="421">
        <v>9.66548111165E11</v>
      </c>
      <c r="D7" s="420">
        <v>0.0</v>
      </c>
      <c r="E7" s="421" t="s">
        <v>4456</v>
      </c>
      <c r="F7" s="421">
        <v>1101.0</v>
      </c>
      <c r="G7" s="421">
        <v>11.0</v>
      </c>
      <c r="H7" s="421" t="s">
        <v>4457</v>
      </c>
      <c r="I7" s="421" t="s">
        <v>4472</v>
      </c>
      <c r="J7" s="424">
        <v>9.6655447665E11</v>
      </c>
    </row>
    <row r="8">
      <c r="A8" s="419" t="s">
        <v>4474</v>
      </c>
      <c r="B8" s="420">
        <v>0.0</v>
      </c>
      <c r="C8" s="421" t="s">
        <v>4475</v>
      </c>
      <c r="D8" s="420">
        <v>0.0</v>
      </c>
      <c r="E8" s="421" t="s">
        <v>4456</v>
      </c>
      <c r="F8" s="421">
        <v>1301.0</v>
      </c>
      <c r="G8" s="421">
        <v>13.0</v>
      </c>
      <c r="H8" s="421" t="s">
        <v>4457</v>
      </c>
      <c r="I8" s="421" t="s">
        <v>4461</v>
      </c>
      <c r="J8" s="423" t="s">
        <v>4476</v>
      </c>
    </row>
    <row r="9">
      <c r="A9" s="419" t="s">
        <v>4477</v>
      </c>
      <c r="B9" s="420">
        <v>0.0</v>
      </c>
      <c r="C9" s="420">
        <v>0.0</v>
      </c>
      <c r="D9" s="421" t="s">
        <v>4478</v>
      </c>
      <c r="E9" s="421" t="s">
        <v>4456</v>
      </c>
      <c r="F9" s="421">
        <v>602.0</v>
      </c>
      <c r="G9" s="421">
        <v>6.0</v>
      </c>
      <c r="H9" s="421" t="s">
        <v>4479</v>
      </c>
      <c r="I9" s="421" t="s">
        <v>4472</v>
      </c>
      <c r="J9" s="422"/>
    </row>
    <row r="10">
      <c r="A10" s="419" t="s">
        <v>4480</v>
      </c>
      <c r="B10" s="420">
        <v>0.0</v>
      </c>
      <c r="C10" s="421" t="s">
        <v>4481</v>
      </c>
      <c r="D10" s="421" t="s">
        <v>4482</v>
      </c>
      <c r="E10" s="421" t="s">
        <v>4456</v>
      </c>
      <c r="F10" s="421">
        <v>604.0</v>
      </c>
      <c r="G10" s="421">
        <v>6.0</v>
      </c>
      <c r="H10" s="421" t="s">
        <v>4479</v>
      </c>
      <c r="I10" s="421" t="s">
        <v>4468</v>
      </c>
      <c r="J10" s="423" t="s">
        <v>251</v>
      </c>
    </row>
    <row r="11">
      <c r="A11" s="419" t="s">
        <v>4483</v>
      </c>
      <c r="B11" s="420">
        <v>0.0</v>
      </c>
      <c r="C11" s="421" t="s">
        <v>4484</v>
      </c>
      <c r="D11" s="420">
        <v>0.0</v>
      </c>
      <c r="E11" s="421" t="s">
        <v>4456</v>
      </c>
      <c r="F11" s="421">
        <v>605.0</v>
      </c>
      <c r="G11" s="421">
        <v>6.0</v>
      </c>
      <c r="H11" s="421" t="s">
        <v>4479</v>
      </c>
      <c r="I11" s="421" t="s">
        <v>4485</v>
      </c>
      <c r="J11" s="423" t="s">
        <v>3613</v>
      </c>
    </row>
    <row r="12">
      <c r="A12" s="419" t="s">
        <v>4486</v>
      </c>
      <c r="B12" s="420">
        <v>0.0</v>
      </c>
      <c r="C12" s="421" t="s">
        <v>4487</v>
      </c>
      <c r="D12" s="420">
        <v>0.0</v>
      </c>
      <c r="E12" s="421" t="s">
        <v>4456</v>
      </c>
      <c r="F12" s="421">
        <v>606.0</v>
      </c>
      <c r="G12" s="421">
        <v>6.0</v>
      </c>
      <c r="H12" s="421" t="s">
        <v>4479</v>
      </c>
      <c r="I12" s="421" t="s">
        <v>4472</v>
      </c>
      <c r="J12" s="423" t="s">
        <v>979</v>
      </c>
    </row>
    <row r="13">
      <c r="A13" s="419" t="s">
        <v>4488</v>
      </c>
      <c r="B13" s="420">
        <v>0.0</v>
      </c>
      <c r="C13" s="421" t="s">
        <v>4489</v>
      </c>
      <c r="D13" s="421" t="s">
        <v>4490</v>
      </c>
      <c r="E13" s="421" t="s">
        <v>4456</v>
      </c>
      <c r="F13" s="421">
        <v>607.0</v>
      </c>
      <c r="G13" s="421">
        <v>6.0</v>
      </c>
      <c r="H13" s="421" t="s">
        <v>4479</v>
      </c>
      <c r="I13" s="421" t="s">
        <v>4458</v>
      </c>
      <c r="J13" s="423" t="s">
        <v>4491</v>
      </c>
    </row>
    <row r="14">
      <c r="A14" s="419" t="s">
        <v>4492</v>
      </c>
      <c r="B14" s="421" t="s">
        <v>4493</v>
      </c>
      <c r="C14" s="421" t="s">
        <v>4494</v>
      </c>
      <c r="D14" s="421" t="s">
        <v>4495</v>
      </c>
      <c r="E14" s="421" t="s">
        <v>4456</v>
      </c>
      <c r="F14" s="421">
        <v>609.0</v>
      </c>
      <c r="G14" s="421">
        <v>6.0</v>
      </c>
      <c r="H14" s="421" t="s">
        <v>4457</v>
      </c>
      <c r="I14" s="421" t="s">
        <v>4461</v>
      </c>
      <c r="J14" s="423" t="s">
        <v>4496</v>
      </c>
    </row>
    <row r="15">
      <c r="A15" s="419" t="s">
        <v>4497</v>
      </c>
      <c r="B15" s="420">
        <v>0.0</v>
      </c>
      <c r="C15" s="421" t="s">
        <v>4498</v>
      </c>
      <c r="D15" s="421" t="s">
        <v>4499</v>
      </c>
      <c r="E15" s="421" t="s">
        <v>4456</v>
      </c>
      <c r="F15" s="421">
        <v>610.0</v>
      </c>
      <c r="G15" s="421">
        <v>6.0</v>
      </c>
      <c r="H15" s="421" t="s">
        <v>4457</v>
      </c>
      <c r="I15" s="421" t="s">
        <v>4500</v>
      </c>
      <c r="J15" s="423" t="s">
        <v>172</v>
      </c>
    </row>
    <row r="16">
      <c r="A16" s="419" t="s">
        <v>4501</v>
      </c>
      <c r="B16" s="420">
        <v>0.0</v>
      </c>
      <c r="C16" s="420">
        <v>0.0</v>
      </c>
      <c r="D16" s="421" t="s">
        <v>4502</v>
      </c>
      <c r="E16" s="421" t="s">
        <v>4456</v>
      </c>
      <c r="F16" s="421">
        <v>702.0</v>
      </c>
      <c r="G16" s="421">
        <v>7.0</v>
      </c>
      <c r="H16" s="421" t="s">
        <v>4479</v>
      </c>
      <c r="I16" s="421" t="s">
        <v>4503</v>
      </c>
      <c r="J16" s="422"/>
    </row>
    <row r="17">
      <c r="A17" s="419" t="s">
        <v>4504</v>
      </c>
      <c r="B17" s="421" t="s">
        <v>4505</v>
      </c>
      <c r="C17" s="421" t="s">
        <v>4506</v>
      </c>
      <c r="D17" s="420">
        <v>0.0</v>
      </c>
      <c r="E17" s="421" t="s">
        <v>4456</v>
      </c>
      <c r="F17" s="421">
        <v>704.0</v>
      </c>
      <c r="G17" s="421">
        <v>7.0</v>
      </c>
      <c r="H17" s="421" t="s">
        <v>4479</v>
      </c>
      <c r="I17" s="421" t="s">
        <v>4507</v>
      </c>
      <c r="J17" s="423" t="s">
        <v>251</v>
      </c>
    </row>
    <row r="18">
      <c r="A18" s="419" t="s">
        <v>4508</v>
      </c>
      <c r="B18" s="420">
        <v>0.0</v>
      </c>
      <c r="C18" s="421" t="s">
        <v>4509</v>
      </c>
      <c r="D18" s="421" t="s">
        <v>4510</v>
      </c>
      <c r="E18" s="421" t="s">
        <v>4456</v>
      </c>
      <c r="F18" s="421">
        <v>705.0</v>
      </c>
      <c r="G18" s="421">
        <v>7.0</v>
      </c>
      <c r="H18" s="421" t="s">
        <v>4479</v>
      </c>
      <c r="I18" s="421" t="s">
        <v>4472</v>
      </c>
      <c r="J18" s="423" t="s">
        <v>4491</v>
      </c>
    </row>
    <row r="19">
      <c r="A19" s="419" t="s">
        <v>4511</v>
      </c>
      <c r="B19" s="421" t="s">
        <v>4512</v>
      </c>
      <c r="C19" s="421" t="s">
        <v>4513</v>
      </c>
      <c r="D19" s="420">
        <v>0.0</v>
      </c>
      <c r="E19" s="421" t="s">
        <v>4456</v>
      </c>
      <c r="F19" s="421">
        <v>707.0</v>
      </c>
      <c r="G19" s="421">
        <v>7.0</v>
      </c>
      <c r="H19" s="421" t="s">
        <v>4479</v>
      </c>
      <c r="I19" s="421" t="s">
        <v>4514</v>
      </c>
      <c r="J19" s="423" t="s">
        <v>168</v>
      </c>
    </row>
    <row r="20">
      <c r="A20" s="419" t="s">
        <v>4515</v>
      </c>
      <c r="B20" s="425">
        <f t="shared" ref="B20:C20" si="1">+923212159464</f>
        <v>923212159464</v>
      </c>
      <c r="C20" s="425">
        <f t="shared" si="1"/>
        <v>923212159464</v>
      </c>
      <c r="D20" s="421" t="s">
        <v>4516</v>
      </c>
      <c r="E20" s="421" t="s">
        <v>4456</v>
      </c>
      <c r="F20" s="421">
        <v>709.0</v>
      </c>
      <c r="G20" s="421">
        <v>7.0</v>
      </c>
      <c r="H20" s="421" t="s">
        <v>4457</v>
      </c>
      <c r="I20" s="421" t="s">
        <v>4517</v>
      </c>
      <c r="J20" s="423" t="s">
        <v>4518</v>
      </c>
    </row>
    <row r="21">
      <c r="A21" s="419" t="s">
        <v>4519</v>
      </c>
      <c r="B21" s="421">
        <v>5.62582524E8</v>
      </c>
      <c r="C21" s="421" t="s">
        <v>4520</v>
      </c>
      <c r="D21" s="420">
        <v>0.0</v>
      </c>
      <c r="E21" s="421" t="s">
        <v>4456</v>
      </c>
      <c r="F21" s="421">
        <v>710.0</v>
      </c>
      <c r="G21" s="421">
        <v>7.0</v>
      </c>
      <c r="H21" s="421" t="s">
        <v>4457</v>
      </c>
      <c r="I21" s="421" t="s">
        <v>4521</v>
      </c>
      <c r="J21" s="423" t="s">
        <v>4522</v>
      </c>
    </row>
    <row r="22">
      <c r="A22" s="419" t="s">
        <v>4523</v>
      </c>
      <c r="B22" s="420">
        <v>0.0</v>
      </c>
      <c r="C22" s="421" t="s">
        <v>4524</v>
      </c>
      <c r="D22" s="420">
        <v>0.0</v>
      </c>
      <c r="E22" s="421" t="s">
        <v>4456</v>
      </c>
      <c r="F22" s="421">
        <v>711.0</v>
      </c>
      <c r="G22" s="421">
        <v>7.0</v>
      </c>
      <c r="H22" s="421" t="s">
        <v>4457</v>
      </c>
      <c r="I22" s="421" t="s">
        <v>4525</v>
      </c>
      <c r="J22" s="423" t="s">
        <v>4526</v>
      </c>
    </row>
    <row r="23">
      <c r="A23" s="419" t="s">
        <v>4527</v>
      </c>
      <c r="B23" s="421">
        <v>971.0</v>
      </c>
      <c r="C23" s="421" t="s">
        <v>4528</v>
      </c>
      <c r="D23" s="420">
        <v>0.0</v>
      </c>
      <c r="E23" s="421" t="s">
        <v>4456</v>
      </c>
      <c r="F23" s="421">
        <v>802.0</v>
      </c>
      <c r="G23" s="421">
        <v>8.0</v>
      </c>
      <c r="H23" s="421" t="s">
        <v>4479</v>
      </c>
      <c r="I23" s="421" t="s">
        <v>4514</v>
      </c>
      <c r="J23" s="423" t="s">
        <v>4529</v>
      </c>
    </row>
    <row r="24">
      <c r="A24" s="419" t="s">
        <v>4530</v>
      </c>
      <c r="B24" s="420">
        <v>0.0</v>
      </c>
      <c r="C24" s="421" t="s">
        <v>4531</v>
      </c>
      <c r="D24" s="421" t="s">
        <v>4532</v>
      </c>
      <c r="E24" s="421" t="s">
        <v>4456</v>
      </c>
      <c r="F24" s="421">
        <v>804.0</v>
      </c>
      <c r="G24" s="421">
        <v>8.0</v>
      </c>
      <c r="H24" s="421" t="s">
        <v>4479</v>
      </c>
      <c r="I24" s="421" t="s">
        <v>4533</v>
      </c>
      <c r="J24" s="423" t="s">
        <v>574</v>
      </c>
    </row>
    <row r="25">
      <c r="A25" s="419" t="s">
        <v>4534</v>
      </c>
      <c r="B25" s="420">
        <v>0.0</v>
      </c>
      <c r="C25" s="421" t="s">
        <v>4535</v>
      </c>
      <c r="D25" s="421" t="s">
        <v>4536</v>
      </c>
      <c r="E25" s="421" t="s">
        <v>4456</v>
      </c>
      <c r="F25" s="421">
        <v>805.0</v>
      </c>
      <c r="G25" s="421">
        <v>8.0</v>
      </c>
      <c r="H25" s="421" t="s">
        <v>4479</v>
      </c>
      <c r="I25" s="421" t="s">
        <v>4537</v>
      </c>
      <c r="J25" s="423" t="s">
        <v>168</v>
      </c>
    </row>
    <row r="26">
      <c r="A26" s="419" t="s">
        <v>4538</v>
      </c>
      <c r="B26" s="420">
        <v>0.0</v>
      </c>
      <c r="C26" s="421" t="s">
        <v>4539</v>
      </c>
      <c r="D26" s="420">
        <v>0.0</v>
      </c>
      <c r="E26" s="421" t="s">
        <v>4456</v>
      </c>
      <c r="F26" s="421">
        <v>806.0</v>
      </c>
      <c r="G26" s="421">
        <v>8.0</v>
      </c>
      <c r="H26" s="421" t="s">
        <v>4479</v>
      </c>
      <c r="I26" s="421" t="s">
        <v>4461</v>
      </c>
      <c r="J26" s="423" t="s">
        <v>4476</v>
      </c>
    </row>
    <row r="27">
      <c r="A27" s="419" t="s">
        <v>4540</v>
      </c>
      <c r="B27" s="421">
        <v>5.51140364E8</v>
      </c>
      <c r="C27" s="421" t="s">
        <v>4541</v>
      </c>
      <c r="D27" s="420">
        <v>0.0</v>
      </c>
      <c r="E27" s="421" t="s">
        <v>4456</v>
      </c>
      <c r="F27" s="421">
        <v>807.0</v>
      </c>
      <c r="G27" s="421">
        <v>8.0</v>
      </c>
      <c r="H27" s="421" t="s">
        <v>4479</v>
      </c>
      <c r="I27" s="421" t="s">
        <v>4542</v>
      </c>
      <c r="J27" s="423" t="s">
        <v>574</v>
      </c>
    </row>
    <row r="28">
      <c r="A28" s="419" t="s">
        <v>4543</v>
      </c>
      <c r="B28" s="421">
        <v>5.02487375E8</v>
      </c>
      <c r="C28" s="421" t="s">
        <v>4544</v>
      </c>
      <c r="D28" s="420">
        <v>0.0</v>
      </c>
      <c r="E28" s="421" t="s">
        <v>4456</v>
      </c>
      <c r="F28" s="421">
        <v>808.0</v>
      </c>
      <c r="G28" s="421">
        <v>8.0</v>
      </c>
      <c r="H28" s="421" t="s">
        <v>4457</v>
      </c>
      <c r="I28" s="421" t="s">
        <v>4545</v>
      </c>
      <c r="J28" s="423" t="s">
        <v>574</v>
      </c>
    </row>
    <row r="29">
      <c r="A29" s="419" t="s">
        <v>4546</v>
      </c>
      <c r="B29" s="420">
        <v>0.0</v>
      </c>
      <c r="C29" s="421" t="s">
        <v>4547</v>
      </c>
      <c r="D29" s="421" t="s">
        <v>4548</v>
      </c>
      <c r="E29" s="421" t="s">
        <v>4456</v>
      </c>
      <c r="F29" s="421">
        <v>809.0</v>
      </c>
      <c r="G29" s="421">
        <v>8.0</v>
      </c>
      <c r="H29" s="421" t="s">
        <v>4457</v>
      </c>
      <c r="I29" s="421" t="s">
        <v>4461</v>
      </c>
      <c r="J29" s="423" t="s">
        <v>251</v>
      </c>
    </row>
    <row r="30">
      <c r="A30" s="419" t="s">
        <v>4549</v>
      </c>
      <c r="B30" s="421">
        <v>0.0</v>
      </c>
      <c r="C30" s="421">
        <v>9.71501580651E11</v>
      </c>
      <c r="D30" s="420">
        <v>0.0</v>
      </c>
      <c r="E30" s="421" t="s">
        <v>4456</v>
      </c>
      <c r="F30" s="421">
        <v>810.0</v>
      </c>
      <c r="G30" s="421">
        <v>8.0</v>
      </c>
      <c r="H30" s="421" t="s">
        <v>4457</v>
      </c>
      <c r="I30" s="421" t="s">
        <v>4550</v>
      </c>
      <c r="J30" s="423" t="s">
        <v>4551</v>
      </c>
    </row>
    <row r="31">
      <c r="A31" s="419" t="s">
        <v>4552</v>
      </c>
      <c r="B31" s="421">
        <v>971.0</v>
      </c>
      <c r="C31" s="421" t="s">
        <v>4553</v>
      </c>
      <c r="D31" s="420">
        <v>0.0</v>
      </c>
      <c r="E31" s="421" t="s">
        <v>4456</v>
      </c>
      <c r="F31" s="421">
        <v>902.0</v>
      </c>
      <c r="G31" s="421">
        <v>9.0</v>
      </c>
      <c r="H31" s="421" t="s">
        <v>4479</v>
      </c>
      <c r="I31" s="421" t="s">
        <v>4472</v>
      </c>
      <c r="J31" s="423" t="s">
        <v>172</v>
      </c>
    </row>
    <row r="32">
      <c r="A32" s="419" t="s">
        <v>4554</v>
      </c>
      <c r="B32" s="420">
        <v>0.0</v>
      </c>
      <c r="C32" s="421" t="s">
        <v>4555</v>
      </c>
      <c r="D32" s="420">
        <v>0.0</v>
      </c>
      <c r="E32" s="421" t="s">
        <v>4456</v>
      </c>
      <c r="F32" s="421">
        <v>904.0</v>
      </c>
      <c r="G32" s="421">
        <v>9.0</v>
      </c>
      <c r="H32" s="421" t="s">
        <v>4479</v>
      </c>
      <c r="I32" s="421" t="s">
        <v>4556</v>
      </c>
      <c r="J32" s="423" t="s">
        <v>979</v>
      </c>
    </row>
    <row r="33">
      <c r="A33" s="419" t="s">
        <v>4557</v>
      </c>
      <c r="B33" s="420">
        <v>0.0</v>
      </c>
      <c r="C33" s="421" t="s">
        <v>4558</v>
      </c>
      <c r="D33" s="421" t="s">
        <v>4559</v>
      </c>
      <c r="E33" s="421" t="s">
        <v>4456</v>
      </c>
      <c r="F33" s="421">
        <v>905.0</v>
      </c>
      <c r="G33" s="421">
        <v>9.0</v>
      </c>
      <c r="H33" s="421" t="s">
        <v>4479</v>
      </c>
      <c r="I33" s="421" t="s">
        <v>4517</v>
      </c>
      <c r="J33" s="423" t="s">
        <v>172</v>
      </c>
    </row>
    <row r="34">
      <c r="A34" s="419" t="s">
        <v>4560</v>
      </c>
      <c r="B34" s="420">
        <v>0.0</v>
      </c>
      <c r="C34" s="421">
        <v>5.05520507E8</v>
      </c>
      <c r="D34" s="420">
        <v>0.0</v>
      </c>
      <c r="E34" s="421" t="s">
        <v>4456</v>
      </c>
      <c r="F34" s="421">
        <v>906.0</v>
      </c>
      <c r="G34" s="421">
        <v>9.0</v>
      </c>
      <c r="H34" s="421" t="s">
        <v>4479</v>
      </c>
      <c r="I34" s="421" t="s">
        <v>4461</v>
      </c>
      <c r="J34" s="423" t="s">
        <v>574</v>
      </c>
    </row>
    <row r="35">
      <c r="A35" s="419" t="s">
        <v>4561</v>
      </c>
      <c r="B35" s="421">
        <v>971.0</v>
      </c>
      <c r="C35" s="421">
        <v>5.06544234E8</v>
      </c>
      <c r="D35" s="420">
        <v>0.0</v>
      </c>
      <c r="E35" s="421" t="s">
        <v>4456</v>
      </c>
      <c r="F35" s="421">
        <v>907.0</v>
      </c>
      <c r="G35" s="421">
        <v>9.0</v>
      </c>
      <c r="H35" s="421" t="s">
        <v>4479</v>
      </c>
      <c r="I35" s="421" t="s">
        <v>4461</v>
      </c>
      <c r="J35" s="423" t="s">
        <v>574</v>
      </c>
    </row>
    <row r="36">
      <c r="A36" s="419" t="s">
        <v>4562</v>
      </c>
      <c r="B36" s="420">
        <v>0.0</v>
      </c>
      <c r="C36" s="420">
        <v>0.0</v>
      </c>
      <c r="D36" s="421" t="s">
        <v>4563</v>
      </c>
      <c r="E36" s="421" t="s">
        <v>4456</v>
      </c>
      <c r="F36" s="421">
        <v>908.0</v>
      </c>
      <c r="G36" s="421">
        <v>9.0</v>
      </c>
      <c r="H36" s="421" t="s">
        <v>4457</v>
      </c>
      <c r="I36" s="421" t="s">
        <v>4525</v>
      </c>
      <c r="J36" s="422"/>
    </row>
    <row r="37">
      <c r="A37" s="419" t="s">
        <v>4564</v>
      </c>
      <c r="B37" s="421">
        <v>971.0</v>
      </c>
      <c r="C37" s="421" t="s">
        <v>4565</v>
      </c>
      <c r="D37" s="421" t="s">
        <v>4566</v>
      </c>
      <c r="E37" s="421" t="s">
        <v>4456</v>
      </c>
      <c r="F37" s="421">
        <v>909.0</v>
      </c>
      <c r="G37" s="421">
        <v>9.0</v>
      </c>
      <c r="H37" s="421" t="s">
        <v>4457</v>
      </c>
      <c r="I37" s="421" t="s">
        <v>4472</v>
      </c>
      <c r="J37" s="423" t="s">
        <v>4476</v>
      </c>
    </row>
    <row r="38">
      <c r="A38" s="419" t="s">
        <v>4567</v>
      </c>
      <c r="B38" s="421">
        <v>971.0</v>
      </c>
      <c r="C38" s="421">
        <v>5.02982989E8</v>
      </c>
      <c r="D38" s="420">
        <v>0.0</v>
      </c>
      <c r="E38" s="421" t="s">
        <v>4456</v>
      </c>
      <c r="F38" s="421">
        <v>910.0</v>
      </c>
      <c r="G38" s="421">
        <v>9.0</v>
      </c>
      <c r="H38" s="421" t="s">
        <v>4457</v>
      </c>
      <c r="I38" s="421" t="s">
        <v>4525</v>
      </c>
      <c r="J38" s="423" t="s">
        <v>4568</v>
      </c>
    </row>
    <row r="39">
      <c r="A39" s="419" t="s">
        <v>4569</v>
      </c>
      <c r="B39" s="420">
        <v>0.0</v>
      </c>
      <c r="C39" s="421" t="s">
        <v>4570</v>
      </c>
      <c r="D39" s="420">
        <v>0.0</v>
      </c>
      <c r="E39" s="421" t="s">
        <v>4456</v>
      </c>
      <c r="F39" s="421">
        <v>911.0</v>
      </c>
      <c r="G39" s="421">
        <v>9.0</v>
      </c>
      <c r="H39" s="421" t="s">
        <v>4457</v>
      </c>
      <c r="I39" s="421" t="s">
        <v>4571</v>
      </c>
      <c r="J39" s="423" t="s">
        <v>4572</v>
      </c>
    </row>
    <row r="40">
      <c r="A40" s="419" t="s">
        <v>4573</v>
      </c>
      <c r="B40" s="420">
        <v>0.0</v>
      </c>
      <c r="C40" s="421" t="s">
        <v>4574</v>
      </c>
      <c r="D40" s="420">
        <v>0.0</v>
      </c>
      <c r="E40" s="421" t="s">
        <v>4456</v>
      </c>
      <c r="F40" s="421">
        <v>1002.0</v>
      </c>
      <c r="G40" s="421">
        <v>10.0</v>
      </c>
      <c r="H40" s="421" t="s">
        <v>4479</v>
      </c>
      <c r="I40" s="421" t="s">
        <v>4575</v>
      </c>
      <c r="J40" s="423" t="s">
        <v>4572</v>
      </c>
    </row>
    <row r="41">
      <c r="A41" s="419" t="s">
        <v>4576</v>
      </c>
      <c r="B41" s="420">
        <v>0.0</v>
      </c>
      <c r="C41" s="421" t="s">
        <v>4577</v>
      </c>
      <c r="D41" s="420">
        <v>0.0</v>
      </c>
      <c r="E41" s="421" t="s">
        <v>4456</v>
      </c>
      <c r="F41" s="421">
        <v>1004.0</v>
      </c>
      <c r="G41" s="421">
        <v>10.0</v>
      </c>
      <c r="H41" s="421" t="s">
        <v>4479</v>
      </c>
      <c r="I41" s="421" t="s">
        <v>4461</v>
      </c>
      <c r="J41" s="423" t="s">
        <v>168</v>
      </c>
    </row>
    <row r="42">
      <c r="A42" s="419" t="s">
        <v>4573</v>
      </c>
      <c r="B42" s="420">
        <v>0.0</v>
      </c>
      <c r="C42" s="421" t="s">
        <v>4574</v>
      </c>
      <c r="D42" s="420">
        <v>0.0</v>
      </c>
      <c r="E42" s="421" t="s">
        <v>4456</v>
      </c>
      <c r="F42" s="421">
        <v>1005.0</v>
      </c>
      <c r="G42" s="421">
        <v>10.0</v>
      </c>
      <c r="H42" s="421" t="s">
        <v>4479</v>
      </c>
      <c r="I42" s="421" t="s">
        <v>4575</v>
      </c>
      <c r="J42" s="423" t="s">
        <v>168</v>
      </c>
    </row>
    <row r="43">
      <c r="A43" s="419" t="s">
        <v>4578</v>
      </c>
      <c r="B43" s="421">
        <v>971.0</v>
      </c>
      <c r="C43" s="421" t="s">
        <v>4579</v>
      </c>
      <c r="D43" s="420">
        <v>0.0</v>
      </c>
      <c r="E43" s="421" t="s">
        <v>4456</v>
      </c>
      <c r="F43" s="421">
        <v>1006.0</v>
      </c>
      <c r="G43" s="421">
        <v>10.0</v>
      </c>
      <c r="H43" s="421" t="s">
        <v>4479</v>
      </c>
      <c r="I43" s="421" t="s">
        <v>4556</v>
      </c>
      <c r="J43" s="423" t="s">
        <v>4572</v>
      </c>
    </row>
    <row r="44">
      <c r="A44" s="419" t="s">
        <v>4580</v>
      </c>
      <c r="B44" s="420">
        <v>0.0</v>
      </c>
      <c r="C44" s="421" t="s">
        <v>4581</v>
      </c>
      <c r="D44" s="421" t="s">
        <v>4582</v>
      </c>
      <c r="E44" s="421" t="s">
        <v>4456</v>
      </c>
      <c r="F44" s="421">
        <v>1007.0</v>
      </c>
      <c r="G44" s="421">
        <v>10.0</v>
      </c>
      <c r="H44" s="421" t="s">
        <v>4479</v>
      </c>
      <c r="I44" s="421" t="s">
        <v>4583</v>
      </c>
      <c r="J44" s="423" t="s">
        <v>251</v>
      </c>
    </row>
    <row r="45">
      <c r="A45" s="419" t="s">
        <v>4584</v>
      </c>
      <c r="B45" s="421" t="s">
        <v>4585</v>
      </c>
      <c r="C45" s="421" t="s">
        <v>4586</v>
      </c>
      <c r="D45" s="421" t="s">
        <v>4587</v>
      </c>
      <c r="E45" s="421" t="s">
        <v>4456</v>
      </c>
      <c r="F45" s="421">
        <v>1008.0</v>
      </c>
      <c r="G45" s="421">
        <v>10.0</v>
      </c>
      <c r="H45" s="421" t="s">
        <v>4457</v>
      </c>
      <c r="I45" s="421" t="s">
        <v>4588</v>
      </c>
      <c r="J45" s="423" t="s">
        <v>4589</v>
      </c>
    </row>
    <row r="46">
      <c r="A46" s="419" t="s">
        <v>4590</v>
      </c>
      <c r="B46" s="421" t="s">
        <v>4591</v>
      </c>
      <c r="C46" s="421" t="s">
        <v>4592</v>
      </c>
      <c r="D46" s="420">
        <v>0.0</v>
      </c>
      <c r="E46" s="421" t="s">
        <v>4456</v>
      </c>
      <c r="F46" s="421">
        <v>1009.0</v>
      </c>
      <c r="G46" s="421">
        <v>10.0</v>
      </c>
      <c r="H46" s="421" t="s">
        <v>4457</v>
      </c>
      <c r="I46" s="421" t="s">
        <v>4593</v>
      </c>
      <c r="J46" s="423" t="s">
        <v>251</v>
      </c>
    </row>
    <row r="47">
      <c r="A47" s="419" t="s">
        <v>4497</v>
      </c>
      <c r="B47" s="420">
        <v>0.0</v>
      </c>
      <c r="C47" s="421" t="s">
        <v>4498</v>
      </c>
      <c r="D47" s="421" t="s">
        <v>4499</v>
      </c>
      <c r="E47" s="421" t="s">
        <v>4456</v>
      </c>
      <c r="F47" s="421">
        <v>1010.0</v>
      </c>
      <c r="G47" s="421">
        <v>10.0</v>
      </c>
      <c r="H47" s="421" t="s">
        <v>4457</v>
      </c>
      <c r="I47" s="421" t="s">
        <v>4500</v>
      </c>
      <c r="J47" s="423" t="s">
        <v>168</v>
      </c>
    </row>
    <row r="48">
      <c r="A48" s="419" t="s">
        <v>4594</v>
      </c>
      <c r="B48" s="421" t="s">
        <v>4595</v>
      </c>
      <c r="C48" s="421" t="s">
        <v>4596</v>
      </c>
      <c r="D48" s="420">
        <v>0.0</v>
      </c>
      <c r="E48" s="421" t="s">
        <v>4456</v>
      </c>
      <c r="F48" s="421">
        <v>1011.0</v>
      </c>
      <c r="G48" s="421">
        <v>10.0</v>
      </c>
      <c r="H48" s="421" t="s">
        <v>4457</v>
      </c>
      <c r="I48" s="421" t="s">
        <v>4597</v>
      </c>
      <c r="J48" s="422"/>
    </row>
    <row r="49">
      <c r="A49" s="419" t="s">
        <v>4598</v>
      </c>
      <c r="B49" s="420">
        <v>0.0</v>
      </c>
      <c r="C49" s="421" t="s">
        <v>4599</v>
      </c>
      <c r="D49" s="420">
        <v>0.0</v>
      </c>
      <c r="E49" s="421" t="s">
        <v>4456</v>
      </c>
      <c r="F49" s="421">
        <v>1102.0</v>
      </c>
      <c r="G49" s="421">
        <v>11.0</v>
      </c>
      <c r="H49" s="421" t="s">
        <v>4479</v>
      </c>
      <c r="I49" s="421" t="s">
        <v>4472</v>
      </c>
      <c r="J49" s="423" t="s">
        <v>979</v>
      </c>
    </row>
    <row r="50">
      <c r="A50" s="419" t="s">
        <v>4600</v>
      </c>
      <c r="B50" s="420">
        <v>0.0</v>
      </c>
      <c r="C50" s="421" t="s">
        <v>4524</v>
      </c>
      <c r="D50" s="420">
        <v>0.0</v>
      </c>
      <c r="E50" s="421" t="s">
        <v>4456</v>
      </c>
      <c r="F50" s="421">
        <v>1104.0</v>
      </c>
      <c r="G50" s="421">
        <v>11.0</v>
      </c>
      <c r="H50" s="421" t="s">
        <v>4479</v>
      </c>
      <c r="I50" s="421" t="s">
        <v>4503</v>
      </c>
      <c r="J50" s="423" t="s">
        <v>4601</v>
      </c>
    </row>
    <row r="51">
      <c r="A51" s="419" t="s">
        <v>4602</v>
      </c>
      <c r="B51" s="421">
        <v>5.04821458E8</v>
      </c>
      <c r="C51" s="421">
        <v>5.04821458E8</v>
      </c>
      <c r="D51" s="420">
        <v>0.0</v>
      </c>
      <c r="E51" s="421" t="s">
        <v>4456</v>
      </c>
      <c r="F51" s="421">
        <v>1105.0</v>
      </c>
      <c r="G51" s="421">
        <v>11.0</v>
      </c>
      <c r="H51" s="421" t="s">
        <v>4479</v>
      </c>
      <c r="I51" s="421" t="s">
        <v>4517</v>
      </c>
      <c r="J51" s="423" t="s">
        <v>4526</v>
      </c>
    </row>
    <row r="52">
      <c r="A52" s="419" t="s">
        <v>4603</v>
      </c>
      <c r="B52" s="420">
        <v>0.0</v>
      </c>
      <c r="C52" s="421">
        <v>5.28747474E8</v>
      </c>
      <c r="D52" s="420">
        <v>0.0</v>
      </c>
      <c r="E52" s="421" t="s">
        <v>4456</v>
      </c>
      <c r="F52" s="421">
        <v>1106.0</v>
      </c>
      <c r="G52" s="421">
        <v>11.0</v>
      </c>
      <c r="H52" s="421" t="s">
        <v>4479</v>
      </c>
      <c r="I52" s="421" t="s">
        <v>4503</v>
      </c>
      <c r="J52" s="422"/>
    </row>
    <row r="53">
      <c r="A53" s="419" t="s">
        <v>4604</v>
      </c>
      <c r="B53" s="420">
        <v>0.0</v>
      </c>
      <c r="C53" s="421">
        <v>5.09980995E8</v>
      </c>
      <c r="D53" s="421" t="s">
        <v>4605</v>
      </c>
      <c r="E53" s="421" t="s">
        <v>4456</v>
      </c>
      <c r="F53" s="421">
        <v>1107.0</v>
      </c>
      <c r="G53" s="421">
        <v>11.0</v>
      </c>
      <c r="H53" s="421" t="s">
        <v>4479</v>
      </c>
      <c r="I53" s="421" t="s">
        <v>4472</v>
      </c>
      <c r="J53" s="422"/>
    </row>
    <row r="54">
      <c r="A54" s="419" t="s">
        <v>4606</v>
      </c>
      <c r="B54" s="421">
        <v>971.0</v>
      </c>
      <c r="C54" s="421" t="s">
        <v>4607</v>
      </c>
      <c r="D54" s="420">
        <v>0.0</v>
      </c>
      <c r="E54" s="421" t="s">
        <v>4456</v>
      </c>
      <c r="F54" s="421">
        <v>1108.0</v>
      </c>
      <c r="G54" s="421">
        <v>11.0</v>
      </c>
      <c r="H54" s="421" t="s">
        <v>4457</v>
      </c>
      <c r="I54" s="421" t="s">
        <v>4503</v>
      </c>
      <c r="J54" s="422"/>
    </row>
    <row r="55">
      <c r="A55" s="419" t="s">
        <v>4608</v>
      </c>
      <c r="B55" s="420">
        <v>0.0</v>
      </c>
      <c r="C55" s="421" t="s">
        <v>4609</v>
      </c>
      <c r="D55" s="421" t="s">
        <v>4610</v>
      </c>
      <c r="E55" s="421" t="s">
        <v>4456</v>
      </c>
      <c r="F55" s="421">
        <v>1208.0</v>
      </c>
      <c r="G55" s="421">
        <v>12.0</v>
      </c>
      <c r="H55" s="421" t="s">
        <v>4457</v>
      </c>
      <c r="I55" s="421" t="s">
        <v>4611</v>
      </c>
      <c r="J55" s="422"/>
    </row>
    <row r="56">
      <c r="A56" s="419" t="s">
        <v>4612</v>
      </c>
      <c r="B56" s="421">
        <v>0.0</v>
      </c>
      <c r="C56" s="421" t="s">
        <v>4613</v>
      </c>
      <c r="D56" s="420">
        <v>0.0</v>
      </c>
      <c r="E56" s="421" t="s">
        <v>4456</v>
      </c>
      <c r="F56" s="421">
        <v>1302.0</v>
      </c>
      <c r="G56" s="421">
        <v>13.0</v>
      </c>
      <c r="H56" s="421" t="s">
        <v>4479</v>
      </c>
      <c r="I56" s="421" t="s">
        <v>4461</v>
      </c>
      <c r="J56" s="422"/>
    </row>
    <row r="57">
      <c r="A57" s="419" t="s">
        <v>4614</v>
      </c>
      <c r="B57" s="421">
        <v>971.0</v>
      </c>
      <c r="C57" s="421" t="s">
        <v>4615</v>
      </c>
      <c r="D57" s="420">
        <v>0.0</v>
      </c>
      <c r="E57" s="421" t="s">
        <v>4456</v>
      </c>
      <c r="F57" s="421">
        <v>1304.0</v>
      </c>
      <c r="G57" s="421">
        <v>13.0</v>
      </c>
      <c r="H57" s="421" t="s">
        <v>4479</v>
      </c>
      <c r="I57" s="421" t="s">
        <v>4500</v>
      </c>
      <c r="J57" s="422"/>
    </row>
    <row r="58">
      <c r="A58" s="419" t="s">
        <v>4616</v>
      </c>
      <c r="B58" s="420">
        <v>0.0</v>
      </c>
      <c r="C58" s="421" t="s">
        <v>4535</v>
      </c>
      <c r="D58" s="420">
        <v>0.0</v>
      </c>
      <c r="E58" s="421" t="s">
        <v>4456</v>
      </c>
      <c r="F58" s="421">
        <v>1305.0</v>
      </c>
      <c r="G58" s="421">
        <v>13.0</v>
      </c>
      <c r="H58" s="421" t="s">
        <v>4479</v>
      </c>
      <c r="I58" s="421" t="s">
        <v>4550</v>
      </c>
      <c r="J58" s="422"/>
    </row>
    <row r="59">
      <c r="A59" s="419" t="s">
        <v>4617</v>
      </c>
      <c r="B59" s="420">
        <v>0.0</v>
      </c>
      <c r="C59" s="421" t="s">
        <v>4618</v>
      </c>
      <c r="D59" s="420">
        <v>0.0</v>
      </c>
      <c r="E59" s="421" t="s">
        <v>4456</v>
      </c>
      <c r="F59" s="421">
        <v>1306.0</v>
      </c>
      <c r="G59" s="421">
        <v>13.0</v>
      </c>
      <c r="H59" s="421" t="s">
        <v>4479</v>
      </c>
      <c r="I59" s="421" t="s">
        <v>4533</v>
      </c>
      <c r="J59" s="422"/>
    </row>
    <row r="60">
      <c r="A60" s="419" t="s">
        <v>4619</v>
      </c>
      <c r="B60" s="421">
        <v>971.0</v>
      </c>
      <c r="C60" s="421">
        <v>3.06976963358E11</v>
      </c>
      <c r="D60" s="420">
        <v>0.0</v>
      </c>
      <c r="E60" s="421" t="s">
        <v>4456</v>
      </c>
      <c r="F60" s="421">
        <v>1307.0</v>
      </c>
      <c r="G60" s="421">
        <v>13.0</v>
      </c>
      <c r="H60" s="421" t="s">
        <v>4479</v>
      </c>
      <c r="I60" s="421" t="s">
        <v>4611</v>
      </c>
      <c r="J60" s="422"/>
    </row>
    <row r="61">
      <c r="A61" s="419" t="s">
        <v>4620</v>
      </c>
      <c r="B61" s="421" t="s">
        <v>4621</v>
      </c>
      <c r="C61" s="421" t="s">
        <v>4622</v>
      </c>
      <c r="D61" s="420">
        <v>0.0</v>
      </c>
      <c r="E61" s="421" t="s">
        <v>4456</v>
      </c>
      <c r="F61" s="421">
        <v>1308.0</v>
      </c>
      <c r="G61" s="421">
        <v>13.0</v>
      </c>
      <c r="H61" s="421" t="s">
        <v>4457</v>
      </c>
      <c r="I61" s="421" t="s">
        <v>4503</v>
      </c>
      <c r="J61" s="422"/>
    </row>
    <row r="62">
      <c r="A62" s="419" t="s">
        <v>4623</v>
      </c>
      <c r="B62" s="420">
        <v>0.0</v>
      </c>
      <c r="C62" s="421" t="s">
        <v>4624</v>
      </c>
      <c r="D62" s="420">
        <v>0.0</v>
      </c>
      <c r="E62" s="421" t="s">
        <v>4456</v>
      </c>
      <c r="F62" s="421">
        <v>1309.0</v>
      </c>
      <c r="G62" s="421">
        <v>13.0</v>
      </c>
      <c r="H62" s="421" t="s">
        <v>4457</v>
      </c>
      <c r="I62" s="421" t="s">
        <v>4550</v>
      </c>
      <c r="J62" s="422"/>
    </row>
    <row r="63">
      <c r="A63" s="419" t="s">
        <v>4625</v>
      </c>
      <c r="B63" s="421">
        <v>971.0</v>
      </c>
      <c r="C63" s="421">
        <v>4.47803041461E11</v>
      </c>
      <c r="D63" s="420">
        <v>0.0</v>
      </c>
      <c r="E63" s="421" t="s">
        <v>4456</v>
      </c>
      <c r="F63" s="421">
        <v>1310.0</v>
      </c>
      <c r="G63" s="421">
        <v>13.0</v>
      </c>
      <c r="H63" s="421" t="s">
        <v>4457</v>
      </c>
      <c r="I63" s="421" t="s">
        <v>4626</v>
      </c>
      <c r="J63" s="422"/>
    </row>
    <row r="64">
      <c r="A64" s="419" t="s">
        <v>4627</v>
      </c>
      <c r="B64" s="421" t="s">
        <v>4628</v>
      </c>
      <c r="C64" s="421" t="s">
        <v>4629</v>
      </c>
      <c r="D64" s="421" t="s">
        <v>4630</v>
      </c>
      <c r="E64" s="421" t="s">
        <v>4456</v>
      </c>
      <c r="F64" s="421">
        <v>1311.0</v>
      </c>
      <c r="G64" s="421">
        <v>13.0</v>
      </c>
      <c r="H64" s="421" t="s">
        <v>4457</v>
      </c>
      <c r="I64" s="421" t="s">
        <v>4631</v>
      </c>
      <c r="J64" s="422"/>
    </row>
    <row r="65">
      <c r="A65" s="419" t="s">
        <v>4632</v>
      </c>
      <c r="B65" s="420">
        <v>0.0</v>
      </c>
      <c r="C65" s="421" t="s">
        <v>4633</v>
      </c>
      <c r="D65" s="420">
        <v>0.0</v>
      </c>
      <c r="E65" s="421" t="s">
        <v>4456</v>
      </c>
      <c r="F65" s="421">
        <v>1602.0</v>
      </c>
      <c r="G65" s="421">
        <v>16.0</v>
      </c>
      <c r="H65" s="421" t="s">
        <v>4457</v>
      </c>
      <c r="I65" s="421" t="s">
        <v>4503</v>
      </c>
      <c r="J65" s="422"/>
    </row>
    <row r="66">
      <c r="A66" s="419" t="s">
        <v>4634</v>
      </c>
      <c r="B66" s="421">
        <v>5.66050429E8</v>
      </c>
      <c r="C66" s="421" t="s">
        <v>4635</v>
      </c>
      <c r="D66" s="420">
        <v>0.0</v>
      </c>
      <c r="E66" s="421" t="s">
        <v>4456</v>
      </c>
      <c r="F66" s="421">
        <v>1605.0</v>
      </c>
      <c r="G66" s="421">
        <v>16.0</v>
      </c>
      <c r="H66" s="421" t="s">
        <v>4479</v>
      </c>
      <c r="I66" s="421" t="s">
        <v>4550</v>
      </c>
      <c r="J66" s="422"/>
    </row>
    <row r="67">
      <c r="A67" s="419" t="s">
        <v>4534</v>
      </c>
      <c r="B67" s="420">
        <v>0.0</v>
      </c>
      <c r="C67" s="421" t="s">
        <v>4535</v>
      </c>
      <c r="D67" s="421" t="s">
        <v>4536</v>
      </c>
      <c r="E67" s="421" t="s">
        <v>4456</v>
      </c>
      <c r="F67" s="421">
        <v>1606.0</v>
      </c>
      <c r="G67" s="421">
        <v>16.0</v>
      </c>
      <c r="H67" s="421" t="s">
        <v>4479</v>
      </c>
      <c r="I67" s="421" t="s">
        <v>4537</v>
      </c>
      <c r="J67" s="422"/>
    </row>
    <row r="68">
      <c r="A68" s="419" t="s">
        <v>4636</v>
      </c>
      <c r="B68" s="421">
        <v>971.0</v>
      </c>
      <c r="C68" s="421" t="s">
        <v>4637</v>
      </c>
      <c r="D68" s="420">
        <v>0.0</v>
      </c>
      <c r="E68" s="421" t="s">
        <v>4456</v>
      </c>
      <c r="F68" s="421">
        <v>1607.0</v>
      </c>
      <c r="G68" s="421">
        <v>16.0</v>
      </c>
      <c r="H68" s="421" t="s">
        <v>4457</v>
      </c>
      <c r="I68" s="421" t="s">
        <v>4542</v>
      </c>
      <c r="J68" s="422"/>
    </row>
    <row r="69">
      <c r="A69" s="419" t="s">
        <v>4638</v>
      </c>
      <c r="B69" s="421" t="s">
        <v>4639</v>
      </c>
      <c r="C69" s="421" t="s">
        <v>4640</v>
      </c>
      <c r="D69" s="420">
        <v>0.0</v>
      </c>
      <c r="E69" s="421" t="s">
        <v>4456</v>
      </c>
      <c r="F69" s="421">
        <v>1608.0</v>
      </c>
      <c r="G69" s="421">
        <v>16.0</v>
      </c>
      <c r="H69" s="421" t="s">
        <v>4641</v>
      </c>
      <c r="I69" s="421" t="s">
        <v>4642</v>
      </c>
      <c r="J69" s="422"/>
    </row>
    <row r="70">
      <c r="A70" s="419" t="s">
        <v>4643</v>
      </c>
      <c r="B70" s="420">
        <v>0.0</v>
      </c>
      <c r="C70" s="420">
        <v>0.0</v>
      </c>
      <c r="D70" s="421" t="s">
        <v>4644</v>
      </c>
      <c r="E70" s="421" t="s">
        <v>4456</v>
      </c>
      <c r="F70" s="421">
        <v>1706.0</v>
      </c>
      <c r="G70" s="421">
        <v>17.0</v>
      </c>
      <c r="H70" s="421" t="s">
        <v>4479</v>
      </c>
      <c r="I70" s="421" t="s">
        <v>4472</v>
      </c>
      <c r="J70" s="422"/>
    </row>
    <row r="71">
      <c r="A71" s="419" t="s">
        <v>4645</v>
      </c>
      <c r="B71" s="421" t="s">
        <v>4646</v>
      </c>
      <c r="C71" s="421" t="s">
        <v>4647</v>
      </c>
      <c r="D71" s="420">
        <v>0.0</v>
      </c>
      <c r="E71" s="421" t="s">
        <v>4456</v>
      </c>
      <c r="F71" s="421">
        <v>1802.0</v>
      </c>
      <c r="G71" s="421">
        <v>18.0</v>
      </c>
      <c r="H71" s="421" t="s">
        <v>4457</v>
      </c>
      <c r="I71" s="421" t="s">
        <v>4648</v>
      </c>
      <c r="J71" s="422"/>
    </row>
    <row r="72">
      <c r="A72" s="419" t="s">
        <v>4649</v>
      </c>
      <c r="B72" s="420">
        <v>0.0</v>
      </c>
      <c r="C72" s="420">
        <v>0.0</v>
      </c>
      <c r="D72" s="421" t="s">
        <v>4650</v>
      </c>
      <c r="E72" s="421" t="s">
        <v>4456</v>
      </c>
      <c r="F72" s="421">
        <v>1803.0</v>
      </c>
      <c r="G72" s="421">
        <v>18.0</v>
      </c>
      <c r="H72" s="421" t="s">
        <v>4457</v>
      </c>
      <c r="I72" s="421" t="s">
        <v>4550</v>
      </c>
      <c r="J72" s="422"/>
    </row>
    <row r="73">
      <c r="A73" s="419" t="s">
        <v>4651</v>
      </c>
      <c r="B73" s="420">
        <v>0.0</v>
      </c>
      <c r="C73" s="421" t="s">
        <v>4652</v>
      </c>
      <c r="D73" s="421" t="s">
        <v>4653</v>
      </c>
      <c r="E73" s="421" t="s">
        <v>4456</v>
      </c>
      <c r="F73" s="421">
        <v>1805.0</v>
      </c>
      <c r="G73" s="421">
        <v>18.0</v>
      </c>
      <c r="H73" s="421" t="s">
        <v>4479</v>
      </c>
      <c r="I73" s="421" t="s">
        <v>4514</v>
      </c>
      <c r="J73" s="422"/>
    </row>
    <row r="74">
      <c r="A74" s="419" t="s">
        <v>4654</v>
      </c>
      <c r="B74" s="420">
        <v>0.0</v>
      </c>
      <c r="C74" s="420">
        <v>0.0</v>
      </c>
      <c r="D74" s="421" t="s">
        <v>4655</v>
      </c>
      <c r="E74" s="421" t="s">
        <v>4456</v>
      </c>
      <c r="F74" s="421">
        <v>1806.0</v>
      </c>
      <c r="G74" s="421">
        <v>18.0</v>
      </c>
      <c r="H74" s="421" t="s">
        <v>4479</v>
      </c>
      <c r="I74" s="421" t="s">
        <v>4503</v>
      </c>
      <c r="J74" s="422"/>
    </row>
    <row r="75">
      <c r="A75" s="419" t="s">
        <v>4656</v>
      </c>
      <c r="B75" s="421">
        <v>9.23008222055E11</v>
      </c>
      <c r="C75" s="421">
        <v>9.71561451661E11</v>
      </c>
      <c r="D75" s="420">
        <v>0.0</v>
      </c>
      <c r="E75" s="421" t="s">
        <v>4456</v>
      </c>
      <c r="F75" s="421">
        <v>1808.0</v>
      </c>
      <c r="G75" s="421">
        <v>18.0</v>
      </c>
      <c r="H75" s="421" t="s">
        <v>4641</v>
      </c>
      <c r="I75" s="421" t="s">
        <v>4517</v>
      </c>
      <c r="J75" s="422"/>
    </row>
    <row r="76">
      <c r="A76" s="419" t="s">
        <v>4657</v>
      </c>
      <c r="B76" s="420">
        <v>0.0</v>
      </c>
      <c r="C76" s="421" t="s">
        <v>4658</v>
      </c>
      <c r="D76" s="421" t="s">
        <v>4659</v>
      </c>
      <c r="E76" s="421" t="s">
        <v>4456</v>
      </c>
      <c r="F76" s="421">
        <v>1905.0</v>
      </c>
      <c r="G76" s="421">
        <v>19.0</v>
      </c>
      <c r="H76" s="421" t="s">
        <v>4479</v>
      </c>
      <c r="I76" s="421" t="s">
        <v>4660</v>
      </c>
      <c r="J76" s="422"/>
    </row>
    <row r="77">
      <c r="A77" s="419" t="s">
        <v>4661</v>
      </c>
      <c r="B77" s="421">
        <v>971.0</v>
      </c>
      <c r="C77" s="421">
        <v>9.66503930341E11</v>
      </c>
      <c r="D77" s="420">
        <v>0.0</v>
      </c>
      <c r="E77" s="421" t="s">
        <v>4456</v>
      </c>
      <c r="F77" s="421">
        <v>2002.0</v>
      </c>
      <c r="G77" s="421">
        <v>20.0</v>
      </c>
      <c r="H77" s="421" t="s">
        <v>4457</v>
      </c>
      <c r="I77" s="421" t="s">
        <v>4533</v>
      </c>
      <c r="J77" s="422"/>
    </row>
    <row r="78">
      <c r="A78" s="419" t="s">
        <v>4662</v>
      </c>
      <c r="B78" s="421" t="s">
        <v>4663</v>
      </c>
      <c r="C78" s="421" t="s">
        <v>4664</v>
      </c>
      <c r="D78" s="421" t="s">
        <v>4665</v>
      </c>
      <c r="E78" s="421" t="s">
        <v>4456</v>
      </c>
      <c r="F78" s="421">
        <v>2003.0</v>
      </c>
      <c r="G78" s="421">
        <v>20.0</v>
      </c>
      <c r="H78" s="421" t="s">
        <v>4457</v>
      </c>
      <c r="I78" s="421" t="s">
        <v>4666</v>
      </c>
      <c r="J78" s="422"/>
    </row>
    <row r="79">
      <c r="A79" s="419" t="s">
        <v>4667</v>
      </c>
      <c r="B79" s="421">
        <v>971.0</v>
      </c>
      <c r="C79" s="421">
        <v>971.0</v>
      </c>
      <c r="D79" s="421" t="s">
        <v>4668</v>
      </c>
      <c r="E79" s="421" t="s">
        <v>4456</v>
      </c>
      <c r="F79" s="421">
        <v>2005.0</v>
      </c>
      <c r="G79" s="421">
        <v>20.0</v>
      </c>
      <c r="H79" s="421" t="s">
        <v>4479</v>
      </c>
      <c r="I79" s="421" t="s">
        <v>4503</v>
      </c>
      <c r="J79" s="422"/>
    </row>
    <row r="80">
      <c r="A80" s="419" t="s">
        <v>4669</v>
      </c>
      <c r="B80" s="420">
        <v>0.0</v>
      </c>
      <c r="C80" s="421">
        <v>9665502.0</v>
      </c>
      <c r="D80" s="420">
        <v>0.0</v>
      </c>
      <c r="E80" s="421" t="s">
        <v>4456</v>
      </c>
      <c r="F80" s="421">
        <v>2006.0</v>
      </c>
      <c r="G80" s="421">
        <v>20.0</v>
      </c>
      <c r="H80" s="421" t="s">
        <v>4479</v>
      </c>
      <c r="I80" s="421" t="s">
        <v>4670</v>
      </c>
      <c r="J80" s="422"/>
    </row>
    <row r="81">
      <c r="A81" s="419" t="s">
        <v>4671</v>
      </c>
      <c r="B81" s="421">
        <v>971.0</v>
      </c>
      <c r="C81" s="421">
        <v>971.0</v>
      </c>
      <c r="D81" s="420">
        <v>0.0</v>
      </c>
      <c r="E81" s="421" t="s">
        <v>4456</v>
      </c>
      <c r="F81" s="421">
        <v>2007.0</v>
      </c>
      <c r="G81" s="421">
        <v>20.0</v>
      </c>
      <c r="H81" s="421" t="s">
        <v>4457</v>
      </c>
      <c r="I81" s="421" t="s">
        <v>4472</v>
      </c>
      <c r="J81" s="422"/>
    </row>
    <row r="82">
      <c r="A82" s="419" t="s">
        <v>4672</v>
      </c>
      <c r="B82" s="421">
        <v>971.0</v>
      </c>
      <c r="C82" s="421" t="s">
        <v>4673</v>
      </c>
      <c r="D82" s="420">
        <v>0.0</v>
      </c>
      <c r="E82" s="421" t="s">
        <v>4456</v>
      </c>
      <c r="F82" s="421">
        <v>2102.0</v>
      </c>
      <c r="G82" s="421">
        <v>21.0</v>
      </c>
      <c r="H82" s="421" t="s">
        <v>4457</v>
      </c>
      <c r="I82" s="421" t="s">
        <v>4514</v>
      </c>
      <c r="J82" s="422"/>
    </row>
    <row r="83">
      <c r="A83" s="419" t="s">
        <v>4674</v>
      </c>
      <c r="B83" s="421">
        <v>971.0</v>
      </c>
      <c r="C83" s="421" t="s">
        <v>4675</v>
      </c>
      <c r="D83" s="421" t="s">
        <v>4676</v>
      </c>
      <c r="E83" s="421" t="s">
        <v>4456</v>
      </c>
      <c r="F83" s="421">
        <v>2103.0</v>
      </c>
      <c r="G83" s="421">
        <v>21.0</v>
      </c>
      <c r="H83" s="421" t="s">
        <v>4457</v>
      </c>
      <c r="I83" s="421" t="s">
        <v>4503</v>
      </c>
      <c r="J83" s="422"/>
    </row>
    <row r="84">
      <c r="A84" s="419" t="s">
        <v>4677</v>
      </c>
      <c r="B84" s="421" t="s">
        <v>4678</v>
      </c>
      <c r="C84" s="421" t="s">
        <v>4679</v>
      </c>
      <c r="D84" s="420">
        <v>0.0</v>
      </c>
      <c r="E84" s="421" t="s">
        <v>4456</v>
      </c>
      <c r="F84" s="421">
        <v>2105.0</v>
      </c>
      <c r="G84" s="421">
        <v>21.0</v>
      </c>
      <c r="H84" s="421" t="s">
        <v>4479</v>
      </c>
      <c r="I84" s="421" t="s">
        <v>4660</v>
      </c>
      <c r="J84" s="422"/>
    </row>
    <row r="85">
      <c r="A85" s="419" t="s">
        <v>4680</v>
      </c>
      <c r="B85" s="420">
        <v>0.0</v>
      </c>
      <c r="C85" s="421" t="s">
        <v>4681</v>
      </c>
      <c r="D85" s="420">
        <v>0.0</v>
      </c>
      <c r="E85" s="421" t="s">
        <v>4456</v>
      </c>
      <c r="F85" s="421">
        <v>2106.0</v>
      </c>
      <c r="G85" s="421">
        <v>21.0</v>
      </c>
      <c r="H85" s="421" t="s">
        <v>4479</v>
      </c>
      <c r="I85" s="421" t="s">
        <v>4575</v>
      </c>
      <c r="J85" s="422"/>
    </row>
    <row r="86">
      <c r="A86" s="419" t="s">
        <v>4682</v>
      </c>
      <c r="B86" s="420">
        <v>0.0</v>
      </c>
      <c r="C86" s="421" t="s">
        <v>4683</v>
      </c>
      <c r="D86" s="420">
        <v>0.0</v>
      </c>
      <c r="E86" s="421" t="s">
        <v>4456</v>
      </c>
      <c r="F86" s="421">
        <v>2108.0</v>
      </c>
      <c r="G86" s="421">
        <v>21.0</v>
      </c>
      <c r="H86" s="421" t="s">
        <v>4641</v>
      </c>
      <c r="I86" s="421" t="s">
        <v>4642</v>
      </c>
      <c r="J86" s="422"/>
    </row>
    <row r="87">
      <c r="A87" s="419" t="s">
        <v>4632</v>
      </c>
      <c r="B87" s="420">
        <v>0.0</v>
      </c>
      <c r="C87" s="421" t="s">
        <v>4633</v>
      </c>
      <c r="D87" s="420">
        <v>0.0</v>
      </c>
      <c r="E87" s="421" t="s">
        <v>4456</v>
      </c>
      <c r="F87" s="421">
        <v>2109.0</v>
      </c>
      <c r="G87" s="421">
        <v>21.0</v>
      </c>
      <c r="H87" s="421" t="s">
        <v>4641</v>
      </c>
      <c r="I87" s="421" t="s">
        <v>4503</v>
      </c>
      <c r="J87" s="422"/>
    </row>
    <row r="88">
      <c r="A88" s="419" t="s">
        <v>4684</v>
      </c>
      <c r="B88" s="420">
        <v>0.0</v>
      </c>
      <c r="C88" s="420">
        <v>0.0</v>
      </c>
      <c r="D88" s="421" t="s">
        <v>4685</v>
      </c>
      <c r="E88" s="421" t="s">
        <v>4456</v>
      </c>
      <c r="F88" s="421">
        <v>2203.0</v>
      </c>
      <c r="G88" s="421">
        <v>22.0</v>
      </c>
      <c r="H88" s="421" t="s">
        <v>4457</v>
      </c>
      <c r="I88" s="421" t="s">
        <v>4550</v>
      </c>
      <c r="J88" s="422"/>
    </row>
    <row r="89">
      <c r="A89" s="419" t="s">
        <v>4686</v>
      </c>
      <c r="B89" s="420">
        <v>0.0</v>
      </c>
      <c r="C89" s="420">
        <v>0.0</v>
      </c>
      <c r="D89" s="420">
        <v>0.0</v>
      </c>
      <c r="E89" s="421" t="s">
        <v>4456</v>
      </c>
      <c r="F89" s="421">
        <v>2204.0</v>
      </c>
      <c r="G89" s="421">
        <v>22.0</v>
      </c>
      <c r="H89" s="421" t="s">
        <v>4457</v>
      </c>
      <c r="I89" s="421" t="s">
        <v>4642</v>
      </c>
      <c r="J89" s="422"/>
    </row>
    <row r="90">
      <c r="A90" s="419" t="s">
        <v>4687</v>
      </c>
      <c r="B90" s="420">
        <v>0.0</v>
      </c>
      <c r="C90" s="420">
        <v>0.0</v>
      </c>
      <c r="D90" s="421" t="s">
        <v>4688</v>
      </c>
      <c r="E90" s="421" t="s">
        <v>4456</v>
      </c>
      <c r="F90" s="421">
        <v>2205.0</v>
      </c>
      <c r="G90" s="421">
        <v>22.0</v>
      </c>
      <c r="H90" s="421" t="s">
        <v>4479</v>
      </c>
      <c r="I90" s="421" t="s">
        <v>4631</v>
      </c>
      <c r="J90" s="422"/>
    </row>
    <row r="91">
      <c r="A91" s="419" t="s">
        <v>4689</v>
      </c>
      <c r="B91" s="420">
        <v>0.0</v>
      </c>
      <c r="C91" s="421" t="s">
        <v>4690</v>
      </c>
      <c r="D91" s="421" t="s">
        <v>4691</v>
      </c>
      <c r="E91" s="421" t="s">
        <v>4456</v>
      </c>
      <c r="F91" s="421">
        <v>2206.0</v>
      </c>
      <c r="G91" s="421">
        <v>22.0</v>
      </c>
      <c r="H91" s="421" t="s">
        <v>4479</v>
      </c>
      <c r="I91" s="421" t="s">
        <v>4597</v>
      </c>
      <c r="J91" s="422"/>
    </row>
    <row r="92">
      <c r="A92" s="419" t="s">
        <v>4692</v>
      </c>
      <c r="B92" s="420">
        <v>0.0</v>
      </c>
      <c r="C92" s="421" t="s">
        <v>4693</v>
      </c>
      <c r="D92" s="421" t="s">
        <v>4694</v>
      </c>
      <c r="E92" s="421" t="s">
        <v>4456</v>
      </c>
      <c r="F92" s="421">
        <v>2303.0</v>
      </c>
      <c r="G92" s="421">
        <v>23.0</v>
      </c>
      <c r="H92" s="421" t="s">
        <v>4457</v>
      </c>
      <c r="I92" s="421" t="s">
        <v>4472</v>
      </c>
      <c r="J92" s="422"/>
    </row>
    <row r="93">
      <c r="A93" s="419" t="s">
        <v>4695</v>
      </c>
      <c r="B93" s="420">
        <v>0.0</v>
      </c>
      <c r="C93" s="421" t="s">
        <v>4696</v>
      </c>
      <c r="D93" s="420">
        <v>0.0</v>
      </c>
      <c r="E93" s="421" t="s">
        <v>4456</v>
      </c>
      <c r="F93" s="421">
        <v>2305.0</v>
      </c>
      <c r="G93" s="421">
        <v>23.0</v>
      </c>
      <c r="H93" s="421" t="s">
        <v>4479</v>
      </c>
      <c r="I93" s="421" t="s">
        <v>4503</v>
      </c>
      <c r="J93" s="422"/>
    </row>
    <row r="94">
      <c r="A94" s="419" t="s">
        <v>4697</v>
      </c>
      <c r="B94" s="420">
        <v>0.0</v>
      </c>
      <c r="C94" s="421" t="s">
        <v>4698</v>
      </c>
      <c r="D94" s="420">
        <v>0.0</v>
      </c>
      <c r="E94" s="421" t="s">
        <v>4456</v>
      </c>
      <c r="F94" s="421">
        <v>2306.0</v>
      </c>
      <c r="G94" s="421">
        <v>23.0</v>
      </c>
      <c r="H94" s="421" t="s">
        <v>4479</v>
      </c>
      <c r="I94" s="421" t="s">
        <v>4699</v>
      </c>
      <c r="J94" s="422"/>
    </row>
    <row r="95">
      <c r="A95" s="419" t="s">
        <v>4700</v>
      </c>
      <c r="B95" s="420">
        <v>0.0</v>
      </c>
      <c r="C95" s="421" t="s">
        <v>4701</v>
      </c>
      <c r="D95" s="420">
        <v>0.0</v>
      </c>
      <c r="E95" s="421" t="s">
        <v>4456</v>
      </c>
      <c r="F95" s="421">
        <v>2307.0</v>
      </c>
      <c r="G95" s="421">
        <v>23.0</v>
      </c>
      <c r="H95" s="421" t="s">
        <v>4457</v>
      </c>
      <c r="I95" s="421" t="s">
        <v>4642</v>
      </c>
      <c r="J95" s="422"/>
    </row>
    <row r="96">
      <c r="A96" s="419" t="s">
        <v>4702</v>
      </c>
      <c r="B96" s="421" t="s">
        <v>4703</v>
      </c>
      <c r="C96" s="421" t="s">
        <v>4704</v>
      </c>
      <c r="D96" s="421" t="s">
        <v>4705</v>
      </c>
      <c r="E96" s="421" t="s">
        <v>4456</v>
      </c>
      <c r="F96" s="421">
        <v>2308.0</v>
      </c>
      <c r="G96" s="421">
        <v>23.0</v>
      </c>
      <c r="H96" s="421" t="s">
        <v>4641</v>
      </c>
      <c r="I96" s="421" t="s">
        <v>4500</v>
      </c>
      <c r="J96" s="422"/>
    </row>
    <row r="97">
      <c r="A97" s="419" t="s">
        <v>4706</v>
      </c>
      <c r="B97" s="420">
        <v>0.0</v>
      </c>
      <c r="C97" s="420">
        <v>0.0</v>
      </c>
      <c r="D97" s="421" t="s">
        <v>4707</v>
      </c>
      <c r="E97" s="421" t="s">
        <v>4456</v>
      </c>
      <c r="F97" s="421">
        <v>2405.0</v>
      </c>
      <c r="G97" s="421">
        <v>24.0</v>
      </c>
      <c r="H97" s="421" t="s">
        <v>4479</v>
      </c>
      <c r="I97" s="421" t="s">
        <v>4550</v>
      </c>
      <c r="J97" s="422"/>
    </row>
    <row r="98">
      <c r="A98" s="419" t="s">
        <v>4708</v>
      </c>
      <c r="B98" s="421">
        <v>5.06283504E8</v>
      </c>
      <c r="C98" s="421" t="s">
        <v>4709</v>
      </c>
      <c r="D98" s="420">
        <v>0.0</v>
      </c>
      <c r="E98" s="421" t="s">
        <v>4456</v>
      </c>
      <c r="F98" s="421">
        <v>2407.0</v>
      </c>
      <c r="G98" s="421">
        <v>24.0</v>
      </c>
      <c r="H98" s="421" t="s">
        <v>4457</v>
      </c>
      <c r="I98" s="421" t="s">
        <v>4710</v>
      </c>
      <c r="J98" s="422"/>
    </row>
    <row r="99">
      <c r="A99" s="419" t="s">
        <v>4619</v>
      </c>
      <c r="B99" s="421">
        <v>971.0</v>
      </c>
      <c r="C99" s="421">
        <v>3.06976963358E11</v>
      </c>
      <c r="D99" s="420">
        <v>0.0</v>
      </c>
      <c r="E99" s="421" t="s">
        <v>4456</v>
      </c>
      <c r="F99" s="421">
        <v>2502.0</v>
      </c>
      <c r="G99" s="421">
        <v>25.0</v>
      </c>
      <c r="H99" s="421" t="s">
        <v>4457</v>
      </c>
      <c r="I99" s="421" t="s">
        <v>4611</v>
      </c>
      <c r="J99" s="422"/>
    </row>
    <row r="100">
      <c r="A100" s="419" t="s">
        <v>4711</v>
      </c>
      <c r="B100" s="420">
        <v>0.0</v>
      </c>
      <c r="C100" s="421" t="s">
        <v>4712</v>
      </c>
      <c r="D100" s="421" t="s">
        <v>4713</v>
      </c>
      <c r="E100" s="421" t="s">
        <v>4456</v>
      </c>
      <c r="F100" s="421">
        <v>2505.0</v>
      </c>
      <c r="G100" s="421">
        <v>25.0</v>
      </c>
      <c r="H100" s="421" t="s">
        <v>4479</v>
      </c>
      <c r="I100" s="421" t="s">
        <v>4542</v>
      </c>
      <c r="J100" s="422"/>
    </row>
    <row r="101">
      <c r="A101" s="419" t="s">
        <v>4580</v>
      </c>
      <c r="B101" s="420">
        <v>0.0</v>
      </c>
      <c r="C101" s="421" t="s">
        <v>4581</v>
      </c>
      <c r="D101" s="421" t="s">
        <v>4582</v>
      </c>
      <c r="E101" s="421" t="s">
        <v>4456</v>
      </c>
      <c r="F101" s="421">
        <v>2506.0</v>
      </c>
      <c r="G101" s="421">
        <v>25.0</v>
      </c>
      <c r="H101" s="421" t="s">
        <v>4479</v>
      </c>
      <c r="I101" s="421" t="s">
        <v>4583</v>
      </c>
      <c r="J101" s="422"/>
    </row>
    <row r="102">
      <c r="A102" s="419" t="s">
        <v>4662</v>
      </c>
      <c r="B102" s="421" t="s">
        <v>4663</v>
      </c>
      <c r="C102" s="421" t="s">
        <v>4664</v>
      </c>
      <c r="D102" s="421" t="s">
        <v>4665</v>
      </c>
      <c r="E102" s="421" t="s">
        <v>4456</v>
      </c>
      <c r="F102" s="421">
        <v>2507.0</v>
      </c>
      <c r="G102" s="421">
        <v>25.0</v>
      </c>
      <c r="H102" s="421" t="s">
        <v>4457</v>
      </c>
      <c r="I102" s="421" t="s">
        <v>4666</v>
      </c>
      <c r="J102" s="422"/>
    </row>
    <row r="103">
      <c r="A103" s="419" t="s">
        <v>4714</v>
      </c>
      <c r="B103" s="420">
        <v>0.0</v>
      </c>
      <c r="C103" s="421" t="s">
        <v>4715</v>
      </c>
      <c r="D103" s="421" t="s">
        <v>4716</v>
      </c>
      <c r="E103" s="421" t="s">
        <v>4456</v>
      </c>
      <c r="F103" s="421">
        <v>2508.0</v>
      </c>
      <c r="G103" s="421">
        <v>25.0</v>
      </c>
      <c r="H103" s="421" t="s">
        <v>4641</v>
      </c>
      <c r="I103" s="421" t="s">
        <v>4542</v>
      </c>
      <c r="J103" s="422"/>
    </row>
    <row r="104">
      <c r="A104" s="419" t="s">
        <v>4717</v>
      </c>
      <c r="B104" s="420">
        <v>0.0</v>
      </c>
      <c r="C104" s="421" t="s">
        <v>4718</v>
      </c>
      <c r="D104" s="420">
        <v>0.0</v>
      </c>
      <c r="E104" s="421" t="s">
        <v>4456</v>
      </c>
      <c r="F104" s="421">
        <v>2509.0</v>
      </c>
      <c r="G104" s="421">
        <v>25.0</v>
      </c>
      <c r="H104" s="421" t="s">
        <v>4641</v>
      </c>
      <c r="I104" s="421" t="s">
        <v>4472</v>
      </c>
      <c r="J104" s="422"/>
    </row>
    <row r="105">
      <c r="A105" s="419" t="s">
        <v>4719</v>
      </c>
      <c r="B105" s="420">
        <v>0.0</v>
      </c>
      <c r="C105" s="420">
        <v>0.0</v>
      </c>
      <c r="D105" s="420">
        <v>0.0</v>
      </c>
      <c r="E105" s="421" t="s">
        <v>4456</v>
      </c>
      <c r="F105" s="421">
        <v>3002.0</v>
      </c>
      <c r="G105" s="421">
        <v>30.0</v>
      </c>
      <c r="H105" s="421" t="s">
        <v>4457</v>
      </c>
      <c r="I105" s="421" t="s">
        <v>4525</v>
      </c>
      <c r="J105" s="422"/>
    </row>
    <row r="106">
      <c r="A106" s="419" t="s">
        <v>4720</v>
      </c>
      <c r="B106" s="421" t="s">
        <v>4721</v>
      </c>
      <c r="C106" s="421" t="s">
        <v>4722</v>
      </c>
      <c r="D106" s="420">
        <v>0.0</v>
      </c>
      <c r="E106" s="421" t="s">
        <v>4456</v>
      </c>
      <c r="F106" s="421">
        <v>3003.0</v>
      </c>
      <c r="G106" s="421">
        <v>30.0</v>
      </c>
      <c r="H106" s="421" t="s">
        <v>4457</v>
      </c>
      <c r="I106" s="421" t="s">
        <v>4461</v>
      </c>
      <c r="J106" s="422"/>
    </row>
    <row r="107">
      <c r="A107" s="419" t="s">
        <v>4723</v>
      </c>
      <c r="B107" s="421">
        <v>971.0</v>
      </c>
      <c r="C107" s="421" t="s">
        <v>4724</v>
      </c>
      <c r="D107" s="421" t="s">
        <v>4725</v>
      </c>
      <c r="E107" s="421" t="s">
        <v>4456</v>
      </c>
      <c r="F107" s="421">
        <v>3005.0</v>
      </c>
      <c r="G107" s="421">
        <v>30.0</v>
      </c>
      <c r="H107" s="421" t="s">
        <v>4479</v>
      </c>
      <c r="I107" s="421" t="s">
        <v>4726</v>
      </c>
      <c r="J107" s="422"/>
    </row>
    <row r="108">
      <c r="A108" s="419" t="s">
        <v>4727</v>
      </c>
      <c r="B108" s="420">
        <v>0.0</v>
      </c>
      <c r="C108" s="421" t="s">
        <v>4728</v>
      </c>
      <c r="D108" s="420">
        <v>0.0</v>
      </c>
      <c r="E108" s="421" t="s">
        <v>4456</v>
      </c>
      <c r="F108" s="421">
        <v>3006.0</v>
      </c>
      <c r="G108" s="421">
        <v>30.0</v>
      </c>
      <c r="H108" s="421" t="s">
        <v>4479</v>
      </c>
      <c r="I108" s="421" t="s">
        <v>4631</v>
      </c>
      <c r="J108" s="422"/>
    </row>
    <row r="109">
      <c r="A109" s="419" t="s">
        <v>4729</v>
      </c>
      <c r="B109" s="420">
        <v>0.0</v>
      </c>
      <c r="C109" s="421" t="s">
        <v>4730</v>
      </c>
      <c r="D109" s="420">
        <v>0.0</v>
      </c>
      <c r="E109" s="421" t="s">
        <v>4456</v>
      </c>
      <c r="F109" s="421">
        <v>3007.0</v>
      </c>
      <c r="G109" s="421">
        <v>30.0</v>
      </c>
      <c r="H109" s="421" t="s">
        <v>4457</v>
      </c>
      <c r="I109" s="421" t="s">
        <v>4631</v>
      </c>
      <c r="J109" s="422"/>
    </row>
    <row r="110">
      <c r="A110" s="419" t="s">
        <v>4731</v>
      </c>
      <c r="B110" s="420">
        <v>0.0</v>
      </c>
      <c r="C110" s="420">
        <v>0.0</v>
      </c>
      <c r="D110" s="421" t="s">
        <v>4732</v>
      </c>
      <c r="E110" s="421" t="s">
        <v>4456</v>
      </c>
      <c r="F110" s="421">
        <v>3205.0</v>
      </c>
      <c r="G110" s="421">
        <v>32.0</v>
      </c>
      <c r="H110" s="421" t="s">
        <v>4479</v>
      </c>
      <c r="I110" s="421" t="s">
        <v>4517</v>
      </c>
      <c r="J110" s="422"/>
    </row>
    <row r="111">
      <c r="A111" s="419" t="s">
        <v>4733</v>
      </c>
      <c r="B111" s="421" t="s">
        <v>4734</v>
      </c>
      <c r="C111" s="421" t="s">
        <v>4735</v>
      </c>
      <c r="D111" s="420">
        <v>0.0</v>
      </c>
      <c r="E111" s="421" t="s">
        <v>4456</v>
      </c>
      <c r="F111" s="421">
        <v>3207.0</v>
      </c>
      <c r="G111" s="421">
        <v>32.0</v>
      </c>
      <c r="H111" s="421" t="s">
        <v>4457</v>
      </c>
      <c r="I111" s="421" t="s">
        <v>4514</v>
      </c>
      <c r="J111" s="422"/>
    </row>
    <row r="112">
      <c r="A112" s="419" t="s">
        <v>4733</v>
      </c>
      <c r="B112" s="421" t="s">
        <v>4734</v>
      </c>
      <c r="C112" s="421" t="s">
        <v>4735</v>
      </c>
      <c r="D112" s="420">
        <v>0.0</v>
      </c>
      <c r="E112" s="421" t="s">
        <v>4456</v>
      </c>
      <c r="F112" s="421">
        <v>3208.0</v>
      </c>
      <c r="G112" s="421">
        <v>32.0</v>
      </c>
      <c r="H112" s="421" t="s">
        <v>4641</v>
      </c>
      <c r="I112" s="421" t="s">
        <v>4514</v>
      </c>
      <c r="J112" s="422"/>
    </row>
    <row r="113">
      <c r="A113" s="419" t="s">
        <v>4733</v>
      </c>
      <c r="B113" s="421" t="s">
        <v>4734</v>
      </c>
      <c r="C113" s="421" t="s">
        <v>4735</v>
      </c>
      <c r="D113" s="420">
        <v>0.0</v>
      </c>
      <c r="E113" s="421" t="s">
        <v>4456</v>
      </c>
      <c r="F113" s="421">
        <v>3209.0</v>
      </c>
      <c r="G113" s="421">
        <v>32.0</v>
      </c>
      <c r="H113" s="421" t="s">
        <v>4641</v>
      </c>
      <c r="I113" s="421" t="s">
        <v>4514</v>
      </c>
      <c r="J113" s="422"/>
    </row>
    <row r="114">
      <c r="A114" s="419" t="s">
        <v>4736</v>
      </c>
      <c r="B114" s="420">
        <v>0.0</v>
      </c>
      <c r="C114" s="421" t="s">
        <v>4737</v>
      </c>
      <c r="D114" s="421" t="s">
        <v>4738</v>
      </c>
      <c r="E114" s="421" t="s">
        <v>4456</v>
      </c>
      <c r="F114" s="421">
        <v>3606.0</v>
      </c>
      <c r="G114" s="421">
        <v>36.0</v>
      </c>
      <c r="H114" s="421" t="s">
        <v>4479</v>
      </c>
      <c r="I114" s="421" t="s">
        <v>4514</v>
      </c>
      <c r="J114" s="422"/>
    </row>
    <row r="115">
      <c r="A115" s="419" t="s">
        <v>4739</v>
      </c>
      <c r="B115" s="420">
        <v>0.0</v>
      </c>
      <c r="C115" s="421" t="s">
        <v>4740</v>
      </c>
      <c r="D115" s="421" t="s">
        <v>4741</v>
      </c>
      <c r="E115" s="421" t="s">
        <v>4456</v>
      </c>
      <c r="F115" s="421">
        <v>3702.0</v>
      </c>
      <c r="G115" s="421">
        <v>37.0</v>
      </c>
      <c r="H115" s="421" t="s">
        <v>4457</v>
      </c>
      <c r="I115" s="421" t="s">
        <v>4742</v>
      </c>
      <c r="J115" s="422"/>
    </row>
    <row r="116">
      <c r="A116" s="419" t="s">
        <v>4739</v>
      </c>
      <c r="B116" s="420">
        <v>0.0</v>
      </c>
      <c r="C116" s="421" t="s">
        <v>4740</v>
      </c>
      <c r="D116" s="421" t="s">
        <v>4741</v>
      </c>
      <c r="E116" s="421" t="s">
        <v>4456</v>
      </c>
      <c r="F116" s="421">
        <v>3704.0</v>
      </c>
      <c r="G116" s="421">
        <v>37.0</v>
      </c>
      <c r="H116" s="421" t="s">
        <v>4457</v>
      </c>
      <c r="I116" s="421" t="s">
        <v>4742</v>
      </c>
      <c r="J116" s="422"/>
    </row>
    <row r="117">
      <c r="A117" s="419" t="s">
        <v>4743</v>
      </c>
      <c r="B117" s="420">
        <v>0.0</v>
      </c>
      <c r="C117" s="420">
        <v>0.0</v>
      </c>
      <c r="D117" s="421" t="s">
        <v>4744</v>
      </c>
      <c r="E117" s="421" t="s">
        <v>4456</v>
      </c>
      <c r="F117" s="421">
        <v>3706.0</v>
      </c>
      <c r="G117" s="421">
        <v>37.0</v>
      </c>
      <c r="H117" s="421" t="s">
        <v>4479</v>
      </c>
      <c r="I117" s="421" t="s">
        <v>4485</v>
      </c>
      <c r="J117" s="422"/>
    </row>
    <row r="118">
      <c r="A118" s="419" t="s">
        <v>4739</v>
      </c>
      <c r="B118" s="420">
        <v>0.0</v>
      </c>
      <c r="C118" s="421" t="s">
        <v>4740</v>
      </c>
      <c r="D118" s="421" t="s">
        <v>4741</v>
      </c>
      <c r="E118" s="421" t="s">
        <v>4456</v>
      </c>
      <c r="F118" s="421">
        <v>3707.0</v>
      </c>
      <c r="G118" s="421">
        <v>37.0</v>
      </c>
      <c r="H118" s="421" t="s">
        <v>4457</v>
      </c>
      <c r="I118" s="421" t="s">
        <v>4742</v>
      </c>
      <c r="J118" s="422"/>
    </row>
    <row r="119">
      <c r="A119" s="419" t="s">
        <v>4739</v>
      </c>
      <c r="B119" s="420">
        <v>0.0</v>
      </c>
      <c r="C119" s="421" t="s">
        <v>4740</v>
      </c>
      <c r="D119" s="421" t="s">
        <v>4741</v>
      </c>
      <c r="E119" s="421" t="s">
        <v>4456</v>
      </c>
      <c r="F119" s="421">
        <v>3708.0</v>
      </c>
      <c r="G119" s="421">
        <v>37.0</v>
      </c>
      <c r="H119" s="421" t="s">
        <v>4641</v>
      </c>
      <c r="I119" s="421" t="s">
        <v>4742</v>
      </c>
      <c r="J119" s="422"/>
    </row>
    <row r="120">
      <c r="A120" s="419" t="s">
        <v>4739</v>
      </c>
      <c r="B120" s="420">
        <v>0.0</v>
      </c>
      <c r="C120" s="421" t="s">
        <v>4740</v>
      </c>
      <c r="D120" s="421" t="s">
        <v>4741</v>
      </c>
      <c r="E120" s="421" t="s">
        <v>4456</v>
      </c>
      <c r="F120" s="421">
        <v>3709.0</v>
      </c>
      <c r="G120" s="421">
        <v>37.0</v>
      </c>
      <c r="H120" s="421" t="s">
        <v>4641</v>
      </c>
      <c r="I120" s="421" t="s">
        <v>4742</v>
      </c>
      <c r="J120" s="422"/>
    </row>
    <row r="121">
      <c r="A121" s="419" t="s">
        <v>4745</v>
      </c>
      <c r="B121" s="420">
        <v>0.0</v>
      </c>
      <c r="C121" s="421" t="s">
        <v>4746</v>
      </c>
      <c r="D121" s="420">
        <v>0.0</v>
      </c>
      <c r="E121" s="421" t="s">
        <v>4747</v>
      </c>
      <c r="F121" s="421">
        <v>601.0</v>
      </c>
      <c r="G121" s="421">
        <v>6.0</v>
      </c>
      <c r="H121" s="421" t="s">
        <v>4457</v>
      </c>
      <c r="I121" s="421" t="s">
        <v>4500</v>
      </c>
      <c r="J121" s="422"/>
    </row>
    <row r="122">
      <c r="A122" s="419" t="s">
        <v>4748</v>
      </c>
      <c r="B122" s="420">
        <v>0.0</v>
      </c>
      <c r="C122" s="421" t="s">
        <v>4749</v>
      </c>
      <c r="D122" s="420">
        <v>0.0</v>
      </c>
      <c r="E122" s="421" t="s">
        <v>4747</v>
      </c>
      <c r="F122" s="421">
        <v>604.0</v>
      </c>
      <c r="G122" s="421">
        <v>6.0</v>
      </c>
      <c r="H122" s="421" t="s">
        <v>4479</v>
      </c>
      <c r="I122" s="421" t="s">
        <v>4458</v>
      </c>
      <c r="J122" s="422"/>
    </row>
    <row r="123">
      <c r="A123" s="419" t="s">
        <v>4750</v>
      </c>
      <c r="B123" s="420">
        <v>0.0</v>
      </c>
      <c r="C123" s="421" t="s">
        <v>4751</v>
      </c>
      <c r="D123" s="420">
        <v>0.0</v>
      </c>
      <c r="E123" s="421" t="s">
        <v>4747</v>
      </c>
      <c r="F123" s="421">
        <v>605.0</v>
      </c>
      <c r="G123" s="421">
        <v>6.0</v>
      </c>
      <c r="H123" s="421" t="s">
        <v>4479</v>
      </c>
      <c r="I123" s="421" t="s">
        <v>4726</v>
      </c>
      <c r="J123" s="422"/>
    </row>
    <row r="124">
      <c r="A124" s="419" t="s">
        <v>4752</v>
      </c>
      <c r="B124" s="421">
        <v>971.0</v>
      </c>
      <c r="C124" s="421" t="s">
        <v>4753</v>
      </c>
      <c r="D124" s="420">
        <v>0.0</v>
      </c>
      <c r="E124" s="421" t="s">
        <v>4747</v>
      </c>
      <c r="F124" s="421">
        <v>606.0</v>
      </c>
      <c r="G124" s="421">
        <v>6.0</v>
      </c>
      <c r="H124" s="421" t="s">
        <v>4479</v>
      </c>
      <c r="I124" s="421" t="s">
        <v>4726</v>
      </c>
      <c r="J124" s="422"/>
    </row>
    <row r="125">
      <c r="A125" s="419" t="s">
        <v>4754</v>
      </c>
      <c r="B125" s="421">
        <v>971.0</v>
      </c>
      <c r="C125" s="421" t="s">
        <v>4755</v>
      </c>
      <c r="D125" s="420">
        <v>0.0</v>
      </c>
      <c r="E125" s="421" t="s">
        <v>4747</v>
      </c>
      <c r="F125" s="421">
        <v>608.0</v>
      </c>
      <c r="G125" s="421">
        <v>6.0</v>
      </c>
      <c r="H125" s="421" t="s">
        <v>4457</v>
      </c>
      <c r="I125" s="421" t="s">
        <v>4472</v>
      </c>
      <c r="J125" s="422"/>
    </row>
    <row r="126">
      <c r="A126" s="419" t="s">
        <v>4756</v>
      </c>
      <c r="B126" s="421">
        <v>971.0</v>
      </c>
      <c r="C126" s="421" t="s">
        <v>4757</v>
      </c>
      <c r="D126" s="421" t="s">
        <v>4758</v>
      </c>
      <c r="E126" s="421" t="s">
        <v>4747</v>
      </c>
      <c r="F126" s="421">
        <v>609.0</v>
      </c>
      <c r="G126" s="421">
        <v>6.0</v>
      </c>
      <c r="H126" s="421" t="s">
        <v>4457</v>
      </c>
      <c r="I126" s="421" t="s">
        <v>4503</v>
      </c>
      <c r="J126" s="422"/>
    </row>
    <row r="127">
      <c r="A127" s="419" t="s">
        <v>4759</v>
      </c>
      <c r="B127" s="420">
        <v>0.0</v>
      </c>
      <c r="C127" s="421" t="s">
        <v>4760</v>
      </c>
      <c r="D127" s="421" t="s">
        <v>4761</v>
      </c>
      <c r="E127" s="421" t="s">
        <v>4747</v>
      </c>
      <c r="F127" s="421">
        <v>610.0</v>
      </c>
      <c r="G127" s="421">
        <v>6.0</v>
      </c>
      <c r="H127" s="421" t="s">
        <v>4457</v>
      </c>
      <c r="I127" s="421" t="s">
        <v>4461</v>
      </c>
      <c r="J127" s="422"/>
    </row>
    <row r="128">
      <c r="A128" s="419" t="s">
        <v>4762</v>
      </c>
      <c r="B128" s="421" t="s">
        <v>4763</v>
      </c>
      <c r="C128" s="421" t="s">
        <v>4764</v>
      </c>
      <c r="D128" s="421" t="s">
        <v>4765</v>
      </c>
      <c r="E128" s="421" t="s">
        <v>4747</v>
      </c>
      <c r="F128" s="421">
        <v>611.0</v>
      </c>
      <c r="G128" s="421">
        <v>6.0</v>
      </c>
      <c r="H128" s="421" t="s">
        <v>4457</v>
      </c>
      <c r="I128" s="421" t="s">
        <v>4597</v>
      </c>
      <c r="J128" s="422"/>
    </row>
    <row r="129">
      <c r="A129" s="419" t="s">
        <v>4766</v>
      </c>
      <c r="B129" s="421" t="s">
        <v>4767</v>
      </c>
      <c r="C129" s="421" t="s">
        <v>4768</v>
      </c>
      <c r="D129" s="421" t="s">
        <v>4769</v>
      </c>
      <c r="E129" s="421" t="s">
        <v>4747</v>
      </c>
      <c r="F129" s="421">
        <v>701.0</v>
      </c>
      <c r="G129" s="421">
        <v>7.0</v>
      </c>
      <c r="H129" s="421" t="s">
        <v>4457</v>
      </c>
      <c r="I129" s="421" t="s">
        <v>4726</v>
      </c>
      <c r="J129" s="422"/>
    </row>
    <row r="130">
      <c r="A130" s="419" t="s">
        <v>4770</v>
      </c>
      <c r="B130" s="420">
        <v>0.0</v>
      </c>
      <c r="C130" s="421">
        <v>5.08186112E8</v>
      </c>
      <c r="D130" s="420">
        <v>0.0</v>
      </c>
      <c r="E130" s="421" t="s">
        <v>4747</v>
      </c>
      <c r="F130" s="421">
        <v>702.0</v>
      </c>
      <c r="G130" s="421">
        <v>7.0</v>
      </c>
      <c r="H130" s="421" t="s">
        <v>4479</v>
      </c>
      <c r="I130" s="421" t="s">
        <v>4500</v>
      </c>
      <c r="J130" s="422"/>
    </row>
    <row r="131">
      <c r="A131" s="419" t="s">
        <v>4771</v>
      </c>
      <c r="B131" s="420">
        <v>0.0</v>
      </c>
      <c r="C131" s="421">
        <v>9.6650546111E11</v>
      </c>
      <c r="D131" s="420">
        <v>0.0</v>
      </c>
      <c r="E131" s="421" t="s">
        <v>4747</v>
      </c>
      <c r="F131" s="421">
        <v>704.0</v>
      </c>
      <c r="G131" s="421">
        <v>7.0</v>
      </c>
      <c r="H131" s="421" t="s">
        <v>4479</v>
      </c>
      <c r="I131" s="421" t="s">
        <v>4472</v>
      </c>
      <c r="J131" s="422"/>
    </row>
    <row r="132">
      <c r="A132" s="419" t="s">
        <v>4772</v>
      </c>
      <c r="B132" s="421">
        <v>4.0</v>
      </c>
      <c r="C132" s="421">
        <v>0.0</v>
      </c>
      <c r="D132" s="420">
        <v>0.0</v>
      </c>
      <c r="E132" s="421" t="s">
        <v>4747</v>
      </c>
      <c r="F132" s="421">
        <v>705.0</v>
      </c>
      <c r="G132" s="421">
        <v>7.0</v>
      </c>
      <c r="H132" s="421" t="s">
        <v>4479</v>
      </c>
      <c r="I132" s="421" t="s">
        <v>4503</v>
      </c>
      <c r="J132" s="422"/>
    </row>
    <row r="133">
      <c r="A133" s="419" t="s">
        <v>4773</v>
      </c>
      <c r="B133" s="420">
        <v>0.0</v>
      </c>
      <c r="C133" s="421" t="s">
        <v>4774</v>
      </c>
      <c r="D133" s="421" t="s">
        <v>4775</v>
      </c>
      <c r="E133" s="421" t="s">
        <v>4747</v>
      </c>
      <c r="F133" s="421">
        <v>706.0</v>
      </c>
      <c r="G133" s="421">
        <v>7.0</v>
      </c>
      <c r="H133" s="421" t="s">
        <v>4479</v>
      </c>
      <c r="I133" s="421" t="s">
        <v>4461</v>
      </c>
      <c r="J133" s="422"/>
    </row>
    <row r="134">
      <c r="A134" s="419" t="s">
        <v>4776</v>
      </c>
      <c r="B134" s="420">
        <v>0.0</v>
      </c>
      <c r="C134" s="421" t="s">
        <v>4777</v>
      </c>
      <c r="D134" s="420">
        <v>0.0</v>
      </c>
      <c r="E134" s="421" t="s">
        <v>4747</v>
      </c>
      <c r="F134" s="421">
        <v>707.0</v>
      </c>
      <c r="G134" s="421">
        <v>7.0</v>
      </c>
      <c r="H134" s="421" t="s">
        <v>4479</v>
      </c>
      <c r="I134" s="421" t="s">
        <v>4503</v>
      </c>
      <c r="J134" s="422"/>
    </row>
    <row r="135">
      <c r="A135" s="419" t="s">
        <v>4778</v>
      </c>
      <c r="B135" s="421">
        <v>5.05846155E8</v>
      </c>
      <c r="C135" s="421" t="s">
        <v>4779</v>
      </c>
      <c r="D135" s="420">
        <v>0.0</v>
      </c>
      <c r="E135" s="421" t="s">
        <v>4747</v>
      </c>
      <c r="F135" s="421">
        <v>708.0</v>
      </c>
      <c r="G135" s="421">
        <v>7.0</v>
      </c>
      <c r="H135" s="421" t="s">
        <v>4457</v>
      </c>
      <c r="I135" s="421" t="s">
        <v>4503</v>
      </c>
      <c r="J135" s="422"/>
    </row>
    <row r="136">
      <c r="A136" s="419" t="s">
        <v>4780</v>
      </c>
      <c r="B136" s="420">
        <v>0.0</v>
      </c>
      <c r="C136" s="420">
        <v>0.0</v>
      </c>
      <c r="D136" s="421" t="s">
        <v>4781</v>
      </c>
      <c r="E136" s="421" t="s">
        <v>4747</v>
      </c>
      <c r="F136" s="421">
        <v>709.0</v>
      </c>
      <c r="G136" s="421">
        <v>7.0</v>
      </c>
      <c r="H136" s="421" t="s">
        <v>4457</v>
      </c>
      <c r="I136" s="421" t="s">
        <v>4503</v>
      </c>
      <c r="J136" s="422"/>
    </row>
    <row r="137">
      <c r="A137" s="419" t="s">
        <v>4782</v>
      </c>
      <c r="B137" s="421">
        <v>2.0122221141E11</v>
      </c>
      <c r="C137" s="421">
        <v>2.0122221141E11</v>
      </c>
      <c r="D137" s="420">
        <v>0.0</v>
      </c>
      <c r="E137" s="421" t="s">
        <v>4747</v>
      </c>
      <c r="F137" s="421">
        <v>710.0</v>
      </c>
      <c r="G137" s="421">
        <v>7.0</v>
      </c>
      <c r="H137" s="421" t="s">
        <v>4457</v>
      </c>
      <c r="I137" s="421" t="s">
        <v>4500</v>
      </c>
      <c r="J137" s="422"/>
    </row>
    <row r="138">
      <c r="A138" s="419" t="s">
        <v>4783</v>
      </c>
      <c r="B138" s="421">
        <v>971.0</v>
      </c>
      <c r="C138" s="421" t="s">
        <v>4784</v>
      </c>
      <c r="D138" s="420">
        <v>0.0</v>
      </c>
      <c r="E138" s="421" t="s">
        <v>4747</v>
      </c>
      <c r="F138" s="421">
        <v>801.0</v>
      </c>
      <c r="G138" s="421">
        <v>8.0</v>
      </c>
      <c r="H138" s="421" t="s">
        <v>4457</v>
      </c>
      <c r="I138" s="421" t="s">
        <v>4517</v>
      </c>
      <c r="J138" s="422"/>
    </row>
    <row r="139">
      <c r="A139" s="419" t="s">
        <v>4785</v>
      </c>
      <c r="B139" s="421" t="s">
        <v>4786</v>
      </c>
      <c r="C139" s="421" t="s">
        <v>4787</v>
      </c>
      <c r="D139" s="420">
        <v>0.0</v>
      </c>
      <c r="E139" s="421" t="s">
        <v>4747</v>
      </c>
      <c r="F139" s="421">
        <v>802.0</v>
      </c>
      <c r="G139" s="421">
        <v>8.0</v>
      </c>
      <c r="H139" s="421" t="s">
        <v>4479</v>
      </c>
      <c r="I139" s="421" t="s">
        <v>4503</v>
      </c>
      <c r="J139" s="422"/>
    </row>
    <row r="140">
      <c r="A140" s="419" t="s">
        <v>4788</v>
      </c>
      <c r="B140" s="420">
        <v>0.0</v>
      </c>
      <c r="C140" s="421">
        <v>9.7455515565E10</v>
      </c>
      <c r="D140" s="420">
        <v>0.0</v>
      </c>
      <c r="E140" s="421" t="s">
        <v>4747</v>
      </c>
      <c r="F140" s="421">
        <v>804.0</v>
      </c>
      <c r="G140" s="421">
        <v>8.0</v>
      </c>
      <c r="H140" s="421" t="s">
        <v>4479</v>
      </c>
      <c r="I140" s="421" t="s">
        <v>4726</v>
      </c>
      <c r="J140" s="422"/>
    </row>
    <row r="141">
      <c r="A141" s="419" t="s">
        <v>4789</v>
      </c>
      <c r="B141" s="420">
        <v>0.0</v>
      </c>
      <c r="C141" s="421" t="s">
        <v>4790</v>
      </c>
      <c r="D141" s="420">
        <v>0.0</v>
      </c>
      <c r="E141" s="421" t="s">
        <v>4747</v>
      </c>
      <c r="F141" s="421">
        <v>805.0</v>
      </c>
      <c r="G141" s="421">
        <v>8.0</v>
      </c>
      <c r="H141" s="421" t="s">
        <v>4479</v>
      </c>
      <c r="I141" s="421" t="s">
        <v>4461</v>
      </c>
      <c r="J141" s="422"/>
    </row>
    <row r="142">
      <c r="A142" s="419" t="s">
        <v>4791</v>
      </c>
      <c r="B142" s="420">
        <v>0.0</v>
      </c>
      <c r="C142" s="421" t="s">
        <v>4792</v>
      </c>
      <c r="D142" s="420">
        <v>0.0</v>
      </c>
      <c r="E142" s="421" t="s">
        <v>4747</v>
      </c>
      <c r="F142" s="421">
        <v>806.0</v>
      </c>
      <c r="G142" s="421">
        <v>8.0</v>
      </c>
      <c r="H142" s="421" t="s">
        <v>4479</v>
      </c>
      <c r="I142" s="421" t="s">
        <v>4533</v>
      </c>
      <c r="J142" s="422"/>
    </row>
    <row r="143">
      <c r="A143" s="419" t="s">
        <v>4793</v>
      </c>
      <c r="B143" s="420">
        <v>0.0</v>
      </c>
      <c r="C143" s="421" t="s">
        <v>4794</v>
      </c>
      <c r="D143" s="421" t="s">
        <v>4795</v>
      </c>
      <c r="E143" s="421" t="s">
        <v>4747</v>
      </c>
      <c r="F143" s="421">
        <v>807.0</v>
      </c>
      <c r="G143" s="421">
        <v>8.0</v>
      </c>
      <c r="H143" s="421" t="s">
        <v>4479</v>
      </c>
      <c r="I143" s="421" t="s">
        <v>4472</v>
      </c>
      <c r="J143" s="422"/>
    </row>
    <row r="144">
      <c r="A144" s="419" t="s">
        <v>4796</v>
      </c>
      <c r="B144" s="421">
        <v>971.0</v>
      </c>
      <c r="C144" s="421">
        <v>9665056.0</v>
      </c>
      <c r="D144" s="420">
        <v>0.0</v>
      </c>
      <c r="E144" s="421" t="s">
        <v>4747</v>
      </c>
      <c r="F144" s="421">
        <v>809.0</v>
      </c>
      <c r="G144" s="421">
        <v>8.0</v>
      </c>
      <c r="H144" s="421" t="s">
        <v>4457</v>
      </c>
      <c r="I144" s="421" t="s">
        <v>4514</v>
      </c>
      <c r="J144" s="422"/>
    </row>
    <row r="145">
      <c r="A145" s="419" t="s">
        <v>4797</v>
      </c>
      <c r="B145" s="420">
        <v>0.0</v>
      </c>
      <c r="C145" s="421">
        <v>4.47984170699E11</v>
      </c>
      <c r="D145" s="420">
        <v>0.0</v>
      </c>
      <c r="E145" s="421" t="s">
        <v>4747</v>
      </c>
      <c r="F145" s="421">
        <v>810.0</v>
      </c>
      <c r="G145" s="421">
        <v>8.0</v>
      </c>
      <c r="H145" s="421" t="s">
        <v>4457</v>
      </c>
      <c r="I145" s="421" t="s">
        <v>4525</v>
      </c>
      <c r="J145" s="422"/>
    </row>
    <row r="146">
      <c r="A146" s="419" t="s">
        <v>4798</v>
      </c>
      <c r="B146" s="420">
        <v>0.0</v>
      </c>
      <c r="C146" s="421" t="s">
        <v>4799</v>
      </c>
      <c r="D146" s="420">
        <v>0.0</v>
      </c>
      <c r="E146" s="421" t="s">
        <v>4747</v>
      </c>
      <c r="F146" s="421">
        <v>811.0</v>
      </c>
      <c r="G146" s="421">
        <v>8.0</v>
      </c>
      <c r="H146" s="421" t="s">
        <v>4457</v>
      </c>
      <c r="I146" s="421" t="s">
        <v>4517</v>
      </c>
      <c r="J146" s="422"/>
    </row>
    <row r="147">
      <c r="A147" s="419" t="s">
        <v>4800</v>
      </c>
      <c r="B147" s="421" t="s">
        <v>4801</v>
      </c>
      <c r="C147" s="421" t="s">
        <v>4802</v>
      </c>
      <c r="D147" s="421" t="s">
        <v>4803</v>
      </c>
      <c r="E147" s="421" t="s">
        <v>4747</v>
      </c>
      <c r="F147" s="421">
        <v>901.0</v>
      </c>
      <c r="G147" s="421">
        <v>9.0</v>
      </c>
      <c r="H147" s="421" t="s">
        <v>4457</v>
      </c>
      <c r="I147" s="421" t="s">
        <v>4556</v>
      </c>
      <c r="J147" s="422"/>
    </row>
    <row r="148">
      <c r="A148" s="419" t="s">
        <v>4804</v>
      </c>
      <c r="B148" s="421">
        <v>5.55708339E8</v>
      </c>
      <c r="C148" s="421">
        <v>5.55708339E8</v>
      </c>
      <c r="D148" s="420">
        <v>0.0</v>
      </c>
      <c r="E148" s="421" t="s">
        <v>4747</v>
      </c>
      <c r="F148" s="421">
        <v>902.0</v>
      </c>
      <c r="G148" s="421">
        <v>9.0</v>
      </c>
      <c r="H148" s="421" t="s">
        <v>4479</v>
      </c>
      <c r="I148" s="421" t="s">
        <v>4503</v>
      </c>
      <c r="J148" s="422"/>
    </row>
    <row r="149">
      <c r="A149" s="419" t="s">
        <v>4805</v>
      </c>
      <c r="B149" s="421">
        <v>971.0</v>
      </c>
      <c r="C149" s="421">
        <v>9.66549997775E11</v>
      </c>
      <c r="D149" s="420">
        <v>0.0</v>
      </c>
      <c r="E149" s="421" t="s">
        <v>4747</v>
      </c>
      <c r="F149" s="421">
        <v>904.0</v>
      </c>
      <c r="G149" s="421">
        <v>9.0</v>
      </c>
      <c r="H149" s="421" t="s">
        <v>4479</v>
      </c>
      <c r="I149" s="421" t="s">
        <v>4472</v>
      </c>
      <c r="J149" s="422"/>
    </row>
    <row r="150">
      <c r="A150" s="419" t="s">
        <v>4806</v>
      </c>
      <c r="B150" s="420">
        <v>0.0</v>
      </c>
      <c r="C150" s="421" t="s">
        <v>4807</v>
      </c>
      <c r="D150" s="421" t="s">
        <v>4808</v>
      </c>
      <c r="E150" s="421" t="s">
        <v>4747</v>
      </c>
      <c r="F150" s="421">
        <v>905.0</v>
      </c>
      <c r="G150" s="421">
        <v>9.0</v>
      </c>
      <c r="H150" s="421" t="s">
        <v>4479</v>
      </c>
      <c r="I150" s="421" t="s">
        <v>4571</v>
      </c>
      <c r="J150" s="422"/>
    </row>
    <row r="151">
      <c r="A151" s="419" t="s">
        <v>4809</v>
      </c>
      <c r="B151" s="421">
        <v>971.0</v>
      </c>
      <c r="C151" s="421" t="s">
        <v>4810</v>
      </c>
      <c r="D151" s="420">
        <v>0.0</v>
      </c>
      <c r="E151" s="421" t="s">
        <v>4747</v>
      </c>
      <c r="F151" s="421">
        <v>906.0</v>
      </c>
      <c r="G151" s="421">
        <v>9.0</v>
      </c>
      <c r="H151" s="421" t="s">
        <v>4479</v>
      </c>
      <c r="I151" s="421" t="s">
        <v>4472</v>
      </c>
      <c r="J151" s="422"/>
    </row>
    <row r="152">
      <c r="A152" s="419" t="s">
        <v>4811</v>
      </c>
      <c r="B152" s="421">
        <v>5.01050329E8</v>
      </c>
      <c r="C152" s="421" t="s">
        <v>4812</v>
      </c>
      <c r="D152" s="420">
        <v>0.0</v>
      </c>
      <c r="E152" s="421" t="s">
        <v>4747</v>
      </c>
      <c r="F152" s="421">
        <v>907.0</v>
      </c>
      <c r="G152" s="421">
        <v>9.0</v>
      </c>
      <c r="H152" s="421" t="s">
        <v>4479</v>
      </c>
      <c r="I152" s="421" t="s">
        <v>4525</v>
      </c>
      <c r="J152" s="422"/>
    </row>
    <row r="153">
      <c r="A153" s="419" t="s">
        <v>4813</v>
      </c>
      <c r="B153" s="420">
        <v>0.0</v>
      </c>
      <c r="C153" s="421" t="s">
        <v>4814</v>
      </c>
      <c r="D153" s="420">
        <v>0.0</v>
      </c>
      <c r="E153" s="421" t="s">
        <v>4747</v>
      </c>
      <c r="F153" s="421">
        <v>908.0</v>
      </c>
      <c r="G153" s="421">
        <v>9.0</v>
      </c>
      <c r="H153" s="421" t="s">
        <v>4457</v>
      </c>
      <c r="I153" s="421" t="s">
        <v>4472</v>
      </c>
      <c r="J153" s="422"/>
    </row>
    <row r="154">
      <c r="A154" s="419" t="s">
        <v>4815</v>
      </c>
      <c r="B154" s="420">
        <v>0.0</v>
      </c>
      <c r="C154" s="420">
        <v>0.0</v>
      </c>
      <c r="D154" s="421" t="s">
        <v>4816</v>
      </c>
      <c r="E154" s="421" t="s">
        <v>4747</v>
      </c>
      <c r="F154" s="421">
        <v>909.0</v>
      </c>
      <c r="G154" s="421">
        <v>9.0</v>
      </c>
      <c r="H154" s="421" t="s">
        <v>4457</v>
      </c>
      <c r="I154" s="421" t="s">
        <v>4525</v>
      </c>
      <c r="J154" s="422"/>
    </row>
    <row r="155">
      <c r="A155" s="419" t="s">
        <v>4817</v>
      </c>
      <c r="B155" s="421">
        <v>5.55681295E8</v>
      </c>
      <c r="C155" s="421">
        <v>5.55681295E8</v>
      </c>
      <c r="D155" s="420">
        <v>0.0</v>
      </c>
      <c r="E155" s="421" t="s">
        <v>4747</v>
      </c>
      <c r="F155" s="421">
        <v>910.0</v>
      </c>
      <c r="G155" s="421">
        <v>9.0</v>
      </c>
      <c r="H155" s="421" t="s">
        <v>4457</v>
      </c>
      <c r="I155" s="421" t="s">
        <v>4542</v>
      </c>
      <c r="J155" s="422"/>
    </row>
    <row r="156">
      <c r="A156" s="419" t="s">
        <v>4818</v>
      </c>
      <c r="B156" s="421">
        <v>971.0</v>
      </c>
      <c r="C156" s="421">
        <v>5.03108554E8</v>
      </c>
      <c r="D156" s="420">
        <v>0.0</v>
      </c>
      <c r="E156" s="421" t="s">
        <v>4747</v>
      </c>
      <c r="F156" s="421">
        <v>911.0</v>
      </c>
      <c r="G156" s="421">
        <v>9.0</v>
      </c>
      <c r="H156" s="421" t="s">
        <v>4457</v>
      </c>
      <c r="I156" s="421" t="s">
        <v>4485</v>
      </c>
      <c r="J156" s="422"/>
    </row>
    <row r="157">
      <c r="A157" s="419" t="s">
        <v>4819</v>
      </c>
      <c r="B157" s="420">
        <v>0.0</v>
      </c>
      <c r="C157" s="421" t="s">
        <v>4820</v>
      </c>
      <c r="D157" s="420">
        <v>0.0</v>
      </c>
      <c r="E157" s="421" t="s">
        <v>4747</v>
      </c>
      <c r="F157" s="421">
        <v>1001.0</v>
      </c>
      <c r="G157" s="421">
        <v>10.0</v>
      </c>
      <c r="H157" s="421" t="s">
        <v>4457</v>
      </c>
      <c r="I157" s="421" t="s">
        <v>4631</v>
      </c>
      <c r="J157" s="422"/>
    </row>
    <row r="158">
      <c r="A158" s="419" t="s">
        <v>4625</v>
      </c>
      <c r="B158" s="421">
        <v>971.0</v>
      </c>
      <c r="C158" s="421">
        <v>4.47803041461E11</v>
      </c>
      <c r="D158" s="420">
        <v>0.0</v>
      </c>
      <c r="E158" s="421" t="s">
        <v>4747</v>
      </c>
      <c r="F158" s="421">
        <v>1002.0</v>
      </c>
      <c r="G158" s="421">
        <v>10.0</v>
      </c>
      <c r="H158" s="421" t="s">
        <v>4479</v>
      </c>
      <c r="I158" s="421" t="s">
        <v>4626</v>
      </c>
      <c r="J158" s="422"/>
    </row>
    <row r="159">
      <c r="A159" s="419" t="s">
        <v>4821</v>
      </c>
      <c r="B159" s="421">
        <v>971.0</v>
      </c>
      <c r="C159" s="421" t="s">
        <v>4822</v>
      </c>
      <c r="D159" s="420">
        <v>0.0</v>
      </c>
      <c r="E159" s="421" t="s">
        <v>4747</v>
      </c>
      <c r="F159" s="421">
        <v>1003.0</v>
      </c>
      <c r="G159" s="421">
        <v>10.0</v>
      </c>
      <c r="H159" s="421" t="s">
        <v>4457</v>
      </c>
      <c r="I159" s="421" t="s">
        <v>4517</v>
      </c>
      <c r="J159" s="422"/>
    </row>
    <row r="160">
      <c r="A160" s="419" t="s">
        <v>4823</v>
      </c>
      <c r="B160" s="420">
        <v>0.0</v>
      </c>
      <c r="C160" s="421" t="s">
        <v>4824</v>
      </c>
      <c r="D160" s="421" t="s">
        <v>4825</v>
      </c>
      <c r="E160" s="421" t="s">
        <v>4747</v>
      </c>
      <c r="F160" s="421">
        <v>1004.0</v>
      </c>
      <c r="G160" s="421">
        <v>10.0</v>
      </c>
      <c r="H160" s="421" t="s">
        <v>4479</v>
      </c>
      <c r="I160" s="421" t="s">
        <v>4525</v>
      </c>
      <c r="J160" s="422"/>
    </row>
    <row r="161">
      <c r="A161" s="419" t="s">
        <v>4826</v>
      </c>
      <c r="B161" s="421">
        <v>971.0</v>
      </c>
      <c r="C161" s="421" t="s">
        <v>4827</v>
      </c>
      <c r="D161" s="420">
        <v>0.0</v>
      </c>
      <c r="E161" s="421" t="s">
        <v>4747</v>
      </c>
      <c r="F161" s="421">
        <v>1005.0</v>
      </c>
      <c r="G161" s="421">
        <v>10.0</v>
      </c>
      <c r="H161" s="421" t="s">
        <v>4479</v>
      </c>
      <c r="I161" s="421" t="s">
        <v>4500</v>
      </c>
      <c r="J161" s="422"/>
    </row>
    <row r="162">
      <c r="A162" s="419" t="s">
        <v>4828</v>
      </c>
      <c r="B162" s="420">
        <v>0.0</v>
      </c>
      <c r="C162" s="421">
        <v>6.59459785E9</v>
      </c>
      <c r="D162" s="421" t="s">
        <v>4829</v>
      </c>
      <c r="E162" s="421" t="s">
        <v>4747</v>
      </c>
      <c r="F162" s="421">
        <v>1006.0</v>
      </c>
      <c r="G162" s="421">
        <v>10.0</v>
      </c>
      <c r="H162" s="421" t="s">
        <v>4479</v>
      </c>
      <c r="I162" s="421" t="s">
        <v>4517</v>
      </c>
      <c r="J162" s="422"/>
    </row>
    <row r="163">
      <c r="A163" s="419" t="s">
        <v>4534</v>
      </c>
      <c r="B163" s="420">
        <v>0.0</v>
      </c>
      <c r="C163" s="421" t="s">
        <v>4535</v>
      </c>
      <c r="D163" s="421" t="s">
        <v>4536</v>
      </c>
      <c r="E163" s="421" t="s">
        <v>4747</v>
      </c>
      <c r="F163" s="421">
        <v>1008.0</v>
      </c>
      <c r="G163" s="421">
        <v>10.0</v>
      </c>
      <c r="H163" s="421" t="s">
        <v>4457</v>
      </c>
      <c r="I163" s="421" t="s">
        <v>4537</v>
      </c>
      <c r="J163" s="422"/>
    </row>
    <row r="164">
      <c r="A164" s="419" t="s">
        <v>4830</v>
      </c>
      <c r="B164" s="421">
        <v>971.0</v>
      </c>
      <c r="C164" s="421" t="s">
        <v>4831</v>
      </c>
      <c r="D164" s="421" t="s">
        <v>4832</v>
      </c>
      <c r="E164" s="421" t="s">
        <v>4747</v>
      </c>
      <c r="F164" s="421">
        <v>1009.0</v>
      </c>
      <c r="G164" s="421">
        <v>10.0</v>
      </c>
      <c r="H164" s="421" t="s">
        <v>4457</v>
      </c>
      <c r="I164" s="421" t="s">
        <v>4503</v>
      </c>
      <c r="J164" s="422"/>
    </row>
    <row r="165">
      <c r="A165" s="419" t="s">
        <v>4833</v>
      </c>
      <c r="B165" s="420">
        <v>0.0</v>
      </c>
      <c r="C165" s="421" t="s">
        <v>4834</v>
      </c>
      <c r="D165" s="421" t="s">
        <v>4835</v>
      </c>
      <c r="E165" s="421" t="s">
        <v>4747</v>
      </c>
      <c r="F165" s="421">
        <v>1010.0</v>
      </c>
      <c r="G165" s="421">
        <v>10.0</v>
      </c>
      <c r="H165" s="421" t="s">
        <v>4457</v>
      </c>
      <c r="I165" s="421" t="s">
        <v>4472</v>
      </c>
      <c r="J165" s="422"/>
    </row>
    <row r="166">
      <c r="A166" s="419" t="s">
        <v>4836</v>
      </c>
      <c r="B166" s="421">
        <v>971.0</v>
      </c>
      <c r="C166" s="421" t="s">
        <v>4837</v>
      </c>
      <c r="D166" s="420">
        <v>0.0</v>
      </c>
      <c r="E166" s="421" t="s">
        <v>4747</v>
      </c>
      <c r="F166" s="421">
        <v>1011.0</v>
      </c>
      <c r="G166" s="421">
        <v>10.0</v>
      </c>
      <c r="H166" s="421" t="s">
        <v>4457</v>
      </c>
      <c r="I166" s="421" t="s">
        <v>4472</v>
      </c>
      <c r="J166" s="422"/>
    </row>
    <row r="167">
      <c r="A167" s="419" t="s">
        <v>4838</v>
      </c>
      <c r="B167" s="420">
        <v>0.0</v>
      </c>
      <c r="C167" s="421" t="s">
        <v>4839</v>
      </c>
      <c r="D167" s="420">
        <v>0.0</v>
      </c>
      <c r="E167" s="421" t="s">
        <v>4747</v>
      </c>
      <c r="F167" s="421">
        <v>1101.0</v>
      </c>
      <c r="G167" s="421">
        <v>11.0</v>
      </c>
      <c r="H167" s="421" t="s">
        <v>4457</v>
      </c>
      <c r="I167" s="421" t="s">
        <v>4642</v>
      </c>
      <c r="J167" s="422"/>
    </row>
    <row r="168">
      <c r="A168" s="419" t="s">
        <v>4840</v>
      </c>
      <c r="B168" s="420">
        <v>0.0</v>
      </c>
      <c r="C168" s="421" t="s">
        <v>4463</v>
      </c>
      <c r="D168" s="421" t="s">
        <v>4841</v>
      </c>
      <c r="E168" s="421" t="s">
        <v>4747</v>
      </c>
      <c r="F168" s="421">
        <v>1102.0</v>
      </c>
      <c r="G168" s="421">
        <v>11.0</v>
      </c>
      <c r="H168" s="421" t="s">
        <v>4479</v>
      </c>
      <c r="I168" s="421" t="s">
        <v>4503</v>
      </c>
      <c r="J168" s="422"/>
    </row>
    <row r="169">
      <c r="A169" s="419" t="s">
        <v>4842</v>
      </c>
      <c r="B169" s="420">
        <v>0.0</v>
      </c>
      <c r="C169" s="420">
        <v>0.0</v>
      </c>
      <c r="D169" s="421" t="s">
        <v>4843</v>
      </c>
      <c r="E169" s="421" t="s">
        <v>4747</v>
      </c>
      <c r="F169" s="421">
        <v>1103.0</v>
      </c>
      <c r="G169" s="421">
        <v>11.0</v>
      </c>
      <c r="H169" s="421" t="s">
        <v>4457</v>
      </c>
      <c r="I169" s="421" t="s">
        <v>4458</v>
      </c>
      <c r="J169" s="422"/>
    </row>
    <row r="170">
      <c r="A170" s="419" t="s">
        <v>4844</v>
      </c>
      <c r="B170" s="421">
        <v>971.0</v>
      </c>
      <c r="C170" s="421" t="s">
        <v>4845</v>
      </c>
      <c r="D170" s="420">
        <v>0.0</v>
      </c>
      <c r="E170" s="421" t="s">
        <v>4747</v>
      </c>
      <c r="F170" s="421">
        <v>1104.0</v>
      </c>
      <c r="G170" s="421">
        <v>11.0</v>
      </c>
      <c r="H170" s="421" t="s">
        <v>4479</v>
      </c>
      <c r="I170" s="421" t="s">
        <v>4517</v>
      </c>
      <c r="J170" s="422"/>
    </row>
    <row r="171">
      <c r="A171" s="419" t="s">
        <v>4846</v>
      </c>
      <c r="B171" s="421">
        <v>971.0</v>
      </c>
      <c r="C171" s="421" t="s">
        <v>4837</v>
      </c>
      <c r="D171" s="420">
        <v>0.0</v>
      </c>
      <c r="E171" s="421" t="s">
        <v>4747</v>
      </c>
      <c r="F171" s="421">
        <v>1105.0</v>
      </c>
      <c r="G171" s="421">
        <v>11.0</v>
      </c>
      <c r="H171" s="421" t="s">
        <v>4479</v>
      </c>
      <c r="I171" s="421" t="s">
        <v>4500</v>
      </c>
      <c r="J171" s="422"/>
    </row>
    <row r="172">
      <c r="A172" s="419" t="s">
        <v>4847</v>
      </c>
      <c r="B172" s="420">
        <v>0.0</v>
      </c>
      <c r="C172" s="420">
        <v>0.0</v>
      </c>
      <c r="D172" s="420">
        <v>0.0</v>
      </c>
      <c r="E172" s="421" t="s">
        <v>4747</v>
      </c>
      <c r="F172" s="421">
        <v>1106.0</v>
      </c>
      <c r="G172" s="421">
        <v>11.0</v>
      </c>
      <c r="H172" s="421" t="s">
        <v>4479</v>
      </c>
      <c r="I172" s="421" t="s">
        <v>4517</v>
      </c>
      <c r="J172" s="422"/>
    </row>
    <row r="173">
      <c r="A173" s="419" t="s">
        <v>4848</v>
      </c>
      <c r="B173" s="420">
        <v>0.0</v>
      </c>
      <c r="C173" s="421" t="s">
        <v>4849</v>
      </c>
      <c r="D173" s="421" t="s">
        <v>4850</v>
      </c>
      <c r="E173" s="421" t="s">
        <v>4747</v>
      </c>
      <c r="F173" s="421">
        <v>1107.0</v>
      </c>
      <c r="G173" s="421">
        <v>11.0</v>
      </c>
      <c r="H173" s="421" t="s">
        <v>4479</v>
      </c>
      <c r="I173" s="421" t="s">
        <v>4533</v>
      </c>
      <c r="J173" s="422"/>
    </row>
    <row r="174">
      <c r="A174" s="419" t="s">
        <v>4848</v>
      </c>
      <c r="B174" s="420">
        <v>0.0</v>
      </c>
      <c r="C174" s="421" t="s">
        <v>4849</v>
      </c>
      <c r="D174" s="421" t="s">
        <v>4850</v>
      </c>
      <c r="E174" s="421" t="s">
        <v>4747</v>
      </c>
      <c r="F174" s="421">
        <v>1108.0</v>
      </c>
      <c r="G174" s="421">
        <v>11.0</v>
      </c>
      <c r="H174" s="421" t="s">
        <v>4457</v>
      </c>
      <c r="I174" s="421" t="s">
        <v>4533</v>
      </c>
      <c r="J174" s="422"/>
    </row>
    <row r="175">
      <c r="A175" s="419" t="s">
        <v>4851</v>
      </c>
      <c r="B175" s="421">
        <v>5.08476925E8</v>
      </c>
      <c r="C175" s="421">
        <v>5.08476925E8</v>
      </c>
      <c r="D175" s="420">
        <v>0.0</v>
      </c>
      <c r="E175" s="421" t="s">
        <v>4747</v>
      </c>
      <c r="F175" s="421">
        <v>1109.0</v>
      </c>
      <c r="G175" s="421">
        <v>11.0</v>
      </c>
      <c r="H175" s="421" t="s">
        <v>4457</v>
      </c>
      <c r="I175" s="421" t="s">
        <v>4852</v>
      </c>
      <c r="J175" s="422"/>
    </row>
    <row r="176">
      <c r="A176" s="419" t="s">
        <v>4853</v>
      </c>
      <c r="B176" s="420">
        <v>0.0</v>
      </c>
      <c r="C176" s="421" t="s">
        <v>4854</v>
      </c>
      <c r="D176" s="420">
        <v>0.0</v>
      </c>
      <c r="E176" s="421" t="s">
        <v>4747</v>
      </c>
      <c r="F176" s="421">
        <v>1110.0</v>
      </c>
      <c r="G176" s="421">
        <v>11.0</v>
      </c>
      <c r="H176" s="421" t="s">
        <v>4457</v>
      </c>
      <c r="I176" s="421" t="s">
        <v>4514</v>
      </c>
      <c r="J176" s="422"/>
    </row>
    <row r="177">
      <c r="A177" s="419" t="s">
        <v>4855</v>
      </c>
      <c r="B177" s="420">
        <v>0.0</v>
      </c>
      <c r="C177" s="421">
        <v>971.0</v>
      </c>
      <c r="D177" s="420">
        <v>0.0</v>
      </c>
      <c r="E177" s="421" t="s">
        <v>4747</v>
      </c>
      <c r="F177" s="421">
        <v>1111.0</v>
      </c>
      <c r="G177" s="421">
        <v>11.0</v>
      </c>
      <c r="H177" s="421" t="s">
        <v>4457</v>
      </c>
      <c r="I177" s="421" t="s">
        <v>4517</v>
      </c>
      <c r="J177" s="422"/>
    </row>
    <row r="178">
      <c r="A178" s="419" t="s">
        <v>4856</v>
      </c>
      <c r="B178" s="420">
        <v>0.0</v>
      </c>
      <c r="C178" s="425" t="str">
        <f>+971 50 4508157</f>
        <v>#ERROR!</v>
      </c>
      <c r="D178" s="421" t="s">
        <v>4857</v>
      </c>
      <c r="E178" s="421" t="s">
        <v>4747</v>
      </c>
      <c r="F178" s="421">
        <v>1201.0</v>
      </c>
      <c r="G178" s="421">
        <v>12.0</v>
      </c>
      <c r="H178" s="421" t="s">
        <v>4457</v>
      </c>
      <c r="I178" s="421" t="s">
        <v>4514</v>
      </c>
      <c r="J178" s="422"/>
    </row>
    <row r="179">
      <c r="A179" s="419" t="s">
        <v>4858</v>
      </c>
      <c r="B179" s="421">
        <v>4.2959902E7</v>
      </c>
      <c r="C179" s="421">
        <v>5.04243481E8</v>
      </c>
      <c r="D179" s="421" t="s">
        <v>4859</v>
      </c>
      <c r="E179" s="421" t="s">
        <v>4747</v>
      </c>
      <c r="F179" s="421">
        <v>1202.0</v>
      </c>
      <c r="G179" s="421">
        <v>12.0</v>
      </c>
      <c r="H179" s="421" t="s">
        <v>4479</v>
      </c>
      <c r="I179" s="421" t="s">
        <v>4537</v>
      </c>
      <c r="J179" s="422"/>
    </row>
    <row r="180">
      <c r="A180" s="419" t="s">
        <v>4860</v>
      </c>
      <c r="B180" s="421">
        <v>5.27416777E8</v>
      </c>
      <c r="C180" s="421">
        <v>5.69267301E8</v>
      </c>
      <c r="D180" s="420">
        <v>0.0</v>
      </c>
      <c r="E180" s="421" t="s">
        <v>4747</v>
      </c>
      <c r="F180" s="421">
        <v>1204.0</v>
      </c>
      <c r="G180" s="421">
        <v>12.0</v>
      </c>
      <c r="H180" s="421" t="s">
        <v>4479</v>
      </c>
      <c r="I180" s="421" t="s">
        <v>4525</v>
      </c>
      <c r="J180" s="422"/>
    </row>
    <row r="181">
      <c r="A181" s="419" t="s">
        <v>4861</v>
      </c>
      <c r="B181" s="420">
        <v>0.0</v>
      </c>
      <c r="C181" s="421" t="s">
        <v>4862</v>
      </c>
      <c r="D181" s="421" t="s">
        <v>4863</v>
      </c>
      <c r="E181" s="421" t="s">
        <v>4747</v>
      </c>
      <c r="F181" s="421">
        <v>1205.0</v>
      </c>
      <c r="G181" s="421">
        <v>12.0</v>
      </c>
      <c r="H181" s="421" t="s">
        <v>4479</v>
      </c>
      <c r="I181" s="421" t="s">
        <v>4503</v>
      </c>
      <c r="J181" s="422"/>
    </row>
    <row r="182">
      <c r="A182" s="419" t="s">
        <v>4864</v>
      </c>
      <c r="B182" s="420">
        <v>0.0</v>
      </c>
      <c r="C182" s="421" t="s">
        <v>4865</v>
      </c>
      <c r="D182" s="420">
        <v>0.0</v>
      </c>
      <c r="E182" s="421" t="s">
        <v>4747</v>
      </c>
      <c r="F182" s="421">
        <v>1206.0</v>
      </c>
      <c r="G182" s="421">
        <v>12.0</v>
      </c>
      <c r="H182" s="421" t="s">
        <v>4479</v>
      </c>
      <c r="I182" s="421" t="s">
        <v>4503</v>
      </c>
      <c r="J182" s="422"/>
    </row>
    <row r="183">
      <c r="A183" s="419" t="s">
        <v>4866</v>
      </c>
      <c r="B183" s="420">
        <v>0.0</v>
      </c>
      <c r="C183" s="421">
        <v>5.08753732E8</v>
      </c>
      <c r="D183" s="420">
        <v>0.0</v>
      </c>
      <c r="E183" s="421" t="s">
        <v>4747</v>
      </c>
      <c r="F183" s="421">
        <v>1207.0</v>
      </c>
      <c r="G183" s="421">
        <v>12.0</v>
      </c>
      <c r="H183" s="421" t="s">
        <v>4479</v>
      </c>
      <c r="I183" s="421" t="s">
        <v>4533</v>
      </c>
      <c r="J183" s="422"/>
    </row>
    <row r="184">
      <c r="A184" s="419" t="s">
        <v>4867</v>
      </c>
      <c r="B184" s="421" t="s">
        <v>4868</v>
      </c>
      <c r="C184" s="421" t="s">
        <v>4463</v>
      </c>
      <c r="D184" s="420">
        <v>0.0</v>
      </c>
      <c r="E184" s="421" t="s">
        <v>4747</v>
      </c>
      <c r="F184" s="421">
        <v>1208.0</v>
      </c>
      <c r="G184" s="421">
        <v>12.0</v>
      </c>
      <c r="H184" s="421" t="s">
        <v>4457</v>
      </c>
      <c r="I184" s="421" t="s">
        <v>4571</v>
      </c>
      <c r="J184" s="422"/>
    </row>
    <row r="185">
      <c r="A185" s="419" t="s">
        <v>4869</v>
      </c>
      <c r="B185" s="421">
        <v>971.0</v>
      </c>
      <c r="C185" s="421" t="s">
        <v>4870</v>
      </c>
      <c r="D185" s="420">
        <v>0.0</v>
      </c>
      <c r="E185" s="421" t="s">
        <v>4747</v>
      </c>
      <c r="F185" s="421">
        <v>1209.0</v>
      </c>
      <c r="G185" s="421">
        <v>12.0</v>
      </c>
      <c r="H185" s="421" t="s">
        <v>4457</v>
      </c>
      <c r="I185" s="421" t="s">
        <v>4571</v>
      </c>
      <c r="J185" s="422"/>
    </row>
    <row r="186">
      <c r="A186" s="419" t="s">
        <v>4871</v>
      </c>
      <c r="B186" s="421">
        <v>971.0</v>
      </c>
      <c r="C186" s="421" t="s">
        <v>4837</v>
      </c>
      <c r="D186" s="420">
        <v>0.0</v>
      </c>
      <c r="E186" s="421" t="s">
        <v>4747</v>
      </c>
      <c r="F186" s="421">
        <v>1210.0</v>
      </c>
      <c r="G186" s="421">
        <v>12.0</v>
      </c>
      <c r="H186" s="421" t="s">
        <v>4457</v>
      </c>
      <c r="I186" s="421" t="s">
        <v>4571</v>
      </c>
      <c r="J186" s="422"/>
    </row>
    <row r="187">
      <c r="A187" s="419" t="s">
        <v>4872</v>
      </c>
      <c r="B187" s="420">
        <v>0.0</v>
      </c>
      <c r="C187" s="421" t="s">
        <v>4873</v>
      </c>
      <c r="D187" s="420">
        <v>0.0</v>
      </c>
      <c r="E187" s="421" t="s">
        <v>4747</v>
      </c>
      <c r="F187" s="421">
        <v>1211.0</v>
      </c>
      <c r="G187" s="421">
        <v>12.0</v>
      </c>
      <c r="H187" s="421" t="s">
        <v>4457</v>
      </c>
      <c r="I187" s="421" t="s">
        <v>4461</v>
      </c>
      <c r="J187" s="422"/>
    </row>
    <row r="188">
      <c r="A188" s="419" t="s">
        <v>4874</v>
      </c>
      <c r="B188" s="421">
        <v>971.0</v>
      </c>
      <c r="C188" s="421" t="s">
        <v>4875</v>
      </c>
      <c r="D188" s="421" t="s">
        <v>4876</v>
      </c>
      <c r="E188" s="421" t="s">
        <v>4747</v>
      </c>
      <c r="F188" s="421">
        <v>1301.0</v>
      </c>
      <c r="G188" s="421">
        <v>13.0</v>
      </c>
      <c r="H188" s="421" t="s">
        <v>4457</v>
      </c>
      <c r="I188" s="421" t="s">
        <v>4852</v>
      </c>
      <c r="J188" s="422"/>
    </row>
    <row r="189">
      <c r="A189" s="419" t="s">
        <v>4877</v>
      </c>
      <c r="B189" s="420">
        <v>0.0</v>
      </c>
      <c r="C189" s="421" t="s">
        <v>4878</v>
      </c>
      <c r="D189" s="421" t="s">
        <v>4879</v>
      </c>
      <c r="E189" s="421" t="s">
        <v>4747</v>
      </c>
      <c r="F189" s="421">
        <v>1302.0</v>
      </c>
      <c r="G189" s="421">
        <v>13.0</v>
      </c>
      <c r="H189" s="421" t="s">
        <v>4479</v>
      </c>
      <c r="I189" s="421" t="s">
        <v>4880</v>
      </c>
      <c r="J189" s="422"/>
    </row>
    <row r="190">
      <c r="A190" s="419" t="s">
        <v>4881</v>
      </c>
      <c r="B190" s="421">
        <v>971.0</v>
      </c>
      <c r="C190" s="421" t="s">
        <v>4882</v>
      </c>
      <c r="D190" s="420">
        <v>0.0</v>
      </c>
      <c r="E190" s="421" t="s">
        <v>4747</v>
      </c>
      <c r="F190" s="421">
        <v>1304.0</v>
      </c>
      <c r="G190" s="421">
        <v>13.0</v>
      </c>
      <c r="H190" s="421" t="s">
        <v>4479</v>
      </c>
      <c r="I190" s="421" t="s">
        <v>4461</v>
      </c>
      <c r="J190" s="422"/>
    </row>
    <row r="191">
      <c r="A191" s="419" t="s">
        <v>4883</v>
      </c>
      <c r="B191" s="420">
        <v>0.0</v>
      </c>
      <c r="C191" s="421" t="s">
        <v>4884</v>
      </c>
      <c r="D191" s="420">
        <v>0.0</v>
      </c>
      <c r="E191" s="421" t="s">
        <v>4747</v>
      </c>
      <c r="F191" s="421">
        <v>1305.0</v>
      </c>
      <c r="G191" s="421">
        <v>13.0</v>
      </c>
      <c r="H191" s="421" t="s">
        <v>4479</v>
      </c>
      <c r="I191" s="421" t="s">
        <v>4533</v>
      </c>
      <c r="J191" s="422"/>
    </row>
    <row r="192">
      <c r="A192" s="419" t="s">
        <v>4885</v>
      </c>
      <c r="B192" s="421" t="s">
        <v>4886</v>
      </c>
      <c r="C192" s="421" t="s">
        <v>4887</v>
      </c>
      <c r="D192" s="421" t="s">
        <v>4888</v>
      </c>
      <c r="E192" s="421" t="s">
        <v>4747</v>
      </c>
      <c r="F192" s="421">
        <v>1306.0</v>
      </c>
      <c r="G192" s="421">
        <v>13.0</v>
      </c>
      <c r="H192" s="421" t="s">
        <v>4479</v>
      </c>
      <c r="I192" s="421" t="s">
        <v>4472</v>
      </c>
      <c r="J192" s="422"/>
    </row>
    <row r="193">
      <c r="A193" s="419" t="s">
        <v>4889</v>
      </c>
      <c r="B193" s="420">
        <v>0.0</v>
      </c>
      <c r="C193" s="421">
        <v>5.55444064E8</v>
      </c>
      <c r="D193" s="421" t="s">
        <v>4890</v>
      </c>
      <c r="E193" s="421" t="s">
        <v>4747</v>
      </c>
      <c r="F193" s="421">
        <v>1307.0</v>
      </c>
      <c r="G193" s="421">
        <v>13.0</v>
      </c>
      <c r="H193" s="421" t="s">
        <v>4479</v>
      </c>
      <c r="I193" s="421" t="s">
        <v>4485</v>
      </c>
      <c r="J193" s="422"/>
    </row>
    <row r="194">
      <c r="A194" s="419" t="s">
        <v>4891</v>
      </c>
      <c r="B194" s="421">
        <v>4.224125E7</v>
      </c>
      <c r="C194" s="421">
        <v>9.71506502289E11</v>
      </c>
      <c r="D194" s="420">
        <v>0.0</v>
      </c>
      <c r="E194" s="421" t="s">
        <v>4747</v>
      </c>
      <c r="F194" s="421">
        <v>1308.0</v>
      </c>
      <c r="G194" s="421">
        <v>13.0</v>
      </c>
      <c r="H194" s="421" t="s">
        <v>4457</v>
      </c>
      <c r="I194" s="421" t="s">
        <v>4575</v>
      </c>
      <c r="J194" s="422"/>
    </row>
    <row r="195">
      <c r="A195" s="419" t="s">
        <v>4892</v>
      </c>
      <c r="B195" s="420">
        <v>0.0</v>
      </c>
      <c r="C195" s="421" t="s">
        <v>4893</v>
      </c>
      <c r="D195" s="420">
        <v>0.0</v>
      </c>
      <c r="E195" s="421" t="s">
        <v>4747</v>
      </c>
      <c r="F195" s="421">
        <v>1309.0</v>
      </c>
      <c r="G195" s="421">
        <v>13.0</v>
      </c>
      <c r="H195" s="421" t="s">
        <v>4457</v>
      </c>
      <c r="I195" s="421" t="s">
        <v>4472</v>
      </c>
      <c r="J195" s="422"/>
    </row>
    <row r="196">
      <c r="A196" s="419" t="s">
        <v>4892</v>
      </c>
      <c r="B196" s="420">
        <v>0.0</v>
      </c>
      <c r="C196" s="421" t="s">
        <v>4893</v>
      </c>
      <c r="D196" s="420">
        <v>0.0</v>
      </c>
      <c r="E196" s="421" t="s">
        <v>4747</v>
      </c>
      <c r="F196" s="421">
        <v>1310.0</v>
      </c>
      <c r="G196" s="421">
        <v>13.0</v>
      </c>
      <c r="H196" s="421" t="s">
        <v>4457</v>
      </c>
      <c r="I196" s="421" t="s">
        <v>4472</v>
      </c>
      <c r="J196" s="422"/>
    </row>
    <row r="197">
      <c r="A197" s="419" t="s">
        <v>4894</v>
      </c>
      <c r="B197" s="420">
        <v>0.0</v>
      </c>
      <c r="C197" s="421" t="s">
        <v>4862</v>
      </c>
      <c r="D197" s="421" t="s">
        <v>4863</v>
      </c>
      <c r="E197" s="421" t="s">
        <v>4747</v>
      </c>
      <c r="F197" s="421">
        <v>1311.0</v>
      </c>
      <c r="G197" s="421">
        <v>13.0</v>
      </c>
      <c r="H197" s="421" t="s">
        <v>4457</v>
      </c>
      <c r="I197" s="421" t="s">
        <v>4503</v>
      </c>
      <c r="J197" s="422"/>
    </row>
    <row r="198">
      <c r="A198" s="419" t="s">
        <v>4895</v>
      </c>
      <c r="B198" s="420">
        <v>0.0</v>
      </c>
      <c r="C198" s="421" t="s">
        <v>4896</v>
      </c>
      <c r="D198" s="421" t="s">
        <v>4897</v>
      </c>
      <c r="E198" s="421" t="s">
        <v>4747</v>
      </c>
      <c r="F198" s="421">
        <v>1402.0</v>
      </c>
      <c r="G198" s="421">
        <v>14.0</v>
      </c>
      <c r="H198" s="421" t="s">
        <v>4479</v>
      </c>
      <c r="I198" s="421" t="s">
        <v>4514</v>
      </c>
      <c r="J198" s="422"/>
    </row>
    <row r="199">
      <c r="A199" s="419" t="s">
        <v>4898</v>
      </c>
      <c r="B199" s="420">
        <v>0.0</v>
      </c>
      <c r="C199" s="421" t="s">
        <v>4899</v>
      </c>
      <c r="D199" s="420">
        <v>0.0</v>
      </c>
      <c r="E199" s="421" t="s">
        <v>4747</v>
      </c>
      <c r="F199" s="421">
        <v>1404.0</v>
      </c>
      <c r="G199" s="421">
        <v>14.0</v>
      </c>
      <c r="H199" s="421" t="s">
        <v>4479</v>
      </c>
      <c r="I199" s="421" t="s">
        <v>4503</v>
      </c>
      <c r="J199" s="422"/>
    </row>
    <row r="200">
      <c r="A200" s="419" t="s">
        <v>4900</v>
      </c>
      <c r="B200" s="421">
        <v>971.0</v>
      </c>
      <c r="C200" s="421">
        <v>971.0</v>
      </c>
      <c r="D200" s="420">
        <v>0.0</v>
      </c>
      <c r="E200" s="421" t="s">
        <v>4747</v>
      </c>
      <c r="F200" s="421">
        <v>1405.0</v>
      </c>
      <c r="G200" s="421">
        <v>14.0</v>
      </c>
      <c r="H200" s="421" t="s">
        <v>4479</v>
      </c>
      <c r="I200" s="421" t="s">
        <v>4472</v>
      </c>
      <c r="J200" s="422"/>
    </row>
    <row r="201">
      <c r="A201" s="419" t="s">
        <v>4901</v>
      </c>
      <c r="B201" s="420">
        <v>0.0</v>
      </c>
      <c r="C201" s="420">
        <v>0.0</v>
      </c>
      <c r="D201" s="420">
        <v>0.0</v>
      </c>
      <c r="E201" s="421" t="s">
        <v>4747</v>
      </c>
      <c r="F201" s="421">
        <v>1406.0</v>
      </c>
      <c r="G201" s="421">
        <v>14.0</v>
      </c>
      <c r="H201" s="421" t="s">
        <v>4479</v>
      </c>
      <c r="I201" s="421" t="s">
        <v>4525</v>
      </c>
      <c r="J201" s="422"/>
    </row>
    <row r="202">
      <c r="A202" s="419" t="s">
        <v>4902</v>
      </c>
      <c r="B202" s="421">
        <v>971.0</v>
      </c>
      <c r="C202" s="421">
        <v>5.04591726E8</v>
      </c>
      <c r="D202" s="420">
        <v>0.0</v>
      </c>
      <c r="E202" s="421" t="s">
        <v>4747</v>
      </c>
      <c r="F202" s="421">
        <v>1408.0</v>
      </c>
      <c r="G202" s="421">
        <v>14.0</v>
      </c>
      <c r="H202" s="421" t="s">
        <v>4457</v>
      </c>
      <c r="I202" s="421" t="s">
        <v>4631</v>
      </c>
      <c r="J202" s="422"/>
    </row>
    <row r="203">
      <c r="A203" s="419" t="s">
        <v>4903</v>
      </c>
      <c r="B203" s="421" t="s">
        <v>4904</v>
      </c>
      <c r="C203" s="421">
        <v>5.06565329E8</v>
      </c>
      <c r="D203" s="420">
        <v>0.0</v>
      </c>
      <c r="E203" s="421" t="s">
        <v>4747</v>
      </c>
      <c r="F203" s="421">
        <v>1409.0</v>
      </c>
      <c r="G203" s="421">
        <v>14.0</v>
      </c>
      <c r="H203" s="421" t="s">
        <v>4457</v>
      </c>
      <c r="I203" s="421" t="s">
        <v>4670</v>
      </c>
      <c r="J203" s="422"/>
    </row>
    <row r="204">
      <c r="A204" s="419" t="s">
        <v>4905</v>
      </c>
      <c r="B204" s="420">
        <v>0.0</v>
      </c>
      <c r="C204" s="421" t="s">
        <v>4906</v>
      </c>
      <c r="D204" s="421" t="s">
        <v>4907</v>
      </c>
      <c r="E204" s="421" t="s">
        <v>4747</v>
      </c>
      <c r="F204" s="421">
        <v>1410.0</v>
      </c>
      <c r="G204" s="421">
        <v>14.0</v>
      </c>
      <c r="H204" s="421" t="s">
        <v>4457</v>
      </c>
      <c r="I204" s="421" t="s">
        <v>4472</v>
      </c>
      <c r="J204" s="422"/>
    </row>
    <row r="205">
      <c r="A205" s="419" t="s">
        <v>4908</v>
      </c>
      <c r="B205" s="420">
        <v>0.0</v>
      </c>
      <c r="C205" s="421">
        <v>5.06417176E8</v>
      </c>
      <c r="D205" s="420">
        <v>0.0</v>
      </c>
      <c r="E205" s="421" t="s">
        <v>4747</v>
      </c>
      <c r="F205" s="421">
        <v>1502.0</v>
      </c>
      <c r="G205" s="421">
        <v>15.0</v>
      </c>
      <c r="H205" s="421" t="s">
        <v>4479</v>
      </c>
      <c r="I205" s="421" t="s">
        <v>4461</v>
      </c>
      <c r="J205" s="422"/>
    </row>
    <row r="206">
      <c r="A206" s="419" t="s">
        <v>4909</v>
      </c>
      <c r="B206" s="420">
        <v>0.0</v>
      </c>
      <c r="C206" s="421" t="s">
        <v>4910</v>
      </c>
      <c r="D206" s="420">
        <v>0.0</v>
      </c>
      <c r="E206" s="421" t="s">
        <v>4747</v>
      </c>
      <c r="F206" s="421">
        <v>1503.0</v>
      </c>
      <c r="G206" s="421">
        <v>15.0</v>
      </c>
      <c r="H206" s="421" t="s">
        <v>4457</v>
      </c>
      <c r="I206" s="421" t="s">
        <v>4472</v>
      </c>
      <c r="J206" s="422"/>
    </row>
    <row r="207">
      <c r="A207" s="419" t="s">
        <v>4894</v>
      </c>
      <c r="B207" s="420">
        <v>0.0</v>
      </c>
      <c r="C207" s="421" t="s">
        <v>4862</v>
      </c>
      <c r="D207" s="421" t="s">
        <v>4863</v>
      </c>
      <c r="E207" s="421" t="s">
        <v>4747</v>
      </c>
      <c r="F207" s="421">
        <v>1504.0</v>
      </c>
      <c r="G207" s="421">
        <v>15.0</v>
      </c>
      <c r="H207" s="421" t="s">
        <v>4479</v>
      </c>
      <c r="I207" s="421" t="s">
        <v>4503</v>
      </c>
      <c r="J207" s="422"/>
    </row>
    <row r="208">
      <c r="A208" s="419" t="s">
        <v>4911</v>
      </c>
      <c r="B208" s="421">
        <v>0.0</v>
      </c>
      <c r="C208" s="421">
        <v>7.1506518325E10</v>
      </c>
      <c r="D208" s="420">
        <v>0.0</v>
      </c>
      <c r="E208" s="421" t="s">
        <v>4747</v>
      </c>
      <c r="F208" s="421">
        <v>1505.0</v>
      </c>
      <c r="G208" s="421">
        <v>15.0</v>
      </c>
      <c r="H208" s="421" t="s">
        <v>4479</v>
      </c>
      <c r="I208" s="421" t="s">
        <v>4533</v>
      </c>
      <c r="J208" s="422"/>
    </row>
    <row r="209">
      <c r="A209" s="419" t="s">
        <v>4912</v>
      </c>
      <c r="B209" s="420">
        <v>0.0</v>
      </c>
      <c r="C209" s="421">
        <v>4.47459604965E11</v>
      </c>
      <c r="D209" s="420">
        <v>0.0</v>
      </c>
      <c r="E209" s="421" t="s">
        <v>4747</v>
      </c>
      <c r="F209" s="421">
        <v>1506.0</v>
      </c>
      <c r="G209" s="421">
        <v>15.0</v>
      </c>
      <c r="H209" s="421" t="s">
        <v>4479</v>
      </c>
      <c r="I209" s="421" t="s">
        <v>4525</v>
      </c>
      <c r="J209" s="422"/>
    </row>
    <row r="210">
      <c r="A210" s="419" t="s">
        <v>4913</v>
      </c>
      <c r="B210" s="421">
        <v>971.0</v>
      </c>
      <c r="C210" s="421" t="s">
        <v>4914</v>
      </c>
      <c r="D210" s="420">
        <v>0.0</v>
      </c>
      <c r="E210" s="421" t="s">
        <v>4747</v>
      </c>
      <c r="F210" s="421">
        <v>1507.0</v>
      </c>
      <c r="G210" s="421">
        <v>15.0</v>
      </c>
      <c r="H210" s="421" t="s">
        <v>4479</v>
      </c>
      <c r="I210" s="421" t="s">
        <v>4514</v>
      </c>
      <c r="J210" s="422"/>
    </row>
    <row r="211">
      <c r="A211" s="419" t="s">
        <v>4915</v>
      </c>
      <c r="B211" s="420">
        <v>0.0</v>
      </c>
      <c r="C211" s="421">
        <v>9.71507675576E11</v>
      </c>
      <c r="D211" s="420">
        <v>0.0</v>
      </c>
      <c r="E211" s="421" t="s">
        <v>4747</v>
      </c>
      <c r="F211" s="421">
        <v>1509.0</v>
      </c>
      <c r="G211" s="421">
        <v>15.0</v>
      </c>
      <c r="H211" s="421" t="s">
        <v>4457</v>
      </c>
      <c r="I211" s="421" t="s">
        <v>4461</v>
      </c>
      <c r="J211" s="422"/>
    </row>
    <row r="212">
      <c r="A212" s="419" t="s">
        <v>4908</v>
      </c>
      <c r="B212" s="420">
        <v>0.0</v>
      </c>
      <c r="C212" s="421">
        <v>5.06417176E8</v>
      </c>
      <c r="D212" s="420">
        <v>0.0</v>
      </c>
      <c r="E212" s="421" t="s">
        <v>4747</v>
      </c>
      <c r="F212" s="421">
        <v>1510.0</v>
      </c>
      <c r="G212" s="421">
        <v>15.0</v>
      </c>
      <c r="H212" s="421" t="s">
        <v>4457</v>
      </c>
      <c r="I212" s="421" t="s">
        <v>4461</v>
      </c>
      <c r="J212" s="422"/>
    </row>
    <row r="213">
      <c r="A213" s="419" t="s">
        <v>4916</v>
      </c>
      <c r="B213" s="421">
        <v>971.0</v>
      </c>
      <c r="C213" s="421" t="s">
        <v>4917</v>
      </c>
      <c r="D213" s="420">
        <v>0.0</v>
      </c>
      <c r="E213" s="421" t="s">
        <v>4747</v>
      </c>
      <c r="F213" s="421">
        <v>1802.0</v>
      </c>
      <c r="G213" s="421">
        <v>18.0</v>
      </c>
      <c r="H213" s="421" t="s">
        <v>4457</v>
      </c>
      <c r="I213" s="421" t="s">
        <v>4503</v>
      </c>
      <c r="J213" s="422"/>
    </row>
    <row r="214">
      <c r="A214" s="419" t="s">
        <v>4918</v>
      </c>
      <c r="B214" s="421">
        <v>971.0</v>
      </c>
      <c r="C214" s="421" t="s">
        <v>4919</v>
      </c>
      <c r="D214" s="420">
        <v>0.0</v>
      </c>
      <c r="E214" s="421" t="s">
        <v>4747</v>
      </c>
      <c r="F214" s="421">
        <v>1803.0</v>
      </c>
      <c r="G214" s="421">
        <v>18.0</v>
      </c>
      <c r="H214" s="421" t="s">
        <v>4457</v>
      </c>
      <c r="I214" s="421" t="s">
        <v>4726</v>
      </c>
      <c r="J214" s="422"/>
    </row>
    <row r="215">
      <c r="A215" s="419" t="s">
        <v>4920</v>
      </c>
      <c r="B215" s="421">
        <v>5.56444418E8</v>
      </c>
      <c r="C215" s="421">
        <v>1.0</v>
      </c>
      <c r="D215" s="420">
        <v>0.0</v>
      </c>
      <c r="E215" s="421" t="s">
        <v>4747</v>
      </c>
      <c r="F215" s="421">
        <v>1804.0</v>
      </c>
      <c r="G215" s="421">
        <v>18.0</v>
      </c>
      <c r="H215" s="421" t="s">
        <v>4457</v>
      </c>
      <c r="I215" s="421" t="s">
        <v>4461</v>
      </c>
      <c r="J215" s="422"/>
    </row>
    <row r="216">
      <c r="A216" s="419" t="s">
        <v>4921</v>
      </c>
      <c r="B216" s="420">
        <v>0.0</v>
      </c>
      <c r="C216" s="420">
        <v>0.0</v>
      </c>
      <c r="D216" s="420">
        <v>0.0</v>
      </c>
      <c r="E216" s="421" t="s">
        <v>4747</v>
      </c>
      <c r="F216" s="421">
        <v>1805.0</v>
      </c>
      <c r="G216" s="421">
        <v>18.0</v>
      </c>
      <c r="H216" s="421" t="s">
        <v>4479</v>
      </c>
      <c r="I216" s="421" t="s">
        <v>4922</v>
      </c>
      <c r="J216" s="422"/>
    </row>
    <row r="217">
      <c r="A217" s="419" t="s">
        <v>4923</v>
      </c>
      <c r="B217" s="420">
        <v>0.0</v>
      </c>
      <c r="C217" s="421">
        <v>9.66555040076E11</v>
      </c>
      <c r="D217" s="420">
        <v>0.0</v>
      </c>
      <c r="E217" s="421" t="s">
        <v>4747</v>
      </c>
      <c r="F217" s="421">
        <v>1806.0</v>
      </c>
      <c r="G217" s="421">
        <v>18.0</v>
      </c>
      <c r="H217" s="421" t="s">
        <v>4479</v>
      </c>
      <c r="I217" s="421" t="s">
        <v>4514</v>
      </c>
      <c r="J217" s="422"/>
    </row>
    <row r="218">
      <c r="A218" s="419" t="s">
        <v>4924</v>
      </c>
      <c r="B218" s="420">
        <v>0.0</v>
      </c>
      <c r="C218" s="421">
        <v>96655.0</v>
      </c>
      <c r="D218" s="420">
        <v>0.0</v>
      </c>
      <c r="E218" s="421" t="s">
        <v>4747</v>
      </c>
      <c r="F218" s="421">
        <v>1807.0</v>
      </c>
      <c r="G218" s="421">
        <v>18.0</v>
      </c>
      <c r="H218" s="421" t="s">
        <v>4457</v>
      </c>
      <c r="I218" s="421" t="s">
        <v>4472</v>
      </c>
      <c r="J218" s="422"/>
    </row>
    <row r="219">
      <c r="A219" s="419" t="s">
        <v>4925</v>
      </c>
      <c r="B219" s="421" t="s">
        <v>4926</v>
      </c>
      <c r="C219" s="421">
        <v>0.0</v>
      </c>
      <c r="D219" s="420">
        <v>0.0</v>
      </c>
      <c r="E219" s="421" t="s">
        <v>4747</v>
      </c>
      <c r="F219" s="421">
        <v>1808.0</v>
      </c>
      <c r="G219" s="421">
        <v>18.0</v>
      </c>
      <c r="H219" s="421" t="s">
        <v>4641</v>
      </c>
      <c r="I219" s="421" t="s">
        <v>4461</v>
      </c>
      <c r="J219" s="422"/>
    </row>
    <row r="220">
      <c r="A220" s="419" t="s">
        <v>4927</v>
      </c>
      <c r="B220" s="421" t="s">
        <v>4928</v>
      </c>
      <c r="C220" s="421" t="s">
        <v>4929</v>
      </c>
      <c r="D220" s="420">
        <v>0.0</v>
      </c>
      <c r="E220" s="421" t="s">
        <v>4747</v>
      </c>
      <c r="F220" s="421">
        <v>1809.0</v>
      </c>
      <c r="G220" s="421">
        <v>18.0</v>
      </c>
      <c r="H220" s="421" t="s">
        <v>4641</v>
      </c>
      <c r="I220" s="421" t="s">
        <v>4503</v>
      </c>
      <c r="J220" s="422"/>
    </row>
    <row r="221">
      <c r="A221" s="419" t="s">
        <v>4930</v>
      </c>
      <c r="B221" s="420">
        <v>0.0</v>
      </c>
      <c r="C221" s="421" t="s">
        <v>4931</v>
      </c>
      <c r="D221" s="421" t="s">
        <v>4932</v>
      </c>
      <c r="E221" s="421" t="s">
        <v>4747</v>
      </c>
      <c r="F221" s="421">
        <v>1901.0</v>
      </c>
      <c r="G221" s="421">
        <v>19.0</v>
      </c>
      <c r="H221" s="421" t="s">
        <v>4641</v>
      </c>
      <c r="I221" s="421" t="s">
        <v>4626</v>
      </c>
      <c r="J221" s="422"/>
    </row>
    <row r="222">
      <c r="A222" s="419" t="s">
        <v>4933</v>
      </c>
      <c r="B222" s="420">
        <v>0.0</v>
      </c>
      <c r="C222" s="421" t="s">
        <v>4934</v>
      </c>
      <c r="D222" s="421" t="s">
        <v>4935</v>
      </c>
      <c r="E222" s="421" t="s">
        <v>4747</v>
      </c>
      <c r="F222" s="421">
        <v>1902.0</v>
      </c>
      <c r="G222" s="421">
        <v>19.0</v>
      </c>
      <c r="H222" s="421" t="s">
        <v>4457</v>
      </c>
      <c r="I222" s="421" t="s">
        <v>4571</v>
      </c>
      <c r="J222" s="422"/>
    </row>
    <row r="223">
      <c r="A223" s="419" t="s">
        <v>4936</v>
      </c>
      <c r="B223" s="421">
        <v>9.6597888856E10</v>
      </c>
      <c r="C223" s="421">
        <v>9.6597888856E10</v>
      </c>
      <c r="D223" s="421" t="s">
        <v>4937</v>
      </c>
      <c r="E223" s="421" t="s">
        <v>4747</v>
      </c>
      <c r="F223" s="421">
        <v>1903.0</v>
      </c>
      <c r="G223" s="421">
        <v>19.0</v>
      </c>
      <c r="H223" s="421" t="s">
        <v>4457</v>
      </c>
      <c r="I223" s="421" t="s">
        <v>4458</v>
      </c>
      <c r="J223" s="422"/>
    </row>
    <row r="224">
      <c r="A224" s="419" t="s">
        <v>4938</v>
      </c>
      <c r="B224" s="420">
        <v>0.0</v>
      </c>
      <c r="C224" s="421" t="s">
        <v>4939</v>
      </c>
      <c r="D224" s="420">
        <v>0.0</v>
      </c>
      <c r="E224" s="421" t="s">
        <v>4747</v>
      </c>
      <c r="F224" s="421">
        <v>1904.0</v>
      </c>
      <c r="G224" s="421">
        <v>19.0</v>
      </c>
      <c r="H224" s="421" t="s">
        <v>4457</v>
      </c>
      <c r="I224" s="421" t="s">
        <v>4571</v>
      </c>
      <c r="J224" s="422"/>
    </row>
    <row r="225">
      <c r="A225" s="419" t="s">
        <v>4940</v>
      </c>
      <c r="B225" s="421">
        <v>4.3308184E7</v>
      </c>
      <c r="C225" s="421">
        <v>9.71561703745E11</v>
      </c>
      <c r="D225" s="420">
        <v>0.0</v>
      </c>
      <c r="E225" s="421" t="s">
        <v>4747</v>
      </c>
      <c r="F225" s="421">
        <v>1905.0</v>
      </c>
      <c r="G225" s="421">
        <v>19.0</v>
      </c>
      <c r="H225" s="421" t="s">
        <v>4479</v>
      </c>
      <c r="I225" s="421" t="s">
        <v>4642</v>
      </c>
      <c r="J225" s="422"/>
    </row>
    <row r="226">
      <c r="A226" s="419" t="s">
        <v>4941</v>
      </c>
      <c r="B226" s="420">
        <v>0.0</v>
      </c>
      <c r="C226" s="421">
        <v>5.02182E8</v>
      </c>
      <c r="D226" s="420">
        <v>0.0</v>
      </c>
      <c r="E226" s="421" t="s">
        <v>4747</v>
      </c>
      <c r="F226" s="421">
        <v>1906.0</v>
      </c>
      <c r="G226" s="421">
        <v>19.0</v>
      </c>
      <c r="H226" s="421" t="s">
        <v>4479</v>
      </c>
      <c r="I226" s="421" t="s">
        <v>4461</v>
      </c>
      <c r="J226" s="422"/>
    </row>
    <row r="227">
      <c r="A227" s="419" t="s">
        <v>4942</v>
      </c>
      <c r="B227" s="420">
        <v>0.0</v>
      </c>
      <c r="C227" s="421">
        <v>5.5666689E8</v>
      </c>
      <c r="D227" s="420">
        <v>0.0</v>
      </c>
      <c r="E227" s="421" t="s">
        <v>4747</v>
      </c>
      <c r="F227" s="421">
        <v>1908.0</v>
      </c>
      <c r="G227" s="421">
        <v>19.0</v>
      </c>
      <c r="H227" s="421" t="s">
        <v>4641</v>
      </c>
      <c r="I227" s="421" t="s">
        <v>4461</v>
      </c>
      <c r="J227" s="422"/>
    </row>
    <row r="228">
      <c r="A228" s="419" t="s">
        <v>4943</v>
      </c>
      <c r="B228" s="421">
        <v>5.58800943E8</v>
      </c>
      <c r="C228" s="421" t="s">
        <v>4535</v>
      </c>
      <c r="D228" s="420">
        <v>0.0</v>
      </c>
      <c r="E228" s="421" t="s">
        <v>4747</v>
      </c>
      <c r="F228" s="421">
        <v>1909.0</v>
      </c>
      <c r="G228" s="421">
        <v>19.0</v>
      </c>
      <c r="H228" s="421" t="s">
        <v>4641</v>
      </c>
      <c r="I228" s="421" t="s">
        <v>4550</v>
      </c>
      <c r="J228" s="422"/>
    </row>
    <row r="229">
      <c r="A229" s="419" t="s">
        <v>4944</v>
      </c>
      <c r="B229" s="420">
        <v>0.0</v>
      </c>
      <c r="C229" s="421" t="s">
        <v>4945</v>
      </c>
      <c r="D229" s="420">
        <v>0.0</v>
      </c>
      <c r="E229" s="421" t="s">
        <v>4747</v>
      </c>
      <c r="F229" s="421">
        <v>2002.0</v>
      </c>
      <c r="G229" s="421">
        <v>20.0</v>
      </c>
      <c r="H229" s="421" t="s">
        <v>4457</v>
      </c>
      <c r="I229" s="421" t="s">
        <v>4514</v>
      </c>
      <c r="J229" s="422"/>
    </row>
    <row r="230">
      <c r="A230" s="419" t="s">
        <v>4946</v>
      </c>
      <c r="B230" s="420">
        <v>0.0</v>
      </c>
      <c r="C230" s="421" t="s">
        <v>4947</v>
      </c>
      <c r="D230" s="420">
        <v>0.0</v>
      </c>
      <c r="E230" s="421" t="s">
        <v>4747</v>
      </c>
      <c r="F230" s="421">
        <v>2003.0</v>
      </c>
      <c r="G230" s="421">
        <v>20.0</v>
      </c>
      <c r="H230" s="421" t="s">
        <v>4457</v>
      </c>
      <c r="I230" s="421" t="s">
        <v>4533</v>
      </c>
      <c r="J230" s="422"/>
    </row>
    <row r="231">
      <c r="A231" s="419" t="s">
        <v>4948</v>
      </c>
      <c r="B231" s="421">
        <v>971.0</v>
      </c>
      <c r="C231" s="421" t="s">
        <v>4949</v>
      </c>
      <c r="D231" s="420">
        <v>0.0</v>
      </c>
      <c r="E231" s="421" t="s">
        <v>4747</v>
      </c>
      <c r="F231" s="421">
        <v>2004.0</v>
      </c>
      <c r="G231" s="421">
        <v>20.0</v>
      </c>
      <c r="H231" s="421" t="s">
        <v>4457</v>
      </c>
      <c r="I231" s="421" t="s">
        <v>4500</v>
      </c>
      <c r="J231" s="422"/>
    </row>
    <row r="232">
      <c r="A232" s="419" t="s">
        <v>4950</v>
      </c>
      <c r="B232" s="421">
        <v>4.4230101E7</v>
      </c>
      <c r="C232" s="421">
        <v>5.06547812E8</v>
      </c>
      <c r="D232" s="420">
        <v>0.0</v>
      </c>
      <c r="E232" s="421" t="s">
        <v>4747</v>
      </c>
      <c r="F232" s="421">
        <v>2005.0</v>
      </c>
      <c r="G232" s="421">
        <v>20.0</v>
      </c>
      <c r="H232" s="421" t="s">
        <v>4479</v>
      </c>
      <c r="I232" s="421" t="s">
        <v>4852</v>
      </c>
      <c r="J232" s="422"/>
    </row>
    <row r="233">
      <c r="A233" s="419" t="s">
        <v>4951</v>
      </c>
      <c r="B233" s="421" t="s">
        <v>4952</v>
      </c>
      <c r="C233" s="421" t="s">
        <v>4953</v>
      </c>
      <c r="D233" s="421" t="s">
        <v>4954</v>
      </c>
      <c r="E233" s="421" t="s">
        <v>4747</v>
      </c>
      <c r="F233" s="421">
        <v>2006.0</v>
      </c>
      <c r="G233" s="421">
        <v>20.0</v>
      </c>
      <c r="H233" s="421" t="s">
        <v>4479</v>
      </c>
      <c r="I233" s="421" t="s">
        <v>4955</v>
      </c>
      <c r="J233" s="422"/>
    </row>
    <row r="234">
      <c r="A234" s="419" t="s">
        <v>4956</v>
      </c>
      <c r="B234" s="421">
        <v>5.04439441E8</v>
      </c>
      <c r="C234" s="421" t="s">
        <v>4957</v>
      </c>
      <c r="D234" s="420">
        <v>0.0</v>
      </c>
      <c r="E234" s="421" t="s">
        <v>4747</v>
      </c>
      <c r="F234" s="421">
        <v>2007.0</v>
      </c>
      <c r="G234" s="421">
        <v>20.0</v>
      </c>
      <c r="H234" s="421" t="s">
        <v>4457</v>
      </c>
      <c r="I234" s="421" t="s">
        <v>4461</v>
      </c>
      <c r="J234" s="422"/>
    </row>
    <row r="235">
      <c r="A235" s="419" t="s">
        <v>4958</v>
      </c>
      <c r="B235" s="421">
        <v>971.0</v>
      </c>
      <c r="C235" s="421" t="s">
        <v>4959</v>
      </c>
      <c r="D235" s="420">
        <v>0.0</v>
      </c>
      <c r="E235" s="421" t="s">
        <v>4747</v>
      </c>
      <c r="F235" s="421">
        <v>2008.0</v>
      </c>
      <c r="G235" s="421">
        <v>20.0</v>
      </c>
      <c r="H235" s="421" t="s">
        <v>4641</v>
      </c>
      <c r="I235" s="421" t="s">
        <v>4503</v>
      </c>
      <c r="J235" s="422"/>
    </row>
    <row r="236">
      <c r="A236" s="419" t="s">
        <v>4960</v>
      </c>
      <c r="B236" s="421">
        <v>971.0</v>
      </c>
      <c r="C236" s="421" t="s">
        <v>4837</v>
      </c>
      <c r="D236" s="420">
        <v>0.0</v>
      </c>
      <c r="E236" s="421" t="s">
        <v>4747</v>
      </c>
      <c r="F236" s="421">
        <v>2102.0</v>
      </c>
      <c r="G236" s="421">
        <v>21.0</v>
      </c>
      <c r="H236" s="421" t="s">
        <v>4457</v>
      </c>
      <c r="I236" s="421" t="s">
        <v>4503</v>
      </c>
      <c r="J236" s="422"/>
    </row>
    <row r="237">
      <c r="A237" s="419" t="s">
        <v>4961</v>
      </c>
      <c r="B237" s="421" t="s">
        <v>4962</v>
      </c>
      <c r="C237" s="421" t="s">
        <v>4963</v>
      </c>
      <c r="D237" s="421" t="s">
        <v>4964</v>
      </c>
      <c r="E237" s="421" t="s">
        <v>4747</v>
      </c>
      <c r="F237" s="421">
        <v>2103.0</v>
      </c>
      <c r="G237" s="421">
        <v>21.0</v>
      </c>
      <c r="H237" s="421" t="s">
        <v>4457</v>
      </c>
      <c r="I237" s="421" t="s">
        <v>4965</v>
      </c>
      <c r="J237" s="422"/>
    </row>
    <row r="238">
      <c r="A238" s="419" t="s">
        <v>4966</v>
      </c>
      <c r="B238" s="420">
        <v>0.0</v>
      </c>
      <c r="C238" s="421">
        <v>9.6656220071E11</v>
      </c>
      <c r="D238" s="420">
        <v>0.0</v>
      </c>
      <c r="E238" s="421" t="s">
        <v>4747</v>
      </c>
      <c r="F238" s="421">
        <v>2105.0</v>
      </c>
      <c r="G238" s="421">
        <v>21.0</v>
      </c>
      <c r="H238" s="421" t="s">
        <v>4479</v>
      </c>
      <c r="I238" s="421" t="s">
        <v>4642</v>
      </c>
      <c r="J238" s="422"/>
    </row>
    <row r="239">
      <c r="A239" s="419" t="s">
        <v>4793</v>
      </c>
      <c r="B239" s="420">
        <v>0.0</v>
      </c>
      <c r="C239" s="421" t="s">
        <v>4794</v>
      </c>
      <c r="D239" s="421" t="s">
        <v>4795</v>
      </c>
      <c r="E239" s="421" t="s">
        <v>4747</v>
      </c>
      <c r="F239" s="421">
        <v>2106.0</v>
      </c>
      <c r="G239" s="421">
        <v>21.0</v>
      </c>
      <c r="H239" s="421" t="s">
        <v>4479</v>
      </c>
      <c r="I239" s="421" t="s">
        <v>4472</v>
      </c>
      <c r="J239" s="422"/>
    </row>
    <row r="240">
      <c r="A240" s="419" t="s">
        <v>4967</v>
      </c>
      <c r="B240" s="420">
        <v>0.0</v>
      </c>
      <c r="C240" s="421" t="s">
        <v>4968</v>
      </c>
      <c r="D240" s="420">
        <v>0.0</v>
      </c>
      <c r="E240" s="421" t="s">
        <v>4747</v>
      </c>
      <c r="F240" s="421">
        <v>2107.0</v>
      </c>
      <c r="G240" s="421">
        <v>21.0</v>
      </c>
      <c r="H240" s="421" t="s">
        <v>4457</v>
      </c>
      <c r="I240" s="421" t="s">
        <v>4542</v>
      </c>
      <c r="J240" s="422"/>
    </row>
    <row r="241">
      <c r="A241" s="419" t="s">
        <v>4969</v>
      </c>
      <c r="B241" s="420">
        <v>0.0</v>
      </c>
      <c r="C241" s="421" t="s">
        <v>4970</v>
      </c>
      <c r="D241" s="421" t="s">
        <v>4971</v>
      </c>
      <c r="E241" s="421" t="s">
        <v>4747</v>
      </c>
      <c r="F241" s="421">
        <v>2108.0</v>
      </c>
      <c r="G241" s="421">
        <v>21.0</v>
      </c>
      <c r="H241" s="421" t="s">
        <v>4641</v>
      </c>
      <c r="I241" s="421" t="s">
        <v>4472</v>
      </c>
      <c r="J241" s="422"/>
    </row>
    <row r="242">
      <c r="A242" s="419" t="s">
        <v>4972</v>
      </c>
      <c r="B242" s="420">
        <v>0.0</v>
      </c>
      <c r="C242" s="421" t="s">
        <v>4973</v>
      </c>
      <c r="D242" s="420">
        <v>0.0</v>
      </c>
      <c r="E242" s="421" t="s">
        <v>4747</v>
      </c>
      <c r="F242" s="421">
        <v>2109.0</v>
      </c>
      <c r="G242" s="421">
        <v>21.0</v>
      </c>
      <c r="H242" s="421" t="s">
        <v>4641</v>
      </c>
      <c r="I242" s="421" t="s">
        <v>4974</v>
      </c>
      <c r="J242" s="422"/>
    </row>
    <row r="243">
      <c r="A243" s="419" t="s">
        <v>4975</v>
      </c>
      <c r="B243" s="421">
        <v>971.0</v>
      </c>
      <c r="C243" s="421" t="s">
        <v>4976</v>
      </c>
      <c r="D243" s="420">
        <v>0.0</v>
      </c>
      <c r="E243" s="421" t="s">
        <v>4747</v>
      </c>
      <c r="F243" s="421">
        <v>2202.0</v>
      </c>
      <c r="G243" s="421">
        <v>22.0</v>
      </c>
      <c r="H243" s="421" t="s">
        <v>4457</v>
      </c>
      <c r="I243" s="421" t="s">
        <v>4503</v>
      </c>
      <c r="J243" s="422"/>
    </row>
    <row r="244">
      <c r="A244" s="419" t="s">
        <v>4977</v>
      </c>
      <c r="B244" s="420">
        <v>0.0</v>
      </c>
      <c r="C244" s="421" t="s">
        <v>4978</v>
      </c>
      <c r="D244" s="420">
        <v>0.0</v>
      </c>
      <c r="E244" s="421" t="s">
        <v>4747</v>
      </c>
      <c r="F244" s="421">
        <v>2203.0</v>
      </c>
      <c r="G244" s="421">
        <v>22.0</v>
      </c>
      <c r="H244" s="421" t="s">
        <v>4457</v>
      </c>
      <c r="I244" s="421" t="s">
        <v>4461</v>
      </c>
      <c r="J244" s="422"/>
    </row>
    <row r="245">
      <c r="A245" s="419" t="s">
        <v>4979</v>
      </c>
      <c r="B245" s="421">
        <v>0.0</v>
      </c>
      <c r="C245" s="421">
        <v>5.68490475E8</v>
      </c>
      <c r="D245" s="420">
        <v>0.0</v>
      </c>
      <c r="E245" s="421" t="s">
        <v>4747</v>
      </c>
      <c r="F245" s="421">
        <v>2205.0</v>
      </c>
      <c r="G245" s="421">
        <v>22.0</v>
      </c>
      <c r="H245" s="421" t="s">
        <v>4479</v>
      </c>
      <c r="I245" s="421" t="s">
        <v>4852</v>
      </c>
      <c r="J245" s="422"/>
    </row>
    <row r="246">
      <c r="A246" s="419" t="s">
        <v>4980</v>
      </c>
      <c r="B246" s="420">
        <v>0.0</v>
      </c>
      <c r="C246" s="421" t="s">
        <v>4981</v>
      </c>
      <c r="D246" s="421" t="s">
        <v>4982</v>
      </c>
      <c r="E246" s="421" t="s">
        <v>4747</v>
      </c>
      <c r="F246" s="421">
        <v>2206.0</v>
      </c>
      <c r="G246" s="421">
        <v>22.0</v>
      </c>
      <c r="H246" s="421" t="s">
        <v>4479</v>
      </c>
      <c r="I246" s="421" t="s">
        <v>4461</v>
      </c>
      <c r="J246" s="422"/>
    </row>
    <row r="247">
      <c r="A247" s="419" t="s">
        <v>4983</v>
      </c>
      <c r="B247" s="420">
        <v>0.0</v>
      </c>
      <c r="C247" s="421" t="s">
        <v>4984</v>
      </c>
      <c r="D247" s="420">
        <v>0.0</v>
      </c>
      <c r="E247" s="421" t="s">
        <v>4747</v>
      </c>
      <c r="F247" s="421">
        <v>2207.0</v>
      </c>
      <c r="G247" s="421">
        <v>22.0</v>
      </c>
      <c r="H247" s="421" t="s">
        <v>4457</v>
      </c>
      <c r="I247" s="421" t="s">
        <v>4542</v>
      </c>
      <c r="J247" s="422"/>
    </row>
    <row r="248">
      <c r="A248" s="419" t="s">
        <v>4985</v>
      </c>
      <c r="B248" s="421" t="s">
        <v>4986</v>
      </c>
      <c r="C248" s="421" t="s">
        <v>4987</v>
      </c>
      <c r="D248" s="420">
        <v>0.0</v>
      </c>
      <c r="E248" s="421" t="s">
        <v>4747</v>
      </c>
      <c r="F248" s="421">
        <v>2208.0</v>
      </c>
      <c r="G248" s="421">
        <v>22.0</v>
      </c>
      <c r="H248" s="421" t="s">
        <v>4641</v>
      </c>
      <c r="I248" s="421" t="s">
        <v>4988</v>
      </c>
      <c r="J248" s="422"/>
    </row>
    <row r="249">
      <c r="A249" s="419" t="s">
        <v>4989</v>
      </c>
      <c r="B249" s="421">
        <v>5.07832831E8</v>
      </c>
      <c r="C249" s="421" t="s">
        <v>4990</v>
      </c>
      <c r="D249" s="420">
        <v>0.0</v>
      </c>
      <c r="E249" s="421" t="s">
        <v>4747</v>
      </c>
      <c r="F249" s="421">
        <v>2209.0</v>
      </c>
      <c r="G249" s="421">
        <v>22.0</v>
      </c>
      <c r="H249" s="421" t="s">
        <v>4641</v>
      </c>
      <c r="I249" s="421" t="s">
        <v>4517</v>
      </c>
      <c r="J249" s="422"/>
    </row>
    <row r="250">
      <c r="A250" s="419" t="s">
        <v>4991</v>
      </c>
      <c r="B250" s="421">
        <v>971.0</v>
      </c>
      <c r="C250" s="421" t="s">
        <v>4810</v>
      </c>
      <c r="D250" s="420">
        <v>0.0</v>
      </c>
      <c r="E250" s="421" t="s">
        <v>4747</v>
      </c>
      <c r="F250" s="421">
        <v>2302.0</v>
      </c>
      <c r="G250" s="421">
        <v>23.0</v>
      </c>
      <c r="H250" s="421" t="s">
        <v>4457</v>
      </c>
      <c r="I250" s="421" t="s">
        <v>4503</v>
      </c>
      <c r="J250" s="422"/>
    </row>
    <row r="251">
      <c r="A251" s="419" t="s">
        <v>4992</v>
      </c>
      <c r="B251" s="420">
        <v>0.0</v>
      </c>
      <c r="C251" s="421" t="s">
        <v>4463</v>
      </c>
      <c r="D251" s="420">
        <v>0.0</v>
      </c>
      <c r="E251" s="421" t="s">
        <v>4747</v>
      </c>
      <c r="F251" s="421">
        <v>2303.0</v>
      </c>
      <c r="G251" s="421">
        <v>23.0</v>
      </c>
      <c r="H251" s="421" t="s">
        <v>4457</v>
      </c>
      <c r="I251" s="421" t="s">
        <v>4461</v>
      </c>
      <c r="J251" s="422"/>
    </row>
    <row r="252">
      <c r="A252" s="419" t="s">
        <v>4993</v>
      </c>
      <c r="B252" s="420">
        <v>0.0</v>
      </c>
      <c r="C252" s="420">
        <v>0.0</v>
      </c>
      <c r="D252" s="420">
        <v>0.0</v>
      </c>
      <c r="E252" s="421" t="s">
        <v>4747</v>
      </c>
      <c r="F252" s="421">
        <v>2305.0</v>
      </c>
      <c r="G252" s="421">
        <v>23.0</v>
      </c>
      <c r="H252" s="421" t="s">
        <v>4479</v>
      </c>
      <c r="I252" s="421" t="s">
        <v>4503</v>
      </c>
      <c r="J252" s="422"/>
    </row>
    <row r="253">
      <c r="A253" s="419" t="s">
        <v>4994</v>
      </c>
      <c r="B253" s="420">
        <v>0.0</v>
      </c>
      <c r="C253" s="421" t="s">
        <v>4995</v>
      </c>
      <c r="D253" s="420">
        <v>0.0</v>
      </c>
      <c r="E253" s="421" t="s">
        <v>4747</v>
      </c>
      <c r="F253" s="421">
        <v>2306.0</v>
      </c>
      <c r="G253" s="421">
        <v>23.0</v>
      </c>
      <c r="H253" s="421" t="s">
        <v>4479</v>
      </c>
      <c r="I253" s="421" t="s">
        <v>4525</v>
      </c>
      <c r="J253" s="422"/>
    </row>
    <row r="254">
      <c r="A254" s="419" t="s">
        <v>4996</v>
      </c>
      <c r="B254" s="420">
        <v>0.0</v>
      </c>
      <c r="C254" s="421" t="s">
        <v>4997</v>
      </c>
      <c r="D254" s="421" t="s">
        <v>4998</v>
      </c>
      <c r="E254" s="421" t="s">
        <v>4747</v>
      </c>
      <c r="F254" s="421">
        <v>2308.0</v>
      </c>
      <c r="G254" s="421">
        <v>23.0</v>
      </c>
      <c r="H254" s="421" t="s">
        <v>4641</v>
      </c>
      <c r="I254" s="421" t="s">
        <v>4999</v>
      </c>
      <c r="J254" s="422"/>
    </row>
    <row r="255">
      <c r="A255" s="419" t="s">
        <v>5000</v>
      </c>
      <c r="B255" s="420">
        <v>0.0</v>
      </c>
      <c r="C255" s="421" t="s">
        <v>5001</v>
      </c>
      <c r="D255" s="420">
        <v>0.0</v>
      </c>
      <c r="E255" s="421" t="s">
        <v>4747</v>
      </c>
      <c r="F255" s="421">
        <v>2309.0</v>
      </c>
      <c r="G255" s="421">
        <v>23.0</v>
      </c>
      <c r="H255" s="421" t="s">
        <v>4641</v>
      </c>
      <c r="I255" s="421" t="s">
        <v>4500</v>
      </c>
      <c r="J255" s="422"/>
    </row>
    <row r="256">
      <c r="A256" s="419" t="s">
        <v>5002</v>
      </c>
      <c r="B256" s="420">
        <v>0.0</v>
      </c>
      <c r="C256" s="421" t="s">
        <v>5003</v>
      </c>
      <c r="D256" s="420">
        <v>0.0</v>
      </c>
      <c r="E256" s="421" t="s">
        <v>4747</v>
      </c>
      <c r="F256" s="421">
        <v>2402.0</v>
      </c>
      <c r="G256" s="421">
        <v>24.0</v>
      </c>
      <c r="H256" s="421" t="s">
        <v>4457</v>
      </c>
      <c r="I256" s="421" t="s">
        <v>4461</v>
      </c>
      <c r="J256" s="422"/>
    </row>
    <row r="257">
      <c r="A257" s="419" t="s">
        <v>5004</v>
      </c>
      <c r="B257" s="421">
        <v>971.0</v>
      </c>
      <c r="C257" s="421">
        <v>971.0</v>
      </c>
      <c r="D257" s="421" t="s">
        <v>5005</v>
      </c>
      <c r="E257" s="421" t="s">
        <v>4747</v>
      </c>
      <c r="F257" s="421">
        <v>2403.0</v>
      </c>
      <c r="G257" s="421">
        <v>24.0</v>
      </c>
      <c r="H257" s="421" t="s">
        <v>4457</v>
      </c>
      <c r="I257" s="421" t="s">
        <v>4503</v>
      </c>
      <c r="J257" s="422"/>
    </row>
    <row r="258">
      <c r="A258" s="419" t="s">
        <v>5006</v>
      </c>
      <c r="B258" s="421">
        <v>6.5387743E7</v>
      </c>
      <c r="C258" s="421">
        <v>9.71506569834E11</v>
      </c>
      <c r="D258" s="420">
        <v>0.0</v>
      </c>
      <c r="E258" s="421" t="s">
        <v>4747</v>
      </c>
      <c r="F258" s="421">
        <v>2404.0</v>
      </c>
      <c r="G258" s="421">
        <v>24.0</v>
      </c>
      <c r="H258" s="421" t="s">
        <v>4457</v>
      </c>
      <c r="I258" s="421" t="s">
        <v>4517</v>
      </c>
      <c r="J258" s="422"/>
    </row>
    <row r="259">
      <c r="A259" s="419" t="s">
        <v>5007</v>
      </c>
      <c r="B259" s="421">
        <v>971.0</v>
      </c>
      <c r="C259" s="421" t="s">
        <v>4565</v>
      </c>
      <c r="D259" s="420">
        <v>0.0</v>
      </c>
      <c r="E259" s="421" t="s">
        <v>4747</v>
      </c>
      <c r="F259" s="421">
        <v>2406.0</v>
      </c>
      <c r="G259" s="421">
        <v>24.0</v>
      </c>
      <c r="H259" s="421" t="s">
        <v>4479</v>
      </c>
      <c r="I259" s="421" t="s">
        <v>4571</v>
      </c>
      <c r="J259" s="422"/>
    </row>
    <row r="260">
      <c r="A260" s="419" t="s">
        <v>5008</v>
      </c>
      <c r="B260" s="420">
        <v>0.0</v>
      </c>
      <c r="C260" s="421" t="s">
        <v>5009</v>
      </c>
      <c r="D260" s="421" t="s">
        <v>5010</v>
      </c>
      <c r="E260" s="421" t="s">
        <v>4747</v>
      </c>
      <c r="F260" s="421">
        <v>2408.0</v>
      </c>
      <c r="G260" s="421">
        <v>24.0</v>
      </c>
      <c r="H260" s="421" t="s">
        <v>4641</v>
      </c>
      <c r="I260" s="421" t="s">
        <v>4726</v>
      </c>
      <c r="J260" s="422"/>
    </row>
    <row r="261">
      <c r="A261" s="419" t="s">
        <v>5011</v>
      </c>
      <c r="B261" s="420">
        <v>0.0</v>
      </c>
      <c r="C261" s="421" t="s">
        <v>5012</v>
      </c>
      <c r="D261" s="420">
        <v>0.0</v>
      </c>
      <c r="E261" s="421" t="s">
        <v>4747</v>
      </c>
      <c r="F261" s="421">
        <v>2409.0</v>
      </c>
      <c r="G261" s="421">
        <v>24.0</v>
      </c>
      <c r="H261" s="421" t="s">
        <v>4641</v>
      </c>
      <c r="I261" s="421" t="s">
        <v>4726</v>
      </c>
      <c r="J261" s="422"/>
    </row>
    <row r="262">
      <c r="A262" s="419" t="s">
        <v>5013</v>
      </c>
      <c r="B262" s="420">
        <v>0.0</v>
      </c>
      <c r="C262" s="421" t="s">
        <v>4463</v>
      </c>
      <c r="D262" s="421" t="s">
        <v>5014</v>
      </c>
      <c r="E262" s="421" t="s">
        <v>4747</v>
      </c>
      <c r="F262" s="421">
        <v>2502.0</v>
      </c>
      <c r="G262" s="421">
        <v>25.0</v>
      </c>
      <c r="H262" s="421" t="s">
        <v>4457</v>
      </c>
      <c r="I262" s="421" t="s">
        <v>4533</v>
      </c>
      <c r="J262" s="422"/>
    </row>
    <row r="263">
      <c r="A263" s="419" t="s">
        <v>5015</v>
      </c>
      <c r="B263" s="420">
        <v>0.0</v>
      </c>
      <c r="C263" s="421">
        <v>0.0</v>
      </c>
      <c r="D263" s="420">
        <v>0.0</v>
      </c>
      <c r="E263" s="421" t="s">
        <v>4747</v>
      </c>
      <c r="F263" s="421">
        <v>2503.0</v>
      </c>
      <c r="G263" s="421">
        <v>25.0</v>
      </c>
      <c r="H263" s="421" t="s">
        <v>4457</v>
      </c>
      <c r="I263" s="421" t="s">
        <v>4631</v>
      </c>
      <c r="J263" s="422"/>
    </row>
    <row r="264">
      <c r="A264" s="419" t="s">
        <v>5016</v>
      </c>
      <c r="B264" s="421" t="s">
        <v>5017</v>
      </c>
      <c r="C264" s="421" t="s">
        <v>5018</v>
      </c>
      <c r="D264" s="421" t="s">
        <v>5019</v>
      </c>
      <c r="E264" s="421" t="s">
        <v>4747</v>
      </c>
      <c r="F264" s="421">
        <v>2504.0</v>
      </c>
      <c r="G264" s="421">
        <v>25.0</v>
      </c>
      <c r="H264" s="421" t="s">
        <v>4457</v>
      </c>
      <c r="I264" s="421" t="s">
        <v>5020</v>
      </c>
      <c r="J264" s="422"/>
    </row>
    <row r="265">
      <c r="A265" s="419" t="s">
        <v>5021</v>
      </c>
      <c r="B265" s="420">
        <v>0.0</v>
      </c>
      <c r="C265" s="421" t="s">
        <v>5022</v>
      </c>
      <c r="D265" s="420">
        <v>0.0</v>
      </c>
      <c r="E265" s="421" t="s">
        <v>4747</v>
      </c>
      <c r="F265" s="421">
        <v>2506.0</v>
      </c>
      <c r="G265" s="421">
        <v>25.0</v>
      </c>
      <c r="H265" s="421" t="s">
        <v>4479</v>
      </c>
      <c r="I265" s="421" t="s">
        <v>4461</v>
      </c>
      <c r="J265" s="422"/>
    </row>
    <row r="266">
      <c r="A266" s="419" t="s">
        <v>5023</v>
      </c>
      <c r="B266" s="421">
        <v>971.0</v>
      </c>
      <c r="C266" s="421" t="s">
        <v>4959</v>
      </c>
      <c r="D266" s="420">
        <v>0.0</v>
      </c>
      <c r="E266" s="421" t="s">
        <v>4747</v>
      </c>
      <c r="F266" s="421">
        <v>2508.0</v>
      </c>
      <c r="G266" s="421">
        <v>25.0</v>
      </c>
      <c r="H266" s="421" t="s">
        <v>4641</v>
      </c>
      <c r="I266" s="421" t="s">
        <v>4533</v>
      </c>
      <c r="J266" s="422"/>
    </row>
    <row r="267">
      <c r="A267" s="419" t="s">
        <v>5024</v>
      </c>
      <c r="B267" s="420">
        <v>0.0</v>
      </c>
      <c r="C267" s="420">
        <v>0.0</v>
      </c>
      <c r="D267" s="421" t="s">
        <v>5025</v>
      </c>
      <c r="E267" s="421" t="s">
        <v>4747</v>
      </c>
      <c r="F267" s="421">
        <v>2509.0</v>
      </c>
      <c r="G267" s="421">
        <v>25.0</v>
      </c>
      <c r="H267" s="421" t="s">
        <v>4641</v>
      </c>
      <c r="I267" s="421" t="s">
        <v>4503</v>
      </c>
      <c r="J267" s="422"/>
    </row>
    <row r="268">
      <c r="A268" s="419" t="s">
        <v>5026</v>
      </c>
      <c r="B268" s="420">
        <v>0.0</v>
      </c>
      <c r="C268" s="421" t="s">
        <v>4681</v>
      </c>
      <c r="D268" s="421" t="s">
        <v>5027</v>
      </c>
      <c r="E268" s="421" t="s">
        <v>4747</v>
      </c>
      <c r="F268" s="421">
        <v>2602.0</v>
      </c>
      <c r="G268" s="421">
        <v>26.0</v>
      </c>
      <c r="H268" s="421" t="s">
        <v>4457</v>
      </c>
      <c r="I268" s="421" t="s">
        <v>4542</v>
      </c>
      <c r="J268" s="422"/>
    </row>
    <row r="269">
      <c r="A269" s="419" t="s">
        <v>5028</v>
      </c>
      <c r="B269" s="420">
        <v>0.0</v>
      </c>
      <c r="C269" s="421" t="s">
        <v>5029</v>
      </c>
      <c r="D269" s="420">
        <v>0.0</v>
      </c>
      <c r="E269" s="421" t="s">
        <v>4747</v>
      </c>
      <c r="F269" s="421">
        <v>2605.0</v>
      </c>
      <c r="G269" s="421">
        <v>26.0</v>
      </c>
      <c r="H269" s="421" t="s">
        <v>4479</v>
      </c>
      <c r="I269" s="421" t="s">
        <v>5030</v>
      </c>
      <c r="J269" s="422"/>
    </row>
    <row r="270">
      <c r="A270" s="419" t="s">
        <v>5031</v>
      </c>
      <c r="B270" s="420">
        <v>0.0</v>
      </c>
      <c r="C270" s="421" t="s">
        <v>5032</v>
      </c>
      <c r="D270" s="420">
        <v>0.0</v>
      </c>
      <c r="E270" s="421" t="s">
        <v>4747</v>
      </c>
      <c r="F270" s="421">
        <v>2606.0</v>
      </c>
      <c r="G270" s="421">
        <v>26.0</v>
      </c>
      <c r="H270" s="421" t="s">
        <v>4479</v>
      </c>
      <c r="I270" s="421" t="s">
        <v>5033</v>
      </c>
      <c r="J270" s="422"/>
    </row>
    <row r="271">
      <c r="A271" s="419" t="s">
        <v>5034</v>
      </c>
      <c r="B271" s="420">
        <v>0.0</v>
      </c>
      <c r="C271" s="421">
        <v>4.47779030229E11</v>
      </c>
      <c r="D271" s="420">
        <v>0.0</v>
      </c>
      <c r="E271" s="421" t="s">
        <v>4747</v>
      </c>
      <c r="F271" s="421">
        <v>2609.0</v>
      </c>
      <c r="G271" s="421">
        <v>26.0</v>
      </c>
      <c r="H271" s="421" t="s">
        <v>4641</v>
      </c>
      <c r="I271" s="421" t="s">
        <v>4525</v>
      </c>
      <c r="J271" s="422"/>
    </row>
    <row r="272">
      <c r="A272" s="419" t="s">
        <v>5035</v>
      </c>
      <c r="B272" s="420">
        <v>0.0</v>
      </c>
      <c r="C272" s="421" t="s">
        <v>5036</v>
      </c>
      <c r="D272" s="420">
        <v>0.0</v>
      </c>
      <c r="E272" s="421" t="s">
        <v>4747</v>
      </c>
      <c r="F272" s="421">
        <v>2701.0</v>
      </c>
      <c r="G272" s="421">
        <v>27.0</v>
      </c>
      <c r="H272" s="421" t="s">
        <v>4641</v>
      </c>
      <c r="I272" s="421" t="s">
        <v>4575</v>
      </c>
      <c r="J272" s="422"/>
    </row>
    <row r="273">
      <c r="A273" s="419" t="s">
        <v>5037</v>
      </c>
      <c r="B273" s="420">
        <v>0.0</v>
      </c>
      <c r="C273" s="421" t="s">
        <v>5038</v>
      </c>
      <c r="D273" s="420">
        <v>0.0</v>
      </c>
      <c r="E273" s="421" t="s">
        <v>4747</v>
      </c>
      <c r="F273" s="421">
        <v>2702.0</v>
      </c>
      <c r="G273" s="421">
        <v>27.0</v>
      </c>
      <c r="H273" s="421" t="s">
        <v>4457</v>
      </c>
      <c r="I273" s="421" t="s">
        <v>4514</v>
      </c>
      <c r="J273" s="422"/>
    </row>
    <row r="274">
      <c r="A274" s="419" t="s">
        <v>5039</v>
      </c>
      <c r="B274" s="420">
        <v>0.0</v>
      </c>
      <c r="C274" s="420">
        <v>0.0</v>
      </c>
      <c r="D274" s="421" t="s">
        <v>5040</v>
      </c>
      <c r="E274" s="421" t="s">
        <v>4747</v>
      </c>
      <c r="F274" s="421">
        <v>2704.0</v>
      </c>
      <c r="G274" s="421">
        <v>27.0</v>
      </c>
      <c r="H274" s="421" t="s">
        <v>4457</v>
      </c>
      <c r="I274" s="421" t="s">
        <v>4472</v>
      </c>
      <c r="J274" s="422"/>
    </row>
    <row r="275">
      <c r="A275" s="419" t="s">
        <v>5041</v>
      </c>
      <c r="B275" s="420">
        <v>0.0</v>
      </c>
      <c r="C275" s="421" t="s">
        <v>5042</v>
      </c>
      <c r="D275" s="420">
        <v>0.0</v>
      </c>
      <c r="E275" s="421" t="s">
        <v>4747</v>
      </c>
      <c r="F275" s="421">
        <v>2705.0</v>
      </c>
      <c r="G275" s="421">
        <v>27.0</v>
      </c>
      <c r="H275" s="421" t="s">
        <v>4479</v>
      </c>
      <c r="I275" s="421" t="s">
        <v>4461</v>
      </c>
      <c r="J275" s="422"/>
    </row>
    <row r="276">
      <c r="A276" s="419" t="s">
        <v>5043</v>
      </c>
      <c r="B276" s="421" t="s">
        <v>5044</v>
      </c>
      <c r="C276" s="421" t="s">
        <v>5045</v>
      </c>
      <c r="D276" s="421" t="s">
        <v>5046</v>
      </c>
      <c r="E276" s="421" t="s">
        <v>4747</v>
      </c>
      <c r="F276" s="421">
        <v>2706.0</v>
      </c>
      <c r="G276" s="421">
        <v>27.0</v>
      </c>
      <c r="H276" s="421" t="s">
        <v>4479</v>
      </c>
      <c r="I276" s="421" t="s">
        <v>4726</v>
      </c>
      <c r="J276" s="422"/>
    </row>
    <row r="277">
      <c r="A277" s="419" t="s">
        <v>5047</v>
      </c>
      <c r="B277" s="421">
        <v>971.0</v>
      </c>
      <c r="C277" s="421" t="s">
        <v>5048</v>
      </c>
      <c r="D277" s="420">
        <v>0.0</v>
      </c>
      <c r="E277" s="421" t="s">
        <v>4747</v>
      </c>
      <c r="F277" s="421">
        <v>2708.0</v>
      </c>
      <c r="G277" s="421">
        <v>27.0</v>
      </c>
      <c r="H277" s="421" t="s">
        <v>4641</v>
      </c>
      <c r="I277" s="421" t="s">
        <v>4472</v>
      </c>
      <c r="J277" s="422"/>
    </row>
    <row r="278">
      <c r="A278" s="419" t="s">
        <v>5049</v>
      </c>
      <c r="B278" s="420">
        <v>0.0</v>
      </c>
      <c r="C278" s="421">
        <v>5.55501477E8</v>
      </c>
      <c r="D278" s="420">
        <v>0.0</v>
      </c>
      <c r="E278" s="421" t="s">
        <v>4747</v>
      </c>
      <c r="F278" s="421">
        <v>2801.0</v>
      </c>
      <c r="G278" s="421">
        <v>28.0</v>
      </c>
      <c r="H278" s="421" t="s">
        <v>4641</v>
      </c>
      <c r="I278" s="421" t="s">
        <v>4472</v>
      </c>
      <c r="J278" s="422"/>
    </row>
    <row r="279">
      <c r="A279" s="419" t="s">
        <v>5050</v>
      </c>
      <c r="B279" s="420">
        <v>0.0</v>
      </c>
      <c r="C279" s="421" t="s">
        <v>4945</v>
      </c>
      <c r="D279" s="420">
        <v>0.0</v>
      </c>
      <c r="E279" s="421" t="s">
        <v>4747</v>
      </c>
      <c r="F279" s="421">
        <v>2802.0</v>
      </c>
      <c r="G279" s="421">
        <v>28.0</v>
      </c>
      <c r="H279" s="421" t="s">
        <v>4457</v>
      </c>
      <c r="I279" s="421" t="s">
        <v>4642</v>
      </c>
      <c r="J279" s="422"/>
    </row>
    <row r="280">
      <c r="A280" s="419" t="s">
        <v>5051</v>
      </c>
      <c r="B280" s="420">
        <v>0.0</v>
      </c>
      <c r="C280" s="420">
        <v>0.0</v>
      </c>
      <c r="D280" s="421" t="s">
        <v>5052</v>
      </c>
      <c r="E280" s="421" t="s">
        <v>4747</v>
      </c>
      <c r="F280" s="421">
        <v>2803.0</v>
      </c>
      <c r="G280" s="421">
        <v>28.0</v>
      </c>
      <c r="H280" s="421" t="s">
        <v>4457</v>
      </c>
      <c r="I280" s="421" t="s">
        <v>4550</v>
      </c>
      <c r="J280" s="422"/>
    </row>
    <row r="281">
      <c r="A281" s="419" t="s">
        <v>5053</v>
      </c>
      <c r="B281" s="421">
        <v>971.0</v>
      </c>
      <c r="C281" s="421" t="s">
        <v>4810</v>
      </c>
      <c r="D281" s="420">
        <v>0.0</v>
      </c>
      <c r="E281" s="421" t="s">
        <v>4747</v>
      </c>
      <c r="F281" s="421">
        <v>2805.0</v>
      </c>
      <c r="G281" s="421">
        <v>28.0</v>
      </c>
      <c r="H281" s="421" t="s">
        <v>4479</v>
      </c>
      <c r="I281" s="421" t="s">
        <v>4472</v>
      </c>
      <c r="J281" s="422"/>
    </row>
    <row r="282">
      <c r="A282" s="419" t="s">
        <v>5054</v>
      </c>
      <c r="B282" s="420">
        <v>0.0</v>
      </c>
      <c r="C282" s="421">
        <v>5.0212166E8</v>
      </c>
      <c r="D282" s="420">
        <v>0.0</v>
      </c>
      <c r="E282" s="421" t="s">
        <v>4747</v>
      </c>
      <c r="F282" s="421">
        <v>2806.0</v>
      </c>
      <c r="G282" s="421">
        <v>28.0</v>
      </c>
      <c r="H282" s="421" t="s">
        <v>4479</v>
      </c>
      <c r="I282" s="421" t="s">
        <v>4461</v>
      </c>
      <c r="J282" s="422"/>
    </row>
    <row r="283">
      <c r="A283" s="419" t="s">
        <v>5055</v>
      </c>
      <c r="B283" s="421">
        <v>971.0</v>
      </c>
      <c r="C283" s="421">
        <v>971.0</v>
      </c>
      <c r="D283" s="420">
        <v>0.0</v>
      </c>
      <c r="E283" s="421" t="s">
        <v>4747</v>
      </c>
      <c r="F283" s="421">
        <v>2808.0</v>
      </c>
      <c r="G283" s="421">
        <v>28.0</v>
      </c>
      <c r="H283" s="421" t="s">
        <v>4641</v>
      </c>
      <c r="I283" s="421" t="s">
        <v>5056</v>
      </c>
      <c r="J283" s="422"/>
    </row>
    <row r="284">
      <c r="A284" s="419" t="s">
        <v>5057</v>
      </c>
      <c r="B284" s="421" t="s">
        <v>5058</v>
      </c>
      <c r="C284" s="421" t="s">
        <v>5059</v>
      </c>
      <c r="D284" s="420">
        <v>0.0</v>
      </c>
      <c r="E284" s="421" t="s">
        <v>4747</v>
      </c>
      <c r="F284" s="421">
        <v>2901.0</v>
      </c>
      <c r="G284" s="421">
        <v>29.0</v>
      </c>
      <c r="H284" s="421" t="s">
        <v>4641</v>
      </c>
      <c r="I284" s="421" t="s">
        <v>5060</v>
      </c>
      <c r="J284" s="422"/>
    </row>
    <row r="285">
      <c r="A285" s="419" t="s">
        <v>5061</v>
      </c>
      <c r="B285" s="421">
        <v>971.0</v>
      </c>
      <c r="C285" s="421">
        <v>9.6599999647E10</v>
      </c>
      <c r="D285" s="420">
        <v>0.0</v>
      </c>
      <c r="E285" s="421" t="s">
        <v>4747</v>
      </c>
      <c r="F285" s="421">
        <v>2902.0</v>
      </c>
      <c r="G285" s="421">
        <v>29.0</v>
      </c>
      <c r="H285" s="421" t="s">
        <v>4457</v>
      </c>
      <c r="I285" s="421" t="s">
        <v>4458</v>
      </c>
      <c r="J285" s="422"/>
    </row>
    <row r="286">
      <c r="A286" s="419" t="s">
        <v>5061</v>
      </c>
      <c r="B286" s="421">
        <v>971.0</v>
      </c>
      <c r="C286" s="421">
        <v>9.6599999647E10</v>
      </c>
      <c r="D286" s="420">
        <v>0.0</v>
      </c>
      <c r="E286" s="421" t="s">
        <v>4747</v>
      </c>
      <c r="F286" s="421">
        <v>2905.0</v>
      </c>
      <c r="G286" s="421">
        <v>29.0</v>
      </c>
      <c r="H286" s="421" t="s">
        <v>4479</v>
      </c>
      <c r="I286" s="421" t="s">
        <v>4458</v>
      </c>
      <c r="J286" s="422"/>
    </row>
    <row r="287">
      <c r="A287" s="419" t="s">
        <v>5062</v>
      </c>
      <c r="B287" s="420">
        <v>0.0</v>
      </c>
      <c r="C287" s="421">
        <v>5.06144525E8</v>
      </c>
      <c r="D287" s="420">
        <v>0.0</v>
      </c>
      <c r="E287" s="421" t="s">
        <v>4747</v>
      </c>
      <c r="F287" s="421">
        <v>2906.0</v>
      </c>
      <c r="G287" s="421">
        <v>29.0</v>
      </c>
      <c r="H287" s="421" t="s">
        <v>4479</v>
      </c>
      <c r="I287" s="421" t="s">
        <v>4461</v>
      </c>
      <c r="J287" s="422"/>
    </row>
    <row r="288">
      <c r="A288" s="419" t="s">
        <v>5063</v>
      </c>
      <c r="B288" s="420">
        <v>0.0</v>
      </c>
      <c r="C288" s="421" t="s">
        <v>5064</v>
      </c>
      <c r="D288" s="421" t="s">
        <v>5065</v>
      </c>
      <c r="E288" s="421" t="s">
        <v>4747</v>
      </c>
      <c r="F288" s="421">
        <v>2908.0</v>
      </c>
      <c r="G288" s="421">
        <v>29.0</v>
      </c>
      <c r="H288" s="421" t="s">
        <v>4641</v>
      </c>
      <c r="I288" s="421" t="s">
        <v>4517</v>
      </c>
      <c r="J288" s="422"/>
    </row>
    <row r="289">
      <c r="A289" s="419" t="s">
        <v>5066</v>
      </c>
      <c r="B289" s="421">
        <v>971.0</v>
      </c>
      <c r="C289" s="421" t="s">
        <v>4959</v>
      </c>
      <c r="D289" s="420">
        <v>0.0</v>
      </c>
      <c r="E289" s="421" t="s">
        <v>4747</v>
      </c>
      <c r="F289" s="421">
        <v>3001.0</v>
      </c>
      <c r="G289" s="421">
        <v>30.0</v>
      </c>
      <c r="H289" s="421" t="s">
        <v>4641</v>
      </c>
      <c r="I289" s="421" t="s">
        <v>5030</v>
      </c>
      <c r="J289" s="422"/>
    </row>
    <row r="290">
      <c r="A290" s="419" t="s">
        <v>5067</v>
      </c>
      <c r="B290" s="420">
        <v>0.0</v>
      </c>
      <c r="C290" s="420">
        <v>0.0</v>
      </c>
      <c r="D290" s="421" t="s">
        <v>5068</v>
      </c>
      <c r="E290" s="421" t="s">
        <v>4747</v>
      </c>
      <c r="F290" s="421">
        <v>3002.0</v>
      </c>
      <c r="G290" s="421">
        <v>30.0</v>
      </c>
      <c r="H290" s="421" t="s">
        <v>4457</v>
      </c>
      <c r="I290" s="421" t="s">
        <v>5069</v>
      </c>
      <c r="J290" s="422"/>
    </row>
    <row r="291">
      <c r="A291" s="419" t="s">
        <v>5070</v>
      </c>
      <c r="B291" s="421">
        <v>7.3472734372E10</v>
      </c>
      <c r="C291" s="421">
        <v>7.9174343524E10</v>
      </c>
      <c r="D291" s="420">
        <v>0.0</v>
      </c>
      <c r="E291" s="421" t="s">
        <v>4747</v>
      </c>
      <c r="F291" s="421">
        <v>3004.0</v>
      </c>
      <c r="G291" s="421">
        <v>30.0</v>
      </c>
      <c r="H291" s="421" t="s">
        <v>4457</v>
      </c>
      <c r="I291" s="421" t="s">
        <v>4710</v>
      </c>
      <c r="J291" s="422"/>
    </row>
    <row r="292">
      <c r="A292" s="419" t="s">
        <v>5071</v>
      </c>
      <c r="B292" s="421">
        <v>971.0</v>
      </c>
      <c r="C292" s="421" t="s">
        <v>5072</v>
      </c>
      <c r="D292" s="420">
        <v>0.0</v>
      </c>
      <c r="E292" s="421" t="s">
        <v>4747</v>
      </c>
      <c r="F292" s="421">
        <v>3005.0</v>
      </c>
      <c r="G292" s="421">
        <v>30.0</v>
      </c>
      <c r="H292" s="421" t="s">
        <v>4479</v>
      </c>
      <c r="I292" s="421" t="s">
        <v>4503</v>
      </c>
      <c r="J292" s="422"/>
    </row>
    <row r="293">
      <c r="A293" s="419" t="s">
        <v>5073</v>
      </c>
      <c r="B293" s="420">
        <v>0.0</v>
      </c>
      <c r="C293" s="421">
        <v>9.7433615922E10</v>
      </c>
      <c r="D293" s="420">
        <v>0.0</v>
      </c>
      <c r="E293" s="421" t="s">
        <v>4747</v>
      </c>
      <c r="F293" s="421">
        <v>3006.0</v>
      </c>
      <c r="G293" s="421">
        <v>30.0</v>
      </c>
      <c r="H293" s="421" t="s">
        <v>4479</v>
      </c>
      <c r="I293" s="421" t="s">
        <v>5074</v>
      </c>
      <c r="J293" s="422"/>
    </row>
    <row r="294">
      <c r="A294" s="419" t="s">
        <v>5075</v>
      </c>
      <c r="B294" s="421">
        <v>971.0</v>
      </c>
      <c r="C294" s="421" t="s">
        <v>5076</v>
      </c>
      <c r="D294" s="420">
        <v>0.0</v>
      </c>
      <c r="E294" s="421" t="s">
        <v>4747</v>
      </c>
      <c r="F294" s="421">
        <v>3008.0</v>
      </c>
      <c r="G294" s="421">
        <v>30.0</v>
      </c>
      <c r="H294" s="421" t="s">
        <v>4641</v>
      </c>
      <c r="I294" s="421" t="s">
        <v>4472</v>
      </c>
      <c r="J294" s="422"/>
    </row>
    <row r="295">
      <c r="A295" s="419" t="s">
        <v>5077</v>
      </c>
      <c r="B295" s="420">
        <v>0.0</v>
      </c>
      <c r="C295" s="421" t="s">
        <v>5078</v>
      </c>
      <c r="D295" s="420">
        <v>0.0</v>
      </c>
      <c r="E295" s="421" t="s">
        <v>4747</v>
      </c>
      <c r="F295" s="421">
        <v>3009.0</v>
      </c>
      <c r="G295" s="421">
        <v>30.0</v>
      </c>
      <c r="H295" s="421" t="s">
        <v>4641</v>
      </c>
      <c r="I295" s="421" t="s">
        <v>4514</v>
      </c>
      <c r="J295" s="422"/>
    </row>
    <row r="296">
      <c r="A296" s="419" t="s">
        <v>5079</v>
      </c>
      <c r="B296" s="421">
        <v>971.0</v>
      </c>
      <c r="C296" s="421" t="s">
        <v>4463</v>
      </c>
      <c r="D296" s="420">
        <v>0.0</v>
      </c>
      <c r="E296" s="421" t="s">
        <v>4747</v>
      </c>
      <c r="F296" s="421">
        <v>3201.0</v>
      </c>
      <c r="G296" s="421">
        <v>32.0</v>
      </c>
      <c r="H296" s="421" t="s">
        <v>4641</v>
      </c>
      <c r="I296" s="421" t="s">
        <v>5080</v>
      </c>
      <c r="J296" s="422"/>
    </row>
    <row r="297">
      <c r="A297" s="419" t="s">
        <v>5081</v>
      </c>
      <c r="B297" s="420">
        <v>0.0</v>
      </c>
      <c r="C297" s="421">
        <v>5.56408833E8</v>
      </c>
      <c r="D297" s="420">
        <v>0.0</v>
      </c>
      <c r="E297" s="421" t="s">
        <v>4747</v>
      </c>
      <c r="F297" s="421">
        <v>3202.0</v>
      </c>
      <c r="G297" s="421">
        <v>32.0</v>
      </c>
      <c r="H297" s="421" t="s">
        <v>4457</v>
      </c>
      <c r="I297" s="421" t="s">
        <v>4533</v>
      </c>
      <c r="J297" s="422"/>
    </row>
    <row r="298">
      <c r="A298" s="419" t="s">
        <v>5082</v>
      </c>
      <c r="B298" s="420">
        <v>0.0</v>
      </c>
      <c r="C298" s="421" t="s">
        <v>5083</v>
      </c>
      <c r="D298" s="421" t="s">
        <v>5084</v>
      </c>
      <c r="E298" s="421" t="s">
        <v>4747</v>
      </c>
      <c r="F298" s="421">
        <v>3205.0</v>
      </c>
      <c r="G298" s="421">
        <v>32.0</v>
      </c>
      <c r="H298" s="421" t="s">
        <v>4479</v>
      </c>
      <c r="I298" s="421" t="s">
        <v>4472</v>
      </c>
      <c r="J298" s="422"/>
    </row>
    <row r="299">
      <c r="A299" s="419" t="s">
        <v>5085</v>
      </c>
      <c r="B299" s="421" t="s">
        <v>5086</v>
      </c>
      <c r="C299" s="421" t="s">
        <v>5087</v>
      </c>
      <c r="D299" s="421" t="s">
        <v>5088</v>
      </c>
      <c r="E299" s="421" t="s">
        <v>4747</v>
      </c>
      <c r="F299" s="421">
        <v>3206.0</v>
      </c>
      <c r="G299" s="421">
        <v>32.0</v>
      </c>
      <c r="H299" s="421" t="s">
        <v>4479</v>
      </c>
      <c r="I299" s="421" t="s">
        <v>4533</v>
      </c>
      <c r="J299" s="422"/>
    </row>
    <row r="300">
      <c r="A300" s="419" t="s">
        <v>5089</v>
      </c>
      <c r="B300" s="420">
        <v>0.0</v>
      </c>
      <c r="C300" s="421" t="s">
        <v>5090</v>
      </c>
      <c r="D300" s="421" t="s">
        <v>5091</v>
      </c>
      <c r="E300" s="421" t="s">
        <v>4747</v>
      </c>
      <c r="F300" s="421">
        <v>3208.0</v>
      </c>
      <c r="G300" s="421">
        <v>32.0</v>
      </c>
      <c r="H300" s="421" t="s">
        <v>4641</v>
      </c>
      <c r="I300" s="421" t="s">
        <v>5074</v>
      </c>
      <c r="J300" s="422"/>
    </row>
    <row r="301">
      <c r="A301" s="419" t="s">
        <v>5092</v>
      </c>
      <c r="B301" s="420">
        <v>0.0</v>
      </c>
      <c r="C301" s="421" t="s">
        <v>5093</v>
      </c>
      <c r="D301" s="421" t="s">
        <v>5094</v>
      </c>
      <c r="E301" s="421" t="s">
        <v>4747</v>
      </c>
      <c r="F301" s="421">
        <v>3209.0</v>
      </c>
      <c r="G301" s="421">
        <v>32.0</v>
      </c>
      <c r="H301" s="421" t="s">
        <v>4641</v>
      </c>
      <c r="I301" s="421" t="s">
        <v>4472</v>
      </c>
      <c r="J301" s="422"/>
    </row>
    <row r="302">
      <c r="A302" s="419" t="s">
        <v>5095</v>
      </c>
      <c r="B302" s="420">
        <v>0.0</v>
      </c>
      <c r="C302" s="420">
        <v>0.0</v>
      </c>
      <c r="D302" s="420">
        <v>0.0</v>
      </c>
      <c r="E302" s="421" t="s">
        <v>4747</v>
      </c>
      <c r="F302" s="421">
        <v>3302.0</v>
      </c>
      <c r="G302" s="421">
        <v>33.0</v>
      </c>
      <c r="H302" s="421" t="s">
        <v>4457</v>
      </c>
      <c r="I302" s="421" t="s">
        <v>4660</v>
      </c>
      <c r="J302" s="422"/>
    </row>
    <row r="303">
      <c r="A303" s="419" t="s">
        <v>5096</v>
      </c>
      <c r="B303" s="420">
        <v>0.0</v>
      </c>
      <c r="C303" s="421" t="s">
        <v>5097</v>
      </c>
      <c r="D303" s="420">
        <v>0.0</v>
      </c>
      <c r="E303" s="421" t="s">
        <v>4747</v>
      </c>
      <c r="F303" s="421">
        <v>3303.0</v>
      </c>
      <c r="G303" s="421">
        <v>33.0</v>
      </c>
      <c r="H303" s="421" t="s">
        <v>4457</v>
      </c>
      <c r="I303" s="421" t="s">
        <v>4503</v>
      </c>
      <c r="J303" s="422"/>
    </row>
    <row r="304">
      <c r="A304" s="419" t="s">
        <v>5098</v>
      </c>
      <c r="B304" s="421">
        <v>971.0</v>
      </c>
      <c r="C304" s="421" t="s">
        <v>5099</v>
      </c>
      <c r="D304" s="420">
        <v>0.0</v>
      </c>
      <c r="E304" s="421" t="s">
        <v>4747</v>
      </c>
      <c r="F304" s="421">
        <v>3304.0</v>
      </c>
      <c r="G304" s="421">
        <v>33.0</v>
      </c>
      <c r="H304" s="421" t="s">
        <v>4457</v>
      </c>
      <c r="I304" s="421" t="s">
        <v>4500</v>
      </c>
      <c r="J304" s="422"/>
    </row>
    <row r="305">
      <c r="A305" s="419" t="s">
        <v>5100</v>
      </c>
      <c r="B305" s="420">
        <v>0.0</v>
      </c>
      <c r="C305" s="421">
        <v>9.66505618158E11</v>
      </c>
      <c r="D305" s="420">
        <v>0.0</v>
      </c>
      <c r="E305" s="421" t="s">
        <v>4747</v>
      </c>
      <c r="F305" s="421">
        <v>3305.0</v>
      </c>
      <c r="G305" s="421">
        <v>33.0</v>
      </c>
      <c r="H305" s="421" t="s">
        <v>4479</v>
      </c>
      <c r="I305" s="421" t="s">
        <v>4472</v>
      </c>
      <c r="J305" s="422"/>
    </row>
    <row r="306">
      <c r="A306" s="419" t="s">
        <v>5100</v>
      </c>
      <c r="B306" s="420">
        <v>0.0</v>
      </c>
      <c r="C306" s="421">
        <v>9.66505618158E11</v>
      </c>
      <c r="D306" s="420">
        <v>0.0</v>
      </c>
      <c r="E306" s="421" t="s">
        <v>4747</v>
      </c>
      <c r="F306" s="421">
        <v>3306.0</v>
      </c>
      <c r="G306" s="421">
        <v>33.0</v>
      </c>
      <c r="H306" s="421" t="s">
        <v>4479</v>
      </c>
      <c r="I306" s="421" t="s">
        <v>4472</v>
      </c>
      <c r="J306" s="422"/>
    </row>
    <row r="307">
      <c r="A307" s="419" t="s">
        <v>5101</v>
      </c>
      <c r="B307" s="421" t="s">
        <v>5102</v>
      </c>
      <c r="C307" s="421" t="s">
        <v>5103</v>
      </c>
      <c r="D307" s="420">
        <v>0.0</v>
      </c>
      <c r="E307" s="421" t="s">
        <v>4747</v>
      </c>
      <c r="F307" s="421">
        <v>3308.0</v>
      </c>
      <c r="G307" s="421">
        <v>33.0</v>
      </c>
      <c r="H307" s="421" t="s">
        <v>4641</v>
      </c>
      <c r="I307" s="421" t="s">
        <v>4533</v>
      </c>
      <c r="J307" s="422"/>
    </row>
    <row r="308">
      <c r="A308" s="419" t="s">
        <v>4766</v>
      </c>
      <c r="B308" s="421" t="s">
        <v>4767</v>
      </c>
      <c r="C308" s="421" t="s">
        <v>4768</v>
      </c>
      <c r="D308" s="421" t="s">
        <v>4769</v>
      </c>
      <c r="E308" s="421" t="s">
        <v>4747</v>
      </c>
      <c r="F308" s="421">
        <v>3309.0</v>
      </c>
      <c r="G308" s="421">
        <v>33.0</v>
      </c>
      <c r="H308" s="421" t="s">
        <v>4641</v>
      </c>
      <c r="I308" s="421" t="s">
        <v>4726</v>
      </c>
      <c r="J308" s="422"/>
    </row>
    <row r="309">
      <c r="A309" s="419" t="s">
        <v>5104</v>
      </c>
      <c r="B309" s="421">
        <v>5.09266404E8</v>
      </c>
      <c r="C309" s="420">
        <v>0.0</v>
      </c>
      <c r="D309" s="420">
        <v>0.0</v>
      </c>
      <c r="E309" s="421" t="s">
        <v>4747</v>
      </c>
      <c r="F309" s="421">
        <v>3402.0</v>
      </c>
      <c r="G309" s="421">
        <v>34.0</v>
      </c>
      <c r="H309" s="421" t="s">
        <v>4457</v>
      </c>
      <c r="I309" s="421" t="s">
        <v>4537</v>
      </c>
      <c r="J309" s="422"/>
    </row>
    <row r="310">
      <c r="A310" s="419" t="s">
        <v>5105</v>
      </c>
      <c r="B310" s="421">
        <v>5.28507908E8</v>
      </c>
      <c r="C310" s="421" t="s">
        <v>5106</v>
      </c>
      <c r="D310" s="421" t="s">
        <v>5107</v>
      </c>
      <c r="E310" s="421" t="s">
        <v>4747</v>
      </c>
      <c r="F310" s="421">
        <v>3405.0</v>
      </c>
      <c r="G310" s="421">
        <v>34.0</v>
      </c>
      <c r="H310" s="421" t="s">
        <v>4479</v>
      </c>
      <c r="I310" s="421" t="s">
        <v>4485</v>
      </c>
      <c r="J310" s="422"/>
    </row>
    <row r="311">
      <c r="A311" s="419" t="s">
        <v>5108</v>
      </c>
      <c r="B311" s="420">
        <v>0.0</v>
      </c>
      <c r="C311" s="421" t="s">
        <v>5109</v>
      </c>
      <c r="D311" s="420">
        <v>0.0</v>
      </c>
      <c r="E311" s="421" t="s">
        <v>4747</v>
      </c>
      <c r="F311" s="421">
        <v>3406.0</v>
      </c>
      <c r="G311" s="421">
        <v>34.0</v>
      </c>
      <c r="H311" s="421" t="s">
        <v>4479</v>
      </c>
      <c r="I311" s="421" t="s">
        <v>4525</v>
      </c>
      <c r="J311" s="422"/>
    </row>
    <row r="312">
      <c r="A312" s="419" t="s">
        <v>5110</v>
      </c>
      <c r="B312" s="420">
        <v>0.0</v>
      </c>
      <c r="C312" s="420">
        <v>0.0</v>
      </c>
      <c r="D312" s="420">
        <v>0.0</v>
      </c>
      <c r="E312" s="421" t="s">
        <v>4747</v>
      </c>
      <c r="F312" s="421">
        <v>3408.0</v>
      </c>
      <c r="G312" s="421">
        <v>34.0</v>
      </c>
      <c r="H312" s="421" t="s">
        <v>4641</v>
      </c>
      <c r="I312" s="421" t="s">
        <v>4503</v>
      </c>
      <c r="J312" s="422"/>
    </row>
    <row r="313">
      <c r="A313" s="419" t="s">
        <v>5111</v>
      </c>
      <c r="B313" s="420">
        <v>0.0</v>
      </c>
      <c r="C313" s="421" t="s">
        <v>5112</v>
      </c>
      <c r="D313" s="420">
        <v>0.0</v>
      </c>
      <c r="E313" s="421" t="s">
        <v>4747</v>
      </c>
      <c r="F313" s="421">
        <v>3409.0</v>
      </c>
      <c r="G313" s="421">
        <v>34.0</v>
      </c>
      <c r="H313" s="421" t="s">
        <v>4641</v>
      </c>
      <c r="I313" s="421" t="s">
        <v>4485</v>
      </c>
      <c r="J313" s="422"/>
    </row>
    <row r="314">
      <c r="A314" s="419" t="s">
        <v>5113</v>
      </c>
      <c r="B314" s="421">
        <v>971.0</v>
      </c>
      <c r="C314" s="421" t="s">
        <v>4959</v>
      </c>
      <c r="D314" s="420">
        <v>0.0</v>
      </c>
      <c r="E314" s="421" t="s">
        <v>4747</v>
      </c>
      <c r="F314" s="421">
        <v>3501.0</v>
      </c>
      <c r="G314" s="421">
        <v>35.0</v>
      </c>
      <c r="H314" s="421" t="s">
        <v>4641</v>
      </c>
      <c r="I314" s="421" t="s">
        <v>4503</v>
      </c>
      <c r="J314" s="422"/>
    </row>
    <row r="315">
      <c r="A315" s="419" t="s">
        <v>5114</v>
      </c>
      <c r="B315" s="421">
        <v>971.0</v>
      </c>
      <c r="C315" s="421" t="s">
        <v>4837</v>
      </c>
      <c r="D315" s="420">
        <v>0.0</v>
      </c>
      <c r="E315" s="421" t="s">
        <v>4747</v>
      </c>
      <c r="F315" s="421">
        <v>3502.0</v>
      </c>
      <c r="G315" s="421">
        <v>35.0</v>
      </c>
      <c r="H315" s="421" t="s">
        <v>4457</v>
      </c>
      <c r="I315" s="421" t="s">
        <v>4514</v>
      </c>
      <c r="J315" s="422"/>
    </row>
    <row r="316">
      <c r="A316" s="419" t="s">
        <v>5115</v>
      </c>
      <c r="B316" s="421">
        <v>0.0</v>
      </c>
      <c r="C316" s="421">
        <v>5.67231823E8</v>
      </c>
      <c r="D316" s="420">
        <v>0.0</v>
      </c>
      <c r="E316" s="421" t="s">
        <v>4747</v>
      </c>
      <c r="F316" s="421">
        <v>3505.0</v>
      </c>
      <c r="G316" s="421">
        <v>35.0</v>
      </c>
      <c r="H316" s="421" t="s">
        <v>4479</v>
      </c>
      <c r="I316" s="421" t="s">
        <v>4500</v>
      </c>
      <c r="J316" s="422"/>
    </row>
    <row r="317">
      <c r="A317" s="419" t="s">
        <v>4793</v>
      </c>
      <c r="B317" s="420">
        <v>0.0</v>
      </c>
      <c r="C317" s="421" t="s">
        <v>4794</v>
      </c>
      <c r="D317" s="421" t="s">
        <v>4795</v>
      </c>
      <c r="E317" s="421" t="s">
        <v>4747</v>
      </c>
      <c r="F317" s="421">
        <v>3506.0</v>
      </c>
      <c r="G317" s="421">
        <v>35.0</v>
      </c>
      <c r="H317" s="421" t="s">
        <v>4479</v>
      </c>
      <c r="I317" s="421" t="s">
        <v>4472</v>
      </c>
      <c r="J317" s="422"/>
    </row>
    <row r="318">
      <c r="A318" s="419" t="s">
        <v>5116</v>
      </c>
      <c r="B318" s="421">
        <v>971.0</v>
      </c>
      <c r="C318" s="421" t="s">
        <v>4959</v>
      </c>
      <c r="D318" s="420">
        <v>0.0</v>
      </c>
      <c r="E318" s="421" t="s">
        <v>4747</v>
      </c>
      <c r="F318" s="421">
        <v>3507.0</v>
      </c>
      <c r="G318" s="421">
        <v>35.0</v>
      </c>
      <c r="H318" s="421" t="s">
        <v>4457</v>
      </c>
      <c r="I318" s="421" t="s">
        <v>4542</v>
      </c>
      <c r="J318" s="422"/>
    </row>
    <row r="319">
      <c r="A319" s="419" t="s">
        <v>5117</v>
      </c>
      <c r="B319" s="420">
        <v>0.0</v>
      </c>
      <c r="C319" s="421" t="s">
        <v>5118</v>
      </c>
      <c r="D319" s="420">
        <v>0.0</v>
      </c>
      <c r="E319" s="421" t="s">
        <v>4747</v>
      </c>
      <c r="F319" s="421">
        <v>3508.0</v>
      </c>
      <c r="G319" s="421">
        <v>35.0</v>
      </c>
      <c r="H319" s="421" t="s">
        <v>4641</v>
      </c>
      <c r="I319" s="421" t="s">
        <v>4517</v>
      </c>
      <c r="J319" s="422"/>
    </row>
    <row r="320">
      <c r="A320" s="419" t="s">
        <v>5119</v>
      </c>
      <c r="B320" s="420">
        <v>0.0</v>
      </c>
      <c r="C320" s="421" t="s">
        <v>5120</v>
      </c>
      <c r="D320" s="420">
        <v>0.0</v>
      </c>
      <c r="E320" s="421" t="s">
        <v>4747</v>
      </c>
      <c r="F320" s="421">
        <v>3509.0</v>
      </c>
      <c r="G320" s="421">
        <v>35.0</v>
      </c>
      <c r="H320" s="421" t="s">
        <v>4641</v>
      </c>
      <c r="I320" s="421" t="s">
        <v>4533</v>
      </c>
      <c r="J320" s="422"/>
    </row>
    <row r="321">
      <c r="A321" s="419" t="s">
        <v>5121</v>
      </c>
      <c r="B321" s="420">
        <v>0.0</v>
      </c>
      <c r="C321" s="420">
        <v>0.0</v>
      </c>
      <c r="D321" s="421" t="s">
        <v>5122</v>
      </c>
      <c r="E321" s="421" t="s">
        <v>4747</v>
      </c>
      <c r="F321" s="421">
        <v>3601.0</v>
      </c>
      <c r="G321" s="421">
        <v>36.0</v>
      </c>
      <c r="H321" s="421" t="s">
        <v>4641</v>
      </c>
      <c r="I321" s="421" t="s">
        <v>4660</v>
      </c>
      <c r="J321" s="422"/>
    </row>
    <row r="322">
      <c r="A322" s="419" t="s">
        <v>5123</v>
      </c>
      <c r="B322" s="420">
        <v>0.0</v>
      </c>
      <c r="C322" s="421" t="s">
        <v>5124</v>
      </c>
      <c r="D322" s="420">
        <v>0.0</v>
      </c>
      <c r="E322" s="421" t="s">
        <v>4747</v>
      </c>
      <c r="F322" s="421">
        <v>3602.0</v>
      </c>
      <c r="G322" s="421">
        <v>36.0</v>
      </c>
      <c r="H322" s="421" t="s">
        <v>4457</v>
      </c>
      <c r="I322" s="421" t="s">
        <v>4517</v>
      </c>
      <c r="J322" s="422"/>
    </row>
    <row r="323">
      <c r="A323" s="419" t="s">
        <v>5125</v>
      </c>
      <c r="B323" s="421">
        <v>4.3474422E7</v>
      </c>
      <c r="C323" s="421">
        <v>5.06570788E8</v>
      </c>
      <c r="D323" s="420">
        <v>0.0</v>
      </c>
      <c r="E323" s="421" t="s">
        <v>4747</v>
      </c>
      <c r="F323" s="421">
        <v>3605.0</v>
      </c>
      <c r="G323" s="421">
        <v>36.0</v>
      </c>
      <c r="H323" s="421" t="s">
        <v>4479</v>
      </c>
      <c r="I323" s="421" t="s">
        <v>4461</v>
      </c>
      <c r="J323" s="422"/>
    </row>
    <row r="324">
      <c r="A324" s="419" t="s">
        <v>5126</v>
      </c>
      <c r="B324" s="420">
        <v>0.0</v>
      </c>
      <c r="C324" s="421" t="s">
        <v>5127</v>
      </c>
      <c r="D324" s="421" t="s">
        <v>5128</v>
      </c>
      <c r="E324" s="421" t="s">
        <v>4747</v>
      </c>
      <c r="F324" s="421">
        <v>3606.0</v>
      </c>
      <c r="G324" s="421">
        <v>36.0</v>
      </c>
      <c r="H324" s="421" t="s">
        <v>4479</v>
      </c>
      <c r="I324" s="421" t="s">
        <v>4458</v>
      </c>
      <c r="J324" s="422"/>
    </row>
    <row r="325">
      <c r="A325" s="419" t="s">
        <v>5129</v>
      </c>
      <c r="B325" s="421">
        <v>971.0</v>
      </c>
      <c r="C325" s="421" t="s">
        <v>5130</v>
      </c>
      <c r="D325" s="420">
        <v>0.0</v>
      </c>
      <c r="E325" s="421" t="s">
        <v>4747</v>
      </c>
      <c r="F325" s="421">
        <v>3608.0</v>
      </c>
      <c r="G325" s="421">
        <v>36.0</v>
      </c>
      <c r="H325" s="421" t="s">
        <v>4641</v>
      </c>
      <c r="I325" s="421" t="s">
        <v>5131</v>
      </c>
      <c r="J325" s="422"/>
    </row>
    <row r="326">
      <c r="A326" s="419" t="s">
        <v>5132</v>
      </c>
      <c r="B326" s="420">
        <v>0.0</v>
      </c>
      <c r="C326" s="421" t="s">
        <v>5133</v>
      </c>
      <c r="D326" s="420">
        <v>0.0</v>
      </c>
      <c r="E326" s="421" t="s">
        <v>4747</v>
      </c>
      <c r="F326" s="421">
        <v>3609.0</v>
      </c>
      <c r="G326" s="421">
        <v>36.0</v>
      </c>
      <c r="H326" s="421" t="s">
        <v>4641</v>
      </c>
      <c r="I326" s="421" t="s">
        <v>4642</v>
      </c>
      <c r="J326" s="422"/>
    </row>
    <row r="327">
      <c r="A327" s="419" t="s">
        <v>5134</v>
      </c>
      <c r="B327" s="420">
        <v>0.0</v>
      </c>
      <c r="C327" s="421" t="s">
        <v>5135</v>
      </c>
      <c r="D327" s="421" t="s">
        <v>5136</v>
      </c>
      <c r="E327" s="421" t="s">
        <v>4747</v>
      </c>
      <c r="F327" s="421">
        <v>3701.0</v>
      </c>
      <c r="G327" s="421">
        <v>37.0</v>
      </c>
      <c r="H327" s="421" t="s">
        <v>4641</v>
      </c>
      <c r="I327" s="421" t="s">
        <v>5137</v>
      </c>
      <c r="J327" s="422"/>
    </row>
    <row r="328">
      <c r="A328" s="419" t="s">
        <v>5138</v>
      </c>
      <c r="B328" s="420">
        <v>0.0</v>
      </c>
      <c r="C328" s="421">
        <v>9.73322231414E11</v>
      </c>
      <c r="D328" s="420">
        <v>0.0</v>
      </c>
      <c r="E328" s="421" t="s">
        <v>4747</v>
      </c>
      <c r="F328" s="421">
        <v>3705.0</v>
      </c>
      <c r="G328" s="421">
        <v>37.0</v>
      </c>
      <c r="H328" s="421" t="s">
        <v>4479</v>
      </c>
      <c r="I328" s="421" t="s">
        <v>4514</v>
      </c>
      <c r="J328" s="422"/>
    </row>
    <row r="329">
      <c r="A329" s="419" t="s">
        <v>5139</v>
      </c>
      <c r="B329" s="420">
        <v>0.0</v>
      </c>
      <c r="C329" s="421">
        <v>9.71504476444E11</v>
      </c>
      <c r="D329" s="421" t="s">
        <v>5140</v>
      </c>
      <c r="E329" s="421" t="s">
        <v>4747</v>
      </c>
      <c r="F329" s="421">
        <v>3706.0</v>
      </c>
      <c r="G329" s="421">
        <v>37.0</v>
      </c>
      <c r="H329" s="421" t="s">
        <v>4479</v>
      </c>
      <c r="I329" s="421" t="s">
        <v>4461</v>
      </c>
      <c r="J329" s="422"/>
    </row>
    <row r="330">
      <c r="A330" s="419" t="s">
        <v>5141</v>
      </c>
      <c r="B330" s="421">
        <v>5.58026044E8</v>
      </c>
      <c r="C330" s="421" t="s">
        <v>5142</v>
      </c>
      <c r="D330" s="421" t="s">
        <v>5143</v>
      </c>
      <c r="E330" s="421" t="s">
        <v>4747</v>
      </c>
      <c r="F330" s="421">
        <v>3708.0</v>
      </c>
      <c r="G330" s="421">
        <v>37.0</v>
      </c>
      <c r="H330" s="421" t="s">
        <v>4641</v>
      </c>
      <c r="I330" s="421" t="s">
        <v>5144</v>
      </c>
      <c r="J330" s="422"/>
    </row>
    <row r="331">
      <c r="A331" s="419" t="s">
        <v>5145</v>
      </c>
      <c r="B331" s="421">
        <v>971.0</v>
      </c>
      <c r="C331" s="421" t="s">
        <v>5146</v>
      </c>
      <c r="D331" s="420">
        <v>0.0</v>
      </c>
      <c r="E331" s="421" t="s">
        <v>4747</v>
      </c>
      <c r="F331" s="421">
        <v>3709.0</v>
      </c>
      <c r="G331" s="421">
        <v>37.0</v>
      </c>
      <c r="H331" s="421" t="s">
        <v>4641</v>
      </c>
      <c r="I331" s="421" t="s">
        <v>4514</v>
      </c>
      <c r="J331" s="422"/>
    </row>
    <row r="332">
      <c r="A332" s="419" t="s">
        <v>5147</v>
      </c>
      <c r="B332" s="421">
        <v>971.0</v>
      </c>
      <c r="C332" s="421" t="s">
        <v>5148</v>
      </c>
      <c r="D332" s="420">
        <v>0.0</v>
      </c>
      <c r="E332" s="421" t="s">
        <v>4747</v>
      </c>
      <c r="F332" s="421">
        <v>3802.0</v>
      </c>
      <c r="G332" s="421">
        <v>38.0</v>
      </c>
      <c r="H332" s="421" t="s">
        <v>4457</v>
      </c>
      <c r="I332" s="421" t="s">
        <v>4533</v>
      </c>
      <c r="J332" s="422"/>
    </row>
    <row r="333">
      <c r="A333" s="419" t="s">
        <v>5149</v>
      </c>
      <c r="B333" s="420">
        <v>0.0</v>
      </c>
      <c r="C333" s="421" t="s">
        <v>5150</v>
      </c>
      <c r="D333" s="421" t="s">
        <v>5151</v>
      </c>
      <c r="E333" s="421" t="s">
        <v>4747</v>
      </c>
      <c r="F333" s="421">
        <v>3803.0</v>
      </c>
      <c r="G333" s="421">
        <v>38.0</v>
      </c>
      <c r="H333" s="421" t="s">
        <v>4457</v>
      </c>
      <c r="I333" s="421" t="s">
        <v>4472</v>
      </c>
      <c r="J333" s="422"/>
    </row>
    <row r="334">
      <c r="A334" s="419" t="s">
        <v>5152</v>
      </c>
      <c r="B334" s="421" t="s">
        <v>5153</v>
      </c>
      <c r="C334" s="421">
        <v>5.65573541E8</v>
      </c>
      <c r="D334" s="421" t="s">
        <v>5154</v>
      </c>
      <c r="E334" s="421" t="s">
        <v>4747</v>
      </c>
      <c r="F334" s="421">
        <v>3805.0</v>
      </c>
      <c r="G334" s="421">
        <v>38.0</v>
      </c>
      <c r="H334" s="421" t="s">
        <v>4479</v>
      </c>
      <c r="I334" s="421" t="s">
        <v>4461</v>
      </c>
      <c r="J334" s="422"/>
    </row>
    <row r="335">
      <c r="A335" s="419" t="s">
        <v>5155</v>
      </c>
      <c r="B335" s="420">
        <v>0.0</v>
      </c>
      <c r="C335" s="421" t="s">
        <v>5156</v>
      </c>
      <c r="D335" s="420">
        <v>0.0</v>
      </c>
      <c r="E335" s="421" t="s">
        <v>4747</v>
      </c>
      <c r="F335" s="421">
        <v>3806.0</v>
      </c>
      <c r="G335" s="421">
        <v>38.0</v>
      </c>
      <c r="H335" s="421" t="s">
        <v>4479</v>
      </c>
      <c r="I335" s="421" t="s">
        <v>4517</v>
      </c>
      <c r="J335" s="422"/>
    </row>
    <row r="336">
      <c r="A336" s="419" t="s">
        <v>5157</v>
      </c>
      <c r="B336" s="420">
        <v>0.0</v>
      </c>
      <c r="C336" s="421" t="s">
        <v>5158</v>
      </c>
      <c r="D336" s="420">
        <v>0.0</v>
      </c>
      <c r="E336" s="421" t="s">
        <v>4747</v>
      </c>
      <c r="F336" s="421">
        <v>3808.0</v>
      </c>
      <c r="G336" s="421">
        <v>38.0</v>
      </c>
      <c r="H336" s="421" t="s">
        <v>4641</v>
      </c>
      <c r="I336" s="421" t="s">
        <v>4461</v>
      </c>
      <c r="J336" s="422"/>
    </row>
    <row r="337">
      <c r="A337" s="419" t="s">
        <v>5159</v>
      </c>
      <c r="B337" s="420">
        <v>0.0</v>
      </c>
      <c r="C337" s="421" t="s">
        <v>5160</v>
      </c>
      <c r="D337" s="421" t="s">
        <v>5161</v>
      </c>
      <c r="E337" s="421" t="s">
        <v>4747</v>
      </c>
      <c r="F337" s="421">
        <v>3809.0</v>
      </c>
      <c r="G337" s="421">
        <v>38.0</v>
      </c>
      <c r="H337" s="421" t="s">
        <v>4641</v>
      </c>
      <c r="I337" s="421" t="s">
        <v>4472</v>
      </c>
      <c r="J337" s="422"/>
    </row>
    <row r="338">
      <c r="A338" s="419" t="s">
        <v>5162</v>
      </c>
      <c r="B338" s="420">
        <v>0.0</v>
      </c>
      <c r="C338" s="420">
        <v>0.0</v>
      </c>
      <c r="D338" s="421" t="s">
        <v>5163</v>
      </c>
      <c r="E338" s="421" t="s">
        <v>4747</v>
      </c>
      <c r="F338" s="421">
        <v>3901.0</v>
      </c>
      <c r="G338" s="421">
        <v>39.0</v>
      </c>
      <c r="H338" s="421" t="s">
        <v>4641</v>
      </c>
      <c r="I338" s="421" t="s">
        <v>4472</v>
      </c>
      <c r="J338" s="422"/>
    </row>
    <row r="339">
      <c r="A339" s="419" t="s">
        <v>5164</v>
      </c>
      <c r="B339" s="420">
        <v>0.0</v>
      </c>
      <c r="C339" s="421">
        <v>1.516851196E10</v>
      </c>
      <c r="D339" s="420">
        <v>0.0</v>
      </c>
      <c r="E339" s="421" t="s">
        <v>4747</v>
      </c>
      <c r="F339" s="421">
        <v>3902.0</v>
      </c>
      <c r="G339" s="421">
        <v>39.0</v>
      </c>
      <c r="H339" s="421" t="s">
        <v>4457</v>
      </c>
      <c r="I339" s="421" t="s">
        <v>4631</v>
      </c>
      <c r="J339" s="422"/>
    </row>
    <row r="340">
      <c r="A340" s="419" t="s">
        <v>5165</v>
      </c>
      <c r="B340" s="420">
        <v>0.0</v>
      </c>
      <c r="C340" s="420">
        <v>0.0</v>
      </c>
      <c r="D340" s="421" t="s">
        <v>5166</v>
      </c>
      <c r="E340" s="421" t="s">
        <v>4747</v>
      </c>
      <c r="F340" s="421">
        <v>3903.0</v>
      </c>
      <c r="G340" s="421">
        <v>39.0</v>
      </c>
      <c r="H340" s="421" t="s">
        <v>4457</v>
      </c>
      <c r="I340" s="421" t="s">
        <v>4500</v>
      </c>
      <c r="J340" s="422"/>
    </row>
    <row r="341">
      <c r="A341" s="419" t="s">
        <v>5167</v>
      </c>
      <c r="B341" s="421">
        <v>971.0</v>
      </c>
      <c r="C341" s="421">
        <v>9.66555844467E11</v>
      </c>
      <c r="D341" s="420">
        <v>0.0</v>
      </c>
      <c r="E341" s="421" t="s">
        <v>4747</v>
      </c>
      <c r="F341" s="421">
        <v>3905.0</v>
      </c>
      <c r="G341" s="421">
        <v>39.0</v>
      </c>
      <c r="H341" s="421" t="s">
        <v>4479</v>
      </c>
      <c r="I341" s="421" t="s">
        <v>4472</v>
      </c>
      <c r="J341" s="422"/>
    </row>
    <row r="342">
      <c r="A342" s="419" t="s">
        <v>4800</v>
      </c>
      <c r="B342" s="421" t="s">
        <v>4801</v>
      </c>
      <c r="C342" s="421" t="s">
        <v>4802</v>
      </c>
      <c r="D342" s="421" t="s">
        <v>4803</v>
      </c>
      <c r="E342" s="421" t="s">
        <v>4747</v>
      </c>
      <c r="F342" s="421">
        <v>3906.0</v>
      </c>
      <c r="G342" s="421">
        <v>39.0</v>
      </c>
      <c r="H342" s="421" t="s">
        <v>4479</v>
      </c>
      <c r="I342" s="421" t="s">
        <v>4556</v>
      </c>
      <c r="J342" s="422"/>
    </row>
    <row r="343">
      <c r="A343" s="419" t="s">
        <v>5168</v>
      </c>
      <c r="B343" s="420">
        <v>0.0</v>
      </c>
      <c r="C343" s="421">
        <v>5.65962266E8</v>
      </c>
      <c r="D343" s="420">
        <v>0.0</v>
      </c>
      <c r="E343" s="421" t="s">
        <v>4747</v>
      </c>
      <c r="F343" s="421">
        <v>3908.0</v>
      </c>
      <c r="G343" s="421">
        <v>39.0</v>
      </c>
      <c r="H343" s="421" t="s">
        <v>4641</v>
      </c>
      <c r="I343" s="421" t="s">
        <v>4461</v>
      </c>
      <c r="J343" s="422"/>
    </row>
    <row r="344">
      <c r="A344" s="419" t="s">
        <v>5169</v>
      </c>
      <c r="B344" s="420">
        <v>0.0</v>
      </c>
      <c r="C344" s="421" t="s">
        <v>5170</v>
      </c>
      <c r="D344" s="420">
        <v>0.0</v>
      </c>
      <c r="E344" s="421" t="s">
        <v>4747</v>
      </c>
      <c r="F344" s="421">
        <v>3909.0</v>
      </c>
      <c r="G344" s="421">
        <v>39.0</v>
      </c>
      <c r="H344" s="421" t="s">
        <v>4641</v>
      </c>
      <c r="I344" s="421" t="s">
        <v>4503</v>
      </c>
      <c r="J344" s="422"/>
    </row>
    <row r="345">
      <c r="A345" s="419" t="s">
        <v>5171</v>
      </c>
      <c r="B345" s="420">
        <v>0.0</v>
      </c>
      <c r="C345" s="420">
        <v>0.0</v>
      </c>
      <c r="D345" s="420">
        <v>0.0</v>
      </c>
      <c r="E345" s="421" t="s">
        <v>4747</v>
      </c>
      <c r="F345" s="421">
        <v>4101.0</v>
      </c>
      <c r="G345" s="421">
        <v>41.0</v>
      </c>
      <c r="H345" s="421" t="s">
        <v>4641</v>
      </c>
      <c r="I345" s="421" t="s">
        <v>5172</v>
      </c>
      <c r="J345" s="422"/>
    </row>
    <row r="346">
      <c r="A346" s="419" t="s">
        <v>5037</v>
      </c>
      <c r="B346" s="420">
        <v>0.0</v>
      </c>
      <c r="C346" s="421" t="s">
        <v>5038</v>
      </c>
      <c r="D346" s="420">
        <v>0.0</v>
      </c>
      <c r="E346" s="421" t="s">
        <v>4747</v>
      </c>
      <c r="F346" s="421">
        <v>4102.0</v>
      </c>
      <c r="G346" s="421">
        <v>41.0</v>
      </c>
      <c r="H346" s="421" t="s">
        <v>4457</v>
      </c>
      <c r="I346" s="421" t="s">
        <v>4514</v>
      </c>
      <c r="J346" s="422"/>
    </row>
    <row r="347">
      <c r="A347" s="419" t="s">
        <v>5173</v>
      </c>
      <c r="B347" s="420">
        <v>0.0</v>
      </c>
      <c r="C347" s="421" t="s">
        <v>5174</v>
      </c>
      <c r="D347" s="421" t="s">
        <v>5175</v>
      </c>
      <c r="E347" s="421" t="s">
        <v>4747</v>
      </c>
      <c r="F347" s="421">
        <v>4103.0</v>
      </c>
      <c r="G347" s="421">
        <v>41.0</v>
      </c>
      <c r="H347" s="421" t="s">
        <v>4457</v>
      </c>
      <c r="I347" s="421" t="s">
        <v>5176</v>
      </c>
      <c r="J347" s="422"/>
    </row>
    <row r="348">
      <c r="A348" s="419" t="s">
        <v>5177</v>
      </c>
      <c r="B348" s="420">
        <v>0.0</v>
      </c>
      <c r="C348" s="421" t="s">
        <v>5178</v>
      </c>
      <c r="D348" s="420">
        <v>0.0</v>
      </c>
      <c r="E348" s="421" t="s">
        <v>4747</v>
      </c>
      <c r="F348" s="421">
        <v>4104.0</v>
      </c>
      <c r="G348" s="421">
        <v>41.0</v>
      </c>
      <c r="H348" s="421" t="s">
        <v>4457</v>
      </c>
      <c r="I348" s="421" t="s">
        <v>4461</v>
      </c>
      <c r="J348" s="422"/>
    </row>
    <row r="349">
      <c r="A349" s="419" t="s">
        <v>5179</v>
      </c>
      <c r="B349" s="421">
        <v>971.0</v>
      </c>
      <c r="C349" s="421" t="s">
        <v>5180</v>
      </c>
      <c r="D349" s="421" t="s">
        <v>5181</v>
      </c>
      <c r="E349" s="421" t="s">
        <v>4747</v>
      </c>
      <c r="F349" s="421">
        <v>4105.0</v>
      </c>
      <c r="G349" s="421">
        <v>41.0</v>
      </c>
      <c r="H349" s="421" t="s">
        <v>4479</v>
      </c>
      <c r="I349" s="421" t="s">
        <v>4458</v>
      </c>
      <c r="J349" s="422"/>
    </row>
    <row r="350">
      <c r="A350" s="419" t="s">
        <v>4892</v>
      </c>
      <c r="B350" s="420">
        <v>0.0</v>
      </c>
      <c r="C350" s="421" t="s">
        <v>4893</v>
      </c>
      <c r="D350" s="420">
        <v>0.0</v>
      </c>
      <c r="E350" s="421" t="s">
        <v>4747</v>
      </c>
      <c r="F350" s="421">
        <v>4106.0</v>
      </c>
      <c r="G350" s="421">
        <v>41.0</v>
      </c>
      <c r="H350" s="421" t="s">
        <v>4479</v>
      </c>
      <c r="I350" s="421" t="s">
        <v>4472</v>
      </c>
      <c r="J350" s="422"/>
    </row>
    <row r="351">
      <c r="A351" s="419" t="s">
        <v>5182</v>
      </c>
      <c r="B351" s="421">
        <v>971.0</v>
      </c>
      <c r="C351" s="421" t="s">
        <v>5183</v>
      </c>
      <c r="D351" s="420">
        <v>0.0</v>
      </c>
      <c r="E351" s="421" t="s">
        <v>4747</v>
      </c>
      <c r="F351" s="421">
        <v>4107.0</v>
      </c>
      <c r="G351" s="421">
        <v>41.0</v>
      </c>
      <c r="H351" s="421" t="s">
        <v>4457</v>
      </c>
      <c r="I351" s="421" t="s">
        <v>4507</v>
      </c>
      <c r="J351" s="422"/>
    </row>
    <row r="352">
      <c r="A352" s="419" t="s">
        <v>5184</v>
      </c>
      <c r="B352" s="420">
        <v>0.0</v>
      </c>
      <c r="C352" s="421" t="s">
        <v>5185</v>
      </c>
      <c r="D352" s="420">
        <v>0.0</v>
      </c>
      <c r="E352" s="421" t="s">
        <v>4747</v>
      </c>
      <c r="F352" s="421">
        <v>4108.0</v>
      </c>
      <c r="G352" s="421">
        <v>41.0</v>
      </c>
      <c r="H352" s="421" t="s">
        <v>4641</v>
      </c>
      <c r="I352" s="421" t="s">
        <v>4550</v>
      </c>
      <c r="J352" s="422"/>
    </row>
    <row r="353">
      <c r="A353" s="419" t="s">
        <v>5186</v>
      </c>
      <c r="B353" s="420">
        <v>0.0</v>
      </c>
      <c r="C353" s="421" t="s">
        <v>5187</v>
      </c>
      <c r="D353" s="420">
        <v>0.0</v>
      </c>
      <c r="E353" s="421" t="s">
        <v>4747</v>
      </c>
      <c r="F353" s="421">
        <v>4109.0</v>
      </c>
      <c r="G353" s="421">
        <v>41.0</v>
      </c>
      <c r="H353" s="421" t="s">
        <v>4641</v>
      </c>
      <c r="I353" s="421" t="s">
        <v>4525</v>
      </c>
      <c r="J353" s="422"/>
    </row>
    <row r="354">
      <c r="A354" s="419" t="s">
        <v>4682</v>
      </c>
      <c r="B354" s="420">
        <v>0.0</v>
      </c>
      <c r="C354" s="421" t="s">
        <v>4683</v>
      </c>
      <c r="D354" s="420">
        <v>0.0</v>
      </c>
      <c r="E354" s="421" t="s">
        <v>4747</v>
      </c>
      <c r="F354" s="421">
        <v>4201.0</v>
      </c>
      <c r="G354" s="421">
        <v>42.0</v>
      </c>
      <c r="H354" s="421" t="s">
        <v>4641</v>
      </c>
      <c r="I354" s="421" t="s">
        <v>4642</v>
      </c>
      <c r="J354" s="422"/>
    </row>
    <row r="355">
      <c r="A355" s="419" t="s">
        <v>5188</v>
      </c>
      <c r="B355" s="420">
        <v>0.0</v>
      </c>
      <c r="C355" s="421" t="s">
        <v>5189</v>
      </c>
      <c r="D355" s="420">
        <v>0.0</v>
      </c>
      <c r="E355" s="421" t="s">
        <v>4747</v>
      </c>
      <c r="F355" s="421">
        <v>4202.0</v>
      </c>
      <c r="G355" s="421">
        <v>42.0</v>
      </c>
      <c r="H355" s="421" t="s">
        <v>4457</v>
      </c>
      <c r="I355" s="421" t="s">
        <v>4461</v>
      </c>
      <c r="J355" s="422"/>
    </row>
    <row r="356">
      <c r="A356" s="419" t="s">
        <v>5167</v>
      </c>
      <c r="B356" s="421">
        <v>971.0</v>
      </c>
      <c r="C356" s="421">
        <v>9.66555844467E11</v>
      </c>
      <c r="D356" s="420">
        <v>0.0</v>
      </c>
      <c r="E356" s="421" t="s">
        <v>4747</v>
      </c>
      <c r="F356" s="421">
        <v>4204.0</v>
      </c>
      <c r="G356" s="421">
        <v>42.0</v>
      </c>
      <c r="H356" s="421" t="s">
        <v>4457</v>
      </c>
      <c r="I356" s="421" t="s">
        <v>4472</v>
      </c>
      <c r="J356" s="422"/>
    </row>
    <row r="357">
      <c r="A357" s="419" t="s">
        <v>5190</v>
      </c>
      <c r="B357" s="421">
        <v>4.4592527E7</v>
      </c>
      <c r="C357" s="421">
        <v>9.71505956535E11</v>
      </c>
      <c r="D357" s="421" t="s">
        <v>5191</v>
      </c>
      <c r="E357" s="421" t="s">
        <v>4747</v>
      </c>
      <c r="F357" s="421">
        <v>4205.0</v>
      </c>
      <c r="G357" s="421">
        <v>42.0</v>
      </c>
      <c r="H357" s="421" t="s">
        <v>4479</v>
      </c>
      <c r="I357" s="421" t="s">
        <v>4461</v>
      </c>
      <c r="J357" s="422"/>
    </row>
    <row r="358">
      <c r="A358" s="419" t="s">
        <v>5192</v>
      </c>
      <c r="B358" s="420">
        <v>0.0</v>
      </c>
      <c r="C358" s="421">
        <v>2.0100140053E10</v>
      </c>
      <c r="D358" s="420">
        <v>0.0</v>
      </c>
      <c r="E358" s="421" t="s">
        <v>4747</v>
      </c>
      <c r="F358" s="421">
        <v>4206.0</v>
      </c>
      <c r="G358" s="421">
        <v>42.0</v>
      </c>
      <c r="H358" s="421" t="s">
        <v>4479</v>
      </c>
      <c r="I358" s="421" t="s">
        <v>4500</v>
      </c>
      <c r="J358" s="422"/>
    </row>
    <row r="359">
      <c r="A359" s="419" t="s">
        <v>5193</v>
      </c>
      <c r="B359" s="420">
        <v>0.0</v>
      </c>
      <c r="C359" s="420">
        <v>0.0</v>
      </c>
      <c r="D359" s="420">
        <v>0.0</v>
      </c>
      <c r="E359" s="421" t="s">
        <v>4747</v>
      </c>
      <c r="F359" s="421">
        <v>4207.0</v>
      </c>
      <c r="G359" s="421">
        <v>42.0</v>
      </c>
      <c r="H359" s="421" t="s">
        <v>4457</v>
      </c>
      <c r="I359" s="421" t="s">
        <v>4514</v>
      </c>
      <c r="J359" s="422"/>
    </row>
    <row r="360">
      <c r="A360" s="419" t="s">
        <v>5194</v>
      </c>
      <c r="B360" s="420">
        <v>0.0</v>
      </c>
      <c r="C360" s="420">
        <v>0.0</v>
      </c>
      <c r="D360" s="421" t="s">
        <v>5195</v>
      </c>
      <c r="E360" s="421" t="s">
        <v>4747</v>
      </c>
      <c r="F360" s="421">
        <v>4208.0</v>
      </c>
      <c r="G360" s="421">
        <v>42.0</v>
      </c>
      <c r="H360" s="421" t="s">
        <v>4641</v>
      </c>
      <c r="I360" s="421" t="s">
        <v>4500</v>
      </c>
      <c r="J360" s="422"/>
    </row>
    <row r="361">
      <c r="A361" s="419" t="s">
        <v>5196</v>
      </c>
      <c r="B361" s="421">
        <v>5.5102136E8</v>
      </c>
      <c r="C361" s="421" t="s">
        <v>5197</v>
      </c>
      <c r="D361" s="420">
        <v>0.0</v>
      </c>
      <c r="E361" s="421" t="s">
        <v>4747</v>
      </c>
      <c r="F361" s="421">
        <v>4209.0</v>
      </c>
      <c r="G361" s="421">
        <v>42.0</v>
      </c>
      <c r="H361" s="421" t="s">
        <v>4641</v>
      </c>
      <c r="I361" s="421" t="s">
        <v>4550</v>
      </c>
      <c r="J361" s="422"/>
    </row>
    <row r="362">
      <c r="A362" s="419" t="s">
        <v>5198</v>
      </c>
      <c r="B362" s="421" t="s">
        <v>5199</v>
      </c>
      <c r="C362" s="421" t="s">
        <v>5200</v>
      </c>
      <c r="D362" s="421" t="s">
        <v>5201</v>
      </c>
      <c r="E362" s="421" t="s">
        <v>4747</v>
      </c>
      <c r="F362" s="421">
        <v>4301.0</v>
      </c>
      <c r="G362" s="421">
        <v>43.0</v>
      </c>
      <c r="H362" s="421" t="s">
        <v>4641</v>
      </c>
      <c r="I362" s="421" t="s">
        <v>4461</v>
      </c>
      <c r="J362" s="422"/>
    </row>
    <row r="363">
      <c r="A363" s="419" t="s">
        <v>5198</v>
      </c>
      <c r="B363" s="421" t="s">
        <v>5199</v>
      </c>
      <c r="C363" s="421" t="s">
        <v>5200</v>
      </c>
      <c r="D363" s="421" t="s">
        <v>5201</v>
      </c>
      <c r="E363" s="421" t="s">
        <v>4747</v>
      </c>
      <c r="F363" s="421">
        <v>4302.0</v>
      </c>
      <c r="G363" s="421">
        <v>43.0</v>
      </c>
      <c r="H363" s="421" t="s">
        <v>4457</v>
      </c>
      <c r="I363" s="421" t="s">
        <v>4461</v>
      </c>
      <c r="J363" s="422"/>
    </row>
    <row r="364">
      <c r="A364" s="419" t="s">
        <v>5198</v>
      </c>
      <c r="B364" s="421" t="s">
        <v>5199</v>
      </c>
      <c r="C364" s="421" t="s">
        <v>5200</v>
      </c>
      <c r="D364" s="421" t="s">
        <v>5201</v>
      </c>
      <c r="E364" s="421" t="s">
        <v>4747</v>
      </c>
      <c r="F364" s="421">
        <v>4303.0</v>
      </c>
      <c r="G364" s="421">
        <v>43.0</v>
      </c>
      <c r="H364" s="421" t="s">
        <v>4457</v>
      </c>
      <c r="I364" s="421" t="s">
        <v>4461</v>
      </c>
      <c r="J364" s="422"/>
    </row>
    <row r="365">
      <c r="A365" s="419" t="s">
        <v>5198</v>
      </c>
      <c r="B365" s="421" t="s">
        <v>5199</v>
      </c>
      <c r="C365" s="421" t="s">
        <v>5200</v>
      </c>
      <c r="D365" s="421" t="s">
        <v>5201</v>
      </c>
      <c r="E365" s="421" t="s">
        <v>4747</v>
      </c>
      <c r="F365" s="421">
        <v>4304.0</v>
      </c>
      <c r="G365" s="421">
        <v>43.0</v>
      </c>
      <c r="H365" s="421" t="s">
        <v>4457</v>
      </c>
      <c r="I365" s="421" t="s">
        <v>4461</v>
      </c>
      <c r="J365" s="422"/>
    </row>
    <row r="366">
      <c r="A366" s="419" t="s">
        <v>5198</v>
      </c>
      <c r="B366" s="421" t="s">
        <v>5199</v>
      </c>
      <c r="C366" s="421" t="s">
        <v>5200</v>
      </c>
      <c r="D366" s="421" t="s">
        <v>5201</v>
      </c>
      <c r="E366" s="421" t="s">
        <v>4747</v>
      </c>
      <c r="F366" s="421">
        <v>4305.0</v>
      </c>
      <c r="G366" s="421">
        <v>43.0</v>
      </c>
      <c r="H366" s="421" t="s">
        <v>4479</v>
      </c>
      <c r="I366" s="421" t="s">
        <v>4461</v>
      </c>
      <c r="J366" s="422"/>
    </row>
    <row r="367">
      <c r="A367" s="419" t="s">
        <v>5198</v>
      </c>
      <c r="B367" s="421" t="s">
        <v>5199</v>
      </c>
      <c r="C367" s="421" t="s">
        <v>5200</v>
      </c>
      <c r="D367" s="421" t="s">
        <v>5201</v>
      </c>
      <c r="E367" s="421" t="s">
        <v>4747</v>
      </c>
      <c r="F367" s="421">
        <v>4306.0</v>
      </c>
      <c r="G367" s="421">
        <v>43.0</v>
      </c>
      <c r="H367" s="421" t="s">
        <v>4479</v>
      </c>
      <c r="I367" s="421" t="s">
        <v>4461</v>
      </c>
      <c r="J367" s="422"/>
    </row>
    <row r="368">
      <c r="A368" s="419" t="s">
        <v>5198</v>
      </c>
      <c r="B368" s="421" t="s">
        <v>5199</v>
      </c>
      <c r="C368" s="421" t="s">
        <v>5200</v>
      </c>
      <c r="D368" s="421" t="s">
        <v>5201</v>
      </c>
      <c r="E368" s="421" t="s">
        <v>4747</v>
      </c>
      <c r="F368" s="421">
        <v>4307.0</v>
      </c>
      <c r="G368" s="421">
        <v>43.0</v>
      </c>
      <c r="H368" s="421" t="s">
        <v>4457</v>
      </c>
      <c r="I368" s="421" t="s">
        <v>4461</v>
      </c>
      <c r="J368" s="422"/>
    </row>
    <row r="369">
      <c r="A369" s="419" t="s">
        <v>5198</v>
      </c>
      <c r="B369" s="421" t="s">
        <v>5199</v>
      </c>
      <c r="C369" s="421" t="s">
        <v>5200</v>
      </c>
      <c r="D369" s="421" t="s">
        <v>5201</v>
      </c>
      <c r="E369" s="421" t="s">
        <v>4747</v>
      </c>
      <c r="F369" s="421">
        <v>4308.0</v>
      </c>
      <c r="G369" s="421">
        <v>43.0</v>
      </c>
      <c r="H369" s="421" t="s">
        <v>4641</v>
      </c>
      <c r="I369" s="421" t="s">
        <v>4461</v>
      </c>
      <c r="J369" s="422"/>
    </row>
    <row r="370">
      <c r="A370" s="419" t="s">
        <v>5198</v>
      </c>
      <c r="B370" s="421" t="s">
        <v>5199</v>
      </c>
      <c r="C370" s="421" t="s">
        <v>5200</v>
      </c>
      <c r="D370" s="421" t="s">
        <v>5201</v>
      </c>
      <c r="E370" s="421" t="s">
        <v>4747</v>
      </c>
      <c r="F370" s="421">
        <v>4309.0</v>
      </c>
      <c r="G370" s="421">
        <v>43.0</v>
      </c>
      <c r="H370" s="421" t="s">
        <v>4641</v>
      </c>
      <c r="I370" s="421" t="s">
        <v>4461</v>
      </c>
      <c r="J370" s="422"/>
    </row>
    <row r="371">
      <c r="A371" s="419" t="s">
        <v>5202</v>
      </c>
      <c r="B371" s="420">
        <v>0.0</v>
      </c>
      <c r="C371" s="420">
        <v>0.0</v>
      </c>
      <c r="D371" s="420">
        <v>0.0</v>
      </c>
      <c r="E371" s="421" t="s">
        <v>4747</v>
      </c>
      <c r="F371" s="421">
        <v>4401.0</v>
      </c>
      <c r="G371" s="421">
        <v>44.0</v>
      </c>
      <c r="H371" s="421" t="s">
        <v>4641</v>
      </c>
      <c r="I371" s="421" t="s">
        <v>4472</v>
      </c>
      <c r="J371" s="422"/>
    </row>
    <row r="372">
      <c r="A372" s="419" t="s">
        <v>5188</v>
      </c>
      <c r="B372" s="420">
        <v>0.0</v>
      </c>
      <c r="C372" s="421" t="s">
        <v>5189</v>
      </c>
      <c r="D372" s="420">
        <v>0.0</v>
      </c>
      <c r="E372" s="421" t="s">
        <v>4747</v>
      </c>
      <c r="F372" s="421">
        <v>4402.0</v>
      </c>
      <c r="G372" s="421">
        <v>44.0</v>
      </c>
      <c r="H372" s="421" t="s">
        <v>4457</v>
      </c>
      <c r="I372" s="421" t="s">
        <v>4461</v>
      </c>
      <c r="J372" s="422"/>
    </row>
    <row r="373">
      <c r="A373" s="419" t="s">
        <v>5203</v>
      </c>
      <c r="B373" s="420">
        <v>0.0</v>
      </c>
      <c r="C373" s="421" t="s">
        <v>5204</v>
      </c>
      <c r="D373" s="420">
        <v>0.0</v>
      </c>
      <c r="E373" s="421" t="s">
        <v>4747</v>
      </c>
      <c r="F373" s="421">
        <v>4403.0</v>
      </c>
      <c r="G373" s="421">
        <v>44.0</v>
      </c>
      <c r="H373" s="421" t="s">
        <v>4457</v>
      </c>
      <c r="I373" s="421" t="s">
        <v>4533</v>
      </c>
      <c r="J373" s="422"/>
    </row>
    <row r="374">
      <c r="A374" s="419" t="s">
        <v>5205</v>
      </c>
      <c r="B374" s="420">
        <v>0.0</v>
      </c>
      <c r="C374" s="421" t="s">
        <v>5120</v>
      </c>
      <c r="D374" s="421" t="s">
        <v>5206</v>
      </c>
      <c r="E374" s="421" t="s">
        <v>4747</v>
      </c>
      <c r="F374" s="421">
        <v>4404.0</v>
      </c>
      <c r="G374" s="421">
        <v>44.0</v>
      </c>
      <c r="H374" s="421" t="s">
        <v>4457</v>
      </c>
      <c r="I374" s="421" t="s">
        <v>4472</v>
      </c>
      <c r="J374" s="422"/>
    </row>
    <row r="375">
      <c r="A375" s="419" t="s">
        <v>5190</v>
      </c>
      <c r="B375" s="421">
        <v>4.4592527E7</v>
      </c>
      <c r="C375" s="421">
        <v>9.71505956535E11</v>
      </c>
      <c r="D375" s="421" t="s">
        <v>5191</v>
      </c>
      <c r="E375" s="421" t="s">
        <v>4747</v>
      </c>
      <c r="F375" s="421">
        <v>4405.0</v>
      </c>
      <c r="G375" s="421">
        <v>44.0</v>
      </c>
      <c r="H375" s="421" t="s">
        <v>4479</v>
      </c>
      <c r="I375" s="421" t="s">
        <v>4461</v>
      </c>
      <c r="J375" s="422"/>
    </row>
    <row r="376">
      <c r="A376" s="419" t="s">
        <v>5190</v>
      </c>
      <c r="B376" s="421">
        <v>4.4592527E7</v>
      </c>
      <c r="C376" s="421">
        <v>9.71505956535E11</v>
      </c>
      <c r="D376" s="421" t="s">
        <v>5191</v>
      </c>
      <c r="E376" s="421" t="s">
        <v>4747</v>
      </c>
      <c r="F376" s="421">
        <v>4406.0</v>
      </c>
      <c r="G376" s="421">
        <v>44.0</v>
      </c>
      <c r="H376" s="421" t="s">
        <v>4479</v>
      </c>
      <c r="I376" s="421" t="s">
        <v>4461</v>
      </c>
      <c r="J376" s="422"/>
    </row>
    <row r="377">
      <c r="A377" s="419" t="s">
        <v>5207</v>
      </c>
      <c r="B377" s="421" t="s">
        <v>5208</v>
      </c>
      <c r="C377" s="421" t="s">
        <v>5209</v>
      </c>
      <c r="D377" s="421" t="s">
        <v>5210</v>
      </c>
      <c r="E377" s="421" t="s">
        <v>4747</v>
      </c>
      <c r="F377" s="421">
        <v>4408.0</v>
      </c>
      <c r="G377" s="421">
        <v>44.0</v>
      </c>
      <c r="H377" s="421" t="s">
        <v>4641</v>
      </c>
      <c r="I377" s="421" t="s">
        <v>4503</v>
      </c>
      <c r="J377" s="422"/>
    </row>
    <row r="378">
      <c r="A378" s="419" t="s">
        <v>5211</v>
      </c>
      <c r="B378" s="420">
        <v>0.0</v>
      </c>
      <c r="C378" s="421" t="s">
        <v>5212</v>
      </c>
      <c r="D378" s="421" t="s">
        <v>5213</v>
      </c>
      <c r="E378" s="421" t="s">
        <v>4747</v>
      </c>
      <c r="F378" s="421">
        <v>4409.0</v>
      </c>
      <c r="G378" s="421">
        <v>44.0</v>
      </c>
      <c r="H378" s="421" t="s">
        <v>4641</v>
      </c>
      <c r="I378" s="421" t="s">
        <v>4852</v>
      </c>
      <c r="J378" s="4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0"/>
    <col customWidth="1" min="2" max="2" width="14.71"/>
    <col customWidth="1" min="3" max="3" width="32.29"/>
    <col customWidth="1" min="4" max="4" width="19.71"/>
    <col customWidth="1" min="5" max="5" width="17.86"/>
    <col customWidth="1" min="6" max="6" width="10.71"/>
    <col customWidth="1" min="7" max="7" width="2.86"/>
    <col customWidth="1" min="8" max="8" width="4.43"/>
    <col customWidth="1" min="9" max="9" width="5.71"/>
    <col customWidth="1" min="10" max="10" width="3.86"/>
    <col customWidth="1" min="11" max="11" width="12.86"/>
  </cols>
  <sheetData>
    <row r="1">
      <c r="A1" s="426" t="s">
        <v>5214</v>
      </c>
      <c r="B1" s="426" t="s">
        <v>5215</v>
      </c>
      <c r="C1" s="426" t="s">
        <v>5216</v>
      </c>
      <c r="D1" s="426" t="s">
        <v>5217</v>
      </c>
      <c r="E1" s="426" t="s">
        <v>5217</v>
      </c>
      <c r="F1" s="426" t="s">
        <v>5218</v>
      </c>
      <c r="G1" s="426" t="s">
        <v>5219</v>
      </c>
      <c r="H1" s="426" t="s">
        <v>4448</v>
      </c>
      <c r="I1" s="426" t="s">
        <v>4449</v>
      </c>
      <c r="J1" s="426" t="s">
        <v>4450</v>
      </c>
      <c r="K1" s="426" t="s">
        <v>4451</v>
      </c>
      <c r="L1" s="427" t="s">
        <v>5220</v>
      </c>
      <c r="M1" s="428"/>
      <c r="N1" s="428"/>
      <c r="O1" s="428"/>
      <c r="P1" s="428"/>
      <c r="Q1" s="428"/>
      <c r="R1" s="428"/>
      <c r="S1" s="428"/>
      <c r="T1" s="428"/>
      <c r="U1" s="428"/>
    </row>
    <row r="2">
      <c r="A2" s="429" t="s">
        <v>5221</v>
      </c>
      <c r="B2" s="430">
        <v>0.0</v>
      </c>
      <c r="C2" s="429" t="s">
        <v>5222</v>
      </c>
      <c r="D2" s="429" t="s">
        <v>5223</v>
      </c>
      <c r="E2" s="430">
        <v>0.0</v>
      </c>
      <c r="F2" s="429" t="s">
        <v>4571</v>
      </c>
      <c r="G2" s="430">
        <v>4.161795E7</v>
      </c>
      <c r="H2" s="429" t="s">
        <v>5224</v>
      </c>
      <c r="I2" s="429">
        <v>1603.0</v>
      </c>
      <c r="J2" s="429">
        <v>16.0</v>
      </c>
      <c r="K2" s="429" t="s">
        <v>4641</v>
      </c>
      <c r="L2" s="39" t="s">
        <v>3613</v>
      </c>
    </row>
    <row r="3">
      <c r="A3" s="429" t="s">
        <v>5221</v>
      </c>
      <c r="B3" s="430">
        <v>0.0</v>
      </c>
      <c r="C3" s="429" t="s">
        <v>5222</v>
      </c>
      <c r="D3" s="429" t="s">
        <v>5223</v>
      </c>
      <c r="E3" s="430">
        <v>0.0</v>
      </c>
      <c r="F3" s="429" t="s">
        <v>4571</v>
      </c>
      <c r="G3" s="430">
        <v>4.1618044E7</v>
      </c>
      <c r="H3" s="429" t="s">
        <v>5224</v>
      </c>
      <c r="I3" s="429">
        <v>1604.0</v>
      </c>
      <c r="J3" s="429">
        <v>16.0</v>
      </c>
      <c r="K3" s="429" t="s">
        <v>4479</v>
      </c>
    </row>
    <row r="4">
      <c r="A4" s="429" t="s">
        <v>5225</v>
      </c>
      <c r="B4" s="430">
        <v>0.0</v>
      </c>
      <c r="C4" s="429" t="s">
        <v>5226</v>
      </c>
      <c r="D4" s="430">
        <v>0.0</v>
      </c>
      <c r="E4" s="429">
        <v>-5.06663248E8</v>
      </c>
      <c r="F4" s="429" t="s">
        <v>4670</v>
      </c>
      <c r="G4" s="430">
        <v>4.1610148E7</v>
      </c>
      <c r="H4" s="429" t="s">
        <v>5224</v>
      </c>
      <c r="I4" s="429">
        <v>404.0</v>
      </c>
      <c r="J4" s="429">
        <v>4.0</v>
      </c>
      <c r="K4" s="429" t="s">
        <v>4479</v>
      </c>
      <c r="L4" s="39" t="s">
        <v>4491</v>
      </c>
    </row>
    <row r="5">
      <c r="A5" s="429" t="s">
        <v>5227</v>
      </c>
      <c r="B5" s="430">
        <v>0.0</v>
      </c>
      <c r="C5" s="429" t="s">
        <v>5228</v>
      </c>
      <c r="D5" s="430">
        <v>0.0</v>
      </c>
      <c r="E5" s="429" t="s">
        <v>5229</v>
      </c>
      <c r="F5" s="429" t="s">
        <v>4472</v>
      </c>
      <c r="G5" s="430">
        <v>4.1623668E7</v>
      </c>
      <c r="H5" s="429" t="s">
        <v>5230</v>
      </c>
      <c r="I5" s="429">
        <v>308.0</v>
      </c>
      <c r="J5" s="429">
        <v>3.0</v>
      </c>
      <c r="K5" s="429" t="s">
        <v>4457</v>
      </c>
      <c r="L5" s="39" t="s">
        <v>5231</v>
      </c>
    </row>
    <row r="6">
      <c r="A6" s="429" t="s">
        <v>5232</v>
      </c>
      <c r="B6" s="429" t="s">
        <v>5233</v>
      </c>
      <c r="C6" s="430">
        <v>0.0</v>
      </c>
      <c r="D6" s="429" t="s">
        <v>5234</v>
      </c>
      <c r="E6" s="429" t="s">
        <v>5233</v>
      </c>
      <c r="F6" s="429" t="s">
        <v>4514</v>
      </c>
      <c r="G6" s="430">
        <v>4.1623762E7</v>
      </c>
      <c r="H6" s="429" t="s">
        <v>5230</v>
      </c>
      <c r="I6" s="429">
        <v>309.0</v>
      </c>
      <c r="J6" s="429">
        <v>3.0</v>
      </c>
      <c r="K6" s="429" t="s">
        <v>4457</v>
      </c>
      <c r="L6" s="39" t="s">
        <v>5235</v>
      </c>
    </row>
    <row r="7">
      <c r="A7" s="429" t="s">
        <v>5236</v>
      </c>
      <c r="B7" s="430">
        <v>0.0</v>
      </c>
      <c r="C7" s="430">
        <v>0.0</v>
      </c>
      <c r="D7" s="430">
        <v>0.0</v>
      </c>
      <c r="E7" s="429">
        <v>-5.03634412E8</v>
      </c>
      <c r="F7" s="429" t="s">
        <v>4472</v>
      </c>
      <c r="G7" s="430">
        <v>4.1623856E7</v>
      </c>
      <c r="H7" s="429" t="s">
        <v>5230</v>
      </c>
      <c r="I7" s="429">
        <v>310.0</v>
      </c>
      <c r="J7" s="429">
        <v>3.0</v>
      </c>
      <c r="K7" s="429" t="s">
        <v>4457</v>
      </c>
      <c r="L7" s="39" t="s">
        <v>251</v>
      </c>
    </row>
    <row r="8">
      <c r="A8" s="429" t="s">
        <v>5237</v>
      </c>
      <c r="B8" s="430">
        <v>0.0</v>
      </c>
      <c r="C8" s="430">
        <v>0.0</v>
      </c>
      <c r="D8" s="429" t="s">
        <v>5238</v>
      </c>
      <c r="E8" s="430">
        <v>0.0</v>
      </c>
      <c r="F8" s="429" t="s">
        <v>4571</v>
      </c>
      <c r="G8" s="430">
        <v>4.162395E7</v>
      </c>
      <c r="H8" s="429" t="s">
        <v>5230</v>
      </c>
      <c r="I8" s="429">
        <v>311.0</v>
      </c>
      <c r="J8" s="429">
        <v>3.0</v>
      </c>
      <c r="K8" s="429" t="s">
        <v>4457</v>
      </c>
      <c r="L8" s="39" t="s">
        <v>5239</v>
      </c>
    </row>
    <row r="9">
      <c r="A9" s="429" t="s">
        <v>5240</v>
      </c>
      <c r="B9" s="430">
        <v>0.0</v>
      </c>
      <c r="C9" s="429" t="s">
        <v>5241</v>
      </c>
      <c r="D9" s="429" t="s">
        <v>5242</v>
      </c>
      <c r="E9" s="429" t="s">
        <v>5243</v>
      </c>
      <c r="F9" s="429" t="s">
        <v>4472</v>
      </c>
      <c r="G9" s="430">
        <v>4.161184E7</v>
      </c>
      <c r="H9" s="429" t="s">
        <v>5224</v>
      </c>
      <c r="I9" s="429">
        <v>701.0</v>
      </c>
      <c r="J9" s="429">
        <v>7.0</v>
      </c>
      <c r="K9" s="429" t="s">
        <v>4479</v>
      </c>
      <c r="L9" s="39" t="s">
        <v>3914</v>
      </c>
    </row>
    <row r="10">
      <c r="A10" s="429" t="s">
        <v>5244</v>
      </c>
      <c r="B10" s="430">
        <v>0.0</v>
      </c>
      <c r="C10" s="430">
        <v>0.0</v>
      </c>
      <c r="D10" s="430">
        <v>0.0</v>
      </c>
      <c r="E10" s="429" t="s">
        <v>5245</v>
      </c>
      <c r="F10" s="429" t="s">
        <v>4542</v>
      </c>
      <c r="G10" s="430">
        <v>4.1612122E7</v>
      </c>
      <c r="H10" s="429" t="s">
        <v>5224</v>
      </c>
      <c r="I10" s="429">
        <v>704.0</v>
      </c>
      <c r="J10" s="429">
        <v>7.0</v>
      </c>
      <c r="K10" s="429" t="s">
        <v>4479</v>
      </c>
      <c r="L10" s="39" t="s">
        <v>172</v>
      </c>
    </row>
    <row r="11">
      <c r="A11" s="429" t="s">
        <v>5246</v>
      </c>
      <c r="B11" s="430">
        <v>0.0</v>
      </c>
      <c r="C11" s="429" t="s">
        <v>5247</v>
      </c>
      <c r="D11" s="429" t="s">
        <v>5248</v>
      </c>
      <c r="E11" s="429" t="s">
        <v>5249</v>
      </c>
      <c r="F11" s="429" t="s">
        <v>4542</v>
      </c>
      <c r="G11" s="430">
        <v>4.1613344E7</v>
      </c>
      <c r="H11" s="429" t="s">
        <v>5224</v>
      </c>
      <c r="I11" s="429">
        <v>903.0</v>
      </c>
      <c r="J11" s="429">
        <v>9.0</v>
      </c>
      <c r="K11" s="429" t="s">
        <v>4641</v>
      </c>
      <c r="L11" s="39" t="s">
        <v>979</v>
      </c>
    </row>
    <row r="12">
      <c r="A12" s="429" t="s">
        <v>5250</v>
      </c>
      <c r="B12" s="430">
        <v>0.0</v>
      </c>
      <c r="C12" s="430">
        <v>0.0</v>
      </c>
      <c r="D12" s="430">
        <v>0.0</v>
      </c>
      <c r="E12" s="429" t="s">
        <v>5251</v>
      </c>
      <c r="F12" s="429" t="s">
        <v>5252</v>
      </c>
      <c r="G12" s="430">
        <v>4.1613438E7</v>
      </c>
      <c r="H12" s="429" t="s">
        <v>5224</v>
      </c>
      <c r="I12" s="429">
        <v>904.0</v>
      </c>
      <c r="J12" s="429">
        <v>9.0</v>
      </c>
      <c r="K12" s="429" t="s">
        <v>4479</v>
      </c>
      <c r="L12" s="39" t="s">
        <v>5253</v>
      </c>
    </row>
    <row r="13">
      <c r="A13" s="429" t="s">
        <v>5254</v>
      </c>
      <c r="B13" s="430">
        <v>0.0</v>
      </c>
      <c r="C13" s="430">
        <v>0.0</v>
      </c>
      <c r="D13" s="429" t="s">
        <v>5255</v>
      </c>
      <c r="E13" s="430">
        <v>0.0</v>
      </c>
      <c r="F13" s="429" t="s">
        <v>4461</v>
      </c>
      <c r="G13" s="430">
        <v>4.1613814E7</v>
      </c>
      <c r="H13" s="429" t="s">
        <v>5224</v>
      </c>
      <c r="I13" s="429">
        <v>1001.0</v>
      </c>
      <c r="J13" s="429">
        <v>10.0</v>
      </c>
      <c r="K13" s="429" t="s">
        <v>4479</v>
      </c>
      <c r="L13" s="39" t="s">
        <v>4572</v>
      </c>
    </row>
    <row r="14">
      <c r="A14" s="429" t="s">
        <v>5256</v>
      </c>
      <c r="B14" s="429">
        <v>9.66505476878E11</v>
      </c>
      <c r="C14" s="429" t="s">
        <v>5257</v>
      </c>
      <c r="D14" s="429">
        <v>9.66505476878E11</v>
      </c>
      <c r="E14" s="430">
        <v>0.0</v>
      </c>
      <c r="F14" s="429" t="s">
        <v>4472</v>
      </c>
      <c r="G14" s="430">
        <v>4.1614002E7</v>
      </c>
      <c r="H14" s="429" t="s">
        <v>5224</v>
      </c>
      <c r="I14" s="429">
        <v>1003.0</v>
      </c>
      <c r="J14" s="429">
        <v>10.0</v>
      </c>
      <c r="K14" s="429" t="s">
        <v>4641</v>
      </c>
      <c r="L14" s="39" t="s">
        <v>5258</v>
      </c>
    </row>
    <row r="15">
      <c r="A15" s="429" t="s">
        <v>5259</v>
      </c>
      <c r="B15" s="430">
        <v>0.0</v>
      </c>
      <c r="C15" s="430">
        <v>0.0</v>
      </c>
      <c r="D15" s="429" t="s">
        <v>5260</v>
      </c>
      <c r="E15" s="430">
        <v>0.0</v>
      </c>
      <c r="F15" s="429" t="s">
        <v>4461</v>
      </c>
      <c r="G15" s="430">
        <v>4.1614096E7</v>
      </c>
      <c r="H15" s="429" t="s">
        <v>5224</v>
      </c>
      <c r="I15" s="429">
        <v>1004.0</v>
      </c>
      <c r="J15" s="429">
        <v>10.0</v>
      </c>
      <c r="K15" s="429" t="s">
        <v>4479</v>
      </c>
      <c r="L15" s="39" t="s">
        <v>5261</v>
      </c>
    </row>
    <row r="16">
      <c r="A16" s="429" t="s">
        <v>5262</v>
      </c>
      <c r="B16" s="430">
        <v>0.0</v>
      </c>
      <c r="C16" s="430">
        <v>0.0</v>
      </c>
      <c r="D16" s="429" t="s">
        <v>5263</v>
      </c>
      <c r="E16" s="430">
        <v>0.0</v>
      </c>
      <c r="F16" s="429" t="s">
        <v>4542</v>
      </c>
      <c r="G16" s="430">
        <v>4.1614284E7</v>
      </c>
      <c r="H16" s="429" t="s">
        <v>5224</v>
      </c>
      <c r="I16" s="429">
        <v>1006.0</v>
      </c>
      <c r="J16" s="429">
        <v>10.0</v>
      </c>
      <c r="K16" s="429" t="s">
        <v>4457</v>
      </c>
      <c r="L16" s="39" t="s">
        <v>4589</v>
      </c>
    </row>
    <row r="17">
      <c r="A17" s="429" t="s">
        <v>5264</v>
      </c>
      <c r="B17" s="429" t="s">
        <v>5265</v>
      </c>
      <c r="C17" s="429" t="s">
        <v>3235</v>
      </c>
      <c r="D17" s="429" t="s">
        <v>5266</v>
      </c>
      <c r="E17" s="429" t="s">
        <v>5265</v>
      </c>
      <c r="F17" s="429" t="s">
        <v>4461</v>
      </c>
      <c r="G17" s="430">
        <v>4.1614378E7</v>
      </c>
      <c r="H17" s="429" t="s">
        <v>5224</v>
      </c>
      <c r="I17" s="429">
        <v>1007.0</v>
      </c>
      <c r="J17" s="429">
        <v>10.0</v>
      </c>
      <c r="K17" s="429" t="s">
        <v>4457</v>
      </c>
      <c r="L17" s="39" t="s">
        <v>4589</v>
      </c>
    </row>
    <row r="18">
      <c r="A18" s="429" t="s">
        <v>5267</v>
      </c>
      <c r="B18" s="430">
        <v>0.0</v>
      </c>
      <c r="C18" s="429" t="s">
        <v>5268</v>
      </c>
      <c r="D18" s="430">
        <v>0.0</v>
      </c>
      <c r="E18" s="429" t="s">
        <v>5269</v>
      </c>
      <c r="F18" s="429" t="s">
        <v>4533</v>
      </c>
      <c r="G18" s="430">
        <v>4.161466E7</v>
      </c>
      <c r="H18" s="429" t="s">
        <v>5224</v>
      </c>
      <c r="I18" s="429">
        <v>1103.0</v>
      </c>
      <c r="J18" s="429">
        <v>11.0</v>
      </c>
      <c r="K18" s="429" t="s">
        <v>4641</v>
      </c>
      <c r="L18" s="39" t="s">
        <v>4491</v>
      </c>
    </row>
    <row r="19">
      <c r="A19" s="431" t="s">
        <v>5270</v>
      </c>
      <c r="B19" s="432">
        <v>0.0</v>
      </c>
      <c r="C19" s="432">
        <v>0.0</v>
      </c>
      <c r="D19" s="431" t="s">
        <v>5271</v>
      </c>
      <c r="E19" s="432">
        <v>0.0</v>
      </c>
      <c r="F19" s="431" t="s">
        <v>4503</v>
      </c>
      <c r="G19" s="432">
        <v>4.1614942E7</v>
      </c>
      <c r="H19" s="431" t="s">
        <v>5224</v>
      </c>
      <c r="I19" s="431">
        <v>1106.0</v>
      </c>
      <c r="J19" s="431">
        <v>11.0</v>
      </c>
      <c r="K19" s="431" t="s">
        <v>4457</v>
      </c>
      <c r="L19" s="433" t="s">
        <v>5272</v>
      </c>
      <c r="M19" s="434"/>
      <c r="N19" s="434"/>
      <c r="O19" s="434"/>
    </row>
    <row r="20">
      <c r="A20" s="429" t="s">
        <v>5273</v>
      </c>
      <c r="B20" s="430">
        <v>0.0</v>
      </c>
      <c r="C20" s="429" t="s">
        <v>5274</v>
      </c>
      <c r="D20" s="429" t="s">
        <v>5275</v>
      </c>
      <c r="E20" s="430">
        <v>0.0</v>
      </c>
      <c r="F20" s="429" t="s">
        <v>4542</v>
      </c>
      <c r="G20" s="430">
        <v>4.161513E7</v>
      </c>
      <c r="H20" s="429" t="s">
        <v>5224</v>
      </c>
      <c r="I20" s="429">
        <v>1201.0</v>
      </c>
      <c r="J20" s="429">
        <v>12.0</v>
      </c>
      <c r="K20" s="429" t="s">
        <v>4479</v>
      </c>
      <c r="L20" s="39" t="s">
        <v>979</v>
      </c>
    </row>
    <row r="21">
      <c r="A21" s="429" t="s">
        <v>5276</v>
      </c>
      <c r="B21" s="429" t="s">
        <v>5277</v>
      </c>
      <c r="C21" s="430">
        <v>0.0</v>
      </c>
      <c r="D21" s="429" t="s">
        <v>5278</v>
      </c>
      <c r="E21" s="430">
        <v>0.0</v>
      </c>
      <c r="F21" s="429" t="s">
        <v>4517</v>
      </c>
      <c r="G21" s="430">
        <v>4.1615318E7</v>
      </c>
      <c r="H21" s="429" t="s">
        <v>5224</v>
      </c>
      <c r="I21" s="429">
        <v>1203.0</v>
      </c>
      <c r="J21" s="429">
        <v>12.0</v>
      </c>
      <c r="K21" s="429" t="s">
        <v>4641</v>
      </c>
      <c r="L21" s="39" t="s">
        <v>5239</v>
      </c>
      <c r="M21" s="39" t="s">
        <v>168</v>
      </c>
    </row>
    <row r="22">
      <c r="A22" s="429" t="s">
        <v>5279</v>
      </c>
      <c r="B22" s="430">
        <v>0.0</v>
      </c>
      <c r="C22" s="430">
        <v>0.0</v>
      </c>
      <c r="D22" s="429" t="s">
        <v>5280</v>
      </c>
      <c r="E22" s="429" t="s">
        <v>5281</v>
      </c>
      <c r="F22" s="429" t="s">
        <v>4852</v>
      </c>
      <c r="G22" s="430">
        <v>4.1616822E7</v>
      </c>
      <c r="H22" s="429" t="s">
        <v>5224</v>
      </c>
      <c r="I22" s="429">
        <v>1405.0</v>
      </c>
      <c r="J22" s="429">
        <v>14.0</v>
      </c>
      <c r="K22" s="429" t="s">
        <v>4457</v>
      </c>
      <c r="L22" s="39" t="s">
        <v>4572</v>
      </c>
    </row>
    <row r="23">
      <c r="A23" s="429" t="s">
        <v>5282</v>
      </c>
      <c r="B23" s="430">
        <v>0.0</v>
      </c>
      <c r="C23" s="430">
        <v>0.0</v>
      </c>
      <c r="D23" s="429" t="s">
        <v>4463</v>
      </c>
      <c r="E23" s="429" t="s">
        <v>4868</v>
      </c>
      <c r="F23" s="429" t="s">
        <v>4852</v>
      </c>
      <c r="G23" s="430">
        <v>4.1616916E7</v>
      </c>
      <c r="H23" s="429" t="s">
        <v>5224</v>
      </c>
      <c r="I23" s="429">
        <v>1406.0</v>
      </c>
      <c r="J23" s="429">
        <v>14.0</v>
      </c>
      <c r="K23" s="429" t="s">
        <v>4457</v>
      </c>
      <c r="L23" s="39" t="s">
        <v>979</v>
      </c>
    </row>
    <row r="24">
      <c r="A24" s="431" t="s">
        <v>5283</v>
      </c>
      <c r="B24" s="431">
        <v>4.2944412E7</v>
      </c>
      <c r="C24" s="431" t="s">
        <v>5284</v>
      </c>
      <c r="D24" s="431">
        <v>5.09491032E8</v>
      </c>
      <c r="E24" s="432">
        <v>0.0</v>
      </c>
      <c r="F24" s="431" t="s">
        <v>4514</v>
      </c>
      <c r="G24" s="432">
        <v>4.161701E7</v>
      </c>
      <c r="H24" s="431" t="s">
        <v>5224</v>
      </c>
      <c r="I24" s="431">
        <v>1407.0</v>
      </c>
      <c r="J24" s="431">
        <v>14.0</v>
      </c>
      <c r="K24" s="431" t="s">
        <v>4457</v>
      </c>
      <c r="L24" s="433" t="s">
        <v>5285</v>
      </c>
      <c r="M24" s="434"/>
      <c r="N24" s="434"/>
      <c r="O24" s="434"/>
    </row>
    <row r="25">
      <c r="A25" s="429" t="s">
        <v>5286</v>
      </c>
      <c r="B25" s="430">
        <v>0.0</v>
      </c>
      <c r="C25" s="429" t="s">
        <v>5287</v>
      </c>
      <c r="D25" s="429" t="s">
        <v>5288</v>
      </c>
      <c r="E25" s="429">
        <v>-5.55208855E8</v>
      </c>
      <c r="F25" s="429" t="s">
        <v>4472</v>
      </c>
      <c r="G25" s="430">
        <v>4.1617104E7</v>
      </c>
      <c r="H25" s="429" t="s">
        <v>5224</v>
      </c>
      <c r="I25" s="429">
        <v>1501.0</v>
      </c>
      <c r="J25" s="429">
        <v>15.0</v>
      </c>
      <c r="K25" s="429" t="s">
        <v>4479</v>
      </c>
      <c r="L25" s="39" t="s">
        <v>4551</v>
      </c>
    </row>
    <row r="26">
      <c r="A26" s="429" t="s">
        <v>5289</v>
      </c>
      <c r="B26" s="430">
        <v>0.0</v>
      </c>
      <c r="C26" s="429" t="s">
        <v>5290</v>
      </c>
      <c r="D26" s="429" t="s">
        <v>5291</v>
      </c>
      <c r="E26" s="429" t="s">
        <v>5292</v>
      </c>
      <c r="F26" s="429" t="s">
        <v>4472</v>
      </c>
      <c r="G26" s="430">
        <v>4.1617292E7</v>
      </c>
      <c r="H26" s="429" t="s">
        <v>5224</v>
      </c>
      <c r="I26" s="429">
        <v>1503.0</v>
      </c>
      <c r="J26" s="429">
        <v>15.0</v>
      </c>
      <c r="K26" s="429" t="s">
        <v>4641</v>
      </c>
      <c r="L26" s="39" t="s">
        <v>255</v>
      </c>
    </row>
    <row r="27">
      <c r="A27" s="429" t="s">
        <v>5293</v>
      </c>
      <c r="B27" s="430">
        <v>0.0</v>
      </c>
      <c r="C27" s="430">
        <v>0.0</v>
      </c>
      <c r="D27" s="430">
        <v>0.0</v>
      </c>
      <c r="E27" s="429" t="s">
        <v>5294</v>
      </c>
      <c r="F27" s="429" t="s">
        <v>4542</v>
      </c>
      <c r="G27" s="430">
        <v>4.1617386E7</v>
      </c>
      <c r="H27" s="429" t="s">
        <v>5224</v>
      </c>
      <c r="I27" s="429">
        <v>1504.0</v>
      </c>
      <c r="J27" s="429">
        <v>15.0</v>
      </c>
      <c r="K27" s="429" t="s">
        <v>4479</v>
      </c>
      <c r="L27" s="39" t="s">
        <v>979</v>
      </c>
    </row>
    <row r="28">
      <c r="A28" s="429" t="s">
        <v>5295</v>
      </c>
      <c r="B28" s="430">
        <v>0.0</v>
      </c>
      <c r="C28" s="430">
        <v>0.0</v>
      </c>
      <c r="D28" s="429" t="s">
        <v>5296</v>
      </c>
      <c r="E28" s="430">
        <v>0.0</v>
      </c>
      <c r="F28" s="429" t="s">
        <v>4514</v>
      </c>
      <c r="G28" s="430">
        <v>4.161748E7</v>
      </c>
      <c r="H28" s="429" t="s">
        <v>5224</v>
      </c>
      <c r="I28" s="429">
        <v>1505.0</v>
      </c>
      <c r="J28" s="429">
        <v>15.0</v>
      </c>
      <c r="K28" s="429" t="s">
        <v>4457</v>
      </c>
      <c r="L28" s="39" t="s">
        <v>251</v>
      </c>
    </row>
    <row r="29">
      <c r="A29" s="431" t="s">
        <v>5297</v>
      </c>
      <c r="B29" s="431" t="s">
        <v>5298</v>
      </c>
      <c r="C29" s="432">
        <v>0.0</v>
      </c>
      <c r="D29" s="431">
        <v>9.71505533554E11</v>
      </c>
      <c r="E29" s="432">
        <v>0.0</v>
      </c>
      <c r="F29" s="431" t="s">
        <v>4461</v>
      </c>
      <c r="G29" s="432">
        <v>4.1617574E7</v>
      </c>
      <c r="H29" s="431" t="s">
        <v>5224</v>
      </c>
      <c r="I29" s="431">
        <v>1506.0</v>
      </c>
      <c r="J29" s="431">
        <v>15.0</v>
      </c>
      <c r="K29" s="431" t="s">
        <v>4457</v>
      </c>
      <c r="L29" s="433" t="s">
        <v>5299</v>
      </c>
      <c r="M29" s="434"/>
    </row>
    <row r="30">
      <c r="A30" s="429" t="s">
        <v>5221</v>
      </c>
      <c r="B30" s="430">
        <v>0.0</v>
      </c>
      <c r="C30" s="429" t="s">
        <v>5222</v>
      </c>
      <c r="D30" s="429" t="s">
        <v>5223</v>
      </c>
      <c r="E30" s="430">
        <v>0.0</v>
      </c>
      <c r="F30" s="429" t="s">
        <v>4571</v>
      </c>
      <c r="G30" s="430">
        <v>4.1617762E7</v>
      </c>
      <c r="H30" s="429" t="s">
        <v>5224</v>
      </c>
      <c r="I30" s="429">
        <v>1601.0</v>
      </c>
      <c r="J30" s="429">
        <v>16.0</v>
      </c>
      <c r="K30" s="429" t="s">
        <v>4479</v>
      </c>
      <c r="L30" s="39" t="s">
        <v>5300</v>
      </c>
    </row>
    <row r="31">
      <c r="A31" s="429" t="s">
        <v>5221</v>
      </c>
      <c r="B31" s="430">
        <v>0.0</v>
      </c>
      <c r="C31" s="429" t="s">
        <v>5222</v>
      </c>
      <c r="D31" s="429" t="s">
        <v>5223</v>
      </c>
      <c r="E31" s="430">
        <v>0.0</v>
      </c>
      <c r="F31" s="429" t="s">
        <v>4571</v>
      </c>
      <c r="G31" s="430">
        <v>4.1617856E7</v>
      </c>
      <c r="H31" s="429" t="s">
        <v>5224</v>
      </c>
      <c r="I31" s="429">
        <v>1602.0</v>
      </c>
      <c r="J31" s="429">
        <v>16.0</v>
      </c>
      <c r="K31" s="429" t="s">
        <v>4641</v>
      </c>
      <c r="L31" s="39" t="s">
        <v>5301</v>
      </c>
    </row>
    <row r="32">
      <c r="A32" s="429" t="s">
        <v>5302</v>
      </c>
      <c r="B32" s="429">
        <v>971.0</v>
      </c>
      <c r="C32" s="430">
        <v>0.0</v>
      </c>
      <c r="D32" s="429" t="s">
        <v>5303</v>
      </c>
      <c r="E32" s="429" t="s">
        <v>5304</v>
      </c>
      <c r="F32" s="429" t="s">
        <v>4631</v>
      </c>
      <c r="G32" s="430">
        <v>4.162966E7</v>
      </c>
      <c r="H32" s="429" t="s">
        <v>5305</v>
      </c>
      <c r="I32" s="429" t="s">
        <v>5306</v>
      </c>
      <c r="J32" s="429" t="s">
        <v>5307</v>
      </c>
      <c r="K32" s="429" t="s">
        <v>4457</v>
      </c>
      <c r="L32" s="39" t="s">
        <v>979</v>
      </c>
    </row>
    <row r="33">
      <c r="A33" s="429" t="s">
        <v>5308</v>
      </c>
      <c r="B33" s="429">
        <v>971.0</v>
      </c>
      <c r="C33" s="430">
        <v>0.0</v>
      </c>
      <c r="D33" s="429" t="s">
        <v>5309</v>
      </c>
      <c r="E33" s="429" t="s">
        <v>5310</v>
      </c>
      <c r="F33" s="429" t="s">
        <v>4507</v>
      </c>
      <c r="G33" s="430">
        <v>4.1629754E7</v>
      </c>
      <c r="H33" s="429" t="s">
        <v>5305</v>
      </c>
      <c r="I33" s="429" t="s">
        <v>5311</v>
      </c>
      <c r="J33" s="429" t="s">
        <v>5307</v>
      </c>
      <c r="K33" s="429" t="s">
        <v>4641</v>
      </c>
      <c r="L33" s="39" t="s">
        <v>251</v>
      </c>
    </row>
    <row r="34">
      <c r="A34" s="429" t="s">
        <v>5312</v>
      </c>
      <c r="B34" s="429">
        <v>971.0</v>
      </c>
      <c r="C34" s="430">
        <v>0.0</v>
      </c>
      <c r="D34" s="429" t="s">
        <v>5313</v>
      </c>
      <c r="E34" s="429" t="s">
        <v>5314</v>
      </c>
      <c r="F34" s="429" t="s">
        <v>4472</v>
      </c>
      <c r="G34" s="430">
        <v>4.1629848E7</v>
      </c>
      <c r="H34" s="429" t="s">
        <v>5305</v>
      </c>
      <c r="I34" s="429" t="s">
        <v>5315</v>
      </c>
      <c r="J34" s="429" t="s">
        <v>5307</v>
      </c>
      <c r="K34" s="429" t="s">
        <v>4641</v>
      </c>
      <c r="L34" s="39" t="s">
        <v>4589</v>
      </c>
    </row>
    <row r="35">
      <c r="A35" s="429" t="s">
        <v>5316</v>
      </c>
      <c r="B35" s="429">
        <v>971.0</v>
      </c>
      <c r="C35" s="430">
        <v>0.0</v>
      </c>
      <c r="D35" s="429" t="s">
        <v>5317</v>
      </c>
      <c r="E35" s="429" t="s">
        <v>5318</v>
      </c>
      <c r="F35" s="429" t="s">
        <v>5080</v>
      </c>
      <c r="G35" s="430">
        <v>4.1629942E7</v>
      </c>
      <c r="H35" s="429" t="s">
        <v>5305</v>
      </c>
      <c r="I35" s="429" t="s">
        <v>5319</v>
      </c>
      <c r="J35" s="429" t="s">
        <v>5307</v>
      </c>
      <c r="K35" s="429" t="s">
        <v>4641</v>
      </c>
      <c r="L35" s="39" t="s">
        <v>979</v>
      </c>
    </row>
    <row r="36">
      <c r="A36" s="429" t="s">
        <v>5320</v>
      </c>
      <c r="B36" s="429">
        <v>971.0</v>
      </c>
      <c r="C36" s="430">
        <v>0.0</v>
      </c>
      <c r="D36" s="429" t="s">
        <v>5321</v>
      </c>
      <c r="E36" s="429" t="s">
        <v>5322</v>
      </c>
      <c r="F36" s="429" t="s">
        <v>4525</v>
      </c>
      <c r="G36" s="430">
        <v>4.1630036E7</v>
      </c>
      <c r="H36" s="429" t="s">
        <v>5305</v>
      </c>
      <c r="I36" s="429" t="s">
        <v>5323</v>
      </c>
      <c r="J36" s="429" t="s">
        <v>5307</v>
      </c>
      <c r="K36" s="429" t="s">
        <v>4479</v>
      </c>
      <c r="L36" s="39" t="s">
        <v>4572</v>
      </c>
    </row>
    <row r="37">
      <c r="A37" s="429" t="s">
        <v>5324</v>
      </c>
      <c r="B37" s="429">
        <v>971.0</v>
      </c>
      <c r="C37" s="430">
        <v>0.0</v>
      </c>
      <c r="D37" s="429" t="s">
        <v>5325</v>
      </c>
      <c r="E37" s="429" t="s">
        <v>5326</v>
      </c>
      <c r="F37" s="429" t="s">
        <v>4472</v>
      </c>
      <c r="G37" s="430">
        <v>4.163013E7</v>
      </c>
      <c r="H37" s="429" t="s">
        <v>5305</v>
      </c>
      <c r="I37" s="429" t="s">
        <v>5327</v>
      </c>
      <c r="J37" s="429" t="s">
        <v>5307</v>
      </c>
      <c r="K37" s="429" t="s">
        <v>4479</v>
      </c>
      <c r="L37" s="39" t="s">
        <v>4601</v>
      </c>
    </row>
    <row r="38">
      <c r="A38" s="429" t="s">
        <v>5328</v>
      </c>
      <c r="B38" s="429">
        <v>971.0</v>
      </c>
      <c r="C38" s="430">
        <v>0.0</v>
      </c>
      <c r="D38" s="429" t="s">
        <v>5329</v>
      </c>
      <c r="E38" s="429" t="s">
        <v>5330</v>
      </c>
      <c r="F38" s="429" t="s">
        <v>5331</v>
      </c>
      <c r="G38" s="430">
        <v>4.1630224E7</v>
      </c>
      <c r="H38" s="429" t="s">
        <v>5305</v>
      </c>
      <c r="I38" s="429">
        <v>101.0</v>
      </c>
      <c r="J38" s="429">
        <v>1.0</v>
      </c>
      <c r="K38" s="429" t="s">
        <v>4457</v>
      </c>
      <c r="L38" s="39" t="s">
        <v>251</v>
      </c>
    </row>
    <row r="39">
      <c r="A39" s="429" t="s">
        <v>5221</v>
      </c>
      <c r="B39" s="430">
        <v>0.0</v>
      </c>
      <c r="C39" s="429" t="s">
        <v>5222</v>
      </c>
      <c r="D39" s="429" t="s">
        <v>5223</v>
      </c>
      <c r="E39" s="430">
        <v>0.0</v>
      </c>
      <c r="F39" s="429" t="s">
        <v>4571</v>
      </c>
      <c r="G39" s="430">
        <v>4.1618138E7</v>
      </c>
      <c r="H39" s="429" t="s">
        <v>5224</v>
      </c>
      <c r="I39" s="429">
        <v>1605.0</v>
      </c>
      <c r="J39" s="429">
        <v>16.0</v>
      </c>
      <c r="K39" s="429" t="s">
        <v>4457</v>
      </c>
      <c r="L39" s="39" t="s">
        <v>168</v>
      </c>
    </row>
    <row r="40">
      <c r="A40" s="429" t="s">
        <v>5221</v>
      </c>
      <c r="B40" s="430">
        <v>0.0</v>
      </c>
      <c r="C40" s="429" t="s">
        <v>5222</v>
      </c>
      <c r="D40" s="429" t="s">
        <v>5223</v>
      </c>
      <c r="E40" s="430">
        <v>0.0</v>
      </c>
      <c r="F40" s="429" t="s">
        <v>4571</v>
      </c>
      <c r="G40" s="430">
        <v>4.1618232E7</v>
      </c>
      <c r="H40" s="429" t="s">
        <v>5224</v>
      </c>
      <c r="I40" s="429">
        <v>1606.0</v>
      </c>
      <c r="J40" s="429">
        <v>16.0</v>
      </c>
      <c r="K40" s="429" t="s">
        <v>4457</v>
      </c>
      <c r="L40" s="39" t="s">
        <v>168</v>
      </c>
    </row>
    <row r="41">
      <c r="A41" s="429" t="s">
        <v>5221</v>
      </c>
      <c r="B41" s="430">
        <v>0.0</v>
      </c>
      <c r="C41" s="429" t="s">
        <v>5222</v>
      </c>
      <c r="D41" s="429" t="s">
        <v>5223</v>
      </c>
      <c r="E41" s="430">
        <v>0.0</v>
      </c>
      <c r="F41" s="429" t="s">
        <v>4571</v>
      </c>
      <c r="G41" s="430">
        <v>4.1618326E7</v>
      </c>
      <c r="H41" s="429" t="s">
        <v>5224</v>
      </c>
      <c r="I41" s="429">
        <v>1607.0</v>
      </c>
      <c r="J41" s="429">
        <v>16.0</v>
      </c>
      <c r="K41" s="429" t="s">
        <v>4457</v>
      </c>
      <c r="L41" s="39" t="s">
        <v>168</v>
      </c>
    </row>
    <row r="42">
      <c r="A42" s="429" t="s">
        <v>5332</v>
      </c>
      <c r="B42" s="430">
        <v>0.0</v>
      </c>
      <c r="C42" s="430">
        <v>0.0</v>
      </c>
      <c r="D42" s="429" t="s">
        <v>5333</v>
      </c>
      <c r="E42" s="429" t="s">
        <v>5334</v>
      </c>
      <c r="F42" s="429" t="s">
        <v>4542</v>
      </c>
      <c r="G42" s="430">
        <v>4.161842E7</v>
      </c>
      <c r="H42" s="429" t="s">
        <v>5224</v>
      </c>
      <c r="I42" s="429">
        <v>1701.0</v>
      </c>
      <c r="J42" s="429">
        <v>17.0</v>
      </c>
      <c r="K42" s="429" t="s">
        <v>4479</v>
      </c>
      <c r="L42" s="39" t="s">
        <v>4572</v>
      </c>
    </row>
    <row r="43">
      <c r="A43" s="429" t="s">
        <v>5276</v>
      </c>
      <c r="B43" s="429" t="s">
        <v>5277</v>
      </c>
      <c r="C43" s="430">
        <v>0.0</v>
      </c>
      <c r="D43" s="429" t="s">
        <v>5278</v>
      </c>
      <c r="E43" s="430">
        <v>0.0</v>
      </c>
      <c r="F43" s="429" t="s">
        <v>4517</v>
      </c>
      <c r="G43" s="430">
        <v>4.1618608E7</v>
      </c>
      <c r="H43" s="429" t="s">
        <v>5224</v>
      </c>
      <c r="I43" s="429">
        <v>1703.0</v>
      </c>
      <c r="J43" s="429">
        <v>17.0</v>
      </c>
      <c r="K43" s="429" t="s">
        <v>4641</v>
      </c>
      <c r="L43" s="39" t="s">
        <v>5335</v>
      </c>
    </row>
    <row r="44">
      <c r="A44" s="431" t="s">
        <v>5336</v>
      </c>
      <c r="B44" s="432">
        <v>0.0</v>
      </c>
      <c r="C44" s="431" t="s">
        <v>5337</v>
      </c>
      <c r="D44" s="431" t="s">
        <v>5338</v>
      </c>
      <c r="E44" s="431" t="s">
        <v>5339</v>
      </c>
      <c r="F44" s="431" t="s">
        <v>4542</v>
      </c>
      <c r="G44" s="432">
        <v>4.1618702E7</v>
      </c>
      <c r="H44" s="431" t="s">
        <v>5224</v>
      </c>
      <c r="I44" s="431">
        <v>1704.0</v>
      </c>
      <c r="J44" s="431">
        <v>17.0</v>
      </c>
      <c r="K44" s="431" t="s">
        <v>4479</v>
      </c>
      <c r="L44" s="433" t="s">
        <v>5340</v>
      </c>
      <c r="M44" s="434"/>
    </row>
    <row r="45">
      <c r="A45" s="429" t="s">
        <v>5341</v>
      </c>
      <c r="B45" s="430">
        <v>0.0</v>
      </c>
      <c r="C45" s="430">
        <v>0.0</v>
      </c>
      <c r="D45" s="430">
        <v>0.0</v>
      </c>
      <c r="E45" s="429" t="s">
        <v>5342</v>
      </c>
      <c r="F45" s="429" t="s">
        <v>4542</v>
      </c>
      <c r="G45" s="430">
        <v>4.1618796E7</v>
      </c>
      <c r="H45" s="429" t="s">
        <v>5224</v>
      </c>
      <c r="I45" s="429">
        <v>1705.0</v>
      </c>
      <c r="J45" s="429">
        <v>17.0</v>
      </c>
      <c r="K45" s="429" t="s">
        <v>4457</v>
      </c>
      <c r="L45" s="39" t="s">
        <v>5343</v>
      </c>
    </row>
    <row r="46">
      <c r="A46" s="429" t="s">
        <v>5276</v>
      </c>
      <c r="B46" s="429" t="s">
        <v>5277</v>
      </c>
      <c r="C46" s="430">
        <v>0.0</v>
      </c>
      <c r="D46" s="429" t="s">
        <v>5278</v>
      </c>
      <c r="E46" s="430">
        <v>0.0</v>
      </c>
      <c r="F46" s="429" t="s">
        <v>4517</v>
      </c>
      <c r="G46" s="430">
        <v>4.161889E7</v>
      </c>
      <c r="H46" s="429" t="s">
        <v>5224</v>
      </c>
      <c r="I46" s="429">
        <v>1706.0</v>
      </c>
      <c r="J46" s="429">
        <v>17.0</v>
      </c>
      <c r="K46" s="429" t="s">
        <v>4457</v>
      </c>
      <c r="L46" s="39" t="s">
        <v>5335</v>
      </c>
    </row>
    <row r="47">
      <c r="A47" s="429" t="s">
        <v>5344</v>
      </c>
      <c r="B47" s="430">
        <v>0.0</v>
      </c>
      <c r="C47" s="429" t="s">
        <v>5345</v>
      </c>
      <c r="D47" s="429" t="s">
        <v>5346</v>
      </c>
      <c r="E47" s="430">
        <v>0.0</v>
      </c>
      <c r="F47" s="429" t="s">
        <v>4517</v>
      </c>
      <c r="G47" s="430">
        <v>4.1620488E7</v>
      </c>
      <c r="H47" s="429" t="s">
        <v>5224</v>
      </c>
      <c r="I47" s="429">
        <v>2002.0</v>
      </c>
      <c r="J47" s="429">
        <v>20.0</v>
      </c>
      <c r="K47" s="429" t="s">
        <v>5347</v>
      </c>
      <c r="L47" s="39" t="s">
        <v>172</v>
      </c>
    </row>
    <row r="48">
      <c r="A48" s="429" t="s">
        <v>5348</v>
      </c>
      <c r="B48" s="429" t="s">
        <v>5349</v>
      </c>
      <c r="C48" s="429" t="s">
        <v>5350</v>
      </c>
      <c r="D48" s="429" t="s">
        <v>5351</v>
      </c>
      <c r="E48" s="429" t="s">
        <v>5352</v>
      </c>
      <c r="F48" s="429" t="s">
        <v>4542</v>
      </c>
      <c r="G48" s="430">
        <v>4.1620676E7</v>
      </c>
      <c r="H48" s="429" t="s">
        <v>5224</v>
      </c>
      <c r="I48" s="429">
        <v>2102.0</v>
      </c>
      <c r="J48" s="429">
        <v>21.0</v>
      </c>
      <c r="K48" s="429" t="s">
        <v>5347</v>
      </c>
      <c r="L48" s="39" t="s">
        <v>574</v>
      </c>
    </row>
    <row r="49">
      <c r="A49" s="431" t="s">
        <v>5353</v>
      </c>
      <c r="B49" s="431" t="s">
        <v>5354</v>
      </c>
      <c r="C49" s="432">
        <v>0.0</v>
      </c>
      <c r="D49" s="431" t="s">
        <v>5355</v>
      </c>
      <c r="E49" s="432">
        <v>0.0</v>
      </c>
      <c r="F49" s="431" t="s">
        <v>4517</v>
      </c>
      <c r="G49" s="432">
        <v>4.162113E7</v>
      </c>
      <c r="H49" s="431" t="s">
        <v>5230</v>
      </c>
      <c r="I49" s="431">
        <v>103.0</v>
      </c>
      <c r="J49" s="431">
        <v>1.0</v>
      </c>
      <c r="K49" s="431" t="s">
        <v>4479</v>
      </c>
      <c r="L49" s="433" t="s">
        <v>5285</v>
      </c>
      <c r="M49" s="434"/>
    </row>
    <row r="50">
      <c r="A50" s="429" t="s">
        <v>5356</v>
      </c>
      <c r="B50" s="429" t="s">
        <v>5357</v>
      </c>
      <c r="C50" s="430">
        <v>0.0</v>
      </c>
      <c r="D50" s="429" t="s">
        <v>5358</v>
      </c>
      <c r="E50" s="430">
        <v>0.0</v>
      </c>
      <c r="F50" s="429" t="s">
        <v>4533</v>
      </c>
      <c r="G50" s="430">
        <v>4.1621224E7</v>
      </c>
      <c r="H50" s="429" t="s">
        <v>5230</v>
      </c>
      <c r="I50" s="429">
        <v>104.0</v>
      </c>
      <c r="J50" s="429">
        <v>1.0</v>
      </c>
      <c r="K50" s="429" t="s">
        <v>4479</v>
      </c>
      <c r="L50" s="39" t="s">
        <v>5359</v>
      </c>
    </row>
    <row r="51">
      <c r="A51" s="429" t="s">
        <v>5360</v>
      </c>
      <c r="B51" s="429">
        <v>5.52146492E8</v>
      </c>
      <c r="C51" s="430">
        <v>0.0</v>
      </c>
      <c r="D51" s="430">
        <v>0.0</v>
      </c>
      <c r="E51" s="430">
        <v>0.0</v>
      </c>
      <c r="F51" s="429" t="s">
        <v>4556</v>
      </c>
      <c r="G51" s="430">
        <v>4.1621412E7</v>
      </c>
      <c r="H51" s="429" t="s">
        <v>5230</v>
      </c>
      <c r="I51" s="429">
        <v>106.0</v>
      </c>
      <c r="J51" s="429">
        <v>1.0</v>
      </c>
      <c r="K51" s="429" t="s">
        <v>4479</v>
      </c>
    </row>
    <row r="52">
      <c r="A52" s="429" t="s">
        <v>5361</v>
      </c>
      <c r="B52" s="430">
        <v>0.0</v>
      </c>
      <c r="C52" s="429" t="s">
        <v>5362</v>
      </c>
      <c r="D52" s="430">
        <v>0.0</v>
      </c>
      <c r="E52" s="429" t="s">
        <v>5363</v>
      </c>
      <c r="F52" s="429" t="s">
        <v>4525</v>
      </c>
      <c r="G52" s="430">
        <v>4.1621506E7</v>
      </c>
      <c r="H52" s="429" t="s">
        <v>5230</v>
      </c>
      <c r="I52" s="429">
        <v>107.0</v>
      </c>
      <c r="J52" s="429">
        <v>1.0</v>
      </c>
      <c r="K52" s="429" t="s">
        <v>4457</v>
      </c>
      <c r="L52" s="39" t="s">
        <v>979</v>
      </c>
    </row>
    <row r="53">
      <c r="A53" s="429" t="s">
        <v>5364</v>
      </c>
      <c r="B53" s="430">
        <v>0.0</v>
      </c>
      <c r="C53" s="429" t="s">
        <v>5365</v>
      </c>
      <c r="D53" s="430">
        <v>0.0</v>
      </c>
      <c r="E53" s="429" t="s">
        <v>5366</v>
      </c>
      <c r="F53" s="429" t="s">
        <v>5367</v>
      </c>
      <c r="G53" s="430">
        <v>4.16216E7</v>
      </c>
      <c r="H53" s="429" t="s">
        <v>5230</v>
      </c>
      <c r="I53" s="429">
        <v>108.0</v>
      </c>
      <c r="J53" s="429">
        <v>1.0</v>
      </c>
      <c r="K53" s="429" t="s">
        <v>4457</v>
      </c>
      <c r="L53" s="39" t="s">
        <v>4572</v>
      </c>
    </row>
    <row r="54">
      <c r="A54" s="429" t="s">
        <v>5221</v>
      </c>
      <c r="B54" s="430">
        <v>0.0</v>
      </c>
      <c r="C54" s="429" t="s">
        <v>5222</v>
      </c>
      <c r="D54" s="429" t="s">
        <v>5223</v>
      </c>
      <c r="E54" s="430">
        <v>0.0</v>
      </c>
      <c r="F54" s="429" t="s">
        <v>4571</v>
      </c>
      <c r="G54" s="430">
        <v>4.1621694E7</v>
      </c>
      <c r="H54" s="429" t="s">
        <v>5230</v>
      </c>
      <c r="I54" s="429">
        <v>109.0</v>
      </c>
      <c r="J54" s="429">
        <v>1.0</v>
      </c>
      <c r="K54" s="429" t="s">
        <v>4457</v>
      </c>
      <c r="L54" s="39" t="s">
        <v>168</v>
      </c>
    </row>
    <row r="55">
      <c r="A55" s="429" t="s">
        <v>5221</v>
      </c>
      <c r="B55" s="430">
        <v>0.0</v>
      </c>
      <c r="C55" s="429" t="s">
        <v>5222</v>
      </c>
      <c r="D55" s="429" t="s">
        <v>5223</v>
      </c>
      <c r="E55" s="430">
        <v>0.0</v>
      </c>
      <c r="F55" s="429" t="s">
        <v>4571</v>
      </c>
      <c r="G55" s="430">
        <v>4.1621788E7</v>
      </c>
      <c r="H55" s="429" t="s">
        <v>5230</v>
      </c>
      <c r="I55" s="429">
        <v>110.0</v>
      </c>
      <c r="J55" s="429">
        <v>1.0</v>
      </c>
      <c r="K55" s="429" t="s">
        <v>4457</v>
      </c>
      <c r="L55" s="39" t="s">
        <v>168</v>
      </c>
    </row>
    <row r="56">
      <c r="A56" s="429" t="s">
        <v>5332</v>
      </c>
      <c r="B56" s="430">
        <v>0.0</v>
      </c>
      <c r="C56" s="430">
        <v>0.0</v>
      </c>
      <c r="D56" s="429" t="s">
        <v>5333</v>
      </c>
      <c r="E56" s="429" t="s">
        <v>5334</v>
      </c>
      <c r="F56" s="429" t="s">
        <v>4542</v>
      </c>
      <c r="G56" s="430">
        <v>4.161043E7</v>
      </c>
      <c r="H56" s="429" t="s">
        <v>5224</v>
      </c>
      <c r="I56" s="429">
        <v>407.0</v>
      </c>
      <c r="J56" s="429">
        <v>4.0</v>
      </c>
      <c r="K56" s="429" t="s">
        <v>4457</v>
      </c>
      <c r="L56" s="39" t="s">
        <v>4572</v>
      </c>
    </row>
    <row r="57">
      <c r="A57" s="429" t="s">
        <v>5221</v>
      </c>
      <c r="B57" s="430">
        <v>0.0</v>
      </c>
      <c r="C57" s="429" t="s">
        <v>5222</v>
      </c>
      <c r="D57" s="429" t="s">
        <v>5223</v>
      </c>
      <c r="E57" s="430">
        <v>0.0</v>
      </c>
      <c r="F57" s="429" t="s">
        <v>4571</v>
      </c>
      <c r="G57" s="430">
        <v>4.1622916E7</v>
      </c>
      <c r="H57" s="429" t="s">
        <v>5230</v>
      </c>
      <c r="I57" s="429">
        <v>211.0</v>
      </c>
      <c r="J57" s="429">
        <v>2.0</v>
      </c>
      <c r="K57" s="429" t="s">
        <v>4457</v>
      </c>
      <c r="L57" s="39" t="s">
        <v>168</v>
      </c>
    </row>
    <row r="58">
      <c r="A58" s="429" t="s">
        <v>5368</v>
      </c>
      <c r="B58" s="430">
        <v>0.0</v>
      </c>
      <c r="C58" s="430">
        <v>0.0</v>
      </c>
      <c r="D58" s="430">
        <v>0.0</v>
      </c>
      <c r="E58" s="429">
        <v>-5.03651302E8</v>
      </c>
      <c r="F58" s="429" t="s">
        <v>4472</v>
      </c>
      <c r="G58" s="430">
        <v>4.162301E7</v>
      </c>
      <c r="H58" s="429" t="s">
        <v>5230</v>
      </c>
      <c r="I58" s="429">
        <v>301.0</v>
      </c>
      <c r="J58" s="429">
        <v>3.0</v>
      </c>
      <c r="K58" s="429" t="s">
        <v>4641</v>
      </c>
      <c r="L58" s="39" t="s">
        <v>4601</v>
      </c>
    </row>
    <row r="59">
      <c r="A59" s="429" t="s">
        <v>5369</v>
      </c>
      <c r="B59" s="430">
        <v>0.0</v>
      </c>
      <c r="C59" s="429" t="s">
        <v>5370</v>
      </c>
      <c r="D59" s="430">
        <v>0.0</v>
      </c>
      <c r="E59" s="429" t="s">
        <v>5371</v>
      </c>
      <c r="F59" s="429" t="s">
        <v>4472</v>
      </c>
      <c r="G59" s="430">
        <v>4.1623198E7</v>
      </c>
      <c r="H59" s="429" t="s">
        <v>5230</v>
      </c>
      <c r="I59" s="429">
        <v>303.0</v>
      </c>
      <c r="J59" s="429">
        <v>3.0</v>
      </c>
      <c r="K59" s="429" t="s">
        <v>4479</v>
      </c>
      <c r="L59" s="39" t="s">
        <v>979</v>
      </c>
    </row>
    <row r="60">
      <c r="A60" s="429" t="s">
        <v>5372</v>
      </c>
      <c r="B60" s="430">
        <v>0.0</v>
      </c>
      <c r="C60" s="430">
        <v>0.0</v>
      </c>
      <c r="D60" s="430">
        <v>0.0</v>
      </c>
      <c r="E60" s="429" t="s">
        <v>5373</v>
      </c>
      <c r="F60" s="429" t="s">
        <v>4503</v>
      </c>
      <c r="G60" s="430">
        <v>4.1622164E7</v>
      </c>
      <c r="H60" s="429" t="s">
        <v>5230</v>
      </c>
      <c r="I60" s="429">
        <v>203.0</v>
      </c>
      <c r="J60" s="429">
        <v>2.0</v>
      </c>
      <c r="K60" s="429" t="s">
        <v>4479</v>
      </c>
      <c r="L60" s="39" t="s">
        <v>251</v>
      </c>
    </row>
    <row r="61">
      <c r="A61" s="431" t="s">
        <v>5374</v>
      </c>
      <c r="B61" s="431" t="s">
        <v>5375</v>
      </c>
      <c r="C61" s="431" t="s">
        <v>5376</v>
      </c>
      <c r="D61" s="431" t="s">
        <v>5377</v>
      </c>
      <c r="E61" s="432">
        <v>0.0</v>
      </c>
      <c r="F61" s="431" t="s">
        <v>4461</v>
      </c>
      <c r="G61" s="432">
        <v>4.1633984E7</v>
      </c>
      <c r="H61" s="431" t="s">
        <v>5305</v>
      </c>
      <c r="I61" s="431">
        <v>601.0</v>
      </c>
      <c r="J61" s="431">
        <v>6.0</v>
      </c>
      <c r="K61" s="431" t="s">
        <v>5347</v>
      </c>
      <c r="L61" s="433" t="s">
        <v>5378</v>
      </c>
    </row>
    <row r="62">
      <c r="A62" s="429" t="s">
        <v>5379</v>
      </c>
      <c r="B62" s="430">
        <v>0.0</v>
      </c>
      <c r="C62" s="429" t="s">
        <v>5380</v>
      </c>
      <c r="D62" s="430">
        <v>0.0</v>
      </c>
      <c r="E62" s="429">
        <v>-5.05608332E8</v>
      </c>
      <c r="F62" s="429" t="s">
        <v>4472</v>
      </c>
      <c r="G62" s="430">
        <v>4.1627898E7</v>
      </c>
      <c r="H62" s="429" t="s">
        <v>5230</v>
      </c>
      <c r="I62" s="429">
        <v>709.0</v>
      </c>
      <c r="J62" s="429">
        <v>7.0</v>
      </c>
      <c r="K62" s="429" t="s">
        <v>4457</v>
      </c>
      <c r="L62" s="39" t="s">
        <v>251</v>
      </c>
    </row>
    <row r="63">
      <c r="A63" s="429" t="s">
        <v>5381</v>
      </c>
      <c r="B63" s="429" t="s">
        <v>5382</v>
      </c>
      <c r="C63" s="429" t="s">
        <v>5383</v>
      </c>
      <c r="D63" s="429" t="s">
        <v>5384</v>
      </c>
      <c r="E63" s="430">
        <v>0.0</v>
      </c>
      <c r="F63" s="429" t="s">
        <v>4542</v>
      </c>
      <c r="G63" s="430">
        <v>4.1627992E7</v>
      </c>
      <c r="H63" s="429" t="s">
        <v>5230</v>
      </c>
      <c r="I63" s="429">
        <v>710.0</v>
      </c>
      <c r="J63" s="429">
        <v>7.0</v>
      </c>
      <c r="K63" s="429" t="s">
        <v>4457</v>
      </c>
      <c r="L63" s="39" t="s">
        <v>168</v>
      </c>
    </row>
    <row r="64">
      <c r="A64" s="429" t="s">
        <v>5385</v>
      </c>
      <c r="B64" s="429" t="s">
        <v>5386</v>
      </c>
      <c r="C64" s="429" t="s">
        <v>5387</v>
      </c>
      <c r="D64" s="429" t="s">
        <v>5388</v>
      </c>
      <c r="E64" s="430">
        <v>0.0</v>
      </c>
      <c r="F64" s="429" t="s">
        <v>4542</v>
      </c>
      <c r="G64" s="430">
        <v>4.1624514E7</v>
      </c>
      <c r="H64" s="429" t="s">
        <v>5230</v>
      </c>
      <c r="I64" s="429">
        <v>406.0</v>
      </c>
      <c r="J64" s="429">
        <v>4.0</v>
      </c>
      <c r="K64" s="429" t="s">
        <v>4479</v>
      </c>
      <c r="L64" s="39" t="s">
        <v>979</v>
      </c>
    </row>
    <row r="65">
      <c r="A65" s="429" t="s">
        <v>5389</v>
      </c>
      <c r="B65" s="430">
        <v>0.0</v>
      </c>
      <c r="C65" s="429" t="s">
        <v>5390</v>
      </c>
      <c r="D65" s="429" t="s">
        <v>5391</v>
      </c>
      <c r="E65" s="429" t="s">
        <v>5392</v>
      </c>
      <c r="F65" s="429" t="s">
        <v>4461</v>
      </c>
      <c r="G65" s="430">
        <v>4.1624702E7</v>
      </c>
      <c r="H65" s="429" t="s">
        <v>5230</v>
      </c>
      <c r="I65" s="429">
        <v>408.0</v>
      </c>
      <c r="J65" s="429">
        <v>4.0</v>
      </c>
      <c r="K65" s="429" t="s">
        <v>4457</v>
      </c>
      <c r="L65" s="39" t="s">
        <v>168</v>
      </c>
    </row>
    <row r="66">
      <c r="A66" s="429" t="s">
        <v>5393</v>
      </c>
      <c r="B66" s="430">
        <v>0.0</v>
      </c>
      <c r="C66" s="429" t="s">
        <v>5394</v>
      </c>
      <c r="D66" s="429" t="s">
        <v>5395</v>
      </c>
      <c r="E66" s="429" t="s">
        <v>4868</v>
      </c>
      <c r="F66" s="429" t="s">
        <v>4458</v>
      </c>
      <c r="G66" s="430">
        <v>4.1624796E7</v>
      </c>
      <c r="H66" s="429" t="s">
        <v>5230</v>
      </c>
      <c r="I66" s="429">
        <v>409.0</v>
      </c>
      <c r="J66" s="429">
        <v>4.0</v>
      </c>
      <c r="K66" s="429" t="s">
        <v>4457</v>
      </c>
      <c r="L66" s="39" t="s">
        <v>979</v>
      </c>
    </row>
    <row r="67">
      <c r="A67" s="429" t="s">
        <v>5396</v>
      </c>
      <c r="B67" s="429">
        <v>971.0</v>
      </c>
      <c r="C67" s="430">
        <v>0.0</v>
      </c>
      <c r="D67" s="429" t="s">
        <v>5397</v>
      </c>
      <c r="E67" s="429" t="s">
        <v>5398</v>
      </c>
      <c r="F67" s="429" t="s">
        <v>4458</v>
      </c>
      <c r="G67" s="430">
        <v>4.162489E7</v>
      </c>
      <c r="H67" s="429" t="s">
        <v>5230</v>
      </c>
      <c r="I67" s="429">
        <v>410.0</v>
      </c>
      <c r="J67" s="429">
        <v>4.0</v>
      </c>
      <c r="K67" s="429" t="s">
        <v>4457</v>
      </c>
      <c r="L67" s="39" t="s">
        <v>5399</v>
      </c>
    </row>
    <row r="68">
      <c r="A68" s="429" t="s">
        <v>5400</v>
      </c>
      <c r="B68" s="430">
        <v>0.0</v>
      </c>
      <c r="C68" s="429" t="s">
        <v>5390</v>
      </c>
      <c r="D68" s="429" t="s">
        <v>5391</v>
      </c>
      <c r="E68" s="430">
        <v>0.0</v>
      </c>
      <c r="F68" s="429" t="s">
        <v>4461</v>
      </c>
      <c r="G68" s="430">
        <v>4.1625266E7</v>
      </c>
      <c r="H68" s="429" t="s">
        <v>5230</v>
      </c>
      <c r="I68" s="429">
        <v>503.0</v>
      </c>
      <c r="J68" s="429">
        <v>5.0</v>
      </c>
      <c r="K68" s="429" t="s">
        <v>4479</v>
      </c>
      <c r="L68" s="39" t="s">
        <v>168</v>
      </c>
    </row>
    <row r="69">
      <c r="A69" s="429" t="s">
        <v>5401</v>
      </c>
      <c r="B69" s="430">
        <v>0.0</v>
      </c>
      <c r="C69" s="429" t="s">
        <v>5402</v>
      </c>
      <c r="D69" s="430">
        <v>0.0</v>
      </c>
      <c r="E69" s="429" t="s">
        <v>5403</v>
      </c>
      <c r="F69" s="429" t="s">
        <v>4517</v>
      </c>
      <c r="G69" s="430">
        <v>4.162536E7</v>
      </c>
      <c r="H69" s="429" t="s">
        <v>5230</v>
      </c>
      <c r="I69" s="429">
        <v>504.0</v>
      </c>
      <c r="J69" s="429">
        <v>5.0</v>
      </c>
      <c r="K69" s="429" t="s">
        <v>4479</v>
      </c>
      <c r="L69" s="39" t="s">
        <v>251</v>
      </c>
    </row>
    <row r="70">
      <c r="A70" s="429" t="s">
        <v>5404</v>
      </c>
      <c r="B70" s="429" t="s">
        <v>5405</v>
      </c>
      <c r="C70" s="429" t="s">
        <v>5406</v>
      </c>
      <c r="D70" s="429" t="s">
        <v>5407</v>
      </c>
      <c r="E70" s="429" t="s">
        <v>5408</v>
      </c>
      <c r="F70" s="429" t="s">
        <v>4472</v>
      </c>
      <c r="G70" s="430">
        <v>4.1625642E7</v>
      </c>
      <c r="H70" s="429" t="s">
        <v>5230</v>
      </c>
      <c r="I70" s="429">
        <v>507.0</v>
      </c>
      <c r="J70" s="429">
        <v>5.0</v>
      </c>
      <c r="K70" s="429" t="s">
        <v>4457</v>
      </c>
      <c r="L70" s="39" t="s">
        <v>3647</v>
      </c>
    </row>
    <row r="71">
      <c r="A71" s="429" t="s">
        <v>5409</v>
      </c>
      <c r="B71" s="430">
        <v>0.0</v>
      </c>
      <c r="C71" s="429" t="s">
        <v>5410</v>
      </c>
      <c r="D71" s="430">
        <v>0.0</v>
      </c>
      <c r="E71" s="429" t="s">
        <v>5411</v>
      </c>
      <c r="F71" s="429" t="s">
        <v>4472</v>
      </c>
      <c r="G71" s="430">
        <v>4.1625736E7</v>
      </c>
      <c r="H71" s="429" t="s">
        <v>5230</v>
      </c>
      <c r="I71" s="429">
        <v>508.0</v>
      </c>
      <c r="J71" s="429">
        <v>5.0</v>
      </c>
      <c r="K71" s="429" t="s">
        <v>4457</v>
      </c>
      <c r="L71" s="39" t="s">
        <v>979</v>
      </c>
    </row>
    <row r="72">
      <c r="A72" s="429" t="s">
        <v>5412</v>
      </c>
      <c r="B72" s="430">
        <v>0.0</v>
      </c>
      <c r="C72" s="429" t="s">
        <v>5413</v>
      </c>
      <c r="D72" s="430">
        <v>0.0</v>
      </c>
      <c r="E72" s="429" t="s">
        <v>5414</v>
      </c>
      <c r="F72" s="429" t="s">
        <v>4500</v>
      </c>
      <c r="G72" s="430">
        <v>4.162583E7</v>
      </c>
      <c r="H72" s="429" t="s">
        <v>5230</v>
      </c>
      <c r="I72" s="429">
        <v>509.0</v>
      </c>
      <c r="J72" s="429">
        <v>5.0</v>
      </c>
      <c r="K72" s="429" t="s">
        <v>4457</v>
      </c>
      <c r="L72" s="39" t="s">
        <v>172</v>
      </c>
    </row>
    <row r="73">
      <c r="A73" s="429" t="s">
        <v>5415</v>
      </c>
      <c r="B73" s="429" t="s">
        <v>5416</v>
      </c>
      <c r="C73" s="429" t="s">
        <v>5417</v>
      </c>
      <c r="D73" s="429" t="s">
        <v>5418</v>
      </c>
      <c r="E73" s="429" t="s">
        <v>5419</v>
      </c>
      <c r="F73" s="429" t="s">
        <v>4472</v>
      </c>
      <c r="G73" s="430">
        <v>4.1625924E7</v>
      </c>
      <c r="H73" s="429" t="s">
        <v>5230</v>
      </c>
      <c r="I73" s="429">
        <v>510.0</v>
      </c>
      <c r="J73" s="429">
        <v>5.0</v>
      </c>
      <c r="K73" s="429" t="s">
        <v>4457</v>
      </c>
      <c r="L73" s="39" t="s">
        <v>5420</v>
      </c>
    </row>
    <row r="74">
      <c r="A74" s="429" t="s">
        <v>5421</v>
      </c>
      <c r="B74" s="430">
        <v>0.0</v>
      </c>
      <c r="C74" s="430">
        <v>0.0</v>
      </c>
      <c r="D74" s="430">
        <v>0.0</v>
      </c>
      <c r="E74" s="429" t="s">
        <v>5422</v>
      </c>
      <c r="F74" s="429" t="s">
        <v>4542</v>
      </c>
      <c r="G74" s="430">
        <v>4.1626018E7</v>
      </c>
      <c r="H74" s="429" t="s">
        <v>5230</v>
      </c>
      <c r="I74" s="429">
        <v>511.0</v>
      </c>
      <c r="J74" s="429">
        <v>5.0</v>
      </c>
      <c r="K74" s="429" t="s">
        <v>4457</v>
      </c>
    </row>
    <row r="75">
      <c r="A75" s="429" t="s">
        <v>5423</v>
      </c>
      <c r="B75" s="430">
        <v>0.0</v>
      </c>
      <c r="C75" s="429" t="s">
        <v>5424</v>
      </c>
      <c r="D75" s="429" t="s">
        <v>5425</v>
      </c>
      <c r="E75" s="429" t="s">
        <v>5426</v>
      </c>
      <c r="F75" s="429" t="s">
        <v>4660</v>
      </c>
      <c r="G75" s="430">
        <v>4.1626112E7</v>
      </c>
      <c r="H75" s="429" t="s">
        <v>5230</v>
      </c>
      <c r="I75" s="429">
        <v>601.0</v>
      </c>
      <c r="J75" s="429">
        <v>6.0</v>
      </c>
      <c r="K75" s="429" t="s">
        <v>4641</v>
      </c>
      <c r="L75" s="39" t="s">
        <v>574</v>
      </c>
    </row>
    <row r="76">
      <c r="A76" s="429" t="s">
        <v>5427</v>
      </c>
      <c r="B76" s="429" t="s">
        <v>5428</v>
      </c>
      <c r="C76" s="429" t="s">
        <v>5429</v>
      </c>
      <c r="D76" s="429" t="s">
        <v>5430</v>
      </c>
      <c r="E76" s="430">
        <v>0.0</v>
      </c>
      <c r="F76" s="429" t="s">
        <v>4542</v>
      </c>
      <c r="G76" s="430">
        <v>4.16263E7</v>
      </c>
      <c r="H76" s="429" t="s">
        <v>5230</v>
      </c>
      <c r="I76" s="429">
        <v>603.0</v>
      </c>
      <c r="J76" s="429">
        <v>6.0</v>
      </c>
      <c r="K76" s="429" t="s">
        <v>4479</v>
      </c>
      <c r="L76" s="39" t="s">
        <v>4589</v>
      </c>
    </row>
    <row r="77">
      <c r="A77" s="429" t="s">
        <v>5427</v>
      </c>
      <c r="B77" s="429" t="s">
        <v>5428</v>
      </c>
      <c r="C77" s="429" t="s">
        <v>5429</v>
      </c>
      <c r="D77" s="429" t="s">
        <v>5430</v>
      </c>
      <c r="E77" s="430">
        <v>0.0</v>
      </c>
      <c r="F77" s="429" t="s">
        <v>4542</v>
      </c>
      <c r="G77" s="430">
        <v>4.1626394E7</v>
      </c>
      <c r="H77" s="429" t="s">
        <v>5230</v>
      </c>
      <c r="I77" s="429">
        <v>604.0</v>
      </c>
      <c r="J77" s="429">
        <v>6.0</v>
      </c>
      <c r="K77" s="429" t="s">
        <v>4479</v>
      </c>
      <c r="L77" s="39" t="s">
        <v>574</v>
      </c>
    </row>
    <row r="78">
      <c r="A78" s="429" t="s">
        <v>5431</v>
      </c>
      <c r="B78" s="430">
        <v>0.0</v>
      </c>
      <c r="C78" s="430">
        <v>0.0</v>
      </c>
      <c r="D78" s="429" t="s">
        <v>5432</v>
      </c>
      <c r="E78" s="430">
        <v>0.0</v>
      </c>
      <c r="F78" s="429" t="s">
        <v>4542</v>
      </c>
      <c r="G78" s="430">
        <v>4.1626488E7</v>
      </c>
      <c r="H78" s="429" t="s">
        <v>5230</v>
      </c>
      <c r="I78" s="429">
        <v>605.0</v>
      </c>
      <c r="J78" s="429">
        <v>6.0</v>
      </c>
      <c r="K78" s="429" t="s">
        <v>4641</v>
      </c>
      <c r="L78" s="39" t="s">
        <v>574</v>
      </c>
    </row>
    <row r="79">
      <c r="A79" s="429" t="s">
        <v>5433</v>
      </c>
      <c r="B79" s="429" t="s">
        <v>5434</v>
      </c>
      <c r="C79" s="429" t="s">
        <v>5435</v>
      </c>
      <c r="D79" s="429" t="s">
        <v>4463</v>
      </c>
      <c r="E79" s="429" t="s">
        <v>5436</v>
      </c>
      <c r="F79" s="429" t="s">
        <v>4503</v>
      </c>
      <c r="G79" s="430">
        <v>4.1626582E7</v>
      </c>
      <c r="H79" s="429" t="s">
        <v>5230</v>
      </c>
      <c r="I79" s="429">
        <v>606.0</v>
      </c>
      <c r="J79" s="429">
        <v>6.0</v>
      </c>
      <c r="K79" s="429" t="s">
        <v>4479</v>
      </c>
      <c r="L79" s="39" t="s">
        <v>979</v>
      </c>
    </row>
    <row r="80">
      <c r="A80" s="429" t="s">
        <v>5437</v>
      </c>
      <c r="B80" s="429" t="s">
        <v>5438</v>
      </c>
      <c r="C80" s="430">
        <v>0.0</v>
      </c>
      <c r="D80" s="429" t="s">
        <v>5439</v>
      </c>
      <c r="E80" s="430">
        <v>0.0</v>
      </c>
      <c r="F80" s="429" t="s">
        <v>4542</v>
      </c>
      <c r="G80" s="430">
        <v>4.1626676E7</v>
      </c>
      <c r="H80" s="429" t="s">
        <v>5230</v>
      </c>
      <c r="I80" s="429">
        <v>607.0</v>
      </c>
      <c r="J80" s="429">
        <v>6.0</v>
      </c>
      <c r="K80" s="429" t="s">
        <v>4457</v>
      </c>
      <c r="L80" s="39" t="s">
        <v>5440</v>
      </c>
    </row>
    <row r="81">
      <c r="A81" s="429" t="s">
        <v>5441</v>
      </c>
      <c r="B81" s="430">
        <v>0.0</v>
      </c>
      <c r="C81" s="429" t="s">
        <v>5442</v>
      </c>
      <c r="D81" s="429" t="s">
        <v>5443</v>
      </c>
      <c r="E81" s="430">
        <v>0.0</v>
      </c>
      <c r="F81" s="429" t="s">
        <v>4503</v>
      </c>
      <c r="G81" s="430">
        <v>4.162677E7</v>
      </c>
      <c r="H81" s="429" t="s">
        <v>5230</v>
      </c>
      <c r="I81" s="429">
        <v>608.0</v>
      </c>
      <c r="J81" s="429">
        <v>6.0</v>
      </c>
      <c r="K81" s="429" t="s">
        <v>4457</v>
      </c>
      <c r="L81" s="39" t="s">
        <v>574</v>
      </c>
    </row>
    <row r="82">
      <c r="A82" s="429" t="s">
        <v>5444</v>
      </c>
      <c r="B82" s="430">
        <v>0.0</v>
      </c>
      <c r="C82" s="429" t="s">
        <v>5445</v>
      </c>
      <c r="D82" s="430">
        <v>0.0</v>
      </c>
      <c r="E82" s="429">
        <v>-5.07116175E8</v>
      </c>
      <c r="F82" s="429" t="s">
        <v>4533</v>
      </c>
      <c r="G82" s="430">
        <v>4.1626864E7</v>
      </c>
      <c r="H82" s="429" t="s">
        <v>5230</v>
      </c>
      <c r="I82" s="429">
        <v>609.0</v>
      </c>
      <c r="J82" s="429">
        <v>6.0</v>
      </c>
      <c r="K82" s="429" t="s">
        <v>4457</v>
      </c>
      <c r="L82" s="39" t="s">
        <v>574</v>
      </c>
    </row>
    <row r="83">
      <c r="A83" s="431" t="s">
        <v>5446</v>
      </c>
      <c r="B83" s="431" t="s">
        <v>5447</v>
      </c>
      <c r="C83" s="432">
        <v>0.0</v>
      </c>
      <c r="D83" s="431" t="s">
        <v>5448</v>
      </c>
      <c r="E83" s="431" t="s">
        <v>5449</v>
      </c>
      <c r="F83" s="431" t="s">
        <v>4642</v>
      </c>
      <c r="G83" s="432">
        <v>4.1626958E7</v>
      </c>
      <c r="H83" s="431" t="s">
        <v>5230</v>
      </c>
      <c r="I83" s="431">
        <v>610.0</v>
      </c>
      <c r="J83" s="431">
        <v>6.0</v>
      </c>
      <c r="K83" s="431" t="s">
        <v>4457</v>
      </c>
      <c r="L83" s="435" t="s">
        <v>555</v>
      </c>
    </row>
    <row r="84">
      <c r="A84" s="429" t="s">
        <v>5450</v>
      </c>
      <c r="B84" s="430">
        <v>0.0</v>
      </c>
      <c r="C84" s="429" t="s">
        <v>5451</v>
      </c>
      <c r="D84" s="430">
        <v>0.0</v>
      </c>
      <c r="E84" s="429" t="s">
        <v>5452</v>
      </c>
      <c r="F84" s="429" t="s">
        <v>4472</v>
      </c>
      <c r="G84" s="430">
        <v>4.1627052E7</v>
      </c>
      <c r="H84" s="429" t="s">
        <v>5230</v>
      </c>
      <c r="I84" s="429">
        <v>611.0</v>
      </c>
      <c r="J84" s="429">
        <v>6.0</v>
      </c>
      <c r="K84" s="429" t="s">
        <v>4457</v>
      </c>
      <c r="L84" s="39" t="s">
        <v>251</v>
      </c>
    </row>
    <row r="85">
      <c r="A85" s="429" t="s">
        <v>5453</v>
      </c>
      <c r="B85" s="430">
        <v>0.0</v>
      </c>
      <c r="C85" s="430">
        <v>0.0</v>
      </c>
      <c r="D85" s="429" t="s">
        <v>5454</v>
      </c>
      <c r="E85" s="429" t="s">
        <v>5455</v>
      </c>
      <c r="F85" s="429" t="s">
        <v>4458</v>
      </c>
      <c r="G85" s="430">
        <v>4.162724E7</v>
      </c>
      <c r="H85" s="429" t="s">
        <v>5230</v>
      </c>
      <c r="I85" s="429">
        <v>702.0</v>
      </c>
      <c r="J85" s="429">
        <v>7.0</v>
      </c>
      <c r="K85" s="429" t="s">
        <v>4457</v>
      </c>
      <c r="L85" s="39" t="s">
        <v>251</v>
      </c>
    </row>
    <row r="86">
      <c r="A86" s="429" t="s">
        <v>5456</v>
      </c>
      <c r="B86" s="430">
        <v>0.0</v>
      </c>
      <c r="C86" s="430">
        <v>0.0</v>
      </c>
      <c r="D86" s="429" t="s">
        <v>5457</v>
      </c>
      <c r="E86" s="429" t="s">
        <v>5458</v>
      </c>
      <c r="F86" s="429" t="s">
        <v>4500</v>
      </c>
      <c r="G86" s="430">
        <v>4.1627334E7</v>
      </c>
      <c r="H86" s="429" t="s">
        <v>5230</v>
      </c>
      <c r="I86" s="429">
        <v>703.0</v>
      </c>
      <c r="J86" s="429">
        <v>7.0</v>
      </c>
      <c r="K86" s="429" t="s">
        <v>4479</v>
      </c>
    </row>
    <row r="87">
      <c r="A87" s="429" t="s">
        <v>5459</v>
      </c>
      <c r="B87" s="430">
        <v>0.0</v>
      </c>
      <c r="C87" s="429" t="s">
        <v>5460</v>
      </c>
      <c r="D87" s="430">
        <v>0.0</v>
      </c>
      <c r="E87" s="429" t="s">
        <v>5461</v>
      </c>
      <c r="F87" s="429" t="s">
        <v>4472</v>
      </c>
      <c r="G87" s="430">
        <v>4.1627804E7</v>
      </c>
      <c r="H87" s="429" t="s">
        <v>5230</v>
      </c>
      <c r="I87" s="429">
        <v>708.0</v>
      </c>
      <c r="J87" s="429">
        <v>7.0</v>
      </c>
      <c r="K87" s="429" t="s">
        <v>4457</v>
      </c>
    </row>
    <row r="88">
      <c r="A88" s="429" t="s">
        <v>5462</v>
      </c>
      <c r="B88" s="430">
        <v>0.0</v>
      </c>
      <c r="C88" s="430">
        <v>0.0</v>
      </c>
      <c r="D88" s="429" t="s">
        <v>5463</v>
      </c>
      <c r="E88" s="429" t="s">
        <v>5464</v>
      </c>
      <c r="F88" s="429" t="s">
        <v>4500</v>
      </c>
      <c r="G88" s="430">
        <v>4.1615506E7</v>
      </c>
      <c r="H88" s="429" t="s">
        <v>5224</v>
      </c>
      <c r="I88" s="429">
        <v>1205.0</v>
      </c>
      <c r="J88" s="429">
        <v>12.0</v>
      </c>
      <c r="K88" s="429" t="s">
        <v>4457</v>
      </c>
    </row>
    <row r="89">
      <c r="A89" s="429" t="s">
        <v>5276</v>
      </c>
      <c r="B89" s="429" t="s">
        <v>5277</v>
      </c>
      <c r="C89" s="430">
        <v>0.0</v>
      </c>
      <c r="D89" s="429" t="s">
        <v>5278</v>
      </c>
      <c r="E89" s="430">
        <v>0.0</v>
      </c>
      <c r="F89" s="429" t="s">
        <v>4517</v>
      </c>
      <c r="G89" s="430">
        <v>4.16156E7</v>
      </c>
      <c r="H89" s="429" t="s">
        <v>5224</v>
      </c>
      <c r="I89" s="429">
        <v>1206.0</v>
      </c>
      <c r="J89" s="429">
        <v>12.0</v>
      </c>
      <c r="K89" s="429" t="s">
        <v>4457</v>
      </c>
    </row>
    <row r="90">
      <c r="A90" s="429" t="s">
        <v>5465</v>
      </c>
      <c r="B90" s="429" t="s">
        <v>5466</v>
      </c>
      <c r="C90" s="430">
        <v>0.0</v>
      </c>
      <c r="D90" s="429" t="s">
        <v>5467</v>
      </c>
      <c r="E90" s="429" t="s">
        <v>5468</v>
      </c>
      <c r="F90" s="429" t="s">
        <v>5069</v>
      </c>
      <c r="G90" s="430">
        <v>4.1616164E7</v>
      </c>
      <c r="H90" s="429" t="s">
        <v>5224</v>
      </c>
      <c r="I90" s="429">
        <v>1305.0</v>
      </c>
      <c r="J90" s="429">
        <v>13.0</v>
      </c>
      <c r="K90" s="429" t="s">
        <v>4457</v>
      </c>
    </row>
    <row r="91">
      <c r="A91" s="429" t="s">
        <v>5469</v>
      </c>
      <c r="B91" s="430">
        <v>0.0</v>
      </c>
      <c r="C91" s="429" t="s">
        <v>5470</v>
      </c>
      <c r="D91" s="430">
        <v>0.0</v>
      </c>
      <c r="E91" s="429">
        <v>-5.58428888E8</v>
      </c>
      <c r="F91" s="429" t="s">
        <v>4472</v>
      </c>
      <c r="G91" s="430">
        <v>4.1616258E7</v>
      </c>
      <c r="H91" s="429" t="s">
        <v>5224</v>
      </c>
      <c r="I91" s="429">
        <v>1306.0</v>
      </c>
      <c r="J91" s="429">
        <v>13.0</v>
      </c>
      <c r="K91" s="429" t="s">
        <v>4457</v>
      </c>
    </row>
    <row r="92">
      <c r="A92" s="429" t="s">
        <v>5471</v>
      </c>
      <c r="B92" s="429" t="s">
        <v>5472</v>
      </c>
      <c r="C92" s="429" t="s">
        <v>3235</v>
      </c>
      <c r="D92" s="429" t="s">
        <v>5473</v>
      </c>
      <c r="E92" s="430">
        <v>0.0</v>
      </c>
      <c r="F92" s="429" t="s">
        <v>4461</v>
      </c>
      <c r="G92" s="430">
        <v>4.1616352E7</v>
      </c>
      <c r="H92" s="429" t="s">
        <v>5224</v>
      </c>
      <c r="I92" s="429">
        <v>1307.0</v>
      </c>
      <c r="J92" s="429">
        <v>13.0</v>
      </c>
      <c r="K92" s="429" t="s">
        <v>4457</v>
      </c>
    </row>
    <row r="93">
      <c r="A93" s="429" t="s">
        <v>5474</v>
      </c>
      <c r="B93" s="429" t="s">
        <v>5475</v>
      </c>
      <c r="C93" s="429" t="s">
        <v>5476</v>
      </c>
      <c r="D93" s="429" t="s">
        <v>5477</v>
      </c>
      <c r="E93" s="429" t="s">
        <v>5478</v>
      </c>
      <c r="F93" s="429" t="s">
        <v>4533</v>
      </c>
      <c r="G93" s="430">
        <v>4.1616446E7</v>
      </c>
      <c r="H93" s="429" t="s">
        <v>5224</v>
      </c>
      <c r="I93" s="429">
        <v>1401.0</v>
      </c>
      <c r="J93" s="429">
        <v>14.0</v>
      </c>
      <c r="K93" s="429" t="s">
        <v>4479</v>
      </c>
    </row>
    <row r="94">
      <c r="A94" s="429" t="s">
        <v>5295</v>
      </c>
      <c r="B94" s="430">
        <v>0.0</v>
      </c>
      <c r="C94" s="430">
        <v>0.0</v>
      </c>
      <c r="D94" s="429" t="s">
        <v>5296</v>
      </c>
      <c r="E94" s="430">
        <v>0.0</v>
      </c>
      <c r="F94" s="429" t="s">
        <v>4514</v>
      </c>
      <c r="G94" s="430">
        <v>4.1616728E7</v>
      </c>
      <c r="H94" s="429" t="s">
        <v>5224</v>
      </c>
      <c r="I94" s="429">
        <v>1404.0</v>
      </c>
      <c r="J94" s="429">
        <v>14.0</v>
      </c>
      <c r="K94" s="429" t="s">
        <v>4479</v>
      </c>
    </row>
    <row r="95">
      <c r="A95" s="429" t="s">
        <v>5479</v>
      </c>
      <c r="B95" s="429">
        <v>971.0</v>
      </c>
      <c r="C95" s="430">
        <v>0.0</v>
      </c>
      <c r="D95" s="429" t="s">
        <v>5480</v>
      </c>
      <c r="E95" s="429" t="s">
        <v>5481</v>
      </c>
      <c r="F95" s="429" t="s">
        <v>4593</v>
      </c>
      <c r="G95" s="430">
        <v>4.1629472E7</v>
      </c>
      <c r="H95" s="429" t="s">
        <v>5305</v>
      </c>
      <c r="I95" s="429" t="s">
        <v>5482</v>
      </c>
      <c r="J95" s="429" t="s">
        <v>5307</v>
      </c>
      <c r="K95" s="429" t="s">
        <v>4457</v>
      </c>
    </row>
    <row r="96">
      <c r="A96" s="429" t="s">
        <v>5483</v>
      </c>
      <c r="B96" s="429">
        <v>971.0</v>
      </c>
      <c r="C96" s="430">
        <v>0.0</v>
      </c>
      <c r="D96" s="429" t="s">
        <v>5484</v>
      </c>
      <c r="E96" s="429" t="s">
        <v>5485</v>
      </c>
      <c r="F96" s="429" t="s">
        <v>4503</v>
      </c>
      <c r="G96" s="430">
        <v>4.1632574E7</v>
      </c>
      <c r="H96" s="429" t="s">
        <v>5305</v>
      </c>
      <c r="I96" s="429">
        <v>402.0</v>
      </c>
      <c r="J96" s="429">
        <v>4.0</v>
      </c>
      <c r="K96" s="429" t="s">
        <v>4457</v>
      </c>
    </row>
    <row r="97">
      <c r="A97" s="429" t="s">
        <v>5486</v>
      </c>
      <c r="B97" s="429">
        <v>9.66504644341E11</v>
      </c>
      <c r="C97" s="430">
        <v>0.0</v>
      </c>
      <c r="D97" s="430">
        <v>0.0</v>
      </c>
      <c r="E97" s="430">
        <v>0.0</v>
      </c>
      <c r="F97" s="429" t="s">
        <v>4472</v>
      </c>
      <c r="G97" s="430">
        <v>4.1632668E7</v>
      </c>
      <c r="H97" s="429" t="s">
        <v>5305</v>
      </c>
      <c r="I97" s="429">
        <v>403.0</v>
      </c>
      <c r="J97" s="429">
        <v>4.0</v>
      </c>
      <c r="K97" s="429" t="s">
        <v>4457</v>
      </c>
    </row>
    <row r="98">
      <c r="A98" s="429" t="s">
        <v>5487</v>
      </c>
      <c r="B98" s="429">
        <v>971.0</v>
      </c>
      <c r="C98" s="430">
        <v>0.0</v>
      </c>
      <c r="D98" s="429">
        <v>971.0</v>
      </c>
      <c r="E98" s="429" t="s">
        <v>5488</v>
      </c>
      <c r="F98" s="429" t="s">
        <v>4965</v>
      </c>
      <c r="G98" s="430">
        <v>4.1632762E7</v>
      </c>
      <c r="H98" s="429" t="s">
        <v>5305</v>
      </c>
      <c r="I98" s="429">
        <v>404.0</v>
      </c>
      <c r="J98" s="429">
        <v>4.0</v>
      </c>
      <c r="K98" s="429" t="s">
        <v>4641</v>
      </c>
    </row>
    <row r="99">
      <c r="A99" s="429" t="s">
        <v>5489</v>
      </c>
      <c r="B99" s="430">
        <v>0.0</v>
      </c>
      <c r="C99" s="430">
        <v>0.0</v>
      </c>
      <c r="D99" s="429" t="s">
        <v>5490</v>
      </c>
      <c r="E99" s="429" t="s">
        <v>5491</v>
      </c>
      <c r="F99" s="429" t="s">
        <v>4500</v>
      </c>
      <c r="G99" s="430">
        <v>4.1632856E7</v>
      </c>
      <c r="H99" s="429" t="s">
        <v>5305</v>
      </c>
      <c r="I99" s="429">
        <v>405.0</v>
      </c>
      <c r="J99" s="429">
        <v>4.0</v>
      </c>
      <c r="K99" s="429" t="s">
        <v>4641</v>
      </c>
    </row>
    <row r="100">
      <c r="A100" s="429" t="s">
        <v>5492</v>
      </c>
      <c r="B100" s="429">
        <v>971.0</v>
      </c>
      <c r="C100" s="430">
        <v>0.0</v>
      </c>
      <c r="D100" s="429" t="s">
        <v>5493</v>
      </c>
      <c r="E100" s="429" t="s">
        <v>5494</v>
      </c>
      <c r="F100" s="429" t="s">
        <v>4472</v>
      </c>
      <c r="G100" s="430">
        <v>4.163295E7</v>
      </c>
      <c r="H100" s="429" t="s">
        <v>5305</v>
      </c>
      <c r="I100" s="429">
        <v>406.0</v>
      </c>
      <c r="J100" s="429">
        <v>4.0</v>
      </c>
      <c r="K100" s="429" t="s">
        <v>4641</v>
      </c>
    </row>
    <row r="101">
      <c r="A101" s="429" t="s">
        <v>5495</v>
      </c>
      <c r="B101" s="430">
        <v>0.0</v>
      </c>
      <c r="C101" s="429" t="s">
        <v>1888</v>
      </c>
      <c r="D101" s="429" t="s">
        <v>5496</v>
      </c>
      <c r="E101" s="429" t="s">
        <v>5497</v>
      </c>
      <c r="F101" s="429" t="s">
        <v>4472</v>
      </c>
      <c r="G101" s="430">
        <v>4.1633044E7</v>
      </c>
      <c r="H101" s="429" t="s">
        <v>5305</v>
      </c>
      <c r="I101" s="429">
        <v>407.0</v>
      </c>
      <c r="J101" s="429">
        <v>4.0</v>
      </c>
      <c r="K101" s="429" t="s">
        <v>4479</v>
      </c>
    </row>
    <row r="102">
      <c r="A102" s="429" t="s">
        <v>5498</v>
      </c>
      <c r="B102" s="430">
        <v>0.0</v>
      </c>
      <c r="C102" s="430">
        <v>0.0</v>
      </c>
      <c r="D102" s="429" t="s">
        <v>5499</v>
      </c>
      <c r="E102" s="429" t="s">
        <v>5500</v>
      </c>
      <c r="F102" s="429" t="s">
        <v>4525</v>
      </c>
      <c r="G102" s="430">
        <v>4.1633138E7</v>
      </c>
      <c r="H102" s="429" t="s">
        <v>5305</v>
      </c>
      <c r="I102" s="429">
        <v>408.0</v>
      </c>
      <c r="J102" s="429">
        <v>4.0</v>
      </c>
      <c r="K102" s="429" t="s">
        <v>4479</v>
      </c>
    </row>
    <row r="103">
      <c r="A103" s="429" t="s">
        <v>5501</v>
      </c>
      <c r="B103" s="429">
        <v>971.0</v>
      </c>
      <c r="C103" s="430">
        <v>0.0</v>
      </c>
      <c r="D103" s="429" t="s">
        <v>5502</v>
      </c>
      <c r="E103" s="429" t="s">
        <v>5503</v>
      </c>
      <c r="F103" s="429" t="s">
        <v>5504</v>
      </c>
      <c r="G103" s="430">
        <v>4.1633232E7</v>
      </c>
      <c r="H103" s="429" t="s">
        <v>5305</v>
      </c>
      <c r="I103" s="429">
        <v>501.0</v>
      </c>
      <c r="J103" s="429">
        <v>5.0</v>
      </c>
      <c r="K103" s="429" t="s">
        <v>4457</v>
      </c>
    </row>
    <row r="104">
      <c r="A104" s="429" t="s">
        <v>5505</v>
      </c>
      <c r="B104" s="430">
        <v>0.0</v>
      </c>
      <c r="C104" s="429" t="s">
        <v>5506</v>
      </c>
      <c r="D104" s="429">
        <v>5.03595519E8</v>
      </c>
      <c r="E104" s="430">
        <v>0.0</v>
      </c>
      <c r="F104" s="429" t="s">
        <v>4525</v>
      </c>
      <c r="G104" s="430">
        <v>4.1633326E7</v>
      </c>
      <c r="H104" s="429" t="s">
        <v>5305</v>
      </c>
      <c r="I104" s="429">
        <v>502.0</v>
      </c>
      <c r="J104" s="429">
        <v>5.0</v>
      </c>
      <c r="K104" s="429" t="s">
        <v>4457</v>
      </c>
    </row>
    <row r="105">
      <c r="A105" s="429" t="s">
        <v>5507</v>
      </c>
      <c r="B105" s="430">
        <v>0.0</v>
      </c>
      <c r="C105" s="430">
        <v>0.0</v>
      </c>
      <c r="D105" s="429" t="s">
        <v>5508</v>
      </c>
      <c r="E105" s="430">
        <v>0.0</v>
      </c>
      <c r="F105" s="429" t="s">
        <v>4542</v>
      </c>
      <c r="G105" s="430">
        <v>4.163342E7</v>
      </c>
      <c r="H105" s="429" t="s">
        <v>5305</v>
      </c>
      <c r="I105" s="429">
        <v>503.0</v>
      </c>
      <c r="J105" s="429">
        <v>5.0</v>
      </c>
      <c r="K105" s="429" t="s">
        <v>4457</v>
      </c>
    </row>
    <row r="106">
      <c r="A106" s="429" t="s">
        <v>5509</v>
      </c>
      <c r="B106" s="429">
        <v>971.0</v>
      </c>
      <c r="C106" s="430">
        <v>0.0</v>
      </c>
      <c r="D106" s="429" t="s">
        <v>5510</v>
      </c>
      <c r="E106" s="429" t="s">
        <v>5511</v>
      </c>
      <c r="F106" s="429" t="s">
        <v>4503</v>
      </c>
      <c r="G106" s="430">
        <v>4.1633514E7</v>
      </c>
      <c r="H106" s="429" t="s">
        <v>5305</v>
      </c>
      <c r="I106" s="429">
        <v>504.0</v>
      </c>
      <c r="J106" s="429">
        <v>5.0</v>
      </c>
      <c r="K106" s="429" t="s">
        <v>4641</v>
      </c>
    </row>
    <row r="107">
      <c r="A107" s="429" t="s">
        <v>5512</v>
      </c>
      <c r="B107" s="429" t="s">
        <v>5513</v>
      </c>
      <c r="C107" s="430">
        <v>0.0</v>
      </c>
      <c r="D107" s="429" t="s">
        <v>5514</v>
      </c>
      <c r="E107" s="429" t="s">
        <v>5513</v>
      </c>
      <c r="F107" s="429" t="s">
        <v>4542</v>
      </c>
      <c r="G107" s="430">
        <v>4.1615788E7</v>
      </c>
      <c r="H107" s="429" t="s">
        <v>5224</v>
      </c>
      <c r="I107" s="429">
        <v>1301.0</v>
      </c>
      <c r="J107" s="429">
        <v>13.0</v>
      </c>
      <c r="K107" s="429" t="s">
        <v>4479</v>
      </c>
    </row>
    <row r="108">
      <c r="A108" s="429" t="s">
        <v>5515</v>
      </c>
      <c r="B108" s="430">
        <v>0.0</v>
      </c>
      <c r="C108" s="430">
        <v>0.0</v>
      </c>
      <c r="D108" s="429" t="s">
        <v>4463</v>
      </c>
      <c r="E108" s="429" t="s">
        <v>4868</v>
      </c>
      <c r="F108" s="429" t="s">
        <v>4472</v>
      </c>
      <c r="G108" s="430">
        <v>4.1615976E7</v>
      </c>
      <c r="H108" s="429" t="s">
        <v>5224</v>
      </c>
      <c r="I108" s="429">
        <v>1303.0</v>
      </c>
      <c r="J108" s="429">
        <v>13.0</v>
      </c>
      <c r="K108" s="429" t="s">
        <v>4641</v>
      </c>
    </row>
    <row r="109">
      <c r="A109" s="429" t="s">
        <v>5516</v>
      </c>
      <c r="B109" s="430">
        <v>0.0</v>
      </c>
      <c r="C109" s="430">
        <v>0.0</v>
      </c>
      <c r="D109" s="429" t="s">
        <v>5517</v>
      </c>
      <c r="E109" s="430">
        <v>0.0</v>
      </c>
      <c r="F109" s="429" t="s">
        <v>4461</v>
      </c>
      <c r="G109" s="430">
        <v>4.161607E7</v>
      </c>
      <c r="H109" s="429" t="s">
        <v>5224</v>
      </c>
      <c r="I109" s="429">
        <v>1304.0</v>
      </c>
      <c r="J109" s="429">
        <v>13.0</v>
      </c>
      <c r="K109" s="429" t="s">
        <v>4479</v>
      </c>
    </row>
    <row r="110">
      <c r="A110" s="429" t="s">
        <v>5518</v>
      </c>
      <c r="B110" s="430">
        <v>0.0</v>
      </c>
      <c r="C110" s="429" t="s">
        <v>1888</v>
      </c>
      <c r="D110" s="429" t="s">
        <v>5496</v>
      </c>
      <c r="E110" s="429" t="s">
        <v>5497</v>
      </c>
      <c r="F110" s="429" t="s">
        <v>4472</v>
      </c>
      <c r="G110" s="430">
        <v>4.1630318E7</v>
      </c>
      <c r="H110" s="429" t="s">
        <v>5305</v>
      </c>
      <c r="I110" s="429">
        <v>102.0</v>
      </c>
      <c r="J110" s="429">
        <v>1.0</v>
      </c>
      <c r="K110" s="429" t="s">
        <v>4457</v>
      </c>
    </row>
    <row r="111">
      <c r="A111" s="429" t="s">
        <v>5519</v>
      </c>
      <c r="B111" s="429">
        <v>971.0</v>
      </c>
      <c r="C111" s="430">
        <v>0.0</v>
      </c>
      <c r="D111" s="429">
        <v>9.66555898984E11</v>
      </c>
      <c r="E111" s="429">
        <v>-5.55898954E8</v>
      </c>
      <c r="F111" s="429" t="s">
        <v>4472</v>
      </c>
      <c r="G111" s="430">
        <v>4.1630412E7</v>
      </c>
      <c r="H111" s="429" t="s">
        <v>5305</v>
      </c>
      <c r="I111" s="429">
        <v>103.0</v>
      </c>
      <c r="J111" s="429">
        <v>1.0</v>
      </c>
      <c r="K111" s="429" t="s">
        <v>4457</v>
      </c>
    </row>
    <row r="112">
      <c r="A112" s="429" t="s">
        <v>5520</v>
      </c>
      <c r="B112" s="430">
        <v>0.0</v>
      </c>
      <c r="C112" s="430">
        <v>0.0</v>
      </c>
      <c r="D112" s="429">
        <v>5686509.0</v>
      </c>
      <c r="E112" s="429">
        <v>-5.05686509E8</v>
      </c>
      <c r="F112" s="429" t="s">
        <v>4472</v>
      </c>
      <c r="G112" s="430">
        <v>4.1630506E7</v>
      </c>
      <c r="H112" s="429" t="s">
        <v>5305</v>
      </c>
      <c r="I112" s="429">
        <v>104.0</v>
      </c>
      <c r="J112" s="429">
        <v>1.0</v>
      </c>
      <c r="K112" s="429" t="s">
        <v>4641</v>
      </c>
    </row>
    <row r="113">
      <c r="A113" s="429" t="s">
        <v>5521</v>
      </c>
      <c r="B113" s="429">
        <v>971.0</v>
      </c>
      <c r="C113" s="429" t="s">
        <v>5522</v>
      </c>
      <c r="D113" s="429">
        <v>6913333.0</v>
      </c>
      <c r="E113" s="429">
        <v>-5.56913333E8</v>
      </c>
      <c r="F113" s="429" t="s">
        <v>4472</v>
      </c>
      <c r="G113" s="430">
        <v>4.16306E7</v>
      </c>
      <c r="H113" s="429" t="s">
        <v>5305</v>
      </c>
      <c r="I113" s="429">
        <v>105.0</v>
      </c>
      <c r="J113" s="429">
        <v>1.0</v>
      </c>
      <c r="K113" s="429" t="s">
        <v>4641</v>
      </c>
    </row>
    <row r="114">
      <c r="A114" s="429" t="s">
        <v>5523</v>
      </c>
      <c r="B114" s="430">
        <v>0.0</v>
      </c>
      <c r="C114" s="429" t="s">
        <v>5524</v>
      </c>
      <c r="D114" s="429" t="s">
        <v>5525</v>
      </c>
      <c r="E114" s="429" t="s">
        <v>5526</v>
      </c>
      <c r="F114" s="429" t="s">
        <v>5331</v>
      </c>
      <c r="G114" s="430">
        <v>4.1630694E7</v>
      </c>
      <c r="H114" s="429" t="s">
        <v>5305</v>
      </c>
      <c r="I114" s="429">
        <v>106.0</v>
      </c>
      <c r="J114" s="429">
        <v>1.0</v>
      </c>
      <c r="K114" s="429" t="s">
        <v>4641</v>
      </c>
    </row>
    <row r="115">
      <c r="A115" s="429" t="s">
        <v>5527</v>
      </c>
      <c r="B115" s="429">
        <v>971.0</v>
      </c>
      <c r="C115" s="430">
        <v>0.0</v>
      </c>
      <c r="D115" s="429" t="s">
        <v>5528</v>
      </c>
      <c r="E115" s="429" t="s">
        <v>5529</v>
      </c>
      <c r="F115" s="429" t="s">
        <v>4571</v>
      </c>
      <c r="G115" s="430">
        <v>4.1630788E7</v>
      </c>
      <c r="H115" s="429" t="s">
        <v>5305</v>
      </c>
      <c r="I115" s="429">
        <v>107.0</v>
      </c>
      <c r="J115" s="429">
        <v>1.0</v>
      </c>
      <c r="K115" s="429" t="s">
        <v>4479</v>
      </c>
    </row>
    <row r="116">
      <c r="A116" s="429" t="s">
        <v>5530</v>
      </c>
      <c r="B116" s="430">
        <v>0.0</v>
      </c>
      <c r="C116" s="429" t="s">
        <v>5531</v>
      </c>
      <c r="D116" s="429" t="s">
        <v>5532</v>
      </c>
      <c r="E116" s="429" t="s">
        <v>5533</v>
      </c>
      <c r="F116" s="429" t="s">
        <v>5074</v>
      </c>
      <c r="G116" s="430">
        <v>4.1630882E7</v>
      </c>
      <c r="H116" s="429" t="s">
        <v>5305</v>
      </c>
      <c r="I116" s="429">
        <v>108.0</v>
      </c>
      <c r="J116" s="429">
        <v>1.0</v>
      </c>
      <c r="K116" s="429" t="s">
        <v>4479</v>
      </c>
    </row>
    <row r="117">
      <c r="A117" s="429" t="s">
        <v>5534</v>
      </c>
      <c r="B117" s="430">
        <v>0.0</v>
      </c>
      <c r="C117" s="429" t="s">
        <v>5535</v>
      </c>
      <c r="D117" s="429" t="s">
        <v>5536</v>
      </c>
      <c r="E117" s="430">
        <v>0.0</v>
      </c>
      <c r="F117" s="429" t="s">
        <v>4533</v>
      </c>
      <c r="G117" s="430">
        <v>4.1630976E7</v>
      </c>
      <c r="H117" s="429" t="s">
        <v>5305</v>
      </c>
      <c r="I117" s="429">
        <v>201.0</v>
      </c>
      <c r="J117" s="429">
        <v>2.0</v>
      </c>
      <c r="K117" s="429" t="s">
        <v>4457</v>
      </c>
    </row>
    <row r="118">
      <c r="A118" s="429" t="s">
        <v>5537</v>
      </c>
      <c r="B118" s="429">
        <v>971.0</v>
      </c>
      <c r="C118" s="430">
        <v>0.0</v>
      </c>
      <c r="D118" s="429" t="s">
        <v>5538</v>
      </c>
      <c r="E118" s="429" t="s">
        <v>5539</v>
      </c>
      <c r="F118" s="429" t="s">
        <v>5069</v>
      </c>
      <c r="G118" s="430">
        <v>4.163107E7</v>
      </c>
      <c r="H118" s="429" t="s">
        <v>5305</v>
      </c>
      <c r="I118" s="429">
        <v>202.0</v>
      </c>
      <c r="J118" s="429">
        <v>2.0</v>
      </c>
      <c r="K118" s="429" t="s">
        <v>4457</v>
      </c>
    </row>
    <row r="119">
      <c r="A119" s="429" t="s">
        <v>5540</v>
      </c>
      <c r="B119" s="429">
        <v>971.0</v>
      </c>
      <c r="C119" s="430">
        <v>0.0</v>
      </c>
      <c r="D119" s="429" t="s">
        <v>5541</v>
      </c>
      <c r="E119" s="429" t="s">
        <v>5539</v>
      </c>
      <c r="F119" s="429" t="s">
        <v>4500</v>
      </c>
      <c r="G119" s="430">
        <v>4.1631164E7</v>
      </c>
      <c r="H119" s="429" t="s">
        <v>5305</v>
      </c>
      <c r="I119" s="429">
        <v>203.0</v>
      </c>
      <c r="J119" s="429">
        <v>2.0</v>
      </c>
      <c r="K119" s="429" t="s">
        <v>4457</v>
      </c>
    </row>
    <row r="120">
      <c r="A120" s="429" t="s">
        <v>5542</v>
      </c>
      <c r="B120" s="430">
        <v>0.0</v>
      </c>
      <c r="C120" s="430">
        <v>0.0</v>
      </c>
      <c r="D120" s="429" t="s">
        <v>5543</v>
      </c>
      <c r="E120" s="429" t="s">
        <v>5544</v>
      </c>
      <c r="F120" s="429" t="s">
        <v>4660</v>
      </c>
      <c r="G120" s="430">
        <v>4.1631258E7</v>
      </c>
      <c r="H120" s="429" t="s">
        <v>5305</v>
      </c>
      <c r="I120" s="429">
        <v>204.0</v>
      </c>
      <c r="J120" s="429">
        <v>2.0</v>
      </c>
      <c r="K120" s="429" t="s">
        <v>4641</v>
      </c>
    </row>
    <row r="121">
      <c r="A121" s="429" t="s">
        <v>5545</v>
      </c>
      <c r="B121" s="430">
        <v>0.0</v>
      </c>
      <c r="C121" s="430">
        <v>0.0</v>
      </c>
      <c r="D121" s="429" t="s">
        <v>5546</v>
      </c>
      <c r="E121" s="429" t="s">
        <v>5547</v>
      </c>
      <c r="F121" s="429" t="s">
        <v>4514</v>
      </c>
      <c r="G121" s="430">
        <v>4.1631352E7</v>
      </c>
      <c r="H121" s="429" t="s">
        <v>5305</v>
      </c>
      <c r="I121" s="429">
        <v>205.0</v>
      </c>
      <c r="J121" s="429">
        <v>2.0</v>
      </c>
      <c r="K121" s="429" t="s">
        <v>4641</v>
      </c>
    </row>
    <row r="122">
      <c r="A122" s="429" t="s">
        <v>5548</v>
      </c>
      <c r="B122" s="430">
        <v>0.0</v>
      </c>
      <c r="C122" s="429" t="s">
        <v>5549</v>
      </c>
      <c r="D122" s="429" t="s">
        <v>5550</v>
      </c>
      <c r="E122" s="429" t="s">
        <v>5551</v>
      </c>
      <c r="F122" s="429" t="s">
        <v>4597</v>
      </c>
      <c r="G122" s="430">
        <v>4.1631446E7</v>
      </c>
      <c r="H122" s="429" t="s">
        <v>5305</v>
      </c>
      <c r="I122" s="429">
        <v>206.0</v>
      </c>
      <c r="J122" s="429">
        <v>2.0</v>
      </c>
      <c r="K122" s="429" t="s">
        <v>4641</v>
      </c>
    </row>
    <row r="123">
      <c r="A123" s="429" t="s">
        <v>5552</v>
      </c>
      <c r="B123" s="430">
        <v>0.0</v>
      </c>
      <c r="C123" s="430">
        <v>0.0</v>
      </c>
      <c r="D123" s="429" t="s">
        <v>5553</v>
      </c>
      <c r="E123" s="429" t="s">
        <v>5554</v>
      </c>
      <c r="F123" s="429" t="s">
        <v>4461</v>
      </c>
      <c r="G123" s="430">
        <v>4.163154E7</v>
      </c>
      <c r="H123" s="429" t="s">
        <v>5305</v>
      </c>
      <c r="I123" s="429">
        <v>207.0</v>
      </c>
      <c r="J123" s="429">
        <v>2.0</v>
      </c>
      <c r="K123" s="429" t="s">
        <v>4479</v>
      </c>
    </row>
    <row r="124">
      <c r="A124" s="429" t="s">
        <v>5555</v>
      </c>
      <c r="B124" s="430">
        <v>0.0</v>
      </c>
      <c r="C124" s="429" t="s">
        <v>5556</v>
      </c>
      <c r="D124" s="429" t="s">
        <v>5557</v>
      </c>
      <c r="E124" s="429" t="s">
        <v>4868</v>
      </c>
      <c r="F124" s="429" t="s">
        <v>4503</v>
      </c>
      <c r="G124" s="430">
        <v>4.1631634E7</v>
      </c>
      <c r="H124" s="429" t="s">
        <v>5305</v>
      </c>
      <c r="I124" s="429">
        <v>208.0</v>
      </c>
      <c r="J124" s="429">
        <v>2.0</v>
      </c>
      <c r="K124" s="429" t="s">
        <v>4479</v>
      </c>
    </row>
    <row r="125">
      <c r="A125" s="429" t="s">
        <v>5558</v>
      </c>
      <c r="B125" s="429" t="s">
        <v>5559</v>
      </c>
      <c r="C125" s="430">
        <v>0.0</v>
      </c>
      <c r="D125" s="429" t="s">
        <v>5560</v>
      </c>
      <c r="E125" s="429">
        <v>-5.6008424E7</v>
      </c>
      <c r="F125" s="429" t="s">
        <v>4472</v>
      </c>
      <c r="G125" s="430">
        <v>4.1631728E7</v>
      </c>
      <c r="H125" s="429" t="s">
        <v>5305</v>
      </c>
      <c r="I125" s="429">
        <v>301.0</v>
      </c>
      <c r="J125" s="429">
        <v>3.0</v>
      </c>
      <c r="K125" s="429" t="s">
        <v>4457</v>
      </c>
    </row>
    <row r="126">
      <c r="A126" s="429" t="s">
        <v>5561</v>
      </c>
      <c r="B126" s="430">
        <v>0.0</v>
      </c>
      <c r="C126" s="429" t="s">
        <v>5562</v>
      </c>
      <c r="D126" s="429" t="s">
        <v>5563</v>
      </c>
      <c r="E126" s="429" t="s">
        <v>5564</v>
      </c>
      <c r="F126" s="429" t="s">
        <v>4472</v>
      </c>
      <c r="G126" s="430">
        <v>4.1631822E7</v>
      </c>
      <c r="H126" s="429" t="s">
        <v>5305</v>
      </c>
      <c r="I126" s="429">
        <v>302.0</v>
      </c>
      <c r="J126" s="429">
        <v>3.0</v>
      </c>
      <c r="K126" s="429" t="s">
        <v>4457</v>
      </c>
    </row>
    <row r="127">
      <c r="A127" s="429" t="s">
        <v>5519</v>
      </c>
      <c r="B127" s="429">
        <v>971.0</v>
      </c>
      <c r="C127" s="430">
        <v>0.0</v>
      </c>
      <c r="D127" s="429">
        <v>9.66555898984E11</v>
      </c>
      <c r="E127" s="429">
        <v>-5.55898954E8</v>
      </c>
      <c r="F127" s="429" t="s">
        <v>4472</v>
      </c>
      <c r="G127" s="430">
        <v>4.1631916E7</v>
      </c>
      <c r="H127" s="429" t="s">
        <v>5305</v>
      </c>
      <c r="I127" s="429">
        <v>303.0</v>
      </c>
      <c r="J127" s="429">
        <v>3.0</v>
      </c>
      <c r="K127" s="429" t="s">
        <v>4457</v>
      </c>
    </row>
    <row r="128">
      <c r="A128" s="429" t="s">
        <v>5565</v>
      </c>
      <c r="B128" s="430">
        <v>0.0</v>
      </c>
      <c r="C128" s="430">
        <v>0.0</v>
      </c>
      <c r="D128" s="429" t="s">
        <v>4524</v>
      </c>
      <c r="E128" s="429" t="s">
        <v>5566</v>
      </c>
      <c r="F128" s="429" t="s">
        <v>4514</v>
      </c>
      <c r="G128" s="430">
        <v>4.1632104E7</v>
      </c>
      <c r="H128" s="429" t="s">
        <v>5305</v>
      </c>
      <c r="I128" s="429">
        <v>305.0</v>
      </c>
      <c r="J128" s="429">
        <v>3.0</v>
      </c>
      <c r="K128" s="429" t="s">
        <v>4641</v>
      </c>
    </row>
    <row r="129">
      <c r="A129" s="429" t="s">
        <v>5558</v>
      </c>
      <c r="B129" s="429" t="s">
        <v>5559</v>
      </c>
      <c r="C129" s="430">
        <v>0.0</v>
      </c>
      <c r="D129" s="429" t="s">
        <v>5560</v>
      </c>
      <c r="E129" s="429">
        <v>-5.6008424E7</v>
      </c>
      <c r="F129" s="429" t="s">
        <v>4472</v>
      </c>
      <c r="G129" s="430">
        <v>4.1632198E7</v>
      </c>
      <c r="H129" s="429" t="s">
        <v>5305</v>
      </c>
      <c r="I129" s="429">
        <v>306.0</v>
      </c>
      <c r="J129" s="429">
        <v>3.0</v>
      </c>
      <c r="K129" s="429" t="s">
        <v>4641</v>
      </c>
    </row>
    <row r="130">
      <c r="A130" s="429" t="s">
        <v>5567</v>
      </c>
      <c r="B130" s="429">
        <v>971.0</v>
      </c>
      <c r="C130" s="430">
        <v>0.0</v>
      </c>
      <c r="D130" s="429" t="s">
        <v>5568</v>
      </c>
      <c r="E130" s="429" t="s">
        <v>5539</v>
      </c>
      <c r="F130" s="429" t="s">
        <v>4525</v>
      </c>
      <c r="G130" s="430">
        <v>4.1632292E7</v>
      </c>
      <c r="H130" s="429" t="s">
        <v>5305</v>
      </c>
      <c r="I130" s="429">
        <v>307.0</v>
      </c>
      <c r="J130" s="429">
        <v>3.0</v>
      </c>
      <c r="K130" s="429" t="s">
        <v>4479</v>
      </c>
    </row>
    <row r="131">
      <c r="A131" s="429" t="s">
        <v>5569</v>
      </c>
      <c r="B131" s="430">
        <v>0.0</v>
      </c>
      <c r="C131" s="430">
        <v>0.0</v>
      </c>
      <c r="D131" s="430">
        <v>0.0</v>
      </c>
      <c r="E131" s="429" t="s">
        <v>5570</v>
      </c>
      <c r="F131" s="429" t="s">
        <v>4458</v>
      </c>
      <c r="G131" s="430">
        <v>4.163248E7</v>
      </c>
      <c r="H131" s="429" t="s">
        <v>5305</v>
      </c>
      <c r="I131" s="429">
        <v>401.0</v>
      </c>
      <c r="J131" s="429">
        <v>4.0</v>
      </c>
      <c r="K131" s="429" t="s">
        <v>4457</v>
      </c>
    </row>
    <row r="132">
      <c r="A132" s="429" t="s">
        <v>5571</v>
      </c>
      <c r="B132" s="430">
        <v>0.0</v>
      </c>
      <c r="C132" s="429" t="s">
        <v>5572</v>
      </c>
      <c r="D132" s="429" t="s">
        <v>5573</v>
      </c>
      <c r="E132" s="429" t="s">
        <v>5574</v>
      </c>
      <c r="F132" s="429" t="s">
        <v>4503</v>
      </c>
      <c r="G132" s="430">
        <v>4.1609866E7</v>
      </c>
      <c r="H132" s="429" t="s">
        <v>5224</v>
      </c>
      <c r="I132" s="429">
        <v>401.0</v>
      </c>
      <c r="J132" s="429">
        <v>4.0</v>
      </c>
      <c r="K132" s="429" t="s">
        <v>4479</v>
      </c>
    </row>
    <row r="133">
      <c r="A133" s="429" t="s">
        <v>5575</v>
      </c>
      <c r="B133" s="430">
        <v>0.0</v>
      </c>
      <c r="C133" s="430">
        <v>0.0</v>
      </c>
      <c r="D133" s="429" t="s">
        <v>5576</v>
      </c>
      <c r="E133" s="430">
        <v>0.0</v>
      </c>
      <c r="F133" s="429" t="s">
        <v>4503</v>
      </c>
      <c r="G133" s="430">
        <v>4.1610054E7</v>
      </c>
      <c r="H133" s="429" t="s">
        <v>5224</v>
      </c>
      <c r="I133" s="429">
        <v>403.0</v>
      </c>
      <c r="J133" s="429">
        <v>4.0</v>
      </c>
      <c r="K133" s="429" t="s">
        <v>4641</v>
      </c>
    </row>
    <row r="134">
      <c r="A134" s="429" t="s">
        <v>5577</v>
      </c>
      <c r="B134" s="430">
        <v>0.0</v>
      </c>
      <c r="C134" s="429" t="s">
        <v>5578</v>
      </c>
      <c r="D134" s="430">
        <v>0.0</v>
      </c>
      <c r="E134" s="429" t="s">
        <v>5579</v>
      </c>
      <c r="F134" s="429" t="s">
        <v>5020</v>
      </c>
      <c r="G134" s="430">
        <v>4.1622258E7</v>
      </c>
      <c r="H134" s="429" t="s">
        <v>5230</v>
      </c>
      <c r="I134" s="429">
        <v>204.0</v>
      </c>
      <c r="J134" s="429">
        <v>2.0</v>
      </c>
      <c r="K134" s="429" t="s">
        <v>4479</v>
      </c>
    </row>
    <row r="135">
      <c r="A135" s="429" t="s">
        <v>5580</v>
      </c>
      <c r="B135" s="430">
        <v>0.0</v>
      </c>
      <c r="C135" s="429" t="s">
        <v>5581</v>
      </c>
      <c r="D135" s="429" t="s">
        <v>5582</v>
      </c>
      <c r="E135" s="429" t="s">
        <v>5583</v>
      </c>
      <c r="F135" s="429" t="s">
        <v>5504</v>
      </c>
      <c r="G135" s="430">
        <v>4.1622446E7</v>
      </c>
      <c r="H135" s="429" t="s">
        <v>5230</v>
      </c>
      <c r="I135" s="429">
        <v>206.0</v>
      </c>
      <c r="J135" s="429">
        <v>2.0</v>
      </c>
      <c r="K135" s="429" t="s">
        <v>4479</v>
      </c>
    </row>
    <row r="136">
      <c r="A136" s="429" t="s">
        <v>5584</v>
      </c>
      <c r="B136" s="430">
        <v>0.0</v>
      </c>
      <c r="C136" s="430">
        <v>0.0</v>
      </c>
      <c r="D136" s="429" t="s">
        <v>4681</v>
      </c>
      <c r="E136" s="429" t="s">
        <v>4868</v>
      </c>
      <c r="F136" s="429" t="s">
        <v>4542</v>
      </c>
      <c r="G136" s="430">
        <v>4.162254E7</v>
      </c>
      <c r="H136" s="429" t="s">
        <v>5230</v>
      </c>
      <c r="I136" s="429">
        <v>207.0</v>
      </c>
      <c r="J136" s="429">
        <v>2.0</v>
      </c>
      <c r="K136" s="429" t="s">
        <v>4457</v>
      </c>
    </row>
    <row r="137">
      <c r="A137" s="429" t="s">
        <v>5585</v>
      </c>
      <c r="B137" s="430">
        <v>0.0</v>
      </c>
      <c r="C137" s="430">
        <v>0.0</v>
      </c>
      <c r="D137" s="436">
        <f>+971527990753</f>
        <v>971527990753</v>
      </c>
      <c r="E137" s="430">
        <v>0.0</v>
      </c>
      <c r="F137" s="429" t="s">
        <v>4472</v>
      </c>
      <c r="G137" s="430">
        <v>4.1622634E7</v>
      </c>
      <c r="H137" s="429" t="s">
        <v>5230</v>
      </c>
      <c r="I137" s="429">
        <v>208.0</v>
      </c>
      <c r="J137" s="429">
        <v>2.0</v>
      </c>
      <c r="K137" s="429" t="s">
        <v>4457</v>
      </c>
    </row>
    <row r="138">
      <c r="A138" s="429" t="s">
        <v>5221</v>
      </c>
      <c r="B138" s="430">
        <v>0.0</v>
      </c>
      <c r="C138" s="429" t="s">
        <v>5222</v>
      </c>
      <c r="D138" s="429" t="s">
        <v>5223</v>
      </c>
      <c r="E138" s="430">
        <v>0.0</v>
      </c>
      <c r="F138" s="429" t="s">
        <v>4571</v>
      </c>
      <c r="G138" s="430">
        <v>4.1622728E7</v>
      </c>
      <c r="H138" s="429" t="s">
        <v>5230</v>
      </c>
      <c r="I138" s="429">
        <v>209.0</v>
      </c>
      <c r="J138" s="429">
        <v>2.0</v>
      </c>
      <c r="K138" s="429" t="s">
        <v>4457</v>
      </c>
    </row>
    <row r="139">
      <c r="A139" s="429" t="s">
        <v>5221</v>
      </c>
      <c r="B139" s="430">
        <v>0.0</v>
      </c>
      <c r="C139" s="429" t="s">
        <v>5222</v>
      </c>
      <c r="D139" s="429" t="s">
        <v>5223</v>
      </c>
      <c r="E139" s="430">
        <v>0.0</v>
      </c>
      <c r="F139" s="429" t="s">
        <v>4571</v>
      </c>
      <c r="G139" s="430">
        <v>4.1622822E7</v>
      </c>
      <c r="H139" s="429" t="s">
        <v>5230</v>
      </c>
      <c r="I139" s="429">
        <v>210.0</v>
      </c>
      <c r="J139" s="429">
        <v>2.0</v>
      </c>
      <c r="K139" s="429" t="s">
        <v>4457</v>
      </c>
    </row>
    <row r="140">
      <c r="A140" s="429" t="s">
        <v>5586</v>
      </c>
      <c r="B140" s="430">
        <v>0.0</v>
      </c>
      <c r="C140" s="430">
        <v>0.0</v>
      </c>
      <c r="D140" s="430">
        <v>0.0</v>
      </c>
      <c r="E140" s="429" t="s">
        <v>5587</v>
      </c>
      <c r="F140" s="429" t="s">
        <v>4458</v>
      </c>
      <c r="G140" s="430">
        <v>4.1633608E7</v>
      </c>
      <c r="H140" s="429" t="s">
        <v>5305</v>
      </c>
      <c r="I140" s="429">
        <v>505.0</v>
      </c>
      <c r="J140" s="429">
        <v>5.0</v>
      </c>
      <c r="K140" s="429" t="s">
        <v>4641</v>
      </c>
    </row>
    <row r="141">
      <c r="A141" s="429" t="s">
        <v>5588</v>
      </c>
      <c r="B141" s="430">
        <v>0.0</v>
      </c>
      <c r="C141" s="429" t="s">
        <v>5589</v>
      </c>
      <c r="D141" s="430">
        <v>0.0</v>
      </c>
      <c r="E141" s="429" t="s">
        <v>5590</v>
      </c>
      <c r="F141" s="429" t="s">
        <v>4472</v>
      </c>
      <c r="G141" s="430">
        <v>4.1633702E7</v>
      </c>
      <c r="H141" s="429" t="s">
        <v>5305</v>
      </c>
      <c r="I141" s="429">
        <v>506.0</v>
      </c>
      <c r="J141" s="429">
        <v>5.0</v>
      </c>
      <c r="K141" s="429" t="s">
        <v>4641</v>
      </c>
    </row>
    <row r="142">
      <c r="A142" s="429" t="s">
        <v>5591</v>
      </c>
      <c r="B142" s="430">
        <v>0.0</v>
      </c>
      <c r="C142" s="429" t="s">
        <v>5592</v>
      </c>
      <c r="D142" s="429" t="s">
        <v>5593</v>
      </c>
      <c r="E142" s="429" t="s">
        <v>5594</v>
      </c>
      <c r="F142" s="429" t="s">
        <v>5074</v>
      </c>
      <c r="G142" s="430">
        <v>4.1633796E7</v>
      </c>
      <c r="H142" s="429" t="s">
        <v>5305</v>
      </c>
      <c r="I142" s="429">
        <v>507.0</v>
      </c>
      <c r="J142" s="429">
        <v>5.0</v>
      </c>
      <c r="K142" s="429" t="s">
        <v>4479</v>
      </c>
    </row>
    <row r="143">
      <c r="A143" s="429" t="s">
        <v>5595</v>
      </c>
      <c r="B143" s="429" t="s">
        <v>5596</v>
      </c>
      <c r="C143" s="429" t="s">
        <v>5597</v>
      </c>
      <c r="D143" s="429" t="s">
        <v>5598</v>
      </c>
      <c r="E143" s="430">
        <v>0.0</v>
      </c>
      <c r="F143" s="429" t="s">
        <v>4503</v>
      </c>
      <c r="G143" s="430">
        <v>4.163389E7</v>
      </c>
      <c r="H143" s="429" t="s">
        <v>5305</v>
      </c>
      <c r="I143" s="429">
        <v>508.0</v>
      </c>
      <c r="J143" s="429">
        <v>5.0</v>
      </c>
      <c r="K143" s="429" t="s">
        <v>4479</v>
      </c>
    </row>
    <row r="144">
      <c r="A144" s="429" t="s">
        <v>5221</v>
      </c>
      <c r="B144" s="430">
        <v>0.0</v>
      </c>
      <c r="C144" s="429" t="s">
        <v>5222</v>
      </c>
      <c r="D144" s="429" t="s">
        <v>5223</v>
      </c>
      <c r="E144" s="430">
        <v>0.0</v>
      </c>
      <c r="F144" s="429" t="s">
        <v>4571</v>
      </c>
      <c r="G144" s="430">
        <v>4.1621882E7</v>
      </c>
      <c r="H144" s="429" t="s">
        <v>5230</v>
      </c>
      <c r="I144" s="429">
        <v>111.0</v>
      </c>
      <c r="J144" s="429">
        <v>1.0</v>
      </c>
      <c r="K144" s="429" t="s">
        <v>4457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3.57"/>
    <col customWidth="1" min="3" max="3" width="4.29"/>
    <col customWidth="1" min="4" max="4" width="17.29"/>
    <col customWidth="1" min="5" max="5" width="16.43"/>
    <col customWidth="1" min="7" max="7" width="8.0"/>
    <col customWidth="1" min="8" max="8" width="9.71"/>
    <col customWidth="1" min="9" max="9" width="6.14"/>
    <col customWidth="1" min="10" max="10" width="11.14"/>
    <col customWidth="1" min="11" max="11" width="17.14"/>
  </cols>
  <sheetData>
    <row r="1">
      <c r="A1" s="437" t="s">
        <v>5214</v>
      </c>
      <c r="B1" s="437" t="s">
        <v>5215</v>
      </c>
      <c r="C1" s="437" t="s">
        <v>5216</v>
      </c>
      <c r="D1" s="437" t="s">
        <v>5217</v>
      </c>
      <c r="E1" s="437" t="s">
        <v>5217</v>
      </c>
      <c r="F1" s="437" t="s">
        <v>5218</v>
      </c>
      <c r="G1" s="438" t="s">
        <v>4448</v>
      </c>
      <c r="H1" s="437" t="s">
        <v>4449</v>
      </c>
      <c r="I1" s="437" t="s">
        <v>4450</v>
      </c>
      <c r="J1" s="437" t="s">
        <v>4451</v>
      </c>
      <c r="K1" s="439" t="s">
        <v>5599</v>
      </c>
      <c r="L1" s="440"/>
      <c r="M1" s="440"/>
      <c r="N1" s="440"/>
      <c r="O1" s="440"/>
      <c r="P1" s="440"/>
      <c r="Q1" s="440"/>
      <c r="R1" s="440"/>
      <c r="S1" s="440"/>
      <c r="T1" s="440"/>
      <c r="U1" s="440"/>
      <c r="V1" s="440"/>
    </row>
    <row r="2">
      <c r="A2" s="441" t="s">
        <v>5600</v>
      </c>
      <c r="B2" s="441" t="s">
        <v>5601</v>
      </c>
      <c r="C2" s="441" t="s">
        <v>5602</v>
      </c>
      <c r="D2" s="441">
        <v>0.0</v>
      </c>
      <c r="E2" s="441">
        <v>0.0</v>
      </c>
      <c r="F2" s="441">
        <v>0.0</v>
      </c>
      <c r="G2" s="442" t="s">
        <v>5603</v>
      </c>
      <c r="H2" s="441">
        <v>2303.0</v>
      </c>
      <c r="I2" s="441">
        <v>23.0</v>
      </c>
      <c r="J2" s="441" t="s">
        <v>4479</v>
      </c>
      <c r="K2" s="443"/>
      <c r="L2" s="443"/>
      <c r="M2" s="443"/>
      <c r="N2" s="443"/>
      <c r="O2" s="443"/>
      <c r="P2" s="443"/>
      <c r="Q2" s="443"/>
      <c r="R2" s="443"/>
      <c r="S2" s="443"/>
      <c r="T2" s="443"/>
      <c r="U2" s="443"/>
      <c r="V2" s="443"/>
    </row>
    <row r="3">
      <c r="A3" s="441" t="s">
        <v>5600</v>
      </c>
      <c r="B3" s="441" t="s">
        <v>5601</v>
      </c>
      <c r="C3" s="441" t="s">
        <v>5602</v>
      </c>
      <c r="D3" s="441">
        <v>0.0</v>
      </c>
      <c r="E3" s="441">
        <v>0.0</v>
      </c>
      <c r="F3" s="441">
        <v>0.0</v>
      </c>
      <c r="G3" s="442" t="s">
        <v>5603</v>
      </c>
      <c r="H3" s="441">
        <v>205.0</v>
      </c>
      <c r="I3" s="441">
        <v>2.0</v>
      </c>
      <c r="J3" s="441" t="s">
        <v>4641</v>
      </c>
      <c r="K3" s="443"/>
      <c r="L3" s="443"/>
      <c r="M3" s="443"/>
      <c r="N3" s="443"/>
      <c r="O3" s="443"/>
      <c r="P3" s="443"/>
      <c r="Q3" s="443"/>
      <c r="R3" s="443"/>
      <c r="S3" s="443"/>
      <c r="T3" s="443"/>
      <c r="U3" s="443"/>
      <c r="V3" s="443"/>
    </row>
    <row r="4">
      <c r="A4" s="441" t="s">
        <v>5548</v>
      </c>
      <c r="B4" s="441">
        <v>0.0</v>
      </c>
      <c r="C4" s="441" t="s">
        <v>5549</v>
      </c>
      <c r="D4" s="441" t="s">
        <v>5550</v>
      </c>
      <c r="E4" s="441" t="s">
        <v>5551</v>
      </c>
      <c r="F4" s="441" t="s">
        <v>4597</v>
      </c>
      <c r="G4" s="442" t="s">
        <v>5603</v>
      </c>
      <c r="H4" s="441">
        <v>206.0</v>
      </c>
      <c r="I4" s="441">
        <v>2.0</v>
      </c>
      <c r="J4" s="441" t="s">
        <v>4641</v>
      </c>
      <c r="K4" s="444" t="s">
        <v>251</v>
      </c>
      <c r="L4" s="443"/>
      <c r="M4" s="443"/>
      <c r="N4" s="443"/>
      <c r="O4" s="443"/>
      <c r="P4" s="443"/>
      <c r="Q4" s="443"/>
      <c r="R4" s="443"/>
      <c r="S4" s="443"/>
      <c r="T4" s="443"/>
      <c r="U4" s="443"/>
      <c r="V4" s="443"/>
    </row>
    <row r="5">
      <c r="A5" s="441" t="s">
        <v>5604</v>
      </c>
      <c r="B5" s="441" t="s">
        <v>5605</v>
      </c>
      <c r="C5" s="441" t="s">
        <v>5606</v>
      </c>
      <c r="D5" s="441" t="s">
        <v>5607</v>
      </c>
      <c r="E5" s="441" t="s">
        <v>5605</v>
      </c>
      <c r="F5" s="441" t="s">
        <v>4472</v>
      </c>
      <c r="G5" s="442" t="s">
        <v>5603</v>
      </c>
      <c r="H5" s="441">
        <v>301.0</v>
      </c>
      <c r="I5" s="441">
        <v>3.0</v>
      </c>
      <c r="J5" s="441" t="s">
        <v>4457</v>
      </c>
      <c r="K5" s="444" t="s">
        <v>4589</v>
      </c>
      <c r="L5" s="443"/>
      <c r="M5" s="443"/>
      <c r="N5" s="443"/>
      <c r="O5" s="443"/>
      <c r="P5" s="443"/>
      <c r="Q5" s="443"/>
      <c r="R5" s="443"/>
      <c r="S5" s="443"/>
      <c r="T5" s="443"/>
      <c r="U5" s="443"/>
      <c r="V5" s="443"/>
    </row>
    <row r="6">
      <c r="A6" s="441" t="s">
        <v>5608</v>
      </c>
      <c r="B6" s="441">
        <v>0.0</v>
      </c>
      <c r="C6" s="441" t="s">
        <v>5609</v>
      </c>
      <c r="D6" s="441" t="s">
        <v>5610</v>
      </c>
      <c r="E6" s="441" t="s">
        <v>5611</v>
      </c>
      <c r="F6" s="441" t="s">
        <v>4642</v>
      </c>
      <c r="G6" s="442" t="s">
        <v>5603</v>
      </c>
      <c r="H6" s="441">
        <v>302.0</v>
      </c>
      <c r="I6" s="441">
        <v>3.0</v>
      </c>
      <c r="J6" s="441" t="s">
        <v>4457</v>
      </c>
      <c r="K6" s="444" t="s">
        <v>4589</v>
      </c>
      <c r="L6" s="443"/>
      <c r="M6" s="443"/>
      <c r="N6" s="443"/>
      <c r="O6" s="443"/>
      <c r="P6" s="443"/>
      <c r="Q6" s="443"/>
      <c r="R6" s="443"/>
      <c r="S6" s="443"/>
      <c r="T6" s="443"/>
      <c r="U6" s="443"/>
      <c r="V6" s="443"/>
    </row>
    <row r="7">
      <c r="A7" s="441" t="s">
        <v>5612</v>
      </c>
      <c r="B7" s="441" t="s">
        <v>5613</v>
      </c>
      <c r="C7" s="441" t="s">
        <v>5602</v>
      </c>
      <c r="D7" s="441" t="s">
        <v>5614</v>
      </c>
      <c r="E7" s="441" t="s">
        <v>5615</v>
      </c>
      <c r="F7" s="441" t="s">
        <v>5616</v>
      </c>
      <c r="G7" s="442" t="s">
        <v>5603</v>
      </c>
      <c r="H7" s="441">
        <v>303.0</v>
      </c>
      <c r="I7" s="441">
        <v>3.0</v>
      </c>
      <c r="J7" s="441" t="s">
        <v>4457</v>
      </c>
      <c r="K7" s="444" t="s">
        <v>3613</v>
      </c>
      <c r="L7" s="443"/>
      <c r="M7" s="443"/>
      <c r="N7" s="443"/>
      <c r="O7" s="443"/>
      <c r="P7" s="443"/>
      <c r="Q7" s="443"/>
      <c r="R7" s="443"/>
      <c r="S7" s="443"/>
      <c r="T7" s="443"/>
      <c r="U7" s="443"/>
      <c r="V7" s="443"/>
    </row>
    <row r="8">
      <c r="A8" s="441" t="s">
        <v>5617</v>
      </c>
      <c r="B8" s="441" t="s">
        <v>5618</v>
      </c>
      <c r="C8" s="441">
        <v>0.0</v>
      </c>
      <c r="D8" s="441" t="s">
        <v>5619</v>
      </c>
      <c r="E8" s="441" t="s">
        <v>5618</v>
      </c>
      <c r="F8" s="441" t="s">
        <v>4500</v>
      </c>
      <c r="G8" s="442" t="s">
        <v>5603</v>
      </c>
      <c r="H8" s="441">
        <v>304.0</v>
      </c>
      <c r="I8" s="441">
        <v>3.0</v>
      </c>
      <c r="J8" s="441" t="s">
        <v>4457</v>
      </c>
      <c r="K8" s="444" t="s">
        <v>4589</v>
      </c>
      <c r="L8" s="443"/>
      <c r="M8" s="443"/>
      <c r="N8" s="443"/>
      <c r="O8" s="443"/>
      <c r="P8" s="443"/>
      <c r="Q8" s="443"/>
      <c r="R8" s="443"/>
      <c r="S8" s="443"/>
      <c r="T8" s="443"/>
      <c r="U8" s="443"/>
      <c r="V8" s="443"/>
    </row>
    <row r="9">
      <c r="A9" s="441" t="s">
        <v>5620</v>
      </c>
      <c r="B9" s="441">
        <v>2.6271203E7</v>
      </c>
      <c r="C9" s="441">
        <v>0.0</v>
      </c>
      <c r="D9" s="441" t="s">
        <v>5621</v>
      </c>
      <c r="E9" s="441">
        <v>0.0</v>
      </c>
      <c r="F9" s="441" t="s">
        <v>5060</v>
      </c>
      <c r="G9" s="442" t="s">
        <v>5603</v>
      </c>
      <c r="H9" s="441">
        <v>305.0</v>
      </c>
      <c r="I9" s="441">
        <v>3.0</v>
      </c>
      <c r="J9" s="441" t="s">
        <v>4641</v>
      </c>
      <c r="K9" s="444" t="s">
        <v>4476</v>
      </c>
      <c r="L9" s="443"/>
      <c r="M9" s="443"/>
      <c r="N9" s="443"/>
      <c r="O9" s="443"/>
      <c r="P9" s="443"/>
      <c r="Q9" s="443"/>
      <c r="R9" s="443"/>
      <c r="S9" s="443"/>
      <c r="T9" s="443"/>
      <c r="U9" s="443"/>
      <c r="V9" s="443"/>
    </row>
    <row r="10">
      <c r="A10" s="441" t="s">
        <v>5622</v>
      </c>
      <c r="B10" s="441">
        <v>0.0</v>
      </c>
      <c r="C10" s="441" t="s">
        <v>5623</v>
      </c>
      <c r="D10" s="441" t="s">
        <v>5624</v>
      </c>
      <c r="E10" s="441">
        <v>0.0</v>
      </c>
      <c r="F10" s="441" t="s">
        <v>4503</v>
      </c>
      <c r="G10" s="442" t="s">
        <v>5603</v>
      </c>
      <c r="H10" s="441">
        <v>306.0</v>
      </c>
      <c r="I10" s="441">
        <v>3.0</v>
      </c>
      <c r="J10" s="441" t="s">
        <v>4641</v>
      </c>
      <c r="K10" s="444" t="s">
        <v>5625</v>
      </c>
      <c r="L10" s="443"/>
      <c r="M10" s="443"/>
      <c r="N10" s="443"/>
      <c r="O10" s="443"/>
      <c r="P10" s="443"/>
      <c r="Q10" s="443"/>
      <c r="R10" s="443"/>
      <c r="S10" s="443"/>
      <c r="T10" s="443"/>
      <c r="U10" s="443"/>
      <c r="V10" s="443"/>
    </row>
    <row r="11">
      <c r="A11" s="441" t="s">
        <v>5600</v>
      </c>
      <c r="B11" s="441" t="s">
        <v>5601</v>
      </c>
      <c r="C11" s="441" t="s">
        <v>5602</v>
      </c>
      <c r="D11" s="441">
        <v>0.0</v>
      </c>
      <c r="E11" s="441">
        <v>0.0</v>
      </c>
      <c r="F11" s="441">
        <v>0.0</v>
      </c>
      <c r="G11" s="442" t="s">
        <v>5603</v>
      </c>
      <c r="H11" s="441">
        <v>401.0</v>
      </c>
      <c r="I11" s="441">
        <v>4.0</v>
      </c>
      <c r="J11" s="441" t="s">
        <v>4457</v>
      </c>
      <c r="K11" s="444" t="s">
        <v>251</v>
      </c>
      <c r="L11" s="443"/>
      <c r="M11" s="443"/>
      <c r="N11" s="443"/>
      <c r="O11" s="443"/>
      <c r="P11" s="443"/>
      <c r="Q11" s="443"/>
      <c r="R11" s="443"/>
      <c r="S11" s="443"/>
      <c r="T11" s="443"/>
      <c r="U11" s="443"/>
      <c r="V11" s="443"/>
    </row>
    <row r="12">
      <c r="A12" s="441" t="s">
        <v>5626</v>
      </c>
      <c r="B12" s="441">
        <v>0.0</v>
      </c>
      <c r="C12" s="441" t="s">
        <v>5627</v>
      </c>
      <c r="D12" s="441" t="s">
        <v>5628</v>
      </c>
      <c r="E12" s="441" t="s">
        <v>5629</v>
      </c>
      <c r="F12" s="441" t="s">
        <v>4503</v>
      </c>
      <c r="G12" s="442" t="s">
        <v>5603</v>
      </c>
      <c r="H12" s="441">
        <v>402.0</v>
      </c>
      <c r="I12" s="441">
        <v>4.0</v>
      </c>
      <c r="J12" s="441" t="s">
        <v>4457</v>
      </c>
      <c r="K12" s="444" t="s">
        <v>168</v>
      </c>
      <c r="L12" s="443"/>
      <c r="M12" s="443"/>
      <c r="N12" s="443"/>
      <c r="O12" s="443"/>
      <c r="P12" s="443"/>
      <c r="Q12" s="443"/>
      <c r="R12" s="443"/>
      <c r="S12" s="443"/>
      <c r="T12" s="443"/>
      <c r="U12" s="443"/>
      <c r="V12" s="443"/>
    </row>
    <row r="13">
      <c r="A13" s="441" t="s">
        <v>5600</v>
      </c>
      <c r="B13" s="441" t="s">
        <v>5601</v>
      </c>
      <c r="C13" s="441" t="s">
        <v>5602</v>
      </c>
      <c r="D13" s="441">
        <v>0.0</v>
      </c>
      <c r="E13" s="441">
        <v>0.0</v>
      </c>
      <c r="F13" s="441">
        <v>0.0</v>
      </c>
      <c r="G13" s="442" t="s">
        <v>5603</v>
      </c>
      <c r="H13" s="441">
        <v>403.0</v>
      </c>
      <c r="I13" s="441">
        <v>4.0</v>
      </c>
      <c r="J13" s="441" t="s">
        <v>4457</v>
      </c>
      <c r="K13" s="443"/>
      <c r="L13" s="443"/>
      <c r="M13" s="443"/>
      <c r="N13" s="443"/>
      <c r="O13" s="443"/>
      <c r="P13" s="443"/>
      <c r="Q13" s="443"/>
      <c r="R13" s="443"/>
      <c r="S13" s="443"/>
      <c r="T13" s="443"/>
      <c r="U13" s="443"/>
      <c r="V13" s="443"/>
    </row>
    <row r="14">
      <c r="A14" s="441" t="s">
        <v>5600</v>
      </c>
      <c r="B14" s="441" t="s">
        <v>5601</v>
      </c>
      <c r="C14" s="441" t="s">
        <v>5602</v>
      </c>
      <c r="D14" s="441">
        <v>0.0</v>
      </c>
      <c r="E14" s="441">
        <v>0.0</v>
      </c>
      <c r="F14" s="441">
        <v>0.0</v>
      </c>
      <c r="G14" s="442" t="s">
        <v>5603</v>
      </c>
      <c r="H14" s="441">
        <v>404.0</v>
      </c>
      <c r="I14" s="441">
        <v>4.0</v>
      </c>
      <c r="J14" s="441" t="s">
        <v>4457</v>
      </c>
      <c r="K14" s="443"/>
      <c r="L14" s="443"/>
      <c r="M14" s="443"/>
      <c r="N14" s="443"/>
      <c r="O14" s="443"/>
      <c r="P14" s="443"/>
      <c r="Q14" s="443"/>
      <c r="R14" s="443"/>
      <c r="S14" s="443"/>
      <c r="T14" s="443"/>
      <c r="U14" s="443"/>
      <c r="V14" s="443"/>
    </row>
    <row r="15">
      <c r="A15" s="441" t="s">
        <v>5630</v>
      </c>
      <c r="B15" s="441">
        <v>0.0</v>
      </c>
      <c r="C15" s="441">
        <v>0.0</v>
      </c>
      <c r="D15" s="441">
        <v>9.71556001257E11</v>
      </c>
      <c r="E15" s="441">
        <v>0.0</v>
      </c>
      <c r="F15" s="441" t="s">
        <v>4588</v>
      </c>
      <c r="G15" s="442" t="s">
        <v>5603</v>
      </c>
      <c r="H15" s="441">
        <v>405.0</v>
      </c>
      <c r="I15" s="441">
        <v>4.0</v>
      </c>
      <c r="J15" s="441" t="s">
        <v>4641</v>
      </c>
      <c r="K15" s="443"/>
      <c r="L15" s="443"/>
      <c r="M15" s="443"/>
      <c r="N15" s="443"/>
      <c r="O15" s="443"/>
      <c r="P15" s="443"/>
      <c r="Q15" s="443"/>
      <c r="R15" s="443"/>
      <c r="S15" s="443"/>
      <c r="T15" s="443"/>
      <c r="U15" s="443"/>
      <c r="V15" s="443"/>
    </row>
    <row r="16">
      <c r="A16" s="441" t="s">
        <v>5600</v>
      </c>
      <c r="B16" s="441" t="s">
        <v>5601</v>
      </c>
      <c r="C16" s="441" t="s">
        <v>5602</v>
      </c>
      <c r="D16" s="441">
        <v>0.0</v>
      </c>
      <c r="E16" s="441">
        <v>0.0</v>
      </c>
      <c r="F16" s="441">
        <v>0.0</v>
      </c>
      <c r="G16" s="442" t="s">
        <v>5603</v>
      </c>
      <c r="H16" s="441">
        <v>406.0</v>
      </c>
      <c r="I16" s="441">
        <v>4.0</v>
      </c>
      <c r="J16" s="441" t="s">
        <v>4641</v>
      </c>
      <c r="K16" s="443"/>
      <c r="L16" s="443"/>
      <c r="M16" s="443"/>
      <c r="N16" s="443"/>
      <c r="O16" s="443"/>
      <c r="P16" s="443"/>
      <c r="Q16" s="443"/>
      <c r="R16" s="443"/>
      <c r="S16" s="443"/>
      <c r="T16" s="443"/>
      <c r="U16" s="443"/>
      <c r="V16" s="443"/>
    </row>
    <row r="17">
      <c r="A17" s="441" t="s">
        <v>5631</v>
      </c>
      <c r="B17" s="441">
        <v>0.0</v>
      </c>
      <c r="C17" s="441" t="s">
        <v>5632</v>
      </c>
      <c r="D17" s="441" t="s">
        <v>5633</v>
      </c>
      <c r="E17" s="441" t="s">
        <v>5634</v>
      </c>
      <c r="F17" s="441" t="s">
        <v>4852</v>
      </c>
      <c r="G17" s="442" t="s">
        <v>5603</v>
      </c>
      <c r="H17" s="441">
        <v>501.0</v>
      </c>
      <c r="I17" s="441">
        <v>5.0</v>
      </c>
      <c r="J17" s="441" t="s">
        <v>4457</v>
      </c>
      <c r="K17" s="443"/>
      <c r="L17" s="443"/>
      <c r="M17" s="443"/>
      <c r="N17" s="443"/>
      <c r="O17" s="443"/>
      <c r="P17" s="443"/>
      <c r="Q17" s="443"/>
      <c r="R17" s="443"/>
      <c r="S17" s="443"/>
      <c r="T17" s="443"/>
      <c r="U17" s="443"/>
      <c r="V17" s="443"/>
    </row>
    <row r="18">
      <c r="A18" s="441" t="s">
        <v>5604</v>
      </c>
      <c r="B18" s="441" t="s">
        <v>5605</v>
      </c>
      <c r="C18" s="441" t="s">
        <v>5606</v>
      </c>
      <c r="D18" s="441" t="s">
        <v>5607</v>
      </c>
      <c r="E18" s="441" t="s">
        <v>5605</v>
      </c>
      <c r="F18" s="441" t="s">
        <v>4472</v>
      </c>
      <c r="G18" s="442" t="s">
        <v>5603</v>
      </c>
      <c r="H18" s="441">
        <v>502.0</v>
      </c>
      <c r="I18" s="441">
        <v>5.0</v>
      </c>
      <c r="J18" s="441" t="s">
        <v>4457</v>
      </c>
      <c r="K18" s="443"/>
      <c r="L18" s="443"/>
      <c r="M18" s="443"/>
      <c r="N18" s="443"/>
      <c r="O18" s="443"/>
      <c r="P18" s="443"/>
      <c r="Q18" s="443"/>
      <c r="R18" s="443"/>
      <c r="S18" s="443"/>
      <c r="T18" s="443"/>
      <c r="U18" s="443"/>
      <c r="V18" s="443"/>
    </row>
    <row r="19">
      <c r="A19" s="441" t="s">
        <v>5635</v>
      </c>
      <c r="B19" s="441" t="s">
        <v>5636</v>
      </c>
      <c r="C19" s="441">
        <v>0.0</v>
      </c>
      <c r="D19" s="441" t="s">
        <v>5637</v>
      </c>
      <c r="E19" s="441" t="s">
        <v>5638</v>
      </c>
      <c r="F19" s="441" t="s">
        <v>4631</v>
      </c>
      <c r="G19" s="442" t="s">
        <v>5603</v>
      </c>
      <c r="H19" s="441">
        <v>503.0</v>
      </c>
      <c r="I19" s="441">
        <v>5.0</v>
      </c>
      <c r="J19" s="441" t="s">
        <v>4457</v>
      </c>
      <c r="K19" s="443"/>
      <c r="L19" s="443"/>
      <c r="M19" s="443"/>
      <c r="N19" s="443"/>
      <c r="O19" s="443"/>
      <c r="P19" s="443"/>
      <c r="Q19" s="443"/>
      <c r="R19" s="443"/>
      <c r="S19" s="443"/>
      <c r="T19" s="443"/>
      <c r="U19" s="443"/>
      <c r="V19" s="443"/>
    </row>
    <row r="20">
      <c r="A20" s="441" t="s">
        <v>5639</v>
      </c>
      <c r="B20" s="441">
        <v>0.0</v>
      </c>
      <c r="C20" s="441">
        <v>0.0</v>
      </c>
      <c r="D20" s="441" t="s">
        <v>5640</v>
      </c>
      <c r="E20" s="441" t="s">
        <v>5641</v>
      </c>
      <c r="F20" s="441" t="s">
        <v>4545</v>
      </c>
      <c r="G20" s="442" t="s">
        <v>5603</v>
      </c>
      <c r="H20" s="441">
        <v>504.0</v>
      </c>
      <c r="I20" s="441">
        <v>5.0</v>
      </c>
      <c r="J20" s="441" t="s">
        <v>4457</v>
      </c>
      <c r="K20" s="443"/>
      <c r="L20" s="443"/>
      <c r="M20" s="443"/>
      <c r="N20" s="443"/>
      <c r="O20" s="443"/>
      <c r="P20" s="443"/>
      <c r="Q20" s="443"/>
      <c r="R20" s="443"/>
      <c r="S20" s="443"/>
      <c r="T20" s="443"/>
      <c r="U20" s="443"/>
      <c r="V20" s="443"/>
    </row>
    <row r="21">
      <c r="A21" s="441" t="s">
        <v>5642</v>
      </c>
      <c r="B21" s="441">
        <v>0.0</v>
      </c>
      <c r="C21" s="441" t="s">
        <v>5643</v>
      </c>
      <c r="D21" s="441">
        <v>0.0</v>
      </c>
      <c r="E21" s="441" t="s">
        <v>5644</v>
      </c>
      <c r="F21" s="441" t="s">
        <v>4472</v>
      </c>
      <c r="G21" s="442" t="s">
        <v>5603</v>
      </c>
      <c r="H21" s="441">
        <v>505.0</v>
      </c>
      <c r="I21" s="441">
        <v>5.0</v>
      </c>
      <c r="J21" s="441" t="s">
        <v>4641</v>
      </c>
      <c r="K21" s="443"/>
      <c r="L21" s="443"/>
      <c r="M21" s="443"/>
      <c r="N21" s="443"/>
      <c r="O21" s="443"/>
      <c r="P21" s="443"/>
      <c r="Q21" s="443"/>
      <c r="R21" s="443"/>
      <c r="S21" s="443"/>
      <c r="T21" s="443"/>
      <c r="U21" s="443"/>
      <c r="V21" s="443"/>
    </row>
    <row r="22">
      <c r="A22" s="441" t="s">
        <v>5600</v>
      </c>
      <c r="B22" s="441" t="s">
        <v>5601</v>
      </c>
      <c r="C22" s="441" t="s">
        <v>5602</v>
      </c>
      <c r="D22" s="441">
        <v>0.0</v>
      </c>
      <c r="E22" s="441">
        <v>0.0</v>
      </c>
      <c r="F22" s="441">
        <v>0.0</v>
      </c>
      <c r="G22" s="442" t="s">
        <v>5603</v>
      </c>
      <c r="H22" s="441">
        <v>506.0</v>
      </c>
      <c r="I22" s="441">
        <v>5.0</v>
      </c>
      <c r="J22" s="441" t="s">
        <v>4641</v>
      </c>
      <c r="K22" s="443"/>
      <c r="L22" s="443"/>
      <c r="M22" s="443"/>
      <c r="N22" s="443"/>
      <c r="O22" s="443"/>
      <c r="P22" s="443"/>
      <c r="Q22" s="443"/>
      <c r="R22" s="443"/>
      <c r="S22" s="443"/>
      <c r="T22" s="443"/>
      <c r="U22" s="443"/>
      <c r="V22" s="443"/>
    </row>
    <row r="23">
      <c r="A23" s="441" t="s">
        <v>5600</v>
      </c>
      <c r="B23" s="441" t="s">
        <v>5601</v>
      </c>
      <c r="C23" s="441" t="s">
        <v>5602</v>
      </c>
      <c r="D23" s="441">
        <v>0.0</v>
      </c>
      <c r="E23" s="441">
        <v>0.0</v>
      </c>
      <c r="F23" s="441">
        <v>0.0</v>
      </c>
      <c r="G23" s="442" t="s">
        <v>5603</v>
      </c>
      <c r="H23" s="441">
        <v>1401.0</v>
      </c>
      <c r="I23" s="441">
        <v>14.0</v>
      </c>
      <c r="J23" s="441" t="s">
        <v>4641</v>
      </c>
      <c r="K23" s="443"/>
      <c r="L23" s="443"/>
      <c r="M23" s="443"/>
      <c r="N23" s="443"/>
      <c r="O23" s="443"/>
      <c r="P23" s="443"/>
      <c r="Q23" s="443"/>
      <c r="R23" s="443"/>
      <c r="S23" s="443"/>
      <c r="T23" s="443"/>
      <c r="U23" s="443"/>
      <c r="V23" s="443"/>
    </row>
    <row r="24">
      <c r="A24" s="441" t="s">
        <v>5600</v>
      </c>
      <c r="B24" s="441" t="s">
        <v>5601</v>
      </c>
      <c r="C24" s="441" t="s">
        <v>5602</v>
      </c>
      <c r="D24" s="441">
        <v>0.0</v>
      </c>
      <c r="E24" s="441">
        <v>0.0</v>
      </c>
      <c r="F24" s="441">
        <v>0.0</v>
      </c>
      <c r="G24" s="442" t="s">
        <v>5603</v>
      </c>
      <c r="H24" s="441">
        <v>1402.0</v>
      </c>
      <c r="I24" s="441">
        <v>14.0</v>
      </c>
      <c r="J24" s="441" t="s">
        <v>4479</v>
      </c>
      <c r="K24" s="443"/>
      <c r="L24" s="443"/>
      <c r="M24" s="443"/>
      <c r="N24" s="443"/>
      <c r="O24" s="443"/>
      <c r="P24" s="443"/>
      <c r="Q24" s="443"/>
      <c r="R24" s="443"/>
      <c r="S24" s="443"/>
      <c r="T24" s="443"/>
      <c r="U24" s="443"/>
      <c r="V24" s="443"/>
    </row>
    <row r="25">
      <c r="A25" s="441" t="s">
        <v>5600</v>
      </c>
      <c r="B25" s="441" t="s">
        <v>5601</v>
      </c>
      <c r="C25" s="441" t="s">
        <v>5602</v>
      </c>
      <c r="D25" s="441">
        <v>0.0</v>
      </c>
      <c r="E25" s="441">
        <v>0.0</v>
      </c>
      <c r="F25" s="441">
        <v>0.0</v>
      </c>
      <c r="G25" s="442" t="s">
        <v>5603</v>
      </c>
      <c r="H25" s="441">
        <v>1403.0</v>
      </c>
      <c r="I25" s="441">
        <v>14.0</v>
      </c>
      <c r="J25" s="441" t="s">
        <v>4479</v>
      </c>
      <c r="K25" s="443"/>
      <c r="L25" s="443"/>
      <c r="M25" s="443"/>
      <c r="N25" s="443"/>
      <c r="O25" s="443"/>
      <c r="P25" s="443"/>
      <c r="Q25" s="443"/>
      <c r="R25" s="443"/>
      <c r="S25" s="443"/>
      <c r="T25" s="443"/>
      <c r="U25" s="443"/>
      <c r="V25" s="443"/>
    </row>
    <row r="26">
      <c r="A26" s="441" t="s">
        <v>5645</v>
      </c>
      <c r="B26" s="441" t="s">
        <v>5646</v>
      </c>
      <c r="C26" s="441">
        <v>0.0</v>
      </c>
      <c r="D26" s="441">
        <v>0.0</v>
      </c>
      <c r="E26" s="441">
        <v>0.0</v>
      </c>
      <c r="F26" s="441" t="s">
        <v>4517</v>
      </c>
      <c r="G26" s="442" t="s">
        <v>5603</v>
      </c>
      <c r="H26" s="441">
        <v>1404.0</v>
      </c>
      <c r="I26" s="441">
        <v>14.0</v>
      </c>
      <c r="J26" s="441" t="s">
        <v>4479</v>
      </c>
      <c r="K26" s="443"/>
      <c r="L26" s="443"/>
      <c r="M26" s="443"/>
      <c r="N26" s="443"/>
      <c r="O26" s="443"/>
      <c r="P26" s="443"/>
      <c r="Q26" s="443"/>
      <c r="R26" s="443"/>
      <c r="S26" s="443"/>
      <c r="T26" s="443"/>
      <c r="U26" s="443"/>
      <c r="V26" s="443"/>
    </row>
    <row r="27">
      <c r="A27" s="441" t="s">
        <v>5600</v>
      </c>
      <c r="B27" s="441" t="s">
        <v>5601</v>
      </c>
      <c r="C27" s="441" t="s">
        <v>5602</v>
      </c>
      <c r="D27" s="441">
        <v>0.0</v>
      </c>
      <c r="E27" s="441">
        <v>0.0</v>
      </c>
      <c r="F27" s="441">
        <v>0.0</v>
      </c>
      <c r="G27" s="442" t="s">
        <v>5603</v>
      </c>
      <c r="H27" s="441">
        <v>1405.0</v>
      </c>
      <c r="I27" s="441">
        <v>14.0</v>
      </c>
      <c r="J27" s="441" t="s">
        <v>4479</v>
      </c>
      <c r="K27" s="443"/>
      <c r="L27" s="443"/>
      <c r="M27" s="443"/>
      <c r="N27" s="443"/>
      <c r="O27" s="443"/>
      <c r="P27" s="443"/>
      <c r="Q27" s="443"/>
      <c r="R27" s="443"/>
      <c r="S27" s="443"/>
      <c r="T27" s="443"/>
      <c r="U27" s="443"/>
      <c r="V27" s="443"/>
    </row>
    <row r="28">
      <c r="A28" s="441" t="s">
        <v>5600</v>
      </c>
      <c r="B28" s="441" t="s">
        <v>5601</v>
      </c>
      <c r="C28" s="441" t="s">
        <v>5602</v>
      </c>
      <c r="D28" s="441">
        <v>0.0</v>
      </c>
      <c r="E28" s="441">
        <v>0.0</v>
      </c>
      <c r="F28" s="441">
        <v>0.0</v>
      </c>
      <c r="G28" s="442" t="s">
        <v>5603</v>
      </c>
      <c r="H28" s="441">
        <v>1406.0</v>
      </c>
      <c r="I28" s="441">
        <v>14.0</v>
      </c>
      <c r="J28" s="441" t="s">
        <v>4457</v>
      </c>
      <c r="K28" s="443"/>
      <c r="L28" s="443"/>
      <c r="M28" s="443"/>
      <c r="N28" s="443"/>
      <c r="O28" s="443"/>
      <c r="P28" s="443"/>
      <c r="Q28" s="443"/>
      <c r="R28" s="443"/>
      <c r="S28" s="443"/>
      <c r="T28" s="443"/>
      <c r="U28" s="443"/>
      <c r="V28" s="443"/>
    </row>
    <row r="29">
      <c r="A29" s="441" t="s">
        <v>5647</v>
      </c>
      <c r="B29" s="441" t="s">
        <v>4868</v>
      </c>
      <c r="C29" s="441">
        <v>0.0</v>
      </c>
      <c r="D29" s="441" t="s">
        <v>4463</v>
      </c>
      <c r="E29" s="441" t="s">
        <v>4868</v>
      </c>
      <c r="F29" s="441" t="s">
        <v>4472</v>
      </c>
      <c r="G29" s="442" t="s">
        <v>5603</v>
      </c>
      <c r="H29" s="441">
        <v>1409.0</v>
      </c>
      <c r="I29" s="441">
        <v>14.0</v>
      </c>
      <c r="J29" s="441" t="s">
        <v>4479</v>
      </c>
      <c r="K29" s="443"/>
      <c r="L29" s="443"/>
      <c r="M29" s="443"/>
      <c r="N29" s="443"/>
      <c r="O29" s="443"/>
      <c r="P29" s="443"/>
      <c r="Q29" s="443"/>
      <c r="R29" s="443"/>
      <c r="S29" s="443"/>
      <c r="T29" s="443"/>
      <c r="U29" s="443"/>
      <c r="V29" s="443"/>
    </row>
    <row r="30">
      <c r="A30" s="441" t="s">
        <v>5648</v>
      </c>
      <c r="B30" s="441">
        <v>0.0</v>
      </c>
      <c r="C30" s="441">
        <v>0.0</v>
      </c>
      <c r="D30" s="441" t="s">
        <v>5649</v>
      </c>
      <c r="E30" s="441">
        <v>0.0</v>
      </c>
      <c r="F30" s="441" t="s">
        <v>4670</v>
      </c>
      <c r="G30" s="442" t="s">
        <v>5603</v>
      </c>
      <c r="H30" s="441">
        <v>1410.0</v>
      </c>
      <c r="I30" s="441">
        <v>14.0</v>
      </c>
      <c r="J30" s="441" t="s">
        <v>4641</v>
      </c>
      <c r="K30" s="443"/>
      <c r="L30" s="443"/>
      <c r="M30" s="443"/>
      <c r="N30" s="443"/>
      <c r="O30" s="443"/>
      <c r="P30" s="443"/>
      <c r="Q30" s="443"/>
      <c r="R30" s="443"/>
      <c r="S30" s="443"/>
      <c r="T30" s="443"/>
      <c r="U30" s="443"/>
      <c r="V30" s="443"/>
    </row>
    <row r="31">
      <c r="A31" s="441" t="s">
        <v>5600</v>
      </c>
      <c r="B31" s="441" t="s">
        <v>5601</v>
      </c>
      <c r="C31" s="441" t="s">
        <v>5602</v>
      </c>
      <c r="D31" s="441">
        <v>0.0</v>
      </c>
      <c r="E31" s="441">
        <v>0.0</v>
      </c>
      <c r="F31" s="441">
        <v>0.0</v>
      </c>
      <c r="G31" s="442" t="s">
        <v>5603</v>
      </c>
      <c r="H31" s="441">
        <v>1501.0</v>
      </c>
      <c r="I31" s="441">
        <v>15.0</v>
      </c>
      <c r="J31" s="441" t="s">
        <v>4641</v>
      </c>
      <c r="K31" s="443"/>
      <c r="L31" s="443"/>
      <c r="M31" s="443"/>
      <c r="N31" s="443"/>
      <c r="O31" s="443"/>
      <c r="P31" s="443"/>
      <c r="Q31" s="443"/>
      <c r="R31" s="443"/>
      <c r="S31" s="443"/>
      <c r="T31" s="443"/>
      <c r="U31" s="443"/>
      <c r="V31" s="443"/>
    </row>
    <row r="32">
      <c r="A32" s="441" t="s">
        <v>5600</v>
      </c>
      <c r="B32" s="441" t="s">
        <v>5601</v>
      </c>
      <c r="C32" s="441" t="s">
        <v>5602</v>
      </c>
      <c r="D32" s="441">
        <v>0.0</v>
      </c>
      <c r="E32" s="441">
        <v>0.0</v>
      </c>
      <c r="F32" s="441">
        <v>0.0</v>
      </c>
      <c r="G32" s="442" t="s">
        <v>5603</v>
      </c>
      <c r="H32" s="441">
        <v>3101.0</v>
      </c>
      <c r="I32" s="441">
        <v>31.0</v>
      </c>
      <c r="J32" s="441" t="s">
        <v>4641</v>
      </c>
      <c r="K32" s="443"/>
      <c r="L32" s="443"/>
      <c r="M32" s="443"/>
      <c r="N32" s="443"/>
      <c r="O32" s="443"/>
      <c r="P32" s="443"/>
      <c r="Q32" s="443"/>
      <c r="R32" s="443"/>
      <c r="S32" s="443"/>
      <c r="T32" s="443"/>
      <c r="U32" s="443"/>
      <c r="V32" s="443"/>
    </row>
    <row r="33">
      <c r="A33" s="441" t="s">
        <v>5650</v>
      </c>
      <c r="B33" s="441" t="s">
        <v>5651</v>
      </c>
      <c r="C33" s="441">
        <v>0.0</v>
      </c>
      <c r="D33" s="441" t="s">
        <v>5652</v>
      </c>
      <c r="E33" s="441" t="s">
        <v>5651</v>
      </c>
      <c r="F33" s="441" t="s">
        <v>4533</v>
      </c>
      <c r="G33" s="442" t="s">
        <v>5603</v>
      </c>
      <c r="H33" s="441">
        <v>3102.0</v>
      </c>
      <c r="I33" s="441">
        <v>31.0</v>
      </c>
      <c r="J33" s="441" t="s">
        <v>4457</v>
      </c>
      <c r="K33" s="443"/>
      <c r="L33" s="443"/>
      <c r="M33" s="443"/>
      <c r="N33" s="443"/>
      <c r="O33" s="443"/>
      <c r="P33" s="443"/>
      <c r="Q33" s="443"/>
      <c r="R33" s="443"/>
      <c r="S33" s="443"/>
      <c r="T33" s="443"/>
      <c r="U33" s="443"/>
      <c r="V33" s="443"/>
    </row>
    <row r="34">
      <c r="A34" s="441" t="s">
        <v>5653</v>
      </c>
      <c r="B34" s="441">
        <v>0.0</v>
      </c>
      <c r="C34" s="441" t="s">
        <v>4490</v>
      </c>
      <c r="D34" s="441" t="s">
        <v>5654</v>
      </c>
      <c r="E34" s="441">
        <v>0.0</v>
      </c>
      <c r="F34" s="441" t="s">
        <v>4472</v>
      </c>
      <c r="G34" s="442" t="s">
        <v>5603</v>
      </c>
      <c r="H34" s="441">
        <v>3103.0</v>
      </c>
      <c r="I34" s="441">
        <v>31.0</v>
      </c>
      <c r="J34" s="441" t="s">
        <v>4457</v>
      </c>
      <c r="K34" s="443"/>
      <c r="L34" s="443"/>
      <c r="M34" s="443"/>
      <c r="N34" s="443"/>
      <c r="O34" s="443"/>
      <c r="P34" s="443"/>
      <c r="Q34" s="443"/>
      <c r="R34" s="443"/>
      <c r="S34" s="443"/>
      <c r="T34" s="443"/>
      <c r="U34" s="443"/>
      <c r="V34" s="443"/>
    </row>
    <row r="35">
      <c r="A35" s="441" t="s">
        <v>5600</v>
      </c>
      <c r="B35" s="441" t="s">
        <v>5601</v>
      </c>
      <c r="C35" s="441" t="s">
        <v>5602</v>
      </c>
      <c r="D35" s="441">
        <v>0.0</v>
      </c>
      <c r="E35" s="441">
        <v>0.0</v>
      </c>
      <c r="F35" s="441">
        <v>0.0</v>
      </c>
      <c r="G35" s="442" t="s">
        <v>5603</v>
      </c>
      <c r="H35" s="441">
        <v>1502.0</v>
      </c>
      <c r="I35" s="441">
        <v>15.0</v>
      </c>
      <c r="J35" s="441" t="s">
        <v>4479</v>
      </c>
      <c r="K35" s="443"/>
      <c r="L35" s="443"/>
      <c r="M35" s="443"/>
      <c r="N35" s="443"/>
      <c r="O35" s="443"/>
      <c r="P35" s="443"/>
      <c r="Q35" s="443"/>
      <c r="R35" s="443"/>
      <c r="S35" s="443"/>
      <c r="T35" s="443"/>
      <c r="U35" s="443"/>
      <c r="V35" s="443"/>
    </row>
    <row r="36">
      <c r="A36" s="441" t="s">
        <v>5655</v>
      </c>
      <c r="B36" s="441">
        <v>0.0</v>
      </c>
      <c r="C36" s="441">
        <v>0.0</v>
      </c>
      <c r="D36" s="441" t="s">
        <v>5656</v>
      </c>
      <c r="E36" s="441" t="s">
        <v>5657</v>
      </c>
      <c r="F36" s="441" t="s">
        <v>4642</v>
      </c>
      <c r="G36" s="442" t="s">
        <v>5603</v>
      </c>
      <c r="H36" s="441">
        <v>1503.0</v>
      </c>
      <c r="I36" s="441">
        <v>15.0</v>
      </c>
      <c r="J36" s="441" t="s">
        <v>4479</v>
      </c>
      <c r="K36" s="443"/>
      <c r="L36" s="443"/>
      <c r="M36" s="443"/>
      <c r="N36" s="443"/>
      <c r="O36" s="443"/>
      <c r="P36" s="443"/>
      <c r="Q36" s="443"/>
      <c r="R36" s="443"/>
      <c r="S36" s="443"/>
      <c r="T36" s="443"/>
      <c r="U36" s="443"/>
      <c r="V36" s="443"/>
    </row>
    <row r="37">
      <c r="A37" s="441" t="s">
        <v>5600</v>
      </c>
      <c r="B37" s="441" t="s">
        <v>5601</v>
      </c>
      <c r="C37" s="441" t="s">
        <v>5602</v>
      </c>
      <c r="D37" s="441">
        <v>0.0</v>
      </c>
      <c r="E37" s="441">
        <v>0.0</v>
      </c>
      <c r="F37" s="441">
        <v>0.0</v>
      </c>
      <c r="G37" s="442" t="s">
        <v>5603</v>
      </c>
      <c r="H37" s="441">
        <v>1504.0</v>
      </c>
      <c r="I37" s="441">
        <v>15.0</v>
      </c>
      <c r="J37" s="441" t="s">
        <v>4479</v>
      </c>
      <c r="K37" s="443"/>
      <c r="L37" s="443"/>
      <c r="M37" s="443"/>
      <c r="N37" s="443"/>
      <c r="O37" s="443"/>
      <c r="P37" s="443"/>
      <c r="Q37" s="443"/>
      <c r="R37" s="443"/>
      <c r="S37" s="443"/>
      <c r="T37" s="443"/>
      <c r="U37" s="443"/>
      <c r="V37" s="443"/>
    </row>
    <row r="38">
      <c r="A38" s="441" t="s">
        <v>5658</v>
      </c>
      <c r="B38" s="441">
        <v>0.0</v>
      </c>
      <c r="C38" s="441">
        <v>0.0</v>
      </c>
      <c r="D38" s="441">
        <v>0.0</v>
      </c>
      <c r="E38" s="441" t="s">
        <v>5659</v>
      </c>
      <c r="F38" s="441" t="s">
        <v>4458</v>
      </c>
      <c r="G38" s="442" t="s">
        <v>5603</v>
      </c>
      <c r="H38" s="441">
        <v>1505.0</v>
      </c>
      <c r="I38" s="441">
        <v>15.0</v>
      </c>
      <c r="J38" s="441" t="s">
        <v>4479</v>
      </c>
      <c r="K38" s="443"/>
      <c r="L38" s="443"/>
      <c r="M38" s="443"/>
      <c r="N38" s="443"/>
      <c r="O38" s="443"/>
      <c r="P38" s="443"/>
      <c r="Q38" s="443"/>
      <c r="R38" s="443"/>
      <c r="S38" s="443"/>
      <c r="T38" s="443"/>
      <c r="U38" s="443"/>
      <c r="V38" s="443"/>
    </row>
    <row r="39">
      <c r="A39" s="441" t="s">
        <v>5600</v>
      </c>
      <c r="B39" s="441" t="s">
        <v>5601</v>
      </c>
      <c r="C39" s="441" t="s">
        <v>5602</v>
      </c>
      <c r="D39" s="441">
        <v>0.0</v>
      </c>
      <c r="E39" s="441">
        <v>0.0</v>
      </c>
      <c r="F39" s="441">
        <v>0.0</v>
      </c>
      <c r="G39" s="442" t="s">
        <v>5603</v>
      </c>
      <c r="H39" s="441">
        <v>1506.0</v>
      </c>
      <c r="I39" s="441">
        <v>15.0</v>
      </c>
      <c r="J39" s="441" t="s">
        <v>4457</v>
      </c>
      <c r="K39" s="443"/>
      <c r="L39" s="443"/>
      <c r="M39" s="443"/>
      <c r="N39" s="443"/>
      <c r="O39" s="443"/>
      <c r="P39" s="443"/>
      <c r="Q39" s="443"/>
      <c r="R39" s="443"/>
      <c r="S39" s="443"/>
      <c r="T39" s="443"/>
      <c r="U39" s="443"/>
      <c r="V39" s="443"/>
    </row>
    <row r="40">
      <c r="A40" s="441" t="s">
        <v>5600</v>
      </c>
      <c r="B40" s="441" t="s">
        <v>5601</v>
      </c>
      <c r="C40" s="441" t="s">
        <v>5602</v>
      </c>
      <c r="D40" s="441">
        <v>0.0</v>
      </c>
      <c r="E40" s="441">
        <v>0.0</v>
      </c>
      <c r="F40" s="441">
        <v>0.0</v>
      </c>
      <c r="G40" s="442" t="s">
        <v>5603</v>
      </c>
      <c r="H40" s="441">
        <v>1507.0</v>
      </c>
      <c r="I40" s="441">
        <v>15.0</v>
      </c>
      <c r="J40" s="441" t="s">
        <v>4479</v>
      </c>
      <c r="K40" s="443"/>
      <c r="L40" s="443"/>
      <c r="M40" s="443"/>
      <c r="N40" s="443"/>
      <c r="O40" s="443"/>
      <c r="P40" s="443"/>
      <c r="Q40" s="443"/>
      <c r="R40" s="443"/>
      <c r="S40" s="443"/>
      <c r="T40" s="443"/>
      <c r="U40" s="443"/>
      <c r="V40" s="443"/>
    </row>
    <row r="41">
      <c r="A41" s="441" t="s">
        <v>5660</v>
      </c>
      <c r="B41" s="441">
        <v>0.0</v>
      </c>
      <c r="C41" s="441">
        <v>0.0</v>
      </c>
      <c r="D41" s="441">
        <v>0.0</v>
      </c>
      <c r="E41" s="441" t="s">
        <v>5661</v>
      </c>
      <c r="F41" s="441" t="s">
        <v>4500</v>
      </c>
      <c r="G41" s="442" t="s">
        <v>5603</v>
      </c>
      <c r="H41" s="441">
        <v>1508.0</v>
      </c>
      <c r="I41" s="441">
        <v>15.0</v>
      </c>
      <c r="J41" s="441" t="s">
        <v>4479</v>
      </c>
      <c r="K41" s="443"/>
      <c r="L41" s="443"/>
      <c r="M41" s="443"/>
      <c r="N41" s="443"/>
      <c r="O41" s="443"/>
      <c r="P41" s="443"/>
      <c r="Q41" s="443"/>
      <c r="R41" s="443"/>
      <c r="S41" s="443"/>
      <c r="T41" s="443"/>
      <c r="U41" s="443"/>
      <c r="V41" s="443"/>
    </row>
    <row r="42">
      <c r="A42" s="441" t="s">
        <v>5662</v>
      </c>
      <c r="B42" s="441">
        <v>7.2461461E7</v>
      </c>
      <c r="C42" s="441">
        <v>0.0</v>
      </c>
      <c r="D42" s="441">
        <v>9.71507721245E11</v>
      </c>
      <c r="E42" s="441">
        <v>0.0</v>
      </c>
      <c r="F42" s="441" t="s">
        <v>4514</v>
      </c>
      <c r="G42" s="442" t="s">
        <v>5603</v>
      </c>
      <c r="H42" s="441">
        <v>1509.0</v>
      </c>
      <c r="I42" s="441">
        <v>15.0</v>
      </c>
      <c r="J42" s="441" t="s">
        <v>4479</v>
      </c>
      <c r="K42" s="443"/>
      <c r="L42" s="443"/>
      <c r="M42" s="443"/>
      <c r="N42" s="443"/>
      <c r="O42" s="443"/>
      <c r="P42" s="443"/>
      <c r="Q42" s="443"/>
      <c r="R42" s="443"/>
      <c r="S42" s="443"/>
      <c r="T42" s="443"/>
      <c r="U42" s="443"/>
      <c r="V42" s="443"/>
    </row>
    <row r="43">
      <c r="A43" s="441" t="s">
        <v>5663</v>
      </c>
      <c r="B43" s="441">
        <v>0.0</v>
      </c>
      <c r="C43" s="441" t="s">
        <v>5664</v>
      </c>
      <c r="D43" s="441">
        <v>9.66505800939E11</v>
      </c>
      <c r="E43" s="441">
        <v>0.0</v>
      </c>
      <c r="F43" s="441" t="s">
        <v>4472</v>
      </c>
      <c r="G43" s="442" t="s">
        <v>5603</v>
      </c>
      <c r="H43" s="441">
        <v>1510.0</v>
      </c>
      <c r="I43" s="441">
        <v>15.0</v>
      </c>
      <c r="J43" s="441" t="s">
        <v>4641</v>
      </c>
      <c r="K43" s="443"/>
      <c r="L43" s="443"/>
      <c r="M43" s="443"/>
      <c r="N43" s="443"/>
      <c r="O43" s="443"/>
      <c r="P43" s="443"/>
      <c r="Q43" s="443"/>
      <c r="R43" s="443"/>
      <c r="S43" s="443"/>
      <c r="T43" s="443"/>
      <c r="U43" s="443"/>
      <c r="V43" s="443"/>
    </row>
    <row r="44">
      <c r="A44" s="441" t="s">
        <v>5600</v>
      </c>
      <c r="B44" s="441" t="s">
        <v>5601</v>
      </c>
      <c r="C44" s="441" t="s">
        <v>5602</v>
      </c>
      <c r="D44" s="441">
        <v>0.0</v>
      </c>
      <c r="E44" s="441">
        <v>0.0</v>
      </c>
      <c r="F44" s="441">
        <v>0.0</v>
      </c>
      <c r="G44" s="442" t="s">
        <v>5603</v>
      </c>
      <c r="H44" s="441">
        <v>1601.0</v>
      </c>
      <c r="I44" s="441">
        <v>16.0</v>
      </c>
      <c r="J44" s="441" t="s">
        <v>4641</v>
      </c>
      <c r="K44" s="443"/>
      <c r="L44" s="443"/>
      <c r="M44" s="443"/>
      <c r="N44" s="443"/>
      <c r="O44" s="443"/>
      <c r="P44" s="443"/>
      <c r="Q44" s="443"/>
      <c r="R44" s="443"/>
      <c r="S44" s="443"/>
      <c r="T44" s="443"/>
      <c r="U44" s="443"/>
      <c r="V44" s="443"/>
    </row>
    <row r="45">
      <c r="A45" s="441" t="s">
        <v>5600</v>
      </c>
      <c r="B45" s="441" t="s">
        <v>5601</v>
      </c>
      <c r="C45" s="441" t="s">
        <v>5602</v>
      </c>
      <c r="D45" s="441">
        <v>0.0</v>
      </c>
      <c r="E45" s="441">
        <v>0.0</v>
      </c>
      <c r="F45" s="441">
        <v>0.0</v>
      </c>
      <c r="G45" s="442" t="s">
        <v>5603</v>
      </c>
      <c r="H45" s="441">
        <v>1602.0</v>
      </c>
      <c r="I45" s="441">
        <v>16.0</v>
      </c>
      <c r="J45" s="441" t="s">
        <v>4479</v>
      </c>
      <c r="K45" s="443"/>
      <c r="L45" s="443"/>
      <c r="M45" s="443"/>
      <c r="N45" s="443"/>
      <c r="O45" s="443"/>
      <c r="P45" s="443"/>
      <c r="Q45" s="443"/>
      <c r="R45" s="443"/>
      <c r="S45" s="443"/>
      <c r="T45" s="443"/>
      <c r="U45" s="443"/>
      <c r="V45" s="443"/>
    </row>
    <row r="46">
      <c r="A46" s="441" t="s">
        <v>5600</v>
      </c>
      <c r="B46" s="441" t="s">
        <v>5601</v>
      </c>
      <c r="C46" s="441" t="s">
        <v>5602</v>
      </c>
      <c r="D46" s="441">
        <v>0.0</v>
      </c>
      <c r="E46" s="441">
        <v>0.0</v>
      </c>
      <c r="F46" s="441">
        <v>0.0</v>
      </c>
      <c r="G46" s="442" t="s">
        <v>5603</v>
      </c>
      <c r="H46" s="441">
        <v>1603.0</v>
      </c>
      <c r="I46" s="441">
        <v>16.0</v>
      </c>
      <c r="J46" s="441" t="s">
        <v>4479</v>
      </c>
      <c r="K46" s="443"/>
      <c r="L46" s="443"/>
      <c r="M46" s="443"/>
      <c r="N46" s="443"/>
      <c r="O46" s="443"/>
      <c r="P46" s="443"/>
      <c r="Q46" s="443"/>
      <c r="R46" s="443"/>
      <c r="S46" s="443"/>
      <c r="T46" s="443"/>
      <c r="U46" s="443"/>
      <c r="V46" s="443"/>
    </row>
    <row r="47">
      <c r="A47" s="441" t="s">
        <v>5665</v>
      </c>
      <c r="B47" s="441">
        <v>9.7143337718E10</v>
      </c>
      <c r="C47" s="441" t="s">
        <v>5666</v>
      </c>
      <c r="D47" s="441">
        <v>9.71556121824E11</v>
      </c>
      <c r="E47" s="441">
        <v>0.0</v>
      </c>
      <c r="F47" s="441" t="s">
        <v>4517</v>
      </c>
      <c r="G47" s="442" t="s">
        <v>5603</v>
      </c>
      <c r="H47" s="441">
        <v>1604.0</v>
      </c>
      <c r="I47" s="441">
        <v>16.0</v>
      </c>
      <c r="J47" s="441" t="s">
        <v>4479</v>
      </c>
      <c r="K47" s="443"/>
      <c r="L47" s="443"/>
      <c r="M47" s="443"/>
      <c r="N47" s="443"/>
      <c r="O47" s="443"/>
      <c r="P47" s="443"/>
      <c r="Q47" s="443"/>
      <c r="R47" s="443"/>
      <c r="S47" s="443"/>
      <c r="T47" s="443"/>
      <c r="U47" s="443"/>
      <c r="V47" s="443"/>
    </row>
    <row r="48">
      <c r="A48" s="441" t="s">
        <v>4612</v>
      </c>
      <c r="B48" s="441">
        <v>0.0</v>
      </c>
      <c r="C48" s="441">
        <v>0.0</v>
      </c>
      <c r="D48" s="441" t="s">
        <v>4613</v>
      </c>
      <c r="E48" s="441">
        <v>0.0</v>
      </c>
      <c r="F48" s="441" t="s">
        <v>4461</v>
      </c>
      <c r="G48" s="442" t="s">
        <v>5603</v>
      </c>
      <c r="H48" s="441">
        <v>1605.0</v>
      </c>
      <c r="I48" s="441">
        <v>16.0</v>
      </c>
      <c r="J48" s="441" t="s">
        <v>4479</v>
      </c>
      <c r="K48" s="443"/>
      <c r="L48" s="443"/>
      <c r="M48" s="443"/>
      <c r="N48" s="443"/>
      <c r="O48" s="443"/>
      <c r="P48" s="443"/>
      <c r="Q48" s="443"/>
      <c r="R48" s="443"/>
      <c r="S48" s="443"/>
      <c r="T48" s="443"/>
      <c r="U48" s="443"/>
      <c r="V48" s="443"/>
    </row>
    <row r="49">
      <c r="A49" s="441" t="s">
        <v>5600</v>
      </c>
      <c r="B49" s="441" t="s">
        <v>5601</v>
      </c>
      <c r="C49" s="441" t="s">
        <v>5602</v>
      </c>
      <c r="D49" s="441">
        <v>0.0</v>
      </c>
      <c r="E49" s="441">
        <v>0.0</v>
      </c>
      <c r="F49" s="441">
        <v>0.0</v>
      </c>
      <c r="G49" s="442" t="s">
        <v>5603</v>
      </c>
      <c r="H49" s="441">
        <v>1606.0</v>
      </c>
      <c r="I49" s="441">
        <v>16.0</v>
      </c>
      <c r="J49" s="441" t="s">
        <v>4457</v>
      </c>
      <c r="K49" s="443"/>
      <c r="L49" s="443"/>
      <c r="M49" s="443"/>
      <c r="N49" s="443"/>
      <c r="O49" s="443"/>
      <c r="P49" s="443"/>
      <c r="Q49" s="443"/>
      <c r="R49" s="443"/>
      <c r="S49" s="443"/>
      <c r="T49" s="443"/>
      <c r="U49" s="443"/>
      <c r="V49" s="443"/>
    </row>
    <row r="50">
      <c r="A50" s="441" t="s">
        <v>5667</v>
      </c>
      <c r="B50" s="441">
        <v>0.0</v>
      </c>
      <c r="C50" s="441" t="s">
        <v>5668</v>
      </c>
      <c r="D50" s="441" t="s">
        <v>5669</v>
      </c>
      <c r="E50" s="441" t="s">
        <v>5670</v>
      </c>
      <c r="F50" s="441" t="s">
        <v>4710</v>
      </c>
      <c r="G50" s="442" t="s">
        <v>5603</v>
      </c>
      <c r="H50" s="441">
        <v>1607.0</v>
      </c>
      <c r="I50" s="441">
        <v>16.0</v>
      </c>
      <c r="J50" s="441" t="s">
        <v>4479</v>
      </c>
      <c r="K50" s="443"/>
      <c r="L50" s="443"/>
      <c r="M50" s="443"/>
      <c r="N50" s="443"/>
      <c r="O50" s="443"/>
      <c r="P50" s="443"/>
      <c r="Q50" s="443"/>
      <c r="R50" s="443"/>
      <c r="S50" s="443"/>
      <c r="T50" s="443"/>
      <c r="U50" s="443"/>
      <c r="V50" s="443"/>
    </row>
    <row r="51">
      <c r="A51" s="441" t="s">
        <v>5671</v>
      </c>
      <c r="B51" s="441">
        <v>0.0</v>
      </c>
      <c r="C51" s="441">
        <v>0.0</v>
      </c>
      <c r="D51" s="441" t="s">
        <v>5672</v>
      </c>
      <c r="E51" s="441">
        <v>0.0</v>
      </c>
      <c r="F51" s="441" t="s">
        <v>5673</v>
      </c>
      <c r="G51" s="442" t="s">
        <v>5603</v>
      </c>
      <c r="H51" s="441">
        <v>1608.0</v>
      </c>
      <c r="I51" s="441">
        <v>16.0</v>
      </c>
      <c r="J51" s="441" t="s">
        <v>4479</v>
      </c>
      <c r="K51" s="443"/>
      <c r="L51" s="443"/>
      <c r="M51" s="443"/>
      <c r="N51" s="443"/>
      <c r="O51" s="443"/>
      <c r="P51" s="443"/>
      <c r="Q51" s="443"/>
      <c r="R51" s="443"/>
      <c r="S51" s="443"/>
      <c r="T51" s="443"/>
      <c r="U51" s="443"/>
      <c r="V51" s="443"/>
    </row>
    <row r="52">
      <c r="A52" s="441" t="s">
        <v>5600</v>
      </c>
      <c r="B52" s="441" t="s">
        <v>5601</v>
      </c>
      <c r="C52" s="441" t="s">
        <v>5602</v>
      </c>
      <c r="D52" s="441">
        <v>0.0</v>
      </c>
      <c r="E52" s="441">
        <v>0.0</v>
      </c>
      <c r="F52" s="441">
        <v>0.0</v>
      </c>
      <c r="G52" s="442" t="s">
        <v>5603</v>
      </c>
      <c r="H52" s="441">
        <v>1609.0</v>
      </c>
      <c r="I52" s="441">
        <v>16.0</v>
      </c>
      <c r="J52" s="441" t="s">
        <v>4479</v>
      </c>
      <c r="K52" s="443"/>
      <c r="L52" s="443"/>
      <c r="M52" s="443"/>
      <c r="N52" s="443"/>
      <c r="O52" s="443"/>
      <c r="P52" s="443"/>
      <c r="Q52" s="443"/>
      <c r="R52" s="443"/>
      <c r="S52" s="443"/>
      <c r="T52" s="443"/>
      <c r="U52" s="443"/>
      <c r="V52" s="443"/>
    </row>
    <row r="53">
      <c r="A53" s="441" t="s">
        <v>5600</v>
      </c>
      <c r="B53" s="441" t="s">
        <v>5601</v>
      </c>
      <c r="C53" s="441" t="s">
        <v>5602</v>
      </c>
      <c r="D53" s="441">
        <v>0.0</v>
      </c>
      <c r="E53" s="441">
        <v>0.0</v>
      </c>
      <c r="F53" s="441">
        <v>0.0</v>
      </c>
      <c r="G53" s="442" t="s">
        <v>5603</v>
      </c>
      <c r="H53" s="441">
        <v>1610.0</v>
      </c>
      <c r="I53" s="441">
        <v>16.0</v>
      </c>
      <c r="J53" s="441" t="s">
        <v>4641</v>
      </c>
      <c r="K53" s="443"/>
      <c r="L53" s="443"/>
      <c r="M53" s="443"/>
      <c r="N53" s="443"/>
      <c r="O53" s="443"/>
      <c r="P53" s="443"/>
      <c r="Q53" s="443"/>
      <c r="R53" s="443"/>
      <c r="S53" s="443"/>
      <c r="T53" s="443"/>
      <c r="U53" s="443"/>
      <c r="V53" s="443"/>
    </row>
    <row r="54">
      <c r="A54" s="441" t="s">
        <v>5674</v>
      </c>
      <c r="B54" s="441" t="s">
        <v>5675</v>
      </c>
      <c r="C54" s="441">
        <v>0.0</v>
      </c>
      <c r="D54" s="441" t="s">
        <v>5676</v>
      </c>
      <c r="E54" s="441" t="s">
        <v>5675</v>
      </c>
      <c r="F54" s="441" t="s">
        <v>4726</v>
      </c>
      <c r="G54" s="442" t="s">
        <v>5603</v>
      </c>
      <c r="H54" s="441">
        <v>1701.0</v>
      </c>
      <c r="I54" s="441">
        <v>17.0</v>
      </c>
      <c r="J54" s="441" t="s">
        <v>4641</v>
      </c>
      <c r="K54" s="443"/>
      <c r="L54" s="443"/>
      <c r="M54" s="443"/>
      <c r="N54" s="443"/>
      <c r="O54" s="443"/>
      <c r="P54" s="443"/>
      <c r="Q54" s="443"/>
      <c r="R54" s="443"/>
      <c r="S54" s="443"/>
      <c r="T54" s="443"/>
      <c r="U54" s="443"/>
      <c r="V54" s="443"/>
    </row>
    <row r="55">
      <c r="A55" s="441" t="s">
        <v>5677</v>
      </c>
      <c r="B55" s="441" t="s">
        <v>5678</v>
      </c>
      <c r="C55" s="441">
        <v>0.0</v>
      </c>
      <c r="D55" s="441" t="s">
        <v>5679</v>
      </c>
      <c r="E55" s="441" t="s">
        <v>5678</v>
      </c>
      <c r="F55" s="441" t="s">
        <v>4533</v>
      </c>
      <c r="G55" s="442" t="s">
        <v>5603</v>
      </c>
      <c r="H55" s="441">
        <v>1702.0</v>
      </c>
      <c r="I55" s="441">
        <v>17.0</v>
      </c>
      <c r="J55" s="441" t="s">
        <v>4479</v>
      </c>
      <c r="K55" s="443"/>
      <c r="L55" s="443"/>
      <c r="M55" s="443"/>
      <c r="N55" s="443"/>
      <c r="O55" s="443"/>
      <c r="P55" s="443"/>
      <c r="Q55" s="443"/>
      <c r="R55" s="443"/>
      <c r="S55" s="443"/>
      <c r="T55" s="443"/>
      <c r="U55" s="443"/>
      <c r="V55" s="443"/>
    </row>
    <row r="56">
      <c r="A56" s="441" t="e">
        <v>#N/A</v>
      </c>
      <c r="B56" s="441" t="e">
        <v>#N/A</v>
      </c>
      <c r="C56" s="441" t="e">
        <v>#N/A</v>
      </c>
      <c r="D56" s="441" t="e">
        <v>#N/A</v>
      </c>
      <c r="E56" s="441" t="e">
        <v>#N/A</v>
      </c>
      <c r="F56" s="441" t="e">
        <v>#N/A</v>
      </c>
      <c r="G56" s="442" t="s">
        <v>5680</v>
      </c>
      <c r="H56" s="445"/>
      <c r="I56" s="445"/>
      <c r="J56" s="445"/>
      <c r="K56" s="443"/>
      <c r="L56" s="443"/>
      <c r="M56" s="443"/>
      <c r="N56" s="443"/>
      <c r="O56" s="443"/>
      <c r="P56" s="443"/>
      <c r="Q56" s="443"/>
      <c r="R56" s="443"/>
      <c r="S56" s="443"/>
      <c r="T56" s="443"/>
      <c r="U56" s="443"/>
      <c r="V56" s="443"/>
    </row>
    <row r="57">
      <c r="A57" s="441" t="s">
        <v>5600</v>
      </c>
      <c r="B57" s="441" t="s">
        <v>5601</v>
      </c>
      <c r="C57" s="441" t="s">
        <v>5602</v>
      </c>
      <c r="D57" s="441">
        <v>0.0</v>
      </c>
      <c r="E57" s="441">
        <v>0.0</v>
      </c>
      <c r="F57" s="441">
        <v>0.0</v>
      </c>
      <c r="G57" s="442" t="s">
        <v>5603</v>
      </c>
      <c r="H57" s="441">
        <v>2302.0</v>
      </c>
      <c r="I57" s="441">
        <v>23.0</v>
      </c>
      <c r="J57" s="441" t="s">
        <v>4479</v>
      </c>
      <c r="K57" s="443"/>
      <c r="L57" s="443"/>
      <c r="M57" s="443"/>
      <c r="N57" s="443"/>
      <c r="O57" s="443"/>
      <c r="P57" s="443"/>
      <c r="Q57" s="443"/>
      <c r="R57" s="443"/>
      <c r="S57" s="443"/>
      <c r="T57" s="443"/>
      <c r="U57" s="443"/>
      <c r="V57" s="443"/>
    </row>
    <row r="58">
      <c r="A58" s="441" t="s">
        <v>5600</v>
      </c>
      <c r="B58" s="441" t="s">
        <v>5601</v>
      </c>
      <c r="C58" s="441" t="s">
        <v>5602</v>
      </c>
      <c r="D58" s="441">
        <v>0.0</v>
      </c>
      <c r="E58" s="441">
        <v>0.0</v>
      </c>
      <c r="F58" s="441">
        <v>0.0</v>
      </c>
      <c r="G58" s="442" t="s">
        <v>5603</v>
      </c>
      <c r="H58" s="441">
        <v>1903.0</v>
      </c>
      <c r="I58" s="441">
        <v>19.0</v>
      </c>
      <c r="J58" s="441" t="s">
        <v>4479</v>
      </c>
      <c r="K58" s="443"/>
      <c r="L58" s="443"/>
      <c r="M58" s="443"/>
      <c r="N58" s="443"/>
      <c r="O58" s="443"/>
      <c r="P58" s="443"/>
      <c r="Q58" s="443"/>
      <c r="R58" s="443"/>
      <c r="S58" s="443"/>
      <c r="T58" s="443"/>
      <c r="U58" s="443"/>
      <c r="V58" s="443"/>
    </row>
    <row r="59">
      <c r="A59" s="441" t="s">
        <v>5600</v>
      </c>
      <c r="B59" s="441" t="s">
        <v>5601</v>
      </c>
      <c r="C59" s="441" t="s">
        <v>5602</v>
      </c>
      <c r="D59" s="441">
        <v>0.0</v>
      </c>
      <c r="E59" s="441">
        <v>0.0</v>
      </c>
      <c r="F59" s="441">
        <v>0.0</v>
      </c>
      <c r="G59" s="442" t="s">
        <v>5603</v>
      </c>
      <c r="H59" s="441">
        <v>1904.0</v>
      </c>
      <c r="I59" s="441">
        <v>19.0</v>
      </c>
      <c r="J59" s="441" t="s">
        <v>4479</v>
      </c>
      <c r="K59" s="443"/>
      <c r="L59" s="443"/>
      <c r="M59" s="443"/>
      <c r="N59" s="443"/>
      <c r="O59" s="443"/>
      <c r="P59" s="443"/>
      <c r="Q59" s="443"/>
      <c r="R59" s="443"/>
      <c r="S59" s="443"/>
      <c r="T59" s="443"/>
      <c r="U59" s="443"/>
      <c r="V59" s="443"/>
    </row>
    <row r="60">
      <c r="A60" s="441" t="s">
        <v>5600</v>
      </c>
      <c r="B60" s="441" t="s">
        <v>5601</v>
      </c>
      <c r="C60" s="441" t="s">
        <v>5602</v>
      </c>
      <c r="D60" s="441">
        <v>0.0</v>
      </c>
      <c r="E60" s="441">
        <v>0.0</v>
      </c>
      <c r="F60" s="441">
        <v>0.0</v>
      </c>
      <c r="G60" s="442" t="s">
        <v>5603</v>
      </c>
      <c r="H60" s="441">
        <v>1905.0</v>
      </c>
      <c r="I60" s="441">
        <v>19.0</v>
      </c>
      <c r="J60" s="441" t="s">
        <v>4479</v>
      </c>
      <c r="K60" s="443"/>
      <c r="L60" s="443"/>
      <c r="M60" s="443"/>
      <c r="N60" s="443"/>
      <c r="O60" s="443"/>
      <c r="P60" s="443"/>
      <c r="Q60" s="443"/>
      <c r="R60" s="443"/>
      <c r="S60" s="443"/>
      <c r="T60" s="443"/>
      <c r="U60" s="443"/>
      <c r="V60" s="443"/>
    </row>
    <row r="61">
      <c r="A61" s="441" t="s">
        <v>5600</v>
      </c>
      <c r="B61" s="441" t="s">
        <v>5601</v>
      </c>
      <c r="C61" s="441" t="s">
        <v>5602</v>
      </c>
      <c r="D61" s="441">
        <v>0.0</v>
      </c>
      <c r="E61" s="441">
        <v>0.0</v>
      </c>
      <c r="F61" s="441">
        <v>0.0</v>
      </c>
      <c r="G61" s="442" t="s">
        <v>5603</v>
      </c>
      <c r="H61" s="441">
        <v>1906.0</v>
      </c>
      <c r="I61" s="441">
        <v>19.0</v>
      </c>
      <c r="J61" s="441" t="s">
        <v>4457</v>
      </c>
      <c r="K61" s="443"/>
      <c r="L61" s="443"/>
      <c r="M61" s="443"/>
      <c r="N61" s="443"/>
      <c r="O61" s="443"/>
      <c r="P61" s="443"/>
      <c r="Q61" s="443"/>
      <c r="R61" s="443"/>
      <c r="S61" s="443"/>
      <c r="T61" s="443"/>
      <c r="U61" s="443"/>
      <c r="V61" s="443"/>
    </row>
    <row r="62">
      <c r="A62" s="441" t="s">
        <v>5600</v>
      </c>
      <c r="B62" s="441" t="s">
        <v>5601</v>
      </c>
      <c r="C62" s="441" t="s">
        <v>5602</v>
      </c>
      <c r="D62" s="441">
        <v>0.0</v>
      </c>
      <c r="E62" s="441">
        <v>0.0</v>
      </c>
      <c r="F62" s="441">
        <v>0.0</v>
      </c>
      <c r="G62" s="442" t="s">
        <v>5603</v>
      </c>
      <c r="H62" s="441">
        <v>1907.0</v>
      </c>
      <c r="I62" s="441">
        <v>19.0</v>
      </c>
      <c r="J62" s="441" t="s">
        <v>4479</v>
      </c>
      <c r="K62" s="443"/>
      <c r="L62" s="443"/>
      <c r="M62" s="443"/>
      <c r="N62" s="443"/>
      <c r="O62" s="443"/>
      <c r="P62" s="443"/>
      <c r="Q62" s="443"/>
      <c r="R62" s="443"/>
      <c r="S62" s="443"/>
      <c r="T62" s="443"/>
      <c r="U62" s="443"/>
      <c r="V62" s="443"/>
    </row>
    <row r="63">
      <c r="A63" s="441" t="s">
        <v>5600</v>
      </c>
      <c r="B63" s="441" t="s">
        <v>5601</v>
      </c>
      <c r="C63" s="441" t="s">
        <v>5602</v>
      </c>
      <c r="D63" s="441">
        <v>0.0</v>
      </c>
      <c r="E63" s="441">
        <v>0.0</v>
      </c>
      <c r="F63" s="441">
        <v>0.0</v>
      </c>
      <c r="G63" s="442" t="s">
        <v>5603</v>
      </c>
      <c r="H63" s="441">
        <v>1908.0</v>
      </c>
      <c r="I63" s="441">
        <v>19.0</v>
      </c>
      <c r="J63" s="441" t="s">
        <v>4479</v>
      </c>
      <c r="K63" s="443"/>
      <c r="L63" s="443"/>
      <c r="M63" s="443"/>
      <c r="N63" s="443"/>
      <c r="O63" s="443"/>
      <c r="P63" s="443"/>
      <c r="Q63" s="443"/>
      <c r="R63" s="443"/>
      <c r="S63" s="443"/>
      <c r="T63" s="443"/>
      <c r="U63" s="443"/>
      <c r="V63" s="443"/>
    </row>
    <row r="64">
      <c r="A64" s="441" t="s">
        <v>5681</v>
      </c>
      <c r="B64" s="441" t="s">
        <v>5682</v>
      </c>
      <c r="C64" s="441" t="s">
        <v>5683</v>
      </c>
      <c r="D64" s="441" t="s">
        <v>5684</v>
      </c>
      <c r="E64" s="441" t="s">
        <v>5682</v>
      </c>
      <c r="F64" s="441" t="s">
        <v>4571</v>
      </c>
      <c r="G64" s="442" t="s">
        <v>5603</v>
      </c>
      <c r="H64" s="441">
        <v>2001.0</v>
      </c>
      <c r="I64" s="441">
        <v>20.0</v>
      </c>
      <c r="J64" s="441" t="s">
        <v>4641</v>
      </c>
      <c r="K64" s="443"/>
      <c r="L64" s="443"/>
      <c r="M64" s="443"/>
      <c r="N64" s="443"/>
      <c r="O64" s="443"/>
      <c r="P64" s="443"/>
      <c r="Q64" s="443"/>
      <c r="R64" s="443"/>
      <c r="S64" s="443"/>
      <c r="T64" s="443"/>
      <c r="U64" s="443"/>
      <c r="V64" s="443"/>
    </row>
    <row r="65">
      <c r="A65" s="441" t="s">
        <v>5681</v>
      </c>
      <c r="B65" s="441" t="s">
        <v>5682</v>
      </c>
      <c r="C65" s="441" t="s">
        <v>5683</v>
      </c>
      <c r="D65" s="441" t="s">
        <v>5684</v>
      </c>
      <c r="E65" s="441" t="s">
        <v>5682</v>
      </c>
      <c r="F65" s="441" t="s">
        <v>4571</v>
      </c>
      <c r="G65" s="442" t="s">
        <v>5603</v>
      </c>
      <c r="H65" s="441">
        <v>2002.0</v>
      </c>
      <c r="I65" s="441">
        <v>20.0</v>
      </c>
      <c r="J65" s="441" t="s">
        <v>4479</v>
      </c>
      <c r="K65" s="443"/>
      <c r="L65" s="443"/>
      <c r="M65" s="443"/>
      <c r="N65" s="443"/>
      <c r="O65" s="443"/>
      <c r="P65" s="443"/>
      <c r="Q65" s="443"/>
      <c r="R65" s="443"/>
      <c r="S65" s="443"/>
      <c r="T65" s="443"/>
      <c r="U65" s="443"/>
      <c r="V65" s="443"/>
    </row>
    <row r="66">
      <c r="A66" s="441" t="s">
        <v>5681</v>
      </c>
      <c r="B66" s="441" t="s">
        <v>5682</v>
      </c>
      <c r="C66" s="441" t="s">
        <v>5683</v>
      </c>
      <c r="D66" s="441" t="s">
        <v>5684</v>
      </c>
      <c r="E66" s="441" t="s">
        <v>5682</v>
      </c>
      <c r="F66" s="441" t="s">
        <v>4571</v>
      </c>
      <c r="G66" s="442" t="s">
        <v>5603</v>
      </c>
      <c r="H66" s="441">
        <v>2003.0</v>
      </c>
      <c r="I66" s="441">
        <v>20.0</v>
      </c>
      <c r="J66" s="441" t="s">
        <v>4479</v>
      </c>
      <c r="K66" s="443"/>
      <c r="L66" s="443"/>
      <c r="M66" s="443"/>
      <c r="N66" s="443"/>
      <c r="O66" s="443"/>
      <c r="P66" s="443"/>
      <c r="Q66" s="443"/>
      <c r="R66" s="443"/>
      <c r="S66" s="443"/>
      <c r="T66" s="443"/>
      <c r="U66" s="443"/>
      <c r="V66" s="443"/>
    </row>
    <row r="67">
      <c r="A67" s="441" t="s">
        <v>5681</v>
      </c>
      <c r="B67" s="441" t="s">
        <v>5682</v>
      </c>
      <c r="C67" s="441" t="s">
        <v>5683</v>
      </c>
      <c r="D67" s="441" t="s">
        <v>5684</v>
      </c>
      <c r="E67" s="441" t="s">
        <v>5682</v>
      </c>
      <c r="F67" s="441" t="s">
        <v>4571</v>
      </c>
      <c r="G67" s="442" t="s">
        <v>5603</v>
      </c>
      <c r="H67" s="441">
        <v>2004.0</v>
      </c>
      <c r="I67" s="441">
        <v>20.0</v>
      </c>
      <c r="J67" s="441" t="s">
        <v>4479</v>
      </c>
      <c r="K67" s="443"/>
      <c r="L67" s="443"/>
      <c r="M67" s="443"/>
      <c r="N67" s="443"/>
      <c r="O67" s="443"/>
      <c r="P67" s="443"/>
      <c r="Q67" s="443"/>
      <c r="R67" s="443"/>
      <c r="S67" s="443"/>
      <c r="T67" s="443"/>
      <c r="U67" s="443"/>
      <c r="V67" s="443"/>
    </row>
    <row r="68">
      <c r="A68" s="441" t="s">
        <v>5681</v>
      </c>
      <c r="B68" s="441" t="s">
        <v>5682</v>
      </c>
      <c r="C68" s="441" t="s">
        <v>5683</v>
      </c>
      <c r="D68" s="441" t="s">
        <v>5684</v>
      </c>
      <c r="E68" s="441" t="s">
        <v>5682</v>
      </c>
      <c r="F68" s="441" t="s">
        <v>4571</v>
      </c>
      <c r="G68" s="442" t="s">
        <v>5603</v>
      </c>
      <c r="H68" s="441">
        <v>2005.0</v>
      </c>
      <c r="I68" s="441">
        <v>20.0</v>
      </c>
      <c r="J68" s="441" t="s">
        <v>4479</v>
      </c>
      <c r="K68" s="443"/>
      <c r="L68" s="443"/>
      <c r="M68" s="443"/>
      <c r="N68" s="443"/>
      <c r="O68" s="443"/>
      <c r="P68" s="443"/>
      <c r="Q68" s="443"/>
      <c r="R68" s="443"/>
      <c r="S68" s="443"/>
      <c r="T68" s="443"/>
      <c r="U68" s="443"/>
      <c r="V68" s="443"/>
    </row>
    <row r="69">
      <c r="A69" s="441" t="s">
        <v>5681</v>
      </c>
      <c r="B69" s="441" t="s">
        <v>5682</v>
      </c>
      <c r="C69" s="441" t="s">
        <v>5683</v>
      </c>
      <c r="D69" s="441" t="s">
        <v>5684</v>
      </c>
      <c r="E69" s="441" t="s">
        <v>5682</v>
      </c>
      <c r="F69" s="441" t="s">
        <v>4571</v>
      </c>
      <c r="G69" s="442" t="s">
        <v>5603</v>
      </c>
      <c r="H69" s="441">
        <v>2006.0</v>
      </c>
      <c r="I69" s="441">
        <v>20.0</v>
      </c>
      <c r="J69" s="441" t="s">
        <v>4457</v>
      </c>
      <c r="K69" s="443"/>
      <c r="L69" s="443"/>
      <c r="M69" s="443"/>
      <c r="N69" s="443"/>
      <c r="O69" s="443"/>
      <c r="P69" s="443"/>
      <c r="Q69" s="443"/>
      <c r="R69" s="443"/>
      <c r="S69" s="443"/>
      <c r="T69" s="443"/>
      <c r="U69" s="443"/>
      <c r="V69" s="443"/>
    </row>
    <row r="70">
      <c r="A70" s="441" t="s">
        <v>5685</v>
      </c>
      <c r="B70" s="441">
        <v>0.0</v>
      </c>
      <c r="C70" s="441" t="s">
        <v>5686</v>
      </c>
      <c r="D70" s="441" t="s">
        <v>5687</v>
      </c>
      <c r="E70" s="441">
        <v>0.0</v>
      </c>
      <c r="F70" s="441" t="s">
        <v>4503</v>
      </c>
      <c r="G70" s="442" t="s">
        <v>5603</v>
      </c>
      <c r="H70" s="441">
        <v>2007.0</v>
      </c>
      <c r="I70" s="441">
        <v>20.0</v>
      </c>
      <c r="J70" s="441" t="s">
        <v>4479</v>
      </c>
      <c r="K70" s="443"/>
      <c r="L70" s="443"/>
      <c r="M70" s="443"/>
      <c r="N70" s="443"/>
      <c r="O70" s="443"/>
      <c r="P70" s="443"/>
      <c r="Q70" s="443"/>
      <c r="R70" s="443"/>
      <c r="S70" s="443"/>
      <c r="T70" s="443"/>
      <c r="U70" s="443"/>
      <c r="V70" s="443"/>
    </row>
    <row r="71">
      <c r="A71" s="441" t="s">
        <v>5681</v>
      </c>
      <c r="B71" s="441" t="s">
        <v>5682</v>
      </c>
      <c r="C71" s="441" t="s">
        <v>5683</v>
      </c>
      <c r="D71" s="441" t="s">
        <v>5684</v>
      </c>
      <c r="E71" s="441" t="s">
        <v>5682</v>
      </c>
      <c r="F71" s="441" t="s">
        <v>4571</v>
      </c>
      <c r="G71" s="442" t="s">
        <v>5603</v>
      </c>
      <c r="H71" s="441">
        <v>2008.0</v>
      </c>
      <c r="I71" s="441">
        <v>20.0</v>
      </c>
      <c r="J71" s="441" t="s">
        <v>4479</v>
      </c>
      <c r="K71" s="443"/>
      <c r="L71" s="443"/>
      <c r="M71" s="443"/>
      <c r="N71" s="443"/>
      <c r="O71" s="443"/>
      <c r="P71" s="443"/>
      <c r="Q71" s="443"/>
      <c r="R71" s="443"/>
      <c r="S71" s="443"/>
      <c r="T71" s="443"/>
      <c r="U71" s="443"/>
      <c r="V71" s="443"/>
    </row>
    <row r="72">
      <c r="A72" s="441" t="s">
        <v>5600</v>
      </c>
      <c r="B72" s="441" t="s">
        <v>5601</v>
      </c>
      <c r="C72" s="441" t="s">
        <v>5602</v>
      </c>
      <c r="D72" s="441">
        <v>0.0</v>
      </c>
      <c r="E72" s="441">
        <v>0.0</v>
      </c>
      <c r="F72" s="441">
        <v>0.0</v>
      </c>
      <c r="G72" s="442" t="s">
        <v>5603</v>
      </c>
      <c r="H72" s="441">
        <v>2101.0</v>
      </c>
      <c r="I72" s="441">
        <v>21.0</v>
      </c>
      <c r="J72" s="441" t="s">
        <v>4641</v>
      </c>
      <c r="K72" s="443"/>
      <c r="L72" s="443"/>
      <c r="M72" s="443"/>
      <c r="N72" s="443"/>
      <c r="O72" s="443"/>
      <c r="P72" s="443"/>
      <c r="Q72" s="443"/>
      <c r="R72" s="443"/>
      <c r="S72" s="443"/>
      <c r="T72" s="443"/>
      <c r="U72" s="443"/>
      <c r="V72" s="443"/>
    </row>
    <row r="73">
      <c r="A73" s="441" t="s">
        <v>5688</v>
      </c>
      <c r="B73" s="441">
        <v>0.0</v>
      </c>
      <c r="C73" s="441" t="s">
        <v>5689</v>
      </c>
      <c r="D73" s="441" t="s">
        <v>5690</v>
      </c>
      <c r="E73" s="441" t="s">
        <v>5691</v>
      </c>
      <c r="F73" s="441" t="s">
        <v>4461</v>
      </c>
      <c r="G73" s="442" t="s">
        <v>5603</v>
      </c>
      <c r="H73" s="441">
        <v>2102.0</v>
      </c>
      <c r="I73" s="441">
        <v>21.0</v>
      </c>
      <c r="J73" s="441" t="s">
        <v>4479</v>
      </c>
      <c r="K73" s="443"/>
      <c r="L73" s="443"/>
      <c r="M73" s="443"/>
      <c r="N73" s="443"/>
      <c r="O73" s="443"/>
      <c r="P73" s="443"/>
      <c r="Q73" s="443"/>
      <c r="R73" s="443"/>
      <c r="S73" s="443"/>
      <c r="T73" s="443"/>
      <c r="U73" s="443"/>
      <c r="V73" s="443"/>
    </row>
    <row r="74">
      <c r="A74" s="441" t="s">
        <v>5692</v>
      </c>
      <c r="B74" s="441">
        <v>0.0</v>
      </c>
      <c r="C74" s="441" t="s">
        <v>5693</v>
      </c>
      <c r="D74" s="441">
        <v>0.0</v>
      </c>
      <c r="E74" s="441" t="s">
        <v>5694</v>
      </c>
      <c r="F74" s="441" t="s">
        <v>4503</v>
      </c>
      <c r="G74" s="442" t="s">
        <v>5603</v>
      </c>
      <c r="H74" s="441">
        <v>2103.0</v>
      </c>
      <c r="I74" s="441">
        <v>21.0</v>
      </c>
      <c r="J74" s="441" t="s">
        <v>4479</v>
      </c>
      <c r="K74" s="443"/>
      <c r="L74" s="443"/>
      <c r="M74" s="443"/>
      <c r="N74" s="443"/>
      <c r="O74" s="443"/>
      <c r="P74" s="443"/>
      <c r="Q74" s="443"/>
      <c r="R74" s="443"/>
      <c r="S74" s="443"/>
      <c r="T74" s="443"/>
      <c r="U74" s="443"/>
      <c r="V74" s="443"/>
    </row>
    <row r="75">
      <c r="A75" s="441" t="s">
        <v>5695</v>
      </c>
      <c r="B75" s="441" t="s">
        <v>5696</v>
      </c>
      <c r="C75" s="441">
        <v>0.0</v>
      </c>
      <c r="D75" s="441" t="s">
        <v>5697</v>
      </c>
      <c r="E75" s="441" t="s">
        <v>5696</v>
      </c>
      <c r="F75" s="441" t="s">
        <v>4503</v>
      </c>
      <c r="G75" s="442" t="s">
        <v>5603</v>
      </c>
      <c r="H75" s="441">
        <v>2104.0</v>
      </c>
      <c r="I75" s="441">
        <v>21.0</v>
      </c>
      <c r="J75" s="441" t="s">
        <v>4479</v>
      </c>
      <c r="K75" s="443"/>
      <c r="L75" s="443"/>
      <c r="M75" s="443"/>
      <c r="N75" s="443"/>
      <c r="O75" s="443"/>
      <c r="P75" s="443"/>
      <c r="Q75" s="443"/>
      <c r="R75" s="443"/>
      <c r="S75" s="443"/>
      <c r="T75" s="443"/>
      <c r="U75" s="443"/>
      <c r="V75" s="443"/>
    </row>
    <row r="76">
      <c r="A76" s="441" t="s">
        <v>5698</v>
      </c>
      <c r="B76" s="441">
        <v>971.0</v>
      </c>
      <c r="C76" s="441">
        <v>0.0</v>
      </c>
      <c r="D76" s="441" t="s">
        <v>5699</v>
      </c>
      <c r="E76" s="441" t="s">
        <v>5700</v>
      </c>
      <c r="F76" s="441" t="s">
        <v>4517</v>
      </c>
      <c r="G76" s="442" t="s">
        <v>5603</v>
      </c>
      <c r="H76" s="441">
        <v>2105.0</v>
      </c>
      <c r="I76" s="441">
        <v>21.0</v>
      </c>
      <c r="J76" s="441" t="s">
        <v>4479</v>
      </c>
      <c r="K76" s="443"/>
      <c r="L76" s="443"/>
      <c r="M76" s="443"/>
      <c r="N76" s="443"/>
      <c r="O76" s="443"/>
      <c r="P76" s="443"/>
      <c r="Q76" s="443"/>
      <c r="R76" s="443"/>
      <c r="S76" s="443"/>
      <c r="T76" s="443"/>
      <c r="U76" s="443"/>
      <c r="V76" s="443"/>
    </row>
    <row r="77">
      <c r="A77" s="441" t="s">
        <v>5600</v>
      </c>
      <c r="B77" s="441" t="s">
        <v>5601</v>
      </c>
      <c r="C77" s="441" t="s">
        <v>5602</v>
      </c>
      <c r="D77" s="441">
        <v>0.0</v>
      </c>
      <c r="E77" s="441">
        <v>0.0</v>
      </c>
      <c r="F77" s="441">
        <v>0.0</v>
      </c>
      <c r="G77" s="442" t="s">
        <v>5603</v>
      </c>
      <c r="H77" s="441">
        <v>2106.0</v>
      </c>
      <c r="I77" s="441">
        <v>21.0</v>
      </c>
      <c r="J77" s="441" t="s">
        <v>4457</v>
      </c>
      <c r="K77" s="443"/>
      <c r="L77" s="443"/>
      <c r="M77" s="443"/>
      <c r="N77" s="443"/>
      <c r="O77" s="443"/>
      <c r="P77" s="443"/>
      <c r="Q77" s="443"/>
      <c r="R77" s="443"/>
      <c r="S77" s="443"/>
      <c r="T77" s="443"/>
      <c r="U77" s="443"/>
      <c r="V77" s="443"/>
    </row>
    <row r="78">
      <c r="A78" s="441" t="s">
        <v>5701</v>
      </c>
      <c r="B78" s="441">
        <v>0.0</v>
      </c>
      <c r="C78" s="441" t="s">
        <v>5702</v>
      </c>
      <c r="D78" s="441" t="s">
        <v>5703</v>
      </c>
      <c r="E78" s="441">
        <v>0.0</v>
      </c>
      <c r="F78" s="441" t="s">
        <v>4503</v>
      </c>
      <c r="G78" s="442" t="s">
        <v>5603</v>
      </c>
      <c r="H78" s="441">
        <v>2107.0</v>
      </c>
      <c r="I78" s="441">
        <v>21.0</v>
      </c>
      <c r="J78" s="441" t="s">
        <v>4479</v>
      </c>
      <c r="K78" s="443"/>
      <c r="L78" s="443"/>
      <c r="M78" s="443"/>
      <c r="N78" s="443"/>
      <c r="O78" s="443"/>
      <c r="P78" s="443"/>
      <c r="Q78" s="443"/>
      <c r="R78" s="443"/>
      <c r="S78" s="443"/>
      <c r="T78" s="443"/>
      <c r="U78" s="443"/>
      <c r="V78" s="443"/>
    </row>
    <row r="79">
      <c r="A79" s="441" t="s">
        <v>5688</v>
      </c>
      <c r="B79" s="441">
        <v>0.0</v>
      </c>
      <c r="C79" s="441" t="s">
        <v>5689</v>
      </c>
      <c r="D79" s="441" t="s">
        <v>5690</v>
      </c>
      <c r="E79" s="441" t="s">
        <v>5691</v>
      </c>
      <c r="F79" s="441" t="s">
        <v>4461</v>
      </c>
      <c r="G79" s="442" t="s">
        <v>5603</v>
      </c>
      <c r="H79" s="441">
        <v>2108.0</v>
      </c>
      <c r="I79" s="441">
        <v>21.0</v>
      </c>
      <c r="J79" s="441" t="s">
        <v>4479</v>
      </c>
      <c r="K79" s="443"/>
      <c r="L79" s="443"/>
      <c r="M79" s="443"/>
      <c r="N79" s="443"/>
      <c r="O79" s="443"/>
      <c r="P79" s="443"/>
      <c r="Q79" s="443"/>
      <c r="R79" s="443"/>
      <c r="S79" s="443"/>
      <c r="T79" s="443"/>
      <c r="U79" s="443"/>
      <c r="V79" s="443"/>
    </row>
    <row r="80">
      <c r="A80" s="441" t="s">
        <v>5523</v>
      </c>
      <c r="B80" s="441">
        <v>0.0</v>
      </c>
      <c r="C80" s="441" t="s">
        <v>5524</v>
      </c>
      <c r="D80" s="441" t="s">
        <v>5525</v>
      </c>
      <c r="E80" s="441" t="s">
        <v>5526</v>
      </c>
      <c r="F80" s="441" t="s">
        <v>5331</v>
      </c>
      <c r="G80" s="442" t="s">
        <v>5603</v>
      </c>
      <c r="H80" s="441">
        <v>2201.0</v>
      </c>
      <c r="I80" s="441">
        <v>22.0</v>
      </c>
      <c r="J80" s="441" t="s">
        <v>4641</v>
      </c>
      <c r="K80" s="443"/>
      <c r="L80" s="443"/>
      <c r="M80" s="443"/>
      <c r="N80" s="443"/>
      <c r="O80" s="443"/>
      <c r="P80" s="443"/>
      <c r="Q80" s="443"/>
      <c r="R80" s="443"/>
      <c r="S80" s="443"/>
      <c r="T80" s="443"/>
      <c r="U80" s="443"/>
      <c r="V80" s="443"/>
    </row>
    <row r="81">
      <c r="A81" s="441" t="s">
        <v>5600</v>
      </c>
      <c r="B81" s="441" t="s">
        <v>5601</v>
      </c>
      <c r="C81" s="441" t="s">
        <v>5602</v>
      </c>
      <c r="D81" s="441">
        <v>0.0</v>
      </c>
      <c r="E81" s="441">
        <v>0.0</v>
      </c>
      <c r="F81" s="441">
        <v>0.0</v>
      </c>
      <c r="G81" s="442" t="s">
        <v>5603</v>
      </c>
      <c r="H81" s="441">
        <v>2202.0</v>
      </c>
      <c r="I81" s="441">
        <v>22.0</v>
      </c>
      <c r="J81" s="441" t="s">
        <v>4479</v>
      </c>
      <c r="K81" s="443"/>
      <c r="L81" s="443"/>
      <c r="M81" s="443"/>
      <c r="N81" s="443"/>
      <c r="O81" s="443"/>
      <c r="P81" s="443"/>
      <c r="Q81" s="443"/>
      <c r="R81" s="443"/>
      <c r="S81" s="443"/>
      <c r="T81" s="443"/>
      <c r="U81" s="443"/>
      <c r="V81" s="443"/>
    </row>
    <row r="82">
      <c r="A82" s="441" t="s">
        <v>5523</v>
      </c>
      <c r="B82" s="441">
        <v>0.0</v>
      </c>
      <c r="C82" s="441" t="s">
        <v>5524</v>
      </c>
      <c r="D82" s="441" t="s">
        <v>5525</v>
      </c>
      <c r="E82" s="441" t="s">
        <v>5526</v>
      </c>
      <c r="F82" s="441" t="s">
        <v>5331</v>
      </c>
      <c r="G82" s="442" t="s">
        <v>5603</v>
      </c>
      <c r="H82" s="441">
        <v>2203.0</v>
      </c>
      <c r="I82" s="441">
        <v>22.0</v>
      </c>
      <c r="J82" s="441" t="s">
        <v>4479</v>
      </c>
      <c r="K82" s="443"/>
      <c r="L82" s="443"/>
      <c r="M82" s="443"/>
      <c r="N82" s="443"/>
      <c r="O82" s="443"/>
      <c r="P82" s="443"/>
      <c r="Q82" s="443"/>
      <c r="R82" s="443"/>
      <c r="S82" s="443"/>
      <c r="T82" s="443"/>
      <c r="U82" s="443"/>
      <c r="V82" s="443"/>
    </row>
    <row r="83">
      <c r="A83" s="441" t="s">
        <v>5704</v>
      </c>
      <c r="B83" s="441">
        <v>0.0</v>
      </c>
      <c r="C83" s="441" t="s">
        <v>5705</v>
      </c>
      <c r="D83" s="441">
        <v>0.0</v>
      </c>
      <c r="E83" s="441" t="s">
        <v>5706</v>
      </c>
      <c r="F83" s="441" t="s">
        <v>4699</v>
      </c>
      <c r="G83" s="442" t="s">
        <v>5603</v>
      </c>
      <c r="H83" s="441">
        <v>2301.0</v>
      </c>
      <c r="I83" s="441">
        <v>23.0</v>
      </c>
      <c r="J83" s="441" t="s">
        <v>4641</v>
      </c>
      <c r="K83" s="443"/>
      <c r="L83" s="443"/>
      <c r="M83" s="443"/>
      <c r="N83" s="443"/>
      <c r="O83" s="443"/>
      <c r="P83" s="443"/>
      <c r="Q83" s="443"/>
      <c r="R83" s="443"/>
      <c r="S83" s="443"/>
      <c r="T83" s="443"/>
      <c r="U83" s="443"/>
      <c r="V83" s="443"/>
    </row>
    <row r="84">
      <c r="A84" s="441" t="s">
        <v>5523</v>
      </c>
      <c r="B84" s="441">
        <v>0.0</v>
      </c>
      <c r="C84" s="441" t="s">
        <v>5524</v>
      </c>
      <c r="D84" s="441" t="s">
        <v>5525</v>
      </c>
      <c r="E84" s="441" t="s">
        <v>5526</v>
      </c>
      <c r="F84" s="441" t="s">
        <v>5331</v>
      </c>
      <c r="G84" s="442" t="s">
        <v>5603</v>
      </c>
      <c r="H84" s="441">
        <v>2206.0</v>
      </c>
      <c r="I84" s="441">
        <v>22.0</v>
      </c>
      <c r="J84" s="441" t="s">
        <v>4457</v>
      </c>
      <c r="K84" s="443"/>
      <c r="L84" s="443"/>
      <c r="M84" s="443"/>
      <c r="N84" s="443"/>
      <c r="O84" s="443"/>
      <c r="P84" s="443"/>
      <c r="Q84" s="443"/>
      <c r="R84" s="443"/>
      <c r="S84" s="443"/>
      <c r="T84" s="443"/>
      <c r="U84" s="443"/>
      <c r="V84" s="443"/>
    </row>
    <row r="85">
      <c r="A85" s="441" t="s">
        <v>5523</v>
      </c>
      <c r="B85" s="441">
        <v>0.0</v>
      </c>
      <c r="C85" s="441" t="s">
        <v>5524</v>
      </c>
      <c r="D85" s="441" t="s">
        <v>5525</v>
      </c>
      <c r="E85" s="441" t="s">
        <v>5526</v>
      </c>
      <c r="F85" s="441" t="s">
        <v>5331</v>
      </c>
      <c r="G85" s="442" t="s">
        <v>5603</v>
      </c>
      <c r="H85" s="441">
        <v>2207.0</v>
      </c>
      <c r="I85" s="441">
        <v>22.0</v>
      </c>
      <c r="J85" s="441" t="s">
        <v>4479</v>
      </c>
      <c r="K85" s="443"/>
      <c r="L85" s="443"/>
      <c r="M85" s="443"/>
      <c r="N85" s="443"/>
      <c r="O85" s="443"/>
      <c r="P85" s="443"/>
      <c r="Q85" s="443"/>
      <c r="R85" s="443"/>
      <c r="S85" s="443"/>
      <c r="T85" s="443"/>
      <c r="U85" s="443"/>
      <c r="V85" s="443"/>
    </row>
    <row r="86">
      <c r="A86" s="441" t="s">
        <v>5600</v>
      </c>
      <c r="B86" s="441" t="s">
        <v>5601</v>
      </c>
      <c r="C86" s="441" t="s">
        <v>5602</v>
      </c>
      <c r="D86" s="441">
        <v>0.0</v>
      </c>
      <c r="E86" s="441">
        <v>0.0</v>
      </c>
      <c r="F86" s="441">
        <v>0.0</v>
      </c>
      <c r="G86" s="442" t="s">
        <v>5603</v>
      </c>
      <c r="H86" s="441">
        <v>2208.0</v>
      </c>
      <c r="I86" s="441">
        <v>22.0</v>
      </c>
      <c r="J86" s="441" t="s">
        <v>4479</v>
      </c>
      <c r="K86" s="443"/>
      <c r="L86" s="443"/>
      <c r="M86" s="443"/>
      <c r="N86" s="443"/>
      <c r="O86" s="443"/>
      <c r="P86" s="443"/>
      <c r="Q86" s="443"/>
      <c r="R86" s="443"/>
      <c r="S86" s="443"/>
      <c r="T86" s="443"/>
      <c r="U86" s="443"/>
      <c r="V86" s="443"/>
    </row>
    <row r="87">
      <c r="A87" s="441" t="s">
        <v>5707</v>
      </c>
      <c r="B87" s="441">
        <v>0.0</v>
      </c>
      <c r="C87" s="441" t="s">
        <v>5602</v>
      </c>
      <c r="D87" s="441" t="s">
        <v>4524</v>
      </c>
      <c r="E87" s="441" t="s">
        <v>5708</v>
      </c>
      <c r="F87" s="441" t="s">
        <v>4461</v>
      </c>
      <c r="G87" s="442" t="s">
        <v>5603</v>
      </c>
      <c r="H87" s="441">
        <v>4001.0</v>
      </c>
      <c r="I87" s="441">
        <v>40.0</v>
      </c>
      <c r="J87" s="441" t="s">
        <v>4641</v>
      </c>
      <c r="K87" s="443"/>
      <c r="L87" s="443"/>
      <c r="M87" s="443"/>
      <c r="N87" s="443"/>
      <c r="O87" s="443"/>
      <c r="P87" s="443"/>
      <c r="Q87" s="443"/>
      <c r="R87" s="443"/>
      <c r="S87" s="443"/>
      <c r="T87" s="443"/>
      <c r="U87" s="443"/>
      <c r="V87" s="443"/>
    </row>
    <row r="88">
      <c r="A88" s="441" t="s">
        <v>4800</v>
      </c>
      <c r="B88" s="441" t="s">
        <v>4801</v>
      </c>
      <c r="C88" s="441" t="s">
        <v>4803</v>
      </c>
      <c r="D88" s="441" t="s">
        <v>4802</v>
      </c>
      <c r="E88" s="441" t="s">
        <v>5709</v>
      </c>
      <c r="F88" s="441" t="s">
        <v>4556</v>
      </c>
      <c r="G88" s="442" t="s">
        <v>5603</v>
      </c>
      <c r="H88" s="441">
        <v>4002.0</v>
      </c>
      <c r="I88" s="441">
        <v>40.0</v>
      </c>
      <c r="J88" s="441" t="s">
        <v>4457</v>
      </c>
      <c r="K88" s="443"/>
      <c r="L88" s="443"/>
      <c r="M88" s="443"/>
      <c r="N88" s="443"/>
      <c r="O88" s="443"/>
      <c r="P88" s="443"/>
      <c r="Q88" s="443"/>
      <c r="R88" s="443"/>
      <c r="S88" s="443"/>
      <c r="T88" s="443"/>
      <c r="U88" s="443"/>
      <c r="V88" s="443"/>
    </row>
    <row r="89">
      <c r="A89" s="441" t="s">
        <v>5600</v>
      </c>
      <c r="B89" s="441" t="s">
        <v>5601</v>
      </c>
      <c r="C89" s="441" t="s">
        <v>5602</v>
      </c>
      <c r="D89" s="441">
        <v>0.0</v>
      </c>
      <c r="E89" s="441">
        <v>0.0</v>
      </c>
      <c r="F89" s="441">
        <v>0.0</v>
      </c>
      <c r="G89" s="442" t="s">
        <v>5603</v>
      </c>
      <c r="H89" s="441">
        <v>4003.0</v>
      </c>
      <c r="I89" s="441">
        <v>40.0</v>
      </c>
      <c r="J89" s="441" t="s">
        <v>4457</v>
      </c>
      <c r="K89" s="443"/>
      <c r="L89" s="443"/>
      <c r="M89" s="443"/>
      <c r="N89" s="443"/>
      <c r="O89" s="443"/>
      <c r="P89" s="443"/>
      <c r="Q89" s="443"/>
      <c r="R89" s="443"/>
      <c r="S89" s="443"/>
      <c r="T89" s="443"/>
      <c r="U89" s="443"/>
      <c r="V89" s="443"/>
    </row>
    <row r="90">
      <c r="A90" s="441" t="s">
        <v>5600</v>
      </c>
      <c r="B90" s="441" t="s">
        <v>5601</v>
      </c>
      <c r="C90" s="441" t="s">
        <v>5602</v>
      </c>
      <c r="D90" s="441">
        <v>0.0</v>
      </c>
      <c r="E90" s="441">
        <v>0.0</v>
      </c>
      <c r="F90" s="441">
        <v>0.0</v>
      </c>
      <c r="G90" s="442" t="s">
        <v>5603</v>
      </c>
      <c r="H90" s="441">
        <v>2304.0</v>
      </c>
      <c r="I90" s="441">
        <v>23.0</v>
      </c>
      <c r="J90" s="441" t="s">
        <v>4479</v>
      </c>
      <c r="K90" s="443"/>
      <c r="L90" s="443"/>
      <c r="M90" s="443"/>
      <c r="N90" s="443"/>
      <c r="O90" s="443"/>
      <c r="P90" s="443"/>
      <c r="Q90" s="443"/>
      <c r="R90" s="443"/>
      <c r="S90" s="443"/>
      <c r="T90" s="443"/>
      <c r="U90" s="443"/>
      <c r="V90" s="443"/>
    </row>
    <row r="91">
      <c r="A91" s="441" t="s">
        <v>5600</v>
      </c>
      <c r="B91" s="441" t="s">
        <v>5601</v>
      </c>
      <c r="C91" s="441" t="s">
        <v>5602</v>
      </c>
      <c r="D91" s="441">
        <v>0.0</v>
      </c>
      <c r="E91" s="441">
        <v>0.0</v>
      </c>
      <c r="F91" s="441">
        <v>0.0</v>
      </c>
      <c r="G91" s="442" t="s">
        <v>5603</v>
      </c>
      <c r="H91" s="441">
        <v>2305.0</v>
      </c>
      <c r="I91" s="441">
        <v>23.0</v>
      </c>
      <c r="J91" s="441" t="s">
        <v>4479</v>
      </c>
      <c r="K91" s="443"/>
      <c r="L91" s="443"/>
      <c r="M91" s="443"/>
      <c r="N91" s="443"/>
      <c r="O91" s="443"/>
      <c r="P91" s="443"/>
      <c r="Q91" s="443"/>
      <c r="R91" s="443"/>
      <c r="S91" s="443"/>
      <c r="T91" s="443"/>
      <c r="U91" s="443"/>
      <c r="V91" s="443"/>
    </row>
    <row r="92">
      <c r="A92" s="441" t="s">
        <v>5600</v>
      </c>
      <c r="B92" s="441" t="s">
        <v>5601</v>
      </c>
      <c r="C92" s="441" t="s">
        <v>5602</v>
      </c>
      <c r="D92" s="441">
        <v>0.0</v>
      </c>
      <c r="E92" s="441">
        <v>0.0</v>
      </c>
      <c r="F92" s="441">
        <v>0.0</v>
      </c>
      <c r="G92" s="442" t="s">
        <v>5603</v>
      </c>
      <c r="H92" s="441">
        <v>2306.0</v>
      </c>
      <c r="I92" s="441">
        <v>23.0</v>
      </c>
      <c r="J92" s="441" t="s">
        <v>4457</v>
      </c>
      <c r="K92" s="443"/>
      <c r="L92" s="443"/>
      <c r="M92" s="443"/>
      <c r="N92" s="443"/>
      <c r="O92" s="443"/>
      <c r="P92" s="443"/>
      <c r="Q92" s="443"/>
      <c r="R92" s="443"/>
      <c r="S92" s="443"/>
      <c r="T92" s="443"/>
      <c r="U92" s="443"/>
      <c r="V92" s="443"/>
    </row>
    <row r="93">
      <c r="A93" s="441" t="s">
        <v>5710</v>
      </c>
      <c r="B93" s="441" t="s">
        <v>5711</v>
      </c>
      <c r="C93" s="441">
        <v>0.0</v>
      </c>
      <c r="D93" s="441" t="s">
        <v>5712</v>
      </c>
      <c r="E93" s="441">
        <v>0.0</v>
      </c>
      <c r="F93" s="441" t="s">
        <v>5331</v>
      </c>
      <c r="G93" s="442" t="s">
        <v>5603</v>
      </c>
      <c r="H93" s="441">
        <v>2307.0</v>
      </c>
      <c r="I93" s="441">
        <v>23.0</v>
      </c>
      <c r="J93" s="441" t="s">
        <v>4479</v>
      </c>
      <c r="K93" s="443"/>
      <c r="L93" s="443"/>
      <c r="M93" s="443"/>
      <c r="N93" s="443"/>
      <c r="O93" s="443"/>
      <c r="P93" s="443"/>
      <c r="Q93" s="443"/>
      <c r="R93" s="443"/>
      <c r="S93" s="443"/>
      <c r="T93" s="443"/>
      <c r="U93" s="443"/>
      <c r="V93" s="443"/>
    </row>
    <row r="94">
      <c r="A94" s="441" t="s">
        <v>5600</v>
      </c>
      <c r="B94" s="441" t="s">
        <v>5601</v>
      </c>
      <c r="C94" s="441" t="s">
        <v>5602</v>
      </c>
      <c r="D94" s="441">
        <v>0.0</v>
      </c>
      <c r="E94" s="441">
        <v>0.0</v>
      </c>
      <c r="F94" s="441">
        <v>0.0</v>
      </c>
      <c r="G94" s="442" t="s">
        <v>5603</v>
      </c>
      <c r="H94" s="441">
        <v>2308.0</v>
      </c>
      <c r="I94" s="441">
        <v>23.0</v>
      </c>
      <c r="J94" s="441" t="s">
        <v>4479</v>
      </c>
      <c r="K94" s="443"/>
      <c r="L94" s="443"/>
      <c r="M94" s="443"/>
      <c r="N94" s="443"/>
      <c r="O94" s="443"/>
      <c r="P94" s="443"/>
      <c r="Q94" s="443"/>
      <c r="R94" s="443"/>
      <c r="S94" s="443"/>
      <c r="T94" s="443"/>
      <c r="U94" s="443"/>
      <c r="V94" s="443"/>
    </row>
    <row r="95">
      <c r="A95" s="441" t="s">
        <v>5713</v>
      </c>
      <c r="B95" s="441">
        <v>5.05347071E8</v>
      </c>
      <c r="C95" s="441">
        <v>0.0</v>
      </c>
      <c r="D95" s="441" t="s">
        <v>5714</v>
      </c>
      <c r="E95" s="441">
        <v>0.0</v>
      </c>
      <c r="F95" s="441" t="s">
        <v>5673</v>
      </c>
      <c r="G95" s="442" t="s">
        <v>5603</v>
      </c>
      <c r="H95" s="441">
        <v>2401.0</v>
      </c>
      <c r="I95" s="441">
        <v>24.0</v>
      </c>
      <c r="J95" s="441" t="s">
        <v>4641</v>
      </c>
      <c r="K95" s="443"/>
      <c r="L95" s="443"/>
      <c r="M95" s="443"/>
      <c r="N95" s="443"/>
      <c r="O95" s="443"/>
      <c r="P95" s="443"/>
      <c r="Q95" s="443"/>
      <c r="R95" s="443"/>
      <c r="S95" s="443"/>
      <c r="T95" s="443"/>
      <c r="U95" s="443"/>
      <c r="V95" s="443"/>
    </row>
    <row r="96">
      <c r="A96" s="441" t="s">
        <v>5600</v>
      </c>
      <c r="B96" s="441" t="s">
        <v>5601</v>
      </c>
      <c r="C96" s="441" t="s">
        <v>5602</v>
      </c>
      <c r="D96" s="441">
        <v>0.0</v>
      </c>
      <c r="E96" s="441">
        <v>0.0</v>
      </c>
      <c r="F96" s="441">
        <v>0.0</v>
      </c>
      <c r="G96" s="442" t="s">
        <v>5603</v>
      </c>
      <c r="H96" s="441">
        <v>2402.0</v>
      </c>
      <c r="I96" s="441">
        <v>24.0</v>
      </c>
      <c r="J96" s="441" t="s">
        <v>4479</v>
      </c>
      <c r="K96" s="443"/>
      <c r="L96" s="443"/>
      <c r="M96" s="443"/>
      <c r="N96" s="443"/>
      <c r="O96" s="443"/>
      <c r="P96" s="443"/>
      <c r="Q96" s="443"/>
      <c r="R96" s="443"/>
      <c r="S96" s="443"/>
      <c r="T96" s="443"/>
      <c r="U96" s="443"/>
      <c r="V96" s="443"/>
    </row>
    <row r="97">
      <c r="A97" s="441" t="s">
        <v>5715</v>
      </c>
      <c r="B97" s="441">
        <v>9.66555595953E11</v>
      </c>
      <c r="C97" s="441">
        <v>0.0</v>
      </c>
      <c r="D97" s="441">
        <v>9.66555595953E11</v>
      </c>
      <c r="E97" s="441">
        <v>0.0</v>
      </c>
      <c r="F97" s="441" t="s">
        <v>4472</v>
      </c>
      <c r="G97" s="442" t="s">
        <v>5603</v>
      </c>
      <c r="H97" s="441">
        <v>2403.0</v>
      </c>
      <c r="I97" s="441">
        <v>24.0</v>
      </c>
      <c r="J97" s="441" t="s">
        <v>4479</v>
      </c>
      <c r="K97" s="443"/>
      <c r="L97" s="443"/>
      <c r="M97" s="443"/>
      <c r="N97" s="443"/>
      <c r="O97" s="443"/>
      <c r="P97" s="443"/>
      <c r="Q97" s="443"/>
      <c r="R97" s="443"/>
      <c r="S97" s="443"/>
      <c r="T97" s="443"/>
      <c r="U97" s="443"/>
      <c r="V97" s="443"/>
    </row>
    <row r="98">
      <c r="A98" s="441" t="s">
        <v>5716</v>
      </c>
      <c r="B98" s="441">
        <v>0.0</v>
      </c>
      <c r="C98" s="441" t="s">
        <v>5717</v>
      </c>
      <c r="D98" s="441" t="s">
        <v>5718</v>
      </c>
      <c r="E98" s="441" t="s">
        <v>5719</v>
      </c>
      <c r="F98" s="441" t="s">
        <v>4472</v>
      </c>
      <c r="G98" s="442" t="s">
        <v>5603</v>
      </c>
      <c r="H98" s="441">
        <v>2404.0</v>
      </c>
      <c r="I98" s="441">
        <v>24.0</v>
      </c>
      <c r="J98" s="441" t="s">
        <v>4479</v>
      </c>
      <c r="K98" s="443"/>
      <c r="L98" s="443"/>
      <c r="M98" s="443"/>
      <c r="N98" s="443"/>
      <c r="O98" s="443"/>
      <c r="P98" s="443"/>
      <c r="Q98" s="443"/>
      <c r="R98" s="443"/>
      <c r="S98" s="443"/>
      <c r="T98" s="443"/>
      <c r="U98" s="443"/>
      <c r="V98" s="443"/>
    </row>
    <row r="99">
      <c r="A99" s="441" t="s">
        <v>5720</v>
      </c>
      <c r="B99" s="441">
        <v>0.0</v>
      </c>
      <c r="C99" s="441" t="s">
        <v>5721</v>
      </c>
      <c r="D99" s="441">
        <v>0.0</v>
      </c>
      <c r="E99" s="441" t="s">
        <v>5722</v>
      </c>
      <c r="F99" s="441" t="s">
        <v>4503</v>
      </c>
      <c r="G99" s="442" t="s">
        <v>5603</v>
      </c>
      <c r="H99" s="441">
        <v>2405.0</v>
      </c>
      <c r="I99" s="441">
        <v>24.0</v>
      </c>
      <c r="J99" s="441" t="s">
        <v>4479</v>
      </c>
      <c r="K99" s="443"/>
      <c r="L99" s="443"/>
      <c r="M99" s="443"/>
      <c r="N99" s="443"/>
      <c r="O99" s="443"/>
      <c r="P99" s="443"/>
      <c r="Q99" s="443"/>
      <c r="R99" s="443"/>
      <c r="S99" s="443"/>
      <c r="T99" s="443"/>
      <c r="U99" s="443"/>
      <c r="V99" s="443"/>
    </row>
    <row r="100">
      <c r="A100" s="441" t="s">
        <v>5716</v>
      </c>
      <c r="B100" s="441">
        <v>0.0</v>
      </c>
      <c r="C100" s="441" t="s">
        <v>5717</v>
      </c>
      <c r="D100" s="441" t="s">
        <v>5718</v>
      </c>
      <c r="E100" s="441" t="s">
        <v>5719</v>
      </c>
      <c r="F100" s="441" t="s">
        <v>4472</v>
      </c>
      <c r="G100" s="442" t="s">
        <v>5603</v>
      </c>
      <c r="H100" s="441">
        <v>2406.0</v>
      </c>
      <c r="I100" s="441">
        <v>24.0</v>
      </c>
      <c r="J100" s="441" t="s">
        <v>4457</v>
      </c>
      <c r="K100" s="443"/>
      <c r="L100" s="443"/>
      <c r="M100" s="443"/>
      <c r="N100" s="443"/>
      <c r="O100" s="443"/>
      <c r="P100" s="443"/>
      <c r="Q100" s="443"/>
      <c r="R100" s="443"/>
      <c r="S100" s="443"/>
      <c r="T100" s="443"/>
      <c r="U100" s="443"/>
      <c r="V100" s="443"/>
    </row>
    <row r="101">
      <c r="A101" s="441" t="s">
        <v>5600</v>
      </c>
      <c r="B101" s="441" t="s">
        <v>5601</v>
      </c>
      <c r="C101" s="441" t="s">
        <v>5602</v>
      </c>
      <c r="D101" s="441">
        <v>0.0</v>
      </c>
      <c r="E101" s="441">
        <v>0.0</v>
      </c>
      <c r="F101" s="441">
        <v>0.0</v>
      </c>
      <c r="G101" s="442" t="s">
        <v>5603</v>
      </c>
      <c r="H101" s="441">
        <v>2407.0</v>
      </c>
      <c r="I101" s="441">
        <v>24.0</v>
      </c>
      <c r="J101" s="441" t="s">
        <v>4479</v>
      </c>
      <c r="K101" s="443"/>
      <c r="L101" s="443"/>
      <c r="M101" s="443"/>
      <c r="N101" s="443"/>
      <c r="O101" s="443"/>
      <c r="P101" s="443"/>
      <c r="Q101" s="443"/>
      <c r="R101" s="443"/>
      <c r="S101" s="443"/>
      <c r="T101" s="443"/>
      <c r="U101" s="443"/>
      <c r="V101" s="443"/>
    </row>
    <row r="102">
      <c r="A102" s="441" t="s">
        <v>5723</v>
      </c>
      <c r="B102" s="441" t="s">
        <v>5724</v>
      </c>
      <c r="C102" s="441">
        <v>0.0</v>
      </c>
      <c r="D102" s="441" t="s">
        <v>5725</v>
      </c>
      <c r="E102" s="441">
        <v>0.0</v>
      </c>
      <c r="F102" s="441" t="s">
        <v>4461</v>
      </c>
      <c r="G102" s="442" t="s">
        <v>5603</v>
      </c>
      <c r="H102" s="441">
        <v>2408.0</v>
      </c>
      <c r="I102" s="441">
        <v>24.0</v>
      </c>
      <c r="J102" s="441" t="s">
        <v>4479</v>
      </c>
      <c r="K102" s="443"/>
      <c r="L102" s="443"/>
      <c r="M102" s="443"/>
      <c r="N102" s="443"/>
      <c r="O102" s="443"/>
      <c r="P102" s="443"/>
      <c r="Q102" s="443"/>
      <c r="R102" s="443"/>
      <c r="S102" s="443"/>
      <c r="T102" s="443"/>
      <c r="U102" s="443"/>
      <c r="V102" s="443"/>
    </row>
    <row r="103">
      <c r="A103" s="441" t="s">
        <v>5600</v>
      </c>
      <c r="B103" s="441" t="s">
        <v>5601</v>
      </c>
      <c r="C103" s="441" t="s">
        <v>5602</v>
      </c>
      <c r="D103" s="441">
        <v>0.0</v>
      </c>
      <c r="E103" s="441">
        <v>0.0</v>
      </c>
      <c r="F103" s="441">
        <v>0.0</v>
      </c>
      <c r="G103" s="442" t="s">
        <v>5603</v>
      </c>
      <c r="H103" s="441">
        <v>2501.0</v>
      </c>
      <c r="I103" s="441">
        <v>25.0</v>
      </c>
      <c r="J103" s="441" t="s">
        <v>4641</v>
      </c>
      <c r="K103" s="443"/>
      <c r="L103" s="443"/>
      <c r="M103" s="443"/>
      <c r="N103" s="443"/>
      <c r="O103" s="443"/>
      <c r="P103" s="443"/>
      <c r="Q103" s="443"/>
      <c r="R103" s="443"/>
      <c r="S103" s="443"/>
      <c r="T103" s="443"/>
      <c r="U103" s="443"/>
      <c r="V103" s="443"/>
    </row>
    <row r="104">
      <c r="A104" s="441" t="s">
        <v>5600</v>
      </c>
      <c r="B104" s="441" t="s">
        <v>5601</v>
      </c>
      <c r="C104" s="441" t="s">
        <v>5602</v>
      </c>
      <c r="D104" s="441">
        <v>0.0</v>
      </c>
      <c r="E104" s="441">
        <v>0.0</v>
      </c>
      <c r="F104" s="441">
        <v>0.0</v>
      </c>
      <c r="G104" s="442" t="s">
        <v>5603</v>
      </c>
      <c r="H104" s="441">
        <v>2502.0</v>
      </c>
      <c r="I104" s="441">
        <v>25.0</v>
      </c>
      <c r="J104" s="441" t="s">
        <v>4457</v>
      </c>
      <c r="K104" s="443"/>
      <c r="L104" s="443"/>
      <c r="M104" s="443"/>
      <c r="N104" s="443"/>
      <c r="O104" s="443"/>
      <c r="P104" s="443"/>
      <c r="Q104" s="443"/>
      <c r="R104" s="443"/>
      <c r="S104" s="443"/>
      <c r="T104" s="443"/>
      <c r="U104" s="443"/>
      <c r="V104" s="443"/>
    </row>
    <row r="105">
      <c r="A105" s="441" t="s">
        <v>5600</v>
      </c>
      <c r="B105" s="441" t="s">
        <v>5601</v>
      </c>
      <c r="C105" s="441" t="s">
        <v>5602</v>
      </c>
      <c r="D105" s="441">
        <v>0.0</v>
      </c>
      <c r="E105" s="441">
        <v>0.0</v>
      </c>
      <c r="F105" s="441">
        <v>0.0</v>
      </c>
      <c r="G105" s="442" t="s">
        <v>5603</v>
      </c>
      <c r="H105" s="441">
        <v>2503.0</v>
      </c>
      <c r="I105" s="441">
        <v>25.0</v>
      </c>
      <c r="J105" s="441" t="s">
        <v>4457</v>
      </c>
      <c r="K105" s="443"/>
      <c r="L105" s="443"/>
      <c r="M105" s="443"/>
      <c r="N105" s="443"/>
      <c r="O105" s="443"/>
      <c r="P105" s="443"/>
      <c r="Q105" s="443"/>
      <c r="R105" s="443"/>
      <c r="S105" s="443"/>
      <c r="T105" s="443"/>
      <c r="U105" s="443"/>
      <c r="V105" s="443"/>
    </row>
    <row r="106">
      <c r="A106" s="441" t="s">
        <v>5600</v>
      </c>
      <c r="B106" s="441" t="s">
        <v>5601</v>
      </c>
      <c r="C106" s="441" t="s">
        <v>5602</v>
      </c>
      <c r="D106" s="441">
        <v>0.0</v>
      </c>
      <c r="E106" s="441">
        <v>0.0</v>
      </c>
      <c r="F106" s="441">
        <v>0.0</v>
      </c>
      <c r="G106" s="442" t="s">
        <v>5603</v>
      </c>
      <c r="H106" s="441">
        <v>2504.0</v>
      </c>
      <c r="I106" s="441">
        <v>25.0</v>
      </c>
      <c r="J106" s="441" t="s">
        <v>4479</v>
      </c>
      <c r="K106" s="443"/>
      <c r="L106" s="443"/>
      <c r="M106" s="443"/>
      <c r="N106" s="443"/>
      <c r="O106" s="443"/>
      <c r="P106" s="443"/>
      <c r="Q106" s="443"/>
      <c r="R106" s="443"/>
      <c r="S106" s="443"/>
      <c r="T106" s="443"/>
      <c r="U106" s="443"/>
      <c r="V106" s="443"/>
    </row>
    <row r="107">
      <c r="A107" s="441" t="s">
        <v>5600</v>
      </c>
      <c r="B107" s="441" t="s">
        <v>5601</v>
      </c>
      <c r="C107" s="441" t="s">
        <v>5602</v>
      </c>
      <c r="D107" s="441">
        <v>0.0</v>
      </c>
      <c r="E107" s="441">
        <v>0.0</v>
      </c>
      <c r="F107" s="441">
        <v>0.0</v>
      </c>
      <c r="G107" s="442" t="s">
        <v>5603</v>
      </c>
      <c r="H107" s="441">
        <v>2505.0</v>
      </c>
      <c r="I107" s="441">
        <v>25.0</v>
      </c>
      <c r="J107" s="441" t="s">
        <v>4479</v>
      </c>
      <c r="K107" s="443"/>
      <c r="L107" s="443"/>
      <c r="M107" s="443"/>
      <c r="N107" s="443"/>
      <c r="O107" s="443"/>
      <c r="P107" s="443"/>
      <c r="Q107" s="443"/>
      <c r="R107" s="443"/>
      <c r="S107" s="443"/>
      <c r="T107" s="443"/>
      <c r="U107" s="443"/>
      <c r="V107" s="443"/>
    </row>
    <row r="108">
      <c r="A108" s="441" t="s">
        <v>5600</v>
      </c>
      <c r="B108" s="441" t="s">
        <v>5601</v>
      </c>
      <c r="C108" s="441" t="s">
        <v>5602</v>
      </c>
      <c r="D108" s="441">
        <v>0.0</v>
      </c>
      <c r="E108" s="441">
        <v>0.0</v>
      </c>
      <c r="F108" s="441">
        <v>0.0</v>
      </c>
      <c r="G108" s="442" t="s">
        <v>5603</v>
      </c>
      <c r="H108" s="441">
        <v>2506.0</v>
      </c>
      <c r="I108" s="441">
        <v>25.0</v>
      </c>
      <c r="J108" s="441" t="s">
        <v>4457</v>
      </c>
      <c r="K108" s="443"/>
      <c r="L108" s="443"/>
      <c r="M108" s="443"/>
      <c r="N108" s="443"/>
      <c r="O108" s="443"/>
      <c r="P108" s="443"/>
      <c r="Q108" s="443"/>
      <c r="R108" s="443"/>
      <c r="S108" s="443"/>
      <c r="T108" s="443"/>
      <c r="U108" s="443"/>
      <c r="V108" s="443"/>
    </row>
    <row r="109">
      <c r="A109" s="441" t="s">
        <v>5600</v>
      </c>
      <c r="B109" s="441" t="s">
        <v>5601</v>
      </c>
      <c r="C109" s="441" t="s">
        <v>5602</v>
      </c>
      <c r="D109" s="441">
        <v>0.0</v>
      </c>
      <c r="E109" s="441">
        <v>0.0</v>
      </c>
      <c r="F109" s="441">
        <v>0.0</v>
      </c>
      <c r="G109" s="442" t="s">
        <v>5603</v>
      </c>
      <c r="H109" s="441">
        <v>2507.0</v>
      </c>
      <c r="I109" s="441">
        <v>25.0</v>
      </c>
      <c r="J109" s="441" t="s">
        <v>4457</v>
      </c>
      <c r="K109" s="443"/>
      <c r="L109" s="443"/>
      <c r="M109" s="443"/>
      <c r="N109" s="443"/>
      <c r="O109" s="443"/>
      <c r="P109" s="443"/>
      <c r="Q109" s="443"/>
      <c r="R109" s="443"/>
      <c r="S109" s="443"/>
      <c r="T109" s="443"/>
      <c r="U109" s="443"/>
      <c r="V109" s="443"/>
    </row>
    <row r="110">
      <c r="A110" s="441" t="s">
        <v>5600</v>
      </c>
      <c r="B110" s="441" t="s">
        <v>5601</v>
      </c>
      <c r="C110" s="441" t="s">
        <v>5602</v>
      </c>
      <c r="D110" s="441">
        <v>0.0</v>
      </c>
      <c r="E110" s="441">
        <v>0.0</v>
      </c>
      <c r="F110" s="441">
        <v>0.0</v>
      </c>
      <c r="G110" s="442" t="s">
        <v>5603</v>
      </c>
      <c r="H110" s="441">
        <v>2508.0</v>
      </c>
      <c r="I110" s="441">
        <v>25.0</v>
      </c>
      <c r="J110" s="441" t="s">
        <v>4641</v>
      </c>
      <c r="K110" s="443"/>
      <c r="L110" s="443"/>
      <c r="M110" s="443"/>
      <c r="N110" s="443"/>
      <c r="O110" s="443"/>
      <c r="P110" s="443"/>
      <c r="Q110" s="443"/>
      <c r="R110" s="443"/>
      <c r="S110" s="443"/>
      <c r="T110" s="443"/>
      <c r="U110" s="443"/>
      <c r="V110" s="443"/>
    </row>
    <row r="111">
      <c r="A111" s="441" t="s">
        <v>5726</v>
      </c>
      <c r="B111" s="441">
        <v>5.07097019E8</v>
      </c>
      <c r="C111" s="441">
        <v>0.0</v>
      </c>
      <c r="D111" s="441">
        <v>5.07097019E8</v>
      </c>
      <c r="E111" s="441">
        <v>0.0</v>
      </c>
      <c r="F111" s="441" t="s">
        <v>4472</v>
      </c>
      <c r="G111" s="442" t="s">
        <v>5603</v>
      </c>
      <c r="H111" s="441">
        <v>2601.0</v>
      </c>
      <c r="I111" s="441">
        <v>26.0</v>
      </c>
      <c r="J111" s="441" t="s">
        <v>4641</v>
      </c>
      <c r="K111" s="443"/>
      <c r="L111" s="443"/>
      <c r="M111" s="443"/>
      <c r="N111" s="443"/>
      <c r="O111" s="443"/>
      <c r="P111" s="443"/>
      <c r="Q111" s="443"/>
      <c r="R111" s="443"/>
      <c r="S111" s="443"/>
      <c r="T111" s="443"/>
      <c r="U111" s="443"/>
      <c r="V111" s="443"/>
    </row>
    <row r="112">
      <c r="A112" s="441" t="e">
        <v>#N/A</v>
      </c>
      <c r="B112" s="441" t="e">
        <v>#N/A</v>
      </c>
      <c r="C112" s="441" t="e">
        <v>#N/A</v>
      </c>
      <c r="D112" s="441" t="e">
        <v>#N/A</v>
      </c>
      <c r="E112" s="441" t="e">
        <v>#N/A</v>
      </c>
      <c r="F112" s="441" t="e">
        <v>#N/A</v>
      </c>
      <c r="G112" s="442" t="s">
        <v>5603</v>
      </c>
      <c r="H112" s="445"/>
      <c r="I112" s="441">
        <v>55.0</v>
      </c>
      <c r="J112" s="445"/>
      <c r="K112" s="443"/>
      <c r="L112" s="443"/>
      <c r="M112" s="443"/>
      <c r="N112" s="443"/>
      <c r="O112" s="443"/>
      <c r="P112" s="443"/>
      <c r="Q112" s="443"/>
      <c r="R112" s="443"/>
      <c r="S112" s="443"/>
      <c r="T112" s="443"/>
      <c r="U112" s="443"/>
      <c r="V112" s="443"/>
    </row>
    <row r="113">
      <c r="A113" s="441" t="s">
        <v>5600</v>
      </c>
      <c r="B113" s="441" t="s">
        <v>5601</v>
      </c>
      <c r="C113" s="441" t="s">
        <v>5602</v>
      </c>
      <c r="D113" s="441">
        <v>0.0</v>
      </c>
      <c r="E113" s="441">
        <v>0.0</v>
      </c>
      <c r="F113" s="441">
        <v>0.0</v>
      </c>
      <c r="G113" s="442" t="s">
        <v>5603</v>
      </c>
      <c r="H113" s="441" t="s">
        <v>5727</v>
      </c>
      <c r="I113" s="441" t="s">
        <v>5728</v>
      </c>
      <c r="J113" s="445"/>
      <c r="K113" s="443"/>
      <c r="L113" s="443"/>
      <c r="M113" s="443"/>
      <c r="N113" s="443"/>
      <c r="O113" s="443"/>
      <c r="P113" s="443"/>
      <c r="Q113" s="443"/>
      <c r="R113" s="443"/>
      <c r="S113" s="443"/>
      <c r="T113" s="443"/>
      <c r="U113" s="443"/>
      <c r="V113" s="443"/>
    </row>
    <row r="114">
      <c r="A114" s="441" t="s">
        <v>5600</v>
      </c>
      <c r="B114" s="441" t="s">
        <v>5601</v>
      </c>
      <c r="C114" s="441" t="s">
        <v>5602</v>
      </c>
      <c r="D114" s="441">
        <v>0.0</v>
      </c>
      <c r="E114" s="441">
        <v>0.0</v>
      </c>
      <c r="F114" s="441">
        <v>0.0</v>
      </c>
      <c r="G114" s="442" t="s">
        <v>5603</v>
      </c>
      <c r="H114" s="441" t="s">
        <v>5729</v>
      </c>
      <c r="I114" s="441" t="s">
        <v>5307</v>
      </c>
      <c r="J114" s="445"/>
      <c r="K114" s="443"/>
      <c r="L114" s="443"/>
      <c r="M114" s="443"/>
      <c r="N114" s="443"/>
      <c r="O114" s="443"/>
      <c r="P114" s="443"/>
      <c r="Q114" s="443"/>
      <c r="R114" s="443"/>
      <c r="S114" s="443"/>
      <c r="T114" s="443"/>
      <c r="U114" s="443"/>
      <c r="V114" s="443"/>
    </row>
    <row r="115">
      <c r="A115" s="441" t="s">
        <v>5600</v>
      </c>
      <c r="B115" s="441" t="s">
        <v>5601</v>
      </c>
      <c r="C115" s="441" t="s">
        <v>5602</v>
      </c>
      <c r="D115" s="441">
        <v>0.0</v>
      </c>
      <c r="E115" s="441">
        <v>0.0</v>
      </c>
      <c r="F115" s="441">
        <v>0.0</v>
      </c>
      <c r="G115" s="442" t="s">
        <v>5603</v>
      </c>
      <c r="H115" s="441" t="s">
        <v>5730</v>
      </c>
      <c r="I115" s="441" t="s">
        <v>5307</v>
      </c>
      <c r="J115" s="445"/>
      <c r="K115" s="443"/>
      <c r="L115" s="443"/>
      <c r="M115" s="443"/>
      <c r="N115" s="443"/>
      <c r="O115" s="443"/>
      <c r="P115" s="443"/>
      <c r="Q115" s="443"/>
      <c r="R115" s="443"/>
      <c r="S115" s="443"/>
      <c r="T115" s="443"/>
      <c r="U115" s="443"/>
      <c r="V115" s="443"/>
    </row>
    <row r="116">
      <c r="A116" s="441" t="s">
        <v>5600</v>
      </c>
      <c r="B116" s="441" t="s">
        <v>5601</v>
      </c>
      <c r="C116" s="441" t="s">
        <v>5602</v>
      </c>
      <c r="D116" s="441">
        <v>0.0</v>
      </c>
      <c r="E116" s="441">
        <v>0.0</v>
      </c>
      <c r="F116" s="441">
        <v>0.0</v>
      </c>
      <c r="G116" s="442" t="s">
        <v>5603</v>
      </c>
      <c r="H116" s="441" t="s">
        <v>5731</v>
      </c>
      <c r="I116" s="441">
        <v>2.0</v>
      </c>
      <c r="J116" s="445"/>
      <c r="K116" s="443"/>
      <c r="L116" s="443"/>
      <c r="M116" s="443"/>
      <c r="N116" s="443"/>
      <c r="O116" s="443"/>
      <c r="P116" s="443"/>
      <c r="Q116" s="443"/>
      <c r="R116" s="443"/>
      <c r="S116" s="443"/>
      <c r="T116" s="443"/>
      <c r="U116" s="443"/>
      <c r="V116" s="443"/>
    </row>
    <row r="117">
      <c r="A117" s="441" t="s">
        <v>5600</v>
      </c>
      <c r="B117" s="441" t="s">
        <v>5601</v>
      </c>
      <c r="C117" s="441" t="s">
        <v>5602</v>
      </c>
      <c r="D117" s="441">
        <v>0.0</v>
      </c>
      <c r="E117" s="441">
        <v>0.0</v>
      </c>
      <c r="F117" s="441">
        <v>0.0</v>
      </c>
      <c r="G117" s="442" t="s">
        <v>5603</v>
      </c>
      <c r="H117" s="441" t="s">
        <v>5732</v>
      </c>
      <c r="I117" s="441">
        <v>6.0</v>
      </c>
      <c r="J117" s="445"/>
      <c r="K117" s="443"/>
      <c r="L117" s="443"/>
      <c r="M117" s="443"/>
      <c r="N117" s="443"/>
      <c r="O117" s="443"/>
      <c r="P117" s="443"/>
      <c r="Q117" s="443"/>
      <c r="R117" s="443"/>
      <c r="S117" s="443"/>
      <c r="T117" s="443"/>
      <c r="U117" s="443"/>
      <c r="V117" s="443"/>
    </row>
    <row r="118">
      <c r="A118" s="441" t="s">
        <v>5733</v>
      </c>
      <c r="B118" s="441" t="s">
        <v>5734</v>
      </c>
      <c r="C118" s="441" t="s">
        <v>5735</v>
      </c>
      <c r="D118" s="441" t="s">
        <v>5736</v>
      </c>
      <c r="E118" s="441" t="s">
        <v>5734</v>
      </c>
      <c r="F118" s="441" t="s">
        <v>5737</v>
      </c>
      <c r="G118" s="442" t="s">
        <v>5603</v>
      </c>
      <c r="H118" s="441">
        <v>201.0</v>
      </c>
      <c r="I118" s="441">
        <v>2.0</v>
      </c>
      <c r="J118" s="441" t="s">
        <v>4457</v>
      </c>
      <c r="K118" s="443"/>
      <c r="L118" s="443"/>
      <c r="M118" s="443"/>
      <c r="N118" s="443"/>
      <c r="O118" s="443"/>
      <c r="P118" s="443"/>
      <c r="Q118" s="443"/>
      <c r="R118" s="443"/>
      <c r="S118" s="443"/>
      <c r="T118" s="443"/>
      <c r="U118" s="443"/>
      <c r="V118" s="443"/>
    </row>
    <row r="119">
      <c r="A119" s="441" t="s">
        <v>5738</v>
      </c>
      <c r="B119" s="441" t="s">
        <v>5739</v>
      </c>
      <c r="C119" s="441">
        <v>0.0</v>
      </c>
      <c r="D119" s="441" t="s">
        <v>5740</v>
      </c>
      <c r="E119" s="441">
        <v>0.0</v>
      </c>
      <c r="F119" s="441" t="s">
        <v>5741</v>
      </c>
      <c r="G119" s="442" t="s">
        <v>5603</v>
      </c>
      <c r="H119" s="441">
        <v>202.0</v>
      </c>
      <c r="I119" s="441">
        <v>2.0</v>
      </c>
      <c r="J119" s="441" t="s">
        <v>4457</v>
      </c>
      <c r="K119" s="443"/>
      <c r="L119" s="443"/>
      <c r="M119" s="443"/>
      <c r="N119" s="443"/>
      <c r="O119" s="443"/>
      <c r="P119" s="443"/>
      <c r="Q119" s="443"/>
      <c r="R119" s="443"/>
      <c r="S119" s="443"/>
      <c r="T119" s="443"/>
      <c r="U119" s="443"/>
      <c r="V119" s="443"/>
    </row>
    <row r="120">
      <c r="A120" s="441" t="s">
        <v>5600</v>
      </c>
      <c r="B120" s="441" t="s">
        <v>5601</v>
      </c>
      <c r="C120" s="441" t="s">
        <v>5602</v>
      </c>
      <c r="D120" s="441">
        <v>0.0</v>
      </c>
      <c r="E120" s="441">
        <v>0.0</v>
      </c>
      <c r="F120" s="441">
        <v>0.0</v>
      </c>
      <c r="G120" s="442" t="s">
        <v>5603</v>
      </c>
      <c r="H120" s="441">
        <v>203.0</v>
      </c>
      <c r="I120" s="441">
        <v>2.0</v>
      </c>
      <c r="J120" s="441" t="s">
        <v>4457</v>
      </c>
      <c r="K120" s="443"/>
      <c r="L120" s="443"/>
      <c r="M120" s="443"/>
      <c r="N120" s="443"/>
      <c r="O120" s="443"/>
      <c r="P120" s="443"/>
      <c r="Q120" s="443"/>
      <c r="R120" s="443"/>
      <c r="S120" s="443"/>
      <c r="T120" s="443"/>
      <c r="U120" s="443"/>
      <c r="V120" s="443"/>
    </row>
    <row r="121">
      <c r="A121" s="441" t="s">
        <v>5645</v>
      </c>
      <c r="B121" s="441" t="s">
        <v>5646</v>
      </c>
      <c r="C121" s="441">
        <v>0.0</v>
      </c>
      <c r="D121" s="441">
        <v>0.0</v>
      </c>
      <c r="E121" s="441">
        <v>0.0</v>
      </c>
      <c r="F121" s="441" t="s">
        <v>4517</v>
      </c>
      <c r="G121" s="442" t="s">
        <v>5603</v>
      </c>
      <c r="H121" s="441">
        <v>204.0</v>
      </c>
      <c r="I121" s="441">
        <v>2.0</v>
      </c>
      <c r="J121" s="441" t="s">
        <v>4457</v>
      </c>
      <c r="K121" s="443"/>
      <c r="L121" s="443"/>
      <c r="M121" s="443"/>
      <c r="N121" s="443"/>
      <c r="O121" s="443"/>
      <c r="P121" s="443"/>
      <c r="Q121" s="443"/>
      <c r="R121" s="443"/>
      <c r="S121" s="443"/>
      <c r="T121" s="443"/>
      <c r="U121" s="443"/>
      <c r="V121" s="443"/>
    </row>
    <row r="122">
      <c r="A122" s="441" t="s">
        <v>5600</v>
      </c>
      <c r="B122" s="441" t="s">
        <v>5601</v>
      </c>
      <c r="C122" s="441" t="s">
        <v>5602</v>
      </c>
      <c r="D122" s="441">
        <v>0.0</v>
      </c>
      <c r="E122" s="441">
        <v>0.0</v>
      </c>
      <c r="F122" s="441">
        <v>0.0</v>
      </c>
      <c r="G122" s="442" t="s">
        <v>5603</v>
      </c>
      <c r="H122" s="441">
        <v>2704.0</v>
      </c>
      <c r="I122" s="441">
        <v>27.0</v>
      </c>
      <c r="J122" s="441" t="s">
        <v>4479</v>
      </c>
      <c r="K122" s="443"/>
      <c r="L122" s="443"/>
      <c r="M122" s="443"/>
      <c r="N122" s="443"/>
      <c r="O122" s="443"/>
      <c r="P122" s="443"/>
      <c r="Q122" s="443"/>
      <c r="R122" s="443"/>
      <c r="S122" s="443"/>
      <c r="T122" s="443"/>
      <c r="U122" s="443"/>
      <c r="V122" s="443"/>
    </row>
    <row r="123">
      <c r="A123" s="441" t="s">
        <v>5600</v>
      </c>
      <c r="B123" s="441" t="s">
        <v>5601</v>
      </c>
      <c r="C123" s="441" t="s">
        <v>5602</v>
      </c>
      <c r="D123" s="441">
        <v>0.0</v>
      </c>
      <c r="E123" s="441">
        <v>0.0</v>
      </c>
      <c r="F123" s="441">
        <v>0.0</v>
      </c>
      <c r="G123" s="442" t="s">
        <v>5603</v>
      </c>
      <c r="H123" s="441">
        <v>2705.0</v>
      </c>
      <c r="I123" s="441">
        <v>27.0</v>
      </c>
      <c r="J123" s="441" t="s">
        <v>4457</v>
      </c>
      <c r="K123" s="443"/>
      <c r="L123" s="443"/>
      <c r="M123" s="443"/>
      <c r="N123" s="443"/>
      <c r="O123" s="443"/>
      <c r="P123" s="443"/>
      <c r="Q123" s="443"/>
      <c r="R123" s="443"/>
      <c r="S123" s="443"/>
      <c r="T123" s="443"/>
      <c r="U123" s="443"/>
      <c r="V123" s="443"/>
    </row>
    <row r="124">
      <c r="A124" s="441" t="s">
        <v>5600</v>
      </c>
      <c r="B124" s="441" t="s">
        <v>5601</v>
      </c>
      <c r="C124" s="441" t="s">
        <v>5602</v>
      </c>
      <c r="D124" s="441">
        <v>0.0</v>
      </c>
      <c r="E124" s="441">
        <v>0.0</v>
      </c>
      <c r="F124" s="441">
        <v>0.0</v>
      </c>
      <c r="G124" s="442" t="s">
        <v>5603</v>
      </c>
      <c r="H124" s="441">
        <v>2706.0</v>
      </c>
      <c r="I124" s="441">
        <v>27.0</v>
      </c>
      <c r="J124" s="441" t="s">
        <v>4457</v>
      </c>
      <c r="K124" s="443"/>
      <c r="L124" s="443"/>
      <c r="M124" s="443"/>
      <c r="N124" s="443"/>
      <c r="O124" s="443"/>
      <c r="P124" s="443"/>
      <c r="Q124" s="443"/>
      <c r="R124" s="443"/>
      <c r="S124" s="443"/>
      <c r="T124" s="443"/>
      <c r="U124" s="443"/>
      <c r="V124" s="443"/>
    </row>
    <row r="125">
      <c r="A125" s="441" t="s">
        <v>5600</v>
      </c>
      <c r="B125" s="441" t="s">
        <v>5601</v>
      </c>
      <c r="C125" s="441" t="s">
        <v>5602</v>
      </c>
      <c r="D125" s="441">
        <v>0.0</v>
      </c>
      <c r="E125" s="441">
        <v>0.0</v>
      </c>
      <c r="F125" s="441">
        <v>0.0</v>
      </c>
      <c r="G125" s="442" t="s">
        <v>5603</v>
      </c>
      <c r="H125" s="441">
        <v>2707.0</v>
      </c>
      <c r="I125" s="441">
        <v>27.0</v>
      </c>
      <c r="J125" s="441" t="s">
        <v>4457</v>
      </c>
      <c r="K125" s="443"/>
      <c r="L125" s="443"/>
      <c r="M125" s="443"/>
      <c r="N125" s="443"/>
      <c r="O125" s="443"/>
      <c r="P125" s="443"/>
      <c r="Q125" s="443"/>
      <c r="R125" s="443"/>
      <c r="S125" s="443"/>
      <c r="T125" s="443"/>
      <c r="U125" s="443"/>
      <c r="V125" s="443"/>
    </row>
    <row r="126">
      <c r="A126" s="441" t="s">
        <v>5600</v>
      </c>
      <c r="B126" s="441" t="s">
        <v>5601</v>
      </c>
      <c r="C126" s="441" t="s">
        <v>5602</v>
      </c>
      <c r="D126" s="441">
        <v>0.0</v>
      </c>
      <c r="E126" s="441">
        <v>0.0</v>
      </c>
      <c r="F126" s="441">
        <v>0.0</v>
      </c>
      <c r="G126" s="442" t="s">
        <v>5603</v>
      </c>
      <c r="H126" s="441">
        <v>2708.0</v>
      </c>
      <c r="I126" s="441">
        <v>27.0</v>
      </c>
      <c r="J126" s="441" t="s">
        <v>4641</v>
      </c>
      <c r="K126" s="443"/>
      <c r="L126" s="443"/>
      <c r="M126" s="443"/>
      <c r="N126" s="443"/>
      <c r="O126" s="443"/>
      <c r="P126" s="443"/>
      <c r="Q126" s="443"/>
      <c r="R126" s="443"/>
      <c r="S126" s="443"/>
      <c r="T126" s="443"/>
      <c r="U126" s="443"/>
      <c r="V126" s="443"/>
    </row>
    <row r="127">
      <c r="A127" s="441" t="s">
        <v>5742</v>
      </c>
      <c r="B127" s="441">
        <v>0.0</v>
      </c>
      <c r="C127" s="441" t="s">
        <v>5743</v>
      </c>
      <c r="D127" s="441" t="s">
        <v>5744</v>
      </c>
      <c r="E127" s="441" t="s">
        <v>5745</v>
      </c>
      <c r="F127" s="441" t="s">
        <v>4955</v>
      </c>
      <c r="G127" s="442" t="s">
        <v>5603</v>
      </c>
      <c r="H127" s="441">
        <v>2801.0</v>
      </c>
      <c r="I127" s="441">
        <v>28.0</v>
      </c>
      <c r="J127" s="441" t="s">
        <v>4641</v>
      </c>
      <c r="K127" s="443"/>
      <c r="L127" s="443"/>
      <c r="M127" s="443"/>
      <c r="N127" s="443"/>
      <c r="O127" s="443"/>
      <c r="P127" s="443"/>
      <c r="Q127" s="443"/>
      <c r="R127" s="443"/>
      <c r="S127" s="443"/>
      <c r="T127" s="443"/>
      <c r="U127" s="443"/>
      <c r="V127" s="443"/>
    </row>
    <row r="128">
      <c r="A128" s="441" t="s">
        <v>5746</v>
      </c>
      <c r="B128" s="441">
        <v>0.0</v>
      </c>
      <c r="C128" s="441" t="s">
        <v>5747</v>
      </c>
      <c r="D128" s="441" t="s">
        <v>5748</v>
      </c>
      <c r="E128" s="441" t="s">
        <v>5749</v>
      </c>
      <c r="F128" s="441" t="s">
        <v>4503</v>
      </c>
      <c r="G128" s="442" t="s">
        <v>5603</v>
      </c>
      <c r="H128" s="441">
        <v>2802.0</v>
      </c>
      <c r="I128" s="441">
        <v>28.0</v>
      </c>
      <c r="J128" s="441" t="s">
        <v>4457</v>
      </c>
      <c r="K128" s="443"/>
      <c r="L128" s="443"/>
      <c r="M128" s="443"/>
      <c r="N128" s="443"/>
      <c r="O128" s="443"/>
      <c r="P128" s="443"/>
      <c r="Q128" s="443"/>
      <c r="R128" s="443"/>
      <c r="S128" s="443"/>
      <c r="T128" s="443"/>
      <c r="U128" s="443"/>
      <c r="V128" s="443"/>
    </row>
    <row r="129">
      <c r="A129" s="441" t="s">
        <v>5750</v>
      </c>
      <c r="B129" s="441" t="s">
        <v>5751</v>
      </c>
      <c r="C129" s="441">
        <v>0.0</v>
      </c>
      <c r="D129" s="441" t="s">
        <v>5752</v>
      </c>
      <c r="E129" s="441">
        <v>0.0</v>
      </c>
      <c r="F129" s="441" t="s">
        <v>4461</v>
      </c>
      <c r="G129" s="442" t="s">
        <v>5603</v>
      </c>
      <c r="H129" s="441">
        <v>2803.0</v>
      </c>
      <c r="I129" s="441">
        <v>28.0</v>
      </c>
      <c r="J129" s="441" t="s">
        <v>4457</v>
      </c>
      <c r="K129" s="443"/>
      <c r="L129" s="443"/>
      <c r="M129" s="443"/>
      <c r="N129" s="443"/>
      <c r="O129" s="443"/>
      <c r="P129" s="443"/>
      <c r="Q129" s="443"/>
      <c r="R129" s="443"/>
      <c r="S129" s="443"/>
      <c r="T129" s="443"/>
      <c r="U129" s="443"/>
      <c r="V129" s="443"/>
    </row>
    <row r="130">
      <c r="A130" s="441" t="s">
        <v>5753</v>
      </c>
      <c r="B130" s="441">
        <v>0.0</v>
      </c>
      <c r="C130" s="441">
        <v>0.0</v>
      </c>
      <c r="D130" s="441" t="s">
        <v>5754</v>
      </c>
      <c r="E130" s="441" t="s">
        <v>5755</v>
      </c>
      <c r="F130" s="441" t="s">
        <v>5756</v>
      </c>
      <c r="G130" s="442" t="s">
        <v>5603</v>
      </c>
      <c r="H130" s="441">
        <v>2804.0</v>
      </c>
      <c r="I130" s="441">
        <v>28.0</v>
      </c>
      <c r="J130" s="441" t="s">
        <v>4479</v>
      </c>
      <c r="K130" s="443"/>
      <c r="L130" s="443"/>
      <c r="M130" s="443"/>
      <c r="N130" s="443"/>
      <c r="O130" s="443"/>
      <c r="P130" s="443"/>
      <c r="Q130" s="443"/>
      <c r="R130" s="443"/>
      <c r="S130" s="443"/>
      <c r="T130" s="443"/>
      <c r="U130" s="443"/>
      <c r="V130" s="443"/>
    </row>
    <row r="131">
      <c r="A131" s="441" t="s">
        <v>5757</v>
      </c>
      <c r="B131" s="441" t="s">
        <v>5758</v>
      </c>
      <c r="C131" s="441" t="s">
        <v>5759</v>
      </c>
      <c r="D131" s="441" t="s">
        <v>5760</v>
      </c>
      <c r="E131" s="441" t="s">
        <v>5761</v>
      </c>
      <c r="F131" s="441" t="s">
        <v>4550</v>
      </c>
      <c r="G131" s="442" t="s">
        <v>5603</v>
      </c>
      <c r="H131" s="441">
        <v>2805.0</v>
      </c>
      <c r="I131" s="441">
        <v>28.0</v>
      </c>
      <c r="J131" s="441" t="s">
        <v>4457</v>
      </c>
      <c r="K131" s="443"/>
      <c r="L131" s="443"/>
      <c r="M131" s="443"/>
      <c r="N131" s="443"/>
      <c r="O131" s="443"/>
      <c r="P131" s="443"/>
      <c r="Q131" s="443"/>
      <c r="R131" s="443"/>
      <c r="S131" s="443"/>
      <c r="T131" s="443"/>
      <c r="U131" s="443"/>
      <c r="V131" s="443"/>
    </row>
    <row r="132">
      <c r="A132" s="441" t="s">
        <v>5762</v>
      </c>
      <c r="B132" s="441" t="s">
        <v>5763</v>
      </c>
      <c r="C132" s="441" t="s">
        <v>5764</v>
      </c>
      <c r="D132" s="441" t="s">
        <v>5765</v>
      </c>
      <c r="E132" s="441" t="s">
        <v>5766</v>
      </c>
      <c r="F132" s="441" t="s">
        <v>4852</v>
      </c>
      <c r="G132" s="442" t="s">
        <v>5603</v>
      </c>
      <c r="H132" s="441">
        <v>2806.0</v>
      </c>
      <c r="I132" s="441">
        <v>28.0</v>
      </c>
      <c r="J132" s="441" t="s">
        <v>4457</v>
      </c>
      <c r="K132" s="443"/>
      <c r="L132" s="443"/>
      <c r="M132" s="443"/>
      <c r="N132" s="443"/>
      <c r="O132" s="443"/>
      <c r="P132" s="443"/>
      <c r="Q132" s="443"/>
      <c r="R132" s="443"/>
      <c r="S132" s="443"/>
      <c r="T132" s="443"/>
      <c r="U132" s="443"/>
      <c r="V132" s="443"/>
    </row>
    <row r="133">
      <c r="A133" s="441" t="s">
        <v>5746</v>
      </c>
      <c r="B133" s="441">
        <v>0.0</v>
      </c>
      <c r="C133" s="441" t="s">
        <v>5747</v>
      </c>
      <c r="D133" s="441" t="s">
        <v>5748</v>
      </c>
      <c r="E133" s="441" t="s">
        <v>5749</v>
      </c>
      <c r="F133" s="441" t="s">
        <v>4503</v>
      </c>
      <c r="G133" s="442" t="s">
        <v>5603</v>
      </c>
      <c r="H133" s="441">
        <v>2807.0</v>
      </c>
      <c r="I133" s="441">
        <v>28.0</v>
      </c>
      <c r="J133" s="441" t="s">
        <v>4457</v>
      </c>
      <c r="K133" s="443"/>
      <c r="L133" s="443"/>
      <c r="M133" s="443"/>
      <c r="N133" s="443"/>
      <c r="O133" s="443"/>
      <c r="P133" s="443"/>
      <c r="Q133" s="443"/>
      <c r="R133" s="443"/>
      <c r="S133" s="443"/>
      <c r="T133" s="443"/>
      <c r="U133" s="443"/>
      <c r="V133" s="443"/>
    </row>
    <row r="134">
      <c r="A134" s="441" t="s">
        <v>5767</v>
      </c>
      <c r="B134" s="441">
        <v>9.7144364022E10</v>
      </c>
      <c r="C134" s="441" t="s">
        <v>5768</v>
      </c>
      <c r="D134" s="441">
        <v>9.71506253014E11</v>
      </c>
      <c r="E134" s="441">
        <v>0.0</v>
      </c>
      <c r="F134" s="441" t="s">
        <v>4500</v>
      </c>
      <c r="G134" s="442" t="s">
        <v>5603</v>
      </c>
      <c r="H134" s="441">
        <v>2808.0</v>
      </c>
      <c r="I134" s="441">
        <v>28.0</v>
      </c>
      <c r="J134" s="441" t="s">
        <v>4641</v>
      </c>
      <c r="K134" s="443"/>
      <c r="L134" s="443"/>
      <c r="M134" s="443"/>
      <c r="N134" s="443"/>
      <c r="O134" s="443"/>
      <c r="P134" s="443"/>
      <c r="Q134" s="443"/>
      <c r="R134" s="443"/>
      <c r="S134" s="443"/>
      <c r="T134" s="443"/>
      <c r="U134" s="443"/>
      <c r="V134" s="443"/>
    </row>
    <row r="135">
      <c r="A135" s="441" t="s">
        <v>5769</v>
      </c>
      <c r="B135" s="441">
        <v>5.67498126E8</v>
      </c>
      <c r="C135" s="441">
        <v>0.0</v>
      </c>
      <c r="D135" s="441">
        <v>5.67498126E8</v>
      </c>
      <c r="E135" s="441">
        <v>0.0</v>
      </c>
      <c r="F135" s="441" t="s">
        <v>5144</v>
      </c>
      <c r="G135" s="442" t="s">
        <v>5603</v>
      </c>
      <c r="H135" s="441">
        <v>2901.0</v>
      </c>
      <c r="I135" s="441">
        <v>29.0</v>
      </c>
      <c r="J135" s="441" t="s">
        <v>4641</v>
      </c>
      <c r="K135" s="443"/>
      <c r="L135" s="443"/>
      <c r="M135" s="443"/>
      <c r="N135" s="443"/>
      <c r="O135" s="443"/>
      <c r="P135" s="443"/>
      <c r="Q135" s="443"/>
      <c r="R135" s="443"/>
      <c r="S135" s="443"/>
      <c r="T135" s="443"/>
      <c r="U135" s="443"/>
      <c r="V135" s="443"/>
    </row>
    <row r="136">
      <c r="A136" s="441" t="s">
        <v>5770</v>
      </c>
      <c r="B136" s="441" t="s">
        <v>5771</v>
      </c>
      <c r="C136" s="441">
        <v>0.0</v>
      </c>
      <c r="D136" s="441" t="s">
        <v>5772</v>
      </c>
      <c r="E136" s="441" t="s">
        <v>5771</v>
      </c>
      <c r="F136" s="441" t="s">
        <v>5060</v>
      </c>
      <c r="G136" s="442" t="s">
        <v>5603</v>
      </c>
      <c r="H136" s="441">
        <v>2902.0</v>
      </c>
      <c r="I136" s="441">
        <v>29.0</v>
      </c>
      <c r="J136" s="441" t="s">
        <v>4457</v>
      </c>
      <c r="K136" s="443"/>
      <c r="L136" s="443"/>
      <c r="M136" s="443"/>
      <c r="N136" s="443"/>
      <c r="O136" s="443"/>
      <c r="P136" s="443"/>
      <c r="Q136" s="443"/>
      <c r="R136" s="443"/>
      <c r="S136" s="443"/>
      <c r="T136" s="443"/>
      <c r="U136" s="443"/>
      <c r="V136" s="443"/>
    </row>
    <row r="137">
      <c r="A137" s="441" t="s">
        <v>5600</v>
      </c>
      <c r="B137" s="441" t="s">
        <v>5601</v>
      </c>
      <c r="C137" s="441" t="s">
        <v>5602</v>
      </c>
      <c r="D137" s="441">
        <v>0.0</v>
      </c>
      <c r="E137" s="441">
        <v>0.0</v>
      </c>
      <c r="F137" s="441">
        <v>0.0</v>
      </c>
      <c r="G137" s="442" t="s">
        <v>5603</v>
      </c>
      <c r="H137" s="441">
        <v>2903.0</v>
      </c>
      <c r="I137" s="441">
        <v>29.0</v>
      </c>
      <c r="J137" s="441" t="s">
        <v>4457</v>
      </c>
      <c r="K137" s="443"/>
      <c r="L137" s="443"/>
      <c r="M137" s="443"/>
      <c r="N137" s="443"/>
      <c r="O137" s="443"/>
      <c r="P137" s="443"/>
      <c r="Q137" s="443"/>
      <c r="R137" s="443"/>
      <c r="S137" s="443"/>
      <c r="T137" s="443"/>
      <c r="U137" s="443"/>
      <c r="V137" s="443"/>
    </row>
    <row r="138">
      <c r="A138" s="441" t="s">
        <v>5773</v>
      </c>
      <c r="B138" s="441" t="s">
        <v>5774</v>
      </c>
      <c r="C138" s="441">
        <v>0.0</v>
      </c>
      <c r="D138" s="441" t="s">
        <v>5775</v>
      </c>
      <c r="E138" s="441" t="s">
        <v>5774</v>
      </c>
      <c r="F138" s="441" t="s">
        <v>4458</v>
      </c>
      <c r="G138" s="442" t="s">
        <v>5603</v>
      </c>
      <c r="H138" s="441">
        <v>2904.0</v>
      </c>
      <c r="I138" s="441">
        <v>29.0</v>
      </c>
      <c r="J138" s="441" t="s">
        <v>4479</v>
      </c>
      <c r="K138" s="443"/>
      <c r="L138" s="443"/>
      <c r="M138" s="443"/>
      <c r="N138" s="443"/>
      <c r="O138" s="443"/>
      <c r="P138" s="443"/>
      <c r="Q138" s="443"/>
      <c r="R138" s="443"/>
      <c r="S138" s="443"/>
      <c r="T138" s="443"/>
      <c r="U138" s="443"/>
      <c r="V138" s="443"/>
    </row>
    <row r="139">
      <c r="A139" s="441" t="s">
        <v>5600</v>
      </c>
      <c r="B139" s="441" t="s">
        <v>5601</v>
      </c>
      <c r="C139" s="441" t="s">
        <v>5602</v>
      </c>
      <c r="D139" s="441">
        <v>0.0</v>
      </c>
      <c r="E139" s="441">
        <v>0.0</v>
      </c>
      <c r="F139" s="441">
        <v>0.0</v>
      </c>
      <c r="G139" s="442" t="s">
        <v>5603</v>
      </c>
      <c r="H139" s="441">
        <v>2905.0</v>
      </c>
      <c r="I139" s="441">
        <v>29.0</v>
      </c>
      <c r="J139" s="441" t="s">
        <v>4457</v>
      </c>
      <c r="K139" s="443"/>
      <c r="L139" s="443"/>
      <c r="M139" s="443"/>
      <c r="N139" s="443"/>
      <c r="O139" s="443"/>
      <c r="P139" s="443"/>
      <c r="Q139" s="443"/>
      <c r="R139" s="443"/>
      <c r="S139" s="443"/>
      <c r="T139" s="443"/>
      <c r="U139" s="443"/>
      <c r="V139" s="443"/>
    </row>
    <row r="140">
      <c r="A140" s="441" t="s">
        <v>5776</v>
      </c>
      <c r="B140" s="441">
        <v>0.0</v>
      </c>
      <c r="C140" s="441">
        <v>0.0</v>
      </c>
      <c r="D140" s="441" t="s">
        <v>5777</v>
      </c>
      <c r="E140" s="441" t="s">
        <v>5778</v>
      </c>
      <c r="F140" s="441" t="s">
        <v>4517</v>
      </c>
      <c r="G140" s="442" t="s">
        <v>5603</v>
      </c>
      <c r="H140" s="441">
        <v>2906.0</v>
      </c>
      <c r="I140" s="441">
        <v>29.0</v>
      </c>
      <c r="J140" s="441" t="s">
        <v>4457</v>
      </c>
      <c r="K140" s="443"/>
      <c r="L140" s="443"/>
      <c r="M140" s="443"/>
      <c r="N140" s="443"/>
      <c r="O140" s="443"/>
      <c r="P140" s="443"/>
      <c r="Q140" s="443"/>
      <c r="R140" s="443"/>
      <c r="S140" s="443"/>
      <c r="T140" s="443"/>
      <c r="U140" s="443"/>
      <c r="V140" s="443"/>
    </row>
    <row r="141">
      <c r="A141" s="441" t="s">
        <v>5779</v>
      </c>
      <c r="B141" s="441" t="s">
        <v>5780</v>
      </c>
      <c r="C141" s="441">
        <v>0.0</v>
      </c>
      <c r="D141" s="441" t="s">
        <v>5781</v>
      </c>
      <c r="E141" s="441" t="s">
        <v>5780</v>
      </c>
      <c r="F141" s="441" t="s">
        <v>4726</v>
      </c>
      <c r="G141" s="442" t="s">
        <v>5603</v>
      </c>
      <c r="H141" s="441">
        <v>2907.0</v>
      </c>
      <c r="I141" s="441">
        <v>29.0</v>
      </c>
      <c r="J141" s="441" t="s">
        <v>4457</v>
      </c>
      <c r="K141" s="443"/>
      <c r="L141" s="443"/>
      <c r="M141" s="443"/>
      <c r="N141" s="443"/>
      <c r="O141" s="443"/>
      <c r="P141" s="443"/>
      <c r="Q141" s="443"/>
      <c r="R141" s="443"/>
      <c r="S141" s="443"/>
      <c r="T141" s="443"/>
      <c r="U141" s="443"/>
      <c r="V141" s="443"/>
    </row>
    <row r="142">
      <c r="A142" s="441" t="s">
        <v>5782</v>
      </c>
      <c r="B142" s="441" t="s">
        <v>5783</v>
      </c>
      <c r="C142" s="441" t="s">
        <v>5784</v>
      </c>
      <c r="D142" s="441" t="s">
        <v>5785</v>
      </c>
      <c r="E142" s="441" t="s">
        <v>5786</v>
      </c>
      <c r="F142" s="441" t="s">
        <v>4503</v>
      </c>
      <c r="G142" s="442" t="s">
        <v>5603</v>
      </c>
      <c r="H142" s="441">
        <v>2908.0</v>
      </c>
      <c r="I142" s="441">
        <v>29.0</v>
      </c>
      <c r="J142" s="441" t="s">
        <v>4641</v>
      </c>
      <c r="K142" s="443"/>
      <c r="L142" s="443"/>
      <c r="M142" s="443"/>
      <c r="N142" s="443"/>
      <c r="O142" s="443"/>
      <c r="P142" s="443"/>
      <c r="Q142" s="443"/>
      <c r="R142" s="443"/>
      <c r="S142" s="443"/>
      <c r="T142" s="443"/>
      <c r="U142" s="443"/>
      <c r="V142" s="443"/>
    </row>
    <row r="143">
      <c r="A143" s="441" t="s">
        <v>5787</v>
      </c>
      <c r="B143" s="441">
        <v>0.0</v>
      </c>
      <c r="C143" s="441" t="s">
        <v>5788</v>
      </c>
      <c r="D143" s="441">
        <v>0.0</v>
      </c>
      <c r="E143" s="441" t="s">
        <v>5789</v>
      </c>
      <c r="F143" s="441" t="s">
        <v>4503</v>
      </c>
      <c r="G143" s="442" t="s">
        <v>5603</v>
      </c>
      <c r="H143" s="441">
        <v>3001.0</v>
      </c>
      <c r="I143" s="441">
        <v>30.0</v>
      </c>
      <c r="J143" s="441" t="s">
        <v>4641</v>
      </c>
      <c r="K143" s="443"/>
      <c r="L143" s="443"/>
      <c r="M143" s="443"/>
      <c r="N143" s="443"/>
      <c r="O143" s="443"/>
      <c r="P143" s="443"/>
      <c r="Q143" s="443"/>
      <c r="R143" s="443"/>
      <c r="S143" s="443"/>
      <c r="T143" s="443"/>
      <c r="U143" s="443"/>
      <c r="V143" s="443"/>
    </row>
    <row r="144">
      <c r="A144" s="441" t="s">
        <v>5790</v>
      </c>
      <c r="B144" s="441">
        <v>0.0</v>
      </c>
      <c r="C144" s="441" t="s">
        <v>5791</v>
      </c>
      <c r="D144" s="441">
        <v>0.0</v>
      </c>
      <c r="E144" s="441" t="s">
        <v>5792</v>
      </c>
      <c r="F144" s="441" t="s">
        <v>4699</v>
      </c>
      <c r="G144" s="442" t="s">
        <v>5603</v>
      </c>
      <c r="H144" s="441">
        <v>3002.0</v>
      </c>
      <c r="I144" s="441">
        <v>30.0</v>
      </c>
      <c r="J144" s="441" t="s">
        <v>4457</v>
      </c>
      <c r="K144" s="443"/>
      <c r="L144" s="443"/>
      <c r="M144" s="443"/>
      <c r="N144" s="443"/>
      <c r="O144" s="443"/>
      <c r="P144" s="443"/>
      <c r="Q144" s="443"/>
      <c r="R144" s="443"/>
      <c r="S144" s="443"/>
      <c r="T144" s="443"/>
      <c r="U144" s="443"/>
      <c r="V144" s="443"/>
    </row>
    <row r="145">
      <c r="A145" s="441" t="s">
        <v>5793</v>
      </c>
      <c r="B145" s="441" t="s">
        <v>5794</v>
      </c>
      <c r="C145" s="441">
        <v>0.0</v>
      </c>
      <c r="D145" s="441" t="s">
        <v>5795</v>
      </c>
      <c r="E145" s="441" t="s">
        <v>5794</v>
      </c>
      <c r="F145" s="441" t="s">
        <v>4514</v>
      </c>
      <c r="G145" s="442" t="s">
        <v>5603</v>
      </c>
      <c r="H145" s="441">
        <v>3003.0</v>
      </c>
      <c r="I145" s="441">
        <v>30.0</v>
      </c>
      <c r="J145" s="441" t="s">
        <v>4457</v>
      </c>
      <c r="K145" s="443"/>
      <c r="L145" s="443"/>
      <c r="M145" s="443"/>
      <c r="N145" s="443"/>
      <c r="O145" s="443"/>
      <c r="P145" s="443"/>
      <c r="Q145" s="443"/>
      <c r="R145" s="443"/>
      <c r="S145" s="443"/>
      <c r="T145" s="443"/>
      <c r="U145" s="443"/>
      <c r="V145" s="443"/>
    </row>
    <row r="146">
      <c r="A146" s="441" t="s">
        <v>5796</v>
      </c>
      <c r="B146" s="441">
        <v>0.0</v>
      </c>
      <c r="C146" s="441">
        <v>0.0</v>
      </c>
      <c r="D146" s="441">
        <v>9.71506505809E11</v>
      </c>
      <c r="E146" s="441">
        <v>0.0</v>
      </c>
      <c r="F146" s="441" t="s">
        <v>4525</v>
      </c>
      <c r="G146" s="442" t="s">
        <v>5603</v>
      </c>
      <c r="H146" s="441">
        <v>1407.0</v>
      </c>
      <c r="I146" s="441">
        <v>14.0</v>
      </c>
      <c r="J146" s="441" t="s">
        <v>4479</v>
      </c>
      <c r="K146" s="443"/>
      <c r="L146" s="443"/>
      <c r="M146" s="443"/>
      <c r="N146" s="443"/>
      <c r="O146" s="443"/>
      <c r="P146" s="443"/>
      <c r="Q146" s="443"/>
      <c r="R146" s="443"/>
      <c r="S146" s="443"/>
      <c r="T146" s="443"/>
      <c r="U146" s="443"/>
      <c r="V146" s="443"/>
    </row>
    <row r="147">
      <c r="A147" s="441" t="s">
        <v>5600</v>
      </c>
      <c r="B147" s="441" t="s">
        <v>5601</v>
      </c>
      <c r="C147" s="441" t="s">
        <v>5602</v>
      </c>
      <c r="D147" s="441">
        <v>0.0</v>
      </c>
      <c r="E147" s="441">
        <v>0.0</v>
      </c>
      <c r="F147" s="441">
        <v>0.0</v>
      </c>
      <c r="G147" s="442" t="s">
        <v>5603</v>
      </c>
      <c r="H147" s="441">
        <v>1408.0</v>
      </c>
      <c r="I147" s="441">
        <v>14.0</v>
      </c>
      <c r="J147" s="441" t="s">
        <v>4479</v>
      </c>
      <c r="K147" s="443"/>
      <c r="L147" s="443"/>
      <c r="M147" s="443"/>
      <c r="N147" s="443"/>
      <c r="O147" s="443"/>
      <c r="P147" s="443"/>
      <c r="Q147" s="443"/>
      <c r="R147" s="443"/>
      <c r="S147" s="443"/>
      <c r="T147" s="443"/>
      <c r="U147" s="443"/>
      <c r="V147" s="443"/>
    </row>
    <row r="148">
      <c r="A148" s="441" t="s">
        <v>5600</v>
      </c>
      <c r="B148" s="441" t="s">
        <v>5601</v>
      </c>
      <c r="C148" s="441" t="s">
        <v>5602</v>
      </c>
      <c r="D148" s="441">
        <v>0.0</v>
      </c>
      <c r="E148" s="441">
        <v>0.0</v>
      </c>
      <c r="F148" s="441">
        <v>0.0</v>
      </c>
      <c r="G148" s="442" t="s">
        <v>5603</v>
      </c>
      <c r="H148" s="441">
        <v>3006.0</v>
      </c>
      <c r="I148" s="441">
        <v>30.0</v>
      </c>
      <c r="J148" s="441" t="s">
        <v>4457</v>
      </c>
      <c r="K148" s="443"/>
      <c r="L148" s="443"/>
      <c r="M148" s="443"/>
      <c r="N148" s="443"/>
      <c r="O148" s="443"/>
      <c r="P148" s="443"/>
      <c r="Q148" s="443"/>
      <c r="R148" s="443"/>
      <c r="S148" s="443"/>
      <c r="T148" s="443"/>
      <c r="U148" s="443"/>
      <c r="V148" s="443"/>
    </row>
    <row r="149">
      <c r="A149" s="441" t="s">
        <v>5600</v>
      </c>
      <c r="B149" s="441" t="s">
        <v>5601</v>
      </c>
      <c r="C149" s="441" t="s">
        <v>5602</v>
      </c>
      <c r="D149" s="441">
        <v>0.0</v>
      </c>
      <c r="E149" s="441">
        <v>0.0</v>
      </c>
      <c r="F149" s="441">
        <v>0.0</v>
      </c>
      <c r="G149" s="442" t="s">
        <v>5603</v>
      </c>
      <c r="H149" s="441">
        <v>3007.0</v>
      </c>
      <c r="I149" s="441">
        <v>30.0</v>
      </c>
      <c r="J149" s="441" t="s">
        <v>4457</v>
      </c>
      <c r="K149" s="443"/>
      <c r="L149" s="443"/>
      <c r="M149" s="443"/>
      <c r="N149" s="443"/>
      <c r="O149" s="443"/>
      <c r="P149" s="443"/>
      <c r="Q149" s="443"/>
      <c r="R149" s="443"/>
      <c r="S149" s="443"/>
      <c r="T149" s="443"/>
      <c r="U149" s="443"/>
      <c r="V149" s="443"/>
    </row>
    <row r="150">
      <c r="A150" s="441" t="s">
        <v>5797</v>
      </c>
      <c r="B150" s="441">
        <v>0.0</v>
      </c>
      <c r="C150" s="441">
        <v>0.0</v>
      </c>
      <c r="D150" s="441" t="s">
        <v>5798</v>
      </c>
      <c r="E150" s="441" t="s">
        <v>5799</v>
      </c>
      <c r="F150" s="441" t="s">
        <v>4597</v>
      </c>
      <c r="G150" s="442" t="s">
        <v>5603</v>
      </c>
      <c r="H150" s="441">
        <v>3008.0</v>
      </c>
      <c r="I150" s="441">
        <v>30.0</v>
      </c>
      <c r="J150" s="441" t="s">
        <v>4641</v>
      </c>
      <c r="K150" s="443"/>
      <c r="L150" s="443"/>
      <c r="M150" s="443"/>
      <c r="N150" s="443"/>
      <c r="O150" s="443"/>
      <c r="P150" s="443"/>
      <c r="Q150" s="443"/>
      <c r="R150" s="443"/>
      <c r="S150" s="443"/>
      <c r="T150" s="443"/>
      <c r="U150" s="443"/>
      <c r="V150" s="443"/>
    </row>
    <row r="151">
      <c r="A151" s="441" t="s">
        <v>5800</v>
      </c>
      <c r="B151" s="441">
        <v>0.0</v>
      </c>
      <c r="C151" s="441" t="s">
        <v>5801</v>
      </c>
      <c r="D151" s="441" t="s">
        <v>5802</v>
      </c>
      <c r="E151" s="441" t="s">
        <v>5803</v>
      </c>
      <c r="F151" s="441" t="s">
        <v>4472</v>
      </c>
      <c r="G151" s="442" t="s">
        <v>5603</v>
      </c>
      <c r="H151" s="441">
        <v>4801.0</v>
      </c>
      <c r="I151" s="441">
        <v>48.0</v>
      </c>
      <c r="J151" s="441" t="s">
        <v>4641</v>
      </c>
      <c r="K151" s="443"/>
      <c r="L151" s="443"/>
      <c r="M151" s="443"/>
      <c r="N151" s="443"/>
      <c r="O151" s="443"/>
      <c r="P151" s="443"/>
      <c r="Q151" s="443"/>
      <c r="R151" s="443"/>
      <c r="S151" s="443"/>
      <c r="T151" s="443"/>
      <c r="U151" s="443"/>
      <c r="V151" s="443"/>
    </row>
    <row r="152">
      <c r="A152" s="441" t="s">
        <v>5800</v>
      </c>
      <c r="B152" s="441">
        <v>0.0</v>
      </c>
      <c r="C152" s="441" t="s">
        <v>5801</v>
      </c>
      <c r="D152" s="441" t="s">
        <v>5802</v>
      </c>
      <c r="E152" s="441" t="s">
        <v>5803</v>
      </c>
      <c r="F152" s="441" t="s">
        <v>4472</v>
      </c>
      <c r="G152" s="442" t="s">
        <v>5603</v>
      </c>
      <c r="H152" s="441">
        <v>4802.0</v>
      </c>
      <c r="I152" s="441">
        <v>48.0</v>
      </c>
      <c r="J152" s="441" t="s">
        <v>4457</v>
      </c>
      <c r="K152" s="443"/>
      <c r="L152" s="443"/>
      <c r="M152" s="443"/>
      <c r="N152" s="443"/>
      <c r="O152" s="443"/>
      <c r="P152" s="443"/>
      <c r="Q152" s="443"/>
      <c r="R152" s="443"/>
      <c r="S152" s="443"/>
      <c r="T152" s="443"/>
      <c r="U152" s="443"/>
      <c r="V152" s="443"/>
    </row>
    <row r="153">
      <c r="A153" s="441" t="s">
        <v>5804</v>
      </c>
      <c r="B153" s="441">
        <v>0.0</v>
      </c>
      <c r="C153" s="441" t="s">
        <v>5801</v>
      </c>
      <c r="D153" s="441">
        <v>0.0</v>
      </c>
      <c r="E153" s="441" t="s">
        <v>5803</v>
      </c>
      <c r="F153" s="441" t="s">
        <v>4472</v>
      </c>
      <c r="G153" s="442" t="s">
        <v>5603</v>
      </c>
      <c r="H153" s="441">
        <v>4803.0</v>
      </c>
      <c r="I153" s="441">
        <v>48.0</v>
      </c>
      <c r="J153" s="441" t="s">
        <v>4457</v>
      </c>
      <c r="K153" s="443"/>
      <c r="L153" s="443"/>
      <c r="M153" s="443"/>
      <c r="N153" s="443"/>
      <c r="O153" s="443"/>
      <c r="P153" s="443"/>
      <c r="Q153" s="443"/>
      <c r="R153" s="443"/>
      <c r="S153" s="443"/>
      <c r="T153" s="443"/>
      <c r="U153" s="443"/>
      <c r="V153" s="443"/>
    </row>
    <row r="154">
      <c r="A154" s="441" t="s">
        <v>5805</v>
      </c>
      <c r="B154" s="441">
        <v>0.0</v>
      </c>
      <c r="C154" s="441" t="s">
        <v>5806</v>
      </c>
      <c r="D154" s="441" t="s">
        <v>5807</v>
      </c>
      <c r="E154" s="441" t="s">
        <v>5808</v>
      </c>
      <c r="F154" s="441" t="s">
        <v>4521</v>
      </c>
      <c r="G154" s="442" t="s">
        <v>5603</v>
      </c>
      <c r="H154" s="441">
        <v>3104.0</v>
      </c>
      <c r="I154" s="441">
        <v>31.0</v>
      </c>
      <c r="J154" s="441" t="s">
        <v>4479</v>
      </c>
      <c r="K154" s="443"/>
      <c r="L154" s="443"/>
      <c r="M154" s="443"/>
      <c r="N154" s="443"/>
      <c r="O154" s="443"/>
      <c r="P154" s="443"/>
      <c r="Q154" s="443"/>
      <c r="R154" s="443"/>
      <c r="S154" s="443"/>
      <c r="T154" s="443"/>
      <c r="U154" s="443"/>
      <c r="V154" s="443"/>
    </row>
    <row r="155">
      <c r="A155" s="441" t="s">
        <v>5809</v>
      </c>
      <c r="B155" s="441">
        <v>0.0</v>
      </c>
      <c r="C155" s="441">
        <v>0.0</v>
      </c>
      <c r="D155" s="441" t="s">
        <v>5810</v>
      </c>
      <c r="E155" s="441">
        <v>0.0</v>
      </c>
      <c r="F155" s="441" t="s">
        <v>4611</v>
      </c>
      <c r="G155" s="442" t="s">
        <v>5603</v>
      </c>
      <c r="H155" s="441">
        <v>3105.0</v>
      </c>
      <c r="I155" s="441">
        <v>31.0</v>
      </c>
      <c r="J155" s="441" t="s">
        <v>4457</v>
      </c>
      <c r="K155" s="443"/>
      <c r="L155" s="443"/>
      <c r="M155" s="443"/>
      <c r="N155" s="443"/>
      <c r="O155" s="443"/>
      <c r="P155" s="443"/>
      <c r="Q155" s="443"/>
      <c r="R155" s="443"/>
      <c r="S155" s="443"/>
      <c r="T155" s="443"/>
      <c r="U155" s="443"/>
      <c r="V155" s="443"/>
    </row>
    <row r="156">
      <c r="A156" s="441" t="s">
        <v>5600</v>
      </c>
      <c r="B156" s="441" t="s">
        <v>5601</v>
      </c>
      <c r="C156" s="441" t="s">
        <v>5602</v>
      </c>
      <c r="D156" s="441">
        <v>0.0</v>
      </c>
      <c r="E156" s="441">
        <v>0.0</v>
      </c>
      <c r="F156" s="441">
        <v>0.0</v>
      </c>
      <c r="G156" s="442" t="s">
        <v>5603</v>
      </c>
      <c r="H156" s="441">
        <v>3106.0</v>
      </c>
      <c r="I156" s="441">
        <v>31.0</v>
      </c>
      <c r="J156" s="441" t="s">
        <v>4457</v>
      </c>
      <c r="K156" s="443"/>
      <c r="L156" s="443"/>
      <c r="M156" s="443"/>
      <c r="N156" s="443"/>
      <c r="O156" s="443"/>
      <c r="P156" s="443"/>
      <c r="Q156" s="443"/>
      <c r="R156" s="443"/>
      <c r="S156" s="443"/>
      <c r="T156" s="443"/>
      <c r="U156" s="443"/>
      <c r="V156" s="443"/>
    </row>
    <row r="157">
      <c r="A157" s="441" t="s">
        <v>5600</v>
      </c>
      <c r="B157" s="441" t="s">
        <v>5601</v>
      </c>
      <c r="C157" s="441" t="s">
        <v>5602</v>
      </c>
      <c r="D157" s="441">
        <v>0.0</v>
      </c>
      <c r="E157" s="441">
        <v>0.0</v>
      </c>
      <c r="F157" s="441">
        <v>0.0</v>
      </c>
      <c r="G157" s="442" t="s">
        <v>5603</v>
      </c>
      <c r="H157" s="441">
        <v>3107.0</v>
      </c>
      <c r="I157" s="441">
        <v>31.0</v>
      </c>
      <c r="J157" s="441" t="s">
        <v>4457</v>
      </c>
      <c r="K157" s="443"/>
      <c r="L157" s="443"/>
      <c r="M157" s="443"/>
      <c r="N157" s="443"/>
      <c r="O157" s="443"/>
      <c r="P157" s="443"/>
      <c r="Q157" s="443"/>
      <c r="R157" s="443"/>
      <c r="S157" s="443"/>
      <c r="T157" s="443"/>
      <c r="U157" s="443"/>
      <c r="V157" s="443"/>
    </row>
    <row r="158">
      <c r="A158" s="441" t="s">
        <v>5600</v>
      </c>
      <c r="B158" s="441" t="s">
        <v>5601</v>
      </c>
      <c r="C158" s="441" t="s">
        <v>5602</v>
      </c>
      <c r="D158" s="441">
        <v>0.0</v>
      </c>
      <c r="E158" s="441">
        <v>0.0</v>
      </c>
      <c r="F158" s="441">
        <v>0.0</v>
      </c>
      <c r="G158" s="442" t="s">
        <v>5603</v>
      </c>
      <c r="H158" s="441">
        <v>3108.0</v>
      </c>
      <c r="I158" s="441">
        <v>31.0</v>
      </c>
      <c r="J158" s="441" t="s">
        <v>4641</v>
      </c>
      <c r="K158" s="443"/>
      <c r="L158" s="443"/>
      <c r="M158" s="443"/>
      <c r="N158" s="443"/>
      <c r="O158" s="443"/>
      <c r="P158" s="443"/>
      <c r="Q158" s="443"/>
      <c r="R158" s="443"/>
      <c r="S158" s="443"/>
      <c r="T158" s="443"/>
      <c r="U158" s="443"/>
      <c r="V158" s="443"/>
    </row>
    <row r="159">
      <c r="A159" s="441" t="s">
        <v>5600</v>
      </c>
      <c r="B159" s="441" t="s">
        <v>5601</v>
      </c>
      <c r="C159" s="441" t="s">
        <v>5602</v>
      </c>
      <c r="D159" s="441">
        <v>0.0</v>
      </c>
      <c r="E159" s="441">
        <v>0.0</v>
      </c>
      <c r="F159" s="441">
        <v>0.0</v>
      </c>
      <c r="G159" s="442" t="s">
        <v>5603</v>
      </c>
      <c r="H159" s="441">
        <v>3201.0</v>
      </c>
      <c r="I159" s="441">
        <v>32.0</v>
      </c>
      <c r="J159" s="441" t="s">
        <v>4641</v>
      </c>
      <c r="K159" s="443"/>
      <c r="L159" s="443"/>
      <c r="M159" s="443"/>
      <c r="N159" s="443"/>
      <c r="O159" s="443"/>
      <c r="P159" s="443"/>
      <c r="Q159" s="443"/>
      <c r="R159" s="443"/>
      <c r="S159" s="443"/>
      <c r="T159" s="443"/>
      <c r="U159" s="443"/>
      <c r="V159" s="443"/>
    </row>
    <row r="160">
      <c r="A160" s="441" t="s">
        <v>5811</v>
      </c>
      <c r="B160" s="441">
        <v>0.0</v>
      </c>
      <c r="C160" s="441">
        <v>0.0</v>
      </c>
      <c r="D160" s="441">
        <v>5.0552453E8</v>
      </c>
      <c r="E160" s="441">
        <v>0.0</v>
      </c>
      <c r="F160" s="441" t="s">
        <v>4503</v>
      </c>
      <c r="G160" s="442" t="s">
        <v>5603</v>
      </c>
      <c r="H160" s="441">
        <v>3202.0</v>
      </c>
      <c r="I160" s="441">
        <v>32.0</v>
      </c>
      <c r="J160" s="441" t="s">
        <v>4457</v>
      </c>
      <c r="K160" s="443"/>
      <c r="L160" s="443"/>
      <c r="M160" s="443"/>
      <c r="N160" s="443"/>
      <c r="O160" s="443"/>
      <c r="P160" s="443"/>
      <c r="Q160" s="443"/>
      <c r="R160" s="443"/>
      <c r="S160" s="443"/>
      <c r="T160" s="443"/>
      <c r="U160" s="443"/>
      <c r="V160" s="443"/>
    </row>
    <row r="161">
      <c r="A161" s="441" t="s">
        <v>5812</v>
      </c>
      <c r="B161" s="441">
        <v>4.3867325E7</v>
      </c>
      <c r="C161" s="441">
        <v>0.0</v>
      </c>
      <c r="D161" s="441">
        <v>5.55577682E8</v>
      </c>
      <c r="E161" s="441">
        <v>0.0</v>
      </c>
      <c r="F161" s="441" t="s">
        <v>4500</v>
      </c>
      <c r="G161" s="442" t="s">
        <v>5603</v>
      </c>
      <c r="H161" s="441">
        <v>3203.0</v>
      </c>
      <c r="I161" s="441">
        <v>32.0</v>
      </c>
      <c r="J161" s="441" t="s">
        <v>4457</v>
      </c>
      <c r="K161" s="443"/>
      <c r="L161" s="443"/>
      <c r="M161" s="443"/>
      <c r="N161" s="443"/>
      <c r="O161" s="443"/>
      <c r="P161" s="443"/>
      <c r="Q161" s="443"/>
      <c r="R161" s="443"/>
      <c r="S161" s="443"/>
      <c r="T161" s="443"/>
      <c r="U161" s="443"/>
      <c r="V161" s="443"/>
    </row>
    <row r="162">
      <c r="A162" s="441" t="s">
        <v>5600</v>
      </c>
      <c r="B162" s="441" t="s">
        <v>5601</v>
      </c>
      <c r="C162" s="441" t="s">
        <v>5602</v>
      </c>
      <c r="D162" s="441">
        <v>0.0</v>
      </c>
      <c r="E162" s="441">
        <v>0.0</v>
      </c>
      <c r="F162" s="441">
        <v>0.0</v>
      </c>
      <c r="G162" s="442" t="s">
        <v>5603</v>
      </c>
      <c r="H162" s="441">
        <v>3204.0</v>
      </c>
      <c r="I162" s="441">
        <v>32.0</v>
      </c>
      <c r="J162" s="441" t="s">
        <v>4479</v>
      </c>
      <c r="K162" s="443"/>
      <c r="L162" s="443"/>
      <c r="M162" s="443"/>
      <c r="N162" s="443"/>
      <c r="O162" s="443"/>
      <c r="P162" s="443"/>
      <c r="Q162" s="443"/>
      <c r="R162" s="443"/>
      <c r="S162" s="443"/>
      <c r="T162" s="443"/>
      <c r="U162" s="443"/>
      <c r="V162" s="443"/>
    </row>
    <row r="163">
      <c r="A163" s="441" t="s">
        <v>5813</v>
      </c>
      <c r="B163" s="441">
        <v>0.0</v>
      </c>
      <c r="C163" s="441" t="s">
        <v>5721</v>
      </c>
      <c r="D163" s="441" t="s">
        <v>5814</v>
      </c>
      <c r="E163" s="441">
        <v>0.0</v>
      </c>
      <c r="F163" s="441" t="s">
        <v>4631</v>
      </c>
      <c r="G163" s="442" t="s">
        <v>5603</v>
      </c>
      <c r="H163" s="441">
        <v>3205.0</v>
      </c>
      <c r="I163" s="441">
        <v>32.0</v>
      </c>
      <c r="J163" s="441" t="s">
        <v>4457</v>
      </c>
      <c r="K163" s="443"/>
      <c r="L163" s="443"/>
      <c r="M163" s="443"/>
      <c r="N163" s="443"/>
      <c r="O163" s="443"/>
      <c r="P163" s="443"/>
      <c r="Q163" s="443"/>
      <c r="R163" s="443"/>
      <c r="S163" s="443"/>
      <c r="T163" s="443"/>
      <c r="U163" s="443"/>
      <c r="V163" s="443"/>
    </row>
    <row r="164">
      <c r="A164" s="441" t="s">
        <v>5815</v>
      </c>
      <c r="B164" s="441" t="s">
        <v>5816</v>
      </c>
      <c r="C164" s="441" t="s">
        <v>5817</v>
      </c>
      <c r="D164" s="441" t="s">
        <v>5818</v>
      </c>
      <c r="E164" s="441" t="s">
        <v>5816</v>
      </c>
      <c r="F164" s="441" t="s">
        <v>4642</v>
      </c>
      <c r="G164" s="442" t="s">
        <v>5603</v>
      </c>
      <c r="H164" s="441">
        <v>3206.0</v>
      </c>
      <c r="I164" s="441">
        <v>32.0</v>
      </c>
      <c r="J164" s="441" t="s">
        <v>4457</v>
      </c>
      <c r="K164" s="443"/>
      <c r="L164" s="443"/>
      <c r="M164" s="443"/>
      <c r="N164" s="443"/>
      <c r="O164" s="443"/>
      <c r="P164" s="443"/>
      <c r="Q164" s="443"/>
      <c r="R164" s="443"/>
      <c r="S164" s="443"/>
      <c r="T164" s="443"/>
      <c r="U164" s="443"/>
      <c r="V164" s="443"/>
    </row>
    <row r="165">
      <c r="A165" s="441" t="s">
        <v>5600</v>
      </c>
      <c r="B165" s="441" t="s">
        <v>5601</v>
      </c>
      <c r="C165" s="441" t="s">
        <v>5602</v>
      </c>
      <c r="D165" s="441">
        <v>0.0</v>
      </c>
      <c r="E165" s="441">
        <v>0.0</v>
      </c>
      <c r="F165" s="441">
        <v>0.0</v>
      </c>
      <c r="G165" s="442" t="s">
        <v>5603</v>
      </c>
      <c r="H165" s="441">
        <v>3207.0</v>
      </c>
      <c r="I165" s="441">
        <v>32.0</v>
      </c>
      <c r="J165" s="441" t="s">
        <v>4457</v>
      </c>
      <c r="K165" s="443"/>
      <c r="L165" s="443"/>
      <c r="M165" s="443"/>
      <c r="N165" s="443"/>
      <c r="O165" s="443"/>
      <c r="P165" s="443"/>
      <c r="Q165" s="443"/>
      <c r="R165" s="443"/>
      <c r="S165" s="443"/>
      <c r="T165" s="443"/>
      <c r="U165" s="443"/>
      <c r="V165" s="443"/>
    </row>
    <row r="166">
      <c r="A166" s="441" t="s">
        <v>5819</v>
      </c>
      <c r="B166" s="441">
        <v>0.0</v>
      </c>
      <c r="C166" s="441">
        <v>0.0</v>
      </c>
      <c r="D166" s="441">
        <v>9.66536750476E11</v>
      </c>
      <c r="E166" s="441">
        <v>0.0</v>
      </c>
      <c r="F166" s="441" t="s">
        <v>4503</v>
      </c>
      <c r="G166" s="442" t="s">
        <v>5603</v>
      </c>
      <c r="H166" s="441">
        <v>3208.0</v>
      </c>
      <c r="I166" s="441">
        <v>32.0</v>
      </c>
      <c r="J166" s="441" t="s">
        <v>4641</v>
      </c>
      <c r="K166" s="443"/>
      <c r="L166" s="443"/>
      <c r="M166" s="443"/>
      <c r="N166" s="443"/>
      <c r="O166" s="443"/>
      <c r="P166" s="443"/>
      <c r="Q166" s="443"/>
      <c r="R166" s="443"/>
      <c r="S166" s="443"/>
      <c r="T166" s="443"/>
      <c r="U166" s="443"/>
      <c r="V166" s="443"/>
    </row>
    <row r="167">
      <c r="A167" s="441" t="s">
        <v>5820</v>
      </c>
      <c r="B167" s="441" t="s">
        <v>5821</v>
      </c>
      <c r="C167" s="441">
        <v>0.0</v>
      </c>
      <c r="D167" s="441" t="s">
        <v>5822</v>
      </c>
      <c r="E167" s="441">
        <v>0.0</v>
      </c>
      <c r="F167" s="441" t="s">
        <v>4503</v>
      </c>
      <c r="G167" s="442" t="s">
        <v>5603</v>
      </c>
      <c r="H167" s="441">
        <v>3301.0</v>
      </c>
      <c r="I167" s="441">
        <v>33.0</v>
      </c>
      <c r="J167" s="441" t="s">
        <v>4641</v>
      </c>
      <c r="K167" s="443"/>
      <c r="L167" s="443"/>
      <c r="M167" s="443"/>
      <c r="N167" s="443"/>
      <c r="O167" s="443"/>
      <c r="P167" s="443"/>
      <c r="Q167" s="443"/>
      <c r="R167" s="443"/>
      <c r="S167" s="443"/>
      <c r="T167" s="443"/>
      <c r="U167" s="443"/>
      <c r="V167" s="443"/>
    </row>
    <row r="168">
      <c r="A168" s="441" t="s">
        <v>5600</v>
      </c>
      <c r="B168" s="441" t="s">
        <v>5601</v>
      </c>
      <c r="C168" s="441" t="s">
        <v>5602</v>
      </c>
      <c r="D168" s="441">
        <v>0.0</v>
      </c>
      <c r="E168" s="441">
        <v>0.0</v>
      </c>
      <c r="F168" s="441">
        <v>0.0</v>
      </c>
      <c r="G168" s="442" t="s">
        <v>5603</v>
      </c>
      <c r="H168" s="441">
        <v>3302.0</v>
      </c>
      <c r="I168" s="441">
        <v>33.0</v>
      </c>
      <c r="J168" s="441" t="s">
        <v>4457</v>
      </c>
      <c r="K168" s="443"/>
      <c r="L168" s="443"/>
      <c r="M168" s="443"/>
      <c r="N168" s="443"/>
      <c r="O168" s="443"/>
      <c r="P168" s="443"/>
      <c r="Q168" s="443"/>
      <c r="R168" s="443"/>
      <c r="S168" s="443"/>
      <c r="T168" s="443"/>
      <c r="U168" s="443"/>
      <c r="V168" s="443"/>
    </row>
    <row r="169">
      <c r="A169" s="441" t="s">
        <v>5823</v>
      </c>
      <c r="B169" s="441" t="s">
        <v>5824</v>
      </c>
      <c r="C169" s="441">
        <v>0.0</v>
      </c>
      <c r="D169" s="441" t="s">
        <v>5825</v>
      </c>
      <c r="E169" s="441" t="s">
        <v>5826</v>
      </c>
      <c r="F169" s="441" t="s">
        <v>4503</v>
      </c>
      <c r="G169" s="442" t="s">
        <v>5603</v>
      </c>
      <c r="H169" s="441">
        <v>3303.0</v>
      </c>
      <c r="I169" s="441">
        <v>33.0</v>
      </c>
      <c r="J169" s="441" t="s">
        <v>4457</v>
      </c>
      <c r="K169" s="443"/>
      <c r="L169" s="443"/>
      <c r="M169" s="443"/>
      <c r="N169" s="443"/>
      <c r="O169" s="443"/>
      <c r="P169" s="443"/>
      <c r="Q169" s="443"/>
      <c r="R169" s="443"/>
      <c r="S169" s="443"/>
      <c r="T169" s="443"/>
      <c r="U169" s="443"/>
      <c r="V169" s="443"/>
    </row>
    <row r="170">
      <c r="A170" s="441" t="s">
        <v>5827</v>
      </c>
      <c r="B170" s="441">
        <v>0.0</v>
      </c>
      <c r="C170" s="441" t="s">
        <v>5828</v>
      </c>
      <c r="D170" s="441">
        <v>0.0</v>
      </c>
      <c r="E170" s="441">
        <v>-5.33634553E8</v>
      </c>
      <c r="F170" s="441" t="s">
        <v>4500</v>
      </c>
      <c r="G170" s="442" t="s">
        <v>5603</v>
      </c>
      <c r="H170" s="441">
        <v>3304.0</v>
      </c>
      <c r="I170" s="441">
        <v>33.0</v>
      </c>
      <c r="J170" s="441" t="s">
        <v>4479</v>
      </c>
      <c r="K170" s="443"/>
      <c r="L170" s="443"/>
      <c r="M170" s="443"/>
      <c r="N170" s="443"/>
      <c r="O170" s="443"/>
      <c r="P170" s="443"/>
      <c r="Q170" s="443"/>
      <c r="R170" s="443"/>
      <c r="S170" s="443"/>
      <c r="T170" s="443"/>
      <c r="U170" s="443"/>
      <c r="V170" s="443"/>
    </row>
    <row r="171">
      <c r="A171" s="441" t="s">
        <v>5829</v>
      </c>
      <c r="B171" s="441" t="s">
        <v>5830</v>
      </c>
      <c r="C171" s="441" t="s">
        <v>5831</v>
      </c>
      <c r="D171" s="441">
        <v>0.0</v>
      </c>
      <c r="E171" s="441">
        <v>0.0</v>
      </c>
      <c r="F171" s="441">
        <v>0.0</v>
      </c>
      <c r="G171" s="442" t="s">
        <v>5603</v>
      </c>
      <c r="H171" s="441">
        <v>3305.0</v>
      </c>
      <c r="I171" s="441">
        <v>33.0</v>
      </c>
      <c r="J171" s="441" t="s">
        <v>4457</v>
      </c>
      <c r="K171" s="443"/>
      <c r="L171" s="443"/>
      <c r="M171" s="443"/>
      <c r="N171" s="443"/>
      <c r="O171" s="443"/>
      <c r="P171" s="443"/>
      <c r="Q171" s="443"/>
      <c r="R171" s="443"/>
      <c r="S171" s="443"/>
      <c r="T171" s="443"/>
      <c r="U171" s="443"/>
      <c r="V171" s="443"/>
    </row>
    <row r="172">
      <c r="A172" s="441" t="s">
        <v>5600</v>
      </c>
      <c r="B172" s="441" t="s">
        <v>5601</v>
      </c>
      <c r="C172" s="441" t="s">
        <v>5602</v>
      </c>
      <c r="D172" s="441">
        <v>0.0</v>
      </c>
      <c r="E172" s="441">
        <v>0.0</v>
      </c>
      <c r="F172" s="441">
        <v>0.0</v>
      </c>
      <c r="G172" s="442" t="s">
        <v>5603</v>
      </c>
      <c r="H172" s="441">
        <v>3306.0</v>
      </c>
      <c r="I172" s="441">
        <v>33.0</v>
      </c>
      <c r="J172" s="441" t="s">
        <v>4457</v>
      </c>
      <c r="K172" s="443"/>
      <c r="L172" s="443"/>
      <c r="M172" s="443"/>
      <c r="N172" s="443"/>
      <c r="O172" s="443"/>
      <c r="P172" s="443"/>
      <c r="Q172" s="443"/>
      <c r="R172" s="443"/>
      <c r="S172" s="443"/>
      <c r="T172" s="443"/>
      <c r="U172" s="443"/>
      <c r="V172" s="443"/>
    </row>
    <row r="173">
      <c r="A173" s="441" t="s">
        <v>5600</v>
      </c>
      <c r="B173" s="441" t="s">
        <v>5601</v>
      </c>
      <c r="C173" s="441" t="s">
        <v>5602</v>
      </c>
      <c r="D173" s="441">
        <v>0.0</v>
      </c>
      <c r="E173" s="441">
        <v>0.0</v>
      </c>
      <c r="F173" s="441">
        <v>0.0</v>
      </c>
      <c r="G173" s="442" t="s">
        <v>5603</v>
      </c>
      <c r="H173" s="441">
        <v>3307.0</v>
      </c>
      <c r="I173" s="441">
        <v>33.0</v>
      </c>
      <c r="J173" s="441" t="s">
        <v>4457</v>
      </c>
      <c r="K173" s="443"/>
      <c r="L173" s="443"/>
      <c r="M173" s="443"/>
      <c r="N173" s="443"/>
      <c r="O173" s="443"/>
      <c r="P173" s="443"/>
      <c r="Q173" s="443"/>
      <c r="R173" s="443"/>
      <c r="S173" s="443"/>
      <c r="T173" s="443"/>
      <c r="U173" s="443"/>
      <c r="V173" s="443"/>
    </row>
    <row r="174">
      <c r="A174" s="441" t="s">
        <v>5642</v>
      </c>
      <c r="B174" s="441">
        <v>0.0</v>
      </c>
      <c r="C174" s="441" t="s">
        <v>5643</v>
      </c>
      <c r="D174" s="441">
        <v>0.0</v>
      </c>
      <c r="E174" s="441" t="s">
        <v>5644</v>
      </c>
      <c r="F174" s="441" t="s">
        <v>4472</v>
      </c>
      <c r="G174" s="442" t="s">
        <v>5603</v>
      </c>
      <c r="H174" s="441">
        <v>3308.0</v>
      </c>
      <c r="I174" s="441">
        <v>33.0</v>
      </c>
      <c r="J174" s="441" t="s">
        <v>4641</v>
      </c>
      <c r="K174" s="443"/>
      <c r="L174" s="443"/>
      <c r="M174" s="443"/>
      <c r="N174" s="443"/>
      <c r="O174" s="443"/>
      <c r="P174" s="443"/>
      <c r="Q174" s="443"/>
      <c r="R174" s="443"/>
      <c r="S174" s="443"/>
      <c r="T174" s="443"/>
      <c r="U174" s="443"/>
      <c r="V174" s="443"/>
    </row>
    <row r="175">
      <c r="A175" s="441" t="s">
        <v>5832</v>
      </c>
      <c r="B175" s="441">
        <v>0.0</v>
      </c>
      <c r="C175" s="441" t="s">
        <v>5833</v>
      </c>
      <c r="D175" s="441">
        <v>0.0</v>
      </c>
      <c r="E175" s="441" t="s">
        <v>5834</v>
      </c>
      <c r="F175" s="441" t="s">
        <v>4852</v>
      </c>
      <c r="G175" s="442" t="s">
        <v>5603</v>
      </c>
      <c r="H175" s="441">
        <v>3401.0</v>
      </c>
      <c r="I175" s="441">
        <v>34.0</v>
      </c>
      <c r="J175" s="441" t="s">
        <v>4641</v>
      </c>
      <c r="K175" s="443"/>
      <c r="L175" s="443"/>
      <c r="M175" s="443"/>
      <c r="N175" s="443"/>
      <c r="O175" s="443"/>
      <c r="P175" s="443"/>
      <c r="Q175" s="443"/>
      <c r="R175" s="443"/>
      <c r="S175" s="443"/>
      <c r="T175" s="443"/>
      <c r="U175" s="443"/>
      <c r="V175" s="443"/>
    </row>
    <row r="176">
      <c r="A176" s="441" t="s">
        <v>5639</v>
      </c>
      <c r="B176" s="441">
        <v>0.0</v>
      </c>
      <c r="C176" s="441">
        <v>0.0</v>
      </c>
      <c r="D176" s="441" t="s">
        <v>5640</v>
      </c>
      <c r="E176" s="441" t="s">
        <v>5641</v>
      </c>
      <c r="F176" s="441" t="s">
        <v>4545</v>
      </c>
      <c r="G176" s="442" t="s">
        <v>5603</v>
      </c>
      <c r="H176" s="441">
        <v>1703.0</v>
      </c>
      <c r="I176" s="441">
        <v>17.0</v>
      </c>
      <c r="J176" s="441" t="s">
        <v>4479</v>
      </c>
      <c r="K176" s="443"/>
      <c r="L176" s="443"/>
      <c r="M176" s="443"/>
      <c r="N176" s="443"/>
      <c r="O176" s="443"/>
      <c r="P176" s="443"/>
      <c r="Q176" s="443"/>
      <c r="R176" s="443"/>
      <c r="S176" s="443"/>
      <c r="T176" s="443"/>
      <c r="U176" s="443"/>
      <c r="V176" s="443"/>
    </row>
    <row r="177">
      <c r="A177" s="441" t="s">
        <v>5835</v>
      </c>
      <c r="B177" s="441">
        <v>0.0</v>
      </c>
      <c r="C177" s="441" t="s">
        <v>5836</v>
      </c>
      <c r="D177" s="441" t="s">
        <v>5837</v>
      </c>
      <c r="E177" s="441" t="s">
        <v>5838</v>
      </c>
      <c r="F177" s="441" t="s">
        <v>4550</v>
      </c>
      <c r="G177" s="442" t="s">
        <v>5603</v>
      </c>
      <c r="H177" s="441">
        <v>1704.0</v>
      </c>
      <c r="I177" s="441">
        <v>17.0</v>
      </c>
      <c r="J177" s="441" t="s">
        <v>4479</v>
      </c>
      <c r="K177" s="443"/>
      <c r="L177" s="443"/>
      <c r="M177" s="443"/>
      <c r="N177" s="443"/>
      <c r="O177" s="443"/>
      <c r="P177" s="443"/>
      <c r="Q177" s="443"/>
      <c r="R177" s="443"/>
      <c r="S177" s="443"/>
      <c r="T177" s="443"/>
      <c r="U177" s="443"/>
      <c r="V177" s="443"/>
    </row>
    <row r="178">
      <c r="A178" s="441" t="s">
        <v>5839</v>
      </c>
      <c r="B178" s="441">
        <v>0.0</v>
      </c>
      <c r="C178" s="441" t="s">
        <v>5840</v>
      </c>
      <c r="D178" s="441" t="s">
        <v>5841</v>
      </c>
      <c r="E178" s="441" t="s">
        <v>5842</v>
      </c>
      <c r="F178" s="441" t="s">
        <v>4699</v>
      </c>
      <c r="G178" s="442" t="s">
        <v>5603</v>
      </c>
      <c r="H178" s="441">
        <v>1705.0</v>
      </c>
      <c r="I178" s="441">
        <v>17.0</v>
      </c>
      <c r="J178" s="441" t="s">
        <v>4479</v>
      </c>
      <c r="K178" s="443"/>
      <c r="L178" s="443"/>
      <c r="M178" s="443"/>
      <c r="N178" s="443"/>
      <c r="O178" s="443"/>
      <c r="P178" s="443"/>
      <c r="Q178" s="443"/>
      <c r="R178" s="443"/>
      <c r="S178" s="443"/>
      <c r="T178" s="443"/>
      <c r="U178" s="443"/>
      <c r="V178" s="443"/>
    </row>
    <row r="179">
      <c r="A179" s="441" t="s">
        <v>5843</v>
      </c>
      <c r="B179" s="441">
        <v>0.0</v>
      </c>
      <c r="C179" s="441" t="s">
        <v>5844</v>
      </c>
      <c r="D179" s="441" t="s">
        <v>5845</v>
      </c>
      <c r="E179" s="441" t="s">
        <v>5846</v>
      </c>
      <c r="F179" s="441" t="s">
        <v>4631</v>
      </c>
      <c r="G179" s="442" t="s">
        <v>5603</v>
      </c>
      <c r="H179" s="441">
        <v>1706.0</v>
      </c>
      <c r="I179" s="441">
        <v>17.0</v>
      </c>
      <c r="J179" s="441" t="s">
        <v>4457</v>
      </c>
      <c r="K179" s="443"/>
      <c r="L179" s="443"/>
      <c r="M179" s="443"/>
      <c r="N179" s="443"/>
      <c r="O179" s="443"/>
      <c r="P179" s="443"/>
      <c r="Q179" s="443"/>
      <c r="R179" s="443"/>
      <c r="S179" s="443"/>
      <c r="T179" s="443"/>
      <c r="U179" s="443"/>
      <c r="V179" s="443"/>
    </row>
    <row r="180">
      <c r="A180" s="441" t="s">
        <v>5847</v>
      </c>
      <c r="B180" s="441">
        <v>0.0</v>
      </c>
      <c r="C180" s="441" t="s">
        <v>5848</v>
      </c>
      <c r="D180" s="441" t="s">
        <v>5849</v>
      </c>
      <c r="E180" s="441">
        <v>0.0</v>
      </c>
      <c r="F180" s="441" t="s">
        <v>4550</v>
      </c>
      <c r="G180" s="442" t="s">
        <v>5603</v>
      </c>
      <c r="H180" s="441">
        <v>1707.0</v>
      </c>
      <c r="I180" s="441">
        <v>17.0</v>
      </c>
      <c r="J180" s="441" t="s">
        <v>4479</v>
      </c>
      <c r="K180" s="443"/>
      <c r="L180" s="443"/>
      <c r="M180" s="443"/>
      <c r="N180" s="443"/>
      <c r="O180" s="443"/>
      <c r="P180" s="443"/>
      <c r="Q180" s="443"/>
      <c r="R180" s="443"/>
      <c r="S180" s="443"/>
      <c r="T180" s="443"/>
      <c r="U180" s="443"/>
      <c r="V180" s="443"/>
    </row>
    <row r="181">
      <c r="A181" s="441" t="s">
        <v>5600</v>
      </c>
      <c r="B181" s="441" t="s">
        <v>5601</v>
      </c>
      <c r="C181" s="441" t="s">
        <v>5602</v>
      </c>
      <c r="D181" s="441">
        <v>0.0</v>
      </c>
      <c r="E181" s="441">
        <v>0.0</v>
      </c>
      <c r="F181" s="441">
        <v>0.0</v>
      </c>
      <c r="G181" s="442" t="s">
        <v>5603</v>
      </c>
      <c r="H181" s="441">
        <v>1708.0</v>
      </c>
      <c r="I181" s="441">
        <v>17.0</v>
      </c>
      <c r="J181" s="441" t="s">
        <v>4479</v>
      </c>
      <c r="K181" s="443"/>
      <c r="L181" s="443"/>
      <c r="M181" s="443"/>
      <c r="N181" s="443"/>
      <c r="O181" s="443"/>
      <c r="P181" s="443"/>
      <c r="Q181" s="443"/>
      <c r="R181" s="443"/>
      <c r="S181" s="443"/>
      <c r="T181" s="443"/>
      <c r="U181" s="443"/>
      <c r="V181" s="443"/>
    </row>
    <row r="182">
      <c r="A182" s="441" t="s">
        <v>5600</v>
      </c>
      <c r="B182" s="441" t="s">
        <v>5601</v>
      </c>
      <c r="C182" s="441" t="s">
        <v>5602</v>
      </c>
      <c r="D182" s="441">
        <v>0.0</v>
      </c>
      <c r="E182" s="441">
        <v>0.0</v>
      </c>
      <c r="F182" s="441">
        <v>0.0</v>
      </c>
      <c r="G182" s="442" t="s">
        <v>5603</v>
      </c>
      <c r="H182" s="441">
        <v>1709.0</v>
      </c>
      <c r="I182" s="441">
        <v>17.0</v>
      </c>
      <c r="J182" s="441" t="s">
        <v>4479</v>
      </c>
      <c r="K182" s="443"/>
      <c r="L182" s="443"/>
      <c r="M182" s="443"/>
      <c r="N182" s="443"/>
      <c r="O182" s="443"/>
      <c r="P182" s="443"/>
      <c r="Q182" s="443"/>
      <c r="R182" s="443"/>
      <c r="S182" s="443"/>
      <c r="T182" s="443"/>
      <c r="U182" s="443"/>
      <c r="V182" s="443"/>
    </row>
    <row r="183">
      <c r="A183" s="441" t="s">
        <v>5850</v>
      </c>
      <c r="B183" s="441">
        <v>0.0</v>
      </c>
      <c r="C183" s="441" t="s">
        <v>5851</v>
      </c>
      <c r="D183" s="441" t="s">
        <v>5852</v>
      </c>
      <c r="E183" s="441" t="s">
        <v>5853</v>
      </c>
      <c r="F183" s="441" t="s">
        <v>4726</v>
      </c>
      <c r="G183" s="442" t="s">
        <v>5603</v>
      </c>
      <c r="H183" s="441">
        <v>1710.0</v>
      </c>
      <c r="I183" s="441">
        <v>17.0</v>
      </c>
      <c r="J183" s="441" t="s">
        <v>4641</v>
      </c>
      <c r="K183" s="443"/>
      <c r="L183" s="443"/>
      <c r="M183" s="443"/>
      <c r="N183" s="443"/>
      <c r="O183" s="443"/>
      <c r="P183" s="443"/>
      <c r="Q183" s="443"/>
      <c r="R183" s="443"/>
      <c r="S183" s="443"/>
      <c r="T183" s="443"/>
      <c r="U183" s="443"/>
      <c r="V183" s="443"/>
    </row>
    <row r="184">
      <c r="A184" s="441" t="s">
        <v>5600</v>
      </c>
      <c r="B184" s="441" t="s">
        <v>5601</v>
      </c>
      <c r="C184" s="441" t="s">
        <v>5602</v>
      </c>
      <c r="D184" s="441">
        <v>0.0</v>
      </c>
      <c r="E184" s="441">
        <v>0.0</v>
      </c>
      <c r="F184" s="441">
        <v>0.0</v>
      </c>
      <c r="G184" s="442" t="s">
        <v>5603</v>
      </c>
      <c r="H184" s="441">
        <v>1901.0</v>
      </c>
      <c r="I184" s="441">
        <v>19.0</v>
      </c>
      <c r="J184" s="441" t="s">
        <v>4641</v>
      </c>
      <c r="K184" s="443"/>
      <c r="L184" s="443"/>
      <c r="M184" s="443"/>
      <c r="N184" s="443"/>
      <c r="O184" s="443"/>
      <c r="P184" s="443"/>
      <c r="Q184" s="443"/>
      <c r="R184" s="443"/>
      <c r="S184" s="443"/>
      <c r="T184" s="443"/>
      <c r="U184" s="443"/>
      <c r="V184" s="443"/>
    </row>
    <row r="185">
      <c r="A185" s="441" t="s">
        <v>5600</v>
      </c>
      <c r="B185" s="441" t="s">
        <v>5601</v>
      </c>
      <c r="C185" s="441" t="s">
        <v>5602</v>
      </c>
      <c r="D185" s="441">
        <v>0.0</v>
      </c>
      <c r="E185" s="441">
        <v>0.0</v>
      </c>
      <c r="F185" s="441">
        <v>0.0</v>
      </c>
      <c r="G185" s="442" t="s">
        <v>5603</v>
      </c>
      <c r="H185" s="441">
        <v>1902.0</v>
      </c>
      <c r="I185" s="441">
        <v>19.0</v>
      </c>
      <c r="J185" s="441" t="s">
        <v>4479</v>
      </c>
      <c r="K185" s="443"/>
      <c r="L185" s="443"/>
      <c r="M185" s="443"/>
      <c r="N185" s="443"/>
      <c r="O185" s="443"/>
      <c r="P185" s="443"/>
      <c r="Q185" s="443"/>
      <c r="R185" s="443"/>
      <c r="S185" s="443"/>
      <c r="T185" s="443"/>
      <c r="U185" s="443"/>
      <c r="V185" s="443"/>
    </row>
    <row r="186">
      <c r="A186" s="441" t="s">
        <v>5854</v>
      </c>
      <c r="B186" s="441" t="s">
        <v>5855</v>
      </c>
      <c r="C186" s="441" t="s">
        <v>5856</v>
      </c>
      <c r="D186" s="441" t="s">
        <v>5857</v>
      </c>
      <c r="E186" s="441" t="s">
        <v>5855</v>
      </c>
      <c r="F186" s="441" t="s">
        <v>4852</v>
      </c>
      <c r="G186" s="442" t="s">
        <v>5603</v>
      </c>
      <c r="H186" s="441">
        <v>3504.0</v>
      </c>
      <c r="I186" s="441">
        <v>35.0</v>
      </c>
      <c r="J186" s="441" t="s">
        <v>4479</v>
      </c>
      <c r="K186" s="443"/>
      <c r="L186" s="443"/>
      <c r="M186" s="443"/>
      <c r="N186" s="443"/>
      <c r="O186" s="443"/>
      <c r="P186" s="443"/>
      <c r="Q186" s="443"/>
      <c r="R186" s="443"/>
      <c r="S186" s="443"/>
      <c r="T186" s="443"/>
      <c r="U186" s="443"/>
      <c r="V186" s="443"/>
    </row>
    <row r="187">
      <c r="A187" s="441" t="s">
        <v>5858</v>
      </c>
      <c r="B187" s="441" t="s">
        <v>5859</v>
      </c>
      <c r="C187" s="441" t="s">
        <v>5860</v>
      </c>
      <c r="D187" s="441" t="s">
        <v>5861</v>
      </c>
      <c r="E187" s="441">
        <v>0.0</v>
      </c>
      <c r="F187" s="441" t="s">
        <v>4503</v>
      </c>
      <c r="G187" s="442" t="s">
        <v>5603</v>
      </c>
      <c r="H187" s="441">
        <v>3505.0</v>
      </c>
      <c r="I187" s="441">
        <v>35.0</v>
      </c>
      <c r="J187" s="441" t="s">
        <v>4457</v>
      </c>
      <c r="K187" s="443"/>
      <c r="L187" s="443"/>
      <c r="M187" s="443"/>
      <c r="N187" s="443"/>
      <c r="O187" s="443"/>
      <c r="P187" s="443"/>
      <c r="Q187" s="443"/>
      <c r="R187" s="443"/>
      <c r="S187" s="443"/>
      <c r="T187" s="443"/>
      <c r="U187" s="443"/>
      <c r="V187" s="443"/>
    </row>
    <row r="188">
      <c r="A188" s="441" t="s">
        <v>5862</v>
      </c>
      <c r="B188" s="441">
        <v>0.0</v>
      </c>
      <c r="C188" s="441" t="s">
        <v>5863</v>
      </c>
      <c r="D188" s="441" t="s">
        <v>5864</v>
      </c>
      <c r="E188" s="441" t="s">
        <v>5865</v>
      </c>
      <c r="F188" s="441" t="s">
        <v>4503</v>
      </c>
      <c r="G188" s="442" t="s">
        <v>5603</v>
      </c>
      <c r="H188" s="441">
        <v>3506.0</v>
      </c>
      <c r="I188" s="441">
        <v>35.0</v>
      </c>
      <c r="J188" s="441" t="s">
        <v>4457</v>
      </c>
      <c r="K188" s="443"/>
      <c r="L188" s="443"/>
      <c r="M188" s="443"/>
      <c r="N188" s="443"/>
      <c r="O188" s="443"/>
      <c r="P188" s="443"/>
      <c r="Q188" s="443"/>
      <c r="R188" s="443"/>
      <c r="S188" s="443"/>
      <c r="T188" s="443"/>
      <c r="U188" s="443"/>
      <c r="V188" s="443"/>
    </row>
    <row r="189">
      <c r="A189" s="441" t="s">
        <v>5866</v>
      </c>
      <c r="B189" s="441">
        <v>0.0</v>
      </c>
      <c r="C189" s="441">
        <v>0.0</v>
      </c>
      <c r="D189" s="441" t="s">
        <v>5867</v>
      </c>
      <c r="E189" s="441" t="s">
        <v>5868</v>
      </c>
      <c r="F189" s="441" t="s">
        <v>4503</v>
      </c>
      <c r="G189" s="442" t="s">
        <v>5603</v>
      </c>
      <c r="H189" s="441">
        <v>3507.0</v>
      </c>
      <c r="I189" s="441">
        <v>35.0</v>
      </c>
      <c r="J189" s="441" t="s">
        <v>4457</v>
      </c>
      <c r="K189" s="443"/>
      <c r="L189" s="443"/>
      <c r="M189" s="443"/>
      <c r="N189" s="443"/>
      <c r="O189" s="443"/>
      <c r="P189" s="443"/>
      <c r="Q189" s="443"/>
      <c r="R189" s="443"/>
      <c r="S189" s="443"/>
      <c r="T189" s="443"/>
      <c r="U189" s="443"/>
      <c r="V189" s="443"/>
    </row>
    <row r="190">
      <c r="A190" s="441" t="s">
        <v>5869</v>
      </c>
      <c r="B190" s="441" t="s">
        <v>5870</v>
      </c>
      <c r="C190" s="441" t="s">
        <v>5871</v>
      </c>
      <c r="D190" s="441" t="s">
        <v>5872</v>
      </c>
      <c r="E190" s="441">
        <v>0.0</v>
      </c>
      <c r="F190" s="441" t="s">
        <v>4503</v>
      </c>
      <c r="G190" s="442" t="s">
        <v>5603</v>
      </c>
      <c r="H190" s="441">
        <v>3508.0</v>
      </c>
      <c r="I190" s="441">
        <v>35.0</v>
      </c>
      <c r="J190" s="441" t="s">
        <v>4641</v>
      </c>
      <c r="K190" s="443"/>
      <c r="L190" s="443"/>
      <c r="M190" s="443"/>
      <c r="N190" s="443"/>
      <c r="O190" s="443"/>
      <c r="P190" s="443"/>
      <c r="Q190" s="443"/>
      <c r="R190" s="443"/>
      <c r="S190" s="443"/>
      <c r="T190" s="443"/>
      <c r="U190" s="443"/>
      <c r="V190" s="443"/>
    </row>
    <row r="191">
      <c r="A191" s="441" t="s">
        <v>5600</v>
      </c>
      <c r="B191" s="441" t="s">
        <v>5601</v>
      </c>
      <c r="C191" s="441" t="s">
        <v>5602</v>
      </c>
      <c r="D191" s="441">
        <v>0.0</v>
      </c>
      <c r="E191" s="441">
        <v>0.0</v>
      </c>
      <c r="F191" s="441">
        <v>0.0</v>
      </c>
      <c r="G191" s="442" t="s">
        <v>5603</v>
      </c>
      <c r="H191" s="441">
        <v>3601.0</v>
      </c>
      <c r="I191" s="441">
        <v>36.0</v>
      </c>
      <c r="J191" s="441" t="s">
        <v>4641</v>
      </c>
      <c r="K191" s="443"/>
      <c r="L191" s="443"/>
      <c r="M191" s="443"/>
      <c r="N191" s="443"/>
      <c r="O191" s="443"/>
      <c r="P191" s="443"/>
      <c r="Q191" s="443"/>
      <c r="R191" s="443"/>
      <c r="S191" s="443"/>
      <c r="T191" s="443"/>
      <c r="U191" s="443"/>
      <c r="V191" s="443"/>
    </row>
    <row r="192">
      <c r="A192" s="441" t="s">
        <v>5873</v>
      </c>
      <c r="B192" s="441">
        <v>0.0</v>
      </c>
      <c r="C192" s="441" t="s">
        <v>5602</v>
      </c>
      <c r="D192" s="441" t="s">
        <v>5874</v>
      </c>
      <c r="E192" s="441" t="s">
        <v>4868</v>
      </c>
      <c r="F192" s="441" t="s">
        <v>4517</v>
      </c>
      <c r="G192" s="442" t="s">
        <v>5603</v>
      </c>
      <c r="H192" s="441">
        <v>3602.0</v>
      </c>
      <c r="I192" s="441">
        <v>36.0</v>
      </c>
      <c r="J192" s="441" t="s">
        <v>4457</v>
      </c>
      <c r="K192" s="443"/>
      <c r="L192" s="443"/>
      <c r="M192" s="443"/>
      <c r="N192" s="443"/>
      <c r="O192" s="443"/>
      <c r="P192" s="443"/>
      <c r="Q192" s="443"/>
      <c r="R192" s="443"/>
      <c r="S192" s="443"/>
      <c r="T192" s="443"/>
      <c r="U192" s="443"/>
      <c r="V192" s="443"/>
    </row>
    <row r="193">
      <c r="A193" s="441" t="s">
        <v>5875</v>
      </c>
      <c r="B193" s="441" t="s">
        <v>5876</v>
      </c>
      <c r="C193" s="441">
        <v>0.0</v>
      </c>
      <c r="D193" s="441" t="s">
        <v>5877</v>
      </c>
      <c r="E193" s="441" t="s">
        <v>5876</v>
      </c>
      <c r="F193" s="441" t="s">
        <v>4503</v>
      </c>
      <c r="G193" s="442" t="s">
        <v>5603</v>
      </c>
      <c r="H193" s="441">
        <v>3603.0</v>
      </c>
      <c r="I193" s="441">
        <v>36.0</v>
      </c>
      <c r="J193" s="441" t="s">
        <v>4457</v>
      </c>
      <c r="K193" s="443"/>
      <c r="L193" s="443"/>
      <c r="M193" s="443"/>
      <c r="N193" s="443"/>
      <c r="O193" s="443"/>
      <c r="P193" s="443"/>
      <c r="Q193" s="443"/>
      <c r="R193" s="443"/>
      <c r="S193" s="443"/>
      <c r="T193" s="443"/>
      <c r="U193" s="443"/>
      <c r="V193" s="443"/>
    </row>
    <row r="194">
      <c r="A194" s="441" t="s">
        <v>5878</v>
      </c>
      <c r="B194" s="441">
        <v>0.0</v>
      </c>
      <c r="C194" s="441" t="s">
        <v>5879</v>
      </c>
      <c r="D194" s="441">
        <v>0.0</v>
      </c>
      <c r="E194" s="441" t="s">
        <v>5880</v>
      </c>
      <c r="F194" s="441" t="s">
        <v>4472</v>
      </c>
      <c r="G194" s="442" t="s">
        <v>5603</v>
      </c>
      <c r="H194" s="441">
        <v>3604.0</v>
      </c>
      <c r="I194" s="441">
        <v>36.0</v>
      </c>
      <c r="J194" s="441" t="s">
        <v>4479</v>
      </c>
      <c r="K194" s="443"/>
      <c r="L194" s="443"/>
      <c r="M194" s="443"/>
      <c r="N194" s="443"/>
      <c r="O194" s="443"/>
      <c r="P194" s="443"/>
      <c r="Q194" s="443"/>
      <c r="R194" s="443"/>
      <c r="S194" s="443"/>
      <c r="T194" s="443"/>
      <c r="U194" s="443"/>
      <c r="V194" s="443"/>
    </row>
    <row r="195">
      <c r="A195" s="441" t="s">
        <v>5600</v>
      </c>
      <c r="B195" s="441" t="s">
        <v>5601</v>
      </c>
      <c r="C195" s="441" t="s">
        <v>5602</v>
      </c>
      <c r="D195" s="441">
        <v>0.0</v>
      </c>
      <c r="E195" s="441">
        <v>0.0</v>
      </c>
      <c r="F195" s="441">
        <v>0.0</v>
      </c>
      <c r="G195" s="442" t="s">
        <v>5603</v>
      </c>
      <c r="H195" s="441">
        <v>3605.0</v>
      </c>
      <c r="I195" s="441">
        <v>36.0</v>
      </c>
      <c r="J195" s="441" t="s">
        <v>4457</v>
      </c>
      <c r="K195" s="443"/>
      <c r="L195" s="443"/>
      <c r="M195" s="443"/>
      <c r="N195" s="443"/>
      <c r="O195" s="443"/>
      <c r="P195" s="443"/>
      <c r="Q195" s="443"/>
      <c r="R195" s="443"/>
      <c r="S195" s="443"/>
      <c r="T195" s="443"/>
      <c r="U195" s="443"/>
      <c r="V195" s="443"/>
    </row>
    <row r="196">
      <c r="A196" s="441" t="s">
        <v>5881</v>
      </c>
      <c r="B196" s="441">
        <v>0.0</v>
      </c>
      <c r="C196" s="441" t="s">
        <v>5882</v>
      </c>
      <c r="D196" s="441" t="s">
        <v>5883</v>
      </c>
      <c r="E196" s="441">
        <v>0.0</v>
      </c>
      <c r="F196" s="441" t="s">
        <v>4631</v>
      </c>
      <c r="G196" s="442" t="s">
        <v>5603</v>
      </c>
      <c r="H196" s="441">
        <v>3606.0</v>
      </c>
      <c r="I196" s="441">
        <v>36.0</v>
      </c>
      <c r="J196" s="441" t="s">
        <v>4457</v>
      </c>
      <c r="K196" s="443"/>
      <c r="L196" s="443"/>
      <c r="M196" s="443"/>
      <c r="N196" s="443"/>
      <c r="O196" s="443"/>
      <c r="P196" s="443"/>
      <c r="Q196" s="443"/>
      <c r="R196" s="443"/>
      <c r="S196" s="443"/>
      <c r="T196" s="443"/>
      <c r="U196" s="443"/>
      <c r="V196" s="443"/>
    </row>
    <row r="197">
      <c r="A197" s="441" t="s">
        <v>5884</v>
      </c>
      <c r="B197" s="441">
        <v>0.0</v>
      </c>
      <c r="C197" s="441" t="s">
        <v>5885</v>
      </c>
      <c r="D197" s="441" t="s">
        <v>5886</v>
      </c>
      <c r="E197" s="441" t="s">
        <v>5887</v>
      </c>
      <c r="F197" s="441" t="s">
        <v>4525</v>
      </c>
      <c r="G197" s="442" t="s">
        <v>5603</v>
      </c>
      <c r="H197" s="441">
        <v>3607.0</v>
      </c>
      <c r="I197" s="441">
        <v>36.0</v>
      </c>
      <c r="J197" s="441" t="s">
        <v>4457</v>
      </c>
      <c r="K197" s="443"/>
      <c r="L197" s="443"/>
      <c r="M197" s="443"/>
      <c r="N197" s="443"/>
      <c r="O197" s="443"/>
      <c r="P197" s="443"/>
      <c r="Q197" s="443"/>
      <c r="R197" s="443"/>
      <c r="S197" s="443"/>
      <c r="T197" s="443"/>
      <c r="U197" s="443"/>
      <c r="V197" s="443"/>
    </row>
    <row r="198">
      <c r="A198" s="441" t="s">
        <v>5600</v>
      </c>
      <c r="B198" s="441" t="s">
        <v>5601</v>
      </c>
      <c r="C198" s="441" t="s">
        <v>5602</v>
      </c>
      <c r="D198" s="441">
        <v>0.0</v>
      </c>
      <c r="E198" s="441">
        <v>0.0</v>
      </c>
      <c r="F198" s="441">
        <v>0.0</v>
      </c>
      <c r="G198" s="442" t="s">
        <v>5603</v>
      </c>
      <c r="H198" s="441">
        <v>3608.0</v>
      </c>
      <c r="I198" s="441">
        <v>36.0</v>
      </c>
      <c r="J198" s="441" t="s">
        <v>4641</v>
      </c>
      <c r="K198" s="443"/>
      <c r="L198" s="443"/>
      <c r="M198" s="443"/>
      <c r="N198" s="443"/>
      <c r="O198" s="443"/>
      <c r="P198" s="443"/>
      <c r="Q198" s="443"/>
      <c r="R198" s="443"/>
      <c r="S198" s="443"/>
      <c r="T198" s="443"/>
      <c r="U198" s="443"/>
      <c r="V198" s="443"/>
    </row>
    <row r="199">
      <c r="A199" s="441" t="s">
        <v>5888</v>
      </c>
      <c r="B199" s="441" t="s">
        <v>5889</v>
      </c>
      <c r="C199" s="441">
        <v>0.0</v>
      </c>
      <c r="D199" s="441" t="s">
        <v>5890</v>
      </c>
      <c r="E199" s="441">
        <v>0.0</v>
      </c>
      <c r="F199" s="441" t="s">
        <v>4472</v>
      </c>
      <c r="G199" s="442" t="s">
        <v>5603</v>
      </c>
      <c r="H199" s="441">
        <v>3701.0</v>
      </c>
      <c r="I199" s="441">
        <v>37.0</v>
      </c>
      <c r="J199" s="441" t="s">
        <v>4641</v>
      </c>
      <c r="K199" s="443"/>
      <c r="L199" s="443"/>
      <c r="M199" s="443"/>
      <c r="N199" s="443"/>
      <c r="O199" s="443"/>
      <c r="P199" s="443"/>
      <c r="Q199" s="443"/>
      <c r="R199" s="443"/>
      <c r="S199" s="443"/>
      <c r="T199" s="443"/>
      <c r="U199" s="443"/>
      <c r="V199" s="443"/>
    </row>
    <row r="200">
      <c r="A200" s="441" t="s">
        <v>5891</v>
      </c>
      <c r="B200" s="441">
        <v>0.0</v>
      </c>
      <c r="C200" s="441">
        <v>0.0</v>
      </c>
      <c r="D200" s="441" t="s">
        <v>5892</v>
      </c>
      <c r="E200" s="441">
        <v>0.0</v>
      </c>
      <c r="F200" s="441" t="s">
        <v>4458</v>
      </c>
      <c r="G200" s="442" t="s">
        <v>5603</v>
      </c>
      <c r="H200" s="441">
        <v>3702.0</v>
      </c>
      <c r="I200" s="441">
        <v>37.0</v>
      </c>
      <c r="J200" s="441" t="s">
        <v>4457</v>
      </c>
      <c r="K200" s="443"/>
      <c r="L200" s="443"/>
      <c r="M200" s="443"/>
      <c r="N200" s="443"/>
      <c r="O200" s="443"/>
      <c r="P200" s="443"/>
      <c r="Q200" s="443"/>
      <c r="R200" s="443"/>
      <c r="S200" s="443"/>
      <c r="T200" s="443"/>
      <c r="U200" s="443"/>
      <c r="V200" s="443"/>
    </row>
    <row r="201">
      <c r="A201" s="441" t="s">
        <v>5893</v>
      </c>
      <c r="B201" s="441">
        <v>0.0</v>
      </c>
      <c r="C201" s="441" t="s">
        <v>5894</v>
      </c>
      <c r="D201" s="441" t="s">
        <v>5895</v>
      </c>
      <c r="E201" s="441">
        <v>0.0</v>
      </c>
      <c r="F201" s="441" t="s">
        <v>4461</v>
      </c>
      <c r="G201" s="442" t="s">
        <v>5603</v>
      </c>
      <c r="H201" s="441">
        <v>3703.0</v>
      </c>
      <c r="I201" s="441">
        <v>37.0</v>
      </c>
      <c r="J201" s="441" t="s">
        <v>4457</v>
      </c>
      <c r="K201" s="443"/>
      <c r="L201" s="443"/>
      <c r="M201" s="443"/>
      <c r="N201" s="443"/>
      <c r="O201" s="443"/>
      <c r="P201" s="443"/>
      <c r="Q201" s="443"/>
      <c r="R201" s="443"/>
      <c r="S201" s="443"/>
      <c r="T201" s="443"/>
      <c r="U201" s="443"/>
      <c r="V201" s="443"/>
    </row>
    <row r="202">
      <c r="A202" s="441" t="s">
        <v>5896</v>
      </c>
      <c r="B202" s="441">
        <v>0.0</v>
      </c>
      <c r="C202" s="441" t="s">
        <v>5897</v>
      </c>
      <c r="D202" s="441">
        <v>0.0</v>
      </c>
      <c r="E202" s="441" t="s">
        <v>5898</v>
      </c>
      <c r="F202" s="441" t="s">
        <v>4485</v>
      </c>
      <c r="G202" s="442" t="s">
        <v>5603</v>
      </c>
      <c r="H202" s="441">
        <v>3704.0</v>
      </c>
      <c r="I202" s="441">
        <v>37.0</v>
      </c>
      <c r="J202" s="441" t="s">
        <v>4479</v>
      </c>
      <c r="K202" s="443"/>
      <c r="L202" s="443"/>
      <c r="M202" s="443"/>
      <c r="N202" s="443"/>
      <c r="O202" s="443"/>
      <c r="P202" s="443"/>
      <c r="Q202" s="443"/>
      <c r="R202" s="443"/>
      <c r="S202" s="443"/>
      <c r="T202" s="443"/>
      <c r="U202" s="443"/>
      <c r="V202" s="443"/>
    </row>
    <row r="203">
      <c r="A203" s="441" t="s">
        <v>5899</v>
      </c>
      <c r="B203" s="441">
        <v>0.0</v>
      </c>
      <c r="C203" s="441" t="s">
        <v>5900</v>
      </c>
      <c r="D203" s="441">
        <v>0.0</v>
      </c>
      <c r="E203" s="441" t="s">
        <v>5901</v>
      </c>
      <c r="F203" s="441" t="s">
        <v>4485</v>
      </c>
      <c r="G203" s="442" t="s">
        <v>5603</v>
      </c>
      <c r="H203" s="441">
        <v>3705.0</v>
      </c>
      <c r="I203" s="441">
        <v>37.0</v>
      </c>
      <c r="J203" s="441" t="s">
        <v>4457</v>
      </c>
      <c r="K203" s="443"/>
      <c r="L203" s="443"/>
      <c r="M203" s="443"/>
      <c r="N203" s="443"/>
      <c r="O203" s="443"/>
      <c r="P203" s="443"/>
      <c r="Q203" s="443"/>
      <c r="R203" s="443"/>
      <c r="S203" s="443"/>
      <c r="T203" s="443"/>
      <c r="U203" s="443"/>
      <c r="V203" s="443"/>
    </row>
    <row r="204">
      <c r="A204" s="441" t="s">
        <v>5902</v>
      </c>
      <c r="B204" s="441" t="s">
        <v>4868</v>
      </c>
      <c r="C204" s="441" t="s">
        <v>5903</v>
      </c>
      <c r="D204" s="441" t="s">
        <v>5904</v>
      </c>
      <c r="E204" s="441">
        <v>0.0</v>
      </c>
      <c r="F204" s="441" t="s">
        <v>4500</v>
      </c>
      <c r="G204" s="442" t="s">
        <v>5603</v>
      </c>
      <c r="H204" s="441">
        <v>3706.0</v>
      </c>
      <c r="I204" s="441">
        <v>37.0</v>
      </c>
      <c r="J204" s="441" t="s">
        <v>4457</v>
      </c>
      <c r="K204" s="443"/>
      <c r="L204" s="443"/>
      <c r="M204" s="443"/>
      <c r="N204" s="443"/>
      <c r="O204" s="443"/>
      <c r="P204" s="443"/>
      <c r="Q204" s="443"/>
      <c r="R204" s="443"/>
      <c r="S204" s="443"/>
      <c r="T204" s="443"/>
      <c r="U204" s="443"/>
      <c r="V204" s="443"/>
    </row>
    <row r="205">
      <c r="A205" s="441" t="s">
        <v>5905</v>
      </c>
      <c r="B205" s="441">
        <v>0.0</v>
      </c>
      <c r="C205" s="441" t="s">
        <v>5906</v>
      </c>
      <c r="D205" s="441">
        <v>0.0</v>
      </c>
      <c r="E205" s="441" t="s">
        <v>5907</v>
      </c>
      <c r="F205" s="441" t="s">
        <v>4472</v>
      </c>
      <c r="G205" s="442" t="s">
        <v>5603</v>
      </c>
      <c r="H205" s="441">
        <v>3707.0</v>
      </c>
      <c r="I205" s="441">
        <v>37.0</v>
      </c>
      <c r="J205" s="441" t="s">
        <v>4457</v>
      </c>
      <c r="K205" s="443"/>
      <c r="L205" s="443"/>
      <c r="M205" s="443"/>
      <c r="N205" s="443"/>
      <c r="O205" s="443"/>
      <c r="P205" s="443"/>
      <c r="Q205" s="443"/>
      <c r="R205" s="443"/>
      <c r="S205" s="443"/>
      <c r="T205" s="443"/>
      <c r="U205" s="443"/>
      <c r="V205" s="443"/>
    </row>
    <row r="206">
      <c r="A206" s="441" t="s">
        <v>5600</v>
      </c>
      <c r="B206" s="441" t="s">
        <v>5601</v>
      </c>
      <c r="C206" s="441" t="s">
        <v>5602</v>
      </c>
      <c r="D206" s="441">
        <v>0.0</v>
      </c>
      <c r="E206" s="441">
        <v>0.0</v>
      </c>
      <c r="F206" s="441">
        <v>0.0</v>
      </c>
      <c r="G206" s="442" t="s">
        <v>5603</v>
      </c>
      <c r="H206" s="441">
        <v>3708.0</v>
      </c>
      <c r="I206" s="441">
        <v>37.0</v>
      </c>
      <c r="J206" s="441" t="s">
        <v>4641</v>
      </c>
      <c r="K206" s="443"/>
      <c r="L206" s="443"/>
      <c r="M206" s="443"/>
      <c r="N206" s="443"/>
      <c r="O206" s="443"/>
      <c r="P206" s="443"/>
      <c r="Q206" s="443"/>
      <c r="R206" s="443"/>
      <c r="S206" s="443"/>
      <c r="T206" s="443"/>
      <c r="U206" s="443"/>
      <c r="V206" s="443"/>
    </row>
    <row r="207">
      <c r="A207" s="441" t="s">
        <v>5600</v>
      </c>
      <c r="B207" s="441" t="s">
        <v>5601</v>
      </c>
      <c r="C207" s="441" t="s">
        <v>5602</v>
      </c>
      <c r="D207" s="441">
        <v>0.0</v>
      </c>
      <c r="E207" s="441">
        <v>0.0</v>
      </c>
      <c r="F207" s="441">
        <v>0.0</v>
      </c>
      <c r="G207" s="442" t="s">
        <v>5603</v>
      </c>
      <c r="H207" s="441">
        <v>3801.0</v>
      </c>
      <c r="I207" s="441">
        <v>38.0</v>
      </c>
      <c r="J207" s="441" t="s">
        <v>4641</v>
      </c>
      <c r="K207" s="443"/>
      <c r="L207" s="443"/>
      <c r="M207" s="443"/>
      <c r="N207" s="443"/>
      <c r="O207" s="443"/>
      <c r="P207" s="443"/>
      <c r="Q207" s="443"/>
      <c r="R207" s="443"/>
      <c r="S207" s="443"/>
      <c r="T207" s="443"/>
      <c r="U207" s="443"/>
      <c r="V207" s="443"/>
    </row>
    <row r="208">
      <c r="A208" s="441" t="s">
        <v>5600</v>
      </c>
      <c r="B208" s="441" t="s">
        <v>5601</v>
      </c>
      <c r="C208" s="441" t="s">
        <v>5602</v>
      </c>
      <c r="D208" s="441">
        <v>0.0</v>
      </c>
      <c r="E208" s="441">
        <v>0.0</v>
      </c>
      <c r="F208" s="441">
        <v>0.0</v>
      </c>
      <c r="G208" s="442" t="s">
        <v>5603</v>
      </c>
      <c r="H208" s="441">
        <v>3802.0</v>
      </c>
      <c r="I208" s="441">
        <v>38.0</v>
      </c>
      <c r="J208" s="441" t="s">
        <v>4457</v>
      </c>
      <c r="K208" s="443"/>
      <c r="L208" s="443"/>
      <c r="M208" s="443"/>
      <c r="N208" s="443"/>
      <c r="O208" s="443"/>
      <c r="P208" s="443"/>
      <c r="Q208" s="443"/>
      <c r="R208" s="443"/>
      <c r="S208" s="443"/>
      <c r="T208" s="443"/>
      <c r="U208" s="443"/>
      <c r="V208" s="443"/>
    </row>
    <row r="209">
      <c r="A209" s="441" t="s">
        <v>5908</v>
      </c>
      <c r="B209" s="441">
        <v>0.0</v>
      </c>
      <c r="C209" s="441" t="s">
        <v>5909</v>
      </c>
      <c r="D209" s="441" t="s">
        <v>5910</v>
      </c>
      <c r="E209" s="441" t="s">
        <v>5911</v>
      </c>
      <c r="F209" s="441" t="s">
        <v>4517</v>
      </c>
      <c r="G209" s="442" t="s">
        <v>5603</v>
      </c>
      <c r="H209" s="441">
        <v>3803.0</v>
      </c>
      <c r="I209" s="441">
        <v>38.0</v>
      </c>
      <c r="J209" s="441" t="s">
        <v>4457</v>
      </c>
      <c r="K209" s="443"/>
      <c r="L209" s="443"/>
      <c r="M209" s="443"/>
      <c r="N209" s="443"/>
      <c r="O209" s="443"/>
      <c r="P209" s="443"/>
      <c r="Q209" s="443"/>
      <c r="R209" s="443"/>
      <c r="S209" s="443"/>
      <c r="T209" s="443"/>
      <c r="U209" s="443"/>
      <c r="V209" s="443"/>
    </row>
    <row r="210">
      <c r="A210" s="441" t="s">
        <v>5523</v>
      </c>
      <c r="B210" s="441">
        <v>0.0</v>
      </c>
      <c r="C210" s="441" t="s">
        <v>5524</v>
      </c>
      <c r="D210" s="441" t="s">
        <v>5525</v>
      </c>
      <c r="E210" s="441" t="s">
        <v>5526</v>
      </c>
      <c r="F210" s="441" t="s">
        <v>5331</v>
      </c>
      <c r="G210" s="442" t="s">
        <v>5603</v>
      </c>
      <c r="H210" s="441">
        <v>2204.0</v>
      </c>
      <c r="I210" s="441">
        <v>22.0</v>
      </c>
      <c r="J210" s="441" t="s">
        <v>4479</v>
      </c>
      <c r="K210" s="443"/>
      <c r="L210" s="443"/>
      <c r="M210" s="443"/>
      <c r="N210" s="443"/>
      <c r="O210" s="443"/>
      <c r="P210" s="443"/>
      <c r="Q210" s="443"/>
      <c r="R210" s="443"/>
      <c r="S210" s="443"/>
      <c r="T210" s="443"/>
      <c r="U210" s="443"/>
      <c r="V210" s="443"/>
    </row>
    <row r="211">
      <c r="A211" s="441" t="s">
        <v>5523</v>
      </c>
      <c r="B211" s="441">
        <v>0.0</v>
      </c>
      <c r="C211" s="441" t="s">
        <v>5524</v>
      </c>
      <c r="D211" s="441" t="s">
        <v>5525</v>
      </c>
      <c r="E211" s="441" t="s">
        <v>5526</v>
      </c>
      <c r="F211" s="441" t="s">
        <v>5331</v>
      </c>
      <c r="G211" s="442" t="s">
        <v>5603</v>
      </c>
      <c r="H211" s="441">
        <v>2205.0</v>
      </c>
      <c r="I211" s="441">
        <v>22.0</v>
      </c>
      <c r="J211" s="441" t="s">
        <v>4479</v>
      </c>
      <c r="K211" s="443"/>
      <c r="L211" s="443"/>
      <c r="M211" s="443"/>
      <c r="N211" s="443"/>
      <c r="O211" s="443"/>
      <c r="P211" s="443"/>
      <c r="Q211" s="443"/>
      <c r="R211" s="443"/>
      <c r="S211" s="443"/>
      <c r="T211" s="443"/>
      <c r="U211" s="443"/>
      <c r="V211" s="443"/>
    </row>
    <row r="212">
      <c r="A212" s="441" t="s">
        <v>5912</v>
      </c>
      <c r="B212" s="441">
        <v>7.553879E7</v>
      </c>
      <c r="C212" s="441">
        <v>0.0</v>
      </c>
      <c r="D212" s="441" t="s">
        <v>5913</v>
      </c>
      <c r="E212" s="441" t="s">
        <v>5914</v>
      </c>
      <c r="F212" s="441" t="s">
        <v>4517</v>
      </c>
      <c r="G212" s="442" t="s">
        <v>5603</v>
      </c>
      <c r="H212" s="441">
        <v>3806.0</v>
      </c>
      <c r="I212" s="441">
        <v>38.0</v>
      </c>
      <c r="J212" s="441" t="s">
        <v>4457</v>
      </c>
      <c r="K212" s="443"/>
      <c r="L212" s="443"/>
      <c r="M212" s="443"/>
      <c r="N212" s="443"/>
      <c r="O212" s="443"/>
      <c r="P212" s="443"/>
      <c r="Q212" s="443"/>
      <c r="R212" s="443"/>
      <c r="S212" s="443"/>
      <c r="T212" s="443"/>
      <c r="U212" s="443"/>
      <c r="V212" s="443"/>
    </row>
    <row r="213">
      <c r="A213" s="441" t="s">
        <v>5600</v>
      </c>
      <c r="B213" s="441" t="s">
        <v>5601</v>
      </c>
      <c r="C213" s="441" t="s">
        <v>5602</v>
      </c>
      <c r="D213" s="441">
        <v>0.0</v>
      </c>
      <c r="E213" s="441">
        <v>0.0</v>
      </c>
      <c r="F213" s="441">
        <v>0.0</v>
      </c>
      <c r="G213" s="442" t="s">
        <v>5603</v>
      </c>
      <c r="H213" s="441">
        <v>3807.0</v>
      </c>
      <c r="I213" s="441">
        <v>38.0</v>
      </c>
      <c r="J213" s="441" t="s">
        <v>4457</v>
      </c>
      <c r="K213" s="443"/>
      <c r="L213" s="443"/>
      <c r="M213" s="443"/>
      <c r="N213" s="443"/>
      <c r="O213" s="443"/>
      <c r="P213" s="443"/>
      <c r="Q213" s="443"/>
      <c r="R213" s="443"/>
      <c r="S213" s="443"/>
      <c r="T213" s="443"/>
      <c r="U213" s="443"/>
      <c r="V213" s="443"/>
    </row>
    <row r="214">
      <c r="A214" s="441" t="s">
        <v>5600</v>
      </c>
      <c r="B214" s="441" t="s">
        <v>5601</v>
      </c>
      <c r="C214" s="441" t="s">
        <v>5602</v>
      </c>
      <c r="D214" s="441">
        <v>0.0</v>
      </c>
      <c r="E214" s="441">
        <v>0.0</v>
      </c>
      <c r="F214" s="441">
        <v>0.0</v>
      </c>
      <c r="G214" s="442" t="s">
        <v>5603</v>
      </c>
      <c r="H214" s="441">
        <v>3808.0</v>
      </c>
      <c r="I214" s="441">
        <v>38.0</v>
      </c>
      <c r="J214" s="441" t="s">
        <v>4641</v>
      </c>
      <c r="K214" s="443"/>
      <c r="L214" s="443"/>
      <c r="M214" s="443"/>
      <c r="N214" s="443"/>
      <c r="O214" s="443"/>
      <c r="P214" s="443"/>
      <c r="Q214" s="443"/>
      <c r="R214" s="443"/>
      <c r="S214" s="443"/>
      <c r="T214" s="443"/>
      <c r="U214" s="443"/>
      <c r="V214" s="443"/>
    </row>
    <row r="215">
      <c r="A215" s="441" t="s">
        <v>5600</v>
      </c>
      <c r="B215" s="441" t="s">
        <v>5601</v>
      </c>
      <c r="C215" s="441" t="s">
        <v>5602</v>
      </c>
      <c r="D215" s="441">
        <v>0.0</v>
      </c>
      <c r="E215" s="441">
        <v>0.0</v>
      </c>
      <c r="F215" s="441">
        <v>0.0</v>
      </c>
      <c r="G215" s="442" t="s">
        <v>5603</v>
      </c>
      <c r="H215" s="441">
        <v>5402.0</v>
      </c>
      <c r="I215" s="441">
        <v>54.0</v>
      </c>
      <c r="J215" s="441" t="s">
        <v>5915</v>
      </c>
      <c r="K215" s="443"/>
      <c r="L215" s="443"/>
      <c r="M215" s="443"/>
      <c r="N215" s="443"/>
      <c r="O215" s="443"/>
      <c r="P215" s="443"/>
      <c r="Q215" s="443"/>
      <c r="R215" s="443"/>
      <c r="S215" s="443"/>
      <c r="T215" s="443"/>
      <c r="U215" s="443"/>
      <c r="V215" s="443"/>
    </row>
    <row r="216">
      <c r="A216" s="441" t="s">
        <v>5600</v>
      </c>
      <c r="B216" s="441" t="s">
        <v>5601</v>
      </c>
      <c r="C216" s="441" t="s">
        <v>5602</v>
      </c>
      <c r="D216" s="441">
        <v>0.0</v>
      </c>
      <c r="E216" s="441">
        <v>0.0</v>
      </c>
      <c r="F216" s="441">
        <v>0.0</v>
      </c>
      <c r="G216" s="442" t="s">
        <v>5603</v>
      </c>
      <c r="H216" s="441">
        <v>5501.0</v>
      </c>
      <c r="I216" s="441">
        <v>55.0</v>
      </c>
      <c r="J216" s="441" t="s">
        <v>5915</v>
      </c>
      <c r="K216" s="443"/>
      <c r="L216" s="443"/>
      <c r="M216" s="443"/>
      <c r="N216" s="443"/>
      <c r="O216" s="443"/>
      <c r="P216" s="443"/>
      <c r="Q216" s="443"/>
      <c r="R216" s="443"/>
      <c r="S216" s="443"/>
      <c r="T216" s="443"/>
      <c r="U216" s="443"/>
      <c r="V216" s="443"/>
    </row>
    <row r="217">
      <c r="A217" s="441" t="s">
        <v>5600</v>
      </c>
      <c r="B217" s="441" t="s">
        <v>5601</v>
      </c>
      <c r="C217" s="441" t="s">
        <v>5602</v>
      </c>
      <c r="D217" s="441">
        <v>0.0</v>
      </c>
      <c r="E217" s="441">
        <v>0.0</v>
      </c>
      <c r="F217" s="441">
        <v>0.0</v>
      </c>
      <c r="G217" s="442" t="s">
        <v>5603</v>
      </c>
      <c r="H217" s="441">
        <v>5502.0</v>
      </c>
      <c r="I217" s="441">
        <v>55.0</v>
      </c>
      <c r="J217" s="441" t="s">
        <v>5915</v>
      </c>
      <c r="K217" s="443"/>
      <c r="L217" s="443"/>
      <c r="M217" s="443"/>
      <c r="N217" s="443"/>
      <c r="O217" s="443"/>
      <c r="P217" s="443"/>
      <c r="Q217" s="443"/>
      <c r="R217" s="443"/>
      <c r="S217" s="443"/>
      <c r="T217" s="443"/>
      <c r="U217" s="443"/>
      <c r="V217" s="443"/>
    </row>
    <row r="218">
      <c r="A218" s="441" t="s">
        <v>5916</v>
      </c>
      <c r="B218" s="441">
        <v>0.0</v>
      </c>
      <c r="C218" s="441" t="s">
        <v>5917</v>
      </c>
      <c r="D218" s="441" t="s">
        <v>5918</v>
      </c>
      <c r="E218" s="441" t="s">
        <v>5919</v>
      </c>
      <c r="F218" s="441" t="s">
        <v>4631</v>
      </c>
      <c r="G218" s="442" t="s">
        <v>5603</v>
      </c>
      <c r="H218" s="441">
        <v>4004.0</v>
      </c>
      <c r="I218" s="441">
        <v>40.0</v>
      </c>
      <c r="J218" s="441" t="s">
        <v>4479</v>
      </c>
      <c r="K218" s="443"/>
      <c r="L218" s="443"/>
      <c r="M218" s="443"/>
      <c r="N218" s="443"/>
      <c r="O218" s="443"/>
      <c r="P218" s="443"/>
      <c r="Q218" s="443"/>
      <c r="R218" s="443"/>
      <c r="S218" s="443"/>
      <c r="T218" s="443"/>
      <c r="U218" s="443"/>
      <c r="V218" s="443"/>
    </row>
    <row r="219">
      <c r="A219" s="441" t="s">
        <v>5920</v>
      </c>
      <c r="B219" s="441" t="s">
        <v>5921</v>
      </c>
      <c r="C219" s="441" t="s">
        <v>5922</v>
      </c>
      <c r="D219" s="441" t="s">
        <v>5923</v>
      </c>
      <c r="E219" s="441">
        <v>0.0</v>
      </c>
      <c r="F219" s="441" t="s">
        <v>4503</v>
      </c>
      <c r="G219" s="442" t="s">
        <v>5603</v>
      </c>
      <c r="H219" s="441">
        <v>4005.0</v>
      </c>
      <c r="I219" s="441">
        <v>40.0</v>
      </c>
      <c r="J219" s="441" t="s">
        <v>4457</v>
      </c>
      <c r="K219" s="443"/>
      <c r="L219" s="443"/>
      <c r="M219" s="443"/>
      <c r="N219" s="443"/>
      <c r="O219" s="443"/>
      <c r="P219" s="443"/>
      <c r="Q219" s="443"/>
      <c r="R219" s="443"/>
      <c r="S219" s="443"/>
      <c r="T219" s="443"/>
      <c r="U219" s="443"/>
      <c r="V219" s="443"/>
    </row>
    <row r="220">
      <c r="A220" s="441" t="s">
        <v>5924</v>
      </c>
      <c r="B220" s="441">
        <v>0.0</v>
      </c>
      <c r="C220" s="441" t="s">
        <v>5925</v>
      </c>
      <c r="D220" s="441">
        <v>0.0</v>
      </c>
      <c r="E220" s="441" t="s">
        <v>5926</v>
      </c>
      <c r="F220" s="441" t="s">
        <v>4472</v>
      </c>
      <c r="G220" s="442" t="s">
        <v>5603</v>
      </c>
      <c r="H220" s="441">
        <v>4006.0</v>
      </c>
      <c r="I220" s="441">
        <v>40.0</v>
      </c>
      <c r="J220" s="441" t="s">
        <v>4457</v>
      </c>
      <c r="K220" s="443"/>
      <c r="L220" s="443"/>
      <c r="M220" s="443"/>
      <c r="N220" s="443"/>
      <c r="O220" s="443"/>
      <c r="P220" s="443"/>
      <c r="Q220" s="443"/>
      <c r="R220" s="443"/>
      <c r="S220" s="443"/>
      <c r="T220" s="443"/>
      <c r="U220" s="443"/>
      <c r="V220" s="443"/>
    </row>
    <row r="221">
      <c r="A221" s="441" t="s">
        <v>5927</v>
      </c>
      <c r="B221" s="441" t="s">
        <v>5928</v>
      </c>
      <c r="C221" s="441">
        <v>0.0</v>
      </c>
      <c r="D221" s="441" t="s">
        <v>5929</v>
      </c>
      <c r="E221" s="441" t="s">
        <v>5930</v>
      </c>
      <c r="F221" s="441" t="s">
        <v>4631</v>
      </c>
      <c r="G221" s="442" t="s">
        <v>5603</v>
      </c>
      <c r="H221" s="441">
        <v>4007.0</v>
      </c>
      <c r="I221" s="441">
        <v>40.0</v>
      </c>
      <c r="J221" s="441" t="s">
        <v>4457</v>
      </c>
      <c r="K221" s="443"/>
      <c r="L221" s="443"/>
      <c r="M221" s="443"/>
      <c r="N221" s="443"/>
      <c r="O221" s="443"/>
      <c r="P221" s="443"/>
      <c r="Q221" s="443"/>
      <c r="R221" s="443"/>
      <c r="S221" s="443"/>
      <c r="T221" s="443"/>
      <c r="U221" s="443"/>
      <c r="V221" s="443"/>
    </row>
    <row r="222">
      <c r="A222" s="441" t="s">
        <v>5600</v>
      </c>
      <c r="B222" s="441" t="s">
        <v>5601</v>
      </c>
      <c r="C222" s="441" t="s">
        <v>5602</v>
      </c>
      <c r="D222" s="441">
        <v>0.0</v>
      </c>
      <c r="E222" s="441">
        <v>0.0</v>
      </c>
      <c r="F222" s="441">
        <v>0.0</v>
      </c>
      <c r="G222" s="442" t="s">
        <v>5603</v>
      </c>
      <c r="H222" s="441">
        <v>4008.0</v>
      </c>
      <c r="I222" s="441">
        <v>40.0</v>
      </c>
      <c r="J222" s="441" t="s">
        <v>4641</v>
      </c>
      <c r="K222" s="443"/>
      <c r="L222" s="443"/>
      <c r="M222" s="443"/>
      <c r="N222" s="443"/>
      <c r="O222" s="443"/>
      <c r="P222" s="443"/>
      <c r="Q222" s="443"/>
      <c r="R222" s="443"/>
      <c r="S222" s="443"/>
      <c r="T222" s="443"/>
      <c r="U222" s="443"/>
      <c r="V222" s="443"/>
    </row>
    <row r="223">
      <c r="A223" s="441" t="s">
        <v>5600</v>
      </c>
      <c r="B223" s="441" t="s">
        <v>5601</v>
      </c>
      <c r="C223" s="441" t="s">
        <v>5602</v>
      </c>
      <c r="D223" s="441">
        <v>0.0</v>
      </c>
      <c r="E223" s="441">
        <v>0.0</v>
      </c>
      <c r="F223" s="441">
        <v>0.0</v>
      </c>
      <c r="G223" s="442" t="s">
        <v>5603</v>
      </c>
      <c r="H223" s="441">
        <v>4101.0</v>
      </c>
      <c r="I223" s="441">
        <v>41.0</v>
      </c>
      <c r="J223" s="441" t="s">
        <v>4641</v>
      </c>
      <c r="K223" s="443"/>
      <c r="L223" s="443"/>
      <c r="M223" s="443"/>
      <c r="N223" s="443"/>
      <c r="O223" s="443"/>
      <c r="P223" s="443"/>
      <c r="Q223" s="443"/>
      <c r="R223" s="443"/>
      <c r="S223" s="443"/>
      <c r="T223" s="443"/>
      <c r="U223" s="443"/>
      <c r="V223" s="443"/>
    </row>
    <row r="224">
      <c r="A224" s="441" t="s">
        <v>5931</v>
      </c>
      <c r="B224" s="441">
        <v>0.0</v>
      </c>
      <c r="C224" s="441" t="s">
        <v>5909</v>
      </c>
      <c r="D224" s="441" t="s">
        <v>5932</v>
      </c>
      <c r="E224" s="441" t="s">
        <v>5933</v>
      </c>
      <c r="F224" s="441" t="s">
        <v>4500</v>
      </c>
      <c r="G224" s="442" t="s">
        <v>5603</v>
      </c>
      <c r="H224" s="441">
        <v>4102.0</v>
      </c>
      <c r="I224" s="441">
        <v>41.0</v>
      </c>
      <c r="J224" s="441" t="s">
        <v>4457</v>
      </c>
      <c r="K224" s="443"/>
      <c r="L224" s="443"/>
      <c r="M224" s="443"/>
      <c r="N224" s="443"/>
      <c r="O224" s="443"/>
      <c r="P224" s="443"/>
      <c r="Q224" s="443"/>
      <c r="R224" s="443"/>
      <c r="S224" s="443"/>
      <c r="T224" s="443"/>
      <c r="U224" s="443"/>
      <c r="V224" s="443"/>
    </row>
    <row r="225">
      <c r="A225" s="441" t="s">
        <v>5600</v>
      </c>
      <c r="B225" s="441" t="s">
        <v>5601</v>
      </c>
      <c r="C225" s="441" t="s">
        <v>5602</v>
      </c>
      <c r="D225" s="441">
        <v>0.0</v>
      </c>
      <c r="E225" s="441">
        <v>0.0</v>
      </c>
      <c r="F225" s="441">
        <v>0.0</v>
      </c>
      <c r="G225" s="442" t="s">
        <v>5603</v>
      </c>
      <c r="H225" s="441">
        <v>4103.0</v>
      </c>
      <c r="I225" s="441">
        <v>41.0</v>
      </c>
      <c r="J225" s="441" t="s">
        <v>4457</v>
      </c>
      <c r="K225" s="443"/>
      <c r="L225" s="443"/>
      <c r="M225" s="443"/>
      <c r="N225" s="443"/>
      <c r="O225" s="443"/>
      <c r="P225" s="443"/>
      <c r="Q225" s="443"/>
      <c r="R225" s="443"/>
      <c r="S225" s="443"/>
      <c r="T225" s="443"/>
      <c r="U225" s="443"/>
      <c r="V225" s="443"/>
    </row>
    <row r="226">
      <c r="A226" s="441" t="s">
        <v>5934</v>
      </c>
      <c r="B226" s="441">
        <v>0.0</v>
      </c>
      <c r="C226" s="441" t="s">
        <v>5935</v>
      </c>
      <c r="D226" s="441" t="s">
        <v>5936</v>
      </c>
      <c r="E226" s="441" t="s">
        <v>5937</v>
      </c>
      <c r="F226" s="441" t="s">
        <v>4521</v>
      </c>
      <c r="G226" s="442" t="s">
        <v>5603</v>
      </c>
      <c r="H226" s="441">
        <v>4104.0</v>
      </c>
      <c r="I226" s="441">
        <v>41.0</v>
      </c>
      <c r="J226" s="441" t="s">
        <v>4479</v>
      </c>
      <c r="K226" s="443"/>
      <c r="L226" s="443"/>
      <c r="M226" s="443"/>
      <c r="N226" s="443"/>
      <c r="O226" s="443"/>
      <c r="P226" s="443"/>
      <c r="Q226" s="443"/>
      <c r="R226" s="443"/>
      <c r="S226" s="443"/>
      <c r="T226" s="443"/>
      <c r="U226" s="443"/>
      <c r="V226" s="443"/>
    </row>
    <row r="227">
      <c r="A227" s="441" t="s">
        <v>5085</v>
      </c>
      <c r="B227" s="441" t="s">
        <v>5086</v>
      </c>
      <c r="C227" s="441" t="s">
        <v>5088</v>
      </c>
      <c r="D227" s="441" t="s">
        <v>5087</v>
      </c>
      <c r="E227" s="441" t="s">
        <v>5086</v>
      </c>
      <c r="F227" s="441" t="s">
        <v>4533</v>
      </c>
      <c r="G227" s="442" t="s">
        <v>5603</v>
      </c>
      <c r="H227" s="441">
        <v>4105.0</v>
      </c>
      <c r="I227" s="441">
        <v>41.0</v>
      </c>
      <c r="J227" s="441" t="s">
        <v>4457</v>
      </c>
      <c r="K227" s="443"/>
      <c r="L227" s="443"/>
      <c r="M227" s="443"/>
      <c r="N227" s="443"/>
      <c r="O227" s="443"/>
      <c r="P227" s="443"/>
      <c r="Q227" s="443"/>
      <c r="R227" s="443"/>
      <c r="S227" s="443"/>
      <c r="T227" s="443"/>
      <c r="U227" s="443"/>
      <c r="V227" s="443"/>
    </row>
    <row r="228">
      <c r="A228" s="441" t="s">
        <v>5701</v>
      </c>
      <c r="B228" s="441">
        <v>0.0</v>
      </c>
      <c r="C228" s="441" t="s">
        <v>5702</v>
      </c>
      <c r="D228" s="441" t="s">
        <v>5703</v>
      </c>
      <c r="E228" s="441">
        <v>0.0</v>
      </c>
      <c r="F228" s="441" t="s">
        <v>4503</v>
      </c>
      <c r="G228" s="442" t="s">
        <v>5603</v>
      </c>
      <c r="H228" s="441">
        <v>4106.0</v>
      </c>
      <c r="I228" s="441">
        <v>41.0</v>
      </c>
      <c r="J228" s="441" t="s">
        <v>4457</v>
      </c>
      <c r="K228" s="443"/>
      <c r="L228" s="443"/>
      <c r="M228" s="443"/>
      <c r="N228" s="443"/>
      <c r="O228" s="443"/>
      <c r="P228" s="443"/>
      <c r="Q228" s="443"/>
      <c r="R228" s="443"/>
      <c r="S228" s="443"/>
      <c r="T228" s="443"/>
      <c r="U228" s="443"/>
      <c r="V228" s="443"/>
    </row>
    <row r="229">
      <c r="A229" s="441" t="s">
        <v>5938</v>
      </c>
      <c r="B229" s="441">
        <v>0.0</v>
      </c>
      <c r="C229" s="441">
        <v>0.0</v>
      </c>
      <c r="D229" s="441">
        <v>0.0</v>
      </c>
      <c r="E229" s="441" t="s">
        <v>5939</v>
      </c>
      <c r="F229" s="441" t="s">
        <v>4626</v>
      </c>
      <c r="G229" s="442" t="s">
        <v>5603</v>
      </c>
      <c r="H229" s="441">
        <v>4107.0</v>
      </c>
      <c r="I229" s="441">
        <v>41.0</v>
      </c>
      <c r="J229" s="441" t="s">
        <v>4457</v>
      </c>
      <c r="K229" s="443"/>
      <c r="L229" s="443"/>
      <c r="M229" s="443"/>
      <c r="N229" s="443"/>
      <c r="O229" s="443"/>
      <c r="P229" s="443"/>
      <c r="Q229" s="443"/>
      <c r="R229" s="443"/>
      <c r="S229" s="443"/>
      <c r="T229" s="443"/>
      <c r="U229" s="443"/>
      <c r="V229" s="443"/>
    </row>
    <row r="230">
      <c r="A230" s="441" t="s">
        <v>5753</v>
      </c>
      <c r="B230" s="441">
        <v>0.0</v>
      </c>
      <c r="C230" s="441">
        <v>0.0</v>
      </c>
      <c r="D230" s="441" t="s">
        <v>5754</v>
      </c>
      <c r="E230" s="441" t="s">
        <v>5755</v>
      </c>
      <c r="F230" s="441" t="s">
        <v>5756</v>
      </c>
      <c r="G230" s="442" t="s">
        <v>5603</v>
      </c>
      <c r="H230" s="441">
        <v>4108.0</v>
      </c>
      <c r="I230" s="441">
        <v>41.0</v>
      </c>
      <c r="J230" s="441" t="s">
        <v>4641</v>
      </c>
      <c r="K230" s="443"/>
      <c r="L230" s="443"/>
      <c r="M230" s="443"/>
      <c r="N230" s="443"/>
      <c r="O230" s="443"/>
      <c r="P230" s="443"/>
      <c r="Q230" s="443"/>
      <c r="R230" s="443"/>
      <c r="S230" s="443"/>
      <c r="T230" s="443"/>
      <c r="U230" s="443"/>
      <c r="V230" s="443"/>
    </row>
    <row r="231">
      <c r="A231" s="441" t="s">
        <v>5940</v>
      </c>
      <c r="B231" s="441" t="s">
        <v>5941</v>
      </c>
      <c r="C231" s="441" t="s">
        <v>5942</v>
      </c>
      <c r="D231" s="441" t="s">
        <v>5943</v>
      </c>
      <c r="E231" s="441" t="s">
        <v>5944</v>
      </c>
      <c r="F231" s="441" t="s">
        <v>4458</v>
      </c>
      <c r="G231" s="442" t="s">
        <v>5603</v>
      </c>
      <c r="H231" s="441">
        <v>4201.0</v>
      </c>
      <c r="I231" s="441">
        <v>42.0</v>
      </c>
      <c r="J231" s="441" t="s">
        <v>4641</v>
      </c>
      <c r="K231" s="443"/>
      <c r="L231" s="443"/>
      <c r="M231" s="443"/>
      <c r="N231" s="443"/>
      <c r="O231" s="443"/>
      <c r="P231" s="443"/>
      <c r="Q231" s="443"/>
      <c r="R231" s="443"/>
      <c r="S231" s="443"/>
      <c r="T231" s="443"/>
      <c r="U231" s="443"/>
      <c r="V231" s="443"/>
    </row>
    <row r="232">
      <c r="A232" s="441" t="s">
        <v>5940</v>
      </c>
      <c r="B232" s="441" t="s">
        <v>5941</v>
      </c>
      <c r="C232" s="441" t="s">
        <v>5942</v>
      </c>
      <c r="D232" s="441" t="s">
        <v>5943</v>
      </c>
      <c r="E232" s="441" t="s">
        <v>5944</v>
      </c>
      <c r="F232" s="441" t="s">
        <v>4458</v>
      </c>
      <c r="G232" s="442" t="s">
        <v>5603</v>
      </c>
      <c r="H232" s="441">
        <v>4202.0</v>
      </c>
      <c r="I232" s="441">
        <v>42.0</v>
      </c>
      <c r="J232" s="441" t="s">
        <v>4641</v>
      </c>
      <c r="K232" s="443"/>
      <c r="L232" s="443"/>
      <c r="M232" s="443"/>
      <c r="N232" s="443"/>
      <c r="O232" s="443"/>
      <c r="P232" s="443"/>
      <c r="Q232" s="443"/>
      <c r="R232" s="443"/>
      <c r="S232" s="443"/>
      <c r="T232" s="443"/>
      <c r="U232" s="443"/>
      <c r="V232" s="443"/>
    </row>
    <row r="233">
      <c r="A233" s="441" t="s">
        <v>5600</v>
      </c>
      <c r="B233" s="441" t="s">
        <v>5601</v>
      </c>
      <c r="C233" s="441" t="s">
        <v>5602</v>
      </c>
      <c r="D233" s="441">
        <v>0.0</v>
      </c>
      <c r="E233" s="441">
        <v>0.0</v>
      </c>
      <c r="F233" s="441">
        <v>0.0</v>
      </c>
      <c r="G233" s="442" t="s">
        <v>5603</v>
      </c>
      <c r="H233" s="441">
        <v>4203.0</v>
      </c>
      <c r="I233" s="441">
        <v>42.0</v>
      </c>
      <c r="J233" s="441" t="s">
        <v>4457</v>
      </c>
      <c r="K233" s="443"/>
      <c r="L233" s="443"/>
      <c r="M233" s="443"/>
      <c r="N233" s="443"/>
      <c r="O233" s="443"/>
      <c r="P233" s="443"/>
      <c r="Q233" s="443"/>
      <c r="R233" s="443"/>
      <c r="S233" s="443"/>
      <c r="T233" s="443"/>
      <c r="U233" s="443"/>
      <c r="V233" s="443"/>
    </row>
    <row r="234">
      <c r="A234" s="441" t="s">
        <v>5600</v>
      </c>
      <c r="B234" s="441" t="s">
        <v>5601</v>
      </c>
      <c r="C234" s="441" t="s">
        <v>5602</v>
      </c>
      <c r="D234" s="441">
        <v>0.0</v>
      </c>
      <c r="E234" s="441">
        <v>0.0</v>
      </c>
      <c r="F234" s="441">
        <v>0.0</v>
      </c>
      <c r="G234" s="442" t="s">
        <v>5603</v>
      </c>
      <c r="H234" s="441">
        <v>4204.0</v>
      </c>
      <c r="I234" s="441">
        <v>42.0</v>
      </c>
      <c r="J234" s="441" t="s">
        <v>4479</v>
      </c>
      <c r="K234" s="443"/>
      <c r="L234" s="443"/>
      <c r="M234" s="443"/>
      <c r="N234" s="443"/>
      <c r="O234" s="443"/>
      <c r="P234" s="443"/>
      <c r="Q234" s="443"/>
      <c r="R234" s="443"/>
      <c r="S234" s="443"/>
      <c r="T234" s="443"/>
      <c r="U234" s="443"/>
      <c r="V234" s="443"/>
    </row>
    <row r="235">
      <c r="A235" s="441" t="s">
        <v>5600</v>
      </c>
      <c r="B235" s="441" t="s">
        <v>5601</v>
      </c>
      <c r="C235" s="441" t="s">
        <v>5602</v>
      </c>
      <c r="D235" s="441">
        <v>0.0</v>
      </c>
      <c r="E235" s="441">
        <v>0.0</v>
      </c>
      <c r="F235" s="441">
        <v>0.0</v>
      </c>
      <c r="G235" s="442" t="s">
        <v>5603</v>
      </c>
      <c r="H235" s="441">
        <v>4205.0</v>
      </c>
      <c r="I235" s="441">
        <v>42.0</v>
      </c>
      <c r="J235" s="441" t="s">
        <v>4479</v>
      </c>
      <c r="K235" s="443"/>
      <c r="L235" s="443"/>
      <c r="M235" s="443"/>
      <c r="N235" s="443"/>
      <c r="O235" s="443"/>
      <c r="P235" s="443"/>
      <c r="Q235" s="443"/>
      <c r="R235" s="443"/>
      <c r="S235" s="443"/>
      <c r="T235" s="443"/>
      <c r="U235" s="443"/>
      <c r="V235" s="443"/>
    </row>
    <row r="236">
      <c r="A236" s="441" t="s">
        <v>5600</v>
      </c>
      <c r="B236" s="441" t="s">
        <v>5601</v>
      </c>
      <c r="C236" s="441" t="s">
        <v>5602</v>
      </c>
      <c r="D236" s="441">
        <v>0.0</v>
      </c>
      <c r="E236" s="441">
        <v>0.0</v>
      </c>
      <c r="F236" s="441">
        <v>0.0</v>
      </c>
      <c r="G236" s="442" t="s">
        <v>5603</v>
      </c>
      <c r="H236" s="441">
        <v>4206.0</v>
      </c>
      <c r="I236" s="441">
        <v>42.0</v>
      </c>
      <c r="J236" s="441" t="s">
        <v>4457</v>
      </c>
      <c r="K236" s="443"/>
      <c r="L236" s="443"/>
      <c r="M236" s="443"/>
      <c r="N236" s="443"/>
      <c r="O236" s="443"/>
      <c r="P236" s="443"/>
      <c r="Q236" s="443"/>
      <c r="R236" s="443"/>
      <c r="S236" s="443"/>
      <c r="T236" s="443"/>
      <c r="U236" s="443"/>
      <c r="V236" s="443"/>
    </row>
    <row r="237">
      <c r="A237" s="441" t="s">
        <v>5600</v>
      </c>
      <c r="B237" s="441" t="s">
        <v>5601</v>
      </c>
      <c r="C237" s="441" t="s">
        <v>5602</v>
      </c>
      <c r="D237" s="441">
        <v>0.0</v>
      </c>
      <c r="E237" s="441">
        <v>0.0</v>
      </c>
      <c r="F237" s="441">
        <v>0.0</v>
      </c>
      <c r="G237" s="442" t="s">
        <v>5603</v>
      </c>
      <c r="H237" s="441">
        <v>4207.0</v>
      </c>
      <c r="I237" s="441">
        <v>42.0</v>
      </c>
      <c r="J237" s="441" t="s">
        <v>4457</v>
      </c>
      <c r="K237" s="443"/>
      <c r="L237" s="443"/>
      <c r="M237" s="443"/>
      <c r="N237" s="443"/>
      <c r="O237" s="443"/>
      <c r="P237" s="443"/>
      <c r="Q237" s="443"/>
      <c r="R237" s="443"/>
      <c r="S237" s="443"/>
      <c r="T237" s="443"/>
      <c r="U237" s="443"/>
      <c r="V237" s="443"/>
    </row>
    <row r="238">
      <c r="A238" s="441" t="s">
        <v>5600</v>
      </c>
      <c r="B238" s="441" t="s">
        <v>5601</v>
      </c>
      <c r="C238" s="441" t="s">
        <v>5602</v>
      </c>
      <c r="D238" s="441">
        <v>0.0</v>
      </c>
      <c r="E238" s="441">
        <v>0.0</v>
      </c>
      <c r="F238" s="441">
        <v>0.0</v>
      </c>
      <c r="G238" s="442" t="s">
        <v>5603</v>
      </c>
      <c r="H238" s="441">
        <v>4208.0</v>
      </c>
      <c r="I238" s="441">
        <v>42.0</v>
      </c>
      <c r="J238" s="441" t="s">
        <v>4641</v>
      </c>
      <c r="K238" s="443"/>
      <c r="L238" s="443"/>
      <c r="M238" s="443"/>
      <c r="N238" s="443"/>
      <c r="O238" s="443"/>
      <c r="P238" s="443"/>
      <c r="Q238" s="443"/>
      <c r="R238" s="443"/>
      <c r="S238" s="443"/>
      <c r="T238" s="443"/>
      <c r="U238" s="443"/>
      <c r="V238" s="443"/>
    </row>
    <row r="239">
      <c r="A239" s="441" t="s">
        <v>5945</v>
      </c>
      <c r="B239" s="441" t="s">
        <v>5946</v>
      </c>
      <c r="C239" s="441">
        <v>0.0</v>
      </c>
      <c r="D239" s="441" t="s">
        <v>5947</v>
      </c>
      <c r="E239" s="441">
        <v>0.0</v>
      </c>
      <c r="F239" s="441" t="s">
        <v>4525</v>
      </c>
      <c r="G239" s="442" t="s">
        <v>5603</v>
      </c>
      <c r="H239" s="441">
        <v>4301.0</v>
      </c>
      <c r="I239" s="441">
        <v>43.0</v>
      </c>
      <c r="J239" s="441" t="s">
        <v>4641</v>
      </c>
      <c r="K239" s="443"/>
      <c r="L239" s="443"/>
      <c r="M239" s="443"/>
      <c r="N239" s="443"/>
      <c r="O239" s="443"/>
      <c r="P239" s="443"/>
      <c r="Q239" s="443"/>
      <c r="R239" s="443"/>
      <c r="S239" s="443"/>
      <c r="T239" s="443"/>
      <c r="U239" s="443"/>
      <c r="V239" s="443"/>
    </row>
    <row r="240">
      <c r="A240" s="441" t="s">
        <v>5600</v>
      </c>
      <c r="B240" s="441" t="s">
        <v>5601</v>
      </c>
      <c r="C240" s="441" t="s">
        <v>5602</v>
      </c>
      <c r="D240" s="441">
        <v>0.0</v>
      </c>
      <c r="E240" s="441">
        <v>0.0</v>
      </c>
      <c r="F240" s="441">
        <v>0.0</v>
      </c>
      <c r="G240" s="442" t="s">
        <v>5603</v>
      </c>
      <c r="H240" s="441">
        <v>2602.0</v>
      </c>
      <c r="I240" s="441">
        <v>26.0</v>
      </c>
      <c r="J240" s="441" t="s">
        <v>4457</v>
      </c>
      <c r="K240" s="443"/>
      <c r="L240" s="443"/>
      <c r="M240" s="443"/>
      <c r="N240" s="443"/>
      <c r="O240" s="443"/>
      <c r="P240" s="443"/>
      <c r="Q240" s="443"/>
      <c r="R240" s="443"/>
      <c r="S240" s="443"/>
      <c r="T240" s="443"/>
      <c r="U240" s="443"/>
      <c r="V240" s="443"/>
    </row>
    <row r="241">
      <c r="A241" s="441" t="s">
        <v>5600</v>
      </c>
      <c r="B241" s="441" t="s">
        <v>5601</v>
      </c>
      <c r="C241" s="441" t="s">
        <v>5602</v>
      </c>
      <c r="D241" s="441">
        <v>0.0</v>
      </c>
      <c r="E241" s="441">
        <v>0.0</v>
      </c>
      <c r="F241" s="441">
        <v>0.0</v>
      </c>
      <c r="G241" s="442" t="s">
        <v>5603</v>
      </c>
      <c r="H241" s="441">
        <v>2603.0</v>
      </c>
      <c r="I241" s="441">
        <v>26.0</v>
      </c>
      <c r="J241" s="441" t="s">
        <v>4457</v>
      </c>
      <c r="K241" s="443"/>
      <c r="L241" s="443"/>
      <c r="M241" s="443"/>
      <c r="N241" s="443"/>
      <c r="O241" s="443"/>
      <c r="P241" s="443"/>
      <c r="Q241" s="443"/>
      <c r="R241" s="443"/>
      <c r="S241" s="443"/>
      <c r="T241" s="443"/>
      <c r="U241" s="443"/>
      <c r="V241" s="443"/>
    </row>
    <row r="242">
      <c r="A242" s="441" t="s">
        <v>5948</v>
      </c>
      <c r="B242" s="441" t="s">
        <v>5949</v>
      </c>
      <c r="C242" s="441">
        <v>0.0</v>
      </c>
      <c r="D242" s="441" t="s">
        <v>5950</v>
      </c>
      <c r="E242" s="441">
        <v>0.0</v>
      </c>
      <c r="F242" s="441" t="s">
        <v>5737</v>
      </c>
      <c r="G242" s="442" t="s">
        <v>5603</v>
      </c>
      <c r="H242" s="441">
        <v>2604.0</v>
      </c>
      <c r="I242" s="441">
        <v>26.0</v>
      </c>
      <c r="J242" s="441" t="s">
        <v>4479</v>
      </c>
      <c r="K242" s="443"/>
      <c r="L242" s="443"/>
      <c r="M242" s="443"/>
      <c r="N242" s="443"/>
      <c r="O242" s="443"/>
      <c r="P242" s="443"/>
      <c r="Q242" s="443"/>
      <c r="R242" s="443"/>
      <c r="S242" s="443"/>
      <c r="T242" s="443"/>
      <c r="U242" s="443"/>
      <c r="V242" s="443"/>
    </row>
    <row r="243">
      <c r="A243" s="441" t="s">
        <v>5951</v>
      </c>
      <c r="B243" s="441" t="s">
        <v>5952</v>
      </c>
      <c r="C243" s="441" t="s">
        <v>5953</v>
      </c>
      <c r="D243" s="441" t="s">
        <v>5954</v>
      </c>
      <c r="E243" s="441">
        <v>0.0</v>
      </c>
      <c r="F243" s="441" t="s">
        <v>4485</v>
      </c>
      <c r="G243" s="442" t="s">
        <v>5603</v>
      </c>
      <c r="H243" s="441">
        <v>2605.0</v>
      </c>
      <c r="I243" s="441">
        <v>26.0</v>
      </c>
      <c r="J243" s="441" t="s">
        <v>4457</v>
      </c>
      <c r="K243" s="443"/>
      <c r="L243" s="443"/>
      <c r="M243" s="443"/>
      <c r="N243" s="443"/>
      <c r="O243" s="443"/>
      <c r="P243" s="443"/>
      <c r="Q243" s="443"/>
      <c r="R243" s="443"/>
      <c r="S243" s="443"/>
      <c r="T243" s="443"/>
      <c r="U243" s="443"/>
      <c r="V243" s="443"/>
    </row>
    <row r="244">
      <c r="A244" s="441" t="s">
        <v>5600</v>
      </c>
      <c r="B244" s="441" t="s">
        <v>5601</v>
      </c>
      <c r="C244" s="441" t="s">
        <v>5602</v>
      </c>
      <c r="D244" s="441">
        <v>0.0</v>
      </c>
      <c r="E244" s="441">
        <v>0.0</v>
      </c>
      <c r="F244" s="441">
        <v>0.0</v>
      </c>
      <c r="G244" s="442" t="s">
        <v>5603</v>
      </c>
      <c r="H244" s="441">
        <v>2606.0</v>
      </c>
      <c r="I244" s="441">
        <v>26.0</v>
      </c>
      <c r="J244" s="441" t="s">
        <v>4457</v>
      </c>
      <c r="K244" s="443"/>
      <c r="L244" s="443"/>
      <c r="M244" s="443"/>
      <c r="N244" s="443"/>
      <c r="O244" s="443"/>
      <c r="P244" s="443"/>
      <c r="Q244" s="443"/>
      <c r="R244" s="443"/>
      <c r="S244" s="443"/>
      <c r="T244" s="443"/>
      <c r="U244" s="443"/>
      <c r="V244" s="443"/>
    </row>
    <row r="245">
      <c r="A245" s="441" t="s">
        <v>5600</v>
      </c>
      <c r="B245" s="441" t="s">
        <v>5601</v>
      </c>
      <c r="C245" s="441" t="s">
        <v>5602</v>
      </c>
      <c r="D245" s="441">
        <v>0.0</v>
      </c>
      <c r="E245" s="441">
        <v>0.0</v>
      </c>
      <c r="F245" s="441">
        <v>0.0</v>
      </c>
      <c r="G245" s="442" t="s">
        <v>5603</v>
      </c>
      <c r="H245" s="441">
        <v>2607.0</v>
      </c>
      <c r="I245" s="441">
        <v>26.0</v>
      </c>
      <c r="J245" s="441" t="s">
        <v>4457</v>
      </c>
      <c r="K245" s="443"/>
      <c r="L245" s="443"/>
      <c r="M245" s="443"/>
      <c r="N245" s="443"/>
      <c r="O245" s="443"/>
      <c r="P245" s="443"/>
      <c r="Q245" s="443"/>
      <c r="R245" s="443"/>
      <c r="S245" s="443"/>
      <c r="T245" s="443"/>
      <c r="U245" s="443"/>
      <c r="V245" s="443"/>
    </row>
    <row r="246">
      <c r="A246" s="441" t="s">
        <v>5955</v>
      </c>
      <c r="B246" s="441" t="s">
        <v>5956</v>
      </c>
      <c r="C246" s="441" t="s">
        <v>5957</v>
      </c>
      <c r="D246" s="441" t="s">
        <v>5958</v>
      </c>
      <c r="E246" s="441" t="s">
        <v>5959</v>
      </c>
      <c r="F246" s="441" t="s">
        <v>4503</v>
      </c>
      <c r="G246" s="442" t="s">
        <v>5603</v>
      </c>
      <c r="H246" s="441">
        <v>2608.0</v>
      </c>
      <c r="I246" s="441">
        <v>26.0</v>
      </c>
      <c r="J246" s="441" t="s">
        <v>4641</v>
      </c>
      <c r="K246" s="443"/>
      <c r="L246" s="443"/>
      <c r="M246" s="443"/>
      <c r="N246" s="443"/>
      <c r="O246" s="443"/>
      <c r="P246" s="443"/>
      <c r="Q246" s="443"/>
      <c r="R246" s="443"/>
      <c r="S246" s="443"/>
      <c r="T246" s="443"/>
      <c r="U246" s="443"/>
      <c r="V246" s="443"/>
    </row>
    <row r="247">
      <c r="A247" s="441" t="s">
        <v>5600</v>
      </c>
      <c r="B247" s="441" t="s">
        <v>5601</v>
      </c>
      <c r="C247" s="441" t="s">
        <v>5602</v>
      </c>
      <c r="D247" s="441">
        <v>0.0</v>
      </c>
      <c r="E247" s="441">
        <v>0.0</v>
      </c>
      <c r="F247" s="441">
        <v>0.0</v>
      </c>
      <c r="G247" s="442" t="s">
        <v>5603</v>
      </c>
      <c r="H247" s="441">
        <v>2701.0</v>
      </c>
      <c r="I247" s="441">
        <v>27.0</v>
      </c>
      <c r="J247" s="441" t="s">
        <v>4641</v>
      </c>
      <c r="K247" s="443"/>
      <c r="L247" s="443"/>
      <c r="M247" s="443"/>
      <c r="N247" s="443"/>
      <c r="O247" s="443"/>
      <c r="P247" s="443"/>
      <c r="Q247" s="443"/>
      <c r="R247" s="443"/>
      <c r="S247" s="443"/>
      <c r="T247" s="443"/>
      <c r="U247" s="443"/>
      <c r="V247" s="443"/>
    </row>
    <row r="248">
      <c r="A248" s="441" t="s">
        <v>5600</v>
      </c>
      <c r="B248" s="441" t="s">
        <v>5601</v>
      </c>
      <c r="C248" s="441" t="s">
        <v>5602</v>
      </c>
      <c r="D248" s="441">
        <v>0.0</v>
      </c>
      <c r="E248" s="441">
        <v>0.0</v>
      </c>
      <c r="F248" s="441">
        <v>0.0</v>
      </c>
      <c r="G248" s="442" t="s">
        <v>5603</v>
      </c>
      <c r="H248" s="441">
        <v>2702.0</v>
      </c>
      <c r="I248" s="441">
        <v>27.0</v>
      </c>
      <c r="J248" s="441" t="s">
        <v>4457</v>
      </c>
      <c r="K248" s="443"/>
      <c r="L248" s="443"/>
      <c r="M248" s="443"/>
      <c r="N248" s="443"/>
      <c r="O248" s="443"/>
      <c r="P248" s="443"/>
      <c r="Q248" s="443"/>
      <c r="R248" s="443"/>
      <c r="S248" s="443"/>
      <c r="T248" s="443"/>
      <c r="U248" s="443"/>
      <c r="V248" s="443"/>
    </row>
    <row r="249">
      <c r="A249" s="441" t="s">
        <v>5600</v>
      </c>
      <c r="B249" s="441" t="s">
        <v>5601</v>
      </c>
      <c r="C249" s="441" t="s">
        <v>5602</v>
      </c>
      <c r="D249" s="441">
        <v>0.0</v>
      </c>
      <c r="E249" s="441">
        <v>0.0</v>
      </c>
      <c r="F249" s="441">
        <v>0.0</v>
      </c>
      <c r="G249" s="442" t="s">
        <v>5603</v>
      </c>
      <c r="H249" s="441">
        <v>2703.0</v>
      </c>
      <c r="I249" s="441">
        <v>27.0</v>
      </c>
      <c r="J249" s="441" t="s">
        <v>4457</v>
      </c>
      <c r="K249" s="443"/>
      <c r="L249" s="443"/>
      <c r="M249" s="443"/>
      <c r="N249" s="443"/>
      <c r="O249" s="443"/>
      <c r="P249" s="443"/>
      <c r="Q249" s="443"/>
      <c r="R249" s="443"/>
      <c r="S249" s="443"/>
      <c r="T249" s="443"/>
      <c r="U249" s="443"/>
      <c r="V249" s="443"/>
    </row>
    <row r="250">
      <c r="A250" s="441" t="s">
        <v>5600</v>
      </c>
      <c r="B250" s="441" t="s">
        <v>5601</v>
      </c>
      <c r="C250" s="441" t="s">
        <v>5602</v>
      </c>
      <c r="D250" s="441">
        <v>0.0</v>
      </c>
      <c r="E250" s="441">
        <v>0.0</v>
      </c>
      <c r="F250" s="441">
        <v>0.0</v>
      </c>
      <c r="G250" s="442" t="s">
        <v>5603</v>
      </c>
      <c r="H250" s="441">
        <v>4404.0</v>
      </c>
      <c r="I250" s="441">
        <v>44.0</v>
      </c>
      <c r="J250" s="441" t="s">
        <v>4479</v>
      </c>
      <c r="K250" s="443"/>
      <c r="L250" s="443"/>
      <c r="M250" s="443"/>
      <c r="N250" s="443"/>
      <c r="O250" s="443"/>
      <c r="P250" s="443"/>
      <c r="Q250" s="443"/>
      <c r="R250" s="443"/>
      <c r="S250" s="443"/>
      <c r="T250" s="443"/>
      <c r="U250" s="443"/>
      <c r="V250" s="443"/>
    </row>
    <row r="251">
      <c r="A251" s="441" t="s">
        <v>5600</v>
      </c>
      <c r="B251" s="441" t="s">
        <v>5601</v>
      </c>
      <c r="C251" s="441" t="s">
        <v>5602</v>
      </c>
      <c r="D251" s="441">
        <v>0.0</v>
      </c>
      <c r="E251" s="441">
        <v>0.0</v>
      </c>
      <c r="F251" s="441">
        <v>0.0</v>
      </c>
      <c r="G251" s="442" t="s">
        <v>5603</v>
      </c>
      <c r="H251" s="441">
        <v>4405.0</v>
      </c>
      <c r="I251" s="441">
        <v>44.0</v>
      </c>
      <c r="J251" s="441" t="s">
        <v>4457</v>
      </c>
      <c r="K251" s="443"/>
      <c r="L251" s="443"/>
      <c r="M251" s="443"/>
      <c r="N251" s="443"/>
      <c r="O251" s="443"/>
      <c r="P251" s="443"/>
      <c r="Q251" s="443"/>
      <c r="R251" s="443"/>
      <c r="S251" s="443"/>
      <c r="T251" s="443"/>
      <c r="U251" s="443"/>
      <c r="V251" s="443"/>
    </row>
    <row r="252">
      <c r="A252" s="441" t="s">
        <v>5960</v>
      </c>
      <c r="B252" s="441">
        <v>0.0</v>
      </c>
      <c r="C252" s="441" t="s">
        <v>5961</v>
      </c>
      <c r="D252" s="441">
        <v>0.0</v>
      </c>
      <c r="E252" s="441">
        <v>-5.34566222E8</v>
      </c>
      <c r="F252" s="441" t="s">
        <v>4472</v>
      </c>
      <c r="G252" s="442" t="s">
        <v>5603</v>
      </c>
      <c r="H252" s="441">
        <v>4406.0</v>
      </c>
      <c r="I252" s="441">
        <v>44.0</v>
      </c>
      <c r="J252" s="441" t="s">
        <v>4457</v>
      </c>
      <c r="K252" s="443"/>
      <c r="L252" s="443"/>
      <c r="M252" s="443"/>
      <c r="N252" s="443"/>
      <c r="O252" s="443"/>
      <c r="P252" s="443"/>
      <c r="Q252" s="443"/>
      <c r="R252" s="443"/>
      <c r="S252" s="443"/>
      <c r="T252" s="443"/>
      <c r="U252" s="443"/>
      <c r="V252" s="443"/>
    </row>
    <row r="253">
      <c r="A253" s="441" t="s">
        <v>5962</v>
      </c>
      <c r="B253" s="441">
        <v>0.0</v>
      </c>
      <c r="C253" s="441" t="s">
        <v>5963</v>
      </c>
      <c r="D253" s="441">
        <v>0.0</v>
      </c>
      <c r="E253" s="441" t="s">
        <v>5964</v>
      </c>
      <c r="F253" s="441" t="s">
        <v>4472</v>
      </c>
      <c r="G253" s="442" t="s">
        <v>5603</v>
      </c>
      <c r="H253" s="441">
        <v>4407.0</v>
      </c>
      <c r="I253" s="441">
        <v>44.0</v>
      </c>
      <c r="J253" s="441" t="s">
        <v>4457</v>
      </c>
      <c r="K253" s="443"/>
      <c r="L253" s="443"/>
      <c r="M253" s="443"/>
      <c r="N253" s="443"/>
      <c r="O253" s="443"/>
      <c r="P253" s="443"/>
      <c r="Q253" s="443"/>
      <c r="R253" s="443"/>
      <c r="S253" s="443"/>
      <c r="T253" s="443"/>
      <c r="U253" s="443"/>
      <c r="V253" s="443"/>
    </row>
    <row r="254">
      <c r="A254" s="441" t="s">
        <v>5600</v>
      </c>
      <c r="B254" s="441" t="s">
        <v>5601</v>
      </c>
      <c r="C254" s="441" t="s">
        <v>5602</v>
      </c>
      <c r="D254" s="441">
        <v>0.0</v>
      </c>
      <c r="E254" s="441">
        <v>0.0</v>
      </c>
      <c r="F254" s="441">
        <v>0.0</v>
      </c>
      <c r="G254" s="442" t="s">
        <v>5603</v>
      </c>
      <c r="H254" s="441">
        <v>4408.0</v>
      </c>
      <c r="I254" s="441">
        <v>44.0</v>
      </c>
      <c r="J254" s="441" t="s">
        <v>4641</v>
      </c>
      <c r="K254" s="443"/>
      <c r="L254" s="443"/>
      <c r="M254" s="443"/>
      <c r="N254" s="443"/>
      <c r="O254" s="443"/>
      <c r="P254" s="443"/>
      <c r="Q254" s="443"/>
      <c r="R254" s="443"/>
      <c r="S254" s="443"/>
      <c r="T254" s="443"/>
      <c r="U254" s="443"/>
      <c r="V254" s="443"/>
    </row>
    <row r="255">
      <c r="A255" s="441" t="s">
        <v>5600</v>
      </c>
      <c r="B255" s="441" t="s">
        <v>5601</v>
      </c>
      <c r="C255" s="441" t="s">
        <v>5602</v>
      </c>
      <c r="D255" s="441">
        <v>0.0</v>
      </c>
      <c r="E255" s="441">
        <v>0.0</v>
      </c>
      <c r="F255" s="441">
        <v>0.0</v>
      </c>
      <c r="G255" s="442" t="s">
        <v>5603</v>
      </c>
      <c r="H255" s="441">
        <v>4501.0</v>
      </c>
      <c r="I255" s="441">
        <v>45.0</v>
      </c>
      <c r="J255" s="441" t="s">
        <v>4641</v>
      </c>
      <c r="K255" s="443"/>
      <c r="L255" s="443"/>
      <c r="M255" s="443"/>
      <c r="N255" s="443"/>
      <c r="O255" s="443"/>
      <c r="P255" s="443"/>
      <c r="Q255" s="443"/>
      <c r="R255" s="443"/>
      <c r="S255" s="443"/>
      <c r="T255" s="443"/>
      <c r="U255" s="443"/>
      <c r="V255" s="443"/>
    </row>
    <row r="256">
      <c r="A256" s="441" t="s">
        <v>5965</v>
      </c>
      <c r="B256" s="441">
        <v>0.0</v>
      </c>
      <c r="C256" s="441">
        <v>0.0</v>
      </c>
      <c r="D256" s="441" t="s">
        <v>5966</v>
      </c>
      <c r="E256" s="441" t="s">
        <v>5967</v>
      </c>
      <c r="F256" s="441" t="s">
        <v>4500</v>
      </c>
      <c r="G256" s="442" t="s">
        <v>5603</v>
      </c>
      <c r="H256" s="441">
        <v>4502.0</v>
      </c>
      <c r="I256" s="441">
        <v>45.0</v>
      </c>
      <c r="J256" s="441" t="s">
        <v>4457</v>
      </c>
      <c r="K256" s="443"/>
      <c r="L256" s="443"/>
      <c r="M256" s="443"/>
      <c r="N256" s="443"/>
      <c r="O256" s="443"/>
      <c r="P256" s="443"/>
      <c r="Q256" s="443"/>
      <c r="R256" s="443"/>
      <c r="S256" s="443"/>
      <c r="T256" s="443"/>
      <c r="U256" s="443"/>
      <c r="V256" s="443"/>
    </row>
    <row r="257">
      <c r="A257" s="441" t="s">
        <v>5600</v>
      </c>
      <c r="B257" s="441" t="s">
        <v>5601</v>
      </c>
      <c r="C257" s="441" t="s">
        <v>5602</v>
      </c>
      <c r="D257" s="441">
        <v>0.0</v>
      </c>
      <c r="E257" s="441">
        <v>0.0</v>
      </c>
      <c r="F257" s="441">
        <v>0.0</v>
      </c>
      <c r="G257" s="442" t="s">
        <v>5603</v>
      </c>
      <c r="H257" s="441">
        <v>4503.0</v>
      </c>
      <c r="I257" s="441">
        <v>45.0</v>
      </c>
      <c r="J257" s="441" t="s">
        <v>4457</v>
      </c>
      <c r="K257" s="443"/>
      <c r="L257" s="443"/>
      <c r="M257" s="443"/>
      <c r="N257" s="443"/>
      <c r="O257" s="443"/>
      <c r="P257" s="443"/>
      <c r="Q257" s="443"/>
      <c r="R257" s="443"/>
      <c r="S257" s="443"/>
      <c r="T257" s="443"/>
      <c r="U257" s="443"/>
      <c r="V257" s="443"/>
    </row>
    <row r="258">
      <c r="A258" s="441" t="s">
        <v>5600</v>
      </c>
      <c r="B258" s="441" t="s">
        <v>5601</v>
      </c>
      <c r="C258" s="441" t="s">
        <v>5602</v>
      </c>
      <c r="D258" s="441">
        <v>0.0</v>
      </c>
      <c r="E258" s="441">
        <v>0.0</v>
      </c>
      <c r="F258" s="441">
        <v>0.0</v>
      </c>
      <c r="G258" s="442" t="s">
        <v>5603</v>
      </c>
      <c r="H258" s="441">
        <v>4504.0</v>
      </c>
      <c r="I258" s="441">
        <v>45.0</v>
      </c>
      <c r="J258" s="441" t="s">
        <v>4479</v>
      </c>
      <c r="K258" s="443"/>
      <c r="L258" s="443"/>
      <c r="M258" s="443"/>
      <c r="N258" s="443"/>
      <c r="O258" s="443"/>
      <c r="P258" s="443"/>
      <c r="Q258" s="443"/>
      <c r="R258" s="443"/>
      <c r="S258" s="443"/>
      <c r="T258" s="443"/>
      <c r="U258" s="443"/>
      <c r="V258" s="443"/>
    </row>
    <row r="259">
      <c r="A259" s="441" t="s">
        <v>5968</v>
      </c>
      <c r="B259" s="441" t="s">
        <v>5969</v>
      </c>
      <c r="C259" s="441">
        <v>0.0</v>
      </c>
      <c r="D259" s="441" t="s">
        <v>5970</v>
      </c>
      <c r="E259" s="441" t="s">
        <v>5969</v>
      </c>
      <c r="F259" s="441" t="s">
        <v>4472</v>
      </c>
      <c r="G259" s="442" t="s">
        <v>5603</v>
      </c>
      <c r="H259" s="441">
        <v>4505.0</v>
      </c>
      <c r="I259" s="441">
        <v>45.0</v>
      </c>
      <c r="J259" s="441" t="s">
        <v>4457</v>
      </c>
      <c r="K259" s="443"/>
      <c r="L259" s="443"/>
      <c r="M259" s="443"/>
      <c r="N259" s="443"/>
      <c r="O259" s="443"/>
      <c r="P259" s="443"/>
      <c r="Q259" s="443"/>
      <c r="R259" s="443"/>
      <c r="S259" s="443"/>
      <c r="T259" s="443"/>
      <c r="U259" s="443"/>
      <c r="V259" s="443"/>
    </row>
    <row r="260">
      <c r="A260" s="441" t="s">
        <v>5600</v>
      </c>
      <c r="B260" s="441" t="s">
        <v>5601</v>
      </c>
      <c r="C260" s="441" t="s">
        <v>5602</v>
      </c>
      <c r="D260" s="441">
        <v>0.0</v>
      </c>
      <c r="E260" s="441">
        <v>0.0</v>
      </c>
      <c r="F260" s="441">
        <v>0.0</v>
      </c>
      <c r="G260" s="442" t="s">
        <v>5603</v>
      </c>
      <c r="H260" s="441">
        <v>4506.0</v>
      </c>
      <c r="I260" s="441">
        <v>45.0</v>
      </c>
      <c r="J260" s="441" t="s">
        <v>4457</v>
      </c>
      <c r="K260" s="443"/>
      <c r="L260" s="443"/>
      <c r="M260" s="443"/>
      <c r="N260" s="443"/>
      <c r="O260" s="443"/>
      <c r="P260" s="443"/>
      <c r="Q260" s="443"/>
      <c r="R260" s="443"/>
      <c r="S260" s="443"/>
      <c r="T260" s="443"/>
      <c r="U260" s="443"/>
      <c r="V260" s="443"/>
    </row>
    <row r="261">
      <c r="A261" s="441" t="s">
        <v>5971</v>
      </c>
      <c r="B261" s="441">
        <v>0.0</v>
      </c>
      <c r="C261" s="441" t="s">
        <v>5885</v>
      </c>
      <c r="D261" s="441" t="s">
        <v>5972</v>
      </c>
      <c r="E261" s="441" t="s">
        <v>5973</v>
      </c>
      <c r="F261" s="441" t="s">
        <v>5331</v>
      </c>
      <c r="G261" s="442" t="s">
        <v>5603</v>
      </c>
      <c r="H261" s="441">
        <v>4507.0</v>
      </c>
      <c r="I261" s="441">
        <v>45.0</v>
      </c>
      <c r="J261" s="441" t="s">
        <v>4457</v>
      </c>
      <c r="K261" s="443"/>
      <c r="L261" s="443"/>
      <c r="M261" s="443"/>
      <c r="N261" s="443"/>
      <c r="O261" s="443"/>
      <c r="P261" s="443"/>
      <c r="Q261" s="443"/>
      <c r="R261" s="443"/>
      <c r="S261" s="443"/>
      <c r="T261" s="443"/>
      <c r="U261" s="443"/>
      <c r="V261" s="443"/>
    </row>
    <row r="262">
      <c r="A262" s="441" t="s">
        <v>5600</v>
      </c>
      <c r="B262" s="441" t="s">
        <v>5601</v>
      </c>
      <c r="C262" s="441" t="s">
        <v>5602</v>
      </c>
      <c r="D262" s="441">
        <v>0.0</v>
      </c>
      <c r="E262" s="441">
        <v>0.0</v>
      </c>
      <c r="F262" s="441">
        <v>0.0</v>
      </c>
      <c r="G262" s="442" t="s">
        <v>5603</v>
      </c>
      <c r="H262" s="441">
        <v>4508.0</v>
      </c>
      <c r="I262" s="441">
        <v>45.0</v>
      </c>
      <c r="J262" s="441" t="s">
        <v>4641</v>
      </c>
      <c r="K262" s="443"/>
      <c r="L262" s="443"/>
      <c r="M262" s="443"/>
      <c r="N262" s="443"/>
      <c r="O262" s="443"/>
      <c r="P262" s="443"/>
      <c r="Q262" s="443"/>
      <c r="R262" s="443"/>
      <c r="S262" s="443"/>
      <c r="T262" s="443"/>
      <c r="U262" s="443"/>
      <c r="V262" s="443"/>
    </row>
    <row r="263">
      <c r="A263" s="441" t="s">
        <v>5600</v>
      </c>
      <c r="B263" s="441" t="s">
        <v>5601</v>
      </c>
      <c r="C263" s="441" t="s">
        <v>5602</v>
      </c>
      <c r="D263" s="441">
        <v>0.0</v>
      </c>
      <c r="E263" s="441">
        <v>0.0</v>
      </c>
      <c r="F263" s="441">
        <v>0.0</v>
      </c>
      <c r="G263" s="442" t="s">
        <v>5603</v>
      </c>
      <c r="H263" s="441">
        <v>4601.0</v>
      </c>
      <c r="I263" s="441">
        <v>46.0</v>
      </c>
      <c r="J263" s="441" t="s">
        <v>4641</v>
      </c>
      <c r="K263" s="443"/>
      <c r="L263" s="443"/>
      <c r="M263" s="443"/>
      <c r="N263" s="443"/>
      <c r="O263" s="443"/>
      <c r="P263" s="443"/>
      <c r="Q263" s="443"/>
      <c r="R263" s="443"/>
      <c r="S263" s="443"/>
      <c r="T263" s="443"/>
      <c r="U263" s="443"/>
      <c r="V263" s="443"/>
    </row>
    <row r="264">
      <c r="A264" s="441" t="s">
        <v>5974</v>
      </c>
      <c r="B264" s="441" t="s">
        <v>5975</v>
      </c>
      <c r="C264" s="441" t="s">
        <v>5976</v>
      </c>
      <c r="D264" s="441" t="s">
        <v>5977</v>
      </c>
      <c r="E264" s="441" t="s">
        <v>5978</v>
      </c>
      <c r="F264" s="441" t="s">
        <v>5979</v>
      </c>
      <c r="G264" s="442" t="s">
        <v>5603</v>
      </c>
      <c r="H264" s="441">
        <v>4602.0</v>
      </c>
      <c r="I264" s="441">
        <v>46.0</v>
      </c>
      <c r="J264" s="441" t="s">
        <v>4457</v>
      </c>
      <c r="K264" s="443"/>
      <c r="L264" s="443"/>
      <c r="M264" s="443"/>
      <c r="N264" s="443"/>
      <c r="O264" s="443"/>
      <c r="P264" s="443"/>
      <c r="Q264" s="443"/>
      <c r="R264" s="443"/>
      <c r="S264" s="443"/>
      <c r="T264" s="443"/>
      <c r="U264" s="443"/>
      <c r="V264" s="443"/>
    </row>
    <row r="265">
      <c r="A265" s="441" t="s">
        <v>5980</v>
      </c>
      <c r="B265" s="441">
        <v>0.0</v>
      </c>
      <c r="C265" s="441" t="s">
        <v>5981</v>
      </c>
      <c r="D265" s="441" t="s">
        <v>5982</v>
      </c>
      <c r="E265" s="441">
        <v>0.0</v>
      </c>
      <c r="F265" s="441" t="s">
        <v>4503</v>
      </c>
      <c r="G265" s="442" t="s">
        <v>5603</v>
      </c>
      <c r="H265" s="441">
        <v>4603.0</v>
      </c>
      <c r="I265" s="441">
        <v>46.0</v>
      </c>
      <c r="J265" s="441" t="s">
        <v>4457</v>
      </c>
      <c r="K265" s="443"/>
      <c r="L265" s="443"/>
      <c r="M265" s="443"/>
      <c r="N265" s="443"/>
      <c r="O265" s="443"/>
      <c r="P265" s="443"/>
      <c r="Q265" s="443"/>
      <c r="R265" s="443"/>
      <c r="S265" s="443"/>
      <c r="T265" s="443"/>
      <c r="U265" s="443"/>
      <c r="V265" s="443"/>
    </row>
    <row r="266">
      <c r="A266" s="441" t="s">
        <v>5983</v>
      </c>
      <c r="B266" s="441">
        <v>0.0</v>
      </c>
      <c r="C266" s="441" t="s">
        <v>5984</v>
      </c>
      <c r="D266" s="441">
        <v>0.0</v>
      </c>
      <c r="E266" s="441" t="s">
        <v>5985</v>
      </c>
      <c r="F266" s="441" t="s">
        <v>4517</v>
      </c>
      <c r="G266" s="442" t="s">
        <v>5603</v>
      </c>
      <c r="H266" s="441">
        <v>4604.0</v>
      </c>
      <c r="I266" s="441">
        <v>46.0</v>
      </c>
      <c r="J266" s="441" t="s">
        <v>4479</v>
      </c>
      <c r="K266" s="443"/>
      <c r="L266" s="443"/>
      <c r="M266" s="443"/>
      <c r="N266" s="443"/>
      <c r="O266" s="443"/>
      <c r="P266" s="443"/>
      <c r="Q266" s="443"/>
      <c r="R266" s="443"/>
      <c r="S266" s="443"/>
      <c r="T266" s="443"/>
      <c r="U266" s="443"/>
      <c r="V266" s="443"/>
    </row>
    <row r="267">
      <c r="A267" s="441" t="s">
        <v>5829</v>
      </c>
      <c r="B267" s="441" t="s">
        <v>5830</v>
      </c>
      <c r="C267" s="441" t="s">
        <v>5831</v>
      </c>
      <c r="D267" s="441">
        <v>0.0</v>
      </c>
      <c r="E267" s="441">
        <v>0.0</v>
      </c>
      <c r="F267" s="441">
        <v>0.0</v>
      </c>
      <c r="G267" s="442" t="s">
        <v>5603</v>
      </c>
      <c r="H267" s="441">
        <v>4605.0</v>
      </c>
      <c r="I267" s="441">
        <v>46.0</v>
      </c>
      <c r="J267" s="441" t="s">
        <v>4457</v>
      </c>
      <c r="K267" s="443"/>
      <c r="L267" s="443"/>
      <c r="M267" s="443"/>
      <c r="N267" s="443"/>
      <c r="O267" s="443"/>
      <c r="P267" s="443"/>
      <c r="Q267" s="443"/>
      <c r="R267" s="443"/>
      <c r="S267" s="443"/>
      <c r="T267" s="443"/>
      <c r="U267" s="443"/>
      <c r="V267" s="443"/>
    </row>
    <row r="268">
      <c r="A268" s="441" t="s">
        <v>5986</v>
      </c>
      <c r="B268" s="441">
        <v>0.0</v>
      </c>
      <c r="C268" s="441" t="s">
        <v>5987</v>
      </c>
      <c r="D268" s="441" t="s">
        <v>5988</v>
      </c>
      <c r="E268" s="441" t="s">
        <v>5989</v>
      </c>
      <c r="F268" s="441" t="s">
        <v>5069</v>
      </c>
      <c r="G268" s="442" t="s">
        <v>5603</v>
      </c>
      <c r="H268" s="441">
        <v>4606.0</v>
      </c>
      <c r="I268" s="441">
        <v>46.0</v>
      </c>
      <c r="J268" s="441" t="s">
        <v>4457</v>
      </c>
      <c r="K268" s="443"/>
      <c r="L268" s="443"/>
      <c r="M268" s="443"/>
      <c r="N268" s="443"/>
      <c r="O268" s="443"/>
      <c r="P268" s="443"/>
      <c r="Q268" s="443"/>
      <c r="R268" s="443"/>
      <c r="S268" s="443"/>
      <c r="T268" s="443"/>
      <c r="U268" s="443"/>
      <c r="V268" s="443"/>
    </row>
    <row r="269">
      <c r="A269" s="441" t="s">
        <v>5600</v>
      </c>
      <c r="B269" s="441" t="s">
        <v>5601</v>
      </c>
      <c r="C269" s="441" t="s">
        <v>5602</v>
      </c>
      <c r="D269" s="441">
        <v>0.0</v>
      </c>
      <c r="E269" s="441">
        <v>0.0</v>
      </c>
      <c r="F269" s="441">
        <v>0.0</v>
      </c>
      <c r="G269" s="442" t="s">
        <v>5603</v>
      </c>
      <c r="H269" s="441">
        <v>4607.0</v>
      </c>
      <c r="I269" s="441">
        <v>46.0</v>
      </c>
      <c r="J269" s="441" t="s">
        <v>4457</v>
      </c>
      <c r="K269" s="443"/>
      <c r="L269" s="443"/>
      <c r="M269" s="443"/>
      <c r="N269" s="443"/>
      <c r="O269" s="443"/>
      <c r="P269" s="443"/>
      <c r="Q269" s="443"/>
      <c r="R269" s="443"/>
      <c r="S269" s="443"/>
      <c r="T269" s="443"/>
      <c r="U269" s="443"/>
      <c r="V269" s="443"/>
    </row>
    <row r="270">
      <c r="A270" s="441" t="s">
        <v>5990</v>
      </c>
      <c r="B270" s="441">
        <v>0.0</v>
      </c>
      <c r="C270" s="441" t="s">
        <v>5991</v>
      </c>
      <c r="D270" s="441" t="s">
        <v>5992</v>
      </c>
      <c r="E270" s="441" t="s">
        <v>5993</v>
      </c>
      <c r="F270" s="441" t="s">
        <v>4517</v>
      </c>
      <c r="G270" s="442" t="s">
        <v>5603</v>
      </c>
      <c r="H270" s="441">
        <v>4608.0</v>
      </c>
      <c r="I270" s="441">
        <v>46.0</v>
      </c>
      <c r="J270" s="441" t="s">
        <v>4641</v>
      </c>
      <c r="K270" s="443"/>
      <c r="L270" s="443"/>
      <c r="M270" s="443"/>
      <c r="N270" s="443"/>
      <c r="O270" s="443"/>
      <c r="P270" s="443"/>
      <c r="Q270" s="443"/>
      <c r="R270" s="443"/>
      <c r="S270" s="443"/>
      <c r="T270" s="443"/>
      <c r="U270" s="443"/>
      <c r="V270" s="443"/>
    </row>
    <row r="271">
      <c r="A271" s="441" t="s">
        <v>5994</v>
      </c>
      <c r="B271" s="441">
        <v>0.0</v>
      </c>
      <c r="C271" s="441" t="s">
        <v>5995</v>
      </c>
      <c r="D271" s="441" t="s">
        <v>5996</v>
      </c>
      <c r="E271" s="441">
        <v>0.0</v>
      </c>
      <c r="F271" s="441" t="s">
        <v>4571</v>
      </c>
      <c r="G271" s="442" t="s">
        <v>5603</v>
      </c>
      <c r="H271" s="441">
        <v>4701.0</v>
      </c>
      <c r="I271" s="441">
        <v>47.0</v>
      </c>
      <c r="J271" s="441" t="s">
        <v>4641</v>
      </c>
      <c r="K271" s="443"/>
      <c r="L271" s="443"/>
      <c r="M271" s="443"/>
      <c r="N271" s="443"/>
      <c r="O271" s="443"/>
      <c r="P271" s="443"/>
      <c r="Q271" s="443"/>
      <c r="R271" s="443"/>
      <c r="S271" s="443"/>
      <c r="T271" s="443"/>
      <c r="U271" s="443"/>
      <c r="V271" s="443"/>
    </row>
    <row r="272">
      <c r="A272" s="441" t="s">
        <v>5994</v>
      </c>
      <c r="B272" s="441">
        <v>0.0</v>
      </c>
      <c r="C272" s="441" t="s">
        <v>5995</v>
      </c>
      <c r="D272" s="441" t="s">
        <v>5996</v>
      </c>
      <c r="E272" s="441">
        <v>0.0</v>
      </c>
      <c r="F272" s="441" t="s">
        <v>4571</v>
      </c>
      <c r="G272" s="442" t="s">
        <v>5603</v>
      </c>
      <c r="H272" s="441">
        <v>4702.0</v>
      </c>
      <c r="I272" s="441">
        <v>47.0</v>
      </c>
      <c r="J272" s="441" t="s">
        <v>4457</v>
      </c>
      <c r="K272" s="443"/>
      <c r="L272" s="443"/>
      <c r="M272" s="443"/>
      <c r="N272" s="443"/>
      <c r="O272" s="443"/>
      <c r="P272" s="443"/>
      <c r="Q272" s="443"/>
      <c r="R272" s="443"/>
      <c r="S272" s="443"/>
      <c r="T272" s="443"/>
      <c r="U272" s="443"/>
      <c r="V272" s="443"/>
    </row>
    <row r="273">
      <c r="A273" s="441" t="s">
        <v>5994</v>
      </c>
      <c r="B273" s="441">
        <v>0.0</v>
      </c>
      <c r="C273" s="441" t="s">
        <v>5995</v>
      </c>
      <c r="D273" s="441" t="s">
        <v>5996</v>
      </c>
      <c r="E273" s="441">
        <v>0.0</v>
      </c>
      <c r="F273" s="441" t="s">
        <v>4571</v>
      </c>
      <c r="G273" s="442" t="s">
        <v>5603</v>
      </c>
      <c r="H273" s="441">
        <v>4703.0</v>
      </c>
      <c r="I273" s="441">
        <v>47.0</v>
      </c>
      <c r="J273" s="441" t="s">
        <v>4457</v>
      </c>
      <c r="K273" s="443"/>
      <c r="L273" s="443"/>
      <c r="M273" s="443"/>
      <c r="N273" s="443"/>
      <c r="O273" s="443"/>
      <c r="P273" s="443"/>
      <c r="Q273" s="443"/>
      <c r="R273" s="443"/>
      <c r="S273" s="443"/>
      <c r="T273" s="443"/>
      <c r="U273" s="443"/>
      <c r="V273" s="443"/>
    </row>
    <row r="274">
      <c r="A274" s="441" t="s">
        <v>5997</v>
      </c>
      <c r="B274" s="441" t="s">
        <v>5998</v>
      </c>
      <c r="C274" s="441">
        <v>0.0</v>
      </c>
      <c r="D274" s="441" t="s">
        <v>5999</v>
      </c>
      <c r="E274" s="441" t="s">
        <v>5771</v>
      </c>
      <c r="F274" s="441" t="s">
        <v>5060</v>
      </c>
      <c r="G274" s="442" t="s">
        <v>5603</v>
      </c>
      <c r="H274" s="441">
        <v>3004.0</v>
      </c>
      <c r="I274" s="441">
        <v>30.0</v>
      </c>
      <c r="J274" s="441" t="s">
        <v>4479</v>
      </c>
      <c r="K274" s="443"/>
      <c r="L274" s="443"/>
      <c r="M274" s="443"/>
      <c r="N274" s="443"/>
      <c r="O274" s="443"/>
      <c r="P274" s="443"/>
      <c r="Q274" s="443"/>
      <c r="R274" s="443"/>
      <c r="S274" s="443"/>
      <c r="T274" s="443"/>
      <c r="U274" s="443"/>
      <c r="V274" s="443"/>
    </row>
    <row r="275">
      <c r="A275" s="441" t="s">
        <v>6000</v>
      </c>
      <c r="B275" s="441">
        <v>0.0</v>
      </c>
      <c r="C275" s="441" t="s">
        <v>6001</v>
      </c>
      <c r="D275" s="441">
        <v>0.0</v>
      </c>
      <c r="E275" s="441" t="s">
        <v>6002</v>
      </c>
      <c r="F275" s="441" t="s">
        <v>4517</v>
      </c>
      <c r="G275" s="442" t="s">
        <v>5603</v>
      </c>
      <c r="H275" s="441">
        <v>3005.0</v>
      </c>
      <c r="I275" s="441">
        <v>30.0</v>
      </c>
      <c r="J275" s="441" t="s">
        <v>4457</v>
      </c>
      <c r="K275" s="443"/>
      <c r="L275" s="443"/>
      <c r="M275" s="443"/>
      <c r="N275" s="443"/>
      <c r="O275" s="443"/>
      <c r="P275" s="443"/>
      <c r="Q275" s="443"/>
      <c r="R275" s="443"/>
      <c r="S275" s="443"/>
      <c r="T275" s="443"/>
      <c r="U275" s="443"/>
      <c r="V275" s="443"/>
    </row>
    <row r="276">
      <c r="A276" s="441" t="s">
        <v>5994</v>
      </c>
      <c r="B276" s="441">
        <v>0.0</v>
      </c>
      <c r="C276" s="441" t="s">
        <v>5995</v>
      </c>
      <c r="D276" s="441" t="s">
        <v>5996</v>
      </c>
      <c r="E276" s="441">
        <v>0.0</v>
      </c>
      <c r="F276" s="441" t="s">
        <v>4571</v>
      </c>
      <c r="G276" s="442" t="s">
        <v>5603</v>
      </c>
      <c r="H276" s="441">
        <v>4705.0</v>
      </c>
      <c r="I276" s="441">
        <v>47.0</v>
      </c>
      <c r="J276" s="441" t="s">
        <v>4457</v>
      </c>
      <c r="K276" s="443"/>
      <c r="L276" s="443"/>
      <c r="M276" s="443"/>
      <c r="N276" s="443"/>
      <c r="O276" s="443"/>
      <c r="P276" s="443"/>
      <c r="Q276" s="443"/>
      <c r="R276" s="443"/>
      <c r="S276" s="443"/>
      <c r="T276" s="443"/>
      <c r="U276" s="443"/>
      <c r="V276" s="443"/>
    </row>
    <row r="277">
      <c r="A277" s="441" t="s">
        <v>5994</v>
      </c>
      <c r="B277" s="441">
        <v>0.0</v>
      </c>
      <c r="C277" s="441" t="s">
        <v>5995</v>
      </c>
      <c r="D277" s="441" t="s">
        <v>5996</v>
      </c>
      <c r="E277" s="441">
        <v>0.0</v>
      </c>
      <c r="F277" s="441" t="s">
        <v>4571</v>
      </c>
      <c r="G277" s="442" t="s">
        <v>5603</v>
      </c>
      <c r="H277" s="441">
        <v>4706.0</v>
      </c>
      <c r="I277" s="441">
        <v>47.0</v>
      </c>
      <c r="J277" s="441" t="s">
        <v>4457</v>
      </c>
      <c r="K277" s="443"/>
      <c r="L277" s="443"/>
      <c r="M277" s="443"/>
      <c r="N277" s="443"/>
      <c r="O277" s="443"/>
      <c r="P277" s="443"/>
      <c r="Q277" s="443"/>
      <c r="R277" s="443"/>
      <c r="S277" s="443"/>
      <c r="T277" s="443"/>
      <c r="U277" s="443"/>
      <c r="V277" s="443"/>
    </row>
    <row r="278">
      <c r="A278" s="441" t="s">
        <v>5994</v>
      </c>
      <c r="B278" s="441">
        <v>0.0</v>
      </c>
      <c r="C278" s="441" t="s">
        <v>5995</v>
      </c>
      <c r="D278" s="441" t="s">
        <v>5996</v>
      </c>
      <c r="E278" s="441">
        <v>0.0</v>
      </c>
      <c r="F278" s="441" t="s">
        <v>4571</v>
      </c>
      <c r="G278" s="442" t="s">
        <v>5603</v>
      </c>
      <c r="H278" s="441">
        <v>4707.0</v>
      </c>
      <c r="I278" s="441">
        <v>47.0</v>
      </c>
      <c r="J278" s="441" t="s">
        <v>4457</v>
      </c>
      <c r="K278" s="443"/>
      <c r="L278" s="443"/>
      <c r="M278" s="443"/>
      <c r="N278" s="443"/>
      <c r="O278" s="443"/>
      <c r="P278" s="443"/>
      <c r="Q278" s="443"/>
      <c r="R278" s="443"/>
      <c r="S278" s="443"/>
      <c r="T278" s="443"/>
      <c r="U278" s="443"/>
      <c r="V278" s="443"/>
    </row>
    <row r="279">
      <c r="A279" s="441" t="s">
        <v>5994</v>
      </c>
      <c r="B279" s="441">
        <v>0.0</v>
      </c>
      <c r="C279" s="441" t="s">
        <v>5995</v>
      </c>
      <c r="D279" s="441" t="s">
        <v>5996</v>
      </c>
      <c r="E279" s="441">
        <v>0.0</v>
      </c>
      <c r="F279" s="441" t="s">
        <v>4571</v>
      </c>
      <c r="G279" s="442" t="s">
        <v>5603</v>
      </c>
      <c r="H279" s="441">
        <v>4708.0</v>
      </c>
      <c r="I279" s="441">
        <v>47.0</v>
      </c>
      <c r="J279" s="441" t="s">
        <v>4641</v>
      </c>
      <c r="K279" s="443"/>
      <c r="L279" s="443"/>
      <c r="M279" s="443"/>
      <c r="N279" s="443"/>
      <c r="O279" s="443"/>
      <c r="P279" s="443"/>
      <c r="Q279" s="443"/>
      <c r="R279" s="443"/>
      <c r="S279" s="443"/>
      <c r="T279" s="443"/>
      <c r="U279" s="443"/>
      <c r="V279" s="443"/>
    </row>
    <row r="280">
      <c r="A280" s="441" t="s">
        <v>5800</v>
      </c>
      <c r="B280" s="441">
        <v>0.0</v>
      </c>
      <c r="C280" s="441" t="s">
        <v>5801</v>
      </c>
      <c r="D280" s="441" t="s">
        <v>5802</v>
      </c>
      <c r="E280" s="441" t="s">
        <v>5803</v>
      </c>
      <c r="F280" s="441" t="s">
        <v>4472</v>
      </c>
      <c r="G280" s="442" t="s">
        <v>5603</v>
      </c>
      <c r="H280" s="441">
        <v>4804.0</v>
      </c>
      <c r="I280" s="441">
        <v>48.0</v>
      </c>
      <c r="J280" s="441" t="s">
        <v>4479</v>
      </c>
      <c r="K280" s="443"/>
      <c r="L280" s="443"/>
      <c r="M280" s="443"/>
      <c r="N280" s="443"/>
      <c r="O280" s="443"/>
      <c r="P280" s="443"/>
      <c r="Q280" s="443"/>
      <c r="R280" s="443"/>
      <c r="S280" s="443"/>
      <c r="T280" s="443"/>
      <c r="U280" s="443"/>
      <c r="V280" s="443"/>
    </row>
    <row r="281">
      <c r="A281" s="441" t="s">
        <v>5600</v>
      </c>
      <c r="B281" s="441" t="s">
        <v>5601</v>
      </c>
      <c r="C281" s="441" t="s">
        <v>5602</v>
      </c>
      <c r="D281" s="441">
        <v>0.0</v>
      </c>
      <c r="E281" s="441">
        <v>0.0</v>
      </c>
      <c r="F281" s="441">
        <v>0.0</v>
      </c>
      <c r="G281" s="442" t="s">
        <v>5603</v>
      </c>
      <c r="H281" s="441">
        <v>4805.0</v>
      </c>
      <c r="I281" s="441">
        <v>48.0</v>
      </c>
      <c r="J281" s="441" t="s">
        <v>4457</v>
      </c>
      <c r="K281" s="443"/>
      <c r="L281" s="443"/>
      <c r="M281" s="443"/>
      <c r="N281" s="443"/>
      <c r="O281" s="443"/>
      <c r="P281" s="443"/>
      <c r="Q281" s="443"/>
      <c r="R281" s="443"/>
      <c r="S281" s="443"/>
      <c r="T281" s="443"/>
      <c r="U281" s="443"/>
      <c r="V281" s="443"/>
    </row>
    <row r="282">
      <c r="A282" s="441" t="s">
        <v>5804</v>
      </c>
      <c r="B282" s="441">
        <v>0.0</v>
      </c>
      <c r="C282" s="441" t="s">
        <v>5801</v>
      </c>
      <c r="D282" s="441">
        <v>0.0</v>
      </c>
      <c r="E282" s="441" t="s">
        <v>5803</v>
      </c>
      <c r="F282" s="441" t="s">
        <v>4472</v>
      </c>
      <c r="G282" s="442" t="s">
        <v>5603</v>
      </c>
      <c r="H282" s="441">
        <v>4806.0</v>
      </c>
      <c r="I282" s="441">
        <v>48.0</v>
      </c>
      <c r="J282" s="441" t="s">
        <v>4457</v>
      </c>
      <c r="K282" s="443"/>
      <c r="L282" s="443"/>
      <c r="M282" s="443"/>
      <c r="N282" s="443"/>
      <c r="O282" s="443"/>
      <c r="P282" s="443"/>
      <c r="Q282" s="443"/>
      <c r="R282" s="443"/>
      <c r="S282" s="443"/>
      <c r="T282" s="443"/>
      <c r="U282" s="443"/>
      <c r="V282" s="443"/>
    </row>
    <row r="283">
      <c r="A283" s="441" t="s">
        <v>5600</v>
      </c>
      <c r="B283" s="441" t="s">
        <v>5601</v>
      </c>
      <c r="C283" s="441" t="s">
        <v>5602</v>
      </c>
      <c r="D283" s="441">
        <v>0.0</v>
      </c>
      <c r="E283" s="441">
        <v>0.0</v>
      </c>
      <c r="F283" s="441">
        <v>0.0</v>
      </c>
      <c r="G283" s="442" t="s">
        <v>5603</v>
      </c>
      <c r="H283" s="441">
        <v>4901.0</v>
      </c>
      <c r="I283" s="441">
        <v>49.0</v>
      </c>
      <c r="J283" s="441" t="s">
        <v>4641</v>
      </c>
      <c r="K283" s="443"/>
      <c r="L283" s="443"/>
      <c r="M283" s="443"/>
      <c r="N283" s="443"/>
      <c r="O283" s="443"/>
      <c r="P283" s="443"/>
      <c r="Q283" s="443"/>
      <c r="R283" s="443"/>
      <c r="S283" s="443"/>
      <c r="T283" s="443"/>
      <c r="U283" s="443"/>
      <c r="V283" s="443"/>
    </row>
    <row r="284">
      <c r="A284" s="441" t="s">
        <v>6003</v>
      </c>
      <c r="B284" s="441">
        <v>0.0</v>
      </c>
      <c r="C284" s="441">
        <v>0.0</v>
      </c>
      <c r="D284" s="441" t="s">
        <v>4524</v>
      </c>
      <c r="E284" s="441" t="s">
        <v>6004</v>
      </c>
      <c r="F284" s="441" t="s">
        <v>4533</v>
      </c>
      <c r="G284" s="442" t="s">
        <v>5603</v>
      </c>
      <c r="H284" s="441">
        <v>4902.0</v>
      </c>
      <c r="I284" s="441">
        <v>49.0</v>
      </c>
      <c r="J284" s="441" t="s">
        <v>5915</v>
      </c>
      <c r="K284" s="443"/>
      <c r="L284" s="443"/>
      <c r="M284" s="443"/>
      <c r="N284" s="443"/>
      <c r="O284" s="443"/>
      <c r="P284" s="443"/>
      <c r="Q284" s="443"/>
      <c r="R284" s="443"/>
      <c r="S284" s="443"/>
      <c r="T284" s="443"/>
      <c r="U284" s="443"/>
      <c r="V284" s="443"/>
    </row>
    <row r="285">
      <c r="A285" s="441" t="s">
        <v>5600</v>
      </c>
      <c r="B285" s="441" t="s">
        <v>5601</v>
      </c>
      <c r="C285" s="441" t="s">
        <v>5602</v>
      </c>
      <c r="D285" s="441">
        <v>0.0</v>
      </c>
      <c r="E285" s="441">
        <v>0.0</v>
      </c>
      <c r="F285" s="441">
        <v>0.0</v>
      </c>
      <c r="G285" s="442" t="s">
        <v>5603</v>
      </c>
      <c r="H285" s="441">
        <v>4903.0</v>
      </c>
      <c r="I285" s="441">
        <v>49.0</v>
      </c>
      <c r="J285" s="441" t="s">
        <v>4479</v>
      </c>
      <c r="K285" s="443"/>
      <c r="L285" s="443"/>
      <c r="M285" s="443"/>
      <c r="N285" s="443"/>
      <c r="O285" s="443"/>
      <c r="P285" s="443"/>
      <c r="Q285" s="443"/>
      <c r="R285" s="443"/>
      <c r="S285" s="443"/>
      <c r="T285" s="443"/>
      <c r="U285" s="443"/>
      <c r="V285" s="443"/>
    </row>
    <row r="286">
      <c r="A286" s="441" t="s">
        <v>6005</v>
      </c>
      <c r="B286" s="441">
        <v>0.0</v>
      </c>
      <c r="C286" s="441" t="s">
        <v>6006</v>
      </c>
      <c r="D286" s="441">
        <v>0.0</v>
      </c>
      <c r="E286" s="441" t="s">
        <v>6007</v>
      </c>
      <c r="F286" s="441" t="s">
        <v>4525</v>
      </c>
      <c r="G286" s="442" t="s">
        <v>5603</v>
      </c>
      <c r="H286" s="441">
        <v>4904.0</v>
      </c>
      <c r="I286" s="441">
        <v>49.0</v>
      </c>
      <c r="J286" s="441" t="s">
        <v>4457</v>
      </c>
      <c r="K286" s="443"/>
      <c r="L286" s="443"/>
      <c r="M286" s="443"/>
      <c r="N286" s="443"/>
      <c r="O286" s="443"/>
      <c r="P286" s="443"/>
      <c r="Q286" s="443"/>
      <c r="R286" s="443"/>
      <c r="S286" s="443"/>
      <c r="T286" s="443"/>
      <c r="U286" s="443"/>
      <c r="V286" s="443"/>
    </row>
    <row r="287">
      <c r="A287" s="441" t="s">
        <v>6008</v>
      </c>
      <c r="B287" s="441">
        <v>0.0</v>
      </c>
      <c r="C287" s="441" t="s">
        <v>6009</v>
      </c>
      <c r="D287" s="441">
        <v>0.0</v>
      </c>
      <c r="E287" s="441" t="s">
        <v>5657</v>
      </c>
      <c r="F287" s="441" t="s">
        <v>4550</v>
      </c>
      <c r="G287" s="442" t="s">
        <v>5603</v>
      </c>
      <c r="H287" s="441">
        <v>4905.0</v>
      </c>
      <c r="I287" s="441">
        <v>49.0</v>
      </c>
      <c r="J287" s="441" t="s">
        <v>5915</v>
      </c>
      <c r="K287" s="443"/>
      <c r="L287" s="443"/>
      <c r="M287" s="443"/>
      <c r="N287" s="443"/>
      <c r="O287" s="443"/>
      <c r="P287" s="443"/>
      <c r="Q287" s="443"/>
      <c r="R287" s="443"/>
      <c r="S287" s="443"/>
      <c r="T287" s="443"/>
      <c r="U287" s="443"/>
      <c r="V287" s="443"/>
    </row>
    <row r="288">
      <c r="A288" s="441" t="s">
        <v>6010</v>
      </c>
      <c r="B288" s="441">
        <v>0.0</v>
      </c>
      <c r="C288" s="441" t="s">
        <v>6011</v>
      </c>
      <c r="D288" s="441" t="s">
        <v>6012</v>
      </c>
      <c r="E288" s="441" t="s">
        <v>6013</v>
      </c>
      <c r="F288" s="441" t="s">
        <v>4514</v>
      </c>
      <c r="G288" s="442" t="s">
        <v>5603</v>
      </c>
      <c r="H288" s="441">
        <v>4906.0</v>
      </c>
      <c r="I288" s="441">
        <v>49.0</v>
      </c>
      <c r="J288" s="441" t="s">
        <v>4641</v>
      </c>
      <c r="K288" s="443"/>
      <c r="L288" s="443"/>
      <c r="M288" s="443"/>
      <c r="N288" s="443"/>
      <c r="O288" s="443"/>
      <c r="P288" s="443"/>
      <c r="Q288" s="443"/>
      <c r="R288" s="443"/>
      <c r="S288" s="443"/>
      <c r="T288" s="443"/>
      <c r="U288" s="443"/>
      <c r="V288" s="443"/>
    </row>
    <row r="289">
      <c r="A289" s="441" t="s">
        <v>6014</v>
      </c>
      <c r="B289" s="441" t="s">
        <v>6015</v>
      </c>
      <c r="C289" s="441" t="s">
        <v>6016</v>
      </c>
      <c r="D289" s="441" t="s">
        <v>6017</v>
      </c>
      <c r="E289" s="441" t="s">
        <v>6018</v>
      </c>
      <c r="F289" s="441" t="s">
        <v>6019</v>
      </c>
      <c r="G289" s="442" t="s">
        <v>5603</v>
      </c>
      <c r="H289" s="441">
        <v>5001.0</v>
      </c>
      <c r="I289" s="441">
        <v>50.0</v>
      </c>
      <c r="J289" s="441" t="s">
        <v>4641</v>
      </c>
      <c r="K289" s="443"/>
      <c r="L289" s="443"/>
      <c r="M289" s="443"/>
      <c r="N289" s="443"/>
      <c r="O289" s="443"/>
      <c r="P289" s="443"/>
      <c r="Q289" s="443"/>
      <c r="R289" s="443"/>
      <c r="S289" s="443"/>
      <c r="T289" s="443"/>
      <c r="U289" s="443"/>
      <c r="V289" s="443"/>
    </row>
    <row r="290">
      <c r="A290" s="441" t="s">
        <v>5600</v>
      </c>
      <c r="B290" s="441" t="s">
        <v>5601</v>
      </c>
      <c r="C290" s="441" t="s">
        <v>5602</v>
      </c>
      <c r="D290" s="441">
        <v>0.0</v>
      </c>
      <c r="E290" s="441">
        <v>0.0</v>
      </c>
      <c r="F290" s="441">
        <v>0.0</v>
      </c>
      <c r="G290" s="442" t="s">
        <v>5603</v>
      </c>
      <c r="H290" s="441">
        <v>5002.0</v>
      </c>
      <c r="I290" s="441">
        <v>50.0</v>
      </c>
      <c r="J290" s="441" t="s">
        <v>5915</v>
      </c>
      <c r="K290" s="443"/>
      <c r="L290" s="443"/>
      <c r="M290" s="443"/>
      <c r="N290" s="443"/>
      <c r="O290" s="443"/>
      <c r="P290" s="443"/>
      <c r="Q290" s="443"/>
      <c r="R290" s="443"/>
      <c r="S290" s="443"/>
      <c r="T290" s="443"/>
      <c r="U290" s="443"/>
      <c r="V290" s="443"/>
    </row>
    <row r="291">
      <c r="A291" s="441" t="s">
        <v>5600</v>
      </c>
      <c r="B291" s="441" t="s">
        <v>5601</v>
      </c>
      <c r="C291" s="441" t="s">
        <v>5602</v>
      </c>
      <c r="D291" s="441">
        <v>0.0</v>
      </c>
      <c r="E291" s="441">
        <v>0.0</v>
      </c>
      <c r="F291" s="441">
        <v>0.0</v>
      </c>
      <c r="G291" s="442" t="s">
        <v>5603</v>
      </c>
      <c r="H291" s="441">
        <v>5003.0</v>
      </c>
      <c r="I291" s="441">
        <v>50.0</v>
      </c>
      <c r="J291" s="441" t="s">
        <v>4479</v>
      </c>
      <c r="K291" s="443"/>
      <c r="L291" s="443"/>
      <c r="M291" s="443"/>
      <c r="N291" s="443"/>
      <c r="O291" s="443"/>
      <c r="P291" s="443"/>
      <c r="Q291" s="443"/>
      <c r="R291" s="443"/>
      <c r="S291" s="443"/>
      <c r="T291" s="443"/>
      <c r="U291" s="443"/>
      <c r="V291" s="443"/>
    </row>
    <row r="292">
      <c r="A292" s="441" t="s">
        <v>6020</v>
      </c>
      <c r="B292" s="441">
        <v>0.0</v>
      </c>
      <c r="C292" s="441" t="s">
        <v>5602</v>
      </c>
      <c r="D292" s="441" t="s">
        <v>6021</v>
      </c>
      <c r="E292" s="441" t="s">
        <v>5657</v>
      </c>
      <c r="F292" s="441" t="s">
        <v>4461</v>
      </c>
      <c r="G292" s="442" t="s">
        <v>5603</v>
      </c>
      <c r="H292" s="441">
        <v>5004.0</v>
      </c>
      <c r="I292" s="441">
        <v>50.0</v>
      </c>
      <c r="J292" s="441" t="s">
        <v>4457</v>
      </c>
      <c r="K292" s="443"/>
      <c r="L292" s="443"/>
      <c r="M292" s="443"/>
      <c r="N292" s="443"/>
      <c r="O292" s="443"/>
      <c r="P292" s="443"/>
      <c r="Q292" s="443"/>
      <c r="R292" s="443"/>
      <c r="S292" s="443"/>
      <c r="T292" s="443"/>
      <c r="U292" s="443"/>
      <c r="V292" s="443"/>
    </row>
    <row r="293">
      <c r="A293" s="441" t="s">
        <v>5600</v>
      </c>
      <c r="B293" s="441" t="s">
        <v>5601</v>
      </c>
      <c r="C293" s="441" t="s">
        <v>5602</v>
      </c>
      <c r="D293" s="441">
        <v>0.0</v>
      </c>
      <c r="E293" s="441">
        <v>0.0</v>
      </c>
      <c r="F293" s="441">
        <v>0.0</v>
      </c>
      <c r="G293" s="442" t="s">
        <v>5603</v>
      </c>
      <c r="H293" s="441">
        <v>5005.0</v>
      </c>
      <c r="I293" s="441">
        <v>50.0</v>
      </c>
      <c r="J293" s="441" t="s">
        <v>5915</v>
      </c>
      <c r="K293" s="443"/>
      <c r="L293" s="443"/>
      <c r="M293" s="443"/>
      <c r="N293" s="443"/>
      <c r="O293" s="443"/>
      <c r="P293" s="443"/>
      <c r="Q293" s="443"/>
      <c r="R293" s="443"/>
      <c r="S293" s="443"/>
      <c r="T293" s="443"/>
      <c r="U293" s="443"/>
      <c r="V293" s="443"/>
    </row>
    <row r="294">
      <c r="A294" s="441" t="s">
        <v>6014</v>
      </c>
      <c r="B294" s="441" t="s">
        <v>6015</v>
      </c>
      <c r="C294" s="441" t="s">
        <v>6016</v>
      </c>
      <c r="D294" s="441" t="s">
        <v>6017</v>
      </c>
      <c r="E294" s="441" t="s">
        <v>6018</v>
      </c>
      <c r="F294" s="441" t="s">
        <v>6019</v>
      </c>
      <c r="G294" s="442" t="s">
        <v>5603</v>
      </c>
      <c r="H294" s="441">
        <v>5006.0</v>
      </c>
      <c r="I294" s="441">
        <v>50.0</v>
      </c>
      <c r="J294" s="441" t="s">
        <v>4641</v>
      </c>
      <c r="K294" s="443"/>
      <c r="L294" s="443"/>
      <c r="M294" s="443"/>
      <c r="N294" s="443"/>
      <c r="O294" s="443"/>
      <c r="P294" s="443"/>
      <c r="Q294" s="443"/>
      <c r="R294" s="443"/>
      <c r="S294" s="443"/>
      <c r="T294" s="443"/>
      <c r="U294" s="443"/>
      <c r="V294" s="443"/>
    </row>
    <row r="295">
      <c r="A295" s="441" t="s">
        <v>5600</v>
      </c>
      <c r="B295" s="441" t="s">
        <v>5601</v>
      </c>
      <c r="C295" s="441" t="s">
        <v>5602</v>
      </c>
      <c r="D295" s="441">
        <v>0.0</v>
      </c>
      <c r="E295" s="441">
        <v>0.0</v>
      </c>
      <c r="F295" s="441">
        <v>0.0</v>
      </c>
      <c r="G295" s="442" t="s">
        <v>5603</v>
      </c>
      <c r="H295" s="441">
        <v>5101.0</v>
      </c>
      <c r="I295" s="441">
        <v>51.0</v>
      </c>
      <c r="J295" s="441" t="s">
        <v>4641</v>
      </c>
      <c r="K295" s="443"/>
      <c r="L295" s="443"/>
      <c r="M295" s="443"/>
      <c r="N295" s="443"/>
      <c r="O295" s="443"/>
      <c r="P295" s="443"/>
      <c r="Q295" s="443"/>
      <c r="R295" s="443"/>
      <c r="S295" s="443"/>
      <c r="T295" s="443"/>
      <c r="U295" s="443"/>
      <c r="V295" s="443"/>
    </row>
    <row r="296">
      <c r="A296" s="441" t="s">
        <v>6022</v>
      </c>
      <c r="B296" s="441">
        <v>0.0</v>
      </c>
      <c r="C296" s="441">
        <v>0.0</v>
      </c>
      <c r="D296" s="441" t="s">
        <v>6023</v>
      </c>
      <c r="E296" s="441" t="s">
        <v>6024</v>
      </c>
      <c r="F296" s="441" t="s">
        <v>4472</v>
      </c>
      <c r="G296" s="442" t="s">
        <v>5603</v>
      </c>
      <c r="H296" s="441">
        <v>5102.0</v>
      </c>
      <c r="I296" s="441">
        <v>51.0</v>
      </c>
      <c r="J296" s="441" t="s">
        <v>5915</v>
      </c>
      <c r="K296" s="443"/>
      <c r="L296" s="443"/>
      <c r="M296" s="443"/>
      <c r="N296" s="443"/>
      <c r="O296" s="443"/>
      <c r="P296" s="443"/>
      <c r="Q296" s="443"/>
      <c r="R296" s="443"/>
      <c r="S296" s="443"/>
      <c r="T296" s="443"/>
      <c r="U296" s="443"/>
      <c r="V296" s="443"/>
    </row>
    <row r="297">
      <c r="A297" s="441" t="s">
        <v>6025</v>
      </c>
      <c r="B297" s="441">
        <v>0.0</v>
      </c>
      <c r="C297" s="441" t="s">
        <v>6026</v>
      </c>
      <c r="D297" s="441" t="s">
        <v>6027</v>
      </c>
      <c r="E297" s="441" t="s">
        <v>6028</v>
      </c>
      <c r="F297" s="441" t="s">
        <v>4514</v>
      </c>
      <c r="G297" s="442" t="s">
        <v>5603</v>
      </c>
      <c r="H297" s="441">
        <v>5103.0</v>
      </c>
      <c r="I297" s="441">
        <v>51.0</v>
      </c>
      <c r="J297" s="441" t="s">
        <v>4479</v>
      </c>
      <c r="K297" s="443"/>
      <c r="L297" s="443"/>
      <c r="M297" s="443"/>
      <c r="N297" s="443"/>
      <c r="O297" s="443"/>
      <c r="P297" s="443"/>
      <c r="Q297" s="443"/>
      <c r="R297" s="443"/>
      <c r="S297" s="443"/>
      <c r="T297" s="443"/>
      <c r="U297" s="443"/>
      <c r="V297" s="443"/>
    </row>
    <row r="298">
      <c r="A298" s="441" t="s">
        <v>6029</v>
      </c>
      <c r="B298" s="441">
        <v>0.0</v>
      </c>
      <c r="C298" s="441" t="s">
        <v>6030</v>
      </c>
      <c r="D298" s="441">
        <v>0.0</v>
      </c>
      <c r="E298" s="441" t="s">
        <v>6031</v>
      </c>
      <c r="F298" s="441" t="s">
        <v>4517</v>
      </c>
      <c r="G298" s="442" t="s">
        <v>5603</v>
      </c>
      <c r="H298" s="441">
        <v>5104.0</v>
      </c>
      <c r="I298" s="441">
        <v>51.0</v>
      </c>
      <c r="J298" s="441" t="s">
        <v>4457</v>
      </c>
      <c r="K298" s="443"/>
      <c r="L298" s="443"/>
      <c r="M298" s="443"/>
      <c r="N298" s="443"/>
      <c r="O298" s="443"/>
      <c r="P298" s="443"/>
      <c r="Q298" s="443"/>
      <c r="R298" s="443"/>
      <c r="S298" s="443"/>
      <c r="T298" s="443"/>
      <c r="U298" s="443"/>
      <c r="V298" s="443"/>
    </row>
    <row r="299">
      <c r="A299" s="441" t="s">
        <v>5600</v>
      </c>
      <c r="B299" s="441" t="s">
        <v>5601</v>
      </c>
      <c r="C299" s="441" t="s">
        <v>5602</v>
      </c>
      <c r="D299" s="441">
        <v>0.0</v>
      </c>
      <c r="E299" s="441">
        <v>0.0</v>
      </c>
      <c r="F299" s="441">
        <v>0.0</v>
      </c>
      <c r="G299" s="442" t="s">
        <v>5603</v>
      </c>
      <c r="H299" s="441">
        <v>5105.0</v>
      </c>
      <c r="I299" s="441">
        <v>51.0</v>
      </c>
      <c r="J299" s="441" t="s">
        <v>5915</v>
      </c>
      <c r="K299" s="443"/>
      <c r="L299" s="443"/>
      <c r="M299" s="443"/>
      <c r="N299" s="443"/>
      <c r="O299" s="443"/>
      <c r="P299" s="443"/>
      <c r="Q299" s="443"/>
      <c r="R299" s="443"/>
      <c r="S299" s="443"/>
      <c r="T299" s="443"/>
      <c r="U299" s="443"/>
      <c r="V299" s="443"/>
    </row>
    <row r="300">
      <c r="A300" s="441" t="s">
        <v>5600</v>
      </c>
      <c r="B300" s="441" t="s">
        <v>5601</v>
      </c>
      <c r="C300" s="441" t="s">
        <v>5602</v>
      </c>
      <c r="D300" s="441">
        <v>0.0</v>
      </c>
      <c r="E300" s="441">
        <v>0.0</v>
      </c>
      <c r="F300" s="441">
        <v>0.0</v>
      </c>
      <c r="G300" s="442" t="s">
        <v>5603</v>
      </c>
      <c r="H300" s="441">
        <v>5106.0</v>
      </c>
      <c r="I300" s="441">
        <v>51.0</v>
      </c>
      <c r="J300" s="441" t="s">
        <v>4641</v>
      </c>
      <c r="K300" s="443"/>
      <c r="L300" s="443"/>
      <c r="M300" s="443"/>
      <c r="N300" s="443"/>
      <c r="O300" s="443"/>
      <c r="P300" s="443"/>
      <c r="Q300" s="443"/>
      <c r="R300" s="443"/>
      <c r="S300" s="443"/>
      <c r="T300" s="443"/>
      <c r="U300" s="443"/>
      <c r="V300" s="443"/>
    </row>
    <row r="301">
      <c r="A301" s="441" t="s">
        <v>6032</v>
      </c>
      <c r="B301" s="441">
        <v>0.0</v>
      </c>
      <c r="C301" s="441" t="s">
        <v>6033</v>
      </c>
      <c r="D301" s="441" t="s">
        <v>6034</v>
      </c>
      <c r="E301" s="441" t="s">
        <v>5574</v>
      </c>
      <c r="F301" s="441" t="s">
        <v>4593</v>
      </c>
      <c r="G301" s="442" t="s">
        <v>5603</v>
      </c>
      <c r="H301" s="441">
        <v>5201.0</v>
      </c>
      <c r="I301" s="441">
        <v>52.0</v>
      </c>
      <c r="J301" s="441" t="s">
        <v>4641</v>
      </c>
      <c r="K301" s="443"/>
      <c r="L301" s="443"/>
      <c r="M301" s="443"/>
      <c r="N301" s="443"/>
      <c r="O301" s="443"/>
      <c r="P301" s="443"/>
      <c r="Q301" s="443"/>
      <c r="R301" s="443"/>
      <c r="S301" s="443"/>
      <c r="T301" s="443"/>
      <c r="U301" s="443"/>
      <c r="V301" s="443"/>
    </row>
    <row r="302">
      <c r="A302" s="441" t="s">
        <v>6035</v>
      </c>
      <c r="B302" s="441">
        <v>0.0</v>
      </c>
      <c r="C302" s="441">
        <v>0.0</v>
      </c>
      <c r="D302" s="441" t="s">
        <v>6036</v>
      </c>
      <c r="E302" s="441" t="s">
        <v>4868</v>
      </c>
      <c r="F302" s="441" t="s">
        <v>4485</v>
      </c>
      <c r="G302" s="442" t="s">
        <v>5603</v>
      </c>
      <c r="H302" s="441">
        <v>5202.0</v>
      </c>
      <c r="I302" s="441">
        <v>52.0</v>
      </c>
      <c r="J302" s="441" t="s">
        <v>5915</v>
      </c>
      <c r="K302" s="443"/>
      <c r="L302" s="443"/>
      <c r="M302" s="443"/>
      <c r="N302" s="443"/>
      <c r="O302" s="443"/>
      <c r="P302" s="443"/>
      <c r="Q302" s="443"/>
      <c r="R302" s="443"/>
      <c r="S302" s="443"/>
      <c r="T302" s="443"/>
      <c r="U302" s="443"/>
      <c r="V302" s="443"/>
    </row>
    <row r="303">
      <c r="A303" s="441" t="s">
        <v>6037</v>
      </c>
      <c r="B303" s="441">
        <v>0.0</v>
      </c>
      <c r="C303" s="441">
        <v>0.0</v>
      </c>
      <c r="D303" s="441" t="s">
        <v>6038</v>
      </c>
      <c r="E303" s="441" t="s">
        <v>6039</v>
      </c>
      <c r="F303" s="441" t="s">
        <v>4503</v>
      </c>
      <c r="G303" s="442" t="s">
        <v>5603</v>
      </c>
      <c r="H303" s="441">
        <v>5203.0</v>
      </c>
      <c r="I303" s="441">
        <v>52.0</v>
      </c>
      <c r="J303" s="441" t="s">
        <v>4479</v>
      </c>
      <c r="K303" s="443"/>
      <c r="L303" s="443"/>
      <c r="M303" s="443"/>
      <c r="N303" s="443"/>
      <c r="O303" s="443"/>
      <c r="P303" s="443"/>
      <c r="Q303" s="443"/>
      <c r="R303" s="443"/>
      <c r="S303" s="443"/>
      <c r="T303" s="443"/>
      <c r="U303" s="443"/>
      <c r="V303" s="443"/>
    </row>
    <row r="304">
      <c r="A304" s="441" t="s">
        <v>6040</v>
      </c>
      <c r="B304" s="441">
        <v>0.0</v>
      </c>
      <c r="C304" s="441">
        <v>0.0</v>
      </c>
      <c r="D304" s="441" t="s">
        <v>6041</v>
      </c>
      <c r="E304" s="441">
        <v>0.0</v>
      </c>
      <c r="F304" s="441" t="s">
        <v>4593</v>
      </c>
      <c r="G304" s="442" t="s">
        <v>5603</v>
      </c>
      <c r="H304" s="441">
        <v>3402.0</v>
      </c>
      <c r="I304" s="441">
        <v>34.0</v>
      </c>
      <c r="J304" s="441" t="s">
        <v>4457</v>
      </c>
      <c r="K304" s="443"/>
      <c r="L304" s="443"/>
      <c r="M304" s="443"/>
      <c r="N304" s="443"/>
      <c r="O304" s="443"/>
      <c r="P304" s="443"/>
      <c r="Q304" s="443"/>
      <c r="R304" s="443"/>
      <c r="S304" s="443"/>
      <c r="T304" s="443"/>
      <c r="U304" s="443"/>
      <c r="V304" s="443"/>
    </row>
    <row r="305">
      <c r="A305" s="441" t="s">
        <v>6042</v>
      </c>
      <c r="B305" s="441" t="s">
        <v>6043</v>
      </c>
      <c r="C305" s="441">
        <v>0.0</v>
      </c>
      <c r="D305" s="441" t="s">
        <v>6044</v>
      </c>
      <c r="E305" s="441" t="s">
        <v>6045</v>
      </c>
      <c r="F305" s="441" t="s">
        <v>4517</v>
      </c>
      <c r="G305" s="442" t="s">
        <v>5603</v>
      </c>
      <c r="H305" s="441">
        <v>3403.0</v>
      </c>
      <c r="I305" s="441">
        <v>34.0</v>
      </c>
      <c r="J305" s="441" t="s">
        <v>4457</v>
      </c>
      <c r="K305" s="443"/>
      <c r="L305" s="443"/>
      <c r="M305" s="443"/>
      <c r="N305" s="443"/>
      <c r="O305" s="443"/>
      <c r="P305" s="443"/>
      <c r="Q305" s="443"/>
      <c r="R305" s="443"/>
      <c r="S305" s="443"/>
      <c r="T305" s="443"/>
      <c r="U305" s="443"/>
      <c r="V305" s="443"/>
    </row>
    <row r="306">
      <c r="A306" s="441" t="s">
        <v>5600</v>
      </c>
      <c r="B306" s="441" t="s">
        <v>5601</v>
      </c>
      <c r="C306" s="441" t="s">
        <v>5602</v>
      </c>
      <c r="D306" s="441">
        <v>0.0</v>
      </c>
      <c r="E306" s="441">
        <v>0.0</v>
      </c>
      <c r="F306" s="441">
        <v>0.0</v>
      </c>
      <c r="G306" s="442" t="s">
        <v>5603</v>
      </c>
      <c r="H306" s="441">
        <v>3404.0</v>
      </c>
      <c r="I306" s="441">
        <v>34.0</v>
      </c>
      <c r="J306" s="441" t="s">
        <v>4479</v>
      </c>
      <c r="K306" s="443"/>
      <c r="L306" s="443"/>
      <c r="M306" s="443"/>
      <c r="N306" s="443"/>
      <c r="O306" s="443"/>
      <c r="P306" s="443"/>
      <c r="Q306" s="443"/>
      <c r="R306" s="443"/>
      <c r="S306" s="443"/>
      <c r="T306" s="443"/>
      <c r="U306" s="443"/>
      <c r="V306" s="443"/>
    </row>
    <row r="307">
      <c r="A307" s="441" t="s">
        <v>6046</v>
      </c>
      <c r="B307" s="441">
        <v>0.0</v>
      </c>
      <c r="C307" s="441" t="s">
        <v>6047</v>
      </c>
      <c r="D307" s="441" t="s">
        <v>6048</v>
      </c>
      <c r="E307" s="441" t="s">
        <v>6049</v>
      </c>
      <c r="F307" s="441" t="s">
        <v>4514</v>
      </c>
      <c r="G307" s="442" t="s">
        <v>5603</v>
      </c>
      <c r="H307" s="441">
        <v>3405.0</v>
      </c>
      <c r="I307" s="441">
        <v>34.0</v>
      </c>
      <c r="J307" s="441" t="s">
        <v>4457</v>
      </c>
      <c r="K307" s="443"/>
      <c r="L307" s="443"/>
      <c r="M307" s="443"/>
      <c r="N307" s="443"/>
      <c r="O307" s="443"/>
      <c r="P307" s="443"/>
      <c r="Q307" s="443"/>
      <c r="R307" s="443"/>
      <c r="S307" s="443"/>
      <c r="T307" s="443"/>
      <c r="U307" s="443"/>
      <c r="V307" s="443"/>
    </row>
    <row r="308">
      <c r="A308" s="441" t="s">
        <v>6050</v>
      </c>
      <c r="B308" s="441">
        <v>0.0</v>
      </c>
      <c r="C308" s="441" t="s">
        <v>6051</v>
      </c>
      <c r="D308" s="441" t="s">
        <v>6052</v>
      </c>
      <c r="E308" s="441" t="s">
        <v>6053</v>
      </c>
      <c r="F308" s="441" t="s">
        <v>4525</v>
      </c>
      <c r="G308" s="442" t="s">
        <v>5603</v>
      </c>
      <c r="H308" s="441">
        <v>3406.0</v>
      </c>
      <c r="I308" s="441">
        <v>34.0</v>
      </c>
      <c r="J308" s="441" t="s">
        <v>4457</v>
      </c>
      <c r="K308" s="443"/>
      <c r="L308" s="443"/>
      <c r="M308" s="443"/>
      <c r="N308" s="443"/>
      <c r="O308" s="443"/>
      <c r="P308" s="443"/>
      <c r="Q308" s="443"/>
      <c r="R308" s="443"/>
      <c r="S308" s="443"/>
      <c r="T308" s="443"/>
      <c r="U308" s="443"/>
      <c r="V308" s="443"/>
    </row>
    <row r="309">
      <c r="A309" s="441" t="s">
        <v>5600</v>
      </c>
      <c r="B309" s="441" t="s">
        <v>5601</v>
      </c>
      <c r="C309" s="441" t="s">
        <v>5602</v>
      </c>
      <c r="D309" s="441">
        <v>0.0</v>
      </c>
      <c r="E309" s="441">
        <v>0.0</v>
      </c>
      <c r="F309" s="441">
        <v>0.0</v>
      </c>
      <c r="G309" s="442" t="s">
        <v>5603</v>
      </c>
      <c r="H309" s="441">
        <v>3407.0</v>
      </c>
      <c r="I309" s="441">
        <v>34.0</v>
      </c>
      <c r="J309" s="441" t="s">
        <v>4457</v>
      </c>
      <c r="K309" s="443"/>
      <c r="L309" s="443"/>
      <c r="M309" s="443"/>
      <c r="N309" s="443"/>
      <c r="O309" s="443"/>
      <c r="P309" s="443"/>
      <c r="Q309" s="443"/>
      <c r="R309" s="443"/>
      <c r="S309" s="443"/>
      <c r="T309" s="443"/>
      <c r="U309" s="443"/>
      <c r="V309" s="443"/>
    </row>
    <row r="310">
      <c r="A310" s="441" t="s">
        <v>5832</v>
      </c>
      <c r="B310" s="441">
        <v>0.0</v>
      </c>
      <c r="C310" s="441" t="s">
        <v>5833</v>
      </c>
      <c r="D310" s="441">
        <v>0.0</v>
      </c>
      <c r="E310" s="441" t="s">
        <v>5834</v>
      </c>
      <c r="F310" s="441" t="s">
        <v>4852</v>
      </c>
      <c r="G310" s="442" t="s">
        <v>5603</v>
      </c>
      <c r="H310" s="441">
        <v>3408.0</v>
      </c>
      <c r="I310" s="441">
        <v>34.0</v>
      </c>
      <c r="J310" s="441" t="s">
        <v>4641</v>
      </c>
      <c r="K310" s="443"/>
      <c r="L310" s="443"/>
      <c r="M310" s="443"/>
      <c r="N310" s="443"/>
      <c r="O310" s="443"/>
      <c r="P310" s="443"/>
      <c r="Q310" s="443"/>
      <c r="R310" s="443"/>
      <c r="S310" s="443"/>
      <c r="T310" s="443"/>
      <c r="U310" s="443"/>
      <c r="V310" s="443"/>
    </row>
    <row r="311">
      <c r="A311" s="441" t="s">
        <v>5600</v>
      </c>
      <c r="B311" s="441" t="s">
        <v>5601</v>
      </c>
      <c r="C311" s="441" t="s">
        <v>5602</v>
      </c>
      <c r="D311" s="441">
        <v>0.0</v>
      </c>
      <c r="E311" s="441">
        <v>0.0</v>
      </c>
      <c r="F311" s="441">
        <v>0.0</v>
      </c>
      <c r="G311" s="442" t="s">
        <v>5603</v>
      </c>
      <c r="H311" s="441">
        <v>3501.0</v>
      </c>
      <c r="I311" s="441">
        <v>35.0</v>
      </c>
      <c r="J311" s="441" t="s">
        <v>4641</v>
      </c>
      <c r="K311" s="443"/>
      <c r="L311" s="443"/>
      <c r="M311" s="443"/>
      <c r="N311" s="443"/>
      <c r="O311" s="443"/>
      <c r="P311" s="443"/>
      <c r="Q311" s="443"/>
      <c r="R311" s="443"/>
      <c r="S311" s="443"/>
      <c r="T311" s="443"/>
      <c r="U311" s="443"/>
      <c r="V311" s="443"/>
    </row>
    <row r="312">
      <c r="A312" s="441" t="s">
        <v>5600</v>
      </c>
      <c r="B312" s="441" t="s">
        <v>5601</v>
      </c>
      <c r="C312" s="441" t="s">
        <v>5602</v>
      </c>
      <c r="D312" s="441">
        <v>0.0</v>
      </c>
      <c r="E312" s="441">
        <v>0.0</v>
      </c>
      <c r="F312" s="441">
        <v>0.0</v>
      </c>
      <c r="G312" s="442" t="s">
        <v>5603</v>
      </c>
      <c r="H312" s="441">
        <v>3502.0</v>
      </c>
      <c r="I312" s="441">
        <v>35.0</v>
      </c>
      <c r="J312" s="441" t="s">
        <v>4457</v>
      </c>
      <c r="K312" s="443"/>
      <c r="L312" s="443"/>
      <c r="M312" s="443"/>
      <c r="N312" s="443"/>
      <c r="O312" s="443"/>
      <c r="P312" s="443"/>
      <c r="Q312" s="443"/>
      <c r="R312" s="443"/>
      <c r="S312" s="443"/>
      <c r="T312" s="443"/>
      <c r="U312" s="443"/>
      <c r="V312" s="443"/>
    </row>
    <row r="313">
      <c r="A313" s="441" t="s">
        <v>5600</v>
      </c>
      <c r="B313" s="441" t="s">
        <v>5601</v>
      </c>
      <c r="C313" s="441" t="s">
        <v>5602</v>
      </c>
      <c r="D313" s="441">
        <v>0.0</v>
      </c>
      <c r="E313" s="441">
        <v>0.0</v>
      </c>
      <c r="F313" s="441">
        <v>0.0</v>
      </c>
      <c r="G313" s="442" t="s">
        <v>5603</v>
      </c>
      <c r="H313" s="441">
        <v>3503.0</v>
      </c>
      <c r="I313" s="441">
        <v>35.0</v>
      </c>
      <c r="J313" s="441" t="s">
        <v>4457</v>
      </c>
      <c r="K313" s="443"/>
      <c r="L313" s="443"/>
      <c r="M313" s="443"/>
      <c r="N313" s="443"/>
      <c r="O313" s="443"/>
      <c r="P313" s="443"/>
      <c r="Q313" s="443"/>
      <c r="R313" s="443"/>
      <c r="S313" s="443"/>
      <c r="T313" s="443"/>
      <c r="U313" s="443"/>
      <c r="V313" s="443"/>
    </row>
    <row r="314">
      <c r="A314" s="441" t="s">
        <v>6054</v>
      </c>
      <c r="B314" s="441" t="s">
        <v>6055</v>
      </c>
      <c r="C314" s="441" t="s">
        <v>6056</v>
      </c>
      <c r="D314" s="441" t="s">
        <v>6057</v>
      </c>
      <c r="E314" s="441" t="s">
        <v>6055</v>
      </c>
      <c r="F314" s="441" t="s">
        <v>4503</v>
      </c>
      <c r="G314" s="442" t="s">
        <v>5603</v>
      </c>
      <c r="H314" s="441">
        <v>5204.0</v>
      </c>
      <c r="I314" s="441">
        <v>52.0</v>
      </c>
      <c r="J314" s="441" t="s">
        <v>4457</v>
      </c>
      <c r="K314" s="443"/>
      <c r="L314" s="443"/>
      <c r="M314" s="443"/>
      <c r="N314" s="443"/>
      <c r="O314" s="443"/>
      <c r="P314" s="443"/>
      <c r="Q314" s="443"/>
      <c r="R314" s="443"/>
      <c r="S314" s="443"/>
      <c r="T314" s="443"/>
      <c r="U314" s="443"/>
      <c r="V314" s="443"/>
    </row>
    <row r="315">
      <c r="A315" s="441" t="s">
        <v>6058</v>
      </c>
      <c r="B315" s="441">
        <v>0.0</v>
      </c>
      <c r="C315" s="441" t="s">
        <v>6059</v>
      </c>
      <c r="D315" s="441">
        <v>0.0</v>
      </c>
      <c r="E315" s="441" t="s">
        <v>6060</v>
      </c>
      <c r="F315" s="441" t="s">
        <v>4503</v>
      </c>
      <c r="G315" s="442" t="s">
        <v>5603</v>
      </c>
      <c r="H315" s="441">
        <v>5205.0</v>
      </c>
      <c r="I315" s="441">
        <v>52.0</v>
      </c>
      <c r="J315" s="441" t="s">
        <v>5915</v>
      </c>
      <c r="K315" s="443"/>
      <c r="L315" s="443"/>
      <c r="M315" s="443"/>
      <c r="N315" s="443"/>
      <c r="O315" s="443"/>
      <c r="P315" s="443"/>
      <c r="Q315" s="443"/>
      <c r="R315" s="443"/>
      <c r="S315" s="443"/>
      <c r="T315" s="443"/>
      <c r="U315" s="443"/>
      <c r="V315" s="443"/>
    </row>
    <row r="316">
      <c r="A316" s="441" t="s">
        <v>6061</v>
      </c>
      <c r="B316" s="441" t="s">
        <v>6062</v>
      </c>
      <c r="C316" s="441" t="s">
        <v>6063</v>
      </c>
      <c r="D316" s="441" t="s">
        <v>6064</v>
      </c>
      <c r="E316" s="441" t="s">
        <v>6065</v>
      </c>
      <c r="F316" s="441" t="s">
        <v>4533</v>
      </c>
      <c r="G316" s="442" t="s">
        <v>5603</v>
      </c>
      <c r="H316" s="441">
        <v>5206.0</v>
      </c>
      <c r="I316" s="441">
        <v>52.0</v>
      </c>
      <c r="J316" s="441" t="s">
        <v>4641</v>
      </c>
      <c r="K316" s="443"/>
      <c r="L316" s="443"/>
      <c r="M316" s="443"/>
      <c r="N316" s="443"/>
      <c r="O316" s="443"/>
      <c r="P316" s="443"/>
      <c r="Q316" s="443"/>
      <c r="R316" s="443"/>
      <c r="S316" s="443"/>
      <c r="T316" s="443"/>
      <c r="U316" s="443"/>
      <c r="V316" s="443"/>
    </row>
    <row r="317">
      <c r="A317" s="441" t="s">
        <v>5600</v>
      </c>
      <c r="B317" s="441" t="s">
        <v>5601</v>
      </c>
      <c r="C317" s="441" t="s">
        <v>5602</v>
      </c>
      <c r="D317" s="441">
        <v>0.0</v>
      </c>
      <c r="E317" s="441">
        <v>0.0</v>
      </c>
      <c r="F317" s="441">
        <v>0.0</v>
      </c>
      <c r="G317" s="442" t="s">
        <v>5603</v>
      </c>
      <c r="H317" s="441">
        <v>5301.0</v>
      </c>
      <c r="I317" s="441">
        <v>53.0</v>
      </c>
      <c r="J317" s="441" t="s">
        <v>4641</v>
      </c>
      <c r="K317" s="443"/>
      <c r="L317" s="443"/>
      <c r="M317" s="443"/>
      <c r="N317" s="443"/>
      <c r="O317" s="443"/>
      <c r="P317" s="443"/>
      <c r="Q317" s="443"/>
      <c r="R317" s="443"/>
      <c r="S317" s="443"/>
      <c r="T317" s="443"/>
      <c r="U317" s="443"/>
      <c r="V317" s="443"/>
    </row>
    <row r="318">
      <c r="A318" s="441" t="s">
        <v>5600</v>
      </c>
      <c r="B318" s="441" t="s">
        <v>5601</v>
      </c>
      <c r="C318" s="441" t="s">
        <v>5602</v>
      </c>
      <c r="D318" s="441">
        <v>0.0</v>
      </c>
      <c r="E318" s="441">
        <v>0.0</v>
      </c>
      <c r="F318" s="441">
        <v>0.0</v>
      </c>
      <c r="G318" s="442" t="s">
        <v>5603</v>
      </c>
      <c r="H318" s="441">
        <v>5302.0</v>
      </c>
      <c r="I318" s="441">
        <v>53.0</v>
      </c>
      <c r="J318" s="441" t="s">
        <v>5915</v>
      </c>
      <c r="K318" s="443"/>
      <c r="L318" s="443"/>
      <c r="M318" s="443"/>
      <c r="N318" s="443"/>
      <c r="O318" s="443"/>
      <c r="P318" s="443"/>
      <c r="Q318" s="443"/>
      <c r="R318" s="443"/>
      <c r="S318" s="443"/>
      <c r="T318" s="443"/>
      <c r="U318" s="443"/>
      <c r="V318" s="443"/>
    </row>
    <row r="319">
      <c r="A319" s="441" t="s">
        <v>5600</v>
      </c>
      <c r="B319" s="441" t="s">
        <v>5601</v>
      </c>
      <c r="C319" s="441" t="s">
        <v>5602</v>
      </c>
      <c r="D319" s="441">
        <v>0.0</v>
      </c>
      <c r="E319" s="441">
        <v>0.0</v>
      </c>
      <c r="F319" s="441">
        <v>0.0</v>
      </c>
      <c r="G319" s="442" t="s">
        <v>5603</v>
      </c>
      <c r="H319" s="441">
        <v>5303.0</v>
      </c>
      <c r="I319" s="441">
        <v>53.0</v>
      </c>
      <c r="J319" s="441" t="s">
        <v>4479</v>
      </c>
      <c r="K319" s="443"/>
      <c r="L319" s="443"/>
      <c r="M319" s="443"/>
      <c r="N319" s="443"/>
      <c r="O319" s="443"/>
      <c r="P319" s="443"/>
      <c r="Q319" s="443"/>
      <c r="R319" s="443"/>
      <c r="S319" s="443"/>
      <c r="T319" s="443"/>
      <c r="U319" s="443"/>
      <c r="V319" s="443"/>
    </row>
    <row r="320">
      <c r="A320" s="441" t="s">
        <v>6066</v>
      </c>
      <c r="B320" s="441">
        <v>0.0</v>
      </c>
      <c r="C320" s="441" t="s">
        <v>6067</v>
      </c>
      <c r="D320" s="441" t="s">
        <v>6068</v>
      </c>
      <c r="E320" s="441" t="s">
        <v>6069</v>
      </c>
      <c r="F320" s="441" t="s">
        <v>4461</v>
      </c>
      <c r="G320" s="442" t="s">
        <v>5603</v>
      </c>
      <c r="H320" s="441">
        <v>5304.0</v>
      </c>
      <c r="I320" s="441">
        <v>53.0</v>
      </c>
      <c r="J320" s="441" t="s">
        <v>4457</v>
      </c>
      <c r="K320" s="443"/>
      <c r="L320" s="443"/>
      <c r="M320" s="443"/>
      <c r="N320" s="443"/>
      <c r="O320" s="443"/>
      <c r="P320" s="443"/>
      <c r="Q320" s="443"/>
      <c r="R320" s="443"/>
      <c r="S320" s="443"/>
      <c r="T320" s="443"/>
      <c r="U320" s="443"/>
      <c r="V320" s="443"/>
    </row>
    <row r="321">
      <c r="A321" s="441" t="s">
        <v>5600</v>
      </c>
      <c r="B321" s="441" t="s">
        <v>5601</v>
      </c>
      <c r="C321" s="441" t="s">
        <v>5602</v>
      </c>
      <c r="D321" s="441">
        <v>0.0</v>
      </c>
      <c r="E321" s="441">
        <v>0.0</v>
      </c>
      <c r="F321" s="441">
        <v>0.0</v>
      </c>
      <c r="G321" s="442" t="s">
        <v>5603</v>
      </c>
      <c r="H321" s="441">
        <v>5305.0</v>
      </c>
      <c r="I321" s="441">
        <v>53.0</v>
      </c>
      <c r="J321" s="441" t="s">
        <v>5915</v>
      </c>
      <c r="K321" s="443"/>
      <c r="L321" s="443"/>
      <c r="M321" s="443"/>
      <c r="N321" s="443"/>
      <c r="O321" s="443"/>
      <c r="P321" s="443"/>
      <c r="Q321" s="443"/>
      <c r="R321" s="443"/>
      <c r="S321" s="443"/>
      <c r="T321" s="443"/>
      <c r="U321" s="443"/>
      <c r="V321" s="443"/>
    </row>
    <row r="322">
      <c r="A322" s="441" t="s">
        <v>5600</v>
      </c>
      <c r="B322" s="441" t="s">
        <v>5601</v>
      </c>
      <c r="C322" s="441" t="s">
        <v>5602</v>
      </c>
      <c r="D322" s="441">
        <v>0.0</v>
      </c>
      <c r="E322" s="441">
        <v>0.0</v>
      </c>
      <c r="F322" s="441">
        <v>0.0</v>
      </c>
      <c r="G322" s="442" t="s">
        <v>5603</v>
      </c>
      <c r="H322" s="441">
        <v>5306.0</v>
      </c>
      <c r="I322" s="441">
        <v>53.0</v>
      </c>
      <c r="J322" s="441" t="s">
        <v>4641</v>
      </c>
      <c r="K322" s="443"/>
      <c r="L322" s="443"/>
      <c r="M322" s="443"/>
      <c r="N322" s="443"/>
      <c r="O322" s="443"/>
      <c r="P322" s="443"/>
      <c r="Q322" s="443"/>
      <c r="R322" s="443"/>
      <c r="S322" s="443"/>
      <c r="T322" s="443"/>
      <c r="U322" s="443"/>
      <c r="V322" s="443"/>
    </row>
    <row r="323">
      <c r="A323" s="441" t="s">
        <v>6070</v>
      </c>
      <c r="B323" s="441">
        <v>0.0</v>
      </c>
      <c r="C323" s="441" t="s">
        <v>6071</v>
      </c>
      <c r="D323" s="441">
        <v>0.0</v>
      </c>
      <c r="E323" s="441" t="s">
        <v>6072</v>
      </c>
      <c r="F323" s="441" t="s">
        <v>5504</v>
      </c>
      <c r="G323" s="442" t="s">
        <v>5603</v>
      </c>
      <c r="H323" s="441">
        <v>5401.0</v>
      </c>
      <c r="I323" s="441">
        <v>54.0</v>
      </c>
      <c r="J323" s="441" t="s">
        <v>4641</v>
      </c>
      <c r="K323" s="443"/>
      <c r="L323" s="443"/>
      <c r="M323" s="443"/>
      <c r="N323" s="443"/>
      <c r="O323" s="443"/>
      <c r="P323" s="443"/>
      <c r="Q323" s="443"/>
      <c r="R323" s="443"/>
      <c r="S323" s="443"/>
      <c r="T323" s="443"/>
      <c r="U323" s="443"/>
      <c r="V323" s="443"/>
    </row>
    <row r="324">
      <c r="A324" s="441" t="s">
        <v>6073</v>
      </c>
      <c r="B324" s="441">
        <v>0.0</v>
      </c>
      <c r="C324" s="441">
        <v>0.0</v>
      </c>
      <c r="D324" s="441" t="s">
        <v>6074</v>
      </c>
      <c r="E324" s="441" t="s">
        <v>6075</v>
      </c>
      <c r="F324" s="441" t="s">
        <v>4472</v>
      </c>
      <c r="G324" s="442" t="s">
        <v>5603</v>
      </c>
      <c r="H324" s="441">
        <v>3804.0</v>
      </c>
      <c r="I324" s="441">
        <v>38.0</v>
      </c>
      <c r="J324" s="441" t="s">
        <v>4479</v>
      </c>
      <c r="K324" s="443"/>
      <c r="L324" s="443"/>
      <c r="M324" s="443"/>
      <c r="N324" s="443"/>
      <c r="O324" s="443"/>
      <c r="P324" s="443"/>
      <c r="Q324" s="443"/>
      <c r="R324" s="443"/>
      <c r="S324" s="443"/>
      <c r="T324" s="443"/>
      <c r="U324" s="443"/>
      <c r="V324" s="443"/>
    </row>
    <row r="325">
      <c r="A325" s="441" t="s">
        <v>5600</v>
      </c>
      <c r="B325" s="441" t="s">
        <v>5601</v>
      </c>
      <c r="C325" s="441" t="s">
        <v>5602</v>
      </c>
      <c r="D325" s="441">
        <v>0.0</v>
      </c>
      <c r="E325" s="441">
        <v>0.0</v>
      </c>
      <c r="F325" s="441">
        <v>0.0</v>
      </c>
      <c r="G325" s="442" t="s">
        <v>5603</v>
      </c>
      <c r="H325" s="441">
        <v>3805.0</v>
      </c>
      <c r="I325" s="441">
        <v>38.0</v>
      </c>
      <c r="J325" s="441" t="s">
        <v>4457</v>
      </c>
      <c r="K325" s="443"/>
      <c r="L325" s="443"/>
      <c r="M325" s="443"/>
      <c r="N325" s="443"/>
      <c r="O325" s="443"/>
      <c r="P325" s="443"/>
      <c r="Q325" s="443"/>
      <c r="R325" s="443"/>
      <c r="S325" s="443"/>
      <c r="T325" s="443"/>
      <c r="U325" s="443"/>
      <c r="V325" s="443"/>
    </row>
    <row r="326">
      <c r="A326" s="441" t="s">
        <v>5994</v>
      </c>
      <c r="B326" s="441">
        <v>0.0</v>
      </c>
      <c r="C326" s="441" t="s">
        <v>5995</v>
      </c>
      <c r="D326" s="441" t="s">
        <v>5996</v>
      </c>
      <c r="E326" s="441">
        <v>0.0</v>
      </c>
      <c r="F326" s="441" t="s">
        <v>4571</v>
      </c>
      <c r="G326" s="442" t="s">
        <v>5603</v>
      </c>
      <c r="H326" s="441">
        <v>4704.0</v>
      </c>
      <c r="I326" s="441">
        <v>47.0</v>
      </c>
      <c r="J326" s="441" t="s">
        <v>4479</v>
      </c>
      <c r="K326" s="443"/>
      <c r="L326" s="443"/>
      <c r="M326" s="443"/>
      <c r="N326" s="443"/>
      <c r="O326" s="443"/>
      <c r="P326" s="443"/>
      <c r="Q326" s="443"/>
      <c r="R326" s="443"/>
      <c r="S326" s="443"/>
      <c r="T326" s="443"/>
      <c r="U326" s="443"/>
      <c r="V326" s="443"/>
    </row>
    <row r="327">
      <c r="A327" s="441" t="s">
        <v>6076</v>
      </c>
      <c r="B327" s="441">
        <v>0.0</v>
      </c>
      <c r="C327" s="441">
        <v>0.0</v>
      </c>
      <c r="D327" s="441" t="s">
        <v>6077</v>
      </c>
      <c r="E327" s="441" t="s">
        <v>6078</v>
      </c>
      <c r="F327" s="441" t="s">
        <v>4852</v>
      </c>
      <c r="G327" s="442" t="s">
        <v>5603</v>
      </c>
      <c r="H327" s="441">
        <v>3907.0</v>
      </c>
      <c r="I327" s="441">
        <v>39.0</v>
      </c>
      <c r="J327" s="441" t="s">
        <v>4457</v>
      </c>
      <c r="K327" s="443"/>
      <c r="L327" s="443"/>
      <c r="M327" s="443"/>
      <c r="N327" s="443"/>
      <c r="O327" s="443"/>
      <c r="P327" s="443"/>
      <c r="Q327" s="443"/>
      <c r="R327" s="443"/>
      <c r="S327" s="443"/>
      <c r="T327" s="443"/>
      <c r="U327" s="443"/>
      <c r="V327" s="443"/>
    </row>
    <row r="328">
      <c r="A328" s="441" t="s">
        <v>5600</v>
      </c>
      <c r="B328" s="441" t="s">
        <v>5601</v>
      </c>
      <c r="C328" s="441" t="s">
        <v>5602</v>
      </c>
      <c r="D328" s="441">
        <v>0.0</v>
      </c>
      <c r="E328" s="441">
        <v>0.0</v>
      </c>
      <c r="F328" s="441">
        <v>0.0</v>
      </c>
      <c r="G328" s="442" t="s">
        <v>5603</v>
      </c>
      <c r="H328" s="441">
        <v>3908.0</v>
      </c>
      <c r="I328" s="441">
        <v>39.0</v>
      </c>
      <c r="J328" s="441" t="s">
        <v>4641</v>
      </c>
      <c r="K328" s="443"/>
      <c r="L328" s="443"/>
      <c r="M328" s="443"/>
      <c r="N328" s="443"/>
      <c r="O328" s="443"/>
      <c r="P328" s="443"/>
      <c r="Q328" s="443"/>
      <c r="R328" s="443"/>
      <c r="S328" s="443"/>
      <c r="T328" s="443"/>
      <c r="U328" s="443"/>
      <c r="V328" s="443"/>
    </row>
    <row r="329">
      <c r="A329" s="441" t="s">
        <v>6079</v>
      </c>
      <c r="B329" s="441">
        <v>0.0</v>
      </c>
      <c r="C329" s="441">
        <v>0.0</v>
      </c>
      <c r="D329" s="441">
        <v>9.665041044E10</v>
      </c>
      <c r="E329" s="441">
        <v>0.0</v>
      </c>
      <c r="F329" s="441" t="s">
        <v>4472</v>
      </c>
      <c r="G329" s="442" t="s">
        <v>5603</v>
      </c>
      <c r="H329" s="441">
        <v>4807.0</v>
      </c>
      <c r="I329" s="441">
        <v>48.0</v>
      </c>
      <c r="J329" s="441" t="s">
        <v>4457</v>
      </c>
      <c r="K329" s="443"/>
      <c r="L329" s="443"/>
      <c r="M329" s="443"/>
      <c r="N329" s="443"/>
      <c r="O329" s="443"/>
      <c r="P329" s="443"/>
      <c r="Q329" s="443"/>
      <c r="R329" s="443"/>
      <c r="S329" s="443"/>
      <c r="T329" s="443"/>
      <c r="U329" s="443"/>
      <c r="V329" s="443"/>
    </row>
    <row r="330">
      <c r="A330" s="441" t="s">
        <v>5800</v>
      </c>
      <c r="B330" s="441">
        <v>0.0</v>
      </c>
      <c r="C330" s="441" t="s">
        <v>5801</v>
      </c>
      <c r="D330" s="441" t="s">
        <v>5802</v>
      </c>
      <c r="E330" s="441" t="s">
        <v>5803</v>
      </c>
      <c r="F330" s="441" t="s">
        <v>4472</v>
      </c>
      <c r="G330" s="442" t="s">
        <v>5603</v>
      </c>
      <c r="H330" s="441">
        <v>4808.0</v>
      </c>
      <c r="I330" s="441">
        <v>48.0</v>
      </c>
      <c r="J330" s="441" t="s">
        <v>4641</v>
      </c>
      <c r="K330" s="443"/>
      <c r="L330" s="443"/>
      <c r="M330" s="443"/>
      <c r="N330" s="443"/>
      <c r="O330" s="443"/>
      <c r="P330" s="443"/>
      <c r="Q330" s="443"/>
      <c r="R330" s="443"/>
      <c r="S330" s="443"/>
      <c r="T330" s="443"/>
      <c r="U330" s="443"/>
      <c r="V330" s="443"/>
    </row>
    <row r="331">
      <c r="A331" s="441" t="s">
        <v>6070</v>
      </c>
      <c r="B331" s="441">
        <v>0.0</v>
      </c>
      <c r="C331" s="441" t="s">
        <v>6071</v>
      </c>
      <c r="D331" s="441">
        <v>0.0</v>
      </c>
      <c r="E331" s="441" t="s">
        <v>6072</v>
      </c>
      <c r="F331" s="441" t="s">
        <v>5504</v>
      </c>
      <c r="G331" s="442" t="s">
        <v>5603</v>
      </c>
      <c r="H331" s="441">
        <v>5403.0</v>
      </c>
      <c r="I331" s="441">
        <v>54.0</v>
      </c>
      <c r="J331" s="441" t="s">
        <v>4479</v>
      </c>
      <c r="K331" s="443"/>
      <c r="L331" s="443"/>
      <c r="M331" s="443"/>
      <c r="N331" s="443"/>
      <c r="O331" s="443"/>
      <c r="P331" s="443"/>
      <c r="Q331" s="443"/>
      <c r="R331" s="443"/>
      <c r="S331" s="443"/>
      <c r="T331" s="443"/>
      <c r="U331" s="443"/>
      <c r="V331" s="443"/>
    </row>
    <row r="332">
      <c r="A332" s="441" t="s">
        <v>6070</v>
      </c>
      <c r="B332" s="441">
        <v>0.0</v>
      </c>
      <c r="C332" s="441" t="s">
        <v>6071</v>
      </c>
      <c r="D332" s="441">
        <v>0.0</v>
      </c>
      <c r="E332" s="441" t="s">
        <v>6072</v>
      </c>
      <c r="F332" s="441" t="s">
        <v>5504</v>
      </c>
      <c r="G332" s="442" t="s">
        <v>5603</v>
      </c>
      <c r="H332" s="441">
        <v>5404.0</v>
      </c>
      <c r="I332" s="441">
        <v>54.0</v>
      </c>
      <c r="J332" s="441" t="s">
        <v>4457</v>
      </c>
      <c r="K332" s="443"/>
      <c r="L332" s="443"/>
      <c r="M332" s="443"/>
      <c r="N332" s="443"/>
      <c r="O332" s="443"/>
      <c r="P332" s="443"/>
      <c r="Q332" s="443"/>
      <c r="R332" s="443"/>
      <c r="S332" s="443"/>
      <c r="T332" s="443"/>
      <c r="U332" s="443"/>
      <c r="V332" s="443"/>
    </row>
    <row r="333">
      <c r="A333" s="441" t="s">
        <v>6080</v>
      </c>
      <c r="B333" s="441">
        <v>0.0</v>
      </c>
      <c r="C333" s="441" t="s">
        <v>6081</v>
      </c>
      <c r="D333" s="441" t="s">
        <v>6082</v>
      </c>
      <c r="E333" s="441" t="s">
        <v>6083</v>
      </c>
      <c r="F333" s="441" t="s">
        <v>5504</v>
      </c>
      <c r="G333" s="442" t="s">
        <v>5603</v>
      </c>
      <c r="H333" s="441">
        <v>5405.0</v>
      </c>
      <c r="I333" s="441">
        <v>54.0</v>
      </c>
      <c r="J333" s="441" t="s">
        <v>5915</v>
      </c>
      <c r="K333" s="443"/>
      <c r="L333" s="443"/>
      <c r="M333" s="443"/>
      <c r="N333" s="443"/>
      <c r="O333" s="443"/>
      <c r="P333" s="443"/>
      <c r="Q333" s="443"/>
      <c r="R333" s="443"/>
      <c r="S333" s="443"/>
      <c r="T333" s="443"/>
      <c r="U333" s="443"/>
      <c r="V333" s="443"/>
    </row>
    <row r="334">
      <c r="A334" s="441" t="s">
        <v>6080</v>
      </c>
      <c r="B334" s="441">
        <v>0.0</v>
      </c>
      <c r="C334" s="441" t="s">
        <v>6081</v>
      </c>
      <c r="D334" s="441" t="s">
        <v>6082</v>
      </c>
      <c r="E334" s="441" t="s">
        <v>6083</v>
      </c>
      <c r="F334" s="441" t="s">
        <v>5504</v>
      </c>
      <c r="G334" s="442" t="s">
        <v>5603</v>
      </c>
      <c r="H334" s="441">
        <v>5406.0</v>
      </c>
      <c r="I334" s="441">
        <v>54.0</v>
      </c>
      <c r="J334" s="441" t="s">
        <v>4641</v>
      </c>
      <c r="K334" s="443"/>
      <c r="L334" s="443"/>
      <c r="M334" s="443"/>
      <c r="N334" s="443"/>
      <c r="O334" s="443"/>
      <c r="P334" s="443"/>
      <c r="Q334" s="443"/>
      <c r="R334" s="443"/>
      <c r="S334" s="443"/>
      <c r="T334" s="443"/>
      <c r="U334" s="443"/>
      <c r="V334" s="443"/>
    </row>
    <row r="335">
      <c r="A335" s="441" t="s">
        <v>6084</v>
      </c>
      <c r="B335" s="441" t="s">
        <v>6085</v>
      </c>
      <c r="C335" s="441" t="s">
        <v>6086</v>
      </c>
      <c r="D335" s="441" t="s">
        <v>6087</v>
      </c>
      <c r="E335" s="441" t="s">
        <v>6088</v>
      </c>
      <c r="F335" s="441" t="s">
        <v>4642</v>
      </c>
      <c r="G335" s="442" t="s">
        <v>5603</v>
      </c>
      <c r="H335" s="441">
        <v>5601.0</v>
      </c>
      <c r="I335" s="441">
        <v>56.0</v>
      </c>
      <c r="J335" s="441" t="s">
        <v>5915</v>
      </c>
      <c r="K335" s="443"/>
      <c r="L335" s="443"/>
      <c r="M335" s="443"/>
      <c r="N335" s="443"/>
      <c r="O335" s="443"/>
      <c r="P335" s="443"/>
      <c r="Q335" s="443"/>
      <c r="R335" s="443"/>
      <c r="S335" s="443"/>
      <c r="T335" s="443"/>
      <c r="U335" s="443"/>
      <c r="V335" s="443"/>
    </row>
    <row r="336">
      <c r="A336" s="441" t="s">
        <v>5600</v>
      </c>
      <c r="B336" s="441" t="s">
        <v>5601</v>
      </c>
      <c r="C336" s="441" t="s">
        <v>5602</v>
      </c>
      <c r="D336" s="441">
        <v>0.0</v>
      </c>
      <c r="E336" s="441">
        <v>0.0</v>
      </c>
      <c r="F336" s="441">
        <v>0.0</v>
      </c>
      <c r="G336" s="442" t="s">
        <v>5603</v>
      </c>
      <c r="H336" s="441">
        <v>5602.0</v>
      </c>
      <c r="I336" s="441">
        <v>56.0</v>
      </c>
      <c r="J336" s="441" t="s">
        <v>5915</v>
      </c>
      <c r="K336" s="443"/>
      <c r="L336" s="443"/>
      <c r="M336" s="443"/>
      <c r="N336" s="443"/>
      <c r="O336" s="443"/>
      <c r="P336" s="443"/>
      <c r="Q336" s="443"/>
      <c r="R336" s="443"/>
      <c r="S336" s="443"/>
      <c r="T336" s="443"/>
      <c r="U336" s="443"/>
      <c r="V336" s="443"/>
    </row>
    <row r="337">
      <c r="A337" s="441" t="s">
        <v>5600</v>
      </c>
      <c r="B337" s="441" t="s">
        <v>5601</v>
      </c>
      <c r="C337" s="441" t="s">
        <v>5602</v>
      </c>
      <c r="D337" s="441">
        <v>0.0</v>
      </c>
      <c r="E337" s="441">
        <v>0.0</v>
      </c>
      <c r="F337" s="441">
        <v>0.0</v>
      </c>
      <c r="G337" s="442" t="s">
        <v>5603</v>
      </c>
      <c r="H337" s="441" t="s">
        <v>6089</v>
      </c>
      <c r="I337" s="441">
        <v>6.0</v>
      </c>
      <c r="J337" s="441" t="s">
        <v>5915</v>
      </c>
      <c r="K337" s="443"/>
      <c r="L337" s="443"/>
      <c r="M337" s="443"/>
      <c r="N337" s="443"/>
      <c r="O337" s="443"/>
      <c r="P337" s="443"/>
      <c r="Q337" s="443"/>
      <c r="R337" s="443"/>
      <c r="S337" s="443"/>
      <c r="T337" s="443"/>
      <c r="U337" s="443"/>
      <c r="V337" s="443"/>
    </row>
    <row r="338">
      <c r="A338" s="441" t="s">
        <v>5600</v>
      </c>
      <c r="B338" s="441" t="s">
        <v>5601</v>
      </c>
      <c r="C338" s="441" t="s">
        <v>5602</v>
      </c>
      <c r="D338" s="441">
        <v>0.0</v>
      </c>
      <c r="E338" s="441">
        <v>0.0</v>
      </c>
      <c r="F338" s="441">
        <v>0.0</v>
      </c>
      <c r="G338" s="442" t="s">
        <v>5603</v>
      </c>
      <c r="H338" s="441" t="s">
        <v>6090</v>
      </c>
      <c r="I338" s="441">
        <v>6.0</v>
      </c>
      <c r="J338" s="441" t="s">
        <v>6091</v>
      </c>
      <c r="K338" s="443"/>
      <c r="L338" s="443"/>
      <c r="M338" s="443"/>
      <c r="N338" s="443"/>
      <c r="O338" s="443"/>
      <c r="P338" s="443"/>
      <c r="Q338" s="443"/>
      <c r="R338" s="443"/>
      <c r="S338" s="443"/>
      <c r="T338" s="443"/>
      <c r="U338" s="443"/>
      <c r="V338" s="443"/>
    </row>
    <row r="339">
      <c r="A339" s="441" t="s">
        <v>5600</v>
      </c>
      <c r="B339" s="441" t="s">
        <v>5601</v>
      </c>
      <c r="C339" s="441" t="s">
        <v>5602</v>
      </c>
      <c r="D339" s="441">
        <v>0.0</v>
      </c>
      <c r="E339" s="441">
        <v>0.0</v>
      </c>
      <c r="F339" s="441">
        <v>0.0</v>
      </c>
      <c r="G339" s="442" t="s">
        <v>5603</v>
      </c>
      <c r="H339" s="441" t="s">
        <v>6092</v>
      </c>
      <c r="I339" s="441">
        <v>6.0</v>
      </c>
      <c r="J339" s="441" t="s">
        <v>6093</v>
      </c>
      <c r="K339" s="443"/>
      <c r="L339" s="443"/>
      <c r="M339" s="443"/>
      <c r="N339" s="443"/>
      <c r="O339" s="443"/>
      <c r="P339" s="443"/>
      <c r="Q339" s="443"/>
      <c r="R339" s="443"/>
      <c r="S339" s="443"/>
      <c r="T339" s="443"/>
      <c r="U339" s="443"/>
      <c r="V339" s="443"/>
    </row>
    <row r="340">
      <c r="A340" s="441" t="s">
        <v>5600</v>
      </c>
      <c r="B340" s="441" t="s">
        <v>5601</v>
      </c>
      <c r="C340" s="441" t="s">
        <v>5602</v>
      </c>
      <c r="D340" s="441">
        <v>0.0</v>
      </c>
      <c r="E340" s="441">
        <v>0.0</v>
      </c>
      <c r="F340" s="441">
        <v>0.0</v>
      </c>
      <c r="G340" s="442" t="s">
        <v>5603</v>
      </c>
      <c r="H340" s="441">
        <v>1801.0</v>
      </c>
      <c r="I340" s="441">
        <v>18.0</v>
      </c>
      <c r="J340" s="441" t="s">
        <v>4641</v>
      </c>
      <c r="K340" s="443"/>
      <c r="L340" s="443"/>
      <c r="M340" s="443"/>
      <c r="N340" s="443"/>
      <c r="O340" s="443"/>
      <c r="P340" s="443"/>
      <c r="Q340" s="443"/>
      <c r="R340" s="443"/>
      <c r="S340" s="443"/>
      <c r="T340" s="443"/>
      <c r="U340" s="443"/>
      <c r="V340" s="443"/>
    </row>
    <row r="341">
      <c r="A341" s="441" t="s">
        <v>5600</v>
      </c>
      <c r="B341" s="441" t="s">
        <v>5601</v>
      </c>
      <c r="C341" s="441" t="s">
        <v>5602</v>
      </c>
      <c r="D341" s="441">
        <v>0.0</v>
      </c>
      <c r="E341" s="441">
        <v>0.0</v>
      </c>
      <c r="F341" s="441">
        <v>0.0</v>
      </c>
      <c r="G341" s="442" t="s">
        <v>5603</v>
      </c>
      <c r="H341" s="441">
        <v>1802.0</v>
      </c>
      <c r="I341" s="441">
        <v>18.0</v>
      </c>
      <c r="J341" s="441" t="s">
        <v>4479</v>
      </c>
      <c r="K341" s="443"/>
      <c r="L341" s="443"/>
      <c r="M341" s="443"/>
      <c r="N341" s="443"/>
      <c r="O341" s="443"/>
      <c r="P341" s="443"/>
      <c r="Q341" s="443"/>
      <c r="R341" s="443"/>
      <c r="S341" s="443"/>
      <c r="T341" s="443"/>
      <c r="U341" s="443"/>
      <c r="V341" s="443"/>
    </row>
    <row r="342">
      <c r="A342" s="441" t="s">
        <v>5600</v>
      </c>
      <c r="B342" s="441" t="s">
        <v>5601</v>
      </c>
      <c r="C342" s="441" t="s">
        <v>5602</v>
      </c>
      <c r="D342" s="441">
        <v>0.0</v>
      </c>
      <c r="E342" s="441">
        <v>0.0</v>
      </c>
      <c r="F342" s="441">
        <v>0.0</v>
      </c>
      <c r="G342" s="442" t="s">
        <v>5603</v>
      </c>
      <c r="H342" s="441">
        <v>1803.0</v>
      </c>
      <c r="I342" s="441">
        <v>18.0</v>
      </c>
      <c r="J342" s="441" t="s">
        <v>4479</v>
      </c>
      <c r="K342" s="443"/>
      <c r="L342" s="443"/>
      <c r="M342" s="443"/>
      <c r="N342" s="443"/>
      <c r="O342" s="443"/>
      <c r="P342" s="443"/>
      <c r="Q342" s="443"/>
      <c r="R342" s="443"/>
      <c r="S342" s="443"/>
      <c r="T342" s="443"/>
      <c r="U342" s="443"/>
      <c r="V342" s="443"/>
    </row>
    <row r="343">
      <c r="A343" s="441" t="s">
        <v>5600</v>
      </c>
      <c r="B343" s="441" t="s">
        <v>5601</v>
      </c>
      <c r="C343" s="441" t="s">
        <v>5602</v>
      </c>
      <c r="D343" s="441">
        <v>0.0</v>
      </c>
      <c r="E343" s="441">
        <v>0.0</v>
      </c>
      <c r="F343" s="441">
        <v>0.0</v>
      </c>
      <c r="G343" s="442" t="s">
        <v>5603</v>
      </c>
      <c r="H343" s="441">
        <v>1804.0</v>
      </c>
      <c r="I343" s="441">
        <v>18.0</v>
      </c>
      <c r="J343" s="441" t="s">
        <v>4479</v>
      </c>
      <c r="K343" s="443"/>
      <c r="L343" s="443"/>
      <c r="M343" s="443"/>
      <c r="N343" s="443"/>
      <c r="O343" s="443"/>
      <c r="P343" s="443"/>
      <c r="Q343" s="443"/>
      <c r="R343" s="443"/>
      <c r="S343" s="443"/>
      <c r="T343" s="443"/>
      <c r="U343" s="443"/>
      <c r="V343" s="443"/>
    </row>
    <row r="344">
      <c r="A344" s="441" t="s">
        <v>5600</v>
      </c>
      <c r="B344" s="441" t="s">
        <v>5601</v>
      </c>
      <c r="C344" s="441" t="s">
        <v>5602</v>
      </c>
      <c r="D344" s="441">
        <v>0.0</v>
      </c>
      <c r="E344" s="441">
        <v>0.0</v>
      </c>
      <c r="F344" s="441">
        <v>0.0</v>
      </c>
      <c r="G344" s="442" t="s">
        <v>5603</v>
      </c>
      <c r="H344" s="441">
        <v>1805.0</v>
      </c>
      <c r="I344" s="441">
        <v>18.0</v>
      </c>
      <c r="J344" s="441" t="s">
        <v>4479</v>
      </c>
      <c r="K344" s="443"/>
      <c r="L344" s="443"/>
      <c r="M344" s="443"/>
      <c r="N344" s="443"/>
      <c r="O344" s="443"/>
      <c r="P344" s="443"/>
      <c r="Q344" s="443"/>
      <c r="R344" s="443"/>
      <c r="S344" s="443"/>
      <c r="T344" s="443"/>
      <c r="U344" s="443"/>
      <c r="V344" s="443"/>
    </row>
    <row r="345">
      <c r="A345" s="441" t="s">
        <v>5600</v>
      </c>
      <c r="B345" s="441" t="s">
        <v>5601</v>
      </c>
      <c r="C345" s="441" t="s">
        <v>5602</v>
      </c>
      <c r="D345" s="441">
        <v>0.0</v>
      </c>
      <c r="E345" s="441">
        <v>0.0</v>
      </c>
      <c r="F345" s="441">
        <v>0.0</v>
      </c>
      <c r="G345" s="442" t="s">
        <v>5603</v>
      </c>
      <c r="H345" s="441">
        <v>1806.0</v>
      </c>
      <c r="I345" s="441">
        <v>18.0</v>
      </c>
      <c r="J345" s="441" t="s">
        <v>4457</v>
      </c>
      <c r="K345" s="443"/>
      <c r="L345" s="443"/>
      <c r="M345" s="443"/>
      <c r="N345" s="443"/>
      <c r="O345" s="443"/>
      <c r="P345" s="443"/>
      <c r="Q345" s="443"/>
      <c r="R345" s="443"/>
      <c r="S345" s="443"/>
      <c r="T345" s="443"/>
      <c r="U345" s="443"/>
      <c r="V345" s="443"/>
    </row>
    <row r="346">
      <c r="A346" s="441" t="s">
        <v>5600</v>
      </c>
      <c r="B346" s="441" t="s">
        <v>5601</v>
      </c>
      <c r="C346" s="441" t="s">
        <v>5602</v>
      </c>
      <c r="D346" s="441">
        <v>0.0</v>
      </c>
      <c r="E346" s="441">
        <v>0.0</v>
      </c>
      <c r="F346" s="441">
        <v>0.0</v>
      </c>
      <c r="G346" s="442" t="s">
        <v>5603</v>
      </c>
      <c r="H346" s="441">
        <v>1807.0</v>
      </c>
      <c r="I346" s="441">
        <v>18.0</v>
      </c>
      <c r="J346" s="441" t="s">
        <v>4479</v>
      </c>
      <c r="K346" s="443"/>
      <c r="L346" s="443"/>
      <c r="M346" s="443"/>
      <c r="N346" s="443"/>
      <c r="O346" s="443"/>
      <c r="P346" s="443"/>
      <c r="Q346" s="443"/>
      <c r="R346" s="443"/>
      <c r="S346" s="443"/>
      <c r="T346" s="443"/>
      <c r="U346" s="443"/>
      <c r="V346" s="443"/>
    </row>
    <row r="347">
      <c r="A347" s="441" t="s">
        <v>5600</v>
      </c>
      <c r="B347" s="441" t="s">
        <v>5601</v>
      </c>
      <c r="C347" s="441" t="s">
        <v>5602</v>
      </c>
      <c r="D347" s="441">
        <v>0.0</v>
      </c>
      <c r="E347" s="441">
        <v>0.0</v>
      </c>
      <c r="F347" s="441">
        <v>0.0</v>
      </c>
      <c r="G347" s="442" t="s">
        <v>5603</v>
      </c>
      <c r="H347" s="441">
        <v>1808.0</v>
      </c>
      <c r="I347" s="441">
        <v>18.0</v>
      </c>
      <c r="J347" s="441" t="s">
        <v>4479</v>
      </c>
      <c r="K347" s="443"/>
      <c r="L347" s="443"/>
      <c r="M347" s="443"/>
      <c r="N347" s="443"/>
      <c r="O347" s="443"/>
      <c r="P347" s="443"/>
      <c r="Q347" s="443"/>
      <c r="R347" s="443"/>
      <c r="S347" s="443"/>
      <c r="T347" s="443"/>
      <c r="U347" s="443"/>
      <c r="V347" s="443"/>
    </row>
    <row r="348">
      <c r="A348" s="441" t="s">
        <v>5600</v>
      </c>
      <c r="B348" s="441" t="s">
        <v>5601</v>
      </c>
      <c r="C348" s="441" t="s">
        <v>5602</v>
      </c>
      <c r="D348" s="441">
        <v>0.0</v>
      </c>
      <c r="E348" s="441">
        <v>0.0</v>
      </c>
      <c r="F348" s="441">
        <v>0.0</v>
      </c>
      <c r="G348" s="442" t="s">
        <v>5603</v>
      </c>
      <c r="H348" s="441">
        <v>1809.0</v>
      </c>
      <c r="I348" s="441">
        <v>18.0</v>
      </c>
      <c r="J348" s="441" t="s">
        <v>4479</v>
      </c>
      <c r="K348" s="443"/>
      <c r="L348" s="443"/>
      <c r="M348" s="443"/>
      <c r="N348" s="443"/>
      <c r="O348" s="443"/>
      <c r="P348" s="443"/>
      <c r="Q348" s="443"/>
      <c r="R348" s="443"/>
      <c r="S348" s="443"/>
      <c r="T348" s="443"/>
      <c r="U348" s="443"/>
      <c r="V348" s="443"/>
    </row>
    <row r="349">
      <c r="A349" s="441" t="s">
        <v>5600</v>
      </c>
      <c r="B349" s="441" t="s">
        <v>5601</v>
      </c>
      <c r="C349" s="441" t="s">
        <v>5602</v>
      </c>
      <c r="D349" s="441">
        <v>0.0</v>
      </c>
      <c r="E349" s="441">
        <v>0.0</v>
      </c>
      <c r="F349" s="441">
        <v>0.0</v>
      </c>
      <c r="G349" s="442" t="s">
        <v>5603</v>
      </c>
      <c r="H349" s="441">
        <v>1810.0</v>
      </c>
      <c r="I349" s="441">
        <v>18.0</v>
      </c>
      <c r="J349" s="441" t="s">
        <v>4641</v>
      </c>
      <c r="K349" s="443"/>
      <c r="L349" s="443"/>
      <c r="M349" s="443"/>
      <c r="N349" s="443"/>
      <c r="O349" s="443"/>
      <c r="P349" s="443"/>
      <c r="Q349" s="443"/>
      <c r="R349" s="443"/>
      <c r="S349" s="443"/>
      <c r="T349" s="443"/>
      <c r="U349" s="443"/>
      <c r="V349" s="443"/>
    </row>
    <row r="350">
      <c r="A350" s="441" t="s">
        <v>5600</v>
      </c>
      <c r="B350" s="441" t="s">
        <v>5601</v>
      </c>
      <c r="C350" s="441" t="s">
        <v>5602</v>
      </c>
      <c r="D350" s="441">
        <v>0.0</v>
      </c>
      <c r="E350" s="441">
        <v>0.0</v>
      </c>
      <c r="F350" s="441">
        <v>0.0</v>
      </c>
      <c r="G350" s="442" t="s">
        <v>5603</v>
      </c>
      <c r="H350" s="441">
        <v>1909.0</v>
      </c>
      <c r="I350" s="441">
        <v>19.0</v>
      </c>
      <c r="J350" s="441" t="s">
        <v>4479</v>
      </c>
      <c r="K350" s="443"/>
      <c r="L350" s="443"/>
      <c r="M350" s="443"/>
      <c r="N350" s="443"/>
      <c r="O350" s="443"/>
      <c r="P350" s="443"/>
      <c r="Q350" s="443"/>
      <c r="R350" s="443"/>
      <c r="S350" s="443"/>
      <c r="T350" s="443"/>
      <c r="U350" s="443"/>
      <c r="V350" s="443"/>
    </row>
    <row r="351">
      <c r="A351" s="441" t="s">
        <v>5600</v>
      </c>
      <c r="B351" s="441" t="s">
        <v>5601</v>
      </c>
      <c r="C351" s="441" t="s">
        <v>5602</v>
      </c>
      <c r="D351" s="441">
        <v>0.0</v>
      </c>
      <c r="E351" s="441">
        <v>0.0</v>
      </c>
      <c r="F351" s="441">
        <v>0.0</v>
      </c>
      <c r="G351" s="442" t="s">
        <v>5603</v>
      </c>
      <c r="H351" s="441">
        <v>1910.0</v>
      </c>
      <c r="I351" s="441">
        <v>19.0</v>
      </c>
      <c r="J351" s="441" t="s">
        <v>4641</v>
      </c>
      <c r="K351" s="443"/>
      <c r="L351" s="443"/>
      <c r="M351" s="443"/>
      <c r="N351" s="443"/>
      <c r="O351" s="443"/>
      <c r="P351" s="443"/>
      <c r="Q351" s="443"/>
      <c r="R351" s="443"/>
      <c r="S351" s="443"/>
      <c r="T351" s="443"/>
      <c r="U351" s="443"/>
      <c r="V351" s="443"/>
    </row>
    <row r="352">
      <c r="A352" s="441" t="s">
        <v>5681</v>
      </c>
      <c r="B352" s="441" t="s">
        <v>5682</v>
      </c>
      <c r="C352" s="441" t="s">
        <v>5683</v>
      </c>
      <c r="D352" s="441" t="s">
        <v>5684</v>
      </c>
      <c r="E352" s="441" t="s">
        <v>5682</v>
      </c>
      <c r="F352" s="441" t="s">
        <v>4571</v>
      </c>
      <c r="G352" s="442" t="s">
        <v>5603</v>
      </c>
      <c r="H352" s="441">
        <v>2009.0</v>
      </c>
      <c r="I352" s="441">
        <v>20.0</v>
      </c>
      <c r="J352" s="441" t="s">
        <v>4479</v>
      </c>
      <c r="K352" s="443"/>
      <c r="L352" s="443"/>
      <c r="M352" s="443"/>
      <c r="N352" s="443"/>
      <c r="O352" s="443"/>
      <c r="P352" s="443"/>
      <c r="Q352" s="443"/>
      <c r="R352" s="443"/>
      <c r="S352" s="443"/>
      <c r="T352" s="443"/>
      <c r="U352" s="443"/>
      <c r="V352" s="443"/>
    </row>
    <row r="353">
      <c r="A353" s="441" t="s">
        <v>5681</v>
      </c>
      <c r="B353" s="441" t="s">
        <v>5682</v>
      </c>
      <c r="C353" s="441" t="s">
        <v>5683</v>
      </c>
      <c r="D353" s="441" t="s">
        <v>5684</v>
      </c>
      <c r="E353" s="441" t="s">
        <v>5682</v>
      </c>
      <c r="F353" s="441" t="s">
        <v>4571</v>
      </c>
      <c r="G353" s="442" t="s">
        <v>5603</v>
      </c>
      <c r="H353" s="441">
        <v>2010.0</v>
      </c>
      <c r="I353" s="441">
        <v>20.0</v>
      </c>
      <c r="J353" s="441" t="s">
        <v>4641</v>
      </c>
      <c r="K353" s="443"/>
      <c r="L353" s="443"/>
      <c r="M353" s="443"/>
      <c r="N353" s="443"/>
      <c r="O353" s="443"/>
      <c r="P353" s="443"/>
      <c r="Q353" s="443"/>
      <c r="R353" s="443"/>
      <c r="S353" s="443"/>
      <c r="T353" s="443"/>
      <c r="U353" s="443"/>
      <c r="V353" s="443"/>
    </row>
    <row r="354">
      <c r="A354" s="441" t="s">
        <v>5688</v>
      </c>
      <c r="B354" s="441">
        <v>0.0</v>
      </c>
      <c r="C354" s="441" t="s">
        <v>5689</v>
      </c>
      <c r="D354" s="441" t="s">
        <v>5690</v>
      </c>
      <c r="E354" s="441" t="s">
        <v>5691</v>
      </c>
      <c r="F354" s="441" t="s">
        <v>4461</v>
      </c>
      <c r="G354" s="442" t="s">
        <v>5603</v>
      </c>
      <c r="H354" s="441">
        <v>2109.0</v>
      </c>
      <c r="I354" s="441">
        <v>21.0</v>
      </c>
      <c r="J354" s="441" t="s">
        <v>4479</v>
      </c>
      <c r="K354" s="443"/>
      <c r="L354" s="443"/>
      <c r="M354" s="443"/>
      <c r="N354" s="443"/>
      <c r="O354" s="443"/>
      <c r="P354" s="443"/>
      <c r="Q354" s="443"/>
      <c r="R354" s="443"/>
      <c r="S354" s="443"/>
      <c r="T354" s="443"/>
      <c r="U354" s="443"/>
      <c r="V354" s="443"/>
    </row>
    <row r="355">
      <c r="A355" s="441" t="s">
        <v>6094</v>
      </c>
      <c r="B355" s="441">
        <v>4.0</v>
      </c>
      <c r="C355" s="441">
        <v>0.0</v>
      </c>
      <c r="D355" s="441" t="s">
        <v>6095</v>
      </c>
      <c r="E355" s="441">
        <v>0.0</v>
      </c>
      <c r="F355" s="441" t="s">
        <v>4611</v>
      </c>
      <c r="G355" s="442" t="s">
        <v>5603</v>
      </c>
      <c r="H355" s="441">
        <v>2110.0</v>
      </c>
      <c r="I355" s="441">
        <v>21.0</v>
      </c>
      <c r="J355" s="441" t="s">
        <v>4641</v>
      </c>
      <c r="K355" s="443"/>
      <c r="L355" s="443"/>
      <c r="M355" s="443"/>
      <c r="N355" s="443"/>
      <c r="O355" s="443"/>
      <c r="P355" s="443"/>
      <c r="Q355" s="443"/>
      <c r="R355" s="443"/>
      <c r="S355" s="443"/>
      <c r="T355" s="443"/>
      <c r="U355" s="443"/>
      <c r="V355" s="443"/>
    </row>
    <row r="356">
      <c r="A356" s="441" t="s">
        <v>5600</v>
      </c>
      <c r="B356" s="441" t="s">
        <v>5601</v>
      </c>
      <c r="C356" s="441" t="s">
        <v>5602</v>
      </c>
      <c r="D356" s="441">
        <v>0.0</v>
      </c>
      <c r="E356" s="441">
        <v>0.0</v>
      </c>
      <c r="F356" s="441">
        <v>0.0</v>
      </c>
      <c r="G356" s="442" t="s">
        <v>5603</v>
      </c>
      <c r="H356" s="441">
        <v>2209.0</v>
      </c>
      <c r="I356" s="441">
        <v>22.0</v>
      </c>
      <c r="J356" s="441" t="s">
        <v>4479</v>
      </c>
      <c r="K356" s="443"/>
      <c r="L356" s="443"/>
      <c r="M356" s="443"/>
      <c r="N356" s="443"/>
      <c r="O356" s="443"/>
      <c r="P356" s="443"/>
      <c r="Q356" s="443"/>
      <c r="R356" s="443"/>
      <c r="S356" s="443"/>
      <c r="T356" s="443"/>
      <c r="U356" s="443"/>
      <c r="V356" s="443"/>
    </row>
    <row r="357">
      <c r="A357" s="441" t="s">
        <v>5523</v>
      </c>
      <c r="B357" s="441">
        <v>0.0</v>
      </c>
      <c r="C357" s="441" t="s">
        <v>5524</v>
      </c>
      <c r="D357" s="441" t="s">
        <v>5525</v>
      </c>
      <c r="E357" s="441" t="s">
        <v>5526</v>
      </c>
      <c r="F357" s="441" t="s">
        <v>5331</v>
      </c>
      <c r="G357" s="442" t="s">
        <v>5603</v>
      </c>
      <c r="H357" s="441">
        <v>2210.0</v>
      </c>
      <c r="I357" s="441">
        <v>22.0</v>
      </c>
      <c r="J357" s="441" t="s">
        <v>4641</v>
      </c>
      <c r="K357" s="443"/>
      <c r="L357" s="443"/>
      <c r="M357" s="443"/>
      <c r="N357" s="443"/>
      <c r="O357" s="443"/>
      <c r="P357" s="443"/>
      <c r="Q357" s="443"/>
      <c r="R357" s="443"/>
      <c r="S357" s="443"/>
      <c r="T357" s="443"/>
      <c r="U357" s="443"/>
      <c r="V357" s="443"/>
    </row>
    <row r="358">
      <c r="A358" s="441" t="s">
        <v>5600</v>
      </c>
      <c r="B358" s="441" t="s">
        <v>5601</v>
      </c>
      <c r="C358" s="441" t="s">
        <v>5602</v>
      </c>
      <c r="D358" s="441">
        <v>0.0</v>
      </c>
      <c r="E358" s="441">
        <v>0.0</v>
      </c>
      <c r="F358" s="441">
        <v>0.0</v>
      </c>
      <c r="G358" s="442" t="s">
        <v>5603</v>
      </c>
      <c r="H358" s="441">
        <v>2309.0</v>
      </c>
      <c r="I358" s="441">
        <v>23.0</v>
      </c>
      <c r="J358" s="441" t="s">
        <v>4479</v>
      </c>
      <c r="K358" s="443"/>
      <c r="L358" s="443"/>
      <c r="M358" s="443"/>
      <c r="N358" s="443"/>
      <c r="O358" s="443"/>
      <c r="P358" s="443"/>
      <c r="Q358" s="443"/>
      <c r="R358" s="443"/>
      <c r="S358" s="443"/>
      <c r="T358" s="443"/>
      <c r="U358" s="443"/>
      <c r="V358" s="443"/>
    </row>
    <row r="359">
      <c r="A359" s="441" t="s">
        <v>6096</v>
      </c>
      <c r="B359" s="441">
        <v>0.0</v>
      </c>
      <c r="C359" s="441" t="s">
        <v>6097</v>
      </c>
      <c r="D359" s="441">
        <v>0.0</v>
      </c>
      <c r="E359" s="441" t="s">
        <v>6098</v>
      </c>
      <c r="F359" s="441" t="s">
        <v>6099</v>
      </c>
      <c r="G359" s="442" t="s">
        <v>5603</v>
      </c>
      <c r="H359" s="441">
        <v>2310.0</v>
      </c>
      <c r="I359" s="441">
        <v>23.0</v>
      </c>
      <c r="J359" s="441" t="s">
        <v>4641</v>
      </c>
      <c r="K359" s="443"/>
      <c r="L359" s="443"/>
      <c r="M359" s="443"/>
      <c r="N359" s="443"/>
      <c r="O359" s="443"/>
      <c r="P359" s="443"/>
      <c r="Q359" s="443"/>
      <c r="R359" s="443"/>
      <c r="S359" s="443"/>
      <c r="T359" s="443"/>
      <c r="U359" s="443"/>
      <c r="V359" s="443"/>
    </row>
    <row r="360">
      <c r="A360" s="441" t="s">
        <v>5591</v>
      </c>
      <c r="B360" s="441">
        <v>0.0</v>
      </c>
      <c r="C360" s="441" t="s">
        <v>5592</v>
      </c>
      <c r="D360" s="441" t="s">
        <v>5593</v>
      </c>
      <c r="E360" s="441" t="s">
        <v>5594</v>
      </c>
      <c r="F360" s="441" t="s">
        <v>5074</v>
      </c>
      <c r="G360" s="442" t="s">
        <v>5603</v>
      </c>
      <c r="H360" s="441">
        <v>2409.0</v>
      </c>
      <c r="I360" s="441">
        <v>24.0</v>
      </c>
      <c r="J360" s="441" t="s">
        <v>4479</v>
      </c>
      <c r="K360" s="443"/>
      <c r="L360" s="443"/>
      <c r="M360" s="443"/>
      <c r="N360" s="443"/>
      <c r="O360" s="443"/>
      <c r="P360" s="443"/>
      <c r="Q360" s="443"/>
      <c r="R360" s="443"/>
      <c r="S360" s="443"/>
      <c r="T360" s="443"/>
      <c r="U360" s="443"/>
      <c r="V360" s="443"/>
    </row>
    <row r="361">
      <c r="A361" s="441" t="s">
        <v>5600</v>
      </c>
      <c r="B361" s="441" t="s">
        <v>5601</v>
      </c>
      <c r="C361" s="441" t="s">
        <v>5602</v>
      </c>
      <c r="D361" s="441">
        <v>0.0</v>
      </c>
      <c r="E361" s="441">
        <v>0.0</v>
      </c>
      <c r="F361" s="441">
        <v>0.0</v>
      </c>
      <c r="G361" s="442" t="s">
        <v>5603</v>
      </c>
      <c r="H361" s="441">
        <v>2410.0</v>
      </c>
      <c r="I361" s="441">
        <v>24.0</v>
      </c>
      <c r="J361" s="441" t="s">
        <v>4641</v>
      </c>
      <c r="K361" s="443"/>
      <c r="L361" s="443"/>
      <c r="M361" s="443"/>
      <c r="N361" s="443"/>
      <c r="O361" s="443"/>
      <c r="P361" s="443"/>
      <c r="Q361" s="443"/>
      <c r="R361" s="443"/>
      <c r="S361" s="443"/>
      <c r="T361" s="443"/>
      <c r="U361" s="443"/>
      <c r="V361" s="443"/>
    </row>
    <row r="362">
      <c r="A362" s="441" t="s">
        <v>5600</v>
      </c>
      <c r="B362" s="441" t="s">
        <v>5601</v>
      </c>
      <c r="C362" s="441" t="s">
        <v>5602</v>
      </c>
      <c r="D362" s="441">
        <v>0.0</v>
      </c>
      <c r="E362" s="441">
        <v>0.0</v>
      </c>
      <c r="F362" s="441">
        <v>0.0</v>
      </c>
      <c r="G362" s="442" t="s">
        <v>5603</v>
      </c>
      <c r="H362" s="441">
        <v>3901.0</v>
      </c>
      <c r="I362" s="441">
        <v>39.0</v>
      </c>
      <c r="J362" s="441" t="s">
        <v>4641</v>
      </c>
      <c r="K362" s="443"/>
      <c r="L362" s="443"/>
      <c r="M362" s="443"/>
      <c r="N362" s="443"/>
      <c r="O362" s="443"/>
      <c r="P362" s="443"/>
      <c r="Q362" s="443"/>
      <c r="R362" s="443"/>
      <c r="S362" s="443"/>
      <c r="T362" s="443"/>
      <c r="U362" s="443"/>
      <c r="V362" s="443"/>
    </row>
    <row r="363">
      <c r="A363" s="441" t="s">
        <v>6100</v>
      </c>
      <c r="B363" s="441">
        <v>2.69773205E9</v>
      </c>
      <c r="C363" s="441" t="s">
        <v>6101</v>
      </c>
      <c r="D363" s="441">
        <v>2.69333205E9</v>
      </c>
      <c r="E363" s="441">
        <v>0.0</v>
      </c>
      <c r="F363" s="441" t="s">
        <v>4852</v>
      </c>
      <c r="G363" s="442" t="s">
        <v>5603</v>
      </c>
      <c r="H363" s="441">
        <v>3902.0</v>
      </c>
      <c r="I363" s="441">
        <v>39.0</v>
      </c>
      <c r="J363" s="441" t="s">
        <v>4457</v>
      </c>
      <c r="K363" s="443"/>
      <c r="L363" s="443"/>
      <c r="M363" s="443"/>
      <c r="N363" s="443"/>
      <c r="O363" s="443"/>
      <c r="P363" s="443"/>
      <c r="Q363" s="443"/>
      <c r="R363" s="443"/>
      <c r="S363" s="443"/>
      <c r="T363" s="443"/>
      <c r="U363" s="443"/>
      <c r="V363" s="443"/>
    </row>
    <row r="364">
      <c r="A364" s="441" t="s">
        <v>6102</v>
      </c>
      <c r="B364" s="441">
        <v>0.0</v>
      </c>
      <c r="C364" s="441" t="s">
        <v>6103</v>
      </c>
      <c r="D364" s="441" t="s">
        <v>6104</v>
      </c>
      <c r="E364" s="441" t="s">
        <v>6105</v>
      </c>
      <c r="F364" s="441" t="s">
        <v>4611</v>
      </c>
      <c r="G364" s="442" t="s">
        <v>5603</v>
      </c>
      <c r="H364" s="441">
        <v>3903.0</v>
      </c>
      <c r="I364" s="441">
        <v>39.0</v>
      </c>
      <c r="J364" s="441" t="s">
        <v>4457</v>
      </c>
      <c r="K364" s="443"/>
      <c r="L364" s="443"/>
      <c r="M364" s="443"/>
      <c r="N364" s="443"/>
      <c r="O364" s="443"/>
      <c r="P364" s="443"/>
      <c r="Q364" s="443"/>
      <c r="R364" s="443"/>
      <c r="S364" s="443"/>
      <c r="T364" s="443"/>
      <c r="U364" s="443"/>
      <c r="V364" s="443"/>
    </row>
    <row r="365">
      <c r="A365" s="441" t="s">
        <v>6106</v>
      </c>
      <c r="B365" s="441">
        <v>0.0</v>
      </c>
      <c r="C365" s="441">
        <v>0.0</v>
      </c>
      <c r="D365" s="441" t="s">
        <v>6107</v>
      </c>
      <c r="E365" s="441">
        <v>0.0</v>
      </c>
      <c r="F365" s="441" t="s">
        <v>4525</v>
      </c>
      <c r="G365" s="442" t="s">
        <v>5603</v>
      </c>
      <c r="H365" s="441">
        <v>3904.0</v>
      </c>
      <c r="I365" s="441">
        <v>39.0</v>
      </c>
      <c r="J365" s="441" t="s">
        <v>4479</v>
      </c>
      <c r="K365" s="443"/>
      <c r="L365" s="443"/>
      <c r="M365" s="443"/>
      <c r="N365" s="443"/>
      <c r="O365" s="443"/>
      <c r="P365" s="443"/>
      <c r="Q365" s="443"/>
      <c r="R365" s="443"/>
      <c r="S365" s="443"/>
      <c r="T365" s="443"/>
      <c r="U365" s="443"/>
      <c r="V365" s="443"/>
    </row>
    <row r="366">
      <c r="A366" s="441" t="s">
        <v>6108</v>
      </c>
      <c r="B366" s="441" t="s">
        <v>6109</v>
      </c>
      <c r="C366" s="441" t="s">
        <v>6110</v>
      </c>
      <c r="D366" s="441" t="s">
        <v>6111</v>
      </c>
      <c r="E366" s="441" t="s">
        <v>6112</v>
      </c>
      <c r="F366" s="441" t="s">
        <v>4461</v>
      </c>
      <c r="G366" s="442" t="s">
        <v>5603</v>
      </c>
      <c r="H366" s="441">
        <v>3905.0</v>
      </c>
      <c r="I366" s="441">
        <v>39.0</v>
      </c>
      <c r="J366" s="441" t="s">
        <v>4457</v>
      </c>
      <c r="K366" s="443"/>
      <c r="L366" s="443"/>
      <c r="M366" s="443"/>
      <c r="N366" s="443"/>
      <c r="O366" s="443"/>
      <c r="P366" s="443"/>
      <c r="Q366" s="443"/>
      <c r="R366" s="443"/>
      <c r="S366" s="443"/>
      <c r="T366" s="443"/>
      <c r="U366" s="443"/>
      <c r="V366" s="443"/>
    </row>
    <row r="367">
      <c r="A367" s="441" t="s">
        <v>6113</v>
      </c>
      <c r="B367" s="441" t="s">
        <v>6114</v>
      </c>
      <c r="C367" s="441" t="s">
        <v>6115</v>
      </c>
      <c r="D367" s="441" t="s">
        <v>6116</v>
      </c>
      <c r="E367" s="441">
        <v>0.0</v>
      </c>
      <c r="F367" s="441" t="s">
        <v>4550</v>
      </c>
      <c r="G367" s="442" t="s">
        <v>5603</v>
      </c>
      <c r="H367" s="441">
        <v>3906.0</v>
      </c>
      <c r="I367" s="441">
        <v>39.0</v>
      </c>
      <c r="J367" s="441" t="s">
        <v>4457</v>
      </c>
      <c r="K367" s="443"/>
      <c r="L367" s="443"/>
      <c r="M367" s="443"/>
      <c r="N367" s="443"/>
      <c r="O367" s="443"/>
      <c r="P367" s="443"/>
      <c r="Q367" s="443"/>
      <c r="R367" s="443"/>
      <c r="S367" s="443"/>
      <c r="T367" s="443"/>
      <c r="U367" s="443"/>
      <c r="V367" s="443"/>
    </row>
    <row r="368">
      <c r="A368" s="441" t="s">
        <v>5945</v>
      </c>
      <c r="B368" s="441" t="s">
        <v>5946</v>
      </c>
      <c r="C368" s="441">
        <v>0.0</v>
      </c>
      <c r="D368" s="441" t="s">
        <v>5947</v>
      </c>
      <c r="E368" s="441">
        <v>0.0</v>
      </c>
      <c r="F368" s="441" t="s">
        <v>4525</v>
      </c>
      <c r="G368" s="442" t="s">
        <v>5603</v>
      </c>
      <c r="H368" s="441">
        <v>4302.0</v>
      </c>
      <c r="I368" s="441">
        <v>43.0</v>
      </c>
      <c r="J368" s="441" t="s">
        <v>4457</v>
      </c>
      <c r="K368" s="443"/>
      <c r="L368" s="443"/>
      <c r="M368" s="443"/>
      <c r="N368" s="443"/>
      <c r="O368" s="443"/>
      <c r="P368" s="443"/>
      <c r="Q368" s="443"/>
      <c r="R368" s="443"/>
      <c r="S368" s="443"/>
      <c r="T368" s="443"/>
      <c r="U368" s="443"/>
      <c r="V368" s="443"/>
    </row>
    <row r="369">
      <c r="A369" s="441" t="s">
        <v>5945</v>
      </c>
      <c r="B369" s="441" t="s">
        <v>5946</v>
      </c>
      <c r="C369" s="441">
        <v>0.0</v>
      </c>
      <c r="D369" s="441" t="s">
        <v>5947</v>
      </c>
      <c r="E369" s="441">
        <v>0.0</v>
      </c>
      <c r="F369" s="441" t="s">
        <v>4525</v>
      </c>
      <c r="G369" s="442" t="s">
        <v>5603</v>
      </c>
      <c r="H369" s="441">
        <v>4303.0</v>
      </c>
      <c r="I369" s="441">
        <v>43.0</v>
      </c>
      <c r="J369" s="441" t="s">
        <v>4457</v>
      </c>
      <c r="K369" s="443"/>
      <c r="L369" s="443"/>
      <c r="M369" s="443"/>
      <c r="N369" s="443"/>
      <c r="O369" s="443"/>
      <c r="P369" s="443"/>
      <c r="Q369" s="443"/>
      <c r="R369" s="443"/>
      <c r="S369" s="443"/>
      <c r="T369" s="443"/>
      <c r="U369" s="443"/>
      <c r="V369" s="443"/>
    </row>
    <row r="370">
      <c r="A370" s="441" t="s">
        <v>5945</v>
      </c>
      <c r="B370" s="441" t="s">
        <v>5946</v>
      </c>
      <c r="C370" s="441">
        <v>0.0</v>
      </c>
      <c r="D370" s="441" t="s">
        <v>5947</v>
      </c>
      <c r="E370" s="441">
        <v>0.0</v>
      </c>
      <c r="F370" s="441" t="s">
        <v>4525</v>
      </c>
      <c r="G370" s="442" t="s">
        <v>5603</v>
      </c>
      <c r="H370" s="441">
        <v>4304.0</v>
      </c>
      <c r="I370" s="441">
        <v>43.0</v>
      </c>
      <c r="J370" s="441" t="s">
        <v>4479</v>
      </c>
      <c r="K370" s="443"/>
      <c r="L370" s="443"/>
      <c r="M370" s="443"/>
      <c r="N370" s="443"/>
      <c r="O370" s="443"/>
      <c r="P370" s="443"/>
      <c r="Q370" s="443"/>
      <c r="R370" s="443"/>
      <c r="S370" s="443"/>
      <c r="T370" s="443"/>
      <c r="U370" s="443"/>
      <c r="V370" s="443"/>
    </row>
    <row r="371">
      <c r="A371" s="441" t="s">
        <v>5945</v>
      </c>
      <c r="B371" s="441" t="s">
        <v>5946</v>
      </c>
      <c r="C371" s="441">
        <v>0.0</v>
      </c>
      <c r="D371" s="441" t="s">
        <v>5947</v>
      </c>
      <c r="E371" s="441">
        <v>0.0</v>
      </c>
      <c r="F371" s="441" t="s">
        <v>4525</v>
      </c>
      <c r="G371" s="442" t="s">
        <v>5603</v>
      </c>
      <c r="H371" s="441">
        <v>4305.0</v>
      </c>
      <c r="I371" s="441">
        <v>43.0</v>
      </c>
      <c r="J371" s="441" t="s">
        <v>4457</v>
      </c>
      <c r="K371" s="443"/>
      <c r="L371" s="443"/>
      <c r="M371" s="443"/>
      <c r="N371" s="443"/>
      <c r="O371" s="443"/>
      <c r="P371" s="443"/>
      <c r="Q371" s="443"/>
      <c r="R371" s="443"/>
      <c r="S371" s="443"/>
      <c r="T371" s="443"/>
      <c r="U371" s="443"/>
      <c r="V371" s="443"/>
    </row>
    <row r="372">
      <c r="A372" s="441" t="s">
        <v>5945</v>
      </c>
      <c r="B372" s="441" t="s">
        <v>5946</v>
      </c>
      <c r="C372" s="441">
        <v>0.0</v>
      </c>
      <c r="D372" s="441" t="s">
        <v>5947</v>
      </c>
      <c r="E372" s="441">
        <v>0.0</v>
      </c>
      <c r="F372" s="441" t="s">
        <v>4525</v>
      </c>
      <c r="G372" s="442" t="s">
        <v>5603</v>
      </c>
      <c r="H372" s="441">
        <v>4306.0</v>
      </c>
      <c r="I372" s="441">
        <v>43.0</v>
      </c>
      <c r="J372" s="441" t="s">
        <v>4457</v>
      </c>
      <c r="K372" s="443"/>
      <c r="L372" s="443"/>
      <c r="M372" s="443"/>
      <c r="N372" s="443"/>
      <c r="O372" s="443"/>
      <c r="P372" s="443"/>
      <c r="Q372" s="443"/>
      <c r="R372" s="443"/>
      <c r="S372" s="443"/>
      <c r="T372" s="443"/>
      <c r="U372" s="443"/>
      <c r="V372" s="443"/>
    </row>
    <row r="373">
      <c r="A373" s="441" t="s">
        <v>5945</v>
      </c>
      <c r="B373" s="441" t="s">
        <v>5946</v>
      </c>
      <c r="C373" s="441">
        <v>0.0</v>
      </c>
      <c r="D373" s="441" t="s">
        <v>5947</v>
      </c>
      <c r="E373" s="441">
        <v>0.0</v>
      </c>
      <c r="F373" s="441" t="s">
        <v>4525</v>
      </c>
      <c r="G373" s="442" t="s">
        <v>5603</v>
      </c>
      <c r="H373" s="441">
        <v>4307.0</v>
      </c>
      <c r="I373" s="441">
        <v>43.0</v>
      </c>
      <c r="J373" s="441" t="s">
        <v>4457</v>
      </c>
      <c r="K373" s="443"/>
      <c r="L373" s="443"/>
      <c r="M373" s="443"/>
      <c r="N373" s="443"/>
      <c r="O373" s="443"/>
      <c r="P373" s="443"/>
      <c r="Q373" s="443"/>
      <c r="R373" s="443"/>
      <c r="S373" s="443"/>
      <c r="T373" s="443"/>
      <c r="U373" s="443"/>
      <c r="V373" s="443"/>
    </row>
    <row r="374">
      <c r="A374" s="441" t="s">
        <v>5945</v>
      </c>
      <c r="B374" s="441" t="s">
        <v>5946</v>
      </c>
      <c r="C374" s="441">
        <v>0.0</v>
      </c>
      <c r="D374" s="441" t="s">
        <v>5947</v>
      </c>
      <c r="E374" s="441">
        <v>0.0</v>
      </c>
      <c r="F374" s="441" t="s">
        <v>4525</v>
      </c>
      <c r="G374" s="442" t="s">
        <v>5603</v>
      </c>
      <c r="H374" s="441">
        <v>4308.0</v>
      </c>
      <c r="I374" s="441">
        <v>43.0</v>
      </c>
      <c r="J374" s="441" t="s">
        <v>4641</v>
      </c>
      <c r="K374" s="443"/>
      <c r="L374" s="443"/>
      <c r="M374" s="443"/>
      <c r="N374" s="443"/>
      <c r="O374" s="443"/>
      <c r="P374" s="443"/>
      <c r="Q374" s="443"/>
      <c r="R374" s="443"/>
      <c r="S374" s="443"/>
      <c r="T374" s="443"/>
      <c r="U374" s="443"/>
      <c r="V374" s="443"/>
    </row>
    <row r="375">
      <c r="A375" s="441" t="s">
        <v>6117</v>
      </c>
      <c r="B375" s="441">
        <v>4.8812222E7</v>
      </c>
      <c r="C375" s="441">
        <v>0.0</v>
      </c>
      <c r="D375" s="441" t="s">
        <v>6118</v>
      </c>
      <c r="E375" s="441">
        <v>0.0</v>
      </c>
      <c r="F375" s="441" t="s">
        <v>4500</v>
      </c>
      <c r="G375" s="442" t="s">
        <v>5603</v>
      </c>
      <c r="H375" s="441">
        <v>4401.0</v>
      </c>
      <c r="I375" s="441">
        <v>44.0</v>
      </c>
      <c r="J375" s="441" t="s">
        <v>4641</v>
      </c>
      <c r="K375" s="443"/>
      <c r="L375" s="443"/>
      <c r="M375" s="443"/>
      <c r="N375" s="443"/>
      <c r="O375" s="443"/>
      <c r="P375" s="443"/>
      <c r="Q375" s="443"/>
      <c r="R375" s="443"/>
      <c r="S375" s="443"/>
      <c r="T375" s="443"/>
      <c r="U375" s="443"/>
      <c r="V375" s="443"/>
    </row>
    <row r="376">
      <c r="A376" s="441" t="s">
        <v>5600</v>
      </c>
      <c r="B376" s="441" t="s">
        <v>5601</v>
      </c>
      <c r="C376" s="441" t="s">
        <v>5602</v>
      </c>
      <c r="D376" s="441">
        <v>0.0</v>
      </c>
      <c r="E376" s="441">
        <v>0.0</v>
      </c>
      <c r="F376" s="441">
        <v>0.0</v>
      </c>
      <c r="G376" s="442" t="s">
        <v>5603</v>
      </c>
      <c r="H376" s="441">
        <v>4402.0</v>
      </c>
      <c r="I376" s="441">
        <v>44.0</v>
      </c>
      <c r="J376" s="441" t="s">
        <v>4457</v>
      </c>
      <c r="K376" s="443"/>
      <c r="L376" s="443"/>
      <c r="M376" s="443"/>
      <c r="N376" s="443"/>
      <c r="O376" s="443"/>
      <c r="P376" s="443"/>
      <c r="Q376" s="443"/>
      <c r="R376" s="443"/>
      <c r="S376" s="443"/>
      <c r="T376" s="443"/>
      <c r="U376" s="443"/>
      <c r="V376" s="443"/>
    </row>
    <row r="377">
      <c r="A377" s="441" t="s">
        <v>6119</v>
      </c>
      <c r="B377" s="441">
        <v>0.0</v>
      </c>
      <c r="C377" s="441">
        <v>0.0</v>
      </c>
      <c r="D377" s="441" t="s">
        <v>6120</v>
      </c>
      <c r="E377" s="441">
        <v>0.0</v>
      </c>
      <c r="F377" s="441" t="s">
        <v>4461</v>
      </c>
      <c r="G377" s="442" t="s">
        <v>5603</v>
      </c>
      <c r="H377" s="441">
        <v>4403.0</v>
      </c>
      <c r="I377" s="441">
        <v>44.0</v>
      </c>
      <c r="J377" s="441" t="s">
        <v>4457</v>
      </c>
      <c r="K377" s="443"/>
      <c r="L377" s="443"/>
      <c r="M377" s="443"/>
      <c r="N377" s="443"/>
      <c r="O377" s="443"/>
      <c r="P377" s="443"/>
      <c r="Q377" s="443"/>
      <c r="R377" s="443"/>
      <c r="S377" s="443"/>
      <c r="T377" s="443"/>
      <c r="U377" s="443"/>
      <c r="V377" s="44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29"/>
    <col customWidth="1" min="2" max="2" width="21.57"/>
    <col customWidth="1" min="3" max="3" width="14.57"/>
    <col customWidth="1" min="4" max="4" width="17.71"/>
    <col customWidth="1" min="5" max="5" width="15.43"/>
    <col customWidth="1" min="6" max="6" width="4.57"/>
    <col customWidth="1" min="7" max="7" width="6.71"/>
    <col customWidth="1" min="8" max="8" width="19.29"/>
    <col customWidth="1" min="9" max="9" width="28.71"/>
    <col customWidth="1" min="10" max="10" width="8.29"/>
    <col customWidth="1" min="11" max="11" width="14.71"/>
    <col customWidth="1" min="12" max="12" width="54.43"/>
  </cols>
  <sheetData>
    <row r="1" ht="24.0" customHeight="1">
      <c r="A1" s="446" t="s">
        <v>6121</v>
      </c>
      <c r="B1" s="447" t="s">
        <v>6122</v>
      </c>
      <c r="C1" s="448" t="s">
        <v>6123</v>
      </c>
      <c r="D1" s="448" t="s">
        <v>1360</v>
      </c>
      <c r="E1" s="447" t="s">
        <v>6124</v>
      </c>
      <c r="F1" s="447" t="s">
        <v>6125</v>
      </c>
      <c r="G1" s="448" t="s">
        <v>6126</v>
      </c>
      <c r="H1" s="447" t="s">
        <v>3571</v>
      </c>
      <c r="I1" s="449" t="s">
        <v>6127</v>
      </c>
      <c r="J1" s="449" t="s">
        <v>6128</v>
      </c>
      <c r="K1" s="450"/>
      <c r="L1" s="451" t="s">
        <v>6129</v>
      </c>
      <c r="M1" s="450"/>
      <c r="N1" s="450"/>
      <c r="O1" s="450"/>
      <c r="P1" s="450"/>
      <c r="Q1" s="450"/>
      <c r="R1" s="450"/>
      <c r="S1" s="450"/>
      <c r="T1" s="450"/>
      <c r="U1" s="450"/>
      <c r="V1" s="450"/>
      <c r="W1" s="450"/>
      <c r="X1" s="450"/>
      <c r="Y1" s="450"/>
      <c r="Z1" s="450"/>
    </row>
    <row r="2">
      <c r="A2" s="452">
        <v>43626.0</v>
      </c>
      <c r="B2" s="453" t="s">
        <v>6130</v>
      </c>
      <c r="C2" s="454" t="s">
        <v>6131</v>
      </c>
      <c r="D2" s="454">
        <v>9.71547623186E11</v>
      </c>
      <c r="E2" s="455"/>
      <c r="F2" s="455"/>
      <c r="G2" s="455"/>
      <c r="H2" s="453" t="s">
        <v>6132</v>
      </c>
      <c r="I2" s="455"/>
      <c r="J2" s="456"/>
      <c r="K2" s="457" t="s">
        <v>6133</v>
      </c>
      <c r="L2" s="456" t="s">
        <v>6134</v>
      </c>
      <c r="M2" s="455"/>
      <c r="N2" s="455"/>
      <c r="O2" s="455"/>
      <c r="P2" s="455"/>
      <c r="Q2" s="455"/>
      <c r="R2" s="455"/>
      <c r="S2" s="455"/>
      <c r="T2" s="455"/>
      <c r="U2" s="455"/>
      <c r="V2" s="455"/>
      <c r="W2" s="455"/>
      <c r="X2" s="455"/>
      <c r="Y2" s="455"/>
      <c r="Z2" s="455"/>
    </row>
    <row r="3">
      <c r="A3" s="452">
        <v>43627.0</v>
      </c>
      <c r="B3" s="453" t="s">
        <v>6135</v>
      </c>
      <c r="C3" s="454" t="s">
        <v>6136</v>
      </c>
      <c r="D3" s="455"/>
      <c r="E3" s="455"/>
      <c r="F3" s="455"/>
      <c r="G3" s="455"/>
      <c r="H3" s="453" t="s">
        <v>6137</v>
      </c>
      <c r="I3" s="455"/>
      <c r="J3" s="455"/>
      <c r="K3" s="457" t="s">
        <v>6133</v>
      </c>
      <c r="L3" s="455"/>
      <c r="M3" s="455"/>
      <c r="N3" s="455"/>
      <c r="O3" s="455"/>
      <c r="P3" s="455"/>
      <c r="Q3" s="455"/>
      <c r="R3" s="455"/>
      <c r="S3" s="455"/>
      <c r="T3" s="455"/>
      <c r="U3" s="455"/>
      <c r="V3" s="455"/>
      <c r="W3" s="455"/>
      <c r="X3" s="455"/>
      <c r="Y3" s="455"/>
      <c r="Z3" s="455"/>
    </row>
    <row r="4">
      <c r="A4" s="452">
        <v>43632.0</v>
      </c>
      <c r="B4" s="453" t="s">
        <v>6138</v>
      </c>
      <c r="C4" s="454" t="s">
        <v>6139</v>
      </c>
      <c r="D4" s="458" t="s">
        <v>6140</v>
      </c>
      <c r="E4" s="455"/>
      <c r="F4" s="454" t="s">
        <v>6141</v>
      </c>
      <c r="G4" s="455"/>
      <c r="H4" s="453" t="s">
        <v>6142</v>
      </c>
      <c r="I4" s="455"/>
      <c r="J4" s="455"/>
      <c r="K4" s="457" t="s">
        <v>6133</v>
      </c>
      <c r="L4" s="456" t="s">
        <v>6143</v>
      </c>
      <c r="M4" s="455"/>
      <c r="N4" s="455"/>
      <c r="O4" s="455"/>
      <c r="P4" s="455"/>
      <c r="Q4" s="455"/>
      <c r="R4" s="455"/>
      <c r="S4" s="455"/>
      <c r="T4" s="455"/>
      <c r="U4" s="455"/>
      <c r="V4" s="455"/>
      <c r="W4" s="455"/>
      <c r="X4" s="455"/>
      <c r="Y4" s="455"/>
      <c r="Z4" s="455"/>
    </row>
    <row r="5">
      <c r="A5" s="459"/>
      <c r="B5" s="453" t="s">
        <v>6144</v>
      </c>
      <c r="C5" s="454" t="s">
        <v>6145</v>
      </c>
      <c r="D5" s="458" t="s">
        <v>6146</v>
      </c>
      <c r="E5" s="453" t="s">
        <v>6147</v>
      </c>
      <c r="F5" s="454" t="s">
        <v>6148</v>
      </c>
      <c r="G5" s="455"/>
      <c r="H5" s="453" t="s">
        <v>6149</v>
      </c>
      <c r="I5" s="455"/>
      <c r="J5" s="455"/>
      <c r="K5" s="457" t="s">
        <v>6133</v>
      </c>
      <c r="L5" s="455"/>
      <c r="M5" s="455"/>
      <c r="N5" s="455"/>
      <c r="O5" s="455"/>
      <c r="P5" s="455"/>
      <c r="Q5" s="455"/>
      <c r="R5" s="455"/>
      <c r="S5" s="455"/>
      <c r="T5" s="455"/>
      <c r="U5" s="455"/>
      <c r="V5" s="455"/>
      <c r="W5" s="455"/>
      <c r="X5" s="455"/>
      <c r="Y5" s="455"/>
      <c r="Z5" s="455"/>
    </row>
    <row r="6">
      <c r="A6" s="459"/>
      <c r="B6" s="453" t="s">
        <v>6150</v>
      </c>
      <c r="C6" s="454" t="s">
        <v>6151</v>
      </c>
      <c r="D6" s="458" t="s">
        <v>6152</v>
      </c>
      <c r="E6" s="453" t="s">
        <v>4446</v>
      </c>
      <c r="F6" s="454" t="s">
        <v>6153</v>
      </c>
      <c r="G6" s="455"/>
      <c r="H6" s="453" t="s">
        <v>6154</v>
      </c>
      <c r="I6" s="455"/>
      <c r="J6" s="455"/>
      <c r="K6" s="457" t="s">
        <v>6133</v>
      </c>
      <c r="L6" s="455"/>
      <c r="M6" s="455"/>
      <c r="N6" s="455"/>
      <c r="O6" s="455"/>
      <c r="P6" s="455"/>
      <c r="Q6" s="455"/>
      <c r="R6" s="455"/>
      <c r="S6" s="455"/>
      <c r="T6" s="455"/>
      <c r="U6" s="455"/>
      <c r="V6" s="455"/>
      <c r="W6" s="455"/>
      <c r="X6" s="455"/>
      <c r="Y6" s="455"/>
      <c r="Z6" s="455"/>
    </row>
    <row r="7">
      <c r="A7" s="459"/>
      <c r="B7" s="453" t="s">
        <v>6155</v>
      </c>
      <c r="C7" s="454" t="s">
        <v>6156</v>
      </c>
      <c r="D7" s="458" t="s">
        <v>6157</v>
      </c>
      <c r="E7" s="453" t="s">
        <v>6158</v>
      </c>
      <c r="F7" s="454" t="s">
        <v>6159</v>
      </c>
      <c r="G7" s="455"/>
      <c r="H7" s="453" t="s">
        <v>6160</v>
      </c>
      <c r="I7" s="455"/>
      <c r="J7" s="455"/>
      <c r="K7" s="457" t="s">
        <v>6133</v>
      </c>
      <c r="L7" s="456" t="s">
        <v>6161</v>
      </c>
      <c r="M7" s="455"/>
      <c r="N7" s="455"/>
      <c r="O7" s="455"/>
      <c r="P7" s="455"/>
      <c r="Q7" s="455"/>
      <c r="R7" s="455"/>
      <c r="S7" s="455"/>
      <c r="T7" s="455"/>
      <c r="U7" s="455"/>
      <c r="V7" s="455"/>
      <c r="W7" s="455"/>
      <c r="X7" s="455"/>
      <c r="Y7" s="455"/>
      <c r="Z7" s="455"/>
    </row>
    <row r="8">
      <c r="A8" s="459"/>
      <c r="B8" s="453" t="s">
        <v>6162</v>
      </c>
      <c r="C8" s="454" t="s">
        <v>6163</v>
      </c>
      <c r="D8" s="458" t="s">
        <v>6164</v>
      </c>
      <c r="E8" s="453" t="s">
        <v>4446</v>
      </c>
      <c r="F8" s="454" t="s">
        <v>6165</v>
      </c>
      <c r="G8" s="455"/>
      <c r="H8" s="453" t="s">
        <v>6166</v>
      </c>
      <c r="I8" s="455"/>
      <c r="J8" s="455"/>
      <c r="K8" s="457" t="s">
        <v>6133</v>
      </c>
      <c r="L8" s="456" t="s">
        <v>3613</v>
      </c>
      <c r="M8" s="455"/>
      <c r="N8" s="455"/>
      <c r="O8" s="455"/>
      <c r="P8" s="455"/>
      <c r="Q8" s="455"/>
      <c r="R8" s="455"/>
      <c r="S8" s="455"/>
      <c r="T8" s="455"/>
      <c r="U8" s="455"/>
      <c r="V8" s="455"/>
      <c r="W8" s="455"/>
      <c r="X8" s="455"/>
      <c r="Y8" s="455"/>
      <c r="Z8" s="455"/>
    </row>
    <row r="9" ht="19.5" customHeight="1">
      <c r="A9" s="459"/>
      <c r="B9" s="453" t="s">
        <v>6167</v>
      </c>
      <c r="C9" s="454" t="s">
        <v>6168</v>
      </c>
      <c r="D9" s="458" t="s">
        <v>6169</v>
      </c>
      <c r="E9" s="455"/>
      <c r="F9" s="454" t="s">
        <v>6170</v>
      </c>
      <c r="G9" s="455"/>
      <c r="H9" s="453" t="s">
        <v>6171</v>
      </c>
      <c r="I9" s="453" t="s">
        <v>6172</v>
      </c>
      <c r="J9" s="453"/>
      <c r="K9" s="457" t="s">
        <v>6133</v>
      </c>
      <c r="L9" s="456" t="s">
        <v>3613</v>
      </c>
      <c r="M9" s="455"/>
      <c r="N9" s="455"/>
      <c r="O9" s="455"/>
      <c r="P9" s="455"/>
      <c r="Q9" s="455"/>
      <c r="R9" s="455"/>
      <c r="S9" s="455"/>
      <c r="T9" s="455"/>
      <c r="U9" s="455"/>
      <c r="V9" s="455"/>
      <c r="W9" s="455"/>
      <c r="X9" s="455"/>
      <c r="Y9" s="455"/>
      <c r="Z9" s="455"/>
    </row>
    <row r="10" ht="18.75" customHeight="1">
      <c r="A10" s="459"/>
      <c r="B10" s="453" t="s">
        <v>6173</v>
      </c>
      <c r="C10" s="454" t="s">
        <v>6174</v>
      </c>
      <c r="D10" s="458" t="s">
        <v>6175</v>
      </c>
      <c r="E10" s="455"/>
      <c r="F10" s="455"/>
      <c r="G10" s="455"/>
      <c r="H10" s="453" t="s">
        <v>6171</v>
      </c>
      <c r="I10" s="455"/>
      <c r="J10" s="455"/>
      <c r="K10" s="457" t="s">
        <v>6133</v>
      </c>
      <c r="L10" s="456" t="s">
        <v>4589</v>
      </c>
      <c r="M10" s="455"/>
      <c r="N10" s="455"/>
      <c r="O10" s="455"/>
      <c r="P10" s="455"/>
      <c r="Q10" s="455"/>
      <c r="R10" s="455"/>
      <c r="S10" s="455"/>
      <c r="T10" s="455"/>
      <c r="U10" s="455"/>
      <c r="V10" s="455"/>
      <c r="W10" s="455"/>
      <c r="X10" s="455"/>
      <c r="Y10" s="455"/>
      <c r="Z10" s="455"/>
    </row>
    <row r="11" ht="21.0" customHeight="1">
      <c r="A11" s="459"/>
      <c r="B11" s="453" t="s">
        <v>6176</v>
      </c>
      <c r="C11" s="454" t="s">
        <v>6177</v>
      </c>
      <c r="D11" s="458" t="s">
        <v>6178</v>
      </c>
      <c r="E11" s="453" t="s">
        <v>3810</v>
      </c>
      <c r="F11" s="455"/>
      <c r="G11" s="455"/>
      <c r="H11" s="453" t="s">
        <v>6179</v>
      </c>
      <c r="I11" s="453" t="s">
        <v>6180</v>
      </c>
      <c r="J11" s="455"/>
      <c r="K11" s="457" t="s">
        <v>6133</v>
      </c>
      <c r="L11" s="456" t="s">
        <v>172</v>
      </c>
      <c r="M11" s="455"/>
      <c r="N11" s="455"/>
      <c r="O11" s="455"/>
      <c r="P11" s="455"/>
      <c r="Q11" s="455"/>
      <c r="R11" s="455"/>
      <c r="S11" s="455"/>
      <c r="T11" s="455"/>
      <c r="U11" s="455"/>
      <c r="V11" s="455"/>
      <c r="W11" s="455"/>
      <c r="X11" s="455"/>
      <c r="Y11" s="455"/>
      <c r="Z11" s="455"/>
    </row>
    <row r="12">
      <c r="A12" s="459"/>
      <c r="B12" s="453" t="s">
        <v>6181</v>
      </c>
      <c r="C12" s="454" t="s">
        <v>6182</v>
      </c>
      <c r="D12" s="458" t="s">
        <v>6183</v>
      </c>
      <c r="E12" s="453" t="s">
        <v>6184</v>
      </c>
      <c r="F12" s="455"/>
      <c r="G12" s="455"/>
      <c r="H12" s="453" t="s">
        <v>6185</v>
      </c>
      <c r="I12" s="455"/>
      <c r="J12" s="455"/>
      <c r="K12" s="457" t="s">
        <v>6133</v>
      </c>
      <c r="L12" s="456" t="s">
        <v>172</v>
      </c>
      <c r="M12" s="455"/>
      <c r="N12" s="455"/>
      <c r="O12" s="455"/>
      <c r="P12" s="455"/>
      <c r="Q12" s="455"/>
      <c r="R12" s="455"/>
      <c r="S12" s="455"/>
      <c r="T12" s="455"/>
      <c r="U12" s="455"/>
      <c r="V12" s="455"/>
      <c r="W12" s="455"/>
      <c r="X12" s="455"/>
      <c r="Y12" s="455"/>
      <c r="Z12" s="455"/>
    </row>
    <row r="13" ht="18.75" customHeight="1">
      <c r="A13" s="459"/>
      <c r="B13" s="460" t="s">
        <v>6186</v>
      </c>
      <c r="C13" s="461" t="s">
        <v>6187</v>
      </c>
      <c r="D13" s="461">
        <v>9.71506458522E11</v>
      </c>
      <c r="E13" s="462"/>
      <c r="F13" s="462"/>
      <c r="G13" s="462"/>
      <c r="H13" s="460" t="s">
        <v>6188</v>
      </c>
      <c r="I13" s="460" t="s">
        <v>6189</v>
      </c>
      <c r="J13" s="462"/>
      <c r="K13" s="463" t="s">
        <v>6133</v>
      </c>
      <c r="L13" s="464" t="s">
        <v>6190</v>
      </c>
      <c r="M13" s="455"/>
      <c r="N13" s="455"/>
      <c r="O13" s="455"/>
      <c r="P13" s="455"/>
      <c r="Q13" s="455"/>
      <c r="R13" s="455"/>
      <c r="S13" s="455"/>
      <c r="T13" s="455"/>
      <c r="U13" s="455"/>
      <c r="V13" s="455"/>
      <c r="W13" s="455"/>
      <c r="X13" s="455"/>
      <c r="Y13" s="455"/>
      <c r="Z13" s="455"/>
    </row>
    <row r="14">
      <c r="A14" s="459"/>
      <c r="B14" s="453" t="s">
        <v>6191</v>
      </c>
      <c r="C14" s="458" t="s">
        <v>6192</v>
      </c>
      <c r="D14" s="454" t="s">
        <v>6193</v>
      </c>
      <c r="E14" s="455"/>
      <c r="F14" s="455"/>
      <c r="G14" s="455"/>
      <c r="H14" s="453" t="s">
        <v>6194</v>
      </c>
      <c r="I14" s="455"/>
      <c r="J14" s="455"/>
      <c r="K14" s="457" t="s">
        <v>6133</v>
      </c>
      <c r="L14" s="456" t="s">
        <v>168</v>
      </c>
      <c r="M14" s="455"/>
      <c r="N14" s="455"/>
      <c r="O14" s="455"/>
      <c r="P14" s="455"/>
      <c r="Q14" s="455"/>
      <c r="R14" s="455"/>
      <c r="S14" s="455"/>
      <c r="T14" s="455"/>
      <c r="U14" s="455"/>
      <c r="V14" s="455"/>
      <c r="W14" s="455"/>
      <c r="X14" s="455"/>
      <c r="Y14" s="455"/>
      <c r="Z14" s="455"/>
    </row>
    <row r="15" ht="19.5" customHeight="1">
      <c r="A15" s="452">
        <v>43652.0</v>
      </c>
      <c r="B15" s="453" t="s">
        <v>6195</v>
      </c>
      <c r="C15" s="454" t="s">
        <v>6196</v>
      </c>
      <c r="D15" s="458" t="s">
        <v>6197</v>
      </c>
      <c r="E15" s="455"/>
      <c r="F15" s="455"/>
      <c r="G15" s="455"/>
      <c r="H15" s="453" t="s">
        <v>6198</v>
      </c>
      <c r="I15" s="453" t="s">
        <v>6199</v>
      </c>
      <c r="J15" s="455"/>
      <c r="K15" s="457" t="s">
        <v>6133</v>
      </c>
      <c r="L15" s="455"/>
      <c r="M15" s="455"/>
      <c r="N15" s="455"/>
      <c r="O15" s="455"/>
      <c r="P15" s="455"/>
      <c r="Q15" s="455"/>
      <c r="R15" s="455"/>
      <c r="S15" s="455"/>
      <c r="T15" s="455"/>
      <c r="U15" s="455"/>
      <c r="V15" s="455"/>
      <c r="W15" s="455"/>
      <c r="X15" s="455"/>
      <c r="Y15" s="455"/>
      <c r="Z15" s="455"/>
    </row>
    <row r="16">
      <c r="A16" s="452">
        <v>43652.0</v>
      </c>
      <c r="B16" s="453" t="s">
        <v>6200</v>
      </c>
      <c r="C16" s="454" t="s">
        <v>6201</v>
      </c>
      <c r="D16" s="458" t="s">
        <v>6202</v>
      </c>
      <c r="E16" s="455"/>
      <c r="F16" s="454" t="s">
        <v>6203</v>
      </c>
      <c r="G16" s="455"/>
      <c r="H16" s="453" t="s">
        <v>6198</v>
      </c>
      <c r="I16" s="453" t="s">
        <v>6204</v>
      </c>
      <c r="J16" s="455"/>
      <c r="K16" s="457" t="s">
        <v>6133</v>
      </c>
      <c r="L16" s="456" t="s">
        <v>979</v>
      </c>
      <c r="M16" s="455"/>
      <c r="N16" s="455"/>
      <c r="O16" s="455"/>
      <c r="P16" s="455"/>
      <c r="Q16" s="455"/>
      <c r="R16" s="455"/>
      <c r="S16" s="455"/>
      <c r="T16" s="455"/>
      <c r="U16" s="455"/>
      <c r="V16" s="455"/>
      <c r="W16" s="455"/>
      <c r="X16" s="455"/>
      <c r="Y16" s="455"/>
      <c r="Z16" s="455"/>
    </row>
    <row r="17">
      <c r="A17" s="452">
        <v>43652.0</v>
      </c>
      <c r="B17" s="453" t="s">
        <v>6205</v>
      </c>
      <c r="C17" s="454" t="s">
        <v>6206</v>
      </c>
      <c r="D17" s="458" t="s">
        <v>6207</v>
      </c>
      <c r="E17" s="455"/>
      <c r="F17" s="465" t="s">
        <v>6208</v>
      </c>
      <c r="G17" s="455"/>
      <c r="H17" s="453" t="s">
        <v>6198</v>
      </c>
      <c r="I17" s="453" t="s">
        <v>6209</v>
      </c>
      <c r="J17" s="455"/>
      <c r="K17" s="457" t="s">
        <v>6133</v>
      </c>
      <c r="L17" s="456" t="s">
        <v>574</v>
      </c>
      <c r="M17" s="455"/>
      <c r="N17" s="455"/>
      <c r="O17" s="455"/>
      <c r="P17" s="455"/>
      <c r="Q17" s="455"/>
      <c r="R17" s="455"/>
      <c r="S17" s="455"/>
      <c r="T17" s="455"/>
      <c r="U17" s="455"/>
      <c r="V17" s="455"/>
      <c r="W17" s="455"/>
      <c r="X17" s="455"/>
      <c r="Y17" s="455"/>
      <c r="Z17" s="455"/>
    </row>
    <row r="18" ht="18.75" customHeight="1">
      <c r="A18" s="452">
        <v>43652.0</v>
      </c>
      <c r="B18" s="453" t="s">
        <v>6210</v>
      </c>
      <c r="C18" s="454" t="s">
        <v>6211</v>
      </c>
      <c r="D18" s="458" t="s">
        <v>6212</v>
      </c>
      <c r="E18" s="455"/>
      <c r="F18" s="454" t="s">
        <v>6213</v>
      </c>
      <c r="G18" s="455"/>
      <c r="H18" s="453" t="s">
        <v>6198</v>
      </c>
      <c r="I18" s="453" t="s">
        <v>6199</v>
      </c>
      <c r="J18" s="455"/>
      <c r="K18" s="457" t="s">
        <v>6133</v>
      </c>
      <c r="L18" s="455"/>
      <c r="M18" s="455"/>
      <c r="N18" s="455"/>
      <c r="O18" s="455"/>
      <c r="P18" s="455"/>
      <c r="Q18" s="455"/>
      <c r="R18" s="455"/>
      <c r="S18" s="455"/>
      <c r="T18" s="455"/>
      <c r="U18" s="455"/>
      <c r="V18" s="455"/>
      <c r="W18" s="455"/>
      <c r="X18" s="455"/>
      <c r="Y18" s="455"/>
      <c r="Z18" s="455"/>
    </row>
    <row r="19">
      <c r="A19" s="452">
        <v>43658.0</v>
      </c>
      <c r="B19" s="453" t="s">
        <v>6214</v>
      </c>
      <c r="C19" s="454" t="s">
        <v>6215</v>
      </c>
      <c r="D19" s="458" t="s">
        <v>6216</v>
      </c>
      <c r="E19" s="455"/>
      <c r="F19" s="455"/>
      <c r="G19" s="455"/>
      <c r="H19" s="453" t="s">
        <v>6217</v>
      </c>
      <c r="I19" s="455"/>
      <c r="J19" s="455"/>
      <c r="K19" s="457" t="s">
        <v>6133</v>
      </c>
      <c r="L19" s="466" t="s">
        <v>168</v>
      </c>
      <c r="M19" s="455"/>
      <c r="N19" s="455"/>
      <c r="O19" s="455"/>
      <c r="P19" s="455"/>
      <c r="Q19" s="455"/>
      <c r="R19" s="455"/>
      <c r="S19" s="455"/>
      <c r="T19" s="455"/>
      <c r="U19" s="455"/>
      <c r="V19" s="455"/>
      <c r="W19" s="455"/>
      <c r="X19" s="455"/>
      <c r="Y19" s="455"/>
      <c r="Z19" s="455"/>
    </row>
    <row r="20">
      <c r="A20" s="452">
        <v>43663.0</v>
      </c>
      <c r="B20" s="453" t="s">
        <v>6218</v>
      </c>
      <c r="C20" s="454" t="s">
        <v>6219</v>
      </c>
      <c r="D20" s="458" t="s">
        <v>6220</v>
      </c>
      <c r="E20" s="455"/>
      <c r="F20" s="455"/>
      <c r="G20" s="455"/>
      <c r="H20" s="467" t="s">
        <v>6221</v>
      </c>
      <c r="I20" s="455"/>
      <c r="J20" s="455"/>
      <c r="K20" s="457" t="s">
        <v>6133</v>
      </c>
      <c r="L20" s="456" t="s">
        <v>3613</v>
      </c>
      <c r="M20" s="455"/>
      <c r="N20" s="455"/>
      <c r="O20" s="455"/>
      <c r="P20" s="455"/>
      <c r="Q20" s="455"/>
      <c r="R20" s="455"/>
      <c r="S20" s="455"/>
      <c r="T20" s="455"/>
      <c r="U20" s="455"/>
      <c r="V20" s="455"/>
      <c r="W20" s="455"/>
      <c r="X20" s="455"/>
      <c r="Y20" s="455"/>
      <c r="Z20" s="455"/>
    </row>
    <row r="21">
      <c r="A21" s="452">
        <v>43663.0</v>
      </c>
      <c r="B21" s="468" t="s">
        <v>922</v>
      </c>
      <c r="C21" s="469" t="s">
        <v>923</v>
      </c>
      <c r="D21" s="469">
        <v>9.71505455815E11</v>
      </c>
      <c r="E21" s="455"/>
      <c r="F21" s="455"/>
      <c r="G21" s="455"/>
      <c r="H21" s="467" t="s">
        <v>6222</v>
      </c>
      <c r="I21" s="455"/>
      <c r="J21" s="455"/>
      <c r="K21" s="457" t="s">
        <v>6133</v>
      </c>
      <c r="L21" s="456" t="s">
        <v>574</v>
      </c>
      <c r="M21" s="455"/>
      <c r="N21" s="455"/>
      <c r="O21" s="455"/>
      <c r="P21" s="455"/>
      <c r="Q21" s="455"/>
      <c r="R21" s="455"/>
      <c r="S21" s="455"/>
      <c r="T21" s="455"/>
      <c r="U21" s="455"/>
      <c r="V21" s="455"/>
      <c r="W21" s="455"/>
      <c r="X21" s="455"/>
      <c r="Y21" s="455"/>
      <c r="Z21" s="455"/>
    </row>
    <row r="22">
      <c r="A22" s="454" t="s">
        <v>6223</v>
      </c>
      <c r="B22" s="453" t="s">
        <v>6224</v>
      </c>
      <c r="C22" s="454" t="s">
        <v>6225</v>
      </c>
      <c r="D22" s="458" t="s">
        <v>6226</v>
      </c>
      <c r="E22" s="453"/>
      <c r="F22" s="455"/>
      <c r="G22" s="455"/>
      <c r="H22" s="453" t="s">
        <v>6227</v>
      </c>
      <c r="I22" s="455"/>
      <c r="J22" s="455"/>
      <c r="K22" s="457" t="s">
        <v>6133</v>
      </c>
      <c r="L22" s="456" t="s">
        <v>6228</v>
      </c>
      <c r="M22" s="455"/>
      <c r="N22" s="455"/>
      <c r="O22" s="455"/>
      <c r="P22" s="455"/>
      <c r="Q22" s="455"/>
      <c r="R22" s="455"/>
      <c r="S22" s="455"/>
      <c r="T22" s="455"/>
      <c r="U22" s="455"/>
      <c r="V22" s="455"/>
      <c r="W22" s="455"/>
      <c r="X22" s="455"/>
      <c r="Y22" s="455"/>
      <c r="Z22" s="455"/>
    </row>
    <row r="23">
      <c r="A23" s="454" t="s">
        <v>6223</v>
      </c>
      <c r="B23" s="453" t="s">
        <v>6229</v>
      </c>
      <c r="C23" s="454" t="s">
        <v>6230</v>
      </c>
      <c r="D23" s="458" t="s">
        <v>6231</v>
      </c>
      <c r="E23" s="453"/>
      <c r="F23" s="455"/>
      <c r="G23" s="455"/>
      <c r="H23" s="453" t="s">
        <v>6227</v>
      </c>
      <c r="I23" s="455"/>
      <c r="J23" s="455"/>
      <c r="K23" s="457" t="s">
        <v>6133</v>
      </c>
      <c r="L23" s="456" t="s">
        <v>574</v>
      </c>
      <c r="M23" s="455"/>
      <c r="N23" s="455"/>
      <c r="O23" s="455"/>
      <c r="P23" s="455"/>
      <c r="Q23" s="455"/>
      <c r="R23" s="455"/>
      <c r="S23" s="455"/>
      <c r="T23" s="455"/>
      <c r="U23" s="455"/>
      <c r="V23" s="455"/>
      <c r="W23" s="455"/>
      <c r="X23" s="455"/>
      <c r="Y23" s="455"/>
      <c r="Z23" s="455"/>
    </row>
    <row r="24" ht="18.0" customHeight="1">
      <c r="A24" s="470">
        <v>43670.0</v>
      </c>
      <c r="B24" s="471" t="s">
        <v>6232</v>
      </c>
      <c r="C24" s="472" t="s">
        <v>6233</v>
      </c>
      <c r="D24" s="473" t="s">
        <v>6234</v>
      </c>
      <c r="E24" s="453"/>
      <c r="F24" s="455"/>
      <c r="G24" s="455"/>
      <c r="H24" s="453" t="s">
        <v>6235</v>
      </c>
      <c r="I24" s="453" t="s">
        <v>6236</v>
      </c>
      <c r="J24" s="455"/>
      <c r="K24" s="457" t="s">
        <v>6133</v>
      </c>
      <c r="L24" s="456" t="s">
        <v>6237</v>
      </c>
      <c r="M24" s="455"/>
      <c r="N24" s="455"/>
      <c r="O24" s="455"/>
      <c r="P24" s="455"/>
      <c r="Q24" s="455"/>
      <c r="R24" s="455"/>
      <c r="S24" s="455"/>
      <c r="T24" s="455"/>
      <c r="U24" s="455"/>
      <c r="V24" s="455"/>
      <c r="W24" s="455"/>
      <c r="X24" s="455"/>
      <c r="Y24" s="455"/>
      <c r="Z24" s="455"/>
    </row>
    <row r="25">
      <c r="A25" s="470">
        <v>43671.0</v>
      </c>
      <c r="B25" s="453" t="s">
        <v>6238</v>
      </c>
      <c r="C25" s="454" t="s">
        <v>6239</v>
      </c>
      <c r="D25" s="458" t="s">
        <v>6240</v>
      </c>
      <c r="E25" s="453" t="s">
        <v>6241</v>
      </c>
      <c r="F25" s="455"/>
      <c r="G25" s="455"/>
      <c r="H25" s="467" t="s">
        <v>6242</v>
      </c>
      <c r="I25" s="455"/>
      <c r="J25" s="455"/>
      <c r="K25" s="457" t="s">
        <v>6133</v>
      </c>
      <c r="L25" s="456" t="s">
        <v>168</v>
      </c>
      <c r="M25" s="455"/>
      <c r="N25" s="455"/>
      <c r="O25" s="455"/>
      <c r="P25" s="455"/>
      <c r="Q25" s="455"/>
      <c r="R25" s="455"/>
      <c r="S25" s="455"/>
      <c r="T25" s="455"/>
      <c r="U25" s="455"/>
      <c r="V25" s="455"/>
      <c r="W25" s="455"/>
      <c r="X25" s="455"/>
      <c r="Y25" s="455"/>
      <c r="Z25" s="455"/>
    </row>
    <row r="26" ht="16.5" customHeight="1">
      <c r="A26" s="470">
        <v>43681.0</v>
      </c>
      <c r="B26" s="453" t="s">
        <v>6243</v>
      </c>
      <c r="C26" s="454" t="s">
        <v>6244</v>
      </c>
      <c r="D26" s="455">
        <f>+971504576620</f>
        <v>971504576620</v>
      </c>
      <c r="E26" s="455"/>
      <c r="F26" s="455"/>
      <c r="G26" s="455"/>
      <c r="H26" s="453" t="s">
        <v>6245</v>
      </c>
      <c r="I26" s="453" t="s">
        <v>6246</v>
      </c>
      <c r="J26" s="455"/>
      <c r="K26" s="457" t="s">
        <v>6133</v>
      </c>
      <c r="L26" s="466" t="s">
        <v>168</v>
      </c>
      <c r="M26" s="455"/>
      <c r="N26" s="455"/>
      <c r="O26" s="455"/>
      <c r="P26" s="455"/>
      <c r="Q26" s="455"/>
      <c r="R26" s="455"/>
      <c r="S26" s="455"/>
      <c r="T26" s="455"/>
      <c r="U26" s="455"/>
      <c r="V26" s="455"/>
      <c r="W26" s="455"/>
      <c r="X26" s="455"/>
      <c r="Y26" s="455"/>
      <c r="Z26" s="455"/>
    </row>
    <row r="27">
      <c r="A27" s="470">
        <v>43683.0</v>
      </c>
      <c r="B27" s="453" t="s">
        <v>6247</v>
      </c>
      <c r="C27" s="454" t="s">
        <v>6248</v>
      </c>
      <c r="D27" s="458" t="s">
        <v>6249</v>
      </c>
      <c r="E27" s="453" t="s">
        <v>6250</v>
      </c>
      <c r="F27" s="455"/>
      <c r="G27" s="455"/>
      <c r="H27" s="453" t="s">
        <v>6251</v>
      </c>
      <c r="I27" s="455"/>
      <c r="J27" s="455"/>
      <c r="K27" s="457" t="s">
        <v>6133</v>
      </c>
      <c r="L27" s="456" t="s">
        <v>6252</v>
      </c>
      <c r="M27" s="455"/>
      <c r="N27" s="455"/>
      <c r="O27" s="455"/>
      <c r="P27" s="455"/>
      <c r="Q27" s="455"/>
      <c r="R27" s="455"/>
      <c r="S27" s="455"/>
      <c r="T27" s="455"/>
      <c r="U27" s="455"/>
      <c r="V27" s="455"/>
      <c r="W27" s="455"/>
      <c r="X27" s="455"/>
      <c r="Y27" s="455"/>
      <c r="Z27" s="455"/>
    </row>
    <row r="28" ht="16.5" customHeight="1">
      <c r="A28" s="470">
        <v>43683.0</v>
      </c>
      <c r="B28" s="453" t="s">
        <v>6253</v>
      </c>
      <c r="C28" s="454" t="s">
        <v>6254</v>
      </c>
      <c r="D28" s="458" t="s">
        <v>6255</v>
      </c>
      <c r="E28" s="453" t="s">
        <v>6256</v>
      </c>
      <c r="F28" s="455"/>
      <c r="G28" s="455"/>
      <c r="H28" s="453" t="s">
        <v>6251</v>
      </c>
      <c r="I28" s="455"/>
      <c r="J28" s="455"/>
      <c r="K28" s="457" t="s">
        <v>6133</v>
      </c>
      <c r="L28" s="456" t="s">
        <v>251</v>
      </c>
      <c r="M28" s="455"/>
      <c r="N28" s="455"/>
      <c r="O28" s="455"/>
      <c r="P28" s="455"/>
      <c r="Q28" s="455"/>
      <c r="R28" s="455"/>
      <c r="S28" s="455"/>
      <c r="T28" s="455"/>
      <c r="U28" s="455"/>
      <c r="V28" s="455"/>
      <c r="W28" s="455"/>
      <c r="X28" s="455"/>
      <c r="Y28" s="455"/>
      <c r="Z28" s="455"/>
    </row>
    <row r="29">
      <c r="A29" s="470">
        <v>43683.0</v>
      </c>
      <c r="B29" s="453" t="s">
        <v>6257</v>
      </c>
      <c r="C29" s="454" t="s">
        <v>6258</v>
      </c>
      <c r="D29" s="454">
        <v>9.66505848001E11</v>
      </c>
      <c r="E29" s="455"/>
      <c r="F29" s="455"/>
      <c r="G29" s="455"/>
      <c r="H29" s="453" t="s">
        <v>6251</v>
      </c>
      <c r="I29" s="455"/>
      <c r="J29" s="455"/>
      <c r="K29" s="457" t="s">
        <v>6133</v>
      </c>
      <c r="L29" s="456" t="s">
        <v>6259</v>
      </c>
      <c r="M29" s="455"/>
      <c r="N29" s="455"/>
      <c r="O29" s="455"/>
      <c r="P29" s="455"/>
      <c r="Q29" s="455"/>
      <c r="R29" s="455"/>
      <c r="S29" s="455"/>
      <c r="T29" s="455"/>
      <c r="U29" s="455"/>
      <c r="V29" s="455"/>
      <c r="W29" s="455"/>
      <c r="X29" s="455"/>
      <c r="Y29" s="455"/>
      <c r="Z29" s="455"/>
    </row>
    <row r="30">
      <c r="A30" s="470">
        <v>43683.0</v>
      </c>
      <c r="B30" s="453" t="s">
        <v>6260</v>
      </c>
      <c r="C30" s="454" t="s">
        <v>6261</v>
      </c>
      <c r="D30" s="458" t="s">
        <v>6262</v>
      </c>
      <c r="E30" s="474" t="s">
        <v>6263</v>
      </c>
      <c r="F30" s="455"/>
      <c r="G30" s="455"/>
      <c r="H30" s="453" t="s">
        <v>6264</v>
      </c>
      <c r="I30" s="455"/>
      <c r="J30" s="455"/>
      <c r="K30" s="457" t="s">
        <v>6133</v>
      </c>
      <c r="L30" s="456" t="s">
        <v>6265</v>
      </c>
      <c r="M30" s="455"/>
      <c r="N30" s="455"/>
      <c r="O30" s="455"/>
      <c r="P30" s="455"/>
      <c r="Q30" s="455"/>
      <c r="R30" s="455"/>
      <c r="S30" s="455"/>
      <c r="T30" s="455"/>
      <c r="U30" s="455"/>
      <c r="V30" s="455"/>
      <c r="W30" s="455"/>
      <c r="X30" s="455"/>
      <c r="Y30" s="455"/>
      <c r="Z30" s="455"/>
    </row>
    <row r="31">
      <c r="A31" s="470">
        <v>43683.0</v>
      </c>
      <c r="B31" s="453" t="s">
        <v>6266</v>
      </c>
      <c r="C31" s="454" t="s">
        <v>3482</v>
      </c>
      <c r="D31" s="458" t="s">
        <v>6267</v>
      </c>
      <c r="E31" s="453" t="s">
        <v>6268</v>
      </c>
      <c r="F31" s="455"/>
      <c r="G31" s="455"/>
      <c r="H31" s="453" t="s">
        <v>6251</v>
      </c>
      <c r="I31" s="455"/>
      <c r="J31" s="455"/>
      <c r="K31" s="457" t="s">
        <v>6133</v>
      </c>
      <c r="L31" s="456" t="s">
        <v>4171</v>
      </c>
      <c r="M31" s="455"/>
      <c r="N31" s="455"/>
      <c r="O31" s="455"/>
      <c r="P31" s="455"/>
      <c r="Q31" s="455"/>
      <c r="R31" s="455"/>
      <c r="S31" s="455"/>
      <c r="T31" s="455"/>
      <c r="U31" s="455"/>
      <c r="V31" s="455"/>
      <c r="W31" s="455"/>
      <c r="X31" s="455"/>
      <c r="Y31" s="455"/>
      <c r="Z31" s="455"/>
    </row>
    <row r="32">
      <c r="A32" s="470">
        <v>43683.0</v>
      </c>
      <c r="B32" s="453" t="s">
        <v>6269</v>
      </c>
      <c r="C32" s="454" t="s">
        <v>6270</v>
      </c>
      <c r="D32" s="458" t="s">
        <v>6271</v>
      </c>
      <c r="E32" s="455"/>
      <c r="F32" s="455"/>
      <c r="G32" s="455"/>
      <c r="H32" s="453" t="s">
        <v>6251</v>
      </c>
      <c r="I32" s="455"/>
      <c r="J32" s="455"/>
      <c r="K32" s="457" t="s">
        <v>6133</v>
      </c>
      <c r="L32" s="456" t="s">
        <v>4171</v>
      </c>
      <c r="M32" s="455"/>
      <c r="N32" s="455"/>
      <c r="O32" s="455"/>
      <c r="P32" s="455"/>
      <c r="Q32" s="455"/>
      <c r="R32" s="455"/>
      <c r="S32" s="455"/>
      <c r="T32" s="455"/>
      <c r="U32" s="455"/>
      <c r="V32" s="455"/>
      <c r="W32" s="455"/>
      <c r="X32" s="455"/>
      <c r="Y32" s="455"/>
      <c r="Z32" s="455"/>
    </row>
    <row r="33">
      <c r="A33" s="470">
        <v>43683.0</v>
      </c>
      <c r="B33" s="460" t="s">
        <v>6272</v>
      </c>
      <c r="C33" s="461" t="s">
        <v>6273</v>
      </c>
      <c r="D33" s="475" t="s">
        <v>6274</v>
      </c>
      <c r="E33" s="462"/>
      <c r="F33" s="462"/>
      <c r="G33" s="462"/>
      <c r="H33" s="460" t="s">
        <v>6251</v>
      </c>
      <c r="I33" s="462"/>
      <c r="J33" s="462"/>
      <c r="K33" s="463" t="s">
        <v>6133</v>
      </c>
      <c r="L33" s="476" t="s">
        <v>6275</v>
      </c>
      <c r="M33" s="455"/>
      <c r="N33" s="455"/>
      <c r="O33" s="455"/>
      <c r="P33" s="455"/>
      <c r="Q33" s="455"/>
      <c r="R33" s="455"/>
      <c r="S33" s="455"/>
      <c r="T33" s="455"/>
      <c r="U33" s="455"/>
      <c r="V33" s="455"/>
      <c r="W33" s="455"/>
      <c r="X33" s="455"/>
      <c r="Y33" s="455"/>
      <c r="Z33" s="455"/>
    </row>
    <row r="34">
      <c r="A34" s="470">
        <v>43683.0</v>
      </c>
      <c r="B34" s="453" t="s">
        <v>6257</v>
      </c>
      <c r="C34" s="454" t="s">
        <v>6258</v>
      </c>
      <c r="D34" s="458" t="s">
        <v>6276</v>
      </c>
      <c r="E34" s="455"/>
      <c r="F34" s="455"/>
      <c r="G34" s="455"/>
      <c r="H34" s="453" t="s">
        <v>6277</v>
      </c>
      <c r="I34" s="455"/>
      <c r="J34" s="455"/>
      <c r="K34" s="457" t="s">
        <v>6133</v>
      </c>
      <c r="L34" s="456" t="s">
        <v>4589</v>
      </c>
      <c r="M34" s="455"/>
      <c r="N34" s="455"/>
      <c r="O34" s="455"/>
      <c r="P34" s="455"/>
      <c r="Q34" s="455"/>
      <c r="R34" s="455"/>
      <c r="S34" s="455"/>
      <c r="T34" s="455"/>
      <c r="U34" s="455"/>
      <c r="V34" s="455"/>
      <c r="W34" s="455"/>
      <c r="X34" s="455"/>
      <c r="Y34" s="455"/>
      <c r="Z34" s="455"/>
    </row>
    <row r="35">
      <c r="A35" s="470">
        <v>43683.0</v>
      </c>
      <c r="B35" s="453" t="s">
        <v>6278</v>
      </c>
      <c r="C35" s="454" t="s">
        <v>6279</v>
      </c>
      <c r="D35" s="458" t="s">
        <v>6280</v>
      </c>
      <c r="E35" s="453" t="s">
        <v>6281</v>
      </c>
      <c r="F35" s="455"/>
      <c r="G35" s="455"/>
      <c r="H35" s="453" t="s">
        <v>6282</v>
      </c>
      <c r="I35" s="455"/>
      <c r="J35" s="455"/>
      <c r="K35" s="457" t="s">
        <v>6133</v>
      </c>
      <c r="L35" s="456" t="s">
        <v>6283</v>
      </c>
      <c r="M35" s="455"/>
      <c r="N35" s="455"/>
      <c r="O35" s="455"/>
      <c r="P35" s="455"/>
      <c r="Q35" s="455"/>
      <c r="R35" s="455"/>
      <c r="S35" s="455"/>
      <c r="T35" s="455"/>
      <c r="U35" s="455"/>
      <c r="V35" s="455"/>
      <c r="W35" s="455"/>
      <c r="X35" s="455"/>
      <c r="Y35" s="455"/>
      <c r="Z35" s="455"/>
    </row>
    <row r="36">
      <c r="A36" s="470">
        <v>43683.0</v>
      </c>
      <c r="B36" s="453" t="s">
        <v>6284</v>
      </c>
      <c r="C36" s="454" t="s">
        <v>6285</v>
      </c>
      <c r="D36" s="458" t="s">
        <v>6286</v>
      </c>
      <c r="E36" s="455"/>
      <c r="F36" s="455"/>
      <c r="G36" s="455"/>
      <c r="H36" s="453" t="s">
        <v>6287</v>
      </c>
      <c r="I36" s="455"/>
      <c r="J36" s="455"/>
      <c r="K36" s="457" t="s">
        <v>6133</v>
      </c>
      <c r="L36" s="456" t="s">
        <v>574</v>
      </c>
      <c r="M36" s="455"/>
      <c r="N36" s="455"/>
      <c r="O36" s="455"/>
      <c r="P36" s="455"/>
      <c r="Q36" s="455"/>
      <c r="R36" s="455"/>
      <c r="S36" s="455"/>
      <c r="T36" s="455"/>
      <c r="U36" s="455"/>
      <c r="V36" s="455"/>
      <c r="W36" s="455"/>
      <c r="X36" s="455"/>
      <c r="Y36" s="455"/>
      <c r="Z36" s="455"/>
    </row>
    <row r="37" ht="18.0" customHeight="1">
      <c r="A37" s="470">
        <v>43683.0</v>
      </c>
      <c r="B37" s="453" t="s">
        <v>6288</v>
      </c>
      <c r="C37" s="454" t="s">
        <v>6289</v>
      </c>
      <c r="D37" s="458" t="s">
        <v>6290</v>
      </c>
      <c r="E37" s="455"/>
      <c r="F37" s="455"/>
      <c r="G37" s="455"/>
      <c r="H37" s="453" t="s">
        <v>6291</v>
      </c>
      <c r="I37" s="455"/>
      <c r="J37" s="455"/>
      <c r="K37" s="457" t="s">
        <v>6133</v>
      </c>
      <c r="L37" s="456" t="s">
        <v>574</v>
      </c>
      <c r="M37" s="455"/>
      <c r="N37" s="455"/>
      <c r="O37" s="455"/>
      <c r="P37" s="455"/>
      <c r="Q37" s="455"/>
      <c r="R37" s="455"/>
      <c r="S37" s="455"/>
      <c r="T37" s="455"/>
      <c r="U37" s="455"/>
      <c r="V37" s="455"/>
      <c r="W37" s="455"/>
      <c r="X37" s="455"/>
      <c r="Y37" s="455"/>
      <c r="Z37" s="455"/>
    </row>
    <row r="38">
      <c r="A38" s="470">
        <v>43683.0</v>
      </c>
      <c r="B38" s="453" t="s">
        <v>6292</v>
      </c>
      <c r="C38" s="454" t="s">
        <v>6293</v>
      </c>
      <c r="D38" s="458" t="s">
        <v>6294</v>
      </c>
      <c r="E38" s="455"/>
      <c r="F38" s="455"/>
      <c r="G38" s="455"/>
      <c r="H38" s="453" t="s">
        <v>6295</v>
      </c>
      <c r="I38" s="455"/>
      <c r="J38" s="455"/>
      <c r="K38" s="457" t="s">
        <v>6133</v>
      </c>
      <c r="L38" s="456" t="s">
        <v>574</v>
      </c>
      <c r="M38" s="455"/>
      <c r="N38" s="455"/>
      <c r="O38" s="455"/>
      <c r="P38" s="455"/>
      <c r="Q38" s="455"/>
      <c r="R38" s="455"/>
      <c r="S38" s="455"/>
      <c r="T38" s="455"/>
      <c r="U38" s="455"/>
      <c r="V38" s="455"/>
      <c r="W38" s="455"/>
      <c r="X38" s="455"/>
      <c r="Y38" s="455"/>
      <c r="Z38" s="455"/>
    </row>
    <row r="39">
      <c r="A39" s="470">
        <v>43683.0</v>
      </c>
      <c r="B39" s="453" t="s">
        <v>6296</v>
      </c>
      <c r="C39" s="454" t="s">
        <v>6297</v>
      </c>
      <c r="D39" s="458" t="s">
        <v>6298</v>
      </c>
      <c r="E39" s="455"/>
      <c r="F39" s="455"/>
      <c r="G39" s="455"/>
      <c r="H39" s="453" t="s">
        <v>6299</v>
      </c>
      <c r="I39" s="455"/>
      <c r="J39" s="455"/>
      <c r="K39" s="457" t="s">
        <v>6133</v>
      </c>
      <c r="L39" s="456" t="s">
        <v>574</v>
      </c>
      <c r="M39" s="455"/>
      <c r="N39" s="455"/>
      <c r="O39" s="455"/>
      <c r="P39" s="455"/>
      <c r="Q39" s="455"/>
      <c r="R39" s="455"/>
      <c r="S39" s="455"/>
      <c r="T39" s="455"/>
      <c r="U39" s="455"/>
      <c r="V39" s="455"/>
      <c r="W39" s="455"/>
      <c r="X39" s="455"/>
      <c r="Y39" s="455"/>
      <c r="Z39" s="455"/>
    </row>
    <row r="40">
      <c r="A40" s="470">
        <v>43689.0</v>
      </c>
      <c r="B40" s="453" t="s">
        <v>6300</v>
      </c>
      <c r="C40" s="454" t="s">
        <v>6301</v>
      </c>
      <c r="D40" s="458" t="s">
        <v>6302</v>
      </c>
      <c r="E40" s="455"/>
      <c r="F40" s="455"/>
      <c r="G40" s="455"/>
      <c r="H40" s="453" t="s">
        <v>4192</v>
      </c>
      <c r="I40" s="455"/>
      <c r="J40" s="455"/>
      <c r="K40" s="457" t="s">
        <v>6133</v>
      </c>
      <c r="L40" s="456" t="s">
        <v>6303</v>
      </c>
      <c r="M40" s="455"/>
      <c r="N40" s="455"/>
      <c r="O40" s="455"/>
      <c r="P40" s="455"/>
      <c r="Q40" s="455"/>
      <c r="R40" s="455"/>
      <c r="S40" s="455"/>
      <c r="T40" s="455"/>
      <c r="U40" s="455"/>
      <c r="V40" s="455"/>
      <c r="W40" s="455"/>
      <c r="X40" s="455"/>
      <c r="Y40" s="455"/>
      <c r="Z40" s="455"/>
    </row>
    <row r="41">
      <c r="A41" s="470">
        <v>43689.0</v>
      </c>
      <c r="B41" s="453" t="s">
        <v>6304</v>
      </c>
      <c r="C41" s="454" t="s">
        <v>6305</v>
      </c>
      <c r="D41" s="455"/>
      <c r="E41" s="455"/>
      <c r="F41" s="455"/>
      <c r="G41" s="455"/>
      <c r="H41" s="453" t="s">
        <v>6306</v>
      </c>
      <c r="I41" s="455"/>
      <c r="J41" s="455"/>
      <c r="K41" s="457" t="s">
        <v>6133</v>
      </c>
      <c r="L41" s="455"/>
      <c r="M41" s="455"/>
      <c r="N41" s="455"/>
      <c r="O41" s="455"/>
      <c r="P41" s="455"/>
      <c r="Q41" s="455"/>
      <c r="R41" s="455"/>
      <c r="S41" s="455"/>
      <c r="T41" s="455"/>
      <c r="U41" s="455"/>
      <c r="V41" s="455"/>
      <c r="W41" s="455"/>
      <c r="X41" s="455"/>
      <c r="Y41" s="455"/>
      <c r="Z41" s="455"/>
    </row>
    <row r="42">
      <c r="A42" s="470">
        <v>43689.0</v>
      </c>
      <c r="B42" s="453" t="s">
        <v>6307</v>
      </c>
      <c r="C42" s="454" t="s">
        <v>6308</v>
      </c>
      <c r="D42" s="458" t="s">
        <v>6309</v>
      </c>
      <c r="E42" s="455"/>
      <c r="F42" s="455"/>
      <c r="G42" s="455"/>
      <c r="H42" s="453" t="s">
        <v>6310</v>
      </c>
      <c r="I42" s="455"/>
      <c r="J42" s="455"/>
      <c r="K42" s="457" t="s">
        <v>6133</v>
      </c>
      <c r="L42" s="455"/>
      <c r="M42" s="455"/>
      <c r="N42" s="455"/>
      <c r="O42" s="455"/>
      <c r="P42" s="455"/>
      <c r="Q42" s="455"/>
      <c r="R42" s="455"/>
      <c r="S42" s="455"/>
      <c r="T42" s="455"/>
      <c r="U42" s="455"/>
      <c r="V42" s="455"/>
      <c r="W42" s="455"/>
      <c r="X42" s="455"/>
      <c r="Y42" s="455"/>
      <c r="Z42" s="455"/>
    </row>
    <row r="43" ht="17.25" customHeight="1">
      <c r="A43" s="477">
        <v>43693.0</v>
      </c>
      <c r="B43" s="468" t="s">
        <v>6311</v>
      </c>
      <c r="C43" s="469" t="s">
        <v>6312</v>
      </c>
      <c r="D43" s="478" t="s">
        <v>6313</v>
      </c>
      <c r="E43" s="479"/>
      <c r="F43" s="479"/>
      <c r="G43" s="479"/>
      <c r="H43" s="468" t="s">
        <v>6314</v>
      </c>
      <c r="I43" s="468" t="s">
        <v>6315</v>
      </c>
      <c r="J43" s="455"/>
      <c r="K43" s="457" t="s">
        <v>6133</v>
      </c>
      <c r="L43" s="456" t="s">
        <v>3593</v>
      </c>
      <c r="M43" s="455"/>
      <c r="N43" s="455"/>
      <c r="O43" s="455"/>
      <c r="P43" s="455"/>
      <c r="Q43" s="455"/>
      <c r="R43" s="455"/>
      <c r="S43" s="455"/>
      <c r="T43" s="455"/>
      <c r="U43" s="455"/>
      <c r="V43" s="455"/>
      <c r="W43" s="455"/>
      <c r="X43" s="455"/>
      <c r="Y43" s="455"/>
      <c r="Z43" s="455"/>
    </row>
    <row r="44" ht="15.75" customHeight="1">
      <c r="A44" s="477">
        <v>43694.0</v>
      </c>
      <c r="B44" s="468" t="s">
        <v>6316</v>
      </c>
      <c r="C44" s="469" t="s">
        <v>6317</v>
      </c>
      <c r="D44" s="478" t="s">
        <v>6318</v>
      </c>
      <c r="E44" s="479"/>
      <c r="F44" s="479"/>
      <c r="G44" s="479"/>
      <c r="H44" s="468" t="s">
        <v>6251</v>
      </c>
      <c r="I44" s="468" t="s">
        <v>6319</v>
      </c>
      <c r="J44" s="455"/>
      <c r="K44" s="457" t="s">
        <v>6133</v>
      </c>
      <c r="L44" s="456" t="s">
        <v>6320</v>
      </c>
      <c r="M44" s="455"/>
      <c r="N44" s="455"/>
      <c r="O44" s="455"/>
      <c r="P44" s="455"/>
      <c r="Q44" s="455"/>
      <c r="R44" s="455"/>
      <c r="S44" s="455"/>
      <c r="T44" s="455"/>
      <c r="U44" s="455"/>
      <c r="V44" s="455"/>
      <c r="W44" s="455"/>
      <c r="X44" s="455"/>
      <c r="Y44" s="455"/>
      <c r="Z44" s="455"/>
    </row>
    <row r="45">
      <c r="A45" s="477">
        <v>43695.0</v>
      </c>
      <c r="B45" s="460" t="s">
        <v>6321</v>
      </c>
      <c r="C45" s="461" t="s">
        <v>6322</v>
      </c>
      <c r="D45" s="475" t="s">
        <v>6323</v>
      </c>
      <c r="E45" s="462"/>
      <c r="F45" s="462"/>
      <c r="G45" s="462"/>
      <c r="H45" s="480" t="s">
        <v>6324</v>
      </c>
      <c r="I45" s="462"/>
      <c r="J45" s="462"/>
      <c r="K45" s="463" t="s">
        <v>6133</v>
      </c>
      <c r="L45" s="476" t="s">
        <v>6325</v>
      </c>
      <c r="M45" s="455"/>
      <c r="N45" s="455"/>
      <c r="O45" s="455"/>
      <c r="P45" s="455"/>
      <c r="Q45" s="455"/>
      <c r="R45" s="455"/>
      <c r="S45" s="455"/>
      <c r="T45" s="455"/>
      <c r="U45" s="455"/>
      <c r="V45" s="455"/>
      <c r="W45" s="455"/>
      <c r="X45" s="455"/>
      <c r="Y45" s="455"/>
      <c r="Z45" s="455"/>
    </row>
    <row r="46">
      <c r="A46" s="477">
        <v>43695.0</v>
      </c>
      <c r="B46" s="453" t="s">
        <v>6326</v>
      </c>
      <c r="C46" s="454" t="s">
        <v>6327</v>
      </c>
      <c r="D46" s="458" t="s">
        <v>6328</v>
      </c>
      <c r="E46" s="455"/>
      <c r="F46" s="455"/>
      <c r="G46" s="455"/>
      <c r="H46" s="481" t="s">
        <v>6329</v>
      </c>
      <c r="I46" s="455"/>
      <c r="J46" s="455"/>
      <c r="K46" s="457" t="s">
        <v>6133</v>
      </c>
      <c r="L46" s="456" t="s">
        <v>979</v>
      </c>
      <c r="M46" s="455"/>
      <c r="N46" s="455"/>
      <c r="O46" s="455"/>
      <c r="P46" s="455"/>
      <c r="Q46" s="455"/>
      <c r="R46" s="455"/>
      <c r="S46" s="455"/>
      <c r="T46" s="455"/>
      <c r="U46" s="455"/>
      <c r="V46" s="455"/>
      <c r="W46" s="455"/>
      <c r="X46" s="455"/>
      <c r="Y46" s="455"/>
      <c r="Z46" s="455"/>
    </row>
    <row r="47">
      <c r="A47" s="477">
        <v>43695.0</v>
      </c>
      <c r="B47" s="453" t="s">
        <v>6330</v>
      </c>
      <c r="C47" s="454" t="s">
        <v>6331</v>
      </c>
      <c r="D47" s="458" t="s">
        <v>6332</v>
      </c>
      <c r="E47" s="455"/>
      <c r="F47" s="455"/>
      <c r="G47" s="455"/>
      <c r="H47" s="481" t="s">
        <v>6251</v>
      </c>
      <c r="I47" s="455"/>
      <c r="J47" s="455"/>
      <c r="K47" s="457" t="s">
        <v>6133</v>
      </c>
      <c r="L47" s="456" t="s">
        <v>251</v>
      </c>
      <c r="M47" s="455"/>
      <c r="N47" s="455"/>
      <c r="O47" s="455"/>
      <c r="P47" s="455"/>
      <c r="Q47" s="455"/>
      <c r="R47" s="455"/>
      <c r="S47" s="455"/>
      <c r="T47" s="455"/>
      <c r="U47" s="455"/>
      <c r="V47" s="455"/>
      <c r="W47" s="455"/>
      <c r="X47" s="455"/>
      <c r="Y47" s="455"/>
      <c r="Z47" s="455"/>
    </row>
    <row r="48">
      <c r="A48" s="454" t="s">
        <v>6333</v>
      </c>
      <c r="B48" s="453" t="s">
        <v>6334</v>
      </c>
      <c r="C48" s="454" t="s">
        <v>3875</v>
      </c>
      <c r="D48" s="458" t="s">
        <v>6335</v>
      </c>
      <c r="E48" s="455"/>
      <c r="F48" s="455"/>
      <c r="G48" s="455"/>
      <c r="H48" s="481" t="s">
        <v>6336</v>
      </c>
      <c r="I48" s="455"/>
      <c r="J48" s="455"/>
      <c r="K48" s="457" t="s">
        <v>6133</v>
      </c>
      <c r="L48" s="456" t="s">
        <v>168</v>
      </c>
      <c r="M48" s="455"/>
      <c r="N48" s="455"/>
      <c r="O48" s="455"/>
      <c r="P48" s="455"/>
      <c r="Q48" s="455"/>
      <c r="R48" s="455"/>
      <c r="S48" s="455"/>
      <c r="T48" s="455"/>
      <c r="U48" s="455"/>
      <c r="V48" s="455"/>
      <c r="W48" s="455"/>
      <c r="X48" s="455"/>
      <c r="Y48" s="455"/>
      <c r="Z48" s="455"/>
    </row>
    <row r="49">
      <c r="A49" s="454" t="s">
        <v>6333</v>
      </c>
      <c r="B49" s="471" t="s">
        <v>6337</v>
      </c>
      <c r="C49" s="473" t="s">
        <v>6338</v>
      </c>
      <c r="D49" s="472" t="s">
        <v>6339</v>
      </c>
      <c r="E49" s="455"/>
      <c r="F49" s="455"/>
      <c r="G49" s="455"/>
      <c r="H49" s="453" t="s">
        <v>6340</v>
      </c>
      <c r="I49" s="455"/>
      <c r="J49" s="455"/>
      <c r="K49" s="457" t="s">
        <v>6133</v>
      </c>
      <c r="L49" s="456" t="s">
        <v>3613</v>
      </c>
      <c r="M49" s="455"/>
      <c r="N49" s="455"/>
      <c r="O49" s="455"/>
      <c r="P49" s="455"/>
      <c r="Q49" s="455"/>
      <c r="R49" s="455"/>
      <c r="S49" s="455"/>
      <c r="T49" s="455"/>
      <c r="U49" s="455"/>
      <c r="V49" s="455"/>
      <c r="W49" s="455"/>
      <c r="X49" s="455"/>
      <c r="Y49" s="455"/>
      <c r="Z49" s="455"/>
    </row>
    <row r="50">
      <c r="A50" s="454" t="s">
        <v>6333</v>
      </c>
      <c r="B50" s="453" t="s">
        <v>6341</v>
      </c>
      <c r="C50" s="454" t="s">
        <v>6342</v>
      </c>
      <c r="D50" s="454">
        <f>+962795411179</f>
        <v>962795411179</v>
      </c>
      <c r="E50" s="455"/>
      <c r="F50" s="455"/>
      <c r="G50" s="455"/>
      <c r="H50" s="481" t="s">
        <v>6340</v>
      </c>
      <c r="I50" s="455"/>
      <c r="J50" s="455"/>
      <c r="K50" s="457" t="s">
        <v>6133</v>
      </c>
      <c r="L50" s="456" t="s">
        <v>6237</v>
      </c>
      <c r="M50" s="455"/>
      <c r="N50" s="455"/>
      <c r="O50" s="455"/>
      <c r="P50" s="455"/>
      <c r="Q50" s="455"/>
      <c r="R50" s="455"/>
      <c r="S50" s="455"/>
      <c r="T50" s="455"/>
      <c r="U50" s="455"/>
      <c r="V50" s="455"/>
      <c r="W50" s="455"/>
      <c r="X50" s="455"/>
      <c r="Y50" s="455"/>
      <c r="Z50" s="455"/>
    </row>
    <row r="51">
      <c r="A51" s="454" t="s">
        <v>6333</v>
      </c>
      <c r="B51" s="453" t="s">
        <v>514</v>
      </c>
      <c r="C51" s="454" t="s">
        <v>6343</v>
      </c>
      <c r="D51" s="458" t="s">
        <v>6344</v>
      </c>
      <c r="E51" s="455"/>
      <c r="F51" s="455"/>
      <c r="G51" s="455"/>
      <c r="H51" s="481" t="s">
        <v>6336</v>
      </c>
      <c r="I51" s="455"/>
      <c r="J51" s="455"/>
      <c r="K51" s="457" t="s">
        <v>6133</v>
      </c>
      <c r="L51" s="456" t="s">
        <v>574</v>
      </c>
      <c r="M51" s="455"/>
      <c r="N51" s="455"/>
      <c r="O51" s="455"/>
      <c r="P51" s="455"/>
      <c r="Q51" s="455"/>
      <c r="R51" s="455"/>
      <c r="S51" s="455"/>
      <c r="T51" s="455"/>
      <c r="U51" s="455"/>
      <c r="V51" s="455"/>
      <c r="W51" s="455"/>
      <c r="X51" s="455"/>
      <c r="Y51" s="455"/>
      <c r="Z51" s="455"/>
    </row>
    <row r="52">
      <c r="A52" s="454" t="s">
        <v>6345</v>
      </c>
      <c r="B52" s="453" t="s">
        <v>6346</v>
      </c>
      <c r="C52" s="454" t="s">
        <v>6347</v>
      </c>
      <c r="D52" s="458" t="s">
        <v>6348</v>
      </c>
      <c r="E52" s="455"/>
      <c r="F52" s="455"/>
      <c r="G52" s="455"/>
      <c r="H52" s="481" t="s">
        <v>6251</v>
      </c>
      <c r="I52" s="455"/>
      <c r="J52" s="455"/>
      <c r="K52" s="457" t="s">
        <v>6133</v>
      </c>
      <c r="L52" s="456" t="s">
        <v>574</v>
      </c>
      <c r="M52" s="455"/>
      <c r="N52" s="455"/>
      <c r="O52" s="455"/>
      <c r="P52" s="455"/>
      <c r="Q52" s="455"/>
      <c r="R52" s="455"/>
      <c r="S52" s="455"/>
      <c r="T52" s="455"/>
      <c r="U52" s="455"/>
      <c r="V52" s="455"/>
      <c r="W52" s="455"/>
      <c r="X52" s="455"/>
      <c r="Y52" s="455"/>
      <c r="Z52" s="455"/>
    </row>
    <row r="53">
      <c r="A53" s="482">
        <v>43702.0</v>
      </c>
      <c r="B53" s="453" t="s">
        <v>1098</v>
      </c>
      <c r="C53" s="454" t="s">
        <v>6349</v>
      </c>
      <c r="D53" s="458" t="s">
        <v>6350</v>
      </c>
      <c r="E53" s="455"/>
      <c r="F53" s="454"/>
      <c r="G53" s="454"/>
      <c r="H53" s="453" t="s">
        <v>6351</v>
      </c>
      <c r="I53" s="483"/>
      <c r="J53" s="468"/>
      <c r="K53" s="457" t="s">
        <v>6133</v>
      </c>
      <c r="L53" s="484" t="s">
        <v>4589</v>
      </c>
      <c r="M53" s="454"/>
      <c r="N53" s="454"/>
      <c r="O53" s="454"/>
      <c r="P53" s="455"/>
      <c r="Q53" s="454"/>
      <c r="R53" s="454"/>
      <c r="S53" s="454"/>
      <c r="T53" s="454"/>
      <c r="U53" s="455"/>
      <c r="V53" s="455"/>
      <c r="W53" s="455"/>
      <c r="X53" s="455"/>
      <c r="Y53" s="455"/>
      <c r="Z53" s="455"/>
    </row>
    <row r="54">
      <c r="A54" s="482">
        <v>43703.0</v>
      </c>
      <c r="B54" s="453" t="s">
        <v>6352</v>
      </c>
      <c r="C54" s="454" t="s">
        <v>6353</v>
      </c>
      <c r="D54" s="458" t="s">
        <v>6354</v>
      </c>
      <c r="E54" s="455"/>
      <c r="F54" s="455"/>
      <c r="G54" s="455"/>
      <c r="H54" s="453" t="s">
        <v>6251</v>
      </c>
      <c r="I54" s="455"/>
      <c r="J54" s="455"/>
      <c r="K54" s="457" t="s">
        <v>6133</v>
      </c>
      <c r="L54" s="485" t="s">
        <v>4589</v>
      </c>
      <c r="M54" s="455"/>
      <c r="N54" s="455"/>
      <c r="O54" s="455"/>
      <c r="P54" s="455"/>
      <c r="Q54" s="455"/>
      <c r="R54" s="455"/>
      <c r="S54" s="455"/>
      <c r="T54" s="455"/>
      <c r="U54" s="455"/>
      <c r="V54" s="455"/>
      <c r="W54" s="455"/>
      <c r="X54" s="455"/>
      <c r="Y54" s="455"/>
      <c r="Z54" s="455"/>
    </row>
    <row r="55">
      <c r="A55" s="486">
        <v>43704.0</v>
      </c>
      <c r="B55" s="453" t="s">
        <v>6355</v>
      </c>
      <c r="C55" s="454" t="s">
        <v>6356</v>
      </c>
      <c r="D55" s="458" t="s">
        <v>6357</v>
      </c>
      <c r="E55" s="455"/>
      <c r="F55" s="455"/>
      <c r="G55" s="455"/>
      <c r="H55" s="487" t="s">
        <v>6324</v>
      </c>
      <c r="I55" s="455"/>
      <c r="J55" s="455"/>
      <c r="K55" s="457" t="s">
        <v>6133</v>
      </c>
      <c r="L55" s="485" t="s">
        <v>4589</v>
      </c>
      <c r="M55" s="455"/>
      <c r="N55" s="455"/>
      <c r="O55" s="455"/>
      <c r="P55" s="455"/>
      <c r="Q55" s="455"/>
      <c r="R55" s="455"/>
      <c r="S55" s="455"/>
      <c r="T55" s="455"/>
      <c r="U55" s="455"/>
      <c r="V55" s="455"/>
      <c r="W55" s="455"/>
      <c r="X55" s="455"/>
      <c r="Y55" s="455"/>
      <c r="Z55" s="455"/>
    </row>
    <row r="56">
      <c r="A56" s="486">
        <v>43705.0</v>
      </c>
      <c r="B56" s="468" t="s">
        <v>6358</v>
      </c>
      <c r="C56" s="469" t="s">
        <v>6359</v>
      </c>
      <c r="D56" s="478" t="s">
        <v>6360</v>
      </c>
      <c r="E56" s="455"/>
      <c r="F56" s="455"/>
      <c r="G56" s="455"/>
      <c r="H56" s="487" t="s">
        <v>6251</v>
      </c>
      <c r="I56" s="455"/>
      <c r="J56" s="455"/>
      <c r="K56" s="457" t="s">
        <v>6133</v>
      </c>
      <c r="L56" s="485" t="s">
        <v>4589</v>
      </c>
      <c r="M56" s="455"/>
      <c r="N56" s="455"/>
      <c r="O56" s="455"/>
      <c r="P56" s="455"/>
      <c r="Q56" s="455"/>
      <c r="R56" s="455"/>
      <c r="S56" s="455"/>
      <c r="T56" s="455"/>
      <c r="U56" s="455"/>
      <c r="V56" s="455"/>
      <c r="W56" s="455"/>
      <c r="X56" s="455"/>
      <c r="Y56" s="455"/>
      <c r="Z56" s="455"/>
    </row>
    <row r="57">
      <c r="A57" s="488">
        <v>43708.0</v>
      </c>
      <c r="B57" s="453" t="s">
        <v>6361</v>
      </c>
      <c r="C57" s="454" t="s">
        <v>6362</v>
      </c>
      <c r="D57" s="454">
        <f>+971523493812</f>
        <v>971523493812</v>
      </c>
      <c r="E57" s="455"/>
      <c r="F57" s="455"/>
      <c r="G57" s="455"/>
      <c r="H57" s="481" t="s">
        <v>6324</v>
      </c>
      <c r="I57" s="455"/>
      <c r="J57" s="455"/>
      <c r="K57" s="457" t="s">
        <v>6133</v>
      </c>
      <c r="L57" s="485" t="s">
        <v>4589</v>
      </c>
      <c r="M57" s="455"/>
      <c r="N57" s="455"/>
      <c r="O57" s="455"/>
      <c r="P57" s="455"/>
      <c r="Q57" s="455"/>
      <c r="R57" s="455"/>
      <c r="S57" s="455"/>
      <c r="T57" s="455"/>
      <c r="U57" s="455"/>
      <c r="V57" s="455"/>
      <c r="W57" s="455"/>
      <c r="X57" s="455"/>
      <c r="Y57" s="455"/>
      <c r="Z57" s="455"/>
    </row>
    <row r="58">
      <c r="A58" s="488">
        <v>43708.0</v>
      </c>
      <c r="B58" s="453" t="s">
        <v>6363</v>
      </c>
      <c r="C58" s="454" t="s">
        <v>6364</v>
      </c>
      <c r="D58" s="458" t="s">
        <v>6365</v>
      </c>
      <c r="E58" s="455"/>
      <c r="F58" s="455"/>
      <c r="G58" s="455"/>
      <c r="H58" s="481" t="s">
        <v>6366</v>
      </c>
      <c r="I58" s="455"/>
      <c r="J58" s="455"/>
      <c r="K58" s="457" t="s">
        <v>6133</v>
      </c>
      <c r="L58" s="485" t="s">
        <v>4589</v>
      </c>
      <c r="M58" s="455"/>
      <c r="N58" s="455"/>
      <c r="O58" s="455"/>
      <c r="P58" s="455"/>
      <c r="Q58" s="455"/>
      <c r="R58" s="455"/>
      <c r="S58" s="455"/>
      <c r="T58" s="455"/>
      <c r="U58" s="455"/>
      <c r="V58" s="455"/>
      <c r="W58" s="455"/>
      <c r="X58" s="455"/>
      <c r="Y58" s="455"/>
      <c r="Z58" s="455"/>
    </row>
    <row r="59">
      <c r="A59" s="488">
        <v>43709.0</v>
      </c>
      <c r="B59" s="453" t="s">
        <v>6367</v>
      </c>
      <c r="C59" s="454" t="s">
        <v>6368</v>
      </c>
      <c r="D59" s="458" t="s">
        <v>6369</v>
      </c>
      <c r="E59" s="455"/>
      <c r="F59" s="455"/>
      <c r="G59" s="455"/>
      <c r="H59" s="481" t="s">
        <v>6251</v>
      </c>
      <c r="I59" s="455"/>
      <c r="J59" s="455"/>
      <c r="K59" s="457" t="s">
        <v>6133</v>
      </c>
      <c r="L59" s="485" t="s">
        <v>4589</v>
      </c>
      <c r="M59" s="455"/>
      <c r="N59" s="455"/>
      <c r="O59" s="455"/>
      <c r="P59" s="455"/>
      <c r="Q59" s="455"/>
      <c r="R59" s="455"/>
      <c r="S59" s="455"/>
      <c r="T59" s="455"/>
      <c r="U59" s="455"/>
      <c r="V59" s="455"/>
      <c r="W59" s="455"/>
      <c r="X59" s="455"/>
      <c r="Y59" s="455"/>
      <c r="Z59" s="455"/>
    </row>
    <row r="60">
      <c r="A60" s="488">
        <v>43710.0</v>
      </c>
      <c r="B60" s="453" t="s">
        <v>6370</v>
      </c>
      <c r="C60" s="454" t="s">
        <v>6371</v>
      </c>
      <c r="D60" s="458" t="s">
        <v>6372</v>
      </c>
      <c r="E60" s="455"/>
      <c r="F60" s="455"/>
      <c r="G60" s="455"/>
      <c r="H60" s="453" t="s">
        <v>6373</v>
      </c>
      <c r="I60" s="455"/>
      <c r="J60" s="455"/>
      <c r="K60" s="457" t="s">
        <v>6133</v>
      </c>
      <c r="L60" s="456" t="s">
        <v>4589</v>
      </c>
      <c r="M60" s="455"/>
      <c r="N60" s="455"/>
      <c r="O60" s="455"/>
      <c r="P60" s="455"/>
      <c r="Q60" s="455"/>
      <c r="R60" s="455"/>
      <c r="S60" s="455"/>
      <c r="T60" s="455"/>
      <c r="U60" s="455"/>
      <c r="V60" s="455"/>
      <c r="W60" s="455"/>
      <c r="X60" s="455"/>
      <c r="Y60" s="455"/>
      <c r="Z60" s="455"/>
    </row>
    <row r="61">
      <c r="A61" s="488">
        <v>43711.0</v>
      </c>
      <c r="B61" s="460" t="s">
        <v>6374</v>
      </c>
      <c r="C61" s="461" t="s">
        <v>6375</v>
      </c>
      <c r="D61" s="475" t="s">
        <v>6376</v>
      </c>
      <c r="E61" s="462"/>
      <c r="F61" s="462"/>
      <c r="G61" s="462"/>
      <c r="H61" s="489"/>
      <c r="I61" s="462"/>
      <c r="J61" s="462"/>
      <c r="K61" s="463" t="s">
        <v>6133</v>
      </c>
      <c r="L61" s="476" t="s">
        <v>6377</v>
      </c>
      <c r="M61" s="455"/>
      <c r="N61" s="455"/>
      <c r="O61" s="455"/>
      <c r="P61" s="455"/>
      <c r="Q61" s="455"/>
      <c r="R61" s="455"/>
      <c r="S61" s="455"/>
      <c r="T61" s="455"/>
      <c r="U61" s="455"/>
      <c r="V61" s="455"/>
      <c r="W61" s="455"/>
      <c r="X61" s="455"/>
      <c r="Y61" s="455"/>
      <c r="Z61" s="455"/>
    </row>
    <row r="62">
      <c r="A62" s="488">
        <v>43711.0</v>
      </c>
      <c r="B62" s="453" t="s">
        <v>6378</v>
      </c>
      <c r="C62" s="454" t="s">
        <v>6379</v>
      </c>
      <c r="D62" s="458" t="s">
        <v>6380</v>
      </c>
      <c r="E62" s="455"/>
      <c r="F62" s="455"/>
      <c r="G62" s="455"/>
      <c r="H62" s="490"/>
      <c r="I62" s="455"/>
      <c r="J62" s="455"/>
      <c r="K62" s="457" t="s">
        <v>6133</v>
      </c>
      <c r="L62" s="456" t="s">
        <v>3613</v>
      </c>
      <c r="M62" s="455"/>
      <c r="N62" s="455"/>
      <c r="O62" s="455"/>
      <c r="P62" s="455"/>
      <c r="Q62" s="455"/>
      <c r="R62" s="455"/>
      <c r="S62" s="455"/>
      <c r="T62" s="455"/>
      <c r="U62" s="455"/>
      <c r="V62" s="455"/>
      <c r="W62" s="455"/>
      <c r="X62" s="455"/>
      <c r="Y62" s="455"/>
      <c r="Z62" s="455"/>
    </row>
    <row r="63">
      <c r="A63" s="488">
        <v>43711.0</v>
      </c>
      <c r="B63" s="453" t="s">
        <v>6381</v>
      </c>
      <c r="C63" s="454" t="s">
        <v>6382</v>
      </c>
      <c r="D63" s="458" t="s">
        <v>6383</v>
      </c>
      <c r="E63" s="455"/>
      <c r="F63" s="455"/>
      <c r="G63" s="455"/>
      <c r="H63" s="490"/>
      <c r="I63" s="455"/>
      <c r="J63" s="455"/>
      <c r="K63" s="457" t="s">
        <v>6133</v>
      </c>
      <c r="L63" s="456" t="s">
        <v>6228</v>
      </c>
      <c r="M63" s="455"/>
      <c r="N63" s="455"/>
      <c r="O63" s="455"/>
      <c r="P63" s="455"/>
      <c r="Q63" s="455"/>
      <c r="R63" s="455"/>
      <c r="S63" s="455"/>
      <c r="T63" s="455"/>
      <c r="U63" s="455"/>
      <c r="V63" s="455"/>
      <c r="W63" s="455"/>
      <c r="X63" s="455"/>
      <c r="Y63" s="455"/>
      <c r="Z63" s="455"/>
    </row>
    <row r="64" ht="17.25" customHeight="1">
      <c r="A64" s="491">
        <v>43711.0</v>
      </c>
      <c r="B64" s="492" t="s">
        <v>6384</v>
      </c>
      <c r="C64" s="493" t="s">
        <v>6385</v>
      </c>
      <c r="D64" s="469">
        <f>+971552842214</f>
        <v>971552842214</v>
      </c>
      <c r="E64" s="453" t="s">
        <v>6386</v>
      </c>
      <c r="F64" s="455"/>
      <c r="G64" s="455"/>
      <c r="H64" s="490" t="s">
        <v>6387</v>
      </c>
      <c r="I64" s="455"/>
      <c r="J64" s="455"/>
      <c r="K64" s="457" t="s">
        <v>6133</v>
      </c>
      <c r="L64" s="456" t="s">
        <v>6388</v>
      </c>
      <c r="M64" s="455"/>
      <c r="N64" s="455"/>
      <c r="O64" s="455"/>
      <c r="P64" s="455"/>
      <c r="Q64" s="455"/>
      <c r="R64" s="455"/>
      <c r="S64" s="455"/>
      <c r="T64" s="455"/>
      <c r="U64" s="455"/>
      <c r="V64" s="455"/>
      <c r="W64" s="455"/>
      <c r="X64" s="455"/>
      <c r="Y64" s="455"/>
      <c r="Z64" s="455"/>
    </row>
    <row r="65">
      <c r="A65" s="491">
        <v>43711.0</v>
      </c>
      <c r="B65" s="494" t="s">
        <v>6389</v>
      </c>
      <c r="C65" s="495" t="s">
        <v>6390</v>
      </c>
      <c r="D65" s="495">
        <v>9.71569973142E11</v>
      </c>
      <c r="E65" s="496"/>
      <c r="F65" s="496"/>
      <c r="G65" s="496"/>
      <c r="H65" s="497" t="s">
        <v>6391</v>
      </c>
      <c r="I65" s="496"/>
      <c r="J65" s="496"/>
      <c r="K65" s="498" t="s">
        <v>6133</v>
      </c>
      <c r="L65" s="499" t="s">
        <v>6392</v>
      </c>
      <c r="M65" s="500"/>
      <c r="N65" s="455"/>
      <c r="O65" s="455"/>
      <c r="P65" s="455"/>
      <c r="Q65" s="455"/>
      <c r="R65" s="455"/>
      <c r="S65" s="455"/>
      <c r="T65" s="455"/>
      <c r="U65" s="455"/>
      <c r="V65" s="455"/>
      <c r="W65" s="455"/>
      <c r="X65" s="455"/>
      <c r="Y65" s="455"/>
      <c r="Z65" s="455"/>
    </row>
    <row r="66">
      <c r="A66" s="491">
        <v>43711.0</v>
      </c>
      <c r="B66" s="492" t="s">
        <v>3014</v>
      </c>
      <c r="C66" s="501" t="s">
        <v>3015</v>
      </c>
      <c r="D66" s="469">
        <f>+79036928135</f>
        <v>79036928135</v>
      </c>
      <c r="E66" s="455"/>
      <c r="F66" s="455"/>
      <c r="G66" s="455"/>
      <c r="H66" s="490" t="s">
        <v>2999</v>
      </c>
      <c r="I66" s="455"/>
      <c r="J66" s="455"/>
      <c r="K66" s="457" t="s">
        <v>6133</v>
      </c>
      <c r="L66" s="456" t="s">
        <v>168</v>
      </c>
      <c r="M66" s="455"/>
      <c r="N66" s="455"/>
      <c r="O66" s="455"/>
      <c r="P66" s="455"/>
      <c r="Q66" s="455"/>
      <c r="R66" s="455"/>
      <c r="S66" s="455"/>
      <c r="T66" s="455"/>
      <c r="U66" s="455"/>
      <c r="V66" s="455"/>
      <c r="W66" s="455"/>
      <c r="X66" s="455"/>
      <c r="Y66" s="455"/>
      <c r="Z66" s="455"/>
    </row>
    <row r="67">
      <c r="A67" s="491">
        <v>43711.0</v>
      </c>
      <c r="B67" s="492" t="s">
        <v>3023</v>
      </c>
      <c r="C67" s="501" t="s">
        <v>3024</v>
      </c>
      <c r="D67" s="502">
        <v>9.71545252245E11</v>
      </c>
      <c r="E67" s="455"/>
      <c r="F67" s="455"/>
      <c r="G67" s="455"/>
      <c r="H67" s="490" t="s">
        <v>2999</v>
      </c>
      <c r="I67" s="455"/>
      <c r="J67" s="455"/>
      <c r="K67" s="457" t="s">
        <v>6133</v>
      </c>
      <c r="L67" s="456" t="s">
        <v>574</v>
      </c>
      <c r="M67" s="455"/>
      <c r="N67" s="455"/>
      <c r="O67" s="455"/>
      <c r="P67" s="455"/>
      <c r="Q67" s="455"/>
      <c r="R67" s="455"/>
      <c r="S67" s="455"/>
      <c r="T67" s="455"/>
      <c r="U67" s="455"/>
      <c r="V67" s="455"/>
      <c r="W67" s="455"/>
      <c r="X67" s="455"/>
      <c r="Y67" s="455"/>
      <c r="Z67" s="455"/>
    </row>
    <row r="68" ht="16.5" customHeight="1">
      <c r="A68" s="491">
        <v>43712.0</v>
      </c>
      <c r="B68" s="503" t="s">
        <v>6393</v>
      </c>
      <c r="C68" s="504" t="s">
        <v>6394</v>
      </c>
      <c r="D68" s="478" t="s">
        <v>6395</v>
      </c>
      <c r="E68" s="503" t="s">
        <v>6396</v>
      </c>
      <c r="F68" s="455"/>
      <c r="G68" s="455"/>
      <c r="H68" s="453" t="s">
        <v>6397</v>
      </c>
      <c r="I68" s="455"/>
      <c r="J68" s="455"/>
      <c r="K68" s="457" t="s">
        <v>6133</v>
      </c>
      <c r="L68" s="456" t="s">
        <v>3613</v>
      </c>
      <c r="M68" s="455"/>
      <c r="N68" s="455"/>
      <c r="O68" s="455"/>
      <c r="P68" s="455"/>
      <c r="Q68" s="455"/>
      <c r="R68" s="455"/>
      <c r="S68" s="455"/>
      <c r="T68" s="455"/>
      <c r="U68" s="455"/>
      <c r="V68" s="455"/>
      <c r="W68" s="455"/>
      <c r="X68" s="455"/>
      <c r="Y68" s="455"/>
      <c r="Z68" s="455"/>
    </row>
    <row r="69">
      <c r="A69" s="491">
        <v>43712.0</v>
      </c>
      <c r="B69" s="453" t="s">
        <v>6398</v>
      </c>
      <c r="C69" s="454" t="s">
        <v>6399</v>
      </c>
      <c r="D69" s="454">
        <f>+447956985987</f>
        <v>447956985987</v>
      </c>
      <c r="E69" s="453" t="s">
        <v>6400</v>
      </c>
      <c r="F69" s="455"/>
      <c r="G69" s="455"/>
      <c r="H69" s="453" t="s">
        <v>6251</v>
      </c>
      <c r="I69" s="455"/>
      <c r="J69" s="455"/>
      <c r="K69" s="457" t="s">
        <v>6133</v>
      </c>
      <c r="L69" s="456" t="s">
        <v>3613</v>
      </c>
      <c r="M69" s="455"/>
      <c r="N69" s="455"/>
      <c r="O69" s="455"/>
      <c r="P69" s="455"/>
      <c r="Q69" s="455"/>
      <c r="R69" s="455"/>
      <c r="S69" s="455"/>
      <c r="T69" s="455"/>
      <c r="U69" s="455"/>
      <c r="V69" s="455"/>
      <c r="W69" s="455"/>
      <c r="X69" s="455"/>
      <c r="Y69" s="455"/>
      <c r="Z69" s="455"/>
    </row>
    <row r="70">
      <c r="A70" s="491">
        <v>43712.0</v>
      </c>
      <c r="B70" s="453" t="s">
        <v>6401</v>
      </c>
      <c r="C70" s="454" t="s">
        <v>6402</v>
      </c>
      <c r="D70" s="454">
        <f>+971506002077</f>
        <v>971506002077</v>
      </c>
      <c r="E70" s="453"/>
      <c r="F70" s="455"/>
      <c r="G70" s="455"/>
      <c r="H70" s="453" t="s">
        <v>6403</v>
      </c>
      <c r="I70" s="453" t="s">
        <v>6404</v>
      </c>
      <c r="J70" s="455"/>
      <c r="K70" s="457" t="s">
        <v>6133</v>
      </c>
      <c r="L70" s="456" t="s">
        <v>574</v>
      </c>
      <c r="M70" s="455"/>
      <c r="N70" s="455"/>
      <c r="O70" s="455"/>
      <c r="P70" s="455"/>
      <c r="Q70" s="455"/>
      <c r="R70" s="455"/>
      <c r="S70" s="455"/>
      <c r="T70" s="455"/>
      <c r="U70" s="455"/>
      <c r="V70" s="455"/>
      <c r="W70" s="455"/>
      <c r="X70" s="455"/>
      <c r="Y70" s="455"/>
      <c r="Z70" s="455"/>
    </row>
    <row r="71">
      <c r="A71" s="491">
        <v>43712.0</v>
      </c>
      <c r="B71" s="460" t="s">
        <v>6405</v>
      </c>
      <c r="C71" s="461" t="s">
        <v>6406</v>
      </c>
      <c r="D71" s="505" t="s">
        <v>6407</v>
      </c>
      <c r="E71" s="460"/>
      <c r="F71" s="462"/>
      <c r="G71" s="462"/>
      <c r="H71" s="460" t="s">
        <v>6403</v>
      </c>
      <c r="I71" s="462"/>
      <c r="J71" s="462"/>
      <c r="K71" s="463" t="s">
        <v>6133</v>
      </c>
      <c r="L71" s="476" t="s">
        <v>6408</v>
      </c>
      <c r="M71" s="455"/>
      <c r="N71" s="455"/>
      <c r="O71" s="455"/>
      <c r="P71" s="455"/>
      <c r="Q71" s="455"/>
      <c r="R71" s="455"/>
      <c r="S71" s="455"/>
      <c r="T71" s="455"/>
      <c r="U71" s="455"/>
      <c r="V71" s="455"/>
      <c r="W71" s="455"/>
      <c r="X71" s="455"/>
      <c r="Y71" s="455"/>
      <c r="Z71" s="455"/>
    </row>
    <row r="72">
      <c r="A72" s="491">
        <v>43713.0</v>
      </c>
      <c r="B72" s="506" t="s">
        <v>6409</v>
      </c>
      <c r="C72" s="507" t="s">
        <v>6410</v>
      </c>
      <c r="D72" s="507">
        <f>+9710504090642</f>
        <v>9710504090642</v>
      </c>
      <c r="E72" s="506" t="s">
        <v>6411</v>
      </c>
      <c r="F72" s="483"/>
      <c r="G72" s="483"/>
      <c r="H72" s="508" t="s">
        <v>6336</v>
      </c>
      <c r="I72" s="483"/>
      <c r="J72" s="483"/>
      <c r="K72" s="509" t="s">
        <v>6133</v>
      </c>
      <c r="L72" s="510" t="s">
        <v>6412</v>
      </c>
      <c r="M72" s="455"/>
      <c r="N72" s="455"/>
      <c r="O72" s="455"/>
      <c r="P72" s="455"/>
      <c r="Q72" s="455"/>
      <c r="R72" s="455"/>
      <c r="S72" s="455"/>
      <c r="T72" s="455"/>
      <c r="U72" s="455"/>
      <c r="V72" s="455"/>
      <c r="W72" s="455"/>
      <c r="X72" s="455"/>
      <c r="Y72" s="455"/>
      <c r="Z72" s="455"/>
    </row>
    <row r="73">
      <c r="A73" s="491">
        <v>43713.0</v>
      </c>
      <c r="B73" s="453" t="s">
        <v>6413</v>
      </c>
      <c r="C73" s="454" t="s">
        <v>6414</v>
      </c>
      <c r="D73" s="454">
        <f>+971581235588</f>
        <v>971581235588</v>
      </c>
      <c r="E73" s="453" t="s">
        <v>6415</v>
      </c>
      <c r="F73" s="455"/>
      <c r="G73" s="455"/>
      <c r="H73" s="481" t="s">
        <v>6336</v>
      </c>
      <c r="I73" s="455"/>
      <c r="J73" s="455"/>
      <c r="K73" s="457" t="s">
        <v>6133</v>
      </c>
      <c r="L73" s="456" t="s">
        <v>251</v>
      </c>
      <c r="M73" s="455"/>
      <c r="N73" s="455"/>
      <c r="O73" s="455"/>
      <c r="P73" s="455"/>
      <c r="Q73" s="455"/>
      <c r="R73" s="455"/>
      <c r="S73" s="455"/>
      <c r="T73" s="455"/>
      <c r="U73" s="455"/>
      <c r="V73" s="455"/>
      <c r="W73" s="455"/>
      <c r="X73" s="455"/>
      <c r="Y73" s="455"/>
      <c r="Z73" s="455"/>
    </row>
    <row r="74" ht="18.0" customHeight="1">
      <c r="A74" s="491">
        <v>43713.0</v>
      </c>
      <c r="B74" s="506" t="s">
        <v>6416</v>
      </c>
      <c r="C74" s="507" t="s">
        <v>6417</v>
      </c>
      <c r="D74" s="507">
        <f>+9710509699451</f>
        <v>9710509699451</v>
      </c>
      <c r="E74" s="506" t="s">
        <v>6418</v>
      </c>
      <c r="F74" s="483"/>
      <c r="G74" s="483"/>
      <c r="H74" s="508" t="s">
        <v>6336</v>
      </c>
      <c r="I74" s="483"/>
      <c r="J74" s="483"/>
      <c r="K74" s="509" t="s">
        <v>6133</v>
      </c>
      <c r="L74" s="511" t="s">
        <v>251</v>
      </c>
      <c r="M74" s="483"/>
      <c r="N74" s="483"/>
      <c r="O74" s="483"/>
      <c r="P74" s="483"/>
      <c r="Q74" s="483"/>
      <c r="R74" s="483"/>
      <c r="S74" s="483"/>
      <c r="T74" s="483"/>
      <c r="U74" s="483"/>
      <c r="V74" s="483"/>
      <c r="W74" s="483"/>
      <c r="X74" s="483"/>
      <c r="Y74" s="483"/>
      <c r="Z74" s="483"/>
    </row>
    <row r="75" ht="18.0" customHeight="1">
      <c r="A75" s="491">
        <v>43713.0</v>
      </c>
      <c r="B75" s="506" t="s">
        <v>6419</v>
      </c>
      <c r="C75" s="507" t="s">
        <v>6420</v>
      </c>
      <c r="D75" s="507">
        <f>+9710501088552</f>
        <v>9710501088552</v>
      </c>
      <c r="E75" s="506" t="s">
        <v>6421</v>
      </c>
      <c r="F75" s="483"/>
      <c r="G75" s="483"/>
      <c r="H75" s="508" t="s">
        <v>6336</v>
      </c>
      <c r="I75" s="483"/>
      <c r="J75" s="483"/>
      <c r="K75" s="509" t="s">
        <v>6133</v>
      </c>
      <c r="L75" s="511" t="s">
        <v>574</v>
      </c>
      <c r="M75" s="483"/>
      <c r="N75" s="483"/>
      <c r="O75" s="483"/>
      <c r="P75" s="483"/>
      <c r="Q75" s="483"/>
      <c r="R75" s="483"/>
      <c r="S75" s="483"/>
      <c r="T75" s="483"/>
      <c r="U75" s="483"/>
      <c r="V75" s="483"/>
      <c r="W75" s="483"/>
      <c r="X75" s="483"/>
      <c r="Y75" s="483"/>
      <c r="Z75" s="483"/>
    </row>
    <row r="76" ht="18.0" customHeight="1">
      <c r="A76" s="491">
        <v>43713.0</v>
      </c>
      <c r="B76" s="453" t="s">
        <v>6422</v>
      </c>
      <c r="C76" s="454" t="s">
        <v>6423</v>
      </c>
      <c r="D76" s="454">
        <f>+971564670711</f>
        <v>971564670711</v>
      </c>
      <c r="E76" s="453" t="s">
        <v>6424</v>
      </c>
      <c r="F76" s="455"/>
      <c r="G76" s="455"/>
      <c r="H76" s="481" t="s">
        <v>6336</v>
      </c>
      <c r="I76" s="455"/>
      <c r="J76" s="455"/>
      <c r="K76" s="457" t="s">
        <v>6133</v>
      </c>
      <c r="L76" s="456" t="s">
        <v>574</v>
      </c>
      <c r="M76" s="455"/>
      <c r="N76" s="455"/>
      <c r="O76" s="455"/>
      <c r="P76" s="455"/>
      <c r="Q76" s="455"/>
      <c r="R76" s="455"/>
      <c r="S76" s="455"/>
      <c r="T76" s="455"/>
      <c r="U76" s="455"/>
      <c r="V76" s="455"/>
      <c r="W76" s="455"/>
      <c r="X76" s="455"/>
      <c r="Y76" s="455"/>
      <c r="Z76" s="455"/>
    </row>
    <row r="77">
      <c r="A77" s="491">
        <v>43713.0</v>
      </c>
      <c r="B77" s="453" t="s">
        <v>6425</v>
      </c>
      <c r="C77" s="454" t="s">
        <v>6426</v>
      </c>
      <c r="D77" s="454">
        <f>+971557891578</f>
        <v>971557891578</v>
      </c>
      <c r="E77" s="453" t="s">
        <v>6427</v>
      </c>
      <c r="F77" s="455"/>
      <c r="G77" s="455"/>
      <c r="H77" s="481" t="s">
        <v>6336</v>
      </c>
      <c r="I77" s="455"/>
      <c r="J77" s="455"/>
      <c r="K77" s="457" t="s">
        <v>6133</v>
      </c>
      <c r="L77" s="456" t="s">
        <v>6428</v>
      </c>
      <c r="M77" s="455"/>
      <c r="N77" s="455"/>
      <c r="O77" s="455"/>
      <c r="P77" s="455"/>
      <c r="Q77" s="455"/>
      <c r="R77" s="455"/>
      <c r="S77" s="455"/>
      <c r="T77" s="455"/>
      <c r="U77" s="455"/>
      <c r="V77" s="455"/>
      <c r="W77" s="455"/>
      <c r="X77" s="455"/>
      <c r="Y77" s="455"/>
      <c r="Z77" s="455"/>
    </row>
    <row r="78">
      <c r="A78" s="491">
        <v>43713.0</v>
      </c>
      <c r="B78" s="512" t="s">
        <v>6429</v>
      </c>
      <c r="C78" s="513" t="s">
        <v>6430</v>
      </c>
      <c r="D78" s="513">
        <f>+971506995873</f>
        <v>971506995873</v>
      </c>
      <c r="E78" s="512" t="s">
        <v>6431</v>
      </c>
      <c r="F78" s="514"/>
      <c r="G78" s="514"/>
      <c r="H78" s="515" t="s">
        <v>6336</v>
      </c>
      <c r="I78" s="514"/>
      <c r="J78" s="514"/>
      <c r="K78" s="516" t="s">
        <v>6133</v>
      </c>
      <c r="L78" s="517" t="s">
        <v>6432</v>
      </c>
      <c r="M78" s="455"/>
      <c r="N78" s="455"/>
      <c r="O78" s="455"/>
      <c r="P78" s="455"/>
      <c r="Q78" s="455"/>
      <c r="R78" s="455"/>
      <c r="S78" s="455"/>
      <c r="T78" s="455"/>
      <c r="U78" s="455"/>
      <c r="V78" s="455"/>
      <c r="W78" s="455"/>
      <c r="X78" s="455"/>
      <c r="Y78" s="455"/>
      <c r="Z78" s="455"/>
    </row>
    <row r="79" ht="20.25" customHeight="1">
      <c r="A79" s="491">
        <v>43713.0</v>
      </c>
      <c r="B79" s="453" t="s">
        <v>6433</v>
      </c>
      <c r="C79" s="454" t="s">
        <v>6434</v>
      </c>
      <c r="D79" s="454">
        <f>+447505010882</f>
        <v>447505010882</v>
      </c>
      <c r="E79" s="453"/>
      <c r="F79" s="455"/>
      <c r="G79" s="455"/>
      <c r="H79" s="487" t="s">
        <v>6251</v>
      </c>
      <c r="I79" s="453" t="s">
        <v>6404</v>
      </c>
      <c r="J79" s="455"/>
      <c r="K79" s="457" t="s">
        <v>6133</v>
      </c>
      <c r="L79" s="456" t="s">
        <v>574</v>
      </c>
      <c r="M79" s="455"/>
      <c r="N79" s="455"/>
      <c r="O79" s="455"/>
      <c r="P79" s="455"/>
      <c r="Q79" s="455"/>
      <c r="R79" s="455"/>
      <c r="S79" s="455"/>
      <c r="T79" s="455"/>
      <c r="U79" s="455"/>
      <c r="V79" s="455"/>
      <c r="W79" s="455"/>
      <c r="X79" s="455"/>
      <c r="Y79" s="455"/>
      <c r="Z79" s="455"/>
    </row>
    <row r="80" ht="18.0" customHeight="1">
      <c r="A80" s="491">
        <v>43713.0</v>
      </c>
      <c r="B80" s="453" t="s">
        <v>6435</v>
      </c>
      <c r="C80" s="453" t="s">
        <v>6436</v>
      </c>
      <c r="D80" s="474" t="s">
        <v>6437</v>
      </c>
      <c r="E80" s="453"/>
      <c r="F80" s="455"/>
      <c r="G80" s="455"/>
      <c r="H80" s="453" t="s">
        <v>6438</v>
      </c>
      <c r="I80" s="455"/>
      <c r="J80" s="455"/>
      <c r="K80" s="457" t="s">
        <v>6133</v>
      </c>
      <c r="L80" s="456" t="s">
        <v>574</v>
      </c>
      <c r="M80" s="455"/>
      <c r="N80" s="455"/>
      <c r="O80" s="455"/>
      <c r="P80" s="455"/>
      <c r="Q80" s="455"/>
      <c r="R80" s="455"/>
      <c r="S80" s="455"/>
      <c r="T80" s="455"/>
      <c r="U80" s="455"/>
      <c r="V80" s="455"/>
      <c r="W80" s="455"/>
      <c r="X80" s="455"/>
      <c r="Y80" s="455"/>
      <c r="Z80" s="455"/>
    </row>
    <row r="81">
      <c r="A81" s="491">
        <v>43713.0</v>
      </c>
      <c r="B81" s="503" t="s">
        <v>6439</v>
      </c>
      <c r="C81" s="518" t="s">
        <v>6440</v>
      </c>
      <c r="D81" s="519" t="s">
        <v>6441</v>
      </c>
      <c r="E81" s="453"/>
      <c r="F81" s="455"/>
      <c r="G81" s="455"/>
      <c r="H81" s="487" t="s">
        <v>6336</v>
      </c>
      <c r="I81" s="455"/>
      <c r="J81" s="455"/>
      <c r="K81" s="457" t="s">
        <v>6133</v>
      </c>
      <c r="L81" s="456" t="s">
        <v>168</v>
      </c>
      <c r="M81" s="455"/>
      <c r="N81" s="455"/>
      <c r="O81" s="455"/>
      <c r="P81" s="455"/>
      <c r="Q81" s="455"/>
      <c r="R81" s="455"/>
      <c r="S81" s="455"/>
      <c r="T81" s="455"/>
      <c r="U81" s="455"/>
      <c r="V81" s="455"/>
      <c r="W81" s="455"/>
      <c r="X81" s="455"/>
      <c r="Y81" s="455"/>
      <c r="Z81" s="455"/>
    </row>
    <row r="82">
      <c r="A82" s="491">
        <v>43713.0</v>
      </c>
      <c r="B82" s="453" t="s">
        <v>6442</v>
      </c>
      <c r="C82" s="454" t="s">
        <v>6443</v>
      </c>
      <c r="D82" s="454">
        <f>+971555883823</f>
        <v>971555883823</v>
      </c>
      <c r="E82" s="453" t="s">
        <v>6444</v>
      </c>
      <c r="F82" s="455"/>
      <c r="G82" s="455"/>
      <c r="H82" s="487" t="s">
        <v>6336</v>
      </c>
      <c r="I82" s="455"/>
      <c r="J82" s="455"/>
      <c r="K82" s="457" t="s">
        <v>6133</v>
      </c>
      <c r="L82" s="456" t="s">
        <v>574</v>
      </c>
      <c r="M82" s="455"/>
      <c r="N82" s="455"/>
      <c r="O82" s="455"/>
      <c r="P82" s="455"/>
      <c r="Q82" s="455"/>
      <c r="R82" s="455"/>
      <c r="S82" s="455"/>
      <c r="T82" s="455"/>
      <c r="U82" s="455"/>
      <c r="V82" s="455"/>
      <c r="W82" s="455"/>
      <c r="X82" s="455"/>
      <c r="Y82" s="455"/>
      <c r="Z82" s="455"/>
    </row>
    <row r="83" ht="19.5" customHeight="1">
      <c r="A83" s="491">
        <v>43714.0</v>
      </c>
      <c r="B83" s="453" t="s">
        <v>6445</v>
      </c>
      <c r="C83" s="454" t="s">
        <v>6446</v>
      </c>
      <c r="D83" s="454">
        <f>+971507260141</f>
        <v>971507260141</v>
      </c>
      <c r="E83" s="455"/>
      <c r="F83" s="455"/>
      <c r="G83" s="455"/>
      <c r="H83" s="481" t="s">
        <v>6447</v>
      </c>
      <c r="I83" s="455"/>
      <c r="J83" s="455"/>
      <c r="K83" s="457" t="s">
        <v>6133</v>
      </c>
      <c r="L83" s="456" t="s">
        <v>168</v>
      </c>
      <c r="M83" s="455"/>
      <c r="N83" s="455"/>
      <c r="O83" s="455"/>
      <c r="P83" s="455"/>
      <c r="Q83" s="455"/>
      <c r="R83" s="455"/>
      <c r="S83" s="455"/>
      <c r="T83" s="455"/>
      <c r="U83" s="455"/>
      <c r="V83" s="455"/>
      <c r="W83" s="455"/>
      <c r="X83" s="455"/>
      <c r="Y83" s="455"/>
      <c r="Z83" s="455"/>
    </row>
    <row r="84" ht="18.0" customHeight="1">
      <c r="A84" s="520">
        <v>43714.0</v>
      </c>
      <c r="B84" s="521" t="s">
        <v>6448</v>
      </c>
      <c r="C84" s="522" t="s">
        <v>6449</v>
      </c>
      <c r="D84" s="522">
        <f>+971504785994</f>
        <v>971504785994</v>
      </c>
      <c r="E84" s="500"/>
      <c r="F84" s="500"/>
      <c r="G84" s="500"/>
      <c r="H84" s="523" t="s">
        <v>6447</v>
      </c>
      <c r="I84" s="500"/>
      <c r="J84" s="500"/>
      <c r="K84" s="524" t="s">
        <v>6133</v>
      </c>
      <c r="L84" s="510" t="s">
        <v>6450</v>
      </c>
      <c r="M84" s="483"/>
      <c r="N84" s="483"/>
      <c r="O84" s="483"/>
      <c r="P84" s="483"/>
      <c r="Q84" s="483"/>
      <c r="R84" s="483"/>
      <c r="S84" s="483"/>
      <c r="T84" s="483"/>
      <c r="U84" s="483"/>
      <c r="V84" s="483"/>
      <c r="W84" s="483"/>
      <c r="X84" s="483"/>
      <c r="Y84" s="483"/>
      <c r="Z84" s="483"/>
    </row>
    <row r="85" ht="18.0" customHeight="1">
      <c r="A85" s="491">
        <v>43715.0</v>
      </c>
      <c r="B85" s="506" t="s">
        <v>6451</v>
      </c>
      <c r="C85" s="513" t="s">
        <v>6452</v>
      </c>
      <c r="D85" s="525" t="s">
        <v>6453</v>
      </c>
      <c r="E85" s="483"/>
      <c r="F85" s="483"/>
      <c r="G85" s="483"/>
      <c r="H85" s="508" t="s">
        <v>6454</v>
      </c>
      <c r="I85" s="483"/>
      <c r="J85" s="483"/>
      <c r="K85" s="509" t="s">
        <v>6133</v>
      </c>
      <c r="L85" s="511" t="s">
        <v>4271</v>
      </c>
      <c r="M85" s="483"/>
      <c r="N85" s="483"/>
      <c r="O85" s="483"/>
      <c r="P85" s="483"/>
      <c r="Q85" s="483"/>
      <c r="R85" s="483"/>
      <c r="S85" s="483"/>
      <c r="T85" s="483"/>
      <c r="U85" s="483"/>
      <c r="V85" s="483"/>
      <c r="W85" s="483"/>
      <c r="X85" s="483"/>
      <c r="Y85" s="483"/>
      <c r="Z85" s="483"/>
    </row>
    <row r="86" ht="19.5" customHeight="1">
      <c r="A86" s="470">
        <v>43715.0</v>
      </c>
      <c r="B86" s="453" t="s">
        <v>6451</v>
      </c>
      <c r="C86" s="513" t="s">
        <v>6452</v>
      </c>
      <c r="D86" s="525" t="s">
        <v>6453</v>
      </c>
      <c r="E86" s="455"/>
      <c r="F86" s="455"/>
      <c r="G86" s="455"/>
      <c r="H86" s="481" t="s">
        <v>6454</v>
      </c>
      <c r="I86" s="455"/>
      <c r="J86" s="455"/>
      <c r="K86" s="457" t="s">
        <v>6133</v>
      </c>
      <c r="L86" s="456" t="s">
        <v>6455</v>
      </c>
      <c r="M86" s="455"/>
      <c r="N86" s="455"/>
      <c r="O86" s="455"/>
      <c r="P86" s="455"/>
      <c r="Q86" s="455"/>
      <c r="R86" s="455"/>
      <c r="S86" s="455"/>
      <c r="T86" s="455"/>
      <c r="U86" s="455"/>
      <c r="V86" s="455"/>
      <c r="W86" s="455"/>
      <c r="X86" s="455"/>
      <c r="Y86" s="455"/>
      <c r="Z86" s="455"/>
    </row>
    <row r="87">
      <c r="A87" s="470">
        <v>43715.0</v>
      </c>
      <c r="B87" s="453" t="s">
        <v>6456</v>
      </c>
      <c r="C87" s="454" t="s">
        <v>6457</v>
      </c>
      <c r="D87" s="454">
        <f>+962799419810</f>
        <v>962799419810</v>
      </c>
      <c r="E87" s="455"/>
      <c r="F87" s="455"/>
      <c r="G87" s="455"/>
      <c r="H87" s="481" t="s">
        <v>6251</v>
      </c>
      <c r="I87" s="455"/>
      <c r="J87" s="455"/>
      <c r="K87" s="457" t="s">
        <v>6133</v>
      </c>
      <c r="L87" s="456" t="s">
        <v>6458</v>
      </c>
      <c r="M87" s="455"/>
      <c r="N87" s="455"/>
      <c r="O87" s="455"/>
      <c r="P87" s="455"/>
      <c r="Q87" s="455"/>
      <c r="R87" s="455"/>
      <c r="S87" s="455"/>
      <c r="T87" s="455"/>
      <c r="U87" s="455"/>
      <c r="V87" s="455"/>
      <c r="W87" s="455"/>
      <c r="X87" s="455"/>
      <c r="Y87" s="455"/>
      <c r="Z87" s="455"/>
    </row>
    <row r="88">
      <c r="A88" s="470">
        <v>43715.0</v>
      </c>
      <c r="B88" s="453" t="s">
        <v>6459</v>
      </c>
      <c r="C88" s="454" t="s">
        <v>6460</v>
      </c>
      <c r="D88" s="454">
        <f>+15862879923</f>
        <v>15862879923</v>
      </c>
      <c r="E88" s="455"/>
      <c r="F88" s="455"/>
      <c r="G88" s="455"/>
      <c r="H88" s="481" t="s">
        <v>6324</v>
      </c>
      <c r="I88" s="455"/>
      <c r="J88" s="455"/>
      <c r="K88" s="457" t="s">
        <v>6133</v>
      </c>
      <c r="L88" s="456" t="s">
        <v>251</v>
      </c>
      <c r="M88" s="455"/>
      <c r="N88" s="455"/>
      <c r="O88" s="455"/>
      <c r="P88" s="455"/>
      <c r="Q88" s="455"/>
      <c r="R88" s="455"/>
      <c r="S88" s="455"/>
      <c r="T88" s="455"/>
      <c r="U88" s="455"/>
      <c r="V88" s="455"/>
      <c r="W88" s="455"/>
      <c r="X88" s="455"/>
      <c r="Y88" s="455"/>
      <c r="Z88" s="455"/>
    </row>
    <row r="89">
      <c r="A89" s="470">
        <v>43715.0</v>
      </c>
      <c r="B89" s="453" t="s">
        <v>6461</v>
      </c>
      <c r="C89" s="454" t="s">
        <v>6462</v>
      </c>
      <c r="D89" s="454">
        <f>+27729850462</f>
        <v>27729850462</v>
      </c>
      <c r="E89" s="455"/>
      <c r="F89" s="455"/>
      <c r="G89" s="455"/>
      <c r="H89" s="481" t="s">
        <v>6324</v>
      </c>
      <c r="I89" s="455"/>
      <c r="J89" s="455"/>
      <c r="K89" s="457" t="s">
        <v>6133</v>
      </c>
      <c r="L89" s="456" t="s">
        <v>574</v>
      </c>
      <c r="M89" s="455"/>
      <c r="N89" s="455"/>
      <c r="O89" s="455"/>
      <c r="P89" s="455"/>
      <c r="Q89" s="455"/>
      <c r="R89" s="455"/>
      <c r="S89" s="455"/>
      <c r="T89" s="455"/>
      <c r="U89" s="455"/>
      <c r="V89" s="455"/>
      <c r="W89" s="455"/>
      <c r="X89" s="455"/>
      <c r="Y89" s="455"/>
      <c r="Z89" s="455"/>
    </row>
    <row r="90">
      <c r="A90" s="470">
        <v>43716.0</v>
      </c>
      <c r="B90" s="453" t="s">
        <v>6463</v>
      </c>
      <c r="C90" s="454" t="s">
        <v>6464</v>
      </c>
      <c r="D90" s="458" t="s">
        <v>6465</v>
      </c>
      <c r="E90" s="455"/>
      <c r="F90" s="455"/>
      <c r="G90" s="455"/>
      <c r="H90" s="481" t="s">
        <v>6466</v>
      </c>
      <c r="I90" s="455"/>
      <c r="J90" s="455"/>
      <c r="K90" s="457" t="s">
        <v>6133</v>
      </c>
      <c r="L90" s="456" t="s">
        <v>6467</v>
      </c>
      <c r="M90" s="455"/>
      <c r="N90" s="455"/>
      <c r="O90" s="455"/>
      <c r="P90" s="455"/>
      <c r="Q90" s="455"/>
      <c r="R90" s="455"/>
      <c r="S90" s="455"/>
      <c r="T90" s="455"/>
      <c r="U90" s="455"/>
      <c r="V90" s="455"/>
      <c r="W90" s="455"/>
      <c r="X90" s="455"/>
      <c r="Y90" s="455"/>
      <c r="Z90" s="455"/>
    </row>
    <row r="91">
      <c r="A91" s="470">
        <v>43717.0</v>
      </c>
      <c r="B91" s="526" t="s">
        <v>3280</v>
      </c>
      <c r="C91" s="527" t="s">
        <v>3281</v>
      </c>
      <c r="D91" s="528" t="s">
        <v>3282</v>
      </c>
      <c r="E91" s="462"/>
      <c r="F91" s="462"/>
      <c r="G91" s="462"/>
      <c r="H91" s="480"/>
      <c r="I91" s="462"/>
      <c r="J91" s="462"/>
      <c r="K91" s="463" t="s">
        <v>6133</v>
      </c>
      <c r="L91" s="476" t="s">
        <v>6468</v>
      </c>
      <c r="M91" s="455"/>
      <c r="N91" s="455"/>
      <c r="O91" s="455"/>
      <c r="P91" s="455"/>
      <c r="Q91" s="455"/>
      <c r="R91" s="455"/>
      <c r="S91" s="455"/>
      <c r="T91" s="455"/>
      <c r="U91" s="455"/>
      <c r="V91" s="455"/>
      <c r="W91" s="455"/>
      <c r="X91" s="455"/>
      <c r="Y91" s="455"/>
      <c r="Z91" s="455"/>
    </row>
    <row r="92">
      <c r="A92" s="470">
        <v>43717.0</v>
      </c>
      <c r="B92" s="529" t="s">
        <v>3283</v>
      </c>
      <c r="C92" s="501" t="s">
        <v>3284</v>
      </c>
      <c r="D92" s="502" t="s">
        <v>3285</v>
      </c>
      <c r="E92" s="455"/>
      <c r="F92" s="455"/>
      <c r="G92" s="455"/>
      <c r="H92" s="481"/>
      <c r="I92" s="453" t="s">
        <v>6469</v>
      </c>
      <c r="J92" s="455"/>
      <c r="K92" s="457" t="s">
        <v>6133</v>
      </c>
      <c r="L92" s="456" t="s">
        <v>574</v>
      </c>
      <c r="M92" s="455"/>
      <c r="N92" s="455"/>
      <c r="O92" s="455"/>
      <c r="P92" s="455"/>
      <c r="Q92" s="455"/>
      <c r="R92" s="455"/>
      <c r="S92" s="455"/>
      <c r="T92" s="455"/>
      <c r="U92" s="455"/>
      <c r="V92" s="455"/>
      <c r="W92" s="455"/>
      <c r="X92" s="455"/>
      <c r="Y92" s="455"/>
      <c r="Z92" s="455"/>
    </row>
    <row r="93">
      <c r="A93" s="470">
        <v>43717.0</v>
      </c>
      <c r="B93" s="453" t="s">
        <v>6470</v>
      </c>
      <c r="C93" s="454" t="s">
        <v>6471</v>
      </c>
      <c r="D93" s="454">
        <f>+966568074049</f>
        <v>966568074049</v>
      </c>
      <c r="E93" s="455"/>
      <c r="F93" s="455"/>
      <c r="G93" s="455"/>
      <c r="H93" s="481" t="s">
        <v>6472</v>
      </c>
      <c r="I93" s="455"/>
      <c r="J93" s="455"/>
      <c r="K93" s="457" t="s">
        <v>6133</v>
      </c>
      <c r="L93" s="456" t="s">
        <v>4271</v>
      </c>
      <c r="M93" s="455"/>
      <c r="N93" s="455"/>
      <c r="O93" s="455"/>
      <c r="P93" s="455"/>
      <c r="Q93" s="455"/>
      <c r="R93" s="455"/>
      <c r="S93" s="455"/>
      <c r="T93" s="455"/>
      <c r="U93" s="455"/>
      <c r="V93" s="455"/>
      <c r="W93" s="455"/>
      <c r="X93" s="455"/>
      <c r="Y93" s="455"/>
      <c r="Z93" s="455"/>
    </row>
    <row r="94" ht="18.0" customHeight="1">
      <c r="A94" s="470">
        <v>43718.0</v>
      </c>
      <c r="B94" s="453" t="s">
        <v>6473</v>
      </c>
      <c r="C94" s="454" t="s">
        <v>6474</v>
      </c>
      <c r="D94" s="454">
        <f>+447930452856</f>
        <v>447930452856</v>
      </c>
      <c r="E94" s="455"/>
      <c r="F94" s="455"/>
      <c r="G94" s="455"/>
      <c r="H94" s="481" t="s">
        <v>6251</v>
      </c>
      <c r="I94" s="453" t="s">
        <v>6404</v>
      </c>
      <c r="J94" s="455"/>
      <c r="K94" s="457" t="s">
        <v>6133</v>
      </c>
      <c r="L94" s="456" t="s">
        <v>574</v>
      </c>
      <c r="M94" s="455"/>
      <c r="N94" s="455"/>
      <c r="O94" s="455"/>
      <c r="P94" s="455"/>
      <c r="Q94" s="455"/>
      <c r="R94" s="455"/>
      <c r="S94" s="455"/>
      <c r="T94" s="455"/>
      <c r="U94" s="455"/>
      <c r="V94" s="455"/>
      <c r="W94" s="455"/>
      <c r="X94" s="455"/>
      <c r="Y94" s="455"/>
      <c r="Z94" s="455"/>
    </row>
    <row r="95" ht="18.0" customHeight="1">
      <c r="A95" s="470">
        <v>43719.0</v>
      </c>
      <c r="B95" s="460" t="s">
        <v>6475</v>
      </c>
      <c r="C95" s="461" t="s">
        <v>6476</v>
      </c>
      <c r="D95" s="461">
        <f>+9710564150377</f>
        <v>9710564150377</v>
      </c>
      <c r="E95" s="462"/>
      <c r="F95" s="462"/>
      <c r="G95" s="462"/>
      <c r="H95" s="480" t="s">
        <v>3638</v>
      </c>
      <c r="I95" s="462"/>
      <c r="J95" s="462"/>
      <c r="K95" s="463" t="s">
        <v>6133</v>
      </c>
      <c r="L95" s="530" t="s">
        <v>6477</v>
      </c>
      <c r="M95" s="455"/>
      <c r="N95" s="455"/>
      <c r="O95" s="455"/>
      <c r="P95" s="455"/>
      <c r="Q95" s="455"/>
      <c r="R95" s="455"/>
      <c r="S95" s="455"/>
      <c r="T95" s="455"/>
      <c r="U95" s="455"/>
      <c r="V95" s="455"/>
      <c r="W95" s="455"/>
      <c r="X95" s="455"/>
      <c r="Y95" s="455"/>
      <c r="Z95" s="455"/>
    </row>
    <row r="96" ht="19.5" customHeight="1">
      <c r="A96" s="491">
        <v>43720.0</v>
      </c>
      <c r="B96" s="529" t="s">
        <v>6478</v>
      </c>
      <c r="C96" s="531" t="s">
        <v>6479</v>
      </c>
      <c r="D96" s="532">
        <v>9.71558441553E11</v>
      </c>
      <c r="E96" s="483"/>
      <c r="F96" s="483"/>
      <c r="G96" s="483"/>
      <c r="H96" s="533" t="s">
        <v>2999</v>
      </c>
      <c r="I96" s="506" t="s">
        <v>6404</v>
      </c>
      <c r="J96" s="483"/>
      <c r="K96" s="509" t="s">
        <v>6133</v>
      </c>
      <c r="L96" s="511" t="s">
        <v>4589</v>
      </c>
      <c r="M96" s="483"/>
      <c r="N96" s="483"/>
      <c r="O96" s="483"/>
      <c r="P96" s="483"/>
      <c r="Q96" s="483"/>
      <c r="R96" s="483"/>
      <c r="S96" s="483"/>
      <c r="T96" s="483"/>
      <c r="U96" s="483"/>
      <c r="V96" s="483"/>
      <c r="W96" s="483"/>
      <c r="X96" s="483"/>
      <c r="Y96" s="483"/>
      <c r="Z96" s="483"/>
    </row>
    <row r="97" ht="21.0" customHeight="1">
      <c r="A97" s="491">
        <v>43720.0</v>
      </c>
      <c r="B97" s="529" t="s">
        <v>6480</v>
      </c>
      <c r="C97" s="531" t="s">
        <v>6481</v>
      </c>
      <c r="D97" s="532">
        <f>+971559753999</f>
        <v>971559753999</v>
      </c>
      <c r="E97" s="483"/>
      <c r="F97" s="506" t="s">
        <v>168</v>
      </c>
      <c r="G97" s="483"/>
      <c r="H97" s="533" t="s">
        <v>2999</v>
      </c>
      <c r="I97" s="506" t="s">
        <v>6404</v>
      </c>
      <c r="J97" s="483"/>
      <c r="K97" s="509" t="s">
        <v>6133</v>
      </c>
      <c r="L97" s="511" t="s">
        <v>4589</v>
      </c>
      <c r="M97" s="483"/>
      <c r="N97" s="483"/>
      <c r="O97" s="483"/>
      <c r="P97" s="483"/>
      <c r="Q97" s="483"/>
      <c r="R97" s="483"/>
      <c r="S97" s="483"/>
      <c r="T97" s="483"/>
      <c r="U97" s="483"/>
      <c r="V97" s="483"/>
      <c r="W97" s="483"/>
      <c r="X97" s="483"/>
      <c r="Y97" s="483"/>
      <c r="Z97" s="483"/>
    </row>
    <row r="98" ht="19.5" customHeight="1">
      <c r="A98" s="491">
        <v>43722.0</v>
      </c>
      <c r="B98" s="506" t="s">
        <v>6482</v>
      </c>
      <c r="C98" s="507" t="s">
        <v>6483</v>
      </c>
      <c r="D98" s="507">
        <f>+966544771051</f>
        <v>966544771051</v>
      </c>
      <c r="E98" s="483"/>
      <c r="F98" s="483"/>
      <c r="G98" s="483"/>
      <c r="H98" s="515" t="s">
        <v>6251</v>
      </c>
      <c r="I98" s="483"/>
      <c r="J98" s="483"/>
      <c r="K98" s="509" t="s">
        <v>6133</v>
      </c>
      <c r="L98" s="511" t="s">
        <v>4589</v>
      </c>
      <c r="M98" s="483"/>
      <c r="N98" s="483"/>
      <c r="O98" s="483"/>
      <c r="P98" s="483"/>
      <c r="Q98" s="483"/>
      <c r="R98" s="483"/>
      <c r="S98" s="483"/>
      <c r="T98" s="483"/>
      <c r="U98" s="483"/>
      <c r="V98" s="483"/>
      <c r="W98" s="483"/>
      <c r="X98" s="483"/>
      <c r="Y98" s="483"/>
      <c r="Z98" s="483"/>
    </row>
    <row r="99" ht="19.5" customHeight="1">
      <c r="A99" s="507" t="s">
        <v>6484</v>
      </c>
      <c r="B99" s="506" t="s">
        <v>6485</v>
      </c>
      <c r="C99" s="507" t="s">
        <v>6486</v>
      </c>
      <c r="D99" s="507">
        <f>+96599887710</f>
        <v>96599887710</v>
      </c>
      <c r="E99" s="483"/>
      <c r="F99" s="506" t="s">
        <v>168</v>
      </c>
      <c r="G99" s="483"/>
      <c r="H99" s="515" t="s">
        <v>6251</v>
      </c>
      <c r="I99" s="506" t="s">
        <v>6404</v>
      </c>
      <c r="J99" s="483"/>
      <c r="K99" s="509" t="s">
        <v>6133</v>
      </c>
      <c r="L99" s="511" t="s">
        <v>574</v>
      </c>
      <c r="M99" s="483"/>
      <c r="N99" s="483"/>
      <c r="O99" s="483"/>
      <c r="P99" s="483"/>
      <c r="Q99" s="483"/>
      <c r="R99" s="483"/>
      <c r="S99" s="483"/>
      <c r="T99" s="483"/>
      <c r="U99" s="483"/>
      <c r="V99" s="483"/>
      <c r="W99" s="483"/>
      <c r="X99" s="483"/>
      <c r="Y99" s="483"/>
      <c r="Z99" s="483"/>
    </row>
    <row r="100" ht="21.0" customHeight="1">
      <c r="A100" s="454" t="s">
        <v>6487</v>
      </c>
      <c r="B100" s="460" t="s">
        <v>6488</v>
      </c>
      <c r="C100" s="461" t="s">
        <v>6489</v>
      </c>
      <c r="D100" s="461">
        <v>9.71566467845E11</v>
      </c>
      <c r="E100" s="462"/>
      <c r="F100" s="462"/>
      <c r="G100" s="462"/>
      <c r="H100" s="460" t="s">
        <v>6391</v>
      </c>
      <c r="I100" s="462"/>
      <c r="J100" s="462"/>
      <c r="K100" s="463" t="s">
        <v>6133</v>
      </c>
      <c r="L100" s="476" t="s">
        <v>6490</v>
      </c>
      <c r="M100" s="455"/>
      <c r="N100" s="455"/>
      <c r="O100" s="455"/>
      <c r="P100" s="455"/>
      <c r="Q100" s="455"/>
      <c r="R100" s="455"/>
      <c r="S100" s="455"/>
      <c r="T100" s="455"/>
      <c r="U100" s="455"/>
      <c r="V100" s="455"/>
      <c r="W100" s="455"/>
      <c r="X100" s="455"/>
      <c r="Y100" s="455"/>
      <c r="Z100" s="455"/>
    </row>
    <row r="101" ht="18.0" customHeight="1">
      <c r="A101" s="454" t="s">
        <v>6487</v>
      </c>
      <c r="B101" s="471" t="s">
        <v>6488</v>
      </c>
      <c r="C101" s="454" t="s">
        <v>6491</v>
      </c>
      <c r="D101" s="454">
        <v>9.71501521528E11</v>
      </c>
      <c r="E101" s="455"/>
      <c r="F101" s="455"/>
      <c r="G101" s="455"/>
      <c r="H101" s="453" t="s">
        <v>6391</v>
      </c>
      <c r="I101" s="455"/>
      <c r="J101" s="455"/>
      <c r="K101" s="457" t="s">
        <v>6133</v>
      </c>
      <c r="L101" s="455"/>
      <c r="M101" s="455"/>
      <c r="N101" s="455"/>
      <c r="O101" s="455"/>
      <c r="P101" s="455"/>
      <c r="Q101" s="455"/>
      <c r="R101" s="455"/>
      <c r="S101" s="455"/>
      <c r="T101" s="455"/>
      <c r="U101" s="455"/>
      <c r="V101" s="455"/>
      <c r="W101" s="455"/>
      <c r="X101" s="455"/>
      <c r="Y101" s="455"/>
      <c r="Z101" s="455"/>
    </row>
    <row r="102" ht="17.25" customHeight="1">
      <c r="A102" s="454" t="s">
        <v>6487</v>
      </c>
      <c r="B102" s="453" t="s">
        <v>6492</v>
      </c>
      <c r="C102" s="454" t="s">
        <v>6493</v>
      </c>
      <c r="D102" s="454">
        <v>9.71509618246E11</v>
      </c>
      <c r="E102" s="455"/>
      <c r="F102" s="455"/>
      <c r="G102" s="455"/>
      <c r="H102" s="453" t="s">
        <v>6391</v>
      </c>
      <c r="I102" s="455"/>
      <c r="J102" s="455"/>
      <c r="K102" s="457" t="s">
        <v>6133</v>
      </c>
      <c r="L102" s="456" t="s">
        <v>3613</v>
      </c>
      <c r="M102" s="455"/>
      <c r="N102" s="455"/>
      <c r="O102" s="455"/>
      <c r="P102" s="455"/>
      <c r="Q102" s="455"/>
      <c r="R102" s="455"/>
      <c r="S102" s="455"/>
      <c r="T102" s="455"/>
      <c r="U102" s="455"/>
      <c r="V102" s="455"/>
      <c r="W102" s="455"/>
      <c r="X102" s="455"/>
      <c r="Y102" s="455"/>
      <c r="Z102" s="455"/>
    </row>
    <row r="103" ht="19.5" customHeight="1">
      <c r="A103" s="507" t="s">
        <v>6494</v>
      </c>
      <c r="B103" s="506" t="s">
        <v>6495</v>
      </c>
      <c r="C103" s="507" t="s">
        <v>6496</v>
      </c>
      <c r="D103" s="534" t="s">
        <v>6497</v>
      </c>
      <c r="E103" s="483"/>
      <c r="F103" s="506" t="s">
        <v>168</v>
      </c>
      <c r="G103" s="483"/>
      <c r="H103" s="506" t="s">
        <v>6324</v>
      </c>
      <c r="I103" s="506" t="s">
        <v>6404</v>
      </c>
      <c r="J103" s="483"/>
      <c r="K103" s="509" t="s">
        <v>6133</v>
      </c>
      <c r="L103" s="511" t="s">
        <v>168</v>
      </c>
      <c r="M103" s="483"/>
      <c r="N103" s="483"/>
      <c r="O103" s="483"/>
      <c r="P103" s="483"/>
      <c r="Q103" s="483"/>
      <c r="R103" s="483"/>
      <c r="S103" s="483"/>
      <c r="T103" s="483"/>
      <c r="U103" s="483"/>
      <c r="V103" s="483"/>
      <c r="W103" s="483"/>
      <c r="X103" s="483"/>
      <c r="Y103" s="483"/>
      <c r="Z103" s="483"/>
    </row>
    <row r="104" ht="20.25" customHeight="1">
      <c r="A104" s="507" t="s">
        <v>6494</v>
      </c>
      <c r="B104" s="471" t="s">
        <v>6498</v>
      </c>
      <c r="C104" s="535" t="s">
        <v>6499</v>
      </c>
      <c r="D104" s="483"/>
      <c r="E104" s="483"/>
      <c r="F104" s="483"/>
      <c r="G104" s="483"/>
      <c r="H104" s="508" t="s">
        <v>6251</v>
      </c>
      <c r="I104" s="483"/>
      <c r="J104" s="483"/>
      <c r="K104" s="509" t="s">
        <v>6133</v>
      </c>
      <c r="L104" s="511" t="s">
        <v>168</v>
      </c>
      <c r="M104" s="483"/>
      <c r="N104" s="483"/>
      <c r="O104" s="483"/>
      <c r="P104" s="483"/>
      <c r="Q104" s="483"/>
      <c r="R104" s="483"/>
      <c r="S104" s="483"/>
      <c r="T104" s="483"/>
      <c r="U104" s="483"/>
      <c r="V104" s="483"/>
      <c r="W104" s="483"/>
      <c r="X104" s="483"/>
      <c r="Y104" s="483"/>
      <c r="Z104" s="483"/>
    </row>
    <row r="105" ht="18.75" customHeight="1">
      <c r="A105" s="454" t="s">
        <v>6500</v>
      </c>
      <c r="B105" s="453" t="s">
        <v>6501</v>
      </c>
      <c r="C105" s="454" t="s">
        <v>6502</v>
      </c>
      <c r="D105" s="454">
        <f>+971501930193</f>
        <v>971501930193</v>
      </c>
      <c r="E105" s="453" t="s">
        <v>6503</v>
      </c>
      <c r="F105" s="455"/>
      <c r="G105" s="455"/>
      <c r="H105" s="453" t="s">
        <v>6324</v>
      </c>
      <c r="I105" s="453" t="s">
        <v>6404</v>
      </c>
      <c r="J105" s="455"/>
      <c r="K105" s="457" t="s">
        <v>6133</v>
      </c>
      <c r="L105" s="456" t="s">
        <v>168</v>
      </c>
      <c r="M105" s="455"/>
      <c r="N105" s="455"/>
      <c r="O105" s="455"/>
      <c r="P105" s="455"/>
      <c r="Q105" s="455"/>
      <c r="R105" s="455"/>
      <c r="S105" s="455"/>
      <c r="T105" s="455"/>
      <c r="U105" s="455"/>
      <c r="V105" s="455"/>
      <c r="W105" s="455"/>
      <c r="X105" s="455"/>
      <c r="Y105" s="455"/>
      <c r="Z105" s="455"/>
    </row>
    <row r="106" ht="17.25" customHeight="1">
      <c r="A106" s="454" t="s">
        <v>6504</v>
      </c>
      <c r="B106" s="453" t="s">
        <v>6505</v>
      </c>
      <c r="C106" s="454" t="s">
        <v>6506</v>
      </c>
      <c r="D106" s="454">
        <f>+971526462807</f>
        <v>971526462807</v>
      </c>
      <c r="E106" s="453" t="s">
        <v>3697</v>
      </c>
      <c r="F106" s="455"/>
      <c r="G106" s="455"/>
      <c r="H106" s="453" t="s">
        <v>6507</v>
      </c>
      <c r="I106" s="455"/>
      <c r="J106" s="455"/>
      <c r="K106" s="457" t="s">
        <v>6133</v>
      </c>
      <c r="L106" s="456" t="s">
        <v>4589</v>
      </c>
      <c r="M106" s="455"/>
      <c r="N106" s="455"/>
      <c r="O106" s="455"/>
      <c r="P106" s="455"/>
      <c r="Q106" s="455"/>
      <c r="R106" s="455"/>
      <c r="S106" s="455"/>
      <c r="T106" s="455"/>
      <c r="U106" s="455"/>
      <c r="V106" s="455"/>
      <c r="W106" s="455"/>
      <c r="X106" s="455"/>
      <c r="Y106" s="455"/>
      <c r="Z106" s="455"/>
    </row>
    <row r="107">
      <c r="A107" s="454" t="s">
        <v>6504</v>
      </c>
      <c r="B107" s="536" t="s">
        <v>6508</v>
      </c>
      <c r="C107" s="537" t="s">
        <v>6509</v>
      </c>
      <c r="D107" s="538" t="s">
        <v>6510</v>
      </c>
      <c r="E107" s="536"/>
      <c r="F107" s="539"/>
      <c r="G107" s="539"/>
      <c r="H107" s="536" t="s">
        <v>6324</v>
      </c>
      <c r="I107" s="536" t="s">
        <v>6404</v>
      </c>
      <c r="J107" s="539"/>
      <c r="K107" s="540" t="s">
        <v>6133</v>
      </c>
      <c r="L107" s="541" t="s">
        <v>6511</v>
      </c>
      <c r="M107" s="455"/>
      <c r="N107" s="455"/>
      <c r="O107" s="455"/>
      <c r="P107" s="455"/>
      <c r="Q107" s="455"/>
      <c r="R107" s="455"/>
      <c r="S107" s="455"/>
      <c r="T107" s="455"/>
      <c r="U107" s="455"/>
      <c r="V107" s="455"/>
      <c r="W107" s="455"/>
      <c r="X107" s="455"/>
      <c r="Y107" s="455"/>
      <c r="Z107" s="455"/>
    </row>
    <row r="108" ht="18.0" customHeight="1">
      <c r="A108" s="478" t="s">
        <v>6512</v>
      </c>
      <c r="B108" s="453" t="s">
        <v>6513</v>
      </c>
      <c r="C108" s="454" t="s">
        <v>6514</v>
      </c>
      <c r="D108" s="454">
        <f>+966532932248</f>
        <v>966532932248</v>
      </c>
      <c r="E108" s="453" t="s">
        <v>6515</v>
      </c>
      <c r="F108" s="455"/>
      <c r="G108" s="455"/>
      <c r="H108" s="453" t="s">
        <v>6324</v>
      </c>
      <c r="I108" s="453" t="s">
        <v>6516</v>
      </c>
      <c r="J108" s="455"/>
      <c r="K108" s="457" t="s">
        <v>6133</v>
      </c>
      <c r="L108" s="456" t="s">
        <v>168</v>
      </c>
      <c r="M108" s="455"/>
      <c r="N108" s="455"/>
      <c r="O108" s="455"/>
      <c r="P108" s="455"/>
      <c r="Q108" s="455"/>
      <c r="R108" s="455"/>
      <c r="S108" s="455"/>
      <c r="T108" s="455"/>
      <c r="U108" s="455"/>
      <c r="V108" s="455"/>
      <c r="W108" s="455"/>
      <c r="X108" s="455"/>
      <c r="Y108" s="455"/>
      <c r="Z108" s="455"/>
    </row>
    <row r="109">
      <c r="A109" s="525" t="s">
        <v>6512</v>
      </c>
      <c r="B109" s="506" t="s">
        <v>6517</v>
      </c>
      <c r="C109" s="507" t="s">
        <v>6518</v>
      </c>
      <c r="D109" s="534" t="s">
        <v>6519</v>
      </c>
      <c r="E109" s="506"/>
      <c r="F109" s="507" t="s">
        <v>168</v>
      </c>
      <c r="G109" s="483"/>
      <c r="H109" s="506" t="s">
        <v>6520</v>
      </c>
      <c r="I109" s="506"/>
      <c r="J109" s="483"/>
      <c r="K109" s="509" t="s">
        <v>6133</v>
      </c>
      <c r="L109" s="511" t="s">
        <v>168</v>
      </c>
      <c r="M109" s="483"/>
      <c r="N109" s="483"/>
      <c r="O109" s="483"/>
      <c r="P109" s="483"/>
      <c r="Q109" s="483"/>
      <c r="R109" s="483"/>
      <c r="S109" s="483"/>
      <c r="T109" s="483"/>
      <c r="U109" s="483"/>
      <c r="V109" s="483"/>
      <c r="W109" s="483"/>
      <c r="X109" s="483"/>
      <c r="Y109" s="483"/>
      <c r="Z109" s="483"/>
    </row>
    <row r="110">
      <c r="A110" s="478" t="s">
        <v>6512</v>
      </c>
      <c r="B110" s="453" t="s">
        <v>6521</v>
      </c>
      <c r="C110" s="458" t="s">
        <v>6522</v>
      </c>
      <c r="D110" s="458" t="s">
        <v>6523</v>
      </c>
      <c r="E110" s="453"/>
      <c r="F110" s="455"/>
      <c r="G110" s="455"/>
      <c r="H110" s="453" t="s">
        <v>6520</v>
      </c>
      <c r="I110" s="453" t="s">
        <v>6404</v>
      </c>
      <c r="J110" s="455"/>
      <c r="K110" s="457" t="s">
        <v>6133</v>
      </c>
      <c r="L110" s="456" t="s">
        <v>574</v>
      </c>
      <c r="M110" s="455"/>
      <c r="N110" s="455"/>
      <c r="O110" s="455"/>
      <c r="P110" s="455"/>
      <c r="Q110" s="455"/>
      <c r="R110" s="455"/>
      <c r="S110" s="455"/>
      <c r="T110" s="455"/>
      <c r="U110" s="455"/>
      <c r="V110" s="455"/>
      <c r="W110" s="455"/>
      <c r="X110" s="455"/>
      <c r="Y110" s="455"/>
      <c r="Z110" s="455"/>
    </row>
    <row r="111" ht="18.75" customHeight="1">
      <c r="A111" s="478" t="s">
        <v>6524</v>
      </c>
      <c r="B111" s="453" t="s">
        <v>6525</v>
      </c>
      <c r="C111" s="454" t="s">
        <v>6526</v>
      </c>
      <c r="D111" s="458" t="s">
        <v>6527</v>
      </c>
      <c r="E111" s="453" t="s">
        <v>6528</v>
      </c>
      <c r="F111" s="455"/>
      <c r="G111" s="455"/>
      <c r="H111" s="453" t="s">
        <v>6251</v>
      </c>
      <c r="I111" s="453" t="s">
        <v>6404</v>
      </c>
      <c r="J111" s="455"/>
      <c r="K111" s="457" t="s">
        <v>6133</v>
      </c>
      <c r="L111" s="456" t="s">
        <v>168</v>
      </c>
      <c r="M111" s="455"/>
      <c r="N111" s="455"/>
      <c r="O111" s="455"/>
      <c r="P111" s="455"/>
      <c r="Q111" s="455"/>
      <c r="R111" s="455"/>
      <c r="S111" s="455"/>
      <c r="T111" s="455"/>
      <c r="U111" s="455"/>
      <c r="V111" s="455"/>
      <c r="W111" s="455"/>
      <c r="X111" s="455"/>
      <c r="Y111" s="455"/>
      <c r="Z111" s="455"/>
    </row>
    <row r="112">
      <c r="A112" s="478" t="s">
        <v>6524</v>
      </c>
      <c r="B112" s="453" t="s">
        <v>6529</v>
      </c>
      <c r="C112" s="454" t="s">
        <v>6530</v>
      </c>
      <c r="D112" s="458" t="s">
        <v>6531</v>
      </c>
      <c r="E112" s="453"/>
      <c r="F112" s="454"/>
      <c r="G112" s="455"/>
      <c r="H112" s="453" t="s">
        <v>6532</v>
      </c>
      <c r="I112" s="455"/>
      <c r="J112" s="455"/>
      <c r="K112" s="457" t="s">
        <v>6133</v>
      </c>
      <c r="L112" s="456" t="s">
        <v>3613</v>
      </c>
      <c r="M112" s="455"/>
      <c r="N112" s="455"/>
      <c r="O112" s="455"/>
      <c r="P112" s="455"/>
      <c r="Q112" s="455"/>
      <c r="R112" s="455"/>
      <c r="S112" s="455"/>
      <c r="T112" s="455"/>
      <c r="U112" s="455"/>
      <c r="V112" s="455"/>
      <c r="W112" s="455"/>
      <c r="X112" s="455"/>
      <c r="Y112" s="455"/>
      <c r="Z112" s="455"/>
    </row>
    <row r="113">
      <c r="A113" s="478" t="s">
        <v>6524</v>
      </c>
      <c r="B113" s="453" t="s">
        <v>6533</v>
      </c>
      <c r="C113" s="454" t="s">
        <v>6534</v>
      </c>
      <c r="D113" s="454">
        <v>5.5902116E8</v>
      </c>
      <c r="E113" s="453"/>
      <c r="F113" s="455"/>
      <c r="G113" s="455"/>
      <c r="H113" s="453" t="s">
        <v>3652</v>
      </c>
      <c r="I113" s="455"/>
      <c r="J113" s="455"/>
      <c r="K113" s="457" t="s">
        <v>6133</v>
      </c>
      <c r="L113" s="456" t="s">
        <v>3613</v>
      </c>
      <c r="M113" s="455"/>
      <c r="N113" s="455"/>
      <c r="O113" s="455"/>
      <c r="P113" s="455"/>
      <c r="Q113" s="455"/>
      <c r="R113" s="455"/>
      <c r="S113" s="455"/>
      <c r="T113" s="455"/>
      <c r="U113" s="455"/>
      <c r="V113" s="455"/>
      <c r="W113" s="455"/>
      <c r="X113" s="455"/>
      <c r="Y113" s="455"/>
      <c r="Z113" s="455"/>
    </row>
    <row r="114">
      <c r="A114" s="478" t="s">
        <v>6524</v>
      </c>
      <c r="B114" s="453" t="s">
        <v>6535</v>
      </c>
      <c r="C114" s="454" t="s">
        <v>6536</v>
      </c>
      <c r="D114" s="458" t="s">
        <v>6537</v>
      </c>
      <c r="E114" s="453"/>
      <c r="F114" s="455"/>
      <c r="G114" s="455"/>
      <c r="H114" s="453" t="s">
        <v>6251</v>
      </c>
      <c r="I114" s="455"/>
      <c r="J114" s="455"/>
      <c r="K114" s="457" t="s">
        <v>6133</v>
      </c>
      <c r="L114" s="456" t="s">
        <v>6538</v>
      </c>
      <c r="M114" s="455"/>
      <c r="N114" s="455"/>
      <c r="O114" s="455"/>
      <c r="P114" s="455"/>
      <c r="Q114" s="455"/>
      <c r="R114" s="455"/>
      <c r="S114" s="455"/>
      <c r="T114" s="455"/>
      <c r="U114" s="455"/>
      <c r="V114" s="455"/>
      <c r="W114" s="455"/>
      <c r="X114" s="455"/>
      <c r="Y114" s="455"/>
      <c r="Z114" s="455"/>
    </row>
    <row r="115" ht="20.25" customHeight="1">
      <c r="A115" s="478" t="s">
        <v>6524</v>
      </c>
      <c r="B115" s="453" t="s">
        <v>6539</v>
      </c>
      <c r="C115" s="454" t="s">
        <v>6359</v>
      </c>
      <c r="D115" s="454">
        <f>+9660504552493</f>
        <v>9660504552493</v>
      </c>
      <c r="E115" s="453" t="s">
        <v>6503</v>
      </c>
      <c r="F115" s="455"/>
      <c r="G115" s="455"/>
      <c r="H115" s="453" t="s">
        <v>6540</v>
      </c>
      <c r="I115" s="453" t="s">
        <v>6404</v>
      </c>
      <c r="J115" s="455"/>
      <c r="K115" s="457" t="s">
        <v>6133</v>
      </c>
      <c r="L115" s="456" t="s">
        <v>172</v>
      </c>
      <c r="M115" s="455"/>
      <c r="N115" s="455"/>
      <c r="O115" s="455"/>
      <c r="P115" s="455"/>
      <c r="Q115" s="455"/>
      <c r="R115" s="455"/>
      <c r="S115" s="455"/>
      <c r="T115" s="455"/>
      <c r="U115" s="455"/>
      <c r="V115" s="455"/>
      <c r="W115" s="455"/>
      <c r="X115" s="455"/>
      <c r="Y115" s="455"/>
      <c r="Z115" s="455"/>
    </row>
    <row r="116" ht="20.25" customHeight="1">
      <c r="A116" s="478" t="s">
        <v>6524</v>
      </c>
      <c r="B116" s="453" t="s">
        <v>6541</v>
      </c>
      <c r="C116" s="454" t="s">
        <v>6542</v>
      </c>
      <c r="D116" s="454">
        <f>+9710551087512</f>
        <v>9710551087512</v>
      </c>
      <c r="E116" s="453" t="s">
        <v>6515</v>
      </c>
      <c r="F116" s="455"/>
      <c r="G116" s="455"/>
      <c r="H116" s="453" t="s">
        <v>6540</v>
      </c>
      <c r="I116" s="453" t="s">
        <v>6404</v>
      </c>
      <c r="J116" s="455"/>
      <c r="K116" s="457" t="s">
        <v>6133</v>
      </c>
      <c r="L116" s="456" t="s">
        <v>168</v>
      </c>
      <c r="M116" s="455"/>
      <c r="N116" s="455"/>
      <c r="O116" s="455"/>
      <c r="P116" s="455"/>
      <c r="Q116" s="455"/>
      <c r="R116" s="455"/>
      <c r="S116" s="455"/>
      <c r="T116" s="455"/>
      <c r="U116" s="455"/>
      <c r="V116" s="455"/>
      <c r="W116" s="455"/>
      <c r="X116" s="455"/>
      <c r="Y116" s="455"/>
      <c r="Z116" s="455"/>
    </row>
    <row r="117">
      <c r="A117" s="470" t="s">
        <v>6543</v>
      </c>
      <c r="B117" s="468" t="s">
        <v>6544</v>
      </c>
      <c r="C117" s="469" t="s">
        <v>6545</v>
      </c>
      <c r="D117" s="469">
        <v>9.6872223789E10</v>
      </c>
      <c r="E117" s="455"/>
      <c r="F117" s="455"/>
      <c r="G117" s="455"/>
      <c r="H117" s="512" t="s">
        <v>3576</v>
      </c>
      <c r="I117" s="455"/>
      <c r="J117" s="455"/>
      <c r="K117" s="457" t="s">
        <v>6133</v>
      </c>
      <c r="L117" s="456" t="s">
        <v>251</v>
      </c>
      <c r="M117" s="455"/>
      <c r="N117" s="455"/>
      <c r="O117" s="455"/>
      <c r="P117" s="455"/>
      <c r="Q117" s="455"/>
      <c r="R117" s="455"/>
      <c r="S117" s="455"/>
      <c r="T117" s="455"/>
      <c r="U117" s="455"/>
      <c r="V117" s="455"/>
      <c r="W117" s="455"/>
      <c r="X117" s="455"/>
      <c r="Y117" s="455"/>
      <c r="Z117" s="455"/>
    </row>
    <row r="118" ht="19.5" customHeight="1">
      <c r="A118" s="458" t="s">
        <v>6546</v>
      </c>
      <c r="B118" s="453" t="s">
        <v>6547</v>
      </c>
      <c r="C118" s="454" t="s">
        <v>6548</v>
      </c>
      <c r="D118" s="454">
        <f>+96599543576</f>
        <v>96599543576</v>
      </c>
      <c r="E118" s="453" t="s">
        <v>6503</v>
      </c>
      <c r="F118" s="455"/>
      <c r="G118" s="455"/>
      <c r="H118" s="453" t="s">
        <v>3763</v>
      </c>
      <c r="I118" s="453"/>
      <c r="J118" s="455"/>
      <c r="K118" s="457" t="s">
        <v>6133</v>
      </c>
      <c r="L118" s="542" t="s">
        <v>6549</v>
      </c>
      <c r="M118" s="454"/>
      <c r="N118" s="454"/>
      <c r="O118" s="454"/>
      <c r="P118" s="455"/>
      <c r="Q118" s="454"/>
      <c r="R118" s="454"/>
      <c r="S118" s="455"/>
      <c r="T118" s="455"/>
      <c r="U118" s="455"/>
      <c r="V118" s="455"/>
      <c r="W118" s="455"/>
      <c r="X118" s="455"/>
      <c r="Y118" s="455"/>
      <c r="Z118" s="455"/>
    </row>
    <row r="119">
      <c r="A119" s="458" t="s">
        <v>6546</v>
      </c>
      <c r="B119" s="453" t="s">
        <v>6550</v>
      </c>
      <c r="C119" s="454" t="s">
        <v>6551</v>
      </c>
      <c r="D119" s="458" t="s">
        <v>6552</v>
      </c>
      <c r="E119" s="453"/>
      <c r="F119" s="455"/>
      <c r="G119" s="455"/>
      <c r="H119" s="453" t="s">
        <v>6553</v>
      </c>
      <c r="I119" s="453"/>
      <c r="J119" s="455"/>
      <c r="K119" s="457" t="s">
        <v>6133</v>
      </c>
      <c r="L119" s="542" t="s">
        <v>979</v>
      </c>
      <c r="M119" s="454"/>
      <c r="N119" s="454"/>
      <c r="O119" s="454"/>
      <c r="P119" s="455"/>
      <c r="Q119" s="454"/>
      <c r="R119" s="454"/>
      <c r="S119" s="455"/>
      <c r="T119" s="455"/>
      <c r="U119" s="455"/>
      <c r="V119" s="455"/>
      <c r="W119" s="455"/>
      <c r="X119" s="455"/>
      <c r="Y119" s="455"/>
      <c r="Z119" s="455"/>
    </row>
    <row r="120" ht="16.5" customHeight="1">
      <c r="A120" s="534" t="s">
        <v>6546</v>
      </c>
      <c r="B120" s="506" t="s">
        <v>6554</v>
      </c>
      <c r="C120" s="507" t="s">
        <v>942</v>
      </c>
      <c r="D120" s="507">
        <f>+971545253184</f>
        <v>971545253184</v>
      </c>
      <c r="E120" s="506" t="s">
        <v>6515</v>
      </c>
      <c r="F120" s="483"/>
      <c r="G120" s="483"/>
      <c r="H120" s="506" t="s">
        <v>6324</v>
      </c>
      <c r="I120" s="506" t="s">
        <v>6555</v>
      </c>
      <c r="J120" s="483"/>
      <c r="K120" s="509" t="s">
        <v>6133</v>
      </c>
      <c r="L120" s="543" t="s">
        <v>251</v>
      </c>
      <c r="M120" s="507"/>
      <c r="N120" s="507"/>
      <c r="O120" s="507"/>
      <c r="P120" s="483"/>
      <c r="Q120" s="507"/>
      <c r="R120" s="507"/>
      <c r="S120" s="483"/>
      <c r="T120" s="483"/>
      <c r="U120" s="483"/>
      <c r="V120" s="483"/>
      <c r="W120" s="483"/>
      <c r="X120" s="483"/>
      <c r="Y120" s="483"/>
      <c r="Z120" s="483"/>
    </row>
    <row r="121" ht="16.5" customHeight="1">
      <c r="A121" s="458" t="s">
        <v>6556</v>
      </c>
      <c r="B121" s="460" t="s">
        <v>2453</v>
      </c>
      <c r="C121" s="461" t="s">
        <v>6557</v>
      </c>
      <c r="D121" s="475" t="s">
        <v>6558</v>
      </c>
      <c r="E121" s="460" t="s">
        <v>6559</v>
      </c>
      <c r="F121" s="462"/>
      <c r="G121" s="462"/>
      <c r="H121" s="460" t="s">
        <v>3662</v>
      </c>
      <c r="I121" s="460" t="s">
        <v>6404</v>
      </c>
      <c r="J121" s="462"/>
      <c r="K121" s="463" t="s">
        <v>6133</v>
      </c>
      <c r="L121" s="544" t="s">
        <v>6560</v>
      </c>
      <c r="M121" s="454"/>
      <c r="N121" s="454"/>
      <c r="O121" s="454"/>
      <c r="P121" s="455"/>
      <c r="Q121" s="454"/>
      <c r="R121" s="454"/>
      <c r="S121" s="455"/>
      <c r="T121" s="455"/>
      <c r="U121" s="455"/>
      <c r="V121" s="455"/>
      <c r="W121" s="455"/>
      <c r="X121" s="455"/>
      <c r="Y121" s="455"/>
      <c r="Z121" s="455"/>
    </row>
    <row r="122" ht="15.75" customHeight="1">
      <c r="A122" s="458" t="s">
        <v>6556</v>
      </c>
      <c r="B122" s="536" t="s">
        <v>6561</v>
      </c>
      <c r="C122" s="537" t="s">
        <v>6562</v>
      </c>
      <c r="D122" s="537">
        <f>+447506333657</f>
        <v>447506333657</v>
      </c>
      <c r="E122" s="536" t="s">
        <v>3697</v>
      </c>
      <c r="F122" s="539"/>
      <c r="G122" s="539"/>
      <c r="H122" s="536" t="s">
        <v>3662</v>
      </c>
      <c r="I122" s="536" t="s">
        <v>6404</v>
      </c>
      <c r="J122" s="536"/>
      <c r="K122" s="540" t="s">
        <v>6133</v>
      </c>
      <c r="L122" s="545" t="s">
        <v>6563</v>
      </c>
      <c r="M122" s="537"/>
      <c r="N122" s="454"/>
      <c r="O122" s="454"/>
      <c r="P122" s="455"/>
      <c r="Q122" s="454"/>
      <c r="R122" s="454"/>
      <c r="S122" s="455"/>
      <c r="T122" s="455"/>
      <c r="U122" s="455"/>
      <c r="V122" s="455"/>
      <c r="W122" s="455"/>
      <c r="X122" s="455"/>
      <c r="Y122" s="455"/>
      <c r="Z122" s="455"/>
    </row>
    <row r="123" ht="17.25" customHeight="1">
      <c r="A123" s="458" t="s">
        <v>6564</v>
      </c>
      <c r="B123" s="536" t="s">
        <v>6565</v>
      </c>
      <c r="C123" s="537" t="s">
        <v>6566</v>
      </c>
      <c r="D123" s="537">
        <f>+971558979009</f>
        <v>971558979009</v>
      </c>
      <c r="E123" s="536" t="s">
        <v>6567</v>
      </c>
      <c r="F123" s="539"/>
      <c r="G123" s="539"/>
      <c r="H123" s="536" t="s">
        <v>6568</v>
      </c>
      <c r="I123" s="536" t="s">
        <v>6404</v>
      </c>
      <c r="J123" s="539"/>
      <c r="K123" s="540" t="s">
        <v>6133</v>
      </c>
      <c r="L123" s="541" t="s">
        <v>6569</v>
      </c>
      <c r="M123" s="455"/>
      <c r="N123" s="455"/>
      <c r="O123" s="455"/>
      <c r="P123" s="455"/>
      <c r="Q123" s="455"/>
      <c r="R123" s="455"/>
      <c r="S123" s="455"/>
      <c r="T123" s="455"/>
      <c r="U123" s="455"/>
      <c r="V123" s="455"/>
      <c r="W123" s="455"/>
      <c r="X123" s="455"/>
      <c r="Y123" s="455"/>
      <c r="Z123" s="455"/>
    </row>
    <row r="124" ht="17.25" customHeight="1">
      <c r="A124" s="458" t="s">
        <v>6570</v>
      </c>
      <c r="B124" s="453" t="s">
        <v>3737</v>
      </c>
      <c r="C124" s="454" t="s">
        <v>3738</v>
      </c>
      <c r="D124" s="458" t="s">
        <v>3739</v>
      </c>
      <c r="E124" s="453"/>
      <c r="F124" s="455"/>
      <c r="G124" s="455"/>
      <c r="H124" s="453"/>
      <c r="I124" s="455"/>
      <c r="J124" s="455"/>
      <c r="K124" s="457" t="s">
        <v>6133</v>
      </c>
      <c r="L124" s="456" t="s">
        <v>251</v>
      </c>
      <c r="M124" s="455"/>
      <c r="N124" s="455"/>
      <c r="O124" s="455"/>
      <c r="P124" s="455"/>
      <c r="Q124" s="455"/>
      <c r="R124" s="455"/>
      <c r="S124" s="455"/>
      <c r="T124" s="455"/>
      <c r="U124" s="455"/>
      <c r="V124" s="455"/>
      <c r="W124" s="455"/>
      <c r="X124" s="455"/>
      <c r="Y124" s="455"/>
      <c r="Z124" s="455"/>
    </row>
    <row r="125">
      <c r="A125" s="546" t="s">
        <v>6570</v>
      </c>
      <c r="B125" s="460" t="s">
        <v>6571</v>
      </c>
      <c r="C125" s="461" t="s">
        <v>6572</v>
      </c>
      <c r="D125" s="475" t="s">
        <v>6573</v>
      </c>
      <c r="E125" s="460"/>
      <c r="F125" s="462"/>
      <c r="G125" s="462"/>
      <c r="H125" s="460"/>
      <c r="I125" s="462"/>
      <c r="J125" s="462"/>
      <c r="K125" s="463" t="s">
        <v>6133</v>
      </c>
      <c r="L125" s="476" t="s">
        <v>6574</v>
      </c>
      <c r="M125" s="500"/>
      <c r="N125" s="500"/>
      <c r="O125" s="500"/>
      <c r="P125" s="500"/>
      <c r="Q125" s="500"/>
      <c r="R125" s="500"/>
      <c r="S125" s="500"/>
      <c r="T125" s="500"/>
      <c r="U125" s="500"/>
      <c r="V125" s="500"/>
      <c r="W125" s="500"/>
      <c r="X125" s="500"/>
      <c r="Y125" s="500"/>
      <c r="Z125" s="500"/>
    </row>
    <row r="126" ht="16.5" customHeight="1">
      <c r="A126" s="458" t="s">
        <v>6570</v>
      </c>
      <c r="B126" s="453" t="s">
        <v>6575</v>
      </c>
      <c r="C126" s="454" t="s">
        <v>6576</v>
      </c>
      <c r="D126" s="454">
        <f>+971525217586</f>
        <v>971525217586</v>
      </c>
      <c r="E126" s="453" t="s">
        <v>6567</v>
      </c>
      <c r="F126" s="455"/>
      <c r="G126" s="455"/>
      <c r="H126" s="453" t="s">
        <v>6577</v>
      </c>
      <c r="I126" s="455"/>
      <c r="J126" s="455"/>
      <c r="K126" s="457" t="s">
        <v>6133</v>
      </c>
      <c r="L126" s="456" t="s">
        <v>168</v>
      </c>
      <c r="M126" s="455"/>
      <c r="N126" s="455"/>
      <c r="O126" s="455"/>
      <c r="P126" s="455"/>
      <c r="Q126" s="455"/>
      <c r="R126" s="455"/>
      <c r="S126" s="455"/>
      <c r="T126" s="455"/>
      <c r="U126" s="455"/>
      <c r="V126" s="455"/>
      <c r="W126" s="455"/>
      <c r="X126" s="455"/>
      <c r="Y126" s="455"/>
      <c r="Z126" s="455"/>
    </row>
    <row r="127">
      <c r="A127" s="547">
        <v>43744.0</v>
      </c>
      <c r="B127" s="548" t="s">
        <v>6578</v>
      </c>
      <c r="C127" s="549" t="s">
        <v>6579</v>
      </c>
      <c r="D127" s="550" t="s">
        <v>6580</v>
      </c>
      <c r="E127" s="551"/>
      <c r="F127" s="500"/>
      <c r="G127" s="500"/>
      <c r="H127" s="551" t="s">
        <v>6581</v>
      </c>
      <c r="I127" s="551" t="s">
        <v>6404</v>
      </c>
      <c r="J127" s="500"/>
      <c r="K127" s="524" t="s">
        <v>6133</v>
      </c>
      <c r="L127" s="466" t="s">
        <v>6582</v>
      </c>
      <c r="M127" s="455"/>
      <c r="N127" s="455"/>
      <c r="O127" s="455"/>
      <c r="P127" s="455"/>
      <c r="Q127" s="455"/>
      <c r="R127" s="455"/>
      <c r="S127" s="455"/>
      <c r="T127" s="455"/>
      <c r="U127" s="455"/>
      <c r="V127" s="455"/>
      <c r="W127" s="455"/>
      <c r="X127" s="455"/>
      <c r="Y127" s="455"/>
      <c r="Z127" s="455"/>
    </row>
    <row r="128" ht="16.5" customHeight="1">
      <c r="A128" s="547">
        <v>43745.0</v>
      </c>
      <c r="B128" s="453" t="s">
        <v>6583</v>
      </c>
      <c r="C128" s="454" t="s">
        <v>6584</v>
      </c>
      <c r="D128" s="454">
        <f>+971506258880</f>
        <v>971506258880</v>
      </c>
      <c r="E128" s="453" t="s">
        <v>3697</v>
      </c>
      <c r="F128" s="455"/>
      <c r="G128" s="455"/>
      <c r="H128" s="453" t="s">
        <v>6585</v>
      </c>
      <c r="I128" s="453" t="s">
        <v>6404</v>
      </c>
      <c r="J128" s="455"/>
      <c r="K128" s="457" t="s">
        <v>6133</v>
      </c>
      <c r="L128" s="456" t="s">
        <v>3613</v>
      </c>
      <c r="M128" s="455"/>
      <c r="N128" s="455"/>
      <c r="O128" s="455"/>
      <c r="P128" s="455"/>
      <c r="Q128" s="455"/>
      <c r="R128" s="455"/>
      <c r="S128" s="455"/>
      <c r="T128" s="455"/>
      <c r="U128" s="455"/>
      <c r="V128" s="455"/>
      <c r="W128" s="455"/>
      <c r="X128" s="455"/>
      <c r="Y128" s="455"/>
      <c r="Z128" s="455"/>
    </row>
    <row r="129" ht="15.0" customHeight="1">
      <c r="A129" s="547">
        <v>43746.0</v>
      </c>
      <c r="B129" s="460" t="s">
        <v>6586</v>
      </c>
      <c r="C129" s="461" t="s">
        <v>6587</v>
      </c>
      <c r="D129" s="461">
        <f>+971567325413</f>
        <v>971567325413</v>
      </c>
      <c r="E129" s="460" t="s">
        <v>3697</v>
      </c>
      <c r="F129" s="462"/>
      <c r="G129" s="462"/>
      <c r="H129" s="460" t="s">
        <v>3834</v>
      </c>
      <c r="I129" s="460" t="s">
        <v>6404</v>
      </c>
      <c r="J129" s="462"/>
      <c r="K129" s="463" t="s">
        <v>6133</v>
      </c>
      <c r="L129" s="476" t="s">
        <v>6588</v>
      </c>
      <c r="M129" s="456"/>
      <c r="N129" s="455"/>
      <c r="O129" s="455"/>
      <c r="P129" s="455"/>
      <c r="Q129" s="455"/>
      <c r="R129" s="455"/>
      <c r="S129" s="455"/>
      <c r="T129" s="455"/>
      <c r="U129" s="455"/>
      <c r="V129" s="455"/>
      <c r="W129" s="455"/>
      <c r="X129" s="455"/>
      <c r="Y129" s="455"/>
      <c r="Z129" s="455"/>
    </row>
    <row r="130" ht="16.5" customHeight="1">
      <c r="A130" s="547">
        <v>43746.0</v>
      </c>
      <c r="B130" s="453" t="s">
        <v>6589</v>
      </c>
      <c r="C130" s="454" t="s">
        <v>6590</v>
      </c>
      <c r="D130" s="454">
        <f>+971527133990</f>
        <v>971527133990</v>
      </c>
      <c r="E130" s="453" t="s">
        <v>3665</v>
      </c>
      <c r="F130" s="455"/>
      <c r="G130" s="455"/>
      <c r="H130" s="453" t="s">
        <v>3747</v>
      </c>
      <c r="I130" s="455"/>
      <c r="J130" s="455"/>
      <c r="K130" s="457" t="s">
        <v>6133</v>
      </c>
      <c r="L130" s="456" t="s">
        <v>168</v>
      </c>
      <c r="M130" s="455"/>
      <c r="N130" s="455"/>
      <c r="O130" s="455"/>
      <c r="P130" s="455"/>
      <c r="Q130" s="455"/>
      <c r="R130" s="455"/>
      <c r="S130" s="455"/>
      <c r="T130" s="455"/>
      <c r="U130" s="455"/>
      <c r="V130" s="455"/>
      <c r="W130" s="455"/>
      <c r="X130" s="455"/>
      <c r="Y130" s="455"/>
      <c r="Z130" s="455"/>
    </row>
    <row r="131">
      <c r="A131" s="458" t="s">
        <v>6591</v>
      </c>
      <c r="B131" s="453" t="s">
        <v>6592</v>
      </c>
      <c r="C131" s="454" t="s">
        <v>6593</v>
      </c>
      <c r="D131" s="454">
        <f>+447984610158</f>
        <v>447984610158</v>
      </c>
      <c r="E131" s="453" t="s">
        <v>6594</v>
      </c>
      <c r="F131" s="455"/>
      <c r="G131" s="455"/>
      <c r="H131" s="453" t="s">
        <v>4192</v>
      </c>
      <c r="I131" s="455"/>
      <c r="J131" s="455"/>
      <c r="K131" s="457" t="s">
        <v>6133</v>
      </c>
      <c r="L131" s="456" t="s">
        <v>251</v>
      </c>
      <c r="M131" s="455"/>
      <c r="N131" s="455"/>
      <c r="O131" s="455"/>
      <c r="P131" s="455"/>
      <c r="Q131" s="455"/>
      <c r="R131" s="455"/>
      <c r="S131" s="455"/>
      <c r="T131" s="455"/>
      <c r="U131" s="455"/>
      <c r="V131" s="455"/>
      <c r="W131" s="455"/>
      <c r="X131" s="455"/>
      <c r="Y131" s="455"/>
      <c r="Z131" s="455"/>
    </row>
    <row r="132">
      <c r="A132" s="458" t="s">
        <v>6591</v>
      </c>
      <c r="B132" s="506" t="s">
        <v>6595</v>
      </c>
      <c r="C132" s="507" t="s">
        <v>6596</v>
      </c>
      <c r="D132" s="507">
        <f>+971566045236</f>
        <v>971566045236</v>
      </c>
      <c r="E132" s="506" t="s">
        <v>6594</v>
      </c>
      <c r="F132" s="483"/>
      <c r="G132" s="483"/>
      <c r="H132" s="506" t="s">
        <v>4192</v>
      </c>
      <c r="I132" s="506" t="s">
        <v>6404</v>
      </c>
      <c r="J132" s="483"/>
      <c r="K132" s="509" t="s">
        <v>6133</v>
      </c>
      <c r="L132" s="511" t="s">
        <v>6597</v>
      </c>
      <c r="M132" s="455"/>
      <c r="N132" s="455"/>
      <c r="O132" s="455"/>
      <c r="P132" s="455"/>
      <c r="Q132" s="455"/>
      <c r="R132" s="455"/>
      <c r="S132" s="455"/>
      <c r="T132" s="455"/>
      <c r="U132" s="455"/>
      <c r="V132" s="455"/>
      <c r="W132" s="455"/>
      <c r="X132" s="455"/>
      <c r="Y132" s="455"/>
      <c r="Z132" s="455"/>
    </row>
    <row r="133" ht="17.25" customHeight="1">
      <c r="A133" s="458" t="s">
        <v>6598</v>
      </c>
      <c r="B133" s="552" t="s">
        <v>6599</v>
      </c>
      <c r="C133" s="505" t="s">
        <v>6600</v>
      </c>
      <c r="D133" s="505">
        <f>+971529277444</f>
        <v>971529277444</v>
      </c>
      <c r="E133" s="552"/>
      <c r="F133" s="553"/>
      <c r="G133" s="553"/>
      <c r="H133" s="552" t="s">
        <v>6601</v>
      </c>
      <c r="I133" s="552" t="s">
        <v>6602</v>
      </c>
      <c r="J133" s="552" t="s">
        <v>6404</v>
      </c>
      <c r="K133" s="554" t="s">
        <v>6133</v>
      </c>
      <c r="L133" s="464" t="s">
        <v>6603</v>
      </c>
      <c r="M133" s="455"/>
      <c r="N133" s="455"/>
      <c r="O133" s="455"/>
      <c r="P133" s="455"/>
      <c r="Q133" s="455"/>
      <c r="R133" s="455"/>
      <c r="S133" s="455"/>
      <c r="T133" s="455"/>
      <c r="U133" s="455"/>
      <c r="V133" s="455"/>
      <c r="W133" s="455"/>
      <c r="X133" s="455"/>
      <c r="Y133" s="455"/>
      <c r="Z133" s="455"/>
    </row>
    <row r="134">
      <c r="A134" s="458" t="s">
        <v>6598</v>
      </c>
      <c r="B134" s="555" t="s">
        <v>6604</v>
      </c>
      <c r="C134" s="469" t="s">
        <v>6605</v>
      </c>
      <c r="D134" s="469">
        <f>+4915231846462</f>
        <v>4915231846462</v>
      </c>
      <c r="E134" s="468"/>
      <c r="F134" s="479"/>
      <c r="G134" s="479"/>
      <c r="H134" s="468" t="s">
        <v>6601</v>
      </c>
      <c r="I134" s="468" t="s">
        <v>6404</v>
      </c>
      <c r="J134" s="479"/>
      <c r="K134" s="556" t="s">
        <v>6133</v>
      </c>
      <c r="L134" s="557" t="s">
        <v>4589</v>
      </c>
      <c r="M134" s="455"/>
      <c r="N134" s="455"/>
      <c r="O134" s="455"/>
      <c r="P134" s="455"/>
      <c r="Q134" s="455"/>
      <c r="R134" s="455"/>
      <c r="S134" s="455"/>
      <c r="T134" s="455"/>
      <c r="U134" s="455"/>
      <c r="V134" s="455"/>
      <c r="W134" s="455"/>
      <c r="X134" s="455"/>
      <c r="Y134" s="455"/>
      <c r="Z134" s="455"/>
    </row>
    <row r="135">
      <c r="A135" s="458" t="s">
        <v>6598</v>
      </c>
      <c r="B135" s="555" t="s">
        <v>6606</v>
      </c>
      <c r="C135" s="469" t="s">
        <v>6607</v>
      </c>
      <c r="D135" s="469">
        <f>+4917664388481</f>
        <v>4917664388481</v>
      </c>
      <c r="E135" s="468"/>
      <c r="F135" s="455"/>
      <c r="G135" s="455"/>
      <c r="H135" s="468" t="s">
        <v>6601</v>
      </c>
      <c r="I135" s="468" t="s">
        <v>6404</v>
      </c>
      <c r="J135" s="455"/>
      <c r="K135" s="457" t="s">
        <v>6133</v>
      </c>
      <c r="L135" s="456" t="s">
        <v>3613</v>
      </c>
      <c r="M135" s="455"/>
      <c r="N135" s="455"/>
      <c r="O135" s="455"/>
      <c r="P135" s="455"/>
      <c r="Q135" s="455"/>
      <c r="R135" s="455"/>
      <c r="S135" s="455"/>
      <c r="T135" s="455"/>
      <c r="U135" s="455"/>
      <c r="V135" s="455"/>
      <c r="W135" s="455"/>
      <c r="X135" s="455"/>
      <c r="Y135" s="455"/>
      <c r="Z135" s="455"/>
    </row>
    <row r="136" ht="18.75" customHeight="1">
      <c r="A136" s="546" t="s">
        <v>6608</v>
      </c>
      <c r="B136" s="551" t="s">
        <v>6609</v>
      </c>
      <c r="C136" s="558" t="s">
        <v>6610</v>
      </c>
      <c r="D136" s="558">
        <f>+447946393056</f>
        <v>447946393056</v>
      </c>
      <c r="E136" s="551" t="s">
        <v>6611</v>
      </c>
      <c r="F136" s="500"/>
      <c r="G136" s="500"/>
      <c r="H136" s="551" t="s">
        <v>6612</v>
      </c>
      <c r="I136" s="551" t="s">
        <v>4171</v>
      </c>
      <c r="J136" s="500"/>
      <c r="K136" s="524" t="s">
        <v>6133</v>
      </c>
      <c r="L136" s="466" t="s">
        <v>168</v>
      </c>
      <c r="M136" s="500"/>
      <c r="N136" s="500"/>
      <c r="O136" s="500"/>
      <c r="P136" s="500"/>
      <c r="Q136" s="500"/>
      <c r="R136" s="500"/>
      <c r="S136" s="500"/>
      <c r="T136" s="500"/>
      <c r="U136" s="500"/>
      <c r="V136" s="500"/>
      <c r="W136" s="500"/>
      <c r="X136" s="500"/>
      <c r="Y136" s="500"/>
      <c r="Z136" s="500"/>
    </row>
    <row r="137">
      <c r="A137" s="458" t="s">
        <v>6608</v>
      </c>
      <c r="B137" s="453" t="s">
        <v>6613</v>
      </c>
      <c r="C137" s="454" t="s">
        <v>6614</v>
      </c>
      <c r="D137" s="454">
        <f>+971558541514</f>
        <v>971558541514</v>
      </c>
      <c r="E137" s="453" t="s">
        <v>6594</v>
      </c>
      <c r="F137" s="455"/>
      <c r="G137" s="455"/>
      <c r="H137" s="453" t="s">
        <v>6612</v>
      </c>
      <c r="I137" s="453" t="s">
        <v>6404</v>
      </c>
      <c r="J137" s="455"/>
      <c r="K137" s="457" t="s">
        <v>6133</v>
      </c>
      <c r="L137" s="456" t="s">
        <v>168</v>
      </c>
      <c r="M137" s="455"/>
      <c r="N137" s="455"/>
      <c r="O137" s="455"/>
      <c r="P137" s="455"/>
      <c r="Q137" s="455"/>
      <c r="R137" s="455"/>
      <c r="S137" s="455"/>
      <c r="T137" s="455"/>
      <c r="U137" s="455"/>
      <c r="V137" s="455"/>
      <c r="W137" s="455"/>
      <c r="X137" s="455"/>
      <c r="Y137" s="455"/>
      <c r="Z137" s="455"/>
    </row>
    <row r="138">
      <c r="A138" s="458" t="s">
        <v>6615</v>
      </c>
      <c r="B138" s="559" t="s">
        <v>6616</v>
      </c>
      <c r="C138" s="560" t="s">
        <v>6617</v>
      </c>
      <c r="D138" s="561" t="s">
        <v>6618</v>
      </c>
      <c r="E138" s="453"/>
      <c r="F138" s="455"/>
      <c r="G138" s="455"/>
      <c r="H138" s="453" t="s">
        <v>6612</v>
      </c>
      <c r="I138" s="453" t="s">
        <v>6404</v>
      </c>
      <c r="J138" s="455"/>
      <c r="K138" s="457" t="s">
        <v>6133</v>
      </c>
      <c r="L138" s="456" t="s">
        <v>251</v>
      </c>
      <c r="M138" s="455"/>
      <c r="N138" s="455"/>
      <c r="O138" s="455"/>
      <c r="P138" s="455"/>
      <c r="Q138" s="455"/>
      <c r="R138" s="455"/>
      <c r="S138" s="455"/>
      <c r="T138" s="455"/>
      <c r="U138" s="455"/>
      <c r="V138" s="455"/>
      <c r="W138" s="455"/>
      <c r="X138" s="455"/>
      <c r="Y138" s="455"/>
      <c r="Z138" s="455"/>
    </row>
    <row r="139">
      <c r="A139" s="458" t="s">
        <v>6615</v>
      </c>
      <c r="B139" s="559" t="s">
        <v>6619</v>
      </c>
      <c r="C139" s="560" t="s">
        <v>6620</v>
      </c>
      <c r="D139" s="561" t="s">
        <v>6621</v>
      </c>
      <c r="E139" s="453"/>
      <c r="F139" s="455"/>
      <c r="G139" s="455"/>
      <c r="H139" s="453" t="s">
        <v>6612</v>
      </c>
      <c r="I139" s="453" t="s">
        <v>6404</v>
      </c>
      <c r="J139" s="455"/>
      <c r="K139" s="457" t="s">
        <v>6133</v>
      </c>
      <c r="L139" s="456" t="s">
        <v>3613</v>
      </c>
      <c r="M139" s="455"/>
      <c r="N139" s="455"/>
      <c r="O139" s="455"/>
      <c r="P139" s="455"/>
      <c r="Q139" s="455"/>
      <c r="R139" s="455"/>
      <c r="S139" s="455"/>
      <c r="T139" s="455"/>
      <c r="U139" s="455"/>
      <c r="V139" s="455"/>
      <c r="W139" s="455"/>
      <c r="X139" s="455"/>
      <c r="Y139" s="455"/>
      <c r="Z139" s="455"/>
    </row>
    <row r="140">
      <c r="A140" s="458" t="s">
        <v>6622</v>
      </c>
      <c r="B140" s="453" t="s">
        <v>6623</v>
      </c>
      <c r="C140" s="454" t="s">
        <v>6624</v>
      </c>
      <c r="D140" s="458" t="s">
        <v>6625</v>
      </c>
      <c r="E140" s="453"/>
      <c r="F140" s="455"/>
      <c r="G140" s="455"/>
      <c r="H140" s="453" t="s">
        <v>6324</v>
      </c>
      <c r="I140" s="453" t="s">
        <v>6404</v>
      </c>
      <c r="J140" s="455"/>
      <c r="K140" s="457" t="s">
        <v>6133</v>
      </c>
      <c r="L140" s="456" t="s">
        <v>251</v>
      </c>
      <c r="M140" s="455"/>
      <c r="N140" s="455"/>
      <c r="O140" s="455"/>
      <c r="P140" s="455"/>
      <c r="Q140" s="455"/>
      <c r="R140" s="455"/>
      <c r="S140" s="455"/>
      <c r="T140" s="455"/>
      <c r="U140" s="455"/>
      <c r="V140" s="455"/>
      <c r="W140" s="455"/>
      <c r="X140" s="455"/>
      <c r="Y140" s="455"/>
      <c r="Z140" s="455"/>
    </row>
    <row r="141" ht="18.75" customHeight="1">
      <c r="A141" s="475" t="s">
        <v>6626</v>
      </c>
      <c r="B141" s="460" t="s">
        <v>6627</v>
      </c>
      <c r="C141" s="461" t="s">
        <v>6628</v>
      </c>
      <c r="D141" s="461">
        <f>+971563983795</f>
        <v>971563983795</v>
      </c>
      <c r="E141" s="460" t="s">
        <v>6611</v>
      </c>
      <c r="F141" s="462"/>
      <c r="G141" s="462"/>
      <c r="H141" s="460" t="s">
        <v>6221</v>
      </c>
      <c r="I141" s="460" t="s">
        <v>6404</v>
      </c>
      <c r="J141" s="462"/>
      <c r="K141" s="463" t="s">
        <v>6133</v>
      </c>
      <c r="L141" s="476" t="s">
        <v>6629</v>
      </c>
      <c r="M141" s="455"/>
      <c r="N141" s="455"/>
      <c r="O141" s="455"/>
      <c r="P141" s="455"/>
      <c r="Q141" s="455"/>
      <c r="R141" s="455"/>
      <c r="S141" s="455"/>
      <c r="T141" s="455"/>
      <c r="U141" s="455"/>
      <c r="V141" s="455"/>
      <c r="W141" s="455"/>
      <c r="X141" s="455"/>
      <c r="Y141" s="455"/>
      <c r="Z141" s="455"/>
    </row>
    <row r="142" ht="19.5" customHeight="1">
      <c r="A142" s="458" t="s">
        <v>6626</v>
      </c>
      <c r="B142" s="468" t="s">
        <v>6630</v>
      </c>
      <c r="C142" s="469" t="s">
        <v>6631</v>
      </c>
      <c r="D142" s="469">
        <f>+971555606654</f>
        <v>971555606654</v>
      </c>
      <c r="E142" s="468"/>
      <c r="F142" s="479"/>
      <c r="G142" s="479"/>
      <c r="H142" s="468" t="s">
        <v>3763</v>
      </c>
      <c r="I142" s="468" t="s">
        <v>6632</v>
      </c>
      <c r="J142" s="455"/>
      <c r="K142" s="457" t="s">
        <v>6133</v>
      </c>
      <c r="L142" s="456" t="s">
        <v>3613</v>
      </c>
      <c r="M142" s="455"/>
      <c r="N142" s="455"/>
      <c r="O142" s="455"/>
      <c r="P142" s="455"/>
      <c r="Q142" s="455"/>
      <c r="R142" s="455"/>
      <c r="S142" s="455"/>
      <c r="T142" s="455"/>
      <c r="U142" s="455"/>
      <c r="V142" s="455"/>
      <c r="W142" s="455"/>
      <c r="X142" s="455"/>
      <c r="Y142" s="455"/>
      <c r="Z142" s="455"/>
    </row>
    <row r="143" ht="18.0" customHeight="1">
      <c r="A143" s="458" t="s">
        <v>6633</v>
      </c>
      <c r="B143" s="453" t="s">
        <v>6634</v>
      </c>
      <c r="C143" s="454" t="s">
        <v>6635</v>
      </c>
      <c r="D143" s="458" t="s">
        <v>6636</v>
      </c>
      <c r="E143" s="467"/>
      <c r="F143" s="455"/>
      <c r="G143" s="455"/>
      <c r="H143" s="453" t="s">
        <v>6637</v>
      </c>
      <c r="I143" s="467"/>
      <c r="J143" s="455"/>
      <c r="K143" s="457" t="s">
        <v>6133</v>
      </c>
      <c r="L143" s="456" t="s">
        <v>3613</v>
      </c>
      <c r="M143" s="455"/>
      <c r="N143" s="455"/>
      <c r="O143" s="455"/>
      <c r="P143" s="455"/>
      <c r="Q143" s="455"/>
      <c r="R143" s="455"/>
      <c r="S143" s="455"/>
      <c r="T143" s="455"/>
      <c r="U143" s="455"/>
      <c r="V143" s="455"/>
      <c r="W143" s="455"/>
      <c r="X143" s="455"/>
      <c r="Y143" s="455"/>
      <c r="Z143" s="455"/>
    </row>
    <row r="144" ht="18.0" customHeight="1">
      <c r="A144" s="458" t="s">
        <v>6638</v>
      </c>
      <c r="B144" s="453" t="s">
        <v>6639</v>
      </c>
      <c r="C144" s="454" t="s">
        <v>6640</v>
      </c>
      <c r="D144" s="454">
        <f>+923064273164</f>
        <v>923064273164</v>
      </c>
      <c r="E144" s="453" t="s">
        <v>6641</v>
      </c>
      <c r="F144" s="455"/>
      <c r="G144" s="455"/>
      <c r="H144" s="453" t="s">
        <v>6642</v>
      </c>
      <c r="I144" s="453" t="s">
        <v>6404</v>
      </c>
      <c r="J144" s="455"/>
      <c r="K144" s="457" t="s">
        <v>6133</v>
      </c>
      <c r="L144" s="456" t="s">
        <v>4589</v>
      </c>
      <c r="M144" s="455"/>
      <c r="N144" s="455"/>
      <c r="O144" s="455"/>
      <c r="P144" s="455"/>
      <c r="Q144" s="455"/>
      <c r="R144" s="455"/>
      <c r="S144" s="455"/>
      <c r="T144" s="455"/>
      <c r="U144" s="455"/>
      <c r="V144" s="455"/>
      <c r="W144" s="455"/>
      <c r="X144" s="455"/>
      <c r="Y144" s="455"/>
      <c r="Z144" s="455"/>
    </row>
    <row r="145" ht="17.25" customHeight="1">
      <c r="A145" s="458" t="s">
        <v>6638</v>
      </c>
      <c r="B145" s="453" t="s">
        <v>6643</v>
      </c>
      <c r="C145" s="454" t="s">
        <v>6644</v>
      </c>
      <c r="D145" s="454">
        <f>+971503896758</f>
        <v>971503896758</v>
      </c>
      <c r="E145" s="453" t="s">
        <v>6645</v>
      </c>
      <c r="F145" s="455"/>
      <c r="G145" s="455"/>
      <c r="H145" s="453" t="s">
        <v>6221</v>
      </c>
      <c r="I145" s="453" t="s">
        <v>6404</v>
      </c>
      <c r="J145" s="455"/>
      <c r="K145" s="457" t="s">
        <v>6133</v>
      </c>
      <c r="L145" s="456" t="s">
        <v>4589</v>
      </c>
      <c r="M145" s="455"/>
      <c r="N145" s="455"/>
      <c r="O145" s="455"/>
      <c r="P145" s="455"/>
      <c r="Q145" s="455"/>
      <c r="R145" s="455"/>
      <c r="S145" s="455"/>
      <c r="T145" s="455"/>
      <c r="U145" s="455"/>
      <c r="V145" s="455"/>
      <c r="W145" s="455"/>
      <c r="X145" s="455"/>
      <c r="Y145" s="455"/>
      <c r="Z145" s="455"/>
    </row>
    <row r="146" ht="17.25" customHeight="1">
      <c r="A146" s="458" t="s">
        <v>6646</v>
      </c>
      <c r="B146" s="453" t="s">
        <v>6647</v>
      </c>
      <c r="C146" s="454" t="s">
        <v>6648</v>
      </c>
      <c r="D146" s="454">
        <f>+971561797498</f>
        <v>971561797498</v>
      </c>
      <c r="E146" s="453" t="s">
        <v>6611</v>
      </c>
      <c r="F146" s="455"/>
      <c r="G146" s="455"/>
      <c r="H146" s="453" t="s">
        <v>6221</v>
      </c>
      <c r="I146" s="453" t="s">
        <v>6404</v>
      </c>
      <c r="J146" s="455"/>
      <c r="K146" s="457" t="s">
        <v>6133</v>
      </c>
      <c r="L146" s="456" t="s">
        <v>574</v>
      </c>
      <c r="M146" s="455"/>
      <c r="N146" s="455"/>
      <c r="O146" s="455"/>
      <c r="P146" s="455"/>
      <c r="Q146" s="455"/>
      <c r="R146" s="455"/>
      <c r="S146" s="455"/>
      <c r="T146" s="455"/>
      <c r="U146" s="455"/>
      <c r="V146" s="455"/>
      <c r="W146" s="455"/>
      <c r="X146" s="455"/>
      <c r="Y146" s="455"/>
      <c r="Z146" s="455"/>
    </row>
    <row r="147" ht="14.25" customHeight="1">
      <c r="A147" s="458" t="s">
        <v>6646</v>
      </c>
      <c r="B147" s="467" t="s">
        <v>6649</v>
      </c>
      <c r="C147" s="562" t="s">
        <v>6650</v>
      </c>
      <c r="D147" s="562">
        <f>+966541717975</f>
        <v>966541717975</v>
      </c>
      <c r="E147" s="467"/>
      <c r="F147" s="455"/>
      <c r="G147" s="455"/>
      <c r="H147" s="467" t="s">
        <v>6324</v>
      </c>
      <c r="I147" s="467" t="s">
        <v>6651</v>
      </c>
      <c r="J147" s="455"/>
      <c r="K147" s="457" t="s">
        <v>6133</v>
      </c>
      <c r="L147" s="456" t="s">
        <v>251</v>
      </c>
      <c r="M147" s="455"/>
      <c r="N147" s="455"/>
      <c r="O147" s="455"/>
      <c r="P147" s="455"/>
      <c r="Q147" s="455"/>
      <c r="R147" s="455"/>
      <c r="S147" s="455"/>
      <c r="T147" s="455"/>
      <c r="U147" s="455"/>
      <c r="V147" s="455"/>
      <c r="W147" s="455"/>
      <c r="X147" s="455"/>
      <c r="Y147" s="455"/>
      <c r="Z147" s="455"/>
    </row>
    <row r="148" ht="18.0" customHeight="1">
      <c r="A148" s="458" t="s">
        <v>6646</v>
      </c>
      <c r="B148" s="453" t="s">
        <v>6647</v>
      </c>
      <c r="C148" s="454" t="s">
        <v>6648</v>
      </c>
      <c r="D148" s="454">
        <f>+971561797498</f>
        <v>971561797498</v>
      </c>
      <c r="E148" s="453" t="s">
        <v>6611</v>
      </c>
      <c r="F148" s="455"/>
      <c r="G148" s="455"/>
      <c r="H148" s="453" t="s">
        <v>6221</v>
      </c>
      <c r="I148" s="455"/>
      <c r="J148" s="455"/>
      <c r="K148" s="457" t="s">
        <v>6133</v>
      </c>
      <c r="L148" s="456" t="s">
        <v>574</v>
      </c>
      <c r="M148" s="455"/>
      <c r="N148" s="455"/>
      <c r="O148" s="455"/>
      <c r="P148" s="455"/>
      <c r="Q148" s="455"/>
      <c r="R148" s="455"/>
      <c r="S148" s="455"/>
      <c r="T148" s="455"/>
      <c r="U148" s="455"/>
      <c r="V148" s="455"/>
      <c r="W148" s="455"/>
      <c r="X148" s="455"/>
      <c r="Y148" s="455"/>
      <c r="Z148" s="455"/>
    </row>
    <row r="149">
      <c r="A149" s="458" t="s">
        <v>6646</v>
      </c>
      <c r="B149" s="453" t="s">
        <v>6652</v>
      </c>
      <c r="C149" s="454" t="s">
        <v>6653</v>
      </c>
      <c r="D149" s="458" t="s">
        <v>6654</v>
      </c>
      <c r="E149" s="453"/>
      <c r="F149" s="455"/>
      <c r="G149" s="455"/>
      <c r="H149" s="453" t="s">
        <v>6655</v>
      </c>
      <c r="I149" s="455"/>
      <c r="J149" s="455"/>
      <c r="K149" s="457" t="s">
        <v>6133</v>
      </c>
      <c r="L149" s="456" t="s">
        <v>574</v>
      </c>
      <c r="M149" s="455"/>
      <c r="N149" s="455"/>
      <c r="O149" s="455"/>
      <c r="P149" s="455"/>
      <c r="Q149" s="455"/>
      <c r="R149" s="455"/>
      <c r="S149" s="455"/>
      <c r="T149" s="455"/>
      <c r="U149" s="455"/>
      <c r="V149" s="455"/>
      <c r="W149" s="455"/>
      <c r="X149" s="455"/>
      <c r="Y149" s="455"/>
      <c r="Z149" s="455"/>
    </row>
    <row r="150">
      <c r="A150" s="458" t="s">
        <v>6646</v>
      </c>
      <c r="B150" s="453" t="s">
        <v>6656</v>
      </c>
      <c r="C150" s="454" t="s">
        <v>6657</v>
      </c>
      <c r="D150" s="458" t="s">
        <v>6658</v>
      </c>
      <c r="E150" s="453"/>
      <c r="F150" s="455"/>
      <c r="G150" s="455"/>
      <c r="H150" s="453" t="s">
        <v>6659</v>
      </c>
      <c r="I150" s="453" t="s">
        <v>6404</v>
      </c>
      <c r="J150" s="455"/>
      <c r="K150" s="457" t="s">
        <v>6133</v>
      </c>
      <c r="L150" s="456" t="s">
        <v>2517</v>
      </c>
      <c r="M150" s="455"/>
      <c r="N150" s="455"/>
      <c r="O150" s="455"/>
      <c r="P150" s="455"/>
      <c r="Q150" s="455"/>
      <c r="R150" s="455"/>
      <c r="S150" s="455"/>
      <c r="T150" s="455"/>
      <c r="U150" s="455"/>
      <c r="V150" s="455"/>
      <c r="W150" s="455"/>
      <c r="X150" s="455"/>
      <c r="Y150" s="455"/>
      <c r="Z150" s="455"/>
    </row>
    <row r="151" ht="15.0" customHeight="1">
      <c r="A151" s="458" t="s">
        <v>6660</v>
      </c>
      <c r="B151" s="453" t="s">
        <v>6661</v>
      </c>
      <c r="C151" s="454" t="s">
        <v>6414</v>
      </c>
      <c r="D151" s="454">
        <f>+9710505356680</f>
        <v>9710505356680</v>
      </c>
      <c r="E151" s="453" t="s">
        <v>6662</v>
      </c>
      <c r="F151" s="455"/>
      <c r="G151" s="455"/>
      <c r="H151" s="453" t="s">
        <v>6663</v>
      </c>
      <c r="I151" s="453" t="s">
        <v>6664</v>
      </c>
      <c r="J151" s="455"/>
      <c r="K151" s="457" t="s">
        <v>6133</v>
      </c>
      <c r="L151" s="456" t="s">
        <v>172</v>
      </c>
      <c r="M151" s="455"/>
      <c r="N151" s="455"/>
      <c r="O151" s="455"/>
      <c r="P151" s="455"/>
      <c r="Q151" s="455"/>
      <c r="R151" s="455"/>
      <c r="S151" s="455"/>
      <c r="T151" s="455"/>
      <c r="U151" s="455"/>
      <c r="V151" s="455"/>
      <c r="W151" s="455"/>
      <c r="X151" s="455"/>
      <c r="Y151" s="455"/>
      <c r="Z151" s="455"/>
    </row>
    <row r="152" ht="17.25" customHeight="1">
      <c r="A152" s="458" t="s">
        <v>6660</v>
      </c>
      <c r="B152" s="453" t="s">
        <v>6665</v>
      </c>
      <c r="C152" s="454" t="s">
        <v>6666</v>
      </c>
      <c r="D152" s="454">
        <f>+966543037401</f>
        <v>966543037401</v>
      </c>
      <c r="E152" s="453" t="s">
        <v>6611</v>
      </c>
      <c r="F152" s="455"/>
      <c r="G152" s="455"/>
      <c r="H152" s="453" t="s">
        <v>6324</v>
      </c>
      <c r="I152" s="453" t="s">
        <v>6404</v>
      </c>
      <c r="J152" s="455"/>
      <c r="K152" s="457" t="s">
        <v>6133</v>
      </c>
      <c r="L152" s="456" t="s">
        <v>574</v>
      </c>
      <c r="M152" s="455"/>
      <c r="N152" s="455"/>
      <c r="O152" s="455"/>
      <c r="P152" s="455"/>
      <c r="Q152" s="455"/>
      <c r="R152" s="455"/>
      <c r="S152" s="455"/>
      <c r="T152" s="455"/>
      <c r="U152" s="455"/>
      <c r="V152" s="455"/>
      <c r="W152" s="455"/>
      <c r="X152" s="455"/>
      <c r="Y152" s="455"/>
      <c r="Z152" s="455"/>
    </row>
    <row r="153">
      <c r="A153" s="547">
        <v>43759.0</v>
      </c>
      <c r="B153" s="453" t="s">
        <v>6667</v>
      </c>
      <c r="C153" s="562" t="s">
        <v>6668</v>
      </c>
      <c r="D153" s="458" t="s">
        <v>6669</v>
      </c>
      <c r="E153" s="453"/>
      <c r="F153" s="455"/>
      <c r="G153" s="455"/>
      <c r="H153" s="453" t="s">
        <v>6670</v>
      </c>
      <c r="I153" s="455"/>
      <c r="J153" s="455"/>
      <c r="K153" s="457" t="s">
        <v>6133</v>
      </c>
      <c r="L153" s="456" t="s">
        <v>574</v>
      </c>
      <c r="M153" s="455"/>
      <c r="N153" s="455"/>
      <c r="O153" s="455"/>
      <c r="P153" s="455"/>
      <c r="Q153" s="455"/>
      <c r="R153" s="455"/>
      <c r="S153" s="455"/>
      <c r="T153" s="455"/>
      <c r="U153" s="455"/>
      <c r="V153" s="455"/>
      <c r="W153" s="455"/>
      <c r="X153" s="455"/>
      <c r="Y153" s="455"/>
      <c r="Z153" s="455"/>
    </row>
    <row r="154">
      <c r="A154" s="547">
        <v>43759.0</v>
      </c>
      <c r="B154" s="453" t="s">
        <v>6671</v>
      </c>
      <c r="C154" s="454" t="s">
        <v>6672</v>
      </c>
      <c r="D154" s="458" t="s">
        <v>6673</v>
      </c>
      <c r="E154" s="453"/>
      <c r="F154" s="455"/>
      <c r="G154" s="455"/>
      <c r="H154" s="453" t="s">
        <v>6674</v>
      </c>
      <c r="I154" s="453" t="s">
        <v>6675</v>
      </c>
      <c r="J154" s="455"/>
      <c r="K154" s="457" t="s">
        <v>6133</v>
      </c>
      <c r="L154" s="456" t="s">
        <v>574</v>
      </c>
      <c r="M154" s="455"/>
      <c r="N154" s="455"/>
      <c r="O154" s="455"/>
      <c r="P154" s="455"/>
      <c r="Q154" s="455"/>
      <c r="R154" s="455"/>
      <c r="S154" s="455"/>
      <c r="T154" s="455"/>
      <c r="U154" s="455"/>
      <c r="V154" s="455"/>
      <c r="W154" s="455"/>
      <c r="X154" s="455"/>
      <c r="Y154" s="455"/>
      <c r="Z154" s="455"/>
    </row>
    <row r="155">
      <c r="A155" s="458" t="s">
        <v>6676</v>
      </c>
      <c r="B155" s="453" t="s">
        <v>6677</v>
      </c>
      <c r="C155" s="454" t="s">
        <v>6678</v>
      </c>
      <c r="D155" s="454">
        <f>+971505483646</f>
        <v>971505483646</v>
      </c>
      <c r="E155" s="453" t="s">
        <v>3985</v>
      </c>
      <c r="F155" s="455"/>
      <c r="G155" s="455"/>
      <c r="H155" s="453" t="s">
        <v>3772</v>
      </c>
      <c r="I155" s="455"/>
      <c r="J155" s="455"/>
      <c r="K155" s="457" t="s">
        <v>6133</v>
      </c>
      <c r="L155" s="456" t="s">
        <v>6679</v>
      </c>
      <c r="M155" s="455"/>
      <c r="N155" s="455"/>
      <c r="O155" s="455"/>
      <c r="P155" s="455"/>
      <c r="Q155" s="455"/>
      <c r="R155" s="455"/>
      <c r="S155" s="455"/>
      <c r="T155" s="455"/>
      <c r="U155" s="455"/>
      <c r="V155" s="455"/>
      <c r="W155" s="455"/>
      <c r="X155" s="455"/>
      <c r="Y155" s="455"/>
      <c r="Z155" s="455"/>
    </row>
    <row r="156">
      <c r="A156" s="458" t="s">
        <v>6680</v>
      </c>
      <c r="B156" s="453"/>
      <c r="C156" s="563" t="s">
        <v>6681</v>
      </c>
      <c r="D156" s="454"/>
      <c r="E156" s="453"/>
      <c r="F156" s="455"/>
      <c r="G156" s="455"/>
      <c r="H156" s="453" t="s">
        <v>3652</v>
      </c>
      <c r="I156" s="455"/>
      <c r="J156" s="455"/>
      <c r="K156" s="457" t="s">
        <v>6133</v>
      </c>
      <c r="L156" s="455"/>
      <c r="M156" s="455"/>
      <c r="N156" s="455"/>
      <c r="O156" s="455"/>
      <c r="P156" s="455"/>
      <c r="Q156" s="455"/>
      <c r="R156" s="455"/>
      <c r="S156" s="455"/>
      <c r="T156" s="455"/>
      <c r="U156" s="455"/>
      <c r="V156" s="455"/>
      <c r="W156" s="455"/>
      <c r="X156" s="455"/>
      <c r="Y156" s="455"/>
      <c r="Z156" s="455"/>
    </row>
    <row r="157">
      <c r="A157" s="458" t="s">
        <v>6680</v>
      </c>
      <c r="B157" s="453" t="s">
        <v>6682</v>
      </c>
      <c r="C157" s="564"/>
      <c r="D157" s="458" t="s">
        <v>6683</v>
      </c>
      <c r="E157" s="453"/>
      <c r="F157" s="455"/>
      <c r="G157" s="455"/>
      <c r="H157" s="453" t="s">
        <v>6684</v>
      </c>
      <c r="I157" s="453"/>
      <c r="J157" s="455"/>
      <c r="K157" s="457" t="s">
        <v>6133</v>
      </c>
      <c r="L157" s="456" t="s">
        <v>574</v>
      </c>
      <c r="M157" s="455"/>
      <c r="N157" s="455"/>
      <c r="O157" s="455"/>
      <c r="P157" s="455"/>
      <c r="Q157" s="455"/>
      <c r="R157" s="455"/>
      <c r="S157" s="455"/>
      <c r="T157" s="455"/>
      <c r="U157" s="455"/>
      <c r="V157" s="455"/>
      <c r="W157" s="455"/>
      <c r="X157" s="455"/>
      <c r="Y157" s="455"/>
      <c r="Z157" s="455"/>
    </row>
    <row r="158" ht="15.0" customHeight="1">
      <c r="A158" s="458" t="s">
        <v>6685</v>
      </c>
      <c r="B158" s="453" t="s">
        <v>6686</v>
      </c>
      <c r="C158" s="454" t="s">
        <v>6687</v>
      </c>
      <c r="D158" s="454">
        <f>+971505456323</f>
        <v>971505456323</v>
      </c>
      <c r="E158" s="453" t="s">
        <v>6688</v>
      </c>
      <c r="F158" s="455"/>
      <c r="G158" s="455"/>
      <c r="H158" s="453" t="s">
        <v>6324</v>
      </c>
      <c r="I158" s="453" t="s">
        <v>6689</v>
      </c>
      <c r="J158" s="455"/>
      <c r="K158" s="457" t="s">
        <v>6133</v>
      </c>
      <c r="L158" s="456" t="s">
        <v>574</v>
      </c>
      <c r="M158" s="455"/>
      <c r="N158" s="455"/>
      <c r="O158" s="455"/>
      <c r="P158" s="455"/>
      <c r="Q158" s="455"/>
      <c r="R158" s="455"/>
      <c r="S158" s="455"/>
      <c r="T158" s="455"/>
      <c r="U158" s="455"/>
      <c r="V158" s="455"/>
      <c r="W158" s="455"/>
      <c r="X158" s="455"/>
      <c r="Y158" s="455"/>
      <c r="Z158" s="455"/>
    </row>
    <row r="159">
      <c r="A159" s="547">
        <v>43765.0</v>
      </c>
      <c r="B159" s="453" t="s">
        <v>6690</v>
      </c>
      <c r="C159" s="454" t="s">
        <v>6691</v>
      </c>
      <c r="D159" s="458" t="s">
        <v>6692</v>
      </c>
      <c r="E159" s="455"/>
      <c r="F159" s="455"/>
      <c r="G159" s="455"/>
      <c r="H159" s="453" t="s">
        <v>6693</v>
      </c>
      <c r="I159" s="453"/>
      <c r="J159" s="453"/>
      <c r="K159" s="457" t="s">
        <v>6133</v>
      </c>
      <c r="L159" s="456" t="s">
        <v>251</v>
      </c>
      <c r="M159" s="455"/>
      <c r="N159" s="455"/>
      <c r="O159" s="455"/>
      <c r="P159" s="455"/>
      <c r="Q159" s="455"/>
      <c r="R159" s="455"/>
      <c r="S159" s="455"/>
      <c r="T159" s="455"/>
      <c r="U159" s="455"/>
      <c r="V159" s="455"/>
      <c r="W159" s="455"/>
      <c r="X159" s="455"/>
      <c r="Y159" s="455"/>
      <c r="Z159" s="455"/>
    </row>
    <row r="160">
      <c r="A160" s="547">
        <v>43765.0</v>
      </c>
      <c r="B160" s="453" t="s">
        <v>6694</v>
      </c>
      <c r="C160" s="454" t="s">
        <v>6695</v>
      </c>
      <c r="D160" s="458" t="s">
        <v>6696</v>
      </c>
      <c r="E160" s="455"/>
      <c r="F160" s="455"/>
      <c r="G160" s="455"/>
      <c r="H160" s="453"/>
      <c r="I160" s="453"/>
      <c r="J160" s="453"/>
      <c r="K160" s="457" t="s">
        <v>6133</v>
      </c>
      <c r="L160" s="456" t="s">
        <v>574</v>
      </c>
      <c r="M160" s="455"/>
      <c r="N160" s="455"/>
      <c r="O160" s="455"/>
      <c r="P160" s="455"/>
      <c r="Q160" s="455"/>
      <c r="R160" s="455"/>
      <c r="S160" s="455"/>
      <c r="T160" s="455"/>
      <c r="U160" s="455"/>
      <c r="V160" s="455"/>
      <c r="W160" s="455"/>
      <c r="X160" s="455"/>
      <c r="Y160" s="455"/>
      <c r="Z160" s="455"/>
    </row>
    <row r="161">
      <c r="A161" s="547">
        <v>43766.0</v>
      </c>
      <c r="B161" s="471" t="s">
        <v>6316</v>
      </c>
      <c r="C161" s="473" t="s">
        <v>3789</v>
      </c>
      <c r="D161" s="472" t="s">
        <v>3790</v>
      </c>
      <c r="E161" s="455"/>
      <c r="F161" s="455"/>
      <c r="G161" s="455"/>
      <c r="H161" s="453" t="s">
        <v>4192</v>
      </c>
      <c r="I161" s="453" t="s">
        <v>6697</v>
      </c>
      <c r="J161" s="453"/>
      <c r="K161" s="457" t="s">
        <v>6133</v>
      </c>
      <c r="L161" s="456" t="s">
        <v>979</v>
      </c>
      <c r="M161" s="455"/>
      <c r="N161" s="455"/>
      <c r="O161" s="455"/>
      <c r="P161" s="455"/>
      <c r="Q161" s="455"/>
      <c r="R161" s="455"/>
      <c r="S161" s="455"/>
      <c r="T161" s="455"/>
      <c r="U161" s="455"/>
      <c r="V161" s="455"/>
      <c r="W161" s="455"/>
      <c r="X161" s="455"/>
      <c r="Y161" s="455"/>
      <c r="Z161" s="455"/>
    </row>
    <row r="162">
      <c r="A162" s="547">
        <v>43766.0</v>
      </c>
      <c r="B162" s="453"/>
      <c r="C162" s="565" t="s">
        <v>6698</v>
      </c>
      <c r="D162" s="454"/>
      <c r="E162" s="455"/>
      <c r="F162" s="455"/>
      <c r="G162" s="455"/>
      <c r="H162" s="453" t="s">
        <v>3652</v>
      </c>
      <c r="I162" s="453"/>
      <c r="J162" s="453"/>
      <c r="K162" s="457" t="s">
        <v>6133</v>
      </c>
      <c r="L162" s="455"/>
      <c r="M162" s="455"/>
      <c r="N162" s="455"/>
      <c r="O162" s="455"/>
      <c r="P162" s="455"/>
      <c r="Q162" s="455"/>
      <c r="R162" s="455"/>
      <c r="S162" s="455"/>
      <c r="T162" s="455"/>
      <c r="U162" s="455"/>
      <c r="V162" s="455"/>
      <c r="W162" s="455"/>
      <c r="X162" s="455"/>
      <c r="Y162" s="455"/>
      <c r="Z162" s="455"/>
    </row>
    <row r="163">
      <c r="A163" s="547">
        <v>43768.0</v>
      </c>
      <c r="B163" s="467" t="s">
        <v>6699</v>
      </c>
      <c r="C163" s="566" t="s">
        <v>6700</v>
      </c>
      <c r="D163" s="562">
        <f>+962788002001</f>
        <v>962788002001</v>
      </c>
      <c r="E163" s="455"/>
      <c r="F163" s="455"/>
      <c r="G163" s="455"/>
      <c r="H163" s="467" t="s">
        <v>6701</v>
      </c>
      <c r="I163" s="467"/>
      <c r="J163" s="467"/>
      <c r="K163" s="457" t="s">
        <v>6133</v>
      </c>
      <c r="L163" s="456" t="s">
        <v>168</v>
      </c>
      <c r="M163" s="455"/>
      <c r="N163" s="455"/>
      <c r="O163" s="455"/>
      <c r="P163" s="455"/>
      <c r="Q163" s="455"/>
      <c r="R163" s="455"/>
      <c r="S163" s="455"/>
      <c r="T163" s="455"/>
      <c r="U163" s="455"/>
      <c r="V163" s="455"/>
      <c r="W163" s="455"/>
      <c r="X163" s="455"/>
      <c r="Y163" s="455"/>
      <c r="Z163" s="455"/>
    </row>
    <row r="164">
      <c r="A164" s="547">
        <v>43769.0</v>
      </c>
      <c r="B164" s="453" t="s">
        <v>6702</v>
      </c>
      <c r="C164" s="454" t="s">
        <v>6703</v>
      </c>
      <c r="D164" s="454">
        <f>+971553974589</f>
        <v>971553974589</v>
      </c>
      <c r="E164" s="455"/>
      <c r="F164" s="455"/>
      <c r="G164" s="455"/>
      <c r="H164" s="453" t="s">
        <v>3796</v>
      </c>
      <c r="I164" s="453" t="s">
        <v>6404</v>
      </c>
      <c r="J164" s="453"/>
      <c r="K164" s="457" t="s">
        <v>6133</v>
      </c>
      <c r="L164" s="456" t="s">
        <v>168</v>
      </c>
      <c r="M164" s="455"/>
      <c r="N164" s="455"/>
      <c r="O164" s="455"/>
      <c r="P164" s="455"/>
      <c r="Q164" s="455"/>
      <c r="R164" s="455"/>
      <c r="S164" s="455"/>
      <c r="T164" s="455"/>
      <c r="U164" s="455"/>
      <c r="V164" s="455"/>
      <c r="W164" s="455"/>
      <c r="X164" s="455"/>
      <c r="Y164" s="455"/>
      <c r="Z164" s="455"/>
    </row>
    <row r="165">
      <c r="A165" s="547">
        <v>43769.0</v>
      </c>
      <c r="B165" s="453" t="s">
        <v>6704</v>
      </c>
      <c r="C165" s="454" t="s">
        <v>6705</v>
      </c>
      <c r="D165" s="454">
        <f>+9620799771952</f>
        <v>9620799771952</v>
      </c>
      <c r="E165" s="455"/>
      <c r="F165" s="455"/>
      <c r="G165" s="455"/>
      <c r="H165" s="453" t="s">
        <v>3796</v>
      </c>
      <c r="I165" s="453" t="s">
        <v>6404</v>
      </c>
      <c r="J165" s="453"/>
      <c r="K165" s="457" t="s">
        <v>6133</v>
      </c>
      <c r="L165" s="456" t="s">
        <v>979</v>
      </c>
      <c r="M165" s="455"/>
      <c r="N165" s="455"/>
      <c r="O165" s="455"/>
      <c r="P165" s="455"/>
      <c r="Q165" s="455"/>
      <c r="R165" s="455"/>
      <c r="S165" s="455"/>
      <c r="T165" s="455"/>
      <c r="U165" s="455"/>
      <c r="V165" s="455"/>
      <c r="W165" s="455"/>
      <c r="X165" s="455"/>
      <c r="Y165" s="455"/>
      <c r="Z165" s="455"/>
    </row>
    <row r="166">
      <c r="A166" s="547">
        <v>43769.0</v>
      </c>
      <c r="B166" s="453" t="s">
        <v>6706</v>
      </c>
      <c r="C166" s="454" t="s">
        <v>6707</v>
      </c>
      <c r="D166" s="454">
        <f>+97160470403</f>
        <v>97160470403</v>
      </c>
      <c r="E166" s="453"/>
      <c r="F166" s="455"/>
      <c r="G166" s="455"/>
      <c r="H166" s="453" t="s">
        <v>3796</v>
      </c>
      <c r="I166" s="453"/>
      <c r="J166" s="453"/>
      <c r="K166" s="457" t="s">
        <v>6133</v>
      </c>
      <c r="L166" s="456" t="s">
        <v>979</v>
      </c>
      <c r="M166" s="455"/>
      <c r="N166" s="455"/>
      <c r="O166" s="455"/>
      <c r="P166" s="455"/>
      <c r="Q166" s="455"/>
      <c r="R166" s="455"/>
      <c r="S166" s="455"/>
      <c r="T166" s="455"/>
      <c r="U166" s="455"/>
      <c r="V166" s="455"/>
      <c r="W166" s="455"/>
      <c r="X166" s="455"/>
      <c r="Y166" s="455"/>
      <c r="Z166" s="455"/>
    </row>
    <row r="167">
      <c r="A167" s="547">
        <v>43769.0</v>
      </c>
      <c r="B167" s="453" t="s">
        <v>6708</v>
      </c>
      <c r="C167" s="454" t="s">
        <v>6709</v>
      </c>
      <c r="D167" s="454">
        <f>+971556642311</f>
        <v>971556642311</v>
      </c>
      <c r="E167" s="453"/>
      <c r="F167" s="455"/>
      <c r="G167" s="455"/>
      <c r="H167" s="453" t="s">
        <v>3796</v>
      </c>
      <c r="I167" s="453"/>
      <c r="J167" s="453"/>
      <c r="K167" s="457" t="s">
        <v>6133</v>
      </c>
      <c r="L167" s="456" t="s">
        <v>168</v>
      </c>
      <c r="M167" s="455"/>
      <c r="N167" s="455"/>
      <c r="O167" s="455"/>
      <c r="P167" s="455"/>
      <c r="Q167" s="455"/>
      <c r="R167" s="455"/>
      <c r="S167" s="455"/>
      <c r="T167" s="455"/>
      <c r="U167" s="455"/>
      <c r="V167" s="455"/>
      <c r="W167" s="455"/>
      <c r="X167" s="455"/>
      <c r="Y167" s="455"/>
      <c r="Z167" s="455"/>
    </row>
    <row r="168">
      <c r="A168" s="547">
        <v>43769.0</v>
      </c>
      <c r="B168" s="471" t="s">
        <v>6710</v>
      </c>
      <c r="C168" s="473" t="s">
        <v>6711</v>
      </c>
      <c r="D168" s="472" t="s">
        <v>6712</v>
      </c>
      <c r="E168" s="453"/>
      <c r="F168" s="455"/>
      <c r="G168" s="455"/>
      <c r="H168" s="453" t="s">
        <v>4192</v>
      </c>
      <c r="I168" s="453" t="s">
        <v>6404</v>
      </c>
      <c r="J168" s="453"/>
      <c r="K168" s="457" t="s">
        <v>6133</v>
      </c>
      <c r="L168" s="456" t="s">
        <v>574</v>
      </c>
      <c r="M168" s="455"/>
      <c r="N168" s="455"/>
      <c r="O168" s="455"/>
      <c r="P168" s="455"/>
      <c r="Q168" s="455"/>
      <c r="R168" s="455"/>
      <c r="S168" s="455"/>
      <c r="T168" s="455"/>
      <c r="U168" s="455"/>
      <c r="V168" s="455"/>
      <c r="W168" s="455"/>
      <c r="X168" s="455"/>
      <c r="Y168" s="455"/>
      <c r="Z168" s="455"/>
    </row>
    <row r="169">
      <c r="A169" s="458" t="s">
        <v>6713</v>
      </c>
      <c r="B169" s="453" t="s">
        <v>6714</v>
      </c>
      <c r="C169" s="454" t="s">
        <v>6715</v>
      </c>
      <c r="D169" s="454">
        <f>+966581320830</f>
        <v>966581320830</v>
      </c>
      <c r="E169" s="453"/>
      <c r="F169" s="455"/>
      <c r="G169" s="455"/>
      <c r="H169" s="453" t="s">
        <v>6701</v>
      </c>
      <c r="I169" s="453"/>
      <c r="J169" s="453"/>
      <c r="K169" s="457" t="s">
        <v>6133</v>
      </c>
      <c r="L169" s="456" t="s">
        <v>574</v>
      </c>
      <c r="M169" s="455"/>
      <c r="N169" s="455"/>
      <c r="O169" s="455"/>
      <c r="P169" s="455"/>
      <c r="Q169" s="455"/>
      <c r="R169" s="455"/>
      <c r="S169" s="455"/>
      <c r="T169" s="455"/>
      <c r="U169" s="455"/>
      <c r="V169" s="455"/>
      <c r="W169" s="455"/>
      <c r="X169" s="455"/>
      <c r="Y169" s="455"/>
      <c r="Z169" s="455"/>
    </row>
    <row r="170">
      <c r="A170" s="458" t="s">
        <v>6716</v>
      </c>
      <c r="B170" s="453" t="s">
        <v>6717</v>
      </c>
      <c r="C170" s="454" t="s">
        <v>6718</v>
      </c>
      <c r="D170" s="454">
        <v>7.917134577E9</v>
      </c>
      <c r="E170" s="453"/>
      <c r="F170" s="455"/>
      <c r="G170" s="455"/>
      <c r="H170" s="453" t="s">
        <v>3796</v>
      </c>
      <c r="I170" s="455"/>
      <c r="J170" s="455"/>
      <c r="K170" s="457" t="s">
        <v>6133</v>
      </c>
      <c r="L170" s="456" t="s">
        <v>251</v>
      </c>
      <c r="M170" s="455"/>
      <c r="N170" s="455"/>
      <c r="O170" s="455"/>
      <c r="P170" s="455"/>
      <c r="Q170" s="455"/>
      <c r="R170" s="455"/>
      <c r="S170" s="455"/>
      <c r="T170" s="455"/>
      <c r="U170" s="455"/>
      <c r="V170" s="455"/>
      <c r="W170" s="455"/>
      <c r="X170" s="455"/>
      <c r="Y170" s="455"/>
      <c r="Z170" s="455"/>
    </row>
    <row r="171">
      <c r="A171" s="534" t="s">
        <v>6716</v>
      </c>
      <c r="B171" s="506" t="s">
        <v>6719</v>
      </c>
      <c r="C171" s="507" t="s">
        <v>6720</v>
      </c>
      <c r="D171" s="534" t="s">
        <v>6721</v>
      </c>
      <c r="E171" s="506"/>
      <c r="F171" s="483"/>
      <c r="G171" s="483"/>
      <c r="H171" s="506" t="s">
        <v>6722</v>
      </c>
      <c r="I171" s="483"/>
      <c r="J171" s="483"/>
      <c r="K171" s="509" t="s">
        <v>6133</v>
      </c>
      <c r="L171" s="511" t="s">
        <v>979</v>
      </c>
      <c r="M171" s="483"/>
      <c r="N171" s="483"/>
      <c r="O171" s="483"/>
      <c r="P171" s="483"/>
      <c r="Q171" s="483"/>
      <c r="R171" s="483"/>
      <c r="S171" s="483"/>
      <c r="T171" s="483"/>
      <c r="U171" s="483"/>
      <c r="V171" s="483"/>
      <c r="W171" s="483"/>
      <c r="X171" s="483"/>
      <c r="Y171" s="483"/>
      <c r="Z171" s="483"/>
    </row>
    <row r="172" ht="16.5" customHeight="1">
      <c r="A172" s="525" t="s">
        <v>6723</v>
      </c>
      <c r="B172" s="512" t="s">
        <v>6724</v>
      </c>
      <c r="C172" s="513" t="s">
        <v>6725</v>
      </c>
      <c r="D172" s="525" t="s">
        <v>6726</v>
      </c>
      <c r="E172" s="514"/>
      <c r="F172" s="514"/>
      <c r="G172" s="514"/>
      <c r="H172" s="512" t="s">
        <v>4192</v>
      </c>
      <c r="I172" s="512" t="s">
        <v>6727</v>
      </c>
      <c r="J172" s="514"/>
      <c r="K172" s="516" t="s">
        <v>6133</v>
      </c>
      <c r="L172" s="514"/>
      <c r="M172" s="483"/>
      <c r="N172" s="483"/>
      <c r="O172" s="483"/>
      <c r="P172" s="483"/>
      <c r="Q172" s="483"/>
      <c r="R172" s="483"/>
      <c r="S172" s="483"/>
      <c r="T172" s="483"/>
      <c r="U172" s="483"/>
      <c r="V172" s="483"/>
      <c r="W172" s="483"/>
      <c r="X172" s="483"/>
      <c r="Y172" s="483"/>
      <c r="Z172" s="483"/>
    </row>
    <row r="173">
      <c r="A173" s="567">
        <v>43780.0</v>
      </c>
      <c r="B173" s="460" t="s">
        <v>6728</v>
      </c>
      <c r="C173" s="461" t="s">
        <v>6729</v>
      </c>
      <c r="D173" s="475" t="s">
        <v>6730</v>
      </c>
      <c r="E173" s="462"/>
      <c r="F173" s="462"/>
      <c r="G173" s="462"/>
      <c r="H173" s="460" t="s">
        <v>3822</v>
      </c>
      <c r="I173" s="462"/>
      <c r="J173" s="462"/>
      <c r="K173" s="463" t="s">
        <v>6133</v>
      </c>
      <c r="L173" s="476" t="s">
        <v>6731</v>
      </c>
      <c r="M173" s="455"/>
      <c r="N173" s="455"/>
      <c r="O173" s="455"/>
      <c r="P173" s="455"/>
      <c r="Q173" s="455"/>
      <c r="R173" s="455"/>
      <c r="S173" s="455"/>
      <c r="T173" s="455"/>
      <c r="U173" s="455"/>
      <c r="V173" s="455"/>
      <c r="W173" s="455"/>
      <c r="X173" s="455"/>
      <c r="Y173" s="455"/>
      <c r="Z173" s="455"/>
    </row>
    <row r="174">
      <c r="A174" s="475" t="s">
        <v>6732</v>
      </c>
      <c r="B174" s="460" t="s">
        <v>6733</v>
      </c>
      <c r="C174" s="461" t="s">
        <v>6734</v>
      </c>
      <c r="D174" s="461">
        <f>+971502360368</f>
        <v>971502360368</v>
      </c>
      <c r="E174" s="462"/>
      <c r="F174" s="462"/>
      <c r="G174" s="462"/>
      <c r="H174" s="460" t="s">
        <v>4036</v>
      </c>
      <c r="I174" s="462"/>
      <c r="J174" s="462"/>
      <c r="K174" s="463" t="s">
        <v>6133</v>
      </c>
      <c r="L174" s="476" t="s">
        <v>6735</v>
      </c>
      <c r="M174" s="455"/>
      <c r="N174" s="455"/>
      <c r="O174" s="455"/>
      <c r="P174" s="455"/>
      <c r="Q174" s="455"/>
      <c r="R174" s="455"/>
      <c r="S174" s="455"/>
      <c r="T174" s="455"/>
      <c r="U174" s="455"/>
      <c r="V174" s="455"/>
      <c r="W174" s="455"/>
      <c r="X174" s="455"/>
      <c r="Y174" s="455"/>
      <c r="Z174" s="455"/>
    </row>
    <row r="175">
      <c r="A175" s="458" t="s">
        <v>6736</v>
      </c>
      <c r="B175" s="453" t="s">
        <v>6737</v>
      </c>
      <c r="C175" s="454" t="s">
        <v>6738</v>
      </c>
      <c r="D175" s="454">
        <f>+9109820281810</f>
        <v>9109820281810</v>
      </c>
      <c r="E175" s="453"/>
      <c r="F175" s="455"/>
      <c r="G175" s="455"/>
      <c r="H175" s="453" t="s">
        <v>4036</v>
      </c>
      <c r="I175" s="455"/>
      <c r="J175" s="455"/>
      <c r="K175" s="457" t="s">
        <v>6133</v>
      </c>
      <c r="L175" s="456" t="s">
        <v>3613</v>
      </c>
      <c r="M175" s="455"/>
      <c r="N175" s="455"/>
      <c r="O175" s="455"/>
      <c r="P175" s="455"/>
      <c r="Q175" s="455"/>
      <c r="R175" s="455"/>
      <c r="S175" s="455"/>
      <c r="T175" s="455"/>
      <c r="U175" s="455"/>
      <c r="V175" s="455"/>
      <c r="W175" s="455"/>
      <c r="X175" s="455"/>
      <c r="Y175" s="455"/>
      <c r="Z175" s="455"/>
    </row>
    <row r="176">
      <c r="A176" s="458" t="s">
        <v>6739</v>
      </c>
      <c r="B176" s="453" t="s">
        <v>6740</v>
      </c>
      <c r="C176" s="458" t="s">
        <v>6741</v>
      </c>
      <c r="D176" s="458" t="s">
        <v>6742</v>
      </c>
      <c r="E176" s="455"/>
      <c r="F176" s="455"/>
      <c r="G176" s="455"/>
      <c r="H176" s="453" t="s">
        <v>3852</v>
      </c>
      <c r="I176" s="455"/>
      <c r="J176" s="455"/>
      <c r="K176" s="457" t="s">
        <v>6133</v>
      </c>
      <c r="L176" s="456" t="s">
        <v>4589</v>
      </c>
      <c r="M176" s="455"/>
      <c r="N176" s="455"/>
      <c r="O176" s="455"/>
      <c r="P176" s="455"/>
      <c r="Q176" s="455"/>
      <c r="R176" s="455"/>
      <c r="S176" s="455"/>
      <c r="T176" s="455"/>
      <c r="U176" s="455"/>
      <c r="V176" s="455"/>
      <c r="W176" s="455"/>
      <c r="X176" s="455"/>
      <c r="Y176" s="455"/>
      <c r="Z176" s="455"/>
    </row>
    <row r="177">
      <c r="A177" s="458" t="s">
        <v>6739</v>
      </c>
      <c r="B177" s="453" t="s">
        <v>6743</v>
      </c>
      <c r="C177" s="454" t="s">
        <v>6744</v>
      </c>
      <c r="D177" s="458" t="s">
        <v>6745</v>
      </c>
      <c r="E177" s="455"/>
      <c r="F177" s="455"/>
      <c r="G177" s="455"/>
      <c r="H177" s="453" t="s">
        <v>6746</v>
      </c>
      <c r="I177" s="455"/>
      <c r="J177" s="455"/>
      <c r="K177" s="457" t="s">
        <v>6133</v>
      </c>
      <c r="L177" s="456" t="s">
        <v>3613</v>
      </c>
      <c r="M177" s="455"/>
      <c r="N177" s="455"/>
      <c r="O177" s="455"/>
      <c r="P177" s="455"/>
      <c r="Q177" s="455"/>
      <c r="R177" s="455"/>
      <c r="S177" s="455"/>
      <c r="T177" s="455"/>
      <c r="U177" s="455"/>
      <c r="V177" s="455"/>
      <c r="W177" s="455"/>
      <c r="X177" s="455"/>
      <c r="Y177" s="455"/>
      <c r="Z177" s="455"/>
    </row>
    <row r="178">
      <c r="A178" s="458" t="s">
        <v>6739</v>
      </c>
      <c r="B178" s="453" t="s">
        <v>6747</v>
      </c>
      <c r="C178" s="454" t="s">
        <v>6748</v>
      </c>
      <c r="D178" s="458" t="s">
        <v>6749</v>
      </c>
      <c r="E178" s="455"/>
      <c r="F178" s="455"/>
      <c r="G178" s="455"/>
      <c r="H178" s="453" t="s">
        <v>6750</v>
      </c>
      <c r="I178" s="455"/>
      <c r="J178" s="455"/>
      <c r="K178" s="457" t="s">
        <v>6133</v>
      </c>
      <c r="L178" s="456" t="s">
        <v>574</v>
      </c>
      <c r="M178" s="455"/>
      <c r="N178" s="455"/>
      <c r="O178" s="455"/>
      <c r="P178" s="455"/>
      <c r="Q178" s="455"/>
      <c r="R178" s="455"/>
      <c r="S178" s="455"/>
      <c r="T178" s="455"/>
      <c r="U178" s="455"/>
      <c r="V178" s="455"/>
      <c r="W178" s="455"/>
      <c r="X178" s="455"/>
      <c r="Y178" s="455"/>
      <c r="Z178" s="455"/>
    </row>
    <row r="179">
      <c r="A179" s="458" t="s">
        <v>6739</v>
      </c>
      <c r="B179" s="453" t="s">
        <v>6751</v>
      </c>
      <c r="C179" s="454" t="s">
        <v>6752</v>
      </c>
      <c r="D179" s="458" t="s">
        <v>6753</v>
      </c>
      <c r="E179" s="455"/>
      <c r="F179" s="455"/>
      <c r="G179" s="455"/>
      <c r="H179" s="453" t="s">
        <v>3852</v>
      </c>
      <c r="I179" s="455"/>
      <c r="J179" s="455"/>
      <c r="K179" s="457" t="s">
        <v>6133</v>
      </c>
      <c r="L179" s="456" t="s">
        <v>6754</v>
      </c>
      <c r="M179" s="455"/>
      <c r="N179" s="455"/>
      <c r="O179" s="455"/>
      <c r="P179" s="455"/>
      <c r="Q179" s="455"/>
      <c r="R179" s="455"/>
      <c r="S179" s="455"/>
      <c r="T179" s="455"/>
      <c r="U179" s="455"/>
      <c r="V179" s="455"/>
      <c r="W179" s="455"/>
      <c r="X179" s="455"/>
      <c r="Y179" s="455"/>
      <c r="Z179" s="455"/>
    </row>
    <row r="180">
      <c r="A180" s="568">
        <v>43786.0</v>
      </c>
      <c r="B180" s="471" t="s">
        <v>6755</v>
      </c>
      <c r="C180" s="473" t="s">
        <v>6756</v>
      </c>
      <c r="D180" s="472" t="s">
        <v>6757</v>
      </c>
      <c r="E180" s="455"/>
      <c r="F180" s="455"/>
      <c r="G180" s="455"/>
      <c r="H180" s="453" t="s">
        <v>3652</v>
      </c>
      <c r="I180" s="455"/>
      <c r="J180" s="455"/>
      <c r="K180" s="457" t="s">
        <v>6133</v>
      </c>
      <c r="L180" s="456" t="s">
        <v>574</v>
      </c>
      <c r="M180" s="455"/>
      <c r="N180" s="455"/>
      <c r="O180" s="455"/>
      <c r="P180" s="455"/>
      <c r="Q180" s="455"/>
      <c r="R180" s="455"/>
      <c r="S180" s="455"/>
      <c r="T180" s="455"/>
      <c r="U180" s="455"/>
      <c r="V180" s="455"/>
      <c r="W180" s="455"/>
      <c r="X180" s="455"/>
      <c r="Y180" s="455"/>
      <c r="Z180" s="455"/>
    </row>
    <row r="181">
      <c r="A181" s="569">
        <v>43787.0</v>
      </c>
      <c r="B181" s="453" t="s">
        <v>6758</v>
      </c>
      <c r="C181" s="454" t="s">
        <v>6759</v>
      </c>
      <c r="D181" s="458" t="s">
        <v>6760</v>
      </c>
      <c r="E181" s="455"/>
      <c r="F181" s="455"/>
      <c r="G181" s="455"/>
      <c r="H181" s="453" t="s">
        <v>6746</v>
      </c>
      <c r="I181" s="453" t="s">
        <v>6761</v>
      </c>
      <c r="J181" s="455"/>
      <c r="K181" s="457" t="s">
        <v>6133</v>
      </c>
      <c r="L181" s="456" t="s">
        <v>979</v>
      </c>
      <c r="M181" s="455"/>
      <c r="N181" s="455"/>
      <c r="O181" s="455"/>
      <c r="P181" s="455"/>
      <c r="Q181" s="455"/>
      <c r="R181" s="455"/>
      <c r="S181" s="455"/>
      <c r="T181" s="455"/>
      <c r="U181" s="455"/>
      <c r="V181" s="455"/>
      <c r="W181" s="455"/>
      <c r="X181" s="455"/>
      <c r="Y181" s="455"/>
      <c r="Z181" s="455"/>
    </row>
    <row r="182" ht="18.75" customHeight="1">
      <c r="A182" s="569">
        <v>43787.0</v>
      </c>
      <c r="B182" s="468" t="s">
        <v>6762</v>
      </c>
      <c r="C182" s="469" t="s">
        <v>6763</v>
      </c>
      <c r="D182" s="469">
        <v>9.71561822432E11</v>
      </c>
      <c r="E182" s="455"/>
      <c r="F182" s="455"/>
      <c r="G182" s="455"/>
      <c r="H182" s="468" t="s">
        <v>3845</v>
      </c>
      <c r="I182" s="453" t="s">
        <v>6764</v>
      </c>
      <c r="J182" s="455"/>
      <c r="K182" s="457" t="s">
        <v>6133</v>
      </c>
      <c r="L182" s="456" t="s">
        <v>979</v>
      </c>
      <c r="M182" s="455"/>
      <c r="N182" s="455"/>
      <c r="O182" s="455"/>
      <c r="P182" s="455"/>
      <c r="Q182" s="455"/>
      <c r="R182" s="455"/>
      <c r="S182" s="455"/>
      <c r="T182" s="455"/>
      <c r="U182" s="455"/>
      <c r="V182" s="455"/>
      <c r="W182" s="455"/>
      <c r="X182" s="455"/>
      <c r="Y182" s="455"/>
      <c r="Z182" s="455"/>
    </row>
    <row r="183" ht="18.75" customHeight="1">
      <c r="A183" s="568">
        <v>43788.0</v>
      </c>
      <c r="B183" s="468" t="s">
        <v>6765</v>
      </c>
      <c r="C183" s="469" t="s">
        <v>6766</v>
      </c>
      <c r="D183" s="469">
        <f>+971561334453</f>
        <v>971561334453</v>
      </c>
      <c r="E183" s="479"/>
      <c r="F183" s="479"/>
      <c r="G183" s="469"/>
      <c r="H183" s="468" t="s">
        <v>6767</v>
      </c>
      <c r="I183" s="570" t="s">
        <v>6768</v>
      </c>
      <c r="J183" s="468" t="s">
        <v>6769</v>
      </c>
      <c r="K183" s="457" t="s">
        <v>6133</v>
      </c>
      <c r="L183" s="456" t="s">
        <v>2077</v>
      </c>
      <c r="M183" s="455"/>
      <c r="N183" s="455"/>
      <c r="O183" s="455"/>
      <c r="P183" s="455"/>
      <c r="Q183" s="455"/>
      <c r="R183" s="455"/>
      <c r="S183" s="455"/>
      <c r="T183" s="455"/>
      <c r="U183" s="455"/>
      <c r="V183" s="455"/>
      <c r="W183" s="455"/>
      <c r="X183" s="455"/>
      <c r="Y183" s="455"/>
      <c r="Z183" s="455"/>
    </row>
    <row r="184" ht="18.75" customHeight="1">
      <c r="A184" s="571">
        <v>43789.0</v>
      </c>
      <c r="B184" s="460" t="s">
        <v>6770</v>
      </c>
      <c r="C184" s="461" t="s">
        <v>6771</v>
      </c>
      <c r="D184" s="461">
        <f>+971504464824</f>
        <v>971504464824</v>
      </c>
      <c r="E184" s="462"/>
      <c r="F184" s="462"/>
      <c r="G184" s="462"/>
      <c r="H184" s="460" t="s">
        <v>6772</v>
      </c>
      <c r="I184" s="460" t="s">
        <v>6773</v>
      </c>
      <c r="J184" s="462"/>
      <c r="K184" s="463" t="s">
        <v>6133</v>
      </c>
      <c r="L184" s="476" t="s">
        <v>6774</v>
      </c>
      <c r="M184" s="500"/>
      <c r="N184" s="500"/>
      <c r="O184" s="500"/>
      <c r="P184" s="500"/>
      <c r="Q184" s="500"/>
      <c r="R184" s="500"/>
      <c r="S184" s="500"/>
      <c r="T184" s="500"/>
      <c r="U184" s="500"/>
      <c r="V184" s="500"/>
      <c r="W184" s="500"/>
      <c r="X184" s="500"/>
      <c r="Y184" s="500"/>
      <c r="Z184" s="500"/>
    </row>
    <row r="185" ht="18.75" customHeight="1">
      <c r="A185" s="572">
        <v>43789.0</v>
      </c>
      <c r="B185" s="548" t="s">
        <v>6775</v>
      </c>
      <c r="C185" s="573" t="s">
        <v>6776</v>
      </c>
      <c r="D185" s="550" t="s">
        <v>6777</v>
      </c>
      <c r="E185" s="500"/>
      <c r="F185" s="500"/>
      <c r="G185" s="500"/>
      <c r="H185" s="551" t="s">
        <v>6746</v>
      </c>
      <c r="I185" s="551" t="s">
        <v>6778</v>
      </c>
      <c r="J185" s="500"/>
      <c r="K185" s="524" t="s">
        <v>6133</v>
      </c>
      <c r="L185" s="466" t="s">
        <v>251</v>
      </c>
      <c r="M185" s="500"/>
      <c r="N185" s="500"/>
      <c r="O185" s="500"/>
      <c r="P185" s="500"/>
      <c r="Q185" s="500"/>
      <c r="R185" s="500"/>
      <c r="S185" s="500"/>
      <c r="T185" s="500"/>
      <c r="U185" s="500"/>
      <c r="V185" s="500"/>
      <c r="W185" s="500"/>
      <c r="X185" s="500"/>
      <c r="Y185" s="500"/>
      <c r="Z185" s="500"/>
    </row>
    <row r="186" ht="19.5" customHeight="1">
      <c r="A186" s="574">
        <v>43792.0</v>
      </c>
      <c r="B186" s="552" t="s">
        <v>6779</v>
      </c>
      <c r="C186" s="505" t="s">
        <v>6780</v>
      </c>
      <c r="D186" s="505">
        <f>+9710503420157</f>
        <v>9710503420157</v>
      </c>
      <c r="E186" s="553"/>
      <c r="F186" s="553"/>
      <c r="G186" s="553"/>
      <c r="H186" s="505" t="s">
        <v>6577</v>
      </c>
      <c r="I186" s="552" t="s">
        <v>6781</v>
      </c>
      <c r="J186" s="553"/>
      <c r="K186" s="554" t="s">
        <v>6133</v>
      </c>
      <c r="L186" s="464" t="s">
        <v>6782</v>
      </c>
      <c r="M186" s="553"/>
      <c r="N186" s="553"/>
      <c r="O186" s="500"/>
      <c r="P186" s="500"/>
      <c r="Q186" s="500"/>
      <c r="R186" s="500"/>
      <c r="S186" s="500"/>
      <c r="T186" s="500"/>
      <c r="U186" s="500"/>
      <c r="V186" s="500"/>
      <c r="W186" s="500"/>
      <c r="X186" s="500"/>
      <c r="Y186" s="500"/>
      <c r="Z186" s="500"/>
    </row>
    <row r="187" ht="18.75" customHeight="1">
      <c r="A187" s="571">
        <v>43792.0</v>
      </c>
      <c r="B187" s="460" t="s">
        <v>6783</v>
      </c>
      <c r="C187" s="461" t="s">
        <v>6784</v>
      </c>
      <c r="D187" s="475" t="s">
        <v>6785</v>
      </c>
      <c r="E187" s="462"/>
      <c r="F187" s="462"/>
      <c r="G187" s="462"/>
      <c r="H187" s="461" t="s">
        <v>3803</v>
      </c>
      <c r="I187" s="460" t="s">
        <v>6786</v>
      </c>
      <c r="J187" s="462"/>
      <c r="K187" s="463" t="s">
        <v>6133</v>
      </c>
      <c r="L187" s="476" t="s">
        <v>6787</v>
      </c>
      <c r="M187" s="455"/>
      <c r="N187" s="455"/>
      <c r="O187" s="455"/>
      <c r="P187" s="455"/>
      <c r="Q187" s="455"/>
      <c r="R187" s="455"/>
      <c r="S187" s="455"/>
      <c r="T187" s="455"/>
      <c r="U187" s="455"/>
      <c r="V187" s="455"/>
      <c r="W187" s="455"/>
      <c r="X187" s="455"/>
      <c r="Y187" s="455"/>
      <c r="Z187" s="455"/>
    </row>
    <row r="188" ht="18.0" customHeight="1">
      <c r="A188" s="572">
        <v>43792.0</v>
      </c>
      <c r="B188" s="551" t="s">
        <v>6788</v>
      </c>
      <c r="C188" s="558" t="s">
        <v>6789</v>
      </c>
      <c r="D188" s="546" t="s">
        <v>6790</v>
      </c>
      <c r="E188" s="500"/>
      <c r="F188" s="500"/>
      <c r="G188" s="500"/>
      <c r="H188" s="558" t="s">
        <v>6791</v>
      </c>
      <c r="I188" s="551" t="s">
        <v>6792</v>
      </c>
      <c r="J188" s="500"/>
      <c r="K188" s="524" t="s">
        <v>6133</v>
      </c>
      <c r="L188" s="466" t="s">
        <v>6793</v>
      </c>
      <c r="M188" s="500"/>
      <c r="N188" s="500"/>
      <c r="O188" s="500"/>
      <c r="P188" s="500"/>
      <c r="Q188" s="500"/>
      <c r="R188" s="500"/>
      <c r="S188" s="500"/>
      <c r="T188" s="500"/>
      <c r="U188" s="500"/>
      <c r="V188" s="500"/>
      <c r="W188" s="500"/>
      <c r="X188" s="500"/>
      <c r="Y188" s="500"/>
      <c r="Z188" s="500"/>
    </row>
    <row r="189">
      <c r="A189" s="569">
        <v>43792.0</v>
      </c>
      <c r="B189" s="468" t="s">
        <v>6794</v>
      </c>
      <c r="C189" s="469" t="s">
        <v>6795</v>
      </c>
      <c r="D189" s="469" t="s">
        <v>6796</v>
      </c>
      <c r="E189" s="455"/>
      <c r="F189" s="455"/>
      <c r="G189" s="455"/>
      <c r="H189" s="469" t="s">
        <v>3822</v>
      </c>
      <c r="I189" s="455"/>
      <c r="J189" s="455"/>
      <c r="K189" s="457" t="s">
        <v>6133</v>
      </c>
      <c r="L189" s="456" t="s">
        <v>574</v>
      </c>
      <c r="M189" s="455"/>
      <c r="N189" s="455"/>
      <c r="O189" s="455"/>
      <c r="P189" s="455"/>
      <c r="Q189" s="455"/>
      <c r="R189" s="455"/>
      <c r="S189" s="455"/>
      <c r="T189" s="455"/>
      <c r="U189" s="455"/>
      <c r="V189" s="455"/>
      <c r="W189" s="455"/>
      <c r="X189" s="455"/>
      <c r="Y189" s="455"/>
      <c r="Z189" s="455"/>
    </row>
    <row r="190">
      <c r="A190" s="575">
        <v>43792.0</v>
      </c>
      <c r="B190" s="576" t="s">
        <v>6797</v>
      </c>
      <c r="C190" s="577" t="s">
        <v>6798</v>
      </c>
      <c r="D190" s="578" t="s">
        <v>6799</v>
      </c>
      <c r="E190" s="539"/>
      <c r="F190" s="539"/>
      <c r="G190" s="539"/>
      <c r="H190" s="577" t="s">
        <v>3822</v>
      </c>
      <c r="I190" s="539"/>
      <c r="J190" s="539"/>
      <c r="K190" s="540" t="s">
        <v>6133</v>
      </c>
      <c r="L190" s="541" t="s">
        <v>6800</v>
      </c>
      <c r="M190" s="455"/>
      <c r="N190" s="455"/>
      <c r="O190" s="455"/>
      <c r="P190" s="455"/>
      <c r="Q190" s="455"/>
      <c r="R190" s="455"/>
      <c r="S190" s="455"/>
      <c r="T190" s="455"/>
      <c r="U190" s="455"/>
      <c r="V190" s="455"/>
      <c r="W190" s="455"/>
      <c r="X190" s="455"/>
      <c r="Y190" s="455"/>
      <c r="Z190" s="455"/>
    </row>
    <row r="191">
      <c r="A191" s="569">
        <v>43793.0</v>
      </c>
      <c r="B191" s="453" t="s">
        <v>6801</v>
      </c>
      <c r="C191" s="454" t="s">
        <v>6802</v>
      </c>
      <c r="D191" s="454">
        <v>9.66592991316E11</v>
      </c>
      <c r="E191" s="455"/>
      <c r="F191" s="455"/>
      <c r="G191" s="455"/>
      <c r="H191" s="454" t="s">
        <v>6772</v>
      </c>
      <c r="I191" s="455"/>
      <c r="J191" s="455"/>
      <c r="K191" s="457" t="s">
        <v>6133</v>
      </c>
      <c r="L191" s="456" t="s">
        <v>251</v>
      </c>
      <c r="M191" s="455"/>
      <c r="N191" s="455"/>
      <c r="O191" s="455"/>
      <c r="P191" s="455"/>
      <c r="Q191" s="455"/>
      <c r="R191" s="455"/>
      <c r="S191" s="455"/>
      <c r="T191" s="455"/>
      <c r="U191" s="455"/>
      <c r="V191" s="455"/>
      <c r="W191" s="455"/>
      <c r="X191" s="455"/>
      <c r="Y191" s="455"/>
      <c r="Z191" s="455"/>
    </row>
    <row r="192">
      <c r="A192" s="569">
        <v>43794.0</v>
      </c>
      <c r="B192" s="453" t="s">
        <v>6316</v>
      </c>
      <c r="C192" s="454" t="s">
        <v>6803</v>
      </c>
      <c r="D192" s="458" t="s">
        <v>6804</v>
      </c>
      <c r="E192" s="455"/>
      <c r="F192" s="455"/>
      <c r="G192" s="455"/>
      <c r="H192" s="454" t="s">
        <v>6805</v>
      </c>
      <c r="I192" s="455"/>
      <c r="J192" s="455"/>
      <c r="K192" s="457" t="s">
        <v>6133</v>
      </c>
      <c r="L192" s="456" t="s">
        <v>168</v>
      </c>
      <c r="M192" s="455"/>
      <c r="N192" s="455"/>
      <c r="O192" s="455"/>
      <c r="P192" s="455"/>
      <c r="Q192" s="455"/>
      <c r="R192" s="455"/>
      <c r="S192" s="455"/>
      <c r="T192" s="455"/>
      <c r="U192" s="455"/>
      <c r="V192" s="455"/>
      <c r="W192" s="455"/>
      <c r="X192" s="455"/>
      <c r="Y192" s="455"/>
      <c r="Z192" s="455"/>
    </row>
    <row r="193">
      <c r="A193" s="568">
        <v>43795.0</v>
      </c>
      <c r="B193" s="453" t="s">
        <v>6806</v>
      </c>
      <c r="C193" s="454" t="s">
        <v>6807</v>
      </c>
      <c r="D193" s="454">
        <f>+447737729996</f>
        <v>447737729996</v>
      </c>
      <c r="E193" s="455"/>
      <c r="F193" s="455"/>
      <c r="G193" s="455"/>
      <c r="H193" s="454" t="s">
        <v>3782</v>
      </c>
      <c r="I193" s="455"/>
      <c r="J193" s="455"/>
      <c r="K193" s="457" t="s">
        <v>6133</v>
      </c>
      <c r="L193" s="456" t="s">
        <v>574</v>
      </c>
      <c r="M193" s="455"/>
      <c r="N193" s="455"/>
      <c r="O193" s="455"/>
      <c r="P193" s="455"/>
      <c r="Q193" s="455"/>
      <c r="R193" s="455"/>
      <c r="S193" s="455"/>
      <c r="T193" s="455"/>
      <c r="U193" s="455"/>
      <c r="V193" s="455"/>
      <c r="W193" s="455"/>
      <c r="X193" s="455"/>
      <c r="Y193" s="455"/>
      <c r="Z193" s="455"/>
    </row>
    <row r="194">
      <c r="A194" s="568">
        <v>43795.0</v>
      </c>
      <c r="B194" s="453" t="s">
        <v>6808</v>
      </c>
      <c r="C194" s="454" t="s">
        <v>6809</v>
      </c>
      <c r="D194" s="454">
        <f>+966551852584</f>
        <v>966551852584</v>
      </c>
      <c r="E194" s="455"/>
      <c r="F194" s="455"/>
      <c r="G194" s="455"/>
      <c r="H194" s="454" t="s">
        <v>6642</v>
      </c>
      <c r="I194" s="455"/>
      <c r="J194" s="455"/>
      <c r="K194" s="457" t="s">
        <v>6133</v>
      </c>
      <c r="L194" s="456" t="s">
        <v>574</v>
      </c>
      <c r="M194" s="455"/>
      <c r="N194" s="455"/>
      <c r="O194" s="455"/>
      <c r="P194" s="455"/>
      <c r="Q194" s="455"/>
      <c r="R194" s="455"/>
      <c r="S194" s="455"/>
      <c r="T194" s="455"/>
      <c r="U194" s="455"/>
      <c r="V194" s="455"/>
      <c r="W194" s="455"/>
      <c r="X194" s="455"/>
      <c r="Y194" s="455"/>
      <c r="Z194" s="455"/>
    </row>
    <row r="195">
      <c r="A195" s="568">
        <v>43795.0</v>
      </c>
      <c r="B195" s="453" t="s">
        <v>6810</v>
      </c>
      <c r="C195" s="454" t="s">
        <v>6807</v>
      </c>
      <c r="D195" s="454">
        <v>4.47737729996E11</v>
      </c>
      <c r="E195" s="455"/>
      <c r="F195" s="455"/>
      <c r="G195" s="455"/>
      <c r="H195" s="454" t="s">
        <v>3845</v>
      </c>
      <c r="I195" s="455"/>
      <c r="J195" s="455"/>
      <c r="K195" s="457" t="s">
        <v>6133</v>
      </c>
      <c r="L195" s="456" t="s">
        <v>3613</v>
      </c>
      <c r="M195" s="455"/>
      <c r="N195" s="455"/>
      <c r="O195" s="455"/>
      <c r="P195" s="455"/>
      <c r="Q195" s="455"/>
      <c r="R195" s="455"/>
      <c r="S195" s="455"/>
      <c r="T195" s="455"/>
      <c r="U195" s="455"/>
      <c r="V195" s="455"/>
      <c r="W195" s="455"/>
      <c r="X195" s="455"/>
      <c r="Y195" s="455"/>
      <c r="Z195" s="455"/>
    </row>
    <row r="196">
      <c r="A196" s="568">
        <v>43796.0</v>
      </c>
      <c r="B196" s="453" t="s">
        <v>6811</v>
      </c>
      <c r="C196" s="454" t="s">
        <v>6812</v>
      </c>
      <c r="D196" s="458" t="s">
        <v>6813</v>
      </c>
      <c r="E196" s="455"/>
      <c r="F196" s="455"/>
      <c r="G196" s="455"/>
      <c r="H196" s="454" t="s">
        <v>6642</v>
      </c>
      <c r="I196" s="455"/>
      <c r="J196" s="455"/>
      <c r="K196" s="457" t="s">
        <v>6133</v>
      </c>
      <c r="L196" s="456" t="s">
        <v>251</v>
      </c>
      <c r="M196" s="455"/>
      <c r="N196" s="455"/>
      <c r="O196" s="455"/>
      <c r="P196" s="455"/>
      <c r="Q196" s="455"/>
      <c r="R196" s="455"/>
      <c r="S196" s="455"/>
      <c r="T196" s="455"/>
      <c r="U196" s="455"/>
      <c r="V196" s="455"/>
      <c r="W196" s="455"/>
      <c r="X196" s="455"/>
      <c r="Y196" s="455"/>
      <c r="Z196" s="455"/>
    </row>
    <row r="197">
      <c r="A197" s="568">
        <v>43797.0</v>
      </c>
      <c r="B197" s="453" t="s">
        <v>6814</v>
      </c>
      <c r="C197" s="454" t="s">
        <v>6815</v>
      </c>
      <c r="D197" s="458" t="s">
        <v>6816</v>
      </c>
      <c r="E197" s="455"/>
      <c r="F197" s="455"/>
      <c r="G197" s="455"/>
      <c r="H197" s="454" t="s">
        <v>3845</v>
      </c>
      <c r="I197" s="455"/>
      <c r="J197" s="455"/>
      <c r="K197" s="457" t="s">
        <v>6133</v>
      </c>
      <c r="L197" s="456" t="s">
        <v>251</v>
      </c>
      <c r="M197" s="455"/>
      <c r="N197" s="455"/>
      <c r="O197" s="455"/>
      <c r="P197" s="455"/>
      <c r="Q197" s="455"/>
      <c r="R197" s="455"/>
      <c r="S197" s="455"/>
      <c r="T197" s="455"/>
      <c r="U197" s="455"/>
      <c r="V197" s="455"/>
      <c r="W197" s="455"/>
      <c r="X197" s="455"/>
      <c r="Y197" s="455"/>
      <c r="Z197" s="455"/>
    </row>
    <row r="198">
      <c r="A198" s="568">
        <v>43799.0</v>
      </c>
      <c r="B198" s="453" t="s">
        <v>6817</v>
      </c>
      <c r="C198" s="454" t="s">
        <v>6818</v>
      </c>
      <c r="D198" s="458" t="s">
        <v>6819</v>
      </c>
      <c r="E198" s="455"/>
      <c r="F198" s="455"/>
      <c r="G198" s="455"/>
      <c r="H198" s="454" t="s">
        <v>3845</v>
      </c>
      <c r="I198" s="455"/>
      <c r="J198" s="455"/>
      <c r="K198" s="457" t="s">
        <v>6133</v>
      </c>
      <c r="L198" s="456" t="s">
        <v>251</v>
      </c>
      <c r="M198" s="455"/>
      <c r="N198" s="455"/>
      <c r="O198" s="455"/>
      <c r="P198" s="455"/>
      <c r="Q198" s="455"/>
      <c r="R198" s="455"/>
      <c r="S198" s="455"/>
      <c r="T198" s="455"/>
      <c r="U198" s="455"/>
      <c r="V198" s="455"/>
      <c r="W198" s="455"/>
      <c r="X198" s="455"/>
      <c r="Y198" s="455"/>
      <c r="Z198" s="455"/>
    </row>
    <row r="199">
      <c r="A199" s="568">
        <v>43799.0</v>
      </c>
      <c r="B199" s="453" t="s">
        <v>6820</v>
      </c>
      <c r="C199" s="564"/>
      <c r="D199" s="458" t="s">
        <v>6821</v>
      </c>
      <c r="E199" s="455"/>
      <c r="F199" s="455"/>
      <c r="G199" s="455"/>
      <c r="H199" s="454" t="s">
        <v>3845</v>
      </c>
      <c r="I199" s="455"/>
      <c r="J199" s="455"/>
      <c r="K199" s="457" t="s">
        <v>6133</v>
      </c>
      <c r="L199" s="456" t="s">
        <v>251</v>
      </c>
      <c r="M199" s="455"/>
      <c r="N199" s="455"/>
      <c r="O199" s="455"/>
      <c r="P199" s="455"/>
      <c r="Q199" s="455"/>
      <c r="R199" s="455"/>
      <c r="S199" s="455"/>
      <c r="T199" s="455"/>
      <c r="U199" s="455"/>
      <c r="V199" s="455"/>
      <c r="W199" s="455"/>
      <c r="X199" s="455"/>
      <c r="Y199" s="455"/>
      <c r="Z199" s="455"/>
    </row>
    <row r="200">
      <c r="A200" s="569">
        <v>43800.0</v>
      </c>
      <c r="B200" s="453" t="s">
        <v>6822</v>
      </c>
      <c r="C200" s="454" t="s">
        <v>6823</v>
      </c>
      <c r="D200" s="458" t="s">
        <v>6824</v>
      </c>
      <c r="E200" s="455"/>
      <c r="F200" s="455"/>
      <c r="G200" s="455"/>
      <c r="H200" s="454" t="s">
        <v>3852</v>
      </c>
      <c r="I200" s="455"/>
      <c r="J200" s="455"/>
      <c r="K200" s="457" t="s">
        <v>6133</v>
      </c>
      <c r="L200" s="456" t="s">
        <v>574</v>
      </c>
      <c r="M200" s="455"/>
      <c r="N200" s="455"/>
      <c r="O200" s="455"/>
      <c r="P200" s="455"/>
      <c r="Q200" s="455"/>
      <c r="R200" s="455"/>
      <c r="S200" s="455"/>
      <c r="T200" s="455"/>
      <c r="U200" s="455"/>
      <c r="V200" s="455"/>
      <c r="W200" s="455"/>
      <c r="X200" s="455"/>
      <c r="Y200" s="455"/>
      <c r="Z200" s="455"/>
    </row>
    <row r="201">
      <c r="A201" s="569">
        <v>43800.0</v>
      </c>
      <c r="B201" s="453" t="s">
        <v>6825</v>
      </c>
      <c r="C201" s="454" t="s">
        <v>6826</v>
      </c>
      <c r="D201" s="458" t="s">
        <v>6827</v>
      </c>
      <c r="E201" s="455"/>
      <c r="F201" s="455"/>
      <c r="G201" s="455"/>
      <c r="H201" s="454" t="s">
        <v>3852</v>
      </c>
      <c r="I201" s="453" t="s">
        <v>6828</v>
      </c>
      <c r="J201" s="455"/>
      <c r="K201" s="457" t="s">
        <v>6133</v>
      </c>
      <c r="L201" s="456" t="s">
        <v>574</v>
      </c>
      <c r="M201" s="455"/>
      <c r="N201" s="455"/>
      <c r="O201" s="455"/>
      <c r="P201" s="455"/>
      <c r="Q201" s="455"/>
      <c r="R201" s="455"/>
      <c r="S201" s="455"/>
      <c r="T201" s="455"/>
      <c r="U201" s="455"/>
      <c r="V201" s="455"/>
      <c r="W201" s="455"/>
      <c r="X201" s="455"/>
      <c r="Y201" s="455"/>
      <c r="Z201" s="455"/>
    </row>
    <row r="202">
      <c r="A202" s="569">
        <v>43800.0</v>
      </c>
      <c r="B202" s="453" t="s">
        <v>6829</v>
      </c>
      <c r="C202" s="454" t="s">
        <v>3875</v>
      </c>
      <c r="D202" s="458" t="s">
        <v>6830</v>
      </c>
      <c r="E202" s="455"/>
      <c r="F202" s="455"/>
      <c r="G202" s="455"/>
      <c r="H202" s="454" t="s">
        <v>3852</v>
      </c>
      <c r="I202" s="455"/>
      <c r="J202" s="455"/>
      <c r="K202" s="457" t="s">
        <v>6133</v>
      </c>
      <c r="L202" s="456" t="s">
        <v>168</v>
      </c>
      <c r="M202" s="455"/>
      <c r="N202" s="455"/>
      <c r="O202" s="455"/>
      <c r="P202" s="455"/>
      <c r="Q202" s="455"/>
      <c r="R202" s="455"/>
      <c r="S202" s="455"/>
      <c r="T202" s="455"/>
      <c r="U202" s="455"/>
      <c r="V202" s="455"/>
      <c r="W202" s="455"/>
      <c r="X202" s="455"/>
      <c r="Y202" s="455"/>
      <c r="Z202" s="455"/>
    </row>
    <row r="203">
      <c r="A203" s="569">
        <v>43803.0</v>
      </c>
      <c r="B203" s="453" t="s">
        <v>6831</v>
      </c>
      <c r="C203" s="454" t="s">
        <v>6832</v>
      </c>
      <c r="D203" s="458" t="s">
        <v>6833</v>
      </c>
      <c r="E203" s="455"/>
      <c r="F203" s="455"/>
      <c r="G203" s="455"/>
      <c r="H203" s="454" t="s">
        <v>3845</v>
      </c>
      <c r="I203" s="455"/>
      <c r="J203" s="455"/>
      <c r="K203" s="457" t="s">
        <v>6133</v>
      </c>
      <c r="L203" s="456" t="s">
        <v>979</v>
      </c>
      <c r="M203" s="455"/>
      <c r="N203" s="455"/>
      <c r="O203" s="455"/>
      <c r="P203" s="455"/>
      <c r="Q203" s="455"/>
      <c r="R203" s="455"/>
      <c r="S203" s="455"/>
      <c r="T203" s="455"/>
      <c r="U203" s="455"/>
      <c r="V203" s="455"/>
      <c r="W203" s="455"/>
      <c r="X203" s="455"/>
      <c r="Y203" s="455"/>
      <c r="Z203" s="455"/>
    </row>
    <row r="204" ht="18.0" customHeight="1">
      <c r="A204" s="470">
        <v>43803.0</v>
      </c>
      <c r="B204" s="453" t="s">
        <v>6834</v>
      </c>
      <c r="C204" s="454" t="s">
        <v>6835</v>
      </c>
      <c r="D204" s="458" t="s">
        <v>6836</v>
      </c>
      <c r="E204" s="455"/>
      <c r="F204" s="455"/>
      <c r="G204" s="455"/>
      <c r="H204" s="454" t="s">
        <v>6837</v>
      </c>
      <c r="I204" s="453" t="s">
        <v>6828</v>
      </c>
      <c r="J204" s="455"/>
      <c r="K204" s="457" t="s">
        <v>6133</v>
      </c>
      <c r="L204" s="456" t="s">
        <v>574</v>
      </c>
      <c r="M204" s="455"/>
      <c r="N204" s="455"/>
      <c r="O204" s="455"/>
      <c r="P204" s="455"/>
      <c r="Q204" s="455"/>
      <c r="R204" s="455"/>
      <c r="S204" s="455"/>
      <c r="T204" s="455"/>
      <c r="U204" s="455"/>
      <c r="V204" s="455"/>
      <c r="W204" s="455"/>
      <c r="X204" s="455"/>
      <c r="Y204" s="455"/>
      <c r="Z204" s="455"/>
    </row>
    <row r="205">
      <c r="A205" s="470">
        <v>43804.0</v>
      </c>
      <c r="B205" s="536" t="s">
        <v>6838</v>
      </c>
      <c r="C205" s="537" t="s">
        <v>6839</v>
      </c>
      <c r="D205" s="538" t="s">
        <v>6840</v>
      </c>
      <c r="E205" s="539"/>
      <c r="F205" s="539"/>
      <c r="G205" s="539"/>
      <c r="H205" s="537" t="s">
        <v>6837</v>
      </c>
      <c r="I205" s="536" t="s">
        <v>6828</v>
      </c>
      <c r="J205" s="539"/>
      <c r="K205" s="540" t="s">
        <v>6133</v>
      </c>
      <c r="L205" s="541" t="s">
        <v>6841</v>
      </c>
      <c r="M205" s="455"/>
      <c r="N205" s="455"/>
      <c r="O205" s="455"/>
      <c r="P205" s="455"/>
      <c r="Q205" s="455"/>
      <c r="R205" s="455"/>
      <c r="S205" s="455"/>
      <c r="T205" s="455"/>
      <c r="U205" s="455"/>
      <c r="V205" s="455"/>
      <c r="W205" s="455"/>
      <c r="X205" s="455"/>
      <c r="Y205" s="455"/>
      <c r="Z205" s="455"/>
    </row>
    <row r="206">
      <c r="A206" s="470">
        <v>43804.0</v>
      </c>
      <c r="B206" s="454" t="s">
        <v>6842</v>
      </c>
      <c r="C206" s="454" t="s">
        <v>6843</v>
      </c>
      <c r="D206" s="458" t="s">
        <v>6844</v>
      </c>
      <c r="E206" s="455"/>
      <c r="F206" s="455"/>
      <c r="G206" s="455"/>
      <c r="H206" s="454" t="s">
        <v>6845</v>
      </c>
      <c r="I206" s="453" t="s">
        <v>6846</v>
      </c>
      <c r="J206" s="455"/>
      <c r="K206" s="457" t="s">
        <v>6133</v>
      </c>
      <c r="L206" s="456" t="s">
        <v>574</v>
      </c>
      <c r="M206" s="455"/>
      <c r="N206" s="455"/>
      <c r="O206" s="455"/>
      <c r="P206" s="455"/>
      <c r="Q206" s="455"/>
      <c r="R206" s="455"/>
      <c r="S206" s="455"/>
      <c r="T206" s="455"/>
      <c r="U206" s="455"/>
      <c r="V206" s="455"/>
      <c r="W206" s="455"/>
      <c r="X206" s="455"/>
      <c r="Y206" s="455"/>
      <c r="Z206" s="455"/>
    </row>
    <row r="207" ht="18.0" customHeight="1">
      <c r="A207" s="470">
        <v>43804.0</v>
      </c>
      <c r="B207" s="454" t="s">
        <v>6847</v>
      </c>
      <c r="C207" s="453" t="s">
        <v>6848</v>
      </c>
      <c r="D207" s="474" t="s">
        <v>6849</v>
      </c>
      <c r="E207" s="455"/>
      <c r="F207" s="455"/>
      <c r="G207" s="455"/>
      <c r="H207" s="454" t="s">
        <v>6850</v>
      </c>
      <c r="I207" s="453" t="s">
        <v>6846</v>
      </c>
      <c r="J207" s="455"/>
      <c r="K207" s="457" t="s">
        <v>6133</v>
      </c>
      <c r="L207" s="456" t="s">
        <v>574</v>
      </c>
      <c r="M207" s="500"/>
      <c r="N207" s="500"/>
      <c r="O207" s="500"/>
      <c r="P207" s="500"/>
      <c r="Q207" s="500"/>
      <c r="R207" s="500"/>
      <c r="S207" s="500"/>
      <c r="T207" s="500"/>
      <c r="U207" s="500"/>
      <c r="V207" s="500"/>
      <c r="W207" s="500"/>
      <c r="X207" s="500"/>
      <c r="Y207" s="500"/>
      <c r="Z207" s="500"/>
    </row>
    <row r="208" ht="17.25" customHeight="1">
      <c r="A208" s="579">
        <v>43806.0</v>
      </c>
      <c r="B208" s="551" t="s">
        <v>6851</v>
      </c>
      <c r="C208" s="551" t="s">
        <v>6852</v>
      </c>
      <c r="D208" s="580" t="s">
        <v>6853</v>
      </c>
      <c r="E208" s="500"/>
      <c r="F208" s="500"/>
      <c r="G208" s="500"/>
      <c r="H208" s="551" t="s">
        <v>6850</v>
      </c>
      <c r="I208" s="551" t="s">
        <v>6846</v>
      </c>
      <c r="J208" s="500"/>
      <c r="K208" s="524" t="s">
        <v>6133</v>
      </c>
      <c r="L208" s="466" t="s">
        <v>574</v>
      </c>
      <c r="M208" s="500"/>
      <c r="N208" s="500"/>
      <c r="O208" s="500"/>
      <c r="P208" s="500"/>
      <c r="Q208" s="500"/>
      <c r="R208" s="500"/>
      <c r="S208" s="500"/>
      <c r="T208" s="500"/>
      <c r="U208" s="500"/>
      <c r="V208" s="500"/>
      <c r="W208" s="500"/>
      <c r="X208" s="500"/>
      <c r="Y208" s="500"/>
      <c r="Z208" s="500"/>
    </row>
    <row r="209">
      <c r="A209" s="470">
        <v>43806.0</v>
      </c>
      <c r="B209" s="454" t="s">
        <v>6854</v>
      </c>
      <c r="C209" s="454" t="s">
        <v>6855</v>
      </c>
      <c r="D209" s="458" t="s">
        <v>6856</v>
      </c>
      <c r="E209" s="455"/>
      <c r="F209" s="455"/>
      <c r="G209" s="455"/>
      <c r="H209" s="454" t="s">
        <v>3845</v>
      </c>
      <c r="I209" s="455"/>
      <c r="J209" s="455"/>
      <c r="K209" s="457" t="s">
        <v>6133</v>
      </c>
      <c r="L209" s="456" t="s">
        <v>172</v>
      </c>
      <c r="M209" s="455"/>
      <c r="N209" s="455"/>
      <c r="O209" s="455"/>
      <c r="P209" s="455"/>
      <c r="Q209" s="455"/>
      <c r="R209" s="455"/>
      <c r="S209" s="455"/>
      <c r="T209" s="455"/>
      <c r="U209" s="455"/>
      <c r="V209" s="455"/>
      <c r="W209" s="455"/>
      <c r="X209" s="455"/>
      <c r="Y209" s="455"/>
      <c r="Z209" s="455"/>
    </row>
    <row r="210">
      <c r="A210" s="470">
        <v>43806.0</v>
      </c>
      <c r="B210" s="454" t="s">
        <v>6857</v>
      </c>
      <c r="C210" s="454" t="s">
        <v>6858</v>
      </c>
      <c r="D210" s="458" t="s">
        <v>6859</v>
      </c>
      <c r="E210" s="455"/>
      <c r="F210" s="455"/>
      <c r="G210" s="455"/>
      <c r="H210" s="454" t="s">
        <v>6860</v>
      </c>
      <c r="I210" s="453" t="s">
        <v>6846</v>
      </c>
      <c r="J210" s="455"/>
      <c r="K210" s="457" t="s">
        <v>6133</v>
      </c>
      <c r="L210" s="456" t="s">
        <v>251</v>
      </c>
      <c r="M210" s="455"/>
      <c r="N210" s="455"/>
      <c r="O210" s="455"/>
      <c r="P210" s="455"/>
      <c r="Q210" s="455"/>
      <c r="R210" s="455"/>
      <c r="S210" s="455"/>
      <c r="T210" s="455"/>
      <c r="U210" s="455"/>
      <c r="V210" s="455"/>
      <c r="W210" s="455"/>
      <c r="X210" s="455"/>
      <c r="Y210" s="455"/>
      <c r="Z210" s="455"/>
    </row>
    <row r="211">
      <c r="A211" s="470">
        <v>43806.0</v>
      </c>
      <c r="B211" s="454" t="s">
        <v>6861</v>
      </c>
      <c r="C211" s="454" t="s">
        <v>6862</v>
      </c>
      <c r="D211" s="458" t="s">
        <v>6863</v>
      </c>
      <c r="E211" s="455"/>
      <c r="F211" s="455"/>
      <c r="G211" s="455"/>
      <c r="H211" s="454" t="s">
        <v>3845</v>
      </c>
      <c r="I211" s="455"/>
      <c r="J211" s="455"/>
      <c r="K211" s="457" t="s">
        <v>6133</v>
      </c>
      <c r="L211" s="456" t="s">
        <v>6864</v>
      </c>
      <c r="M211" s="455"/>
      <c r="N211" s="455"/>
      <c r="O211" s="455"/>
      <c r="P211" s="455"/>
      <c r="Q211" s="455"/>
      <c r="R211" s="455"/>
      <c r="S211" s="455"/>
      <c r="T211" s="455"/>
      <c r="U211" s="455"/>
      <c r="V211" s="455"/>
      <c r="W211" s="455"/>
      <c r="X211" s="455"/>
      <c r="Y211" s="455"/>
      <c r="Z211" s="455"/>
    </row>
    <row r="212" ht="18.0" customHeight="1">
      <c r="A212" s="470">
        <v>43807.0</v>
      </c>
      <c r="B212" s="454" t="s">
        <v>6865</v>
      </c>
      <c r="C212" s="454" t="s">
        <v>6866</v>
      </c>
      <c r="D212" s="474" t="s">
        <v>6867</v>
      </c>
      <c r="E212" s="455"/>
      <c r="F212" s="455"/>
      <c r="G212" s="455"/>
      <c r="H212" s="454" t="s">
        <v>6868</v>
      </c>
      <c r="I212" s="453" t="s">
        <v>6846</v>
      </c>
      <c r="J212" s="455"/>
      <c r="K212" s="457" t="s">
        <v>6133</v>
      </c>
      <c r="L212" s="466" t="s">
        <v>1829</v>
      </c>
      <c r="M212" s="455"/>
      <c r="N212" s="455"/>
      <c r="O212" s="455"/>
      <c r="P212" s="455"/>
      <c r="Q212" s="455"/>
      <c r="R212" s="455"/>
      <c r="S212" s="455"/>
      <c r="T212" s="455"/>
      <c r="U212" s="455"/>
      <c r="V212" s="455"/>
      <c r="W212" s="455"/>
      <c r="X212" s="455"/>
      <c r="Y212" s="455"/>
      <c r="Z212" s="455"/>
    </row>
    <row r="213" ht="16.5" customHeight="1">
      <c r="A213" s="579">
        <v>43807.0</v>
      </c>
      <c r="B213" s="558" t="s">
        <v>6869</v>
      </c>
      <c r="C213" s="558" t="s">
        <v>6870</v>
      </c>
      <c r="D213" s="580" t="s">
        <v>6871</v>
      </c>
      <c r="E213" s="500"/>
      <c r="F213" s="551" t="s">
        <v>6872</v>
      </c>
      <c r="G213" s="500"/>
      <c r="H213" s="558" t="s">
        <v>6873</v>
      </c>
      <c r="I213" s="551" t="s">
        <v>6846</v>
      </c>
      <c r="J213" s="500"/>
      <c r="K213" s="524" t="s">
        <v>6133</v>
      </c>
      <c r="L213" s="466" t="s">
        <v>574</v>
      </c>
      <c r="M213" s="500"/>
      <c r="N213" s="500"/>
      <c r="O213" s="500"/>
      <c r="P213" s="500"/>
      <c r="Q213" s="500"/>
      <c r="R213" s="500"/>
      <c r="S213" s="500"/>
      <c r="T213" s="500"/>
      <c r="U213" s="500"/>
      <c r="V213" s="500"/>
      <c r="W213" s="500"/>
      <c r="X213" s="500"/>
      <c r="Y213" s="500"/>
      <c r="Z213" s="500"/>
    </row>
    <row r="214" ht="18.75" customHeight="1">
      <c r="A214" s="470">
        <v>43807.0</v>
      </c>
      <c r="B214" s="453" t="s">
        <v>6874</v>
      </c>
      <c r="C214" s="453" t="s">
        <v>6875</v>
      </c>
      <c r="D214" s="474" t="s">
        <v>6876</v>
      </c>
      <c r="E214" s="455"/>
      <c r="F214" s="455"/>
      <c r="G214" s="455"/>
      <c r="H214" s="453" t="s">
        <v>4036</v>
      </c>
      <c r="I214" s="453" t="s">
        <v>6846</v>
      </c>
      <c r="J214" s="455"/>
      <c r="K214" s="457" t="s">
        <v>6133</v>
      </c>
      <c r="L214" s="456" t="s">
        <v>574</v>
      </c>
      <c r="M214" s="455"/>
      <c r="N214" s="455"/>
      <c r="O214" s="455"/>
      <c r="P214" s="455"/>
      <c r="Q214" s="455"/>
      <c r="R214" s="455"/>
      <c r="S214" s="455"/>
      <c r="T214" s="455"/>
      <c r="U214" s="455"/>
      <c r="V214" s="455"/>
      <c r="W214" s="455"/>
      <c r="X214" s="455"/>
      <c r="Y214" s="455"/>
      <c r="Z214" s="455"/>
    </row>
    <row r="215" ht="16.5" customHeight="1">
      <c r="A215" s="470">
        <v>43807.0</v>
      </c>
      <c r="B215" s="453" t="s">
        <v>6877</v>
      </c>
      <c r="C215" s="453" t="s">
        <v>6878</v>
      </c>
      <c r="D215" s="474" t="s">
        <v>6879</v>
      </c>
      <c r="E215" s="455"/>
      <c r="F215" s="455"/>
      <c r="G215" s="455"/>
      <c r="H215" s="453" t="s">
        <v>4036</v>
      </c>
      <c r="I215" s="453" t="s">
        <v>6846</v>
      </c>
      <c r="J215" s="455"/>
      <c r="K215" s="457" t="s">
        <v>6133</v>
      </c>
      <c r="L215" s="456" t="s">
        <v>574</v>
      </c>
      <c r="M215" s="455"/>
      <c r="N215" s="455"/>
      <c r="O215" s="455"/>
      <c r="P215" s="455"/>
      <c r="Q215" s="455"/>
      <c r="R215" s="455"/>
      <c r="S215" s="455"/>
      <c r="T215" s="455"/>
      <c r="U215" s="455"/>
      <c r="V215" s="455"/>
      <c r="W215" s="455"/>
      <c r="X215" s="455"/>
      <c r="Y215" s="455"/>
      <c r="Z215" s="455"/>
    </row>
    <row r="216">
      <c r="A216" s="470">
        <v>43808.0</v>
      </c>
      <c r="B216" s="454" t="s">
        <v>6880</v>
      </c>
      <c r="C216" s="454" t="s">
        <v>6881</v>
      </c>
      <c r="D216" s="458" t="s">
        <v>6882</v>
      </c>
      <c r="E216" s="454" t="s">
        <v>6883</v>
      </c>
      <c r="F216" s="455"/>
      <c r="G216" s="455"/>
      <c r="H216" s="454" t="s">
        <v>3845</v>
      </c>
      <c r="I216" s="455"/>
      <c r="J216" s="455"/>
      <c r="K216" s="457" t="s">
        <v>6133</v>
      </c>
      <c r="L216" s="456" t="s">
        <v>574</v>
      </c>
      <c r="M216" s="455"/>
      <c r="N216" s="455"/>
      <c r="O216" s="455"/>
      <c r="P216" s="455"/>
      <c r="Q216" s="455"/>
      <c r="R216" s="455"/>
      <c r="S216" s="455"/>
      <c r="T216" s="455"/>
      <c r="U216" s="455"/>
      <c r="V216" s="455"/>
      <c r="W216" s="455"/>
      <c r="X216" s="455"/>
      <c r="Y216" s="455"/>
      <c r="Z216" s="455"/>
    </row>
    <row r="217">
      <c r="A217" s="470">
        <v>43808.0</v>
      </c>
      <c r="B217" s="454" t="s">
        <v>6623</v>
      </c>
      <c r="C217" s="454" t="s">
        <v>6884</v>
      </c>
      <c r="D217" s="474" t="s">
        <v>6885</v>
      </c>
      <c r="E217" s="454" t="s">
        <v>3985</v>
      </c>
      <c r="F217" s="455"/>
      <c r="G217" s="455"/>
      <c r="H217" s="454" t="s">
        <v>6886</v>
      </c>
      <c r="I217" s="455"/>
      <c r="J217" s="455"/>
      <c r="K217" s="457" t="s">
        <v>6133</v>
      </c>
      <c r="L217" s="456" t="s">
        <v>979</v>
      </c>
      <c r="M217" s="455"/>
      <c r="N217" s="455"/>
      <c r="O217" s="455"/>
      <c r="P217" s="455"/>
      <c r="Q217" s="455"/>
      <c r="R217" s="455"/>
      <c r="S217" s="455"/>
      <c r="T217" s="455"/>
      <c r="U217" s="455"/>
      <c r="V217" s="455"/>
      <c r="W217" s="455"/>
      <c r="X217" s="455"/>
      <c r="Y217" s="455"/>
      <c r="Z217" s="455"/>
    </row>
    <row r="218">
      <c r="A218" s="470">
        <v>43808.0</v>
      </c>
      <c r="B218" s="454" t="s">
        <v>6887</v>
      </c>
      <c r="C218" s="454" t="s">
        <v>6888</v>
      </c>
      <c r="D218" s="454">
        <v>9.6597507124E10</v>
      </c>
      <c r="E218" s="454" t="s">
        <v>3810</v>
      </c>
      <c r="F218" s="455"/>
      <c r="G218" s="455"/>
      <c r="H218" s="454" t="s">
        <v>6889</v>
      </c>
      <c r="I218" s="453" t="s">
        <v>6846</v>
      </c>
      <c r="J218" s="455"/>
      <c r="K218" s="457" t="s">
        <v>6133</v>
      </c>
      <c r="L218" s="456" t="s">
        <v>4589</v>
      </c>
      <c r="M218" s="455"/>
      <c r="N218" s="455"/>
      <c r="O218" s="455"/>
      <c r="P218" s="455"/>
      <c r="Q218" s="455"/>
      <c r="R218" s="455"/>
      <c r="S218" s="455"/>
      <c r="T218" s="455"/>
      <c r="U218" s="455"/>
      <c r="V218" s="455"/>
      <c r="W218" s="455"/>
      <c r="X218" s="455"/>
      <c r="Y218" s="455"/>
      <c r="Z218" s="455"/>
    </row>
    <row r="219">
      <c r="A219" s="470">
        <v>43808.0</v>
      </c>
      <c r="B219" s="454" t="s">
        <v>6890</v>
      </c>
      <c r="C219" s="454" t="s">
        <v>6891</v>
      </c>
      <c r="D219" s="458" t="s">
        <v>6892</v>
      </c>
      <c r="E219" s="455"/>
      <c r="F219" s="455"/>
      <c r="G219" s="455"/>
      <c r="H219" s="454" t="s">
        <v>3852</v>
      </c>
      <c r="I219" s="455"/>
      <c r="J219" s="455"/>
      <c r="K219" s="457" t="s">
        <v>6133</v>
      </c>
      <c r="L219" s="456" t="s">
        <v>3613</v>
      </c>
      <c r="M219" s="455"/>
      <c r="N219" s="455"/>
      <c r="O219" s="455"/>
      <c r="P219" s="455"/>
      <c r="Q219" s="455"/>
      <c r="R219" s="455"/>
      <c r="S219" s="455"/>
      <c r="T219" s="455"/>
      <c r="U219" s="455"/>
      <c r="V219" s="455"/>
      <c r="W219" s="455"/>
      <c r="X219" s="455"/>
      <c r="Y219" s="455"/>
      <c r="Z219" s="455"/>
    </row>
    <row r="220">
      <c r="A220" s="470">
        <v>43808.0</v>
      </c>
      <c r="B220" s="581" t="s">
        <v>6893</v>
      </c>
      <c r="C220" s="581" t="s">
        <v>6894</v>
      </c>
      <c r="D220" s="581" t="s">
        <v>6895</v>
      </c>
      <c r="E220" s="582"/>
      <c r="F220" s="582"/>
      <c r="G220" s="582"/>
      <c r="H220" s="581" t="s">
        <v>6896</v>
      </c>
      <c r="I220" s="582"/>
      <c r="J220" s="582"/>
      <c r="K220" s="583" t="s">
        <v>6133</v>
      </c>
      <c r="L220" s="584" t="s">
        <v>6897</v>
      </c>
      <c r="M220" s="455"/>
      <c r="N220" s="455"/>
      <c r="O220" s="455"/>
      <c r="P220" s="455"/>
      <c r="Q220" s="455"/>
      <c r="R220" s="455"/>
      <c r="S220" s="455"/>
      <c r="T220" s="455"/>
      <c r="U220" s="455"/>
      <c r="V220" s="455"/>
      <c r="W220" s="455"/>
      <c r="X220" s="455"/>
      <c r="Y220" s="455"/>
      <c r="Z220" s="455"/>
    </row>
    <row r="221">
      <c r="A221" s="470">
        <v>43809.0</v>
      </c>
      <c r="B221" s="454" t="s">
        <v>6898</v>
      </c>
      <c r="C221" s="454" t="s">
        <v>6899</v>
      </c>
      <c r="D221" s="454" t="s">
        <v>6900</v>
      </c>
      <c r="E221" s="455"/>
      <c r="F221" s="455"/>
      <c r="G221" s="455"/>
      <c r="H221" s="454" t="s">
        <v>3852</v>
      </c>
      <c r="I221" s="453" t="s">
        <v>6846</v>
      </c>
      <c r="J221" s="455"/>
      <c r="K221" s="457" t="s">
        <v>6133</v>
      </c>
      <c r="L221" s="456" t="s">
        <v>3613</v>
      </c>
      <c r="M221" s="455"/>
      <c r="N221" s="455"/>
      <c r="O221" s="455"/>
      <c r="P221" s="455"/>
      <c r="Q221" s="455"/>
      <c r="R221" s="455"/>
      <c r="S221" s="455"/>
      <c r="T221" s="455"/>
      <c r="U221" s="455"/>
      <c r="V221" s="455"/>
      <c r="W221" s="455"/>
      <c r="X221" s="455"/>
      <c r="Y221" s="455"/>
      <c r="Z221" s="455"/>
    </row>
    <row r="222">
      <c r="A222" s="470">
        <v>43809.0</v>
      </c>
      <c r="B222" s="454" t="s">
        <v>6901</v>
      </c>
      <c r="C222" s="454" t="s">
        <v>6902</v>
      </c>
      <c r="D222" s="454" t="s">
        <v>6903</v>
      </c>
      <c r="E222" s="455"/>
      <c r="F222" s="455"/>
      <c r="G222" s="455"/>
      <c r="H222" s="454" t="s">
        <v>3852</v>
      </c>
      <c r="I222" s="455"/>
      <c r="J222" s="455"/>
      <c r="K222" s="457" t="s">
        <v>6133</v>
      </c>
      <c r="L222" s="456" t="s">
        <v>3613</v>
      </c>
      <c r="M222" s="455"/>
      <c r="N222" s="455"/>
      <c r="O222" s="455"/>
      <c r="P222" s="455"/>
      <c r="Q222" s="455"/>
      <c r="R222" s="455"/>
      <c r="S222" s="455"/>
      <c r="T222" s="455"/>
      <c r="U222" s="455"/>
      <c r="V222" s="455"/>
      <c r="W222" s="455"/>
      <c r="X222" s="455"/>
      <c r="Y222" s="455"/>
      <c r="Z222" s="455"/>
    </row>
    <row r="223">
      <c r="A223" s="470">
        <v>43809.0</v>
      </c>
      <c r="B223" s="461" t="s">
        <v>6904</v>
      </c>
      <c r="C223" s="461" t="s">
        <v>6905</v>
      </c>
      <c r="D223" s="461" t="s">
        <v>6906</v>
      </c>
      <c r="E223" s="462"/>
      <c r="F223" s="585" t="s">
        <v>6907</v>
      </c>
      <c r="G223" s="462"/>
      <c r="H223" s="461" t="s">
        <v>6908</v>
      </c>
      <c r="I223" s="460" t="s">
        <v>6846</v>
      </c>
      <c r="J223" s="462"/>
      <c r="K223" s="463" t="s">
        <v>6133</v>
      </c>
      <c r="L223" s="476" t="s">
        <v>6909</v>
      </c>
      <c r="M223" s="455"/>
      <c r="N223" s="455"/>
      <c r="O223" s="455"/>
      <c r="P223" s="455"/>
      <c r="Q223" s="455"/>
      <c r="R223" s="455"/>
      <c r="S223" s="455"/>
      <c r="T223" s="455"/>
      <c r="U223" s="455"/>
      <c r="V223" s="455"/>
      <c r="W223" s="455"/>
      <c r="X223" s="455"/>
      <c r="Y223" s="455"/>
      <c r="Z223" s="455"/>
    </row>
    <row r="224">
      <c r="A224" s="470">
        <v>43809.0</v>
      </c>
      <c r="B224" s="558" t="s">
        <v>6910</v>
      </c>
      <c r="C224" s="558" t="s">
        <v>6911</v>
      </c>
      <c r="D224" s="558" t="s">
        <v>6912</v>
      </c>
      <c r="E224" s="500"/>
      <c r="F224" s="586" t="s">
        <v>6913</v>
      </c>
      <c r="G224" s="500"/>
      <c r="H224" s="558" t="s">
        <v>6908</v>
      </c>
      <c r="I224" s="551" t="s">
        <v>6846</v>
      </c>
      <c r="J224" s="500"/>
      <c r="K224" s="524" t="s">
        <v>6133</v>
      </c>
      <c r="L224" s="466" t="s">
        <v>4171</v>
      </c>
      <c r="M224" s="455"/>
      <c r="N224" s="455"/>
      <c r="O224" s="455"/>
      <c r="P224" s="455"/>
      <c r="Q224" s="455"/>
      <c r="R224" s="455"/>
      <c r="S224" s="455"/>
      <c r="T224" s="455"/>
      <c r="U224" s="455"/>
      <c r="V224" s="455"/>
      <c r="W224" s="455"/>
      <c r="X224" s="455"/>
      <c r="Y224" s="455"/>
      <c r="Z224" s="455"/>
    </row>
    <row r="225" ht="21.75" customHeight="1">
      <c r="A225" s="470">
        <v>43809.0</v>
      </c>
      <c r="B225" s="453" t="s">
        <v>6914</v>
      </c>
      <c r="C225" s="564"/>
      <c r="D225" s="453" t="s">
        <v>6915</v>
      </c>
      <c r="E225" s="455"/>
      <c r="F225" s="453" t="s">
        <v>6916</v>
      </c>
      <c r="G225" s="455"/>
      <c r="H225" s="454" t="s">
        <v>6908</v>
      </c>
      <c r="I225" s="453" t="s">
        <v>6846</v>
      </c>
      <c r="J225" s="455"/>
      <c r="K225" s="457" t="s">
        <v>6133</v>
      </c>
      <c r="L225" s="456" t="s">
        <v>6917</v>
      </c>
      <c r="M225" s="455"/>
      <c r="N225" s="455"/>
      <c r="O225" s="455"/>
      <c r="P225" s="455"/>
      <c r="Q225" s="455"/>
      <c r="R225" s="455"/>
      <c r="S225" s="455"/>
      <c r="T225" s="455"/>
      <c r="U225" s="455"/>
      <c r="V225" s="455"/>
      <c r="W225" s="455"/>
      <c r="X225" s="455"/>
      <c r="Y225" s="455"/>
      <c r="Z225" s="455"/>
    </row>
    <row r="226" ht="18.0" customHeight="1">
      <c r="A226" s="470">
        <v>43809.0</v>
      </c>
      <c r="B226" s="460" t="s">
        <v>6918</v>
      </c>
      <c r="C226" s="460" t="s">
        <v>6919</v>
      </c>
      <c r="D226" s="460" t="s">
        <v>6920</v>
      </c>
      <c r="E226" s="462"/>
      <c r="F226" s="460" t="s">
        <v>6921</v>
      </c>
      <c r="G226" s="462"/>
      <c r="H226" s="461" t="s">
        <v>6908</v>
      </c>
      <c r="I226" s="462"/>
      <c r="J226" s="462"/>
      <c r="K226" s="463" t="s">
        <v>6133</v>
      </c>
      <c r="L226" s="476" t="s">
        <v>6922</v>
      </c>
      <c r="M226" s="455"/>
      <c r="N226" s="455"/>
      <c r="O226" s="455"/>
      <c r="P226" s="455"/>
      <c r="Q226" s="455"/>
      <c r="R226" s="455"/>
      <c r="S226" s="455"/>
      <c r="T226" s="455"/>
      <c r="U226" s="455"/>
      <c r="V226" s="455"/>
      <c r="W226" s="455"/>
      <c r="X226" s="455"/>
      <c r="Y226" s="455"/>
      <c r="Z226" s="455"/>
    </row>
    <row r="227">
      <c r="A227" s="470">
        <v>43809.0</v>
      </c>
      <c r="B227" s="454" t="s">
        <v>6923</v>
      </c>
      <c r="C227" s="454" t="s">
        <v>6924</v>
      </c>
      <c r="D227" s="458" t="s">
        <v>6925</v>
      </c>
      <c r="E227" s="455"/>
      <c r="F227" s="455"/>
      <c r="G227" s="455"/>
      <c r="H227" s="454" t="s">
        <v>3763</v>
      </c>
      <c r="I227" s="453" t="s">
        <v>6846</v>
      </c>
      <c r="J227" s="455"/>
      <c r="K227" s="457" t="s">
        <v>6133</v>
      </c>
      <c r="L227" s="456" t="s">
        <v>6917</v>
      </c>
      <c r="M227" s="455"/>
      <c r="N227" s="455"/>
      <c r="O227" s="455"/>
      <c r="P227" s="455"/>
      <c r="Q227" s="455"/>
      <c r="R227" s="455"/>
      <c r="S227" s="455"/>
      <c r="T227" s="455"/>
      <c r="U227" s="455"/>
      <c r="V227" s="455"/>
      <c r="W227" s="455"/>
      <c r="X227" s="455"/>
      <c r="Y227" s="455"/>
      <c r="Z227" s="455"/>
    </row>
    <row r="228">
      <c r="A228" s="470">
        <v>43809.0</v>
      </c>
      <c r="B228" s="454" t="s">
        <v>6926</v>
      </c>
      <c r="C228" s="454" t="s">
        <v>6927</v>
      </c>
      <c r="D228" s="458" t="s">
        <v>6928</v>
      </c>
      <c r="E228" s="455"/>
      <c r="F228" s="454" t="s">
        <v>6929</v>
      </c>
      <c r="G228" s="455"/>
      <c r="H228" s="454" t="s">
        <v>4036</v>
      </c>
      <c r="I228" s="455"/>
      <c r="J228" s="455"/>
      <c r="K228" s="457" t="s">
        <v>6133</v>
      </c>
      <c r="L228" s="456" t="s">
        <v>6930</v>
      </c>
      <c r="M228" s="455"/>
      <c r="N228" s="455"/>
      <c r="O228" s="455"/>
      <c r="P228" s="455"/>
      <c r="Q228" s="455"/>
      <c r="R228" s="455"/>
      <c r="S228" s="455"/>
      <c r="T228" s="455"/>
      <c r="U228" s="455"/>
      <c r="V228" s="455"/>
      <c r="W228" s="455"/>
      <c r="X228" s="455"/>
      <c r="Y228" s="455"/>
      <c r="Z228" s="455"/>
    </row>
    <row r="229">
      <c r="A229" s="470">
        <v>43809.0</v>
      </c>
      <c r="B229" s="454"/>
      <c r="C229" s="454" t="s">
        <v>6931</v>
      </c>
      <c r="D229" s="458" t="s">
        <v>6932</v>
      </c>
      <c r="E229" s="455"/>
      <c r="F229" s="454" t="s">
        <v>6933</v>
      </c>
      <c r="G229" s="455"/>
      <c r="H229" s="454" t="s">
        <v>4036</v>
      </c>
      <c r="I229" s="455"/>
      <c r="J229" s="455"/>
      <c r="K229" s="457" t="s">
        <v>6133</v>
      </c>
      <c r="L229" s="456" t="s">
        <v>6934</v>
      </c>
      <c r="M229" s="455"/>
      <c r="N229" s="455"/>
      <c r="O229" s="455"/>
      <c r="P229" s="455"/>
      <c r="Q229" s="455"/>
      <c r="R229" s="455"/>
      <c r="S229" s="455"/>
      <c r="T229" s="455"/>
      <c r="U229" s="455"/>
      <c r="V229" s="455"/>
      <c r="W229" s="455"/>
      <c r="X229" s="455"/>
      <c r="Y229" s="455"/>
      <c r="Z229" s="455"/>
    </row>
    <row r="230">
      <c r="A230" s="470">
        <v>43809.0</v>
      </c>
      <c r="B230" s="454" t="s">
        <v>6935</v>
      </c>
      <c r="C230" s="454" t="s">
        <v>6936</v>
      </c>
      <c r="D230" s="458" t="s">
        <v>6937</v>
      </c>
      <c r="E230" s="455"/>
      <c r="F230" s="454" t="s">
        <v>6938</v>
      </c>
      <c r="G230" s="455"/>
      <c r="H230" s="454" t="s">
        <v>4036</v>
      </c>
      <c r="I230" s="453" t="s">
        <v>6846</v>
      </c>
      <c r="J230" s="455"/>
      <c r="K230" s="457" t="s">
        <v>6133</v>
      </c>
      <c r="L230" s="456" t="s">
        <v>6939</v>
      </c>
      <c r="M230" s="455"/>
      <c r="N230" s="455"/>
      <c r="O230" s="455"/>
      <c r="P230" s="455"/>
      <c r="Q230" s="455"/>
      <c r="R230" s="455"/>
      <c r="S230" s="455"/>
      <c r="T230" s="455"/>
      <c r="U230" s="455"/>
      <c r="V230" s="455"/>
      <c r="W230" s="455"/>
      <c r="X230" s="455"/>
      <c r="Y230" s="455"/>
      <c r="Z230" s="455"/>
    </row>
    <row r="231">
      <c r="A231" s="569">
        <v>43810.0</v>
      </c>
      <c r="B231" s="454" t="s">
        <v>6940</v>
      </c>
      <c r="C231" s="454" t="s">
        <v>6941</v>
      </c>
      <c r="D231" s="458" t="s">
        <v>6942</v>
      </c>
      <c r="E231" s="455"/>
      <c r="F231" s="455"/>
      <c r="G231" s="455"/>
      <c r="H231" s="454" t="s">
        <v>4036</v>
      </c>
      <c r="I231" s="453" t="s">
        <v>6846</v>
      </c>
      <c r="J231" s="455"/>
      <c r="K231" s="457" t="s">
        <v>6133</v>
      </c>
      <c r="L231" s="456" t="s">
        <v>6943</v>
      </c>
      <c r="M231" s="455"/>
      <c r="N231" s="455"/>
      <c r="O231" s="455"/>
      <c r="P231" s="455"/>
      <c r="Q231" s="455"/>
      <c r="R231" s="455"/>
      <c r="S231" s="455"/>
      <c r="T231" s="455"/>
      <c r="U231" s="455"/>
      <c r="V231" s="455"/>
      <c r="W231" s="455"/>
      <c r="X231" s="455"/>
      <c r="Y231" s="455"/>
      <c r="Z231" s="455"/>
    </row>
    <row r="232">
      <c r="A232" s="569">
        <v>43810.0</v>
      </c>
      <c r="B232" s="454" t="s">
        <v>6944</v>
      </c>
      <c r="C232" s="454" t="s">
        <v>6945</v>
      </c>
      <c r="D232" s="458" t="s">
        <v>6946</v>
      </c>
      <c r="E232" s="455"/>
      <c r="F232" s="454" t="s">
        <v>3968</v>
      </c>
      <c r="G232" s="455"/>
      <c r="H232" s="454" t="s">
        <v>3852</v>
      </c>
      <c r="I232" s="453" t="s">
        <v>6846</v>
      </c>
      <c r="J232" s="455"/>
      <c r="K232" s="457" t="s">
        <v>6133</v>
      </c>
      <c r="L232" s="456" t="s">
        <v>6934</v>
      </c>
      <c r="M232" s="455"/>
      <c r="N232" s="455"/>
      <c r="O232" s="455"/>
      <c r="P232" s="455"/>
      <c r="Q232" s="455"/>
      <c r="R232" s="455"/>
      <c r="S232" s="455"/>
      <c r="T232" s="455"/>
      <c r="U232" s="455"/>
      <c r="V232" s="455"/>
      <c r="W232" s="455"/>
      <c r="X232" s="455"/>
      <c r="Y232" s="455"/>
      <c r="Z232" s="455"/>
    </row>
    <row r="233">
      <c r="A233" s="569">
        <v>43810.0</v>
      </c>
      <c r="B233" s="454" t="s">
        <v>6947</v>
      </c>
      <c r="C233" s="454" t="s">
        <v>6948</v>
      </c>
      <c r="D233" s="458" t="s">
        <v>6949</v>
      </c>
      <c r="E233" s="455"/>
      <c r="F233" s="454" t="s">
        <v>3968</v>
      </c>
      <c r="G233" s="455"/>
      <c r="H233" s="454" t="s">
        <v>3852</v>
      </c>
      <c r="I233" s="453" t="s">
        <v>6846</v>
      </c>
      <c r="J233" s="455"/>
      <c r="K233" s="457" t="s">
        <v>6133</v>
      </c>
      <c r="L233" s="456" t="s">
        <v>574</v>
      </c>
      <c r="M233" s="455"/>
      <c r="N233" s="455"/>
      <c r="O233" s="455"/>
      <c r="P233" s="455"/>
      <c r="Q233" s="455"/>
      <c r="R233" s="455"/>
      <c r="S233" s="455"/>
      <c r="T233" s="455"/>
      <c r="U233" s="455"/>
      <c r="V233" s="455"/>
      <c r="W233" s="455"/>
      <c r="X233" s="455"/>
      <c r="Y233" s="455"/>
      <c r="Z233" s="455"/>
    </row>
    <row r="234" ht="16.5" customHeight="1">
      <c r="A234" s="569">
        <v>43810.0</v>
      </c>
      <c r="B234" s="454" t="s">
        <v>6950</v>
      </c>
      <c r="C234" s="454" t="s">
        <v>6951</v>
      </c>
      <c r="D234" s="474" t="s">
        <v>6952</v>
      </c>
      <c r="E234" s="455"/>
      <c r="F234" s="453" t="s">
        <v>6953</v>
      </c>
      <c r="G234" s="455"/>
      <c r="H234" s="454" t="s">
        <v>3852</v>
      </c>
      <c r="I234" s="455"/>
      <c r="J234" s="455"/>
      <c r="K234" s="457" t="s">
        <v>6133</v>
      </c>
      <c r="L234" s="456" t="s">
        <v>574</v>
      </c>
      <c r="M234" s="455"/>
      <c r="N234" s="455"/>
      <c r="O234" s="455"/>
      <c r="P234" s="455"/>
      <c r="Q234" s="455"/>
      <c r="R234" s="455"/>
      <c r="S234" s="455"/>
      <c r="T234" s="455"/>
      <c r="U234" s="455"/>
      <c r="V234" s="455"/>
      <c r="W234" s="455"/>
      <c r="X234" s="455"/>
      <c r="Y234" s="455"/>
      <c r="Z234" s="455"/>
    </row>
    <row r="235">
      <c r="A235" s="569">
        <v>43811.0</v>
      </c>
      <c r="B235" s="454" t="s">
        <v>6954</v>
      </c>
      <c r="C235" s="454" t="s">
        <v>6955</v>
      </c>
      <c r="D235" s="458" t="s">
        <v>6956</v>
      </c>
      <c r="E235" s="455"/>
      <c r="F235" s="454" t="s">
        <v>6929</v>
      </c>
      <c r="G235" s="455"/>
      <c r="H235" s="454" t="s">
        <v>4036</v>
      </c>
      <c r="I235" s="453" t="s">
        <v>6846</v>
      </c>
      <c r="J235" s="455"/>
      <c r="K235" s="457" t="s">
        <v>6133</v>
      </c>
      <c r="L235" s="456" t="s">
        <v>574</v>
      </c>
      <c r="M235" s="455"/>
      <c r="N235" s="455"/>
      <c r="O235" s="455"/>
      <c r="P235" s="455"/>
      <c r="Q235" s="455"/>
      <c r="R235" s="455"/>
      <c r="S235" s="455"/>
      <c r="T235" s="455"/>
      <c r="U235" s="455"/>
      <c r="V235" s="455"/>
      <c r="W235" s="455"/>
      <c r="X235" s="455"/>
      <c r="Y235" s="455"/>
      <c r="Z235" s="455"/>
    </row>
    <row r="236">
      <c r="A236" s="569">
        <v>43811.0</v>
      </c>
      <c r="B236" s="454" t="s">
        <v>6957</v>
      </c>
      <c r="C236" s="564"/>
      <c r="D236" s="458" t="s">
        <v>6958</v>
      </c>
      <c r="E236" s="455"/>
      <c r="F236" s="455"/>
      <c r="G236" s="455"/>
      <c r="H236" s="454" t="s">
        <v>3852</v>
      </c>
      <c r="I236" s="455"/>
      <c r="J236" s="455"/>
      <c r="K236" s="457" t="s">
        <v>6133</v>
      </c>
      <c r="L236" s="456" t="s">
        <v>168</v>
      </c>
      <c r="M236" s="455"/>
      <c r="N236" s="455"/>
      <c r="O236" s="455"/>
      <c r="P236" s="455"/>
      <c r="Q236" s="455"/>
      <c r="R236" s="455"/>
      <c r="S236" s="455"/>
      <c r="T236" s="455"/>
      <c r="U236" s="455"/>
      <c r="V236" s="455"/>
      <c r="W236" s="455"/>
      <c r="X236" s="455"/>
      <c r="Y236" s="455"/>
      <c r="Z236" s="455"/>
    </row>
    <row r="237">
      <c r="A237" s="569">
        <v>43811.0</v>
      </c>
      <c r="B237" s="461" t="s">
        <v>1728</v>
      </c>
      <c r="C237" s="587"/>
      <c r="D237" s="475" t="s">
        <v>6959</v>
      </c>
      <c r="E237" s="462"/>
      <c r="F237" s="462"/>
      <c r="G237" s="462"/>
      <c r="H237" s="461" t="s">
        <v>6908</v>
      </c>
      <c r="I237" s="462"/>
      <c r="J237" s="462"/>
      <c r="K237" s="463" t="s">
        <v>6133</v>
      </c>
      <c r="L237" s="476" t="s">
        <v>6960</v>
      </c>
      <c r="M237" s="455"/>
      <c r="N237" s="455"/>
      <c r="O237" s="455"/>
      <c r="P237" s="455"/>
      <c r="Q237" s="455"/>
      <c r="R237" s="455"/>
      <c r="S237" s="455"/>
      <c r="T237" s="455"/>
      <c r="U237" s="455"/>
      <c r="V237" s="455"/>
      <c r="W237" s="455"/>
      <c r="X237" s="455"/>
      <c r="Y237" s="455"/>
      <c r="Z237" s="455"/>
    </row>
    <row r="238">
      <c r="A238" s="569">
        <v>43811.0</v>
      </c>
      <c r="B238" s="454" t="s">
        <v>6961</v>
      </c>
      <c r="C238" s="454" t="s">
        <v>6962</v>
      </c>
      <c r="D238" s="458" t="s">
        <v>6963</v>
      </c>
      <c r="E238" s="455"/>
      <c r="F238" s="455"/>
      <c r="G238" s="455"/>
      <c r="H238" s="454" t="s">
        <v>3852</v>
      </c>
      <c r="I238" s="455"/>
      <c r="J238" s="455"/>
      <c r="K238" s="457" t="s">
        <v>6133</v>
      </c>
      <c r="L238" s="456" t="s">
        <v>6964</v>
      </c>
      <c r="M238" s="455"/>
      <c r="N238" s="455"/>
      <c r="O238" s="455"/>
      <c r="P238" s="455"/>
      <c r="Q238" s="455"/>
      <c r="R238" s="455"/>
      <c r="S238" s="455"/>
      <c r="T238" s="455"/>
      <c r="U238" s="455"/>
      <c r="V238" s="455"/>
      <c r="W238" s="455"/>
      <c r="X238" s="455"/>
      <c r="Y238" s="455"/>
      <c r="Z238" s="455"/>
    </row>
    <row r="239">
      <c r="A239" s="569">
        <v>43811.0</v>
      </c>
      <c r="B239" s="454" t="s">
        <v>6965</v>
      </c>
      <c r="C239" s="454" t="s">
        <v>6966</v>
      </c>
      <c r="D239" s="458" t="s">
        <v>6967</v>
      </c>
      <c r="E239" s="455"/>
      <c r="F239" s="455"/>
      <c r="G239" s="455"/>
      <c r="H239" s="454" t="s">
        <v>3852</v>
      </c>
      <c r="I239" s="455"/>
      <c r="J239" s="455"/>
      <c r="K239" s="457" t="s">
        <v>6133</v>
      </c>
      <c r="L239" s="456" t="s">
        <v>251</v>
      </c>
      <c r="M239" s="455"/>
      <c r="N239" s="455"/>
      <c r="O239" s="455"/>
      <c r="P239" s="455"/>
      <c r="Q239" s="455"/>
      <c r="R239" s="455"/>
      <c r="S239" s="455"/>
      <c r="T239" s="455"/>
      <c r="U239" s="455"/>
      <c r="V239" s="455"/>
      <c r="W239" s="455"/>
      <c r="X239" s="455"/>
      <c r="Y239" s="455"/>
      <c r="Z239" s="455"/>
    </row>
    <row r="240">
      <c r="A240" s="588">
        <v>43811.0</v>
      </c>
      <c r="B240" s="461" t="s">
        <v>6968</v>
      </c>
      <c r="C240" s="461" t="s">
        <v>6969</v>
      </c>
      <c r="D240" s="475" t="s">
        <v>6970</v>
      </c>
      <c r="E240" s="462"/>
      <c r="F240" s="462"/>
      <c r="G240" s="462"/>
      <c r="H240" s="461" t="s">
        <v>4036</v>
      </c>
      <c r="I240" s="460" t="s">
        <v>6971</v>
      </c>
      <c r="J240" s="462"/>
      <c r="K240" s="463" t="s">
        <v>6133</v>
      </c>
      <c r="L240" s="476" t="s">
        <v>6972</v>
      </c>
      <c r="M240" s="455"/>
      <c r="N240" s="455"/>
      <c r="O240" s="455"/>
      <c r="P240" s="455"/>
      <c r="Q240" s="455"/>
      <c r="R240" s="455"/>
      <c r="S240" s="455"/>
      <c r="T240" s="455"/>
      <c r="U240" s="455"/>
      <c r="V240" s="455"/>
      <c r="W240" s="455"/>
      <c r="X240" s="455"/>
      <c r="Y240" s="455"/>
      <c r="Z240" s="455"/>
    </row>
    <row r="241" ht="17.25" customHeight="1">
      <c r="A241" s="569">
        <v>43811.0</v>
      </c>
      <c r="B241" s="454" t="s">
        <v>6973</v>
      </c>
      <c r="C241" s="454" t="s">
        <v>6974</v>
      </c>
      <c r="D241" s="458" t="s">
        <v>6975</v>
      </c>
      <c r="E241" s="455"/>
      <c r="F241" s="455"/>
      <c r="G241" s="455"/>
      <c r="H241" s="454" t="s">
        <v>3787</v>
      </c>
      <c r="I241" s="455"/>
      <c r="J241" s="453" t="s">
        <v>6976</v>
      </c>
      <c r="K241" s="457" t="s">
        <v>6133</v>
      </c>
      <c r="L241" s="456" t="s">
        <v>574</v>
      </c>
      <c r="M241" s="455"/>
      <c r="N241" s="455"/>
      <c r="O241" s="455"/>
      <c r="P241" s="455"/>
      <c r="Q241" s="455"/>
      <c r="R241" s="455"/>
      <c r="S241" s="455"/>
      <c r="T241" s="455"/>
      <c r="U241" s="455"/>
      <c r="V241" s="455"/>
      <c r="W241" s="455"/>
      <c r="X241" s="455"/>
      <c r="Y241" s="455"/>
      <c r="Z241" s="455"/>
    </row>
    <row r="242" ht="17.25" customHeight="1">
      <c r="A242" s="569">
        <v>43811.0</v>
      </c>
      <c r="B242" s="453" t="s">
        <v>6977</v>
      </c>
      <c r="C242" s="453" t="s">
        <v>6978</v>
      </c>
      <c r="D242" s="474" t="s">
        <v>6979</v>
      </c>
      <c r="E242" s="455"/>
      <c r="F242" s="455"/>
      <c r="G242" s="455"/>
      <c r="H242" s="454" t="s">
        <v>6980</v>
      </c>
      <c r="I242" s="455"/>
      <c r="J242" s="455"/>
      <c r="K242" s="457" t="s">
        <v>6133</v>
      </c>
      <c r="L242" s="456" t="s">
        <v>251</v>
      </c>
      <c r="M242" s="455"/>
      <c r="N242" s="455"/>
      <c r="O242" s="455"/>
      <c r="P242" s="455"/>
      <c r="Q242" s="455"/>
      <c r="R242" s="455"/>
      <c r="S242" s="455"/>
      <c r="T242" s="455"/>
      <c r="U242" s="455"/>
      <c r="V242" s="455"/>
      <c r="W242" s="455"/>
      <c r="X242" s="455"/>
      <c r="Y242" s="455"/>
      <c r="Z242" s="455"/>
    </row>
    <row r="243">
      <c r="A243" s="569">
        <v>43811.0</v>
      </c>
      <c r="B243" s="454" t="s">
        <v>6981</v>
      </c>
      <c r="C243" s="454" t="s">
        <v>6982</v>
      </c>
      <c r="D243" s="458" t="s">
        <v>6983</v>
      </c>
      <c r="E243" s="455"/>
      <c r="F243" s="455"/>
      <c r="G243" s="455"/>
      <c r="H243" s="454" t="s">
        <v>4094</v>
      </c>
      <c r="I243" s="453" t="s">
        <v>6984</v>
      </c>
      <c r="J243" s="455"/>
      <c r="K243" s="457" t="s">
        <v>6133</v>
      </c>
      <c r="L243" s="456" t="s">
        <v>168</v>
      </c>
      <c r="M243" s="455"/>
      <c r="N243" s="455"/>
      <c r="O243" s="455"/>
      <c r="P243" s="455"/>
      <c r="Q243" s="455"/>
      <c r="R243" s="455"/>
      <c r="S243" s="455"/>
      <c r="T243" s="455"/>
      <c r="U243" s="455"/>
      <c r="V243" s="455"/>
      <c r="W243" s="455"/>
      <c r="X243" s="455"/>
      <c r="Y243" s="455"/>
      <c r="Z243" s="455"/>
    </row>
    <row r="244" ht="15.75" customHeight="1">
      <c r="A244" s="572">
        <v>43811.0</v>
      </c>
      <c r="B244" s="461" t="s">
        <v>6985</v>
      </c>
      <c r="C244" s="461" t="s">
        <v>6986</v>
      </c>
      <c r="D244" s="475" t="s">
        <v>6987</v>
      </c>
      <c r="E244" s="462"/>
      <c r="F244" s="460" t="s">
        <v>6988</v>
      </c>
      <c r="G244" s="462"/>
      <c r="H244" s="461" t="s">
        <v>4094</v>
      </c>
      <c r="I244" s="460" t="s">
        <v>6989</v>
      </c>
      <c r="J244" s="462"/>
      <c r="K244" s="463" t="s">
        <v>6133</v>
      </c>
      <c r="L244" s="476" t="s">
        <v>6990</v>
      </c>
      <c r="M244" s="455"/>
      <c r="N244" s="455"/>
      <c r="O244" s="455"/>
      <c r="P244" s="455"/>
      <c r="Q244" s="455"/>
      <c r="R244" s="455"/>
      <c r="S244" s="455"/>
      <c r="T244" s="455"/>
      <c r="U244" s="455"/>
      <c r="V244" s="455"/>
      <c r="W244" s="455"/>
      <c r="X244" s="455"/>
      <c r="Y244" s="455"/>
      <c r="Z244" s="455"/>
    </row>
    <row r="245">
      <c r="A245" s="569">
        <v>43814.0</v>
      </c>
      <c r="B245" s="454" t="s">
        <v>6991</v>
      </c>
      <c r="C245" s="513" t="s">
        <v>6992</v>
      </c>
      <c r="D245" s="513">
        <f>971556746280</f>
        <v>971556746280</v>
      </c>
      <c r="E245" s="455"/>
      <c r="F245" s="455"/>
      <c r="G245" s="455"/>
      <c r="H245" s="454" t="s">
        <v>3822</v>
      </c>
      <c r="I245" s="453" t="s">
        <v>6993</v>
      </c>
      <c r="J245" s="455"/>
      <c r="K245" s="457" t="s">
        <v>6133</v>
      </c>
      <c r="L245" s="456" t="s">
        <v>3672</v>
      </c>
      <c r="M245" s="455"/>
      <c r="N245" s="455"/>
      <c r="O245" s="455"/>
      <c r="P245" s="455"/>
      <c r="Q245" s="455"/>
      <c r="R245" s="455"/>
      <c r="S245" s="455"/>
      <c r="T245" s="455"/>
      <c r="U245" s="455"/>
      <c r="V245" s="455"/>
      <c r="W245" s="455"/>
      <c r="X245" s="455"/>
      <c r="Y245" s="455"/>
      <c r="Z245" s="455"/>
    </row>
    <row r="246" ht="17.25" customHeight="1">
      <c r="A246" s="569">
        <v>43814.0</v>
      </c>
      <c r="B246" s="507" t="s">
        <v>6994</v>
      </c>
      <c r="C246" s="513" t="s">
        <v>6995</v>
      </c>
      <c r="D246" s="483">
        <f>971504297557</f>
        <v>971504297557</v>
      </c>
      <c r="E246" s="483"/>
      <c r="F246" s="506" t="s">
        <v>6996</v>
      </c>
      <c r="G246" s="483"/>
      <c r="H246" s="507" t="s">
        <v>3822</v>
      </c>
      <c r="I246" s="506" t="s">
        <v>6997</v>
      </c>
      <c r="J246" s="506" t="s">
        <v>6998</v>
      </c>
      <c r="K246" s="509" t="s">
        <v>6133</v>
      </c>
      <c r="L246" s="511" t="s">
        <v>6999</v>
      </c>
      <c r="M246" s="456" t="s">
        <v>7000</v>
      </c>
      <c r="N246" s="455"/>
      <c r="O246" s="455"/>
      <c r="P246" s="455"/>
      <c r="Q246" s="455"/>
      <c r="R246" s="455"/>
      <c r="S246" s="455"/>
      <c r="T246" s="455"/>
      <c r="U246" s="455"/>
      <c r="V246" s="455"/>
      <c r="W246" s="455"/>
      <c r="X246" s="455"/>
      <c r="Y246" s="455"/>
      <c r="Z246" s="455"/>
    </row>
    <row r="247">
      <c r="A247" s="569">
        <v>43814.0</v>
      </c>
      <c r="B247" s="513" t="s">
        <v>7001</v>
      </c>
      <c r="C247" s="513" t="s">
        <v>7002</v>
      </c>
      <c r="D247" s="455">
        <f>9715048140733</f>
        <v>9715048140733</v>
      </c>
      <c r="E247" s="455"/>
      <c r="F247" s="455"/>
      <c r="G247" s="455"/>
      <c r="H247" s="454" t="s">
        <v>7003</v>
      </c>
      <c r="I247" s="453" t="s">
        <v>168</v>
      </c>
      <c r="J247" s="455"/>
      <c r="K247" s="457" t="s">
        <v>6133</v>
      </c>
      <c r="L247" s="456" t="s">
        <v>168</v>
      </c>
      <c r="M247" s="455"/>
      <c r="N247" s="455"/>
      <c r="O247" s="455"/>
      <c r="P247" s="455"/>
      <c r="Q247" s="455"/>
      <c r="R247" s="455"/>
      <c r="S247" s="455"/>
      <c r="T247" s="455"/>
      <c r="U247" s="455"/>
      <c r="V247" s="455"/>
      <c r="W247" s="455"/>
      <c r="X247" s="455"/>
      <c r="Y247" s="455"/>
      <c r="Z247" s="455"/>
    </row>
    <row r="248">
      <c r="A248" s="588">
        <v>43816.0</v>
      </c>
      <c r="B248" s="513" t="s">
        <v>7004</v>
      </c>
      <c r="C248" s="513" t="s">
        <v>7005</v>
      </c>
      <c r="D248" s="483">
        <f>971505290521</f>
        <v>971505290521</v>
      </c>
      <c r="E248" s="483"/>
      <c r="F248" s="483"/>
      <c r="G248" s="483"/>
      <c r="H248" s="507" t="s">
        <v>7003</v>
      </c>
      <c r="I248" s="506" t="s">
        <v>7006</v>
      </c>
      <c r="J248" s="483"/>
      <c r="K248" s="509" t="s">
        <v>6133</v>
      </c>
      <c r="L248" s="511" t="s">
        <v>7007</v>
      </c>
      <c r="M248" s="455"/>
      <c r="N248" s="455"/>
      <c r="O248" s="455"/>
      <c r="P248" s="455"/>
      <c r="Q248" s="455"/>
      <c r="R248" s="455"/>
      <c r="S248" s="455"/>
      <c r="T248" s="455"/>
      <c r="U248" s="455"/>
      <c r="V248" s="455"/>
      <c r="W248" s="455"/>
      <c r="X248" s="455"/>
      <c r="Y248" s="455"/>
      <c r="Z248" s="455"/>
    </row>
    <row r="249">
      <c r="A249" s="569">
        <v>43816.0</v>
      </c>
      <c r="B249" s="513" t="s">
        <v>7008</v>
      </c>
      <c r="C249" s="513" t="s">
        <v>7009</v>
      </c>
      <c r="D249" s="455">
        <f>966567551647</f>
        <v>966567551647</v>
      </c>
      <c r="E249" s="453">
        <v>1.0</v>
      </c>
      <c r="F249" s="455"/>
      <c r="G249" s="455"/>
      <c r="H249" s="453" t="s">
        <v>3880</v>
      </c>
      <c r="I249" s="455"/>
      <c r="J249" s="483"/>
      <c r="K249" s="457" t="s">
        <v>6133</v>
      </c>
      <c r="L249" s="456" t="s">
        <v>251</v>
      </c>
      <c r="M249" s="455"/>
      <c r="N249" s="455"/>
      <c r="O249" s="455"/>
      <c r="P249" s="455"/>
      <c r="Q249" s="455"/>
      <c r="R249" s="455"/>
      <c r="S249" s="455"/>
      <c r="T249" s="455"/>
      <c r="U249" s="455"/>
      <c r="V249" s="455"/>
      <c r="W249" s="455"/>
      <c r="X249" s="455"/>
      <c r="Y249" s="455"/>
      <c r="Z249" s="455"/>
    </row>
    <row r="250" ht="18.0" customHeight="1">
      <c r="A250" s="569">
        <v>43816.0</v>
      </c>
      <c r="B250" s="513" t="s">
        <v>7010</v>
      </c>
      <c r="C250" s="513" t="s">
        <v>7011</v>
      </c>
      <c r="D250" s="455">
        <f>61401725749</f>
        <v>61401725749</v>
      </c>
      <c r="E250" s="453">
        <v>3.0</v>
      </c>
      <c r="F250" s="455"/>
      <c r="G250" s="455"/>
      <c r="H250" s="453" t="s">
        <v>4420</v>
      </c>
      <c r="I250" s="453" t="s">
        <v>7012</v>
      </c>
      <c r="J250" s="453" t="s">
        <v>7013</v>
      </c>
      <c r="K250" s="457" t="s">
        <v>6133</v>
      </c>
      <c r="L250" s="456" t="s">
        <v>574</v>
      </c>
      <c r="M250" s="455"/>
      <c r="N250" s="455"/>
      <c r="O250" s="455"/>
      <c r="P250" s="455"/>
      <c r="Q250" s="455"/>
      <c r="R250" s="455"/>
      <c r="S250" s="455"/>
      <c r="T250" s="455"/>
      <c r="U250" s="455"/>
      <c r="V250" s="455"/>
      <c r="W250" s="455"/>
      <c r="X250" s="455"/>
      <c r="Y250" s="455"/>
      <c r="Z250" s="455"/>
    </row>
    <row r="251">
      <c r="A251" s="569">
        <v>43817.0</v>
      </c>
      <c r="B251" s="513" t="s">
        <v>7014</v>
      </c>
      <c r="C251" s="513" t="s">
        <v>7015</v>
      </c>
      <c r="D251" s="513">
        <v>6.10434662929E11</v>
      </c>
      <c r="E251" s="453">
        <v>3.0</v>
      </c>
      <c r="F251" s="455"/>
      <c r="G251" s="455"/>
      <c r="H251" s="453" t="s">
        <v>4420</v>
      </c>
      <c r="I251" s="453" t="s">
        <v>168</v>
      </c>
      <c r="J251" s="483" t="s">
        <v>7016</v>
      </c>
      <c r="K251" s="457" t="s">
        <v>6133</v>
      </c>
      <c r="L251" s="456" t="s">
        <v>7017</v>
      </c>
      <c r="M251" s="455"/>
      <c r="N251" s="455"/>
      <c r="O251" s="455"/>
      <c r="P251" s="455"/>
      <c r="Q251" s="455"/>
      <c r="R251" s="455"/>
      <c r="S251" s="455"/>
      <c r="T251" s="455"/>
      <c r="U251" s="455"/>
      <c r="V251" s="455"/>
      <c r="W251" s="455"/>
      <c r="X251" s="455"/>
      <c r="Y251" s="455"/>
      <c r="Z251" s="455"/>
    </row>
    <row r="252">
      <c r="A252" s="569">
        <v>43818.0</v>
      </c>
      <c r="B252" s="513" t="s">
        <v>7018</v>
      </c>
      <c r="C252" s="513" t="s">
        <v>7019</v>
      </c>
      <c r="D252" s="513">
        <v>9.71529177295E11</v>
      </c>
      <c r="E252" s="455"/>
      <c r="F252" s="455"/>
      <c r="G252" s="455"/>
      <c r="H252" s="564"/>
      <c r="I252" s="453" t="s">
        <v>7020</v>
      </c>
      <c r="J252" s="455"/>
      <c r="K252" s="457" t="s">
        <v>6133</v>
      </c>
      <c r="L252" s="456" t="s">
        <v>574</v>
      </c>
      <c r="M252" s="455"/>
      <c r="N252" s="455"/>
      <c r="O252" s="455"/>
      <c r="P252" s="455"/>
      <c r="Q252" s="455"/>
      <c r="R252" s="455"/>
      <c r="S252" s="455"/>
      <c r="T252" s="455"/>
      <c r="U252" s="455"/>
      <c r="V252" s="455"/>
      <c r="W252" s="455"/>
      <c r="X252" s="455"/>
      <c r="Y252" s="455"/>
      <c r="Z252" s="455"/>
    </row>
    <row r="253" ht="18.0" customHeight="1">
      <c r="A253" s="569">
        <v>43820.0</v>
      </c>
      <c r="B253" s="513" t="s">
        <v>7021</v>
      </c>
      <c r="C253" s="513" t="s">
        <v>7022</v>
      </c>
      <c r="D253" s="513">
        <f>+971562191872</f>
        <v>971562191872</v>
      </c>
      <c r="E253" s="455"/>
      <c r="F253" s="455"/>
      <c r="G253" s="455"/>
      <c r="H253" s="453" t="s">
        <v>4036</v>
      </c>
      <c r="I253" s="483" t="s">
        <v>7023</v>
      </c>
      <c r="J253" s="453" t="s">
        <v>7012</v>
      </c>
      <c r="K253" s="457" t="s">
        <v>6133</v>
      </c>
      <c r="L253" s="456" t="s">
        <v>7024</v>
      </c>
      <c r="M253" s="455"/>
      <c r="N253" s="455"/>
      <c r="O253" s="455"/>
      <c r="P253" s="455"/>
      <c r="Q253" s="455"/>
      <c r="R253" s="455"/>
      <c r="S253" s="455"/>
      <c r="T253" s="455"/>
      <c r="U253" s="455"/>
      <c r="V253" s="455"/>
      <c r="W253" s="455"/>
      <c r="X253" s="455"/>
      <c r="Y253" s="455"/>
      <c r="Z253" s="455"/>
    </row>
    <row r="254">
      <c r="A254" s="569">
        <v>43820.0</v>
      </c>
      <c r="B254" s="454" t="s">
        <v>7025</v>
      </c>
      <c r="C254" s="513" t="s">
        <v>7026</v>
      </c>
      <c r="D254" s="513">
        <f>+16137700141</f>
        <v>16137700141</v>
      </c>
      <c r="E254" s="453">
        <v>4.0</v>
      </c>
      <c r="F254" s="455"/>
      <c r="G254" s="455"/>
      <c r="H254" s="453" t="s">
        <v>7027</v>
      </c>
      <c r="I254" s="455"/>
      <c r="J254" s="455"/>
      <c r="K254" s="457" t="s">
        <v>6133</v>
      </c>
      <c r="L254" s="456" t="s">
        <v>574</v>
      </c>
      <c r="M254" s="455"/>
      <c r="N254" s="455"/>
      <c r="O254" s="455"/>
      <c r="P254" s="455"/>
      <c r="Q254" s="455"/>
      <c r="R254" s="455"/>
      <c r="S254" s="455"/>
      <c r="T254" s="455"/>
      <c r="U254" s="455"/>
      <c r="V254" s="455"/>
      <c r="W254" s="455"/>
      <c r="X254" s="455"/>
      <c r="Y254" s="455"/>
      <c r="Z254" s="455"/>
    </row>
    <row r="255" ht="16.5" customHeight="1">
      <c r="A255" s="569">
        <v>43820.0</v>
      </c>
      <c r="B255" s="505" t="s">
        <v>3557</v>
      </c>
      <c r="C255" s="505" t="s">
        <v>7028</v>
      </c>
      <c r="D255" s="505">
        <f>+971522927941</f>
        <v>971522927941</v>
      </c>
      <c r="E255" s="462"/>
      <c r="F255" s="462"/>
      <c r="G255" s="462"/>
      <c r="H255" s="460" t="s">
        <v>3845</v>
      </c>
      <c r="I255" s="460" t="s">
        <v>7029</v>
      </c>
      <c r="J255" s="462"/>
      <c r="K255" s="463" t="s">
        <v>6133</v>
      </c>
      <c r="L255" s="476" t="s">
        <v>7030</v>
      </c>
      <c r="M255" s="455"/>
      <c r="N255" s="455"/>
      <c r="O255" s="455"/>
      <c r="P255" s="455"/>
      <c r="Q255" s="455"/>
      <c r="R255" s="455"/>
      <c r="S255" s="455"/>
      <c r="T255" s="455"/>
      <c r="U255" s="455"/>
      <c r="V255" s="455"/>
      <c r="W255" s="455"/>
      <c r="X255" s="455"/>
      <c r="Y255" s="455"/>
      <c r="Z255" s="455"/>
    </row>
    <row r="256" ht="18.0" customHeight="1">
      <c r="A256" s="569">
        <v>43821.0</v>
      </c>
      <c r="B256" s="513" t="s">
        <v>7031</v>
      </c>
      <c r="C256" s="513" t="s">
        <v>7032</v>
      </c>
      <c r="D256" s="513">
        <f>+447773280387</f>
        <v>447773280387</v>
      </c>
      <c r="E256" s="453">
        <v>3.0</v>
      </c>
      <c r="F256" s="455"/>
      <c r="G256" s="455"/>
      <c r="H256" s="453" t="s">
        <v>3845</v>
      </c>
      <c r="I256" s="455"/>
      <c r="J256" s="453" t="s">
        <v>7012</v>
      </c>
      <c r="K256" s="457" t="s">
        <v>6133</v>
      </c>
      <c r="L256" s="456" t="s">
        <v>574</v>
      </c>
      <c r="M256" s="455"/>
      <c r="N256" s="455"/>
      <c r="O256" s="455"/>
      <c r="P256" s="455"/>
      <c r="Q256" s="455"/>
      <c r="R256" s="455"/>
      <c r="S256" s="455"/>
      <c r="T256" s="455"/>
      <c r="U256" s="455"/>
      <c r="V256" s="455"/>
      <c r="W256" s="455"/>
      <c r="X256" s="455"/>
      <c r="Y256" s="455"/>
      <c r="Z256" s="455"/>
    </row>
    <row r="257" ht="17.25" customHeight="1">
      <c r="A257" s="569">
        <v>43821.0</v>
      </c>
      <c r="B257" s="513" t="s">
        <v>7033</v>
      </c>
      <c r="C257" s="513" t="s">
        <v>7034</v>
      </c>
      <c r="D257" s="513">
        <f>+12043962002</f>
        <v>12043962002</v>
      </c>
      <c r="E257" s="453">
        <v>3.0</v>
      </c>
      <c r="F257" s="455"/>
      <c r="G257" s="455"/>
      <c r="H257" s="453" t="s">
        <v>3845</v>
      </c>
      <c r="I257" s="455"/>
      <c r="J257" s="453" t="s">
        <v>7012</v>
      </c>
      <c r="K257" s="457" t="s">
        <v>6133</v>
      </c>
      <c r="L257" s="456" t="s">
        <v>574</v>
      </c>
      <c r="M257" s="455"/>
      <c r="N257" s="455"/>
      <c r="O257" s="455"/>
      <c r="P257" s="455"/>
      <c r="Q257" s="455"/>
      <c r="R257" s="455"/>
      <c r="S257" s="455"/>
      <c r="T257" s="455"/>
      <c r="U257" s="455"/>
      <c r="V257" s="455"/>
      <c r="W257" s="455"/>
      <c r="X257" s="455"/>
      <c r="Y257" s="455"/>
      <c r="Z257" s="455"/>
    </row>
    <row r="258" ht="17.25" customHeight="1">
      <c r="A258" s="569">
        <v>43823.0</v>
      </c>
      <c r="B258" s="513" t="s">
        <v>7035</v>
      </c>
      <c r="C258" s="513" t="s">
        <v>7036</v>
      </c>
      <c r="D258" s="455">
        <f>+971565991678</f>
        <v>971565991678</v>
      </c>
      <c r="E258" s="455"/>
      <c r="F258" s="455"/>
      <c r="G258" s="455"/>
      <c r="H258" s="589" t="s">
        <v>3895</v>
      </c>
      <c r="I258" s="455"/>
      <c r="J258" s="453" t="s">
        <v>6404</v>
      </c>
      <c r="K258" s="457" t="s">
        <v>6133</v>
      </c>
      <c r="L258" s="456" t="s">
        <v>168</v>
      </c>
      <c r="M258" s="455"/>
      <c r="N258" s="455"/>
      <c r="O258" s="455"/>
      <c r="P258" s="455"/>
      <c r="Q258" s="455"/>
      <c r="R258" s="455"/>
      <c r="S258" s="455"/>
      <c r="T258" s="455"/>
      <c r="U258" s="455"/>
      <c r="V258" s="455"/>
      <c r="W258" s="455"/>
      <c r="X258" s="455"/>
      <c r="Y258" s="455"/>
      <c r="Z258" s="455"/>
    </row>
    <row r="259" ht="18.0" customHeight="1">
      <c r="A259" s="470">
        <v>43834.0</v>
      </c>
      <c r="B259" s="505" t="s">
        <v>7037</v>
      </c>
      <c r="C259" s="461" t="s">
        <v>7038</v>
      </c>
      <c r="D259" s="461" t="s">
        <v>7039</v>
      </c>
      <c r="E259" s="460">
        <v>3.0</v>
      </c>
      <c r="F259" s="462"/>
      <c r="G259" s="462"/>
      <c r="H259" s="505" t="s">
        <v>7003</v>
      </c>
      <c r="I259" s="460" t="s">
        <v>7040</v>
      </c>
      <c r="J259" s="462"/>
      <c r="K259" s="463" t="s">
        <v>6133</v>
      </c>
      <c r="L259" s="476" t="s">
        <v>7041</v>
      </c>
      <c r="M259" s="455"/>
      <c r="N259" s="455"/>
      <c r="O259" s="455"/>
      <c r="P259" s="455"/>
      <c r="Q259" s="455"/>
      <c r="R259" s="455"/>
      <c r="S259" s="455"/>
      <c r="T259" s="455"/>
      <c r="U259" s="455"/>
      <c r="V259" s="455"/>
      <c r="W259" s="455"/>
      <c r="X259" s="455"/>
      <c r="Y259" s="455"/>
      <c r="Z259" s="455"/>
    </row>
    <row r="260" ht="18.0" customHeight="1">
      <c r="A260" s="470">
        <v>43834.0</v>
      </c>
      <c r="B260" s="513" t="s">
        <v>7042</v>
      </c>
      <c r="C260" s="513" t="s">
        <v>7043</v>
      </c>
      <c r="D260" s="513" t="s">
        <v>7044</v>
      </c>
      <c r="E260" s="453" t="s">
        <v>7045</v>
      </c>
      <c r="F260" s="455"/>
      <c r="G260" s="455"/>
      <c r="H260" s="453" t="s">
        <v>7003</v>
      </c>
      <c r="I260" s="453" t="s">
        <v>7046</v>
      </c>
      <c r="J260" s="455"/>
      <c r="K260" s="457" t="s">
        <v>6133</v>
      </c>
      <c r="L260" s="456" t="s">
        <v>168</v>
      </c>
      <c r="M260" s="455"/>
      <c r="N260" s="455"/>
      <c r="O260" s="455"/>
      <c r="P260" s="455"/>
      <c r="Q260" s="455"/>
      <c r="R260" s="455"/>
      <c r="S260" s="455"/>
      <c r="T260" s="455"/>
      <c r="U260" s="455"/>
      <c r="V260" s="455"/>
      <c r="W260" s="455"/>
      <c r="X260" s="455"/>
      <c r="Y260" s="455"/>
      <c r="Z260" s="455"/>
    </row>
    <row r="261">
      <c r="A261" s="470">
        <v>43837.0</v>
      </c>
      <c r="B261" s="513" t="s">
        <v>3938</v>
      </c>
      <c r="C261" s="513" t="s">
        <v>3939</v>
      </c>
      <c r="D261" s="513">
        <f>+15145606060</f>
        <v>15145606060</v>
      </c>
      <c r="E261" s="513" t="s">
        <v>3968</v>
      </c>
      <c r="F261" s="455"/>
      <c r="G261" s="455"/>
      <c r="H261" s="564"/>
      <c r="I261" s="455"/>
      <c r="J261" s="455"/>
      <c r="K261" s="457" t="s">
        <v>6133</v>
      </c>
      <c r="L261" s="456" t="s">
        <v>574</v>
      </c>
      <c r="M261" s="455"/>
      <c r="N261" s="455"/>
      <c r="O261" s="455"/>
      <c r="P261" s="455"/>
      <c r="Q261" s="455"/>
      <c r="R261" s="455"/>
      <c r="S261" s="455"/>
      <c r="T261" s="455"/>
      <c r="U261" s="455"/>
      <c r="V261" s="455"/>
      <c r="W261" s="455"/>
      <c r="X261" s="455"/>
      <c r="Y261" s="455"/>
      <c r="Z261" s="455"/>
    </row>
    <row r="262">
      <c r="A262" s="470">
        <v>43839.0</v>
      </c>
      <c r="B262" s="513" t="s">
        <v>7047</v>
      </c>
      <c r="C262" s="513" t="s">
        <v>7048</v>
      </c>
      <c r="D262" s="513">
        <f>+971508703518</f>
        <v>971508703518</v>
      </c>
      <c r="E262" s="513" t="s">
        <v>3985</v>
      </c>
      <c r="F262" s="455"/>
      <c r="G262" s="455"/>
      <c r="H262" s="513" t="s">
        <v>3972</v>
      </c>
      <c r="I262" s="455"/>
      <c r="J262" s="455"/>
      <c r="K262" s="457" t="s">
        <v>6133</v>
      </c>
      <c r="L262" s="456" t="s">
        <v>574</v>
      </c>
      <c r="M262" s="455"/>
      <c r="N262" s="455"/>
      <c r="O262" s="455"/>
      <c r="P262" s="455"/>
      <c r="Q262" s="455"/>
      <c r="R262" s="455"/>
      <c r="S262" s="455"/>
      <c r="T262" s="455"/>
      <c r="U262" s="455"/>
      <c r="V262" s="455"/>
      <c r="W262" s="455"/>
      <c r="X262" s="455"/>
      <c r="Y262" s="455"/>
      <c r="Z262" s="455"/>
    </row>
    <row r="263" ht="16.5" customHeight="1">
      <c r="A263" s="470">
        <v>43844.0</v>
      </c>
      <c r="B263" s="590" t="s">
        <v>7049</v>
      </c>
      <c r="C263" s="590" t="s">
        <v>7050</v>
      </c>
      <c r="D263" s="590" t="s">
        <v>7051</v>
      </c>
      <c r="E263" s="582"/>
      <c r="F263" s="582"/>
      <c r="G263" s="582"/>
      <c r="H263" s="590" t="s">
        <v>3946</v>
      </c>
      <c r="I263" s="591" t="s">
        <v>7052</v>
      </c>
      <c r="J263" s="582"/>
      <c r="K263" s="583" t="s">
        <v>6133</v>
      </c>
      <c r="L263" s="584" t="s">
        <v>7053</v>
      </c>
      <c r="M263" s="582"/>
      <c r="N263" s="455"/>
      <c r="O263" s="455"/>
      <c r="P263" s="455"/>
      <c r="Q263" s="455"/>
      <c r="R263" s="455"/>
      <c r="S263" s="455"/>
      <c r="T263" s="455"/>
      <c r="U263" s="455"/>
      <c r="V263" s="455"/>
      <c r="W263" s="455"/>
      <c r="X263" s="455"/>
      <c r="Y263" s="455"/>
      <c r="Z263" s="455"/>
    </row>
    <row r="264">
      <c r="A264" s="470">
        <v>43844.0</v>
      </c>
      <c r="B264" s="513" t="s">
        <v>7054</v>
      </c>
      <c r="C264" s="513" t="s">
        <v>2825</v>
      </c>
      <c r="D264" s="454">
        <v>9.23334131068E11</v>
      </c>
      <c r="E264" s="513" t="s">
        <v>7055</v>
      </c>
      <c r="F264" s="455"/>
      <c r="G264" s="455"/>
      <c r="H264" s="513" t="s">
        <v>3946</v>
      </c>
      <c r="I264" s="453" t="s">
        <v>7056</v>
      </c>
      <c r="J264" s="455"/>
      <c r="K264" s="457" t="s">
        <v>6133</v>
      </c>
      <c r="L264" s="456" t="s">
        <v>7017</v>
      </c>
      <c r="M264" s="455"/>
      <c r="N264" s="455"/>
      <c r="O264" s="455"/>
      <c r="P264" s="455"/>
      <c r="Q264" s="455"/>
      <c r="R264" s="455"/>
      <c r="S264" s="455"/>
      <c r="T264" s="455"/>
      <c r="U264" s="455"/>
      <c r="V264" s="455"/>
      <c r="W264" s="455"/>
      <c r="X264" s="455"/>
      <c r="Y264" s="455"/>
      <c r="Z264" s="455"/>
    </row>
    <row r="265">
      <c r="A265" s="470">
        <v>43846.0</v>
      </c>
      <c r="B265" s="513" t="s">
        <v>7057</v>
      </c>
      <c r="C265" s="513" t="s">
        <v>7058</v>
      </c>
      <c r="D265" s="513">
        <f>+962772065678</f>
        <v>962772065678</v>
      </c>
      <c r="E265" s="453" t="s">
        <v>7059</v>
      </c>
      <c r="F265" s="455"/>
      <c r="G265" s="455"/>
      <c r="H265" s="453" t="s">
        <v>7060</v>
      </c>
      <c r="I265" s="453" t="s">
        <v>7061</v>
      </c>
      <c r="J265" s="455"/>
      <c r="K265" s="457" t="s">
        <v>6133</v>
      </c>
      <c r="L265" s="456" t="s">
        <v>574</v>
      </c>
      <c r="M265" s="455"/>
      <c r="N265" s="455"/>
      <c r="O265" s="455"/>
      <c r="P265" s="455"/>
      <c r="Q265" s="455"/>
      <c r="R265" s="455"/>
      <c r="S265" s="455"/>
      <c r="T265" s="455"/>
      <c r="U265" s="455"/>
      <c r="V265" s="455"/>
      <c r="W265" s="455"/>
      <c r="X265" s="455"/>
      <c r="Y265" s="455"/>
      <c r="Z265" s="455"/>
    </row>
    <row r="266">
      <c r="A266" s="470">
        <v>43846.0</v>
      </c>
      <c r="B266" s="513" t="s">
        <v>7062</v>
      </c>
      <c r="C266" s="513" t="s">
        <v>7063</v>
      </c>
      <c r="D266" s="513">
        <f>+962789999666</f>
        <v>962789999666</v>
      </c>
      <c r="E266" s="453" t="s">
        <v>6268</v>
      </c>
      <c r="F266" s="455"/>
      <c r="G266" s="455"/>
      <c r="H266" s="453" t="s">
        <v>3946</v>
      </c>
      <c r="I266" s="453" t="s">
        <v>7064</v>
      </c>
      <c r="J266" s="455"/>
      <c r="K266" s="457" t="s">
        <v>6133</v>
      </c>
      <c r="L266" s="456" t="s">
        <v>7065</v>
      </c>
      <c r="M266" s="455"/>
      <c r="N266" s="455"/>
      <c r="O266" s="455"/>
      <c r="P266" s="455"/>
      <c r="Q266" s="455"/>
      <c r="R266" s="455"/>
      <c r="S266" s="455"/>
      <c r="T266" s="455"/>
      <c r="U266" s="455"/>
      <c r="V266" s="455"/>
      <c r="W266" s="455"/>
      <c r="X266" s="455"/>
      <c r="Y266" s="455"/>
      <c r="Z266" s="455"/>
    </row>
    <row r="267">
      <c r="A267" s="470">
        <v>43850.0</v>
      </c>
      <c r="B267" s="513" t="s">
        <v>7066</v>
      </c>
      <c r="C267" s="513" t="s">
        <v>7067</v>
      </c>
      <c r="D267" s="513">
        <f>+17803407419</f>
        <v>17803407419</v>
      </c>
      <c r="E267" s="513" t="s">
        <v>7068</v>
      </c>
      <c r="F267" s="455"/>
      <c r="G267" s="455"/>
      <c r="H267" s="453" t="s">
        <v>4326</v>
      </c>
      <c r="I267" s="453" t="s">
        <v>7069</v>
      </c>
      <c r="J267" s="455"/>
      <c r="K267" s="457" t="s">
        <v>6133</v>
      </c>
      <c r="L267" s="456" t="s">
        <v>4589</v>
      </c>
      <c r="M267" s="455"/>
      <c r="N267" s="455"/>
      <c r="O267" s="455"/>
      <c r="P267" s="455"/>
      <c r="Q267" s="455"/>
      <c r="R267" s="455"/>
      <c r="S267" s="455"/>
      <c r="T267" s="455"/>
      <c r="U267" s="455"/>
      <c r="V267" s="455"/>
      <c r="W267" s="455"/>
      <c r="X267" s="455"/>
      <c r="Y267" s="455"/>
      <c r="Z267" s="455"/>
    </row>
    <row r="268">
      <c r="A268" s="470">
        <v>43850.0</v>
      </c>
      <c r="B268" s="513" t="s">
        <v>7070</v>
      </c>
      <c r="C268" s="513" t="s">
        <v>7071</v>
      </c>
      <c r="D268" s="513">
        <f>+96894135298</f>
        <v>96894135298</v>
      </c>
      <c r="E268" s="513" t="s">
        <v>7072</v>
      </c>
      <c r="F268" s="455"/>
      <c r="G268" s="455"/>
      <c r="H268" s="453" t="s">
        <v>4326</v>
      </c>
      <c r="I268" s="453" t="s">
        <v>7073</v>
      </c>
      <c r="J268" s="455"/>
      <c r="K268" s="457" t="s">
        <v>6133</v>
      </c>
      <c r="L268" s="456" t="s">
        <v>7074</v>
      </c>
      <c r="M268" s="455"/>
      <c r="N268" s="455"/>
      <c r="O268" s="455"/>
      <c r="P268" s="455"/>
      <c r="Q268" s="455"/>
      <c r="R268" s="455"/>
      <c r="S268" s="455"/>
      <c r="T268" s="455"/>
      <c r="U268" s="455"/>
      <c r="V268" s="455"/>
      <c r="W268" s="455"/>
      <c r="X268" s="455"/>
      <c r="Y268" s="455"/>
      <c r="Z268" s="455"/>
    </row>
    <row r="269" ht="15.75" customHeight="1">
      <c r="A269" s="470">
        <v>43851.0</v>
      </c>
      <c r="B269" s="505" t="s">
        <v>7075</v>
      </c>
      <c r="C269" s="505" t="s">
        <v>7076</v>
      </c>
      <c r="D269" s="505">
        <f>+6799907361</f>
        <v>6799907361</v>
      </c>
      <c r="E269" s="505" t="s">
        <v>3810</v>
      </c>
      <c r="F269" s="462"/>
      <c r="G269" s="462"/>
      <c r="H269" s="460" t="s">
        <v>6553</v>
      </c>
      <c r="I269" s="460" t="s">
        <v>7077</v>
      </c>
      <c r="J269" s="462"/>
      <c r="K269" s="463" t="s">
        <v>6133</v>
      </c>
      <c r="L269" s="476" t="s">
        <v>7078</v>
      </c>
      <c r="M269" s="455"/>
      <c r="N269" s="455"/>
      <c r="O269" s="455"/>
      <c r="P269" s="455"/>
      <c r="Q269" s="455"/>
      <c r="R269" s="455"/>
      <c r="S269" s="455"/>
      <c r="T269" s="455"/>
      <c r="U269" s="455"/>
      <c r="V269" s="455"/>
      <c r="W269" s="455"/>
      <c r="X269" s="455"/>
      <c r="Y269" s="455"/>
      <c r="Z269" s="455"/>
    </row>
    <row r="270">
      <c r="A270" s="470">
        <v>43851.0</v>
      </c>
      <c r="B270" s="513" t="s">
        <v>4365</v>
      </c>
      <c r="C270" s="513" t="s">
        <v>4366</v>
      </c>
      <c r="D270" s="513">
        <f>+9660553630690</f>
        <v>9660553630690</v>
      </c>
      <c r="E270" s="513" t="s">
        <v>6933</v>
      </c>
      <c r="F270" s="455"/>
      <c r="G270" s="455"/>
      <c r="H270" s="513" t="s">
        <v>3822</v>
      </c>
      <c r="I270" s="453" t="s">
        <v>7079</v>
      </c>
      <c r="J270" s="455"/>
      <c r="K270" s="457" t="s">
        <v>6133</v>
      </c>
      <c r="L270" s="456" t="s">
        <v>6934</v>
      </c>
      <c r="M270" s="455"/>
      <c r="N270" s="455"/>
      <c r="O270" s="455"/>
      <c r="P270" s="455"/>
      <c r="Q270" s="455"/>
      <c r="R270" s="455"/>
      <c r="S270" s="455"/>
      <c r="T270" s="455"/>
      <c r="U270" s="455"/>
      <c r="V270" s="455"/>
      <c r="W270" s="455"/>
      <c r="X270" s="455"/>
      <c r="Y270" s="455"/>
      <c r="Z270" s="455"/>
    </row>
    <row r="271">
      <c r="A271" s="470">
        <v>43853.0</v>
      </c>
      <c r="B271" s="454" t="s">
        <v>7080</v>
      </c>
      <c r="C271" s="454" t="s">
        <v>7081</v>
      </c>
      <c r="D271" s="454">
        <f>+447767808999</f>
        <v>447767808999</v>
      </c>
      <c r="E271" s="455"/>
      <c r="F271" s="455"/>
      <c r="G271" s="455"/>
      <c r="H271" s="454" t="s">
        <v>3796</v>
      </c>
      <c r="I271" s="453" t="s">
        <v>574</v>
      </c>
      <c r="J271" s="455"/>
      <c r="K271" s="457" t="s">
        <v>6133</v>
      </c>
      <c r="L271" s="456" t="s">
        <v>574</v>
      </c>
      <c r="M271" s="455"/>
      <c r="N271" s="455"/>
      <c r="O271" s="455"/>
      <c r="P271" s="455"/>
      <c r="Q271" s="455"/>
      <c r="R271" s="455"/>
      <c r="S271" s="455"/>
      <c r="T271" s="455"/>
      <c r="U271" s="455"/>
      <c r="V271" s="455"/>
      <c r="W271" s="455"/>
      <c r="X271" s="455"/>
      <c r="Y271" s="455"/>
      <c r="Z271" s="455"/>
    </row>
    <row r="272">
      <c r="A272" s="470">
        <v>43853.0</v>
      </c>
      <c r="B272" s="454" t="s">
        <v>7082</v>
      </c>
      <c r="C272" s="454" t="s">
        <v>7083</v>
      </c>
      <c r="D272" s="592" t="s">
        <v>7084</v>
      </c>
      <c r="E272" s="455"/>
      <c r="F272" s="455"/>
      <c r="G272" s="455"/>
      <c r="H272" s="454" t="s">
        <v>3986</v>
      </c>
      <c r="I272" s="453" t="s">
        <v>7085</v>
      </c>
      <c r="J272" s="455"/>
      <c r="K272" s="457" t="s">
        <v>6133</v>
      </c>
      <c r="L272" s="456" t="s">
        <v>574</v>
      </c>
      <c r="M272" s="455"/>
      <c r="N272" s="455"/>
      <c r="O272" s="455"/>
      <c r="P272" s="455"/>
      <c r="Q272" s="455"/>
      <c r="R272" s="455"/>
      <c r="S272" s="455"/>
      <c r="T272" s="455"/>
      <c r="U272" s="455"/>
      <c r="V272" s="455"/>
      <c r="W272" s="455"/>
      <c r="X272" s="455"/>
      <c r="Y272" s="455"/>
      <c r="Z272" s="455"/>
    </row>
    <row r="273">
      <c r="A273" s="470">
        <v>43855.0</v>
      </c>
      <c r="B273" s="454" t="s">
        <v>7086</v>
      </c>
      <c r="C273" s="454" t="s">
        <v>7087</v>
      </c>
      <c r="D273" s="458" t="s">
        <v>7088</v>
      </c>
      <c r="E273" s="455"/>
      <c r="F273" s="455"/>
      <c r="G273" s="455"/>
      <c r="H273" s="454" t="s">
        <v>4006</v>
      </c>
      <c r="I273" s="453" t="s">
        <v>574</v>
      </c>
      <c r="J273" s="455"/>
      <c r="K273" s="457" t="s">
        <v>6133</v>
      </c>
      <c r="L273" s="456" t="s">
        <v>574</v>
      </c>
      <c r="M273" s="455"/>
      <c r="N273" s="455"/>
      <c r="O273" s="455"/>
      <c r="P273" s="455"/>
      <c r="Q273" s="455"/>
      <c r="R273" s="455"/>
      <c r="S273" s="455"/>
      <c r="T273" s="455"/>
      <c r="U273" s="455"/>
      <c r="V273" s="455"/>
      <c r="W273" s="455"/>
      <c r="X273" s="455"/>
      <c r="Y273" s="455"/>
      <c r="Z273" s="455"/>
    </row>
    <row r="274">
      <c r="A274" s="470">
        <v>43855.0</v>
      </c>
      <c r="B274" s="453" t="s">
        <v>7089</v>
      </c>
      <c r="C274" s="454" t="s">
        <v>7090</v>
      </c>
      <c r="D274" s="455">
        <f>966540034232</f>
        <v>966540034232</v>
      </c>
      <c r="E274" s="455"/>
      <c r="F274" s="455"/>
      <c r="G274" s="455"/>
      <c r="H274" s="453" t="s">
        <v>3852</v>
      </c>
      <c r="I274" s="453" t="s">
        <v>574</v>
      </c>
      <c r="J274" s="455"/>
      <c r="K274" s="457" t="s">
        <v>6133</v>
      </c>
      <c r="L274" s="456" t="s">
        <v>574</v>
      </c>
      <c r="M274" s="455"/>
      <c r="N274" s="455"/>
      <c r="O274" s="455"/>
      <c r="P274" s="455"/>
      <c r="Q274" s="455"/>
      <c r="R274" s="455"/>
      <c r="S274" s="455"/>
      <c r="T274" s="455"/>
      <c r="U274" s="455"/>
      <c r="V274" s="455"/>
      <c r="W274" s="455"/>
      <c r="X274" s="455"/>
      <c r="Y274" s="455"/>
      <c r="Z274" s="455"/>
    </row>
    <row r="275">
      <c r="A275" s="470">
        <v>43856.0</v>
      </c>
      <c r="B275" s="506" t="s">
        <v>7091</v>
      </c>
      <c r="C275" s="507" t="s">
        <v>7092</v>
      </c>
      <c r="D275" s="483">
        <f>966568539116</f>
        <v>966568539116</v>
      </c>
      <c r="E275" s="506" t="s">
        <v>7093</v>
      </c>
      <c r="F275" s="483"/>
      <c r="G275" s="483"/>
      <c r="H275" s="506" t="s">
        <v>3852</v>
      </c>
      <c r="I275" s="506" t="s">
        <v>7094</v>
      </c>
      <c r="J275" s="483"/>
      <c r="K275" s="509" t="s">
        <v>6133</v>
      </c>
      <c r="L275" s="511" t="s">
        <v>7095</v>
      </c>
      <c r="M275" s="455"/>
      <c r="N275" s="455"/>
      <c r="O275" s="455"/>
      <c r="P275" s="455"/>
      <c r="Q275" s="455"/>
      <c r="R275" s="455"/>
      <c r="S275" s="455"/>
      <c r="T275" s="455"/>
      <c r="U275" s="455"/>
      <c r="V275" s="455"/>
      <c r="W275" s="455"/>
      <c r="X275" s="455"/>
      <c r="Y275" s="455"/>
      <c r="Z275" s="455"/>
    </row>
    <row r="276">
      <c r="A276" s="470">
        <v>43856.0</v>
      </c>
      <c r="B276" s="453" t="s">
        <v>7096</v>
      </c>
      <c r="C276" s="454" t="s">
        <v>7097</v>
      </c>
      <c r="D276" s="455">
        <f>971505524356</f>
        <v>971505524356</v>
      </c>
      <c r="E276" s="453" t="s">
        <v>7098</v>
      </c>
      <c r="F276" s="455"/>
      <c r="G276" s="455"/>
      <c r="H276" s="453" t="s">
        <v>3822</v>
      </c>
      <c r="I276" s="453" t="s">
        <v>7099</v>
      </c>
      <c r="J276" s="455"/>
      <c r="K276" s="457" t="s">
        <v>6133</v>
      </c>
      <c r="L276" s="456" t="s">
        <v>251</v>
      </c>
      <c r="M276" s="455"/>
      <c r="N276" s="455"/>
      <c r="O276" s="455"/>
      <c r="P276" s="455"/>
      <c r="Q276" s="455"/>
      <c r="R276" s="455"/>
      <c r="S276" s="455"/>
      <c r="T276" s="455"/>
      <c r="U276" s="455"/>
      <c r="V276" s="455"/>
      <c r="W276" s="455"/>
      <c r="X276" s="455"/>
      <c r="Y276" s="455"/>
      <c r="Z276" s="455"/>
    </row>
    <row r="277">
      <c r="A277" s="470">
        <v>43857.0</v>
      </c>
      <c r="B277" s="513" t="s">
        <v>7100</v>
      </c>
      <c r="C277" s="513" t="s">
        <v>7101</v>
      </c>
      <c r="D277" s="513">
        <f>+971553716116</f>
        <v>971553716116</v>
      </c>
      <c r="E277" s="455"/>
      <c r="F277" s="455"/>
      <c r="G277" s="455"/>
      <c r="H277" s="453" t="s">
        <v>4019</v>
      </c>
      <c r="I277" s="453" t="s">
        <v>7102</v>
      </c>
      <c r="J277" s="455"/>
      <c r="K277" s="457" t="s">
        <v>6133</v>
      </c>
      <c r="L277" s="456" t="s">
        <v>251</v>
      </c>
      <c r="M277" s="455"/>
      <c r="N277" s="455"/>
      <c r="O277" s="455"/>
      <c r="P277" s="455"/>
      <c r="Q277" s="455"/>
      <c r="R277" s="455"/>
      <c r="S277" s="455"/>
      <c r="T277" s="455"/>
      <c r="U277" s="455"/>
      <c r="V277" s="455"/>
      <c r="W277" s="455"/>
      <c r="X277" s="455"/>
      <c r="Y277" s="455"/>
      <c r="Z277" s="455"/>
    </row>
    <row r="278" ht="19.5" customHeight="1">
      <c r="A278" s="470">
        <v>43857.0</v>
      </c>
      <c r="B278" s="513" t="s">
        <v>7103</v>
      </c>
      <c r="C278" s="513" t="s">
        <v>7104</v>
      </c>
      <c r="D278" s="513">
        <f>+971521850741</f>
        <v>971521850741</v>
      </c>
      <c r="E278" s="455"/>
      <c r="F278" s="455"/>
      <c r="G278" s="455"/>
      <c r="H278" s="453" t="s">
        <v>4019</v>
      </c>
      <c r="I278" s="453" t="s">
        <v>7105</v>
      </c>
      <c r="J278" s="455"/>
      <c r="K278" s="457" t="s">
        <v>6133</v>
      </c>
      <c r="L278" s="456" t="s">
        <v>251</v>
      </c>
      <c r="M278" s="455"/>
      <c r="N278" s="455"/>
      <c r="O278" s="455"/>
      <c r="P278" s="455"/>
      <c r="Q278" s="455"/>
      <c r="R278" s="455"/>
      <c r="S278" s="455"/>
      <c r="T278" s="455"/>
      <c r="U278" s="455"/>
      <c r="V278" s="455"/>
      <c r="W278" s="455"/>
      <c r="X278" s="455"/>
      <c r="Y278" s="455"/>
      <c r="Z278" s="455"/>
    </row>
    <row r="279" ht="18.0" customHeight="1">
      <c r="A279" s="470">
        <v>43857.0</v>
      </c>
      <c r="B279" s="513" t="s">
        <v>7106</v>
      </c>
      <c r="C279" s="513" t="s">
        <v>7107</v>
      </c>
      <c r="D279" s="513">
        <v>9.710528395983E12</v>
      </c>
      <c r="E279" s="454" t="s">
        <v>3810</v>
      </c>
      <c r="F279" s="455"/>
      <c r="G279" s="455"/>
      <c r="H279" s="453" t="s">
        <v>4006</v>
      </c>
      <c r="I279" s="453" t="s">
        <v>7108</v>
      </c>
      <c r="J279" s="455"/>
      <c r="K279" s="457" t="s">
        <v>6133</v>
      </c>
      <c r="L279" s="456" t="s">
        <v>7109</v>
      </c>
      <c r="M279" s="455"/>
      <c r="N279" s="455"/>
      <c r="O279" s="455"/>
      <c r="P279" s="455"/>
      <c r="Q279" s="455"/>
      <c r="R279" s="455"/>
      <c r="S279" s="455"/>
      <c r="T279" s="455"/>
      <c r="U279" s="455"/>
      <c r="V279" s="455"/>
      <c r="W279" s="455"/>
      <c r="X279" s="455"/>
      <c r="Y279" s="455"/>
      <c r="Z279" s="455"/>
    </row>
    <row r="280" ht="18.0" customHeight="1">
      <c r="A280" s="470">
        <v>43857.0</v>
      </c>
      <c r="B280" s="513" t="s">
        <v>7110</v>
      </c>
      <c r="C280" s="513" t="s">
        <v>7111</v>
      </c>
      <c r="D280" s="513">
        <v>9.71567198485E11</v>
      </c>
      <c r="E280" s="513" t="s">
        <v>7112</v>
      </c>
      <c r="F280" s="455"/>
      <c r="G280" s="455"/>
      <c r="H280" s="453" t="s">
        <v>7113</v>
      </c>
      <c r="I280" s="453" t="s">
        <v>7114</v>
      </c>
      <c r="J280" s="455"/>
      <c r="K280" s="457" t="s">
        <v>6133</v>
      </c>
      <c r="L280" s="456" t="s">
        <v>7115</v>
      </c>
      <c r="M280" s="455"/>
      <c r="N280" s="455"/>
      <c r="O280" s="455"/>
      <c r="P280" s="455"/>
      <c r="Q280" s="455"/>
      <c r="R280" s="455"/>
      <c r="S280" s="455"/>
      <c r="T280" s="455"/>
      <c r="U280" s="455"/>
      <c r="V280" s="455"/>
      <c r="W280" s="455"/>
      <c r="X280" s="455"/>
      <c r="Y280" s="455"/>
      <c r="Z280" s="455"/>
    </row>
    <row r="281" ht="19.5" customHeight="1">
      <c r="A281" s="470">
        <v>43859.0</v>
      </c>
      <c r="B281" s="505" t="s">
        <v>7116</v>
      </c>
      <c r="C281" s="505" t="s">
        <v>7117</v>
      </c>
      <c r="D281" s="505">
        <v>9.66506409718E11</v>
      </c>
      <c r="E281" s="462"/>
      <c r="F281" s="462"/>
      <c r="G281" s="462"/>
      <c r="H281" s="460" t="s">
        <v>4036</v>
      </c>
      <c r="I281" s="460" t="s">
        <v>7118</v>
      </c>
      <c r="J281" s="462"/>
      <c r="K281" s="463" t="s">
        <v>6133</v>
      </c>
      <c r="L281" s="476" t="s">
        <v>7119</v>
      </c>
      <c r="M281" s="455"/>
      <c r="N281" s="455"/>
      <c r="O281" s="455"/>
      <c r="P281" s="455"/>
      <c r="Q281" s="455"/>
      <c r="R281" s="455"/>
      <c r="S281" s="455"/>
      <c r="T281" s="455"/>
      <c r="U281" s="455"/>
      <c r="V281" s="455"/>
      <c r="W281" s="455"/>
      <c r="X281" s="455"/>
      <c r="Y281" s="455"/>
      <c r="Z281" s="455"/>
    </row>
    <row r="282" ht="19.5" customHeight="1">
      <c r="A282" s="470">
        <v>43860.0</v>
      </c>
      <c r="B282" s="453" t="s">
        <v>7120</v>
      </c>
      <c r="C282" s="454" t="s">
        <v>7121</v>
      </c>
      <c r="D282" s="454">
        <v>9.71501135758E11</v>
      </c>
      <c r="E282" s="453" t="s">
        <v>7122</v>
      </c>
      <c r="F282" s="455"/>
      <c r="G282" s="455"/>
      <c r="H282" s="453" t="s">
        <v>3852</v>
      </c>
      <c r="I282" s="453" t="s">
        <v>7123</v>
      </c>
      <c r="J282" s="455"/>
      <c r="K282" s="457" t="s">
        <v>6133</v>
      </c>
      <c r="L282" s="456" t="s">
        <v>7124</v>
      </c>
      <c r="M282" s="455"/>
      <c r="N282" s="455"/>
      <c r="O282" s="455"/>
      <c r="P282" s="455"/>
      <c r="Q282" s="455"/>
      <c r="R282" s="455"/>
      <c r="S282" s="455"/>
      <c r="T282" s="455"/>
      <c r="U282" s="455"/>
      <c r="V282" s="455"/>
      <c r="W282" s="455"/>
      <c r="X282" s="455"/>
      <c r="Y282" s="455"/>
      <c r="Z282" s="455"/>
    </row>
    <row r="283" ht="20.25" customHeight="1">
      <c r="A283" s="470">
        <v>43862.0</v>
      </c>
      <c r="B283" s="453" t="s">
        <v>7125</v>
      </c>
      <c r="C283" s="454" t="s">
        <v>7126</v>
      </c>
      <c r="D283" s="455">
        <f>966548888924</f>
        <v>966548888924</v>
      </c>
      <c r="E283" s="453" t="s">
        <v>7072</v>
      </c>
      <c r="F283" s="455"/>
      <c r="G283" s="455"/>
      <c r="H283" s="453" t="s">
        <v>4036</v>
      </c>
      <c r="I283" s="453" t="s">
        <v>7127</v>
      </c>
      <c r="J283" s="455"/>
      <c r="K283" s="457" t="s">
        <v>6133</v>
      </c>
      <c r="L283" s="456" t="s">
        <v>7128</v>
      </c>
      <c r="M283" s="455"/>
      <c r="N283" s="455"/>
      <c r="O283" s="455"/>
      <c r="P283" s="455"/>
      <c r="Q283" s="455"/>
      <c r="R283" s="455"/>
      <c r="S283" s="455"/>
      <c r="T283" s="455"/>
      <c r="U283" s="455"/>
      <c r="V283" s="455"/>
      <c r="W283" s="455"/>
      <c r="X283" s="455"/>
      <c r="Y283" s="455"/>
      <c r="Z283" s="455"/>
    </row>
    <row r="284" ht="19.5" customHeight="1">
      <c r="A284" s="470">
        <v>43862.0</v>
      </c>
      <c r="B284" s="453" t="s">
        <v>7129</v>
      </c>
      <c r="C284" s="565" t="s">
        <v>7130</v>
      </c>
      <c r="D284" s="455">
        <f>971559088105</f>
        <v>971559088105</v>
      </c>
      <c r="E284" s="453" t="s">
        <v>7131</v>
      </c>
      <c r="F284" s="455"/>
      <c r="G284" s="455"/>
      <c r="H284" s="453" t="s">
        <v>382</v>
      </c>
      <c r="I284" s="453" t="s">
        <v>7132</v>
      </c>
      <c r="J284" s="455"/>
      <c r="K284" s="457" t="s">
        <v>6133</v>
      </c>
      <c r="L284" s="456" t="s">
        <v>7133</v>
      </c>
      <c r="M284" s="455"/>
      <c r="N284" s="455"/>
      <c r="O284" s="455"/>
      <c r="P284" s="455"/>
      <c r="Q284" s="455"/>
      <c r="R284" s="455"/>
      <c r="S284" s="455"/>
      <c r="T284" s="455"/>
      <c r="U284" s="455"/>
      <c r="V284" s="455"/>
      <c r="W284" s="455"/>
      <c r="X284" s="455"/>
      <c r="Y284" s="455"/>
      <c r="Z284" s="455"/>
    </row>
    <row r="285" ht="19.5" customHeight="1">
      <c r="A285" s="470">
        <v>43863.0</v>
      </c>
      <c r="B285" s="453" t="s">
        <v>7134</v>
      </c>
      <c r="C285" s="454" t="s">
        <v>7135</v>
      </c>
      <c r="D285" s="454">
        <v>9.66508101537E11</v>
      </c>
      <c r="E285" s="453" t="s">
        <v>7136</v>
      </c>
      <c r="F285" s="455"/>
      <c r="G285" s="455"/>
      <c r="H285" s="453" t="s">
        <v>7137</v>
      </c>
      <c r="I285" s="453" t="s">
        <v>7138</v>
      </c>
      <c r="J285" s="455"/>
      <c r="K285" s="457" t="s">
        <v>6133</v>
      </c>
      <c r="L285" s="456" t="s">
        <v>7074</v>
      </c>
      <c r="M285" s="455"/>
      <c r="N285" s="455"/>
      <c r="O285" s="455"/>
      <c r="P285" s="455"/>
      <c r="Q285" s="455"/>
      <c r="R285" s="455"/>
      <c r="S285" s="455"/>
      <c r="T285" s="455"/>
      <c r="U285" s="455"/>
      <c r="V285" s="455"/>
      <c r="W285" s="455"/>
      <c r="X285" s="455"/>
      <c r="Y285" s="455"/>
      <c r="Z285" s="455"/>
    </row>
    <row r="286" ht="18.75" customHeight="1">
      <c r="A286" s="470">
        <v>43863.0</v>
      </c>
      <c r="B286" s="453" t="s">
        <v>7139</v>
      </c>
      <c r="C286" s="565" t="s">
        <v>7140</v>
      </c>
      <c r="D286" s="455">
        <f>971508261488</f>
        <v>971508261488</v>
      </c>
      <c r="E286" s="453" t="s">
        <v>6938</v>
      </c>
      <c r="F286" s="455"/>
      <c r="G286" s="455"/>
      <c r="H286" s="453" t="s">
        <v>382</v>
      </c>
      <c r="I286" s="453" t="s">
        <v>7141</v>
      </c>
      <c r="J286" s="455"/>
      <c r="K286" s="457" t="s">
        <v>6133</v>
      </c>
      <c r="L286" s="456" t="s">
        <v>7074</v>
      </c>
      <c r="M286" s="455"/>
      <c r="N286" s="455"/>
      <c r="O286" s="455"/>
      <c r="P286" s="455"/>
      <c r="Q286" s="455"/>
      <c r="R286" s="455"/>
      <c r="S286" s="455"/>
      <c r="T286" s="455"/>
      <c r="U286" s="455"/>
      <c r="V286" s="455"/>
      <c r="W286" s="455"/>
      <c r="X286" s="455"/>
      <c r="Y286" s="455"/>
      <c r="Z286" s="455"/>
    </row>
    <row r="287" ht="19.5" customHeight="1">
      <c r="A287" s="470">
        <v>43864.0</v>
      </c>
      <c r="B287" s="552" t="s">
        <v>7142</v>
      </c>
      <c r="C287" s="593" t="s">
        <v>7143</v>
      </c>
      <c r="D287" s="553">
        <f>+971504616084</f>
        <v>971504616084</v>
      </c>
      <c r="E287" s="552" t="s">
        <v>7144</v>
      </c>
      <c r="F287" s="553"/>
      <c r="G287" s="553"/>
      <c r="H287" s="552" t="s">
        <v>3787</v>
      </c>
      <c r="I287" s="552" t="s">
        <v>7145</v>
      </c>
      <c r="J287" s="553"/>
      <c r="K287" s="554" t="s">
        <v>6133</v>
      </c>
      <c r="L287" s="464" t="s">
        <v>7146</v>
      </c>
      <c r="M287" s="455"/>
      <c r="N287" s="455"/>
      <c r="O287" s="455"/>
      <c r="P287" s="455"/>
      <c r="Q287" s="455"/>
      <c r="R287" s="455"/>
      <c r="S287" s="455"/>
      <c r="T287" s="455"/>
      <c r="U287" s="455"/>
      <c r="V287" s="455"/>
      <c r="W287" s="455"/>
      <c r="X287" s="455"/>
      <c r="Y287" s="455"/>
      <c r="Z287" s="455"/>
    </row>
    <row r="288" ht="19.5" customHeight="1">
      <c r="A288" s="470">
        <v>43864.0</v>
      </c>
      <c r="B288" s="453" t="s">
        <v>7147</v>
      </c>
      <c r="C288" s="454" t="s">
        <v>7148</v>
      </c>
      <c r="D288" s="454">
        <v>9.71504257775E11</v>
      </c>
      <c r="E288" s="453" t="s">
        <v>7149</v>
      </c>
      <c r="F288" s="455"/>
      <c r="G288" s="455"/>
      <c r="H288" s="453" t="s">
        <v>4172</v>
      </c>
      <c r="I288" s="453" t="s">
        <v>7150</v>
      </c>
      <c r="J288" s="455"/>
      <c r="K288" s="457" t="s">
        <v>6133</v>
      </c>
      <c r="L288" s="456" t="s">
        <v>6934</v>
      </c>
      <c r="M288" s="455"/>
      <c r="N288" s="455"/>
      <c r="O288" s="455"/>
      <c r="P288" s="455"/>
      <c r="Q288" s="455"/>
      <c r="R288" s="455"/>
      <c r="S288" s="455"/>
      <c r="T288" s="455"/>
      <c r="U288" s="455"/>
      <c r="V288" s="455"/>
      <c r="W288" s="455"/>
      <c r="X288" s="455"/>
      <c r="Y288" s="455"/>
      <c r="Z288" s="455"/>
    </row>
    <row r="289" ht="20.25" customHeight="1">
      <c r="A289" s="470">
        <v>43865.0</v>
      </c>
      <c r="B289" s="453" t="s">
        <v>7151</v>
      </c>
      <c r="C289" s="454" t="s">
        <v>7152</v>
      </c>
      <c r="D289" s="454">
        <v>9.71562312694E11</v>
      </c>
      <c r="E289" s="455"/>
      <c r="F289" s="455"/>
      <c r="G289" s="455"/>
      <c r="H289" s="453" t="s">
        <v>7153</v>
      </c>
      <c r="I289" s="453" t="s">
        <v>7154</v>
      </c>
      <c r="J289" s="455"/>
      <c r="K289" s="457" t="s">
        <v>6133</v>
      </c>
      <c r="L289" s="456" t="s">
        <v>7155</v>
      </c>
      <c r="M289" s="455"/>
      <c r="N289" s="455"/>
      <c r="O289" s="455"/>
      <c r="P289" s="455"/>
      <c r="Q289" s="455"/>
      <c r="R289" s="455"/>
      <c r="S289" s="455"/>
      <c r="T289" s="455"/>
      <c r="U289" s="455"/>
      <c r="V289" s="455"/>
      <c r="W289" s="455"/>
      <c r="X289" s="455"/>
      <c r="Y289" s="455"/>
      <c r="Z289" s="455"/>
    </row>
    <row r="290" ht="18.0" customHeight="1">
      <c r="A290" s="470">
        <v>43865.0</v>
      </c>
      <c r="B290" s="453" t="s">
        <v>7156</v>
      </c>
      <c r="C290" s="454" t="s">
        <v>7157</v>
      </c>
      <c r="D290" s="454">
        <v>9.71506684572E11</v>
      </c>
      <c r="E290" s="453" t="s">
        <v>6933</v>
      </c>
      <c r="F290" s="455"/>
      <c r="G290" s="455"/>
      <c r="H290" s="453" t="s">
        <v>7158</v>
      </c>
      <c r="I290" s="453" t="s">
        <v>7114</v>
      </c>
      <c r="J290" s="455"/>
      <c r="K290" s="457" t="s">
        <v>6133</v>
      </c>
      <c r="L290" s="456" t="s">
        <v>7074</v>
      </c>
      <c r="M290" s="455"/>
      <c r="N290" s="455"/>
      <c r="O290" s="455"/>
      <c r="P290" s="455"/>
      <c r="Q290" s="455"/>
      <c r="R290" s="455"/>
      <c r="S290" s="455"/>
      <c r="T290" s="455"/>
      <c r="U290" s="455"/>
      <c r="V290" s="455"/>
      <c r="W290" s="455"/>
      <c r="X290" s="455"/>
      <c r="Y290" s="455"/>
      <c r="Z290" s="455"/>
    </row>
    <row r="291">
      <c r="A291" s="594"/>
      <c r="B291" s="453" t="s">
        <v>7159</v>
      </c>
      <c r="C291" s="454" t="s">
        <v>7160</v>
      </c>
      <c r="D291" s="454">
        <v>9.66553003657E11</v>
      </c>
      <c r="E291" s="455"/>
      <c r="F291" s="455"/>
      <c r="G291" s="455"/>
      <c r="H291" s="564"/>
      <c r="I291" s="453" t="s">
        <v>7161</v>
      </c>
      <c r="J291" s="455"/>
      <c r="K291" s="457" t="s">
        <v>6133</v>
      </c>
      <c r="L291" s="456" t="s">
        <v>7124</v>
      </c>
      <c r="M291" s="455"/>
      <c r="N291" s="455"/>
      <c r="O291" s="455"/>
      <c r="P291" s="455"/>
      <c r="Q291" s="455"/>
      <c r="R291" s="455"/>
      <c r="S291" s="455"/>
      <c r="T291" s="455"/>
      <c r="U291" s="455"/>
      <c r="V291" s="455"/>
      <c r="W291" s="455"/>
      <c r="X291" s="455"/>
      <c r="Y291" s="455"/>
      <c r="Z291" s="455"/>
    </row>
    <row r="292" ht="17.25" customHeight="1">
      <c r="A292" s="594"/>
      <c r="B292" s="453" t="s">
        <v>7162</v>
      </c>
      <c r="C292" s="454" t="s">
        <v>7163</v>
      </c>
      <c r="D292" s="454">
        <v>9.7105510723E12</v>
      </c>
      <c r="E292" s="453" t="s">
        <v>7144</v>
      </c>
      <c r="F292" s="455"/>
      <c r="G292" s="455"/>
      <c r="H292" s="454" t="s">
        <v>3787</v>
      </c>
      <c r="I292" s="453" t="s">
        <v>7164</v>
      </c>
      <c r="J292" s="455"/>
      <c r="K292" s="457" t="s">
        <v>6133</v>
      </c>
      <c r="L292" s="456" t="s">
        <v>6934</v>
      </c>
      <c r="M292" s="455"/>
      <c r="N292" s="455"/>
      <c r="O292" s="455"/>
      <c r="P292" s="455"/>
      <c r="Q292" s="455"/>
      <c r="R292" s="455"/>
      <c r="S292" s="455"/>
      <c r="T292" s="455"/>
      <c r="U292" s="455"/>
      <c r="V292" s="455"/>
      <c r="W292" s="455"/>
      <c r="X292" s="455"/>
      <c r="Y292" s="455"/>
      <c r="Z292" s="455"/>
    </row>
    <row r="293">
      <c r="A293" s="470">
        <v>43869.0</v>
      </c>
      <c r="B293" s="453" t="s">
        <v>7165</v>
      </c>
      <c r="C293" s="454" t="s">
        <v>7166</v>
      </c>
      <c r="D293" s="455">
        <f>+821095551678</f>
        <v>821095551678</v>
      </c>
      <c r="E293" s="455"/>
      <c r="F293" s="455"/>
      <c r="G293" s="455"/>
      <c r="H293" s="564"/>
      <c r="I293" s="455"/>
      <c r="J293" s="455"/>
      <c r="K293" s="457" t="s">
        <v>6133</v>
      </c>
      <c r="L293" s="456" t="s">
        <v>7167</v>
      </c>
      <c r="M293" s="455"/>
      <c r="N293" s="455"/>
      <c r="O293" s="455"/>
      <c r="P293" s="455"/>
      <c r="Q293" s="455"/>
      <c r="R293" s="455"/>
      <c r="S293" s="455"/>
      <c r="T293" s="455"/>
      <c r="U293" s="455"/>
      <c r="V293" s="455"/>
      <c r="W293" s="455"/>
      <c r="X293" s="455"/>
      <c r="Y293" s="455"/>
      <c r="Z293" s="455"/>
    </row>
    <row r="294">
      <c r="A294" s="594"/>
      <c r="B294" s="513" t="s">
        <v>7168</v>
      </c>
      <c r="C294" s="513" t="s">
        <v>7169</v>
      </c>
      <c r="D294" s="513">
        <f>+971526243228</f>
        <v>971526243228</v>
      </c>
      <c r="E294" s="454" t="s">
        <v>7072</v>
      </c>
      <c r="F294" s="455"/>
      <c r="G294" s="455"/>
      <c r="H294" s="453" t="s">
        <v>4036</v>
      </c>
      <c r="I294" s="455"/>
      <c r="J294" s="455"/>
      <c r="K294" s="457" t="s">
        <v>6133</v>
      </c>
      <c r="L294" s="456" t="s">
        <v>6939</v>
      </c>
      <c r="M294" s="455"/>
      <c r="N294" s="455"/>
      <c r="O294" s="455"/>
      <c r="P294" s="455"/>
      <c r="Q294" s="455"/>
      <c r="R294" s="455"/>
      <c r="S294" s="455"/>
      <c r="T294" s="455"/>
      <c r="U294" s="455"/>
      <c r="V294" s="455"/>
      <c r="W294" s="455"/>
      <c r="X294" s="455"/>
      <c r="Y294" s="455"/>
      <c r="Z294" s="455"/>
    </row>
    <row r="295">
      <c r="A295" s="594"/>
      <c r="B295" s="513" t="s">
        <v>7170</v>
      </c>
      <c r="C295" s="513" t="s">
        <v>7171</v>
      </c>
      <c r="D295" s="513">
        <f>+971561774050</f>
        <v>971561774050</v>
      </c>
      <c r="E295" s="455"/>
      <c r="F295" s="455"/>
      <c r="G295" s="455"/>
      <c r="H295" s="453" t="s">
        <v>7172</v>
      </c>
      <c r="I295" s="455"/>
      <c r="J295" s="455"/>
      <c r="K295" s="457" t="s">
        <v>6133</v>
      </c>
      <c r="L295" s="456" t="s">
        <v>7173</v>
      </c>
      <c r="M295" s="455"/>
      <c r="N295" s="455"/>
      <c r="O295" s="455"/>
      <c r="P295" s="455"/>
      <c r="Q295" s="455"/>
      <c r="R295" s="455"/>
      <c r="S295" s="455"/>
      <c r="T295" s="455"/>
      <c r="U295" s="455"/>
      <c r="V295" s="455"/>
      <c r="W295" s="455"/>
      <c r="X295" s="455"/>
      <c r="Y295" s="455"/>
      <c r="Z295" s="455"/>
    </row>
    <row r="296">
      <c r="A296" s="594"/>
      <c r="B296" s="513" t="s">
        <v>7174</v>
      </c>
      <c r="C296" s="513" t="s">
        <v>7175</v>
      </c>
      <c r="D296" s="513">
        <f>+966502013040</f>
        <v>966502013040</v>
      </c>
      <c r="E296" s="455"/>
      <c r="F296" s="455"/>
      <c r="G296" s="455"/>
      <c r="H296" s="453" t="s">
        <v>7176</v>
      </c>
      <c r="I296" s="455"/>
      <c r="J296" s="455"/>
      <c r="K296" s="457" t="s">
        <v>6133</v>
      </c>
      <c r="L296" s="456" t="s">
        <v>6964</v>
      </c>
      <c r="M296" s="455"/>
      <c r="N296" s="455"/>
      <c r="O296" s="455"/>
      <c r="P296" s="455"/>
      <c r="Q296" s="455"/>
      <c r="R296" s="455"/>
      <c r="S296" s="455"/>
      <c r="T296" s="455"/>
      <c r="U296" s="455"/>
      <c r="V296" s="455"/>
      <c r="W296" s="455"/>
      <c r="X296" s="455"/>
      <c r="Y296" s="455"/>
      <c r="Z296" s="455"/>
    </row>
    <row r="297">
      <c r="A297" s="594"/>
      <c r="B297" s="595" t="s">
        <v>7177</v>
      </c>
      <c r="C297" s="595" t="s">
        <v>7178</v>
      </c>
      <c r="D297" s="595">
        <f>+971507778105</f>
        <v>971507778105</v>
      </c>
      <c r="E297" s="595" t="s">
        <v>7072</v>
      </c>
      <c r="F297" s="596"/>
      <c r="G297" s="596"/>
      <c r="H297" s="597" t="s">
        <v>4036</v>
      </c>
      <c r="I297" s="596"/>
      <c r="J297" s="596"/>
      <c r="K297" s="598" t="s">
        <v>6133</v>
      </c>
      <c r="L297" s="599" t="s">
        <v>7179</v>
      </c>
      <c r="M297" s="455"/>
      <c r="N297" s="455"/>
      <c r="O297" s="455"/>
      <c r="P297" s="455"/>
      <c r="Q297" s="455"/>
      <c r="R297" s="455"/>
      <c r="S297" s="455"/>
      <c r="T297" s="455"/>
      <c r="U297" s="455"/>
      <c r="V297" s="455"/>
      <c r="W297" s="455"/>
      <c r="X297" s="455"/>
      <c r="Y297" s="455"/>
      <c r="Z297" s="455"/>
    </row>
    <row r="298" ht="16.5" customHeight="1">
      <c r="A298" s="594"/>
      <c r="B298" s="513" t="s">
        <v>7180</v>
      </c>
      <c r="C298" s="513" t="s">
        <v>7181</v>
      </c>
      <c r="D298" s="513">
        <f>+77751440036</f>
        <v>77751440036</v>
      </c>
      <c r="E298" s="513" t="s">
        <v>3968</v>
      </c>
      <c r="F298" s="455"/>
      <c r="G298" s="455"/>
      <c r="H298" s="513" t="s">
        <v>3822</v>
      </c>
      <c r="I298" s="453" t="s">
        <v>7182</v>
      </c>
      <c r="J298" s="455"/>
      <c r="K298" s="457" t="s">
        <v>6133</v>
      </c>
      <c r="L298" s="456" t="s">
        <v>251</v>
      </c>
      <c r="M298" s="455"/>
      <c r="N298" s="455"/>
      <c r="O298" s="455"/>
      <c r="P298" s="455"/>
      <c r="Q298" s="455"/>
      <c r="R298" s="455"/>
      <c r="S298" s="455"/>
      <c r="T298" s="455"/>
      <c r="U298" s="455"/>
      <c r="V298" s="455"/>
      <c r="W298" s="455"/>
      <c r="X298" s="455"/>
      <c r="Y298" s="455"/>
      <c r="Z298" s="455"/>
    </row>
    <row r="299">
      <c r="A299" s="594"/>
      <c r="B299" s="513" t="s">
        <v>7183</v>
      </c>
      <c r="C299" s="513" t="s">
        <v>7184</v>
      </c>
      <c r="D299" s="513">
        <f>+971525938779</f>
        <v>971525938779</v>
      </c>
      <c r="E299" s="454" t="s">
        <v>3968</v>
      </c>
      <c r="F299" s="455"/>
      <c r="G299" s="455"/>
      <c r="H299" s="453" t="s">
        <v>4036</v>
      </c>
      <c r="I299" s="453" t="s">
        <v>7185</v>
      </c>
      <c r="J299" s="455"/>
      <c r="K299" s="457" t="s">
        <v>6133</v>
      </c>
      <c r="L299" s="456" t="s">
        <v>7186</v>
      </c>
      <c r="M299" s="455"/>
      <c r="N299" s="455"/>
      <c r="O299" s="455"/>
      <c r="P299" s="455"/>
      <c r="Q299" s="455"/>
      <c r="R299" s="455"/>
      <c r="S299" s="455"/>
      <c r="T299" s="455"/>
      <c r="U299" s="455"/>
      <c r="V299" s="455"/>
      <c r="W299" s="455"/>
      <c r="X299" s="455"/>
      <c r="Y299" s="455"/>
      <c r="Z299" s="455"/>
    </row>
    <row r="300" ht="18.0" customHeight="1">
      <c r="A300" s="594"/>
      <c r="B300" s="505" t="s">
        <v>7187</v>
      </c>
      <c r="C300" s="505" t="s">
        <v>7188</v>
      </c>
      <c r="D300" s="505">
        <f>+93799212902</f>
        <v>93799212902</v>
      </c>
      <c r="E300" s="462"/>
      <c r="F300" s="462"/>
      <c r="G300" s="462"/>
      <c r="H300" s="460" t="s">
        <v>4150</v>
      </c>
      <c r="I300" s="460" t="s">
        <v>7189</v>
      </c>
      <c r="J300" s="462"/>
      <c r="K300" s="463" t="s">
        <v>6133</v>
      </c>
      <c r="L300" s="476" t="s">
        <v>7190</v>
      </c>
      <c r="M300" s="455"/>
      <c r="N300" s="455"/>
      <c r="O300" s="455"/>
      <c r="P300" s="455"/>
      <c r="Q300" s="455"/>
      <c r="R300" s="455"/>
      <c r="S300" s="455"/>
      <c r="T300" s="455"/>
      <c r="U300" s="455"/>
      <c r="V300" s="455"/>
      <c r="W300" s="455"/>
      <c r="X300" s="455"/>
      <c r="Y300" s="455"/>
      <c r="Z300" s="455"/>
    </row>
    <row r="301">
      <c r="A301" s="594"/>
      <c r="B301" s="513" t="s">
        <v>7191</v>
      </c>
      <c r="C301" s="513" t="s">
        <v>7192</v>
      </c>
      <c r="D301" s="513">
        <f>+39287067051</f>
        <v>39287067051</v>
      </c>
      <c r="E301" s="455"/>
      <c r="F301" s="455"/>
      <c r="G301" s="455"/>
      <c r="H301" s="453" t="s">
        <v>4150</v>
      </c>
      <c r="I301" s="453" t="s">
        <v>7193</v>
      </c>
      <c r="J301" s="455"/>
      <c r="K301" s="457" t="s">
        <v>6133</v>
      </c>
      <c r="L301" s="455"/>
      <c r="M301" s="455"/>
      <c r="N301" s="455"/>
      <c r="O301" s="455"/>
      <c r="P301" s="455"/>
      <c r="Q301" s="455"/>
      <c r="R301" s="455"/>
      <c r="S301" s="455"/>
      <c r="T301" s="455"/>
      <c r="U301" s="455"/>
      <c r="V301" s="455"/>
      <c r="W301" s="455"/>
      <c r="X301" s="455"/>
      <c r="Y301" s="455"/>
      <c r="Z301" s="455"/>
    </row>
    <row r="302" ht="18.0" customHeight="1">
      <c r="A302" s="594"/>
      <c r="B302" s="600" t="s">
        <v>7194</v>
      </c>
      <c r="C302" s="600" t="s">
        <v>7195</v>
      </c>
      <c r="D302" s="600">
        <f>+971527162222</f>
        <v>971527162222</v>
      </c>
      <c r="E302" s="600" t="s">
        <v>3960</v>
      </c>
      <c r="F302" s="496"/>
      <c r="G302" s="496"/>
      <c r="H302" s="555" t="s">
        <v>4036</v>
      </c>
      <c r="I302" s="555" t="s">
        <v>7196</v>
      </c>
      <c r="J302" s="496"/>
      <c r="K302" s="498" t="s">
        <v>6133</v>
      </c>
      <c r="L302" s="499" t="s">
        <v>7197</v>
      </c>
      <c r="M302" s="456" t="s">
        <v>7198</v>
      </c>
      <c r="N302" s="455"/>
      <c r="O302" s="455"/>
      <c r="P302" s="455"/>
      <c r="Q302" s="455"/>
      <c r="R302" s="455"/>
      <c r="S302" s="455"/>
      <c r="T302" s="455"/>
      <c r="U302" s="455"/>
      <c r="V302" s="455"/>
      <c r="W302" s="455"/>
      <c r="X302" s="455"/>
      <c r="Y302" s="455"/>
      <c r="Z302" s="455"/>
    </row>
    <row r="303">
      <c r="A303" s="601">
        <v>43884.0</v>
      </c>
      <c r="B303" s="505" t="s">
        <v>7199</v>
      </c>
      <c r="C303" s="505" t="s">
        <v>7200</v>
      </c>
      <c r="D303" s="505">
        <f>+96560652110</f>
        <v>96560652110</v>
      </c>
      <c r="E303" s="462"/>
      <c r="F303" s="462"/>
      <c r="G303" s="462"/>
      <c r="H303" s="460" t="s">
        <v>4164</v>
      </c>
      <c r="I303" s="460" t="s">
        <v>7201</v>
      </c>
      <c r="J303" s="462"/>
      <c r="K303" s="463" t="s">
        <v>6133</v>
      </c>
      <c r="L303" s="476" t="s">
        <v>7202</v>
      </c>
      <c r="M303" s="455"/>
      <c r="N303" s="455"/>
      <c r="O303" s="455"/>
      <c r="P303" s="455"/>
      <c r="Q303" s="455"/>
      <c r="R303" s="455"/>
      <c r="S303" s="455"/>
      <c r="T303" s="455"/>
      <c r="U303" s="455"/>
      <c r="V303" s="455"/>
      <c r="W303" s="455"/>
      <c r="X303" s="455"/>
      <c r="Y303" s="455"/>
      <c r="Z303" s="455"/>
    </row>
    <row r="304">
      <c r="A304" s="602"/>
      <c r="B304" s="505" t="s">
        <v>7203</v>
      </c>
      <c r="C304" s="505" t="s">
        <v>7204</v>
      </c>
      <c r="D304" s="505">
        <f>+96590072525</f>
        <v>96590072525</v>
      </c>
      <c r="E304" s="462"/>
      <c r="F304" s="462"/>
      <c r="G304" s="462"/>
      <c r="H304" s="460" t="s">
        <v>4164</v>
      </c>
      <c r="I304" s="460" t="s">
        <v>7205</v>
      </c>
      <c r="J304" s="462"/>
      <c r="K304" s="463" t="s">
        <v>6133</v>
      </c>
      <c r="L304" s="476" t="s">
        <v>7206</v>
      </c>
      <c r="M304" s="455"/>
      <c r="N304" s="455"/>
      <c r="O304" s="455"/>
      <c r="P304" s="455"/>
      <c r="Q304" s="455"/>
      <c r="R304" s="455"/>
      <c r="S304" s="455"/>
      <c r="T304" s="455"/>
      <c r="U304" s="455"/>
      <c r="V304" s="455"/>
      <c r="W304" s="455"/>
      <c r="X304" s="455"/>
      <c r="Y304" s="455"/>
      <c r="Z304" s="455"/>
    </row>
    <row r="305" ht="19.5" customHeight="1">
      <c r="A305" s="470">
        <v>43887.0</v>
      </c>
      <c r="B305" s="513" t="s">
        <v>7207</v>
      </c>
      <c r="C305" s="513" t="s">
        <v>7208</v>
      </c>
      <c r="D305" s="513">
        <f>+919877783528</f>
        <v>919877783528</v>
      </c>
      <c r="E305" s="455"/>
      <c r="F305" s="455"/>
      <c r="G305" s="455"/>
      <c r="H305" s="453" t="s">
        <v>3946</v>
      </c>
      <c r="I305" s="453" t="s">
        <v>7209</v>
      </c>
      <c r="J305" s="455"/>
      <c r="K305" s="457" t="s">
        <v>6133</v>
      </c>
      <c r="L305" s="456" t="s">
        <v>172</v>
      </c>
      <c r="M305" s="455"/>
      <c r="N305" s="455"/>
      <c r="O305" s="455"/>
      <c r="P305" s="455"/>
      <c r="Q305" s="455"/>
      <c r="R305" s="455"/>
      <c r="S305" s="455"/>
      <c r="T305" s="455"/>
      <c r="U305" s="455"/>
      <c r="V305" s="455"/>
      <c r="W305" s="455"/>
      <c r="X305" s="455"/>
      <c r="Y305" s="455"/>
      <c r="Z305" s="455"/>
    </row>
    <row r="306">
      <c r="A306" s="594"/>
      <c r="B306" s="513" t="s">
        <v>7210</v>
      </c>
      <c r="C306" s="603" t="s">
        <v>7211</v>
      </c>
      <c r="D306" s="603">
        <f>+971506266190</f>
        <v>971506266190</v>
      </c>
      <c r="E306" s="604"/>
      <c r="F306" s="604"/>
      <c r="G306" s="604"/>
      <c r="H306" s="605" t="s">
        <v>3946</v>
      </c>
      <c r="I306" s="605" t="s">
        <v>7212</v>
      </c>
      <c r="J306" s="604"/>
      <c r="K306" s="606" t="s">
        <v>6133</v>
      </c>
      <c r="L306" s="607" t="s">
        <v>7213</v>
      </c>
      <c r="M306" s="455"/>
      <c r="N306" s="455"/>
      <c r="O306" s="455"/>
      <c r="P306" s="455"/>
      <c r="Q306" s="455"/>
      <c r="R306" s="455"/>
      <c r="S306" s="455"/>
      <c r="T306" s="455"/>
      <c r="U306" s="455"/>
      <c r="V306" s="455"/>
      <c r="W306" s="455"/>
      <c r="X306" s="455"/>
      <c r="Y306" s="455"/>
      <c r="Z306" s="455"/>
    </row>
    <row r="307">
      <c r="A307" s="602"/>
      <c r="B307" s="505" t="s">
        <v>7214</v>
      </c>
      <c r="C307" s="505" t="s">
        <v>7215</v>
      </c>
      <c r="D307" s="461">
        <v>9.71501381501E11</v>
      </c>
      <c r="E307" s="462"/>
      <c r="F307" s="462"/>
      <c r="G307" s="462"/>
      <c r="H307" s="505" t="s">
        <v>7216</v>
      </c>
      <c r="I307" s="460" t="s">
        <v>7217</v>
      </c>
      <c r="J307" s="462"/>
      <c r="K307" s="463" t="s">
        <v>6133</v>
      </c>
      <c r="L307" s="476" t="s">
        <v>7218</v>
      </c>
      <c r="M307" s="455"/>
      <c r="N307" s="455"/>
      <c r="O307" s="455"/>
      <c r="P307" s="455"/>
      <c r="Q307" s="455"/>
      <c r="R307" s="455"/>
      <c r="S307" s="455"/>
      <c r="T307" s="455"/>
      <c r="U307" s="455"/>
      <c r="V307" s="455"/>
      <c r="W307" s="455"/>
      <c r="X307" s="455"/>
      <c r="Y307" s="455"/>
      <c r="Z307" s="455"/>
    </row>
    <row r="308">
      <c r="A308" s="594"/>
      <c r="B308" s="513" t="s">
        <v>7219</v>
      </c>
      <c r="C308" s="513" t="s">
        <v>7220</v>
      </c>
      <c r="D308" s="513">
        <f>+9710529078616</f>
        <v>9710529078616</v>
      </c>
      <c r="E308" s="455"/>
      <c r="F308" s="455"/>
      <c r="G308" s="455"/>
      <c r="H308" s="453" t="s">
        <v>7216</v>
      </c>
      <c r="I308" s="453" t="s">
        <v>7221</v>
      </c>
      <c r="J308" s="455"/>
      <c r="K308" s="457" t="s">
        <v>6133</v>
      </c>
      <c r="L308" s="456" t="s">
        <v>7222</v>
      </c>
      <c r="M308" s="455"/>
      <c r="N308" s="455"/>
      <c r="O308" s="455"/>
      <c r="P308" s="455"/>
      <c r="Q308" s="455"/>
      <c r="R308" s="455"/>
      <c r="S308" s="455"/>
      <c r="T308" s="455"/>
      <c r="U308" s="455"/>
      <c r="V308" s="455"/>
      <c r="W308" s="455"/>
      <c r="X308" s="455"/>
      <c r="Y308" s="455"/>
      <c r="Z308" s="455"/>
    </row>
    <row r="309" ht="18.0" customHeight="1">
      <c r="A309" s="594"/>
      <c r="B309" s="505" t="s">
        <v>7223</v>
      </c>
      <c r="C309" s="461" t="s">
        <v>7224</v>
      </c>
      <c r="D309" s="505">
        <v>5.07595347E8</v>
      </c>
      <c r="E309" s="462"/>
      <c r="F309" s="462"/>
      <c r="G309" s="462"/>
      <c r="H309" s="505" t="s">
        <v>7225</v>
      </c>
      <c r="I309" s="460" t="s">
        <v>7226</v>
      </c>
      <c r="J309" s="462"/>
      <c r="K309" s="463" t="s">
        <v>6133</v>
      </c>
      <c r="L309" s="476" t="s">
        <v>7227</v>
      </c>
      <c r="M309" s="455"/>
      <c r="N309" s="455"/>
      <c r="O309" s="455"/>
      <c r="P309" s="455"/>
      <c r="Q309" s="455"/>
      <c r="R309" s="455"/>
      <c r="S309" s="455"/>
      <c r="T309" s="455"/>
      <c r="U309" s="455"/>
      <c r="V309" s="455"/>
      <c r="W309" s="455"/>
      <c r="X309" s="455"/>
      <c r="Y309" s="455"/>
      <c r="Z309" s="455"/>
    </row>
    <row r="310">
      <c r="A310" s="470">
        <v>43888.0</v>
      </c>
      <c r="B310" s="513" t="s">
        <v>7228</v>
      </c>
      <c r="C310" s="513" t="s">
        <v>7229</v>
      </c>
      <c r="D310" s="513">
        <f>+971529283547</f>
        <v>971529283547</v>
      </c>
      <c r="E310" s="455"/>
      <c r="F310" s="455"/>
      <c r="G310" s="455"/>
      <c r="H310" s="453" t="s">
        <v>7230</v>
      </c>
      <c r="I310" s="453" t="s">
        <v>7231</v>
      </c>
      <c r="J310" s="455"/>
      <c r="K310" s="457" t="s">
        <v>6133</v>
      </c>
      <c r="L310" s="456" t="s">
        <v>1009</v>
      </c>
      <c r="M310" s="455"/>
      <c r="N310" s="455"/>
      <c r="O310" s="455"/>
      <c r="P310" s="455"/>
      <c r="Q310" s="455"/>
      <c r="R310" s="455"/>
      <c r="S310" s="455"/>
      <c r="T310" s="455"/>
      <c r="U310" s="455"/>
      <c r="V310" s="455"/>
      <c r="W310" s="455"/>
      <c r="X310" s="455"/>
      <c r="Y310" s="455"/>
      <c r="Z310" s="455"/>
    </row>
    <row r="311">
      <c r="A311" s="594"/>
      <c r="B311" s="513" t="s">
        <v>7232</v>
      </c>
      <c r="C311" s="513" t="s">
        <v>7233</v>
      </c>
      <c r="D311" s="513">
        <v>9.71050759739E12</v>
      </c>
      <c r="E311" s="455"/>
      <c r="F311" s="455"/>
      <c r="G311" s="455"/>
      <c r="H311" s="453" t="s">
        <v>7230</v>
      </c>
      <c r="I311" s="455"/>
      <c r="J311" s="455"/>
      <c r="K311" s="457" t="s">
        <v>6133</v>
      </c>
      <c r="L311" s="456" t="s">
        <v>7234</v>
      </c>
      <c r="M311" s="455"/>
      <c r="N311" s="455"/>
      <c r="O311" s="455"/>
      <c r="P311" s="455"/>
      <c r="Q311" s="455"/>
      <c r="R311" s="455"/>
      <c r="S311" s="455"/>
      <c r="T311" s="455"/>
      <c r="U311" s="455"/>
      <c r="V311" s="455"/>
      <c r="W311" s="455"/>
      <c r="X311" s="455"/>
      <c r="Y311" s="455"/>
      <c r="Z311" s="455"/>
    </row>
    <row r="312" ht="18.0" customHeight="1">
      <c r="A312" s="602"/>
      <c r="B312" s="505" t="s">
        <v>7235</v>
      </c>
      <c r="C312" s="505" t="s">
        <v>7236</v>
      </c>
      <c r="D312" s="505">
        <v>9.710525913029E12</v>
      </c>
      <c r="E312" s="462"/>
      <c r="F312" s="462"/>
      <c r="G312" s="462"/>
      <c r="H312" s="460" t="s">
        <v>7230</v>
      </c>
      <c r="I312" s="460" t="s">
        <v>7237</v>
      </c>
      <c r="J312" s="462"/>
      <c r="K312" s="463" t="s">
        <v>6133</v>
      </c>
      <c r="L312" s="476" t="s">
        <v>7238</v>
      </c>
      <c r="M312" s="456"/>
      <c r="N312" s="455"/>
      <c r="O312" s="455"/>
      <c r="P312" s="455"/>
      <c r="Q312" s="455"/>
      <c r="R312" s="455"/>
      <c r="S312" s="455"/>
      <c r="T312" s="455"/>
      <c r="U312" s="455"/>
      <c r="V312" s="455"/>
      <c r="W312" s="455"/>
      <c r="X312" s="455"/>
      <c r="Y312" s="455"/>
      <c r="Z312" s="455"/>
    </row>
    <row r="313" ht="18.0" customHeight="1">
      <c r="A313" s="601">
        <v>43890.0</v>
      </c>
      <c r="B313" s="505" t="s">
        <v>7239</v>
      </c>
      <c r="C313" s="505" t="s">
        <v>7240</v>
      </c>
      <c r="D313" s="505">
        <v>9.71561361669E11</v>
      </c>
      <c r="E313" s="462"/>
      <c r="F313" s="462"/>
      <c r="G313" s="462"/>
      <c r="H313" s="460" t="s">
        <v>7230</v>
      </c>
      <c r="I313" s="460" t="s">
        <v>7241</v>
      </c>
      <c r="J313" s="462"/>
      <c r="K313" s="463" t="s">
        <v>6133</v>
      </c>
      <c r="L313" s="476" t="s">
        <v>7242</v>
      </c>
      <c r="M313" s="455"/>
      <c r="N313" s="455"/>
      <c r="O313" s="455"/>
      <c r="P313" s="455"/>
      <c r="Q313" s="455"/>
      <c r="R313" s="455"/>
      <c r="S313" s="455"/>
      <c r="T313" s="455"/>
      <c r="U313" s="455"/>
      <c r="V313" s="455"/>
      <c r="W313" s="455"/>
      <c r="X313" s="455"/>
      <c r="Y313" s="455"/>
      <c r="Z313" s="455"/>
    </row>
    <row r="314">
      <c r="A314" s="594"/>
      <c r="B314" s="513" t="s">
        <v>7243</v>
      </c>
      <c r="C314" s="513" t="s">
        <v>7244</v>
      </c>
      <c r="D314" s="513">
        <v>9.71528703888E11</v>
      </c>
      <c r="E314" s="455"/>
      <c r="F314" s="455"/>
      <c r="G314" s="455"/>
      <c r="H314" s="453" t="s">
        <v>7230</v>
      </c>
      <c r="I314" s="453" t="s">
        <v>7245</v>
      </c>
      <c r="J314" s="455"/>
      <c r="K314" s="457" t="s">
        <v>6133</v>
      </c>
      <c r="L314" s="456" t="s">
        <v>3672</v>
      </c>
      <c r="M314" s="455"/>
      <c r="N314" s="455"/>
      <c r="O314" s="455"/>
      <c r="P314" s="455"/>
      <c r="Q314" s="455"/>
      <c r="R314" s="455"/>
      <c r="S314" s="455"/>
      <c r="T314" s="455"/>
      <c r="U314" s="455"/>
      <c r="V314" s="455"/>
      <c r="W314" s="455"/>
      <c r="X314" s="455"/>
      <c r="Y314" s="455"/>
      <c r="Z314" s="455"/>
    </row>
    <row r="315">
      <c r="A315" s="594"/>
      <c r="B315" s="513" t="s">
        <v>7246</v>
      </c>
      <c r="C315" s="513" t="s">
        <v>7247</v>
      </c>
      <c r="D315" s="513">
        <v>9.715078403E11</v>
      </c>
      <c r="E315" s="455"/>
      <c r="F315" s="455"/>
      <c r="G315" s="455"/>
      <c r="H315" s="453" t="s">
        <v>7230</v>
      </c>
      <c r="I315" s="453" t="s">
        <v>7245</v>
      </c>
      <c r="J315" s="455"/>
      <c r="K315" s="457" t="s">
        <v>6133</v>
      </c>
      <c r="L315" s="456" t="s">
        <v>7248</v>
      </c>
      <c r="M315" s="455"/>
      <c r="N315" s="455"/>
      <c r="O315" s="455"/>
      <c r="P315" s="455"/>
      <c r="Q315" s="455"/>
      <c r="R315" s="455"/>
      <c r="S315" s="455"/>
      <c r="T315" s="455"/>
      <c r="U315" s="455"/>
      <c r="V315" s="455"/>
      <c r="W315" s="455"/>
      <c r="X315" s="455"/>
      <c r="Y315" s="455"/>
      <c r="Z315" s="455"/>
    </row>
    <row r="316" ht="18.75" customHeight="1">
      <c r="A316" s="470">
        <v>43893.0</v>
      </c>
      <c r="B316" s="513" t="s">
        <v>7249</v>
      </c>
      <c r="C316" s="513" t="s">
        <v>7250</v>
      </c>
      <c r="D316" s="513">
        <v>9.66596430161E11</v>
      </c>
      <c r="E316" s="455"/>
      <c r="F316" s="455"/>
      <c r="G316" s="455"/>
      <c r="H316" s="453" t="s">
        <v>3946</v>
      </c>
      <c r="I316" s="453" t="s">
        <v>7251</v>
      </c>
      <c r="J316" s="455"/>
      <c r="K316" s="457" t="s">
        <v>6133</v>
      </c>
      <c r="L316" s="456" t="s">
        <v>7222</v>
      </c>
      <c r="M316" s="455"/>
      <c r="N316" s="455"/>
      <c r="O316" s="455"/>
      <c r="P316" s="455"/>
      <c r="Q316" s="455"/>
      <c r="R316" s="455"/>
      <c r="S316" s="455"/>
      <c r="T316" s="455"/>
      <c r="U316" s="455"/>
      <c r="V316" s="455"/>
      <c r="W316" s="455"/>
      <c r="X316" s="455"/>
      <c r="Y316" s="455"/>
      <c r="Z316" s="455"/>
    </row>
    <row r="317" ht="17.25" customHeight="1">
      <c r="A317" s="594"/>
      <c r="B317" s="513" t="s">
        <v>7252</v>
      </c>
      <c r="C317" s="513" t="s">
        <v>7253</v>
      </c>
      <c r="D317" s="513">
        <v>9.71526691422E11</v>
      </c>
      <c r="E317" s="453"/>
      <c r="F317" s="455"/>
      <c r="G317" s="455"/>
      <c r="H317" s="453" t="s">
        <v>4192</v>
      </c>
      <c r="I317" s="453" t="s">
        <v>7254</v>
      </c>
      <c r="J317" s="455"/>
      <c r="K317" s="457" t="s">
        <v>6133</v>
      </c>
      <c r="L317" s="456" t="s">
        <v>7255</v>
      </c>
      <c r="M317" s="455"/>
      <c r="N317" s="455"/>
      <c r="O317" s="455"/>
      <c r="P317" s="455"/>
      <c r="Q317" s="455"/>
      <c r="R317" s="455"/>
      <c r="S317" s="455"/>
      <c r="T317" s="455"/>
      <c r="U317" s="455"/>
      <c r="V317" s="455"/>
      <c r="W317" s="455"/>
      <c r="X317" s="455"/>
      <c r="Y317" s="455"/>
      <c r="Z317" s="455"/>
    </row>
    <row r="318">
      <c r="A318" s="601">
        <v>43894.0</v>
      </c>
      <c r="B318" s="505" t="s">
        <v>7256</v>
      </c>
      <c r="C318" s="505" t="s">
        <v>7257</v>
      </c>
      <c r="D318" s="505">
        <v>9.71507220866E11</v>
      </c>
      <c r="E318" s="460"/>
      <c r="F318" s="462"/>
      <c r="G318" s="462"/>
      <c r="H318" s="460" t="s">
        <v>7230</v>
      </c>
      <c r="I318" s="462"/>
      <c r="J318" s="462"/>
      <c r="K318" s="463" t="s">
        <v>6133</v>
      </c>
      <c r="L318" s="476" t="s">
        <v>7258</v>
      </c>
      <c r="M318" s="455"/>
      <c r="N318" s="455"/>
      <c r="O318" s="455"/>
      <c r="P318" s="455"/>
      <c r="Q318" s="455"/>
      <c r="R318" s="455"/>
      <c r="S318" s="455"/>
      <c r="T318" s="455"/>
      <c r="U318" s="455"/>
      <c r="V318" s="455"/>
      <c r="W318" s="455"/>
      <c r="X318" s="455"/>
      <c r="Y318" s="455"/>
      <c r="Z318" s="455"/>
    </row>
    <row r="319">
      <c r="A319" s="602"/>
      <c r="B319" s="505" t="s">
        <v>7259</v>
      </c>
      <c r="C319" s="505" t="s">
        <v>7260</v>
      </c>
      <c r="D319" s="505">
        <v>9.71528891139E11</v>
      </c>
      <c r="E319" s="460"/>
      <c r="F319" s="462"/>
      <c r="G319" s="462"/>
      <c r="H319" s="460" t="s">
        <v>4192</v>
      </c>
      <c r="I319" s="462"/>
      <c r="J319" s="462"/>
      <c r="K319" s="463" t="s">
        <v>6133</v>
      </c>
      <c r="L319" s="476" t="s">
        <v>7261</v>
      </c>
      <c r="M319" s="455"/>
      <c r="N319" s="455"/>
      <c r="O319" s="455"/>
      <c r="P319" s="455"/>
      <c r="Q319" s="455"/>
      <c r="R319" s="455"/>
      <c r="S319" s="455"/>
      <c r="T319" s="455"/>
      <c r="U319" s="455"/>
      <c r="V319" s="455"/>
      <c r="W319" s="455"/>
      <c r="X319" s="455"/>
      <c r="Y319" s="455"/>
      <c r="Z319" s="455"/>
    </row>
    <row r="320">
      <c r="A320" s="608">
        <v>43891.0</v>
      </c>
      <c r="B320" s="564" t="s">
        <v>7262</v>
      </c>
      <c r="C320" s="564" t="s">
        <v>7263</v>
      </c>
      <c r="D320" s="455">
        <f>+971588382316</f>
        <v>971588382316</v>
      </c>
      <c r="E320" s="455"/>
      <c r="F320" s="455"/>
      <c r="G320" s="455"/>
      <c r="H320" s="564" t="s">
        <v>7225</v>
      </c>
      <c r="I320" s="455"/>
      <c r="J320" s="455"/>
      <c r="K320" s="457" t="s">
        <v>6133</v>
      </c>
      <c r="L320" s="456" t="s">
        <v>2246</v>
      </c>
      <c r="M320" s="455"/>
      <c r="N320" s="455"/>
      <c r="O320" s="455"/>
      <c r="P320" s="455"/>
      <c r="Q320" s="455"/>
      <c r="R320" s="455"/>
      <c r="S320" s="455"/>
      <c r="T320" s="455"/>
      <c r="U320" s="455"/>
      <c r="V320" s="455"/>
      <c r="W320" s="455"/>
      <c r="X320" s="455"/>
      <c r="Y320" s="455"/>
      <c r="Z320" s="455"/>
    </row>
    <row r="321">
      <c r="A321" s="487">
        <v>43892.0</v>
      </c>
      <c r="B321" s="454" t="s">
        <v>7264</v>
      </c>
      <c r="C321" s="454" t="s">
        <v>7265</v>
      </c>
      <c r="D321" s="454">
        <v>9.71554665544E11</v>
      </c>
      <c r="E321" s="454" t="s">
        <v>7112</v>
      </c>
      <c r="F321" s="455"/>
      <c r="G321" s="455"/>
      <c r="H321" s="454" t="s">
        <v>7266</v>
      </c>
      <c r="I321" s="455"/>
      <c r="J321" s="455"/>
      <c r="K321" s="457" t="s">
        <v>6133</v>
      </c>
      <c r="L321" s="456" t="s">
        <v>7267</v>
      </c>
      <c r="M321" s="455"/>
      <c r="N321" s="455"/>
      <c r="O321" s="455"/>
      <c r="P321" s="455"/>
      <c r="Q321" s="455"/>
      <c r="R321" s="455"/>
      <c r="S321" s="455"/>
      <c r="T321" s="455"/>
      <c r="U321" s="455"/>
      <c r="V321" s="455"/>
      <c r="W321" s="455"/>
      <c r="X321" s="455"/>
      <c r="Y321" s="455"/>
      <c r="Z321" s="455"/>
    </row>
    <row r="322">
      <c r="A322" s="609">
        <v>43893.0</v>
      </c>
      <c r="B322" s="587" t="s">
        <v>7268</v>
      </c>
      <c r="C322" s="587" t="s">
        <v>7269</v>
      </c>
      <c r="D322" s="610" t="s">
        <v>7270</v>
      </c>
      <c r="E322" s="462"/>
      <c r="F322" s="462"/>
      <c r="G322" s="462"/>
      <c r="H322" s="587" t="s">
        <v>4036</v>
      </c>
      <c r="I322" s="462"/>
      <c r="J322" s="462"/>
      <c r="K322" s="463" t="s">
        <v>6133</v>
      </c>
      <c r="L322" s="476" t="s">
        <v>7271</v>
      </c>
      <c r="M322" s="455"/>
      <c r="N322" s="455"/>
      <c r="O322" s="455"/>
      <c r="P322" s="455"/>
      <c r="Q322" s="455"/>
      <c r="R322" s="455"/>
      <c r="S322" s="455"/>
      <c r="T322" s="455"/>
      <c r="U322" s="455"/>
      <c r="V322" s="455"/>
      <c r="W322" s="455"/>
      <c r="X322" s="455"/>
      <c r="Y322" s="455"/>
      <c r="Z322" s="455"/>
    </row>
    <row r="323">
      <c r="A323" s="608">
        <v>43894.0</v>
      </c>
      <c r="B323" s="564" t="s">
        <v>7272</v>
      </c>
      <c r="C323" s="564" t="s">
        <v>7273</v>
      </c>
      <c r="D323" s="455">
        <f>+971529967782</f>
        <v>971529967782</v>
      </c>
      <c r="E323" s="455"/>
      <c r="F323" s="455"/>
      <c r="G323" s="455"/>
      <c r="H323" s="564" t="s">
        <v>4145</v>
      </c>
      <c r="I323" s="455"/>
      <c r="J323" s="455"/>
      <c r="K323" s="457" t="s">
        <v>6133</v>
      </c>
      <c r="L323" s="456" t="s">
        <v>7267</v>
      </c>
      <c r="M323" s="455"/>
      <c r="N323" s="455"/>
      <c r="O323" s="455"/>
      <c r="P323" s="455"/>
      <c r="Q323" s="455"/>
      <c r="R323" s="455"/>
      <c r="S323" s="455"/>
      <c r="T323" s="455"/>
      <c r="U323" s="455"/>
      <c r="V323" s="455"/>
      <c r="W323" s="455"/>
      <c r="X323" s="455"/>
      <c r="Y323" s="455"/>
      <c r="Z323" s="455"/>
    </row>
    <row r="324">
      <c r="A324" s="608">
        <v>43897.0</v>
      </c>
      <c r="B324" s="564" t="s">
        <v>7274</v>
      </c>
      <c r="C324" s="564" t="s">
        <v>7275</v>
      </c>
      <c r="D324" s="455">
        <f>+9710566239051</f>
        <v>9710566239051</v>
      </c>
      <c r="E324" s="455"/>
      <c r="F324" s="455"/>
      <c r="G324" s="455"/>
      <c r="H324" s="564" t="s">
        <v>4145</v>
      </c>
      <c r="I324" s="455"/>
      <c r="J324" s="455"/>
      <c r="K324" s="457" t="s">
        <v>6133</v>
      </c>
      <c r="L324" s="456" t="s">
        <v>7222</v>
      </c>
      <c r="M324" s="455"/>
      <c r="N324" s="455"/>
      <c r="O324" s="455"/>
      <c r="P324" s="455"/>
      <c r="Q324" s="455"/>
      <c r="R324" s="455"/>
      <c r="S324" s="455"/>
      <c r="T324" s="455"/>
      <c r="U324" s="455"/>
      <c r="V324" s="455"/>
      <c r="W324" s="455"/>
      <c r="X324" s="455"/>
      <c r="Y324" s="455"/>
      <c r="Z324" s="455"/>
    </row>
    <row r="325">
      <c r="A325" s="487">
        <v>43899.0</v>
      </c>
      <c r="B325" s="454" t="s">
        <v>7276</v>
      </c>
      <c r="C325" s="454" t="s">
        <v>7277</v>
      </c>
      <c r="D325" s="455">
        <f>+971551308587</f>
        <v>971551308587</v>
      </c>
      <c r="E325" s="455"/>
      <c r="F325" s="455"/>
      <c r="G325" s="455"/>
      <c r="H325" s="454" t="s">
        <v>4192</v>
      </c>
      <c r="I325" s="455"/>
      <c r="J325" s="455"/>
      <c r="K325" s="457" t="s">
        <v>6133</v>
      </c>
      <c r="L325" s="456" t="s">
        <v>7278</v>
      </c>
      <c r="M325" s="455"/>
      <c r="N325" s="455"/>
      <c r="O325" s="455"/>
      <c r="P325" s="455"/>
      <c r="Q325" s="455"/>
      <c r="R325" s="455"/>
      <c r="S325" s="455"/>
      <c r="T325" s="455"/>
      <c r="U325" s="455"/>
      <c r="V325" s="455"/>
      <c r="W325" s="455"/>
      <c r="X325" s="455"/>
      <c r="Y325" s="455"/>
      <c r="Z325" s="455"/>
    </row>
    <row r="326">
      <c r="A326" s="611">
        <v>43900.0</v>
      </c>
      <c r="B326" s="513" t="s">
        <v>7279</v>
      </c>
      <c r="C326" s="513" t="s">
        <v>7280</v>
      </c>
      <c r="D326" s="525" t="s">
        <v>7281</v>
      </c>
      <c r="E326" s="483"/>
      <c r="F326" s="483"/>
      <c r="G326" s="483"/>
      <c r="H326" s="507" t="s">
        <v>3822</v>
      </c>
      <c r="I326" s="455"/>
      <c r="J326" s="455"/>
      <c r="K326" s="457" t="s">
        <v>6133</v>
      </c>
      <c r="L326" s="456" t="s">
        <v>7282</v>
      </c>
      <c r="M326" s="455"/>
      <c r="N326" s="455"/>
      <c r="O326" s="455"/>
      <c r="P326" s="455"/>
      <c r="Q326" s="455"/>
      <c r="R326" s="455"/>
      <c r="S326" s="455"/>
      <c r="T326" s="455"/>
      <c r="U326" s="455"/>
      <c r="V326" s="455"/>
      <c r="W326" s="455"/>
      <c r="X326" s="455"/>
      <c r="Y326" s="455"/>
      <c r="Z326" s="455"/>
    </row>
    <row r="327" ht="19.5" customHeight="1">
      <c r="A327" s="612">
        <v>43905.0</v>
      </c>
      <c r="B327" s="512" t="s">
        <v>7283</v>
      </c>
      <c r="C327" s="512" t="s">
        <v>7284</v>
      </c>
      <c r="D327" s="613">
        <v>9.6650989756E11</v>
      </c>
      <c r="E327" s="455"/>
      <c r="F327" s="455"/>
      <c r="G327" s="455"/>
      <c r="H327" s="512" t="s">
        <v>7285</v>
      </c>
      <c r="I327" s="455"/>
      <c r="J327" s="455"/>
      <c r="K327" s="457" t="s">
        <v>6133</v>
      </c>
      <c r="L327" s="456" t="s">
        <v>7222</v>
      </c>
      <c r="M327" s="455"/>
      <c r="N327" s="455"/>
      <c r="O327" s="455"/>
      <c r="P327" s="455"/>
      <c r="Q327" s="455"/>
      <c r="R327" s="455"/>
      <c r="S327" s="455"/>
      <c r="T327" s="455"/>
      <c r="U327" s="455"/>
      <c r="V327" s="455"/>
      <c r="W327" s="455"/>
      <c r="X327" s="455"/>
      <c r="Y327" s="614"/>
      <c r="Z327" s="614"/>
    </row>
    <row r="328" ht="18.75" customHeight="1">
      <c r="A328" s="615">
        <v>43906.0</v>
      </c>
      <c r="B328" s="512" t="s">
        <v>7286</v>
      </c>
      <c r="C328" s="512" t="s">
        <v>7287</v>
      </c>
      <c r="D328" s="616" t="s">
        <v>7288</v>
      </c>
      <c r="E328" s="455"/>
      <c r="F328" s="455"/>
      <c r="G328" s="455"/>
      <c r="H328" s="512" t="s">
        <v>4036</v>
      </c>
      <c r="I328" s="455"/>
      <c r="J328" s="455"/>
      <c r="K328" s="457" t="s">
        <v>6133</v>
      </c>
      <c r="L328" s="456" t="s">
        <v>7222</v>
      </c>
      <c r="M328" s="455"/>
      <c r="N328" s="455"/>
      <c r="O328" s="455"/>
      <c r="P328" s="455"/>
      <c r="Q328" s="455"/>
      <c r="R328" s="455"/>
      <c r="S328" s="455"/>
      <c r="T328" s="455"/>
      <c r="U328" s="455"/>
      <c r="V328" s="455"/>
      <c r="W328" s="455"/>
      <c r="X328" s="455"/>
      <c r="Y328" s="455"/>
      <c r="Z328" s="455"/>
    </row>
    <row r="523">
      <c r="B523" s="443"/>
      <c r="C523" s="443"/>
      <c r="H523" s="443"/>
    </row>
    <row r="524">
      <c r="B524" s="443"/>
      <c r="C524" s="443"/>
      <c r="H524" s="443"/>
    </row>
    <row r="525">
      <c r="B525" s="443"/>
      <c r="C525" s="443"/>
      <c r="H525" s="443"/>
    </row>
    <row r="526">
      <c r="B526" s="443"/>
      <c r="C526" s="443"/>
      <c r="H526" s="443"/>
    </row>
    <row r="527">
      <c r="B527" s="443"/>
      <c r="C527" s="443"/>
      <c r="H527" s="443"/>
    </row>
    <row r="528">
      <c r="B528" s="443"/>
      <c r="C528" s="443"/>
      <c r="H528" s="443"/>
    </row>
    <row r="529">
      <c r="B529" s="443"/>
      <c r="C529" s="443"/>
      <c r="H529" s="443"/>
    </row>
    <row r="530">
      <c r="B530" s="443"/>
      <c r="C530" s="443"/>
      <c r="H530" s="443"/>
    </row>
    <row r="531">
      <c r="B531" s="443"/>
      <c r="C531" s="443"/>
      <c r="H531" s="443"/>
    </row>
    <row r="532">
      <c r="B532" s="443"/>
      <c r="C532" s="443"/>
      <c r="H532" s="443"/>
    </row>
    <row r="533">
      <c r="B533" s="443"/>
      <c r="C533" s="443"/>
      <c r="H533" s="443"/>
    </row>
    <row r="534">
      <c r="B534" s="443"/>
      <c r="C534" s="443"/>
      <c r="H534" s="443"/>
    </row>
    <row r="535">
      <c r="B535" s="443"/>
      <c r="C535" s="443"/>
      <c r="H535" s="443"/>
    </row>
    <row r="536">
      <c r="B536" s="443"/>
      <c r="C536" s="443"/>
      <c r="H536" s="443"/>
    </row>
    <row r="537">
      <c r="B537" s="443"/>
      <c r="C537" s="443"/>
      <c r="H537" s="443"/>
    </row>
    <row r="538">
      <c r="B538" s="443"/>
      <c r="C538" s="443"/>
      <c r="H538" s="443"/>
    </row>
    <row r="539">
      <c r="B539" s="443"/>
      <c r="C539" s="443"/>
      <c r="H539" s="443"/>
    </row>
    <row r="540">
      <c r="B540" s="443"/>
      <c r="C540" s="443"/>
      <c r="H540" s="443"/>
    </row>
    <row r="541">
      <c r="B541" s="443"/>
      <c r="C541" s="443"/>
      <c r="H541" s="443"/>
    </row>
    <row r="542">
      <c r="B542" s="443"/>
      <c r="C542" s="443"/>
      <c r="H542" s="443"/>
    </row>
    <row r="543">
      <c r="B543" s="443"/>
      <c r="C543" s="443"/>
      <c r="H543" s="443"/>
    </row>
    <row r="544">
      <c r="B544" s="443"/>
      <c r="C544" s="443"/>
      <c r="H544" s="443"/>
    </row>
    <row r="545">
      <c r="B545" s="443"/>
      <c r="C545" s="443"/>
      <c r="H545" s="443"/>
    </row>
    <row r="546">
      <c r="B546" s="443"/>
      <c r="C546" s="443"/>
      <c r="H546" s="443"/>
    </row>
    <row r="547">
      <c r="B547" s="443"/>
      <c r="C547" s="443"/>
      <c r="H547" s="443"/>
    </row>
    <row r="548">
      <c r="B548" s="443"/>
      <c r="C548" s="443"/>
      <c r="H548" s="443"/>
    </row>
    <row r="549">
      <c r="B549" s="443"/>
      <c r="C549" s="443"/>
      <c r="H549" s="443"/>
    </row>
    <row r="550">
      <c r="B550" s="443"/>
      <c r="C550" s="443"/>
      <c r="H550" s="443"/>
    </row>
    <row r="551">
      <c r="B551" s="443"/>
      <c r="C551" s="443"/>
      <c r="H551" s="443"/>
    </row>
    <row r="552">
      <c r="B552" s="443"/>
      <c r="C552" s="443"/>
      <c r="H552" s="443"/>
    </row>
    <row r="553">
      <c r="B553" s="443"/>
      <c r="C553" s="443"/>
      <c r="H553" s="443"/>
    </row>
    <row r="554">
      <c r="B554" s="443"/>
      <c r="C554" s="443"/>
      <c r="H554" s="443"/>
    </row>
    <row r="555">
      <c r="B555" s="443"/>
      <c r="C555" s="443"/>
      <c r="H555" s="443"/>
    </row>
    <row r="556">
      <c r="B556" s="443"/>
      <c r="C556" s="443"/>
      <c r="H556" s="443"/>
    </row>
    <row r="557">
      <c r="B557" s="443"/>
      <c r="C557" s="443"/>
      <c r="H557" s="443"/>
    </row>
    <row r="558">
      <c r="B558" s="443"/>
      <c r="C558" s="443"/>
      <c r="H558" s="443"/>
    </row>
    <row r="559">
      <c r="B559" s="443"/>
      <c r="C559" s="443"/>
      <c r="H559" s="443"/>
    </row>
    <row r="560">
      <c r="B560" s="443"/>
      <c r="C560" s="443"/>
      <c r="H560" s="443"/>
    </row>
    <row r="561">
      <c r="B561" s="443"/>
      <c r="C561" s="443"/>
      <c r="H561" s="443"/>
    </row>
    <row r="562">
      <c r="B562" s="443"/>
      <c r="C562" s="443"/>
      <c r="H562" s="443"/>
    </row>
    <row r="563">
      <c r="B563" s="443"/>
      <c r="C563" s="443"/>
      <c r="H563" s="443"/>
    </row>
    <row r="564">
      <c r="B564" s="443"/>
      <c r="C564" s="443"/>
      <c r="H564" s="443"/>
    </row>
    <row r="565">
      <c r="B565" s="443"/>
      <c r="C565" s="443"/>
      <c r="H565" s="443"/>
    </row>
    <row r="566">
      <c r="B566" s="443"/>
      <c r="C566" s="443"/>
      <c r="H566" s="443"/>
    </row>
    <row r="567">
      <c r="B567" s="443"/>
      <c r="C567" s="443"/>
      <c r="H567" s="443"/>
    </row>
    <row r="568">
      <c r="B568" s="443"/>
      <c r="C568" s="443"/>
      <c r="H568" s="443"/>
    </row>
    <row r="569">
      <c r="B569" s="443"/>
      <c r="C569" s="443"/>
      <c r="H569" s="443"/>
    </row>
    <row r="570">
      <c r="B570" s="443"/>
      <c r="C570" s="443"/>
      <c r="H570" s="443"/>
    </row>
    <row r="571">
      <c r="B571" s="443"/>
      <c r="C571" s="443"/>
      <c r="H571" s="443"/>
    </row>
    <row r="572">
      <c r="B572" s="443"/>
      <c r="C572" s="443"/>
      <c r="H572" s="443"/>
    </row>
    <row r="573">
      <c r="B573" s="443"/>
      <c r="C573" s="443"/>
      <c r="H573" s="443"/>
    </row>
    <row r="574">
      <c r="B574" s="443"/>
      <c r="C574" s="443"/>
      <c r="H574" s="443"/>
    </row>
    <row r="575">
      <c r="B575" s="443"/>
      <c r="C575" s="443"/>
      <c r="H575" s="443"/>
    </row>
    <row r="576">
      <c r="B576" s="443"/>
      <c r="C576" s="443"/>
      <c r="H576" s="443"/>
    </row>
    <row r="577">
      <c r="B577" s="443"/>
      <c r="C577" s="443"/>
      <c r="H577" s="443"/>
    </row>
    <row r="578">
      <c r="B578" s="443"/>
      <c r="C578" s="443"/>
      <c r="H578" s="443"/>
    </row>
    <row r="579">
      <c r="B579" s="443"/>
      <c r="C579" s="443"/>
      <c r="H579" s="443"/>
    </row>
    <row r="580">
      <c r="B580" s="443"/>
      <c r="C580" s="443"/>
      <c r="H580" s="443"/>
    </row>
    <row r="581">
      <c r="B581" s="443"/>
      <c r="C581" s="443"/>
      <c r="H581" s="443"/>
    </row>
    <row r="582">
      <c r="B582" s="443"/>
      <c r="C582" s="443"/>
      <c r="H582" s="443"/>
    </row>
    <row r="583">
      <c r="B583" s="443"/>
      <c r="C583" s="443"/>
      <c r="H583" s="443"/>
    </row>
    <row r="584">
      <c r="B584" s="443"/>
      <c r="C584" s="443"/>
      <c r="H584" s="443"/>
    </row>
    <row r="585">
      <c r="B585" s="443"/>
      <c r="C585" s="443"/>
      <c r="H585" s="443"/>
    </row>
    <row r="586">
      <c r="B586" s="443"/>
      <c r="C586" s="443"/>
      <c r="H586" s="443"/>
    </row>
    <row r="587">
      <c r="B587" s="443"/>
      <c r="C587" s="443"/>
      <c r="H587" s="443"/>
    </row>
    <row r="588">
      <c r="B588" s="443"/>
      <c r="C588" s="443"/>
      <c r="H588" s="443"/>
    </row>
    <row r="589">
      <c r="B589" s="443"/>
      <c r="C589" s="443"/>
      <c r="H589" s="443"/>
    </row>
    <row r="590">
      <c r="B590" s="443"/>
      <c r="C590" s="443"/>
      <c r="H590" s="443"/>
    </row>
    <row r="591">
      <c r="B591" s="443"/>
      <c r="C591" s="443"/>
      <c r="H591" s="443"/>
    </row>
    <row r="592">
      <c r="B592" s="443"/>
      <c r="C592" s="443"/>
      <c r="H592" s="443"/>
    </row>
    <row r="593">
      <c r="B593" s="443"/>
      <c r="C593" s="443"/>
      <c r="H593" s="443"/>
    </row>
    <row r="594">
      <c r="B594" s="443"/>
      <c r="C594" s="443"/>
      <c r="H594" s="443"/>
    </row>
    <row r="595">
      <c r="B595" s="443"/>
      <c r="C595" s="443"/>
      <c r="H595" s="443"/>
    </row>
    <row r="596">
      <c r="B596" s="443"/>
      <c r="C596" s="443"/>
      <c r="H596" s="443"/>
    </row>
    <row r="597">
      <c r="B597" s="443"/>
      <c r="C597" s="443"/>
      <c r="H597" s="443"/>
    </row>
    <row r="598">
      <c r="B598" s="443"/>
      <c r="C598" s="443"/>
      <c r="H598" s="443"/>
    </row>
    <row r="599">
      <c r="B599" s="443"/>
      <c r="C599" s="443"/>
      <c r="H599" s="443"/>
    </row>
    <row r="600">
      <c r="B600" s="443"/>
      <c r="C600" s="443"/>
      <c r="H600" s="443"/>
    </row>
    <row r="601">
      <c r="B601" s="443"/>
      <c r="C601" s="443"/>
      <c r="H601" s="443"/>
    </row>
    <row r="602">
      <c r="B602" s="443"/>
      <c r="C602" s="443"/>
      <c r="H602" s="443"/>
    </row>
    <row r="603">
      <c r="B603" s="443"/>
      <c r="C603" s="443"/>
      <c r="H603" s="443"/>
    </row>
    <row r="604">
      <c r="B604" s="443"/>
      <c r="C604" s="443"/>
      <c r="H604" s="443"/>
    </row>
    <row r="605">
      <c r="B605" s="443"/>
      <c r="C605" s="443"/>
      <c r="H605" s="443"/>
    </row>
    <row r="606">
      <c r="B606" s="443"/>
      <c r="C606" s="443"/>
      <c r="H606" s="443"/>
    </row>
    <row r="607">
      <c r="B607" s="443"/>
      <c r="C607" s="443"/>
      <c r="H607" s="443"/>
    </row>
    <row r="608">
      <c r="B608" s="443"/>
      <c r="C608" s="443"/>
      <c r="H608" s="443"/>
    </row>
    <row r="609">
      <c r="B609" s="443"/>
      <c r="C609" s="443"/>
      <c r="H609" s="443"/>
    </row>
    <row r="610">
      <c r="B610" s="443"/>
      <c r="C610" s="443"/>
      <c r="H610" s="443"/>
    </row>
    <row r="611">
      <c r="B611" s="443"/>
      <c r="C611" s="443"/>
      <c r="H611" s="443"/>
    </row>
    <row r="612">
      <c r="B612" s="443"/>
      <c r="C612" s="443"/>
      <c r="H612" s="443"/>
    </row>
    <row r="613">
      <c r="B613" s="443"/>
      <c r="C613" s="443"/>
      <c r="H613" s="443"/>
    </row>
    <row r="614">
      <c r="B614" s="443"/>
      <c r="C614" s="443"/>
      <c r="H614" s="443"/>
    </row>
    <row r="615">
      <c r="B615" s="443"/>
      <c r="C615" s="443"/>
      <c r="H615" s="443"/>
    </row>
    <row r="616">
      <c r="B616" s="443"/>
      <c r="C616" s="443"/>
      <c r="H616" s="443"/>
    </row>
    <row r="617">
      <c r="B617" s="443"/>
      <c r="C617" s="443"/>
      <c r="H617" s="443"/>
    </row>
    <row r="618">
      <c r="B618" s="443"/>
      <c r="C618" s="443"/>
      <c r="H618" s="443"/>
    </row>
    <row r="619">
      <c r="B619" s="443"/>
      <c r="C619" s="443"/>
      <c r="H619" s="443"/>
    </row>
    <row r="620">
      <c r="B620" s="443"/>
      <c r="C620" s="443"/>
      <c r="H620" s="443"/>
    </row>
    <row r="621">
      <c r="B621" s="443"/>
      <c r="C621" s="443"/>
      <c r="H621" s="443"/>
    </row>
    <row r="622">
      <c r="B622" s="443"/>
      <c r="C622" s="443"/>
      <c r="H622" s="443"/>
    </row>
    <row r="623">
      <c r="B623" s="443"/>
      <c r="C623" s="443"/>
      <c r="H623" s="443"/>
    </row>
    <row r="624">
      <c r="B624" s="443"/>
      <c r="C624" s="443"/>
      <c r="H624" s="443"/>
    </row>
    <row r="625">
      <c r="B625" s="443"/>
      <c r="C625" s="443"/>
      <c r="H625" s="443"/>
    </row>
    <row r="626">
      <c r="B626" s="443"/>
      <c r="C626" s="443"/>
      <c r="H626" s="443"/>
    </row>
    <row r="627">
      <c r="B627" s="443"/>
      <c r="C627" s="443"/>
      <c r="H627" s="443"/>
    </row>
    <row r="628">
      <c r="B628" s="443"/>
      <c r="C628" s="443"/>
      <c r="H628" s="443"/>
    </row>
    <row r="629">
      <c r="B629" s="443"/>
      <c r="C629" s="443"/>
      <c r="H629" s="443"/>
    </row>
    <row r="630">
      <c r="B630" s="443"/>
      <c r="C630" s="443"/>
      <c r="H630" s="443"/>
    </row>
    <row r="631">
      <c r="B631" s="443"/>
      <c r="C631" s="443"/>
      <c r="H631" s="443"/>
    </row>
    <row r="632">
      <c r="B632" s="443"/>
      <c r="C632" s="443"/>
      <c r="H632" s="443"/>
    </row>
    <row r="633">
      <c r="B633" s="443"/>
      <c r="C633" s="443"/>
      <c r="H633" s="443"/>
    </row>
    <row r="634">
      <c r="B634" s="443"/>
      <c r="C634" s="443"/>
      <c r="H634" s="443"/>
    </row>
    <row r="635">
      <c r="B635" s="443"/>
      <c r="C635" s="443"/>
      <c r="H635" s="443"/>
    </row>
    <row r="636">
      <c r="B636" s="443"/>
      <c r="C636" s="443"/>
      <c r="H636" s="443"/>
    </row>
    <row r="637">
      <c r="B637" s="443"/>
      <c r="C637" s="443"/>
      <c r="H637" s="443"/>
    </row>
    <row r="638">
      <c r="B638" s="443"/>
      <c r="C638" s="443"/>
      <c r="H638" s="443"/>
    </row>
    <row r="639">
      <c r="B639" s="443"/>
      <c r="C639" s="443"/>
      <c r="H639" s="443"/>
    </row>
    <row r="640">
      <c r="B640" s="443"/>
      <c r="C640" s="443"/>
      <c r="H640" s="443"/>
    </row>
    <row r="641">
      <c r="B641" s="443"/>
      <c r="C641" s="443"/>
      <c r="H641" s="443"/>
    </row>
    <row r="642">
      <c r="B642" s="443"/>
      <c r="C642" s="443"/>
      <c r="H642" s="443"/>
    </row>
    <row r="643">
      <c r="B643" s="443"/>
      <c r="C643" s="443"/>
      <c r="H643" s="443"/>
    </row>
    <row r="644">
      <c r="B644" s="443"/>
      <c r="C644" s="443"/>
      <c r="H644" s="443"/>
    </row>
    <row r="645">
      <c r="B645" s="443"/>
      <c r="C645" s="443"/>
      <c r="H645" s="443"/>
    </row>
    <row r="646">
      <c r="B646" s="443"/>
      <c r="C646" s="443"/>
      <c r="H646" s="443"/>
    </row>
    <row r="647">
      <c r="B647" s="443"/>
      <c r="C647" s="443"/>
      <c r="H647" s="443"/>
    </row>
    <row r="648">
      <c r="B648" s="443"/>
      <c r="C648" s="443"/>
      <c r="H648" s="443"/>
    </row>
    <row r="649">
      <c r="B649" s="443"/>
      <c r="C649" s="443"/>
      <c r="H649" s="443"/>
    </row>
    <row r="650">
      <c r="B650" s="443"/>
      <c r="C650" s="443"/>
      <c r="H650" s="443"/>
    </row>
    <row r="651">
      <c r="B651" s="443"/>
      <c r="C651" s="443"/>
      <c r="H651" s="443"/>
    </row>
    <row r="652">
      <c r="B652" s="443"/>
      <c r="C652" s="443"/>
      <c r="H652" s="443"/>
    </row>
    <row r="653">
      <c r="B653" s="443"/>
      <c r="C653" s="443"/>
      <c r="H653" s="443"/>
    </row>
    <row r="654">
      <c r="B654" s="443"/>
      <c r="C654" s="443"/>
      <c r="H654" s="443"/>
    </row>
    <row r="655">
      <c r="B655" s="443"/>
      <c r="C655" s="443"/>
      <c r="H655" s="443"/>
    </row>
    <row r="656">
      <c r="B656" s="443"/>
      <c r="C656" s="443"/>
      <c r="H656" s="443"/>
    </row>
    <row r="657">
      <c r="B657" s="443"/>
      <c r="C657" s="443"/>
      <c r="H657" s="443"/>
    </row>
    <row r="658">
      <c r="B658" s="443"/>
      <c r="C658" s="443"/>
      <c r="H658" s="443"/>
    </row>
    <row r="659">
      <c r="B659" s="443"/>
      <c r="C659" s="443"/>
      <c r="H659" s="443"/>
    </row>
    <row r="660">
      <c r="B660" s="443"/>
      <c r="C660" s="443"/>
      <c r="H660" s="443"/>
    </row>
    <row r="661">
      <c r="B661" s="443"/>
      <c r="C661" s="443"/>
      <c r="H661" s="443"/>
    </row>
    <row r="662">
      <c r="B662" s="443"/>
      <c r="C662" s="443"/>
      <c r="H662" s="443"/>
    </row>
    <row r="663">
      <c r="B663" s="443"/>
      <c r="C663" s="443"/>
      <c r="H663" s="443"/>
    </row>
    <row r="664">
      <c r="B664" s="443"/>
      <c r="C664" s="443"/>
      <c r="H664" s="443"/>
    </row>
    <row r="665">
      <c r="B665" s="443"/>
      <c r="C665" s="443"/>
      <c r="H665" s="443"/>
    </row>
    <row r="666">
      <c r="B666" s="443"/>
      <c r="C666" s="443"/>
      <c r="H666" s="443"/>
    </row>
    <row r="667">
      <c r="B667" s="443"/>
      <c r="C667" s="443"/>
      <c r="H667" s="443"/>
    </row>
    <row r="668">
      <c r="B668" s="443"/>
      <c r="C668" s="443"/>
      <c r="H668" s="443"/>
    </row>
    <row r="669">
      <c r="B669" s="443"/>
      <c r="C669" s="443"/>
      <c r="H669" s="443"/>
    </row>
    <row r="670">
      <c r="B670" s="443"/>
      <c r="C670" s="443"/>
      <c r="H670" s="443"/>
    </row>
    <row r="671">
      <c r="B671" s="443"/>
      <c r="C671" s="443"/>
      <c r="H671" s="443"/>
    </row>
    <row r="672">
      <c r="B672" s="443"/>
      <c r="C672" s="443"/>
      <c r="H672" s="443"/>
    </row>
    <row r="673">
      <c r="B673" s="443"/>
      <c r="C673" s="443"/>
      <c r="H673" s="443"/>
    </row>
    <row r="674">
      <c r="B674" s="443"/>
      <c r="C674" s="443"/>
      <c r="H674" s="443"/>
    </row>
    <row r="675">
      <c r="B675" s="443"/>
      <c r="C675" s="443"/>
      <c r="H675" s="443"/>
    </row>
    <row r="676">
      <c r="B676" s="443"/>
      <c r="C676" s="443"/>
      <c r="H676" s="443"/>
    </row>
    <row r="677">
      <c r="B677" s="443"/>
      <c r="C677" s="443"/>
      <c r="H677" s="443"/>
    </row>
    <row r="678">
      <c r="B678" s="443"/>
      <c r="C678" s="443"/>
      <c r="H678" s="443"/>
    </row>
    <row r="679">
      <c r="B679" s="443"/>
      <c r="C679" s="443"/>
      <c r="H679" s="443"/>
    </row>
    <row r="680">
      <c r="B680" s="443"/>
      <c r="C680" s="443"/>
      <c r="H680" s="443"/>
    </row>
    <row r="681">
      <c r="B681" s="443"/>
      <c r="C681" s="443"/>
      <c r="H681" s="443"/>
    </row>
    <row r="682">
      <c r="B682" s="443"/>
      <c r="C682" s="443"/>
      <c r="H682" s="443"/>
    </row>
    <row r="683">
      <c r="B683" s="443"/>
      <c r="C683" s="443"/>
      <c r="H683" s="443"/>
    </row>
    <row r="684">
      <c r="B684" s="443"/>
      <c r="C684" s="443"/>
      <c r="H684" s="443"/>
    </row>
    <row r="685">
      <c r="B685" s="443"/>
      <c r="C685" s="443"/>
      <c r="H685" s="443"/>
    </row>
    <row r="686">
      <c r="B686" s="443"/>
      <c r="C686" s="443"/>
      <c r="H686" s="443"/>
    </row>
    <row r="687">
      <c r="B687" s="443"/>
      <c r="C687" s="443"/>
      <c r="H687" s="443"/>
    </row>
    <row r="688">
      <c r="B688" s="443"/>
      <c r="C688" s="443"/>
      <c r="H688" s="443"/>
    </row>
    <row r="689">
      <c r="B689" s="443"/>
      <c r="C689" s="443"/>
      <c r="H689" s="443"/>
    </row>
    <row r="690">
      <c r="B690" s="443"/>
      <c r="C690" s="443"/>
      <c r="H690" s="443"/>
    </row>
    <row r="691">
      <c r="B691" s="443"/>
      <c r="C691" s="443"/>
      <c r="H691" s="443"/>
    </row>
    <row r="692">
      <c r="B692" s="443"/>
      <c r="C692" s="443"/>
      <c r="H692" s="443"/>
    </row>
    <row r="693">
      <c r="B693" s="443"/>
      <c r="C693" s="443"/>
      <c r="H693" s="443"/>
    </row>
    <row r="694">
      <c r="B694" s="443"/>
      <c r="C694" s="443"/>
      <c r="H694" s="443"/>
    </row>
    <row r="695">
      <c r="B695" s="443"/>
      <c r="C695" s="443"/>
      <c r="H695" s="443"/>
    </row>
    <row r="696">
      <c r="B696" s="443"/>
      <c r="C696" s="443"/>
      <c r="H696" s="443"/>
    </row>
    <row r="697">
      <c r="B697" s="443"/>
      <c r="C697" s="443"/>
      <c r="H697" s="443"/>
    </row>
    <row r="698">
      <c r="B698" s="443"/>
      <c r="C698" s="443"/>
      <c r="H698" s="443"/>
    </row>
    <row r="699">
      <c r="B699" s="443"/>
      <c r="C699" s="443"/>
      <c r="H699" s="443"/>
    </row>
    <row r="700">
      <c r="B700" s="443"/>
      <c r="C700" s="443"/>
      <c r="H700" s="443"/>
    </row>
    <row r="701">
      <c r="B701" s="443"/>
      <c r="C701" s="443"/>
      <c r="H701" s="443"/>
    </row>
    <row r="702">
      <c r="B702" s="443"/>
      <c r="C702" s="443"/>
      <c r="H702" s="443"/>
    </row>
    <row r="703">
      <c r="B703" s="443"/>
      <c r="C703" s="443"/>
      <c r="H703" s="443"/>
    </row>
    <row r="704">
      <c r="B704" s="443"/>
      <c r="C704" s="443"/>
      <c r="H704" s="443"/>
    </row>
    <row r="705">
      <c r="B705" s="443"/>
      <c r="C705" s="443"/>
      <c r="H705" s="443"/>
    </row>
    <row r="706">
      <c r="B706" s="443"/>
      <c r="C706" s="443"/>
      <c r="H706" s="443"/>
    </row>
    <row r="707">
      <c r="B707" s="443"/>
      <c r="C707" s="443"/>
      <c r="H707" s="443"/>
    </row>
    <row r="708">
      <c r="B708" s="443"/>
      <c r="C708" s="443"/>
      <c r="H708" s="443"/>
    </row>
    <row r="709">
      <c r="B709" s="443"/>
      <c r="C709" s="443"/>
      <c r="H709" s="443"/>
    </row>
    <row r="710">
      <c r="B710" s="443"/>
      <c r="C710" s="443"/>
      <c r="H710" s="443"/>
    </row>
    <row r="711">
      <c r="B711" s="443"/>
      <c r="C711" s="443"/>
      <c r="H711" s="443"/>
    </row>
    <row r="712">
      <c r="B712" s="443"/>
      <c r="C712" s="443"/>
      <c r="H712" s="443"/>
    </row>
    <row r="713">
      <c r="B713" s="443"/>
      <c r="C713" s="443"/>
      <c r="H713" s="443"/>
    </row>
    <row r="714">
      <c r="B714" s="443"/>
      <c r="C714" s="443"/>
      <c r="H714" s="443"/>
    </row>
    <row r="715">
      <c r="B715" s="443"/>
      <c r="C715" s="443"/>
      <c r="H715" s="443"/>
    </row>
    <row r="716">
      <c r="B716" s="443"/>
      <c r="C716" s="443"/>
      <c r="H716" s="443"/>
    </row>
    <row r="717">
      <c r="B717" s="443"/>
      <c r="C717" s="443"/>
      <c r="H717" s="443"/>
    </row>
    <row r="718">
      <c r="B718" s="443"/>
      <c r="C718" s="443"/>
      <c r="H718" s="443"/>
    </row>
    <row r="719">
      <c r="B719" s="443"/>
      <c r="C719" s="443"/>
      <c r="H719" s="443"/>
    </row>
    <row r="720">
      <c r="B720" s="443"/>
      <c r="C720" s="443"/>
      <c r="H720" s="443"/>
    </row>
    <row r="721">
      <c r="B721" s="443"/>
      <c r="C721" s="443"/>
      <c r="H721" s="443"/>
    </row>
    <row r="722">
      <c r="B722" s="443"/>
      <c r="C722" s="443"/>
      <c r="H722" s="443"/>
    </row>
    <row r="723">
      <c r="B723" s="443"/>
      <c r="C723" s="443"/>
      <c r="H723" s="443"/>
    </row>
    <row r="724">
      <c r="B724" s="443"/>
      <c r="C724" s="443"/>
      <c r="H724" s="443"/>
    </row>
    <row r="725">
      <c r="B725" s="443"/>
      <c r="C725" s="443"/>
      <c r="H725" s="443"/>
    </row>
    <row r="726">
      <c r="B726" s="443"/>
      <c r="C726" s="443"/>
      <c r="H726" s="443"/>
    </row>
    <row r="727">
      <c r="B727" s="443"/>
      <c r="C727" s="443"/>
      <c r="H727" s="443"/>
    </row>
    <row r="728">
      <c r="B728" s="443"/>
      <c r="C728" s="443"/>
      <c r="H728" s="443"/>
    </row>
    <row r="729">
      <c r="B729" s="443"/>
      <c r="C729" s="443"/>
      <c r="H729" s="443"/>
    </row>
    <row r="730">
      <c r="B730" s="443"/>
      <c r="C730" s="443"/>
      <c r="H730" s="443"/>
    </row>
    <row r="731">
      <c r="B731" s="443"/>
      <c r="C731" s="443"/>
      <c r="H731" s="443"/>
    </row>
    <row r="732">
      <c r="B732" s="443"/>
      <c r="C732" s="443"/>
      <c r="H732" s="443"/>
    </row>
    <row r="733">
      <c r="B733" s="443"/>
      <c r="C733" s="443"/>
      <c r="H733" s="443"/>
    </row>
    <row r="734">
      <c r="B734" s="443"/>
      <c r="C734" s="443"/>
      <c r="H734" s="443"/>
    </row>
    <row r="735">
      <c r="B735" s="443"/>
      <c r="C735" s="443"/>
      <c r="H735" s="443"/>
    </row>
    <row r="736">
      <c r="B736" s="443"/>
      <c r="C736" s="443"/>
      <c r="H736" s="443"/>
    </row>
    <row r="737">
      <c r="B737" s="443"/>
      <c r="C737" s="443"/>
      <c r="H737" s="443"/>
    </row>
    <row r="738">
      <c r="B738" s="443"/>
      <c r="C738" s="443"/>
      <c r="H738" s="443"/>
    </row>
    <row r="739">
      <c r="B739" s="443"/>
      <c r="C739" s="443"/>
      <c r="H739" s="443"/>
    </row>
    <row r="740">
      <c r="B740" s="443"/>
      <c r="C740" s="443"/>
      <c r="H740" s="443"/>
    </row>
    <row r="741">
      <c r="B741" s="443"/>
      <c r="C741" s="443"/>
      <c r="H741" s="443"/>
    </row>
    <row r="742">
      <c r="B742" s="443"/>
      <c r="C742" s="443"/>
      <c r="H742" s="443"/>
    </row>
    <row r="743">
      <c r="B743" s="443"/>
      <c r="C743" s="443"/>
      <c r="H743" s="443"/>
    </row>
    <row r="744">
      <c r="B744" s="443"/>
      <c r="C744" s="443"/>
      <c r="H744" s="443"/>
    </row>
    <row r="745">
      <c r="B745" s="443"/>
      <c r="C745" s="443"/>
      <c r="H745" s="443"/>
    </row>
    <row r="746">
      <c r="B746" s="443"/>
      <c r="C746" s="443"/>
      <c r="H746" s="443"/>
    </row>
    <row r="747">
      <c r="B747" s="443"/>
      <c r="C747" s="443"/>
      <c r="H747" s="443"/>
    </row>
    <row r="748">
      <c r="B748" s="443"/>
      <c r="C748" s="443"/>
      <c r="H748" s="443"/>
    </row>
    <row r="749">
      <c r="B749" s="443"/>
      <c r="C749" s="443"/>
      <c r="H749" s="443"/>
    </row>
    <row r="750">
      <c r="B750" s="443"/>
      <c r="C750" s="443"/>
      <c r="H750" s="443"/>
    </row>
    <row r="751">
      <c r="B751" s="443"/>
      <c r="C751" s="443"/>
      <c r="H751" s="443"/>
    </row>
    <row r="752">
      <c r="B752" s="443"/>
      <c r="C752" s="443"/>
      <c r="H752" s="443"/>
    </row>
    <row r="753">
      <c r="B753" s="443"/>
      <c r="C753" s="443"/>
      <c r="H753" s="443"/>
    </row>
    <row r="754">
      <c r="B754" s="443"/>
      <c r="C754" s="443"/>
      <c r="H754" s="443"/>
    </row>
    <row r="755">
      <c r="B755" s="443"/>
      <c r="C755" s="443"/>
      <c r="H755" s="443"/>
    </row>
    <row r="756">
      <c r="B756" s="443"/>
      <c r="C756" s="443"/>
      <c r="H756" s="443"/>
    </row>
    <row r="757">
      <c r="B757" s="443"/>
      <c r="C757" s="443"/>
      <c r="H757" s="443"/>
    </row>
    <row r="758">
      <c r="B758" s="443"/>
      <c r="C758" s="443"/>
      <c r="H758" s="443"/>
    </row>
    <row r="759">
      <c r="B759" s="443"/>
      <c r="C759" s="443"/>
      <c r="H759" s="443"/>
    </row>
    <row r="760">
      <c r="B760" s="443"/>
      <c r="C760" s="443"/>
      <c r="H760" s="443"/>
    </row>
    <row r="761">
      <c r="B761" s="443"/>
      <c r="C761" s="443"/>
      <c r="H761" s="443"/>
    </row>
    <row r="762">
      <c r="B762" s="443"/>
      <c r="C762" s="443"/>
      <c r="H762" s="443"/>
    </row>
    <row r="763">
      <c r="B763" s="443"/>
      <c r="C763" s="443"/>
      <c r="H763" s="443"/>
    </row>
    <row r="764">
      <c r="B764" s="443"/>
      <c r="C764" s="443"/>
      <c r="H764" s="443"/>
    </row>
    <row r="765">
      <c r="B765" s="443"/>
      <c r="C765" s="443"/>
      <c r="H765" s="443"/>
    </row>
    <row r="766">
      <c r="B766" s="443"/>
      <c r="C766" s="443"/>
      <c r="H766" s="443"/>
    </row>
    <row r="767">
      <c r="B767" s="443"/>
      <c r="C767" s="443"/>
      <c r="H767" s="443"/>
    </row>
    <row r="768">
      <c r="B768" s="443"/>
      <c r="C768" s="443"/>
      <c r="H768" s="443"/>
    </row>
    <row r="769">
      <c r="B769" s="443"/>
      <c r="C769" s="443"/>
      <c r="H769" s="443"/>
    </row>
    <row r="770">
      <c r="B770" s="443"/>
      <c r="C770" s="443"/>
      <c r="H770" s="443"/>
    </row>
    <row r="771">
      <c r="B771" s="443"/>
      <c r="C771" s="443"/>
      <c r="H771" s="443"/>
    </row>
    <row r="772">
      <c r="B772" s="443"/>
      <c r="C772" s="443"/>
      <c r="H772" s="443"/>
    </row>
    <row r="773">
      <c r="B773" s="443"/>
      <c r="C773" s="443"/>
      <c r="H773" s="443"/>
    </row>
    <row r="774">
      <c r="B774" s="443"/>
      <c r="C774" s="443"/>
      <c r="H774" s="443"/>
    </row>
    <row r="775">
      <c r="B775" s="443"/>
      <c r="C775" s="443"/>
      <c r="H775" s="443"/>
    </row>
    <row r="776">
      <c r="B776" s="443"/>
      <c r="C776" s="443"/>
      <c r="H776" s="443"/>
    </row>
    <row r="777">
      <c r="B777" s="443"/>
      <c r="C777" s="443"/>
      <c r="H777" s="443"/>
    </row>
    <row r="778">
      <c r="B778" s="443"/>
      <c r="C778" s="443"/>
      <c r="H778" s="443"/>
    </row>
    <row r="779">
      <c r="B779" s="443"/>
      <c r="C779" s="443"/>
      <c r="H779" s="443"/>
    </row>
    <row r="780">
      <c r="B780" s="443"/>
      <c r="C780" s="443"/>
      <c r="H780" s="443"/>
    </row>
    <row r="781">
      <c r="B781" s="443"/>
      <c r="C781" s="443"/>
      <c r="H781" s="443"/>
    </row>
    <row r="782">
      <c r="B782" s="443"/>
      <c r="C782" s="443"/>
      <c r="H782" s="443"/>
    </row>
    <row r="783">
      <c r="B783" s="443"/>
      <c r="C783" s="443"/>
      <c r="H783" s="443"/>
    </row>
    <row r="784">
      <c r="B784" s="443"/>
      <c r="C784" s="443"/>
      <c r="H784" s="443"/>
    </row>
    <row r="785">
      <c r="B785" s="443"/>
      <c r="C785" s="443"/>
      <c r="H785" s="443"/>
    </row>
    <row r="786">
      <c r="B786" s="443"/>
      <c r="C786" s="443"/>
      <c r="H786" s="443"/>
    </row>
    <row r="787">
      <c r="B787" s="443"/>
      <c r="C787" s="443"/>
      <c r="H787" s="443"/>
    </row>
    <row r="788">
      <c r="B788" s="443"/>
      <c r="C788" s="443"/>
      <c r="H788" s="443"/>
    </row>
    <row r="789">
      <c r="B789" s="443"/>
      <c r="C789" s="443"/>
      <c r="H789" s="443"/>
    </row>
    <row r="790">
      <c r="B790" s="443"/>
      <c r="C790" s="443"/>
      <c r="H790" s="443"/>
    </row>
    <row r="791">
      <c r="B791" s="443"/>
      <c r="C791" s="443"/>
      <c r="H791" s="443"/>
    </row>
    <row r="792">
      <c r="B792" s="443"/>
      <c r="C792" s="443"/>
      <c r="H792" s="443"/>
    </row>
    <row r="793">
      <c r="B793" s="443"/>
      <c r="C793" s="443"/>
      <c r="H793" s="443"/>
    </row>
    <row r="794">
      <c r="B794" s="443"/>
      <c r="C794" s="443"/>
      <c r="H794" s="443"/>
    </row>
    <row r="795">
      <c r="B795" s="443"/>
      <c r="C795" s="443"/>
      <c r="H795" s="443"/>
    </row>
    <row r="796">
      <c r="B796" s="443"/>
      <c r="C796" s="443"/>
      <c r="H796" s="443"/>
    </row>
    <row r="797">
      <c r="B797" s="443"/>
      <c r="C797" s="443"/>
      <c r="H797" s="443"/>
    </row>
    <row r="798">
      <c r="B798" s="443"/>
      <c r="C798" s="443"/>
      <c r="H798" s="443"/>
    </row>
    <row r="799">
      <c r="B799" s="443"/>
      <c r="C799" s="443"/>
      <c r="H799" s="443"/>
    </row>
    <row r="800">
      <c r="B800" s="443"/>
      <c r="C800" s="443"/>
      <c r="H800" s="443"/>
    </row>
    <row r="801">
      <c r="B801" s="443"/>
      <c r="C801" s="443"/>
      <c r="H801" s="443"/>
    </row>
    <row r="802">
      <c r="B802" s="443"/>
      <c r="C802" s="443"/>
      <c r="H802" s="443"/>
    </row>
    <row r="803">
      <c r="B803" s="443"/>
      <c r="C803" s="443"/>
      <c r="H803" s="443"/>
    </row>
    <row r="804">
      <c r="B804" s="443"/>
      <c r="C804" s="443"/>
      <c r="H804" s="443"/>
    </row>
    <row r="805">
      <c r="B805" s="443"/>
      <c r="C805" s="443"/>
      <c r="H805" s="443"/>
    </row>
    <row r="806">
      <c r="B806" s="443"/>
      <c r="C806" s="443"/>
      <c r="H806" s="443"/>
    </row>
    <row r="807">
      <c r="B807" s="443"/>
      <c r="C807" s="443"/>
      <c r="H807" s="443"/>
    </row>
    <row r="808">
      <c r="B808" s="443"/>
      <c r="C808" s="443"/>
      <c r="H808" s="443"/>
    </row>
    <row r="809">
      <c r="B809" s="443"/>
      <c r="C809" s="443"/>
      <c r="H809" s="443"/>
    </row>
    <row r="810">
      <c r="B810" s="443"/>
      <c r="C810" s="443"/>
      <c r="H810" s="443"/>
    </row>
    <row r="811">
      <c r="B811" s="443"/>
      <c r="C811" s="443"/>
      <c r="H811" s="443"/>
    </row>
    <row r="812">
      <c r="B812" s="443"/>
      <c r="C812" s="443"/>
      <c r="H812" s="443"/>
    </row>
    <row r="813">
      <c r="B813" s="443"/>
      <c r="C813" s="443"/>
      <c r="H813" s="443"/>
    </row>
    <row r="814">
      <c r="B814" s="443"/>
      <c r="C814" s="443"/>
      <c r="H814" s="443"/>
    </row>
    <row r="815">
      <c r="B815" s="443"/>
      <c r="C815" s="443"/>
      <c r="H815" s="443"/>
    </row>
    <row r="816">
      <c r="B816" s="443"/>
      <c r="C816" s="443"/>
      <c r="H816" s="443"/>
    </row>
    <row r="817">
      <c r="B817" s="443"/>
      <c r="C817" s="443"/>
      <c r="H817" s="443"/>
    </row>
    <row r="818">
      <c r="B818" s="443"/>
      <c r="C818" s="443"/>
      <c r="H818" s="443"/>
    </row>
    <row r="819">
      <c r="B819" s="443"/>
      <c r="C819" s="443"/>
      <c r="H819" s="443"/>
    </row>
    <row r="820">
      <c r="B820" s="443"/>
      <c r="C820" s="443"/>
      <c r="H820" s="443"/>
    </row>
    <row r="821">
      <c r="B821" s="443"/>
      <c r="C821" s="443"/>
      <c r="H821" s="443"/>
    </row>
    <row r="822">
      <c r="B822" s="443"/>
      <c r="C822" s="443"/>
      <c r="H822" s="443"/>
    </row>
    <row r="823">
      <c r="B823" s="443"/>
      <c r="C823" s="443"/>
      <c r="H823" s="443"/>
    </row>
    <row r="824">
      <c r="B824" s="443"/>
      <c r="C824" s="443"/>
      <c r="H824" s="443"/>
    </row>
    <row r="825">
      <c r="B825" s="443"/>
      <c r="C825" s="443"/>
      <c r="H825" s="443"/>
    </row>
    <row r="826">
      <c r="B826" s="443"/>
      <c r="C826" s="443"/>
      <c r="H826" s="443"/>
    </row>
    <row r="827">
      <c r="B827" s="443"/>
      <c r="C827" s="443"/>
      <c r="H827" s="443"/>
    </row>
    <row r="828">
      <c r="B828" s="443"/>
      <c r="C828" s="443"/>
      <c r="H828" s="443"/>
    </row>
    <row r="829">
      <c r="B829" s="443"/>
      <c r="C829" s="443"/>
      <c r="H829" s="443"/>
    </row>
    <row r="830">
      <c r="B830" s="443"/>
      <c r="C830" s="443"/>
      <c r="H830" s="443"/>
    </row>
    <row r="831">
      <c r="B831" s="443"/>
      <c r="C831" s="443"/>
      <c r="H831" s="443"/>
    </row>
    <row r="832">
      <c r="B832" s="443"/>
      <c r="C832" s="443"/>
      <c r="H832" s="443"/>
    </row>
    <row r="833">
      <c r="B833" s="443"/>
      <c r="C833" s="443"/>
      <c r="H833" s="443"/>
    </row>
    <row r="834">
      <c r="B834" s="443"/>
      <c r="C834" s="443"/>
      <c r="H834" s="443"/>
    </row>
    <row r="835">
      <c r="B835" s="443"/>
      <c r="C835" s="443"/>
      <c r="H835" s="443"/>
    </row>
    <row r="836">
      <c r="B836" s="443"/>
      <c r="C836" s="443"/>
      <c r="H836" s="443"/>
    </row>
    <row r="837">
      <c r="B837" s="443"/>
      <c r="C837" s="443"/>
      <c r="H837" s="443"/>
    </row>
    <row r="838">
      <c r="B838" s="443"/>
      <c r="C838" s="443"/>
      <c r="H838" s="443"/>
    </row>
    <row r="839">
      <c r="B839" s="443"/>
      <c r="C839" s="443"/>
      <c r="H839" s="443"/>
    </row>
    <row r="840">
      <c r="B840" s="443"/>
      <c r="C840" s="443"/>
      <c r="H840" s="443"/>
    </row>
    <row r="841">
      <c r="B841" s="443"/>
      <c r="C841" s="443"/>
      <c r="H841" s="443"/>
    </row>
    <row r="842">
      <c r="B842" s="443"/>
      <c r="C842" s="443"/>
      <c r="H842" s="443"/>
    </row>
    <row r="843">
      <c r="B843" s="443"/>
      <c r="C843" s="443"/>
      <c r="H843" s="443"/>
    </row>
    <row r="844">
      <c r="B844" s="443"/>
      <c r="C844" s="443"/>
      <c r="H844" s="443"/>
    </row>
    <row r="845">
      <c r="B845" s="443"/>
      <c r="C845" s="443"/>
      <c r="H845" s="443"/>
    </row>
    <row r="846">
      <c r="B846" s="443"/>
      <c r="C846" s="443"/>
      <c r="H846" s="443"/>
    </row>
    <row r="847">
      <c r="B847" s="443"/>
      <c r="C847" s="443"/>
      <c r="H847" s="443"/>
    </row>
    <row r="848">
      <c r="B848" s="443"/>
      <c r="C848" s="443"/>
      <c r="H848" s="443"/>
    </row>
    <row r="849">
      <c r="B849" s="443"/>
      <c r="C849" s="443"/>
      <c r="H849" s="443"/>
    </row>
    <row r="850">
      <c r="B850" s="443"/>
      <c r="C850" s="443"/>
      <c r="H850" s="443"/>
    </row>
    <row r="851">
      <c r="B851" s="443"/>
      <c r="C851" s="443"/>
      <c r="H851" s="443"/>
    </row>
    <row r="852">
      <c r="B852" s="443"/>
      <c r="C852" s="443"/>
      <c r="H852" s="443"/>
    </row>
    <row r="853">
      <c r="B853" s="443"/>
      <c r="C853" s="443"/>
      <c r="H853" s="443"/>
    </row>
    <row r="854">
      <c r="B854" s="443"/>
      <c r="C854" s="443"/>
      <c r="H854" s="443"/>
    </row>
    <row r="855">
      <c r="B855" s="443"/>
      <c r="C855" s="443"/>
      <c r="H855" s="443"/>
    </row>
    <row r="856">
      <c r="B856" s="443"/>
      <c r="C856" s="443"/>
      <c r="H856" s="443"/>
    </row>
    <row r="857">
      <c r="B857" s="443"/>
      <c r="C857" s="443"/>
      <c r="H857" s="443"/>
    </row>
    <row r="858">
      <c r="B858" s="443"/>
      <c r="C858" s="443"/>
      <c r="H858" s="443"/>
    </row>
    <row r="859">
      <c r="B859" s="443"/>
      <c r="C859" s="443"/>
      <c r="H859" s="443"/>
    </row>
    <row r="860">
      <c r="B860" s="443"/>
      <c r="C860" s="443"/>
      <c r="H860" s="443"/>
    </row>
    <row r="861">
      <c r="B861" s="443"/>
      <c r="C861" s="443"/>
      <c r="H861" s="443"/>
    </row>
    <row r="862">
      <c r="B862" s="443"/>
      <c r="C862" s="443"/>
      <c r="H862" s="443"/>
    </row>
    <row r="863">
      <c r="B863" s="443"/>
      <c r="C863" s="443"/>
      <c r="H863" s="443"/>
    </row>
    <row r="864">
      <c r="B864" s="443"/>
      <c r="C864" s="443"/>
      <c r="H864" s="443"/>
    </row>
    <row r="865">
      <c r="B865" s="443"/>
      <c r="C865" s="443"/>
      <c r="H865" s="443"/>
    </row>
    <row r="866">
      <c r="B866" s="443"/>
      <c r="C866" s="443"/>
      <c r="H866" s="443"/>
    </row>
    <row r="867">
      <c r="B867" s="443"/>
      <c r="C867" s="443"/>
      <c r="H867" s="443"/>
    </row>
    <row r="868">
      <c r="B868" s="443"/>
      <c r="C868" s="443"/>
      <c r="H868" s="443"/>
    </row>
    <row r="869">
      <c r="B869" s="443"/>
      <c r="C869" s="443"/>
      <c r="H869" s="443"/>
    </row>
    <row r="870">
      <c r="B870" s="443"/>
      <c r="C870" s="443"/>
      <c r="H870" s="443"/>
    </row>
    <row r="871">
      <c r="B871" s="443"/>
      <c r="C871" s="443"/>
      <c r="H871" s="443"/>
    </row>
    <row r="872">
      <c r="B872" s="443"/>
      <c r="C872" s="443"/>
      <c r="H872" s="443"/>
    </row>
    <row r="873">
      <c r="B873" s="443"/>
      <c r="C873" s="443"/>
      <c r="H873" s="443"/>
    </row>
    <row r="874">
      <c r="B874" s="443"/>
      <c r="C874" s="443"/>
      <c r="H874" s="443"/>
    </row>
    <row r="875">
      <c r="B875" s="443"/>
      <c r="C875" s="443"/>
      <c r="H875" s="443"/>
    </row>
    <row r="876">
      <c r="B876" s="443"/>
      <c r="C876" s="443"/>
      <c r="H876" s="443"/>
    </row>
    <row r="877">
      <c r="B877" s="443"/>
      <c r="C877" s="443"/>
      <c r="H877" s="443"/>
    </row>
    <row r="878">
      <c r="B878" s="443"/>
      <c r="C878" s="443"/>
      <c r="H878" s="443"/>
    </row>
    <row r="879">
      <c r="B879" s="443"/>
      <c r="C879" s="443"/>
      <c r="H879" s="443"/>
    </row>
    <row r="880">
      <c r="B880" s="443"/>
      <c r="C880" s="443"/>
      <c r="H880" s="443"/>
    </row>
    <row r="881">
      <c r="B881" s="443"/>
      <c r="C881" s="443"/>
      <c r="H881" s="443"/>
    </row>
    <row r="882">
      <c r="B882" s="443"/>
      <c r="C882" s="443"/>
      <c r="H882" s="443"/>
    </row>
    <row r="883">
      <c r="B883" s="443"/>
      <c r="C883" s="443"/>
      <c r="H883" s="443"/>
    </row>
    <row r="884">
      <c r="B884" s="443"/>
      <c r="C884" s="443"/>
      <c r="H884" s="443"/>
    </row>
    <row r="885">
      <c r="B885" s="443"/>
      <c r="C885" s="443"/>
      <c r="H885" s="443"/>
    </row>
    <row r="886">
      <c r="B886" s="443"/>
      <c r="C886" s="443"/>
      <c r="H886" s="443"/>
    </row>
    <row r="887">
      <c r="B887" s="443"/>
      <c r="C887" s="443"/>
      <c r="H887" s="443"/>
    </row>
    <row r="888">
      <c r="B888" s="443"/>
      <c r="C888" s="443"/>
      <c r="H888" s="443"/>
    </row>
    <row r="889">
      <c r="B889" s="443"/>
      <c r="C889" s="443"/>
      <c r="H889" s="443"/>
    </row>
    <row r="890">
      <c r="B890" s="443"/>
      <c r="C890" s="443"/>
      <c r="H890" s="443"/>
    </row>
    <row r="891">
      <c r="B891" s="443"/>
      <c r="C891" s="443"/>
      <c r="H891" s="443"/>
    </row>
    <row r="892">
      <c r="B892" s="443"/>
      <c r="C892" s="443"/>
      <c r="H892" s="443"/>
    </row>
    <row r="893">
      <c r="B893" s="443"/>
      <c r="C893" s="443"/>
      <c r="H893" s="443"/>
    </row>
    <row r="894">
      <c r="B894" s="443"/>
      <c r="C894" s="443"/>
      <c r="H894" s="443"/>
    </row>
    <row r="895">
      <c r="B895" s="443"/>
      <c r="C895" s="443"/>
      <c r="H895" s="443"/>
    </row>
    <row r="896">
      <c r="B896" s="443"/>
      <c r="C896" s="443"/>
      <c r="H896" s="443"/>
    </row>
    <row r="897">
      <c r="B897" s="443"/>
      <c r="C897" s="443"/>
      <c r="H897" s="443"/>
    </row>
    <row r="898">
      <c r="B898" s="443"/>
      <c r="C898" s="443"/>
      <c r="H898" s="443"/>
    </row>
    <row r="899">
      <c r="B899" s="443"/>
      <c r="C899" s="443"/>
      <c r="H899" s="443"/>
    </row>
    <row r="900">
      <c r="B900" s="443"/>
      <c r="C900" s="443"/>
      <c r="H900" s="443"/>
    </row>
    <row r="901">
      <c r="B901" s="443"/>
      <c r="C901" s="443"/>
      <c r="H901" s="443"/>
    </row>
    <row r="902">
      <c r="B902" s="443"/>
      <c r="C902" s="443"/>
      <c r="H902" s="443"/>
    </row>
    <row r="903">
      <c r="B903" s="443"/>
      <c r="C903" s="443"/>
      <c r="H903" s="443"/>
    </row>
    <row r="904">
      <c r="B904" s="443"/>
      <c r="C904" s="443"/>
      <c r="H904" s="443"/>
    </row>
    <row r="905">
      <c r="B905" s="443"/>
      <c r="C905" s="443"/>
      <c r="H905" s="443"/>
    </row>
    <row r="906">
      <c r="B906" s="443"/>
      <c r="C906" s="443"/>
      <c r="H906" s="443"/>
    </row>
    <row r="907">
      <c r="B907" s="443"/>
      <c r="C907" s="443"/>
      <c r="H907" s="443"/>
    </row>
    <row r="908">
      <c r="B908" s="443"/>
      <c r="C908" s="443"/>
      <c r="H908" s="443"/>
    </row>
    <row r="909">
      <c r="B909" s="443"/>
      <c r="C909" s="443"/>
      <c r="H909" s="443"/>
    </row>
    <row r="910">
      <c r="B910" s="443"/>
      <c r="C910" s="443"/>
      <c r="H910" s="443"/>
    </row>
    <row r="911">
      <c r="B911" s="443"/>
      <c r="C911" s="443"/>
      <c r="H911" s="443"/>
    </row>
    <row r="912">
      <c r="B912" s="443"/>
      <c r="C912" s="443"/>
      <c r="H912" s="443"/>
    </row>
    <row r="913">
      <c r="B913" s="443"/>
      <c r="C913" s="443"/>
      <c r="H913" s="443"/>
    </row>
    <row r="914">
      <c r="B914" s="443"/>
      <c r="C914" s="443"/>
      <c r="H914" s="443"/>
    </row>
    <row r="915">
      <c r="B915" s="443"/>
      <c r="C915" s="443"/>
      <c r="H915" s="443"/>
    </row>
    <row r="916">
      <c r="B916" s="443"/>
      <c r="C916" s="443"/>
      <c r="H916" s="443"/>
    </row>
    <row r="917">
      <c r="B917" s="443"/>
      <c r="C917" s="443"/>
      <c r="H917" s="443"/>
    </row>
    <row r="918">
      <c r="B918" s="443"/>
      <c r="C918" s="443"/>
      <c r="H918" s="443"/>
    </row>
    <row r="919">
      <c r="B919" s="443"/>
      <c r="C919" s="443"/>
      <c r="H919" s="443"/>
    </row>
    <row r="920">
      <c r="B920" s="443"/>
      <c r="C920" s="443"/>
      <c r="H920" s="443"/>
    </row>
    <row r="921">
      <c r="B921" s="443"/>
      <c r="C921" s="443"/>
      <c r="H921" s="443"/>
    </row>
    <row r="922">
      <c r="B922" s="443"/>
      <c r="C922" s="443"/>
      <c r="H922" s="443"/>
    </row>
    <row r="923">
      <c r="B923" s="443"/>
      <c r="C923" s="443"/>
      <c r="H923" s="443"/>
    </row>
    <row r="924">
      <c r="B924" s="443"/>
      <c r="C924" s="443"/>
      <c r="H924" s="443"/>
    </row>
    <row r="925">
      <c r="B925" s="443"/>
      <c r="C925" s="443"/>
      <c r="H925" s="443"/>
    </row>
    <row r="926">
      <c r="B926" s="443"/>
      <c r="C926" s="443"/>
      <c r="H926" s="443"/>
    </row>
    <row r="927">
      <c r="B927" s="443"/>
      <c r="C927" s="443"/>
      <c r="H927" s="443"/>
    </row>
    <row r="928">
      <c r="B928" s="443"/>
      <c r="C928" s="443"/>
      <c r="H928" s="443"/>
    </row>
    <row r="929">
      <c r="B929" s="443"/>
      <c r="C929" s="443"/>
      <c r="H929" s="443"/>
    </row>
    <row r="930">
      <c r="B930" s="443"/>
      <c r="C930" s="443"/>
      <c r="H930" s="443"/>
    </row>
    <row r="931">
      <c r="B931" s="443"/>
      <c r="C931" s="443"/>
      <c r="H931" s="443"/>
    </row>
    <row r="932">
      <c r="B932" s="443"/>
      <c r="C932" s="443"/>
      <c r="H932" s="443"/>
    </row>
    <row r="933">
      <c r="B933" s="443"/>
      <c r="C933" s="443"/>
      <c r="H933" s="443"/>
    </row>
    <row r="934">
      <c r="B934" s="443"/>
      <c r="C934" s="443"/>
      <c r="H934" s="443"/>
    </row>
    <row r="935">
      <c r="B935" s="443"/>
      <c r="C935" s="443"/>
      <c r="H935" s="443"/>
    </row>
    <row r="936">
      <c r="B936" s="443"/>
      <c r="C936" s="443"/>
      <c r="H936" s="443"/>
    </row>
    <row r="937">
      <c r="B937" s="443"/>
      <c r="C937" s="443"/>
      <c r="H937" s="443"/>
    </row>
    <row r="938">
      <c r="B938" s="443"/>
      <c r="C938" s="443"/>
      <c r="H938" s="443"/>
    </row>
    <row r="939">
      <c r="B939" s="443"/>
      <c r="C939" s="443"/>
      <c r="H939" s="443"/>
    </row>
    <row r="940">
      <c r="B940" s="443"/>
      <c r="C940" s="443"/>
      <c r="H940" s="443"/>
    </row>
    <row r="941">
      <c r="B941" s="443"/>
      <c r="C941" s="443"/>
      <c r="H941" s="443"/>
    </row>
    <row r="942">
      <c r="B942" s="443"/>
      <c r="C942" s="443"/>
      <c r="H942" s="443"/>
    </row>
    <row r="943">
      <c r="B943" s="443"/>
      <c r="C943" s="443"/>
      <c r="H943" s="443"/>
    </row>
    <row r="944">
      <c r="B944" s="443"/>
      <c r="C944" s="443"/>
      <c r="H944" s="443"/>
    </row>
    <row r="945">
      <c r="B945" s="443"/>
      <c r="C945" s="443"/>
      <c r="H945" s="443"/>
    </row>
    <row r="946">
      <c r="B946" s="443"/>
      <c r="C946" s="443"/>
      <c r="H946" s="443"/>
    </row>
    <row r="947">
      <c r="B947" s="443"/>
      <c r="C947" s="443"/>
      <c r="H947" s="443"/>
    </row>
    <row r="948">
      <c r="B948" s="443"/>
      <c r="C948" s="443"/>
      <c r="H948" s="443"/>
    </row>
    <row r="949">
      <c r="B949" s="443"/>
      <c r="C949" s="443"/>
      <c r="H949" s="443"/>
    </row>
    <row r="950">
      <c r="B950" s="443"/>
      <c r="C950" s="443"/>
      <c r="H950" s="443"/>
    </row>
    <row r="951">
      <c r="B951" s="443"/>
      <c r="C951" s="443"/>
      <c r="H951" s="443"/>
    </row>
    <row r="952">
      <c r="B952" s="443"/>
      <c r="C952" s="443"/>
      <c r="H952" s="443"/>
    </row>
    <row r="953">
      <c r="B953" s="443"/>
      <c r="C953" s="443"/>
      <c r="H953" s="443"/>
    </row>
    <row r="954">
      <c r="B954" s="443"/>
      <c r="C954" s="443"/>
      <c r="H954" s="443"/>
    </row>
    <row r="955">
      <c r="B955" s="443"/>
      <c r="C955" s="443"/>
      <c r="H955" s="443"/>
    </row>
    <row r="956">
      <c r="B956" s="443"/>
      <c r="C956" s="443"/>
      <c r="H956" s="443"/>
    </row>
    <row r="957">
      <c r="B957" s="443"/>
      <c r="C957" s="443"/>
      <c r="H957" s="443"/>
    </row>
    <row r="958">
      <c r="B958" s="443"/>
      <c r="C958" s="443"/>
      <c r="H958" s="443"/>
    </row>
    <row r="959">
      <c r="B959" s="443"/>
      <c r="C959" s="443"/>
      <c r="H959" s="443"/>
    </row>
    <row r="960">
      <c r="B960" s="443"/>
      <c r="C960" s="443"/>
      <c r="H960" s="443"/>
    </row>
    <row r="961">
      <c r="B961" s="443"/>
      <c r="C961" s="443"/>
      <c r="H961" s="443"/>
    </row>
    <row r="962">
      <c r="B962" s="443"/>
      <c r="C962" s="443"/>
      <c r="H962" s="443"/>
    </row>
    <row r="963">
      <c r="B963" s="443"/>
      <c r="C963" s="443"/>
      <c r="H963" s="443"/>
    </row>
    <row r="964">
      <c r="B964" s="443"/>
      <c r="C964" s="443"/>
      <c r="H964" s="443"/>
    </row>
    <row r="965">
      <c r="B965" s="443"/>
      <c r="C965" s="443"/>
      <c r="H965" s="443"/>
    </row>
    <row r="966">
      <c r="B966" s="443"/>
      <c r="C966" s="443"/>
      <c r="H966" s="443"/>
    </row>
    <row r="967">
      <c r="B967" s="443"/>
      <c r="C967" s="443"/>
      <c r="H967" s="443"/>
    </row>
    <row r="968">
      <c r="B968" s="443"/>
      <c r="C968" s="443"/>
      <c r="H968" s="443"/>
    </row>
    <row r="969">
      <c r="B969" s="443"/>
      <c r="C969" s="443"/>
      <c r="H969" s="443"/>
    </row>
    <row r="970">
      <c r="B970" s="443"/>
      <c r="C970" s="443"/>
      <c r="H970" s="443"/>
    </row>
    <row r="971">
      <c r="B971" s="443"/>
      <c r="C971" s="443"/>
      <c r="H971" s="443"/>
    </row>
    <row r="972">
      <c r="B972" s="443"/>
      <c r="C972" s="443"/>
      <c r="H972" s="443"/>
    </row>
    <row r="973">
      <c r="B973" s="443"/>
      <c r="C973" s="443"/>
      <c r="H973" s="443"/>
    </row>
    <row r="974">
      <c r="B974" s="443"/>
      <c r="C974" s="443"/>
      <c r="H974" s="443"/>
    </row>
    <row r="975">
      <c r="B975" s="443"/>
      <c r="C975" s="443"/>
      <c r="H975" s="443"/>
    </row>
    <row r="976">
      <c r="B976" s="443"/>
      <c r="C976" s="443"/>
      <c r="H976" s="443"/>
    </row>
    <row r="977">
      <c r="B977" s="443"/>
      <c r="C977" s="443"/>
      <c r="H977" s="443"/>
    </row>
    <row r="978">
      <c r="B978" s="443"/>
      <c r="C978" s="443"/>
      <c r="H978" s="443"/>
    </row>
    <row r="979">
      <c r="B979" s="443"/>
      <c r="C979" s="443"/>
      <c r="H979" s="443"/>
    </row>
    <row r="980">
      <c r="B980" s="443"/>
      <c r="C980" s="443"/>
      <c r="H980" s="443"/>
    </row>
    <row r="981">
      <c r="B981" s="443"/>
      <c r="C981" s="443"/>
      <c r="H981" s="443"/>
    </row>
    <row r="982">
      <c r="B982" s="443"/>
      <c r="C982" s="443"/>
      <c r="H982" s="443"/>
    </row>
    <row r="983">
      <c r="B983" s="443"/>
      <c r="C983" s="443"/>
      <c r="H983" s="443"/>
    </row>
    <row r="984">
      <c r="B984" s="443"/>
      <c r="C984" s="443"/>
      <c r="H984" s="443"/>
    </row>
    <row r="985">
      <c r="B985" s="443"/>
      <c r="C985" s="443"/>
      <c r="H985" s="443"/>
    </row>
    <row r="986">
      <c r="B986" s="443"/>
      <c r="C986" s="443"/>
      <c r="H986" s="443"/>
    </row>
    <row r="987">
      <c r="B987" s="443"/>
      <c r="C987" s="443"/>
      <c r="H987" s="443"/>
    </row>
    <row r="988">
      <c r="B988" s="443"/>
      <c r="C988" s="443"/>
      <c r="H988" s="443"/>
    </row>
    <row r="989">
      <c r="B989" s="443"/>
      <c r="C989" s="443"/>
      <c r="H989" s="443"/>
    </row>
    <row r="990">
      <c r="B990" s="443"/>
      <c r="C990" s="443"/>
      <c r="H990" s="443"/>
    </row>
    <row r="991">
      <c r="B991" s="443"/>
      <c r="C991" s="443"/>
      <c r="H991" s="443"/>
    </row>
    <row r="992">
      <c r="B992" s="443"/>
      <c r="C992" s="443"/>
      <c r="H992" s="443"/>
    </row>
    <row r="993">
      <c r="B993" s="443"/>
      <c r="C993" s="443"/>
      <c r="H993" s="443"/>
    </row>
    <row r="994">
      <c r="B994" s="443"/>
      <c r="C994" s="443"/>
      <c r="H994" s="443"/>
    </row>
    <row r="995">
      <c r="B995" s="443"/>
      <c r="C995" s="443"/>
      <c r="H995" s="443"/>
    </row>
    <row r="996">
      <c r="B996" s="443"/>
      <c r="C996" s="443"/>
      <c r="H996" s="443"/>
    </row>
    <row r="997">
      <c r="B997" s="443"/>
      <c r="C997" s="443"/>
      <c r="H997" s="443"/>
    </row>
    <row r="998">
      <c r="B998" s="443"/>
      <c r="C998" s="443"/>
      <c r="H998" s="443"/>
    </row>
  </sheetData>
  <hyperlinks>
    <hyperlink r:id="rId1" ref="B64"/>
    <hyperlink r:id="rId2" ref="B65"/>
    <hyperlink r:id="rId3" ref="B66"/>
    <hyperlink r:id="rId4" ref="C66"/>
    <hyperlink r:id="rId5" ref="B67"/>
    <hyperlink r:id="rId6" ref="C67"/>
    <hyperlink r:id="rId7" ref="C68"/>
    <hyperlink r:id="rId8" ref="C81"/>
    <hyperlink r:id="rId9" ref="B91"/>
    <hyperlink r:id="rId10" ref="C91"/>
    <hyperlink r:id="rId11" ref="B92"/>
    <hyperlink r:id="rId12" ref="C92"/>
    <hyperlink r:id="rId13" ref="B96"/>
    <hyperlink r:id="rId14" ref="C96"/>
    <hyperlink r:id="rId15" ref="B97"/>
    <hyperlink r:id="rId16" ref="C97"/>
    <hyperlink r:id="rId17" ref="C156"/>
    <hyperlink r:id="rId18" ref="C162"/>
    <hyperlink r:id="rId19" ref="C284"/>
    <hyperlink r:id="rId20" ref="C286"/>
    <hyperlink r:id="rId21" ref="C287"/>
  </hyperlinks>
  <drawing r:id="rId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57"/>
    <col customWidth="1" min="2" max="2" width="13.14"/>
    <col customWidth="1" min="3" max="3" width="15.43"/>
    <col customWidth="1" min="4" max="4" width="28.86"/>
    <col customWidth="1" min="5" max="5" width="50.0"/>
    <col customWidth="1" min="6" max="6" width="0.57"/>
    <col customWidth="1" min="7" max="7" width="14.43"/>
    <col customWidth="1" min="8" max="8" width="23.86"/>
    <col customWidth="1" min="9" max="9" width="29.0"/>
    <col customWidth="1" min="10" max="10" width="16.14"/>
  </cols>
  <sheetData>
    <row r="1">
      <c r="A1" s="617"/>
      <c r="B1" s="617"/>
      <c r="C1" s="617"/>
      <c r="D1" s="617"/>
      <c r="E1" s="617"/>
    </row>
    <row r="2">
      <c r="A2" s="618"/>
      <c r="B2" s="618" t="s">
        <v>7289</v>
      </c>
      <c r="C2" s="619" t="s">
        <v>0</v>
      </c>
      <c r="D2" s="620" t="s">
        <v>3571</v>
      </c>
      <c r="E2" s="621" t="s">
        <v>6129</v>
      </c>
      <c r="G2" s="618" t="s">
        <v>7290</v>
      </c>
      <c r="H2" s="619" t="s">
        <v>0</v>
      </c>
      <c r="I2" s="620" t="s">
        <v>3571</v>
      </c>
      <c r="J2" s="621" t="s">
        <v>6129</v>
      </c>
    </row>
    <row r="3">
      <c r="A3" s="39"/>
      <c r="B3" s="39"/>
      <c r="C3" s="39" t="s">
        <v>7291</v>
      </c>
      <c r="D3" s="39" t="s">
        <v>7292</v>
      </c>
      <c r="E3" s="39" t="s">
        <v>7293</v>
      </c>
      <c r="H3" s="39" t="s">
        <v>7294</v>
      </c>
      <c r="I3" s="39" t="s">
        <v>7060</v>
      </c>
      <c r="J3" s="39" t="s">
        <v>7295</v>
      </c>
    </row>
    <row r="4">
      <c r="C4" s="39" t="s">
        <v>7296</v>
      </c>
      <c r="D4" s="39" t="s">
        <v>7297</v>
      </c>
      <c r="E4" s="39" t="s">
        <v>7298</v>
      </c>
      <c r="H4" s="39" t="s">
        <v>4231</v>
      </c>
      <c r="I4" s="39" t="s">
        <v>7299</v>
      </c>
      <c r="J4" s="622" t="s">
        <v>7300</v>
      </c>
    </row>
    <row r="5">
      <c r="C5" s="39" t="s">
        <v>7301</v>
      </c>
      <c r="D5" s="39" t="s">
        <v>7302</v>
      </c>
      <c r="E5" s="39" t="s">
        <v>7303</v>
      </c>
      <c r="H5" s="39" t="s">
        <v>4052</v>
      </c>
      <c r="I5" s="39" t="s">
        <v>7304</v>
      </c>
      <c r="J5" s="39" t="s">
        <v>7305</v>
      </c>
    </row>
    <row r="6">
      <c r="C6" s="39" t="s">
        <v>7306</v>
      </c>
      <c r="D6" s="39" t="s">
        <v>7307</v>
      </c>
      <c r="E6" s="39" t="s">
        <v>7308</v>
      </c>
      <c r="H6" s="623" t="s">
        <v>7309</v>
      </c>
      <c r="I6" s="39" t="s">
        <v>7310</v>
      </c>
      <c r="J6" s="39" t="s">
        <v>7311</v>
      </c>
    </row>
    <row r="7">
      <c r="C7" s="39" t="s">
        <v>7312</v>
      </c>
      <c r="D7" s="39" t="s">
        <v>7313</v>
      </c>
      <c r="E7" s="39" t="s">
        <v>7314</v>
      </c>
      <c r="H7" s="623" t="s">
        <v>7315</v>
      </c>
      <c r="I7" s="39" t="s">
        <v>4036</v>
      </c>
      <c r="J7" s="39" t="s">
        <v>7316</v>
      </c>
    </row>
    <row r="8">
      <c r="C8" s="39" t="s">
        <v>4057</v>
      </c>
      <c r="D8" s="39" t="s">
        <v>7317</v>
      </c>
      <c r="E8" s="39" t="s">
        <v>7318</v>
      </c>
      <c r="H8" s="39" t="s">
        <v>7319</v>
      </c>
      <c r="I8" s="39" t="s">
        <v>7320</v>
      </c>
      <c r="J8" s="39" t="s">
        <v>7321</v>
      </c>
    </row>
    <row r="9">
      <c r="C9" s="39" t="s">
        <v>7322</v>
      </c>
      <c r="D9" s="39" t="s">
        <v>7323</v>
      </c>
      <c r="E9" s="39" t="s">
        <v>7324</v>
      </c>
    </row>
    <row r="10">
      <c r="C10" s="39" t="s">
        <v>7325</v>
      </c>
      <c r="D10" s="39" t="s">
        <v>7326</v>
      </c>
      <c r="E10" s="39" t="s">
        <v>7327</v>
      </c>
      <c r="F10" s="624"/>
      <c r="H10" s="39" t="s">
        <v>7328</v>
      </c>
      <c r="I10" s="39" t="s">
        <v>7329</v>
      </c>
      <c r="J10" s="39" t="s">
        <v>7330</v>
      </c>
    </row>
    <row r="11">
      <c r="C11" s="39" t="s">
        <v>7331</v>
      </c>
      <c r="D11" s="39" t="s">
        <v>7332</v>
      </c>
      <c r="E11" s="39" t="s">
        <v>7333</v>
      </c>
      <c r="H11" s="39" t="s">
        <v>7334</v>
      </c>
      <c r="I11" s="39" t="s">
        <v>7335</v>
      </c>
      <c r="J11" s="39" t="s">
        <v>7336</v>
      </c>
    </row>
    <row r="12">
      <c r="C12" s="39" t="s">
        <v>7235</v>
      </c>
      <c r="D12" s="39" t="s">
        <v>7337</v>
      </c>
      <c r="E12" s="39" t="s">
        <v>7338</v>
      </c>
      <c r="H12" s="39" t="s">
        <v>7339</v>
      </c>
      <c r="I12" s="39" t="s">
        <v>7340</v>
      </c>
      <c r="J12" s="39" t="s">
        <v>7341</v>
      </c>
    </row>
    <row r="13">
      <c r="C13" s="39" t="s">
        <v>7342</v>
      </c>
      <c r="D13" s="39" t="s">
        <v>7337</v>
      </c>
      <c r="E13" s="39" t="s">
        <v>7343</v>
      </c>
      <c r="H13" s="39" t="s">
        <v>7344</v>
      </c>
      <c r="I13" s="39" t="s">
        <v>7345</v>
      </c>
    </row>
    <row r="14">
      <c r="C14" s="39" t="s">
        <v>7319</v>
      </c>
      <c r="D14" s="39" t="s">
        <v>7346</v>
      </c>
      <c r="E14" s="39" t="s">
        <v>7347</v>
      </c>
      <c r="H14" s="39" t="s">
        <v>7348</v>
      </c>
      <c r="I14" s="39" t="s">
        <v>7349</v>
      </c>
      <c r="J14" s="622" t="s">
        <v>7350</v>
      </c>
    </row>
    <row r="15">
      <c r="C15" s="39" t="s">
        <v>7351</v>
      </c>
      <c r="D15" s="39" t="s">
        <v>7352</v>
      </c>
      <c r="E15" s="39" t="s">
        <v>7353</v>
      </c>
      <c r="H15" s="39" t="s">
        <v>7354</v>
      </c>
      <c r="I15" s="39" t="s">
        <v>7355</v>
      </c>
      <c r="J15" s="39" t="s">
        <v>7356</v>
      </c>
    </row>
    <row r="16">
      <c r="C16" s="39" t="s">
        <v>7357</v>
      </c>
      <c r="D16" s="39" t="s">
        <v>7358</v>
      </c>
      <c r="E16" s="39" t="s">
        <v>7359</v>
      </c>
      <c r="H16" s="39" t="s">
        <v>7360</v>
      </c>
      <c r="I16" s="39" t="s">
        <v>7320</v>
      </c>
      <c r="J16" s="39" t="s">
        <v>7361</v>
      </c>
    </row>
    <row r="17">
      <c r="C17" s="39" t="s">
        <v>7362</v>
      </c>
      <c r="D17" s="39" t="s">
        <v>7363</v>
      </c>
      <c r="E17" s="39" t="s">
        <v>7364</v>
      </c>
      <c r="H17" s="39" t="s">
        <v>7365</v>
      </c>
      <c r="I17" s="39" t="s">
        <v>7366</v>
      </c>
      <c r="J17" s="39" t="s">
        <v>7367</v>
      </c>
    </row>
    <row r="18">
      <c r="C18" s="39" t="s">
        <v>7368</v>
      </c>
      <c r="D18" s="39" t="s">
        <v>7369</v>
      </c>
      <c r="E18" s="39" t="s">
        <v>7370</v>
      </c>
      <c r="H18" s="39" t="s">
        <v>1665</v>
      </c>
      <c r="I18" s="39" t="s">
        <v>4260</v>
      </c>
      <c r="J18" s="39" t="s">
        <v>7371</v>
      </c>
    </row>
    <row r="19">
      <c r="C19" s="39" t="s">
        <v>7372</v>
      </c>
      <c r="D19" s="39" t="s">
        <v>7373</v>
      </c>
      <c r="E19" s="39" t="s">
        <v>7374</v>
      </c>
      <c r="H19" s="39" t="s">
        <v>7375</v>
      </c>
      <c r="I19" s="39" t="s">
        <v>7376</v>
      </c>
      <c r="J19" s="39" t="s">
        <v>7377</v>
      </c>
    </row>
    <row r="20">
      <c r="C20" s="39" t="s">
        <v>7378</v>
      </c>
      <c r="D20" s="39" t="s">
        <v>7379</v>
      </c>
      <c r="E20" s="39" t="s">
        <v>7380</v>
      </c>
      <c r="H20" s="39" t="s">
        <v>7381</v>
      </c>
      <c r="I20" s="39" t="s">
        <v>7382</v>
      </c>
      <c r="J20" s="39" t="s">
        <v>7383</v>
      </c>
    </row>
    <row r="21">
      <c r="H21" s="39" t="s">
        <v>7384</v>
      </c>
      <c r="I21" s="39" t="s">
        <v>7385</v>
      </c>
      <c r="J21" s="39" t="s">
        <v>7386</v>
      </c>
    </row>
    <row r="22">
      <c r="H22" s="39" t="s">
        <v>7387</v>
      </c>
      <c r="I22" s="39" t="s">
        <v>7388</v>
      </c>
      <c r="J22" s="39" t="s">
        <v>7389</v>
      </c>
    </row>
    <row r="23">
      <c r="H23" s="39" t="s">
        <v>7390</v>
      </c>
      <c r="I23" s="39" t="s">
        <v>4260</v>
      </c>
      <c r="J23" s="39" t="s">
        <v>7391</v>
      </c>
    </row>
    <row r="24">
      <c r="H24" s="39" t="s">
        <v>7392</v>
      </c>
      <c r="I24" s="39" t="s">
        <v>7393</v>
      </c>
      <c r="J24" s="39" t="s">
        <v>7394</v>
      </c>
    </row>
    <row r="25">
      <c r="H25" s="39" t="s">
        <v>7395</v>
      </c>
      <c r="I25" s="39" t="s">
        <v>4260</v>
      </c>
      <c r="J25" s="39" t="s">
        <v>7396</v>
      </c>
    </row>
    <row r="26">
      <c r="H26" s="39" t="s">
        <v>7397</v>
      </c>
      <c r="I26" s="39" t="s">
        <v>7398</v>
      </c>
      <c r="J26" s="39" t="s">
        <v>7399</v>
      </c>
    </row>
    <row r="27">
      <c r="H27" s="39" t="s">
        <v>7400</v>
      </c>
      <c r="I27" s="39" t="s">
        <v>4260</v>
      </c>
      <c r="J27" s="39" t="s">
        <v>7401</v>
      </c>
    </row>
    <row r="28">
      <c r="H28" s="39" t="s">
        <v>7402</v>
      </c>
      <c r="I28" s="39" t="s">
        <v>7403</v>
      </c>
      <c r="J28" s="39" t="s">
        <v>7404</v>
      </c>
    </row>
    <row r="29">
      <c r="H29" s="39" t="s">
        <v>7405</v>
      </c>
      <c r="I29" s="39" t="s">
        <v>7406</v>
      </c>
      <c r="J29" s="39" t="s">
        <v>7407</v>
      </c>
    </row>
    <row r="30">
      <c r="H30" s="39" t="s">
        <v>7408</v>
      </c>
      <c r="I30" s="39" t="s">
        <v>7409</v>
      </c>
      <c r="J30" s="39" t="s">
        <v>7410</v>
      </c>
    </row>
    <row r="31">
      <c r="H31" s="39" t="s">
        <v>7411</v>
      </c>
      <c r="I31" s="39" t="s">
        <v>7412</v>
      </c>
      <c r="J31" s="39" t="s">
        <v>7413</v>
      </c>
    </row>
    <row r="32">
      <c r="H32" s="39" t="s">
        <v>7414</v>
      </c>
      <c r="I32" s="39" t="s">
        <v>7415</v>
      </c>
      <c r="J32" s="39" t="s">
        <v>7416</v>
      </c>
    </row>
    <row r="33">
      <c r="H33" s="39" t="s">
        <v>7417</v>
      </c>
      <c r="I33" s="39" t="s">
        <v>7418</v>
      </c>
      <c r="J33" s="39" t="s">
        <v>7419</v>
      </c>
    </row>
    <row r="34">
      <c r="H34" s="39" t="s">
        <v>7420</v>
      </c>
      <c r="I34" s="39" t="s">
        <v>7421</v>
      </c>
      <c r="J34" s="39" t="s">
        <v>7422</v>
      </c>
    </row>
    <row r="35">
      <c r="H35" s="39" t="s">
        <v>7423</v>
      </c>
      <c r="I35" s="39" t="s">
        <v>4260</v>
      </c>
      <c r="J35" s="39" t="s">
        <v>7424</v>
      </c>
    </row>
    <row r="36">
      <c r="H36" s="39" t="s">
        <v>7425</v>
      </c>
      <c r="I36" s="39" t="s">
        <v>7406</v>
      </c>
      <c r="J36" s="39" t="s">
        <v>7426</v>
      </c>
    </row>
    <row r="37">
      <c r="H37" s="623" t="s">
        <v>7427</v>
      </c>
      <c r="I37" s="39" t="s">
        <v>7428</v>
      </c>
      <c r="J37" s="39" t="s">
        <v>7429</v>
      </c>
    </row>
    <row r="38">
      <c r="H38" s="623" t="s">
        <v>7430</v>
      </c>
      <c r="I38" s="39" t="s">
        <v>7406</v>
      </c>
      <c r="J38" s="39" t="s">
        <v>7431</v>
      </c>
    </row>
    <row r="39">
      <c r="H39" s="39" t="s">
        <v>7432</v>
      </c>
      <c r="I39" s="39" t="s">
        <v>7382</v>
      </c>
      <c r="J39" s="39" t="s">
        <v>7433</v>
      </c>
    </row>
    <row r="40">
      <c r="H40" s="623" t="s">
        <v>7434</v>
      </c>
      <c r="I40" s="39" t="s">
        <v>7435</v>
      </c>
      <c r="J40" s="39" t="s">
        <v>7436</v>
      </c>
    </row>
    <row r="41">
      <c r="H41" s="39" t="s">
        <v>7437</v>
      </c>
      <c r="I41" s="39" t="s">
        <v>7438</v>
      </c>
      <c r="J41" s="39" t="s">
        <v>7439</v>
      </c>
    </row>
    <row r="42">
      <c r="H42" s="39" t="s">
        <v>7440</v>
      </c>
      <c r="I42" s="39" t="s">
        <v>4398</v>
      </c>
      <c r="J42" s="39" t="s">
        <v>7441</v>
      </c>
    </row>
    <row r="43">
      <c r="H43" s="39" t="s">
        <v>7442</v>
      </c>
      <c r="I43" s="39" t="s">
        <v>7443</v>
      </c>
      <c r="J43" s="39" t="s">
        <v>1078</v>
      </c>
    </row>
    <row r="44">
      <c r="H44" s="39" t="s">
        <v>7444</v>
      </c>
      <c r="I44" s="39" t="s">
        <v>7406</v>
      </c>
      <c r="J44" s="39" t="s">
        <v>7445</v>
      </c>
    </row>
    <row r="45">
      <c r="H45" s="39" t="s">
        <v>7446</v>
      </c>
      <c r="I45" s="39" t="s">
        <v>7406</v>
      </c>
      <c r="J45" s="39" t="s">
        <v>7447</v>
      </c>
    </row>
    <row r="46">
      <c r="H46" s="39" t="s">
        <v>7448</v>
      </c>
      <c r="I46" s="39" t="s">
        <v>7406</v>
      </c>
      <c r="J46" s="39" t="s">
        <v>7449</v>
      </c>
    </row>
    <row r="47">
      <c r="H47" s="39" t="s">
        <v>7450</v>
      </c>
      <c r="I47" s="39" t="s">
        <v>7451</v>
      </c>
      <c r="J47" s="39" t="s">
        <v>7452</v>
      </c>
    </row>
    <row r="48">
      <c r="H48" s="39" t="s">
        <v>7453</v>
      </c>
      <c r="I48" s="39" t="s">
        <v>7454</v>
      </c>
      <c r="J48" s="39" t="s">
        <v>7455</v>
      </c>
    </row>
    <row r="49">
      <c r="H49" s="39" t="s">
        <v>7456</v>
      </c>
      <c r="I49" s="39" t="s">
        <v>7457</v>
      </c>
      <c r="J49" s="39" t="s">
        <v>7458</v>
      </c>
    </row>
    <row r="50">
      <c r="H50" s="39" t="s">
        <v>7459</v>
      </c>
      <c r="I50" s="39" t="s">
        <v>7460</v>
      </c>
      <c r="J50" s="39" t="s">
        <v>7461</v>
      </c>
    </row>
    <row r="51">
      <c r="H51" s="39" t="s">
        <v>7462</v>
      </c>
      <c r="I51" s="39" t="s">
        <v>7406</v>
      </c>
      <c r="J51" s="39" t="s">
        <v>7463</v>
      </c>
    </row>
    <row r="52">
      <c r="H52" s="39" t="s">
        <v>7464</v>
      </c>
      <c r="I52" s="39" t="s">
        <v>7393</v>
      </c>
      <c r="J52" s="39" t="s">
        <v>7465</v>
      </c>
    </row>
    <row r="53">
      <c r="H53" s="39" t="s">
        <v>7466</v>
      </c>
      <c r="I53" s="39" t="s">
        <v>4260</v>
      </c>
      <c r="J53" s="39" t="s">
        <v>7467</v>
      </c>
    </row>
    <row r="54">
      <c r="H54" s="39" t="s">
        <v>7468</v>
      </c>
      <c r="I54" s="39" t="s">
        <v>7469</v>
      </c>
      <c r="J54" s="39" t="s">
        <v>7470</v>
      </c>
    </row>
    <row r="55">
      <c r="H55" s="39" t="s">
        <v>7471</v>
      </c>
      <c r="I55" s="39" t="s">
        <v>7320</v>
      </c>
      <c r="J55" s="39" t="s">
        <v>7467</v>
      </c>
    </row>
    <row r="56">
      <c r="H56" s="39" t="s">
        <v>7472</v>
      </c>
      <c r="I56" s="39" t="s">
        <v>7473</v>
      </c>
    </row>
    <row r="57">
      <c r="H57" s="39" t="s">
        <v>7474</v>
      </c>
      <c r="I57" s="39" t="s">
        <v>7475</v>
      </c>
      <c r="J57" s="39" t="s">
        <v>7476</v>
      </c>
    </row>
    <row r="58">
      <c r="H58" s="39" t="s">
        <v>7477</v>
      </c>
      <c r="I58" s="39" t="s">
        <v>7478</v>
      </c>
      <c r="J58" s="39" t="s">
        <v>7479</v>
      </c>
    </row>
    <row r="59">
      <c r="H59" s="39" t="s">
        <v>7480</v>
      </c>
      <c r="I59" s="39" t="s">
        <v>7481</v>
      </c>
    </row>
    <row r="60">
      <c r="H60" s="39" t="s">
        <v>1850</v>
      </c>
      <c r="I60" s="39" t="s">
        <v>7482</v>
      </c>
    </row>
    <row r="61">
      <c r="H61" s="39" t="s">
        <v>7483</v>
      </c>
      <c r="I61" s="39" t="s">
        <v>7484</v>
      </c>
      <c r="J61" s="39" t="s">
        <v>7485</v>
      </c>
    </row>
    <row r="62">
      <c r="H62" s="39" t="s">
        <v>7486</v>
      </c>
      <c r="I62" s="39" t="s">
        <v>7487</v>
      </c>
      <c r="J62" s="39" t="s">
        <v>7488</v>
      </c>
    </row>
    <row r="63">
      <c r="H63" s="39" t="s">
        <v>7489</v>
      </c>
      <c r="I63" s="39" t="s">
        <v>7355</v>
      </c>
      <c r="J63" s="39" t="s">
        <v>7490</v>
      </c>
    </row>
    <row r="64">
      <c r="H64" s="39" t="s">
        <v>7491</v>
      </c>
      <c r="I64" s="39" t="s">
        <v>7492</v>
      </c>
    </row>
    <row r="65">
      <c r="H65" s="39" t="s">
        <v>7493</v>
      </c>
      <c r="I65" s="39" t="s">
        <v>7494</v>
      </c>
      <c r="J65" s="39" t="s">
        <v>7495</v>
      </c>
    </row>
    <row r="66">
      <c r="H66" s="39" t="s">
        <v>7496</v>
      </c>
      <c r="I66" s="622" t="s">
        <v>7497</v>
      </c>
      <c r="J66" s="39" t="s">
        <v>7498</v>
      </c>
    </row>
    <row r="67">
      <c r="H67" s="39" t="s">
        <v>7499</v>
      </c>
      <c r="I67" s="622" t="s">
        <v>7500</v>
      </c>
      <c r="J67" s="39" t="s">
        <v>7501</v>
      </c>
    </row>
    <row r="68">
      <c r="H68" s="39" t="s">
        <v>7502</v>
      </c>
      <c r="I68" s="39" t="s">
        <v>7503</v>
      </c>
    </row>
    <row r="69">
      <c r="H69" s="39" t="s">
        <v>7504</v>
      </c>
    </row>
    <row r="70">
      <c r="H70" s="39" t="s">
        <v>2412</v>
      </c>
      <c r="I70" s="39" t="s">
        <v>7505</v>
      </c>
      <c r="J70" s="39" t="s">
        <v>7506</v>
      </c>
    </row>
    <row r="71">
      <c r="H71" s="39" t="s">
        <v>7507</v>
      </c>
      <c r="I71" s="39" t="s">
        <v>7508</v>
      </c>
    </row>
    <row r="72">
      <c r="H72" s="39" t="s">
        <v>7509</v>
      </c>
      <c r="I72" s="39" t="s">
        <v>7510</v>
      </c>
      <c r="J72" s="39" t="s">
        <v>7511</v>
      </c>
    </row>
    <row r="73">
      <c r="H73" s="39" t="s">
        <v>7512</v>
      </c>
      <c r="I73" s="39" t="s">
        <v>7513</v>
      </c>
    </row>
    <row r="74">
      <c r="H74" s="39" t="s">
        <v>7514</v>
      </c>
      <c r="I74" s="39" t="s">
        <v>7515</v>
      </c>
    </row>
    <row r="99" ht="15.75" customHeight="1">
      <c r="B99" s="625"/>
      <c r="C99" s="626"/>
      <c r="D99" s="627" t="s">
        <v>7516</v>
      </c>
      <c r="E99" s="626"/>
      <c r="F99" s="626"/>
      <c r="G99" s="628" t="s">
        <v>7517</v>
      </c>
      <c r="H99" s="629" t="s">
        <v>7518</v>
      </c>
    </row>
    <row r="100">
      <c r="A100" s="617"/>
      <c r="B100" s="630" t="s">
        <v>7519</v>
      </c>
      <c r="C100" s="39" t="s">
        <v>7520</v>
      </c>
      <c r="D100" s="631">
        <v>0.3</v>
      </c>
      <c r="E100" s="624">
        <v>138000.0</v>
      </c>
      <c r="G100" s="443"/>
      <c r="H100" s="632"/>
    </row>
    <row r="101">
      <c r="B101" s="633"/>
      <c r="C101" s="39" t="s">
        <v>7521</v>
      </c>
      <c r="D101" s="631">
        <v>0.24</v>
      </c>
      <c r="E101" s="624">
        <v>110400.0</v>
      </c>
      <c r="G101" s="634">
        <v>20000.0</v>
      </c>
      <c r="H101" s="635">
        <v>0.08</v>
      </c>
    </row>
    <row r="102">
      <c r="B102" s="633"/>
      <c r="C102" s="39" t="s">
        <v>7522</v>
      </c>
      <c r="D102" s="631">
        <v>0.24</v>
      </c>
      <c r="E102" s="624">
        <v>110400.0</v>
      </c>
      <c r="G102" s="634">
        <v>20000.0</v>
      </c>
      <c r="H102" s="636" t="s">
        <v>7523</v>
      </c>
    </row>
    <row r="103">
      <c r="B103" s="633"/>
      <c r="C103" s="39" t="s">
        <v>7524</v>
      </c>
      <c r="D103" s="631">
        <v>0.22</v>
      </c>
      <c r="E103" s="624">
        <v>101200.0</v>
      </c>
      <c r="G103" s="634">
        <v>20000.0</v>
      </c>
      <c r="H103" s="636" t="s">
        <v>7525</v>
      </c>
    </row>
    <row r="104">
      <c r="B104" s="633"/>
      <c r="C104" s="637" t="s">
        <v>7526</v>
      </c>
      <c r="D104" s="638">
        <v>1.0</v>
      </c>
      <c r="E104" s="639">
        <v>460000.0</v>
      </c>
      <c r="G104" s="640">
        <v>20000.0</v>
      </c>
      <c r="H104" s="641" t="s">
        <v>7525</v>
      </c>
    </row>
    <row r="105">
      <c r="A105" s="39"/>
      <c r="B105" s="642" t="s">
        <v>7527</v>
      </c>
      <c r="G105" s="634">
        <v>20000.0</v>
      </c>
      <c r="H105" s="636" t="s">
        <v>7525</v>
      </c>
    </row>
    <row r="106">
      <c r="A106" s="39"/>
      <c r="B106" s="642" t="s">
        <v>7528</v>
      </c>
      <c r="G106" s="643" t="s">
        <v>7529</v>
      </c>
      <c r="H106" s="644" t="s">
        <v>7530</v>
      </c>
    </row>
    <row r="107">
      <c r="A107" s="617"/>
      <c r="B107" s="645" t="s">
        <v>7531</v>
      </c>
      <c r="C107" s="646"/>
      <c r="D107" s="646"/>
      <c r="E107" s="646"/>
      <c r="F107" s="646"/>
      <c r="G107" s="647"/>
      <c r="H107" s="648"/>
    </row>
    <row r="108">
      <c r="G108" s="444"/>
      <c r="H108" s="443"/>
    </row>
    <row r="109">
      <c r="B109" s="625"/>
      <c r="C109" s="626"/>
      <c r="D109" s="626"/>
      <c r="E109" s="626"/>
      <c r="F109" s="626"/>
      <c r="G109" s="649" t="s">
        <v>7517</v>
      </c>
      <c r="H109" s="629" t="s">
        <v>7518</v>
      </c>
    </row>
    <row r="110">
      <c r="A110" s="617"/>
      <c r="B110" s="630" t="s">
        <v>7532</v>
      </c>
      <c r="C110" s="39" t="s">
        <v>7520</v>
      </c>
      <c r="D110" s="631">
        <v>0.2</v>
      </c>
      <c r="E110" s="624">
        <v>220000.0</v>
      </c>
      <c r="G110" s="443"/>
      <c r="H110" s="632"/>
    </row>
    <row r="111" ht="18.75" customHeight="1">
      <c r="B111" s="633"/>
      <c r="C111" s="39" t="s">
        <v>7533</v>
      </c>
      <c r="D111" s="631">
        <v>0.16</v>
      </c>
      <c r="E111" s="624">
        <v>176000.0</v>
      </c>
      <c r="G111" s="634">
        <v>70000.0</v>
      </c>
      <c r="H111" s="635">
        <v>0.17</v>
      </c>
    </row>
    <row r="112">
      <c r="B112" s="633"/>
      <c r="C112" s="39" t="s">
        <v>7534</v>
      </c>
      <c r="D112" s="631">
        <v>0.16</v>
      </c>
      <c r="E112" s="624">
        <v>176000.0</v>
      </c>
      <c r="G112" s="634">
        <v>70000.0</v>
      </c>
      <c r="H112" s="636" t="s">
        <v>7535</v>
      </c>
    </row>
    <row r="113">
      <c r="B113" s="633"/>
      <c r="C113" s="39" t="s">
        <v>7536</v>
      </c>
      <c r="D113" s="631">
        <v>0.16</v>
      </c>
      <c r="E113" s="624">
        <v>176000.0</v>
      </c>
      <c r="G113" s="634">
        <v>70000.0</v>
      </c>
      <c r="H113" s="636" t="s">
        <v>7537</v>
      </c>
    </row>
    <row r="114">
      <c r="B114" s="633"/>
      <c r="C114" s="39" t="s">
        <v>7538</v>
      </c>
      <c r="D114" s="631">
        <v>0.16</v>
      </c>
      <c r="E114" s="624">
        <v>176000.0</v>
      </c>
      <c r="G114" s="634">
        <v>70000.0</v>
      </c>
      <c r="H114" s="636" t="s">
        <v>7539</v>
      </c>
    </row>
    <row r="115">
      <c r="B115" s="633"/>
      <c r="C115" s="39" t="s">
        <v>7540</v>
      </c>
      <c r="D115" s="631">
        <v>0.16</v>
      </c>
      <c r="E115" s="624">
        <v>176000.0</v>
      </c>
      <c r="G115" s="634">
        <v>70000.0</v>
      </c>
      <c r="H115" s="636" t="s">
        <v>7541</v>
      </c>
    </row>
    <row r="116">
      <c r="B116" s="633"/>
      <c r="C116" s="637" t="s">
        <v>7526</v>
      </c>
      <c r="D116" s="638">
        <v>1.0</v>
      </c>
      <c r="E116" s="639">
        <v>1100000.0</v>
      </c>
      <c r="G116" s="650" t="s">
        <v>7529</v>
      </c>
      <c r="H116" s="651" t="s">
        <v>7542</v>
      </c>
    </row>
    <row r="117">
      <c r="A117" s="39"/>
      <c r="B117" s="642" t="s">
        <v>7543</v>
      </c>
      <c r="H117" s="652"/>
    </row>
    <row r="118">
      <c r="A118" s="653"/>
      <c r="B118" s="654" t="s">
        <v>7544</v>
      </c>
      <c r="H118" s="652"/>
    </row>
    <row r="119">
      <c r="A119" s="655"/>
      <c r="B119" s="656" t="s">
        <v>7545</v>
      </c>
      <c r="C119" s="646"/>
      <c r="D119" s="646"/>
      <c r="E119" s="646"/>
      <c r="F119" s="646"/>
      <c r="G119" s="646"/>
      <c r="H119" s="65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86"/>
    <col customWidth="1" min="2" max="2" width="20.71"/>
    <col customWidth="1" min="3" max="3" width="58.57"/>
    <col customWidth="1" min="4" max="4" width="21.0"/>
    <col customWidth="1" min="5" max="5" width="31.14"/>
    <col customWidth="1" min="6" max="6" width="18.86"/>
    <col customWidth="1" min="7" max="7" width="39.86"/>
    <col customWidth="1" min="8" max="8" width="69.14"/>
  </cols>
  <sheetData>
    <row r="1" ht="28.5" customHeight="1">
      <c r="A1" s="658" t="s">
        <v>7546</v>
      </c>
      <c r="B1" s="658" t="s">
        <v>7547</v>
      </c>
      <c r="C1" s="658" t="s">
        <v>3</v>
      </c>
      <c r="D1" s="658" t="s">
        <v>7548</v>
      </c>
      <c r="E1" s="658" t="s">
        <v>7549</v>
      </c>
      <c r="F1" s="658" t="s">
        <v>7550</v>
      </c>
      <c r="G1" s="658" t="s">
        <v>7551</v>
      </c>
      <c r="H1" s="659" t="s">
        <v>5599</v>
      </c>
      <c r="I1" s="660"/>
      <c r="J1" s="660"/>
      <c r="K1" s="660"/>
      <c r="L1" s="660"/>
      <c r="M1" s="660"/>
      <c r="N1" s="660"/>
      <c r="O1" s="660"/>
      <c r="P1" s="660"/>
      <c r="Q1" s="660"/>
      <c r="R1" s="660"/>
      <c r="S1" s="660"/>
      <c r="T1" s="660"/>
      <c r="U1" s="660"/>
      <c r="V1" s="660"/>
      <c r="W1" s="660"/>
      <c r="X1" s="660"/>
      <c r="Y1" s="660"/>
      <c r="Z1" s="660"/>
    </row>
    <row r="2">
      <c r="A2" s="661">
        <v>1.0</v>
      </c>
      <c r="B2" s="662" t="s">
        <v>7552</v>
      </c>
      <c r="C2" s="662" t="s">
        <v>7553</v>
      </c>
      <c r="D2" s="662" t="s">
        <v>7554</v>
      </c>
      <c r="E2" s="662" t="s">
        <v>7555</v>
      </c>
      <c r="F2" s="662">
        <v>4.47877611556E11</v>
      </c>
      <c r="G2" s="662" t="s">
        <v>7556</v>
      </c>
      <c r="H2" s="663" t="s">
        <v>3613</v>
      </c>
      <c r="I2" s="664"/>
      <c r="J2" s="664"/>
      <c r="K2" s="664"/>
      <c r="L2" s="664"/>
      <c r="M2" s="664"/>
      <c r="N2" s="664"/>
      <c r="O2" s="664"/>
      <c r="P2" s="664"/>
      <c r="Q2" s="664"/>
      <c r="R2" s="664"/>
      <c r="S2" s="664"/>
      <c r="T2" s="664"/>
      <c r="U2" s="664"/>
      <c r="V2" s="664"/>
      <c r="W2" s="664"/>
      <c r="X2" s="664"/>
      <c r="Y2" s="664"/>
      <c r="Z2" s="664"/>
    </row>
    <row r="3">
      <c r="A3" s="661">
        <v>2.0</v>
      </c>
      <c r="B3" s="662" t="s">
        <v>7552</v>
      </c>
      <c r="C3" s="662" t="s">
        <v>7553</v>
      </c>
      <c r="D3" s="662" t="s">
        <v>7557</v>
      </c>
      <c r="E3" s="662" t="s">
        <v>7558</v>
      </c>
      <c r="F3" s="662">
        <v>4.407578533765E12</v>
      </c>
      <c r="G3" s="662" t="s">
        <v>7055</v>
      </c>
      <c r="H3" s="663" t="s">
        <v>168</v>
      </c>
      <c r="I3" s="664"/>
      <c r="J3" s="664"/>
      <c r="K3" s="664"/>
      <c r="L3" s="664"/>
      <c r="M3" s="664"/>
      <c r="N3" s="664"/>
      <c r="O3" s="664"/>
      <c r="P3" s="664"/>
      <c r="Q3" s="664"/>
      <c r="R3" s="664"/>
      <c r="S3" s="664"/>
      <c r="T3" s="664"/>
      <c r="U3" s="664"/>
      <c r="V3" s="664"/>
      <c r="W3" s="664"/>
      <c r="X3" s="664"/>
      <c r="Y3" s="664"/>
      <c r="Z3" s="664"/>
    </row>
    <row r="4">
      <c r="A4" s="661">
        <v>3.0</v>
      </c>
      <c r="B4" s="662" t="s">
        <v>7552</v>
      </c>
      <c r="C4" s="662" t="s">
        <v>7553</v>
      </c>
      <c r="D4" s="662" t="s">
        <v>7559</v>
      </c>
      <c r="E4" s="662" t="s">
        <v>7560</v>
      </c>
      <c r="F4" s="662">
        <v>4.47411326461E11</v>
      </c>
      <c r="G4" s="662" t="s">
        <v>7055</v>
      </c>
      <c r="H4" s="663" t="s">
        <v>3613</v>
      </c>
      <c r="I4" s="664"/>
      <c r="J4" s="664"/>
      <c r="K4" s="664"/>
      <c r="L4" s="664"/>
      <c r="M4" s="664"/>
      <c r="N4" s="664"/>
      <c r="O4" s="664"/>
      <c r="P4" s="664"/>
      <c r="Q4" s="664"/>
      <c r="R4" s="664"/>
      <c r="S4" s="664"/>
      <c r="T4" s="664"/>
      <c r="U4" s="664"/>
      <c r="V4" s="664"/>
      <c r="W4" s="664"/>
      <c r="X4" s="664"/>
      <c r="Y4" s="664"/>
      <c r="Z4" s="664"/>
    </row>
    <row r="5" ht="16.5" customHeight="1">
      <c r="A5" s="661">
        <v>4.0</v>
      </c>
      <c r="B5" s="662" t="s">
        <v>7552</v>
      </c>
      <c r="C5" s="662" t="s">
        <v>7553</v>
      </c>
      <c r="D5" s="662" t="s">
        <v>7561</v>
      </c>
      <c r="E5" s="662" t="s">
        <v>7562</v>
      </c>
      <c r="F5" s="662">
        <v>4.4771313798E11</v>
      </c>
      <c r="G5" s="662" t="s">
        <v>7055</v>
      </c>
      <c r="H5" s="663" t="s">
        <v>3613</v>
      </c>
      <c r="I5" s="664"/>
      <c r="J5" s="664"/>
      <c r="K5" s="664"/>
      <c r="L5" s="664"/>
      <c r="M5" s="664"/>
      <c r="N5" s="664"/>
      <c r="O5" s="664"/>
      <c r="P5" s="664"/>
      <c r="Q5" s="664"/>
      <c r="R5" s="664"/>
      <c r="S5" s="664"/>
      <c r="T5" s="664"/>
      <c r="U5" s="664"/>
      <c r="V5" s="664"/>
      <c r="W5" s="664"/>
      <c r="X5" s="664"/>
      <c r="Y5" s="664"/>
      <c r="Z5" s="664"/>
    </row>
    <row r="6">
      <c r="A6" s="661">
        <v>5.0</v>
      </c>
      <c r="B6" s="662" t="s">
        <v>7552</v>
      </c>
      <c r="C6" s="662" t="s">
        <v>7553</v>
      </c>
      <c r="D6" s="662" t="s">
        <v>7563</v>
      </c>
      <c r="E6" s="662" t="s">
        <v>7564</v>
      </c>
      <c r="F6" s="662">
        <v>9.71553683418E11</v>
      </c>
      <c r="G6" s="662"/>
      <c r="H6" s="663" t="s">
        <v>7565</v>
      </c>
      <c r="I6" s="664"/>
      <c r="J6" s="664"/>
      <c r="K6" s="664"/>
      <c r="L6" s="664"/>
      <c r="M6" s="664"/>
      <c r="N6" s="664"/>
      <c r="O6" s="664"/>
      <c r="P6" s="664"/>
      <c r="Q6" s="664"/>
      <c r="R6" s="664"/>
      <c r="S6" s="664"/>
      <c r="T6" s="664"/>
      <c r="U6" s="664"/>
      <c r="V6" s="664"/>
      <c r="W6" s="664"/>
      <c r="X6" s="664"/>
      <c r="Y6" s="664"/>
      <c r="Z6" s="664"/>
    </row>
    <row r="7">
      <c r="A7" s="661">
        <v>6.0</v>
      </c>
      <c r="B7" s="662" t="s">
        <v>7552</v>
      </c>
      <c r="C7" s="662" t="s">
        <v>7553</v>
      </c>
      <c r="D7" s="662" t="s">
        <v>7566</v>
      </c>
      <c r="E7" s="662" t="s">
        <v>7567</v>
      </c>
      <c r="F7" s="662">
        <v>9.66500013511E11</v>
      </c>
      <c r="G7" s="662"/>
      <c r="H7" s="663" t="s">
        <v>7568</v>
      </c>
      <c r="I7" s="664"/>
      <c r="J7" s="664"/>
      <c r="K7" s="664"/>
      <c r="L7" s="664"/>
      <c r="M7" s="664"/>
      <c r="N7" s="664"/>
      <c r="O7" s="664"/>
      <c r="P7" s="664"/>
      <c r="Q7" s="664"/>
      <c r="R7" s="664"/>
      <c r="S7" s="664"/>
      <c r="T7" s="664"/>
      <c r="U7" s="664"/>
      <c r="V7" s="664"/>
      <c r="W7" s="664"/>
      <c r="X7" s="664"/>
      <c r="Y7" s="664"/>
      <c r="Z7" s="664"/>
    </row>
    <row r="8">
      <c r="A8" s="661">
        <v>7.0</v>
      </c>
      <c r="B8" s="662" t="s">
        <v>7552</v>
      </c>
      <c r="C8" s="662" t="s">
        <v>7553</v>
      </c>
      <c r="D8" s="662" t="s">
        <v>7569</v>
      </c>
      <c r="E8" s="662" t="s">
        <v>7570</v>
      </c>
      <c r="F8" s="662">
        <v>9.71505524567E11</v>
      </c>
      <c r="G8" s="662"/>
      <c r="H8" s="663" t="s">
        <v>7571</v>
      </c>
      <c r="I8" s="664"/>
      <c r="J8" s="664"/>
      <c r="K8" s="664"/>
      <c r="L8" s="664"/>
      <c r="M8" s="664"/>
      <c r="N8" s="664"/>
      <c r="O8" s="664"/>
      <c r="P8" s="664"/>
      <c r="Q8" s="664"/>
      <c r="R8" s="664"/>
      <c r="S8" s="664"/>
      <c r="T8" s="664"/>
      <c r="U8" s="664"/>
      <c r="V8" s="664"/>
      <c r="W8" s="664"/>
      <c r="X8" s="664"/>
      <c r="Y8" s="664"/>
      <c r="Z8" s="664"/>
    </row>
    <row r="9">
      <c r="A9" s="661">
        <v>8.0</v>
      </c>
      <c r="B9" s="662" t="s">
        <v>7552</v>
      </c>
      <c r="C9" s="662" t="s">
        <v>7553</v>
      </c>
      <c r="D9" s="662" t="s">
        <v>7572</v>
      </c>
      <c r="E9" s="662" t="s">
        <v>7573</v>
      </c>
      <c r="F9" s="662">
        <v>9.71554111122E11</v>
      </c>
      <c r="G9" s="662"/>
      <c r="H9" s="663" t="s">
        <v>3613</v>
      </c>
      <c r="I9" s="664"/>
      <c r="J9" s="664"/>
      <c r="K9" s="664"/>
      <c r="L9" s="664"/>
      <c r="M9" s="664"/>
      <c r="N9" s="664"/>
      <c r="O9" s="664"/>
      <c r="P9" s="664"/>
      <c r="Q9" s="664"/>
      <c r="R9" s="664"/>
      <c r="S9" s="664"/>
      <c r="T9" s="664"/>
      <c r="U9" s="664"/>
      <c r="V9" s="664"/>
      <c r="W9" s="664"/>
      <c r="X9" s="664"/>
      <c r="Y9" s="664"/>
      <c r="Z9" s="664"/>
    </row>
    <row r="10">
      <c r="A10" s="661">
        <v>9.0</v>
      </c>
      <c r="B10" s="662" t="s">
        <v>7552</v>
      </c>
      <c r="C10" s="662" t="s">
        <v>7553</v>
      </c>
      <c r="D10" s="662" t="s">
        <v>7574</v>
      </c>
      <c r="E10" s="662" t="s">
        <v>7575</v>
      </c>
      <c r="F10" s="662">
        <v>9.71503876345E11</v>
      </c>
      <c r="G10" s="662"/>
      <c r="H10" s="663" t="s">
        <v>7576</v>
      </c>
      <c r="I10" s="664"/>
      <c r="J10" s="664"/>
      <c r="K10" s="664"/>
      <c r="L10" s="664"/>
      <c r="M10" s="664"/>
      <c r="N10" s="664"/>
      <c r="O10" s="664"/>
      <c r="P10" s="664"/>
      <c r="Q10" s="664"/>
      <c r="R10" s="664"/>
      <c r="S10" s="664"/>
      <c r="T10" s="664"/>
      <c r="U10" s="664"/>
      <c r="V10" s="664"/>
      <c r="W10" s="664"/>
      <c r="X10" s="664"/>
      <c r="Y10" s="664"/>
      <c r="Z10" s="664"/>
    </row>
    <row r="11">
      <c r="A11" s="661">
        <v>10.0</v>
      </c>
      <c r="B11" s="662" t="s">
        <v>7552</v>
      </c>
      <c r="C11" s="662" t="s">
        <v>7553</v>
      </c>
      <c r="D11" s="661" t="s">
        <v>7577</v>
      </c>
      <c r="E11" s="662" t="s">
        <v>7578</v>
      </c>
      <c r="F11" s="662">
        <v>9.71506375482E11</v>
      </c>
      <c r="G11" s="662"/>
      <c r="H11" s="663" t="s">
        <v>7579</v>
      </c>
      <c r="I11" s="664"/>
      <c r="J11" s="664"/>
      <c r="K11" s="664"/>
      <c r="L11" s="664"/>
      <c r="M11" s="664"/>
      <c r="N11" s="664"/>
      <c r="O11" s="664"/>
      <c r="P11" s="664"/>
      <c r="Q11" s="664"/>
      <c r="R11" s="664"/>
      <c r="S11" s="664"/>
      <c r="T11" s="664"/>
      <c r="U11" s="664"/>
      <c r="V11" s="664"/>
      <c r="W11" s="664"/>
      <c r="X11" s="664"/>
      <c r="Y11" s="664"/>
      <c r="Z11" s="664"/>
    </row>
    <row r="12">
      <c r="A12" s="661">
        <v>11.0</v>
      </c>
      <c r="B12" s="662" t="s">
        <v>7552</v>
      </c>
      <c r="C12" s="662" t="s">
        <v>7553</v>
      </c>
      <c r="D12" s="662" t="s">
        <v>7580</v>
      </c>
      <c r="E12" s="662" t="s">
        <v>7581</v>
      </c>
      <c r="F12" s="662">
        <v>3.3609013074E10</v>
      </c>
      <c r="G12" s="662"/>
      <c r="H12" s="663" t="s">
        <v>7582</v>
      </c>
      <c r="I12" s="664"/>
      <c r="J12" s="664"/>
      <c r="K12" s="664"/>
      <c r="L12" s="664"/>
      <c r="M12" s="664"/>
      <c r="N12" s="664"/>
      <c r="O12" s="664"/>
      <c r="P12" s="664"/>
      <c r="Q12" s="664"/>
      <c r="R12" s="664"/>
      <c r="S12" s="664"/>
      <c r="T12" s="664"/>
      <c r="U12" s="664"/>
      <c r="V12" s="664"/>
      <c r="W12" s="664"/>
      <c r="X12" s="664"/>
      <c r="Y12" s="664"/>
      <c r="Z12" s="664"/>
    </row>
    <row r="13">
      <c r="A13" s="661">
        <v>12.0</v>
      </c>
      <c r="B13" s="662" t="s">
        <v>7552</v>
      </c>
      <c r="C13" s="662" t="s">
        <v>7553</v>
      </c>
      <c r="D13" s="662" t="s">
        <v>7583</v>
      </c>
      <c r="E13" s="662" t="s">
        <v>7584</v>
      </c>
      <c r="F13" s="662">
        <v>9.71554468236E11</v>
      </c>
      <c r="G13" s="662"/>
      <c r="H13" s="663" t="s">
        <v>7585</v>
      </c>
      <c r="I13" s="664"/>
      <c r="J13" s="664"/>
      <c r="K13" s="664"/>
      <c r="L13" s="664"/>
      <c r="M13" s="664"/>
      <c r="N13" s="664"/>
      <c r="O13" s="664"/>
      <c r="P13" s="664"/>
      <c r="Q13" s="664"/>
      <c r="R13" s="664"/>
      <c r="S13" s="664"/>
      <c r="T13" s="664"/>
      <c r="U13" s="664"/>
      <c r="V13" s="664"/>
      <c r="W13" s="664"/>
      <c r="X13" s="664"/>
      <c r="Y13" s="664"/>
      <c r="Z13" s="664"/>
    </row>
    <row r="14">
      <c r="A14" s="661">
        <v>13.0</v>
      </c>
      <c r="B14" s="662" t="s">
        <v>7552</v>
      </c>
      <c r="C14" s="662" t="s">
        <v>7553</v>
      </c>
      <c r="D14" s="662" t="s">
        <v>7586</v>
      </c>
      <c r="E14" s="662" t="s">
        <v>7587</v>
      </c>
      <c r="F14" s="662">
        <v>1.9057834567E10</v>
      </c>
      <c r="G14" s="662"/>
      <c r="H14" s="663" t="s">
        <v>5440</v>
      </c>
      <c r="I14" s="664"/>
      <c r="J14" s="664"/>
      <c r="K14" s="664"/>
      <c r="L14" s="664"/>
      <c r="M14" s="664"/>
      <c r="N14" s="664"/>
      <c r="O14" s="664"/>
      <c r="P14" s="664"/>
      <c r="Q14" s="664"/>
      <c r="R14" s="664"/>
      <c r="S14" s="664"/>
      <c r="T14" s="664"/>
      <c r="U14" s="664"/>
      <c r="V14" s="664"/>
      <c r="W14" s="664"/>
      <c r="X14" s="664"/>
      <c r="Y14" s="664"/>
      <c r="Z14" s="664"/>
    </row>
    <row r="15">
      <c r="A15" s="661">
        <v>14.0</v>
      </c>
      <c r="B15" s="662" t="s">
        <v>7552</v>
      </c>
      <c r="C15" s="662" t="s">
        <v>7553</v>
      </c>
      <c r="D15" s="665" t="s">
        <v>7588</v>
      </c>
      <c r="E15" s="665" t="s">
        <v>7589</v>
      </c>
      <c r="F15" s="665">
        <f>+491709144968</f>
        <v>491709144968</v>
      </c>
      <c r="G15" s="665" t="s">
        <v>7590</v>
      </c>
      <c r="H15" s="663" t="s">
        <v>3613</v>
      </c>
      <c r="I15" s="664"/>
      <c r="J15" s="664"/>
      <c r="K15" s="664"/>
      <c r="L15" s="664"/>
      <c r="M15" s="664"/>
      <c r="N15" s="664"/>
      <c r="O15" s="664"/>
      <c r="P15" s="664"/>
      <c r="Q15" s="664"/>
      <c r="R15" s="664"/>
      <c r="S15" s="664"/>
      <c r="T15" s="664"/>
      <c r="U15" s="664"/>
      <c r="V15" s="664"/>
      <c r="W15" s="664"/>
      <c r="X15" s="664"/>
      <c r="Y15" s="664"/>
      <c r="Z15" s="664"/>
    </row>
    <row r="16" ht="26.25" customHeight="1">
      <c r="A16" s="661">
        <v>15.0</v>
      </c>
      <c r="B16" s="662" t="s">
        <v>7552</v>
      </c>
      <c r="C16" s="662" t="s">
        <v>7553</v>
      </c>
      <c r="D16" s="665" t="s">
        <v>7591</v>
      </c>
      <c r="E16" s="665" t="s">
        <v>7592</v>
      </c>
      <c r="F16" s="666" t="s">
        <v>7593</v>
      </c>
      <c r="G16" s="665" t="s">
        <v>7594</v>
      </c>
      <c r="H16" s="663" t="s">
        <v>7595</v>
      </c>
      <c r="I16" s="664"/>
      <c r="J16" s="664"/>
      <c r="K16" s="664"/>
      <c r="L16" s="664"/>
      <c r="M16" s="664"/>
      <c r="N16" s="664"/>
      <c r="O16" s="664"/>
      <c r="P16" s="664"/>
      <c r="Q16" s="664"/>
      <c r="R16" s="664"/>
      <c r="S16" s="664"/>
      <c r="T16" s="664"/>
      <c r="U16" s="664"/>
      <c r="V16" s="664"/>
      <c r="W16" s="664"/>
      <c r="X16" s="664"/>
      <c r="Y16" s="664"/>
      <c r="Z16" s="664"/>
    </row>
    <row r="17">
      <c r="A17" s="661">
        <v>16.0</v>
      </c>
      <c r="B17" s="662" t="s">
        <v>7552</v>
      </c>
      <c r="C17" s="662" t="s">
        <v>7553</v>
      </c>
      <c r="D17" s="667" t="s">
        <v>7596</v>
      </c>
      <c r="E17" s="667" t="s">
        <v>7597</v>
      </c>
      <c r="F17" s="665">
        <f>+966533417304</f>
        <v>966533417304</v>
      </c>
      <c r="G17" s="665"/>
      <c r="H17" s="663" t="s">
        <v>3613</v>
      </c>
      <c r="I17" s="664"/>
      <c r="J17" s="664"/>
      <c r="K17" s="664"/>
      <c r="L17" s="664"/>
      <c r="M17" s="664"/>
      <c r="N17" s="664"/>
      <c r="O17" s="664"/>
      <c r="P17" s="664"/>
      <c r="Q17" s="664"/>
      <c r="R17" s="664"/>
      <c r="S17" s="664"/>
      <c r="T17" s="664"/>
      <c r="U17" s="664"/>
      <c r="V17" s="664"/>
      <c r="W17" s="664"/>
      <c r="X17" s="664"/>
      <c r="Y17" s="664"/>
      <c r="Z17" s="664"/>
    </row>
    <row r="18">
      <c r="A18" s="661">
        <v>17.0</v>
      </c>
      <c r="B18" s="662" t="s">
        <v>7552</v>
      </c>
      <c r="C18" s="662" t="s">
        <v>7553</v>
      </c>
      <c r="D18" s="667" t="s">
        <v>7598</v>
      </c>
      <c r="E18" s="667" t="s">
        <v>7599</v>
      </c>
      <c r="F18" s="665">
        <f>+971505164964</f>
        <v>971505164964</v>
      </c>
      <c r="G18" s="665"/>
      <c r="H18" s="663" t="s">
        <v>3613</v>
      </c>
      <c r="I18" s="664"/>
      <c r="J18" s="664"/>
      <c r="K18" s="664"/>
      <c r="L18" s="664"/>
      <c r="M18" s="664"/>
      <c r="N18" s="664"/>
      <c r="O18" s="664"/>
      <c r="P18" s="664"/>
      <c r="Q18" s="664"/>
      <c r="R18" s="664"/>
      <c r="S18" s="664"/>
      <c r="T18" s="664"/>
      <c r="U18" s="664"/>
      <c r="V18" s="664"/>
      <c r="W18" s="664"/>
      <c r="X18" s="664"/>
      <c r="Y18" s="664"/>
      <c r="Z18" s="664"/>
    </row>
    <row r="19">
      <c r="A19" s="661">
        <v>18.0</v>
      </c>
      <c r="B19" s="662" t="s">
        <v>7552</v>
      </c>
      <c r="C19" s="662" t="s">
        <v>7553</v>
      </c>
      <c r="D19" s="667" t="s">
        <v>7600</v>
      </c>
      <c r="E19" s="667" t="s">
        <v>7601</v>
      </c>
      <c r="F19" s="665">
        <f>+966502570852</f>
        <v>966502570852</v>
      </c>
      <c r="G19" s="665"/>
      <c r="H19" s="663" t="s">
        <v>3613</v>
      </c>
      <c r="I19" s="664"/>
      <c r="J19" s="664"/>
      <c r="K19" s="664"/>
      <c r="L19" s="664"/>
      <c r="M19" s="664"/>
      <c r="N19" s="664"/>
      <c r="O19" s="664"/>
      <c r="P19" s="664"/>
      <c r="Q19" s="664"/>
      <c r="R19" s="664"/>
      <c r="S19" s="664"/>
      <c r="T19" s="664"/>
      <c r="U19" s="664"/>
      <c r="V19" s="664"/>
      <c r="W19" s="664"/>
      <c r="X19" s="664"/>
      <c r="Y19" s="664"/>
      <c r="Z19" s="664"/>
    </row>
    <row r="20">
      <c r="A20" s="661">
        <v>19.0</v>
      </c>
      <c r="B20" s="662" t="s">
        <v>7552</v>
      </c>
      <c r="C20" s="662" t="s">
        <v>7553</v>
      </c>
      <c r="D20" s="667" t="s">
        <v>7602</v>
      </c>
      <c r="E20" s="667" t="s">
        <v>7603</v>
      </c>
      <c r="F20" s="665">
        <f>+966536912350</f>
        <v>966536912350</v>
      </c>
      <c r="G20" s="665"/>
      <c r="H20" s="663" t="s">
        <v>6964</v>
      </c>
      <c r="I20" s="664"/>
      <c r="J20" s="664"/>
      <c r="K20" s="664"/>
      <c r="L20" s="664"/>
      <c r="M20" s="664"/>
      <c r="N20" s="664"/>
      <c r="O20" s="664"/>
      <c r="P20" s="664"/>
      <c r="Q20" s="664"/>
      <c r="R20" s="664"/>
      <c r="S20" s="664"/>
      <c r="T20" s="664"/>
      <c r="U20" s="664"/>
      <c r="V20" s="664"/>
      <c r="W20" s="664"/>
      <c r="X20" s="664"/>
      <c r="Y20" s="664"/>
      <c r="Z20" s="664"/>
    </row>
    <row r="21">
      <c r="A21" s="661">
        <v>20.0</v>
      </c>
      <c r="B21" s="662" t="s">
        <v>7552</v>
      </c>
      <c r="C21" s="662" t="s">
        <v>7553</v>
      </c>
      <c r="D21" s="667" t="s">
        <v>7604</v>
      </c>
      <c r="E21" s="667" t="s">
        <v>7605</v>
      </c>
      <c r="F21" s="665">
        <f>+971506743465</f>
        <v>971506743465</v>
      </c>
      <c r="G21" s="665"/>
      <c r="H21" s="663" t="s">
        <v>3613</v>
      </c>
      <c r="I21" s="664"/>
      <c r="J21" s="664"/>
      <c r="K21" s="664"/>
      <c r="L21" s="664"/>
      <c r="M21" s="664"/>
      <c r="N21" s="664"/>
      <c r="O21" s="664"/>
      <c r="P21" s="664"/>
      <c r="Q21" s="664"/>
      <c r="R21" s="664"/>
      <c r="S21" s="664"/>
      <c r="T21" s="664"/>
      <c r="U21" s="664"/>
      <c r="V21" s="664"/>
      <c r="W21" s="664"/>
      <c r="X21" s="664"/>
      <c r="Y21" s="664"/>
      <c r="Z21" s="664"/>
    </row>
    <row r="22">
      <c r="A22" s="661">
        <v>21.0</v>
      </c>
      <c r="B22" s="662" t="s">
        <v>7552</v>
      </c>
      <c r="C22" s="662" t="s">
        <v>7553</v>
      </c>
      <c r="D22" s="667" t="s">
        <v>7606</v>
      </c>
      <c r="E22" s="667" t="s">
        <v>7607</v>
      </c>
      <c r="F22" s="665">
        <f>+17707446249</f>
        <v>17707446249</v>
      </c>
      <c r="G22" s="665"/>
      <c r="H22" s="663" t="s">
        <v>3613</v>
      </c>
      <c r="I22" s="664"/>
      <c r="J22" s="664"/>
      <c r="K22" s="664"/>
      <c r="L22" s="664"/>
      <c r="M22" s="664"/>
      <c r="N22" s="664"/>
      <c r="O22" s="664"/>
      <c r="P22" s="664"/>
      <c r="Q22" s="664"/>
      <c r="R22" s="664"/>
      <c r="S22" s="664"/>
      <c r="T22" s="664"/>
      <c r="U22" s="664"/>
      <c r="V22" s="664"/>
      <c r="W22" s="664"/>
      <c r="X22" s="664"/>
      <c r="Y22" s="664"/>
      <c r="Z22" s="664"/>
    </row>
    <row r="23">
      <c r="A23" s="661">
        <v>22.0</v>
      </c>
      <c r="B23" s="662" t="s">
        <v>7552</v>
      </c>
      <c r="C23" s="662" t="s">
        <v>7553</v>
      </c>
      <c r="D23" s="665" t="s">
        <v>7608</v>
      </c>
      <c r="E23" s="665" t="s">
        <v>7609</v>
      </c>
      <c r="F23" s="666" t="s">
        <v>7610</v>
      </c>
      <c r="G23" s="665"/>
      <c r="H23" s="663" t="s">
        <v>168</v>
      </c>
      <c r="I23" s="664"/>
      <c r="J23" s="664"/>
      <c r="K23" s="664"/>
      <c r="L23" s="664"/>
      <c r="M23" s="664"/>
      <c r="N23" s="664"/>
      <c r="O23" s="664"/>
      <c r="P23" s="664"/>
      <c r="Q23" s="664"/>
      <c r="R23" s="664"/>
      <c r="S23" s="664"/>
      <c r="T23" s="664"/>
      <c r="U23" s="664"/>
      <c r="V23" s="664"/>
      <c r="W23" s="664"/>
      <c r="X23" s="664"/>
      <c r="Y23" s="664"/>
      <c r="Z23" s="664"/>
    </row>
    <row r="24">
      <c r="A24" s="661">
        <v>23.0</v>
      </c>
      <c r="B24" s="662" t="s">
        <v>7552</v>
      </c>
      <c r="C24" s="662" t="s">
        <v>7553</v>
      </c>
      <c r="D24" s="665" t="s">
        <v>7611</v>
      </c>
      <c r="E24" s="667" t="s">
        <v>7612</v>
      </c>
      <c r="F24" s="666" t="s">
        <v>7613</v>
      </c>
      <c r="G24" s="665" t="s">
        <v>7614</v>
      </c>
      <c r="H24" s="663" t="s">
        <v>168</v>
      </c>
      <c r="I24" s="664"/>
      <c r="J24" s="664"/>
      <c r="K24" s="664"/>
      <c r="L24" s="664"/>
      <c r="M24" s="664"/>
      <c r="N24" s="664"/>
      <c r="O24" s="664"/>
      <c r="P24" s="664"/>
      <c r="Q24" s="664"/>
      <c r="R24" s="664"/>
      <c r="S24" s="664"/>
      <c r="T24" s="664"/>
      <c r="U24" s="664"/>
      <c r="V24" s="664"/>
      <c r="W24" s="664"/>
      <c r="X24" s="664"/>
      <c r="Y24" s="664"/>
      <c r="Z24" s="664"/>
    </row>
    <row r="25">
      <c r="A25" s="661">
        <v>24.0</v>
      </c>
      <c r="B25" s="662" t="s">
        <v>7552</v>
      </c>
      <c r="C25" s="662" t="s">
        <v>7553</v>
      </c>
      <c r="D25" s="668" t="s">
        <v>7615</v>
      </c>
      <c r="E25" s="668" t="s">
        <v>7616</v>
      </c>
      <c r="F25" s="668">
        <v>7.847470847E9</v>
      </c>
      <c r="G25" s="668" t="s">
        <v>7055</v>
      </c>
      <c r="H25" s="663" t="s">
        <v>251</v>
      </c>
      <c r="I25" s="664"/>
      <c r="J25" s="664"/>
      <c r="K25" s="664"/>
      <c r="L25" s="664"/>
      <c r="M25" s="664"/>
      <c r="N25" s="664"/>
      <c r="O25" s="664"/>
      <c r="P25" s="664"/>
      <c r="Q25" s="664"/>
      <c r="R25" s="664"/>
      <c r="S25" s="664"/>
      <c r="T25" s="664"/>
      <c r="U25" s="664"/>
      <c r="V25" s="664"/>
      <c r="W25" s="664"/>
      <c r="X25" s="664"/>
      <c r="Y25" s="664"/>
      <c r="Z25" s="664"/>
    </row>
    <row r="26">
      <c r="A26" s="661">
        <v>25.0</v>
      </c>
      <c r="B26" s="662" t="s">
        <v>7552</v>
      </c>
      <c r="C26" s="662" t="s">
        <v>7553</v>
      </c>
      <c r="D26" s="668" t="s">
        <v>7617</v>
      </c>
      <c r="E26" s="668" t="s">
        <v>7618</v>
      </c>
      <c r="F26" s="668">
        <f>+4407956881203</f>
        <v>4407956881203</v>
      </c>
      <c r="G26" s="668" t="s">
        <v>7055</v>
      </c>
      <c r="H26" s="663" t="s">
        <v>3613</v>
      </c>
      <c r="I26" s="664"/>
      <c r="J26" s="664"/>
      <c r="K26" s="664"/>
      <c r="L26" s="664"/>
      <c r="M26" s="664"/>
      <c r="N26" s="664"/>
      <c r="O26" s="664"/>
      <c r="P26" s="664"/>
      <c r="Q26" s="664"/>
      <c r="R26" s="664"/>
      <c r="S26" s="664"/>
      <c r="T26" s="664"/>
      <c r="U26" s="664"/>
      <c r="V26" s="664"/>
      <c r="W26" s="664"/>
      <c r="X26" s="664"/>
      <c r="Y26" s="664"/>
      <c r="Z26" s="664"/>
    </row>
    <row r="27">
      <c r="A27" s="661">
        <v>26.0</v>
      </c>
      <c r="B27" s="662" t="s">
        <v>7552</v>
      </c>
      <c r="C27" s="662" t="s">
        <v>7553</v>
      </c>
      <c r="D27" s="668" t="s">
        <v>7619</v>
      </c>
      <c r="E27" s="668" t="s">
        <v>7620</v>
      </c>
      <c r="F27" s="668">
        <f>+971503465592</f>
        <v>971503465592</v>
      </c>
      <c r="G27" s="668" t="s">
        <v>7055</v>
      </c>
      <c r="H27" s="663" t="s">
        <v>3613</v>
      </c>
      <c r="I27" s="664"/>
      <c r="J27" s="664"/>
      <c r="K27" s="664"/>
      <c r="L27" s="664"/>
      <c r="M27" s="664"/>
      <c r="N27" s="664"/>
      <c r="O27" s="664"/>
      <c r="P27" s="664"/>
      <c r="Q27" s="664"/>
      <c r="R27" s="664"/>
      <c r="S27" s="664"/>
      <c r="T27" s="664"/>
      <c r="U27" s="664"/>
      <c r="V27" s="664"/>
      <c r="W27" s="664"/>
      <c r="X27" s="664"/>
      <c r="Y27" s="664"/>
      <c r="Z27" s="664"/>
    </row>
    <row r="28">
      <c r="A28" s="661">
        <v>27.0</v>
      </c>
      <c r="B28" s="662" t="s">
        <v>7552</v>
      </c>
      <c r="C28" s="662" t="s">
        <v>7553</v>
      </c>
      <c r="D28" s="665" t="s">
        <v>7580</v>
      </c>
      <c r="E28" s="665" t="s">
        <v>7581</v>
      </c>
      <c r="F28" s="665">
        <f>+33609013074</f>
        <v>33609013074</v>
      </c>
      <c r="G28" s="665" t="s">
        <v>7055</v>
      </c>
      <c r="H28" s="663" t="s">
        <v>3613</v>
      </c>
      <c r="I28" s="664"/>
      <c r="J28" s="664"/>
      <c r="K28" s="664"/>
      <c r="L28" s="664"/>
      <c r="M28" s="664"/>
      <c r="N28" s="664"/>
      <c r="O28" s="664"/>
      <c r="P28" s="664"/>
      <c r="Q28" s="664"/>
      <c r="R28" s="664"/>
      <c r="S28" s="664"/>
      <c r="T28" s="664"/>
      <c r="U28" s="664"/>
      <c r="V28" s="664"/>
      <c r="W28" s="664"/>
      <c r="X28" s="664"/>
      <c r="Y28" s="664"/>
      <c r="Z28" s="664"/>
    </row>
    <row r="29">
      <c r="A29" s="661">
        <v>28.0</v>
      </c>
      <c r="B29" s="662" t="s">
        <v>7552</v>
      </c>
      <c r="C29" s="662" t="s">
        <v>7553</v>
      </c>
      <c r="D29" s="665" t="s">
        <v>7621</v>
      </c>
      <c r="E29" s="665" t="s">
        <v>7622</v>
      </c>
      <c r="F29" s="665">
        <f>+33613734141</f>
        <v>33613734141</v>
      </c>
      <c r="G29" s="665" t="s">
        <v>7055</v>
      </c>
      <c r="H29" s="663" t="s">
        <v>7623</v>
      </c>
      <c r="I29" s="664"/>
      <c r="J29" s="664"/>
      <c r="K29" s="664"/>
      <c r="L29" s="664"/>
      <c r="M29" s="664"/>
      <c r="N29" s="664"/>
      <c r="O29" s="664"/>
      <c r="P29" s="664"/>
      <c r="Q29" s="664"/>
      <c r="R29" s="664"/>
      <c r="S29" s="664"/>
      <c r="T29" s="664"/>
      <c r="U29" s="664"/>
      <c r="V29" s="664"/>
      <c r="W29" s="664"/>
      <c r="X29" s="664"/>
      <c r="Y29" s="664"/>
      <c r="Z29" s="664"/>
    </row>
    <row r="30">
      <c r="A30" s="661">
        <v>29.0</v>
      </c>
      <c r="B30" s="662" t="s">
        <v>7552</v>
      </c>
      <c r="C30" s="662" t="s">
        <v>7553</v>
      </c>
      <c r="D30" s="665" t="s">
        <v>7624</v>
      </c>
      <c r="E30" s="665" t="s">
        <v>7625</v>
      </c>
      <c r="F30" s="665">
        <f>+4407788760740</f>
        <v>4407788760740</v>
      </c>
      <c r="G30" s="665" t="s">
        <v>7055</v>
      </c>
      <c r="H30" s="663" t="s">
        <v>6930</v>
      </c>
      <c r="I30" s="664"/>
      <c r="J30" s="664"/>
      <c r="K30" s="664"/>
      <c r="L30" s="664"/>
      <c r="M30" s="664"/>
      <c r="N30" s="664"/>
      <c r="O30" s="664"/>
      <c r="P30" s="664"/>
      <c r="Q30" s="664"/>
      <c r="R30" s="664"/>
      <c r="S30" s="664"/>
      <c r="T30" s="664"/>
      <c r="U30" s="664"/>
      <c r="V30" s="664"/>
      <c r="W30" s="664"/>
      <c r="X30" s="664"/>
      <c r="Y30" s="664"/>
      <c r="Z30" s="664"/>
    </row>
    <row r="31">
      <c r="A31" s="661">
        <v>30.0</v>
      </c>
      <c r="B31" s="662" t="s">
        <v>7552</v>
      </c>
      <c r="C31" s="662" t="s">
        <v>7553</v>
      </c>
      <c r="D31" s="665" t="s">
        <v>7626</v>
      </c>
      <c r="E31" s="665" t="s">
        <v>7627</v>
      </c>
      <c r="F31" s="665">
        <f>+966506258005</f>
        <v>966506258005</v>
      </c>
      <c r="G31" s="665" t="s">
        <v>7055</v>
      </c>
      <c r="H31" s="663" t="s">
        <v>3613</v>
      </c>
      <c r="I31" s="664"/>
      <c r="J31" s="664"/>
      <c r="K31" s="664"/>
      <c r="L31" s="664"/>
      <c r="M31" s="664"/>
      <c r="N31" s="664"/>
      <c r="O31" s="664"/>
      <c r="P31" s="664"/>
      <c r="Q31" s="664"/>
      <c r="R31" s="664"/>
      <c r="S31" s="664"/>
      <c r="T31" s="664"/>
      <c r="U31" s="664"/>
      <c r="V31" s="664"/>
      <c r="W31" s="664"/>
      <c r="X31" s="664"/>
      <c r="Y31" s="664"/>
      <c r="Z31" s="664"/>
    </row>
    <row r="32">
      <c r="A32" s="661">
        <v>31.0</v>
      </c>
      <c r="B32" s="662" t="s">
        <v>7552</v>
      </c>
      <c r="C32" s="662" t="s">
        <v>7553</v>
      </c>
      <c r="D32" s="668" t="s">
        <v>7628</v>
      </c>
      <c r="E32" s="668" t="s">
        <v>7629</v>
      </c>
      <c r="F32" s="668">
        <f>+447572269900</f>
        <v>447572269900</v>
      </c>
      <c r="G32" s="668" t="s">
        <v>7055</v>
      </c>
      <c r="H32" s="663" t="s">
        <v>3613</v>
      </c>
      <c r="I32" s="664"/>
      <c r="J32" s="664"/>
      <c r="K32" s="664"/>
      <c r="L32" s="664"/>
      <c r="M32" s="664"/>
      <c r="N32" s="664"/>
      <c r="O32" s="664"/>
      <c r="P32" s="664"/>
      <c r="Q32" s="664"/>
      <c r="R32" s="664"/>
      <c r="S32" s="664"/>
      <c r="T32" s="664"/>
      <c r="U32" s="664"/>
      <c r="V32" s="664"/>
      <c r="W32" s="664"/>
      <c r="X32" s="664"/>
      <c r="Y32" s="664"/>
      <c r="Z32" s="664"/>
    </row>
    <row r="33">
      <c r="A33" s="661">
        <v>32.0</v>
      </c>
      <c r="B33" s="662" t="s">
        <v>7552</v>
      </c>
      <c r="C33" s="662" t="s">
        <v>7553</v>
      </c>
      <c r="D33" s="668" t="s">
        <v>7630</v>
      </c>
      <c r="E33" s="668" t="s">
        <v>7631</v>
      </c>
      <c r="F33" s="668">
        <f>+330632637199</f>
        <v>330632637199</v>
      </c>
      <c r="G33" s="668" t="s">
        <v>7556</v>
      </c>
      <c r="H33" s="663" t="s">
        <v>255</v>
      </c>
      <c r="I33" s="664"/>
      <c r="J33" s="664"/>
      <c r="K33" s="664"/>
      <c r="L33" s="664"/>
      <c r="M33" s="664"/>
      <c r="N33" s="664"/>
      <c r="O33" s="664"/>
      <c r="P33" s="664"/>
      <c r="Q33" s="664"/>
      <c r="R33" s="664"/>
      <c r="S33" s="664"/>
      <c r="T33" s="664"/>
      <c r="U33" s="664"/>
      <c r="V33" s="664"/>
      <c r="W33" s="664"/>
      <c r="X33" s="664"/>
      <c r="Y33" s="664"/>
      <c r="Z33" s="664"/>
    </row>
    <row r="34">
      <c r="A34" s="661">
        <v>33.0</v>
      </c>
      <c r="B34" s="662" t="s">
        <v>7552</v>
      </c>
      <c r="C34" s="662" t="s">
        <v>7553</v>
      </c>
      <c r="D34" s="665" t="s">
        <v>7632</v>
      </c>
      <c r="E34" s="665" t="s">
        <v>7633</v>
      </c>
      <c r="F34" s="665">
        <f>+33616911281</f>
        <v>33616911281</v>
      </c>
      <c r="G34" s="665" t="s">
        <v>3810</v>
      </c>
      <c r="H34" s="663" t="s">
        <v>7634</v>
      </c>
      <c r="I34" s="664"/>
      <c r="J34" s="664"/>
      <c r="K34" s="664"/>
      <c r="L34" s="664"/>
      <c r="M34" s="664"/>
      <c r="N34" s="664"/>
      <c r="O34" s="664"/>
      <c r="P34" s="664"/>
      <c r="Q34" s="664"/>
      <c r="R34" s="664"/>
      <c r="S34" s="664"/>
      <c r="T34" s="664"/>
      <c r="U34" s="664"/>
      <c r="V34" s="664"/>
      <c r="W34" s="664"/>
      <c r="X34" s="664"/>
      <c r="Y34" s="664"/>
      <c r="Z34" s="664"/>
    </row>
    <row r="35">
      <c r="A35" s="661">
        <v>34.0</v>
      </c>
      <c r="B35" s="662" t="s">
        <v>7552</v>
      </c>
      <c r="C35" s="662" t="s">
        <v>7553</v>
      </c>
      <c r="D35" s="665" t="s">
        <v>7635</v>
      </c>
      <c r="E35" s="665" t="s">
        <v>7636</v>
      </c>
      <c r="F35" s="665">
        <f>+447476767645</f>
        <v>447476767645</v>
      </c>
      <c r="G35" s="665" t="s">
        <v>3810</v>
      </c>
      <c r="H35" s="663" t="s">
        <v>168</v>
      </c>
      <c r="I35" s="664"/>
      <c r="J35" s="664"/>
      <c r="K35" s="664"/>
      <c r="L35" s="664"/>
      <c r="M35" s="664"/>
      <c r="N35" s="664"/>
      <c r="O35" s="664"/>
      <c r="P35" s="664"/>
      <c r="Q35" s="664"/>
      <c r="R35" s="664"/>
      <c r="S35" s="664"/>
      <c r="T35" s="664"/>
      <c r="U35" s="664"/>
      <c r="V35" s="664"/>
      <c r="W35" s="664"/>
      <c r="X35" s="664"/>
      <c r="Y35" s="664"/>
      <c r="Z35" s="664"/>
    </row>
    <row r="36">
      <c r="A36" s="662"/>
      <c r="B36" s="662"/>
      <c r="C36" s="662"/>
      <c r="D36" s="662"/>
      <c r="E36" s="662"/>
      <c r="F36" s="662"/>
      <c r="G36" s="662"/>
      <c r="H36" s="664"/>
      <c r="I36" s="664"/>
      <c r="J36" s="664"/>
      <c r="K36" s="664"/>
      <c r="L36" s="664"/>
      <c r="M36" s="664"/>
      <c r="N36" s="664"/>
      <c r="O36" s="664"/>
      <c r="P36" s="664"/>
      <c r="Q36" s="664"/>
      <c r="R36" s="664"/>
      <c r="S36" s="664"/>
      <c r="T36" s="664"/>
      <c r="U36" s="664"/>
      <c r="V36" s="664"/>
      <c r="W36" s="664"/>
      <c r="X36" s="664"/>
      <c r="Y36" s="664"/>
      <c r="Z36" s="664"/>
    </row>
    <row r="37">
      <c r="A37" s="664"/>
      <c r="B37" s="664"/>
      <c r="C37" s="664"/>
      <c r="D37" s="664"/>
      <c r="E37" s="664"/>
      <c r="F37" s="664"/>
      <c r="G37" s="664"/>
      <c r="H37" s="664"/>
      <c r="I37" s="664"/>
      <c r="J37" s="664"/>
      <c r="K37" s="664"/>
      <c r="L37" s="664"/>
      <c r="M37" s="664"/>
      <c r="N37" s="664"/>
      <c r="O37" s="664"/>
      <c r="P37" s="664"/>
      <c r="Q37" s="664"/>
      <c r="R37" s="664"/>
      <c r="S37" s="664"/>
      <c r="T37" s="664"/>
      <c r="U37" s="664"/>
      <c r="V37" s="664"/>
      <c r="W37" s="664"/>
      <c r="X37" s="664"/>
      <c r="Y37" s="664"/>
      <c r="Z37" s="664"/>
    </row>
    <row r="38">
      <c r="A38" s="664"/>
      <c r="B38" s="663" t="s">
        <v>7637</v>
      </c>
      <c r="C38" s="664"/>
      <c r="D38" s="664"/>
      <c r="E38" s="664"/>
      <c r="F38" s="664"/>
      <c r="G38" s="664"/>
      <c r="H38" s="664"/>
      <c r="I38" s="664"/>
      <c r="J38" s="664"/>
      <c r="K38" s="664"/>
      <c r="L38" s="664"/>
      <c r="M38" s="664"/>
      <c r="N38" s="664"/>
      <c r="O38" s="664"/>
      <c r="P38" s="664"/>
      <c r="Q38" s="664"/>
      <c r="R38" s="664"/>
      <c r="S38" s="664"/>
      <c r="T38" s="664"/>
      <c r="U38" s="664"/>
      <c r="V38" s="664"/>
      <c r="W38" s="664"/>
      <c r="X38" s="664"/>
      <c r="Y38" s="664"/>
      <c r="Z38" s="664"/>
    </row>
    <row r="39">
      <c r="A39" s="664"/>
      <c r="B39" s="663" t="s">
        <v>7638</v>
      </c>
      <c r="E39" s="664"/>
      <c r="F39" s="664"/>
      <c r="G39" s="664"/>
      <c r="H39" s="664"/>
      <c r="I39" s="664"/>
      <c r="J39" s="664"/>
      <c r="K39" s="664"/>
      <c r="L39" s="664"/>
      <c r="M39" s="664"/>
      <c r="N39" s="664"/>
      <c r="O39" s="664"/>
      <c r="P39" s="664"/>
      <c r="Q39" s="664"/>
      <c r="R39" s="664"/>
      <c r="S39" s="664"/>
      <c r="T39" s="664"/>
      <c r="U39" s="664"/>
      <c r="V39" s="664"/>
      <c r="W39" s="664"/>
      <c r="X39" s="664"/>
      <c r="Y39" s="664"/>
      <c r="Z39" s="664"/>
    </row>
    <row r="40">
      <c r="A40" s="664"/>
      <c r="B40" s="664"/>
      <c r="C40" s="664"/>
      <c r="D40" s="664"/>
      <c r="E40" s="664"/>
      <c r="F40" s="664"/>
      <c r="G40" s="664"/>
      <c r="H40" s="664"/>
      <c r="I40" s="664"/>
      <c r="J40" s="664"/>
      <c r="K40" s="664"/>
      <c r="L40" s="664"/>
      <c r="M40" s="664"/>
      <c r="N40" s="664"/>
      <c r="O40" s="664"/>
      <c r="P40" s="664"/>
      <c r="Q40" s="664"/>
      <c r="R40" s="664"/>
      <c r="S40" s="664"/>
      <c r="T40" s="664"/>
      <c r="U40" s="664"/>
      <c r="V40" s="664"/>
      <c r="W40" s="664"/>
      <c r="X40" s="664"/>
      <c r="Y40" s="664"/>
      <c r="Z40" s="664"/>
    </row>
    <row r="41">
      <c r="A41" s="664"/>
      <c r="B41" s="664"/>
      <c r="C41" s="664"/>
      <c r="D41" s="664"/>
      <c r="E41" s="664"/>
      <c r="F41" s="664"/>
      <c r="G41" s="664"/>
      <c r="H41" s="664"/>
      <c r="I41" s="664"/>
      <c r="J41" s="664"/>
      <c r="K41" s="664"/>
      <c r="L41" s="664"/>
      <c r="M41" s="664"/>
      <c r="N41" s="664"/>
      <c r="O41" s="664"/>
      <c r="P41" s="664"/>
      <c r="Q41" s="664"/>
      <c r="R41" s="664"/>
      <c r="S41" s="664"/>
      <c r="T41" s="664"/>
      <c r="U41" s="664"/>
      <c r="V41" s="664"/>
      <c r="W41" s="664"/>
      <c r="X41" s="664"/>
      <c r="Y41" s="664"/>
      <c r="Z41" s="664"/>
    </row>
    <row r="42">
      <c r="A42" s="664"/>
      <c r="B42" s="663" t="s">
        <v>6194</v>
      </c>
      <c r="C42" s="664"/>
      <c r="D42" s="664"/>
      <c r="E42" s="664"/>
      <c r="F42" s="664"/>
      <c r="G42" s="664"/>
      <c r="H42" s="664"/>
      <c r="I42" s="664"/>
      <c r="J42" s="664"/>
      <c r="K42" s="664"/>
      <c r="L42" s="664"/>
      <c r="M42" s="664"/>
      <c r="N42" s="664"/>
      <c r="O42" s="664"/>
      <c r="P42" s="664"/>
      <c r="Q42" s="664"/>
      <c r="R42" s="664"/>
      <c r="S42" s="664"/>
      <c r="T42" s="664"/>
      <c r="U42" s="664"/>
      <c r="V42" s="664"/>
      <c r="W42" s="664"/>
      <c r="X42" s="664"/>
      <c r="Y42" s="664"/>
      <c r="Z42" s="664"/>
    </row>
    <row r="43" ht="18.0" customHeight="1">
      <c r="A43" s="664"/>
      <c r="B43" s="663" t="s">
        <v>7608</v>
      </c>
      <c r="C43" s="663" t="s">
        <v>7639</v>
      </c>
      <c r="D43" s="664"/>
      <c r="E43" s="664"/>
      <c r="F43" s="664"/>
      <c r="G43" s="664"/>
      <c r="H43" s="664"/>
      <c r="I43" s="664"/>
      <c r="J43" s="664"/>
      <c r="K43" s="664"/>
      <c r="L43" s="664"/>
      <c r="M43" s="664"/>
      <c r="N43" s="664"/>
      <c r="O43" s="664"/>
      <c r="P43" s="664"/>
      <c r="Q43" s="664"/>
      <c r="R43" s="664"/>
      <c r="S43" s="664"/>
      <c r="T43" s="664"/>
      <c r="U43" s="664"/>
      <c r="V43" s="664"/>
      <c r="W43" s="664"/>
      <c r="X43" s="664"/>
      <c r="Y43" s="664"/>
      <c r="Z43" s="664"/>
    </row>
    <row r="44">
      <c r="A44" s="664"/>
      <c r="B44" s="663" t="s">
        <v>7640</v>
      </c>
      <c r="C44" s="663" t="s">
        <v>7641</v>
      </c>
      <c r="D44" s="664"/>
      <c r="E44" s="664"/>
      <c r="F44" s="664"/>
      <c r="G44" s="664"/>
      <c r="H44" s="664"/>
      <c r="I44" s="664"/>
      <c r="J44" s="664"/>
      <c r="K44" s="664"/>
      <c r="L44" s="664"/>
      <c r="M44" s="664"/>
      <c r="N44" s="664"/>
      <c r="O44" s="664"/>
      <c r="P44" s="664"/>
      <c r="Q44" s="664"/>
      <c r="R44" s="664"/>
      <c r="S44" s="664"/>
      <c r="T44" s="664"/>
      <c r="U44" s="664"/>
      <c r="V44" s="664"/>
      <c r="W44" s="664"/>
      <c r="X44" s="664"/>
      <c r="Y44" s="664"/>
      <c r="Z44" s="664"/>
    </row>
    <row r="45">
      <c r="A45" s="664"/>
      <c r="B45" s="663" t="s">
        <v>7427</v>
      </c>
      <c r="C45" s="664"/>
      <c r="D45" s="664"/>
      <c r="E45" s="664"/>
      <c r="F45" s="664"/>
      <c r="G45" s="664"/>
      <c r="H45" s="664"/>
      <c r="I45" s="664"/>
      <c r="J45" s="664"/>
      <c r="K45" s="664"/>
      <c r="L45" s="664"/>
      <c r="M45" s="664"/>
      <c r="N45" s="664"/>
      <c r="O45" s="664"/>
      <c r="P45" s="664"/>
      <c r="Q45" s="664"/>
      <c r="R45" s="664"/>
      <c r="S45" s="664"/>
      <c r="T45" s="664"/>
      <c r="U45" s="664"/>
      <c r="V45" s="664"/>
      <c r="W45" s="664"/>
      <c r="X45" s="664"/>
      <c r="Y45" s="664"/>
      <c r="Z45" s="664"/>
    </row>
    <row r="46">
      <c r="A46" s="664"/>
      <c r="B46" s="663" t="s">
        <v>7642</v>
      </c>
      <c r="C46" s="663" t="s">
        <v>4237</v>
      </c>
      <c r="D46" s="664"/>
      <c r="E46" s="664"/>
      <c r="F46" s="664"/>
      <c r="G46" s="664"/>
      <c r="H46" s="664"/>
      <c r="I46" s="664"/>
      <c r="J46" s="664"/>
      <c r="K46" s="664"/>
      <c r="L46" s="664"/>
      <c r="M46" s="664"/>
      <c r="N46" s="664"/>
      <c r="O46" s="664"/>
      <c r="P46" s="664"/>
      <c r="Q46" s="664"/>
      <c r="R46" s="664"/>
      <c r="S46" s="664"/>
      <c r="T46" s="664"/>
      <c r="U46" s="664"/>
      <c r="V46" s="664"/>
      <c r="W46" s="664"/>
      <c r="X46" s="664"/>
      <c r="Y46" s="664"/>
      <c r="Z46" s="664"/>
    </row>
    <row r="47">
      <c r="A47" s="664"/>
      <c r="B47" s="663" t="s">
        <v>7643</v>
      </c>
      <c r="C47" s="663" t="s">
        <v>4237</v>
      </c>
      <c r="D47" s="664"/>
      <c r="E47" s="664"/>
      <c r="F47" s="664"/>
      <c r="G47" s="664"/>
      <c r="H47" s="664"/>
      <c r="I47" s="664"/>
      <c r="J47" s="664"/>
      <c r="K47" s="664"/>
      <c r="L47" s="664"/>
      <c r="M47" s="664"/>
      <c r="N47" s="664"/>
      <c r="O47" s="664"/>
      <c r="P47" s="664"/>
      <c r="Q47" s="664"/>
      <c r="R47" s="664"/>
      <c r="S47" s="664"/>
      <c r="T47" s="664"/>
      <c r="U47" s="664"/>
      <c r="V47" s="664"/>
      <c r="W47" s="664"/>
      <c r="X47" s="664"/>
      <c r="Y47" s="664"/>
      <c r="Z47" s="664"/>
    </row>
    <row r="48">
      <c r="A48" s="664"/>
      <c r="B48" s="663" t="s">
        <v>7644</v>
      </c>
      <c r="C48" s="663" t="s">
        <v>7645</v>
      </c>
      <c r="D48" s="664"/>
      <c r="E48" s="664"/>
      <c r="F48" s="664"/>
      <c r="G48" s="664"/>
      <c r="H48" s="664"/>
      <c r="I48" s="664"/>
      <c r="J48" s="664"/>
      <c r="K48" s="664"/>
      <c r="L48" s="664"/>
      <c r="M48" s="664"/>
      <c r="N48" s="664"/>
      <c r="O48" s="664"/>
      <c r="P48" s="664"/>
      <c r="Q48" s="664"/>
      <c r="R48" s="664"/>
      <c r="S48" s="664"/>
      <c r="T48" s="664"/>
      <c r="U48" s="664"/>
      <c r="V48" s="664"/>
      <c r="W48" s="664"/>
      <c r="X48" s="664"/>
      <c r="Y48" s="664"/>
      <c r="Z48" s="664"/>
    </row>
    <row r="49">
      <c r="A49" s="664"/>
      <c r="B49" s="663" t="s">
        <v>7646</v>
      </c>
      <c r="C49" s="663" t="s">
        <v>4237</v>
      </c>
      <c r="D49" s="664"/>
      <c r="E49" s="664"/>
      <c r="F49" s="664"/>
      <c r="G49" s="664"/>
      <c r="H49" s="664"/>
      <c r="I49" s="664"/>
      <c r="J49" s="664"/>
      <c r="K49" s="664"/>
      <c r="L49" s="664"/>
      <c r="M49" s="664"/>
      <c r="N49" s="664"/>
      <c r="O49" s="664"/>
      <c r="P49" s="664"/>
      <c r="Q49" s="664"/>
      <c r="R49" s="664"/>
      <c r="S49" s="664"/>
      <c r="T49" s="664"/>
      <c r="U49" s="664"/>
      <c r="V49" s="664"/>
      <c r="W49" s="664"/>
      <c r="X49" s="664"/>
      <c r="Y49" s="664"/>
      <c r="Z49" s="664"/>
    </row>
    <row r="50">
      <c r="A50" s="664"/>
      <c r="B50" s="663" t="s">
        <v>7647</v>
      </c>
      <c r="C50" s="663" t="s">
        <v>7648</v>
      </c>
      <c r="D50" s="664"/>
      <c r="E50" s="664"/>
      <c r="F50" s="664"/>
      <c r="G50" s="664"/>
      <c r="H50" s="664"/>
      <c r="I50" s="664"/>
      <c r="J50" s="664"/>
      <c r="K50" s="664"/>
      <c r="L50" s="664"/>
      <c r="M50" s="664"/>
      <c r="N50" s="664"/>
      <c r="O50" s="664"/>
      <c r="P50" s="664"/>
      <c r="Q50" s="664"/>
      <c r="R50" s="664"/>
      <c r="S50" s="664"/>
      <c r="T50" s="664"/>
      <c r="U50" s="664"/>
      <c r="V50" s="664"/>
      <c r="W50" s="664"/>
      <c r="X50" s="664"/>
      <c r="Y50" s="664"/>
      <c r="Z50" s="664"/>
    </row>
    <row r="51">
      <c r="A51" s="664"/>
      <c r="B51" s="663" t="s">
        <v>7649</v>
      </c>
      <c r="C51" s="663" t="s">
        <v>7650</v>
      </c>
      <c r="D51" s="663">
        <v>5.56344123E8</v>
      </c>
      <c r="E51" s="664"/>
      <c r="F51" s="664"/>
      <c r="G51" s="664"/>
      <c r="H51" s="664"/>
      <c r="I51" s="664"/>
      <c r="J51" s="664"/>
      <c r="K51" s="664"/>
      <c r="L51" s="664"/>
      <c r="M51" s="664"/>
      <c r="N51" s="664"/>
      <c r="O51" s="664"/>
      <c r="P51" s="664"/>
      <c r="Q51" s="664"/>
      <c r="R51" s="664"/>
      <c r="S51" s="664"/>
      <c r="T51" s="664"/>
      <c r="U51" s="664"/>
      <c r="V51" s="664"/>
      <c r="W51" s="664"/>
      <c r="X51" s="664"/>
      <c r="Y51" s="664"/>
      <c r="Z51" s="664"/>
    </row>
    <row r="52">
      <c r="A52" s="664"/>
      <c r="B52" s="663" t="s">
        <v>7651</v>
      </c>
      <c r="C52" s="663" t="s">
        <v>7652</v>
      </c>
      <c r="D52" s="664"/>
      <c r="E52" s="664"/>
      <c r="F52" s="664"/>
      <c r="G52" s="664"/>
      <c r="H52" s="664"/>
      <c r="I52" s="664"/>
      <c r="J52" s="664"/>
      <c r="K52" s="664"/>
      <c r="L52" s="664"/>
      <c r="M52" s="664"/>
      <c r="N52" s="664"/>
      <c r="O52" s="664"/>
      <c r="P52" s="664"/>
      <c r="Q52" s="664"/>
      <c r="R52" s="664"/>
      <c r="S52" s="664"/>
      <c r="T52" s="664"/>
      <c r="U52" s="664"/>
      <c r="V52" s="664"/>
      <c r="W52" s="664"/>
      <c r="X52" s="664"/>
      <c r="Y52" s="664"/>
      <c r="Z52" s="664"/>
    </row>
    <row r="53">
      <c r="A53" s="664"/>
      <c r="B53" s="663" t="s">
        <v>7653</v>
      </c>
      <c r="C53" s="663" t="s">
        <v>7654</v>
      </c>
      <c r="D53" s="664"/>
      <c r="E53" s="664"/>
      <c r="F53" s="664"/>
      <c r="G53" s="664"/>
      <c r="H53" s="664"/>
      <c r="I53" s="664"/>
      <c r="J53" s="664"/>
      <c r="K53" s="664"/>
      <c r="L53" s="664"/>
      <c r="M53" s="664"/>
      <c r="N53" s="664"/>
      <c r="O53" s="664"/>
      <c r="P53" s="664"/>
      <c r="Q53" s="664"/>
      <c r="R53" s="664"/>
      <c r="S53" s="664"/>
      <c r="T53" s="664"/>
      <c r="U53" s="664"/>
      <c r="V53" s="664"/>
      <c r="W53" s="664"/>
      <c r="X53" s="664"/>
      <c r="Y53" s="664"/>
      <c r="Z53" s="664"/>
    </row>
    <row r="54">
      <c r="A54" s="664"/>
      <c r="B54" s="663" t="s">
        <v>7655</v>
      </c>
      <c r="C54" s="663" t="s">
        <v>7656</v>
      </c>
      <c r="D54" s="664"/>
      <c r="E54" s="664"/>
      <c r="F54" s="664"/>
      <c r="G54" s="664"/>
      <c r="H54" s="664"/>
      <c r="I54" s="664"/>
      <c r="J54" s="664"/>
      <c r="K54" s="664"/>
      <c r="L54" s="664"/>
      <c r="M54" s="664"/>
      <c r="N54" s="664"/>
      <c r="O54" s="664"/>
      <c r="P54" s="664"/>
      <c r="Q54" s="664"/>
      <c r="R54" s="664"/>
      <c r="S54" s="664"/>
      <c r="T54" s="664"/>
      <c r="U54" s="664"/>
      <c r="V54" s="664"/>
      <c r="W54" s="664"/>
      <c r="X54" s="664"/>
      <c r="Y54" s="664"/>
      <c r="Z54" s="664"/>
    </row>
    <row r="55">
      <c r="A55" s="664"/>
      <c r="B55" s="663" t="s">
        <v>7466</v>
      </c>
      <c r="C55" s="663" t="s">
        <v>7657</v>
      </c>
      <c r="D55" s="664"/>
      <c r="E55" s="664"/>
      <c r="F55" s="664"/>
      <c r="G55" s="664"/>
      <c r="H55" s="664"/>
      <c r="I55" s="664"/>
      <c r="J55" s="664"/>
      <c r="K55" s="664"/>
      <c r="L55" s="664"/>
      <c r="M55" s="664"/>
      <c r="N55" s="664"/>
      <c r="O55" s="664"/>
      <c r="P55" s="664"/>
      <c r="Q55" s="664"/>
      <c r="R55" s="664"/>
      <c r="S55" s="664"/>
      <c r="T55" s="664"/>
      <c r="U55" s="664"/>
      <c r="V55" s="664"/>
      <c r="W55" s="664"/>
      <c r="X55" s="664"/>
      <c r="Y55" s="664"/>
      <c r="Z55" s="664"/>
    </row>
    <row r="56">
      <c r="A56" s="664"/>
      <c r="B56" s="663" t="s">
        <v>7468</v>
      </c>
      <c r="C56" s="663" t="s">
        <v>7657</v>
      </c>
      <c r="D56" s="664"/>
      <c r="E56" s="664"/>
      <c r="F56" s="664"/>
      <c r="G56" s="664"/>
      <c r="H56" s="664"/>
      <c r="I56" s="664"/>
      <c r="J56" s="664"/>
      <c r="K56" s="664"/>
      <c r="L56" s="664"/>
      <c r="M56" s="664"/>
      <c r="N56" s="664"/>
      <c r="O56" s="664"/>
      <c r="P56" s="664"/>
      <c r="Q56" s="664"/>
      <c r="R56" s="664"/>
      <c r="S56" s="664"/>
      <c r="T56" s="664"/>
      <c r="U56" s="664"/>
      <c r="V56" s="664"/>
      <c r="W56" s="664"/>
      <c r="X56" s="664"/>
      <c r="Y56" s="664"/>
      <c r="Z56" s="664"/>
    </row>
    <row r="57">
      <c r="A57" s="664"/>
      <c r="B57" s="664"/>
      <c r="C57" s="664"/>
      <c r="D57" s="664"/>
      <c r="E57" s="664"/>
      <c r="F57" s="664"/>
      <c r="G57" s="664"/>
      <c r="H57" s="664"/>
      <c r="I57" s="664"/>
      <c r="J57" s="664"/>
      <c r="K57" s="664"/>
      <c r="L57" s="664"/>
      <c r="M57" s="664"/>
      <c r="N57" s="664"/>
      <c r="O57" s="664"/>
      <c r="P57" s="664"/>
      <c r="Q57" s="664"/>
      <c r="R57" s="664"/>
      <c r="S57" s="664"/>
      <c r="T57" s="664"/>
      <c r="U57" s="664"/>
      <c r="V57" s="664"/>
      <c r="W57" s="664"/>
      <c r="X57" s="664"/>
      <c r="Y57" s="664"/>
      <c r="Z57" s="664"/>
    </row>
    <row r="58">
      <c r="A58" s="664"/>
      <c r="B58" s="664"/>
      <c r="C58" s="664"/>
      <c r="D58" s="664"/>
      <c r="E58" s="664"/>
      <c r="F58" s="664"/>
      <c r="G58" s="664"/>
      <c r="H58" s="664"/>
      <c r="I58" s="664"/>
      <c r="J58" s="664"/>
      <c r="K58" s="664"/>
      <c r="L58" s="664"/>
      <c r="M58" s="664"/>
      <c r="N58" s="664"/>
      <c r="O58" s="664"/>
      <c r="P58" s="664"/>
      <c r="Q58" s="664"/>
      <c r="R58" s="664"/>
      <c r="S58" s="664"/>
      <c r="T58" s="664"/>
      <c r="U58" s="664"/>
      <c r="V58" s="664"/>
      <c r="W58" s="664"/>
      <c r="X58" s="664"/>
      <c r="Y58" s="664"/>
      <c r="Z58" s="664"/>
    </row>
    <row r="59">
      <c r="A59" s="664"/>
      <c r="B59" s="664"/>
      <c r="C59" s="664"/>
      <c r="D59" s="664"/>
      <c r="E59" s="664"/>
      <c r="F59" s="664"/>
      <c r="G59" s="664"/>
      <c r="H59" s="664"/>
      <c r="I59" s="664"/>
      <c r="J59" s="664"/>
      <c r="K59" s="664"/>
      <c r="L59" s="664"/>
      <c r="M59" s="664"/>
      <c r="N59" s="664"/>
      <c r="O59" s="664"/>
      <c r="P59" s="664"/>
      <c r="Q59" s="664"/>
      <c r="R59" s="664"/>
      <c r="S59" s="664"/>
      <c r="T59" s="664"/>
      <c r="U59" s="664"/>
      <c r="V59" s="664"/>
      <c r="W59" s="664"/>
      <c r="X59" s="664"/>
      <c r="Y59" s="664"/>
      <c r="Z59" s="664"/>
    </row>
    <row r="60">
      <c r="A60" s="664"/>
      <c r="B60" s="664"/>
      <c r="C60" s="664"/>
      <c r="D60" s="664"/>
      <c r="E60" s="664"/>
      <c r="F60" s="664"/>
      <c r="G60" s="664"/>
      <c r="H60" s="664"/>
      <c r="I60" s="664"/>
      <c r="J60" s="664"/>
      <c r="K60" s="664"/>
      <c r="L60" s="664"/>
      <c r="M60" s="664"/>
      <c r="N60" s="664"/>
      <c r="O60" s="664"/>
      <c r="P60" s="664"/>
      <c r="Q60" s="664"/>
      <c r="R60" s="664"/>
      <c r="S60" s="664"/>
      <c r="T60" s="664"/>
      <c r="U60" s="664"/>
      <c r="V60" s="664"/>
      <c r="W60" s="664"/>
      <c r="X60" s="664"/>
      <c r="Y60" s="664"/>
      <c r="Z60" s="664"/>
    </row>
    <row r="61">
      <c r="A61" s="664"/>
      <c r="B61" s="664"/>
      <c r="C61" s="664"/>
      <c r="D61" s="664"/>
      <c r="E61" s="664"/>
      <c r="F61" s="664"/>
      <c r="G61" s="664"/>
      <c r="H61" s="664"/>
      <c r="I61" s="664"/>
      <c r="J61" s="664"/>
      <c r="K61" s="664"/>
      <c r="L61" s="664"/>
      <c r="M61" s="664"/>
      <c r="N61" s="664"/>
      <c r="O61" s="664"/>
      <c r="P61" s="664"/>
      <c r="Q61" s="664"/>
      <c r="R61" s="664"/>
      <c r="S61" s="664"/>
      <c r="T61" s="664"/>
      <c r="U61" s="664"/>
      <c r="V61" s="664"/>
      <c r="W61" s="664"/>
      <c r="X61" s="664"/>
      <c r="Y61" s="664"/>
      <c r="Z61" s="664"/>
    </row>
    <row r="62">
      <c r="A62" s="664"/>
      <c r="B62" s="664"/>
      <c r="C62" s="664"/>
      <c r="D62" s="664"/>
      <c r="E62" s="664"/>
      <c r="F62" s="664"/>
      <c r="G62" s="664"/>
      <c r="H62" s="664"/>
      <c r="I62" s="664"/>
      <c r="J62" s="664"/>
      <c r="K62" s="664"/>
      <c r="L62" s="664"/>
      <c r="M62" s="664"/>
      <c r="N62" s="664"/>
      <c r="O62" s="664"/>
      <c r="P62" s="664"/>
      <c r="Q62" s="664"/>
      <c r="R62" s="664"/>
      <c r="S62" s="664"/>
      <c r="T62" s="664"/>
      <c r="U62" s="664"/>
      <c r="V62" s="664"/>
      <c r="W62" s="664"/>
      <c r="X62" s="664"/>
      <c r="Y62" s="664"/>
      <c r="Z62" s="664"/>
    </row>
    <row r="63">
      <c r="A63" s="664"/>
      <c r="B63" s="664"/>
      <c r="C63" s="664"/>
      <c r="D63" s="664"/>
      <c r="E63" s="664"/>
      <c r="F63" s="664"/>
      <c r="G63" s="664"/>
      <c r="H63" s="664"/>
      <c r="I63" s="664"/>
      <c r="J63" s="664"/>
      <c r="K63" s="664"/>
      <c r="L63" s="664"/>
      <c r="M63" s="664"/>
      <c r="N63" s="664"/>
      <c r="O63" s="664"/>
      <c r="P63" s="664"/>
      <c r="Q63" s="664"/>
      <c r="R63" s="664"/>
      <c r="S63" s="664"/>
      <c r="T63" s="664"/>
      <c r="U63" s="664"/>
      <c r="V63" s="664"/>
      <c r="W63" s="664"/>
      <c r="X63" s="664"/>
      <c r="Y63" s="664"/>
      <c r="Z63" s="664"/>
    </row>
    <row r="64">
      <c r="A64" s="664"/>
      <c r="B64" s="664"/>
      <c r="C64" s="664"/>
      <c r="D64" s="664"/>
      <c r="E64" s="664"/>
      <c r="F64" s="664"/>
      <c r="G64" s="664"/>
      <c r="H64" s="664"/>
      <c r="I64" s="664"/>
      <c r="J64" s="664"/>
      <c r="K64" s="664"/>
      <c r="L64" s="664"/>
      <c r="M64" s="664"/>
      <c r="N64" s="664"/>
      <c r="O64" s="664"/>
      <c r="P64" s="664"/>
      <c r="Q64" s="664"/>
      <c r="R64" s="664"/>
      <c r="S64" s="664"/>
      <c r="T64" s="664"/>
      <c r="U64" s="664"/>
      <c r="V64" s="664"/>
      <c r="W64" s="664"/>
      <c r="X64" s="664"/>
      <c r="Y64" s="664"/>
      <c r="Z64" s="66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row>
    <row r="68">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row>
    <row r="69">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row>
    <row r="70">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row>
    <row r="71">
      <c r="A71" s="664"/>
      <c r="B71" s="664"/>
      <c r="C71" s="664"/>
      <c r="D71" s="664"/>
      <c r="E71" s="664"/>
      <c r="F71" s="664"/>
      <c r="G71" s="664"/>
      <c r="H71" s="664"/>
      <c r="I71" s="664"/>
      <c r="J71" s="664"/>
      <c r="K71" s="664"/>
      <c r="L71" s="664"/>
      <c r="M71" s="664"/>
      <c r="N71" s="664"/>
      <c r="O71" s="664"/>
      <c r="P71" s="664"/>
      <c r="Q71" s="664"/>
      <c r="R71" s="664"/>
      <c r="S71" s="664"/>
      <c r="T71" s="664"/>
      <c r="U71" s="664"/>
      <c r="V71" s="664"/>
      <c r="W71" s="664"/>
      <c r="X71" s="664"/>
      <c r="Y71" s="664"/>
      <c r="Z71" s="664"/>
    </row>
    <row r="72">
      <c r="A72" s="664"/>
      <c r="B72" s="664"/>
      <c r="C72" s="664"/>
      <c r="D72" s="664"/>
      <c r="E72" s="664"/>
      <c r="F72" s="664"/>
      <c r="G72" s="664"/>
      <c r="H72" s="664"/>
      <c r="I72" s="664"/>
      <c r="J72" s="664"/>
      <c r="K72" s="664"/>
      <c r="L72" s="664"/>
      <c r="M72" s="664"/>
      <c r="N72" s="664"/>
      <c r="O72" s="664"/>
      <c r="P72" s="664"/>
      <c r="Q72" s="664"/>
      <c r="R72" s="664"/>
      <c r="S72" s="664"/>
      <c r="T72" s="664"/>
      <c r="U72" s="664"/>
      <c r="V72" s="664"/>
      <c r="W72" s="664"/>
      <c r="X72" s="664"/>
      <c r="Y72" s="664"/>
      <c r="Z72" s="664"/>
    </row>
    <row r="73">
      <c r="A73" s="664"/>
      <c r="B73" s="664"/>
      <c r="C73" s="664"/>
      <c r="D73" s="664"/>
      <c r="E73" s="664"/>
      <c r="F73" s="664"/>
      <c r="G73" s="664"/>
      <c r="H73" s="664"/>
      <c r="I73" s="664"/>
      <c r="J73" s="664"/>
      <c r="K73" s="664"/>
      <c r="L73" s="664"/>
      <c r="M73" s="664"/>
      <c r="N73" s="664"/>
      <c r="O73" s="664"/>
      <c r="P73" s="664"/>
      <c r="Q73" s="664"/>
      <c r="R73" s="664"/>
      <c r="S73" s="664"/>
      <c r="T73" s="664"/>
      <c r="U73" s="664"/>
      <c r="V73" s="664"/>
      <c r="W73" s="664"/>
      <c r="X73" s="664"/>
      <c r="Y73" s="664"/>
      <c r="Z73" s="664"/>
    </row>
    <row r="74">
      <c r="A74" s="664"/>
      <c r="B74" s="664"/>
      <c r="C74" s="664"/>
      <c r="D74" s="664"/>
      <c r="E74" s="664"/>
      <c r="F74" s="664"/>
      <c r="G74" s="664"/>
      <c r="H74" s="664"/>
      <c r="I74" s="664"/>
      <c r="J74" s="664"/>
      <c r="K74" s="664"/>
      <c r="L74" s="664"/>
      <c r="M74" s="664"/>
      <c r="N74" s="664"/>
      <c r="O74" s="664"/>
      <c r="P74" s="664"/>
      <c r="Q74" s="664"/>
      <c r="R74" s="664"/>
      <c r="S74" s="664"/>
      <c r="T74" s="664"/>
      <c r="U74" s="664"/>
      <c r="V74" s="664"/>
      <c r="W74" s="664"/>
      <c r="X74" s="664"/>
      <c r="Y74" s="664"/>
      <c r="Z74" s="664"/>
    </row>
    <row r="75">
      <c r="A75" s="664"/>
      <c r="B75" s="664"/>
      <c r="C75" s="664"/>
      <c r="D75" s="664"/>
      <c r="E75" s="664"/>
      <c r="F75" s="664"/>
      <c r="G75" s="664"/>
      <c r="H75" s="664"/>
      <c r="I75" s="664"/>
      <c r="J75" s="664"/>
      <c r="K75" s="664"/>
      <c r="L75" s="664"/>
      <c r="M75" s="664"/>
      <c r="N75" s="664"/>
      <c r="O75" s="664"/>
      <c r="P75" s="664"/>
      <c r="Q75" s="664"/>
      <c r="R75" s="664"/>
      <c r="S75" s="664"/>
      <c r="T75" s="664"/>
      <c r="U75" s="664"/>
      <c r="V75" s="664"/>
      <c r="W75" s="664"/>
      <c r="X75" s="664"/>
      <c r="Y75" s="664"/>
      <c r="Z75" s="664"/>
    </row>
    <row r="76">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row>
    <row r="77">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row>
    <row r="95">
      <c r="A95" s="66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row>
    <row r="96">
      <c r="A96" s="664"/>
      <c r="B96" s="664"/>
      <c r="C96" s="664"/>
      <c r="D96" s="664"/>
      <c r="E96" s="664"/>
      <c r="F96" s="664"/>
      <c r="G96" s="664"/>
      <c r="H96" s="664"/>
      <c r="I96" s="664"/>
      <c r="J96" s="664"/>
      <c r="K96" s="664"/>
      <c r="L96" s="664"/>
      <c r="M96" s="664"/>
      <c r="N96" s="664"/>
      <c r="O96" s="664"/>
      <c r="P96" s="664"/>
      <c r="Q96" s="664"/>
      <c r="R96" s="664"/>
      <c r="S96" s="664"/>
      <c r="T96" s="664"/>
      <c r="U96" s="664"/>
      <c r="V96" s="664"/>
      <c r="W96" s="664"/>
      <c r="X96" s="664"/>
      <c r="Y96" s="664"/>
      <c r="Z96" s="664"/>
    </row>
    <row r="97">
      <c r="A97" s="664"/>
      <c r="B97" s="664"/>
      <c r="C97" s="664"/>
      <c r="D97" s="664"/>
      <c r="E97" s="664"/>
      <c r="F97" s="664"/>
      <c r="G97" s="664"/>
      <c r="H97" s="664"/>
      <c r="I97" s="664"/>
      <c r="J97" s="664"/>
      <c r="K97" s="664"/>
      <c r="L97" s="664"/>
      <c r="M97" s="664"/>
      <c r="N97" s="664"/>
      <c r="O97" s="664"/>
      <c r="P97" s="664"/>
      <c r="Q97" s="664"/>
      <c r="R97" s="664"/>
      <c r="S97" s="664"/>
      <c r="T97" s="664"/>
      <c r="U97" s="664"/>
      <c r="V97" s="664"/>
      <c r="W97" s="664"/>
      <c r="X97" s="664"/>
      <c r="Y97" s="664"/>
      <c r="Z97" s="664"/>
    </row>
    <row r="98">
      <c r="A98" s="664"/>
      <c r="B98" s="664"/>
      <c r="C98" s="664"/>
      <c r="D98" s="664"/>
      <c r="E98" s="664"/>
      <c r="F98" s="664"/>
      <c r="G98" s="664"/>
      <c r="H98" s="664"/>
      <c r="I98" s="664"/>
      <c r="J98" s="664"/>
      <c r="K98" s="664"/>
      <c r="L98" s="664"/>
      <c r="M98" s="664"/>
      <c r="N98" s="664"/>
      <c r="O98" s="664"/>
      <c r="P98" s="664"/>
      <c r="Q98" s="664"/>
      <c r="R98" s="664"/>
      <c r="S98" s="664"/>
      <c r="T98" s="664"/>
      <c r="U98" s="664"/>
      <c r="V98" s="664"/>
      <c r="W98" s="664"/>
      <c r="X98" s="664"/>
      <c r="Y98" s="664"/>
      <c r="Z98" s="664"/>
    </row>
    <row r="99">
      <c r="A99" s="664"/>
      <c r="B99" s="664"/>
      <c r="C99" s="664"/>
      <c r="D99" s="664"/>
      <c r="E99" s="664"/>
      <c r="F99" s="664"/>
      <c r="G99" s="664"/>
      <c r="H99" s="664"/>
      <c r="I99" s="664"/>
      <c r="J99" s="664"/>
      <c r="K99" s="664"/>
      <c r="L99" s="664"/>
      <c r="M99" s="664"/>
      <c r="N99" s="664"/>
      <c r="O99" s="664"/>
      <c r="P99" s="664"/>
      <c r="Q99" s="664"/>
      <c r="R99" s="664"/>
      <c r="S99" s="664"/>
      <c r="T99" s="664"/>
      <c r="U99" s="664"/>
      <c r="V99" s="664"/>
      <c r="W99" s="664"/>
      <c r="X99" s="664"/>
      <c r="Y99" s="664"/>
      <c r="Z99" s="664"/>
    </row>
    <row r="100">
      <c r="A100" s="664"/>
      <c r="B100" s="664"/>
      <c r="C100" s="664"/>
      <c r="D100" s="664"/>
      <c r="E100" s="664"/>
      <c r="F100" s="664"/>
      <c r="G100" s="664"/>
      <c r="H100" s="664"/>
      <c r="I100" s="664"/>
      <c r="J100" s="664"/>
      <c r="K100" s="664"/>
      <c r="L100" s="664"/>
      <c r="M100" s="664"/>
      <c r="N100" s="664"/>
      <c r="O100" s="664"/>
      <c r="P100" s="664"/>
      <c r="Q100" s="664"/>
      <c r="R100" s="664"/>
      <c r="S100" s="664"/>
      <c r="T100" s="664"/>
      <c r="U100" s="664"/>
      <c r="V100" s="664"/>
      <c r="W100" s="664"/>
      <c r="X100" s="664"/>
      <c r="Y100" s="664"/>
      <c r="Z100" s="664"/>
    </row>
    <row r="101">
      <c r="A101" s="664"/>
      <c r="B101" s="664"/>
      <c r="C101" s="664"/>
      <c r="D101" s="664"/>
      <c r="E101" s="664"/>
      <c r="F101" s="664"/>
      <c r="G101" s="664"/>
      <c r="H101" s="664"/>
      <c r="I101" s="664"/>
      <c r="J101" s="664"/>
      <c r="K101" s="664"/>
      <c r="L101" s="664"/>
      <c r="M101" s="664"/>
      <c r="N101" s="664"/>
      <c r="O101" s="664"/>
      <c r="P101" s="664"/>
      <c r="Q101" s="664"/>
      <c r="R101" s="664"/>
      <c r="S101" s="664"/>
      <c r="T101" s="664"/>
      <c r="U101" s="664"/>
      <c r="V101" s="664"/>
      <c r="W101" s="664"/>
      <c r="X101" s="664"/>
      <c r="Y101" s="664"/>
      <c r="Z101" s="664"/>
    </row>
    <row r="102">
      <c r="A102" s="664"/>
      <c r="B102" s="664"/>
      <c r="C102" s="664"/>
      <c r="D102" s="664"/>
      <c r="E102" s="664"/>
      <c r="F102" s="664"/>
      <c r="G102" s="664"/>
      <c r="H102" s="664"/>
      <c r="I102" s="664"/>
      <c r="J102" s="664"/>
      <c r="K102" s="664"/>
      <c r="L102" s="664"/>
      <c r="M102" s="664"/>
      <c r="N102" s="664"/>
      <c r="O102" s="664"/>
      <c r="P102" s="664"/>
      <c r="Q102" s="664"/>
      <c r="R102" s="664"/>
      <c r="S102" s="664"/>
      <c r="T102" s="664"/>
      <c r="U102" s="664"/>
      <c r="V102" s="664"/>
      <c r="W102" s="664"/>
      <c r="X102" s="664"/>
      <c r="Y102" s="664"/>
      <c r="Z102" s="664"/>
    </row>
    <row r="103">
      <c r="A103" s="664"/>
      <c r="B103" s="664"/>
      <c r="C103" s="664"/>
      <c r="D103" s="664"/>
      <c r="E103" s="664"/>
      <c r="F103" s="664"/>
      <c r="G103" s="664"/>
      <c r="H103" s="664"/>
      <c r="I103" s="664"/>
      <c r="J103" s="664"/>
      <c r="K103" s="664"/>
      <c r="L103" s="664"/>
      <c r="M103" s="664"/>
      <c r="N103" s="664"/>
      <c r="O103" s="664"/>
      <c r="P103" s="664"/>
      <c r="Q103" s="664"/>
      <c r="R103" s="664"/>
      <c r="S103" s="664"/>
      <c r="T103" s="664"/>
      <c r="U103" s="664"/>
      <c r="V103" s="664"/>
      <c r="W103" s="664"/>
      <c r="X103" s="664"/>
      <c r="Y103" s="664"/>
      <c r="Z103" s="664"/>
    </row>
    <row r="104">
      <c r="A104" s="664"/>
      <c r="B104" s="664"/>
      <c r="C104" s="664"/>
      <c r="D104" s="664"/>
      <c r="E104" s="664"/>
      <c r="F104" s="664"/>
      <c r="G104" s="664"/>
      <c r="H104" s="664"/>
      <c r="I104" s="664"/>
      <c r="J104" s="664"/>
      <c r="K104" s="664"/>
      <c r="L104" s="664"/>
      <c r="M104" s="664"/>
      <c r="N104" s="664"/>
      <c r="O104" s="664"/>
      <c r="P104" s="664"/>
      <c r="Q104" s="664"/>
      <c r="R104" s="664"/>
      <c r="S104" s="664"/>
      <c r="T104" s="664"/>
      <c r="U104" s="664"/>
      <c r="V104" s="664"/>
      <c r="W104" s="664"/>
      <c r="X104" s="664"/>
      <c r="Y104" s="664"/>
      <c r="Z104" s="664"/>
    </row>
    <row r="105">
      <c r="A105" s="664"/>
      <c r="B105" s="664"/>
      <c r="C105" s="664"/>
      <c r="D105" s="664"/>
      <c r="E105" s="664"/>
      <c r="F105" s="664"/>
      <c r="G105" s="664"/>
      <c r="H105" s="664"/>
      <c r="I105" s="664"/>
      <c r="J105" s="664"/>
      <c r="K105" s="664"/>
      <c r="L105" s="664"/>
      <c r="M105" s="664"/>
      <c r="N105" s="664"/>
      <c r="O105" s="664"/>
      <c r="P105" s="664"/>
      <c r="Q105" s="664"/>
      <c r="R105" s="664"/>
      <c r="S105" s="664"/>
      <c r="T105" s="664"/>
      <c r="U105" s="664"/>
      <c r="V105" s="664"/>
      <c r="W105" s="664"/>
      <c r="X105" s="664"/>
      <c r="Y105" s="664"/>
      <c r="Z105" s="664"/>
    </row>
    <row r="106">
      <c r="A106" s="664"/>
      <c r="B106" s="664"/>
      <c r="C106" s="664"/>
      <c r="D106" s="664"/>
      <c r="E106" s="664"/>
      <c r="F106" s="664"/>
      <c r="G106" s="664"/>
      <c r="H106" s="664"/>
      <c r="I106" s="664"/>
      <c r="J106" s="664"/>
      <c r="K106" s="664"/>
      <c r="L106" s="664"/>
      <c r="M106" s="664"/>
      <c r="N106" s="664"/>
      <c r="O106" s="664"/>
      <c r="P106" s="664"/>
      <c r="Q106" s="664"/>
      <c r="R106" s="664"/>
      <c r="S106" s="664"/>
      <c r="T106" s="664"/>
      <c r="U106" s="664"/>
      <c r="V106" s="664"/>
      <c r="W106" s="664"/>
      <c r="X106" s="664"/>
      <c r="Y106" s="664"/>
      <c r="Z106" s="664"/>
    </row>
    <row r="107">
      <c r="A107" s="664"/>
      <c r="B107" s="664"/>
      <c r="C107" s="664"/>
      <c r="D107" s="664"/>
      <c r="E107" s="664"/>
      <c r="F107" s="664"/>
      <c r="G107" s="664"/>
      <c r="H107" s="664"/>
      <c r="I107" s="664"/>
      <c r="J107" s="664"/>
      <c r="K107" s="664"/>
      <c r="L107" s="664"/>
      <c r="M107" s="664"/>
      <c r="N107" s="664"/>
      <c r="O107" s="664"/>
      <c r="P107" s="664"/>
      <c r="Q107" s="664"/>
      <c r="R107" s="664"/>
      <c r="S107" s="664"/>
      <c r="T107" s="664"/>
      <c r="U107" s="664"/>
      <c r="V107" s="664"/>
      <c r="W107" s="664"/>
      <c r="X107" s="664"/>
      <c r="Y107" s="664"/>
      <c r="Z107" s="664"/>
    </row>
    <row r="108">
      <c r="A108" s="664"/>
      <c r="B108" s="664"/>
      <c r="C108" s="664"/>
      <c r="D108" s="664"/>
      <c r="E108" s="664"/>
      <c r="F108" s="664"/>
      <c r="G108" s="664"/>
      <c r="H108" s="664"/>
      <c r="I108" s="664"/>
      <c r="J108" s="664"/>
      <c r="K108" s="664"/>
      <c r="L108" s="664"/>
      <c r="M108" s="664"/>
      <c r="N108" s="664"/>
      <c r="O108" s="664"/>
      <c r="P108" s="664"/>
      <c r="Q108" s="664"/>
      <c r="R108" s="664"/>
      <c r="S108" s="664"/>
      <c r="T108" s="664"/>
      <c r="U108" s="664"/>
      <c r="V108" s="664"/>
      <c r="W108" s="664"/>
      <c r="X108" s="664"/>
      <c r="Y108" s="664"/>
      <c r="Z108" s="664"/>
    </row>
    <row r="109">
      <c r="A109" s="664"/>
      <c r="B109" s="664"/>
      <c r="C109" s="664"/>
      <c r="D109" s="664"/>
      <c r="E109" s="664"/>
      <c r="F109" s="664"/>
      <c r="G109" s="664"/>
      <c r="H109" s="664"/>
      <c r="I109" s="664"/>
      <c r="J109" s="664"/>
      <c r="K109" s="664"/>
      <c r="L109" s="664"/>
      <c r="M109" s="664"/>
      <c r="N109" s="664"/>
      <c r="O109" s="664"/>
      <c r="P109" s="664"/>
      <c r="Q109" s="664"/>
      <c r="R109" s="664"/>
      <c r="S109" s="664"/>
      <c r="T109" s="664"/>
      <c r="U109" s="664"/>
      <c r="V109" s="664"/>
      <c r="W109" s="664"/>
      <c r="X109" s="664"/>
      <c r="Y109" s="664"/>
      <c r="Z109" s="664"/>
    </row>
    <row r="110">
      <c r="A110" s="664"/>
      <c r="B110" s="664"/>
      <c r="C110" s="664"/>
      <c r="D110" s="664"/>
      <c r="E110" s="664"/>
      <c r="F110" s="664"/>
      <c r="G110" s="664"/>
      <c r="H110" s="664"/>
      <c r="I110" s="664"/>
      <c r="J110" s="664"/>
      <c r="K110" s="664"/>
      <c r="L110" s="664"/>
      <c r="M110" s="664"/>
      <c r="N110" s="664"/>
      <c r="O110" s="664"/>
      <c r="P110" s="664"/>
      <c r="Q110" s="664"/>
      <c r="R110" s="664"/>
      <c r="S110" s="664"/>
      <c r="T110" s="664"/>
      <c r="U110" s="664"/>
      <c r="V110" s="664"/>
      <c r="W110" s="664"/>
      <c r="X110" s="664"/>
      <c r="Y110" s="664"/>
      <c r="Z110" s="664"/>
    </row>
    <row r="111">
      <c r="A111" s="664"/>
      <c r="B111" s="664"/>
      <c r="C111" s="664"/>
      <c r="D111" s="664"/>
      <c r="E111" s="664"/>
      <c r="F111" s="664"/>
      <c r="G111" s="664"/>
      <c r="H111" s="664"/>
      <c r="I111" s="664"/>
      <c r="J111" s="664"/>
      <c r="K111" s="664"/>
      <c r="L111" s="664"/>
      <c r="M111" s="664"/>
      <c r="N111" s="664"/>
      <c r="O111" s="664"/>
      <c r="P111" s="664"/>
      <c r="Q111" s="664"/>
      <c r="R111" s="664"/>
      <c r="S111" s="664"/>
      <c r="T111" s="664"/>
      <c r="U111" s="664"/>
      <c r="V111" s="664"/>
      <c r="W111" s="664"/>
      <c r="X111" s="664"/>
      <c r="Y111" s="664"/>
      <c r="Z111" s="664"/>
    </row>
    <row r="112">
      <c r="A112" s="664"/>
      <c r="B112" s="664"/>
      <c r="C112" s="664"/>
      <c r="D112" s="664"/>
      <c r="E112" s="664"/>
      <c r="F112" s="664"/>
      <c r="G112" s="664"/>
      <c r="H112" s="664"/>
      <c r="I112" s="664"/>
      <c r="J112" s="664"/>
      <c r="K112" s="664"/>
      <c r="L112" s="664"/>
      <c r="M112" s="664"/>
      <c r="N112" s="664"/>
      <c r="O112" s="664"/>
      <c r="P112" s="664"/>
      <c r="Q112" s="664"/>
      <c r="R112" s="664"/>
      <c r="S112" s="664"/>
      <c r="T112" s="664"/>
      <c r="U112" s="664"/>
      <c r="V112" s="664"/>
      <c r="W112" s="664"/>
      <c r="X112" s="664"/>
      <c r="Y112" s="664"/>
      <c r="Z112" s="664"/>
    </row>
    <row r="113">
      <c r="A113" s="664"/>
      <c r="B113" s="664"/>
      <c r="C113" s="664"/>
      <c r="D113" s="664"/>
      <c r="E113" s="664"/>
      <c r="F113" s="664"/>
      <c r="G113" s="664"/>
      <c r="H113" s="664"/>
      <c r="I113" s="664"/>
      <c r="J113" s="664"/>
      <c r="K113" s="664"/>
      <c r="L113" s="664"/>
      <c r="M113" s="664"/>
      <c r="N113" s="664"/>
      <c r="O113" s="664"/>
      <c r="P113" s="664"/>
      <c r="Q113" s="664"/>
      <c r="R113" s="664"/>
      <c r="S113" s="664"/>
      <c r="T113" s="664"/>
      <c r="U113" s="664"/>
      <c r="V113" s="664"/>
      <c r="W113" s="664"/>
      <c r="X113" s="664"/>
      <c r="Y113" s="664"/>
      <c r="Z113" s="664"/>
    </row>
    <row r="114">
      <c r="A114" s="664"/>
      <c r="B114" s="664"/>
      <c r="C114" s="664"/>
      <c r="D114" s="664"/>
      <c r="E114" s="664"/>
      <c r="F114" s="664"/>
      <c r="G114" s="664"/>
      <c r="H114" s="664"/>
      <c r="I114" s="664"/>
      <c r="J114" s="664"/>
      <c r="K114" s="664"/>
      <c r="L114" s="664"/>
      <c r="M114" s="664"/>
      <c r="N114" s="664"/>
      <c r="O114" s="664"/>
      <c r="P114" s="664"/>
      <c r="Q114" s="664"/>
      <c r="R114" s="664"/>
      <c r="S114" s="664"/>
      <c r="T114" s="664"/>
      <c r="U114" s="664"/>
      <c r="V114" s="664"/>
      <c r="W114" s="664"/>
      <c r="X114" s="664"/>
      <c r="Y114" s="664"/>
      <c r="Z114" s="664"/>
    </row>
    <row r="115">
      <c r="A115" s="664"/>
      <c r="B115" s="664"/>
      <c r="C115" s="664"/>
      <c r="D115" s="664"/>
      <c r="E115" s="664"/>
      <c r="F115" s="664"/>
      <c r="G115" s="664"/>
      <c r="H115" s="664"/>
      <c r="I115" s="664"/>
      <c r="J115" s="664"/>
      <c r="K115" s="664"/>
      <c r="L115" s="664"/>
      <c r="M115" s="664"/>
      <c r="N115" s="664"/>
      <c r="O115" s="664"/>
      <c r="P115" s="664"/>
      <c r="Q115" s="664"/>
      <c r="R115" s="664"/>
      <c r="S115" s="664"/>
      <c r="T115" s="664"/>
      <c r="U115" s="664"/>
      <c r="V115" s="664"/>
      <c r="W115" s="664"/>
      <c r="X115" s="664"/>
      <c r="Y115" s="664"/>
      <c r="Z115" s="664"/>
    </row>
    <row r="116">
      <c r="A116" s="664"/>
      <c r="B116" s="664"/>
      <c r="C116" s="664"/>
      <c r="D116" s="664"/>
      <c r="E116" s="664"/>
      <c r="F116" s="664"/>
      <c r="G116" s="664"/>
      <c r="H116" s="664"/>
      <c r="I116" s="664"/>
      <c r="J116" s="664"/>
      <c r="K116" s="664"/>
      <c r="L116" s="664"/>
      <c r="M116" s="664"/>
      <c r="N116" s="664"/>
      <c r="O116" s="664"/>
      <c r="P116" s="664"/>
      <c r="Q116" s="664"/>
      <c r="R116" s="664"/>
      <c r="S116" s="664"/>
      <c r="T116" s="664"/>
      <c r="U116" s="664"/>
      <c r="V116" s="664"/>
      <c r="W116" s="664"/>
      <c r="X116" s="664"/>
      <c r="Y116" s="664"/>
      <c r="Z116" s="664"/>
    </row>
    <row r="117">
      <c r="A117" s="664"/>
      <c r="B117" s="664"/>
      <c r="C117" s="664"/>
      <c r="D117" s="664"/>
      <c r="E117" s="664"/>
      <c r="F117" s="664"/>
      <c r="G117" s="664"/>
      <c r="H117" s="664"/>
      <c r="I117" s="664"/>
      <c r="J117" s="664"/>
      <c r="K117" s="664"/>
      <c r="L117" s="664"/>
      <c r="M117" s="664"/>
      <c r="N117" s="664"/>
      <c r="O117" s="664"/>
      <c r="P117" s="664"/>
      <c r="Q117" s="664"/>
      <c r="R117" s="664"/>
      <c r="S117" s="664"/>
      <c r="T117" s="664"/>
      <c r="U117" s="664"/>
      <c r="V117" s="664"/>
      <c r="W117" s="664"/>
      <c r="X117" s="664"/>
      <c r="Y117" s="664"/>
      <c r="Z117" s="664"/>
    </row>
    <row r="118">
      <c r="A118" s="664"/>
      <c r="B118" s="664"/>
      <c r="C118" s="664"/>
      <c r="D118" s="664"/>
      <c r="E118" s="664"/>
      <c r="F118" s="664"/>
      <c r="G118" s="664"/>
      <c r="H118" s="664"/>
      <c r="I118" s="664"/>
      <c r="J118" s="664"/>
      <c r="K118" s="664"/>
      <c r="L118" s="664"/>
      <c r="M118" s="664"/>
      <c r="N118" s="664"/>
      <c r="O118" s="664"/>
      <c r="P118" s="664"/>
      <c r="Q118" s="664"/>
      <c r="R118" s="664"/>
      <c r="S118" s="664"/>
      <c r="T118" s="664"/>
      <c r="U118" s="664"/>
      <c r="V118" s="664"/>
      <c r="W118" s="664"/>
      <c r="X118" s="664"/>
      <c r="Y118" s="664"/>
      <c r="Z118" s="664"/>
    </row>
    <row r="119">
      <c r="A119" s="664"/>
      <c r="B119" s="664"/>
      <c r="C119" s="664"/>
      <c r="D119" s="664"/>
      <c r="E119" s="664"/>
      <c r="F119" s="664"/>
      <c r="G119" s="664"/>
      <c r="H119" s="664"/>
      <c r="I119" s="664"/>
      <c r="J119" s="664"/>
      <c r="K119" s="664"/>
      <c r="L119" s="664"/>
      <c r="M119" s="664"/>
      <c r="N119" s="664"/>
      <c r="O119" s="664"/>
      <c r="P119" s="664"/>
      <c r="Q119" s="664"/>
      <c r="R119" s="664"/>
      <c r="S119" s="664"/>
      <c r="T119" s="664"/>
      <c r="U119" s="664"/>
      <c r="V119" s="664"/>
      <c r="W119" s="664"/>
      <c r="X119" s="664"/>
      <c r="Y119" s="664"/>
      <c r="Z119" s="664"/>
    </row>
    <row r="120">
      <c r="A120" s="664"/>
      <c r="B120" s="664"/>
      <c r="C120" s="664"/>
      <c r="D120" s="664"/>
      <c r="E120" s="664"/>
      <c r="F120" s="664"/>
      <c r="G120" s="664"/>
      <c r="H120" s="664"/>
      <c r="I120" s="664"/>
      <c r="J120" s="664"/>
      <c r="K120" s="664"/>
      <c r="L120" s="664"/>
      <c r="M120" s="664"/>
      <c r="N120" s="664"/>
      <c r="O120" s="664"/>
      <c r="P120" s="664"/>
      <c r="Q120" s="664"/>
      <c r="R120" s="664"/>
      <c r="S120" s="664"/>
      <c r="T120" s="664"/>
      <c r="U120" s="664"/>
      <c r="V120" s="664"/>
      <c r="W120" s="664"/>
      <c r="X120" s="664"/>
      <c r="Y120" s="664"/>
      <c r="Z120" s="664"/>
    </row>
    <row r="121">
      <c r="A121" s="664"/>
      <c r="B121" s="664"/>
      <c r="C121" s="664"/>
      <c r="D121" s="664"/>
      <c r="E121" s="664"/>
      <c r="F121" s="664"/>
      <c r="G121" s="664"/>
      <c r="H121" s="664"/>
      <c r="I121" s="664"/>
      <c r="J121" s="664"/>
      <c r="K121" s="664"/>
      <c r="L121" s="664"/>
      <c r="M121" s="664"/>
      <c r="N121" s="664"/>
      <c r="O121" s="664"/>
      <c r="P121" s="664"/>
      <c r="Q121" s="664"/>
      <c r="R121" s="664"/>
      <c r="S121" s="664"/>
      <c r="T121" s="664"/>
      <c r="U121" s="664"/>
      <c r="V121" s="664"/>
      <c r="W121" s="664"/>
      <c r="X121" s="664"/>
      <c r="Y121" s="664"/>
      <c r="Z121" s="664"/>
    </row>
    <row r="122">
      <c r="A122" s="664"/>
      <c r="B122" s="664"/>
      <c r="C122" s="664"/>
      <c r="D122" s="664"/>
      <c r="E122" s="664"/>
      <c r="F122" s="664"/>
      <c r="G122" s="664"/>
      <c r="H122" s="664"/>
      <c r="I122" s="664"/>
      <c r="J122" s="664"/>
      <c r="K122" s="664"/>
      <c r="L122" s="664"/>
      <c r="M122" s="664"/>
      <c r="N122" s="664"/>
      <c r="O122" s="664"/>
      <c r="P122" s="664"/>
      <c r="Q122" s="664"/>
      <c r="R122" s="664"/>
      <c r="S122" s="664"/>
      <c r="T122" s="664"/>
      <c r="U122" s="664"/>
      <c r="V122" s="664"/>
      <c r="W122" s="664"/>
      <c r="X122" s="664"/>
      <c r="Y122" s="664"/>
      <c r="Z122" s="664"/>
    </row>
    <row r="123">
      <c r="A123" s="664"/>
      <c r="B123" s="664"/>
      <c r="C123" s="664"/>
      <c r="D123" s="664"/>
      <c r="E123" s="664"/>
      <c r="F123" s="664"/>
      <c r="G123" s="664"/>
      <c r="H123" s="664"/>
      <c r="I123" s="664"/>
      <c r="J123" s="664"/>
      <c r="K123" s="664"/>
      <c r="L123" s="664"/>
      <c r="M123" s="664"/>
      <c r="N123" s="664"/>
      <c r="O123" s="664"/>
      <c r="P123" s="664"/>
      <c r="Q123" s="664"/>
      <c r="R123" s="664"/>
      <c r="S123" s="664"/>
      <c r="T123" s="664"/>
      <c r="U123" s="664"/>
      <c r="V123" s="664"/>
      <c r="W123" s="664"/>
      <c r="X123" s="664"/>
      <c r="Y123" s="664"/>
      <c r="Z123" s="664"/>
    </row>
    <row r="124">
      <c r="A124" s="664"/>
      <c r="B124" s="664"/>
      <c r="C124" s="664"/>
      <c r="D124" s="664"/>
      <c r="E124" s="664"/>
      <c r="F124" s="664"/>
      <c r="G124" s="664"/>
      <c r="H124" s="664"/>
      <c r="I124" s="664"/>
      <c r="J124" s="664"/>
      <c r="K124" s="664"/>
      <c r="L124" s="664"/>
      <c r="M124" s="664"/>
      <c r="N124" s="664"/>
      <c r="O124" s="664"/>
      <c r="P124" s="664"/>
      <c r="Q124" s="664"/>
      <c r="R124" s="664"/>
      <c r="S124" s="664"/>
      <c r="T124" s="664"/>
      <c r="U124" s="664"/>
      <c r="V124" s="664"/>
      <c r="W124" s="664"/>
      <c r="X124" s="664"/>
      <c r="Y124" s="664"/>
      <c r="Z124" s="664"/>
    </row>
    <row r="125">
      <c r="A125" s="664"/>
      <c r="B125" s="664"/>
      <c r="C125" s="664"/>
      <c r="D125" s="664"/>
      <c r="E125" s="664"/>
      <c r="F125" s="664"/>
      <c r="G125" s="664"/>
      <c r="H125" s="664"/>
      <c r="I125" s="664"/>
      <c r="J125" s="664"/>
      <c r="K125" s="664"/>
      <c r="L125" s="664"/>
      <c r="M125" s="664"/>
      <c r="N125" s="664"/>
      <c r="O125" s="664"/>
      <c r="P125" s="664"/>
      <c r="Q125" s="664"/>
      <c r="R125" s="664"/>
      <c r="S125" s="664"/>
      <c r="T125" s="664"/>
      <c r="U125" s="664"/>
      <c r="V125" s="664"/>
      <c r="W125" s="664"/>
      <c r="X125" s="664"/>
      <c r="Y125" s="664"/>
      <c r="Z125" s="664"/>
    </row>
    <row r="126">
      <c r="A126" s="664"/>
      <c r="B126" s="664"/>
      <c r="C126" s="664"/>
      <c r="D126" s="664"/>
      <c r="E126" s="664"/>
      <c r="F126" s="664"/>
      <c r="G126" s="664"/>
      <c r="H126" s="664"/>
      <c r="I126" s="664"/>
      <c r="J126" s="664"/>
      <c r="K126" s="664"/>
      <c r="L126" s="664"/>
      <c r="M126" s="664"/>
      <c r="N126" s="664"/>
      <c r="O126" s="664"/>
      <c r="P126" s="664"/>
      <c r="Q126" s="664"/>
      <c r="R126" s="664"/>
      <c r="S126" s="664"/>
      <c r="T126" s="664"/>
      <c r="U126" s="664"/>
      <c r="V126" s="664"/>
      <c r="W126" s="664"/>
      <c r="X126" s="664"/>
      <c r="Y126" s="664"/>
      <c r="Z126" s="664"/>
    </row>
    <row r="127">
      <c r="A127" s="664"/>
      <c r="B127" s="664"/>
      <c r="C127" s="664"/>
      <c r="D127" s="664"/>
      <c r="E127" s="664"/>
      <c r="F127" s="664"/>
      <c r="G127" s="664"/>
      <c r="H127" s="664"/>
      <c r="I127" s="664"/>
      <c r="J127" s="664"/>
      <c r="K127" s="664"/>
      <c r="L127" s="664"/>
      <c r="M127" s="664"/>
      <c r="N127" s="664"/>
      <c r="O127" s="664"/>
      <c r="P127" s="664"/>
      <c r="Q127" s="664"/>
      <c r="R127" s="664"/>
      <c r="S127" s="664"/>
      <c r="T127" s="664"/>
      <c r="U127" s="664"/>
      <c r="V127" s="664"/>
      <c r="W127" s="664"/>
      <c r="X127" s="664"/>
      <c r="Y127" s="664"/>
      <c r="Z127" s="664"/>
    </row>
    <row r="128">
      <c r="A128" s="664"/>
      <c r="B128" s="664"/>
      <c r="C128" s="664"/>
      <c r="D128" s="664"/>
      <c r="E128" s="664"/>
      <c r="F128" s="664"/>
      <c r="G128" s="664"/>
      <c r="H128" s="664"/>
      <c r="I128" s="664"/>
      <c r="J128" s="664"/>
      <c r="K128" s="664"/>
      <c r="L128" s="664"/>
      <c r="M128" s="664"/>
      <c r="N128" s="664"/>
      <c r="O128" s="664"/>
      <c r="P128" s="664"/>
      <c r="Q128" s="664"/>
      <c r="R128" s="664"/>
      <c r="S128" s="664"/>
      <c r="T128" s="664"/>
      <c r="U128" s="664"/>
      <c r="V128" s="664"/>
      <c r="W128" s="664"/>
      <c r="X128" s="664"/>
      <c r="Y128" s="664"/>
      <c r="Z128" s="664"/>
    </row>
    <row r="129">
      <c r="A129" s="664"/>
      <c r="B129" s="664"/>
      <c r="C129" s="664"/>
      <c r="D129" s="664"/>
      <c r="E129" s="664"/>
      <c r="F129" s="664"/>
      <c r="G129" s="664"/>
      <c r="H129" s="664"/>
      <c r="I129" s="664"/>
      <c r="J129" s="664"/>
      <c r="K129" s="664"/>
      <c r="L129" s="664"/>
      <c r="M129" s="664"/>
      <c r="N129" s="664"/>
      <c r="O129" s="664"/>
      <c r="P129" s="664"/>
      <c r="Q129" s="664"/>
      <c r="R129" s="664"/>
      <c r="S129" s="664"/>
      <c r="T129" s="664"/>
      <c r="U129" s="664"/>
      <c r="V129" s="664"/>
      <c r="W129" s="664"/>
      <c r="X129" s="664"/>
      <c r="Y129" s="664"/>
      <c r="Z129" s="664"/>
    </row>
    <row r="130">
      <c r="A130" s="664"/>
      <c r="B130" s="664"/>
      <c r="C130" s="664"/>
      <c r="D130" s="664"/>
      <c r="E130" s="664"/>
      <c r="F130" s="664"/>
      <c r="G130" s="664"/>
      <c r="H130" s="664"/>
      <c r="I130" s="664"/>
      <c r="J130" s="664"/>
      <c r="K130" s="664"/>
      <c r="L130" s="664"/>
      <c r="M130" s="664"/>
      <c r="N130" s="664"/>
      <c r="O130" s="664"/>
      <c r="P130" s="664"/>
      <c r="Q130" s="664"/>
      <c r="R130" s="664"/>
      <c r="S130" s="664"/>
      <c r="T130" s="664"/>
      <c r="U130" s="664"/>
      <c r="V130" s="664"/>
      <c r="W130" s="664"/>
      <c r="X130" s="664"/>
      <c r="Y130" s="664"/>
      <c r="Z130" s="664"/>
    </row>
    <row r="131">
      <c r="A131" s="664"/>
      <c r="B131" s="664"/>
      <c r="C131" s="664"/>
      <c r="D131" s="664"/>
      <c r="E131" s="664"/>
      <c r="F131" s="664"/>
      <c r="G131" s="664"/>
      <c r="H131" s="664"/>
      <c r="I131" s="664"/>
      <c r="J131" s="664"/>
      <c r="K131" s="664"/>
      <c r="L131" s="664"/>
      <c r="M131" s="664"/>
      <c r="N131" s="664"/>
      <c r="O131" s="664"/>
      <c r="P131" s="664"/>
      <c r="Q131" s="664"/>
      <c r="R131" s="664"/>
      <c r="S131" s="664"/>
      <c r="T131" s="664"/>
      <c r="U131" s="664"/>
      <c r="V131" s="664"/>
      <c r="W131" s="664"/>
      <c r="X131" s="664"/>
      <c r="Y131" s="664"/>
      <c r="Z131" s="664"/>
    </row>
    <row r="132">
      <c r="A132" s="664"/>
      <c r="B132" s="664"/>
      <c r="C132" s="664"/>
      <c r="D132" s="664"/>
      <c r="E132" s="664"/>
      <c r="F132" s="664"/>
      <c r="G132" s="664"/>
      <c r="H132" s="664"/>
      <c r="I132" s="664"/>
      <c r="J132" s="664"/>
      <c r="K132" s="664"/>
      <c r="L132" s="664"/>
      <c r="M132" s="664"/>
      <c r="N132" s="664"/>
      <c r="O132" s="664"/>
      <c r="P132" s="664"/>
      <c r="Q132" s="664"/>
      <c r="R132" s="664"/>
      <c r="S132" s="664"/>
      <c r="T132" s="664"/>
      <c r="U132" s="664"/>
      <c r="V132" s="664"/>
      <c r="W132" s="664"/>
      <c r="X132" s="664"/>
      <c r="Y132" s="664"/>
      <c r="Z132" s="664"/>
    </row>
    <row r="133">
      <c r="A133" s="664"/>
      <c r="B133" s="664"/>
      <c r="C133" s="664"/>
      <c r="D133" s="664"/>
      <c r="E133" s="664"/>
      <c r="F133" s="664"/>
      <c r="G133" s="664"/>
      <c r="H133" s="664"/>
      <c r="I133" s="664"/>
      <c r="J133" s="664"/>
      <c r="K133" s="664"/>
      <c r="L133" s="664"/>
      <c r="M133" s="664"/>
      <c r="N133" s="664"/>
      <c r="O133" s="664"/>
      <c r="P133" s="664"/>
      <c r="Q133" s="664"/>
      <c r="R133" s="664"/>
      <c r="S133" s="664"/>
      <c r="T133" s="664"/>
      <c r="U133" s="664"/>
      <c r="V133" s="664"/>
      <c r="W133" s="664"/>
      <c r="X133" s="664"/>
      <c r="Y133" s="664"/>
      <c r="Z133" s="664"/>
    </row>
    <row r="134">
      <c r="A134" s="664"/>
      <c r="B134" s="664"/>
      <c r="C134" s="664"/>
      <c r="D134" s="664"/>
      <c r="E134" s="664"/>
      <c r="F134" s="664"/>
      <c r="G134" s="664"/>
      <c r="H134" s="664"/>
      <c r="I134" s="664"/>
      <c r="J134" s="664"/>
      <c r="K134" s="664"/>
      <c r="L134" s="664"/>
      <c r="M134" s="664"/>
      <c r="N134" s="664"/>
      <c r="O134" s="664"/>
      <c r="P134" s="664"/>
      <c r="Q134" s="664"/>
      <c r="R134" s="664"/>
      <c r="S134" s="664"/>
      <c r="T134" s="664"/>
      <c r="U134" s="664"/>
      <c r="V134" s="664"/>
      <c r="W134" s="664"/>
      <c r="X134" s="664"/>
      <c r="Y134" s="664"/>
      <c r="Z134" s="664"/>
    </row>
    <row r="135">
      <c r="A135" s="664"/>
      <c r="B135" s="664"/>
      <c r="C135" s="664"/>
      <c r="D135" s="664"/>
      <c r="E135" s="664"/>
      <c r="F135" s="664"/>
      <c r="G135" s="664"/>
      <c r="H135" s="664"/>
      <c r="I135" s="664"/>
      <c r="J135" s="664"/>
      <c r="K135" s="664"/>
      <c r="L135" s="664"/>
      <c r="M135" s="664"/>
      <c r="N135" s="664"/>
      <c r="O135" s="664"/>
      <c r="P135" s="664"/>
      <c r="Q135" s="664"/>
      <c r="R135" s="664"/>
      <c r="S135" s="664"/>
      <c r="T135" s="664"/>
      <c r="U135" s="664"/>
      <c r="V135" s="664"/>
      <c r="W135" s="664"/>
      <c r="X135" s="664"/>
      <c r="Y135" s="664"/>
      <c r="Z135" s="664"/>
    </row>
    <row r="136">
      <c r="A136" s="664"/>
      <c r="B136" s="664"/>
      <c r="C136" s="664"/>
      <c r="D136" s="664"/>
      <c r="E136" s="664"/>
      <c r="F136" s="664"/>
      <c r="G136" s="664"/>
      <c r="H136" s="664"/>
      <c r="I136" s="664"/>
      <c r="J136" s="664"/>
      <c r="K136" s="664"/>
      <c r="L136" s="664"/>
      <c r="M136" s="664"/>
      <c r="N136" s="664"/>
      <c r="O136" s="664"/>
      <c r="P136" s="664"/>
      <c r="Q136" s="664"/>
      <c r="R136" s="664"/>
      <c r="S136" s="664"/>
      <c r="T136" s="664"/>
      <c r="U136" s="664"/>
      <c r="V136" s="664"/>
      <c r="W136" s="664"/>
      <c r="X136" s="664"/>
      <c r="Y136" s="664"/>
      <c r="Z136" s="664"/>
    </row>
    <row r="137">
      <c r="A137" s="664"/>
      <c r="B137" s="664"/>
      <c r="C137" s="664"/>
      <c r="D137" s="664"/>
      <c r="E137" s="664"/>
      <c r="F137" s="664"/>
      <c r="G137" s="664"/>
      <c r="H137" s="664"/>
      <c r="I137" s="664"/>
      <c r="J137" s="664"/>
      <c r="K137" s="664"/>
      <c r="L137" s="664"/>
      <c r="M137" s="664"/>
      <c r="N137" s="664"/>
      <c r="O137" s="664"/>
      <c r="P137" s="664"/>
      <c r="Q137" s="664"/>
      <c r="R137" s="664"/>
      <c r="S137" s="664"/>
      <c r="T137" s="664"/>
      <c r="U137" s="664"/>
      <c r="V137" s="664"/>
      <c r="W137" s="664"/>
      <c r="X137" s="664"/>
      <c r="Y137" s="664"/>
      <c r="Z137" s="664"/>
    </row>
    <row r="138">
      <c r="A138" s="664"/>
      <c r="B138" s="664"/>
      <c r="C138" s="664"/>
      <c r="D138" s="664"/>
      <c r="E138" s="664"/>
      <c r="F138" s="664"/>
      <c r="G138" s="664"/>
      <c r="H138" s="664"/>
      <c r="I138" s="664"/>
      <c r="J138" s="664"/>
      <c r="K138" s="664"/>
      <c r="L138" s="664"/>
      <c r="M138" s="664"/>
      <c r="N138" s="664"/>
      <c r="O138" s="664"/>
      <c r="P138" s="664"/>
      <c r="Q138" s="664"/>
      <c r="R138" s="664"/>
      <c r="S138" s="664"/>
      <c r="T138" s="664"/>
      <c r="U138" s="664"/>
      <c r="V138" s="664"/>
      <c r="W138" s="664"/>
      <c r="X138" s="664"/>
      <c r="Y138" s="664"/>
      <c r="Z138" s="664"/>
    </row>
    <row r="139">
      <c r="A139" s="664"/>
      <c r="B139" s="664"/>
      <c r="C139" s="664"/>
      <c r="D139" s="664"/>
      <c r="E139" s="664"/>
      <c r="F139" s="664"/>
      <c r="G139" s="664"/>
      <c r="H139" s="664"/>
      <c r="I139" s="664"/>
      <c r="J139" s="664"/>
      <c r="K139" s="664"/>
      <c r="L139" s="664"/>
      <c r="M139" s="664"/>
      <c r="N139" s="664"/>
      <c r="O139" s="664"/>
      <c r="P139" s="664"/>
      <c r="Q139" s="664"/>
      <c r="R139" s="664"/>
      <c r="S139" s="664"/>
      <c r="T139" s="664"/>
      <c r="U139" s="664"/>
      <c r="V139" s="664"/>
      <c r="W139" s="664"/>
      <c r="X139" s="664"/>
      <c r="Y139" s="664"/>
      <c r="Z139" s="664"/>
    </row>
    <row r="140">
      <c r="A140" s="664"/>
      <c r="B140" s="664"/>
      <c r="C140" s="664"/>
      <c r="D140" s="664"/>
      <c r="E140" s="664"/>
      <c r="F140" s="664"/>
      <c r="G140" s="664"/>
      <c r="H140" s="664"/>
      <c r="I140" s="664"/>
      <c r="J140" s="664"/>
      <c r="K140" s="664"/>
      <c r="L140" s="664"/>
      <c r="M140" s="664"/>
      <c r="N140" s="664"/>
      <c r="O140" s="664"/>
      <c r="P140" s="664"/>
      <c r="Q140" s="664"/>
      <c r="R140" s="664"/>
      <c r="S140" s="664"/>
      <c r="T140" s="664"/>
      <c r="U140" s="664"/>
      <c r="V140" s="664"/>
      <c r="W140" s="664"/>
      <c r="X140" s="664"/>
      <c r="Y140" s="664"/>
      <c r="Z140" s="664"/>
    </row>
    <row r="141">
      <c r="A141" s="664"/>
      <c r="B141" s="664"/>
      <c r="C141" s="664"/>
      <c r="D141" s="664"/>
      <c r="E141" s="664"/>
      <c r="F141" s="664"/>
      <c r="G141" s="664"/>
      <c r="H141" s="664"/>
      <c r="I141" s="664"/>
      <c r="J141" s="664"/>
      <c r="K141" s="664"/>
      <c r="L141" s="664"/>
      <c r="M141" s="664"/>
      <c r="N141" s="664"/>
      <c r="O141" s="664"/>
      <c r="P141" s="664"/>
      <c r="Q141" s="664"/>
      <c r="R141" s="664"/>
      <c r="S141" s="664"/>
      <c r="T141" s="664"/>
      <c r="U141" s="664"/>
      <c r="V141" s="664"/>
      <c r="W141" s="664"/>
      <c r="X141" s="664"/>
      <c r="Y141" s="664"/>
      <c r="Z141" s="664"/>
    </row>
    <row r="142">
      <c r="A142" s="664"/>
      <c r="B142" s="664"/>
      <c r="C142" s="664"/>
      <c r="D142" s="664"/>
      <c r="E142" s="664"/>
      <c r="F142" s="664"/>
      <c r="G142" s="664"/>
      <c r="H142" s="664"/>
      <c r="I142" s="664"/>
      <c r="J142" s="664"/>
      <c r="K142" s="664"/>
      <c r="L142" s="664"/>
      <c r="M142" s="664"/>
      <c r="N142" s="664"/>
      <c r="O142" s="664"/>
      <c r="P142" s="664"/>
      <c r="Q142" s="664"/>
      <c r="R142" s="664"/>
      <c r="S142" s="664"/>
      <c r="T142" s="664"/>
      <c r="U142" s="664"/>
      <c r="V142" s="664"/>
      <c r="W142" s="664"/>
      <c r="X142" s="664"/>
      <c r="Y142" s="664"/>
      <c r="Z142" s="664"/>
    </row>
    <row r="143">
      <c r="A143" s="664"/>
      <c r="B143" s="664"/>
      <c r="C143" s="664"/>
      <c r="D143" s="664"/>
      <c r="E143" s="664"/>
      <c r="F143" s="664"/>
      <c r="G143" s="664"/>
      <c r="H143" s="664"/>
      <c r="I143" s="664"/>
      <c r="J143" s="664"/>
      <c r="K143" s="664"/>
      <c r="L143" s="664"/>
      <c r="M143" s="664"/>
      <c r="N143" s="664"/>
      <c r="O143" s="664"/>
      <c r="P143" s="664"/>
      <c r="Q143" s="664"/>
      <c r="R143" s="664"/>
      <c r="S143" s="664"/>
      <c r="T143" s="664"/>
      <c r="U143" s="664"/>
      <c r="V143" s="664"/>
      <c r="W143" s="664"/>
      <c r="X143" s="664"/>
      <c r="Y143" s="664"/>
      <c r="Z143" s="664"/>
    </row>
    <row r="144">
      <c r="A144" s="664"/>
      <c r="B144" s="664"/>
      <c r="C144" s="664"/>
      <c r="D144" s="664"/>
      <c r="E144" s="664"/>
      <c r="F144" s="664"/>
      <c r="G144" s="664"/>
      <c r="H144" s="664"/>
      <c r="I144" s="664"/>
      <c r="J144" s="664"/>
      <c r="K144" s="664"/>
      <c r="L144" s="664"/>
      <c r="M144" s="664"/>
      <c r="N144" s="664"/>
      <c r="O144" s="664"/>
      <c r="P144" s="664"/>
      <c r="Q144" s="664"/>
      <c r="R144" s="664"/>
      <c r="S144" s="664"/>
      <c r="T144" s="664"/>
      <c r="U144" s="664"/>
      <c r="V144" s="664"/>
      <c r="W144" s="664"/>
      <c r="X144" s="664"/>
      <c r="Y144" s="664"/>
      <c r="Z144" s="664"/>
    </row>
    <row r="145">
      <c r="A145" s="664"/>
      <c r="B145" s="664"/>
      <c r="C145" s="664"/>
      <c r="D145" s="664"/>
      <c r="E145" s="664"/>
      <c r="F145" s="664"/>
      <c r="G145" s="664"/>
      <c r="H145" s="664"/>
      <c r="I145" s="664"/>
      <c r="J145" s="664"/>
      <c r="K145" s="664"/>
      <c r="L145" s="664"/>
      <c r="M145" s="664"/>
      <c r="N145" s="664"/>
      <c r="O145" s="664"/>
      <c r="P145" s="664"/>
      <c r="Q145" s="664"/>
      <c r="R145" s="664"/>
      <c r="S145" s="664"/>
      <c r="T145" s="664"/>
      <c r="U145" s="664"/>
      <c r="V145" s="664"/>
      <c r="W145" s="664"/>
      <c r="X145" s="664"/>
      <c r="Y145" s="664"/>
      <c r="Z145" s="664"/>
    </row>
    <row r="146">
      <c r="A146" s="664"/>
      <c r="B146" s="664"/>
      <c r="C146" s="664"/>
      <c r="D146" s="664"/>
      <c r="E146" s="664"/>
      <c r="F146" s="664"/>
      <c r="G146" s="664"/>
      <c r="H146" s="664"/>
      <c r="I146" s="664"/>
      <c r="J146" s="664"/>
      <c r="K146" s="664"/>
      <c r="L146" s="664"/>
      <c r="M146" s="664"/>
      <c r="N146" s="664"/>
      <c r="O146" s="664"/>
      <c r="P146" s="664"/>
      <c r="Q146" s="664"/>
      <c r="R146" s="664"/>
      <c r="S146" s="664"/>
      <c r="T146" s="664"/>
      <c r="U146" s="664"/>
      <c r="V146" s="664"/>
      <c r="W146" s="664"/>
      <c r="X146" s="664"/>
      <c r="Y146" s="664"/>
      <c r="Z146" s="664"/>
    </row>
    <row r="147">
      <c r="A147" s="664"/>
      <c r="B147" s="664"/>
      <c r="C147" s="664"/>
      <c r="D147" s="664"/>
      <c r="E147" s="664"/>
      <c r="F147" s="664"/>
      <c r="G147" s="664"/>
      <c r="H147" s="664"/>
      <c r="I147" s="664"/>
      <c r="J147" s="664"/>
      <c r="K147" s="664"/>
      <c r="L147" s="664"/>
      <c r="M147" s="664"/>
      <c r="N147" s="664"/>
      <c r="O147" s="664"/>
      <c r="P147" s="664"/>
      <c r="Q147" s="664"/>
      <c r="R147" s="664"/>
      <c r="S147" s="664"/>
      <c r="T147" s="664"/>
      <c r="U147" s="664"/>
      <c r="V147" s="664"/>
      <c r="W147" s="664"/>
      <c r="X147" s="664"/>
      <c r="Y147" s="664"/>
      <c r="Z147" s="664"/>
    </row>
    <row r="148">
      <c r="A148" s="664"/>
      <c r="B148" s="664"/>
      <c r="C148" s="664"/>
      <c r="D148" s="664"/>
      <c r="E148" s="664"/>
      <c r="F148" s="664"/>
      <c r="G148" s="664"/>
      <c r="H148" s="664"/>
      <c r="I148" s="664"/>
      <c r="J148" s="664"/>
      <c r="K148" s="664"/>
      <c r="L148" s="664"/>
      <c r="M148" s="664"/>
      <c r="N148" s="664"/>
      <c r="O148" s="664"/>
      <c r="P148" s="664"/>
      <c r="Q148" s="664"/>
      <c r="R148" s="664"/>
      <c r="S148" s="664"/>
      <c r="T148" s="664"/>
      <c r="U148" s="664"/>
      <c r="V148" s="664"/>
      <c r="W148" s="664"/>
      <c r="X148" s="664"/>
      <c r="Y148" s="664"/>
      <c r="Z148" s="664"/>
    </row>
    <row r="149">
      <c r="A149" s="664"/>
      <c r="B149" s="664"/>
      <c r="C149" s="664"/>
      <c r="D149" s="664"/>
      <c r="E149" s="664"/>
      <c r="F149" s="664"/>
      <c r="G149" s="664"/>
      <c r="H149" s="664"/>
      <c r="I149" s="664"/>
      <c r="J149" s="664"/>
      <c r="K149" s="664"/>
      <c r="L149" s="664"/>
      <c r="M149" s="664"/>
      <c r="N149" s="664"/>
      <c r="O149" s="664"/>
      <c r="P149" s="664"/>
      <c r="Q149" s="664"/>
      <c r="R149" s="664"/>
      <c r="S149" s="664"/>
      <c r="T149" s="664"/>
      <c r="U149" s="664"/>
      <c r="V149" s="664"/>
      <c r="W149" s="664"/>
      <c r="X149" s="664"/>
      <c r="Y149" s="664"/>
      <c r="Z149" s="664"/>
    </row>
    <row r="150">
      <c r="A150" s="664"/>
      <c r="B150" s="664"/>
      <c r="C150" s="664"/>
      <c r="D150" s="664"/>
      <c r="E150" s="664"/>
      <c r="F150" s="664"/>
      <c r="G150" s="664"/>
      <c r="H150" s="664"/>
      <c r="I150" s="664"/>
      <c r="J150" s="664"/>
      <c r="K150" s="664"/>
      <c r="L150" s="664"/>
      <c r="M150" s="664"/>
      <c r="N150" s="664"/>
      <c r="O150" s="664"/>
      <c r="P150" s="664"/>
      <c r="Q150" s="664"/>
      <c r="R150" s="664"/>
      <c r="S150" s="664"/>
      <c r="T150" s="664"/>
      <c r="U150" s="664"/>
      <c r="V150" s="664"/>
      <c r="W150" s="664"/>
      <c r="X150" s="664"/>
      <c r="Y150" s="664"/>
      <c r="Z150" s="664"/>
    </row>
    <row r="151">
      <c r="A151" s="664"/>
      <c r="B151" s="664"/>
      <c r="C151" s="664"/>
      <c r="D151" s="664"/>
      <c r="E151" s="664"/>
      <c r="F151" s="664"/>
      <c r="G151" s="664"/>
      <c r="H151" s="664"/>
      <c r="I151" s="664"/>
      <c r="J151" s="664"/>
      <c r="K151" s="664"/>
      <c r="L151" s="664"/>
      <c r="M151" s="664"/>
      <c r="N151" s="664"/>
      <c r="O151" s="664"/>
      <c r="P151" s="664"/>
      <c r="Q151" s="664"/>
      <c r="R151" s="664"/>
      <c r="S151" s="664"/>
      <c r="T151" s="664"/>
      <c r="U151" s="664"/>
      <c r="V151" s="664"/>
      <c r="W151" s="664"/>
      <c r="X151" s="664"/>
      <c r="Y151" s="664"/>
      <c r="Z151" s="664"/>
    </row>
    <row r="152">
      <c r="A152" s="664"/>
      <c r="B152" s="664"/>
      <c r="C152" s="664"/>
      <c r="D152" s="664"/>
      <c r="E152" s="664"/>
      <c r="F152" s="664"/>
      <c r="G152" s="664"/>
      <c r="H152" s="664"/>
      <c r="I152" s="664"/>
      <c r="J152" s="664"/>
      <c r="K152" s="664"/>
      <c r="L152" s="664"/>
      <c r="M152" s="664"/>
      <c r="N152" s="664"/>
      <c r="O152" s="664"/>
      <c r="P152" s="664"/>
      <c r="Q152" s="664"/>
      <c r="R152" s="664"/>
      <c r="S152" s="664"/>
      <c r="T152" s="664"/>
      <c r="U152" s="664"/>
      <c r="V152" s="664"/>
      <c r="W152" s="664"/>
      <c r="X152" s="664"/>
      <c r="Y152" s="664"/>
      <c r="Z152" s="664"/>
    </row>
    <row r="153">
      <c r="A153" s="664"/>
      <c r="B153" s="664"/>
      <c r="C153" s="664"/>
      <c r="D153" s="664"/>
      <c r="E153" s="664"/>
      <c r="F153" s="664"/>
      <c r="G153" s="664"/>
      <c r="H153" s="664"/>
      <c r="I153" s="664"/>
      <c r="J153" s="664"/>
      <c r="K153" s="664"/>
      <c r="L153" s="664"/>
      <c r="M153" s="664"/>
      <c r="N153" s="664"/>
      <c r="O153" s="664"/>
      <c r="P153" s="664"/>
      <c r="Q153" s="664"/>
      <c r="R153" s="664"/>
      <c r="S153" s="664"/>
      <c r="T153" s="664"/>
      <c r="U153" s="664"/>
      <c r="V153" s="664"/>
      <c r="W153" s="664"/>
      <c r="X153" s="664"/>
      <c r="Y153" s="664"/>
      <c r="Z153" s="664"/>
    </row>
    <row r="154">
      <c r="A154" s="664"/>
      <c r="B154" s="664"/>
      <c r="C154" s="664"/>
      <c r="D154" s="664"/>
      <c r="E154" s="664"/>
      <c r="F154" s="664"/>
      <c r="G154" s="664"/>
      <c r="H154" s="664"/>
      <c r="I154" s="664"/>
      <c r="J154" s="664"/>
      <c r="K154" s="664"/>
      <c r="L154" s="664"/>
      <c r="M154" s="664"/>
      <c r="N154" s="664"/>
      <c r="O154" s="664"/>
      <c r="P154" s="664"/>
      <c r="Q154" s="664"/>
      <c r="R154" s="664"/>
      <c r="S154" s="664"/>
      <c r="T154" s="664"/>
      <c r="U154" s="664"/>
      <c r="V154" s="664"/>
      <c r="W154" s="664"/>
      <c r="X154" s="664"/>
      <c r="Y154" s="664"/>
      <c r="Z154" s="664"/>
    </row>
    <row r="155">
      <c r="A155" s="664"/>
      <c r="B155" s="664"/>
      <c r="C155" s="664"/>
      <c r="D155" s="664"/>
      <c r="E155" s="664"/>
      <c r="F155" s="664"/>
      <c r="G155" s="664"/>
      <c r="H155" s="664"/>
      <c r="I155" s="664"/>
      <c r="J155" s="664"/>
      <c r="K155" s="664"/>
      <c r="L155" s="664"/>
      <c r="M155" s="664"/>
      <c r="N155" s="664"/>
      <c r="O155" s="664"/>
      <c r="P155" s="664"/>
      <c r="Q155" s="664"/>
      <c r="R155" s="664"/>
      <c r="S155" s="664"/>
      <c r="T155" s="664"/>
      <c r="U155" s="664"/>
      <c r="V155" s="664"/>
      <c r="W155" s="664"/>
      <c r="X155" s="664"/>
      <c r="Y155" s="664"/>
      <c r="Z155" s="664"/>
    </row>
    <row r="156">
      <c r="A156" s="664"/>
      <c r="B156" s="664"/>
      <c r="C156" s="664"/>
      <c r="D156" s="664"/>
      <c r="E156" s="664"/>
      <c r="F156" s="664"/>
      <c r="G156" s="664"/>
      <c r="H156" s="664"/>
      <c r="I156" s="664"/>
      <c r="J156" s="664"/>
      <c r="K156" s="664"/>
      <c r="L156" s="664"/>
      <c r="M156" s="664"/>
      <c r="N156" s="664"/>
      <c r="O156" s="664"/>
      <c r="P156" s="664"/>
      <c r="Q156" s="664"/>
      <c r="R156" s="664"/>
      <c r="S156" s="664"/>
      <c r="T156" s="664"/>
      <c r="U156" s="664"/>
      <c r="V156" s="664"/>
      <c r="W156" s="664"/>
      <c r="X156" s="664"/>
      <c r="Y156" s="664"/>
      <c r="Z156" s="664"/>
    </row>
    <row r="157">
      <c r="A157" s="664"/>
      <c r="B157" s="664"/>
      <c r="C157" s="664"/>
      <c r="D157" s="664"/>
      <c r="E157" s="664"/>
      <c r="F157" s="664"/>
      <c r="G157" s="664"/>
      <c r="H157" s="664"/>
      <c r="I157" s="664"/>
      <c r="J157" s="664"/>
      <c r="K157" s="664"/>
      <c r="L157" s="664"/>
      <c r="M157" s="664"/>
      <c r="N157" s="664"/>
      <c r="O157" s="664"/>
      <c r="P157" s="664"/>
      <c r="Q157" s="664"/>
      <c r="R157" s="664"/>
      <c r="S157" s="664"/>
      <c r="T157" s="664"/>
      <c r="U157" s="664"/>
      <c r="V157" s="664"/>
      <c r="W157" s="664"/>
      <c r="X157" s="664"/>
      <c r="Y157" s="664"/>
      <c r="Z157" s="664"/>
    </row>
    <row r="158">
      <c r="A158" s="664"/>
      <c r="B158" s="664"/>
      <c r="C158" s="664"/>
      <c r="D158" s="664"/>
      <c r="E158" s="664"/>
      <c r="F158" s="664"/>
      <c r="G158" s="664"/>
      <c r="H158" s="664"/>
      <c r="I158" s="664"/>
      <c r="J158" s="664"/>
      <c r="K158" s="664"/>
      <c r="L158" s="664"/>
      <c r="M158" s="664"/>
      <c r="N158" s="664"/>
      <c r="O158" s="664"/>
      <c r="P158" s="664"/>
      <c r="Q158" s="664"/>
      <c r="R158" s="664"/>
      <c r="S158" s="664"/>
      <c r="T158" s="664"/>
      <c r="U158" s="664"/>
      <c r="V158" s="664"/>
      <c r="W158" s="664"/>
      <c r="X158" s="664"/>
      <c r="Y158" s="664"/>
      <c r="Z158" s="664"/>
    </row>
    <row r="159">
      <c r="A159" s="664"/>
      <c r="B159" s="664"/>
      <c r="C159" s="664"/>
      <c r="D159" s="664"/>
      <c r="E159" s="664"/>
      <c r="F159" s="664"/>
      <c r="G159" s="664"/>
      <c r="H159" s="664"/>
      <c r="I159" s="664"/>
      <c r="J159" s="664"/>
      <c r="K159" s="664"/>
      <c r="L159" s="664"/>
      <c r="M159" s="664"/>
      <c r="N159" s="664"/>
      <c r="O159" s="664"/>
      <c r="P159" s="664"/>
      <c r="Q159" s="664"/>
      <c r="R159" s="664"/>
      <c r="S159" s="664"/>
      <c r="T159" s="664"/>
      <c r="U159" s="664"/>
      <c r="V159" s="664"/>
      <c r="W159" s="664"/>
      <c r="X159" s="664"/>
      <c r="Y159" s="664"/>
      <c r="Z159" s="664"/>
    </row>
    <row r="160">
      <c r="A160" s="664"/>
      <c r="B160" s="664"/>
      <c r="C160" s="664"/>
      <c r="D160" s="664"/>
      <c r="E160" s="664"/>
      <c r="F160" s="664"/>
      <c r="G160" s="664"/>
      <c r="H160" s="664"/>
      <c r="I160" s="664"/>
      <c r="J160" s="664"/>
      <c r="K160" s="664"/>
      <c r="L160" s="664"/>
      <c r="M160" s="664"/>
      <c r="N160" s="664"/>
      <c r="O160" s="664"/>
      <c r="P160" s="664"/>
      <c r="Q160" s="664"/>
      <c r="R160" s="664"/>
      <c r="S160" s="664"/>
      <c r="T160" s="664"/>
      <c r="U160" s="664"/>
      <c r="V160" s="664"/>
      <c r="W160" s="664"/>
      <c r="X160" s="664"/>
      <c r="Y160" s="664"/>
      <c r="Z160" s="664"/>
    </row>
    <row r="161">
      <c r="A161" s="664"/>
      <c r="B161" s="664"/>
      <c r="C161" s="664"/>
      <c r="D161" s="664"/>
      <c r="E161" s="664"/>
      <c r="F161" s="664"/>
      <c r="G161" s="664"/>
      <c r="H161" s="664"/>
      <c r="I161" s="664"/>
      <c r="J161" s="664"/>
      <c r="K161" s="664"/>
      <c r="L161" s="664"/>
      <c r="M161" s="664"/>
      <c r="N161" s="664"/>
      <c r="O161" s="664"/>
      <c r="P161" s="664"/>
      <c r="Q161" s="664"/>
      <c r="R161" s="664"/>
      <c r="S161" s="664"/>
      <c r="T161" s="664"/>
      <c r="U161" s="664"/>
      <c r="V161" s="664"/>
      <c r="W161" s="664"/>
      <c r="X161" s="664"/>
      <c r="Y161" s="664"/>
      <c r="Z161" s="664"/>
    </row>
    <row r="162">
      <c r="A162" s="664"/>
      <c r="B162" s="664"/>
      <c r="C162" s="664"/>
      <c r="D162" s="664"/>
      <c r="E162" s="664"/>
      <c r="F162" s="664"/>
      <c r="G162" s="664"/>
      <c r="H162" s="664"/>
      <c r="I162" s="664"/>
      <c r="J162" s="664"/>
      <c r="K162" s="664"/>
      <c r="L162" s="664"/>
      <c r="M162" s="664"/>
      <c r="N162" s="664"/>
      <c r="O162" s="664"/>
      <c r="P162" s="664"/>
      <c r="Q162" s="664"/>
      <c r="R162" s="664"/>
      <c r="S162" s="664"/>
      <c r="T162" s="664"/>
      <c r="U162" s="664"/>
      <c r="V162" s="664"/>
      <c r="W162" s="664"/>
      <c r="X162" s="664"/>
      <c r="Y162" s="664"/>
      <c r="Z162" s="664"/>
    </row>
    <row r="163">
      <c r="A163" s="664"/>
      <c r="B163" s="664"/>
      <c r="C163" s="664"/>
      <c r="D163" s="664"/>
      <c r="E163" s="664"/>
      <c r="F163" s="664"/>
      <c r="G163" s="664"/>
      <c r="H163" s="664"/>
      <c r="I163" s="664"/>
      <c r="J163" s="664"/>
      <c r="K163" s="664"/>
      <c r="L163" s="664"/>
      <c r="M163" s="664"/>
      <c r="N163" s="664"/>
      <c r="O163" s="664"/>
      <c r="P163" s="664"/>
      <c r="Q163" s="664"/>
      <c r="R163" s="664"/>
      <c r="S163" s="664"/>
      <c r="T163" s="664"/>
      <c r="U163" s="664"/>
      <c r="V163" s="664"/>
      <c r="W163" s="664"/>
      <c r="X163" s="664"/>
      <c r="Y163" s="664"/>
      <c r="Z163" s="664"/>
    </row>
    <row r="164">
      <c r="A164" s="664"/>
      <c r="B164" s="664"/>
      <c r="C164" s="664"/>
      <c r="D164" s="664"/>
      <c r="E164" s="664"/>
      <c r="F164" s="664"/>
      <c r="G164" s="664"/>
      <c r="H164" s="664"/>
      <c r="I164" s="664"/>
      <c r="J164" s="664"/>
      <c r="K164" s="664"/>
      <c r="L164" s="664"/>
      <c r="M164" s="664"/>
      <c r="N164" s="664"/>
      <c r="O164" s="664"/>
      <c r="P164" s="664"/>
      <c r="Q164" s="664"/>
      <c r="R164" s="664"/>
      <c r="S164" s="664"/>
      <c r="T164" s="664"/>
      <c r="U164" s="664"/>
      <c r="V164" s="664"/>
      <c r="W164" s="664"/>
      <c r="X164" s="664"/>
      <c r="Y164" s="664"/>
      <c r="Z164" s="664"/>
    </row>
    <row r="165">
      <c r="A165" s="664"/>
      <c r="B165" s="664"/>
      <c r="C165" s="664"/>
      <c r="D165" s="664"/>
      <c r="E165" s="664"/>
      <c r="F165" s="664"/>
      <c r="G165" s="664"/>
      <c r="H165" s="664"/>
      <c r="I165" s="664"/>
      <c r="J165" s="664"/>
      <c r="K165" s="664"/>
      <c r="L165" s="664"/>
      <c r="M165" s="664"/>
      <c r="N165" s="664"/>
      <c r="O165" s="664"/>
      <c r="P165" s="664"/>
      <c r="Q165" s="664"/>
      <c r="R165" s="664"/>
      <c r="S165" s="664"/>
      <c r="T165" s="664"/>
      <c r="U165" s="664"/>
      <c r="V165" s="664"/>
      <c r="W165" s="664"/>
      <c r="X165" s="664"/>
      <c r="Y165" s="664"/>
      <c r="Z165" s="664"/>
    </row>
    <row r="166">
      <c r="A166" s="664"/>
      <c r="B166" s="664"/>
      <c r="C166" s="664"/>
      <c r="D166" s="664"/>
      <c r="E166" s="664"/>
      <c r="F166" s="664"/>
      <c r="G166" s="664"/>
      <c r="H166" s="664"/>
      <c r="I166" s="664"/>
      <c r="J166" s="664"/>
      <c r="K166" s="664"/>
      <c r="L166" s="664"/>
      <c r="M166" s="664"/>
      <c r="N166" s="664"/>
      <c r="O166" s="664"/>
      <c r="P166" s="664"/>
      <c r="Q166" s="664"/>
      <c r="R166" s="664"/>
      <c r="S166" s="664"/>
      <c r="T166" s="664"/>
      <c r="U166" s="664"/>
      <c r="V166" s="664"/>
      <c r="W166" s="664"/>
      <c r="X166" s="664"/>
      <c r="Y166" s="664"/>
      <c r="Z166" s="664"/>
    </row>
    <row r="167">
      <c r="A167" s="664"/>
      <c r="B167" s="664"/>
      <c r="C167" s="664"/>
      <c r="D167" s="664"/>
      <c r="E167" s="664"/>
      <c r="F167" s="664"/>
      <c r="G167" s="664"/>
      <c r="H167" s="664"/>
      <c r="I167" s="664"/>
      <c r="J167" s="664"/>
      <c r="K167" s="664"/>
      <c r="L167" s="664"/>
      <c r="M167" s="664"/>
      <c r="N167" s="664"/>
      <c r="O167" s="664"/>
      <c r="P167" s="664"/>
      <c r="Q167" s="664"/>
      <c r="R167" s="664"/>
      <c r="S167" s="664"/>
      <c r="T167" s="664"/>
      <c r="U167" s="664"/>
      <c r="V167" s="664"/>
      <c r="W167" s="664"/>
      <c r="X167" s="664"/>
      <c r="Y167" s="664"/>
      <c r="Z167" s="664"/>
    </row>
    <row r="168">
      <c r="A168" s="664"/>
      <c r="B168" s="664"/>
      <c r="C168" s="664"/>
      <c r="D168" s="664"/>
      <c r="E168" s="664"/>
      <c r="F168" s="664"/>
      <c r="G168" s="664"/>
      <c r="H168" s="664"/>
      <c r="I168" s="664"/>
      <c r="J168" s="664"/>
      <c r="K168" s="664"/>
      <c r="L168" s="664"/>
      <c r="M168" s="664"/>
      <c r="N168" s="664"/>
      <c r="O168" s="664"/>
      <c r="P168" s="664"/>
      <c r="Q168" s="664"/>
      <c r="R168" s="664"/>
      <c r="S168" s="664"/>
      <c r="T168" s="664"/>
      <c r="U168" s="664"/>
      <c r="V168" s="664"/>
      <c r="W168" s="664"/>
      <c r="X168" s="664"/>
      <c r="Y168" s="664"/>
      <c r="Z168" s="664"/>
    </row>
    <row r="169">
      <c r="A169" s="664"/>
      <c r="B169" s="664"/>
      <c r="C169" s="664"/>
      <c r="D169" s="664"/>
      <c r="E169" s="664"/>
      <c r="F169" s="664"/>
      <c r="G169" s="664"/>
      <c r="H169" s="664"/>
      <c r="I169" s="664"/>
      <c r="J169" s="664"/>
      <c r="K169" s="664"/>
      <c r="L169" s="664"/>
      <c r="M169" s="664"/>
      <c r="N169" s="664"/>
      <c r="O169" s="664"/>
      <c r="P169" s="664"/>
      <c r="Q169" s="664"/>
      <c r="R169" s="664"/>
      <c r="S169" s="664"/>
      <c r="T169" s="664"/>
      <c r="U169" s="664"/>
      <c r="V169" s="664"/>
      <c r="W169" s="664"/>
      <c r="X169" s="664"/>
      <c r="Y169" s="664"/>
      <c r="Z169" s="664"/>
    </row>
    <row r="170">
      <c r="A170" s="664"/>
      <c r="B170" s="664"/>
      <c r="C170" s="664"/>
      <c r="D170" s="664"/>
      <c r="E170" s="664"/>
      <c r="F170" s="664"/>
      <c r="G170" s="664"/>
      <c r="H170" s="664"/>
      <c r="I170" s="664"/>
      <c r="J170" s="664"/>
      <c r="K170" s="664"/>
      <c r="L170" s="664"/>
      <c r="M170" s="664"/>
      <c r="N170" s="664"/>
      <c r="O170" s="664"/>
      <c r="P170" s="664"/>
      <c r="Q170" s="664"/>
      <c r="R170" s="664"/>
      <c r="S170" s="664"/>
      <c r="T170" s="664"/>
      <c r="U170" s="664"/>
      <c r="V170" s="664"/>
      <c r="W170" s="664"/>
      <c r="X170" s="664"/>
      <c r="Y170" s="664"/>
      <c r="Z170" s="664"/>
    </row>
    <row r="171">
      <c r="A171" s="664"/>
      <c r="B171" s="664"/>
      <c r="C171" s="664"/>
      <c r="D171" s="664"/>
      <c r="E171" s="664"/>
      <c r="F171" s="664"/>
      <c r="G171" s="664"/>
      <c r="H171" s="664"/>
      <c r="I171" s="664"/>
      <c r="J171" s="664"/>
      <c r="K171" s="664"/>
      <c r="L171" s="664"/>
      <c r="M171" s="664"/>
      <c r="N171" s="664"/>
      <c r="O171" s="664"/>
      <c r="P171" s="664"/>
      <c r="Q171" s="664"/>
      <c r="R171" s="664"/>
      <c r="S171" s="664"/>
      <c r="T171" s="664"/>
      <c r="U171" s="664"/>
      <c r="V171" s="664"/>
      <c r="W171" s="664"/>
      <c r="X171" s="664"/>
      <c r="Y171" s="664"/>
      <c r="Z171" s="664"/>
    </row>
    <row r="172">
      <c r="A172" s="664"/>
      <c r="B172" s="664"/>
      <c r="C172" s="664"/>
      <c r="D172" s="664"/>
      <c r="E172" s="664"/>
      <c r="F172" s="664"/>
      <c r="G172" s="664"/>
      <c r="H172" s="664"/>
      <c r="I172" s="664"/>
      <c r="J172" s="664"/>
      <c r="K172" s="664"/>
      <c r="L172" s="664"/>
      <c r="M172" s="664"/>
      <c r="N172" s="664"/>
      <c r="O172" s="664"/>
      <c r="P172" s="664"/>
      <c r="Q172" s="664"/>
      <c r="R172" s="664"/>
      <c r="S172" s="664"/>
      <c r="T172" s="664"/>
      <c r="U172" s="664"/>
      <c r="V172" s="664"/>
      <c r="W172" s="664"/>
      <c r="X172" s="664"/>
      <c r="Y172" s="664"/>
      <c r="Z172" s="664"/>
    </row>
    <row r="173">
      <c r="A173" s="664"/>
      <c r="B173" s="664"/>
      <c r="C173" s="664"/>
      <c r="D173" s="664"/>
      <c r="E173" s="664"/>
      <c r="F173" s="664"/>
      <c r="G173" s="664"/>
      <c r="H173" s="664"/>
      <c r="I173" s="664"/>
      <c r="J173" s="664"/>
      <c r="K173" s="664"/>
      <c r="L173" s="664"/>
      <c r="M173" s="664"/>
      <c r="N173" s="664"/>
      <c r="O173" s="664"/>
      <c r="P173" s="664"/>
      <c r="Q173" s="664"/>
      <c r="R173" s="664"/>
      <c r="S173" s="664"/>
      <c r="T173" s="664"/>
      <c r="U173" s="664"/>
      <c r="V173" s="664"/>
      <c r="W173" s="664"/>
      <c r="X173" s="664"/>
      <c r="Y173" s="664"/>
      <c r="Z173" s="664"/>
    </row>
    <row r="174">
      <c r="A174" s="664"/>
      <c r="B174" s="664"/>
      <c r="C174" s="664"/>
      <c r="D174" s="664"/>
      <c r="E174" s="664"/>
      <c r="F174" s="664"/>
      <c r="G174" s="664"/>
      <c r="H174" s="664"/>
      <c r="I174" s="664"/>
      <c r="J174" s="664"/>
      <c r="K174" s="664"/>
      <c r="L174" s="664"/>
      <c r="M174" s="664"/>
      <c r="N174" s="664"/>
      <c r="O174" s="664"/>
      <c r="P174" s="664"/>
      <c r="Q174" s="664"/>
      <c r="R174" s="664"/>
      <c r="S174" s="664"/>
      <c r="T174" s="664"/>
      <c r="U174" s="664"/>
      <c r="V174" s="664"/>
      <c r="W174" s="664"/>
      <c r="X174" s="664"/>
      <c r="Y174" s="664"/>
      <c r="Z174" s="664"/>
    </row>
    <row r="175">
      <c r="A175" s="664"/>
      <c r="B175" s="664"/>
      <c r="C175" s="664"/>
      <c r="D175" s="664"/>
      <c r="E175" s="664"/>
      <c r="F175" s="664"/>
      <c r="G175" s="664"/>
      <c r="H175" s="664"/>
      <c r="I175" s="664"/>
      <c r="J175" s="664"/>
      <c r="K175" s="664"/>
      <c r="L175" s="664"/>
      <c r="M175" s="664"/>
      <c r="N175" s="664"/>
      <c r="O175" s="664"/>
      <c r="P175" s="664"/>
      <c r="Q175" s="664"/>
      <c r="R175" s="664"/>
      <c r="S175" s="664"/>
      <c r="T175" s="664"/>
      <c r="U175" s="664"/>
      <c r="V175" s="664"/>
      <c r="W175" s="664"/>
      <c r="X175" s="664"/>
      <c r="Y175" s="664"/>
      <c r="Z175" s="664"/>
    </row>
    <row r="176">
      <c r="A176" s="664"/>
      <c r="B176" s="664"/>
      <c r="C176" s="664"/>
      <c r="D176" s="664"/>
      <c r="E176" s="664"/>
      <c r="F176" s="664"/>
      <c r="G176" s="664"/>
      <c r="H176" s="664"/>
      <c r="I176" s="664"/>
      <c r="J176" s="664"/>
      <c r="K176" s="664"/>
      <c r="L176" s="664"/>
      <c r="M176" s="664"/>
      <c r="N176" s="664"/>
      <c r="O176" s="664"/>
      <c r="P176" s="664"/>
      <c r="Q176" s="664"/>
      <c r="R176" s="664"/>
      <c r="S176" s="664"/>
      <c r="T176" s="664"/>
      <c r="U176" s="664"/>
      <c r="V176" s="664"/>
      <c r="W176" s="664"/>
      <c r="X176" s="664"/>
      <c r="Y176" s="664"/>
      <c r="Z176" s="664"/>
    </row>
    <row r="177">
      <c r="A177" s="664"/>
      <c r="B177" s="664"/>
      <c r="C177" s="664"/>
      <c r="D177" s="664"/>
      <c r="E177" s="664"/>
      <c r="F177" s="664"/>
      <c r="G177" s="664"/>
      <c r="H177" s="664"/>
      <c r="I177" s="664"/>
      <c r="J177" s="664"/>
      <c r="K177" s="664"/>
      <c r="L177" s="664"/>
      <c r="M177" s="664"/>
      <c r="N177" s="664"/>
      <c r="O177" s="664"/>
      <c r="P177" s="664"/>
      <c r="Q177" s="664"/>
      <c r="R177" s="664"/>
      <c r="S177" s="664"/>
      <c r="T177" s="664"/>
      <c r="U177" s="664"/>
      <c r="V177" s="664"/>
      <c r="W177" s="664"/>
      <c r="X177" s="664"/>
      <c r="Y177" s="664"/>
      <c r="Z177" s="664"/>
    </row>
    <row r="178">
      <c r="A178" s="664"/>
      <c r="B178" s="664"/>
      <c r="C178" s="664"/>
      <c r="D178" s="664"/>
      <c r="E178" s="664"/>
      <c r="F178" s="664"/>
      <c r="G178" s="664"/>
      <c r="H178" s="664"/>
      <c r="I178" s="664"/>
      <c r="J178" s="664"/>
      <c r="K178" s="664"/>
      <c r="L178" s="664"/>
      <c r="M178" s="664"/>
      <c r="N178" s="664"/>
      <c r="O178" s="664"/>
      <c r="P178" s="664"/>
      <c r="Q178" s="664"/>
      <c r="R178" s="664"/>
      <c r="S178" s="664"/>
      <c r="T178" s="664"/>
      <c r="U178" s="664"/>
      <c r="V178" s="664"/>
      <c r="W178" s="664"/>
      <c r="X178" s="664"/>
      <c r="Y178" s="664"/>
      <c r="Z178" s="664"/>
    </row>
    <row r="179">
      <c r="A179" s="664"/>
      <c r="B179" s="664"/>
      <c r="C179" s="664"/>
      <c r="D179" s="664"/>
      <c r="E179" s="664"/>
      <c r="F179" s="664"/>
      <c r="G179" s="664"/>
      <c r="H179" s="664"/>
      <c r="I179" s="664"/>
      <c r="J179" s="664"/>
      <c r="K179" s="664"/>
      <c r="L179" s="664"/>
      <c r="M179" s="664"/>
      <c r="N179" s="664"/>
      <c r="O179" s="664"/>
      <c r="P179" s="664"/>
      <c r="Q179" s="664"/>
      <c r="R179" s="664"/>
      <c r="S179" s="664"/>
      <c r="T179" s="664"/>
      <c r="U179" s="664"/>
      <c r="V179" s="664"/>
      <c r="W179" s="664"/>
      <c r="X179" s="664"/>
      <c r="Y179" s="664"/>
      <c r="Z179" s="664"/>
    </row>
    <row r="180">
      <c r="A180" s="664"/>
      <c r="B180" s="664"/>
      <c r="C180" s="664"/>
      <c r="D180" s="664"/>
      <c r="E180" s="664"/>
      <c r="F180" s="664"/>
      <c r="G180" s="664"/>
      <c r="H180" s="664"/>
      <c r="I180" s="664"/>
      <c r="J180" s="664"/>
      <c r="K180" s="664"/>
      <c r="L180" s="664"/>
      <c r="M180" s="664"/>
      <c r="N180" s="664"/>
      <c r="O180" s="664"/>
      <c r="P180" s="664"/>
      <c r="Q180" s="664"/>
      <c r="R180" s="664"/>
      <c r="S180" s="664"/>
      <c r="T180" s="664"/>
      <c r="U180" s="664"/>
      <c r="V180" s="664"/>
      <c r="W180" s="664"/>
      <c r="X180" s="664"/>
      <c r="Y180" s="664"/>
      <c r="Z180" s="664"/>
    </row>
    <row r="181">
      <c r="A181" s="664"/>
      <c r="B181" s="664"/>
      <c r="C181" s="664"/>
      <c r="D181" s="664"/>
      <c r="E181" s="664"/>
      <c r="F181" s="664"/>
      <c r="G181" s="664"/>
      <c r="H181" s="664"/>
      <c r="I181" s="664"/>
      <c r="J181" s="664"/>
      <c r="K181" s="664"/>
      <c r="L181" s="664"/>
      <c r="M181" s="664"/>
      <c r="N181" s="664"/>
      <c r="O181" s="664"/>
      <c r="P181" s="664"/>
      <c r="Q181" s="664"/>
      <c r="R181" s="664"/>
      <c r="S181" s="664"/>
      <c r="T181" s="664"/>
      <c r="U181" s="664"/>
      <c r="V181" s="664"/>
      <c r="W181" s="664"/>
      <c r="X181" s="664"/>
      <c r="Y181" s="664"/>
      <c r="Z181" s="664"/>
    </row>
    <row r="182">
      <c r="A182" s="664"/>
      <c r="B182" s="664"/>
      <c r="C182" s="664"/>
      <c r="D182" s="664"/>
      <c r="E182" s="664"/>
      <c r="F182" s="664"/>
      <c r="G182" s="664"/>
      <c r="H182" s="664"/>
      <c r="I182" s="664"/>
      <c r="J182" s="664"/>
      <c r="K182" s="664"/>
      <c r="L182" s="664"/>
      <c r="M182" s="664"/>
      <c r="N182" s="664"/>
      <c r="O182" s="664"/>
      <c r="P182" s="664"/>
      <c r="Q182" s="664"/>
      <c r="R182" s="664"/>
      <c r="S182" s="664"/>
      <c r="T182" s="664"/>
      <c r="U182" s="664"/>
      <c r="V182" s="664"/>
      <c r="W182" s="664"/>
      <c r="X182" s="664"/>
      <c r="Y182" s="664"/>
      <c r="Z182" s="664"/>
    </row>
    <row r="183">
      <c r="A183" s="664"/>
      <c r="B183" s="664"/>
      <c r="C183" s="664"/>
      <c r="D183" s="664"/>
      <c r="E183" s="664"/>
      <c r="F183" s="664"/>
      <c r="G183" s="664"/>
      <c r="H183" s="664"/>
      <c r="I183" s="664"/>
      <c r="J183" s="664"/>
      <c r="K183" s="664"/>
      <c r="L183" s="664"/>
      <c r="M183" s="664"/>
      <c r="N183" s="664"/>
      <c r="O183" s="664"/>
      <c r="P183" s="664"/>
      <c r="Q183" s="664"/>
      <c r="R183" s="664"/>
      <c r="S183" s="664"/>
      <c r="T183" s="664"/>
      <c r="U183" s="664"/>
      <c r="V183" s="664"/>
      <c r="W183" s="664"/>
      <c r="X183" s="664"/>
      <c r="Y183" s="664"/>
      <c r="Z183" s="664"/>
    </row>
    <row r="184">
      <c r="A184" s="664"/>
      <c r="B184" s="664"/>
      <c r="C184" s="664"/>
      <c r="D184" s="664"/>
      <c r="E184" s="664"/>
      <c r="F184" s="664"/>
      <c r="G184" s="664"/>
      <c r="H184" s="664"/>
      <c r="I184" s="664"/>
      <c r="J184" s="664"/>
      <c r="K184" s="664"/>
      <c r="L184" s="664"/>
      <c r="M184" s="664"/>
      <c r="N184" s="664"/>
      <c r="O184" s="664"/>
      <c r="P184" s="664"/>
      <c r="Q184" s="664"/>
      <c r="R184" s="664"/>
      <c r="S184" s="664"/>
      <c r="T184" s="664"/>
      <c r="U184" s="664"/>
      <c r="V184" s="664"/>
      <c r="W184" s="664"/>
      <c r="X184" s="664"/>
      <c r="Y184" s="664"/>
      <c r="Z184" s="664"/>
    </row>
    <row r="185">
      <c r="A185" s="664"/>
      <c r="B185" s="664"/>
      <c r="C185" s="664"/>
      <c r="D185" s="664"/>
      <c r="E185" s="664"/>
      <c r="F185" s="664"/>
      <c r="G185" s="664"/>
      <c r="H185" s="664"/>
      <c r="I185" s="664"/>
      <c r="J185" s="664"/>
      <c r="K185" s="664"/>
      <c r="L185" s="664"/>
      <c r="M185" s="664"/>
      <c r="N185" s="664"/>
      <c r="O185" s="664"/>
      <c r="P185" s="664"/>
      <c r="Q185" s="664"/>
      <c r="R185" s="664"/>
      <c r="S185" s="664"/>
      <c r="T185" s="664"/>
      <c r="U185" s="664"/>
      <c r="V185" s="664"/>
      <c r="W185" s="664"/>
      <c r="X185" s="664"/>
      <c r="Y185" s="664"/>
      <c r="Z185" s="664"/>
    </row>
    <row r="186">
      <c r="A186" s="664"/>
      <c r="B186" s="664"/>
      <c r="C186" s="664"/>
      <c r="D186" s="664"/>
      <c r="E186" s="664"/>
      <c r="F186" s="664"/>
      <c r="G186" s="664"/>
      <c r="H186" s="664"/>
      <c r="I186" s="664"/>
      <c r="J186" s="664"/>
      <c r="K186" s="664"/>
      <c r="L186" s="664"/>
      <c r="M186" s="664"/>
      <c r="N186" s="664"/>
      <c r="O186" s="664"/>
      <c r="P186" s="664"/>
      <c r="Q186" s="664"/>
      <c r="R186" s="664"/>
      <c r="S186" s="664"/>
      <c r="T186" s="664"/>
      <c r="U186" s="664"/>
      <c r="V186" s="664"/>
      <c r="W186" s="664"/>
      <c r="X186" s="664"/>
      <c r="Y186" s="664"/>
      <c r="Z186" s="664"/>
    </row>
    <row r="187">
      <c r="A187" s="664"/>
      <c r="B187" s="664"/>
      <c r="C187" s="664"/>
      <c r="D187" s="664"/>
      <c r="E187" s="664"/>
      <c r="F187" s="664"/>
      <c r="G187" s="664"/>
      <c r="H187" s="664"/>
      <c r="I187" s="664"/>
      <c r="J187" s="664"/>
      <c r="K187" s="664"/>
      <c r="L187" s="664"/>
      <c r="M187" s="664"/>
      <c r="N187" s="664"/>
      <c r="O187" s="664"/>
      <c r="P187" s="664"/>
      <c r="Q187" s="664"/>
      <c r="R187" s="664"/>
      <c r="S187" s="664"/>
      <c r="T187" s="664"/>
      <c r="U187" s="664"/>
      <c r="V187" s="664"/>
      <c r="W187" s="664"/>
      <c r="X187" s="664"/>
      <c r="Y187" s="664"/>
      <c r="Z187" s="664"/>
    </row>
    <row r="188">
      <c r="A188" s="664"/>
      <c r="B188" s="664"/>
      <c r="C188" s="664"/>
      <c r="D188" s="664"/>
      <c r="E188" s="664"/>
      <c r="F188" s="664"/>
      <c r="G188" s="664"/>
      <c r="H188" s="664"/>
      <c r="I188" s="664"/>
      <c r="J188" s="664"/>
      <c r="K188" s="664"/>
      <c r="L188" s="664"/>
      <c r="M188" s="664"/>
      <c r="N188" s="664"/>
      <c r="O188" s="664"/>
      <c r="P188" s="664"/>
      <c r="Q188" s="664"/>
      <c r="R188" s="664"/>
      <c r="S188" s="664"/>
      <c r="T188" s="664"/>
      <c r="U188" s="664"/>
      <c r="V188" s="664"/>
      <c r="W188" s="664"/>
      <c r="X188" s="664"/>
      <c r="Y188" s="664"/>
      <c r="Z188" s="664"/>
    </row>
    <row r="189">
      <c r="A189" s="664"/>
      <c r="B189" s="664"/>
      <c r="C189" s="664"/>
      <c r="D189" s="664"/>
      <c r="E189" s="664"/>
      <c r="F189" s="664"/>
      <c r="G189" s="664"/>
      <c r="H189" s="664"/>
      <c r="I189" s="664"/>
      <c r="J189" s="664"/>
      <c r="K189" s="664"/>
      <c r="L189" s="664"/>
      <c r="M189" s="664"/>
      <c r="N189" s="664"/>
      <c r="O189" s="664"/>
      <c r="P189" s="664"/>
      <c r="Q189" s="664"/>
      <c r="R189" s="664"/>
      <c r="S189" s="664"/>
      <c r="T189" s="664"/>
      <c r="U189" s="664"/>
      <c r="V189" s="664"/>
      <c r="W189" s="664"/>
      <c r="X189" s="664"/>
      <c r="Y189" s="664"/>
      <c r="Z189" s="664"/>
    </row>
    <row r="190">
      <c r="A190" s="664"/>
      <c r="B190" s="664"/>
      <c r="C190" s="664"/>
      <c r="D190" s="664"/>
      <c r="E190" s="664"/>
      <c r="F190" s="664"/>
      <c r="G190" s="664"/>
      <c r="H190" s="664"/>
      <c r="I190" s="664"/>
      <c r="J190" s="664"/>
      <c r="K190" s="664"/>
      <c r="L190" s="664"/>
      <c r="M190" s="664"/>
      <c r="N190" s="664"/>
      <c r="O190" s="664"/>
      <c r="P190" s="664"/>
      <c r="Q190" s="664"/>
      <c r="R190" s="664"/>
      <c r="S190" s="664"/>
      <c r="T190" s="664"/>
      <c r="U190" s="664"/>
      <c r="V190" s="664"/>
      <c r="W190" s="664"/>
      <c r="X190" s="664"/>
      <c r="Y190" s="664"/>
      <c r="Z190" s="664"/>
    </row>
    <row r="191">
      <c r="A191" s="664"/>
      <c r="B191" s="664"/>
      <c r="C191" s="664"/>
      <c r="D191" s="664"/>
      <c r="E191" s="664"/>
      <c r="F191" s="664"/>
      <c r="G191" s="664"/>
      <c r="H191" s="664"/>
      <c r="I191" s="664"/>
      <c r="J191" s="664"/>
      <c r="K191" s="664"/>
      <c r="L191" s="664"/>
      <c r="M191" s="664"/>
      <c r="N191" s="664"/>
      <c r="O191" s="664"/>
      <c r="P191" s="664"/>
      <c r="Q191" s="664"/>
      <c r="R191" s="664"/>
      <c r="S191" s="664"/>
      <c r="T191" s="664"/>
      <c r="U191" s="664"/>
      <c r="V191" s="664"/>
      <c r="W191" s="664"/>
      <c r="X191" s="664"/>
      <c r="Y191" s="664"/>
      <c r="Z191" s="664"/>
    </row>
    <row r="192">
      <c r="A192" s="664"/>
      <c r="B192" s="664"/>
      <c r="C192" s="664"/>
      <c r="D192" s="664"/>
      <c r="E192" s="664"/>
      <c r="F192" s="664"/>
      <c r="G192" s="664"/>
      <c r="H192" s="664"/>
      <c r="I192" s="664"/>
      <c r="J192" s="664"/>
      <c r="K192" s="664"/>
      <c r="L192" s="664"/>
      <c r="M192" s="664"/>
      <c r="N192" s="664"/>
      <c r="O192" s="664"/>
      <c r="P192" s="664"/>
      <c r="Q192" s="664"/>
      <c r="R192" s="664"/>
      <c r="S192" s="664"/>
      <c r="T192" s="664"/>
      <c r="U192" s="664"/>
      <c r="V192" s="664"/>
      <c r="W192" s="664"/>
      <c r="X192" s="664"/>
      <c r="Y192" s="664"/>
      <c r="Z192" s="664"/>
    </row>
    <row r="193">
      <c r="A193" s="664"/>
      <c r="B193" s="664"/>
      <c r="C193" s="664"/>
      <c r="D193" s="664"/>
      <c r="E193" s="664"/>
      <c r="F193" s="664"/>
      <c r="G193" s="664"/>
      <c r="H193" s="664"/>
      <c r="I193" s="664"/>
      <c r="J193" s="664"/>
      <c r="K193" s="664"/>
      <c r="L193" s="664"/>
      <c r="M193" s="664"/>
      <c r="N193" s="664"/>
      <c r="O193" s="664"/>
      <c r="P193" s="664"/>
      <c r="Q193" s="664"/>
      <c r="R193" s="664"/>
      <c r="S193" s="664"/>
      <c r="T193" s="664"/>
      <c r="U193" s="664"/>
      <c r="V193" s="664"/>
      <c r="W193" s="664"/>
      <c r="X193" s="664"/>
      <c r="Y193" s="664"/>
      <c r="Z193" s="664"/>
    </row>
    <row r="194">
      <c r="A194" s="664"/>
      <c r="B194" s="664"/>
      <c r="C194" s="664"/>
      <c r="D194" s="664"/>
      <c r="E194" s="664"/>
      <c r="F194" s="664"/>
      <c r="G194" s="664"/>
      <c r="H194" s="664"/>
      <c r="I194" s="664"/>
      <c r="J194" s="664"/>
      <c r="K194" s="664"/>
      <c r="L194" s="664"/>
      <c r="M194" s="664"/>
      <c r="N194" s="664"/>
      <c r="O194" s="664"/>
      <c r="P194" s="664"/>
      <c r="Q194" s="664"/>
      <c r="R194" s="664"/>
      <c r="S194" s="664"/>
      <c r="T194" s="664"/>
      <c r="U194" s="664"/>
      <c r="V194" s="664"/>
      <c r="W194" s="664"/>
      <c r="X194" s="664"/>
      <c r="Y194" s="664"/>
      <c r="Z194" s="664"/>
    </row>
    <row r="195">
      <c r="A195" s="664"/>
      <c r="B195" s="664"/>
      <c r="C195" s="664"/>
      <c r="D195" s="664"/>
      <c r="E195" s="664"/>
      <c r="F195" s="664"/>
      <c r="G195" s="664"/>
      <c r="H195" s="664"/>
      <c r="I195" s="664"/>
      <c r="J195" s="664"/>
      <c r="K195" s="664"/>
      <c r="L195" s="664"/>
      <c r="M195" s="664"/>
      <c r="N195" s="664"/>
      <c r="O195" s="664"/>
      <c r="P195" s="664"/>
      <c r="Q195" s="664"/>
      <c r="R195" s="664"/>
      <c r="S195" s="664"/>
      <c r="T195" s="664"/>
      <c r="U195" s="664"/>
      <c r="V195" s="664"/>
      <c r="W195" s="664"/>
      <c r="X195" s="664"/>
      <c r="Y195" s="664"/>
      <c r="Z195" s="664"/>
    </row>
    <row r="196">
      <c r="A196" s="664"/>
      <c r="B196" s="664"/>
      <c r="C196" s="664"/>
      <c r="D196" s="664"/>
      <c r="E196" s="664"/>
      <c r="F196" s="664"/>
      <c r="G196" s="664"/>
      <c r="H196" s="664"/>
      <c r="I196" s="664"/>
      <c r="J196" s="664"/>
      <c r="K196" s="664"/>
      <c r="L196" s="664"/>
      <c r="M196" s="664"/>
      <c r="N196" s="664"/>
      <c r="O196" s="664"/>
      <c r="P196" s="664"/>
      <c r="Q196" s="664"/>
      <c r="R196" s="664"/>
      <c r="S196" s="664"/>
      <c r="T196" s="664"/>
      <c r="U196" s="664"/>
      <c r="V196" s="664"/>
      <c r="W196" s="664"/>
      <c r="X196" s="664"/>
      <c r="Y196" s="664"/>
      <c r="Z196" s="664"/>
    </row>
    <row r="197">
      <c r="A197" s="664"/>
      <c r="B197" s="664"/>
      <c r="C197" s="664"/>
      <c r="D197" s="664"/>
      <c r="E197" s="664"/>
      <c r="F197" s="664"/>
      <c r="G197" s="664"/>
      <c r="H197" s="664"/>
      <c r="I197" s="664"/>
      <c r="J197" s="664"/>
      <c r="K197" s="664"/>
      <c r="L197" s="664"/>
      <c r="M197" s="664"/>
      <c r="N197" s="664"/>
      <c r="O197" s="664"/>
      <c r="P197" s="664"/>
      <c r="Q197" s="664"/>
      <c r="R197" s="664"/>
      <c r="S197" s="664"/>
      <c r="T197" s="664"/>
      <c r="U197" s="664"/>
      <c r="V197" s="664"/>
      <c r="W197" s="664"/>
      <c r="X197" s="664"/>
      <c r="Y197" s="664"/>
      <c r="Z197" s="664"/>
    </row>
    <row r="198">
      <c r="A198" s="664"/>
      <c r="B198" s="664"/>
      <c r="C198" s="664"/>
      <c r="D198" s="664"/>
      <c r="E198" s="664"/>
      <c r="F198" s="664"/>
      <c r="G198" s="664"/>
      <c r="H198" s="664"/>
      <c r="I198" s="664"/>
      <c r="J198" s="664"/>
      <c r="K198" s="664"/>
      <c r="L198" s="664"/>
      <c r="M198" s="664"/>
      <c r="N198" s="664"/>
      <c r="O198" s="664"/>
      <c r="P198" s="664"/>
      <c r="Q198" s="664"/>
      <c r="R198" s="664"/>
      <c r="S198" s="664"/>
      <c r="T198" s="664"/>
      <c r="U198" s="664"/>
      <c r="V198" s="664"/>
      <c r="W198" s="664"/>
      <c r="X198" s="664"/>
      <c r="Y198" s="664"/>
      <c r="Z198" s="664"/>
    </row>
    <row r="199">
      <c r="A199" s="664"/>
      <c r="B199" s="664"/>
      <c r="C199" s="664"/>
      <c r="D199" s="664"/>
      <c r="E199" s="664"/>
      <c r="F199" s="664"/>
      <c r="G199" s="664"/>
      <c r="H199" s="664"/>
      <c r="I199" s="664"/>
      <c r="J199" s="664"/>
      <c r="K199" s="664"/>
      <c r="L199" s="664"/>
      <c r="M199" s="664"/>
      <c r="N199" s="664"/>
      <c r="O199" s="664"/>
      <c r="P199" s="664"/>
      <c r="Q199" s="664"/>
      <c r="R199" s="664"/>
      <c r="S199" s="664"/>
      <c r="T199" s="664"/>
      <c r="U199" s="664"/>
      <c r="V199" s="664"/>
      <c r="W199" s="664"/>
      <c r="X199" s="664"/>
      <c r="Y199" s="664"/>
      <c r="Z199" s="664"/>
    </row>
    <row r="200">
      <c r="A200" s="664"/>
      <c r="B200" s="664"/>
      <c r="C200" s="664"/>
      <c r="D200" s="664"/>
      <c r="E200" s="664"/>
      <c r="F200" s="664"/>
      <c r="G200" s="664"/>
      <c r="H200" s="664"/>
      <c r="I200" s="664"/>
      <c r="J200" s="664"/>
      <c r="K200" s="664"/>
      <c r="L200" s="664"/>
      <c r="M200" s="664"/>
      <c r="N200" s="664"/>
      <c r="O200" s="664"/>
      <c r="P200" s="664"/>
      <c r="Q200" s="664"/>
      <c r="R200" s="664"/>
      <c r="S200" s="664"/>
      <c r="T200" s="664"/>
      <c r="U200" s="664"/>
      <c r="V200" s="664"/>
      <c r="W200" s="664"/>
      <c r="X200" s="664"/>
      <c r="Y200" s="664"/>
      <c r="Z200" s="664"/>
    </row>
    <row r="201">
      <c r="A201" s="664"/>
      <c r="B201" s="664"/>
      <c r="C201" s="664"/>
      <c r="D201" s="664"/>
      <c r="E201" s="664"/>
      <c r="F201" s="664"/>
      <c r="G201" s="664"/>
      <c r="H201" s="664"/>
      <c r="I201" s="664"/>
      <c r="J201" s="664"/>
      <c r="K201" s="664"/>
      <c r="L201" s="664"/>
      <c r="M201" s="664"/>
      <c r="N201" s="664"/>
      <c r="O201" s="664"/>
      <c r="P201" s="664"/>
      <c r="Q201" s="664"/>
      <c r="R201" s="664"/>
      <c r="S201" s="664"/>
      <c r="T201" s="664"/>
      <c r="U201" s="664"/>
      <c r="V201" s="664"/>
      <c r="W201" s="664"/>
      <c r="X201" s="664"/>
      <c r="Y201" s="664"/>
      <c r="Z201" s="664"/>
    </row>
    <row r="202">
      <c r="A202" s="664"/>
      <c r="B202" s="664"/>
      <c r="C202" s="664"/>
      <c r="D202" s="664"/>
      <c r="E202" s="664"/>
      <c r="F202" s="664"/>
      <c r="G202" s="664"/>
      <c r="H202" s="664"/>
      <c r="I202" s="664"/>
      <c r="J202" s="664"/>
      <c r="K202" s="664"/>
      <c r="L202" s="664"/>
      <c r="M202" s="664"/>
      <c r="N202" s="664"/>
      <c r="O202" s="664"/>
      <c r="P202" s="664"/>
      <c r="Q202" s="664"/>
      <c r="R202" s="664"/>
      <c r="S202" s="664"/>
      <c r="T202" s="664"/>
      <c r="U202" s="664"/>
      <c r="V202" s="664"/>
      <c r="W202" s="664"/>
      <c r="X202" s="664"/>
      <c r="Y202" s="664"/>
      <c r="Z202" s="664"/>
    </row>
    <row r="203">
      <c r="A203" s="664"/>
      <c r="B203" s="664"/>
      <c r="C203" s="664"/>
      <c r="D203" s="664"/>
      <c r="E203" s="664"/>
      <c r="F203" s="664"/>
      <c r="G203" s="664"/>
      <c r="H203" s="664"/>
      <c r="I203" s="664"/>
      <c r="J203" s="664"/>
      <c r="K203" s="664"/>
      <c r="L203" s="664"/>
      <c r="M203" s="664"/>
      <c r="N203" s="664"/>
      <c r="O203" s="664"/>
      <c r="P203" s="664"/>
      <c r="Q203" s="664"/>
      <c r="R203" s="664"/>
      <c r="S203" s="664"/>
      <c r="T203" s="664"/>
      <c r="U203" s="664"/>
      <c r="V203" s="664"/>
      <c r="W203" s="664"/>
      <c r="X203" s="664"/>
      <c r="Y203" s="664"/>
      <c r="Z203" s="664"/>
    </row>
    <row r="204">
      <c r="A204" s="664"/>
      <c r="B204" s="664"/>
      <c r="C204" s="664"/>
      <c r="D204" s="664"/>
      <c r="E204" s="664"/>
      <c r="F204" s="664"/>
      <c r="G204" s="664"/>
      <c r="H204" s="664"/>
      <c r="I204" s="664"/>
      <c r="J204" s="664"/>
      <c r="K204" s="664"/>
      <c r="L204" s="664"/>
      <c r="M204" s="664"/>
      <c r="N204" s="664"/>
      <c r="O204" s="664"/>
      <c r="P204" s="664"/>
      <c r="Q204" s="664"/>
      <c r="R204" s="664"/>
      <c r="S204" s="664"/>
      <c r="T204" s="664"/>
      <c r="U204" s="664"/>
      <c r="V204" s="664"/>
      <c r="W204" s="664"/>
      <c r="X204" s="664"/>
      <c r="Y204" s="664"/>
      <c r="Z204" s="664"/>
    </row>
    <row r="205">
      <c r="A205" s="664"/>
      <c r="B205" s="664"/>
      <c r="C205" s="664"/>
      <c r="D205" s="664"/>
      <c r="E205" s="664"/>
      <c r="F205" s="664"/>
      <c r="G205" s="664"/>
      <c r="H205" s="664"/>
      <c r="I205" s="664"/>
      <c r="J205" s="664"/>
      <c r="K205" s="664"/>
      <c r="L205" s="664"/>
      <c r="M205" s="664"/>
      <c r="N205" s="664"/>
      <c r="O205" s="664"/>
      <c r="P205" s="664"/>
      <c r="Q205" s="664"/>
      <c r="R205" s="664"/>
      <c r="S205" s="664"/>
      <c r="T205" s="664"/>
      <c r="U205" s="664"/>
      <c r="V205" s="664"/>
      <c r="W205" s="664"/>
      <c r="X205" s="664"/>
      <c r="Y205" s="664"/>
      <c r="Z205" s="664"/>
    </row>
    <row r="206">
      <c r="A206" s="664"/>
      <c r="B206" s="664"/>
      <c r="C206" s="664"/>
      <c r="D206" s="664"/>
      <c r="E206" s="664"/>
      <c r="F206" s="664"/>
      <c r="G206" s="664"/>
      <c r="H206" s="664"/>
      <c r="I206" s="664"/>
      <c r="J206" s="664"/>
      <c r="K206" s="664"/>
      <c r="L206" s="664"/>
      <c r="M206" s="664"/>
      <c r="N206" s="664"/>
      <c r="O206" s="664"/>
      <c r="P206" s="664"/>
      <c r="Q206" s="664"/>
      <c r="R206" s="664"/>
      <c r="S206" s="664"/>
      <c r="T206" s="664"/>
      <c r="U206" s="664"/>
      <c r="V206" s="664"/>
      <c r="W206" s="664"/>
      <c r="X206" s="664"/>
      <c r="Y206" s="664"/>
      <c r="Z206" s="664"/>
    </row>
    <row r="207">
      <c r="A207" s="664"/>
      <c r="B207" s="664"/>
      <c r="C207" s="664"/>
      <c r="D207" s="664"/>
      <c r="E207" s="664"/>
      <c r="F207" s="664"/>
      <c r="G207" s="664"/>
      <c r="H207" s="664"/>
      <c r="I207" s="664"/>
      <c r="J207" s="664"/>
      <c r="K207" s="664"/>
      <c r="L207" s="664"/>
      <c r="M207" s="664"/>
      <c r="N207" s="664"/>
      <c r="O207" s="664"/>
      <c r="P207" s="664"/>
      <c r="Q207" s="664"/>
      <c r="R207" s="664"/>
      <c r="S207" s="664"/>
      <c r="T207" s="664"/>
      <c r="U207" s="664"/>
      <c r="V207" s="664"/>
      <c r="W207" s="664"/>
      <c r="X207" s="664"/>
      <c r="Y207" s="664"/>
      <c r="Z207" s="664"/>
    </row>
    <row r="208">
      <c r="A208" s="664"/>
      <c r="B208" s="664"/>
      <c r="C208" s="664"/>
      <c r="D208" s="664"/>
      <c r="E208" s="664"/>
      <c r="F208" s="664"/>
      <c r="G208" s="664"/>
      <c r="H208" s="664"/>
      <c r="I208" s="664"/>
      <c r="J208" s="664"/>
      <c r="K208" s="664"/>
      <c r="L208" s="664"/>
      <c r="M208" s="664"/>
      <c r="N208" s="664"/>
      <c r="O208" s="664"/>
      <c r="P208" s="664"/>
      <c r="Q208" s="664"/>
      <c r="R208" s="664"/>
      <c r="S208" s="664"/>
      <c r="T208" s="664"/>
      <c r="U208" s="664"/>
      <c r="V208" s="664"/>
      <c r="W208" s="664"/>
      <c r="X208" s="664"/>
      <c r="Y208" s="664"/>
      <c r="Z208" s="664"/>
    </row>
    <row r="209">
      <c r="A209" s="664"/>
      <c r="B209" s="664"/>
      <c r="C209" s="664"/>
      <c r="D209" s="664"/>
      <c r="E209" s="664"/>
      <c r="F209" s="664"/>
      <c r="G209" s="664"/>
      <c r="H209" s="664"/>
      <c r="I209" s="664"/>
      <c r="J209" s="664"/>
      <c r="K209" s="664"/>
      <c r="L209" s="664"/>
      <c r="M209" s="664"/>
      <c r="N209" s="664"/>
      <c r="O209" s="664"/>
      <c r="P209" s="664"/>
      <c r="Q209" s="664"/>
      <c r="R209" s="664"/>
      <c r="S209" s="664"/>
      <c r="T209" s="664"/>
      <c r="U209" s="664"/>
      <c r="V209" s="664"/>
      <c r="W209" s="664"/>
      <c r="X209" s="664"/>
      <c r="Y209" s="664"/>
      <c r="Z209" s="664"/>
    </row>
    <row r="210">
      <c r="A210" s="664"/>
      <c r="B210" s="664"/>
      <c r="C210" s="664"/>
      <c r="D210" s="664"/>
      <c r="E210" s="664"/>
      <c r="F210" s="664"/>
      <c r="G210" s="664"/>
      <c r="H210" s="664"/>
      <c r="I210" s="664"/>
      <c r="J210" s="664"/>
      <c r="K210" s="664"/>
      <c r="L210" s="664"/>
      <c r="M210" s="664"/>
      <c r="N210" s="664"/>
      <c r="O210" s="664"/>
      <c r="P210" s="664"/>
      <c r="Q210" s="664"/>
      <c r="R210" s="664"/>
      <c r="S210" s="664"/>
      <c r="T210" s="664"/>
      <c r="U210" s="664"/>
      <c r="V210" s="664"/>
      <c r="W210" s="664"/>
      <c r="X210" s="664"/>
      <c r="Y210" s="664"/>
      <c r="Z210" s="664"/>
    </row>
    <row r="211">
      <c r="A211" s="664"/>
      <c r="B211" s="664"/>
      <c r="C211" s="664"/>
      <c r="D211" s="664"/>
      <c r="E211" s="664"/>
      <c r="F211" s="664"/>
      <c r="G211" s="664"/>
      <c r="H211" s="664"/>
      <c r="I211" s="664"/>
      <c r="J211" s="664"/>
      <c r="K211" s="664"/>
      <c r="L211" s="664"/>
      <c r="M211" s="664"/>
      <c r="N211" s="664"/>
      <c r="O211" s="664"/>
      <c r="P211" s="664"/>
      <c r="Q211" s="664"/>
      <c r="R211" s="664"/>
      <c r="S211" s="664"/>
      <c r="T211" s="664"/>
      <c r="U211" s="664"/>
      <c r="V211" s="664"/>
      <c r="W211" s="664"/>
      <c r="X211" s="664"/>
      <c r="Y211" s="664"/>
      <c r="Z211" s="664"/>
    </row>
    <row r="212">
      <c r="A212" s="664"/>
      <c r="B212" s="664"/>
      <c r="C212" s="664"/>
      <c r="D212" s="664"/>
      <c r="E212" s="664"/>
      <c r="F212" s="664"/>
      <c r="G212" s="664"/>
      <c r="H212" s="664"/>
      <c r="I212" s="664"/>
      <c r="J212" s="664"/>
      <c r="K212" s="664"/>
      <c r="L212" s="664"/>
      <c r="M212" s="664"/>
      <c r="N212" s="664"/>
      <c r="O212" s="664"/>
      <c r="P212" s="664"/>
      <c r="Q212" s="664"/>
      <c r="R212" s="664"/>
      <c r="S212" s="664"/>
      <c r="T212" s="664"/>
      <c r="U212" s="664"/>
      <c r="V212" s="664"/>
      <c r="W212" s="664"/>
      <c r="X212" s="664"/>
      <c r="Y212" s="664"/>
      <c r="Z212" s="664"/>
    </row>
    <row r="213">
      <c r="A213" s="664"/>
      <c r="B213" s="664"/>
      <c r="C213" s="664"/>
      <c r="D213" s="664"/>
      <c r="E213" s="664"/>
      <c r="F213" s="664"/>
      <c r="G213" s="664"/>
      <c r="H213" s="664"/>
      <c r="I213" s="664"/>
      <c r="J213" s="664"/>
      <c r="K213" s="664"/>
      <c r="L213" s="664"/>
      <c r="M213" s="664"/>
      <c r="N213" s="664"/>
      <c r="O213" s="664"/>
      <c r="P213" s="664"/>
      <c r="Q213" s="664"/>
      <c r="R213" s="664"/>
      <c r="S213" s="664"/>
      <c r="T213" s="664"/>
      <c r="U213" s="664"/>
      <c r="V213" s="664"/>
      <c r="W213" s="664"/>
      <c r="X213" s="664"/>
      <c r="Y213" s="664"/>
      <c r="Z213" s="664"/>
    </row>
    <row r="214">
      <c r="A214" s="664"/>
      <c r="B214" s="664"/>
      <c r="C214" s="664"/>
      <c r="D214" s="664"/>
      <c r="E214" s="664"/>
      <c r="F214" s="664"/>
      <c r="G214" s="664"/>
      <c r="H214" s="664"/>
      <c r="I214" s="664"/>
      <c r="J214" s="664"/>
      <c r="K214" s="664"/>
      <c r="L214" s="664"/>
      <c r="M214" s="664"/>
      <c r="N214" s="664"/>
      <c r="O214" s="664"/>
      <c r="P214" s="664"/>
      <c r="Q214" s="664"/>
      <c r="R214" s="664"/>
      <c r="S214" s="664"/>
      <c r="T214" s="664"/>
      <c r="U214" s="664"/>
      <c r="V214" s="664"/>
      <c r="W214" s="664"/>
      <c r="X214" s="664"/>
      <c r="Y214" s="664"/>
      <c r="Z214" s="664"/>
    </row>
    <row r="215">
      <c r="A215" s="664"/>
      <c r="B215" s="664"/>
      <c r="C215" s="664"/>
      <c r="D215" s="664"/>
      <c r="E215" s="664"/>
      <c r="F215" s="664"/>
      <c r="G215" s="664"/>
      <c r="H215" s="664"/>
      <c r="I215" s="664"/>
      <c r="J215" s="664"/>
      <c r="K215" s="664"/>
      <c r="L215" s="664"/>
      <c r="M215" s="664"/>
      <c r="N215" s="664"/>
      <c r="O215" s="664"/>
      <c r="P215" s="664"/>
      <c r="Q215" s="664"/>
      <c r="R215" s="664"/>
      <c r="S215" s="664"/>
      <c r="T215" s="664"/>
      <c r="U215" s="664"/>
      <c r="V215" s="664"/>
      <c r="W215" s="664"/>
      <c r="X215" s="664"/>
      <c r="Y215" s="664"/>
      <c r="Z215" s="664"/>
    </row>
    <row r="216">
      <c r="A216" s="664"/>
      <c r="B216" s="664"/>
      <c r="C216" s="664"/>
      <c r="D216" s="664"/>
      <c r="E216" s="664"/>
      <c r="F216" s="664"/>
      <c r="G216" s="664"/>
      <c r="H216" s="664"/>
      <c r="I216" s="664"/>
      <c r="J216" s="664"/>
      <c r="K216" s="664"/>
      <c r="L216" s="664"/>
      <c r="M216" s="664"/>
      <c r="N216" s="664"/>
      <c r="O216" s="664"/>
      <c r="P216" s="664"/>
      <c r="Q216" s="664"/>
      <c r="R216" s="664"/>
      <c r="S216" s="664"/>
      <c r="T216" s="664"/>
      <c r="U216" s="664"/>
      <c r="V216" s="664"/>
      <c r="W216" s="664"/>
      <c r="X216" s="664"/>
      <c r="Y216" s="664"/>
      <c r="Z216" s="664"/>
    </row>
    <row r="217">
      <c r="A217" s="664"/>
      <c r="B217" s="664"/>
      <c r="C217" s="664"/>
      <c r="D217" s="664"/>
      <c r="E217" s="664"/>
      <c r="F217" s="664"/>
      <c r="G217" s="664"/>
      <c r="H217" s="664"/>
      <c r="I217" s="664"/>
      <c r="J217" s="664"/>
      <c r="K217" s="664"/>
      <c r="L217" s="664"/>
      <c r="M217" s="664"/>
      <c r="N217" s="664"/>
      <c r="O217" s="664"/>
      <c r="P217" s="664"/>
      <c r="Q217" s="664"/>
      <c r="R217" s="664"/>
      <c r="S217" s="664"/>
      <c r="T217" s="664"/>
      <c r="U217" s="664"/>
      <c r="V217" s="664"/>
      <c r="W217" s="664"/>
      <c r="X217" s="664"/>
      <c r="Y217" s="664"/>
      <c r="Z217" s="664"/>
    </row>
    <row r="218">
      <c r="A218" s="664"/>
      <c r="B218" s="664"/>
      <c r="C218" s="664"/>
      <c r="D218" s="664"/>
      <c r="E218" s="664"/>
      <c r="F218" s="664"/>
      <c r="G218" s="664"/>
      <c r="H218" s="664"/>
      <c r="I218" s="664"/>
      <c r="J218" s="664"/>
      <c r="K218" s="664"/>
      <c r="L218" s="664"/>
      <c r="M218" s="664"/>
      <c r="N218" s="664"/>
      <c r="O218" s="664"/>
      <c r="P218" s="664"/>
      <c r="Q218" s="664"/>
      <c r="R218" s="664"/>
      <c r="S218" s="664"/>
      <c r="T218" s="664"/>
      <c r="U218" s="664"/>
      <c r="V218" s="664"/>
      <c r="W218" s="664"/>
      <c r="X218" s="664"/>
      <c r="Y218" s="664"/>
      <c r="Z218" s="664"/>
    </row>
    <row r="219">
      <c r="A219" s="664"/>
      <c r="B219" s="664"/>
      <c r="C219" s="664"/>
      <c r="D219" s="664"/>
      <c r="E219" s="664"/>
      <c r="F219" s="664"/>
      <c r="G219" s="664"/>
      <c r="H219" s="664"/>
      <c r="I219" s="664"/>
      <c r="J219" s="664"/>
      <c r="K219" s="664"/>
      <c r="L219" s="664"/>
      <c r="M219" s="664"/>
      <c r="N219" s="664"/>
      <c r="O219" s="664"/>
      <c r="P219" s="664"/>
      <c r="Q219" s="664"/>
      <c r="R219" s="664"/>
      <c r="S219" s="664"/>
      <c r="T219" s="664"/>
      <c r="U219" s="664"/>
      <c r="V219" s="664"/>
      <c r="W219" s="664"/>
      <c r="X219" s="664"/>
      <c r="Y219" s="664"/>
      <c r="Z219" s="664"/>
    </row>
    <row r="220">
      <c r="A220" s="664"/>
      <c r="B220" s="664"/>
      <c r="C220" s="664"/>
      <c r="D220" s="664"/>
      <c r="E220" s="664"/>
      <c r="F220" s="664"/>
      <c r="G220" s="664"/>
      <c r="H220" s="664"/>
      <c r="I220" s="664"/>
      <c r="J220" s="664"/>
      <c r="K220" s="664"/>
      <c r="L220" s="664"/>
      <c r="M220" s="664"/>
      <c r="N220" s="664"/>
      <c r="O220" s="664"/>
      <c r="P220" s="664"/>
      <c r="Q220" s="664"/>
      <c r="R220" s="664"/>
      <c r="S220" s="664"/>
      <c r="T220" s="664"/>
      <c r="U220" s="664"/>
      <c r="V220" s="664"/>
      <c r="W220" s="664"/>
      <c r="X220" s="664"/>
      <c r="Y220" s="664"/>
      <c r="Z220" s="664"/>
    </row>
    <row r="221">
      <c r="A221" s="664"/>
      <c r="B221" s="664"/>
      <c r="C221" s="664"/>
      <c r="D221" s="664"/>
      <c r="E221" s="664"/>
      <c r="F221" s="664"/>
      <c r="G221" s="664"/>
      <c r="H221" s="664"/>
      <c r="I221" s="664"/>
      <c r="J221" s="664"/>
      <c r="K221" s="664"/>
      <c r="L221" s="664"/>
      <c r="M221" s="664"/>
      <c r="N221" s="664"/>
      <c r="O221" s="664"/>
      <c r="P221" s="664"/>
      <c r="Q221" s="664"/>
      <c r="R221" s="664"/>
      <c r="S221" s="664"/>
      <c r="T221" s="664"/>
      <c r="U221" s="664"/>
      <c r="V221" s="664"/>
      <c r="W221" s="664"/>
      <c r="X221" s="664"/>
      <c r="Y221" s="664"/>
      <c r="Z221" s="664"/>
    </row>
    <row r="222">
      <c r="A222" s="664"/>
      <c r="B222" s="664"/>
      <c r="C222" s="664"/>
      <c r="D222" s="664"/>
      <c r="E222" s="664"/>
      <c r="F222" s="664"/>
      <c r="G222" s="664"/>
      <c r="H222" s="664"/>
      <c r="I222" s="664"/>
      <c r="J222" s="664"/>
      <c r="K222" s="664"/>
      <c r="L222" s="664"/>
      <c r="M222" s="664"/>
      <c r="N222" s="664"/>
      <c r="O222" s="664"/>
      <c r="P222" s="664"/>
      <c r="Q222" s="664"/>
      <c r="R222" s="664"/>
      <c r="S222" s="664"/>
      <c r="T222" s="664"/>
      <c r="U222" s="664"/>
      <c r="V222" s="664"/>
      <c r="W222" s="664"/>
      <c r="X222" s="664"/>
      <c r="Y222" s="664"/>
      <c r="Z222" s="664"/>
    </row>
    <row r="223">
      <c r="A223" s="664"/>
      <c r="B223" s="664"/>
      <c r="C223" s="664"/>
      <c r="D223" s="664"/>
      <c r="E223" s="664"/>
      <c r="F223" s="664"/>
      <c r="G223" s="664"/>
      <c r="H223" s="664"/>
      <c r="I223" s="664"/>
      <c r="J223" s="664"/>
      <c r="K223" s="664"/>
      <c r="L223" s="664"/>
      <c r="M223" s="664"/>
      <c r="N223" s="664"/>
      <c r="O223" s="664"/>
      <c r="P223" s="664"/>
      <c r="Q223" s="664"/>
      <c r="R223" s="664"/>
      <c r="S223" s="664"/>
      <c r="T223" s="664"/>
      <c r="U223" s="664"/>
      <c r="V223" s="664"/>
      <c r="W223" s="664"/>
      <c r="X223" s="664"/>
      <c r="Y223" s="664"/>
      <c r="Z223" s="664"/>
    </row>
    <row r="224">
      <c r="A224" s="664"/>
      <c r="B224" s="664"/>
      <c r="C224" s="664"/>
      <c r="D224" s="664"/>
      <c r="E224" s="664"/>
      <c r="F224" s="664"/>
      <c r="G224" s="664"/>
      <c r="H224" s="664"/>
      <c r="I224" s="664"/>
      <c r="J224" s="664"/>
      <c r="K224" s="664"/>
      <c r="L224" s="664"/>
      <c r="M224" s="664"/>
      <c r="N224" s="664"/>
      <c r="O224" s="664"/>
      <c r="P224" s="664"/>
      <c r="Q224" s="664"/>
      <c r="R224" s="664"/>
      <c r="S224" s="664"/>
      <c r="T224" s="664"/>
      <c r="U224" s="664"/>
      <c r="V224" s="664"/>
      <c r="W224" s="664"/>
      <c r="X224" s="664"/>
      <c r="Y224" s="664"/>
      <c r="Z224" s="664"/>
    </row>
    <row r="225">
      <c r="A225" s="664"/>
      <c r="B225" s="664"/>
      <c r="C225" s="664"/>
      <c r="D225" s="664"/>
      <c r="E225" s="664"/>
      <c r="F225" s="664"/>
      <c r="G225" s="664"/>
      <c r="H225" s="664"/>
      <c r="I225" s="664"/>
      <c r="J225" s="664"/>
      <c r="K225" s="664"/>
      <c r="L225" s="664"/>
      <c r="M225" s="664"/>
      <c r="N225" s="664"/>
      <c r="O225" s="664"/>
      <c r="P225" s="664"/>
      <c r="Q225" s="664"/>
      <c r="R225" s="664"/>
      <c r="S225" s="664"/>
      <c r="T225" s="664"/>
      <c r="U225" s="664"/>
      <c r="V225" s="664"/>
      <c r="W225" s="664"/>
      <c r="X225" s="664"/>
      <c r="Y225" s="664"/>
      <c r="Z225" s="664"/>
    </row>
    <row r="226">
      <c r="A226" s="664"/>
      <c r="B226" s="664"/>
      <c r="C226" s="664"/>
      <c r="D226" s="664"/>
      <c r="E226" s="664"/>
      <c r="F226" s="664"/>
      <c r="G226" s="664"/>
      <c r="H226" s="664"/>
      <c r="I226" s="664"/>
      <c r="J226" s="664"/>
      <c r="K226" s="664"/>
      <c r="L226" s="664"/>
      <c r="M226" s="664"/>
      <c r="N226" s="664"/>
      <c r="O226" s="664"/>
      <c r="P226" s="664"/>
      <c r="Q226" s="664"/>
      <c r="R226" s="664"/>
      <c r="S226" s="664"/>
      <c r="T226" s="664"/>
      <c r="U226" s="664"/>
      <c r="V226" s="664"/>
      <c r="W226" s="664"/>
      <c r="X226" s="664"/>
      <c r="Y226" s="664"/>
      <c r="Z226" s="664"/>
    </row>
    <row r="227">
      <c r="A227" s="664"/>
      <c r="B227" s="664"/>
      <c r="C227" s="664"/>
      <c r="D227" s="664"/>
      <c r="E227" s="664"/>
      <c r="F227" s="664"/>
      <c r="G227" s="664"/>
      <c r="H227" s="664"/>
      <c r="I227" s="664"/>
      <c r="J227" s="664"/>
      <c r="K227" s="664"/>
      <c r="L227" s="664"/>
      <c r="M227" s="664"/>
      <c r="N227" s="664"/>
      <c r="O227" s="664"/>
      <c r="P227" s="664"/>
      <c r="Q227" s="664"/>
      <c r="R227" s="664"/>
      <c r="S227" s="664"/>
      <c r="T227" s="664"/>
      <c r="U227" s="664"/>
      <c r="V227" s="664"/>
      <c r="W227" s="664"/>
      <c r="X227" s="664"/>
      <c r="Y227" s="664"/>
      <c r="Z227" s="664"/>
    </row>
    <row r="228">
      <c r="A228" s="664"/>
      <c r="B228" s="664"/>
      <c r="C228" s="664"/>
      <c r="D228" s="664"/>
      <c r="E228" s="664"/>
      <c r="F228" s="664"/>
      <c r="G228" s="664"/>
      <c r="H228" s="664"/>
      <c r="I228" s="664"/>
      <c r="J228" s="664"/>
      <c r="K228" s="664"/>
      <c r="L228" s="664"/>
      <c r="M228" s="664"/>
      <c r="N228" s="664"/>
      <c r="O228" s="664"/>
      <c r="P228" s="664"/>
      <c r="Q228" s="664"/>
      <c r="R228" s="664"/>
      <c r="S228" s="664"/>
      <c r="T228" s="664"/>
      <c r="U228" s="664"/>
      <c r="V228" s="664"/>
      <c r="W228" s="664"/>
      <c r="X228" s="664"/>
      <c r="Y228" s="664"/>
      <c r="Z228" s="664"/>
    </row>
    <row r="229">
      <c r="A229" s="664"/>
      <c r="B229" s="664"/>
      <c r="C229" s="664"/>
      <c r="D229" s="664"/>
      <c r="E229" s="664"/>
      <c r="F229" s="664"/>
      <c r="G229" s="664"/>
      <c r="H229" s="664"/>
      <c r="I229" s="664"/>
      <c r="J229" s="664"/>
      <c r="K229" s="664"/>
      <c r="L229" s="664"/>
      <c r="M229" s="664"/>
      <c r="N229" s="664"/>
      <c r="O229" s="664"/>
      <c r="P229" s="664"/>
      <c r="Q229" s="664"/>
      <c r="R229" s="664"/>
      <c r="S229" s="664"/>
      <c r="T229" s="664"/>
      <c r="U229" s="664"/>
      <c r="V229" s="664"/>
      <c r="W229" s="664"/>
      <c r="X229" s="664"/>
      <c r="Y229" s="664"/>
      <c r="Z229" s="664"/>
    </row>
    <row r="230">
      <c r="A230" s="664"/>
      <c r="B230" s="664"/>
      <c r="C230" s="664"/>
      <c r="D230" s="664"/>
      <c r="E230" s="664"/>
      <c r="F230" s="664"/>
      <c r="G230" s="664"/>
      <c r="H230" s="664"/>
      <c r="I230" s="664"/>
      <c r="J230" s="664"/>
      <c r="K230" s="664"/>
      <c r="L230" s="664"/>
      <c r="M230" s="664"/>
      <c r="N230" s="664"/>
      <c r="O230" s="664"/>
      <c r="P230" s="664"/>
      <c r="Q230" s="664"/>
      <c r="R230" s="664"/>
      <c r="S230" s="664"/>
      <c r="T230" s="664"/>
      <c r="U230" s="664"/>
      <c r="V230" s="664"/>
      <c r="W230" s="664"/>
      <c r="X230" s="664"/>
      <c r="Y230" s="664"/>
      <c r="Z230" s="664"/>
    </row>
    <row r="231">
      <c r="A231" s="664"/>
      <c r="B231" s="664"/>
      <c r="C231" s="664"/>
      <c r="D231" s="664"/>
      <c r="E231" s="664"/>
      <c r="F231" s="664"/>
      <c r="G231" s="664"/>
      <c r="H231" s="664"/>
      <c r="I231" s="664"/>
      <c r="J231" s="664"/>
      <c r="K231" s="664"/>
      <c r="L231" s="664"/>
      <c r="M231" s="664"/>
      <c r="N231" s="664"/>
      <c r="O231" s="664"/>
      <c r="P231" s="664"/>
      <c r="Q231" s="664"/>
      <c r="R231" s="664"/>
      <c r="S231" s="664"/>
      <c r="T231" s="664"/>
      <c r="U231" s="664"/>
      <c r="V231" s="664"/>
      <c r="W231" s="664"/>
      <c r="X231" s="664"/>
      <c r="Y231" s="664"/>
      <c r="Z231" s="664"/>
    </row>
    <row r="232">
      <c r="A232" s="664"/>
      <c r="B232" s="664"/>
      <c r="C232" s="664"/>
      <c r="D232" s="664"/>
      <c r="E232" s="664"/>
      <c r="F232" s="664"/>
      <c r="G232" s="664"/>
      <c r="H232" s="664"/>
      <c r="I232" s="664"/>
      <c r="J232" s="664"/>
      <c r="K232" s="664"/>
      <c r="L232" s="664"/>
      <c r="M232" s="664"/>
      <c r="N232" s="664"/>
      <c r="O232" s="664"/>
      <c r="P232" s="664"/>
      <c r="Q232" s="664"/>
      <c r="R232" s="664"/>
      <c r="S232" s="664"/>
      <c r="T232" s="664"/>
      <c r="U232" s="664"/>
      <c r="V232" s="664"/>
      <c r="W232" s="664"/>
      <c r="X232" s="664"/>
      <c r="Y232" s="664"/>
      <c r="Z232" s="664"/>
    </row>
    <row r="233">
      <c r="A233" s="664"/>
      <c r="B233" s="664"/>
      <c r="C233" s="664"/>
      <c r="D233" s="664"/>
      <c r="E233" s="664"/>
      <c r="F233" s="664"/>
      <c r="G233" s="664"/>
      <c r="H233" s="664"/>
      <c r="I233" s="664"/>
      <c r="J233" s="664"/>
      <c r="K233" s="664"/>
      <c r="L233" s="664"/>
      <c r="M233" s="664"/>
      <c r="N233" s="664"/>
      <c r="O233" s="664"/>
      <c r="P233" s="664"/>
      <c r="Q233" s="664"/>
      <c r="R233" s="664"/>
      <c r="S233" s="664"/>
      <c r="T233" s="664"/>
      <c r="U233" s="664"/>
      <c r="V233" s="664"/>
      <c r="W233" s="664"/>
      <c r="X233" s="664"/>
      <c r="Y233" s="664"/>
      <c r="Z233" s="664"/>
    </row>
    <row r="234">
      <c r="A234" s="664"/>
      <c r="B234" s="664"/>
      <c r="C234" s="664"/>
      <c r="D234" s="664"/>
      <c r="E234" s="664"/>
      <c r="F234" s="664"/>
      <c r="G234" s="664"/>
      <c r="H234" s="664"/>
      <c r="I234" s="664"/>
      <c r="J234" s="664"/>
      <c r="K234" s="664"/>
      <c r="L234" s="664"/>
      <c r="M234" s="664"/>
      <c r="N234" s="664"/>
      <c r="O234" s="664"/>
      <c r="P234" s="664"/>
      <c r="Q234" s="664"/>
      <c r="R234" s="664"/>
      <c r="S234" s="664"/>
      <c r="T234" s="664"/>
      <c r="U234" s="664"/>
      <c r="V234" s="664"/>
      <c r="W234" s="664"/>
      <c r="X234" s="664"/>
      <c r="Y234" s="664"/>
      <c r="Z234" s="664"/>
    </row>
    <row r="235">
      <c r="A235" s="664"/>
      <c r="B235" s="664"/>
      <c r="C235" s="664"/>
      <c r="D235" s="664"/>
      <c r="E235" s="664"/>
      <c r="F235" s="664"/>
      <c r="G235" s="664"/>
      <c r="H235" s="664"/>
      <c r="I235" s="664"/>
      <c r="J235" s="664"/>
      <c r="K235" s="664"/>
      <c r="L235" s="664"/>
      <c r="M235" s="664"/>
      <c r="N235" s="664"/>
      <c r="O235" s="664"/>
      <c r="P235" s="664"/>
      <c r="Q235" s="664"/>
      <c r="R235" s="664"/>
      <c r="S235" s="664"/>
      <c r="T235" s="664"/>
      <c r="U235" s="664"/>
      <c r="V235" s="664"/>
      <c r="W235" s="664"/>
      <c r="X235" s="664"/>
      <c r="Y235" s="664"/>
      <c r="Z235" s="664"/>
    </row>
    <row r="236">
      <c r="A236" s="664"/>
      <c r="B236" s="664"/>
      <c r="C236" s="664"/>
      <c r="D236" s="664"/>
      <c r="E236" s="664"/>
      <c r="F236" s="664"/>
      <c r="G236" s="664"/>
      <c r="H236" s="664"/>
      <c r="I236" s="664"/>
      <c r="J236" s="664"/>
      <c r="K236" s="664"/>
      <c r="L236" s="664"/>
      <c r="M236" s="664"/>
      <c r="N236" s="664"/>
      <c r="O236" s="664"/>
      <c r="P236" s="664"/>
      <c r="Q236" s="664"/>
      <c r="R236" s="664"/>
      <c r="S236" s="664"/>
      <c r="T236" s="664"/>
      <c r="U236" s="664"/>
      <c r="V236" s="664"/>
      <c r="W236" s="664"/>
      <c r="X236" s="664"/>
      <c r="Y236" s="664"/>
      <c r="Z236" s="664"/>
    </row>
    <row r="237">
      <c r="A237" s="664"/>
      <c r="B237" s="664"/>
      <c r="C237" s="664"/>
      <c r="D237" s="664"/>
      <c r="E237" s="664"/>
      <c r="F237" s="664"/>
      <c r="G237" s="664"/>
      <c r="H237" s="664"/>
      <c r="I237" s="664"/>
      <c r="J237" s="664"/>
      <c r="K237" s="664"/>
      <c r="L237" s="664"/>
      <c r="M237" s="664"/>
      <c r="N237" s="664"/>
      <c r="O237" s="664"/>
      <c r="P237" s="664"/>
      <c r="Q237" s="664"/>
      <c r="R237" s="664"/>
      <c r="S237" s="664"/>
      <c r="T237" s="664"/>
      <c r="U237" s="664"/>
      <c r="V237" s="664"/>
      <c r="W237" s="664"/>
      <c r="X237" s="664"/>
      <c r="Y237" s="664"/>
      <c r="Z237" s="664"/>
    </row>
    <row r="238">
      <c r="A238" s="664"/>
      <c r="B238" s="664"/>
      <c r="C238" s="664"/>
      <c r="D238" s="664"/>
      <c r="E238" s="664"/>
      <c r="F238" s="664"/>
      <c r="G238" s="664"/>
      <c r="H238" s="664"/>
      <c r="I238" s="664"/>
      <c r="J238" s="664"/>
      <c r="K238" s="664"/>
      <c r="L238" s="664"/>
      <c r="M238" s="664"/>
      <c r="N238" s="664"/>
      <c r="O238" s="664"/>
      <c r="P238" s="664"/>
      <c r="Q238" s="664"/>
      <c r="R238" s="664"/>
      <c r="S238" s="664"/>
      <c r="T238" s="664"/>
      <c r="U238" s="664"/>
      <c r="V238" s="664"/>
      <c r="W238" s="664"/>
      <c r="X238" s="664"/>
      <c r="Y238" s="664"/>
      <c r="Z238" s="664"/>
    </row>
    <row r="239">
      <c r="A239" s="664"/>
      <c r="B239" s="664"/>
      <c r="C239" s="664"/>
      <c r="D239" s="664"/>
      <c r="E239" s="664"/>
      <c r="F239" s="664"/>
      <c r="G239" s="664"/>
      <c r="H239" s="664"/>
      <c r="I239" s="664"/>
      <c r="J239" s="664"/>
      <c r="K239" s="664"/>
      <c r="L239" s="664"/>
      <c r="M239" s="664"/>
      <c r="N239" s="664"/>
      <c r="O239" s="664"/>
      <c r="P239" s="664"/>
      <c r="Q239" s="664"/>
      <c r="R239" s="664"/>
      <c r="S239" s="664"/>
      <c r="T239" s="664"/>
      <c r="U239" s="664"/>
      <c r="V239" s="664"/>
      <c r="W239" s="664"/>
      <c r="X239" s="664"/>
      <c r="Y239" s="664"/>
      <c r="Z239" s="664"/>
    </row>
    <row r="240">
      <c r="A240" s="664"/>
      <c r="B240" s="664"/>
      <c r="C240" s="664"/>
      <c r="D240" s="664"/>
      <c r="E240" s="664"/>
      <c r="F240" s="664"/>
      <c r="G240" s="664"/>
      <c r="H240" s="664"/>
      <c r="I240" s="664"/>
      <c r="J240" s="664"/>
      <c r="K240" s="664"/>
      <c r="L240" s="664"/>
      <c r="M240" s="664"/>
      <c r="N240" s="664"/>
      <c r="O240" s="664"/>
      <c r="P240" s="664"/>
      <c r="Q240" s="664"/>
      <c r="R240" s="664"/>
      <c r="S240" s="664"/>
      <c r="T240" s="664"/>
      <c r="U240" s="664"/>
      <c r="V240" s="664"/>
      <c r="W240" s="664"/>
      <c r="X240" s="664"/>
      <c r="Y240" s="664"/>
      <c r="Z240" s="664"/>
    </row>
    <row r="241">
      <c r="A241" s="664"/>
      <c r="B241" s="664"/>
      <c r="C241" s="664"/>
      <c r="D241" s="664"/>
      <c r="E241" s="664"/>
      <c r="F241" s="664"/>
      <c r="G241" s="664"/>
      <c r="H241" s="664"/>
      <c r="I241" s="664"/>
      <c r="J241" s="664"/>
      <c r="K241" s="664"/>
      <c r="L241" s="664"/>
      <c r="M241" s="664"/>
      <c r="N241" s="664"/>
      <c r="O241" s="664"/>
      <c r="P241" s="664"/>
      <c r="Q241" s="664"/>
      <c r="R241" s="664"/>
      <c r="S241" s="664"/>
      <c r="T241" s="664"/>
      <c r="U241" s="664"/>
      <c r="V241" s="664"/>
      <c r="W241" s="664"/>
      <c r="X241" s="664"/>
      <c r="Y241" s="664"/>
      <c r="Z241" s="664"/>
    </row>
    <row r="242">
      <c r="A242" s="664"/>
      <c r="B242" s="664"/>
      <c r="C242" s="664"/>
      <c r="D242" s="664"/>
      <c r="E242" s="664"/>
      <c r="F242" s="664"/>
      <c r="G242" s="664"/>
      <c r="H242" s="664"/>
      <c r="I242" s="664"/>
      <c r="J242" s="664"/>
      <c r="K242" s="664"/>
      <c r="L242" s="664"/>
      <c r="M242" s="664"/>
      <c r="N242" s="664"/>
      <c r="O242" s="664"/>
      <c r="P242" s="664"/>
      <c r="Q242" s="664"/>
      <c r="R242" s="664"/>
      <c r="S242" s="664"/>
      <c r="T242" s="664"/>
      <c r="U242" s="664"/>
      <c r="V242" s="664"/>
      <c r="W242" s="664"/>
      <c r="X242" s="664"/>
      <c r="Y242" s="664"/>
      <c r="Z242" s="664"/>
    </row>
    <row r="243">
      <c r="A243" s="664"/>
      <c r="B243" s="664"/>
      <c r="C243" s="664"/>
      <c r="D243" s="664"/>
      <c r="E243" s="664"/>
      <c r="F243" s="664"/>
      <c r="G243" s="664"/>
      <c r="H243" s="664"/>
      <c r="I243" s="664"/>
      <c r="J243" s="664"/>
      <c r="K243" s="664"/>
      <c r="L243" s="664"/>
      <c r="M243" s="664"/>
      <c r="N243" s="664"/>
      <c r="O243" s="664"/>
      <c r="P243" s="664"/>
      <c r="Q243" s="664"/>
      <c r="R243" s="664"/>
      <c r="S243" s="664"/>
      <c r="T243" s="664"/>
      <c r="U243" s="664"/>
      <c r="V243" s="664"/>
      <c r="W243" s="664"/>
      <c r="X243" s="664"/>
      <c r="Y243" s="664"/>
      <c r="Z243" s="664"/>
    </row>
    <row r="244">
      <c r="A244" s="664"/>
      <c r="B244" s="664"/>
      <c r="C244" s="664"/>
      <c r="D244" s="664"/>
      <c r="E244" s="664"/>
      <c r="F244" s="664"/>
      <c r="G244" s="664"/>
      <c r="H244" s="664"/>
      <c r="I244" s="664"/>
      <c r="J244" s="664"/>
      <c r="K244" s="664"/>
      <c r="L244" s="664"/>
      <c r="M244" s="664"/>
      <c r="N244" s="664"/>
      <c r="O244" s="664"/>
      <c r="P244" s="664"/>
      <c r="Q244" s="664"/>
      <c r="R244" s="664"/>
      <c r="S244" s="664"/>
      <c r="T244" s="664"/>
      <c r="U244" s="664"/>
      <c r="V244" s="664"/>
      <c r="W244" s="664"/>
      <c r="X244" s="664"/>
      <c r="Y244" s="664"/>
      <c r="Z244" s="664"/>
    </row>
    <row r="245">
      <c r="A245" s="664"/>
      <c r="B245" s="664"/>
      <c r="C245" s="664"/>
      <c r="D245" s="664"/>
      <c r="E245" s="664"/>
      <c r="F245" s="664"/>
      <c r="G245" s="664"/>
      <c r="H245" s="664"/>
      <c r="I245" s="664"/>
      <c r="J245" s="664"/>
      <c r="K245" s="664"/>
      <c r="L245" s="664"/>
      <c r="M245" s="664"/>
      <c r="N245" s="664"/>
      <c r="O245" s="664"/>
      <c r="P245" s="664"/>
      <c r="Q245" s="664"/>
      <c r="R245" s="664"/>
      <c r="S245" s="664"/>
      <c r="T245" s="664"/>
      <c r="U245" s="664"/>
      <c r="V245" s="664"/>
      <c r="W245" s="664"/>
      <c r="X245" s="664"/>
      <c r="Y245" s="664"/>
      <c r="Z245" s="664"/>
    </row>
    <row r="246">
      <c r="A246" s="664"/>
      <c r="B246" s="664"/>
      <c r="C246" s="664"/>
      <c r="D246" s="664"/>
      <c r="E246" s="664"/>
      <c r="F246" s="664"/>
      <c r="G246" s="664"/>
      <c r="H246" s="664"/>
      <c r="I246" s="664"/>
      <c r="J246" s="664"/>
      <c r="K246" s="664"/>
      <c r="L246" s="664"/>
      <c r="M246" s="664"/>
      <c r="N246" s="664"/>
      <c r="O246" s="664"/>
      <c r="P246" s="664"/>
      <c r="Q246" s="664"/>
      <c r="R246" s="664"/>
      <c r="S246" s="664"/>
      <c r="T246" s="664"/>
      <c r="U246" s="664"/>
      <c r="V246" s="664"/>
      <c r="W246" s="664"/>
      <c r="X246" s="664"/>
      <c r="Y246" s="664"/>
      <c r="Z246" s="664"/>
    </row>
    <row r="247">
      <c r="A247" s="664"/>
      <c r="B247" s="664"/>
      <c r="C247" s="664"/>
      <c r="D247" s="664"/>
      <c r="E247" s="664"/>
      <c r="F247" s="664"/>
      <c r="G247" s="664"/>
      <c r="H247" s="664"/>
      <c r="I247" s="664"/>
      <c r="J247" s="664"/>
      <c r="K247" s="664"/>
      <c r="L247" s="664"/>
      <c r="M247" s="664"/>
      <c r="N247" s="664"/>
      <c r="O247" s="664"/>
      <c r="P247" s="664"/>
      <c r="Q247" s="664"/>
      <c r="R247" s="664"/>
      <c r="S247" s="664"/>
      <c r="T247" s="664"/>
      <c r="U247" s="664"/>
      <c r="V247" s="664"/>
      <c r="W247" s="664"/>
      <c r="X247" s="664"/>
      <c r="Y247" s="664"/>
      <c r="Z247" s="664"/>
    </row>
    <row r="248">
      <c r="A248" s="664"/>
      <c r="B248" s="664"/>
      <c r="C248" s="664"/>
      <c r="D248" s="664"/>
      <c r="E248" s="664"/>
      <c r="F248" s="664"/>
      <c r="G248" s="664"/>
      <c r="H248" s="664"/>
      <c r="I248" s="664"/>
      <c r="J248" s="664"/>
      <c r="K248" s="664"/>
      <c r="L248" s="664"/>
      <c r="M248" s="664"/>
      <c r="N248" s="664"/>
      <c r="O248" s="664"/>
      <c r="P248" s="664"/>
      <c r="Q248" s="664"/>
      <c r="R248" s="664"/>
      <c r="S248" s="664"/>
      <c r="T248" s="664"/>
      <c r="U248" s="664"/>
      <c r="V248" s="664"/>
      <c r="W248" s="664"/>
      <c r="X248" s="664"/>
      <c r="Y248" s="664"/>
      <c r="Z248" s="664"/>
    </row>
    <row r="249">
      <c r="A249" s="664"/>
      <c r="B249" s="664"/>
      <c r="C249" s="664"/>
      <c r="D249" s="664"/>
      <c r="E249" s="664"/>
      <c r="F249" s="664"/>
      <c r="G249" s="664"/>
      <c r="H249" s="664"/>
      <c r="I249" s="664"/>
      <c r="J249" s="664"/>
      <c r="K249" s="664"/>
      <c r="L249" s="664"/>
      <c r="M249" s="664"/>
      <c r="N249" s="664"/>
      <c r="O249" s="664"/>
      <c r="P249" s="664"/>
      <c r="Q249" s="664"/>
      <c r="R249" s="664"/>
      <c r="S249" s="664"/>
      <c r="T249" s="664"/>
      <c r="U249" s="664"/>
      <c r="V249" s="664"/>
      <c r="W249" s="664"/>
      <c r="X249" s="664"/>
      <c r="Y249" s="664"/>
      <c r="Z249" s="664"/>
    </row>
    <row r="250">
      <c r="A250" s="664"/>
      <c r="B250" s="664"/>
      <c r="C250" s="664"/>
      <c r="D250" s="664"/>
      <c r="E250" s="664"/>
      <c r="F250" s="664"/>
      <c r="G250" s="664"/>
      <c r="H250" s="664"/>
      <c r="I250" s="664"/>
      <c r="J250" s="664"/>
      <c r="K250" s="664"/>
      <c r="L250" s="664"/>
      <c r="M250" s="664"/>
      <c r="N250" s="664"/>
      <c r="O250" s="664"/>
      <c r="P250" s="664"/>
      <c r="Q250" s="664"/>
      <c r="R250" s="664"/>
      <c r="S250" s="664"/>
      <c r="T250" s="664"/>
      <c r="U250" s="664"/>
      <c r="V250" s="664"/>
      <c r="W250" s="664"/>
      <c r="X250" s="664"/>
      <c r="Y250" s="664"/>
      <c r="Z250" s="664"/>
    </row>
    <row r="251">
      <c r="A251" s="664"/>
      <c r="B251" s="664"/>
      <c r="C251" s="664"/>
      <c r="D251" s="664"/>
      <c r="E251" s="664"/>
      <c r="F251" s="664"/>
      <c r="G251" s="664"/>
      <c r="H251" s="664"/>
      <c r="I251" s="664"/>
      <c r="J251" s="664"/>
      <c r="K251" s="664"/>
      <c r="L251" s="664"/>
      <c r="M251" s="664"/>
      <c r="N251" s="664"/>
      <c r="O251" s="664"/>
      <c r="P251" s="664"/>
      <c r="Q251" s="664"/>
      <c r="R251" s="664"/>
      <c r="S251" s="664"/>
      <c r="T251" s="664"/>
      <c r="U251" s="664"/>
      <c r="V251" s="664"/>
      <c r="W251" s="664"/>
      <c r="X251" s="664"/>
      <c r="Y251" s="664"/>
      <c r="Z251" s="664"/>
    </row>
    <row r="252">
      <c r="A252" s="664"/>
      <c r="B252" s="664"/>
      <c r="C252" s="664"/>
      <c r="D252" s="664"/>
      <c r="E252" s="664"/>
      <c r="F252" s="664"/>
      <c r="G252" s="664"/>
      <c r="H252" s="664"/>
      <c r="I252" s="664"/>
      <c r="J252" s="664"/>
      <c r="K252" s="664"/>
      <c r="L252" s="664"/>
      <c r="M252" s="664"/>
      <c r="N252" s="664"/>
      <c r="O252" s="664"/>
      <c r="P252" s="664"/>
      <c r="Q252" s="664"/>
      <c r="R252" s="664"/>
      <c r="S252" s="664"/>
      <c r="T252" s="664"/>
      <c r="U252" s="664"/>
      <c r="V252" s="664"/>
      <c r="W252" s="664"/>
      <c r="X252" s="664"/>
      <c r="Y252" s="664"/>
      <c r="Z252" s="664"/>
    </row>
    <row r="253">
      <c r="A253" s="664"/>
      <c r="B253" s="664"/>
      <c r="C253" s="664"/>
      <c r="D253" s="664"/>
      <c r="E253" s="664"/>
      <c r="F253" s="664"/>
      <c r="G253" s="664"/>
      <c r="H253" s="664"/>
      <c r="I253" s="664"/>
      <c r="J253" s="664"/>
      <c r="K253" s="664"/>
      <c r="L253" s="664"/>
      <c r="M253" s="664"/>
      <c r="N253" s="664"/>
      <c r="O253" s="664"/>
      <c r="P253" s="664"/>
      <c r="Q253" s="664"/>
      <c r="R253" s="664"/>
      <c r="S253" s="664"/>
      <c r="T253" s="664"/>
      <c r="U253" s="664"/>
      <c r="V253" s="664"/>
      <c r="W253" s="664"/>
      <c r="X253" s="664"/>
      <c r="Y253" s="664"/>
      <c r="Z253" s="664"/>
    </row>
    <row r="254">
      <c r="A254" s="664"/>
      <c r="B254" s="664"/>
      <c r="C254" s="664"/>
      <c r="D254" s="664"/>
      <c r="E254" s="664"/>
      <c r="F254" s="664"/>
      <c r="G254" s="664"/>
      <c r="H254" s="664"/>
      <c r="I254" s="664"/>
      <c r="J254" s="664"/>
      <c r="K254" s="664"/>
      <c r="L254" s="664"/>
      <c r="M254" s="664"/>
      <c r="N254" s="664"/>
      <c r="O254" s="664"/>
      <c r="P254" s="664"/>
      <c r="Q254" s="664"/>
      <c r="R254" s="664"/>
      <c r="S254" s="664"/>
      <c r="T254" s="664"/>
      <c r="U254" s="664"/>
      <c r="V254" s="664"/>
      <c r="W254" s="664"/>
      <c r="X254" s="664"/>
      <c r="Y254" s="664"/>
      <c r="Z254" s="664"/>
    </row>
    <row r="255">
      <c r="A255" s="664"/>
      <c r="B255" s="664"/>
      <c r="C255" s="664"/>
      <c r="D255" s="664"/>
      <c r="E255" s="664"/>
      <c r="F255" s="664"/>
      <c r="G255" s="664"/>
      <c r="H255" s="664"/>
      <c r="I255" s="664"/>
      <c r="J255" s="664"/>
      <c r="K255" s="664"/>
      <c r="L255" s="664"/>
      <c r="M255" s="664"/>
      <c r="N255" s="664"/>
      <c r="O255" s="664"/>
      <c r="P255" s="664"/>
      <c r="Q255" s="664"/>
      <c r="R255" s="664"/>
      <c r="S255" s="664"/>
      <c r="T255" s="664"/>
      <c r="U255" s="664"/>
      <c r="V255" s="664"/>
      <c r="W255" s="664"/>
      <c r="X255" s="664"/>
      <c r="Y255" s="664"/>
      <c r="Z255" s="664"/>
    </row>
    <row r="256">
      <c r="A256" s="664"/>
      <c r="B256" s="664"/>
      <c r="C256" s="664"/>
      <c r="D256" s="664"/>
      <c r="E256" s="664"/>
      <c r="F256" s="664"/>
      <c r="G256" s="664"/>
      <c r="H256" s="664"/>
      <c r="I256" s="664"/>
      <c r="J256" s="664"/>
      <c r="K256" s="664"/>
      <c r="L256" s="664"/>
      <c r="M256" s="664"/>
      <c r="N256" s="664"/>
      <c r="O256" s="664"/>
      <c r="P256" s="664"/>
      <c r="Q256" s="664"/>
      <c r="R256" s="664"/>
      <c r="S256" s="664"/>
      <c r="T256" s="664"/>
      <c r="U256" s="664"/>
      <c r="V256" s="664"/>
      <c r="W256" s="664"/>
      <c r="X256" s="664"/>
      <c r="Y256" s="664"/>
      <c r="Z256" s="664"/>
    </row>
    <row r="257">
      <c r="A257" s="664"/>
      <c r="B257" s="664"/>
      <c r="C257" s="664"/>
      <c r="D257" s="664"/>
      <c r="E257" s="664"/>
      <c r="F257" s="664"/>
      <c r="G257" s="664"/>
      <c r="H257" s="664"/>
      <c r="I257" s="664"/>
      <c r="J257" s="664"/>
      <c r="K257" s="664"/>
      <c r="L257" s="664"/>
      <c r="M257" s="664"/>
      <c r="N257" s="664"/>
      <c r="O257" s="664"/>
      <c r="P257" s="664"/>
      <c r="Q257" s="664"/>
      <c r="R257" s="664"/>
      <c r="S257" s="664"/>
      <c r="T257" s="664"/>
      <c r="U257" s="664"/>
      <c r="V257" s="664"/>
      <c r="W257" s="664"/>
      <c r="X257" s="664"/>
      <c r="Y257" s="664"/>
      <c r="Z257" s="664"/>
    </row>
    <row r="258">
      <c r="A258" s="664"/>
      <c r="B258" s="664"/>
      <c r="C258" s="664"/>
      <c r="D258" s="664"/>
      <c r="E258" s="664"/>
      <c r="F258" s="664"/>
      <c r="G258" s="664"/>
      <c r="H258" s="664"/>
      <c r="I258" s="664"/>
      <c r="J258" s="664"/>
      <c r="K258" s="664"/>
      <c r="L258" s="664"/>
      <c r="M258" s="664"/>
      <c r="N258" s="664"/>
      <c r="O258" s="664"/>
      <c r="P258" s="664"/>
      <c r="Q258" s="664"/>
      <c r="R258" s="664"/>
      <c r="S258" s="664"/>
      <c r="T258" s="664"/>
      <c r="U258" s="664"/>
      <c r="V258" s="664"/>
      <c r="W258" s="664"/>
      <c r="X258" s="664"/>
      <c r="Y258" s="664"/>
      <c r="Z258" s="664"/>
    </row>
    <row r="259">
      <c r="A259" s="664"/>
      <c r="B259" s="664"/>
      <c r="C259" s="664"/>
      <c r="D259" s="664"/>
      <c r="E259" s="664"/>
      <c r="F259" s="664"/>
      <c r="G259" s="664"/>
      <c r="H259" s="664"/>
      <c r="I259" s="664"/>
      <c r="J259" s="664"/>
      <c r="K259" s="664"/>
      <c r="L259" s="664"/>
      <c r="M259" s="664"/>
      <c r="N259" s="664"/>
      <c r="O259" s="664"/>
      <c r="P259" s="664"/>
      <c r="Q259" s="664"/>
      <c r="R259" s="664"/>
      <c r="S259" s="664"/>
      <c r="T259" s="664"/>
      <c r="U259" s="664"/>
      <c r="V259" s="664"/>
      <c r="W259" s="664"/>
      <c r="X259" s="664"/>
      <c r="Y259" s="664"/>
      <c r="Z259" s="664"/>
    </row>
    <row r="260">
      <c r="A260" s="664"/>
      <c r="B260" s="664"/>
      <c r="C260" s="664"/>
      <c r="D260" s="664"/>
      <c r="E260" s="664"/>
      <c r="F260" s="664"/>
      <c r="G260" s="664"/>
      <c r="H260" s="664"/>
      <c r="I260" s="664"/>
      <c r="J260" s="664"/>
      <c r="K260" s="664"/>
      <c r="L260" s="664"/>
      <c r="M260" s="664"/>
      <c r="N260" s="664"/>
      <c r="O260" s="664"/>
      <c r="P260" s="664"/>
      <c r="Q260" s="664"/>
      <c r="R260" s="664"/>
      <c r="S260" s="664"/>
      <c r="T260" s="664"/>
      <c r="U260" s="664"/>
      <c r="V260" s="664"/>
      <c r="W260" s="664"/>
      <c r="X260" s="664"/>
      <c r="Y260" s="664"/>
      <c r="Z260" s="664"/>
    </row>
    <row r="261">
      <c r="A261" s="664"/>
      <c r="B261" s="664"/>
      <c r="C261" s="664"/>
      <c r="D261" s="664"/>
      <c r="E261" s="664"/>
      <c r="F261" s="664"/>
      <c r="G261" s="664"/>
      <c r="H261" s="664"/>
      <c r="I261" s="664"/>
      <c r="J261" s="664"/>
      <c r="K261" s="664"/>
      <c r="L261" s="664"/>
      <c r="M261" s="664"/>
      <c r="N261" s="664"/>
      <c r="O261" s="664"/>
      <c r="P261" s="664"/>
      <c r="Q261" s="664"/>
      <c r="R261" s="664"/>
      <c r="S261" s="664"/>
      <c r="T261" s="664"/>
      <c r="U261" s="664"/>
      <c r="V261" s="664"/>
      <c r="W261" s="664"/>
      <c r="X261" s="664"/>
      <c r="Y261" s="664"/>
      <c r="Z261" s="664"/>
    </row>
    <row r="262">
      <c r="A262" s="664"/>
      <c r="B262" s="664"/>
      <c r="C262" s="664"/>
      <c r="D262" s="664"/>
      <c r="E262" s="664"/>
      <c r="F262" s="664"/>
      <c r="G262" s="664"/>
      <c r="H262" s="664"/>
      <c r="I262" s="664"/>
      <c r="J262" s="664"/>
      <c r="K262" s="664"/>
      <c r="L262" s="664"/>
      <c r="M262" s="664"/>
      <c r="N262" s="664"/>
      <c r="O262" s="664"/>
      <c r="P262" s="664"/>
      <c r="Q262" s="664"/>
      <c r="R262" s="664"/>
      <c r="S262" s="664"/>
      <c r="T262" s="664"/>
      <c r="U262" s="664"/>
      <c r="V262" s="664"/>
      <c r="W262" s="664"/>
      <c r="X262" s="664"/>
      <c r="Y262" s="664"/>
      <c r="Z262" s="664"/>
    </row>
    <row r="263">
      <c r="A263" s="664"/>
      <c r="B263" s="664"/>
      <c r="C263" s="664"/>
      <c r="D263" s="664"/>
      <c r="E263" s="664"/>
      <c r="F263" s="664"/>
      <c r="G263" s="664"/>
      <c r="H263" s="664"/>
      <c r="I263" s="664"/>
      <c r="J263" s="664"/>
      <c r="K263" s="664"/>
      <c r="L263" s="664"/>
      <c r="M263" s="664"/>
      <c r="N263" s="664"/>
      <c r="O263" s="664"/>
      <c r="P263" s="664"/>
      <c r="Q263" s="664"/>
      <c r="R263" s="664"/>
      <c r="S263" s="664"/>
      <c r="T263" s="664"/>
      <c r="U263" s="664"/>
      <c r="V263" s="664"/>
      <c r="W263" s="664"/>
      <c r="X263" s="664"/>
      <c r="Y263" s="664"/>
      <c r="Z263" s="664"/>
    </row>
    <row r="264">
      <c r="A264" s="664"/>
      <c r="B264" s="664"/>
      <c r="C264" s="664"/>
      <c r="D264" s="664"/>
      <c r="E264" s="664"/>
      <c r="F264" s="664"/>
      <c r="G264" s="664"/>
      <c r="H264" s="664"/>
      <c r="I264" s="664"/>
      <c r="J264" s="664"/>
      <c r="K264" s="664"/>
      <c r="L264" s="664"/>
      <c r="M264" s="664"/>
      <c r="N264" s="664"/>
      <c r="O264" s="664"/>
      <c r="P264" s="664"/>
      <c r="Q264" s="664"/>
      <c r="R264" s="664"/>
      <c r="S264" s="664"/>
      <c r="T264" s="664"/>
      <c r="U264" s="664"/>
      <c r="V264" s="664"/>
      <c r="W264" s="664"/>
      <c r="X264" s="664"/>
      <c r="Y264" s="664"/>
      <c r="Z264" s="664"/>
    </row>
    <row r="265">
      <c r="A265" s="664"/>
      <c r="B265" s="664"/>
      <c r="C265" s="664"/>
      <c r="D265" s="664"/>
      <c r="E265" s="664"/>
      <c r="F265" s="664"/>
      <c r="G265" s="664"/>
      <c r="H265" s="664"/>
      <c r="I265" s="664"/>
      <c r="J265" s="664"/>
      <c r="K265" s="664"/>
      <c r="L265" s="664"/>
      <c r="M265" s="664"/>
      <c r="N265" s="664"/>
      <c r="O265" s="664"/>
      <c r="P265" s="664"/>
      <c r="Q265" s="664"/>
      <c r="R265" s="664"/>
      <c r="S265" s="664"/>
      <c r="T265" s="664"/>
      <c r="U265" s="664"/>
      <c r="V265" s="664"/>
      <c r="W265" s="664"/>
      <c r="X265" s="664"/>
      <c r="Y265" s="664"/>
      <c r="Z265" s="664"/>
    </row>
    <row r="266">
      <c r="A266" s="664"/>
      <c r="B266" s="664"/>
      <c r="C266" s="664"/>
      <c r="D266" s="664"/>
      <c r="E266" s="664"/>
      <c r="F266" s="664"/>
      <c r="G266" s="664"/>
      <c r="H266" s="664"/>
      <c r="I266" s="664"/>
      <c r="J266" s="664"/>
      <c r="K266" s="664"/>
      <c r="L266" s="664"/>
      <c r="M266" s="664"/>
      <c r="N266" s="664"/>
      <c r="O266" s="664"/>
      <c r="P266" s="664"/>
      <c r="Q266" s="664"/>
      <c r="R266" s="664"/>
      <c r="S266" s="664"/>
      <c r="T266" s="664"/>
      <c r="U266" s="664"/>
      <c r="V266" s="664"/>
      <c r="W266" s="664"/>
      <c r="X266" s="664"/>
      <c r="Y266" s="664"/>
      <c r="Z266" s="664"/>
    </row>
    <row r="267">
      <c r="A267" s="664"/>
      <c r="B267" s="664"/>
      <c r="C267" s="664"/>
      <c r="D267" s="664"/>
      <c r="E267" s="664"/>
      <c r="F267" s="664"/>
      <c r="G267" s="664"/>
      <c r="H267" s="664"/>
      <c r="I267" s="664"/>
      <c r="J267" s="664"/>
      <c r="K267" s="664"/>
      <c r="L267" s="664"/>
      <c r="M267" s="664"/>
      <c r="N267" s="664"/>
      <c r="O267" s="664"/>
      <c r="P267" s="664"/>
      <c r="Q267" s="664"/>
      <c r="R267" s="664"/>
      <c r="S267" s="664"/>
      <c r="T267" s="664"/>
      <c r="U267" s="664"/>
      <c r="V267" s="664"/>
      <c r="W267" s="664"/>
      <c r="X267" s="664"/>
      <c r="Y267" s="664"/>
      <c r="Z267" s="664"/>
    </row>
    <row r="268">
      <c r="A268" s="664"/>
      <c r="B268" s="664"/>
      <c r="C268" s="664"/>
      <c r="D268" s="664"/>
      <c r="E268" s="664"/>
      <c r="F268" s="664"/>
      <c r="G268" s="664"/>
      <c r="H268" s="664"/>
      <c r="I268" s="664"/>
      <c r="J268" s="664"/>
      <c r="K268" s="664"/>
      <c r="L268" s="664"/>
      <c r="M268" s="664"/>
      <c r="N268" s="664"/>
      <c r="O268" s="664"/>
      <c r="P268" s="664"/>
      <c r="Q268" s="664"/>
      <c r="R268" s="664"/>
      <c r="S268" s="664"/>
      <c r="T268" s="664"/>
      <c r="U268" s="664"/>
      <c r="V268" s="664"/>
      <c r="W268" s="664"/>
      <c r="X268" s="664"/>
      <c r="Y268" s="664"/>
      <c r="Z268" s="664"/>
    </row>
    <row r="269">
      <c r="A269" s="664"/>
      <c r="B269" s="664"/>
      <c r="C269" s="664"/>
      <c r="D269" s="664"/>
      <c r="E269" s="664"/>
      <c r="F269" s="664"/>
      <c r="G269" s="664"/>
      <c r="H269" s="664"/>
      <c r="I269" s="664"/>
      <c r="J269" s="664"/>
      <c r="K269" s="664"/>
      <c r="L269" s="664"/>
      <c r="M269" s="664"/>
      <c r="N269" s="664"/>
      <c r="O269" s="664"/>
      <c r="P269" s="664"/>
      <c r="Q269" s="664"/>
      <c r="R269" s="664"/>
      <c r="S269" s="664"/>
      <c r="T269" s="664"/>
      <c r="U269" s="664"/>
      <c r="V269" s="664"/>
      <c r="W269" s="664"/>
      <c r="X269" s="664"/>
      <c r="Y269" s="664"/>
      <c r="Z269" s="664"/>
    </row>
    <row r="270">
      <c r="A270" s="664"/>
      <c r="B270" s="664"/>
      <c r="C270" s="664"/>
      <c r="D270" s="664"/>
      <c r="E270" s="664"/>
      <c r="F270" s="664"/>
      <c r="G270" s="664"/>
      <c r="H270" s="664"/>
      <c r="I270" s="664"/>
      <c r="J270" s="664"/>
      <c r="K270" s="664"/>
      <c r="L270" s="664"/>
      <c r="M270" s="664"/>
      <c r="N270" s="664"/>
      <c r="O270" s="664"/>
      <c r="P270" s="664"/>
      <c r="Q270" s="664"/>
      <c r="R270" s="664"/>
      <c r="S270" s="664"/>
      <c r="T270" s="664"/>
      <c r="U270" s="664"/>
      <c r="V270" s="664"/>
      <c r="W270" s="664"/>
      <c r="X270" s="664"/>
      <c r="Y270" s="664"/>
      <c r="Z270" s="664"/>
    </row>
    <row r="271">
      <c r="A271" s="664"/>
      <c r="B271" s="664"/>
      <c r="C271" s="664"/>
      <c r="D271" s="664"/>
      <c r="E271" s="664"/>
      <c r="F271" s="664"/>
      <c r="G271" s="664"/>
      <c r="H271" s="664"/>
      <c r="I271" s="664"/>
      <c r="J271" s="664"/>
      <c r="K271" s="664"/>
      <c r="L271" s="664"/>
      <c r="M271" s="664"/>
      <c r="N271" s="664"/>
      <c r="O271" s="664"/>
      <c r="P271" s="664"/>
      <c r="Q271" s="664"/>
      <c r="R271" s="664"/>
      <c r="S271" s="664"/>
      <c r="T271" s="664"/>
      <c r="U271" s="664"/>
      <c r="V271" s="664"/>
      <c r="W271" s="664"/>
      <c r="X271" s="664"/>
      <c r="Y271" s="664"/>
      <c r="Z271" s="664"/>
    </row>
    <row r="272">
      <c r="A272" s="664"/>
      <c r="B272" s="664"/>
      <c r="C272" s="664"/>
      <c r="D272" s="664"/>
      <c r="E272" s="664"/>
      <c r="F272" s="664"/>
      <c r="G272" s="664"/>
      <c r="H272" s="664"/>
      <c r="I272" s="664"/>
      <c r="J272" s="664"/>
      <c r="K272" s="664"/>
      <c r="L272" s="664"/>
      <c r="M272" s="664"/>
      <c r="N272" s="664"/>
      <c r="O272" s="664"/>
      <c r="P272" s="664"/>
      <c r="Q272" s="664"/>
      <c r="R272" s="664"/>
      <c r="S272" s="664"/>
      <c r="T272" s="664"/>
      <c r="U272" s="664"/>
      <c r="V272" s="664"/>
      <c r="W272" s="664"/>
      <c r="X272" s="664"/>
      <c r="Y272" s="664"/>
      <c r="Z272" s="664"/>
    </row>
    <row r="273">
      <c r="A273" s="664"/>
      <c r="B273" s="664"/>
      <c r="C273" s="664"/>
      <c r="D273" s="664"/>
      <c r="E273" s="664"/>
      <c r="F273" s="664"/>
      <c r="G273" s="664"/>
      <c r="H273" s="664"/>
      <c r="I273" s="664"/>
      <c r="J273" s="664"/>
      <c r="K273" s="664"/>
      <c r="L273" s="664"/>
      <c r="M273" s="664"/>
      <c r="N273" s="664"/>
      <c r="O273" s="664"/>
      <c r="P273" s="664"/>
      <c r="Q273" s="664"/>
      <c r="R273" s="664"/>
      <c r="S273" s="664"/>
      <c r="T273" s="664"/>
      <c r="U273" s="664"/>
      <c r="V273" s="664"/>
      <c r="W273" s="664"/>
      <c r="X273" s="664"/>
      <c r="Y273" s="664"/>
      <c r="Z273" s="664"/>
    </row>
    <row r="274">
      <c r="A274" s="664"/>
      <c r="B274" s="664"/>
      <c r="C274" s="664"/>
      <c r="D274" s="664"/>
      <c r="E274" s="664"/>
      <c r="F274" s="664"/>
      <c r="G274" s="664"/>
      <c r="H274" s="664"/>
      <c r="I274" s="664"/>
      <c r="J274" s="664"/>
      <c r="K274" s="664"/>
      <c r="L274" s="664"/>
      <c r="M274" s="664"/>
      <c r="N274" s="664"/>
      <c r="O274" s="664"/>
      <c r="P274" s="664"/>
      <c r="Q274" s="664"/>
      <c r="R274" s="664"/>
      <c r="S274" s="664"/>
      <c r="T274" s="664"/>
      <c r="U274" s="664"/>
      <c r="V274" s="664"/>
      <c r="W274" s="664"/>
      <c r="X274" s="664"/>
      <c r="Y274" s="664"/>
      <c r="Z274" s="664"/>
    </row>
    <row r="275">
      <c r="A275" s="664"/>
      <c r="B275" s="664"/>
      <c r="C275" s="664"/>
      <c r="D275" s="664"/>
      <c r="E275" s="664"/>
      <c r="F275" s="664"/>
      <c r="G275" s="664"/>
      <c r="H275" s="664"/>
      <c r="I275" s="664"/>
      <c r="J275" s="664"/>
      <c r="K275" s="664"/>
      <c r="L275" s="664"/>
      <c r="M275" s="664"/>
      <c r="N275" s="664"/>
      <c r="O275" s="664"/>
      <c r="P275" s="664"/>
      <c r="Q275" s="664"/>
      <c r="R275" s="664"/>
      <c r="S275" s="664"/>
      <c r="T275" s="664"/>
      <c r="U275" s="664"/>
      <c r="V275" s="664"/>
      <c r="W275" s="664"/>
      <c r="X275" s="664"/>
      <c r="Y275" s="664"/>
      <c r="Z275" s="664"/>
    </row>
    <row r="276">
      <c r="A276" s="664"/>
      <c r="B276" s="664"/>
      <c r="C276" s="664"/>
      <c r="D276" s="664"/>
      <c r="E276" s="664"/>
      <c r="F276" s="664"/>
      <c r="G276" s="664"/>
      <c r="H276" s="664"/>
      <c r="I276" s="664"/>
      <c r="J276" s="664"/>
      <c r="K276" s="664"/>
      <c r="L276" s="664"/>
      <c r="M276" s="664"/>
      <c r="N276" s="664"/>
      <c r="O276" s="664"/>
      <c r="P276" s="664"/>
      <c r="Q276" s="664"/>
      <c r="R276" s="664"/>
      <c r="S276" s="664"/>
      <c r="T276" s="664"/>
      <c r="U276" s="664"/>
      <c r="V276" s="664"/>
      <c r="W276" s="664"/>
      <c r="X276" s="664"/>
      <c r="Y276" s="664"/>
      <c r="Z276" s="664"/>
    </row>
    <row r="277">
      <c r="A277" s="664"/>
      <c r="B277" s="664"/>
      <c r="C277" s="664"/>
      <c r="D277" s="664"/>
      <c r="E277" s="664"/>
      <c r="F277" s="664"/>
      <c r="G277" s="664"/>
      <c r="H277" s="664"/>
      <c r="I277" s="664"/>
      <c r="J277" s="664"/>
      <c r="K277" s="664"/>
      <c r="L277" s="664"/>
      <c r="M277" s="664"/>
      <c r="N277" s="664"/>
      <c r="O277" s="664"/>
      <c r="P277" s="664"/>
      <c r="Q277" s="664"/>
      <c r="R277" s="664"/>
      <c r="S277" s="664"/>
      <c r="T277" s="664"/>
      <c r="U277" s="664"/>
      <c r="V277" s="664"/>
      <c r="W277" s="664"/>
      <c r="X277" s="664"/>
      <c r="Y277" s="664"/>
      <c r="Z277" s="664"/>
    </row>
    <row r="278">
      <c r="A278" s="664"/>
      <c r="B278" s="664"/>
      <c r="C278" s="664"/>
      <c r="D278" s="664"/>
      <c r="E278" s="664"/>
      <c r="F278" s="664"/>
      <c r="G278" s="664"/>
      <c r="H278" s="664"/>
      <c r="I278" s="664"/>
      <c r="J278" s="664"/>
      <c r="K278" s="664"/>
      <c r="L278" s="664"/>
      <c r="M278" s="664"/>
      <c r="N278" s="664"/>
      <c r="O278" s="664"/>
      <c r="P278" s="664"/>
      <c r="Q278" s="664"/>
      <c r="R278" s="664"/>
      <c r="S278" s="664"/>
      <c r="T278" s="664"/>
      <c r="U278" s="664"/>
      <c r="V278" s="664"/>
      <c r="W278" s="664"/>
      <c r="X278" s="664"/>
      <c r="Y278" s="664"/>
      <c r="Z278" s="664"/>
    </row>
    <row r="279">
      <c r="A279" s="664"/>
      <c r="B279" s="664"/>
      <c r="C279" s="664"/>
      <c r="D279" s="664"/>
      <c r="E279" s="664"/>
      <c r="F279" s="664"/>
      <c r="G279" s="664"/>
      <c r="H279" s="664"/>
      <c r="I279" s="664"/>
      <c r="J279" s="664"/>
      <c r="K279" s="664"/>
      <c r="L279" s="664"/>
      <c r="M279" s="664"/>
      <c r="N279" s="664"/>
      <c r="O279" s="664"/>
      <c r="P279" s="664"/>
      <c r="Q279" s="664"/>
      <c r="R279" s="664"/>
      <c r="S279" s="664"/>
      <c r="T279" s="664"/>
      <c r="U279" s="664"/>
      <c r="V279" s="664"/>
      <c r="W279" s="664"/>
      <c r="X279" s="664"/>
      <c r="Y279" s="664"/>
      <c r="Z279" s="664"/>
    </row>
    <row r="280">
      <c r="A280" s="664"/>
      <c r="B280" s="664"/>
      <c r="C280" s="664"/>
      <c r="D280" s="664"/>
      <c r="E280" s="664"/>
      <c r="F280" s="664"/>
      <c r="G280" s="664"/>
      <c r="H280" s="664"/>
      <c r="I280" s="664"/>
      <c r="J280" s="664"/>
      <c r="K280" s="664"/>
      <c r="L280" s="664"/>
      <c r="M280" s="664"/>
      <c r="N280" s="664"/>
      <c r="O280" s="664"/>
      <c r="P280" s="664"/>
      <c r="Q280" s="664"/>
      <c r="R280" s="664"/>
      <c r="S280" s="664"/>
      <c r="T280" s="664"/>
      <c r="U280" s="664"/>
      <c r="V280" s="664"/>
      <c r="W280" s="664"/>
      <c r="X280" s="664"/>
      <c r="Y280" s="664"/>
      <c r="Z280" s="664"/>
    </row>
    <row r="281">
      <c r="A281" s="664"/>
      <c r="B281" s="664"/>
      <c r="C281" s="664"/>
      <c r="D281" s="664"/>
      <c r="E281" s="664"/>
      <c r="F281" s="664"/>
      <c r="G281" s="664"/>
      <c r="H281" s="664"/>
      <c r="I281" s="664"/>
      <c r="J281" s="664"/>
      <c r="K281" s="664"/>
      <c r="L281" s="664"/>
      <c r="M281" s="664"/>
      <c r="N281" s="664"/>
      <c r="O281" s="664"/>
      <c r="P281" s="664"/>
      <c r="Q281" s="664"/>
      <c r="R281" s="664"/>
      <c r="S281" s="664"/>
      <c r="T281" s="664"/>
      <c r="U281" s="664"/>
      <c r="V281" s="664"/>
      <c r="W281" s="664"/>
      <c r="X281" s="664"/>
      <c r="Y281" s="664"/>
      <c r="Z281" s="664"/>
    </row>
    <row r="282">
      <c r="A282" s="664"/>
      <c r="B282" s="664"/>
      <c r="C282" s="664"/>
      <c r="D282" s="664"/>
      <c r="E282" s="664"/>
      <c r="F282" s="664"/>
      <c r="G282" s="664"/>
      <c r="H282" s="664"/>
      <c r="I282" s="664"/>
      <c r="J282" s="664"/>
      <c r="K282" s="664"/>
      <c r="L282" s="664"/>
      <c r="M282" s="664"/>
      <c r="N282" s="664"/>
      <c r="O282" s="664"/>
      <c r="P282" s="664"/>
      <c r="Q282" s="664"/>
      <c r="R282" s="664"/>
      <c r="S282" s="664"/>
      <c r="T282" s="664"/>
      <c r="U282" s="664"/>
      <c r="V282" s="664"/>
      <c r="W282" s="664"/>
      <c r="X282" s="664"/>
      <c r="Y282" s="664"/>
      <c r="Z282" s="664"/>
    </row>
    <row r="283">
      <c r="A283" s="664"/>
      <c r="B283" s="664"/>
      <c r="C283" s="664"/>
      <c r="D283" s="664"/>
      <c r="E283" s="664"/>
      <c r="F283" s="664"/>
      <c r="G283" s="664"/>
      <c r="H283" s="664"/>
      <c r="I283" s="664"/>
      <c r="J283" s="664"/>
      <c r="K283" s="664"/>
      <c r="L283" s="664"/>
      <c r="M283" s="664"/>
      <c r="N283" s="664"/>
      <c r="O283" s="664"/>
      <c r="P283" s="664"/>
      <c r="Q283" s="664"/>
      <c r="R283" s="664"/>
      <c r="S283" s="664"/>
      <c r="T283" s="664"/>
      <c r="U283" s="664"/>
      <c r="V283" s="664"/>
      <c r="W283" s="664"/>
      <c r="X283" s="664"/>
      <c r="Y283" s="664"/>
      <c r="Z283" s="664"/>
    </row>
    <row r="284">
      <c r="A284" s="664"/>
      <c r="B284" s="664"/>
      <c r="C284" s="664"/>
      <c r="D284" s="664"/>
      <c r="E284" s="664"/>
      <c r="F284" s="664"/>
      <c r="G284" s="664"/>
      <c r="H284" s="664"/>
      <c r="I284" s="664"/>
      <c r="J284" s="664"/>
      <c r="K284" s="664"/>
      <c r="L284" s="664"/>
      <c r="M284" s="664"/>
      <c r="N284" s="664"/>
      <c r="O284" s="664"/>
      <c r="P284" s="664"/>
      <c r="Q284" s="664"/>
      <c r="R284" s="664"/>
      <c r="S284" s="664"/>
      <c r="T284" s="664"/>
      <c r="U284" s="664"/>
      <c r="V284" s="664"/>
      <c r="W284" s="664"/>
      <c r="X284" s="664"/>
      <c r="Y284" s="664"/>
      <c r="Z284" s="664"/>
    </row>
    <row r="285">
      <c r="A285" s="664"/>
      <c r="B285" s="664"/>
      <c r="C285" s="664"/>
      <c r="D285" s="664"/>
      <c r="E285" s="664"/>
      <c r="F285" s="664"/>
      <c r="G285" s="664"/>
      <c r="H285" s="664"/>
      <c r="I285" s="664"/>
      <c r="J285" s="664"/>
      <c r="K285" s="664"/>
      <c r="L285" s="664"/>
      <c r="M285" s="664"/>
      <c r="N285" s="664"/>
      <c r="O285" s="664"/>
      <c r="P285" s="664"/>
      <c r="Q285" s="664"/>
      <c r="R285" s="664"/>
      <c r="S285" s="664"/>
      <c r="T285" s="664"/>
      <c r="U285" s="664"/>
      <c r="V285" s="664"/>
      <c r="W285" s="664"/>
      <c r="X285" s="664"/>
      <c r="Y285" s="664"/>
      <c r="Z285" s="664"/>
    </row>
    <row r="286">
      <c r="A286" s="664"/>
      <c r="B286" s="664"/>
      <c r="C286" s="664"/>
      <c r="D286" s="664"/>
      <c r="E286" s="664"/>
      <c r="F286" s="664"/>
      <c r="G286" s="664"/>
      <c r="H286" s="664"/>
      <c r="I286" s="664"/>
      <c r="J286" s="664"/>
      <c r="K286" s="664"/>
      <c r="L286" s="664"/>
      <c r="M286" s="664"/>
      <c r="N286" s="664"/>
      <c r="O286" s="664"/>
      <c r="P286" s="664"/>
      <c r="Q286" s="664"/>
      <c r="R286" s="664"/>
      <c r="S286" s="664"/>
      <c r="T286" s="664"/>
      <c r="U286" s="664"/>
      <c r="V286" s="664"/>
      <c r="W286" s="664"/>
      <c r="X286" s="664"/>
      <c r="Y286" s="664"/>
      <c r="Z286" s="664"/>
    </row>
    <row r="287">
      <c r="A287" s="664"/>
      <c r="B287" s="664"/>
      <c r="C287" s="664"/>
      <c r="D287" s="664"/>
      <c r="E287" s="664"/>
      <c r="F287" s="664"/>
      <c r="G287" s="664"/>
      <c r="H287" s="664"/>
      <c r="I287" s="664"/>
      <c r="J287" s="664"/>
      <c r="K287" s="664"/>
      <c r="L287" s="664"/>
      <c r="M287" s="664"/>
      <c r="N287" s="664"/>
      <c r="O287" s="664"/>
      <c r="P287" s="664"/>
      <c r="Q287" s="664"/>
      <c r="R287" s="664"/>
      <c r="S287" s="664"/>
      <c r="T287" s="664"/>
      <c r="U287" s="664"/>
      <c r="V287" s="664"/>
      <c r="W287" s="664"/>
      <c r="X287" s="664"/>
      <c r="Y287" s="664"/>
      <c r="Z287" s="664"/>
    </row>
    <row r="288">
      <c r="A288" s="664"/>
      <c r="B288" s="664"/>
      <c r="C288" s="664"/>
      <c r="D288" s="664"/>
      <c r="E288" s="664"/>
      <c r="F288" s="664"/>
      <c r="G288" s="664"/>
      <c r="H288" s="664"/>
      <c r="I288" s="664"/>
      <c r="J288" s="664"/>
      <c r="K288" s="664"/>
      <c r="L288" s="664"/>
      <c r="M288" s="664"/>
      <c r="N288" s="664"/>
      <c r="O288" s="664"/>
      <c r="P288" s="664"/>
      <c r="Q288" s="664"/>
      <c r="R288" s="664"/>
      <c r="S288" s="664"/>
      <c r="T288" s="664"/>
      <c r="U288" s="664"/>
      <c r="V288" s="664"/>
      <c r="W288" s="664"/>
      <c r="X288" s="664"/>
      <c r="Y288" s="664"/>
      <c r="Z288" s="664"/>
    </row>
    <row r="289">
      <c r="A289" s="664"/>
      <c r="B289" s="664"/>
      <c r="C289" s="664"/>
      <c r="D289" s="664"/>
      <c r="E289" s="664"/>
      <c r="F289" s="664"/>
      <c r="G289" s="664"/>
      <c r="H289" s="664"/>
      <c r="I289" s="664"/>
      <c r="J289" s="664"/>
      <c r="K289" s="664"/>
      <c r="L289" s="664"/>
      <c r="M289" s="664"/>
      <c r="N289" s="664"/>
      <c r="O289" s="664"/>
      <c r="P289" s="664"/>
      <c r="Q289" s="664"/>
      <c r="R289" s="664"/>
      <c r="S289" s="664"/>
      <c r="T289" s="664"/>
      <c r="U289" s="664"/>
      <c r="V289" s="664"/>
      <c r="W289" s="664"/>
      <c r="X289" s="664"/>
      <c r="Y289" s="664"/>
      <c r="Z289" s="664"/>
    </row>
    <row r="290">
      <c r="A290" s="664"/>
      <c r="B290" s="664"/>
      <c r="C290" s="664"/>
      <c r="D290" s="664"/>
      <c r="E290" s="664"/>
      <c r="F290" s="664"/>
      <c r="G290" s="664"/>
      <c r="H290" s="664"/>
      <c r="I290" s="664"/>
      <c r="J290" s="664"/>
      <c r="K290" s="664"/>
      <c r="L290" s="664"/>
      <c r="M290" s="664"/>
      <c r="N290" s="664"/>
      <c r="O290" s="664"/>
      <c r="P290" s="664"/>
      <c r="Q290" s="664"/>
      <c r="R290" s="664"/>
      <c r="S290" s="664"/>
      <c r="T290" s="664"/>
      <c r="U290" s="664"/>
      <c r="V290" s="664"/>
      <c r="W290" s="664"/>
      <c r="X290" s="664"/>
      <c r="Y290" s="664"/>
      <c r="Z290" s="664"/>
    </row>
    <row r="291">
      <c r="A291" s="664"/>
      <c r="B291" s="664"/>
      <c r="C291" s="664"/>
      <c r="D291" s="664"/>
      <c r="E291" s="664"/>
      <c r="F291" s="664"/>
      <c r="G291" s="664"/>
      <c r="H291" s="664"/>
      <c r="I291" s="664"/>
      <c r="J291" s="664"/>
      <c r="K291" s="664"/>
      <c r="L291" s="664"/>
      <c r="M291" s="664"/>
      <c r="N291" s="664"/>
      <c r="O291" s="664"/>
      <c r="P291" s="664"/>
      <c r="Q291" s="664"/>
      <c r="R291" s="664"/>
      <c r="S291" s="664"/>
      <c r="T291" s="664"/>
      <c r="U291" s="664"/>
      <c r="V291" s="664"/>
      <c r="W291" s="664"/>
      <c r="X291" s="664"/>
      <c r="Y291" s="664"/>
      <c r="Z291" s="664"/>
    </row>
    <row r="292">
      <c r="A292" s="664"/>
      <c r="B292" s="664"/>
      <c r="C292" s="664"/>
      <c r="D292" s="664"/>
      <c r="E292" s="664"/>
      <c r="F292" s="664"/>
      <c r="G292" s="664"/>
      <c r="H292" s="664"/>
      <c r="I292" s="664"/>
      <c r="J292" s="664"/>
      <c r="K292" s="664"/>
      <c r="L292" s="664"/>
      <c r="M292" s="664"/>
      <c r="N292" s="664"/>
      <c r="O292" s="664"/>
      <c r="P292" s="664"/>
      <c r="Q292" s="664"/>
      <c r="R292" s="664"/>
      <c r="S292" s="664"/>
      <c r="T292" s="664"/>
      <c r="U292" s="664"/>
      <c r="V292" s="664"/>
      <c r="W292" s="664"/>
      <c r="X292" s="664"/>
      <c r="Y292" s="664"/>
      <c r="Z292" s="664"/>
    </row>
    <row r="293">
      <c r="A293" s="664"/>
      <c r="B293" s="664"/>
      <c r="C293" s="664"/>
      <c r="D293" s="664"/>
      <c r="E293" s="664"/>
      <c r="F293" s="664"/>
      <c r="G293" s="664"/>
      <c r="H293" s="664"/>
      <c r="I293" s="664"/>
      <c r="J293" s="664"/>
      <c r="K293" s="664"/>
      <c r="L293" s="664"/>
      <c r="M293" s="664"/>
      <c r="N293" s="664"/>
      <c r="O293" s="664"/>
      <c r="P293" s="664"/>
      <c r="Q293" s="664"/>
      <c r="R293" s="664"/>
      <c r="S293" s="664"/>
      <c r="T293" s="664"/>
      <c r="U293" s="664"/>
      <c r="V293" s="664"/>
      <c r="W293" s="664"/>
      <c r="X293" s="664"/>
      <c r="Y293" s="664"/>
      <c r="Z293" s="664"/>
    </row>
    <row r="294">
      <c r="A294" s="664"/>
      <c r="B294" s="664"/>
      <c r="C294" s="664"/>
      <c r="D294" s="664"/>
      <c r="E294" s="664"/>
      <c r="F294" s="664"/>
      <c r="G294" s="664"/>
      <c r="H294" s="664"/>
      <c r="I294" s="664"/>
      <c r="J294" s="664"/>
      <c r="K294" s="664"/>
      <c r="L294" s="664"/>
      <c r="M294" s="664"/>
      <c r="N294" s="664"/>
      <c r="O294" s="664"/>
      <c r="P294" s="664"/>
      <c r="Q294" s="664"/>
      <c r="R294" s="664"/>
      <c r="S294" s="664"/>
      <c r="T294" s="664"/>
      <c r="U294" s="664"/>
      <c r="V294" s="664"/>
      <c r="W294" s="664"/>
      <c r="X294" s="664"/>
      <c r="Y294" s="664"/>
      <c r="Z294" s="664"/>
    </row>
    <row r="295">
      <c r="A295" s="664"/>
      <c r="B295" s="664"/>
      <c r="C295" s="664"/>
      <c r="D295" s="664"/>
      <c r="E295" s="664"/>
      <c r="F295" s="664"/>
      <c r="G295" s="664"/>
      <c r="H295" s="664"/>
      <c r="I295" s="664"/>
      <c r="J295" s="664"/>
      <c r="K295" s="664"/>
      <c r="L295" s="664"/>
      <c r="M295" s="664"/>
      <c r="N295" s="664"/>
      <c r="O295" s="664"/>
      <c r="P295" s="664"/>
      <c r="Q295" s="664"/>
      <c r="R295" s="664"/>
      <c r="S295" s="664"/>
      <c r="T295" s="664"/>
      <c r="U295" s="664"/>
      <c r="V295" s="664"/>
      <c r="W295" s="664"/>
      <c r="X295" s="664"/>
      <c r="Y295" s="664"/>
      <c r="Z295" s="664"/>
    </row>
    <row r="296">
      <c r="A296" s="664"/>
      <c r="B296" s="664"/>
      <c r="C296" s="664"/>
      <c r="D296" s="664"/>
      <c r="E296" s="664"/>
      <c r="F296" s="664"/>
      <c r="G296" s="664"/>
      <c r="H296" s="664"/>
      <c r="I296" s="664"/>
      <c r="J296" s="664"/>
      <c r="K296" s="664"/>
      <c r="L296" s="664"/>
      <c r="M296" s="664"/>
      <c r="N296" s="664"/>
      <c r="O296" s="664"/>
      <c r="P296" s="664"/>
      <c r="Q296" s="664"/>
      <c r="R296" s="664"/>
      <c r="S296" s="664"/>
      <c r="T296" s="664"/>
      <c r="U296" s="664"/>
      <c r="V296" s="664"/>
      <c r="W296" s="664"/>
      <c r="X296" s="664"/>
      <c r="Y296" s="664"/>
      <c r="Z296" s="664"/>
    </row>
    <row r="297">
      <c r="A297" s="664"/>
      <c r="B297" s="664"/>
      <c r="C297" s="664"/>
      <c r="D297" s="664"/>
      <c r="E297" s="664"/>
      <c r="F297" s="664"/>
      <c r="G297" s="664"/>
      <c r="H297" s="664"/>
      <c r="I297" s="664"/>
      <c r="J297" s="664"/>
      <c r="K297" s="664"/>
      <c r="L297" s="664"/>
      <c r="M297" s="664"/>
      <c r="N297" s="664"/>
      <c r="O297" s="664"/>
      <c r="P297" s="664"/>
      <c r="Q297" s="664"/>
      <c r="R297" s="664"/>
      <c r="S297" s="664"/>
      <c r="T297" s="664"/>
      <c r="U297" s="664"/>
      <c r="V297" s="664"/>
      <c r="W297" s="664"/>
      <c r="X297" s="664"/>
      <c r="Y297" s="664"/>
      <c r="Z297" s="664"/>
    </row>
    <row r="298">
      <c r="A298" s="664"/>
      <c r="B298" s="664"/>
      <c r="C298" s="664"/>
      <c r="D298" s="664"/>
      <c r="E298" s="664"/>
      <c r="F298" s="664"/>
      <c r="G298" s="664"/>
      <c r="H298" s="664"/>
      <c r="I298" s="664"/>
      <c r="J298" s="664"/>
      <c r="K298" s="664"/>
      <c r="L298" s="664"/>
      <c r="M298" s="664"/>
      <c r="N298" s="664"/>
      <c r="O298" s="664"/>
      <c r="P298" s="664"/>
      <c r="Q298" s="664"/>
      <c r="R298" s="664"/>
      <c r="S298" s="664"/>
      <c r="T298" s="664"/>
      <c r="U298" s="664"/>
      <c r="V298" s="664"/>
      <c r="W298" s="664"/>
      <c r="X298" s="664"/>
      <c r="Y298" s="664"/>
      <c r="Z298" s="664"/>
    </row>
    <row r="299">
      <c r="A299" s="664"/>
      <c r="B299" s="664"/>
      <c r="C299" s="664"/>
      <c r="D299" s="664"/>
      <c r="E299" s="664"/>
      <c r="F299" s="664"/>
      <c r="G299" s="664"/>
      <c r="H299" s="664"/>
      <c r="I299" s="664"/>
      <c r="J299" s="664"/>
      <c r="K299" s="664"/>
      <c r="L299" s="664"/>
      <c r="M299" s="664"/>
      <c r="N299" s="664"/>
      <c r="O299" s="664"/>
      <c r="P299" s="664"/>
      <c r="Q299" s="664"/>
      <c r="R299" s="664"/>
      <c r="S299" s="664"/>
      <c r="T299" s="664"/>
      <c r="U299" s="664"/>
      <c r="V299" s="664"/>
      <c r="W299" s="664"/>
      <c r="X299" s="664"/>
      <c r="Y299" s="664"/>
      <c r="Z299" s="664"/>
    </row>
    <row r="300">
      <c r="A300" s="664"/>
      <c r="B300" s="664"/>
      <c r="C300" s="664"/>
      <c r="D300" s="664"/>
      <c r="E300" s="664"/>
      <c r="F300" s="664"/>
      <c r="G300" s="664"/>
      <c r="H300" s="664"/>
      <c r="I300" s="664"/>
      <c r="J300" s="664"/>
      <c r="K300" s="664"/>
      <c r="L300" s="664"/>
      <c r="M300" s="664"/>
      <c r="N300" s="664"/>
      <c r="O300" s="664"/>
      <c r="P300" s="664"/>
      <c r="Q300" s="664"/>
      <c r="R300" s="664"/>
      <c r="S300" s="664"/>
      <c r="T300" s="664"/>
      <c r="U300" s="664"/>
      <c r="V300" s="664"/>
      <c r="W300" s="664"/>
      <c r="X300" s="664"/>
      <c r="Y300" s="664"/>
      <c r="Z300" s="664"/>
    </row>
    <row r="301">
      <c r="A301" s="664"/>
      <c r="B301" s="664"/>
      <c r="C301" s="664"/>
      <c r="D301" s="664"/>
      <c r="E301" s="664"/>
      <c r="F301" s="664"/>
      <c r="G301" s="664"/>
      <c r="H301" s="664"/>
      <c r="I301" s="664"/>
      <c r="J301" s="664"/>
      <c r="K301" s="664"/>
      <c r="L301" s="664"/>
      <c r="M301" s="664"/>
      <c r="N301" s="664"/>
      <c r="O301" s="664"/>
      <c r="P301" s="664"/>
      <c r="Q301" s="664"/>
      <c r="R301" s="664"/>
      <c r="S301" s="664"/>
      <c r="T301" s="664"/>
      <c r="U301" s="664"/>
      <c r="V301" s="664"/>
      <c r="W301" s="664"/>
      <c r="X301" s="664"/>
      <c r="Y301" s="664"/>
      <c r="Z301" s="664"/>
    </row>
    <row r="302">
      <c r="A302" s="664"/>
      <c r="B302" s="664"/>
      <c r="C302" s="664"/>
      <c r="D302" s="664"/>
      <c r="E302" s="664"/>
      <c r="F302" s="664"/>
      <c r="G302" s="664"/>
      <c r="H302" s="664"/>
      <c r="I302" s="664"/>
      <c r="J302" s="664"/>
      <c r="K302" s="664"/>
      <c r="L302" s="664"/>
      <c r="M302" s="664"/>
      <c r="N302" s="664"/>
      <c r="O302" s="664"/>
      <c r="P302" s="664"/>
      <c r="Q302" s="664"/>
      <c r="R302" s="664"/>
      <c r="S302" s="664"/>
      <c r="T302" s="664"/>
      <c r="U302" s="664"/>
      <c r="V302" s="664"/>
      <c r="W302" s="664"/>
      <c r="X302" s="664"/>
      <c r="Y302" s="664"/>
      <c r="Z302" s="664"/>
    </row>
    <row r="303">
      <c r="A303" s="664"/>
      <c r="B303" s="664"/>
      <c r="C303" s="664"/>
      <c r="D303" s="664"/>
      <c r="E303" s="664"/>
      <c r="F303" s="664"/>
      <c r="G303" s="664"/>
      <c r="H303" s="664"/>
      <c r="I303" s="664"/>
      <c r="J303" s="664"/>
      <c r="K303" s="664"/>
      <c r="L303" s="664"/>
      <c r="M303" s="664"/>
      <c r="N303" s="664"/>
      <c r="O303" s="664"/>
      <c r="P303" s="664"/>
      <c r="Q303" s="664"/>
      <c r="R303" s="664"/>
      <c r="S303" s="664"/>
      <c r="T303" s="664"/>
      <c r="U303" s="664"/>
      <c r="V303" s="664"/>
      <c r="W303" s="664"/>
      <c r="X303" s="664"/>
      <c r="Y303" s="664"/>
      <c r="Z303" s="664"/>
    </row>
    <row r="304">
      <c r="A304" s="664"/>
      <c r="B304" s="664"/>
      <c r="C304" s="664"/>
      <c r="D304" s="664"/>
      <c r="E304" s="664"/>
      <c r="F304" s="664"/>
      <c r="G304" s="664"/>
      <c r="H304" s="664"/>
      <c r="I304" s="664"/>
      <c r="J304" s="664"/>
      <c r="K304" s="664"/>
      <c r="L304" s="664"/>
      <c r="M304" s="664"/>
      <c r="N304" s="664"/>
      <c r="O304" s="664"/>
      <c r="P304" s="664"/>
      <c r="Q304" s="664"/>
      <c r="R304" s="664"/>
      <c r="S304" s="664"/>
      <c r="T304" s="664"/>
      <c r="U304" s="664"/>
      <c r="V304" s="664"/>
      <c r="W304" s="664"/>
      <c r="X304" s="664"/>
      <c r="Y304" s="664"/>
      <c r="Z304" s="664"/>
    </row>
    <row r="305">
      <c r="A305" s="664"/>
      <c r="B305" s="664"/>
      <c r="C305" s="664"/>
      <c r="D305" s="664"/>
      <c r="E305" s="664"/>
      <c r="F305" s="664"/>
      <c r="G305" s="664"/>
      <c r="H305" s="664"/>
      <c r="I305" s="664"/>
      <c r="J305" s="664"/>
      <c r="K305" s="664"/>
      <c r="L305" s="664"/>
      <c r="M305" s="664"/>
      <c r="N305" s="664"/>
      <c r="O305" s="664"/>
      <c r="P305" s="664"/>
      <c r="Q305" s="664"/>
      <c r="R305" s="664"/>
      <c r="S305" s="664"/>
      <c r="T305" s="664"/>
      <c r="U305" s="664"/>
      <c r="V305" s="664"/>
      <c r="W305" s="664"/>
      <c r="X305" s="664"/>
      <c r="Y305" s="664"/>
      <c r="Z305" s="664"/>
    </row>
    <row r="306">
      <c r="A306" s="664"/>
      <c r="B306" s="664"/>
      <c r="C306" s="664"/>
      <c r="D306" s="664"/>
      <c r="E306" s="664"/>
      <c r="F306" s="664"/>
      <c r="G306" s="664"/>
      <c r="H306" s="664"/>
      <c r="I306" s="664"/>
      <c r="J306" s="664"/>
      <c r="K306" s="664"/>
      <c r="L306" s="664"/>
      <c r="M306" s="664"/>
      <c r="N306" s="664"/>
      <c r="O306" s="664"/>
      <c r="P306" s="664"/>
      <c r="Q306" s="664"/>
      <c r="R306" s="664"/>
      <c r="S306" s="664"/>
      <c r="T306" s="664"/>
      <c r="U306" s="664"/>
      <c r="V306" s="664"/>
      <c r="W306" s="664"/>
      <c r="X306" s="664"/>
      <c r="Y306" s="664"/>
      <c r="Z306" s="664"/>
    </row>
    <row r="307">
      <c r="A307" s="664"/>
      <c r="B307" s="664"/>
      <c r="C307" s="664"/>
      <c r="D307" s="664"/>
      <c r="E307" s="664"/>
      <c r="F307" s="664"/>
      <c r="G307" s="664"/>
      <c r="H307" s="664"/>
      <c r="I307" s="664"/>
      <c r="J307" s="664"/>
      <c r="K307" s="664"/>
      <c r="L307" s="664"/>
      <c r="M307" s="664"/>
      <c r="N307" s="664"/>
      <c r="O307" s="664"/>
      <c r="P307" s="664"/>
      <c r="Q307" s="664"/>
      <c r="R307" s="664"/>
      <c r="S307" s="664"/>
      <c r="T307" s="664"/>
      <c r="U307" s="664"/>
      <c r="V307" s="664"/>
      <c r="W307" s="664"/>
      <c r="X307" s="664"/>
      <c r="Y307" s="664"/>
      <c r="Z307" s="664"/>
    </row>
    <row r="308">
      <c r="A308" s="664"/>
      <c r="B308" s="664"/>
      <c r="C308" s="664"/>
      <c r="D308" s="664"/>
      <c r="E308" s="664"/>
      <c r="F308" s="664"/>
      <c r="G308" s="664"/>
      <c r="H308" s="664"/>
      <c r="I308" s="664"/>
      <c r="J308" s="664"/>
      <c r="K308" s="664"/>
      <c r="L308" s="664"/>
      <c r="M308" s="664"/>
      <c r="N308" s="664"/>
      <c r="O308" s="664"/>
      <c r="P308" s="664"/>
      <c r="Q308" s="664"/>
      <c r="R308" s="664"/>
      <c r="S308" s="664"/>
      <c r="T308" s="664"/>
      <c r="U308" s="664"/>
      <c r="V308" s="664"/>
      <c r="W308" s="664"/>
      <c r="X308" s="664"/>
      <c r="Y308" s="664"/>
      <c r="Z308" s="664"/>
    </row>
    <row r="309">
      <c r="A309" s="664"/>
      <c r="B309" s="664"/>
      <c r="C309" s="664"/>
      <c r="D309" s="664"/>
      <c r="E309" s="664"/>
      <c r="F309" s="664"/>
      <c r="G309" s="664"/>
      <c r="H309" s="664"/>
      <c r="I309" s="664"/>
      <c r="J309" s="664"/>
      <c r="K309" s="664"/>
      <c r="L309" s="664"/>
      <c r="M309" s="664"/>
      <c r="N309" s="664"/>
      <c r="O309" s="664"/>
      <c r="P309" s="664"/>
      <c r="Q309" s="664"/>
      <c r="R309" s="664"/>
      <c r="S309" s="664"/>
      <c r="T309" s="664"/>
      <c r="U309" s="664"/>
      <c r="V309" s="664"/>
      <c r="W309" s="664"/>
      <c r="X309" s="664"/>
      <c r="Y309" s="664"/>
      <c r="Z309" s="664"/>
    </row>
    <row r="310">
      <c r="A310" s="664"/>
      <c r="B310" s="664"/>
      <c r="C310" s="664"/>
      <c r="D310" s="664"/>
      <c r="E310" s="664"/>
      <c r="F310" s="664"/>
      <c r="G310" s="664"/>
      <c r="H310" s="664"/>
      <c r="I310" s="664"/>
      <c r="J310" s="664"/>
      <c r="K310" s="664"/>
      <c r="L310" s="664"/>
      <c r="M310" s="664"/>
      <c r="N310" s="664"/>
      <c r="O310" s="664"/>
      <c r="P310" s="664"/>
      <c r="Q310" s="664"/>
      <c r="R310" s="664"/>
      <c r="S310" s="664"/>
      <c r="T310" s="664"/>
      <c r="U310" s="664"/>
      <c r="V310" s="664"/>
      <c r="W310" s="664"/>
      <c r="X310" s="664"/>
      <c r="Y310" s="664"/>
      <c r="Z310" s="664"/>
    </row>
    <row r="311">
      <c r="A311" s="664"/>
      <c r="B311" s="664"/>
      <c r="C311" s="664"/>
      <c r="D311" s="664"/>
      <c r="E311" s="664"/>
      <c r="F311" s="664"/>
      <c r="G311" s="664"/>
      <c r="H311" s="664"/>
      <c r="I311" s="664"/>
      <c r="J311" s="664"/>
      <c r="K311" s="664"/>
      <c r="L311" s="664"/>
      <c r="M311" s="664"/>
      <c r="N311" s="664"/>
      <c r="O311" s="664"/>
      <c r="P311" s="664"/>
      <c r="Q311" s="664"/>
      <c r="R311" s="664"/>
      <c r="S311" s="664"/>
      <c r="T311" s="664"/>
      <c r="U311" s="664"/>
      <c r="V311" s="664"/>
      <c r="W311" s="664"/>
      <c r="X311" s="664"/>
      <c r="Y311" s="664"/>
      <c r="Z311" s="664"/>
    </row>
    <row r="312">
      <c r="A312" s="664"/>
      <c r="B312" s="664"/>
      <c r="C312" s="664"/>
      <c r="D312" s="664"/>
      <c r="E312" s="664"/>
      <c r="F312" s="664"/>
      <c r="G312" s="664"/>
      <c r="H312" s="664"/>
      <c r="I312" s="664"/>
      <c r="J312" s="664"/>
      <c r="K312" s="664"/>
      <c r="L312" s="664"/>
      <c r="M312" s="664"/>
      <c r="N312" s="664"/>
      <c r="O312" s="664"/>
      <c r="P312" s="664"/>
      <c r="Q312" s="664"/>
      <c r="R312" s="664"/>
      <c r="S312" s="664"/>
      <c r="T312" s="664"/>
      <c r="U312" s="664"/>
      <c r="V312" s="664"/>
      <c r="W312" s="664"/>
      <c r="X312" s="664"/>
      <c r="Y312" s="664"/>
      <c r="Z312" s="664"/>
    </row>
    <row r="313">
      <c r="A313" s="664"/>
      <c r="B313" s="664"/>
      <c r="C313" s="664"/>
      <c r="D313" s="664"/>
      <c r="E313" s="664"/>
      <c r="F313" s="664"/>
      <c r="G313" s="664"/>
      <c r="H313" s="664"/>
      <c r="I313" s="664"/>
      <c r="J313" s="664"/>
      <c r="K313" s="664"/>
      <c r="L313" s="664"/>
      <c r="M313" s="664"/>
      <c r="N313" s="664"/>
      <c r="O313" s="664"/>
      <c r="P313" s="664"/>
      <c r="Q313" s="664"/>
      <c r="R313" s="664"/>
      <c r="S313" s="664"/>
      <c r="T313" s="664"/>
      <c r="U313" s="664"/>
      <c r="V313" s="664"/>
      <c r="W313" s="664"/>
      <c r="X313" s="664"/>
      <c r="Y313" s="664"/>
      <c r="Z313" s="664"/>
    </row>
    <row r="314">
      <c r="A314" s="664"/>
      <c r="B314" s="664"/>
      <c r="C314" s="664"/>
      <c r="D314" s="664"/>
      <c r="E314" s="664"/>
      <c r="F314" s="664"/>
      <c r="G314" s="664"/>
      <c r="H314" s="664"/>
      <c r="I314" s="664"/>
      <c r="J314" s="664"/>
      <c r="K314" s="664"/>
      <c r="L314" s="664"/>
      <c r="M314" s="664"/>
      <c r="N314" s="664"/>
      <c r="O314" s="664"/>
      <c r="P314" s="664"/>
      <c r="Q314" s="664"/>
      <c r="R314" s="664"/>
      <c r="S314" s="664"/>
      <c r="T314" s="664"/>
      <c r="U314" s="664"/>
      <c r="V314" s="664"/>
      <c r="W314" s="664"/>
      <c r="X314" s="664"/>
      <c r="Y314" s="664"/>
      <c r="Z314" s="664"/>
    </row>
    <row r="315">
      <c r="A315" s="664"/>
      <c r="B315" s="664"/>
      <c r="C315" s="664"/>
      <c r="D315" s="664"/>
      <c r="E315" s="664"/>
      <c r="F315" s="664"/>
      <c r="G315" s="664"/>
      <c r="H315" s="664"/>
      <c r="I315" s="664"/>
      <c r="J315" s="664"/>
      <c r="K315" s="664"/>
      <c r="L315" s="664"/>
      <c r="M315" s="664"/>
      <c r="N315" s="664"/>
      <c r="O315" s="664"/>
      <c r="P315" s="664"/>
      <c r="Q315" s="664"/>
      <c r="R315" s="664"/>
      <c r="S315" s="664"/>
      <c r="T315" s="664"/>
      <c r="U315" s="664"/>
      <c r="V315" s="664"/>
      <c r="W315" s="664"/>
      <c r="X315" s="664"/>
      <c r="Y315" s="664"/>
      <c r="Z315" s="664"/>
    </row>
    <row r="316">
      <c r="A316" s="664"/>
      <c r="B316" s="664"/>
      <c r="C316" s="664"/>
      <c r="D316" s="664"/>
      <c r="E316" s="664"/>
      <c r="F316" s="664"/>
      <c r="G316" s="664"/>
      <c r="H316" s="664"/>
      <c r="I316" s="664"/>
      <c r="J316" s="664"/>
      <c r="K316" s="664"/>
      <c r="L316" s="664"/>
      <c r="M316" s="664"/>
      <c r="N316" s="664"/>
      <c r="O316" s="664"/>
      <c r="P316" s="664"/>
      <c r="Q316" s="664"/>
      <c r="R316" s="664"/>
      <c r="S316" s="664"/>
      <c r="T316" s="664"/>
      <c r="U316" s="664"/>
      <c r="V316" s="664"/>
      <c r="W316" s="664"/>
      <c r="X316" s="664"/>
      <c r="Y316" s="664"/>
      <c r="Z316" s="664"/>
    </row>
    <row r="317">
      <c r="A317" s="664"/>
      <c r="B317" s="664"/>
      <c r="C317" s="664"/>
      <c r="D317" s="664"/>
      <c r="E317" s="664"/>
      <c r="F317" s="664"/>
      <c r="G317" s="664"/>
      <c r="H317" s="664"/>
      <c r="I317" s="664"/>
      <c r="J317" s="664"/>
      <c r="K317" s="664"/>
      <c r="L317" s="664"/>
      <c r="M317" s="664"/>
      <c r="N317" s="664"/>
      <c r="O317" s="664"/>
      <c r="P317" s="664"/>
      <c r="Q317" s="664"/>
      <c r="R317" s="664"/>
      <c r="S317" s="664"/>
      <c r="T317" s="664"/>
      <c r="U317" s="664"/>
      <c r="V317" s="664"/>
      <c r="W317" s="664"/>
      <c r="X317" s="664"/>
      <c r="Y317" s="664"/>
      <c r="Z317" s="664"/>
    </row>
    <row r="318">
      <c r="A318" s="664"/>
      <c r="B318" s="664"/>
      <c r="C318" s="664"/>
      <c r="D318" s="664"/>
      <c r="E318" s="664"/>
      <c r="F318" s="664"/>
      <c r="G318" s="664"/>
      <c r="H318" s="664"/>
      <c r="I318" s="664"/>
      <c r="J318" s="664"/>
      <c r="K318" s="664"/>
      <c r="L318" s="664"/>
      <c r="M318" s="664"/>
      <c r="N318" s="664"/>
      <c r="O318" s="664"/>
      <c r="P318" s="664"/>
      <c r="Q318" s="664"/>
      <c r="R318" s="664"/>
      <c r="S318" s="664"/>
      <c r="T318" s="664"/>
      <c r="U318" s="664"/>
      <c r="V318" s="664"/>
      <c r="W318" s="664"/>
      <c r="X318" s="664"/>
      <c r="Y318" s="664"/>
      <c r="Z318" s="664"/>
    </row>
    <row r="319">
      <c r="A319" s="664"/>
      <c r="B319" s="664"/>
      <c r="C319" s="664"/>
      <c r="D319" s="664"/>
      <c r="E319" s="664"/>
      <c r="F319" s="664"/>
      <c r="G319" s="664"/>
      <c r="H319" s="664"/>
      <c r="I319" s="664"/>
      <c r="J319" s="664"/>
      <c r="K319" s="664"/>
      <c r="L319" s="664"/>
      <c r="M319" s="664"/>
      <c r="N319" s="664"/>
      <c r="O319" s="664"/>
      <c r="P319" s="664"/>
      <c r="Q319" s="664"/>
      <c r="R319" s="664"/>
      <c r="S319" s="664"/>
      <c r="T319" s="664"/>
      <c r="U319" s="664"/>
      <c r="V319" s="664"/>
      <c r="W319" s="664"/>
      <c r="X319" s="664"/>
      <c r="Y319" s="664"/>
      <c r="Z319" s="664"/>
    </row>
    <row r="320">
      <c r="A320" s="664"/>
      <c r="B320" s="664"/>
      <c r="C320" s="664"/>
      <c r="D320" s="664"/>
      <c r="E320" s="664"/>
      <c r="F320" s="664"/>
      <c r="G320" s="664"/>
      <c r="H320" s="664"/>
      <c r="I320" s="664"/>
      <c r="J320" s="664"/>
      <c r="K320" s="664"/>
      <c r="L320" s="664"/>
      <c r="M320" s="664"/>
      <c r="N320" s="664"/>
      <c r="O320" s="664"/>
      <c r="P320" s="664"/>
      <c r="Q320" s="664"/>
      <c r="R320" s="664"/>
      <c r="S320" s="664"/>
      <c r="T320" s="664"/>
      <c r="U320" s="664"/>
      <c r="V320" s="664"/>
      <c r="W320" s="664"/>
      <c r="X320" s="664"/>
      <c r="Y320" s="664"/>
      <c r="Z320" s="664"/>
    </row>
    <row r="321">
      <c r="A321" s="664"/>
      <c r="B321" s="664"/>
      <c r="C321" s="664"/>
      <c r="D321" s="664"/>
      <c r="E321" s="664"/>
      <c r="F321" s="664"/>
      <c r="G321" s="664"/>
      <c r="H321" s="664"/>
      <c r="I321" s="664"/>
      <c r="J321" s="664"/>
      <c r="K321" s="664"/>
      <c r="L321" s="664"/>
      <c r="M321" s="664"/>
      <c r="N321" s="664"/>
      <c r="O321" s="664"/>
      <c r="P321" s="664"/>
      <c r="Q321" s="664"/>
      <c r="R321" s="664"/>
      <c r="S321" s="664"/>
      <c r="T321" s="664"/>
      <c r="U321" s="664"/>
      <c r="V321" s="664"/>
      <c r="W321" s="664"/>
      <c r="X321" s="664"/>
      <c r="Y321" s="664"/>
      <c r="Z321" s="664"/>
    </row>
    <row r="322">
      <c r="A322" s="664"/>
      <c r="B322" s="664"/>
      <c r="C322" s="664"/>
      <c r="D322" s="664"/>
      <c r="E322" s="664"/>
      <c r="F322" s="664"/>
      <c r="G322" s="664"/>
      <c r="H322" s="664"/>
      <c r="I322" s="664"/>
      <c r="J322" s="664"/>
      <c r="K322" s="664"/>
      <c r="L322" s="664"/>
      <c r="M322" s="664"/>
      <c r="N322" s="664"/>
      <c r="O322" s="664"/>
      <c r="P322" s="664"/>
      <c r="Q322" s="664"/>
      <c r="R322" s="664"/>
      <c r="S322" s="664"/>
      <c r="T322" s="664"/>
      <c r="U322" s="664"/>
      <c r="V322" s="664"/>
      <c r="W322" s="664"/>
      <c r="X322" s="664"/>
      <c r="Y322" s="664"/>
      <c r="Z322" s="664"/>
    </row>
    <row r="323">
      <c r="A323" s="664"/>
      <c r="B323" s="664"/>
      <c r="C323" s="664"/>
      <c r="D323" s="664"/>
      <c r="E323" s="664"/>
      <c r="F323" s="664"/>
      <c r="G323" s="664"/>
      <c r="H323" s="664"/>
      <c r="I323" s="664"/>
      <c r="J323" s="664"/>
      <c r="K323" s="664"/>
      <c r="L323" s="664"/>
      <c r="M323" s="664"/>
      <c r="N323" s="664"/>
      <c r="O323" s="664"/>
      <c r="P323" s="664"/>
      <c r="Q323" s="664"/>
      <c r="R323" s="664"/>
      <c r="S323" s="664"/>
      <c r="T323" s="664"/>
      <c r="U323" s="664"/>
      <c r="V323" s="664"/>
      <c r="W323" s="664"/>
      <c r="X323" s="664"/>
      <c r="Y323" s="664"/>
      <c r="Z323" s="664"/>
    </row>
    <row r="324">
      <c r="A324" s="664"/>
      <c r="B324" s="664"/>
      <c r="C324" s="664"/>
      <c r="D324" s="664"/>
      <c r="E324" s="664"/>
      <c r="F324" s="664"/>
      <c r="G324" s="664"/>
      <c r="H324" s="664"/>
      <c r="I324" s="664"/>
      <c r="J324" s="664"/>
      <c r="K324" s="664"/>
      <c r="L324" s="664"/>
      <c r="M324" s="664"/>
      <c r="N324" s="664"/>
      <c r="O324" s="664"/>
      <c r="P324" s="664"/>
      <c r="Q324" s="664"/>
      <c r="R324" s="664"/>
      <c r="S324" s="664"/>
      <c r="T324" s="664"/>
      <c r="U324" s="664"/>
      <c r="V324" s="664"/>
      <c r="W324" s="664"/>
      <c r="X324" s="664"/>
      <c r="Y324" s="664"/>
      <c r="Z324" s="664"/>
    </row>
    <row r="325">
      <c r="A325" s="664"/>
      <c r="B325" s="664"/>
      <c r="C325" s="664"/>
      <c r="D325" s="664"/>
      <c r="E325" s="664"/>
      <c r="F325" s="664"/>
      <c r="G325" s="664"/>
      <c r="H325" s="664"/>
      <c r="I325" s="664"/>
      <c r="J325" s="664"/>
      <c r="K325" s="664"/>
      <c r="L325" s="664"/>
      <c r="M325" s="664"/>
      <c r="N325" s="664"/>
      <c r="O325" s="664"/>
      <c r="P325" s="664"/>
      <c r="Q325" s="664"/>
      <c r="R325" s="664"/>
      <c r="S325" s="664"/>
      <c r="T325" s="664"/>
      <c r="U325" s="664"/>
      <c r="V325" s="664"/>
      <c r="W325" s="664"/>
      <c r="X325" s="664"/>
      <c r="Y325" s="664"/>
      <c r="Z325" s="664"/>
    </row>
    <row r="326">
      <c r="A326" s="664"/>
      <c r="B326" s="664"/>
      <c r="C326" s="664"/>
      <c r="D326" s="664"/>
      <c r="E326" s="664"/>
      <c r="F326" s="664"/>
      <c r="G326" s="664"/>
      <c r="H326" s="664"/>
      <c r="I326" s="664"/>
      <c r="J326" s="664"/>
      <c r="K326" s="664"/>
      <c r="L326" s="664"/>
      <c r="M326" s="664"/>
      <c r="N326" s="664"/>
      <c r="O326" s="664"/>
      <c r="P326" s="664"/>
      <c r="Q326" s="664"/>
      <c r="R326" s="664"/>
      <c r="S326" s="664"/>
      <c r="T326" s="664"/>
      <c r="U326" s="664"/>
      <c r="V326" s="664"/>
      <c r="W326" s="664"/>
      <c r="X326" s="664"/>
      <c r="Y326" s="664"/>
      <c r="Z326" s="664"/>
    </row>
    <row r="327">
      <c r="A327" s="664"/>
      <c r="B327" s="664"/>
      <c r="C327" s="664"/>
      <c r="D327" s="664"/>
      <c r="E327" s="664"/>
      <c r="F327" s="664"/>
      <c r="G327" s="664"/>
      <c r="H327" s="664"/>
      <c r="I327" s="664"/>
      <c r="J327" s="664"/>
      <c r="K327" s="664"/>
      <c r="L327" s="664"/>
      <c r="M327" s="664"/>
      <c r="N327" s="664"/>
      <c r="O327" s="664"/>
      <c r="P327" s="664"/>
      <c r="Q327" s="664"/>
      <c r="R327" s="664"/>
      <c r="S327" s="664"/>
      <c r="T327" s="664"/>
      <c r="U327" s="664"/>
      <c r="V327" s="664"/>
      <c r="W327" s="664"/>
      <c r="X327" s="664"/>
      <c r="Y327" s="664"/>
      <c r="Z327" s="664"/>
    </row>
    <row r="328">
      <c r="A328" s="664"/>
      <c r="B328" s="664"/>
      <c r="C328" s="664"/>
      <c r="D328" s="664"/>
      <c r="E328" s="664"/>
      <c r="F328" s="664"/>
      <c r="G328" s="664"/>
      <c r="H328" s="664"/>
      <c r="I328" s="664"/>
      <c r="J328" s="664"/>
      <c r="K328" s="664"/>
      <c r="L328" s="664"/>
      <c r="M328" s="664"/>
      <c r="N328" s="664"/>
      <c r="O328" s="664"/>
      <c r="P328" s="664"/>
      <c r="Q328" s="664"/>
      <c r="R328" s="664"/>
      <c r="S328" s="664"/>
      <c r="T328" s="664"/>
      <c r="U328" s="664"/>
      <c r="V328" s="664"/>
      <c r="W328" s="664"/>
      <c r="X328" s="664"/>
      <c r="Y328" s="664"/>
      <c r="Z328" s="664"/>
    </row>
    <row r="329">
      <c r="A329" s="664"/>
      <c r="B329" s="664"/>
      <c r="C329" s="664"/>
      <c r="D329" s="664"/>
      <c r="E329" s="664"/>
      <c r="F329" s="664"/>
      <c r="G329" s="664"/>
      <c r="H329" s="664"/>
      <c r="I329" s="664"/>
      <c r="J329" s="664"/>
      <c r="K329" s="664"/>
      <c r="L329" s="664"/>
      <c r="M329" s="664"/>
      <c r="N329" s="664"/>
      <c r="O329" s="664"/>
      <c r="P329" s="664"/>
      <c r="Q329" s="664"/>
      <c r="R329" s="664"/>
      <c r="S329" s="664"/>
      <c r="T329" s="664"/>
      <c r="U329" s="664"/>
      <c r="V329" s="664"/>
      <c r="W329" s="664"/>
      <c r="X329" s="664"/>
      <c r="Y329" s="664"/>
      <c r="Z329" s="664"/>
    </row>
    <row r="330">
      <c r="A330" s="664"/>
      <c r="B330" s="664"/>
      <c r="C330" s="664"/>
      <c r="D330" s="664"/>
      <c r="E330" s="664"/>
      <c r="F330" s="664"/>
      <c r="G330" s="664"/>
      <c r="H330" s="664"/>
      <c r="I330" s="664"/>
      <c r="J330" s="664"/>
      <c r="K330" s="664"/>
      <c r="L330" s="664"/>
      <c r="M330" s="664"/>
      <c r="N330" s="664"/>
      <c r="O330" s="664"/>
      <c r="P330" s="664"/>
      <c r="Q330" s="664"/>
      <c r="R330" s="664"/>
      <c r="S330" s="664"/>
      <c r="T330" s="664"/>
      <c r="U330" s="664"/>
      <c r="V330" s="664"/>
      <c r="W330" s="664"/>
      <c r="X330" s="664"/>
      <c r="Y330" s="664"/>
      <c r="Z330" s="664"/>
    </row>
    <row r="331">
      <c r="A331" s="664"/>
      <c r="B331" s="664"/>
      <c r="C331" s="664"/>
      <c r="D331" s="664"/>
      <c r="E331" s="664"/>
      <c r="F331" s="664"/>
      <c r="G331" s="664"/>
      <c r="H331" s="664"/>
      <c r="I331" s="664"/>
      <c r="J331" s="664"/>
      <c r="K331" s="664"/>
      <c r="L331" s="664"/>
      <c r="M331" s="664"/>
      <c r="N331" s="664"/>
      <c r="O331" s="664"/>
      <c r="P331" s="664"/>
      <c r="Q331" s="664"/>
      <c r="R331" s="664"/>
      <c r="S331" s="664"/>
      <c r="T331" s="664"/>
      <c r="U331" s="664"/>
      <c r="V331" s="664"/>
      <c r="W331" s="664"/>
      <c r="X331" s="664"/>
      <c r="Y331" s="664"/>
      <c r="Z331" s="664"/>
    </row>
    <row r="332">
      <c r="A332" s="664"/>
      <c r="B332" s="664"/>
      <c r="C332" s="664"/>
      <c r="D332" s="664"/>
      <c r="E332" s="664"/>
      <c r="F332" s="664"/>
      <c r="G332" s="664"/>
      <c r="H332" s="664"/>
      <c r="I332" s="664"/>
      <c r="J332" s="664"/>
      <c r="K332" s="664"/>
      <c r="L332" s="664"/>
      <c r="M332" s="664"/>
      <c r="N332" s="664"/>
      <c r="O332" s="664"/>
      <c r="P332" s="664"/>
      <c r="Q332" s="664"/>
      <c r="R332" s="664"/>
      <c r="S332" s="664"/>
      <c r="T332" s="664"/>
      <c r="U332" s="664"/>
      <c r="V332" s="664"/>
      <c r="W332" s="664"/>
      <c r="X332" s="664"/>
      <c r="Y332" s="664"/>
      <c r="Z332" s="664"/>
    </row>
    <row r="333">
      <c r="A333" s="664"/>
      <c r="B333" s="664"/>
      <c r="C333" s="664"/>
      <c r="D333" s="664"/>
      <c r="E333" s="664"/>
      <c r="F333" s="664"/>
      <c r="G333" s="664"/>
      <c r="H333" s="664"/>
      <c r="I333" s="664"/>
      <c r="J333" s="664"/>
      <c r="K333" s="664"/>
      <c r="L333" s="664"/>
      <c r="M333" s="664"/>
      <c r="N333" s="664"/>
      <c r="O333" s="664"/>
      <c r="P333" s="664"/>
      <c r="Q333" s="664"/>
      <c r="R333" s="664"/>
      <c r="S333" s="664"/>
      <c r="T333" s="664"/>
      <c r="U333" s="664"/>
      <c r="V333" s="664"/>
      <c r="W333" s="664"/>
      <c r="X333" s="664"/>
      <c r="Y333" s="664"/>
      <c r="Z333" s="664"/>
    </row>
    <row r="334">
      <c r="A334" s="664"/>
      <c r="B334" s="664"/>
      <c r="C334" s="664"/>
      <c r="D334" s="664"/>
      <c r="E334" s="664"/>
      <c r="F334" s="664"/>
      <c r="G334" s="664"/>
      <c r="H334" s="664"/>
      <c r="I334" s="664"/>
      <c r="J334" s="664"/>
      <c r="K334" s="664"/>
      <c r="L334" s="664"/>
      <c r="M334" s="664"/>
      <c r="N334" s="664"/>
      <c r="O334" s="664"/>
      <c r="P334" s="664"/>
      <c r="Q334" s="664"/>
      <c r="R334" s="664"/>
      <c r="S334" s="664"/>
      <c r="T334" s="664"/>
      <c r="U334" s="664"/>
      <c r="V334" s="664"/>
      <c r="W334" s="664"/>
      <c r="X334" s="664"/>
      <c r="Y334" s="664"/>
      <c r="Z334" s="664"/>
    </row>
    <row r="335">
      <c r="A335" s="664"/>
      <c r="B335" s="664"/>
      <c r="C335" s="664"/>
      <c r="D335" s="664"/>
      <c r="E335" s="664"/>
      <c r="F335" s="664"/>
      <c r="G335" s="664"/>
      <c r="H335" s="664"/>
      <c r="I335" s="664"/>
      <c r="J335" s="664"/>
      <c r="K335" s="664"/>
      <c r="L335" s="664"/>
      <c r="M335" s="664"/>
      <c r="N335" s="664"/>
      <c r="O335" s="664"/>
      <c r="P335" s="664"/>
      <c r="Q335" s="664"/>
      <c r="R335" s="664"/>
      <c r="S335" s="664"/>
      <c r="T335" s="664"/>
      <c r="U335" s="664"/>
      <c r="V335" s="664"/>
      <c r="W335" s="664"/>
      <c r="X335" s="664"/>
      <c r="Y335" s="664"/>
      <c r="Z335" s="664"/>
    </row>
    <row r="336">
      <c r="A336" s="664"/>
      <c r="B336" s="664"/>
      <c r="C336" s="664"/>
      <c r="D336" s="664"/>
      <c r="E336" s="664"/>
      <c r="F336" s="664"/>
      <c r="G336" s="664"/>
      <c r="H336" s="664"/>
      <c r="I336" s="664"/>
      <c r="J336" s="664"/>
      <c r="K336" s="664"/>
      <c r="L336" s="664"/>
      <c r="M336" s="664"/>
      <c r="N336" s="664"/>
      <c r="O336" s="664"/>
      <c r="P336" s="664"/>
      <c r="Q336" s="664"/>
      <c r="R336" s="664"/>
      <c r="S336" s="664"/>
      <c r="T336" s="664"/>
      <c r="U336" s="664"/>
      <c r="V336" s="664"/>
      <c r="W336" s="664"/>
      <c r="X336" s="664"/>
      <c r="Y336" s="664"/>
      <c r="Z336" s="664"/>
    </row>
    <row r="337">
      <c r="A337" s="664"/>
      <c r="B337" s="664"/>
      <c r="C337" s="664"/>
      <c r="D337" s="664"/>
      <c r="E337" s="664"/>
      <c r="F337" s="664"/>
      <c r="G337" s="664"/>
      <c r="H337" s="664"/>
      <c r="I337" s="664"/>
      <c r="J337" s="664"/>
      <c r="K337" s="664"/>
      <c r="L337" s="664"/>
      <c r="M337" s="664"/>
      <c r="N337" s="664"/>
      <c r="O337" s="664"/>
      <c r="P337" s="664"/>
      <c r="Q337" s="664"/>
      <c r="R337" s="664"/>
      <c r="S337" s="664"/>
      <c r="T337" s="664"/>
      <c r="U337" s="664"/>
      <c r="V337" s="664"/>
      <c r="W337" s="664"/>
      <c r="X337" s="664"/>
      <c r="Y337" s="664"/>
      <c r="Z337" s="664"/>
    </row>
    <row r="338">
      <c r="A338" s="664"/>
      <c r="B338" s="664"/>
      <c r="C338" s="664"/>
      <c r="D338" s="664"/>
      <c r="E338" s="664"/>
      <c r="F338" s="664"/>
      <c r="G338" s="664"/>
      <c r="H338" s="664"/>
      <c r="I338" s="664"/>
      <c r="J338" s="664"/>
      <c r="K338" s="664"/>
      <c r="L338" s="664"/>
      <c r="M338" s="664"/>
      <c r="N338" s="664"/>
      <c r="O338" s="664"/>
      <c r="P338" s="664"/>
      <c r="Q338" s="664"/>
      <c r="R338" s="664"/>
      <c r="S338" s="664"/>
      <c r="T338" s="664"/>
      <c r="U338" s="664"/>
      <c r="V338" s="664"/>
      <c r="W338" s="664"/>
      <c r="X338" s="664"/>
      <c r="Y338" s="664"/>
      <c r="Z338" s="664"/>
    </row>
    <row r="339">
      <c r="A339" s="664"/>
      <c r="B339" s="664"/>
      <c r="C339" s="664"/>
      <c r="D339" s="664"/>
      <c r="E339" s="664"/>
      <c r="F339" s="664"/>
      <c r="G339" s="664"/>
      <c r="H339" s="664"/>
      <c r="I339" s="664"/>
      <c r="J339" s="664"/>
      <c r="K339" s="664"/>
      <c r="L339" s="664"/>
      <c r="M339" s="664"/>
      <c r="N339" s="664"/>
      <c r="O339" s="664"/>
      <c r="P339" s="664"/>
      <c r="Q339" s="664"/>
      <c r="R339" s="664"/>
      <c r="S339" s="664"/>
      <c r="T339" s="664"/>
      <c r="U339" s="664"/>
      <c r="V339" s="664"/>
      <c r="W339" s="664"/>
      <c r="X339" s="664"/>
      <c r="Y339" s="664"/>
      <c r="Z339" s="664"/>
    </row>
    <row r="340">
      <c r="A340" s="664"/>
      <c r="B340" s="664"/>
      <c r="C340" s="664"/>
      <c r="D340" s="664"/>
      <c r="E340" s="664"/>
      <c r="F340" s="664"/>
      <c r="G340" s="664"/>
      <c r="H340" s="664"/>
      <c r="I340" s="664"/>
      <c r="J340" s="664"/>
      <c r="K340" s="664"/>
      <c r="L340" s="664"/>
      <c r="M340" s="664"/>
      <c r="N340" s="664"/>
      <c r="O340" s="664"/>
      <c r="P340" s="664"/>
      <c r="Q340" s="664"/>
      <c r="R340" s="664"/>
      <c r="S340" s="664"/>
      <c r="T340" s="664"/>
      <c r="U340" s="664"/>
      <c r="V340" s="664"/>
      <c r="W340" s="664"/>
      <c r="X340" s="664"/>
      <c r="Y340" s="664"/>
      <c r="Z340" s="664"/>
    </row>
    <row r="341">
      <c r="A341" s="664"/>
      <c r="B341" s="664"/>
      <c r="C341" s="664"/>
      <c r="D341" s="664"/>
      <c r="E341" s="664"/>
      <c r="F341" s="664"/>
      <c r="G341" s="664"/>
      <c r="H341" s="664"/>
      <c r="I341" s="664"/>
      <c r="J341" s="664"/>
      <c r="K341" s="664"/>
      <c r="L341" s="664"/>
      <c r="M341" s="664"/>
      <c r="N341" s="664"/>
      <c r="O341" s="664"/>
      <c r="P341" s="664"/>
      <c r="Q341" s="664"/>
      <c r="R341" s="664"/>
      <c r="S341" s="664"/>
      <c r="T341" s="664"/>
      <c r="U341" s="664"/>
      <c r="V341" s="664"/>
      <c r="W341" s="664"/>
      <c r="X341" s="664"/>
      <c r="Y341" s="664"/>
      <c r="Z341" s="664"/>
    </row>
    <row r="342">
      <c r="A342" s="664"/>
      <c r="B342" s="664"/>
      <c r="C342" s="664"/>
      <c r="D342" s="664"/>
      <c r="E342" s="664"/>
      <c r="F342" s="664"/>
      <c r="G342" s="664"/>
      <c r="H342" s="664"/>
      <c r="I342" s="664"/>
      <c r="J342" s="664"/>
      <c r="K342" s="664"/>
      <c r="L342" s="664"/>
      <c r="M342" s="664"/>
      <c r="N342" s="664"/>
      <c r="O342" s="664"/>
      <c r="P342" s="664"/>
      <c r="Q342" s="664"/>
      <c r="R342" s="664"/>
      <c r="S342" s="664"/>
      <c r="T342" s="664"/>
      <c r="U342" s="664"/>
      <c r="V342" s="664"/>
      <c r="W342" s="664"/>
      <c r="X342" s="664"/>
      <c r="Y342" s="664"/>
      <c r="Z342" s="664"/>
    </row>
    <row r="343">
      <c r="A343" s="664"/>
      <c r="B343" s="664"/>
      <c r="C343" s="664"/>
      <c r="D343" s="664"/>
      <c r="E343" s="664"/>
      <c r="F343" s="664"/>
      <c r="G343" s="664"/>
      <c r="H343" s="664"/>
      <c r="I343" s="664"/>
      <c r="J343" s="664"/>
      <c r="K343" s="664"/>
      <c r="L343" s="664"/>
      <c r="M343" s="664"/>
      <c r="N343" s="664"/>
      <c r="O343" s="664"/>
      <c r="P343" s="664"/>
      <c r="Q343" s="664"/>
      <c r="R343" s="664"/>
      <c r="S343" s="664"/>
      <c r="T343" s="664"/>
      <c r="U343" s="664"/>
      <c r="V343" s="664"/>
      <c r="W343" s="664"/>
      <c r="X343" s="664"/>
      <c r="Y343" s="664"/>
      <c r="Z343" s="664"/>
    </row>
    <row r="344">
      <c r="A344" s="664"/>
      <c r="B344" s="664"/>
      <c r="C344" s="664"/>
      <c r="D344" s="664"/>
      <c r="E344" s="664"/>
      <c r="F344" s="664"/>
      <c r="G344" s="664"/>
      <c r="H344" s="664"/>
      <c r="I344" s="664"/>
      <c r="J344" s="664"/>
      <c r="K344" s="664"/>
      <c r="L344" s="664"/>
      <c r="M344" s="664"/>
      <c r="N344" s="664"/>
      <c r="O344" s="664"/>
      <c r="P344" s="664"/>
      <c r="Q344" s="664"/>
      <c r="R344" s="664"/>
      <c r="S344" s="664"/>
      <c r="T344" s="664"/>
      <c r="U344" s="664"/>
      <c r="V344" s="664"/>
      <c r="W344" s="664"/>
      <c r="X344" s="664"/>
      <c r="Y344" s="664"/>
      <c r="Z344" s="664"/>
    </row>
    <row r="345">
      <c r="A345" s="664"/>
      <c r="B345" s="664"/>
      <c r="C345" s="664"/>
      <c r="D345" s="664"/>
      <c r="E345" s="664"/>
      <c r="F345" s="664"/>
      <c r="G345" s="664"/>
      <c r="H345" s="664"/>
      <c r="I345" s="664"/>
      <c r="J345" s="664"/>
      <c r="K345" s="664"/>
      <c r="L345" s="664"/>
      <c r="M345" s="664"/>
      <c r="N345" s="664"/>
      <c r="O345" s="664"/>
      <c r="P345" s="664"/>
      <c r="Q345" s="664"/>
      <c r="R345" s="664"/>
      <c r="S345" s="664"/>
      <c r="T345" s="664"/>
      <c r="U345" s="664"/>
      <c r="V345" s="664"/>
      <c r="W345" s="664"/>
      <c r="X345" s="664"/>
      <c r="Y345" s="664"/>
      <c r="Z345" s="664"/>
    </row>
    <row r="346">
      <c r="A346" s="664"/>
      <c r="B346" s="664"/>
      <c r="C346" s="664"/>
      <c r="D346" s="664"/>
      <c r="E346" s="664"/>
      <c r="F346" s="664"/>
      <c r="G346" s="664"/>
      <c r="H346" s="664"/>
      <c r="I346" s="664"/>
      <c r="J346" s="664"/>
      <c r="K346" s="664"/>
      <c r="L346" s="664"/>
      <c r="M346" s="664"/>
      <c r="N346" s="664"/>
      <c r="O346" s="664"/>
      <c r="P346" s="664"/>
      <c r="Q346" s="664"/>
      <c r="R346" s="664"/>
      <c r="S346" s="664"/>
      <c r="T346" s="664"/>
      <c r="U346" s="664"/>
      <c r="V346" s="664"/>
      <c r="W346" s="664"/>
      <c r="X346" s="664"/>
      <c r="Y346" s="664"/>
      <c r="Z346" s="664"/>
    </row>
    <row r="347">
      <c r="A347" s="664"/>
      <c r="B347" s="664"/>
      <c r="C347" s="664"/>
      <c r="D347" s="664"/>
      <c r="E347" s="664"/>
      <c r="F347" s="664"/>
      <c r="G347" s="664"/>
      <c r="H347" s="664"/>
      <c r="I347" s="664"/>
      <c r="J347" s="664"/>
      <c r="K347" s="664"/>
      <c r="L347" s="664"/>
      <c r="M347" s="664"/>
      <c r="N347" s="664"/>
      <c r="O347" s="664"/>
      <c r="P347" s="664"/>
      <c r="Q347" s="664"/>
      <c r="R347" s="664"/>
      <c r="S347" s="664"/>
      <c r="T347" s="664"/>
      <c r="U347" s="664"/>
      <c r="V347" s="664"/>
      <c r="W347" s="664"/>
      <c r="X347" s="664"/>
      <c r="Y347" s="664"/>
      <c r="Z347" s="664"/>
    </row>
    <row r="348">
      <c r="A348" s="664"/>
      <c r="B348" s="664"/>
      <c r="C348" s="664"/>
      <c r="D348" s="664"/>
      <c r="E348" s="664"/>
      <c r="F348" s="664"/>
      <c r="G348" s="664"/>
      <c r="H348" s="664"/>
      <c r="I348" s="664"/>
      <c r="J348" s="664"/>
      <c r="K348" s="664"/>
      <c r="L348" s="664"/>
      <c r="M348" s="664"/>
      <c r="N348" s="664"/>
      <c r="O348" s="664"/>
      <c r="P348" s="664"/>
      <c r="Q348" s="664"/>
      <c r="R348" s="664"/>
      <c r="S348" s="664"/>
      <c r="T348" s="664"/>
      <c r="U348" s="664"/>
      <c r="V348" s="664"/>
      <c r="W348" s="664"/>
      <c r="X348" s="664"/>
      <c r="Y348" s="664"/>
      <c r="Z348" s="664"/>
    </row>
    <row r="349">
      <c r="A349" s="664"/>
      <c r="B349" s="664"/>
      <c r="C349" s="664"/>
      <c r="D349" s="664"/>
      <c r="E349" s="664"/>
      <c r="F349" s="664"/>
      <c r="G349" s="664"/>
      <c r="H349" s="664"/>
      <c r="I349" s="664"/>
      <c r="J349" s="664"/>
      <c r="K349" s="664"/>
      <c r="L349" s="664"/>
      <c r="M349" s="664"/>
      <c r="N349" s="664"/>
      <c r="O349" s="664"/>
      <c r="P349" s="664"/>
      <c r="Q349" s="664"/>
      <c r="R349" s="664"/>
      <c r="S349" s="664"/>
      <c r="T349" s="664"/>
      <c r="U349" s="664"/>
      <c r="V349" s="664"/>
      <c r="W349" s="664"/>
      <c r="X349" s="664"/>
      <c r="Y349" s="664"/>
      <c r="Z349" s="664"/>
    </row>
    <row r="350">
      <c r="A350" s="664"/>
      <c r="B350" s="664"/>
      <c r="C350" s="664"/>
      <c r="D350" s="664"/>
      <c r="E350" s="664"/>
      <c r="F350" s="664"/>
      <c r="G350" s="664"/>
      <c r="H350" s="664"/>
      <c r="I350" s="664"/>
      <c r="J350" s="664"/>
      <c r="K350" s="664"/>
      <c r="L350" s="664"/>
      <c r="M350" s="664"/>
      <c r="N350" s="664"/>
      <c r="O350" s="664"/>
      <c r="P350" s="664"/>
      <c r="Q350" s="664"/>
      <c r="R350" s="664"/>
      <c r="S350" s="664"/>
      <c r="T350" s="664"/>
      <c r="U350" s="664"/>
      <c r="V350" s="664"/>
      <c r="W350" s="664"/>
      <c r="X350" s="664"/>
      <c r="Y350" s="664"/>
      <c r="Z350" s="664"/>
    </row>
    <row r="351">
      <c r="A351" s="664"/>
      <c r="B351" s="664"/>
      <c r="C351" s="664"/>
      <c r="D351" s="664"/>
      <c r="E351" s="664"/>
      <c r="F351" s="664"/>
      <c r="G351" s="664"/>
      <c r="H351" s="664"/>
      <c r="I351" s="664"/>
      <c r="J351" s="664"/>
      <c r="K351" s="664"/>
      <c r="L351" s="664"/>
      <c r="M351" s="664"/>
      <c r="N351" s="664"/>
      <c r="O351" s="664"/>
      <c r="P351" s="664"/>
      <c r="Q351" s="664"/>
      <c r="R351" s="664"/>
      <c r="S351" s="664"/>
      <c r="T351" s="664"/>
      <c r="U351" s="664"/>
      <c r="V351" s="664"/>
      <c r="W351" s="664"/>
      <c r="X351" s="664"/>
      <c r="Y351" s="664"/>
      <c r="Z351" s="664"/>
    </row>
    <row r="352">
      <c r="A352" s="664"/>
      <c r="B352" s="664"/>
      <c r="C352" s="664"/>
      <c r="D352" s="664"/>
      <c r="E352" s="664"/>
      <c r="F352" s="664"/>
      <c r="G352" s="664"/>
      <c r="H352" s="664"/>
      <c r="I352" s="664"/>
      <c r="J352" s="664"/>
      <c r="K352" s="664"/>
      <c r="L352" s="664"/>
      <c r="M352" s="664"/>
      <c r="N352" s="664"/>
      <c r="O352" s="664"/>
      <c r="P352" s="664"/>
      <c r="Q352" s="664"/>
      <c r="R352" s="664"/>
      <c r="S352" s="664"/>
      <c r="T352" s="664"/>
      <c r="U352" s="664"/>
      <c r="V352" s="664"/>
      <c r="W352" s="664"/>
      <c r="X352" s="664"/>
      <c r="Y352" s="664"/>
      <c r="Z352" s="664"/>
    </row>
    <row r="353">
      <c r="A353" s="664"/>
      <c r="B353" s="664"/>
      <c r="C353" s="664"/>
      <c r="D353" s="664"/>
      <c r="E353" s="664"/>
      <c r="F353" s="664"/>
      <c r="G353" s="664"/>
      <c r="H353" s="664"/>
      <c r="I353" s="664"/>
      <c r="J353" s="664"/>
      <c r="K353" s="664"/>
      <c r="L353" s="664"/>
      <c r="M353" s="664"/>
      <c r="N353" s="664"/>
      <c r="O353" s="664"/>
      <c r="P353" s="664"/>
      <c r="Q353" s="664"/>
      <c r="R353" s="664"/>
      <c r="S353" s="664"/>
      <c r="T353" s="664"/>
      <c r="U353" s="664"/>
      <c r="V353" s="664"/>
      <c r="W353" s="664"/>
      <c r="X353" s="664"/>
      <c r="Y353" s="664"/>
      <c r="Z353" s="664"/>
    </row>
    <row r="354">
      <c r="A354" s="664"/>
      <c r="B354" s="664"/>
      <c r="C354" s="664"/>
      <c r="D354" s="664"/>
      <c r="E354" s="664"/>
      <c r="F354" s="664"/>
      <c r="G354" s="664"/>
      <c r="H354" s="664"/>
      <c r="I354" s="664"/>
      <c r="J354" s="664"/>
      <c r="K354" s="664"/>
      <c r="L354" s="664"/>
      <c r="M354" s="664"/>
      <c r="N354" s="664"/>
      <c r="O354" s="664"/>
      <c r="P354" s="664"/>
      <c r="Q354" s="664"/>
      <c r="R354" s="664"/>
      <c r="S354" s="664"/>
      <c r="T354" s="664"/>
      <c r="U354" s="664"/>
      <c r="V354" s="664"/>
      <c r="W354" s="664"/>
      <c r="X354" s="664"/>
      <c r="Y354" s="664"/>
      <c r="Z354" s="664"/>
    </row>
    <row r="355">
      <c r="A355" s="664"/>
      <c r="B355" s="664"/>
      <c r="C355" s="664"/>
      <c r="D355" s="664"/>
      <c r="E355" s="664"/>
      <c r="F355" s="664"/>
      <c r="G355" s="664"/>
      <c r="H355" s="664"/>
      <c r="I355" s="664"/>
      <c r="J355" s="664"/>
      <c r="K355" s="664"/>
      <c r="L355" s="664"/>
      <c r="M355" s="664"/>
      <c r="N355" s="664"/>
      <c r="O355" s="664"/>
      <c r="P355" s="664"/>
      <c r="Q355" s="664"/>
      <c r="R355" s="664"/>
      <c r="S355" s="664"/>
      <c r="T355" s="664"/>
      <c r="U355" s="664"/>
      <c r="V355" s="664"/>
      <c r="W355" s="664"/>
      <c r="X355" s="664"/>
      <c r="Y355" s="664"/>
      <c r="Z355" s="664"/>
    </row>
    <row r="356">
      <c r="A356" s="664"/>
      <c r="B356" s="664"/>
      <c r="C356" s="664"/>
      <c r="D356" s="664"/>
      <c r="E356" s="664"/>
      <c r="F356" s="664"/>
      <c r="G356" s="664"/>
      <c r="H356" s="664"/>
      <c r="I356" s="664"/>
      <c r="J356" s="664"/>
      <c r="K356" s="664"/>
      <c r="L356" s="664"/>
      <c r="M356" s="664"/>
      <c r="N356" s="664"/>
      <c r="O356" s="664"/>
      <c r="P356" s="664"/>
      <c r="Q356" s="664"/>
      <c r="R356" s="664"/>
      <c r="S356" s="664"/>
      <c r="T356" s="664"/>
      <c r="U356" s="664"/>
      <c r="V356" s="664"/>
      <c r="W356" s="664"/>
      <c r="X356" s="664"/>
      <c r="Y356" s="664"/>
      <c r="Z356" s="664"/>
    </row>
    <row r="357">
      <c r="A357" s="664"/>
      <c r="B357" s="664"/>
      <c r="C357" s="664"/>
      <c r="D357" s="664"/>
      <c r="E357" s="664"/>
      <c r="F357" s="664"/>
      <c r="G357" s="664"/>
      <c r="H357" s="664"/>
      <c r="I357" s="664"/>
      <c r="J357" s="664"/>
      <c r="K357" s="664"/>
      <c r="L357" s="664"/>
      <c r="M357" s="664"/>
      <c r="N357" s="664"/>
      <c r="O357" s="664"/>
      <c r="P357" s="664"/>
      <c r="Q357" s="664"/>
      <c r="R357" s="664"/>
      <c r="S357" s="664"/>
      <c r="T357" s="664"/>
      <c r="U357" s="664"/>
      <c r="V357" s="664"/>
      <c r="W357" s="664"/>
      <c r="X357" s="664"/>
      <c r="Y357" s="664"/>
      <c r="Z357" s="664"/>
    </row>
    <row r="358">
      <c r="A358" s="664"/>
      <c r="B358" s="664"/>
      <c r="C358" s="664"/>
      <c r="D358" s="664"/>
      <c r="E358" s="664"/>
      <c r="F358" s="664"/>
      <c r="G358" s="664"/>
      <c r="H358" s="664"/>
      <c r="I358" s="664"/>
      <c r="J358" s="664"/>
      <c r="K358" s="664"/>
      <c r="L358" s="664"/>
      <c r="M358" s="664"/>
      <c r="N358" s="664"/>
      <c r="O358" s="664"/>
      <c r="P358" s="664"/>
      <c r="Q358" s="664"/>
      <c r="R358" s="664"/>
      <c r="S358" s="664"/>
      <c r="T358" s="664"/>
      <c r="U358" s="664"/>
      <c r="V358" s="664"/>
      <c r="W358" s="664"/>
      <c r="X358" s="664"/>
      <c r="Y358" s="664"/>
      <c r="Z358" s="664"/>
    </row>
    <row r="359">
      <c r="A359" s="664"/>
      <c r="B359" s="664"/>
      <c r="C359" s="664"/>
      <c r="D359" s="664"/>
      <c r="E359" s="664"/>
      <c r="F359" s="664"/>
      <c r="G359" s="664"/>
      <c r="H359" s="664"/>
      <c r="I359" s="664"/>
      <c r="J359" s="664"/>
      <c r="K359" s="664"/>
      <c r="L359" s="664"/>
      <c r="M359" s="664"/>
      <c r="N359" s="664"/>
      <c r="O359" s="664"/>
      <c r="P359" s="664"/>
      <c r="Q359" s="664"/>
      <c r="R359" s="664"/>
      <c r="S359" s="664"/>
      <c r="T359" s="664"/>
      <c r="U359" s="664"/>
      <c r="V359" s="664"/>
      <c r="W359" s="664"/>
      <c r="X359" s="664"/>
      <c r="Y359" s="664"/>
      <c r="Z359" s="664"/>
    </row>
    <row r="360">
      <c r="A360" s="664"/>
      <c r="B360" s="664"/>
      <c r="C360" s="664"/>
      <c r="D360" s="664"/>
      <c r="E360" s="664"/>
      <c r="F360" s="664"/>
      <c r="G360" s="664"/>
      <c r="H360" s="664"/>
      <c r="I360" s="664"/>
      <c r="J360" s="664"/>
      <c r="K360" s="664"/>
      <c r="L360" s="664"/>
      <c r="M360" s="664"/>
      <c r="N360" s="664"/>
      <c r="O360" s="664"/>
      <c r="P360" s="664"/>
      <c r="Q360" s="664"/>
      <c r="R360" s="664"/>
      <c r="S360" s="664"/>
      <c r="T360" s="664"/>
      <c r="U360" s="664"/>
      <c r="V360" s="664"/>
      <c r="W360" s="664"/>
      <c r="X360" s="664"/>
      <c r="Y360" s="664"/>
      <c r="Z360" s="664"/>
    </row>
    <row r="361">
      <c r="A361" s="664"/>
      <c r="B361" s="664"/>
      <c r="C361" s="664"/>
      <c r="D361" s="664"/>
      <c r="E361" s="664"/>
      <c r="F361" s="664"/>
      <c r="G361" s="664"/>
      <c r="H361" s="664"/>
      <c r="I361" s="664"/>
      <c r="J361" s="664"/>
      <c r="K361" s="664"/>
      <c r="L361" s="664"/>
      <c r="M361" s="664"/>
      <c r="N361" s="664"/>
      <c r="O361" s="664"/>
      <c r="P361" s="664"/>
      <c r="Q361" s="664"/>
      <c r="R361" s="664"/>
      <c r="S361" s="664"/>
      <c r="T361" s="664"/>
      <c r="U361" s="664"/>
      <c r="V361" s="664"/>
      <c r="W361" s="664"/>
      <c r="X361" s="664"/>
      <c r="Y361" s="664"/>
      <c r="Z361" s="664"/>
    </row>
    <row r="362">
      <c r="A362" s="664"/>
      <c r="B362" s="664"/>
      <c r="C362" s="664"/>
      <c r="D362" s="664"/>
      <c r="E362" s="664"/>
      <c r="F362" s="664"/>
      <c r="G362" s="664"/>
      <c r="H362" s="664"/>
      <c r="I362" s="664"/>
      <c r="J362" s="664"/>
      <c r="K362" s="664"/>
      <c r="L362" s="664"/>
      <c r="M362" s="664"/>
      <c r="N362" s="664"/>
      <c r="O362" s="664"/>
      <c r="P362" s="664"/>
      <c r="Q362" s="664"/>
      <c r="R362" s="664"/>
      <c r="S362" s="664"/>
      <c r="T362" s="664"/>
      <c r="U362" s="664"/>
      <c r="V362" s="664"/>
      <c r="W362" s="664"/>
      <c r="X362" s="664"/>
      <c r="Y362" s="664"/>
      <c r="Z362" s="664"/>
    </row>
    <row r="363">
      <c r="A363" s="664"/>
      <c r="B363" s="664"/>
      <c r="C363" s="664"/>
      <c r="D363" s="664"/>
      <c r="E363" s="664"/>
      <c r="F363" s="664"/>
      <c r="G363" s="664"/>
      <c r="H363" s="664"/>
      <c r="I363" s="664"/>
      <c r="J363" s="664"/>
      <c r="K363" s="664"/>
      <c r="L363" s="664"/>
      <c r="M363" s="664"/>
      <c r="N363" s="664"/>
      <c r="O363" s="664"/>
      <c r="P363" s="664"/>
      <c r="Q363" s="664"/>
      <c r="R363" s="664"/>
      <c r="S363" s="664"/>
      <c r="T363" s="664"/>
      <c r="U363" s="664"/>
      <c r="V363" s="664"/>
      <c r="W363" s="664"/>
      <c r="X363" s="664"/>
      <c r="Y363" s="664"/>
      <c r="Z363" s="664"/>
    </row>
    <row r="364">
      <c r="A364" s="664"/>
      <c r="B364" s="664"/>
      <c r="C364" s="664"/>
      <c r="D364" s="664"/>
      <c r="E364" s="664"/>
      <c r="F364" s="664"/>
      <c r="G364" s="664"/>
      <c r="H364" s="664"/>
      <c r="I364" s="664"/>
      <c r="J364" s="664"/>
      <c r="K364" s="664"/>
      <c r="L364" s="664"/>
      <c r="M364" s="664"/>
      <c r="N364" s="664"/>
      <c r="O364" s="664"/>
      <c r="P364" s="664"/>
      <c r="Q364" s="664"/>
      <c r="R364" s="664"/>
      <c r="S364" s="664"/>
      <c r="T364" s="664"/>
      <c r="U364" s="664"/>
      <c r="V364" s="664"/>
      <c r="W364" s="664"/>
      <c r="X364" s="664"/>
      <c r="Y364" s="664"/>
      <c r="Z364" s="664"/>
    </row>
    <row r="365">
      <c r="A365" s="664"/>
      <c r="B365" s="664"/>
      <c r="C365" s="664"/>
      <c r="D365" s="664"/>
      <c r="E365" s="664"/>
      <c r="F365" s="664"/>
      <c r="G365" s="664"/>
      <c r="H365" s="664"/>
      <c r="I365" s="664"/>
      <c r="J365" s="664"/>
      <c r="K365" s="664"/>
      <c r="L365" s="664"/>
      <c r="M365" s="664"/>
      <c r="N365" s="664"/>
      <c r="O365" s="664"/>
      <c r="P365" s="664"/>
      <c r="Q365" s="664"/>
      <c r="R365" s="664"/>
      <c r="S365" s="664"/>
      <c r="T365" s="664"/>
      <c r="U365" s="664"/>
      <c r="V365" s="664"/>
      <c r="W365" s="664"/>
      <c r="X365" s="664"/>
      <c r="Y365" s="664"/>
      <c r="Z365" s="664"/>
    </row>
    <row r="366">
      <c r="A366" s="664"/>
      <c r="B366" s="664"/>
      <c r="C366" s="664"/>
      <c r="D366" s="664"/>
      <c r="E366" s="664"/>
      <c r="F366" s="664"/>
      <c r="G366" s="664"/>
      <c r="H366" s="664"/>
      <c r="I366" s="664"/>
      <c r="J366" s="664"/>
      <c r="K366" s="664"/>
      <c r="L366" s="664"/>
      <c r="M366" s="664"/>
      <c r="N366" s="664"/>
      <c r="O366" s="664"/>
      <c r="P366" s="664"/>
      <c r="Q366" s="664"/>
      <c r="R366" s="664"/>
      <c r="S366" s="664"/>
      <c r="T366" s="664"/>
      <c r="U366" s="664"/>
      <c r="V366" s="664"/>
      <c r="W366" s="664"/>
      <c r="X366" s="664"/>
      <c r="Y366" s="664"/>
      <c r="Z366" s="664"/>
    </row>
    <row r="367">
      <c r="A367" s="664"/>
      <c r="B367" s="664"/>
      <c r="C367" s="664"/>
      <c r="D367" s="664"/>
      <c r="E367" s="664"/>
      <c r="F367" s="664"/>
      <c r="G367" s="664"/>
      <c r="H367" s="664"/>
      <c r="I367" s="664"/>
      <c r="J367" s="664"/>
      <c r="K367" s="664"/>
      <c r="L367" s="664"/>
      <c r="M367" s="664"/>
      <c r="N367" s="664"/>
      <c r="O367" s="664"/>
      <c r="P367" s="664"/>
      <c r="Q367" s="664"/>
      <c r="R367" s="664"/>
      <c r="S367" s="664"/>
      <c r="T367" s="664"/>
      <c r="U367" s="664"/>
      <c r="V367" s="664"/>
      <c r="W367" s="664"/>
      <c r="X367" s="664"/>
      <c r="Y367" s="664"/>
      <c r="Z367" s="664"/>
    </row>
    <row r="368">
      <c r="A368" s="664"/>
      <c r="B368" s="664"/>
      <c r="C368" s="664"/>
      <c r="D368" s="664"/>
      <c r="E368" s="664"/>
      <c r="F368" s="664"/>
      <c r="G368" s="664"/>
      <c r="H368" s="664"/>
      <c r="I368" s="664"/>
      <c r="J368" s="664"/>
      <c r="K368" s="664"/>
      <c r="L368" s="664"/>
      <c r="M368" s="664"/>
      <c r="N368" s="664"/>
      <c r="O368" s="664"/>
      <c r="P368" s="664"/>
      <c r="Q368" s="664"/>
      <c r="R368" s="664"/>
      <c r="S368" s="664"/>
      <c r="T368" s="664"/>
      <c r="U368" s="664"/>
      <c r="V368" s="664"/>
      <c r="W368" s="664"/>
      <c r="X368" s="664"/>
      <c r="Y368" s="664"/>
      <c r="Z368" s="664"/>
    </row>
    <row r="369">
      <c r="A369" s="664"/>
      <c r="B369" s="664"/>
      <c r="C369" s="664"/>
      <c r="D369" s="664"/>
      <c r="E369" s="664"/>
      <c r="F369" s="664"/>
      <c r="G369" s="664"/>
      <c r="H369" s="664"/>
      <c r="I369" s="664"/>
      <c r="J369" s="664"/>
      <c r="K369" s="664"/>
      <c r="L369" s="664"/>
      <c r="M369" s="664"/>
      <c r="N369" s="664"/>
      <c r="O369" s="664"/>
      <c r="P369" s="664"/>
      <c r="Q369" s="664"/>
      <c r="R369" s="664"/>
      <c r="S369" s="664"/>
      <c r="T369" s="664"/>
      <c r="U369" s="664"/>
      <c r="V369" s="664"/>
      <c r="W369" s="664"/>
      <c r="X369" s="664"/>
      <c r="Y369" s="664"/>
      <c r="Z369" s="664"/>
    </row>
    <row r="370">
      <c r="A370" s="664"/>
      <c r="B370" s="664"/>
      <c r="C370" s="664"/>
      <c r="D370" s="664"/>
      <c r="E370" s="664"/>
      <c r="F370" s="664"/>
      <c r="G370" s="664"/>
      <c r="H370" s="664"/>
      <c r="I370" s="664"/>
      <c r="J370" s="664"/>
      <c r="K370" s="664"/>
      <c r="L370" s="664"/>
      <c r="M370" s="664"/>
      <c r="N370" s="664"/>
      <c r="O370" s="664"/>
      <c r="P370" s="664"/>
      <c r="Q370" s="664"/>
      <c r="R370" s="664"/>
      <c r="S370" s="664"/>
      <c r="T370" s="664"/>
      <c r="U370" s="664"/>
      <c r="V370" s="664"/>
      <c r="W370" s="664"/>
      <c r="X370" s="664"/>
      <c r="Y370" s="664"/>
      <c r="Z370" s="664"/>
    </row>
    <row r="371">
      <c r="A371" s="664"/>
      <c r="B371" s="664"/>
      <c r="C371" s="664"/>
      <c r="D371" s="664"/>
      <c r="E371" s="664"/>
      <c r="F371" s="664"/>
      <c r="G371" s="664"/>
      <c r="H371" s="664"/>
      <c r="I371" s="664"/>
      <c r="J371" s="664"/>
      <c r="K371" s="664"/>
      <c r="L371" s="664"/>
      <c r="M371" s="664"/>
      <c r="N371" s="664"/>
      <c r="O371" s="664"/>
      <c r="P371" s="664"/>
      <c r="Q371" s="664"/>
      <c r="R371" s="664"/>
      <c r="S371" s="664"/>
      <c r="T371" s="664"/>
      <c r="U371" s="664"/>
      <c r="V371" s="664"/>
      <c r="W371" s="664"/>
      <c r="X371" s="664"/>
      <c r="Y371" s="664"/>
      <c r="Z371" s="664"/>
    </row>
    <row r="372">
      <c r="A372" s="664"/>
      <c r="B372" s="664"/>
      <c r="C372" s="664"/>
      <c r="D372" s="664"/>
      <c r="E372" s="664"/>
      <c r="F372" s="664"/>
      <c r="G372" s="664"/>
      <c r="H372" s="664"/>
      <c r="I372" s="664"/>
      <c r="J372" s="664"/>
      <c r="K372" s="664"/>
      <c r="L372" s="664"/>
      <c r="M372" s="664"/>
      <c r="N372" s="664"/>
      <c r="O372" s="664"/>
      <c r="P372" s="664"/>
      <c r="Q372" s="664"/>
      <c r="R372" s="664"/>
      <c r="S372" s="664"/>
      <c r="T372" s="664"/>
      <c r="U372" s="664"/>
      <c r="V372" s="664"/>
      <c r="W372" s="664"/>
      <c r="X372" s="664"/>
      <c r="Y372" s="664"/>
      <c r="Z372" s="664"/>
    </row>
    <row r="373">
      <c r="A373" s="664"/>
      <c r="B373" s="664"/>
      <c r="C373" s="664"/>
      <c r="D373" s="664"/>
      <c r="E373" s="664"/>
      <c r="F373" s="664"/>
      <c r="G373" s="664"/>
      <c r="H373" s="664"/>
      <c r="I373" s="664"/>
      <c r="J373" s="664"/>
      <c r="K373" s="664"/>
      <c r="L373" s="664"/>
      <c r="M373" s="664"/>
      <c r="N373" s="664"/>
      <c r="O373" s="664"/>
      <c r="P373" s="664"/>
      <c r="Q373" s="664"/>
      <c r="R373" s="664"/>
      <c r="S373" s="664"/>
      <c r="T373" s="664"/>
      <c r="U373" s="664"/>
      <c r="V373" s="664"/>
      <c r="W373" s="664"/>
      <c r="X373" s="664"/>
      <c r="Y373" s="664"/>
      <c r="Z373" s="664"/>
    </row>
    <row r="374">
      <c r="A374" s="664"/>
      <c r="B374" s="664"/>
      <c r="C374" s="664"/>
      <c r="D374" s="664"/>
      <c r="E374" s="664"/>
      <c r="F374" s="664"/>
      <c r="G374" s="664"/>
      <c r="H374" s="664"/>
      <c r="I374" s="664"/>
      <c r="J374" s="664"/>
      <c r="K374" s="664"/>
      <c r="L374" s="664"/>
      <c r="M374" s="664"/>
      <c r="N374" s="664"/>
      <c r="O374" s="664"/>
      <c r="P374" s="664"/>
      <c r="Q374" s="664"/>
      <c r="R374" s="664"/>
      <c r="S374" s="664"/>
      <c r="T374" s="664"/>
      <c r="U374" s="664"/>
      <c r="V374" s="664"/>
      <c r="W374" s="664"/>
      <c r="X374" s="664"/>
      <c r="Y374" s="664"/>
      <c r="Z374" s="664"/>
    </row>
    <row r="375">
      <c r="A375" s="664"/>
      <c r="B375" s="664"/>
      <c r="C375" s="664"/>
      <c r="D375" s="664"/>
      <c r="E375" s="664"/>
      <c r="F375" s="664"/>
      <c r="G375" s="664"/>
      <c r="H375" s="664"/>
      <c r="I375" s="664"/>
      <c r="J375" s="664"/>
      <c r="K375" s="664"/>
      <c r="L375" s="664"/>
      <c r="M375" s="664"/>
      <c r="N375" s="664"/>
      <c r="O375" s="664"/>
      <c r="P375" s="664"/>
      <c r="Q375" s="664"/>
      <c r="R375" s="664"/>
      <c r="S375" s="664"/>
      <c r="T375" s="664"/>
      <c r="U375" s="664"/>
      <c r="V375" s="664"/>
      <c r="W375" s="664"/>
      <c r="X375" s="664"/>
      <c r="Y375" s="664"/>
      <c r="Z375" s="664"/>
    </row>
    <row r="376">
      <c r="A376" s="664"/>
      <c r="B376" s="664"/>
      <c r="C376" s="664"/>
      <c r="D376" s="664"/>
      <c r="E376" s="664"/>
      <c r="F376" s="664"/>
      <c r="G376" s="664"/>
      <c r="H376" s="664"/>
      <c r="I376" s="664"/>
      <c r="J376" s="664"/>
      <c r="K376" s="664"/>
      <c r="L376" s="664"/>
      <c r="M376" s="664"/>
      <c r="N376" s="664"/>
      <c r="O376" s="664"/>
      <c r="P376" s="664"/>
      <c r="Q376" s="664"/>
      <c r="R376" s="664"/>
      <c r="S376" s="664"/>
      <c r="T376" s="664"/>
      <c r="U376" s="664"/>
      <c r="V376" s="664"/>
      <c r="W376" s="664"/>
      <c r="X376" s="664"/>
      <c r="Y376" s="664"/>
      <c r="Z376" s="664"/>
    </row>
    <row r="377">
      <c r="A377" s="664"/>
      <c r="B377" s="664"/>
      <c r="C377" s="664"/>
      <c r="D377" s="664"/>
      <c r="E377" s="664"/>
      <c r="F377" s="664"/>
      <c r="G377" s="664"/>
      <c r="H377" s="664"/>
      <c r="I377" s="664"/>
      <c r="J377" s="664"/>
      <c r="K377" s="664"/>
      <c r="L377" s="664"/>
      <c r="M377" s="664"/>
      <c r="N377" s="664"/>
      <c r="O377" s="664"/>
      <c r="P377" s="664"/>
      <c r="Q377" s="664"/>
      <c r="R377" s="664"/>
      <c r="S377" s="664"/>
      <c r="T377" s="664"/>
      <c r="U377" s="664"/>
      <c r="V377" s="664"/>
      <c r="W377" s="664"/>
      <c r="X377" s="664"/>
      <c r="Y377" s="664"/>
      <c r="Z377" s="664"/>
    </row>
    <row r="378">
      <c r="A378" s="664"/>
      <c r="B378" s="664"/>
      <c r="C378" s="664"/>
      <c r="D378" s="664"/>
      <c r="E378" s="664"/>
      <c r="F378" s="664"/>
      <c r="G378" s="664"/>
      <c r="H378" s="664"/>
      <c r="I378" s="664"/>
      <c r="J378" s="664"/>
      <c r="K378" s="664"/>
      <c r="L378" s="664"/>
      <c r="M378" s="664"/>
      <c r="N378" s="664"/>
      <c r="O378" s="664"/>
      <c r="P378" s="664"/>
      <c r="Q378" s="664"/>
      <c r="R378" s="664"/>
      <c r="S378" s="664"/>
      <c r="T378" s="664"/>
      <c r="U378" s="664"/>
      <c r="V378" s="664"/>
      <c r="W378" s="664"/>
      <c r="X378" s="664"/>
      <c r="Y378" s="664"/>
      <c r="Z378" s="664"/>
    </row>
    <row r="379">
      <c r="A379" s="664"/>
      <c r="B379" s="664"/>
      <c r="C379" s="664"/>
      <c r="D379" s="664"/>
      <c r="E379" s="664"/>
      <c r="F379" s="664"/>
      <c r="G379" s="664"/>
      <c r="H379" s="664"/>
      <c r="I379" s="664"/>
      <c r="J379" s="664"/>
      <c r="K379" s="664"/>
      <c r="L379" s="664"/>
      <c r="M379" s="664"/>
      <c r="N379" s="664"/>
      <c r="O379" s="664"/>
      <c r="P379" s="664"/>
      <c r="Q379" s="664"/>
      <c r="R379" s="664"/>
      <c r="S379" s="664"/>
      <c r="T379" s="664"/>
      <c r="U379" s="664"/>
      <c r="V379" s="664"/>
      <c r="W379" s="664"/>
      <c r="X379" s="664"/>
      <c r="Y379" s="664"/>
      <c r="Z379" s="664"/>
    </row>
    <row r="380">
      <c r="A380" s="664"/>
      <c r="B380" s="664"/>
      <c r="C380" s="664"/>
      <c r="D380" s="664"/>
      <c r="E380" s="664"/>
      <c r="F380" s="664"/>
      <c r="G380" s="664"/>
      <c r="H380" s="664"/>
      <c r="I380" s="664"/>
      <c r="J380" s="664"/>
      <c r="K380" s="664"/>
      <c r="L380" s="664"/>
      <c r="M380" s="664"/>
      <c r="N380" s="664"/>
      <c r="O380" s="664"/>
      <c r="P380" s="664"/>
      <c r="Q380" s="664"/>
      <c r="R380" s="664"/>
      <c r="S380" s="664"/>
      <c r="T380" s="664"/>
      <c r="U380" s="664"/>
      <c r="V380" s="664"/>
      <c r="W380" s="664"/>
      <c r="X380" s="664"/>
      <c r="Y380" s="664"/>
      <c r="Z380" s="664"/>
    </row>
    <row r="381">
      <c r="A381" s="664"/>
      <c r="B381" s="664"/>
      <c r="C381" s="664"/>
      <c r="D381" s="664"/>
      <c r="E381" s="664"/>
      <c r="F381" s="664"/>
      <c r="G381" s="664"/>
      <c r="H381" s="664"/>
      <c r="I381" s="664"/>
      <c r="J381" s="664"/>
      <c r="K381" s="664"/>
      <c r="L381" s="664"/>
      <c r="M381" s="664"/>
      <c r="N381" s="664"/>
      <c r="O381" s="664"/>
      <c r="P381" s="664"/>
      <c r="Q381" s="664"/>
      <c r="R381" s="664"/>
      <c r="S381" s="664"/>
      <c r="T381" s="664"/>
      <c r="U381" s="664"/>
      <c r="V381" s="664"/>
      <c r="W381" s="664"/>
      <c r="X381" s="664"/>
      <c r="Y381" s="664"/>
      <c r="Z381" s="664"/>
    </row>
    <row r="382">
      <c r="A382" s="664"/>
      <c r="B382" s="664"/>
      <c r="C382" s="664"/>
      <c r="D382" s="664"/>
      <c r="E382" s="664"/>
      <c r="F382" s="664"/>
      <c r="G382" s="664"/>
      <c r="H382" s="664"/>
      <c r="I382" s="664"/>
      <c r="J382" s="664"/>
      <c r="K382" s="664"/>
      <c r="L382" s="664"/>
      <c r="M382" s="664"/>
      <c r="N382" s="664"/>
      <c r="O382" s="664"/>
      <c r="P382" s="664"/>
      <c r="Q382" s="664"/>
      <c r="R382" s="664"/>
      <c r="S382" s="664"/>
      <c r="T382" s="664"/>
      <c r="U382" s="664"/>
      <c r="V382" s="664"/>
      <c r="W382" s="664"/>
      <c r="X382" s="664"/>
      <c r="Y382" s="664"/>
      <c r="Z382" s="664"/>
    </row>
    <row r="383">
      <c r="A383" s="664"/>
      <c r="B383" s="664"/>
      <c r="C383" s="664"/>
      <c r="D383" s="664"/>
      <c r="E383" s="664"/>
      <c r="F383" s="664"/>
      <c r="G383" s="664"/>
      <c r="H383" s="664"/>
      <c r="I383" s="664"/>
      <c r="J383" s="664"/>
      <c r="K383" s="664"/>
      <c r="L383" s="664"/>
      <c r="M383" s="664"/>
      <c r="N383" s="664"/>
      <c r="O383" s="664"/>
      <c r="P383" s="664"/>
      <c r="Q383" s="664"/>
      <c r="R383" s="664"/>
      <c r="S383" s="664"/>
      <c r="T383" s="664"/>
      <c r="U383" s="664"/>
      <c r="V383" s="664"/>
      <c r="W383" s="664"/>
      <c r="X383" s="664"/>
      <c r="Y383" s="664"/>
      <c r="Z383" s="664"/>
    </row>
    <row r="384">
      <c r="A384" s="664"/>
      <c r="B384" s="664"/>
      <c r="C384" s="664"/>
      <c r="D384" s="664"/>
      <c r="E384" s="664"/>
      <c r="F384" s="664"/>
      <c r="G384" s="664"/>
      <c r="H384" s="664"/>
      <c r="I384" s="664"/>
      <c r="J384" s="664"/>
      <c r="K384" s="664"/>
      <c r="L384" s="664"/>
      <c r="M384" s="664"/>
      <c r="N384" s="664"/>
      <c r="O384" s="664"/>
      <c r="P384" s="664"/>
      <c r="Q384" s="664"/>
      <c r="R384" s="664"/>
      <c r="S384" s="664"/>
      <c r="T384" s="664"/>
      <c r="U384" s="664"/>
      <c r="V384" s="664"/>
      <c r="W384" s="664"/>
      <c r="X384" s="664"/>
      <c r="Y384" s="664"/>
      <c r="Z384" s="664"/>
    </row>
    <row r="385">
      <c r="A385" s="664"/>
      <c r="B385" s="664"/>
      <c r="C385" s="664"/>
      <c r="D385" s="664"/>
      <c r="E385" s="664"/>
      <c r="F385" s="664"/>
      <c r="G385" s="664"/>
      <c r="H385" s="664"/>
      <c r="I385" s="664"/>
      <c r="J385" s="664"/>
      <c r="K385" s="664"/>
      <c r="L385" s="664"/>
      <c r="M385" s="664"/>
      <c r="N385" s="664"/>
      <c r="O385" s="664"/>
      <c r="P385" s="664"/>
      <c r="Q385" s="664"/>
      <c r="R385" s="664"/>
      <c r="S385" s="664"/>
      <c r="T385" s="664"/>
      <c r="U385" s="664"/>
      <c r="V385" s="664"/>
      <c r="W385" s="664"/>
      <c r="X385" s="664"/>
      <c r="Y385" s="664"/>
      <c r="Z385" s="664"/>
    </row>
    <row r="386">
      <c r="A386" s="664"/>
      <c r="B386" s="664"/>
      <c r="C386" s="664"/>
      <c r="D386" s="664"/>
      <c r="E386" s="664"/>
      <c r="F386" s="664"/>
      <c r="G386" s="664"/>
      <c r="H386" s="664"/>
      <c r="I386" s="664"/>
      <c r="J386" s="664"/>
      <c r="K386" s="664"/>
      <c r="L386" s="664"/>
      <c r="M386" s="664"/>
      <c r="N386" s="664"/>
      <c r="O386" s="664"/>
      <c r="P386" s="664"/>
      <c r="Q386" s="664"/>
      <c r="R386" s="664"/>
      <c r="S386" s="664"/>
      <c r="T386" s="664"/>
      <c r="U386" s="664"/>
      <c r="V386" s="664"/>
      <c r="W386" s="664"/>
      <c r="X386" s="664"/>
      <c r="Y386" s="664"/>
      <c r="Z386" s="664"/>
    </row>
    <row r="387">
      <c r="A387" s="664"/>
      <c r="B387" s="664"/>
      <c r="C387" s="664"/>
      <c r="D387" s="664"/>
      <c r="E387" s="664"/>
      <c r="F387" s="664"/>
      <c r="G387" s="664"/>
      <c r="H387" s="664"/>
      <c r="I387" s="664"/>
      <c r="J387" s="664"/>
      <c r="K387" s="664"/>
      <c r="L387" s="664"/>
      <c r="M387" s="664"/>
      <c r="N387" s="664"/>
      <c r="O387" s="664"/>
      <c r="P387" s="664"/>
      <c r="Q387" s="664"/>
      <c r="R387" s="664"/>
      <c r="S387" s="664"/>
      <c r="T387" s="664"/>
      <c r="U387" s="664"/>
      <c r="V387" s="664"/>
      <c r="W387" s="664"/>
      <c r="X387" s="664"/>
      <c r="Y387" s="664"/>
      <c r="Z387" s="664"/>
    </row>
    <row r="388">
      <c r="A388" s="664"/>
      <c r="B388" s="664"/>
      <c r="C388" s="664"/>
      <c r="D388" s="664"/>
      <c r="E388" s="664"/>
      <c r="F388" s="664"/>
      <c r="G388" s="664"/>
      <c r="H388" s="664"/>
      <c r="I388" s="664"/>
      <c r="J388" s="664"/>
      <c r="K388" s="664"/>
      <c r="L388" s="664"/>
      <c r="M388" s="664"/>
      <c r="N388" s="664"/>
      <c r="O388" s="664"/>
      <c r="P388" s="664"/>
      <c r="Q388" s="664"/>
      <c r="R388" s="664"/>
      <c r="S388" s="664"/>
      <c r="T388" s="664"/>
      <c r="U388" s="664"/>
      <c r="V388" s="664"/>
      <c r="W388" s="664"/>
      <c r="X388" s="664"/>
      <c r="Y388" s="664"/>
      <c r="Z388" s="664"/>
    </row>
    <row r="389">
      <c r="A389" s="664"/>
      <c r="B389" s="664"/>
      <c r="C389" s="664"/>
      <c r="D389" s="664"/>
      <c r="E389" s="664"/>
      <c r="F389" s="664"/>
      <c r="G389" s="664"/>
      <c r="H389" s="664"/>
      <c r="I389" s="664"/>
      <c r="J389" s="664"/>
      <c r="K389" s="664"/>
      <c r="L389" s="664"/>
      <c r="M389" s="664"/>
      <c r="N389" s="664"/>
      <c r="O389" s="664"/>
      <c r="P389" s="664"/>
      <c r="Q389" s="664"/>
      <c r="R389" s="664"/>
      <c r="S389" s="664"/>
      <c r="T389" s="664"/>
      <c r="U389" s="664"/>
      <c r="V389" s="664"/>
      <c r="W389" s="664"/>
      <c r="X389" s="664"/>
      <c r="Y389" s="664"/>
      <c r="Z389" s="664"/>
    </row>
    <row r="390">
      <c r="A390" s="664"/>
      <c r="B390" s="664"/>
      <c r="C390" s="664"/>
      <c r="D390" s="664"/>
      <c r="E390" s="664"/>
      <c r="F390" s="664"/>
      <c r="G390" s="664"/>
      <c r="H390" s="664"/>
      <c r="I390" s="664"/>
      <c r="J390" s="664"/>
      <c r="K390" s="664"/>
      <c r="L390" s="664"/>
      <c r="M390" s="664"/>
      <c r="N390" s="664"/>
      <c r="O390" s="664"/>
      <c r="P390" s="664"/>
      <c r="Q390" s="664"/>
      <c r="R390" s="664"/>
      <c r="S390" s="664"/>
      <c r="T390" s="664"/>
      <c r="U390" s="664"/>
      <c r="V390" s="664"/>
      <c r="W390" s="664"/>
      <c r="X390" s="664"/>
      <c r="Y390" s="664"/>
      <c r="Z390" s="664"/>
    </row>
    <row r="391">
      <c r="A391" s="664"/>
      <c r="B391" s="664"/>
      <c r="C391" s="664"/>
      <c r="D391" s="664"/>
      <c r="E391" s="664"/>
      <c r="F391" s="664"/>
      <c r="G391" s="664"/>
      <c r="H391" s="664"/>
      <c r="I391" s="664"/>
      <c r="J391" s="664"/>
      <c r="K391" s="664"/>
      <c r="L391" s="664"/>
      <c r="M391" s="664"/>
      <c r="N391" s="664"/>
      <c r="O391" s="664"/>
      <c r="P391" s="664"/>
      <c r="Q391" s="664"/>
      <c r="R391" s="664"/>
      <c r="S391" s="664"/>
      <c r="T391" s="664"/>
      <c r="U391" s="664"/>
      <c r="V391" s="664"/>
      <c r="W391" s="664"/>
      <c r="X391" s="664"/>
      <c r="Y391" s="664"/>
      <c r="Z391" s="664"/>
    </row>
    <row r="392">
      <c r="A392" s="664"/>
      <c r="B392" s="664"/>
      <c r="C392" s="664"/>
      <c r="D392" s="664"/>
      <c r="E392" s="664"/>
      <c r="F392" s="664"/>
      <c r="G392" s="664"/>
      <c r="H392" s="664"/>
      <c r="I392" s="664"/>
      <c r="J392" s="664"/>
      <c r="K392" s="664"/>
      <c r="L392" s="664"/>
      <c r="M392" s="664"/>
      <c r="N392" s="664"/>
      <c r="O392" s="664"/>
      <c r="P392" s="664"/>
      <c r="Q392" s="664"/>
      <c r="R392" s="664"/>
      <c r="S392" s="664"/>
      <c r="T392" s="664"/>
      <c r="U392" s="664"/>
      <c r="V392" s="664"/>
      <c r="W392" s="664"/>
      <c r="X392" s="664"/>
      <c r="Y392" s="664"/>
      <c r="Z392" s="664"/>
    </row>
    <row r="393">
      <c r="A393" s="664"/>
      <c r="B393" s="664"/>
      <c r="C393" s="664"/>
      <c r="D393" s="664"/>
      <c r="E393" s="664"/>
      <c r="F393" s="664"/>
      <c r="G393" s="664"/>
      <c r="H393" s="664"/>
      <c r="I393" s="664"/>
      <c r="J393" s="664"/>
      <c r="K393" s="664"/>
      <c r="L393" s="664"/>
      <c r="M393" s="664"/>
      <c r="N393" s="664"/>
      <c r="O393" s="664"/>
      <c r="P393" s="664"/>
      <c r="Q393" s="664"/>
      <c r="R393" s="664"/>
      <c r="S393" s="664"/>
      <c r="T393" s="664"/>
      <c r="U393" s="664"/>
      <c r="V393" s="664"/>
      <c r="W393" s="664"/>
      <c r="X393" s="664"/>
      <c r="Y393" s="664"/>
      <c r="Z393" s="664"/>
    </row>
    <row r="394">
      <c r="A394" s="664"/>
      <c r="B394" s="664"/>
      <c r="C394" s="664"/>
      <c r="D394" s="664"/>
      <c r="E394" s="664"/>
      <c r="F394" s="664"/>
      <c r="G394" s="664"/>
      <c r="H394" s="664"/>
      <c r="I394" s="664"/>
      <c r="J394" s="664"/>
      <c r="K394" s="664"/>
      <c r="L394" s="664"/>
      <c r="M394" s="664"/>
      <c r="N394" s="664"/>
      <c r="O394" s="664"/>
      <c r="P394" s="664"/>
      <c r="Q394" s="664"/>
      <c r="R394" s="664"/>
      <c r="S394" s="664"/>
      <c r="T394" s="664"/>
      <c r="U394" s="664"/>
      <c r="V394" s="664"/>
      <c r="W394" s="664"/>
      <c r="X394" s="664"/>
      <c r="Y394" s="664"/>
      <c r="Z394" s="664"/>
    </row>
    <row r="395">
      <c r="A395" s="664"/>
      <c r="B395" s="664"/>
      <c r="C395" s="664"/>
      <c r="D395" s="664"/>
      <c r="E395" s="664"/>
      <c r="F395" s="664"/>
      <c r="G395" s="664"/>
      <c r="H395" s="664"/>
      <c r="I395" s="664"/>
      <c r="J395" s="664"/>
      <c r="K395" s="664"/>
      <c r="L395" s="664"/>
      <c r="M395" s="664"/>
      <c r="N395" s="664"/>
      <c r="O395" s="664"/>
      <c r="P395" s="664"/>
      <c r="Q395" s="664"/>
      <c r="R395" s="664"/>
      <c r="S395" s="664"/>
      <c r="T395" s="664"/>
      <c r="U395" s="664"/>
      <c r="V395" s="664"/>
      <c r="W395" s="664"/>
      <c r="X395" s="664"/>
      <c r="Y395" s="664"/>
      <c r="Z395" s="664"/>
    </row>
    <row r="396">
      <c r="A396" s="664"/>
      <c r="B396" s="664"/>
      <c r="C396" s="664"/>
      <c r="D396" s="664"/>
      <c r="E396" s="664"/>
      <c r="F396" s="664"/>
      <c r="G396" s="664"/>
      <c r="H396" s="664"/>
      <c r="I396" s="664"/>
      <c r="J396" s="664"/>
      <c r="K396" s="664"/>
      <c r="L396" s="664"/>
      <c r="M396" s="664"/>
      <c r="N396" s="664"/>
      <c r="O396" s="664"/>
      <c r="P396" s="664"/>
      <c r="Q396" s="664"/>
      <c r="R396" s="664"/>
      <c r="S396" s="664"/>
      <c r="T396" s="664"/>
      <c r="U396" s="664"/>
      <c r="V396" s="664"/>
      <c r="W396" s="664"/>
      <c r="X396" s="664"/>
      <c r="Y396" s="664"/>
      <c r="Z396" s="664"/>
    </row>
    <row r="397">
      <c r="A397" s="664"/>
      <c r="B397" s="664"/>
      <c r="C397" s="664"/>
      <c r="D397" s="664"/>
      <c r="E397" s="664"/>
      <c r="F397" s="664"/>
      <c r="G397" s="664"/>
      <c r="H397" s="664"/>
      <c r="I397" s="664"/>
      <c r="J397" s="664"/>
      <c r="K397" s="664"/>
      <c r="L397" s="664"/>
      <c r="M397" s="664"/>
      <c r="N397" s="664"/>
      <c r="O397" s="664"/>
      <c r="P397" s="664"/>
      <c r="Q397" s="664"/>
      <c r="R397" s="664"/>
      <c r="S397" s="664"/>
      <c r="T397" s="664"/>
      <c r="U397" s="664"/>
      <c r="V397" s="664"/>
      <c r="W397" s="664"/>
      <c r="X397" s="664"/>
      <c r="Y397" s="664"/>
      <c r="Z397" s="664"/>
    </row>
    <row r="398">
      <c r="A398" s="664"/>
      <c r="B398" s="664"/>
      <c r="C398" s="664"/>
      <c r="D398" s="664"/>
      <c r="E398" s="664"/>
      <c r="F398" s="664"/>
      <c r="G398" s="664"/>
      <c r="H398" s="664"/>
      <c r="I398" s="664"/>
      <c r="J398" s="664"/>
      <c r="K398" s="664"/>
      <c r="L398" s="664"/>
      <c r="M398" s="664"/>
      <c r="N398" s="664"/>
      <c r="O398" s="664"/>
      <c r="P398" s="664"/>
      <c r="Q398" s="664"/>
      <c r="R398" s="664"/>
      <c r="S398" s="664"/>
      <c r="T398" s="664"/>
      <c r="U398" s="664"/>
      <c r="V398" s="664"/>
      <c r="W398" s="664"/>
      <c r="X398" s="664"/>
      <c r="Y398" s="664"/>
      <c r="Z398" s="664"/>
    </row>
    <row r="399">
      <c r="A399" s="664"/>
      <c r="B399" s="664"/>
      <c r="C399" s="664"/>
      <c r="D399" s="664"/>
      <c r="E399" s="664"/>
      <c r="F399" s="664"/>
      <c r="G399" s="664"/>
      <c r="H399" s="664"/>
      <c r="I399" s="664"/>
      <c r="J399" s="664"/>
      <c r="K399" s="664"/>
      <c r="L399" s="664"/>
      <c r="M399" s="664"/>
      <c r="N399" s="664"/>
      <c r="O399" s="664"/>
      <c r="P399" s="664"/>
      <c r="Q399" s="664"/>
      <c r="R399" s="664"/>
      <c r="S399" s="664"/>
      <c r="T399" s="664"/>
      <c r="U399" s="664"/>
      <c r="V399" s="664"/>
      <c r="W399" s="664"/>
      <c r="X399" s="664"/>
      <c r="Y399" s="664"/>
      <c r="Z399" s="664"/>
    </row>
    <row r="400">
      <c r="A400" s="664"/>
      <c r="B400" s="664"/>
      <c r="C400" s="664"/>
      <c r="D400" s="664"/>
      <c r="E400" s="664"/>
      <c r="F400" s="664"/>
      <c r="G400" s="664"/>
      <c r="H400" s="664"/>
      <c r="I400" s="664"/>
      <c r="J400" s="664"/>
      <c r="K400" s="664"/>
      <c r="L400" s="664"/>
      <c r="M400" s="664"/>
      <c r="N400" s="664"/>
      <c r="O400" s="664"/>
      <c r="P400" s="664"/>
      <c r="Q400" s="664"/>
      <c r="R400" s="664"/>
      <c r="S400" s="664"/>
      <c r="T400" s="664"/>
      <c r="U400" s="664"/>
      <c r="V400" s="664"/>
      <c r="W400" s="664"/>
      <c r="X400" s="664"/>
      <c r="Y400" s="664"/>
      <c r="Z400" s="664"/>
    </row>
    <row r="401">
      <c r="A401" s="664"/>
      <c r="B401" s="664"/>
      <c r="C401" s="664"/>
      <c r="D401" s="664"/>
      <c r="E401" s="664"/>
      <c r="F401" s="664"/>
      <c r="G401" s="664"/>
      <c r="H401" s="664"/>
      <c r="I401" s="664"/>
      <c r="J401" s="664"/>
      <c r="K401" s="664"/>
      <c r="L401" s="664"/>
      <c r="M401" s="664"/>
      <c r="N401" s="664"/>
      <c r="O401" s="664"/>
      <c r="P401" s="664"/>
      <c r="Q401" s="664"/>
      <c r="R401" s="664"/>
      <c r="S401" s="664"/>
      <c r="T401" s="664"/>
      <c r="U401" s="664"/>
      <c r="V401" s="664"/>
      <c r="W401" s="664"/>
      <c r="X401" s="664"/>
      <c r="Y401" s="664"/>
      <c r="Z401" s="664"/>
    </row>
    <row r="402">
      <c r="A402" s="664"/>
      <c r="B402" s="664"/>
      <c r="C402" s="664"/>
      <c r="D402" s="664"/>
      <c r="E402" s="664"/>
      <c r="F402" s="664"/>
      <c r="G402" s="664"/>
      <c r="H402" s="664"/>
      <c r="I402" s="664"/>
      <c r="J402" s="664"/>
      <c r="K402" s="664"/>
      <c r="L402" s="664"/>
      <c r="M402" s="664"/>
      <c r="N402" s="664"/>
      <c r="O402" s="664"/>
      <c r="P402" s="664"/>
      <c r="Q402" s="664"/>
      <c r="R402" s="664"/>
      <c r="S402" s="664"/>
      <c r="T402" s="664"/>
      <c r="U402" s="664"/>
      <c r="V402" s="664"/>
      <c r="W402" s="664"/>
      <c r="X402" s="664"/>
      <c r="Y402" s="664"/>
      <c r="Z402" s="664"/>
    </row>
    <row r="403">
      <c r="A403" s="664"/>
      <c r="B403" s="664"/>
      <c r="C403" s="664"/>
      <c r="D403" s="664"/>
      <c r="E403" s="664"/>
      <c r="F403" s="664"/>
      <c r="G403" s="664"/>
      <c r="H403" s="664"/>
      <c r="I403" s="664"/>
      <c r="J403" s="664"/>
      <c r="K403" s="664"/>
      <c r="L403" s="664"/>
      <c r="M403" s="664"/>
      <c r="N403" s="664"/>
      <c r="O403" s="664"/>
      <c r="P403" s="664"/>
      <c r="Q403" s="664"/>
      <c r="R403" s="664"/>
      <c r="S403" s="664"/>
      <c r="T403" s="664"/>
      <c r="U403" s="664"/>
      <c r="V403" s="664"/>
      <c r="W403" s="664"/>
      <c r="X403" s="664"/>
      <c r="Y403" s="664"/>
      <c r="Z403" s="664"/>
    </row>
    <row r="404">
      <c r="A404" s="664"/>
      <c r="B404" s="664"/>
      <c r="C404" s="664"/>
      <c r="D404" s="664"/>
      <c r="E404" s="664"/>
      <c r="F404" s="664"/>
      <c r="G404" s="664"/>
      <c r="H404" s="664"/>
      <c r="I404" s="664"/>
      <c r="J404" s="664"/>
      <c r="K404" s="664"/>
      <c r="L404" s="664"/>
      <c r="M404" s="664"/>
      <c r="N404" s="664"/>
      <c r="O404" s="664"/>
      <c r="P404" s="664"/>
      <c r="Q404" s="664"/>
      <c r="R404" s="664"/>
      <c r="S404" s="664"/>
      <c r="T404" s="664"/>
      <c r="U404" s="664"/>
      <c r="V404" s="664"/>
      <c r="W404" s="664"/>
      <c r="X404" s="664"/>
      <c r="Y404" s="664"/>
      <c r="Z404" s="664"/>
    </row>
    <row r="405">
      <c r="A405" s="664"/>
      <c r="B405" s="664"/>
      <c r="C405" s="664"/>
      <c r="D405" s="664"/>
      <c r="E405" s="664"/>
      <c r="F405" s="664"/>
      <c r="G405" s="664"/>
      <c r="H405" s="664"/>
      <c r="I405" s="664"/>
      <c r="J405" s="664"/>
      <c r="K405" s="664"/>
      <c r="L405" s="664"/>
      <c r="M405" s="664"/>
      <c r="N405" s="664"/>
      <c r="O405" s="664"/>
      <c r="P405" s="664"/>
      <c r="Q405" s="664"/>
      <c r="R405" s="664"/>
      <c r="S405" s="664"/>
      <c r="T405" s="664"/>
      <c r="U405" s="664"/>
      <c r="V405" s="664"/>
      <c r="W405" s="664"/>
      <c r="X405" s="664"/>
      <c r="Y405" s="664"/>
      <c r="Z405" s="664"/>
    </row>
    <row r="406">
      <c r="A406" s="664"/>
      <c r="B406" s="664"/>
      <c r="C406" s="664"/>
      <c r="D406" s="664"/>
      <c r="E406" s="664"/>
      <c r="F406" s="664"/>
      <c r="G406" s="664"/>
      <c r="H406" s="664"/>
      <c r="I406" s="664"/>
      <c r="J406" s="664"/>
      <c r="K406" s="664"/>
      <c r="L406" s="664"/>
      <c r="M406" s="664"/>
      <c r="N406" s="664"/>
      <c r="O406" s="664"/>
      <c r="P406" s="664"/>
      <c r="Q406" s="664"/>
      <c r="R406" s="664"/>
      <c r="S406" s="664"/>
      <c r="T406" s="664"/>
      <c r="U406" s="664"/>
      <c r="V406" s="664"/>
      <c r="W406" s="664"/>
      <c r="X406" s="664"/>
      <c r="Y406" s="664"/>
      <c r="Z406" s="664"/>
    </row>
    <row r="407">
      <c r="A407" s="664"/>
      <c r="B407" s="664"/>
      <c r="C407" s="664"/>
      <c r="D407" s="664"/>
      <c r="E407" s="664"/>
      <c r="F407" s="664"/>
      <c r="G407" s="664"/>
      <c r="H407" s="664"/>
      <c r="I407" s="664"/>
      <c r="J407" s="664"/>
      <c r="K407" s="664"/>
      <c r="L407" s="664"/>
      <c r="M407" s="664"/>
      <c r="N407" s="664"/>
      <c r="O407" s="664"/>
      <c r="P407" s="664"/>
      <c r="Q407" s="664"/>
      <c r="R407" s="664"/>
      <c r="S407" s="664"/>
      <c r="T407" s="664"/>
      <c r="U407" s="664"/>
      <c r="V407" s="664"/>
      <c r="W407" s="664"/>
      <c r="X407" s="664"/>
      <c r="Y407" s="664"/>
      <c r="Z407" s="664"/>
    </row>
    <row r="408">
      <c r="A408" s="664"/>
      <c r="B408" s="664"/>
      <c r="C408" s="664"/>
      <c r="D408" s="664"/>
      <c r="E408" s="664"/>
      <c r="F408" s="664"/>
      <c r="G408" s="664"/>
      <c r="H408" s="664"/>
      <c r="I408" s="664"/>
      <c r="J408" s="664"/>
      <c r="K408" s="664"/>
      <c r="L408" s="664"/>
      <c r="M408" s="664"/>
      <c r="N408" s="664"/>
      <c r="O408" s="664"/>
      <c r="P408" s="664"/>
      <c r="Q408" s="664"/>
      <c r="R408" s="664"/>
      <c r="S408" s="664"/>
      <c r="T408" s="664"/>
      <c r="U408" s="664"/>
      <c r="V408" s="664"/>
      <c r="W408" s="664"/>
      <c r="X408" s="664"/>
      <c r="Y408" s="664"/>
      <c r="Z408" s="664"/>
    </row>
    <row r="409">
      <c r="A409" s="664"/>
      <c r="B409" s="664"/>
      <c r="C409" s="664"/>
      <c r="D409" s="664"/>
      <c r="E409" s="664"/>
      <c r="F409" s="664"/>
      <c r="G409" s="664"/>
      <c r="H409" s="664"/>
      <c r="I409" s="664"/>
      <c r="J409" s="664"/>
      <c r="K409" s="664"/>
      <c r="L409" s="664"/>
      <c r="M409" s="664"/>
      <c r="N409" s="664"/>
      <c r="O409" s="664"/>
      <c r="P409" s="664"/>
      <c r="Q409" s="664"/>
      <c r="R409" s="664"/>
      <c r="S409" s="664"/>
      <c r="T409" s="664"/>
      <c r="U409" s="664"/>
      <c r="V409" s="664"/>
      <c r="W409" s="664"/>
      <c r="X409" s="664"/>
      <c r="Y409" s="664"/>
      <c r="Z409" s="664"/>
    </row>
    <row r="410">
      <c r="A410" s="664"/>
      <c r="B410" s="664"/>
      <c r="C410" s="664"/>
      <c r="D410" s="664"/>
      <c r="E410" s="664"/>
      <c r="F410" s="664"/>
      <c r="G410" s="664"/>
      <c r="H410" s="664"/>
      <c r="I410" s="664"/>
      <c r="J410" s="664"/>
      <c r="K410" s="664"/>
      <c r="L410" s="664"/>
      <c r="M410" s="664"/>
      <c r="N410" s="664"/>
      <c r="O410" s="664"/>
      <c r="P410" s="664"/>
      <c r="Q410" s="664"/>
      <c r="R410" s="664"/>
      <c r="S410" s="664"/>
      <c r="T410" s="664"/>
      <c r="U410" s="664"/>
      <c r="V410" s="664"/>
      <c r="W410" s="664"/>
      <c r="X410" s="664"/>
      <c r="Y410" s="664"/>
      <c r="Z410" s="664"/>
    </row>
    <row r="411">
      <c r="A411" s="664"/>
      <c r="B411" s="664"/>
      <c r="C411" s="664"/>
      <c r="D411" s="664"/>
      <c r="E411" s="664"/>
      <c r="F411" s="664"/>
      <c r="G411" s="664"/>
      <c r="H411" s="664"/>
      <c r="I411" s="664"/>
      <c r="J411" s="664"/>
      <c r="K411" s="664"/>
      <c r="L411" s="664"/>
      <c r="M411" s="664"/>
      <c r="N411" s="664"/>
      <c r="O411" s="664"/>
      <c r="P411" s="664"/>
      <c r="Q411" s="664"/>
      <c r="R411" s="664"/>
      <c r="S411" s="664"/>
      <c r="T411" s="664"/>
      <c r="U411" s="664"/>
      <c r="V411" s="664"/>
      <c r="W411" s="664"/>
      <c r="X411" s="664"/>
      <c r="Y411" s="664"/>
      <c r="Z411" s="664"/>
    </row>
    <row r="412">
      <c r="A412" s="664"/>
      <c r="B412" s="664"/>
      <c r="C412" s="664"/>
      <c r="D412" s="664"/>
      <c r="E412" s="664"/>
      <c r="F412" s="664"/>
      <c r="G412" s="664"/>
      <c r="H412" s="664"/>
      <c r="I412" s="664"/>
      <c r="J412" s="664"/>
      <c r="K412" s="664"/>
      <c r="L412" s="664"/>
      <c r="M412" s="664"/>
      <c r="N412" s="664"/>
      <c r="O412" s="664"/>
      <c r="P412" s="664"/>
      <c r="Q412" s="664"/>
      <c r="R412" s="664"/>
      <c r="S412" s="664"/>
      <c r="T412" s="664"/>
      <c r="U412" s="664"/>
      <c r="V412" s="664"/>
      <c r="W412" s="664"/>
      <c r="X412" s="664"/>
      <c r="Y412" s="664"/>
      <c r="Z412" s="664"/>
    </row>
    <row r="413">
      <c r="A413" s="664"/>
      <c r="B413" s="664"/>
      <c r="C413" s="664"/>
      <c r="D413" s="664"/>
      <c r="E413" s="664"/>
      <c r="F413" s="664"/>
      <c r="G413" s="664"/>
      <c r="H413" s="664"/>
      <c r="I413" s="664"/>
      <c r="J413" s="664"/>
      <c r="K413" s="664"/>
      <c r="L413" s="664"/>
      <c r="M413" s="664"/>
      <c r="N413" s="664"/>
      <c r="O413" s="664"/>
      <c r="P413" s="664"/>
      <c r="Q413" s="664"/>
      <c r="R413" s="664"/>
      <c r="S413" s="664"/>
      <c r="T413" s="664"/>
      <c r="U413" s="664"/>
      <c r="V413" s="664"/>
      <c r="W413" s="664"/>
      <c r="X413" s="664"/>
      <c r="Y413" s="664"/>
      <c r="Z413" s="664"/>
    </row>
    <row r="414">
      <c r="A414" s="664"/>
      <c r="B414" s="664"/>
      <c r="C414" s="664"/>
      <c r="D414" s="664"/>
      <c r="E414" s="664"/>
      <c r="F414" s="664"/>
      <c r="G414" s="664"/>
      <c r="H414" s="664"/>
      <c r="I414" s="664"/>
      <c r="J414" s="664"/>
      <c r="K414" s="664"/>
      <c r="L414" s="664"/>
      <c r="M414" s="664"/>
      <c r="N414" s="664"/>
      <c r="O414" s="664"/>
      <c r="P414" s="664"/>
      <c r="Q414" s="664"/>
      <c r="R414" s="664"/>
      <c r="S414" s="664"/>
      <c r="T414" s="664"/>
      <c r="U414" s="664"/>
      <c r="V414" s="664"/>
      <c r="W414" s="664"/>
      <c r="X414" s="664"/>
      <c r="Y414" s="664"/>
      <c r="Z414" s="664"/>
    </row>
    <row r="415">
      <c r="A415" s="664"/>
      <c r="B415" s="664"/>
      <c r="C415" s="664"/>
      <c r="D415" s="664"/>
      <c r="E415" s="664"/>
      <c r="F415" s="664"/>
      <c r="G415" s="664"/>
      <c r="H415" s="664"/>
      <c r="I415" s="664"/>
      <c r="J415" s="664"/>
      <c r="K415" s="664"/>
      <c r="L415" s="664"/>
      <c r="M415" s="664"/>
      <c r="N415" s="664"/>
      <c r="O415" s="664"/>
      <c r="P415" s="664"/>
      <c r="Q415" s="664"/>
      <c r="R415" s="664"/>
      <c r="S415" s="664"/>
      <c r="T415" s="664"/>
      <c r="U415" s="664"/>
      <c r="V415" s="664"/>
      <c r="W415" s="664"/>
      <c r="X415" s="664"/>
      <c r="Y415" s="664"/>
      <c r="Z415" s="664"/>
    </row>
    <row r="416">
      <c r="A416" s="664"/>
      <c r="B416" s="664"/>
      <c r="C416" s="664"/>
      <c r="D416" s="664"/>
      <c r="E416" s="664"/>
      <c r="F416" s="664"/>
      <c r="G416" s="664"/>
      <c r="H416" s="664"/>
      <c r="I416" s="664"/>
      <c r="J416" s="664"/>
      <c r="K416" s="664"/>
      <c r="L416" s="664"/>
      <c r="M416" s="664"/>
      <c r="N416" s="664"/>
      <c r="O416" s="664"/>
      <c r="P416" s="664"/>
      <c r="Q416" s="664"/>
      <c r="R416" s="664"/>
      <c r="S416" s="664"/>
      <c r="T416" s="664"/>
      <c r="U416" s="664"/>
      <c r="V416" s="664"/>
      <c r="W416" s="664"/>
      <c r="X416" s="664"/>
      <c r="Y416" s="664"/>
      <c r="Z416" s="664"/>
    </row>
    <row r="417">
      <c r="A417" s="664"/>
      <c r="B417" s="664"/>
      <c r="C417" s="664"/>
      <c r="D417" s="664"/>
      <c r="E417" s="664"/>
      <c r="F417" s="664"/>
      <c r="G417" s="664"/>
      <c r="H417" s="664"/>
      <c r="I417" s="664"/>
      <c r="J417" s="664"/>
      <c r="K417" s="664"/>
      <c r="L417" s="664"/>
      <c r="M417" s="664"/>
      <c r="N417" s="664"/>
      <c r="O417" s="664"/>
      <c r="P417" s="664"/>
      <c r="Q417" s="664"/>
      <c r="R417" s="664"/>
      <c r="S417" s="664"/>
      <c r="T417" s="664"/>
      <c r="U417" s="664"/>
      <c r="V417" s="664"/>
      <c r="W417" s="664"/>
      <c r="X417" s="664"/>
      <c r="Y417" s="664"/>
      <c r="Z417" s="664"/>
    </row>
    <row r="418">
      <c r="A418" s="664"/>
      <c r="B418" s="664"/>
      <c r="C418" s="664"/>
      <c r="D418" s="664"/>
      <c r="E418" s="664"/>
      <c r="F418" s="664"/>
      <c r="G418" s="664"/>
      <c r="H418" s="664"/>
      <c r="I418" s="664"/>
      <c r="J418" s="664"/>
      <c r="K418" s="664"/>
      <c r="L418" s="664"/>
      <c r="M418" s="664"/>
      <c r="N418" s="664"/>
      <c r="O418" s="664"/>
      <c r="P418" s="664"/>
      <c r="Q418" s="664"/>
      <c r="R418" s="664"/>
      <c r="S418" s="664"/>
      <c r="T418" s="664"/>
      <c r="U418" s="664"/>
      <c r="V418" s="664"/>
      <c r="W418" s="664"/>
      <c r="X418" s="664"/>
      <c r="Y418" s="664"/>
      <c r="Z418" s="664"/>
    </row>
    <row r="419">
      <c r="A419" s="664"/>
      <c r="B419" s="664"/>
      <c r="C419" s="664"/>
      <c r="D419" s="664"/>
      <c r="E419" s="664"/>
      <c r="F419" s="664"/>
      <c r="G419" s="664"/>
      <c r="H419" s="664"/>
      <c r="I419" s="664"/>
      <c r="J419" s="664"/>
      <c r="K419" s="664"/>
      <c r="L419" s="664"/>
      <c r="M419" s="664"/>
      <c r="N419" s="664"/>
      <c r="O419" s="664"/>
      <c r="P419" s="664"/>
      <c r="Q419" s="664"/>
      <c r="R419" s="664"/>
      <c r="S419" s="664"/>
      <c r="T419" s="664"/>
      <c r="U419" s="664"/>
      <c r="V419" s="664"/>
      <c r="W419" s="664"/>
      <c r="X419" s="664"/>
      <c r="Y419" s="664"/>
      <c r="Z419" s="664"/>
    </row>
    <row r="420">
      <c r="A420" s="664"/>
      <c r="B420" s="664"/>
      <c r="C420" s="664"/>
      <c r="D420" s="664"/>
      <c r="E420" s="664"/>
      <c r="F420" s="664"/>
      <c r="G420" s="664"/>
      <c r="H420" s="664"/>
      <c r="I420" s="664"/>
      <c r="J420" s="664"/>
      <c r="K420" s="664"/>
      <c r="L420" s="664"/>
      <c r="M420" s="664"/>
      <c r="N420" s="664"/>
      <c r="O420" s="664"/>
      <c r="P420" s="664"/>
      <c r="Q420" s="664"/>
      <c r="R420" s="664"/>
      <c r="S420" s="664"/>
      <c r="T420" s="664"/>
      <c r="U420" s="664"/>
      <c r="V420" s="664"/>
      <c r="W420" s="664"/>
      <c r="X420" s="664"/>
      <c r="Y420" s="664"/>
      <c r="Z420" s="664"/>
    </row>
    <row r="421">
      <c r="A421" s="664"/>
      <c r="B421" s="664"/>
      <c r="C421" s="664"/>
      <c r="D421" s="664"/>
      <c r="E421" s="664"/>
      <c r="F421" s="664"/>
      <c r="G421" s="664"/>
      <c r="H421" s="664"/>
      <c r="I421" s="664"/>
      <c r="J421" s="664"/>
      <c r="K421" s="664"/>
      <c r="L421" s="664"/>
      <c r="M421" s="664"/>
      <c r="N421" s="664"/>
      <c r="O421" s="664"/>
      <c r="P421" s="664"/>
      <c r="Q421" s="664"/>
      <c r="R421" s="664"/>
      <c r="S421" s="664"/>
      <c r="T421" s="664"/>
      <c r="U421" s="664"/>
      <c r="V421" s="664"/>
      <c r="W421" s="664"/>
      <c r="X421" s="664"/>
      <c r="Y421" s="664"/>
      <c r="Z421" s="664"/>
    </row>
    <row r="422">
      <c r="A422" s="664"/>
      <c r="B422" s="664"/>
      <c r="C422" s="664"/>
      <c r="D422" s="664"/>
      <c r="E422" s="664"/>
      <c r="F422" s="664"/>
      <c r="G422" s="664"/>
      <c r="H422" s="664"/>
      <c r="I422" s="664"/>
      <c r="J422" s="664"/>
      <c r="K422" s="664"/>
      <c r="L422" s="664"/>
      <c r="M422" s="664"/>
      <c r="N422" s="664"/>
      <c r="O422" s="664"/>
      <c r="P422" s="664"/>
      <c r="Q422" s="664"/>
      <c r="R422" s="664"/>
      <c r="S422" s="664"/>
      <c r="T422" s="664"/>
      <c r="U422" s="664"/>
      <c r="V422" s="664"/>
      <c r="W422" s="664"/>
      <c r="X422" s="664"/>
      <c r="Y422" s="664"/>
      <c r="Z422" s="664"/>
    </row>
    <row r="423">
      <c r="A423" s="664"/>
      <c r="B423" s="664"/>
      <c r="C423" s="664"/>
      <c r="D423" s="664"/>
      <c r="E423" s="664"/>
      <c r="F423" s="664"/>
      <c r="G423" s="664"/>
      <c r="H423" s="664"/>
      <c r="I423" s="664"/>
      <c r="J423" s="664"/>
      <c r="K423" s="664"/>
      <c r="L423" s="664"/>
      <c r="M423" s="664"/>
      <c r="N423" s="664"/>
      <c r="O423" s="664"/>
      <c r="P423" s="664"/>
      <c r="Q423" s="664"/>
      <c r="R423" s="664"/>
      <c r="S423" s="664"/>
      <c r="T423" s="664"/>
      <c r="U423" s="664"/>
      <c r="V423" s="664"/>
      <c r="W423" s="664"/>
      <c r="X423" s="664"/>
      <c r="Y423" s="664"/>
      <c r="Z423" s="664"/>
    </row>
    <row r="424">
      <c r="A424" s="664"/>
      <c r="B424" s="664"/>
      <c r="C424" s="664"/>
      <c r="D424" s="664"/>
      <c r="E424" s="664"/>
      <c r="F424" s="664"/>
      <c r="G424" s="664"/>
      <c r="H424" s="664"/>
      <c r="I424" s="664"/>
      <c r="J424" s="664"/>
      <c r="K424" s="664"/>
      <c r="L424" s="664"/>
      <c r="M424" s="664"/>
      <c r="N424" s="664"/>
      <c r="O424" s="664"/>
      <c r="P424" s="664"/>
      <c r="Q424" s="664"/>
      <c r="R424" s="664"/>
      <c r="S424" s="664"/>
      <c r="T424" s="664"/>
      <c r="U424" s="664"/>
      <c r="V424" s="664"/>
      <c r="W424" s="664"/>
      <c r="X424" s="664"/>
      <c r="Y424" s="664"/>
      <c r="Z424" s="664"/>
    </row>
    <row r="425">
      <c r="A425" s="664"/>
      <c r="B425" s="664"/>
      <c r="C425" s="664"/>
      <c r="D425" s="664"/>
      <c r="E425" s="664"/>
      <c r="F425" s="664"/>
      <c r="G425" s="664"/>
      <c r="H425" s="664"/>
      <c r="I425" s="664"/>
      <c r="J425" s="664"/>
      <c r="K425" s="664"/>
      <c r="L425" s="664"/>
      <c r="M425" s="664"/>
      <c r="N425" s="664"/>
      <c r="O425" s="664"/>
      <c r="P425" s="664"/>
      <c r="Q425" s="664"/>
      <c r="R425" s="664"/>
      <c r="S425" s="664"/>
      <c r="T425" s="664"/>
      <c r="U425" s="664"/>
      <c r="V425" s="664"/>
      <c r="W425" s="664"/>
      <c r="X425" s="664"/>
      <c r="Y425" s="664"/>
      <c r="Z425" s="664"/>
    </row>
    <row r="426">
      <c r="A426" s="664"/>
      <c r="B426" s="664"/>
      <c r="C426" s="664"/>
      <c r="D426" s="664"/>
      <c r="E426" s="664"/>
      <c r="F426" s="664"/>
      <c r="G426" s="664"/>
      <c r="H426" s="664"/>
      <c r="I426" s="664"/>
      <c r="J426" s="664"/>
      <c r="K426" s="664"/>
      <c r="L426" s="664"/>
      <c r="M426" s="664"/>
      <c r="N426" s="664"/>
      <c r="O426" s="664"/>
      <c r="P426" s="664"/>
      <c r="Q426" s="664"/>
      <c r="R426" s="664"/>
      <c r="S426" s="664"/>
      <c r="T426" s="664"/>
      <c r="U426" s="664"/>
      <c r="V426" s="664"/>
      <c r="W426" s="664"/>
      <c r="X426" s="664"/>
      <c r="Y426" s="664"/>
      <c r="Z426" s="664"/>
    </row>
    <row r="427">
      <c r="A427" s="664"/>
      <c r="B427" s="664"/>
      <c r="C427" s="664"/>
      <c r="D427" s="664"/>
      <c r="E427" s="664"/>
      <c r="F427" s="664"/>
      <c r="G427" s="664"/>
      <c r="H427" s="664"/>
      <c r="I427" s="664"/>
      <c r="J427" s="664"/>
      <c r="K427" s="664"/>
      <c r="L427" s="664"/>
      <c r="M427" s="664"/>
      <c r="N427" s="664"/>
      <c r="O427" s="664"/>
      <c r="P427" s="664"/>
      <c r="Q427" s="664"/>
      <c r="R427" s="664"/>
      <c r="S427" s="664"/>
      <c r="T427" s="664"/>
      <c r="U427" s="664"/>
      <c r="V427" s="664"/>
      <c r="W427" s="664"/>
      <c r="X427" s="664"/>
      <c r="Y427" s="664"/>
      <c r="Z427" s="664"/>
    </row>
    <row r="428">
      <c r="A428" s="664"/>
      <c r="B428" s="664"/>
      <c r="C428" s="664"/>
      <c r="D428" s="664"/>
      <c r="E428" s="664"/>
      <c r="F428" s="664"/>
      <c r="G428" s="664"/>
      <c r="H428" s="664"/>
      <c r="I428" s="664"/>
      <c r="J428" s="664"/>
      <c r="K428" s="664"/>
      <c r="L428" s="664"/>
      <c r="M428" s="664"/>
      <c r="N428" s="664"/>
      <c r="O428" s="664"/>
      <c r="P428" s="664"/>
      <c r="Q428" s="664"/>
      <c r="R428" s="664"/>
      <c r="S428" s="664"/>
      <c r="T428" s="664"/>
      <c r="U428" s="664"/>
      <c r="V428" s="664"/>
      <c r="W428" s="664"/>
      <c r="X428" s="664"/>
      <c r="Y428" s="664"/>
      <c r="Z428" s="664"/>
    </row>
    <row r="429">
      <c r="A429" s="664"/>
      <c r="B429" s="664"/>
      <c r="C429" s="664"/>
      <c r="D429" s="664"/>
      <c r="E429" s="664"/>
      <c r="F429" s="664"/>
      <c r="G429" s="664"/>
      <c r="H429" s="664"/>
      <c r="I429" s="664"/>
      <c r="J429" s="664"/>
      <c r="K429" s="664"/>
      <c r="L429" s="664"/>
      <c r="M429" s="664"/>
      <c r="N429" s="664"/>
      <c r="O429" s="664"/>
      <c r="P429" s="664"/>
      <c r="Q429" s="664"/>
      <c r="R429" s="664"/>
      <c r="S429" s="664"/>
      <c r="T429" s="664"/>
      <c r="U429" s="664"/>
      <c r="V429" s="664"/>
      <c r="W429" s="664"/>
      <c r="X429" s="664"/>
      <c r="Y429" s="664"/>
      <c r="Z429" s="664"/>
    </row>
    <row r="430">
      <c r="A430" s="664"/>
      <c r="B430" s="664"/>
      <c r="C430" s="664"/>
      <c r="D430" s="664"/>
      <c r="E430" s="664"/>
      <c r="F430" s="664"/>
      <c r="G430" s="664"/>
      <c r="H430" s="664"/>
      <c r="I430" s="664"/>
      <c r="J430" s="664"/>
      <c r="K430" s="664"/>
      <c r="L430" s="664"/>
      <c r="M430" s="664"/>
      <c r="N430" s="664"/>
      <c r="O430" s="664"/>
      <c r="P430" s="664"/>
      <c r="Q430" s="664"/>
      <c r="R430" s="664"/>
      <c r="S430" s="664"/>
      <c r="T430" s="664"/>
      <c r="U430" s="664"/>
      <c r="V430" s="664"/>
      <c r="W430" s="664"/>
      <c r="X430" s="664"/>
      <c r="Y430" s="664"/>
      <c r="Z430" s="664"/>
    </row>
    <row r="431">
      <c r="A431" s="664"/>
      <c r="B431" s="664"/>
      <c r="C431" s="664"/>
      <c r="D431" s="664"/>
      <c r="E431" s="664"/>
      <c r="F431" s="664"/>
      <c r="G431" s="664"/>
      <c r="H431" s="664"/>
      <c r="I431" s="664"/>
      <c r="J431" s="664"/>
      <c r="K431" s="664"/>
      <c r="L431" s="664"/>
      <c r="M431" s="664"/>
      <c r="N431" s="664"/>
      <c r="O431" s="664"/>
      <c r="P431" s="664"/>
      <c r="Q431" s="664"/>
      <c r="R431" s="664"/>
      <c r="S431" s="664"/>
      <c r="T431" s="664"/>
      <c r="U431" s="664"/>
      <c r="V431" s="664"/>
      <c r="W431" s="664"/>
      <c r="X431" s="664"/>
      <c r="Y431" s="664"/>
      <c r="Z431" s="664"/>
    </row>
    <row r="432">
      <c r="A432" s="664"/>
      <c r="B432" s="664"/>
      <c r="C432" s="664"/>
      <c r="D432" s="664"/>
      <c r="E432" s="664"/>
      <c r="F432" s="664"/>
      <c r="G432" s="664"/>
      <c r="H432" s="664"/>
      <c r="I432" s="664"/>
      <c r="J432" s="664"/>
      <c r="K432" s="664"/>
      <c r="L432" s="664"/>
      <c r="M432" s="664"/>
      <c r="N432" s="664"/>
      <c r="O432" s="664"/>
      <c r="P432" s="664"/>
      <c r="Q432" s="664"/>
      <c r="R432" s="664"/>
      <c r="S432" s="664"/>
      <c r="T432" s="664"/>
      <c r="U432" s="664"/>
      <c r="V432" s="664"/>
      <c r="W432" s="664"/>
      <c r="X432" s="664"/>
      <c r="Y432" s="664"/>
      <c r="Z432" s="664"/>
    </row>
    <row r="433">
      <c r="A433" s="664"/>
      <c r="B433" s="664"/>
      <c r="C433" s="664"/>
      <c r="D433" s="664"/>
      <c r="E433" s="664"/>
      <c r="F433" s="664"/>
      <c r="G433" s="664"/>
      <c r="H433" s="664"/>
      <c r="I433" s="664"/>
      <c r="J433" s="664"/>
      <c r="K433" s="664"/>
      <c r="L433" s="664"/>
      <c r="M433" s="664"/>
      <c r="N433" s="664"/>
      <c r="O433" s="664"/>
      <c r="P433" s="664"/>
      <c r="Q433" s="664"/>
      <c r="R433" s="664"/>
      <c r="S433" s="664"/>
      <c r="T433" s="664"/>
      <c r="U433" s="664"/>
      <c r="V433" s="664"/>
      <c r="W433" s="664"/>
      <c r="X433" s="664"/>
      <c r="Y433" s="664"/>
      <c r="Z433" s="664"/>
    </row>
    <row r="434">
      <c r="A434" s="664"/>
      <c r="B434" s="664"/>
      <c r="C434" s="664"/>
      <c r="D434" s="664"/>
      <c r="E434" s="664"/>
      <c r="F434" s="664"/>
      <c r="G434" s="664"/>
      <c r="H434" s="664"/>
      <c r="I434" s="664"/>
      <c r="J434" s="664"/>
      <c r="K434" s="664"/>
      <c r="L434" s="664"/>
      <c r="M434" s="664"/>
      <c r="N434" s="664"/>
      <c r="O434" s="664"/>
      <c r="P434" s="664"/>
      <c r="Q434" s="664"/>
      <c r="R434" s="664"/>
      <c r="S434" s="664"/>
      <c r="T434" s="664"/>
      <c r="U434" s="664"/>
      <c r="V434" s="664"/>
      <c r="W434" s="664"/>
      <c r="X434" s="664"/>
      <c r="Y434" s="664"/>
      <c r="Z434" s="664"/>
    </row>
    <row r="435">
      <c r="A435" s="664"/>
      <c r="B435" s="664"/>
      <c r="C435" s="664"/>
      <c r="D435" s="664"/>
      <c r="E435" s="664"/>
      <c r="F435" s="664"/>
      <c r="G435" s="664"/>
      <c r="H435" s="664"/>
      <c r="I435" s="664"/>
      <c r="J435" s="664"/>
      <c r="K435" s="664"/>
      <c r="L435" s="664"/>
      <c r="M435" s="664"/>
      <c r="N435" s="664"/>
      <c r="O435" s="664"/>
      <c r="P435" s="664"/>
      <c r="Q435" s="664"/>
      <c r="R435" s="664"/>
      <c r="S435" s="664"/>
      <c r="T435" s="664"/>
      <c r="U435" s="664"/>
      <c r="V435" s="664"/>
      <c r="W435" s="664"/>
      <c r="X435" s="664"/>
      <c r="Y435" s="664"/>
      <c r="Z435" s="664"/>
    </row>
    <row r="436">
      <c r="A436" s="664"/>
      <c r="B436" s="664"/>
      <c r="C436" s="664"/>
      <c r="D436" s="664"/>
      <c r="E436" s="664"/>
      <c r="F436" s="664"/>
      <c r="G436" s="664"/>
      <c r="H436" s="664"/>
      <c r="I436" s="664"/>
      <c r="J436" s="664"/>
      <c r="K436" s="664"/>
      <c r="L436" s="664"/>
      <c r="M436" s="664"/>
      <c r="N436" s="664"/>
      <c r="O436" s="664"/>
      <c r="P436" s="664"/>
      <c r="Q436" s="664"/>
      <c r="R436" s="664"/>
      <c r="S436" s="664"/>
      <c r="T436" s="664"/>
      <c r="U436" s="664"/>
      <c r="V436" s="664"/>
      <c r="W436" s="664"/>
      <c r="X436" s="664"/>
      <c r="Y436" s="664"/>
      <c r="Z436" s="664"/>
    </row>
    <row r="437">
      <c r="A437" s="664"/>
      <c r="B437" s="664"/>
      <c r="C437" s="664"/>
      <c r="D437" s="664"/>
      <c r="E437" s="664"/>
      <c r="F437" s="664"/>
      <c r="G437" s="664"/>
      <c r="H437" s="664"/>
      <c r="I437" s="664"/>
      <c r="J437" s="664"/>
      <c r="K437" s="664"/>
      <c r="L437" s="664"/>
      <c r="M437" s="664"/>
      <c r="N437" s="664"/>
      <c r="O437" s="664"/>
      <c r="P437" s="664"/>
      <c r="Q437" s="664"/>
      <c r="R437" s="664"/>
      <c r="S437" s="664"/>
      <c r="T437" s="664"/>
      <c r="U437" s="664"/>
      <c r="V437" s="664"/>
      <c r="W437" s="664"/>
      <c r="X437" s="664"/>
      <c r="Y437" s="664"/>
      <c r="Z437" s="664"/>
    </row>
    <row r="438">
      <c r="A438" s="664"/>
      <c r="B438" s="664"/>
      <c r="C438" s="664"/>
      <c r="D438" s="664"/>
      <c r="E438" s="664"/>
      <c r="F438" s="664"/>
      <c r="G438" s="664"/>
      <c r="H438" s="664"/>
      <c r="I438" s="664"/>
      <c r="J438" s="664"/>
      <c r="K438" s="664"/>
      <c r="L438" s="664"/>
      <c r="M438" s="664"/>
      <c r="N438" s="664"/>
      <c r="O438" s="664"/>
      <c r="P438" s="664"/>
      <c r="Q438" s="664"/>
      <c r="R438" s="664"/>
      <c r="S438" s="664"/>
      <c r="T438" s="664"/>
      <c r="U438" s="664"/>
      <c r="V438" s="664"/>
      <c r="W438" s="664"/>
      <c r="X438" s="664"/>
      <c r="Y438" s="664"/>
      <c r="Z438" s="664"/>
    </row>
    <row r="439">
      <c r="A439" s="664"/>
      <c r="B439" s="664"/>
      <c r="C439" s="664"/>
      <c r="D439" s="664"/>
      <c r="E439" s="664"/>
      <c r="F439" s="664"/>
      <c r="G439" s="664"/>
      <c r="H439" s="664"/>
      <c r="I439" s="664"/>
      <c r="J439" s="664"/>
      <c r="K439" s="664"/>
      <c r="L439" s="664"/>
      <c r="M439" s="664"/>
      <c r="N439" s="664"/>
      <c r="O439" s="664"/>
      <c r="P439" s="664"/>
      <c r="Q439" s="664"/>
      <c r="R439" s="664"/>
      <c r="S439" s="664"/>
      <c r="T439" s="664"/>
      <c r="U439" s="664"/>
      <c r="V439" s="664"/>
      <c r="W439" s="664"/>
      <c r="X439" s="664"/>
      <c r="Y439" s="664"/>
      <c r="Z439" s="664"/>
    </row>
    <row r="440">
      <c r="A440" s="664"/>
      <c r="B440" s="664"/>
      <c r="C440" s="664"/>
      <c r="D440" s="664"/>
      <c r="E440" s="664"/>
      <c r="F440" s="664"/>
      <c r="G440" s="664"/>
      <c r="H440" s="664"/>
      <c r="I440" s="664"/>
      <c r="J440" s="664"/>
      <c r="K440" s="664"/>
      <c r="L440" s="664"/>
      <c r="M440" s="664"/>
      <c r="N440" s="664"/>
      <c r="O440" s="664"/>
      <c r="P440" s="664"/>
      <c r="Q440" s="664"/>
      <c r="R440" s="664"/>
      <c r="S440" s="664"/>
      <c r="T440" s="664"/>
      <c r="U440" s="664"/>
      <c r="V440" s="664"/>
      <c r="W440" s="664"/>
      <c r="X440" s="664"/>
      <c r="Y440" s="664"/>
      <c r="Z440" s="664"/>
    </row>
    <row r="441">
      <c r="A441" s="664"/>
      <c r="B441" s="664"/>
      <c r="C441" s="664"/>
      <c r="D441" s="664"/>
      <c r="E441" s="664"/>
      <c r="F441" s="664"/>
      <c r="G441" s="664"/>
      <c r="H441" s="664"/>
      <c r="I441" s="664"/>
      <c r="J441" s="664"/>
      <c r="K441" s="664"/>
      <c r="L441" s="664"/>
      <c r="M441" s="664"/>
      <c r="N441" s="664"/>
      <c r="O441" s="664"/>
      <c r="P441" s="664"/>
      <c r="Q441" s="664"/>
      <c r="R441" s="664"/>
      <c r="S441" s="664"/>
      <c r="T441" s="664"/>
      <c r="U441" s="664"/>
      <c r="V441" s="664"/>
      <c r="W441" s="664"/>
      <c r="X441" s="664"/>
      <c r="Y441" s="664"/>
      <c r="Z441" s="664"/>
    </row>
    <row r="442">
      <c r="A442" s="664"/>
      <c r="B442" s="664"/>
      <c r="C442" s="664"/>
      <c r="D442" s="664"/>
      <c r="E442" s="664"/>
      <c r="F442" s="664"/>
      <c r="G442" s="664"/>
      <c r="H442" s="664"/>
      <c r="I442" s="664"/>
      <c r="J442" s="664"/>
      <c r="K442" s="664"/>
      <c r="L442" s="664"/>
      <c r="M442" s="664"/>
      <c r="N442" s="664"/>
      <c r="O442" s="664"/>
      <c r="P442" s="664"/>
      <c r="Q442" s="664"/>
      <c r="R442" s="664"/>
      <c r="S442" s="664"/>
      <c r="T442" s="664"/>
      <c r="U442" s="664"/>
      <c r="V442" s="664"/>
      <c r="W442" s="664"/>
      <c r="X442" s="664"/>
      <c r="Y442" s="664"/>
      <c r="Z442" s="664"/>
    </row>
    <row r="443">
      <c r="A443" s="664"/>
      <c r="B443" s="664"/>
      <c r="C443" s="664"/>
      <c r="D443" s="664"/>
      <c r="E443" s="664"/>
      <c r="F443" s="664"/>
      <c r="G443" s="664"/>
      <c r="H443" s="664"/>
      <c r="I443" s="664"/>
      <c r="J443" s="664"/>
      <c r="K443" s="664"/>
      <c r="L443" s="664"/>
      <c r="M443" s="664"/>
      <c r="N443" s="664"/>
      <c r="O443" s="664"/>
      <c r="P443" s="664"/>
      <c r="Q443" s="664"/>
      <c r="R443" s="664"/>
      <c r="S443" s="664"/>
      <c r="T443" s="664"/>
      <c r="U443" s="664"/>
      <c r="V443" s="664"/>
      <c r="W443" s="664"/>
      <c r="X443" s="664"/>
      <c r="Y443" s="664"/>
      <c r="Z443" s="664"/>
    </row>
    <row r="444">
      <c r="A444" s="664"/>
      <c r="B444" s="664"/>
      <c r="C444" s="664"/>
      <c r="D444" s="664"/>
      <c r="E444" s="664"/>
      <c r="F444" s="664"/>
      <c r="G444" s="664"/>
      <c r="H444" s="664"/>
      <c r="I444" s="664"/>
      <c r="J444" s="664"/>
      <c r="K444" s="664"/>
      <c r="L444" s="664"/>
      <c r="M444" s="664"/>
      <c r="N444" s="664"/>
      <c r="O444" s="664"/>
      <c r="P444" s="664"/>
      <c r="Q444" s="664"/>
      <c r="R444" s="664"/>
      <c r="S444" s="664"/>
      <c r="T444" s="664"/>
      <c r="U444" s="664"/>
      <c r="V444" s="664"/>
      <c r="W444" s="664"/>
      <c r="X444" s="664"/>
      <c r="Y444" s="664"/>
      <c r="Z444" s="664"/>
    </row>
    <row r="445">
      <c r="A445" s="664"/>
      <c r="B445" s="664"/>
      <c r="C445" s="664"/>
      <c r="D445" s="664"/>
      <c r="E445" s="664"/>
      <c r="F445" s="664"/>
      <c r="G445" s="664"/>
      <c r="H445" s="664"/>
      <c r="I445" s="664"/>
      <c r="J445" s="664"/>
      <c r="K445" s="664"/>
      <c r="L445" s="664"/>
      <c r="M445" s="664"/>
      <c r="N445" s="664"/>
      <c r="O445" s="664"/>
      <c r="P445" s="664"/>
      <c r="Q445" s="664"/>
      <c r="R445" s="664"/>
      <c r="S445" s="664"/>
      <c r="T445" s="664"/>
      <c r="U445" s="664"/>
      <c r="V445" s="664"/>
      <c r="W445" s="664"/>
      <c r="X445" s="664"/>
      <c r="Y445" s="664"/>
      <c r="Z445" s="664"/>
    </row>
    <row r="446">
      <c r="A446" s="664"/>
      <c r="B446" s="664"/>
      <c r="C446" s="664"/>
      <c r="D446" s="664"/>
      <c r="E446" s="664"/>
      <c r="F446" s="664"/>
      <c r="G446" s="664"/>
      <c r="H446" s="664"/>
      <c r="I446" s="664"/>
      <c r="J446" s="664"/>
      <c r="K446" s="664"/>
      <c r="L446" s="664"/>
      <c r="M446" s="664"/>
      <c r="N446" s="664"/>
      <c r="O446" s="664"/>
      <c r="P446" s="664"/>
      <c r="Q446" s="664"/>
      <c r="R446" s="664"/>
      <c r="S446" s="664"/>
      <c r="T446" s="664"/>
      <c r="U446" s="664"/>
      <c r="V446" s="664"/>
      <c r="W446" s="664"/>
      <c r="X446" s="664"/>
      <c r="Y446" s="664"/>
      <c r="Z446" s="664"/>
    </row>
    <row r="447">
      <c r="A447" s="664"/>
      <c r="B447" s="664"/>
      <c r="C447" s="664"/>
      <c r="D447" s="664"/>
      <c r="E447" s="664"/>
      <c r="F447" s="664"/>
      <c r="G447" s="664"/>
      <c r="H447" s="664"/>
      <c r="I447" s="664"/>
      <c r="J447" s="664"/>
      <c r="K447" s="664"/>
      <c r="L447" s="664"/>
      <c r="M447" s="664"/>
      <c r="N447" s="664"/>
      <c r="O447" s="664"/>
      <c r="P447" s="664"/>
      <c r="Q447" s="664"/>
      <c r="R447" s="664"/>
      <c r="S447" s="664"/>
      <c r="T447" s="664"/>
      <c r="U447" s="664"/>
      <c r="V447" s="664"/>
      <c r="W447" s="664"/>
      <c r="X447" s="664"/>
      <c r="Y447" s="664"/>
      <c r="Z447" s="664"/>
    </row>
    <row r="448">
      <c r="A448" s="664"/>
      <c r="B448" s="664"/>
      <c r="C448" s="664"/>
      <c r="D448" s="664"/>
      <c r="E448" s="664"/>
      <c r="F448" s="664"/>
      <c r="G448" s="664"/>
      <c r="H448" s="664"/>
      <c r="I448" s="664"/>
      <c r="J448" s="664"/>
      <c r="K448" s="664"/>
      <c r="L448" s="664"/>
      <c r="M448" s="664"/>
      <c r="N448" s="664"/>
      <c r="O448" s="664"/>
      <c r="P448" s="664"/>
      <c r="Q448" s="664"/>
      <c r="R448" s="664"/>
      <c r="S448" s="664"/>
      <c r="T448" s="664"/>
      <c r="U448" s="664"/>
      <c r="V448" s="664"/>
      <c r="W448" s="664"/>
      <c r="X448" s="664"/>
      <c r="Y448" s="664"/>
      <c r="Z448" s="664"/>
    </row>
    <row r="449">
      <c r="A449" s="664"/>
      <c r="B449" s="664"/>
      <c r="C449" s="664"/>
      <c r="D449" s="664"/>
      <c r="E449" s="664"/>
      <c r="F449" s="664"/>
      <c r="G449" s="664"/>
      <c r="H449" s="664"/>
      <c r="I449" s="664"/>
      <c r="J449" s="664"/>
      <c r="K449" s="664"/>
      <c r="L449" s="664"/>
      <c r="M449" s="664"/>
      <c r="N449" s="664"/>
      <c r="O449" s="664"/>
      <c r="P449" s="664"/>
      <c r="Q449" s="664"/>
      <c r="R449" s="664"/>
      <c r="S449" s="664"/>
      <c r="T449" s="664"/>
      <c r="U449" s="664"/>
      <c r="V449" s="664"/>
      <c r="W449" s="664"/>
      <c r="X449" s="664"/>
      <c r="Y449" s="664"/>
      <c r="Z449" s="664"/>
    </row>
    <row r="450">
      <c r="A450" s="664"/>
      <c r="B450" s="664"/>
      <c r="C450" s="664"/>
      <c r="D450" s="664"/>
      <c r="E450" s="664"/>
      <c r="F450" s="664"/>
      <c r="G450" s="664"/>
      <c r="H450" s="664"/>
      <c r="I450" s="664"/>
      <c r="J450" s="664"/>
      <c r="K450" s="664"/>
      <c r="L450" s="664"/>
      <c r="M450" s="664"/>
      <c r="N450" s="664"/>
      <c r="O450" s="664"/>
      <c r="P450" s="664"/>
      <c r="Q450" s="664"/>
      <c r="R450" s="664"/>
      <c r="S450" s="664"/>
      <c r="T450" s="664"/>
      <c r="U450" s="664"/>
      <c r="V450" s="664"/>
      <c r="W450" s="664"/>
      <c r="X450" s="664"/>
      <c r="Y450" s="664"/>
      <c r="Z450" s="664"/>
    </row>
    <row r="451">
      <c r="A451" s="664"/>
      <c r="B451" s="664"/>
      <c r="C451" s="664"/>
      <c r="D451" s="664"/>
      <c r="E451" s="664"/>
      <c r="F451" s="664"/>
      <c r="G451" s="664"/>
      <c r="H451" s="664"/>
      <c r="I451" s="664"/>
      <c r="J451" s="664"/>
      <c r="K451" s="664"/>
      <c r="L451" s="664"/>
      <c r="M451" s="664"/>
      <c r="N451" s="664"/>
      <c r="O451" s="664"/>
      <c r="P451" s="664"/>
      <c r="Q451" s="664"/>
      <c r="R451" s="664"/>
      <c r="S451" s="664"/>
      <c r="T451" s="664"/>
      <c r="U451" s="664"/>
      <c r="V451" s="664"/>
      <c r="W451" s="664"/>
      <c r="X451" s="664"/>
      <c r="Y451" s="664"/>
      <c r="Z451" s="664"/>
    </row>
    <row r="452">
      <c r="A452" s="664"/>
      <c r="B452" s="664"/>
      <c r="C452" s="664"/>
      <c r="D452" s="664"/>
      <c r="E452" s="664"/>
      <c r="F452" s="664"/>
      <c r="G452" s="664"/>
      <c r="H452" s="664"/>
      <c r="I452" s="664"/>
      <c r="J452" s="664"/>
      <c r="K452" s="664"/>
      <c r="L452" s="664"/>
      <c r="M452" s="664"/>
      <c r="N452" s="664"/>
      <c r="O452" s="664"/>
      <c r="P452" s="664"/>
      <c r="Q452" s="664"/>
      <c r="R452" s="664"/>
      <c r="S452" s="664"/>
      <c r="T452" s="664"/>
      <c r="U452" s="664"/>
      <c r="V452" s="664"/>
      <c r="W452" s="664"/>
      <c r="X452" s="664"/>
      <c r="Y452" s="664"/>
      <c r="Z452" s="664"/>
    </row>
    <row r="453">
      <c r="A453" s="664"/>
      <c r="B453" s="664"/>
      <c r="C453" s="664"/>
      <c r="D453" s="664"/>
      <c r="E453" s="664"/>
      <c r="F453" s="664"/>
      <c r="G453" s="664"/>
      <c r="H453" s="664"/>
      <c r="I453" s="664"/>
      <c r="J453" s="664"/>
      <c r="K453" s="664"/>
      <c r="L453" s="664"/>
      <c r="M453" s="664"/>
      <c r="N453" s="664"/>
      <c r="O453" s="664"/>
      <c r="P453" s="664"/>
      <c r="Q453" s="664"/>
      <c r="R453" s="664"/>
      <c r="S453" s="664"/>
      <c r="T453" s="664"/>
      <c r="U453" s="664"/>
      <c r="V453" s="664"/>
      <c r="W453" s="664"/>
      <c r="X453" s="664"/>
      <c r="Y453" s="664"/>
      <c r="Z453" s="664"/>
    </row>
    <row r="454">
      <c r="A454" s="664"/>
      <c r="B454" s="664"/>
      <c r="C454" s="664"/>
      <c r="D454" s="664"/>
      <c r="E454" s="664"/>
      <c r="F454" s="664"/>
      <c r="G454" s="664"/>
      <c r="H454" s="664"/>
      <c r="I454" s="664"/>
      <c r="J454" s="664"/>
      <c r="K454" s="664"/>
      <c r="L454" s="664"/>
      <c r="M454" s="664"/>
      <c r="N454" s="664"/>
      <c r="O454" s="664"/>
      <c r="P454" s="664"/>
      <c r="Q454" s="664"/>
      <c r="R454" s="664"/>
      <c r="S454" s="664"/>
      <c r="T454" s="664"/>
      <c r="U454" s="664"/>
      <c r="V454" s="664"/>
      <c r="W454" s="664"/>
      <c r="X454" s="664"/>
      <c r="Y454" s="664"/>
      <c r="Z454" s="664"/>
    </row>
    <row r="455">
      <c r="A455" s="664"/>
      <c r="B455" s="664"/>
      <c r="C455" s="664"/>
      <c r="D455" s="664"/>
      <c r="E455" s="664"/>
      <c r="F455" s="664"/>
      <c r="G455" s="664"/>
      <c r="H455" s="664"/>
      <c r="I455" s="664"/>
      <c r="J455" s="664"/>
      <c r="K455" s="664"/>
      <c r="L455" s="664"/>
      <c r="M455" s="664"/>
      <c r="N455" s="664"/>
      <c r="O455" s="664"/>
      <c r="P455" s="664"/>
      <c r="Q455" s="664"/>
      <c r="R455" s="664"/>
      <c r="S455" s="664"/>
      <c r="T455" s="664"/>
      <c r="U455" s="664"/>
      <c r="V455" s="664"/>
      <c r="W455" s="664"/>
      <c r="X455" s="664"/>
      <c r="Y455" s="664"/>
      <c r="Z455" s="664"/>
    </row>
    <row r="456">
      <c r="A456" s="664"/>
      <c r="B456" s="664"/>
      <c r="C456" s="664"/>
      <c r="D456" s="664"/>
      <c r="E456" s="664"/>
      <c r="F456" s="664"/>
      <c r="G456" s="664"/>
      <c r="H456" s="664"/>
      <c r="I456" s="664"/>
      <c r="J456" s="664"/>
      <c r="K456" s="664"/>
      <c r="L456" s="664"/>
      <c r="M456" s="664"/>
      <c r="N456" s="664"/>
      <c r="O456" s="664"/>
      <c r="P456" s="664"/>
      <c r="Q456" s="664"/>
      <c r="R456" s="664"/>
      <c r="S456" s="664"/>
      <c r="T456" s="664"/>
      <c r="U456" s="664"/>
      <c r="V456" s="664"/>
      <c r="W456" s="664"/>
      <c r="X456" s="664"/>
      <c r="Y456" s="664"/>
      <c r="Z456" s="664"/>
    </row>
    <row r="457">
      <c r="A457" s="664"/>
      <c r="B457" s="664"/>
      <c r="C457" s="664"/>
      <c r="D457" s="664"/>
      <c r="E457" s="664"/>
      <c r="F457" s="664"/>
      <c r="G457" s="664"/>
      <c r="H457" s="664"/>
      <c r="I457" s="664"/>
      <c r="J457" s="664"/>
      <c r="K457" s="664"/>
      <c r="L457" s="664"/>
      <c r="M457" s="664"/>
      <c r="N457" s="664"/>
      <c r="O457" s="664"/>
      <c r="P457" s="664"/>
      <c r="Q457" s="664"/>
      <c r="R457" s="664"/>
      <c r="S457" s="664"/>
      <c r="T457" s="664"/>
      <c r="U457" s="664"/>
      <c r="V457" s="664"/>
      <c r="W457" s="664"/>
      <c r="X457" s="664"/>
      <c r="Y457" s="664"/>
      <c r="Z457" s="664"/>
    </row>
    <row r="458">
      <c r="A458" s="664"/>
      <c r="B458" s="664"/>
      <c r="C458" s="664"/>
      <c r="D458" s="664"/>
      <c r="E458" s="664"/>
      <c r="F458" s="664"/>
      <c r="G458" s="664"/>
      <c r="H458" s="664"/>
      <c r="I458" s="664"/>
      <c r="J458" s="664"/>
      <c r="K458" s="664"/>
      <c r="L458" s="664"/>
      <c r="M458" s="664"/>
      <c r="N458" s="664"/>
      <c r="O458" s="664"/>
      <c r="P458" s="664"/>
      <c r="Q458" s="664"/>
      <c r="R458" s="664"/>
      <c r="S458" s="664"/>
      <c r="T458" s="664"/>
      <c r="U458" s="664"/>
      <c r="V458" s="664"/>
      <c r="W458" s="664"/>
      <c r="X458" s="664"/>
      <c r="Y458" s="664"/>
      <c r="Z458" s="664"/>
    </row>
    <row r="459">
      <c r="A459" s="664"/>
      <c r="B459" s="664"/>
      <c r="C459" s="664"/>
      <c r="D459" s="664"/>
      <c r="E459" s="664"/>
      <c r="F459" s="664"/>
      <c r="G459" s="664"/>
      <c r="H459" s="664"/>
      <c r="I459" s="664"/>
      <c r="J459" s="664"/>
      <c r="K459" s="664"/>
      <c r="L459" s="664"/>
      <c r="M459" s="664"/>
      <c r="N459" s="664"/>
      <c r="O459" s="664"/>
      <c r="P459" s="664"/>
      <c r="Q459" s="664"/>
      <c r="R459" s="664"/>
      <c r="S459" s="664"/>
      <c r="T459" s="664"/>
      <c r="U459" s="664"/>
      <c r="V459" s="664"/>
      <c r="W459" s="664"/>
      <c r="X459" s="664"/>
      <c r="Y459" s="664"/>
      <c r="Z459" s="664"/>
    </row>
    <row r="460">
      <c r="A460" s="664"/>
      <c r="B460" s="664"/>
      <c r="C460" s="664"/>
      <c r="D460" s="664"/>
      <c r="E460" s="664"/>
      <c r="F460" s="664"/>
      <c r="G460" s="664"/>
      <c r="H460" s="664"/>
      <c r="I460" s="664"/>
      <c r="J460" s="664"/>
      <c r="K460" s="664"/>
      <c r="L460" s="664"/>
      <c r="M460" s="664"/>
      <c r="N460" s="664"/>
      <c r="O460" s="664"/>
      <c r="P460" s="664"/>
      <c r="Q460" s="664"/>
      <c r="R460" s="664"/>
      <c r="S460" s="664"/>
      <c r="T460" s="664"/>
      <c r="U460" s="664"/>
      <c r="V460" s="664"/>
      <c r="W460" s="664"/>
      <c r="X460" s="664"/>
      <c r="Y460" s="664"/>
      <c r="Z460" s="664"/>
    </row>
    <row r="461">
      <c r="A461" s="664"/>
      <c r="B461" s="664"/>
      <c r="C461" s="664"/>
      <c r="D461" s="664"/>
      <c r="E461" s="664"/>
      <c r="F461" s="664"/>
      <c r="G461" s="664"/>
      <c r="H461" s="664"/>
      <c r="I461" s="664"/>
      <c r="J461" s="664"/>
      <c r="K461" s="664"/>
      <c r="L461" s="664"/>
      <c r="M461" s="664"/>
      <c r="N461" s="664"/>
      <c r="O461" s="664"/>
      <c r="P461" s="664"/>
      <c r="Q461" s="664"/>
      <c r="R461" s="664"/>
      <c r="S461" s="664"/>
      <c r="T461" s="664"/>
      <c r="U461" s="664"/>
      <c r="V461" s="664"/>
      <c r="W461" s="664"/>
      <c r="X461" s="664"/>
      <c r="Y461" s="664"/>
      <c r="Z461" s="664"/>
    </row>
    <row r="462">
      <c r="A462" s="664"/>
      <c r="B462" s="664"/>
      <c r="C462" s="664"/>
      <c r="D462" s="664"/>
      <c r="E462" s="664"/>
      <c r="F462" s="664"/>
      <c r="G462" s="664"/>
      <c r="H462" s="664"/>
      <c r="I462" s="664"/>
      <c r="J462" s="664"/>
      <c r="K462" s="664"/>
      <c r="L462" s="664"/>
      <c r="M462" s="664"/>
      <c r="N462" s="664"/>
      <c r="O462" s="664"/>
      <c r="P462" s="664"/>
      <c r="Q462" s="664"/>
      <c r="R462" s="664"/>
      <c r="S462" s="664"/>
      <c r="T462" s="664"/>
      <c r="U462" s="664"/>
      <c r="V462" s="664"/>
      <c r="W462" s="664"/>
      <c r="X462" s="664"/>
      <c r="Y462" s="664"/>
      <c r="Z462" s="664"/>
    </row>
    <row r="463">
      <c r="A463" s="664"/>
      <c r="B463" s="664"/>
      <c r="C463" s="664"/>
      <c r="D463" s="664"/>
      <c r="E463" s="664"/>
      <c r="F463" s="664"/>
      <c r="G463" s="664"/>
      <c r="H463" s="664"/>
      <c r="I463" s="664"/>
      <c r="J463" s="664"/>
      <c r="K463" s="664"/>
      <c r="L463" s="664"/>
      <c r="M463" s="664"/>
      <c r="N463" s="664"/>
      <c r="O463" s="664"/>
      <c r="P463" s="664"/>
      <c r="Q463" s="664"/>
      <c r="R463" s="664"/>
      <c r="S463" s="664"/>
      <c r="T463" s="664"/>
      <c r="U463" s="664"/>
      <c r="V463" s="664"/>
      <c r="W463" s="664"/>
      <c r="X463" s="664"/>
      <c r="Y463" s="664"/>
      <c r="Z463" s="664"/>
    </row>
    <row r="464">
      <c r="A464" s="664"/>
      <c r="B464" s="664"/>
      <c r="C464" s="664"/>
      <c r="D464" s="664"/>
      <c r="E464" s="664"/>
      <c r="F464" s="664"/>
      <c r="G464" s="664"/>
      <c r="H464" s="664"/>
      <c r="I464" s="664"/>
      <c r="J464" s="664"/>
      <c r="K464" s="664"/>
      <c r="L464" s="664"/>
      <c r="M464" s="664"/>
      <c r="N464" s="664"/>
      <c r="O464" s="664"/>
      <c r="P464" s="664"/>
      <c r="Q464" s="664"/>
      <c r="R464" s="664"/>
      <c r="S464" s="664"/>
      <c r="T464" s="664"/>
      <c r="U464" s="664"/>
      <c r="V464" s="664"/>
      <c r="W464" s="664"/>
      <c r="X464" s="664"/>
      <c r="Y464" s="664"/>
      <c r="Z464" s="664"/>
    </row>
    <row r="465">
      <c r="A465" s="664"/>
      <c r="B465" s="664"/>
      <c r="C465" s="664"/>
      <c r="D465" s="664"/>
      <c r="E465" s="664"/>
      <c r="F465" s="664"/>
      <c r="G465" s="664"/>
      <c r="H465" s="664"/>
      <c r="I465" s="664"/>
      <c r="J465" s="664"/>
      <c r="K465" s="664"/>
      <c r="L465" s="664"/>
      <c r="M465" s="664"/>
      <c r="N465" s="664"/>
      <c r="O465" s="664"/>
      <c r="P465" s="664"/>
      <c r="Q465" s="664"/>
      <c r="R465" s="664"/>
      <c r="S465" s="664"/>
      <c r="T465" s="664"/>
      <c r="U465" s="664"/>
      <c r="V465" s="664"/>
      <c r="W465" s="664"/>
      <c r="X465" s="664"/>
      <c r="Y465" s="664"/>
      <c r="Z465" s="664"/>
    </row>
    <row r="466">
      <c r="A466" s="664"/>
      <c r="B466" s="664"/>
      <c r="C466" s="664"/>
      <c r="D466" s="664"/>
      <c r="E466" s="664"/>
      <c r="F466" s="664"/>
      <c r="G466" s="664"/>
      <c r="H466" s="664"/>
      <c r="I466" s="664"/>
      <c r="J466" s="664"/>
      <c r="K466" s="664"/>
      <c r="L466" s="664"/>
      <c r="M466" s="664"/>
      <c r="N466" s="664"/>
      <c r="O466" s="664"/>
      <c r="P466" s="664"/>
      <c r="Q466" s="664"/>
      <c r="R466" s="664"/>
      <c r="S466" s="664"/>
      <c r="T466" s="664"/>
      <c r="U466" s="664"/>
      <c r="V466" s="664"/>
      <c r="W466" s="664"/>
      <c r="X466" s="664"/>
      <c r="Y466" s="664"/>
      <c r="Z466" s="664"/>
    </row>
    <row r="467">
      <c r="A467" s="664"/>
      <c r="B467" s="664"/>
      <c r="C467" s="664"/>
      <c r="D467" s="664"/>
      <c r="E467" s="664"/>
      <c r="F467" s="664"/>
      <c r="G467" s="664"/>
      <c r="H467" s="664"/>
      <c r="I467" s="664"/>
      <c r="J467" s="664"/>
      <c r="K467" s="664"/>
      <c r="L467" s="664"/>
      <c r="M467" s="664"/>
      <c r="N467" s="664"/>
      <c r="O467" s="664"/>
      <c r="P467" s="664"/>
      <c r="Q467" s="664"/>
      <c r="R467" s="664"/>
      <c r="S467" s="664"/>
      <c r="T467" s="664"/>
      <c r="U467" s="664"/>
      <c r="V467" s="664"/>
      <c r="W467" s="664"/>
      <c r="X467" s="664"/>
      <c r="Y467" s="664"/>
      <c r="Z467" s="664"/>
    </row>
    <row r="468">
      <c r="A468" s="664"/>
      <c r="B468" s="664"/>
      <c r="C468" s="664"/>
      <c r="D468" s="664"/>
      <c r="E468" s="664"/>
      <c r="F468" s="664"/>
      <c r="G468" s="664"/>
      <c r="H468" s="664"/>
      <c r="I468" s="664"/>
      <c r="J468" s="664"/>
      <c r="K468" s="664"/>
      <c r="L468" s="664"/>
      <c r="M468" s="664"/>
      <c r="N468" s="664"/>
      <c r="O468" s="664"/>
      <c r="P468" s="664"/>
      <c r="Q468" s="664"/>
      <c r="R468" s="664"/>
      <c r="S468" s="664"/>
      <c r="T468" s="664"/>
      <c r="U468" s="664"/>
      <c r="V468" s="664"/>
      <c r="W468" s="664"/>
      <c r="X468" s="664"/>
      <c r="Y468" s="664"/>
      <c r="Z468" s="664"/>
    </row>
    <row r="469">
      <c r="A469" s="664"/>
      <c r="B469" s="664"/>
      <c r="C469" s="664"/>
      <c r="D469" s="664"/>
      <c r="E469" s="664"/>
      <c r="F469" s="664"/>
      <c r="G469" s="664"/>
      <c r="H469" s="664"/>
      <c r="I469" s="664"/>
      <c r="J469" s="664"/>
      <c r="K469" s="664"/>
      <c r="L469" s="664"/>
      <c r="M469" s="664"/>
      <c r="N469" s="664"/>
      <c r="O469" s="664"/>
      <c r="P469" s="664"/>
      <c r="Q469" s="664"/>
      <c r="R469" s="664"/>
      <c r="S469" s="664"/>
      <c r="T469" s="664"/>
      <c r="U469" s="664"/>
      <c r="V469" s="664"/>
      <c r="W469" s="664"/>
      <c r="X469" s="664"/>
      <c r="Y469" s="664"/>
      <c r="Z469" s="664"/>
    </row>
    <row r="470">
      <c r="A470" s="664"/>
      <c r="B470" s="664"/>
      <c r="C470" s="664"/>
      <c r="D470" s="664"/>
      <c r="E470" s="664"/>
      <c r="F470" s="664"/>
      <c r="G470" s="664"/>
      <c r="H470" s="664"/>
      <c r="I470" s="664"/>
      <c r="J470" s="664"/>
      <c r="K470" s="664"/>
      <c r="L470" s="664"/>
      <c r="M470" s="664"/>
      <c r="N470" s="664"/>
      <c r="O470" s="664"/>
      <c r="P470" s="664"/>
      <c r="Q470" s="664"/>
      <c r="R470" s="664"/>
      <c r="S470" s="664"/>
      <c r="T470" s="664"/>
      <c r="U470" s="664"/>
      <c r="V470" s="664"/>
      <c r="W470" s="664"/>
      <c r="X470" s="664"/>
      <c r="Y470" s="664"/>
      <c r="Z470" s="664"/>
    </row>
    <row r="471">
      <c r="A471" s="664"/>
      <c r="B471" s="664"/>
      <c r="C471" s="664"/>
      <c r="D471" s="664"/>
      <c r="E471" s="664"/>
      <c r="F471" s="664"/>
      <c r="G471" s="664"/>
      <c r="H471" s="664"/>
      <c r="I471" s="664"/>
      <c r="J471" s="664"/>
      <c r="K471" s="664"/>
      <c r="L471" s="664"/>
      <c r="M471" s="664"/>
      <c r="N471" s="664"/>
      <c r="O471" s="664"/>
      <c r="P471" s="664"/>
      <c r="Q471" s="664"/>
      <c r="R471" s="664"/>
      <c r="S471" s="664"/>
      <c r="T471" s="664"/>
      <c r="U471" s="664"/>
      <c r="V471" s="664"/>
      <c r="W471" s="664"/>
      <c r="X471" s="664"/>
      <c r="Y471" s="664"/>
      <c r="Z471" s="664"/>
    </row>
    <row r="472">
      <c r="A472" s="664"/>
      <c r="B472" s="664"/>
      <c r="C472" s="664"/>
      <c r="D472" s="664"/>
      <c r="E472" s="664"/>
      <c r="F472" s="664"/>
      <c r="G472" s="664"/>
      <c r="H472" s="664"/>
      <c r="I472" s="664"/>
      <c r="J472" s="664"/>
      <c r="K472" s="664"/>
      <c r="L472" s="664"/>
      <c r="M472" s="664"/>
      <c r="N472" s="664"/>
      <c r="O472" s="664"/>
      <c r="P472" s="664"/>
      <c r="Q472" s="664"/>
      <c r="R472" s="664"/>
      <c r="S472" s="664"/>
      <c r="T472" s="664"/>
      <c r="U472" s="664"/>
      <c r="V472" s="664"/>
      <c r="W472" s="664"/>
      <c r="X472" s="664"/>
      <c r="Y472" s="664"/>
      <c r="Z472" s="664"/>
    </row>
    <row r="473">
      <c r="A473" s="664"/>
      <c r="B473" s="664"/>
      <c r="C473" s="664"/>
      <c r="D473" s="664"/>
      <c r="E473" s="664"/>
      <c r="F473" s="664"/>
      <c r="G473" s="664"/>
      <c r="H473" s="664"/>
      <c r="I473" s="664"/>
      <c r="J473" s="664"/>
      <c r="K473" s="664"/>
      <c r="L473" s="664"/>
      <c r="M473" s="664"/>
      <c r="N473" s="664"/>
      <c r="O473" s="664"/>
      <c r="P473" s="664"/>
      <c r="Q473" s="664"/>
      <c r="R473" s="664"/>
      <c r="S473" s="664"/>
      <c r="T473" s="664"/>
      <c r="U473" s="664"/>
      <c r="V473" s="664"/>
      <c r="W473" s="664"/>
      <c r="X473" s="664"/>
      <c r="Y473" s="664"/>
      <c r="Z473" s="664"/>
    </row>
    <row r="474">
      <c r="A474" s="664"/>
      <c r="B474" s="664"/>
      <c r="C474" s="664"/>
      <c r="D474" s="664"/>
      <c r="E474" s="664"/>
      <c r="F474" s="664"/>
      <c r="G474" s="664"/>
      <c r="H474" s="664"/>
      <c r="I474" s="664"/>
      <c r="J474" s="664"/>
      <c r="K474" s="664"/>
      <c r="L474" s="664"/>
      <c r="M474" s="664"/>
      <c r="N474" s="664"/>
      <c r="O474" s="664"/>
      <c r="P474" s="664"/>
      <c r="Q474" s="664"/>
      <c r="R474" s="664"/>
      <c r="S474" s="664"/>
      <c r="T474" s="664"/>
      <c r="U474" s="664"/>
      <c r="V474" s="664"/>
      <c r="W474" s="664"/>
      <c r="X474" s="664"/>
      <c r="Y474" s="664"/>
      <c r="Z474" s="664"/>
    </row>
    <row r="475">
      <c r="A475" s="664"/>
      <c r="B475" s="664"/>
      <c r="C475" s="664"/>
      <c r="D475" s="664"/>
      <c r="E475" s="664"/>
      <c r="F475" s="664"/>
      <c r="G475" s="664"/>
      <c r="H475" s="664"/>
      <c r="I475" s="664"/>
      <c r="J475" s="664"/>
      <c r="K475" s="664"/>
      <c r="L475" s="664"/>
      <c r="M475" s="664"/>
      <c r="N475" s="664"/>
      <c r="O475" s="664"/>
      <c r="P475" s="664"/>
      <c r="Q475" s="664"/>
      <c r="R475" s="664"/>
      <c r="S475" s="664"/>
      <c r="T475" s="664"/>
      <c r="U475" s="664"/>
      <c r="V475" s="664"/>
      <c r="W475" s="664"/>
      <c r="X475" s="664"/>
      <c r="Y475" s="664"/>
      <c r="Z475" s="664"/>
    </row>
    <row r="476">
      <c r="A476" s="664"/>
      <c r="B476" s="664"/>
      <c r="C476" s="664"/>
      <c r="D476" s="664"/>
      <c r="E476" s="664"/>
      <c r="F476" s="664"/>
      <c r="G476" s="664"/>
      <c r="H476" s="664"/>
      <c r="I476" s="664"/>
      <c r="J476" s="664"/>
      <c r="K476" s="664"/>
      <c r="L476" s="664"/>
      <c r="M476" s="664"/>
      <c r="N476" s="664"/>
      <c r="O476" s="664"/>
      <c r="P476" s="664"/>
      <c r="Q476" s="664"/>
      <c r="R476" s="664"/>
      <c r="S476" s="664"/>
      <c r="T476" s="664"/>
      <c r="U476" s="664"/>
      <c r="V476" s="664"/>
      <c r="W476" s="664"/>
      <c r="X476" s="664"/>
      <c r="Y476" s="664"/>
      <c r="Z476" s="664"/>
    </row>
    <row r="477">
      <c r="A477" s="664"/>
      <c r="B477" s="664"/>
      <c r="C477" s="664"/>
      <c r="D477" s="664"/>
      <c r="E477" s="664"/>
      <c r="F477" s="664"/>
      <c r="G477" s="664"/>
      <c r="H477" s="664"/>
      <c r="I477" s="664"/>
      <c r="J477" s="664"/>
      <c r="K477" s="664"/>
      <c r="L477" s="664"/>
      <c r="M477" s="664"/>
      <c r="N477" s="664"/>
      <c r="O477" s="664"/>
      <c r="P477" s="664"/>
      <c r="Q477" s="664"/>
      <c r="R477" s="664"/>
      <c r="S477" s="664"/>
      <c r="T477" s="664"/>
      <c r="U477" s="664"/>
      <c r="V477" s="664"/>
      <c r="W477" s="664"/>
      <c r="X477" s="664"/>
      <c r="Y477" s="664"/>
      <c r="Z477" s="664"/>
    </row>
    <row r="478">
      <c r="A478" s="664"/>
      <c r="B478" s="664"/>
      <c r="C478" s="664"/>
      <c r="D478" s="664"/>
      <c r="E478" s="664"/>
      <c r="F478" s="664"/>
      <c r="G478" s="664"/>
      <c r="H478" s="664"/>
      <c r="I478" s="664"/>
      <c r="J478" s="664"/>
      <c r="K478" s="664"/>
      <c r="L478" s="664"/>
      <c r="M478" s="664"/>
      <c r="N478" s="664"/>
      <c r="O478" s="664"/>
      <c r="P478" s="664"/>
      <c r="Q478" s="664"/>
      <c r="R478" s="664"/>
      <c r="S478" s="664"/>
      <c r="T478" s="664"/>
      <c r="U478" s="664"/>
      <c r="V478" s="664"/>
      <c r="W478" s="664"/>
      <c r="X478" s="664"/>
      <c r="Y478" s="664"/>
      <c r="Z478" s="664"/>
    </row>
    <row r="479">
      <c r="A479" s="664"/>
      <c r="B479" s="664"/>
      <c r="C479" s="664"/>
      <c r="D479" s="664"/>
      <c r="E479" s="664"/>
      <c r="F479" s="664"/>
      <c r="G479" s="664"/>
      <c r="H479" s="664"/>
      <c r="I479" s="664"/>
      <c r="J479" s="664"/>
      <c r="K479" s="664"/>
      <c r="L479" s="664"/>
      <c r="M479" s="664"/>
      <c r="N479" s="664"/>
      <c r="O479" s="664"/>
      <c r="P479" s="664"/>
      <c r="Q479" s="664"/>
      <c r="R479" s="664"/>
      <c r="S479" s="664"/>
      <c r="T479" s="664"/>
      <c r="U479" s="664"/>
      <c r="V479" s="664"/>
      <c r="W479" s="664"/>
      <c r="X479" s="664"/>
      <c r="Y479" s="664"/>
      <c r="Z479" s="664"/>
    </row>
    <row r="480">
      <c r="A480" s="664"/>
      <c r="B480" s="664"/>
      <c r="C480" s="664"/>
      <c r="D480" s="664"/>
      <c r="E480" s="664"/>
      <c r="F480" s="664"/>
      <c r="G480" s="664"/>
      <c r="H480" s="664"/>
      <c r="I480" s="664"/>
      <c r="J480" s="664"/>
      <c r="K480" s="664"/>
      <c r="L480" s="664"/>
      <c r="M480" s="664"/>
      <c r="N480" s="664"/>
      <c r="O480" s="664"/>
      <c r="P480" s="664"/>
      <c r="Q480" s="664"/>
      <c r="R480" s="664"/>
      <c r="S480" s="664"/>
      <c r="T480" s="664"/>
      <c r="U480" s="664"/>
      <c r="V480" s="664"/>
      <c r="W480" s="664"/>
      <c r="X480" s="664"/>
      <c r="Y480" s="664"/>
      <c r="Z480" s="664"/>
    </row>
    <row r="481">
      <c r="A481" s="664"/>
      <c r="B481" s="664"/>
      <c r="C481" s="664"/>
      <c r="D481" s="664"/>
      <c r="E481" s="664"/>
      <c r="F481" s="664"/>
      <c r="G481" s="664"/>
      <c r="H481" s="664"/>
      <c r="I481" s="664"/>
      <c r="J481" s="664"/>
      <c r="K481" s="664"/>
      <c r="L481" s="664"/>
      <c r="M481" s="664"/>
      <c r="N481" s="664"/>
      <c r="O481" s="664"/>
      <c r="P481" s="664"/>
      <c r="Q481" s="664"/>
      <c r="R481" s="664"/>
      <c r="S481" s="664"/>
      <c r="T481" s="664"/>
      <c r="U481" s="664"/>
      <c r="V481" s="664"/>
      <c r="W481" s="664"/>
      <c r="X481" s="664"/>
      <c r="Y481" s="664"/>
      <c r="Z481" s="664"/>
    </row>
    <row r="482">
      <c r="A482" s="664"/>
      <c r="B482" s="664"/>
      <c r="C482" s="664"/>
      <c r="D482" s="664"/>
      <c r="E482" s="664"/>
      <c r="F482" s="664"/>
      <c r="G482" s="664"/>
      <c r="H482" s="664"/>
      <c r="I482" s="664"/>
      <c r="J482" s="664"/>
      <c r="K482" s="664"/>
      <c r="L482" s="664"/>
      <c r="M482" s="664"/>
      <c r="N482" s="664"/>
      <c r="O482" s="664"/>
      <c r="P482" s="664"/>
      <c r="Q482" s="664"/>
      <c r="R482" s="664"/>
      <c r="S482" s="664"/>
      <c r="T482" s="664"/>
      <c r="U482" s="664"/>
      <c r="V482" s="664"/>
      <c r="W482" s="664"/>
      <c r="X482" s="664"/>
      <c r="Y482" s="664"/>
      <c r="Z482" s="664"/>
    </row>
    <row r="483">
      <c r="A483" s="664"/>
      <c r="B483" s="664"/>
      <c r="C483" s="664"/>
      <c r="D483" s="664"/>
      <c r="E483" s="664"/>
      <c r="F483" s="664"/>
      <c r="G483" s="664"/>
      <c r="H483" s="664"/>
      <c r="I483" s="664"/>
      <c r="J483" s="664"/>
      <c r="K483" s="664"/>
      <c r="L483" s="664"/>
      <c r="M483" s="664"/>
      <c r="N483" s="664"/>
      <c r="O483" s="664"/>
      <c r="P483" s="664"/>
      <c r="Q483" s="664"/>
      <c r="R483" s="664"/>
      <c r="S483" s="664"/>
      <c r="T483" s="664"/>
      <c r="U483" s="664"/>
      <c r="V483" s="664"/>
      <c r="W483" s="664"/>
      <c r="X483" s="664"/>
      <c r="Y483" s="664"/>
      <c r="Z483" s="664"/>
    </row>
    <row r="484">
      <c r="A484" s="664"/>
      <c r="B484" s="664"/>
      <c r="C484" s="664"/>
      <c r="D484" s="664"/>
      <c r="E484" s="664"/>
      <c r="F484" s="664"/>
      <c r="G484" s="664"/>
      <c r="H484" s="664"/>
      <c r="I484" s="664"/>
      <c r="J484" s="664"/>
      <c r="K484" s="664"/>
      <c r="L484" s="664"/>
      <c r="M484" s="664"/>
      <c r="N484" s="664"/>
      <c r="O484" s="664"/>
      <c r="P484" s="664"/>
      <c r="Q484" s="664"/>
      <c r="R484" s="664"/>
      <c r="S484" s="664"/>
      <c r="T484" s="664"/>
      <c r="U484" s="664"/>
      <c r="V484" s="664"/>
      <c r="W484" s="664"/>
      <c r="X484" s="664"/>
      <c r="Y484" s="664"/>
      <c r="Z484" s="664"/>
    </row>
    <row r="485">
      <c r="A485" s="664"/>
      <c r="B485" s="664"/>
      <c r="C485" s="664"/>
      <c r="D485" s="664"/>
      <c r="E485" s="664"/>
      <c r="F485" s="664"/>
      <c r="G485" s="664"/>
      <c r="H485" s="664"/>
      <c r="I485" s="664"/>
      <c r="J485" s="664"/>
      <c r="K485" s="664"/>
      <c r="L485" s="664"/>
      <c r="M485" s="664"/>
      <c r="N485" s="664"/>
      <c r="O485" s="664"/>
      <c r="P485" s="664"/>
      <c r="Q485" s="664"/>
      <c r="R485" s="664"/>
      <c r="S485" s="664"/>
      <c r="T485" s="664"/>
      <c r="U485" s="664"/>
      <c r="V485" s="664"/>
      <c r="W485" s="664"/>
      <c r="X485" s="664"/>
      <c r="Y485" s="664"/>
      <c r="Z485" s="664"/>
    </row>
    <row r="486">
      <c r="A486" s="664"/>
      <c r="B486" s="664"/>
      <c r="C486" s="664"/>
      <c r="D486" s="664"/>
      <c r="E486" s="664"/>
      <c r="F486" s="664"/>
      <c r="G486" s="664"/>
      <c r="H486" s="664"/>
      <c r="I486" s="664"/>
      <c r="J486" s="664"/>
      <c r="K486" s="664"/>
      <c r="L486" s="664"/>
      <c r="M486" s="664"/>
      <c r="N486" s="664"/>
      <c r="O486" s="664"/>
      <c r="P486" s="664"/>
      <c r="Q486" s="664"/>
      <c r="R486" s="664"/>
      <c r="S486" s="664"/>
      <c r="T486" s="664"/>
      <c r="U486" s="664"/>
      <c r="V486" s="664"/>
      <c r="W486" s="664"/>
      <c r="X486" s="664"/>
      <c r="Y486" s="664"/>
      <c r="Z486" s="664"/>
    </row>
    <row r="487">
      <c r="A487" s="664"/>
      <c r="B487" s="664"/>
      <c r="C487" s="664"/>
      <c r="D487" s="664"/>
      <c r="E487" s="664"/>
      <c r="F487" s="664"/>
      <c r="G487" s="664"/>
      <c r="H487" s="664"/>
      <c r="I487" s="664"/>
      <c r="J487" s="664"/>
      <c r="K487" s="664"/>
      <c r="L487" s="664"/>
      <c r="M487" s="664"/>
      <c r="N487" s="664"/>
      <c r="O487" s="664"/>
      <c r="P487" s="664"/>
      <c r="Q487" s="664"/>
      <c r="R487" s="664"/>
      <c r="S487" s="664"/>
      <c r="T487" s="664"/>
      <c r="U487" s="664"/>
      <c r="V487" s="664"/>
      <c r="W487" s="664"/>
      <c r="X487" s="664"/>
      <c r="Y487" s="664"/>
      <c r="Z487" s="664"/>
    </row>
    <row r="488">
      <c r="A488" s="664"/>
      <c r="B488" s="664"/>
      <c r="C488" s="664"/>
      <c r="D488" s="664"/>
      <c r="E488" s="664"/>
      <c r="F488" s="664"/>
      <c r="G488" s="664"/>
      <c r="H488" s="664"/>
      <c r="I488" s="664"/>
      <c r="J488" s="664"/>
      <c r="K488" s="664"/>
      <c r="L488" s="664"/>
      <c r="M488" s="664"/>
      <c r="N488" s="664"/>
      <c r="O488" s="664"/>
      <c r="P488" s="664"/>
      <c r="Q488" s="664"/>
      <c r="R488" s="664"/>
      <c r="S488" s="664"/>
      <c r="T488" s="664"/>
      <c r="U488" s="664"/>
      <c r="V488" s="664"/>
      <c r="W488" s="664"/>
      <c r="X488" s="664"/>
      <c r="Y488" s="664"/>
      <c r="Z488" s="664"/>
    </row>
    <row r="489">
      <c r="A489" s="664"/>
      <c r="B489" s="664"/>
      <c r="C489" s="664"/>
      <c r="D489" s="664"/>
      <c r="E489" s="664"/>
      <c r="F489" s="664"/>
      <c r="G489" s="664"/>
      <c r="H489" s="664"/>
      <c r="I489" s="664"/>
      <c r="J489" s="664"/>
      <c r="K489" s="664"/>
      <c r="L489" s="664"/>
      <c r="M489" s="664"/>
      <c r="N489" s="664"/>
      <c r="O489" s="664"/>
      <c r="P489" s="664"/>
      <c r="Q489" s="664"/>
      <c r="R489" s="664"/>
      <c r="S489" s="664"/>
      <c r="T489" s="664"/>
      <c r="U489" s="664"/>
      <c r="V489" s="664"/>
      <c r="W489" s="664"/>
      <c r="X489" s="664"/>
      <c r="Y489" s="664"/>
      <c r="Z489" s="664"/>
    </row>
    <row r="490">
      <c r="A490" s="664"/>
      <c r="B490" s="664"/>
      <c r="C490" s="664"/>
      <c r="D490" s="664"/>
      <c r="E490" s="664"/>
      <c r="F490" s="664"/>
      <c r="G490" s="664"/>
      <c r="H490" s="664"/>
      <c r="I490" s="664"/>
      <c r="J490" s="664"/>
      <c r="K490" s="664"/>
      <c r="L490" s="664"/>
      <c r="M490" s="664"/>
      <c r="N490" s="664"/>
      <c r="O490" s="664"/>
      <c r="P490" s="664"/>
      <c r="Q490" s="664"/>
      <c r="R490" s="664"/>
      <c r="S490" s="664"/>
      <c r="T490" s="664"/>
      <c r="U490" s="664"/>
      <c r="V490" s="664"/>
      <c r="W490" s="664"/>
      <c r="X490" s="664"/>
      <c r="Y490" s="664"/>
      <c r="Z490" s="664"/>
    </row>
    <row r="491">
      <c r="A491" s="664"/>
      <c r="B491" s="664"/>
      <c r="C491" s="664"/>
      <c r="D491" s="664"/>
      <c r="E491" s="664"/>
      <c r="F491" s="664"/>
      <c r="G491" s="664"/>
      <c r="H491" s="664"/>
      <c r="I491" s="664"/>
      <c r="J491" s="664"/>
      <c r="K491" s="664"/>
      <c r="L491" s="664"/>
      <c r="M491" s="664"/>
      <c r="N491" s="664"/>
      <c r="O491" s="664"/>
      <c r="P491" s="664"/>
      <c r="Q491" s="664"/>
      <c r="R491" s="664"/>
      <c r="S491" s="664"/>
      <c r="T491" s="664"/>
      <c r="U491" s="664"/>
      <c r="V491" s="664"/>
      <c r="W491" s="664"/>
      <c r="X491" s="664"/>
      <c r="Y491" s="664"/>
      <c r="Z491" s="664"/>
    </row>
    <row r="492">
      <c r="A492" s="664"/>
      <c r="B492" s="664"/>
      <c r="C492" s="664"/>
      <c r="D492" s="664"/>
      <c r="E492" s="664"/>
      <c r="F492" s="664"/>
      <c r="G492" s="664"/>
      <c r="H492" s="664"/>
      <c r="I492" s="664"/>
      <c r="J492" s="664"/>
      <c r="K492" s="664"/>
      <c r="L492" s="664"/>
      <c r="M492" s="664"/>
      <c r="N492" s="664"/>
      <c r="O492" s="664"/>
      <c r="P492" s="664"/>
      <c r="Q492" s="664"/>
      <c r="R492" s="664"/>
      <c r="S492" s="664"/>
      <c r="T492" s="664"/>
      <c r="U492" s="664"/>
      <c r="V492" s="664"/>
      <c r="W492" s="664"/>
      <c r="X492" s="664"/>
      <c r="Y492" s="664"/>
      <c r="Z492" s="664"/>
    </row>
    <row r="493">
      <c r="A493" s="664"/>
      <c r="B493" s="664"/>
      <c r="C493" s="664"/>
      <c r="D493" s="664"/>
      <c r="E493" s="664"/>
      <c r="F493" s="664"/>
      <c r="G493" s="664"/>
      <c r="H493" s="664"/>
      <c r="I493" s="664"/>
      <c r="J493" s="664"/>
      <c r="K493" s="664"/>
      <c r="L493" s="664"/>
      <c r="M493" s="664"/>
      <c r="N493" s="664"/>
      <c r="O493" s="664"/>
      <c r="P493" s="664"/>
      <c r="Q493" s="664"/>
      <c r="R493" s="664"/>
      <c r="S493" s="664"/>
      <c r="T493" s="664"/>
      <c r="U493" s="664"/>
      <c r="V493" s="664"/>
      <c r="W493" s="664"/>
      <c r="X493" s="664"/>
      <c r="Y493" s="664"/>
      <c r="Z493" s="664"/>
    </row>
    <row r="494">
      <c r="A494" s="664"/>
      <c r="B494" s="664"/>
      <c r="C494" s="664"/>
      <c r="D494" s="664"/>
      <c r="E494" s="664"/>
      <c r="F494" s="664"/>
      <c r="G494" s="664"/>
      <c r="H494" s="664"/>
      <c r="I494" s="664"/>
      <c r="J494" s="664"/>
      <c r="K494" s="664"/>
      <c r="L494" s="664"/>
      <c r="M494" s="664"/>
      <c r="N494" s="664"/>
      <c r="O494" s="664"/>
      <c r="P494" s="664"/>
      <c r="Q494" s="664"/>
      <c r="R494" s="664"/>
      <c r="S494" s="664"/>
      <c r="T494" s="664"/>
      <c r="U494" s="664"/>
      <c r="V494" s="664"/>
      <c r="W494" s="664"/>
      <c r="X494" s="664"/>
      <c r="Y494" s="664"/>
      <c r="Z494" s="664"/>
    </row>
    <row r="495">
      <c r="A495" s="664"/>
      <c r="B495" s="664"/>
      <c r="C495" s="664"/>
      <c r="D495" s="664"/>
      <c r="E495" s="664"/>
      <c r="F495" s="664"/>
      <c r="G495" s="664"/>
      <c r="H495" s="664"/>
      <c r="I495" s="664"/>
      <c r="J495" s="664"/>
      <c r="K495" s="664"/>
      <c r="L495" s="664"/>
      <c r="M495" s="664"/>
      <c r="N495" s="664"/>
      <c r="O495" s="664"/>
      <c r="P495" s="664"/>
      <c r="Q495" s="664"/>
      <c r="R495" s="664"/>
      <c r="S495" s="664"/>
      <c r="T495" s="664"/>
      <c r="U495" s="664"/>
      <c r="V495" s="664"/>
      <c r="W495" s="664"/>
      <c r="X495" s="664"/>
      <c r="Y495" s="664"/>
      <c r="Z495" s="664"/>
    </row>
    <row r="496">
      <c r="A496" s="664"/>
      <c r="B496" s="664"/>
      <c r="C496" s="664"/>
      <c r="D496" s="664"/>
      <c r="E496" s="664"/>
      <c r="F496" s="664"/>
      <c r="G496" s="664"/>
      <c r="H496" s="664"/>
      <c r="I496" s="664"/>
      <c r="J496" s="664"/>
      <c r="K496" s="664"/>
      <c r="L496" s="664"/>
      <c r="M496" s="664"/>
      <c r="N496" s="664"/>
      <c r="O496" s="664"/>
      <c r="P496" s="664"/>
      <c r="Q496" s="664"/>
      <c r="R496" s="664"/>
      <c r="S496" s="664"/>
      <c r="T496" s="664"/>
      <c r="U496" s="664"/>
      <c r="V496" s="664"/>
      <c r="W496" s="664"/>
      <c r="X496" s="664"/>
      <c r="Y496" s="664"/>
      <c r="Z496" s="664"/>
    </row>
    <row r="497">
      <c r="A497" s="664"/>
      <c r="B497" s="664"/>
      <c r="C497" s="664"/>
      <c r="D497" s="664"/>
      <c r="E497" s="664"/>
      <c r="F497" s="664"/>
      <c r="G497" s="664"/>
      <c r="H497" s="664"/>
      <c r="I497" s="664"/>
      <c r="J497" s="664"/>
      <c r="K497" s="664"/>
      <c r="L497" s="664"/>
      <c r="M497" s="664"/>
      <c r="N497" s="664"/>
      <c r="O497" s="664"/>
      <c r="P497" s="664"/>
      <c r="Q497" s="664"/>
      <c r="R497" s="664"/>
      <c r="S497" s="664"/>
      <c r="T497" s="664"/>
      <c r="U497" s="664"/>
      <c r="V497" s="664"/>
      <c r="W497" s="664"/>
      <c r="X497" s="664"/>
      <c r="Y497" s="664"/>
      <c r="Z497" s="664"/>
    </row>
    <row r="498">
      <c r="A498" s="664"/>
      <c r="B498" s="664"/>
      <c r="C498" s="664"/>
      <c r="D498" s="664"/>
      <c r="E498" s="664"/>
      <c r="F498" s="664"/>
      <c r="G498" s="664"/>
      <c r="H498" s="664"/>
      <c r="I498" s="664"/>
      <c r="J498" s="664"/>
      <c r="K498" s="664"/>
      <c r="L498" s="664"/>
      <c r="M498" s="664"/>
      <c r="N498" s="664"/>
      <c r="O498" s="664"/>
      <c r="P498" s="664"/>
      <c r="Q498" s="664"/>
      <c r="R498" s="664"/>
      <c r="S498" s="664"/>
      <c r="T498" s="664"/>
      <c r="U498" s="664"/>
      <c r="V498" s="664"/>
      <c r="W498" s="664"/>
      <c r="X498" s="664"/>
      <c r="Y498" s="664"/>
      <c r="Z498" s="664"/>
    </row>
    <row r="499">
      <c r="A499" s="664"/>
      <c r="B499" s="664"/>
      <c r="C499" s="664"/>
      <c r="D499" s="664"/>
      <c r="E499" s="664"/>
      <c r="F499" s="664"/>
      <c r="G499" s="664"/>
      <c r="H499" s="664"/>
      <c r="I499" s="664"/>
      <c r="J499" s="664"/>
      <c r="K499" s="664"/>
      <c r="L499" s="664"/>
      <c r="M499" s="664"/>
      <c r="N499" s="664"/>
      <c r="O499" s="664"/>
      <c r="P499" s="664"/>
      <c r="Q499" s="664"/>
      <c r="R499" s="664"/>
      <c r="S499" s="664"/>
      <c r="T499" s="664"/>
      <c r="U499" s="664"/>
      <c r="V499" s="664"/>
      <c r="W499" s="664"/>
      <c r="X499" s="664"/>
      <c r="Y499" s="664"/>
      <c r="Z499" s="664"/>
    </row>
    <row r="500">
      <c r="A500" s="664"/>
      <c r="B500" s="664"/>
      <c r="C500" s="664"/>
      <c r="D500" s="664"/>
      <c r="E500" s="664"/>
      <c r="F500" s="664"/>
      <c r="G500" s="664"/>
      <c r="H500" s="664"/>
      <c r="I500" s="664"/>
      <c r="J500" s="664"/>
      <c r="K500" s="664"/>
      <c r="L500" s="664"/>
      <c r="M500" s="664"/>
      <c r="N500" s="664"/>
      <c r="O500" s="664"/>
      <c r="P500" s="664"/>
      <c r="Q500" s="664"/>
      <c r="R500" s="664"/>
      <c r="S500" s="664"/>
      <c r="T500" s="664"/>
      <c r="U500" s="664"/>
      <c r="V500" s="664"/>
      <c r="W500" s="664"/>
      <c r="X500" s="664"/>
      <c r="Y500" s="664"/>
      <c r="Z500" s="664"/>
    </row>
    <row r="501">
      <c r="A501" s="664"/>
      <c r="B501" s="664"/>
      <c r="C501" s="664"/>
      <c r="D501" s="664"/>
      <c r="E501" s="664"/>
      <c r="F501" s="664"/>
      <c r="G501" s="664"/>
      <c r="H501" s="664"/>
      <c r="I501" s="664"/>
      <c r="J501" s="664"/>
      <c r="K501" s="664"/>
      <c r="L501" s="664"/>
      <c r="M501" s="664"/>
      <c r="N501" s="664"/>
      <c r="O501" s="664"/>
      <c r="P501" s="664"/>
      <c r="Q501" s="664"/>
      <c r="R501" s="664"/>
      <c r="S501" s="664"/>
      <c r="T501" s="664"/>
      <c r="U501" s="664"/>
      <c r="V501" s="664"/>
      <c r="W501" s="664"/>
      <c r="X501" s="664"/>
      <c r="Y501" s="664"/>
      <c r="Z501" s="664"/>
    </row>
    <row r="502">
      <c r="A502" s="664"/>
      <c r="B502" s="664"/>
      <c r="C502" s="664"/>
      <c r="D502" s="664"/>
      <c r="E502" s="664"/>
      <c r="F502" s="664"/>
      <c r="G502" s="664"/>
      <c r="H502" s="664"/>
      <c r="I502" s="664"/>
      <c r="J502" s="664"/>
      <c r="K502" s="664"/>
      <c r="L502" s="664"/>
      <c r="M502" s="664"/>
      <c r="N502" s="664"/>
      <c r="O502" s="664"/>
      <c r="P502" s="664"/>
      <c r="Q502" s="664"/>
      <c r="R502" s="664"/>
      <c r="S502" s="664"/>
      <c r="T502" s="664"/>
      <c r="U502" s="664"/>
      <c r="V502" s="664"/>
      <c r="W502" s="664"/>
      <c r="X502" s="664"/>
      <c r="Y502" s="664"/>
      <c r="Z502" s="664"/>
    </row>
    <row r="503">
      <c r="A503" s="664"/>
      <c r="B503" s="664"/>
      <c r="C503" s="664"/>
      <c r="D503" s="664"/>
      <c r="E503" s="664"/>
      <c r="F503" s="664"/>
      <c r="G503" s="664"/>
      <c r="H503" s="664"/>
      <c r="I503" s="664"/>
      <c r="J503" s="664"/>
      <c r="K503" s="664"/>
      <c r="L503" s="664"/>
      <c r="M503" s="664"/>
      <c r="N503" s="664"/>
      <c r="O503" s="664"/>
      <c r="P503" s="664"/>
      <c r="Q503" s="664"/>
      <c r="R503" s="664"/>
      <c r="S503" s="664"/>
      <c r="T503" s="664"/>
      <c r="U503" s="664"/>
      <c r="V503" s="664"/>
      <c r="W503" s="664"/>
      <c r="X503" s="664"/>
      <c r="Y503" s="664"/>
      <c r="Z503" s="664"/>
    </row>
    <row r="504">
      <c r="A504" s="664"/>
      <c r="B504" s="664"/>
      <c r="C504" s="664"/>
      <c r="D504" s="664"/>
      <c r="E504" s="664"/>
      <c r="F504" s="664"/>
      <c r="G504" s="664"/>
      <c r="H504" s="664"/>
      <c r="I504" s="664"/>
      <c r="J504" s="664"/>
      <c r="K504" s="664"/>
      <c r="L504" s="664"/>
      <c r="M504" s="664"/>
      <c r="N504" s="664"/>
      <c r="O504" s="664"/>
      <c r="P504" s="664"/>
      <c r="Q504" s="664"/>
      <c r="R504" s="664"/>
      <c r="S504" s="664"/>
      <c r="T504" s="664"/>
      <c r="U504" s="664"/>
      <c r="V504" s="664"/>
      <c r="W504" s="664"/>
      <c r="X504" s="664"/>
      <c r="Y504" s="664"/>
      <c r="Z504" s="664"/>
    </row>
    <row r="505">
      <c r="A505" s="664"/>
      <c r="B505" s="664"/>
      <c r="C505" s="664"/>
      <c r="D505" s="664"/>
      <c r="E505" s="664"/>
      <c r="F505" s="664"/>
      <c r="G505" s="664"/>
      <c r="H505" s="664"/>
      <c r="I505" s="664"/>
      <c r="J505" s="664"/>
      <c r="K505" s="664"/>
      <c r="L505" s="664"/>
      <c r="M505" s="664"/>
      <c r="N505" s="664"/>
      <c r="O505" s="664"/>
      <c r="P505" s="664"/>
      <c r="Q505" s="664"/>
      <c r="R505" s="664"/>
      <c r="S505" s="664"/>
      <c r="T505" s="664"/>
      <c r="U505" s="664"/>
      <c r="V505" s="664"/>
      <c r="W505" s="664"/>
      <c r="X505" s="664"/>
      <c r="Y505" s="664"/>
      <c r="Z505" s="664"/>
    </row>
    <row r="506">
      <c r="A506" s="664"/>
      <c r="B506" s="664"/>
      <c r="C506" s="664"/>
      <c r="D506" s="664"/>
      <c r="E506" s="664"/>
      <c r="F506" s="664"/>
      <c r="G506" s="664"/>
      <c r="H506" s="664"/>
      <c r="I506" s="664"/>
      <c r="J506" s="664"/>
      <c r="K506" s="664"/>
      <c r="L506" s="664"/>
      <c r="M506" s="664"/>
      <c r="N506" s="664"/>
      <c r="O506" s="664"/>
      <c r="P506" s="664"/>
      <c r="Q506" s="664"/>
      <c r="R506" s="664"/>
      <c r="S506" s="664"/>
      <c r="T506" s="664"/>
      <c r="U506" s="664"/>
      <c r="V506" s="664"/>
      <c r="W506" s="664"/>
      <c r="X506" s="664"/>
      <c r="Y506" s="664"/>
      <c r="Z506" s="664"/>
    </row>
    <row r="507">
      <c r="A507" s="664"/>
      <c r="B507" s="664"/>
      <c r="C507" s="664"/>
      <c r="D507" s="664"/>
      <c r="E507" s="664"/>
      <c r="F507" s="664"/>
      <c r="G507" s="664"/>
      <c r="H507" s="664"/>
      <c r="I507" s="664"/>
      <c r="J507" s="664"/>
      <c r="K507" s="664"/>
      <c r="L507" s="664"/>
      <c r="M507" s="664"/>
      <c r="N507" s="664"/>
      <c r="O507" s="664"/>
      <c r="P507" s="664"/>
      <c r="Q507" s="664"/>
      <c r="R507" s="664"/>
      <c r="S507" s="664"/>
      <c r="T507" s="664"/>
      <c r="U507" s="664"/>
      <c r="V507" s="664"/>
      <c r="W507" s="664"/>
      <c r="X507" s="664"/>
      <c r="Y507" s="664"/>
      <c r="Z507" s="664"/>
    </row>
    <row r="508">
      <c r="A508" s="664"/>
      <c r="B508" s="664"/>
      <c r="C508" s="664"/>
      <c r="D508" s="664"/>
      <c r="E508" s="664"/>
      <c r="F508" s="664"/>
      <c r="G508" s="664"/>
      <c r="H508" s="664"/>
      <c r="I508" s="664"/>
      <c r="J508" s="664"/>
      <c r="K508" s="664"/>
      <c r="L508" s="664"/>
      <c r="M508" s="664"/>
      <c r="N508" s="664"/>
      <c r="O508" s="664"/>
      <c r="P508" s="664"/>
      <c r="Q508" s="664"/>
      <c r="R508" s="664"/>
      <c r="S508" s="664"/>
      <c r="T508" s="664"/>
      <c r="U508" s="664"/>
      <c r="V508" s="664"/>
      <c r="W508" s="664"/>
      <c r="X508" s="664"/>
      <c r="Y508" s="664"/>
      <c r="Z508" s="664"/>
    </row>
    <row r="509">
      <c r="A509" s="664"/>
      <c r="B509" s="664"/>
      <c r="C509" s="664"/>
      <c r="D509" s="664"/>
      <c r="E509" s="664"/>
      <c r="F509" s="664"/>
      <c r="G509" s="664"/>
      <c r="H509" s="664"/>
      <c r="I509" s="664"/>
      <c r="J509" s="664"/>
      <c r="K509" s="664"/>
      <c r="L509" s="664"/>
      <c r="M509" s="664"/>
      <c r="N509" s="664"/>
      <c r="O509" s="664"/>
      <c r="P509" s="664"/>
      <c r="Q509" s="664"/>
      <c r="R509" s="664"/>
      <c r="S509" s="664"/>
      <c r="T509" s="664"/>
      <c r="U509" s="664"/>
      <c r="V509" s="664"/>
      <c r="W509" s="664"/>
      <c r="X509" s="664"/>
      <c r="Y509" s="664"/>
      <c r="Z509" s="664"/>
    </row>
    <row r="510">
      <c r="A510" s="664"/>
      <c r="B510" s="664"/>
      <c r="C510" s="664"/>
      <c r="D510" s="664"/>
      <c r="E510" s="664"/>
      <c r="F510" s="664"/>
      <c r="G510" s="664"/>
      <c r="H510" s="664"/>
      <c r="I510" s="664"/>
      <c r="J510" s="664"/>
      <c r="K510" s="664"/>
      <c r="L510" s="664"/>
      <c r="M510" s="664"/>
      <c r="N510" s="664"/>
      <c r="O510" s="664"/>
      <c r="P510" s="664"/>
      <c r="Q510" s="664"/>
      <c r="R510" s="664"/>
      <c r="S510" s="664"/>
      <c r="T510" s="664"/>
      <c r="U510" s="664"/>
      <c r="V510" s="664"/>
      <c r="W510" s="664"/>
      <c r="X510" s="664"/>
      <c r="Y510" s="664"/>
      <c r="Z510" s="664"/>
    </row>
    <row r="511">
      <c r="A511" s="664"/>
      <c r="B511" s="664"/>
      <c r="C511" s="664"/>
      <c r="D511" s="664"/>
      <c r="E511" s="664"/>
      <c r="F511" s="664"/>
      <c r="G511" s="664"/>
      <c r="H511" s="664"/>
      <c r="I511" s="664"/>
      <c r="J511" s="664"/>
      <c r="K511" s="664"/>
      <c r="L511" s="664"/>
      <c r="M511" s="664"/>
      <c r="N511" s="664"/>
      <c r="O511" s="664"/>
      <c r="P511" s="664"/>
      <c r="Q511" s="664"/>
      <c r="R511" s="664"/>
      <c r="S511" s="664"/>
      <c r="T511" s="664"/>
      <c r="U511" s="664"/>
      <c r="V511" s="664"/>
      <c r="W511" s="664"/>
      <c r="X511" s="664"/>
      <c r="Y511" s="664"/>
      <c r="Z511" s="664"/>
    </row>
    <row r="512">
      <c r="A512" s="664"/>
      <c r="B512" s="664"/>
      <c r="C512" s="664"/>
      <c r="D512" s="664"/>
      <c r="E512" s="664"/>
      <c r="F512" s="664"/>
      <c r="G512" s="664"/>
      <c r="H512" s="664"/>
      <c r="I512" s="664"/>
      <c r="J512" s="664"/>
      <c r="K512" s="664"/>
      <c r="L512" s="664"/>
      <c r="M512" s="664"/>
      <c r="N512" s="664"/>
      <c r="O512" s="664"/>
      <c r="P512" s="664"/>
      <c r="Q512" s="664"/>
      <c r="R512" s="664"/>
      <c r="S512" s="664"/>
      <c r="T512" s="664"/>
      <c r="U512" s="664"/>
      <c r="V512" s="664"/>
      <c r="W512" s="664"/>
      <c r="X512" s="664"/>
      <c r="Y512" s="664"/>
      <c r="Z512" s="664"/>
    </row>
    <row r="513">
      <c r="A513" s="664"/>
      <c r="B513" s="664"/>
      <c r="C513" s="664"/>
      <c r="D513" s="664"/>
      <c r="E513" s="664"/>
      <c r="F513" s="664"/>
      <c r="G513" s="664"/>
      <c r="H513" s="664"/>
      <c r="I513" s="664"/>
      <c r="J513" s="664"/>
      <c r="K513" s="664"/>
      <c r="L513" s="664"/>
      <c r="M513" s="664"/>
      <c r="N513" s="664"/>
      <c r="O513" s="664"/>
      <c r="P513" s="664"/>
      <c r="Q513" s="664"/>
      <c r="R513" s="664"/>
      <c r="S513" s="664"/>
      <c r="T513" s="664"/>
      <c r="U513" s="664"/>
      <c r="V513" s="664"/>
      <c r="W513" s="664"/>
      <c r="X513" s="664"/>
      <c r="Y513" s="664"/>
      <c r="Z513" s="664"/>
    </row>
    <row r="514">
      <c r="A514" s="664"/>
      <c r="B514" s="664"/>
      <c r="C514" s="664"/>
      <c r="D514" s="664"/>
      <c r="E514" s="664"/>
      <c r="F514" s="664"/>
      <c r="G514" s="664"/>
      <c r="H514" s="664"/>
      <c r="I514" s="664"/>
      <c r="J514" s="664"/>
      <c r="K514" s="664"/>
      <c r="L514" s="664"/>
      <c r="M514" s="664"/>
      <c r="N514" s="664"/>
      <c r="O514" s="664"/>
      <c r="P514" s="664"/>
      <c r="Q514" s="664"/>
      <c r="R514" s="664"/>
      <c r="S514" s="664"/>
      <c r="T514" s="664"/>
      <c r="U514" s="664"/>
      <c r="V514" s="664"/>
      <c r="W514" s="664"/>
      <c r="X514" s="664"/>
      <c r="Y514" s="664"/>
      <c r="Z514" s="664"/>
    </row>
    <row r="515">
      <c r="A515" s="664"/>
      <c r="B515" s="664"/>
      <c r="C515" s="664"/>
      <c r="D515" s="664"/>
      <c r="E515" s="664"/>
      <c r="F515" s="664"/>
      <c r="G515" s="664"/>
      <c r="H515" s="664"/>
      <c r="I515" s="664"/>
      <c r="J515" s="664"/>
      <c r="K515" s="664"/>
      <c r="L515" s="664"/>
      <c r="M515" s="664"/>
      <c r="N515" s="664"/>
      <c r="O515" s="664"/>
      <c r="P515" s="664"/>
      <c r="Q515" s="664"/>
      <c r="R515" s="664"/>
      <c r="S515" s="664"/>
      <c r="T515" s="664"/>
      <c r="U515" s="664"/>
      <c r="V515" s="664"/>
      <c r="W515" s="664"/>
      <c r="X515" s="664"/>
      <c r="Y515" s="664"/>
      <c r="Z515" s="664"/>
    </row>
    <row r="516">
      <c r="A516" s="664"/>
      <c r="B516" s="664"/>
      <c r="C516" s="664"/>
      <c r="D516" s="664"/>
      <c r="E516" s="664"/>
      <c r="F516" s="664"/>
      <c r="G516" s="664"/>
      <c r="H516" s="664"/>
      <c r="I516" s="664"/>
      <c r="J516" s="664"/>
      <c r="K516" s="664"/>
      <c r="L516" s="664"/>
      <c r="M516" s="664"/>
      <c r="N516" s="664"/>
      <c r="O516" s="664"/>
      <c r="P516" s="664"/>
      <c r="Q516" s="664"/>
      <c r="R516" s="664"/>
      <c r="S516" s="664"/>
      <c r="T516" s="664"/>
      <c r="U516" s="664"/>
      <c r="V516" s="664"/>
      <c r="W516" s="664"/>
      <c r="X516" s="664"/>
      <c r="Y516" s="664"/>
      <c r="Z516" s="664"/>
    </row>
    <row r="517">
      <c r="A517" s="664"/>
      <c r="B517" s="664"/>
      <c r="C517" s="664"/>
      <c r="D517" s="664"/>
      <c r="E517" s="664"/>
      <c r="F517" s="664"/>
      <c r="G517" s="664"/>
      <c r="H517" s="664"/>
      <c r="I517" s="664"/>
      <c r="J517" s="664"/>
      <c r="K517" s="664"/>
      <c r="L517" s="664"/>
      <c r="M517" s="664"/>
      <c r="N517" s="664"/>
      <c r="O517" s="664"/>
      <c r="P517" s="664"/>
      <c r="Q517" s="664"/>
      <c r="R517" s="664"/>
      <c r="S517" s="664"/>
      <c r="T517" s="664"/>
      <c r="U517" s="664"/>
      <c r="V517" s="664"/>
      <c r="W517" s="664"/>
      <c r="X517" s="664"/>
      <c r="Y517" s="664"/>
      <c r="Z517" s="664"/>
    </row>
    <row r="518">
      <c r="A518" s="664"/>
      <c r="B518" s="664"/>
      <c r="C518" s="664"/>
      <c r="D518" s="664"/>
      <c r="E518" s="664"/>
      <c r="F518" s="664"/>
      <c r="G518" s="664"/>
      <c r="H518" s="664"/>
      <c r="I518" s="664"/>
      <c r="J518" s="664"/>
      <c r="K518" s="664"/>
      <c r="L518" s="664"/>
      <c r="M518" s="664"/>
      <c r="N518" s="664"/>
      <c r="O518" s="664"/>
      <c r="P518" s="664"/>
      <c r="Q518" s="664"/>
      <c r="R518" s="664"/>
      <c r="S518" s="664"/>
      <c r="T518" s="664"/>
      <c r="U518" s="664"/>
      <c r="V518" s="664"/>
      <c r="W518" s="664"/>
      <c r="X518" s="664"/>
      <c r="Y518" s="664"/>
      <c r="Z518" s="664"/>
    </row>
    <row r="519">
      <c r="A519" s="664"/>
      <c r="B519" s="664"/>
      <c r="C519" s="664"/>
      <c r="D519" s="664"/>
      <c r="E519" s="664"/>
      <c r="F519" s="664"/>
      <c r="G519" s="664"/>
      <c r="H519" s="664"/>
      <c r="I519" s="664"/>
      <c r="J519" s="664"/>
      <c r="K519" s="664"/>
      <c r="L519" s="664"/>
      <c r="M519" s="664"/>
      <c r="N519" s="664"/>
      <c r="O519" s="664"/>
      <c r="P519" s="664"/>
      <c r="Q519" s="664"/>
      <c r="R519" s="664"/>
      <c r="S519" s="664"/>
      <c r="T519" s="664"/>
      <c r="U519" s="664"/>
      <c r="V519" s="664"/>
      <c r="W519" s="664"/>
      <c r="X519" s="664"/>
      <c r="Y519" s="664"/>
      <c r="Z519" s="664"/>
    </row>
    <row r="520">
      <c r="A520" s="664"/>
      <c r="B520" s="664"/>
      <c r="C520" s="664"/>
      <c r="D520" s="664"/>
      <c r="E520" s="664"/>
      <c r="F520" s="664"/>
      <c r="G520" s="664"/>
      <c r="H520" s="664"/>
      <c r="I520" s="664"/>
      <c r="J520" s="664"/>
      <c r="K520" s="664"/>
      <c r="L520" s="664"/>
      <c r="M520" s="664"/>
      <c r="N520" s="664"/>
      <c r="O520" s="664"/>
      <c r="P520" s="664"/>
      <c r="Q520" s="664"/>
      <c r="R520" s="664"/>
      <c r="S520" s="664"/>
      <c r="T520" s="664"/>
      <c r="U520" s="664"/>
      <c r="V520" s="664"/>
      <c r="W520" s="664"/>
      <c r="X520" s="664"/>
      <c r="Y520" s="664"/>
      <c r="Z520" s="664"/>
    </row>
    <row r="521">
      <c r="A521" s="664"/>
      <c r="B521" s="664"/>
      <c r="C521" s="664"/>
      <c r="D521" s="664"/>
      <c r="E521" s="664"/>
      <c r="F521" s="664"/>
      <c r="G521" s="664"/>
      <c r="H521" s="664"/>
      <c r="I521" s="664"/>
      <c r="J521" s="664"/>
      <c r="K521" s="664"/>
      <c r="L521" s="664"/>
      <c r="M521" s="664"/>
      <c r="N521" s="664"/>
      <c r="O521" s="664"/>
      <c r="P521" s="664"/>
      <c r="Q521" s="664"/>
      <c r="R521" s="664"/>
      <c r="S521" s="664"/>
      <c r="T521" s="664"/>
      <c r="U521" s="664"/>
      <c r="V521" s="664"/>
      <c r="W521" s="664"/>
      <c r="X521" s="664"/>
      <c r="Y521" s="664"/>
      <c r="Z521" s="664"/>
    </row>
    <row r="522">
      <c r="A522" s="664"/>
      <c r="B522" s="664"/>
      <c r="C522" s="664"/>
      <c r="D522" s="664"/>
      <c r="E522" s="664"/>
      <c r="F522" s="664"/>
      <c r="G522" s="664"/>
      <c r="H522" s="664"/>
      <c r="I522" s="664"/>
      <c r="J522" s="664"/>
      <c r="K522" s="664"/>
      <c r="L522" s="664"/>
      <c r="M522" s="664"/>
      <c r="N522" s="664"/>
      <c r="O522" s="664"/>
      <c r="P522" s="664"/>
      <c r="Q522" s="664"/>
      <c r="R522" s="664"/>
      <c r="S522" s="664"/>
      <c r="T522" s="664"/>
      <c r="U522" s="664"/>
      <c r="V522" s="664"/>
      <c r="W522" s="664"/>
      <c r="X522" s="664"/>
      <c r="Y522" s="664"/>
      <c r="Z522" s="664"/>
    </row>
    <row r="523">
      <c r="A523" s="664"/>
      <c r="B523" s="664"/>
      <c r="C523" s="664"/>
      <c r="D523" s="664"/>
      <c r="E523" s="664"/>
      <c r="F523" s="664"/>
      <c r="G523" s="664"/>
      <c r="H523" s="664"/>
      <c r="I523" s="664"/>
      <c r="J523" s="664"/>
      <c r="K523" s="664"/>
      <c r="L523" s="664"/>
      <c r="M523" s="664"/>
      <c r="N523" s="664"/>
      <c r="O523" s="664"/>
      <c r="P523" s="664"/>
      <c r="Q523" s="664"/>
      <c r="R523" s="664"/>
      <c r="S523" s="664"/>
      <c r="T523" s="664"/>
      <c r="U523" s="664"/>
      <c r="V523" s="664"/>
      <c r="W523" s="664"/>
      <c r="X523" s="664"/>
      <c r="Y523" s="664"/>
      <c r="Z523" s="664"/>
    </row>
    <row r="524">
      <c r="A524" s="664"/>
      <c r="B524" s="664"/>
      <c r="C524" s="664"/>
      <c r="D524" s="664"/>
      <c r="E524" s="664"/>
      <c r="F524" s="664"/>
      <c r="G524" s="664"/>
      <c r="H524" s="664"/>
      <c r="I524" s="664"/>
      <c r="J524" s="664"/>
      <c r="K524" s="664"/>
      <c r="L524" s="664"/>
      <c r="M524" s="664"/>
      <c r="N524" s="664"/>
      <c r="O524" s="664"/>
      <c r="P524" s="664"/>
      <c r="Q524" s="664"/>
      <c r="R524" s="664"/>
      <c r="S524" s="664"/>
      <c r="T524" s="664"/>
      <c r="U524" s="664"/>
      <c r="V524" s="664"/>
      <c r="W524" s="664"/>
      <c r="X524" s="664"/>
      <c r="Y524" s="664"/>
      <c r="Z524" s="664"/>
    </row>
    <row r="525">
      <c r="A525" s="664"/>
      <c r="B525" s="664"/>
      <c r="C525" s="664"/>
      <c r="D525" s="664"/>
      <c r="E525" s="664"/>
      <c r="F525" s="664"/>
      <c r="G525" s="664"/>
      <c r="H525" s="664"/>
      <c r="I525" s="664"/>
      <c r="J525" s="664"/>
      <c r="K525" s="664"/>
      <c r="L525" s="664"/>
      <c r="M525" s="664"/>
      <c r="N525" s="664"/>
      <c r="O525" s="664"/>
      <c r="P525" s="664"/>
      <c r="Q525" s="664"/>
      <c r="R525" s="664"/>
      <c r="S525" s="664"/>
      <c r="T525" s="664"/>
      <c r="U525" s="664"/>
      <c r="V525" s="664"/>
      <c r="W525" s="664"/>
      <c r="X525" s="664"/>
      <c r="Y525" s="664"/>
      <c r="Z525" s="664"/>
    </row>
    <row r="526">
      <c r="A526" s="664"/>
      <c r="B526" s="664"/>
      <c r="C526" s="664"/>
      <c r="D526" s="664"/>
      <c r="E526" s="664"/>
      <c r="F526" s="664"/>
      <c r="G526" s="664"/>
      <c r="H526" s="664"/>
      <c r="I526" s="664"/>
      <c r="J526" s="664"/>
      <c r="K526" s="664"/>
      <c r="L526" s="664"/>
      <c r="M526" s="664"/>
      <c r="N526" s="664"/>
      <c r="O526" s="664"/>
      <c r="P526" s="664"/>
      <c r="Q526" s="664"/>
      <c r="R526" s="664"/>
      <c r="S526" s="664"/>
      <c r="T526" s="664"/>
      <c r="U526" s="664"/>
      <c r="V526" s="664"/>
      <c r="W526" s="664"/>
      <c r="X526" s="664"/>
      <c r="Y526" s="664"/>
      <c r="Z526" s="664"/>
    </row>
    <row r="527">
      <c r="A527" s="664"/>
      <c r="B527" s="664"/>
      <c r="C527" s="664"/>
      <c r="D527" s="664"/>
      <c r="E527" s="664"/>
      <c r="F527" s="664"/>
      <c r="G527" s="664"/>
      <c r="H527" s="664"/>
      <c r="I527" s="664"/>
      <c r="J527" s="664"/>
      <c r="K527" s="664"/>
      <c r="L527" s="664"/>
      <c r="M527" s="664"/>
      <c r="N527" s="664"/>
      <c r="O527" s="664"/>
      <c r="P527" s="664"/>
      <c r="Q527" s="664"/>
      <c r="R527" s="664"/>
      <c r="S527" s="664"/>
      <c r="T527" s="664"/>
      <c r="U527" s="664"/>
      <c r="V527" s="664"/>
      <c r="W527" s="664"/>
      <c r="X527" s="664"/>
      <c r="Y527" s="664"/>
      <c r="Z527" s="664"/>
    </row>
    <row r="528">
      <c r="A528" s="664"/>
      <c r="B528" s="664"/>
      <c r="C528" s="664"/>
      <c r="D528" s="664"/>
      <c r="E528" s="664"/>
      <c r="F528" s="664"/>
      <c r="G528" s="664"/>
      <c r="H528" s="664"/>
      <c r="I528" s="664"/>
      <c r="J528" s="664"/>
      <c r="K528" s="664"/>
      <c r="L528" s="664"/>
      <c r="M528" s="664"/>
      <c r="N528" s="664"/>
      <c r="O528" s="664"/>
      <c r="P528" s="664"/>
      <c r="Q528" s="664"/>
      <c r="R528" s="664"/>
      <c r="S528" s="664"/>
      <c r="T528" s="664"/>
      <c r="U528" s="664"/>
      <c r="V528" s="664"/>
      <c r="W528" s="664"/>
      <c r="X528" s="664"/>
      <c r="Y528" s="664"/>
      <c r="Z528" s="664"/>
    </row>
    <row r="529">
      <c r="A529" s="664"/>
      <c r="B529" s="664"/>
      <c r="C529" s="664"/>
      <c r="D529" s="664"/>
      <c r="E529" s="664"/>
      <c r="F529" s="664"/>
      <c r="G529" s="664"/>
      <c r="H529" s="664"/>
      <c r="I529" s="664"/>
      <c r="J529" s="664"/>
      <c r="K529" s="664"/>
      <c r="L529" s="664"/>
      <c r="M529" s="664"/>
      <c r="N529" s="664"/>
      <c r="O529" s="664"/>
      <c r="P529" s="664"/>
      <c r="Q529" s="664"/>
      <c r="R529" s="664"/>
      <c r="S529" s="664"/>
      <c r="T529" s="664"/>
      <c r="U529" s="664"/>
      <c r="V529" s="664"/>
      <c r="W529" s="664"/>
      <c r="X529" s="664"/>
      <c r="Y529" s="664"/>
      <c r="Z529" s="664"/>
    </row>
    <row r="530">
      <c r="A530" s="664"/>
      <c r="B530" s="664"/>
      <c r="C530" s="664"/>
      <c r="D530" s="664"/>
      <c r="E530" s="664"/>
      <c r="F530" s="664"/>
      <c r="G530" s="664"/>
      <c r="H530" s="664"/>
      <c r="I530" s="664"/>
      <c r="J530" s="664"/>
      <c r="K530" s="664"/>
      <c r="L530" s="664"/>
      <c r="M530" s="664"/>
      <c r="N530" s="664"/>
      <c r="O530" s="664"/>
      <c r="P530" s="664"/>
      <c r="Q530" s="664"/>
      <c r="R530" s="664"/>
      <c r="S530" s="664"/>
      <c r="T530" s="664"/>
      <c r="U530" s="664"/>
      <c r="V530" s="664"/>
      <c r="W530" s="664"/>
      <c r="X530" s="664"/>
      <c r="Y530" s="664"/>
      <c r="Z530" s="664"/>
    </row>
    <row r="531">
      <c r="A531" s="664"/>
      <c r="B531" s="664"/>
      <c r="C531" s="664"/>
      <c r="D531" s="664"/>
      <c r="E531" s="664"/>
      <c r="F531" s="664"/>
      <c r="G531" s="664"/>
      <c r="H531" s="664"/>
      <c r="I531" s="664"/>
      <c r="J531" s="664"/>
      <c r="K531" s="664"/>
      <c r="L531" s="664"/>
      <c r="M531" s="664"/>
      <c r="N531" s="664"/>
      <c r="O531" s="664"/>
      <c r="P531" s="664"/>
      <c r="Q531" s="664"/>
      <c r="R531" s="664"/>
      <c r="S531" s="664"/>
      <c r="T531" s="664"/>
      <c r="U531" s="664"/>
      <c r="V531" s="664"/>
      <c r="W531" s="664"/>
      <c r="X531" s="664"/>
      <c r="Y531" s="664"/>
      <c r="Z531" s="664"/>
    </row>
    <row r="532">
      <c r="A532" s="664"/>
      <c r="B532" s="664"/>
      <c r="C532" s="664"/>
      <c r="D532" s="664"/>
      <c r="E532" s="664"/>
      <c r="F532" s="664"/>
      <c r="G532" s="664"/>
      <c r="H532" s="664"/>
      <c r="I532" s="664"/>
      <c r="J532" s="664"/>
      <c r="K532" s="664"/>
      <c r="L532" s="664"/>
      <c r="M532" s="664"/>
      <c r="N532" s="664"/>
      <c r="O532" s="664"/>
      <c r="P532" s="664"/>
      <c r="Q532" s="664"/>
      <c r="R532" s="664"/>
      <c r="S532" s="664"/>
      <c r="T532" s="664"/>
      <c r="U532" s="664"/>
      <c r="V532" s="664"/>
      <c r="W532" s="664"/>
      <c r="X532" s="664"/>
      <c r="Y532" s="664"/>
      <c r="Z532" s="664"/>
    </row>
    <row r="533">
      <c r="A533" s="664"/>
      <c r="B533" s="664"/>
      <c r="C533" s="664"/>
      <c r="D533" s="664"/>
      <c r="E533" s="664"/>
      <c r="F533" s="664"/>
      <c r="G533" s="664"/>
      <c r="H533" s="664"/>
      <c r="I533" s="664"/>
      <c r="J533" s="664"/>
      <c r="K533" s="664"/>
      <c r="L533" s="664"/>
      <c r="M533" s="664"/>
      <c r="N533" s="664"/>
      <c r="O533" s="664"/>
      <c r="P533" s="664"/>
      <c r="Q533" s="664"/>
      <c r="R533" s="664"/>
      <c r="S533" s="664"/>
      <c r="T533" s="664"/>
      <c r="U533" s="664"/>
      <c r="V533" s="664"/>
      <c r="W533" s="664"/>
      <c r="X533" s="664"/>
      <c r="Y533" s="664"/>
      <c r="Z533" s="664"/>
    </row>
    <row r="534">
      <c r="A534" s="664"/>
      <c r="B534" s="664"/>
      <c r="C534" s="664"/>
      <c r="D534" s="664"/>
      <c r="E534" s="664"/>
      <c r="F534" s="664"/>
      <c r="G534" s="664"/>
      <c r="H534" s="664"/>
      <c r="I534" s="664"/>
      <c r="J534" s="664"/>
      <c r="K534" s="664"/>
      <c r="L534" s="664"/>
      <c r="M534" s="664"/>
      <c r="N534" s="664"/>
      <c r="O534" s="664"/>
      <c r="P534" s="664"/>
      <c r="Q534" s="664"/>
      <c r="R534" s="664"/>
      <c r="S534" s="664"/>
      <c r="T534" s="664"/>
      <c r="U534" s="664"/>
      <c r="V534" s="664"/>
      <c r="W534" s="664"/>
      <c r="X534" s="664"/>
      <c r="Y534" s="664"/>
      <c r="Z534" s="664"/>
    </row>
    <row r="535">
      <c r="A535" s="664"/>
      <c r="B535" s="664"/>
      <c r="C535" s="664"/>
      <c r="D535" s="664"/>
      <c r="E535" s="664"/>
      <c r="F535" s="664"/>
      <c r="G535" s="664"/>
      <c r="H535" s="664"/>
      <c r="I535" s="664"/>
      <c r="J535" s="664"/>
      <c r="K535" s="664"/>
      <c r="L535" s="664"/>
      <c r="M535" s="664"/>
      <c r="N535" s="664"/>
      <c r="O535" s="664"/>
      <c r="P535" s="664"/>
      <c r="Q535" s="664"/>
      <c r="R535" s="664"/>
      <c r="S535" s="664"/>
      <c r="T535" s="664"/>
      <c r="U535" s="664"/>
      <c r="V535" s="664"/>
      <c r="W535" s="664"/>
      <c r="X535" s="664"/>
      <c r="Y535" s="664"/>
      <c r="Z535" s="664"/>
    </row>
    <row r="536">
      <c r="A536" s="664"/>
      <c r="B536" s="664"/>
      <c r="C536" s="664"/>
      <c r="D536" s="664"/>
      <c r="E536" s="664"/>
      <c r="F536" s="664"/>
      <c r="G536" s="664"/>
      <c r="H536" s="664"/>
      <c r="I536" s="664"/>
      <c r="J536" s="664"/>
      <c r="K536" s="664"/>
      <c r="L536" s="664"/>
      <c r="M536" s="664"/>
      <c r="N536" s="664"/>
      <c r="O536" s="664"/>
      <c r="P536" s="664"/>
      <c r="Q536" s="664"/>
      <c r="R536" s="664"/>
      <c r="S536" s="664"/>
      <c r="T536" s="664"/>
      <c r="U536" s="664"/>
      <c r="V536" s="664"/>
      <c r="W536" s="664"/>
      <c r="X536" s="664"/>
      <c r="Y536" s="664"/>
      <c r="Z536" s="664"/>
    </row>
    <row r="537">
      <c r="A537" s="664"/>
      <c r="B537" s="664"/>
      <c r="C537" s="664"/>
      <c r="D537" s="664"/>
      <c r="E537" s="664"/>
      <c r="F537" s="664"/>
      <c r="G537" s="664"/>
      <c r="H537" s="664"/>
      <c r="I537" s="664"/>
      <c r="J537" s="664"/>
      <c r="K537" s="664"/>
      <c r="L537" s="664"/>
      <c r="M537" s="664"/>
      <c r="N537" s="664"/>
      <c r="O537" s="664"/>
      <c r="P537" s="664"/>
      <c r="Q537" s="664"/>
      <c r="R537" s="664"/>
      <c r="S537" s="664"/>
      <c r="T537" s="664"/>
      <c r="U537" s="664"/>
      <c r="V537" s="664"/>
      <c r="W537" s="664"/>
      <c r="X537" s="664"/>
      <c r="Y537" s="664"/>
      <c r="Z537" s="664"/>
    </row>
    <row r="538">
      <c r="A538" s="664"/>
      <c r="B538" s="664"/>
      <c r="C538" s="664"/>
      <c r="D538" s="664"/>
      <c r="E538" s="664"/>
      <c r="F538" s="664"/>
      <c r="G538" s="664"/>
      <c r="H538" s="664"/>
      <c r="I538" s="664"/>
      <c r="J538" s="664"/>
      <c r="K538" s="664"/>
      <c r="L538" s="664"/>
      <c r="M538" s="664"/>
      <c r="N538" s="664"/>
      <c r="O538" s="664"/>
      <c r="P538" s="664"/>
      <c r="Q538" s="664"/>
      <c r="R538" s="664"/>
      <c r="S538" s="664"/>
      <c r="T538" s="664"/>
      <c r="U538" s="664"/>
      <c r="V538" s="664"/>
      <c r="W538" s="664"/>
      <c r="X538" s="664"/>
      <c r="Y538" s="664"/>
      <c r="Z538" s="664"/>
    </row>
    <row r="539">
      <c r="A539" s="664"/>
      <c r="B539" s="664"/>
      <c r="C539" s="664"/>
      <c r="D539" s="664"/>
      <c r="E539" s="664"/>
      <c r="F539" s="664"/>
      <c r="G539" s="664"/>
      <c r="H539" s="664"/>
      <c r="I539" s="664"/>
      <c r="J539" s="664"/>
      <c r="K539" s="664"/>
      <c r="L539" s="664"/>
      <c r="M539" s="664"/>
      <c r="N539" s="664"/>
      <c r="O539" s="664"/>
      <c r="P539" s="664"/>
      <c r="Q539" s="664"/>
      <c r="R539" s="664"/>
      <c r="S539" s="664"/>
      <c r="T539" s="664"/>
      <c r="U539" s="664"/>
      <c r="V539" s="664"/>
      <c r="W539" s="664"/>
      <c r="X539" s="664"/>
      <c r="Y539" s="664"/>
      <c r="Z539" s="664"/>
    </row>
    <row r="540">
      <c r="A540" s="664"/>
      <c r="B540" s="664"/>
      <c r="C540" s="664"/>
      <c r="D540" s="664"/>
      <c r="E540" s="664"/>
      <c r="F540" s="664"/>
      <c r="G540" s="664"/>
      <c r="H540" s="664"/>
      <c r="I540" s="664"/>
      <c r="J540" s="664"/>
      <c r="K540" s="664"/>
      <c r="L540" s="664"/>
      <c r="M540" s="664"/>
      <c r="N540" s="664"/>
      <c r="O540" s="664"/>
      <c r="P540" s="664"/>
      <c r="Q540" s="664"/>
      <c r="R540" s="664"/>
      <c r="S540" s="664"/>
      <c r="T540" s="664"/>
      <c r="U540" s="664"/>
      <c r="V540" s="664"/>
      <c r="W540" s="664"/>
      <c r="X540" s="664"/>
      <c r="Y540" s="664"/>
      <c r="Z540" s="664"/>
    </row>
    <row r="541">
      <c r="A541" s="664"/>
      <c r="B541" s="664"/>
      <c r="C541" s="664"/>
      <c r="D541" s="664"/>
      <c r="E541" s="664"/>
      <c r="F541" s="664"/>
      <c r="G541" s="664"/>
      <c r="H541" s="664"/>
      <c r="I541" s="664"/>
      <c r="J541" s="664"/>
      <c r="K541" s="664"/>
      <c r="L541" s="664"/>
      <c r="M541" s="664"/>
      <c r="N541" s="664"/>
      <c r="O541" s="664"/>
      <c r="P541" s="664"/>
      <c r="Q541" s="664"/>
      <c r="R541" s="664"/>
      <c r="S541" s="664"/>
      <c r="T541" s="664"/>
      <c r="U541" s="664"/>
      <c r="V541" s="664"/>
      <c r="W541" s="664"/>
      <c r="X541" s="664"/>
      <c r="Y541" s="664"/>
      <c r="Z541" s="664"/>
    </row>
    <row r="542">
      <c r="A542" s="664"/>
      <c r="B542" s="664"/>
      <c r="C542" s="664"/>
      <c r="D542" s="664"/>
      <c r="E542" s="664"/>
      <c r="F542" s="664"/>
      <c r="G542" s="664"/>
      <c r="H542" s="664"/>
      <c r="I542" s="664"/>
      <c r="J542" s="664"/>
      <c r="K542" s="664"/>
      <c r="L542" s="664"/>
      <c r="M542" s="664"/>
      <c r="N542" s="664"/>
      <c r="O542" s="664"/>
      <c r="P542" s="664"/>
      <c r="Q542" s="664"/>
      <c r="R542" s="664"/>
      <c r="S542" s="664"/>
      <c r="T542" s="664"/>
      <c r="U542" s="664"/>
      <c r="V542" s="664"/>
      <c r="W542" s="664"/>
      <c r="X542" s="664"/>
      <c r="Y542" s="664"/>
      <c r="Z542" s="664"/>
    </row>
    <row r="543">
      <c r="A543" s="664"/>
      <c r="B543" s="664"/>
      <c r="C543" s="664"/>
      <c r="D543" s="664"/>
      <c r="E543" s="664"/>
      <c r="F543" s="664"/>
      <c r="G543" s="664"/>
      <c r="H543" s="664"/>
      <c r="I543" s="664"/>
      <c r="J543" s="664"/>
      <c r="K543" s="664"/>
      <c r="L543" s="664"/>
      <c r="M543" s="664"/>
      <c r="N543" s="664"/>
      <c r="O543" s="664"/>
      <c r="P543" s="664"/>
      <c r="Q543" s="664"/>
      <c r="R543" s="664"/>
      <c r="S543" s="664"/>
      <c r="T543" s="664"/>
      <c r="U543" s="664"/>
      <c r="V543" s="664"/>
      <c r="W543" s="664"/>
      <c r="X543" s="664"/>
      <c r="Y543" s="664"/>
      <c r="Z543" s="664"/>
    </row>
    <row r="544">
      <c r="A544" s="664"/>
      <c r="B544" s="664"/>
      <c r="C544" s="664"/>
      <c r="D544" s="664"/>
      <c r="E544" s="664"/>
      <c r="F544" s="664"/>
      <c r="G544" s="664"/>
      <c r="H544" s="664"/>
      <c r="I544" s="664"/>
      <c r="J544" s="664"/>
      <c r="K544" s="664"/>
      <c r="L544" s="664"/>
      <c r="M544" s="664"/>
      <c r="N544" s="664"/>
      <c r="O544" s="664"/>
      <c r="P544" s="664"/>
      <c r="Q544" s="664"/>
      <c r="R544" s="664"/>
      <c r="S544" s="664"/>
      <c r="T544" s="664"/>
      <c r="U544" s="664"/>
      <c r="V544" s="664"/>
      <c r="W544" s="664"/>
      <c r="X544" s="664"/>
      <c r="Y544" s="664"/>
      <c r="Z544" s="664"/>
    </row>
    <row r="545">
      <c r="A545" s="664"/>
      <c r="B545" s="664"/>
      <c r="C545" s="664"/>
      <c r="D545" s="664"/>
      <c r="E545" s="664"/>
      <c r="F545" s="664"/>
      <c r="G545" s="664"/>
      <c r="H545" s="664"/>
      <c r="I545" s="664"/>
      <c r="J545" s="664"/>
      <c r="K545" s="664"/>
      <c r="L545" s="664"/>
      <c r="M545" s="664"/>
      <c r="N545" s="664"/>
      <c r="O545" s="664"/>
      <c r="P545" s="664"/>
      <c r="Q545" s="664"/>
      <c r="R545" s="664"/>
      <c r="S545" s="664"/>
      <c r="T545" s="664"/>
      <c r="U545" s="664"/>
      <c r="V545" s="664"/>
      <c r="W545" s="664"/>
      <c r="X545" s="664"/>
      <c r="Y545" s="664"/>
      <c r="Z545" s="664"/>
    </row>
    <row r="546">
      <c r="A546" s="664"/>
      <c r="B546" s="664"/>
      <c r="C546" s="664"/>
      <c r="D546" s="664"/>
      <c r="E546" s="664"/>
      <c r="F546" s="664"/>
      <c r="G546" s="664"/>
      <c r="H546" s="664"/>
      <c r="I546" s="664"/>
      <c r="J546" s="664"/>
      <c r="K546" s="664"/>
      <c r="L546" s="664"/>
      <c r="M546" s="664"/>
      <c r="N546" s="664"/>
      <c r="O546" s="664"/>
      <c r="P546" s="664"/>
      <c r="Q546" s="664"/>
      <c r="R546" s="664"/>
      <c r="S546" s="664"/>
      <c r="T546" s="664"/>
      <c r="U546" s="664"/>
      <c r="V546" s="664"/>
      <c r="W546" s="664"/>
      <c r="X546" s="664"/>
      <c r="Y546" s="664"/>
      <c r="Z546" s="664"/>
    </row>
    <row r="547">
      <c r="A547" s="664"/>
      <c r="B547" s="664"/>
      <c r="C547" s="664"/>
      <c r="D547" s="664"/>
      <c r="E547" s="664"/>
      <c r="F547" s="664"/>
      <c r="G547" s="664"/>
      <c r="H547" s="664"/>
      <c r="I547" s="664"/>
      <c r="J547" s="664"/>
      <c r="K547" s="664"/>
      <c r="L547" s="664"/>
      <c r="M547" s="664"/>
      <c r="N547" s="664"/>
      <c r="O547" s="664"/>
      <c r="P547" s="664"/>
      <c r="Q547" s="664"/>
      <c r="R547" s="664"/>
      <c r="S547" s="664"/>
      <c r="T547" s="664"/>
      <c r="U547" s="664"/>
      <c r="V547" s="664"/>
      <c r="W547" s="664"/>
      <c r="X547" s="664"/>
      <c r="Y547" s="664"/>
      <c r="Z547" s="664"/>
    </row>
    <row r="548">
      <c r="A548" s="664"/>
      <c r="B548" s="664"/>
      <c r="C548" s="664"/>
      <c r="D548" s="664"/>
      <c r="E548" s="664"/>
      <c r="F548" s="664"/>
      <c r="G548" s="664"/>
      <c r="H548" s="664"/>
      <c r="I548" s="664"/>
      <c r="J548" s="664"/>
      <c r="K548" s="664"/>
      <c r="L548" s="664"/>
      <c r="M548" s="664"/>
      <c r="N548" s="664"/>
      <c r="O548" s="664"/>
      <c r="P548" s="664"/>
      <c r="Q548" s="664"/>
      <c r="R548" s="664"/>
      <c r="S548" s="664"/>
      <c r="T548" s="664"/>
      <c r="U548" s="664"/>
      <c r="V548" s="664"/>
      <c r="W548" s="664"/>
      <c r="X548" s="664"/>
      <c r="Y548" s="664"/>
      <c r="Z548" s="664"/>
    </row>
    <row r="549">
      <c r="A549" s="664"/>
      <c r="B549" s="664"/>
      <c r="C549" s="664"/>
      <c r="D549" s="664"/>
      <c r="E549" s="664"/>
      <c r="F549" s="664"/>
      <c r="G549" s="664"/>
      <c r="H549" s="664"/>
      <c r="I549" s="664"/>
      <c r="J549" s="664"/>
      <c r="K549" s="664"/>
      <c r="L549" s="664"/>
      <c r="M549" s="664"/>
      <c r="N549" s="664"/>
      <c r="O549" s="664"/>
      <c r="P549" s="664"/>
      <c r="Q549" s="664"/>
      <c r="R549" s="664"/>
      <c r="S549" s="664"/>
      <c r="T549" s="664"/>
      <c r="U549" s="664"/>
      <c r="V549" s="664"/>
      <c r="W549" s="664"/>
      <c r="X549" s="664"/>
      <c r="Y549" s="664"/>
      <c r="Z549" s="664"/>
    </row>
    <row r="550">
      <c r="A550" s="664"/>
      <c r="B550" s="664"/>
      <c r="C550" s="664"/>
      <c r="D550" s="664"/>
      <c r="E550" s="664"/>
      <c r="F550" s="664"/>
      <c r="G550" s="664"/>
      <c r="H550" s="664"/>
      <c r="I550" s="664"/>
      <c r="J550" s="664"/>
      <c r="K550" s="664"/>
      <c r="L550" s="664"/>
      <c r="M550" s="664"/>
      <c r="N550" s="664"/>
      <c r="O550" s="664"/>
      <c r="P550" s="664"/>
      <c r="Q550" s="664"/>
      <c r="R550" s="664"/>
      <c r="S550" s="664"/>
      <c r="T550" s="664"/>
      <c r="U550" s="664"/>
      <c r="V550" s="664"/>
      <c r="W550" s="664"/>
      <c r="X550" s="664"/>
      <c r="Y550" s="664"/>
      <c r="Z550" s="664"/>
    </row>
    <row r="551">
      <c r="A551" s="664"/>
      <c r="B551" s="664"/>
      <c r="C551" s="664"/>
      <c r="D551" s="664"/>
      <c r="E551" s="664"/>
      <c r="F551" s="664"/>
      <c r="G551" s="664"/>
      <c r="H551" s="664"/>
      <c r="I551" s="664"/>
      <c r="J551" s="664"/>
      <c r="K551" s="664"/>
      <c r="L551" s="664"/>
      <c r="M551" s="664"/>
      <c r="N551" s="664"/>
      <c r="O551" s="664"/>
      <c r="P551" s="664"/>
      <c r="Q551" s="664"/>
      <c r="R551" s="664"/>
      <c r="S551" s="664"/>
      <c r="T551" s="664"/>
      <c r="U551" s="664"/>
      <c r="V551" s="664"/>
      <c r="W551" s="664"/>
      <c r="X551" s="664"/>
      <c r="Y551" s="664"/>
      <c r="Z551" s="664"/>
    </row>
    <row r="552">
      <c r="A552" s="664"/>
      <c r="B552" s="664"/>
      <c r="C552" s="664"/>
      <c r="D552" s="664"/>
      <c r="E552" s="664"/>
      <c r="F552" s="664"/>
      <c r="G552" s="664"/>
      <c r="H552" s="664"/>
      <c r="I552" s="664"/>
      <c r="J552" s="664"/>
      <c r="K552" s="664"/>
      <c r="L552" s="664"/>
      <c r="M552" s="664"/>
      <c r="N552" s="664"/>
      <c r="O552" s="664"/>
      <c r="P552" s="664"/>
      <c r="Q552" s="664"/>
      <c r="R552" s="664"/>
      <c r="S552" s="664"/>
      <c r="T552" s="664"/>
      <c r="U552" s="664"/>
      <c r="V552" s="664"/>
      <c r="W552" s="664"/>
      <c r="X552" s="664"/>
      <c r="Y552" s="664"/>
      <c r="Z552" s="664"/>
    </row>
    <row r="553">
      <c r="A553" s="664"/>
      <c r="B553" s="664"/>
      <c r="C553" s="664"/>
      <c r="D553" s="664"/>
      <c r="E553" s="664"/>
      <c r="F553" s="664"/>
      <c r="G553" s="664"/>
      <c r="H553" s="664"/>
      <c r="I553" s="664"/>
      <c r="J553" s="664"/>
      <c r="K553" s="664"/>
      <c r="L553" s="664"/>
      <c r="M553" s="664"/>
      <c r="N553" s="664"/>
      <c r="O553" s="664"/>
      <c r="P553" s="664"/>
      <c r="Q553" s="664"/>
      <c r="R553" s="664"/>
      <c r="S553" s="664"/>
      <c r="T553" s="664"/>
      <c r="U553" s="664"/>
      <c r="V553" s="664"/>
      <c r="W553" s="664"/>
      <c r="X553" s="664"/>
      <c r="Y553" s="664"/>
      <c r="Z553" s="664"/>
    </row>
    <row r="554">
      <c r="A554" s="664"/>
      <c r="B554" s="664"/>
      <c r="C554" s="664"/>
      <c r="D554" s="664"/>
      <c r="E554" s="664"/>
      <c r="F554" s="664"/>
      <c r="G554" s="664"/>
      <c r="H554" s="664"/>
      <c r="I554" s="664"/>
      <c r="J554" s="664"/>
      <c r="K554" s="664"/>
      <c r="L554" s="664"/>
      <c r="M554" s="664"/>
      <c r="N554" s="664"/>
      <c r="O554" s="664"/>
      <c r="P554" s="664"/>
      <c r="Q554" s="664"/>
      <c r="R554" s="664"/>
      <c r="S554" s="664"/>
      <c r="T554" s="664"/>
      <c r="U554" s="664"/>
      <c r="V554" s="664"/>
      <c r="W554" s="664"/>
      <c r="X554" s="664"/>
      <c r="Y554" s="664"/>
      <c r="Z554" s="664"/>
    </row>
    <row r="555">
      <c r="A555" s="664"/>
      <c r="B555" s="664"/>
      <c r="C555" s="664"/>
      <c r="D555" s="664"/>
      <c r="E555" s="664"/>
      <c r="F555" s="664"/>
      <c r="G555" s="664"/>
      <c r="H555" s="664"/>
      <c r="I555" s="664"/>
      <c r="J555" s="664"/>
      <c r="K555" s="664"/>
      <c r="L555" s="664"/>
      <c r="M555" s="664"/>
      <c r="N555" s="664"/>
      <c r="O555" s="664"/>
      <c r="P555" s="664"/>
      <c r="Q555" s="664"/>
      <c r="R555" s="664"/>
      <c r="S555" s="664"/>
      <c r="T555" s="664"/>
      <c r="U555" s="664"/>
      <c r="V555" s="664"/>
      <c r="W555" s="664"/>
      <c r="X555" s="664"/>
      <c r="Y555" s="664"/>
      <c r="Z555" s="664"/>
    </row>
    <row r="556">
      <c r="A556" s="664"/>
      <c r="B556" s="664"/>
      <c r="C556" s="664"/>
      <c r="D556" s="664"/>
      <c r="E556" s="664"/>
      <c r="F556" s="664"/>
      <c r="G556" s="664"/>
      <c r="H556" s="664"/>
      <c r="I556" s="664"/>
      <c r="J556" s="664"/>
      <c r="K556" s="664"/>
      <c r="L556" s="664"/>
      <c r="M556" s="664"/>
      <c r="N556" s="664"/>
      <c r="O556" s="664"/>
      <c r="P556" s="664"/>
      <c r="Q556" s="664"/>
      <c r="R556" s="664"/>
      <c r="S556" s="664"/>
      <c r="T556" s="664"/>
      <c r="U556" s="664"/>
      <c r="V556" s="664"/>
      <c r="W556" s="664"/>
      <c r="X556" s="664"/>
      <c r="Y556" s="664"/>
      <c r="Z556" s="664"/>
    </row>
    <row r="557">
      <c r="A557" s="664"/>
      <c r="B557" s="664"/>
      <c r="C557" s="664"/>
      <c r="D557" s="664"/>
      <c r="E557" s="664"/>
      <c r="F557" s="664"/>
      <c r="G557" s="664"/>
      <c r="H557" s="664"/>
      <c r="I557" s="664"/>
      <c r="J557" s="664"/>
      <c r="K557" s="664"/>
      <c r="L557" s="664"/>
      <c r="M557" s="664"/>
      <c r="N557" s="664"/>
      <c r="O557" s="664"/>
      <c r="P557" s="664"/>
      <c r="Q557" s="664"/>
      <c r="R557" s="664"/>
      <c r="S557" s="664"/>
      <c r="T557" s="664"/>
      <c r="U557" s="664"/>
      <c r="V557" s="664"/>
      <c r="W557" s="664"/>
      <c r="X557" s="664"/>
      <c r="Y557" s="664"/>
      <c r="Z557" s="664"/>
    </row>
    <row r="558">
      <c r="A558" s="664"/>
      <c r="B558" s="664"/>
      <c r="C558" s="664"/>
      <c r="D558" s="664"/>
      <c r="E558" s="664"/>
      <c r="F558" s="664"/>
      <c r="G558" s="664"/>
      <c r="H558" s="664"/>
      <c r="I558" s="664"/>
      <c r="J558" s="664"/>
      <c r="K558" s="664"/>
      <c r="L558" s="664"/>
      <c r="M558" s="664"/>
      <c r="N558" s="664"/>
      <c r="O558" s="664"/>
      <c r="P558" s="664"/>
      <c r="Q558" s="664"/>
      <c r="R558" s="664"/>
      <c r="S558" s="664"/>
      <c r="T558" s="664"/>
      <c r="U558" s="664"/>
      <c r="V558" s="664"/>
      <c r="W558" s="664"/>
      <c r="X558" s="664"/>
      <c r="Y558" s="664"/>
      <c r="Z558" s="664"/>
    </row>
    <row r="559">
      <c r="A559" s="664"/>
      <c r="B559" s="664"/>
      <c r="C559" s="664"/>
      <c r="D559" s="664"/>
      <c r="E559" s="664"/>
      <c r="F559" s="664"/>
      <c r="G559" s="664"/>
      <c r="H559" s="664"/>
      <c r="I559" s="664"/>
      <c r="J559" s="664"/>
      <c r="K559" s="664"/>
      <c r="L559" s="664"/>
      <c r="M559" s="664"/>
      <c r="N559" s="664"/>
      <c r="O559" s="664"/>
      <c r="P559" s="664"/>
      <c r="Q559" s="664"/>
      <c r="R559" s="664"/>
      <c r="S559" s="664"/>
      <c r="T559" s="664"/>
      <c r="U559" s="664"/>
      <c r="V559" s="664"/>
      <c r="W559" s="664"/>
      <c r="X559" s="664"/>
      <c r="Y559" s="664"/>
      <c r="Z559" s="664"/>
    </row>
    <row r="560">
      <c r="A560" s="664"/>
      <c r="B560" s="664"/>
      <c r="C560" s="664"/>
      <c r="D560" s="664"/>
      <c r="E560" s="664"/>
      <c r="F560" s="664"/>
      <c r="G560" s="664"/>
      <c r="H560" s="664"/>
      <c r="I560" s="664"/>
      <c r="J560" s="664"/>
      <c r="K560" s="664"/>
      <c r="L560" s="664"/>
      <c r="M560" s="664"/>
      <c r="N560" s="664"/>
      <c r="O560" s="664"/>
      <c r="P560" s="664"/>
      <c r="Q560" s="664"/>
      <c r="R560" s="664"/>
      <c r="S560" s="664"/>
      <c r="T560" s="664"/>
      <c r="U560" s="664"/>
      <c r="V560" s="664"/>
      <c r="W560" s="664"/>
      <c r="X560" s="664"/>
      <c r="Y560" s="664"/>
      <c r="Z560" s="664"/>
    </row>
    <row r="561">
      <c r="A561" s="664"/>
      <c r="B561" s="664"/>
      <c r="C561" s="664"/>
      <c r="D561" s="664"/>
      <c r="E561" s="664"/>
      <c r="F561" s="664"/>
      <c r="G561" s="664"/>
      <c r="H561" s="664"/>
      <c r="I561" s="664"/>
      <c r="J561" s="664"/>
      <c r="K561" s="664"/>
      <c r="L561" s="664"/>
      <c r="M561" s="664"/>
      <c r="N561" s="664"/>
      <c r="O561" s="664"/>
      <c r="P561" s="664"/>
      <c r="Q561" s="664"/>
      <c r="R561" s="664"/>
      <c r="S561" s="664"/>
      <c r="T561" s="664"/>
      <c r="U561" s="664"/>
      <c r="V561" s="664"/>
      <c r="W561" s="664"/>
      <c r="X561" s="664"/>
      <c r="Y561" s="664"/>
      <c r="Z561" s="664"/>
    </row>
    <row r="562">
      <c r="A562" s="664"/>
      <c r="B562" s="664"/>
      <c r="C562" s="664"/>
      <c r="D562" s="664"/>
      <c r="E562" s="664"/>
      <c r="F562" s="664"/>
      <c r="G562" s="664"/>
      <c r="H562" s="664"/>
      <c r="I562" s="664"/>
      <c r="J562" s="664"/>
      <c r="K562" s="664"/>
      <c r="L562" s="664"/>
      <c r="M562" s="664"/>
      <c r="N562" s="664"/>
      <c r="O562" s="664"/>
      <c r="P562" s="664"/>
      <c r="Q562" s="664"/>
      <c r="R562" s="664"/>
      <c r="S562" s="664"/>
      <c r="T562" s="664"/>
      <c r="U562" s="664"/>
      <c r="V562" s="664"/>
      <c r="W562" s="664"/>
      <c r="X562" s="664"/>
      <c r="Y562" s="664"/>
      <c r="Z562" s="664"/>
    </row>
    <row r="563">
      <c r="A563" s="664"/>
      <c r="B563" s="664"/>
      <c r="C563" s="664"/>
      <c r="D563" s="664"/>
      <c r="E563" s="664"/>
      <c r="F563" s="664"/>
      <c r="G563" s="664"/>
      <c r="H563" s="664"/>
      <c r="I563" s="664"/>
      <c r="J563" s="664"/>
      <c r="K563" s="664"/>
      <c r="L563" s="664"/>
      <c r="M563" s="664"/>
      <c r="N563" s="664"/>
      <c r="O563" s="664"/>
      <c r="P563" s="664"/>
      <c r="Q563" s="664"/>
      <c r="R563" s="664"/>
      <c r="S563" s="664"/>
      <c r="T563" s="664"/>
      <c r="U563" s="664"/>
      <c r="V563" s="664"/>
      <c r="W563" s="664"/>
      <c r="X563" s="664"/>
      <c r="Y563" s="664"/>
      <c r="Z563" s="664"/>
    </row>
    <row r="564">
      <c r="A564" s="664"/>
      <c r="B564" s="664"/>
      <c r="C564" s="664"/>
      <c r="D564" s="664"/>
      <c r="E564" s="664"/>
      <c r="F564" s="664"/>
      <c r="G564" s="664"/>
      <c r="H564" s="664"/>
      <c r="I564" s="664"/>
      <c r="J564" s="664"/>
      <c r="K564" s="664"/>
      <c r="L564" s="664"/>
      <c r="M564" s="664"/>
      <c r="N564" s="664"/>
      <c r="O564" s="664"/>
      <c r="P564" s="664"/>
      <c r="Q564" s="664"/>
      <c r="R564" s="664"/>
      <c r="S564" s="664"/>
      <c r="T564" s="664"/>
      <c r="U564" s="664"/>
      <c r="V564" s="664"/>
      <c r="W564" s="664"/>
      <c r="X564" s="664"/>
      <c r="Y564" s="664"/>
      <c r="Z564" s="664"/>
    </row>
    <row r="565">
      <c r="A565" s="664"/>
      <c r="B565" s="664"/>
      <c r="C565" s="664"/>
      <c r="D565" s="664"/>
      <c r="E565" s="664"/>
      <c r="F565" s="664"/>
      <c r="G565" s="664"/>
      <c r="H565" s="664"/>
      <c r="I565" s="664"/>
      <c r="J565" s="664"/>
      <c r="K565" s="664"/>
      <c r="L565" s="664"/>
      <c r="M565" s="664"/>
      <c r="N565" s="664"/>
      <c r="O565" s="664"/>
      <c r="P565" s="664"/>
      <c r="Q565" s="664"/>
      <c r="R565" s="664"/>
      <c r="S565" s="664"/>
      <c r="T565" s="664"/>
      <c r="U565" s="664"/>
      <c r="V565" s="664"/>
      <c r="W565" s="664"/>
      <c r="X565" s="664"/>
      <c r="Y565" s="664"/>
      <c r="Z565" s="664"/>
    </row>
    <row r="566">
      <c r="A566" s="664"/>
      <c r="B566" s="664"/>
      <c r="C566" s="664"/>
      <c r="D566" s="664"/>
      <c r="E566" s="664"/>
      <c r="F566" s="664"/>
      <c r="G566" s="664"/>
      <c r="H566" s="664"/>
      <c r="I566" s="664"/>
      <c r="J566" s="664"/>
      <c r="K566" s="664"/>
      <c r="L566" s="664"/>
      <c r="M566" s="664"/>
      <c r="N566" s="664"/>
      <c r="O566" s="664"/>
      <c r="P566" s="664"/>
      <c r="Q566" s="664"/>
      <c r="R566" s="664"/>
      <c r="S566" s="664"/>
      <c r="T566" s="664"/>
      <c r="U566" s="664"/>
      <c r="V566" s="664"/>
      <c r="W566" s="664"/>
      <c r="X566" s="664"/>
      <c r="Y566" s="664"/>
      <c r="Z566" s="664"/>
    </row>
    <row r="567">
      <c r="A567" s="664"/>
      <c r="B567" s="664"/>
      <c r="C567" s="664"/>
      <c r="D567" s="664"/>
      <c r="E567" s="664"/>
      <c r="F567" s="664"/>
      <c r="G567" s="664"/>
      <c r="H567" s="664"/>
      <c r="I567" s="664"/>
      <c r="J567" s="664"/>
      <c r="K567" s="664"/>
      <c r="L567" s="664"/>
      <c r="M567" s="664"/>
      <c r="N567" s="664"/>
      <c r="O567" s="664"/>
      <c r="P567" s="664"/>
      <c r="Q567" s="664"/>
      <c r="R567" s="664"/>
      <c r="S567" s="664"/>
      <c r="T567" s="664"/>
      <c r="U567" s="664"/>
      <c r="V567" s="664"/>
      <c r="W567" s="664"/>
      <c r="X567" s="664"/>
      <c r="Y567" s="664"/>
      <c r="Z567" s="664"/>
    </row>
    <row r="568">
      <c r="A568" s="664"/>
      <c r="B568" s="664"/>
      <c r="C568" s="664"/>
      <c r="D568" s="664"/>
      <c r="E568" s="664"/>
      <c r="F568" s="664"/>
      <c r="G568" s="664"/>
      <c r="H568" s="664"/>
      <c r="I568" s="664"/>
      <c r="J568" s="664"/>
      <c r="K568" s="664"/>
      <c r="L568" s="664"/>
      <c r="M568" s="664"/>
      <c r="N568" s="664"/>
      <c r="O568" s="664"/>
      <c r="P568" s="664"/>
      <c r="Q568" s="664"/>
      <c r="R568" s="664"/>
      <c r="S568" s="664"/>
      <c r="T568" s="664"/>
      <c r="U568" s="664"/>
      <c r="V568" s="664"/>
      <c r="W568" s="664"/>
      <c r="X568" s="664"/>
      <c r="Y568" s="664"/>
      <c r="Z568" s="664"/>
    </row>
    <row r="569">
      <c r="A569" s="664"/>
      <c r="B569" s="664"/>
      <c r="C569" s="664"/>
      <c r="D569" s="664"/>
      <c r="E569" s="664"/>
      <c r="F569" s="664"/>
      <c r="G569" s="664"/>
      <c r="H569" s="664"/>
      <c r="I569" s="664"/>
      <c r="J569" s="664"/>
      <c r="K569" s="664"/>
      <c r="L569" s="664"/>
      <c r="M569" s="664"/>
      <c r="N569" s="664"/>
      <c r="O569" s="664"/>
      <c r="P569" s="664"/>
      <c r="Q569" s="664"/>
      <c r="R569" s="664"/>
      <c r="S569" s="664"/>
      <c r="T569" s="664"/>
      <c r="U569" s="664"/>
      <c r="V569" s="664"/>
      <c r="W569" s="664"/>
      <c r="X569" s="664"/>
      <c r="Y569" s="664"/>
      <c r="Z569" s="664"/>
    </row>
    <row r="570">
      <c r="A570" s="664"/>
      <c r="B570" s="664"/>
      <c r="C570" s="664"/>
      <c r="D570" s="664"/>
      <c r="E570" s="664"/>
      <c r="F570" s="664"/>
      <c r="G570" s="664"/>
      <c r="H570" s="664"/>
      <c r="I570" s="664"/>
      <c r="J570" s="664"/>
      <c r="K570" s="664"/>
      <c r="L570" s="664"/>
      <c r="M570" s="664"/>
      <c r="N570" s="664"/>
      <c r="O570" s="664"/>
      <c r="P570" s="664"/>
      <c r="Q570" s="664"/>
      <c r="R570" s="664"/>
      <c r="S570" s="664"/>
      <c r="T570" s="664"/>
      <c r="U570" s="664"/>
      <c r="V570" s="664"/>
      <c r="W570" s="664"/>
      <c r="X570" s="664"/>
      <c r="Y570" s="664"/>
      <c r="Z570" s="664"/>
    </row>
    <row r="571">
      <c r="A571" s="664"/>
      <c r="B571" s="664"/>
      <c r="C571" s="664"/>
      <c r="D571" s="664"/>
      <c r="E571" s="664"/>
      <c r="F571" s="664"/>
      <c r="G571" s="664"/>
      <c r="H571" s="664"/>
      <c r="I571" s="664"/>
      <c r="J571" s="664"/>
      <c r="K571" s="664"/>
      <c r="L571" s="664"/>
      <c r="M571" s="664"/>
      <c r="N571" s="664"/>
      <c r="O571" s="664"/>
      <c r="P571" s="664"/>
      <c r="Q571" s="664"/>
      <c r="R571" s="664"/>
      <c r="S571" s="664"/>
      <c r="T571" s="664"/>
      <c r="U571" s="664"/>
      <c r="V571" s="664"/>
      <c r="W571" s="664"/>
      <c r="X571" s="664"/>
      <c r="Y571" s="664"/>
      <c r="Z571" s="664"/>
    </row>
    <row r="572">
      <c r="A572" s="664"/>
      <c r="B572" s="664"/>
      <c r="C572" s="664"/>
      <c r="D572" s="664"/>
      <c r="E572" s="664"/>
      <c r="F572" s="664"/>
      <c r="G572" s="664"/>
      <c r="H572" s="664"/>
      <c r="I572" s="664"/>
      <c r="J572" s="664"/>
      <c r="K572" s="664"/>
      <c r="L572" s="664"/>
      <c r="M572" s="664"/>
      <c r="N572" s="664"/>
      <c r="O572" s="664"/>
      <c r="P572" s="664"/>
      <c r="Q572" s="664"/>
      <c r="R572" s="664"/>
      <c r="S572" s="664"/>
      <c r="T572" s="664"/>
      <c r="U572" s="664"/>
      <c r="V572" s="664"/>
      <c r="W572" s="664"/>
      <c r="X572" s="664"/>
      <c r="Y572" s="664"/>
      <c r="Z572" s="664"/>
    </row>
    <row r="573">
      <c r="A573" s="664"/>
      <c r="B573" s="664"/>
      <c r="C573" s="664"/>
      <c r="D573" s="664"/>
      <c r="E573" s="664"/>
      <c r="F573" s="664"/>
      <c r="G573" s="664"/>
      <c r="H573" s="664"/>
      <c r="I573" s="664"/>
      <c r="J573" s="664"/>
      <c r="K573" s="664"/>
      <c r="L573" s="664"/>
      <c r="M573" s="664"/>
      <c r="N573" s="664"/>
      <c r="O573" s="664"/>
      <c r="P573" s="664"/>
      <c r="Q573" s="664"/>
      <c r="R573" s="664"/>
      <c r="S573" s="664"/>
      <c r="T573" s="664"/>
      <c r="U573" s="664"/>
      <c r="V573" s="664"/>
      <c r="W573" s="664"/>
      <c r="X573" s="664"/>
      <c r="Y573" s="664"/>
      <c r="Z573" s="664"/>
    </row>
    <row r="574">
      <c r="A574" s="664"/>
      <c r="B574" s="664"/>
      <c r="C574" s="664"/>
      <c r="D574" s="664"/>
      <c r="E574" s="664"/>
      <c r="F574" s="664"/>
      <c r="G574" s="664"/>
      <c r="H574" s="664"/>
      <c r="I574" s="664"/>
      <c r="J574" s="664"/>
      <c r="K574" s="664"/>
      <c r="L574" s="664"/>
      <c r="M574" s="664"/>
      <c r="N574" s="664"/>
      <c r="O574" s="664"/>
      <c r="P574" s="664"/>
      <c r="Q574" s="664"/>
      <c r="R574" s="664"/>
      <c r="S574" s="664"/>
      <c r="T574" s="664"/>
      <c r="U574" s="664"/>
      <c r="V574" s="664"/>
      <c r="W574" s="664"/>
      <c r="X574" s="664"/>
      <c r="Y574" s="664"/>
      <c r="Z574" s="664"/>
    </row>
    <row r="575">
      <c r="A575" s="664"/>
      <c r="B575" s="664"/>
      <c r="C575" s="664"/>
      <c r="D575" s="664"/>
      <c r="E575" s="664"/>
      <c r="F575" s="664"/>
      <c r="G575" s="664"/>
      <c r="H575" s="664"/>
      <c r="I575" s="664"/>
      <c r="J575" s="664"/>
      <c r="K575" s="664"/>
      <c r="L575" s="664"/>
      <c r="M575" s="664"/>
      <c r="N575" s="664"/>
      <c r="O575" s="664"/>
      <c r="P575" s="664"/>
      <c r="Q575" s="664"/>
      <c r="R575" s="664"/>
      <c r="S575" s="664"/>
      <c r="T575" s="664"/>
      <c r="U575" s="664"/>
      <c r="V575" s="664"/>
      <c r="W575" s="664"/>
      <c r="X575" s="664"/>
      <c r="Y575" s="664"/>
      <c r="Z575" s="664"/>
    </row>
    <row r="576">
      <c r="A576" s="664"/>
      <c r="B576" s="664"/>
      <c r="C576" s="664"/>
      <c r="D576" s="664"/>
      <c r="E576" s="664"/>
      <c r="F576" s="664"/>
      <c r="G576" s="664"/>
      <c r="H576" s="664"/>
      <c r="I576" s="664"/>
      <c r="J576" s="664"/>
      <c r="K576" s="664"/>
      <c r="L576" s="664"/>
      <c r="M576" s="664"/>
      <c r="N576" s="664"/>
      <c r="O576" s="664"/>
      <c r="P576" s="664"/>
      <c r="Q576" s="664"/>
      <c r="R576" s="664"/>
      <c r="S576" s="664"/>
      <c r="T576" s="664"/>
      <c r="U576" s="664"/>
      <c r="V576" s="664"/>
      <c r="W576" s="664"/>
      <c r="X576" s="664"/>
      <c r="Y576" s="664"/>
      <c r="Z576" s="664"/>
    </row>
    <row r="577">
      <c r="A577" s="664"/>
      <c r="B577" s="664"/>
      <c r="C577" s="664"/>
      <c r="D577" s="664"/>
      <c r="E577" s="664"/>
      <c r="F577" s="664"/>
      <c r="G577" s="664"/>
      <c r="H577" s="664"/>
      <c r="I577" s="664"/>
      <c r="J577" s="664"/>
      <c r="K577" s="664"/>
      <c r="L577" s="664"/>
      <c r="M577" s="664"/>
      <c r="N577" s="664"/>
      <c r="O577" s="664"/>
      <c r="P577" s="664"/>
      <c r="Q577" s="664"/>
      <c r="R577" s="664"/>
      <c r="S577" s="664"/>
      <c r="T577" s="664"/>
      <c r="U577" s="664"/>
      <c r="V577" s="664"/>
      <c r="W577" s="664"/>
      <c r="X577" s="664"/>
      <c r="Y577" s="664"/>
      <c r="Z577" s="664"/>
    </row>
    <row r="578">
      <c r="A578" s="664"/>
      <c r="B578" s="664"/>
      <c r="C578" s="664"/>
      <c r="D578" s="664"/>
      <c r="E578" s="664"/>
      <c r="F578" s="664"/>
      <c r="G578" s="664"/>
      <c r="H578" s="664"/>
      <c r="I578" s="664"/>
      <c r="J578" s="664"/>
      <c r="K578" s="664"/>
      <c r="L578" s="664"/>
      <c r="M578" s="664"/>
      <c r="N578" s="664"/>
      <c r="O578" s="664"/>
      <c r="P578" s="664"/>
      <c r="Q578" s="664"/>
      <c r="R578" s="664"/>
      <c r="S578" s="664"/>
      <c r="T578" s="664"/>
      <c r="U578" s="664"/>
      <c r="V578" s="664"/>
      <c r="W578" s="664"/>
      <c r="X578" s="664"/>
      <c r="Y578" s="664"/>
      <c r="Z578" s="664"/>
    </row>
    <row r="579">
      <c r="A579" s="664"/>
      <c r="B579" s="664"/>
      <c r="C579" s="664"/>
      <c r="D579" s="664"/>
      <c r="E579" s="664"/>
      <c r="F579" s="664"/>
      <c r="G579" s="664"/>
      <c r="H579" s="664"/>
      <c r="I579" s="664"/>
      <c r="J579" s="664"/>
      <c r="K579" s="664"/>
      <c r="L579" s="664"/>
      <c r="M579" s="664"/>
      <c r="N579" s="664"/>
      <c r="O579" s="664"/>
      <c r="P579" s="664"/>
      <c r="Q579" s="664"/>
      <c r="R579" s="664"/>
      <c r="S579" s="664"/>
      <c r="T579" s="664"/>
      <c r="U579" s="664"/>
      <c r="V579" s="664"/>
      <c r="W579" s="664"/>
      <c r="X579" s="664"/>
      <c r="Y579" s="664"/>
      <c r="Z579" s="664"/>
    </row>
    <row r="580">
      <c r="A580" s="664"/>
      <c r="B580" s="664"/>
      <c r="C580" s="664"/>
      <c r="D580" s="664"/>
      <c r="E580" s="664"/>
      <c r="F580" s="664"/>
      <c r="G580" s="664"/>
      <c r="H580" s="664"/>
      <c r="I580" s="664"/>
      <c r="J580" s="664"/>
      <c r="K580" s="664"/>
      <c r="L580" s="664"/>
      <c r="M580" s="664"/>
      <c r="N580" s="664"/>
      <c r="O580" s="664"/>
      <c r="P580" s="664"/>
      <c r="Q580" s="664"/>
      <c r="R580" s="664"/>
      <c r="S580" s="664"/>
      <c r="T580" s="664"/>
      <c r="U580" s="664"/>
      <c r="V580" s="664"/>
      <c r="W580" s="664"/>
      <c r="X580" s="664"/>
      <c r="Y580" s="664"/>
      <c r="Z580" s="664"/>
    </row>
    <row r="581">
      <c r="A581" s="664"/>
      <c r="B581" s="664"/>
      <c r="C581" s="664"/>
      <c r="D581" s="664"/>
      <c r="E581" s="664"/>
      <c r="F581" s="664"/>
      <c r="G581" s="664"/>
      <c r="H581" s="664"/>
      <c r="I581" s="664"/>
      <c r="J581" s="664"/>
      <c r="K581" s="664"/>
      <c r="L581" s="664"/>
      <c r="M581" s="664"/>
      <c r="N581" s="664"/>
      <c r="O581" s="664"/>
      <c r="P581" s="664"/>
      <c r="Q581" s="664"/>
      <c r="R581" s="664"/>
      <c r="S581" s="664"/>
      <c r="T581" s="664"/>
      <c r="U581" s="664"/>
      <c r="V581" s="664"/>
      <c r="W581" s="664"/>
      <c r="X581" s="664"/>
      <c r="Y581" s="664"/>
      <c r="Z581" s="664"/>
    </row>
    <row r="582">
      <c r="A582" s="664"/>
      <c r="B582" s="664"/>
      <c r="C582" s="664"/>
      <c r="D582" s="664"/>
      <c r="E582" s="664"/>
      <c r="F582" s="664"/>
      <c r="G582" s="664"/>
      <c r="H582" s="664"/>
      <c r="I582" s="664"/>
      <c r="J582" s="664"/>
      <c r="K582" s="664"/>
      <c r="L582" s="664"/>
      <c r="M582" s="664"/>
      <c r="N582" s="664"/>
      <c r="O582" s="664"/>
      <c r="P582" s="664"/>
      <c r="Q582" s="664"/>
      <c r="R582" s="664"/>
      <c r="S582" s="664"/>
      <c r="T582" s="664"/>
      <c r="U582" s="664"/>
      <c r="V582" s="664"/>
      <c r="W582" s="664"/>
      <c r="X582" s="664"/>
      <c r="Y582" s="664"/>
      <c r="Z582" s="664"/>
    </row>
    <row r="583">
      <c r="A583" s="664"/>
      <c r="B583" s="664"/>
      <c r="C583" s="664"/>
      <c r="D583" s="664"/>
      <c r="E583" s="664"/>
      <c r="F583" s="664"/>
      <c r="G583" s="664"/>
      <c r="H583" s="664"/>
      <c r="I583" s="664"/>
      <c r="J583" s="664"/>
      <c r="K583" s="664"/>
      <c r="L583" s="664"/>
      <c r="M583" s="664"/>
      <c r="N583" s="664"/>
      <c r="O583" s="664"/>
      <c r="P583" s="664"/>
      <c r="Q583" s="664"/>
      <c r="R583" s="664"/>
      <c r="S583" s="664"/>
      <c r="T583" s="664"/>
      <c r="U583" s="664"/>
      <c r="V583" s="664"/>
      <c r="W583" s="664"/>
      <c r="X583" s="664"/>
      <c r="Y583" s="664"/>
      <c r="Z583" s="664"/>
    </row>
    <row r="584">
      <c r="A584" s="664"/>
      <c r="B584" s="664"/>
      <c r="C584" s="664"/>
      <c r="D584" s="664"/>
      <c r="E584" s="664"/>
      <c r="F584" s="664"/>
      <c r="G584" s="664"/>
      <c r="H584" s="664"/>
      <c r="I584" s="664"/>
      <c r="J584" s="664"/>
      <c r="K584" s="664"/>
      <c r="L584" s="664"/>
      <c r="M584" s="664"/>
      <c r="N584" s="664"/>
      <c r="O584" s="664"/>
      <c r="P584" s="664"/>
      <c r="Q584" s="664"/>
      <c r="R584" s="664"/>
      <c r="S584" s="664"/>
      <c r="T584" s="664"/>
      <c r="U584" s="664"/>
      <c r="V584" s="664"/>
      <c r="W584" s="664"/>
      <c r="X584" s="664"/>
      <c r="Y584" s="664"/>
      <c r="Z584" s="664"/>
    </row>
    <row r="585">
      <c r="A585" s="664"/>
      <c r="B585" s="664"/>
      <c r="C585" s="664"/>
      <c r="D585" s="664"/>
      <c r="E585" s="664"/>
      <c r="F585" s="664"/>
      <c r="G585" s="664"/>
      <c r="H585" s="664"/>
      <c r="I585" s="664"/>
      <c r="J585" s="664"/>
      <c r="K585" s="664"/>
      <c r="L585" s="664"/>
      <c r="M585" s="664"/>
      <c r="N585" s="664"/>
      <c r="O585" s="664"/>
      <c r="P585" s="664"/>
      <c r="Q585" s="664"/>
      <c r="R585" s="664"/>
      <c r="S585" s="664"/>
      <c r="T585" s="664"/>
      <c r="U585" s="664"/>
      <c r="V585" s="664"/>
      <c r="W585" s="664"/>
      <c r="X585" s="664"/>
      <c r="Y585" s="664"/>
      <c r="Z585" s="664"/>
    </row>
    <row r="586">
      <c r="A586" s="664"/>
      <c r="B586" s="664"/>
      <c r="C586" s="664"/>
      <c r="D586" s="664"/>
      <c r="E586" s="664"/>
      <c r="F586" s="664"/>
      <c r="G586" s="664"/>
      <c r="H586" s="664"/>
      <c r="I586" s="664"/>
      <c r="J586" s="664"/>
      <c r="K586" s="664"/>
      <c r="L586" s="664"/>
      <c r="M586" s="664"/>
      <c r="N586" s="664"/>
      <c r="O586" s="664"/>
      <c r="P586" s="664"/>
      <c r="Q586" s="664"/>
      <c r="R586" s="664"/>
      <c r="S586" s="664"/>
      <c r="T586" s="664"/>
      <c r="U586" s="664"/>
      <c r="V586" s="664"/>
      <c r="W586" s="664"/>
      <c r="X586" s="664"/>
      <c r="Y586" s="664"/>
      <c r="Z586" s="664"/>
    </row>
    <row r="587">
      <c r="A587" s="664"/>
      <c r="B587" s="664"/>
      <c r="C587" s="664"/>
      <c r="D587" s="664"/>
      <c r="E587" s="664"/>
      <c r="F587" s="664"/>
      <c r="G587" s="664"/>
      <c r="H587" s="664"/>
      <c r="I587" s="664"/>
      <c r="J587" s="664"/>
      <c r="K587" s="664"/>
      <c r="L587" s="664"/>
      <c r="M587" s="664"/>
      <c r="N587" s="664"/>
      <c r="O587" s="664"/>
      <c r="P587" s="664"/>
      <c r="Q587" s="664"/>
      <c r="R587" s="664"/>
      <c r="S587" s="664"/>
      <c r="T587" s="664"/>
      <c r="U587" s="664"/>
      <c r="V587" s="664"/>
      <c r="W587" s="664"/>
      <c r="X587" s="664"/>
      <c r="Y587" s="664"/>
      <c r="Z587" s="664"/>
    </row>
    <row r="588">
      <c r="A588" s="664"/>
      <c r="B588" s="664"/>
      <c r="C588" s="664"/>
      <c r="D588" s="664"/>
      <c r="E588" s="664"/>
      <c r="F588" s="664"/>
      <c r="G588" s="664"/>
      <c r="H588" s="664"/>
      <c r="I588" s="664"/>
      <c r="J588" s="664"/>
      <c r="K588" s="664"/>
      <c r="L588" s="664"/>
      <c r="M588" s="664"/>
      <c r="N588" s="664"/>
      <c r="O588" s="664"/>
      <c r="P588" s="664"/>
      <c r="Q588" s="664"/>
      <c r="R588" s="664"/>
      <c r="S588" s="664"/>
      <c r="T588" s="664"/>
      <c r="U588" s="664"/>
      <c r="V588" s="664"/>
      <c r="W588" s="664"/>
      <c r="X588" s="664"/>
      <c r="Y588" s="664"/>
      <c r="Z588" s="664"/>
    </row>
    <row r="589">
      <c r="A589" s="664"/>
      <c r="B589" s="664"/>
      <c r="C589" s="664"/>
      <c r="D589" s="664"/>
      <c r="E589" s="664"/>
      <c r="F589" s="664"/>
      <c r="G589" s="664"/>
      <c r="H589" s="664"/>
      <c r="I589" s="664"/>
      <c r="J589" s="664"/>
      <c r="K589" s="664"/>
      <c r="L589" s="664"/>
      <c r="M589" s="664"/>
      <c r="N589" s="664"/>
      <c r="O589" s="664"/>
      <c r="P589" s="664"/>
      <c r="Q589" s="664"/>
      <c r="R589" s="664"/>
      <c r="S589" s="664"/>
      <c r="T589" s="664"/>
      <c r="U589" s="664"/>
      <c r="V589" s="664"/>
      <c r="W589" s="664"/>
      <c r="X589" s="664"/>
      <c r="Y589" s="664"/>
      <c r="Z589" s="664"/>
    </row>
    <row r="590">
      <c r="A590" s="664"/>
      <c r="B590" s="664"/>
      <c r="C590" s="664"/>
      <c r="D590" s="664"/>
      <c r="E590" s="664"/>
      <c r="F590" s="664"/>
      <c r="G590" s="664"/>
      <c r="H590" s="664"/>
      <c r="I590" s="664"/>
      <c r="J590" s="664"/>
      <c r="K590" s="664"/>
      <c r="L590" s="664"/>
      <c r="M590" s="664"/>
      <c r="N590" s="664"/>
      <c r="O590" s="664"/>
      <c r="P590" s="664"/>
      <c r="Q590" s="664"/>
      <c r="R590" s="664"/>
      <c r="S590" s="664"/>
      <c r="T590" s="664"/>
      <c r="U590" s="664"/>
      <c r="V590" s="664"/>
      <c r="W590" s="664"/>
      <c r="X590" s="664"/>
      <c r="Y590" s="664"/>
      <c r="Z590" s="664"/>
    </row>
    <row r="591">
      <c r="A591" s="664"/>
      <c r="B591" s="664"/>
      <c r="C591" s="664"/>
      <c r="D591" s="664"/>
      <c r="E591" s="664"/>
      <c r="F591" s="664"/>
      <c r="G591" s="664"/>
      <c r="H591" s="664"/>
      <c r="I591" s="664"/>
      <c r="J591" s="664"/>
      <c r="K591" s="664"/>
      <c r="L591" s="664"/>
      <c r="M591" s="664"/>
      <c r="N591" s="664"/>
      <c r="O591" s="664"/>
      <c r="P591" s="664"/>
      <c r="Q591" s="664"/>
      <c r="R591" s="664"/>
      <c r="S591" s="664"/>
      <c r="T591" s="664"/>
      <c r="U591" s="664"/>
      <c r="V591" s="664"/>
      <c r="W591" s="664"/>
      <c r="X591" s="664"/>
      <c r="Y591" s="664"/>
      <c r="Z591" s="664"/>
    </row>
    <row r="592">
      <c r="A592" s="664"/>
      <c r="B592" s="664"/>
      <c r="C592" s="664"/>
      <c r="D592" s="664"/>
      <c r="E592" s="664"/>
      <c r="F592" s="664"/>
      <c r="G592" s="664"/>
      <c r="H592" s="664"/>
      <c r="I592" s="664"/>
      <c r="J592" s="664"/>
      <c r="K592" s="664"/>
      <c r="L592" s="664"/>
      <c r="M592" s="664"/>
      <c r="N592" s="664"/>
      <c r="O592" s="664"/>
      <c r="P592" s="664"/>
      <c r="Q592" s="664"/>
      <c r="R592" s="664"/>
      <c r="S592" s="664"/>
      <c r="T592" s="664"/>
      <c r="U592" s="664"/>
      <c r="V592" s="664"/>
      <c r="W592" s="664"/>
      <c r="X592" s="664"/>
      <c r="Y592" s="664"/>
      <c r="Z592" s="664"/>
    </row>
    <row r="593">
      <c r="A593" s="664"/>
      <c r="B593" s="664"/>
      <c r="C593" s="664"/>
      <c r="D593" s="664"/>
      <c r="E593" s="664"/>
      <c r="F593" s="664"/>
      <c r="G593" s="664"/>
      <c r="H593" s="664"/>
      <c r="I593" s="664"/>
      <c r="J593" s="664"/>
      <c r="K593" s="664"/>
      <c r="L593" s="664"/>
      <c r="M593" s="664"/>
      <c r="N593" s="664"/>
      <c r="O593" s="664"/>
      <c r="P593" s="664"/>
      <c r="Q593" s="664"/>
      <c r="R593" s="664"/>
      <c r="S593" s="664"/>
      <c r="T593" s="664"/>
      <c r="U593" s="664"/>
      <c r="V593" s="664"/>
      <c r="W593" s="664"/>
      <c r="X593" s="664"/>
      <c r="Y593" s="664"/>
      <c r="Z593" s="664"/>
    </row>
    <row r="594">
      <c r="A594" s="664"/>
      <c r="B594" s="664"/>
      <c r="C594" s="664"/>
      <c r="D594" s="664"/>
      <c r="E594" s="664"/>
      <c r="F594" s="664"/>
      <c r="G594" s="664"/>
      <c r="H594" s="664"/>
      <c r="I594" s="664"/>
      <c r="J594" s="664"/>
      <c r="K594" s="664"/>
      <c r="L594" s="664"/>
      <c r="M594" s="664"/>
      <c r="N594" s="664"/>
      <c r="O594" s="664"/>
      <c r="P594" s="664"/>
      <c r="Q594" s="664"/>
      <c r="R594" s="664"/>
      <c r="S594" s="664"/>
      <c r="T594" s="664"/>
      <c r="U594" s="664"/>
      <c r="V594" s="664"/>
      <c r="W594" s="664"/>
      <c r="X594" s="664"/>
      <c r="Y594" s="664"/>
      <c r="Z594" s="664"/>
    </row>
    <row r="595">
      <c r="A595" s="664"/>
      <c r="B595" s="664"/>
      <c r="C595" s="664"/>
      <c r="D595" s="664"/>
      <c r="E595" s="664"/>
      <c r="F595" s="664"/>
      <c r="G595" s="664"/>
      <c r="H595" s="664"/>
      <c r="I595" s="664"/>
      <c r="J595" s="664"/>
      <c r="K595" s="664"/>
      <c r="L595" s="664"/>
      <c r="M595" s="664"/>
      <c r="N595" s="664"/>
      <c r="O595" s="664"/>
      <c r="P595" s="664"/>
      <c r="Q595" s="664"/>
      <c r="R595" s="664"/>
      <c r="S595" s="664"/>
      <c r="T595" s="664"/>
      <c r="U595" s="664"/>
      <c r="V595" s="664"/>
      <c r="W595" s="664"/>
      <c r="X595" s="664"/>
      <c r="Y595" s="664"/>
      <c r="Z595" s="664"/>
    </row>
    <row r="596">
      <c r="A596" s="664"/>
      <c r="B596" s="664"/>
      <c r="C596" s="664"/>
      <c r="D596" s="664"/>
      <c r="E596" s="664"/>
      <c r="F596" s="664"/>
      <c r="G596" s="664"/>
      <c r="H596" s="664"/>
      <c r="I596" s="664"/>
      <c r="J596" s="664"/>
      <c r="K596" s="664"/>
      <c r="L596" s="664"/>
      <c r="M596" s="664"/>
      <c r="N596" s="664"/>
      <c r="O596" s="664"/>
      <c r="P596" s="664"/>
      <c r="Q596" s="664"/>
      <c r="R596" s="664"/>
      <c r="S596" s="664"/>
      <c r="T596" s="664"/>
      <c r="U596" s="664"/>
      <c r="V596" s="664"/>
      <c r="W596" s="664"/>
      <c r="X596" s="664"/>
      <c r="Y596" s="664"/>
      <c r="Z596" s="664"/>
    </row>
    <row r="597">
      <c r="A597" s="664"/>
      <c r="B597" s="664"/>
      <c r="C597" s="664"/>
      <c r="D597" s="664"/>
      <c r="E597" s="664"/>
      <c r="F597" s="664"/>
      <c r="G597" s="664"/>
      <c r="H597" s="664"/>
      <c r="I597" s="664"/>
      <c r="J597" s="664"/>
      <c r="K597" s="664"/>
      <c r="L597" s="664"/>
      <c r="M597" s="664"/>
      <c r="N597" s="664"/>
      <c r="O597" s="664"/>
      <c r="P597" s="664"/>
      <c r="Q597" s="664"/>
      <c r="R597" s="664"/>
      <c r="S597" s="664"/>
      <c r="T597" s="664"/>
      <c r="U597" s="664"/>
      <c r="V597" s="664"/>
      <c r="W597" s="664"/>
      <c r="X597" s="664"/>
      <c r="Y597" s="664"/>
      <c r="Z597" s="664"/>
    </row>
    <row r="598">
      <c r="A598" s="664"/>
      <c r="B598" s="664"/>
      <c r="C598" s="664"/>
      <c r="D598" s="664"/>
      <c r="E598" s="664"/>
      <c r="F598" s="664"/>
      <c r="G598" s="664"/>
      <c r="H598" s="664"/>
      <c r="I598" s="664"/>
      <c r="J598" s="664"/>
      <c r="K598" s="664"/>
      <c r="L598" s="664"/>
      <c r="M598" s="664"/>
      <c r="N598" s="664"/>
      <c r="O598" s="664"/>
      <c r="P598" s="664"/>
      <c r="Q598" s="664"/>
      <c r="R598" s="664"/>
      <c r="S598" s="664"/>
      <c r="T598" s="664"/>
      <c r="U598" s="664"/>
      <c r="V598" s="664"/>
      <c r="W598" s="664"/>
      <c r="X598" s="664"/>
      <c r="Y598" s="664"/>
      <c r="Z598" s="664"/>
    </row>
    <row r="599">
      <c r="A599" s="664"/>
      <c r="B599" s="664"/>
      <c r="C599" s="664"/>
      <c r="D599" s="664"/>
      <c r="E599" s="664"/>
      <c r="F599" s="664"/>
      <c r="G599" s="664"/>
      <c r="H599" s="664"/>
      <c r="I599" s="664"/>
      <c r="J599" s="664"/>
      <c r="K599" s="664"/>
      <c r="L599" s="664"/>
      <c r="M599" s="664"/>
      <c r="N599" s="664"/>
      <c r="O599" s="664"/>
      <c r="P599" s="664"/>
      <c r="Q599" s="664"/>
      <c r="R599" s="664"/>
      <c r="S599" s="664"/>
      <c r="T599" s="664"/>
      <c r="U599" s="664"/>
      <c r="V599" s="664"/>
      <c r="W599" s="664"/>
      <c r="X599" s="664"/>
      <c r="Y599" s="664"/>
      <c r="Z599" s="664"/>
    </row>
    <row r="600">
      <c r="A600" s="664"/>
      <c r="B600" s="664"/>
      <c r="C600" s="664"/>
      <c r="D600" s="664"/>
      <c r="E600" s="664"/>
      <c r="F600" s="664"/>
      <c r="G600" s="664"/>
      <c r="H600" s="664"/>
      <c r="I600" s="664"/>
      <c r="J600" s="664"/>
      <c r="K600" s="664"/>
      <c r="L600" s="664"/>
      <c r="M600" s="664"/>
      <c r="N600" s="664"/>
      <c r="O600" s="664"/>
      <c r="P600" s="664"/>
      <c r="Q600" s="664"/>
      <c r="R600" s="664"/>
      <c r="S600" s="664"/>
      <c r="T600" s="664"/>
      <c r="U600" s="664"/>
      <c r="V600" s="664"/>
      <c r="W600" s="664"/>
      <c r="X600" s="664"/>
      <c r="Y600" s="664"/>
      <c r="Z600" s="664"/>
    </row>
    <row r="601">
      <c r="A601" s="664"/>
      <c r="B601" s="664"/>
      <c r="C601" s="664"/>
      <c r="D601" s="664"/>
      <c r="E601" s="664"/>
      <c r="F601" s="664"/>
      <c r="G601" s="664"/>
      <c r="H601" s="664"/>
      <c r="I601" s="664"/>
      <c r="J601" s="664"/>
      <c r="K601" s="664"/>
      <c r="L601" s="664"/>
      <c r="M601" s="664"/>
      <c r="N601" s="664"/>
      <c r="O601" s="664"/>
      <c r="P601" s="664"/>
      <c r="Q601" s="664"/>
      <c r="R601" s="664"/>
      <c r="S601" s="664"/>
      <c r="T601" s="664"/>
      <c r="U601" s="664"/>
      <c r="V601" s="664"/>
      <c r="W601" s="664"/>
      <c r="X601" s="664"/>
      <c r="Y601" s="664"/>
      <c r="Z601" s="664"/>
    </row>
    <row r="602">
      <c r="A602" s="664"/>
      <c r="B602" s="664"/>
      <c r="C602" s="664"/>
      <c r="D602" s="664"/>
      <c r="E602" s="664"/>
      <c r="F602" s="664"/>
      <c r="G602" s="664"/>
      <c r="H602" s="664"/>
      <c r="I602" s="664"/>
      <c r="J602" s="664"/>
      <c r="K602" s="664"/>
      <c r="L602" s="664"/>
      <c r="M602" s="664"/>
      <c r="N602" s="664"/>
      <c r="O602" s="664"/>
      <c r="P602" s="664"/>
      <c r="Q602" s="664"/>
      <c r="R602" s="664"/>
      <c r="S602" s="664"/>
      <c r="T602" s="664"/>
      <c r="U602" s="664"/>
      <c r="V602" s="664"/>
      <c r="W602" s="664"/>
      <c r="X602" s="664"/>
      <c r="Y602" s="664"/>
      <c r="Z602" s="664"/>
    </row>
    <row r="603">
      <c r="A603" s="664"/>
      <c r="B603" s="664"/>
      <c r="C603" s="664"/>
      <c r="D603" s="664"/>
      <c r="E603" s="664"/>
      <c r="F603" s="664"/>
      <c r="G603" s="664"/>
      <c r="H603" s="664"/>
      <c r="I603" s="664"/>
      <c r="J603" s="664"/>
      <c r="K603" s="664"/>
      <c r="L603" s="664"/>
      <c r="M603" s="664"/>
      <c r="N603" s="664"/>
      <c r="O603" s="664"/>
      <c r="P603" s="664"/>
      <c r="Q603" s="664"/>
      <c r="R603" s="664"/>
      <c r="S603" s="664"/>
      <c r="T603" s="664"/>
      <c r="U603" s="664"/>
      <c r="V603" s="664"/>
      <c r="W603" s="664"/>
      <c r="X603" s="664"/>
      <c r="Y603" s="664"/>
      <c r="Z603" s="664"/>
    </row>
    <row r="604">
      <c r="A604" s="664"/>
      <c r="B604" s="664"/>
      <c r="C604" s="664"/>
      <c r="D604" s="664"/>
      <c r="E604" s="664"/>
      <c r="F604" s="664"/>
      <c r="G604" s="664"/>
      <c r="H604" s="664"/>
      <c r="I604" s="664"/>
      <c r="J604" s="664"/>
      <c r="K604" s="664"/>
      <c r="L604" s="664"/>
      <c r="M604" s="664"/>
      <c r="N604" s="664"/>
      <c r="O604" s="664"/>
      <c r="P604" s="664"/>
      <c r="Q604" s="664"/>
      <c r="R604" s="664"/>
      <c r="S604" s="664"/>
      <c r="T604" s="664"/>
      <c r="U604" s="664"/>
      <c r="V604" s="664"/>
      <c r="W604" s="664"/>
      <c r="X604" s="664"/>
      <c r="Y604" s="664"/>
      <c r="Z604" s="664"/>
    </row>
    <row r="605">
      <c r="A605" s="664"/>
      <c r="B605" s="664"/>
      <c r="C605" s="664"/>
      <c r="D605" s="664"/>
      <c r="E605" s="664"/>
      <c r="F605" s="664"/>
      <c r="G605" s="664"/>
      <c r="H605" s="664"/>
      <c r="I605" s="664"/>
      <c r="J605" s="664"/>
      <c r="K605" s="664"/>
      <c r="L605" s="664"/>
      <c r="M605" s="664"/>
      <c r="N605" s="664"/>
      <c r="O605" s="664"/>
      <c r="P605" s="664"/>
      <c r="Q605" s="664"/>
      <c r="R605" s="664"/>
      <c r="S605" s="664"/>
      <c r="T605" s="664"/>
      <c r="U605" s="664"/>
      <c r="V605" s="664"/>
      <c r="W605" s="664"/>
      <c r="X605" s="664"/>
      <c r="Y605" s="664"/>
      <c r="Z605" s="664"/>
    </row>
    <row r="606">
      <c r="A606" s="664"/>
      <c r="B606" s="664"/>
      <c r="C606" s="664"/>
      <c r="D606" s="664"/>
      <c r="E606" s="664"/>
      <c r="F606" s="664"/>
      <c r="G606" s="664"/>
      <c r="H606" s="664"/>
      <c r="I606" s="664"/>
      <c r="J606" s="664"/>
      <c r="K606" s="664"/>
      <c r="L606" s="664"/>
      <c r="M606" s="664"/>
      <c r="N606" s="664"/>
      <c r="O606" s="664"/>
      <c r="P606" s="664"/>
      <c r="Q606" s="664"/>
      <c r="R606" s="664"/>
      <c r="S606" s="664"/>
      <c r="T606" s="664"/>
      <c r="U606" s="664"/>
      <c r="V606" s="664"/>
      <c r="W606" s="664"/>
      <c r="X606" s="664"/>
      <c r="Y606" s="664"/>
      <c r="Z606" s="664"/>
    </row>
    <row r="607">
      <c r="A607" s="664"/>
      <c r="B607" s="664"/>
      <c r="C607" s="664"/>
      <c r="D607" s="664"/>
      <c r="E607" s="664"/>
      <c r="F607" s="664"/>
      <c r="G607" s="664"/>
      <c r="H607" s="664"/>
      <c r="I607" s="664"/>
      <c r="J607" s="664"/>
      <c r="K607" s="664"/>
      <c r="L607" s="664"/>
      <c r="M607" s="664"/>
      <c r="N607" s="664"/>
      <c r="O607" s="664"/>
      <c r="P607" s="664"/>
      <c r="Q607" s="664"/>
      <c r="R607" s="664"/>
      <c r="S607" s="664"/>
      <c r="T607" s="664"/>
      <c r="U607" s="664"/>
      <c r="V607" s="664"/>
      <c r="W607" s="664"/>
      <c r="X607" s="664"/>
      <c r="Y607" s="664"/>
      <c r="Z607" s="664"/>
    </row>
    <row r="608">
      <c r="A608" s="664"/>
      <c r="B608" s="664"/>
      <c r="C608" s="664"/>
      <c r="D608" s="664"/>
      <c r="E608" s="664"/>
      <c r="F608" s="664"/>
      <c r="G608" s="664"/>
      <c r="H608" s="664"/>
      <c r="I608" s="664"/>
      <c r="J608" s="664"/>
      <c r="K608" s="664"/>
      <c r="L608" s="664"/>
      <c r="M608" s="664"/>
      <c r="N608" s="664"/>
      <c r="O608" s="664"/>
      <c r="P608" s="664"/>
      <c r="Q608" s="664"/>
      <c r="R608" s="664"/>
      <c r="S608" s="664"/>
      <c r="T608" s="664"/>
      <c r="U608" s="664"/>
      <c r="V608" s="664"/>
      <c r="W608" s="664"/>
      <c r="X608" s="664"/>
      <c r="Y608" s="664"/>
      <c r="Z608" s="664"/>
    </row>
    <row r="609">
      <c r="A609" s="664"/>
      <c r="B609" s="664"/>
      <c r="C609" s="664"/>
      <c r="D609" s="664"/>
      <c r="E609" s="664"/>
      <c r="F609" s="664"/>
      <c r="G609" s="664"/>
      <c r="H609" s="664"/>
      <c r="I609" s="664"/>
      <c r="J609" s="664"/>
      <c r="K609" s="664"/>
      <c r="L609" s="664"/>
      <c r="M609" s="664"/>
      <c r="N609" s="664"/>
      <c r="O609" s="664"/>
      <c r="P609" s="664"/>
      <c r="Q609" s="664"/>
      <c r="R609" s="664"/>
      <c r="S609" s="664"/>
      <c r="T609" s="664"/>
      <c r="U609" s="664"/>
      <c r="V609" s="664"/>
      <c r="W609" s="664"/>
      <c r="X609" s="664"/>
      <c r="Y609" s="664"/>
      <c r="Z609" s="664"/>
    </row>
    <row r="610">
      <c r="A610" s="664"/>
      <c r="B610" s="664"/>
      <c r="C610" s="664"/>
      <c r="D610" s="664"/>
      <c r="E610" s="664"/>
      <c r="F610" s="664"/>
      <c r="G610" s="664"/>
      <c r="H610" s="664"/>
      <c r="I610" s="664"/>
      <c r="J610" s="664"/>
      <c r="K610" s="664"/>
      <c r="L610" s="664"/>
      <c r="M610" s="664"/>
      <c r="N610" s="664"/>
      <c r="O610" s="664"/>
      <c r="P610" s="664"/>
      <c r="Q610" s="664"/>
      <c r="R610" s="664"/>
      <c r="S610" s="664"/>
      <c r="T610" s="664"/>
      <c r="U610" s="664"/>
      <c r="V610" s="664"/>
      <c r="W610" s="664"/>
      <c r="X610" s="664"/>
      <c r="Y610" s="664"/>
      <c r="Z610" s="664"/>
    </row>
    <row r="611">
      <c r="A611" s="664"/>
      <c r="B611" s="664"/>
      <c r="C611" s="664"/>
      <c r="D611" s="664"/>
      <c r="E611" s="664"/>
      <c r="F611" s="664"/>
      <c r="G611" s="664"/>
      <c r="H611" s="664"/>
      <c r="I611" s="664"/>
      <c r="J611" s="664"/>
      <c r="K611" s="664"/>
      <c r="L611" s="664"/>
      <c r="M611" s="664"/>
      <c r="N611" s="664"/>
      <c r="O611" s="664"/>
      <c r="P611" s="664"/>
      <c r="Q611" s="664"/>
      <c r="R611" s="664"/>
      <c r="S611" s="664"/>
      <c r="T611" s="664"/>
      <c r="U611" s="664"/>
      <c r="V611" s="664"/>
      <c r="W611" s="664"/>
      <c r="X611" s="664"/>
      <c r="Y611" s="664"/>
      <c r="Z611" s="664"/>
    </row>
    <row r="612">
      <c r="A612" s="664"/>
      <c r="B612" s="664"/>
      <c r="C612" s="664"/>
      <c r="D612" s="664"/>
      <c r="E612" s="664"/>
      <c r="F612" s="664"/>
      <c r="G612" s="664"/>
      <c r="H612" s="664"/>
      <c r="I612" s="664"/>
      <c r="J612" s="664"/>
      <c r="K612" s="664"/>
      <c r="L612" s="664"/>
      <c r="M612" s="664"/>
      <c r="N612" s="664"/>
      <c r="O612" s="664"/>
      <c r="P612" s="664"/>
      <c r="Q612" s="664"/>
      <c r="R612" s="664"/>
      <c r="S612" s="664"/>
      <c r="T612" s="664"/>
      <c r="U612" s="664"/>
      <c r="V612" s="664"/>
      <c r="W612" s="664"/>
      <c r="X612" s="664"/>
      <c r="Y612" s="664"/>
      <c r="Z612" s="664"/>
    </row>
    <row r="613">
      <c r="A613" s="664"/>
      <c r="B613" s="664"/>
      <c r="C613" s="664"/>
      <c r="D613" s="664"/>
      <c r="E613" s="664"/>
      <c r="F613" s="664"/>
      <c r="G613" s="664"/>
      <c r="H613" s="664"/>
      <c r="I613" s="664"/>
      <c r="J613" s="664"/>
      <c r="K613" s="664"/>
      <c r="L613" s="664"/>
      <c r="M613" s="664"/>
      <c r="N613" s="664"/>
      <c r="O613" s="664"/>
      <c r="P613" s="664"/>
      <c r="Q613" s="664"/>
      <c r="R613" s="664"/>
      <c r="S613" s="664"/>
      <c r="T613" s="664"/>
      <c r="U613" s="664"/>
      <c r="V613" s="664"/>
      <c r="W613" s="664"/>
      <c r="X613" s="664"/>
      <c r="Y613" s="664"/>
      <c r="Z613" s="664"/>
    </row>
    <row r="614">
      <c r="A614" s="664"/>
      <c r="B614" s="664"/>
      <c r="C614" s="664"/>
      <c r="D614" s="664"/>
      <c r="E614" s="664"/>
      <c r="F614" s="664"/>
      <c r="G614" s="664"/>
      <c r="H614" s="664"/>
      <c r="I614" s="664"/>
      <c r="J614" s="664"/>
      <c r="K614" s="664"/>
      <c r="L614" s="664"/>
      <c r="M614" s="664"/>
      <c r="N614" s="664"/>
      <c r="O614" s="664"/>
      <c r="P614" s="664"/>
      <c r="Q614" s="664"/>
      <c r="R614" s="664"/>
      <c r="S614" s="664"/>
      <c r="T614" s="664"/>
      <c r="U614" s="664"/>
      <c r="V614" s="664"/>
      <c r="W614" s="664"/>
      <c r="X614" s="664"/>
      <c r="Y614" s="664"/>
      <c r="Z614" s="664"/>
    </row>
    <row r="615">
      <c r="A615" s="664"/>
      <c r="B615" s="664"/>
      <c r="C615" s="664"/>
      <c r="D615" s="664"/>
      <c r="E615" s="664"/>
      <c r="F615" s="664"/>
      <c r="G615" s="664"/>
      <c r="H615" s="664"/>
      <c r="I615" s="664"/>
      <c r="J615" s="664"/>
      <c r="K615" s="664"/>
      <c r="L615" s="664"/>
      <c r="M615" s="664"/>
      <c r="N615" s="664"/>
      <c r="O615" s="664"/>
      <c r="P615" s="664"/>
      <c r="Q615" s="664"/>
      <c r="R615" s="664"/>
      <c r="S615" s="664"/>
      <c r="T615" s="664"/>
      <c r="U615" s="664"/>
      <c r="V615" s="664"/>
      <c r="W615" s="664"/>
      <c r="X615" s="664"/>
      <c r="Y615" s="664"/>
      <c r="Z615" s="664"/>
    </row>
    <row r="616">
      <c r="A616" s="664"/>
      <c r="B616" s="664"/>
      <c r="C616" s="664"/>
      <c r="D616" s="664"/>
      <c r="E616" s="664"/>
      <c r="F616" s="664"/>
      <c r="G616" s="664"/>
      <c r="H616" s="664"/>
      <c r="I616" s="664"/>
      <c r="J616" s="664"/>
      <c r="K616" s="664"/>
      <c r="L616" s="664"/>
      <c r="M616" s="664"/>
      <c r="N616" s="664"/>
      <c r="O616" s="664"/>
      <c r="P616" s="664"/>
      <c r="Q616" s="664"/>
      <c r="R616" s="664"/>
      <c r="S616" s="664"/>
      <c r="T616" s="664"/>
      <c r="U616" s="664"/>
      <c r="V616" s="664"/>
      <c r="W616" s="664"/>
      <c r="X616" s="664"/>
      <c r="Y616" s="664"/>
      <c r="Z616" s="664"/>
    </row>
    <row r="617">
      <c r="A617" s="664"/>
      <c r="B617" s="664"/>
      <c r="C617" s="664"/>
      <c r="D617" s="664"/>
      <c r="E617" s="664"/>
      <c r="F617" s="664"/>
      <c r="G617" s="664"/>
      <c r="H617" s="664"/>
      <c r="I617" s="664"/>
      <c r="J617" s="664"/>
      <c r="K617" s="664"/>
      <c r="L617" s="664"/>
      <c r="M617" s="664"/>
      <c r="N617" s="664"/>
      <c r="O617" s="664"/>
      <c r="P617" s="664"/>
      <c r="Q617" s="664"/>
      <c r="R617" s="664"/>
      <c r="S617" s="664"/>
      <c r="T617" s="664"/>
      <c r="U617" s="664"/>
      <c r="V617" s="664"/>
      <c r="W617" s="664"/>
      <c r="X617" s="664"/>
      <c r="Y617" s="664"/>
      <c r="Z617" s="664"/>
    </row>
    <row r="618">
      <c r="A618" s="664"/>
      <c r="B618" s="664"/>
      <c r="C618" s="664"/>
      <c r="D618" s="664"/>
      <c r="E618" s="664"/>
      <c r="F618" s="664"/>
      <c r="G618" s="664"/>
      <c r="H618" s="664"/>
      <c r="I618" s="664"/>
      <c r="J618" s="664"/>
      <c r="K618" s="664"/>
      <c r="L618" s="664"/>
      <c r="M618" s="664"/>
      <c r="N618" s="664"/>
      <c r="O618" s="664"/>
      <c r="P618" s="664"/>
      <c r="Q618" s="664"/>
      <c r="R618" s="664"/>
      <c r="S618" s="664"/>
      <c r="T618" s="664"/>
      <c r="U618" s="664"/>
      <c r="V618" s="664"/>
      <c r="W618" s="664"/>
      <c r="X618" s="664"/>
      <c r="Y618" s="664"/>
      <c r="Z618" s="664"/>
    </row>
    <row r="619">
      <c r="A619" s="664"/>
      <c r="B619" s="664"/>
      <c r="C619" s="664"/>
      <c r="D619" s="664"/>
      <c r="E619" s="664"/>
      <c r="F619" s="664"/>
      <c r="G619" s="664"/>
      <c r="H619" s="664"/>
      <c r="I619" s="664"/>
      <c r="J619" s="664"/>
      <c r="K619" s="664"/>
      <c r="L619" s="664"/>
      <c r="M619" s="664"/>
      <c r="N619" s="664"/>
      <c r="O619" s="664"/>
      <c r="P619" s="664"/>
      <c r="Q619" s="664"/>
      <c r="R619" s="664"/>
      <c r="S619" s="664"/>
      <c r="T619" s="664"/>
      <c r="U619" s="664"/>
      <c r="V619" s="664"/>
      <c r="W619" s="664"/>
      <c r="X619" s="664"/>
      <c r="Y619" s="664"/>
      <c r="Z619" s="664"/>
    </row>
    <row r="620">
      <c r="A620" s="664"/>
      <c r="B620" s="664"/>
      <c r="C620" s="664"/>
      <c r="D620" s="664"/>
      <c r="E620" s="664"/>
      <c r="F620" s="664"/>
      <c r="G620" s="664"/>
      <c r="H620" s="664"/>
      <c r="I620" s="664"/>
      <c r="J620" s="664"/>
      <c r="K620" s="664"/>
      <c r="L620" s="664"/>
      <c r="M620" s="664"/>
      <c r="N620" s="664"/>
      <c r="O620" s="664"/>
      <c r="P620" s="664"/>
      <c r="Q620" s="664"/>
      <c r="R620" s="664"/>
      <c r="S620" s="664"/>
      <c r="T620" s="664"/>
      <c r="U620" s="664"/>
      <c r="V620" s="664"/>
      <c r="W620" s="664"/>
      <c r="X620" s="664"/>
      <c r="Y620" s="664"/>
      <c r="Z620" s="664"/>
    </row>
    <row r="621">
      <c r="A621" s="664"/>
      <c r="B621" s="664"/>
      <c r="C621" s="664"/>
      <c r="D621" s="664"/>
      <c r="E621" s="664"/>
      <c r="F621" s="664"/>
      <c r="G621" s="664"/>
      <c r="H621" s="664"/>
      <c r="I621" s="664"/>
      <c r="J621" s="664"/>
      <c r="K621" s="664"/>
      <c r="L621" s="664"/>
      <c r="M621" s="664"/>
      <c r="N621" s="664"/>
      <c r="O621" s="664"/>
      <c r="P621" s="664"/>
      <c r="Q621" s="664"/>
      <c r="R621" s="664"/>
      <c r="S621" s="664"/>
      <c r="T621" s="664"/>
      <c r="U621" s="664"/>
      <c r="V621" s="664"/>
      <c r="W621" s="664"/>
      <c r="X621" s="664"/>
      <c r="Y621" s="664"/>
      <c r="Z621" s="664"/>
    </row>
    <row r="622">
      <c r="A622" s="664"/>
      <c r="B622" s="664"/>
      <c r="C622" s="664"/>
      <c r="D622" s="664"/>
      <c r="E622" s="664"/>
      <c r="F622" s="664"/>
      <c r="G622" s="664"/>
      <c r="H622" s="664"/>
      <c r="I622" s="664"/>
      <c r="J622" s="664"/>
      <c r="K622" s="664"/>
      <c r="L622" s="664"/>
      <c r="M622" s="664"/>
      <c r="N622" s="664"/>
      <c r="O622" s="664"/>
      <c r="P622" s="664"/>
      <c r="Q622" s="664"/>
      <c r="R622" s="664"/>
      <c r="S622" s="664"/>
      <c r="T622" s="664"/>
      <c r="U622" s="664"/>
      <c r="V622" s="664"/>
      <c r="W622" s="664"/>
      <c r="X622" s="664"/>
      <c r="Y622" s="664"/>
      <c r="Z622" s="664"/>
    </row>
    <row r="623">
      <c r="A623" s="664"/>
      <c r="B623" s="664"/>
      <c r="C623" s="664"/>
      <c r="D623" s="664"/>
      <c r="E623" s="664"/>
      <c r="F623" s="664"/>
      <c r="G623" s="664"/>
      <c r="H623" s="664"/>
      <c r="I623" s="664"/>
      <c r="J623" s="664"/>
      <c r="K623" s="664"/>
      <c r="L623" s="664"/>
      <c r="M623" s="664"/>
      <c r="N623" s="664"/>
      <c r="O623" s="664"/>
      <c r="P623" s="664"/>
      <c r="Q623" s="664"/>
      <c r="R623" s="664"/>
      <c r="S623" s="664"/>
      <c r="T623" s="664"/>
      <c r="U623" s="664"/>
      <c r="V623" s="664"/>
      <c r="W623" s="664"/>
      <c r="X623" s="664"/>
      <c r="Y623" s="664"/>
      <c r="Z623" s="664"/>
    </row>
    <row r="624">
      <c r="A624" s="664"/>
      <c r="B624" s="664"/>
      <c r="C624" s="664"/>
      <c r="D624" s="664"/>
      <c r="E624" s="664"/>
      <c r="F624" s="664"/>
      <c r="G624" s="664"/>
      <c r="H624" s="664"/>
      <c r="I624" s="664"/>
      <c r="J624" s="664"/>
      <c r="K624" s="664"/>
      <c r="L624" s="664"/>
      <c r="M624" s="664"/>
      <c r="N624" s="664"/>
      <c r="O624" s="664"/>
      <c r="P624" s="664"/>
      <c r="Q624" s="664"/>
      <c r="R624" s="664"/>
      <c r="S624" s="664"/>
      <c r="T624" s="664"/>
      <c r="U624" s="664"/>
      <c r="V624" s="664"/>
      <c r="W624" s="664"/>
      <c r="X624" s="664"/>
      <c r="Y624" s="664"/>
      <c r="Z624" s="664"/>
    </row>
    <row r="625">
      <c r="A625" s="664"/>
      <c r="B625" s="664"/>
      <c r="C625" s="664"/>
      <c r="D625" s="664"/>
      <c r="E625" s="664"/>
      <c r="F625" s="664"/>
      <c r="G625" s="664"/>
      <c r="H625" s="664"/>
      <c r="I625" s="664"/>
      <c r="J625" s="664"/>
      <c r="K625" s="664"/>
      <c r="L625" s="664"/>
      <c r="M625" s="664"/>
      <c r="N625" s="664"/>
      <c r="O625" s="664"/>
      <c r="P625" s="664"/>
      <c r="Q625" s="664"/>
      <c r="R625" s="664"/>
      <c r="S625" s="664"/>
      <c r="T625" s="664"/>
      <c r="U625" s="664"/>
      <c r="V625" s="664"/>
      <c r="W625" s="664"/>
      <c r="X625" s="664"/>
      <c r="Y625" s="664"/>
      <c r="Z625" s="664"/>
    </row>
    <row r="626">
      <c r="A626" s="664"/>
      <c r="B626" s="664"/>
      <c r="C626" s="664"/>
      <c r="D626" s="664"/>
      <c r="E626" s="664"/>
      <c r="F626" s="664"/>
      <c r="G626" s="664"/>
      <c r="H626" s="664"/>
      <c r="I626" s="664"/>
      <c r="J626" s="664"/>
      <c r="K626" s="664"/>
      <c r="L626" s="664"/>
      <c r="M626" s="664"/>
      <c r="N626" s="664"/>
      <c r="O626" s="664"/>
      <c r="P626" s="664"/>
      <c r="Q626" s="664"/>
      <c r="R626" s="664"/>
      <c r="S626" s="664"/>
      <c r="T626" s="664"/>
      <c r="U626" s="664"/>
      <c r="V626" s="664"/>
      <c r="W626" s="664"/>
      <c r="X626" s="664"/>
      <c r="Y626" s="664"/>
      <c r="Z626" s="664"/>
    </row>
    <row r="627">
      <c r="A627" s="664"/>
      <c r="B627" s="664"/>
      <c r="C627" s="664"/>
      <c r="D627" s="664"/>
      <c r="E627" s="664"/>
      <c r="F627" s="664"/>
      <c r="G627" s="664"/>
      <c r="H627" s="664"/>
      <c r="I627" s="664"/>
      <c r="J627" s="664"/>
      <c r="K627" s="664"/>
      <c r="L627" s="664"/>
      <c r="M627" s="664"/>
      <c r="N627" s="664"/>
      <c r="O627" s="664"/>
      <c r="P627" s="664"/>
      <c r="Q627" s="664"/>
      <c r="R627" s="664"/>
      <c r="S627" s="664"/>
      <c r="T627" s="664"/>
      <c r="U627" s="664"/>
      <c r="V627" s="664"/>
      <c r="W627" s="664"/>
      <c r="X627" s="664"/>
      <c r="Y627" s="664"/>
      <c r="Z627" s="664"/>
    </row>
    <row r="628">
      <c r="A628" s="664"/>
      <c r="B628" s="664"/>
      <c r="C628" s="664"/>
      <c r="D628" s="664"/>
      <c r="E628" s="664"/>
      <c r="F628" s="664"/>
      <c r="G628" s="664"/>
      <c r="H628" s="664"/>
      <c r="I628" s="664"/>
      <c r="J628" s="664"/>
      <c r="K628" s="664"/>
      <c r="L628" s="664"/>
      <c r="M628" s="664"/>
      <c r="N628" s="664"/>
      <c r="O628" s="664"/>
      <c r="P628" s="664"/>
      <c r="Q628" s="664"/>
      <c r="R628" s="664"/>
      <c r="S628" s="664"/>
      <c r="T628" s="664"/>
      <c r="U628" s="664"/>
      <c r="V628" s="664"/>
      <c r="W628" s="664"/>
      <c r="X628" s="664"/>
      <c r="Y628" s="664"/>
      <c r="Z628" s="664"/>
    </row>
    <row r="629">
      <c r="A629" s="664"/>
      <c r="B629" s="664"/>
      <c r="C629" s="664"/>
      <c r="D629" s="664"/>
      <c r="E629" s="664"/>
      <c r="F629" s="664"/>
      <c r="G629" s="664"/>
      <c r="H629" s="664"/>
      <c r="I629" s="664"/>
      <c r="J629" s="664"/>
      <c r="K629" s="664"/>
      <c r="L629" s="664"/>
      <c r="M629" s="664"/>
      <c r="N629" s="664"/>
      <c r="O629" s="664"/>
      <c r="P629" s="664"/>
      <c r="Q629" s="664"/>
      <c r="R629" s="664"/>
      <c r="S629" s="664"/>
      <c r="T629" s="664"/>
      <c r="U629" s="664"/>
      <c r="V629" s="664"/>
      <c r="W629" s="664"/>
      <c r="X629" s="664"/>
      <c r="Y629" s="664"/>
      <c r="Z629" s="664"/>
    </row>
    <row r="630">
      <c r="A630" s="664"/>
      <c r="B630" s="664"/>
      <c r="C630" s="664"/>
      <c r="D630" s="664"/>
      <c r="E630" s="664"/>
      <c r="F630" s="664"/>
      <c r="G630" s="664"/>
      <c r="H630" s="664"/>
      <c r="I630" s="664"/>
      <c r="J630" s="664"/>
      <c r="K630" s="664"/>
      <c r="L630" s="664"/>
      <c r="M630" s="664"/>
      <c r="N630" s="664"/>
      <c r="O630" s="664"/>
      <c r="P630" s="664"/>
      <c r="Q630" s="664"/>
      <c r="R630" s="664"/>
      <c r="S630" s="664"/>
      <c r="T630" s="664"/>
      <c r="U630" s="664"/>
      <c r="V630" s="664"/>
      <c r="W630" s="664"/>
      <c r="X630" s="664"/>
      <c r="Y630" s="664"/>
      <c r="Z630" s="664"/>
    </row>
    <row r="631">
      <c r="A631" s="664"/>
      <c r="B631" s="664"/>
      <c r="C631" s="664"/>
      <c r="D631" s="664"/>
      <c r="E631" s="664"/>
      <c r="F631" s="664"/>
      <c r="G631" s="664"/>
      <c r="H631" s="664"/>
      <c r="I631" s="664"/>
      <c r="J631" s="664"/>
      <c r="K631" s="664"/>
      <c r="L631" s="664"/>
      <c r="M631" s="664"/>
      <c r="N631" s="664"/>
      <c r="O631" s="664"/>
      <c r="P631" s="664"/>
      <c r="Q631" s="664"/>
      <c r="R631" s="664"/>
      <c r="S631" s="664"/>
      <c r="T631" s="664"/>
      <c r="U631" s="664"/>
      <c r="V631" s="664"/>
      <c r="W631" s="664"/>
      <c r="X631" s="664"/>
      <c r="Y631" s="664"/>
      <c r="Z631" s="664"/>
    </row>
    <row r="632">
      <c r="A632" s="664"/>
      <c r="B632" s="664"/>
      <c r="C632" s="664"/>
      <c r="D632" s="664"/>
      <c r="E632" s="664"/>
      <c r="F632" s="664"/>
      <c r="G632" s="664"/>
      <c r="H632" s="664"/>
      <c r="I632" s="664"/>
      <c r="J632" s="664"/>
      <c r="K632" s="664"/>
      <c r="L632" s="664"/>
      <c r="M632" s="664"/>
      <c r="N632" s="664"/>
      <c r="O632" s="664"/>
      <c r="P632" s="664"/>
      <c r="Q632" s="664"/>
      <c r="R632" s="664"/>
      <c r="S632" s="664"/>
      <c r="T632" s="664"/>
      <c r="U632" s="664"/>
      <c r="V632" s="664"/>
      <c r="W632" s="664"/>
      <c r="X632" s="664"/>
      <c r="Y632" s="664"/>
      <c r="Z632" s="664"/>
    </row>
    <row r="633">
      <c r="A633" s="664"/>
      <c r="B633" s="664"/>
      <c r="C633" s="664"/>
      <c r="D633" s="664"/>
      <c r="E633" s="664"/>
      <c r="F633" s="664"/>
      <c r="G633" s="664"/>
      <c r="H633" s="664"/>
      <c r="I633" s="664"/>
      <c r="J633" s="664"/>
      <c r="K633" s="664"/>
      <c r="L633" s="664"/>
      <c r="M633" s="664"/>
      <c r="N633" s="664"/>
      <c r="O633" s="664"/>
      <c r="P633" s="664"/>
      <c r="Q633" s="664"/>
      <c r="R633" s="664"/>
      <c r="S633" s="664"/>
      <c r="T633" s="664"/>
      <c r="U633" s="664"/>
      <c r="V633" s="664"/>
      <c r="W633" s="664"/>
      <c r="X633" s="664"/>
      <c r="Y633" s="664"/>
      <c r="Z633" s="664"/>
    </row>
    <row r="634">
      <c r="A634" s="664"/>
      <c r="B634" s="664"/>
      <c r="C634" s="664"/>
      <c r="D634" s="664"/>
      <c r="E634" s="664"/>
      <c r="F634" s="664"/>
      <c r="G634" s="664"/>
      <c r="H634" s="664"/>
      <c r="I634" s="664"/>
      <c r="J634" s="664"/>
      <c r="K634" s="664"/>
      <c r="L634" s="664"/>
      <c r="M634" s="664"/>
      <c r="N634" s="664"/>
      <c r="O634" s="664"/>
      <c r="P634" s="664"/>
      <c r="Q634" s="664"/>
      <c r="R634" s="664"/>
      <c r="S634" s="664"/>
      <c r="T634" s="664"/>
      <c r="U634" s="664"/>
      <c r="V634" s="664"/>
      <c r="W634" s="664"/>
      <c r="X634" s="664"/>
      <c r="Y634" s="664"/>
      <c r="Z634" s="664"/>
    </row>
    <row r="635">
      <c r="A635" s="664"/>
      <c r="B635" s="664"/>
      <c r="C635" s="664"/>
      <c r="D635" s="664"/>
      <c r="E635" s="664"/>
      <c r="F635" s="664"/>
      <c r="G635" s="664"/>
      <c r="H635" s="664"/>
      <c r="I635" s="664"/>
      <c r="J635" s="664"/>
      <c r="K635" s="664"/>
      <c r="L635" s="664"/>
      <c r="M635" s="664"/>
      <c r="N635" s="664"/>
      <c r="O635" s="664"/>
      <c r="P635" s="664"/>
      <c r="Q635" s="664"/>
      <c r="R635" s="664"/>
      <c r="S635" s="664"/>
      <c r="T635" s="664"/>
      <c r="U635" s="664"/>
      <c r="V635" s="664"/>
      <c r="W635" s="664"/>
      <c r="X635" s="664"/>
      <c r="Y635" s="664"/>
      <c r="Z635" s="664"/>
    </row>
    <row r="636">
      <c r="A636" s="664"/>
      <c r="B636" s="664"/>
      <c r="C636" s="664"/>
      <c r="D636" s="664"/>
      <c r="E636" s="664"/>
      <c r="F636" s="664"/>
      <c r="G636" s="664"/>
      <c r="H636" s="664"/>
      <c r="I636" s="664"/>
      <c r="J636" s="664"/>
      <c r="K636" s="664"/>
      <c r="L636" s="664"/>
      <c r="M636" s="664"/>
      <c r="N636" s="664"/>
      <c r="O636" s="664"/>
      <c r="P636" s="664"/>
      <c r="Q636" s="664"/>
      <c r="R636" s="664"/>
      <c r="S636" s="664"/>
      <c r="T636" s="664"/>
      <c r="U636" s="664"/>
      <c r="V636" s="664"/>
      <c r="W636" s="664"/>
      <c r="X636" s="664"/>
      <c r="Y636" s="664"/>
      <c r="Z636" s="664"/>
    </row>
    <row r="637">
      <c r="A637" s="664"/>
      <c r="B637" s="664"/>
      <c r="C637" s="664"/>
      <c r="D637" s="664"/>
      <c r="E637" s="664"/>
      <c r="F637" s="664"/>
      <c r="G637" s="664"/>
      <c r="H637" s="664"/>
      <c r="I637" s="664"/>
      <c r="J637" s="664"/>
      <c r="K637" s="664"/>
      <c r="L637" s="664"/>
      <c r="M637" s="664"/>
      <c r="N637" s="664"/>
      <c r="O637" s="664"/>
      <c r="P637" s="664"/>
      <c r="Q637" s="664"/>
      <c r="R637" s="664"/>
      <c r="S637" s="664"/>
      <c r="T637" s="664"/>
      <c r="U637" s="664"/>
      <c r="V637" s="664"/>
      <c r="W637" s="664"/>
      <c r="X637" s="664"/>
      <c r="Y637" s="664"/>
      <c r="Z637" s="664"/>
    </row>
    <row r="638">
      <c r="A638" s="664"/>
      <c r="B638" s="664"/>
      <c r="C638" s="664"/>
      <c r="D638" s="664"/>
      <c r="E638" s="664"/>
      <c r="F638" s="664"/>
      <c r="G638" s="664"/>
      <c r="H638" s="664"/>
      <c r="I638" s="664"/>
      <c r="J638" s="664"/>
      <c r="K638" s="664"/>
      <c r="L638" s="664"/>
      <c r="M638" s="664"/>
      <c r="N638" s="664"/>
      <c r="O638" s="664"/>
      <c r="P638" s="664"/>
      <c r="Q638" s="664"/>
      <c r="R638" s="664"/>
      <c r="S638" s="664"/>
      <c r="T638" s="664"/>
      <c r="U638" s="664"/>
      <c r="V638" s="664"/>
      <c r="W638" s="664"/>
      <c r="X638" s="664"/>
      <c r="Y638" s="664"/>
      <c r="Z638" s="664"/>
    </row>
    <row r="639">
      <c r="A639" s="664"/>
      <c r="B639" s="664"/>
      <c r="C639" s="664"/>
      <c r="D639" s="664"/>
      <c r="E639" s="664"/>
      <c r="F639" s="664"/>
      <c r="G639" s="664"/>
      <c r="H639" s="664"/>
      <c r="I639" s="664"/>
      <c r="J639" s="664"/>
      <c r="K639" s="664"/>
      <c r="L639" s="664"/>
      <c r="M639" s="664"/>
      <c r="N639" s="664"/>
      <c r="O639" s="664"/>
      <c r="P639" s="664"/>
      <c r="Q639" s="664"/>
      <c r="R639" s="664"/>
      <c r="S639" s="664"/>
      <c r="T639" s="664"/>
      <c r="U639" s="664"/>
      <c r="V639" s="664"/>
      <c r="W639" s="664"/>
      <c r="X639" s="664"/>
      <c r="Y639" s="664"/>
      <c r="Z639" s="664"/>
    </row>
    <row r="640">
      <c r="A640" s="664"/>
      <c r="B640" s="664"/>
      <c r="C640" s="664"/>
      <c r="D640" s="664"/>
      <c r="E640" s="664"/>
      <c r="F640" s="664"/>
      <c r="G640" s="664"/>
      <c r="H640" s="664"/>
      <c r="I640" s="664"/>
      <c r="J640" s="664"/>
      <c r="K640" s="664"/>
      <c r="L640" s="664"/>
      <c r="M640" s="664"/>
      <c r="N640" s="664"/>
      <c r="O640" s="664"/>
      <c r="P640" s="664"/>
      <c r="Q640" s="664"/>
      <c r="R640" s="664"/>
      <c r="S640" s="664"/>
      <c r="T640" s="664"/>
      <c r="U640" s="664"/>
      <c r="V640" s="664"/>
      <c r="W640" s="664"/>
      <c r="X640" s="664"/>
      <c r="Y640" s="664"/>
      <c r="Z640" s="664"/>
    </row>
    <row r="641">
      <c r="A641" s="664"/>
      <c r="B641" s="664"/>
      <c r="C641" s="664"/>
      <c r="D641" s="664"/>
      <c r="E641" s="664"/>
      <c r="F641" s="664"/>
      <c r="G641" s="664"/>
      <c r="H641" s="664"/>
      <c r="I641" s="664"/>
      <c r="J641" s="664"/>
      <c r="K641" s="664"/>
      <c r="L641" s="664"/>
      <c r="M641" s="664"/>
      <c r="N641" s="664"/>
      <c r="O641" s="664"/>
      <c r="P641" s="664"/>
      <c r="Q641" s="664"/>
      <c r="R641" s="664"/>
      <c r="S641" s="664"/>
      <c r="T641" s="664"/>
      <c r="U641" s="664"/>
      <c r="V641" s="664"/>
      <c r="W641" s="664"/>
      <c r="X641" s="664"/>
      <c r="Y641" s="664"/>
      <c r="Z641" s="664"/>
    </row>
    <row r="642">
      <c r="A642" s="664"/>
      <c r="B642" s="664"/>
      <c r="C642" s="664"/>
      <c r="D642" s="664"/>
      <c r="E642" s="664"/>
      <c r="F642" s="664"/>
      <c r="G642" s="664"/>
      <c r="H642" s="664"/>
      <c r="I642" s="664"/>
      <c r="J642" s="664"/>
      <c r="K642" s="664"/>
      <c r="L642" s="664"/>
      <c r="M642" s="664"/>
      <c r="N642" s="664"/>
      <c r="O642" s="664"/>
      <c r="P642" s="664"/>
      <c r="Q642" s="664"/>
      <c r="R642" s="664"/>
      <c r="S642" s="664"/>
      <c r="T642" s="664"/>
      <c r="U642" s="664"/>
      <c r="V642" s="664"/>
      <c r="W642" s="664"/>
      <c r="X642" s="664"/>
      <c r="Y642" s="664"/>
      <c r="Z642" s="664"/>
    </row>
    <row r="643">
      <c r="A643" s="664"/>
      <c r="B643" s="664"/>
      <c r="C643" s="664"/>
      <c r="D643" s="664"/>
      <c r="E643" s="664"/>
      <c r="F643" s="664"/>
      <c r="G643" s="664"/>
      <c r="H643" s="664"/>
      <c r="I643" s="664"/>
      <c r="J643" s="664"/>
      <c r="K643" s="664"/>
      <c r="L643" s="664"/>
      <c r="M643" s="664"/>
      <c r="N643" s="664"/>
      <c r="O643" s="664"/>
      <c r="P643" s="664"/>
      <c r="Q643" s="664"/>
      <c r="R643" s="664"/>
      <c r="S643" s="664"/>
      <c r="T643" s="664"/>
      <c r="U643" s="664"/>
      <c r="V643" s="664"/>
      <c r="W643" s="664"/>
      <c r="X643" s="664"/>
      <c r="Y643" s="664"/>
      <c r="Z643" s="664"/>
    </row>
    <row r="644">
      <c r="A644" s="664"/>
      <c r="B644" s="664"/>
      <c r="C644" s="664"/>
      <c r="D644" s="664"/>
      <c r="E644" s="664"/>
      <c r="F644" s="664"/>
      <c r="G644" s="664"/>
      <c r="H644" s="664"/>
      <c r="I644" s="664"/>
      <c r="J644" s="664"/>
      <c r="K644" s="664"/>
      <c r="L644" s="664"/>
      <c r="M644" s="664"/>
      <c r="N644" s="664"/>
      <c r="O644" s="664"/>
      <c r="P644" s="664"/>
      <c r="Q644" s="664"/>
      <c r="R644" s="664"/>
      <c r="S644" s="664"/>
      <c r="T644" s="664"/>
      <c r="U644" s="664"/>
      <c r="V644" s="664"/>
      <c r="W644" s="664"/>
      <c r="X644" s="664"/>
      <c r="Y644" s="664"/>
      <c r="Z644" s="664"/>
    </row>
    <row r="645">
      <c r="A645" s="664"/>
      <c r="B645" s="664"/>
      <c r="C645" s="664"/>
      <c r="D645" s="664"/>
      <c r="E645" s="664"/>
      <c r="F645" s="664"/>
      <c r="G645" s="664"/>
      <c r="H645" s="664"/>
      <c r="I645" s="664"/>
      <c r="J645" s="664"/>
      <c r="K645" s="664"/>
      <c r="L645" s="664"/>
      <c r="M645" s="664"/>
      <c r="N645" s="664"/>
      <c r="O645" s="664"/>
      <c r="P645" s="664"/>
      <c r="Q645" s="664"/>
      <c r="R645" s="664"/>
      <c r="S645" s="664"/>
      <c r="T645" s="664"/>
      <c r="U645" s="664"/>
      <c r="V645" s="664"/>
      <c r="W645" s="664"/>
      <c r="X645" s="664"/>
      <c r="Y645" s="664"/>
      <c r="Z645" s="664"/>
    </row>
    <row r="646">
      <c r="A646" s="664"/>
      <c r="B646" s="664"/>
      <c r="C646" s="664"/>
      <c r="D646" s="664"/>
      <c r="E646" s="664"/>
      <c r="F646" s="664"/>
      <c r="G646" s="664"/>
      <c r="H646" s="664"/>
      <c r="I646" s="664"/>
      <c r="J646" s="664"/>
      <c r="K646" s="664"/>
      <c r="L646" s="664"/>
      <c r="M646" s="664"/>
      <c r="N646" s="664"/>
      <c r="O646" s="664"/>
      <c r="P646" s="664"/>
      <c r="Q646" s="664"/>
      <c r="R646" s="664"/>
      <c r="S646" s="664"/>
      <c r="T646" s="664"/>
      <c r="U646" s="664"/>
      <c r="V646" s="664"/>
      <c r="W646" s="664"/>
      <c r="X646" s="664"/>
      <c r="Y646" s="664"/>
      <c r="Z646" s="664"/>
    </row>
    <row r="647">
      <c r="A647" s="664"/>
      <c r="B647" s="664"/>
      <c r="C647" s="664"/>
      <c r="D647" s="664"/>
      <c r="E647" s="664"/>
      <c r="F647" s="664"/>
      <c r="G647" s="664"/>
      <c r="H647" s="664"/>
      <c r="I647" s="664"/>
      <c r="J647" s="664"/>
      <c r="K647" s="664"/>
      <c r="L647" s="664"/>
      <c r="M647" s="664"/>
      <c r="N647" s="664"/>
      <c r="O647" s="664"/>
      <c r="P647" s="664"/>
      <c r="Q647" s="664"/>
      <c r="R647" s="664"/>
      <c r="S647" s="664"/>
      <c r="T647" s="664"/>
      <c r="U647" s="664"/>
      <c r="V647" s="664"/>
      <c r="W647" s="664"/>
      <c r="X647" s="664"/>
      <c r="Y647" s="664"/>
      <c r="Z647" s="664"/>
    </row>
    <row r="648">
      <c r="A648" s="664"/>
      <c r="B648" s="664"/>
      <c r="C648" s="664"/>
      <c r="D648" s="664"/>
      <c r="E648" s="664"/>
      <c r="F648" s="664"/>
      <c r="G648" s="664"/>
      <c r="H648" s="664"/>
      <c r="I648" s="664"/>
      <c r="J648" s="664"/>
      <c r="K648" s="664"/>
      <c r="L648" s="664"/>
      <c r="M648" s="664"/>
      <c r="N648" s="664"/>
      <c r="O648" s="664"/>
      <c r="P648" s="664"/>
      <c r="Q648" s="664"/>
      <c r="R648" s="664"/>
      <c r="S648" s="664"/>
      <c r="T648" s="664"/>
      <c r="U648" s="664"/>
      <c r="V648" s="664"/>
      <c r="W648" s="664"/>
      <c r="X648" s="664"/>
      <c r="Y648" s="664"/>
      <c r="Z648" s="664"/>
    </row>
    <row r="649">
      <c r="A649" s="664"/>
      <c r="B649" s="664"/>
      <c r="C649" s="664"/>
      <c r="D649" s="664"/>
      <c r="E649" s="664"/>
      <c r="F649" s="664"/>
      <c r="G649" s="664"/>
      <c r="H649" s="664"/>
      <c r="I649" s="664"/>
      <c r="J649" s="664"/>
      <c r="K649" s="664"/>
      <c r="L649" s="664"/>
      <c r="M649" s="664"/>
      <c r="N649" s="664"/>
      <c r="O649" s="664"/>
      <c r="P649" s="664"/>
      <c r="Q649" s="664"/>
      <c r="R649" s="664"/>
      <c r="S649" s="664"/>
      <c r="T649" s="664"/>
      <c r="U649" s="664"/>
      <c r="V649" s="664"/>
      <c r="W649" s="664"/>
      <c r="X649" s="664"/>
      <c r="Y649" s="664"/>
      <c r="Z649" s="664"/>
    </row>
    <row r="650">
      <c r="A650" s="664"/>
      <c r="B650" s="664"/>
      <c r="C650" s="664"/>
      <c r="D650" s="664"/>
      <c r="E650" s="664"/>
      <c r="F650" s="664"/>
      <c r="G650" s="664"/>
      <c r="H650" s="664"/>
      <c r="I650" s="664"/>
      <c r="J650" s="664"/>
      <c r="K650" s="664"/>
      <c r="L650" s="664"/>
      <c r="M650" s="664"/>
      <c r="N650" s="664"/>
      <c r="O650" s="664"/>
      <c r="P650" s="664"/>
      <c r="Q650" s="664"/>
      <c r="R650" s="664"/>
      <c r="S650" s="664"/>
      <c r="T650" s="664"/>
      <c r="U650" s="664"/>
      <c r="V650" s="664"/>
      <c r="W650" s="664"/>
      <c r="X650" s="664"/>
      <c r="Y650" s="664"/>
      <c r="Z650" s="664"/>
    </row>
    <row r="651">
      <c r="A651" s="664"/>
      <c r="B651" s="664"/>
      <c r="C651" s="664"/>
      <c r="D651" s="664"/>
      <c r="E651" s="664"/>
      <c r="F651" s="664"/>
      <c r="G651" s="664"/>
      <c r="H651" s="664"/>
      <c r="I651" s="664"/>
      <c r="J651" s="664"/>
      <c r="K651" s="664"/>
      <c r="L651" s="664"/>
      <c r="M651" s="664"/>
      <c r="N651" s="664"/>
      <c r="O651" s="664"/>
      <c r="P651" s="664"/>
      <c r="Q651" s="664"/>
      <c r="R651" s="664"/>
      <c r="S651" s="664"/>
      <c r="T651" s="664"/>
      <c r="U651" s="664"/>
      <c r="V651" s="664"/>
      <c r="W651" s="664"/>
      <c r="X651" s="664"/>
      <c r="Y651" s="664"/>
      <c r="Z651" s="664"/>
    </row>
    <row r="652">
      <c r="A652" s="664"/>
      <c r="B652" s="664"/>
      <c r="C652" s="664"/>
      <c r="D652" s="664"/>
      <c r="E652" s="664"/>
      <c r="F652" s="664"/>
      <c r="G652" s="664"/>
      <c r="H652" s="664"/>
      <c r="I652" s="664"/>
      <c r="J652" s="664"/>
      <c r="K652" s="664"/>
      <c r="L652" s="664"/>
      <c r="M652" s="664"/>
      <c r="N652" s="664"/>
      <c r="O652" s="664"/>
      <c r="P652" s="664"/>
      <c r="Q652" s="664"/>
      <c r="R652" s="664"/>
      <c r="S652" s="664"/>
      <c r="T652" s="664"/>
      <c r="U652" s="664"/>
      <c r="V652" s="664"/>
      <c r="W652" s="664"/>
      <c r="X652" s="664"/>
      <c r="Y652" s="664"/>
      <c r="Z652" s="664"/>
    </row>
    <row r="653">
      <c r="A653" s="664"/>
      <c r="B653" s="664"/>
      <c r="C653" s="664"/>
      <c r="D653" s="664"/>
      <c r="E653" s="664"/>
      <c r="F653" s="664"/>
      <c r="G653" s="664"/>
      <c r="H653" s="664"/>
      <c r="I653" s="664"/>
      <c r="J653" s="664"/>
      <c r="K653" s="664"/>
      <c r="L653" s="664"/>
      <c r="M653" s="664"/>
      <c r="N653" s="664"/>
      <c r="O653" s="664"/>
      <c r="P653" s="664"/>
      <c r="Q653" s="664"/>
      <c r="R653" s="664"/>
      <c r="S653" s="664"/>
      <c r="T653" s="664"/>
      <c r="U653" s="664"/>
      <c r="V653" s="664"/>
      <c r="W653" s="664"/>
      <c r="X653" s="664"/>
      <c r="Y653" s="664"/>
      <c r="Z653" s="664"/>
    </row>
    <row r="654">
      <c r="A654" s="664"/>
      <c r="B654" s="664"/>
      <c r="C654" s="664"/>
      <c r="D654" s="664"/>
      <c r="E654" s="664"/>
      <c r="F654" s="664"/>
      <c r="G654" s="664"/>
      <c r="H654" s="664"/>
      <c r="I654" s="664"/>
      <c r="J654" s="664"/>
      <c r="K654" s="664"/>
      <c r="L654" s="664"/>
      <c r="M654" s="664"/>
      <c r="N654" s="664"/>
      <c r="O654" s="664"/>
      <c r="P654" s="664"/>
      <c r="Q654" s="664"/>
      <c r="R654" s="664"/>
      <c r="S654" s="664"/>
      <c r="T654" s="664"/>
      <c r="U654" s="664"/>
      <c r="V654" s="664"/>
      <c r="W654" s="664"/>
      <c r="X654" s="664"/>
      <c r="Y654" s="664"/>
      <c r="Z654" s="664"/>
    </row>
    <row r="655">
      <c r="A655" s="664"/>
      <c r="B655" s="664"/>
      <c r="C655" s="664"/>
      <c r="D655" s="664"/>
      <c r="E655" s="664"/>
      <c r="F655" s="664"/>
      <c r="G655" s="664"/>
      <c r="H655" s="664"/>
      <c r="I655" s="664"/>
      <c r="J655" s="664"/>
      <c r="K655" s="664"/>
      <c r="L655" s="664"/>
      <c r="M655" s="664"/>
      <c r="N655" s="664"/>
      <c r="O655" s="664"/>
      <c r="P655" s="664"/>
      <c r="Q655" s="664"/>
      <c r="R655" s="664"/>
      <c r="S655" s="664"/>
      <c r="T655" s="664"/>
      <c r="U655" s="664"/>
      <c r="V655" s="664"/>
      <c r="W655" s="664"/>
      <c r="X655" s="664"/>
      <c r="Y655" s="664"/>
      <c r="Z655" s="664"/>
    </row>
    <row r="656">
      <c r="A656" s="664"/>
      <c r="B656" s="664"/>
      <c r="C656" s="664"/>
      <c r="D656" s="664"/>
      <c r="E656" s="664"/>
      <c r="F656" s="664"/>
      <c r="G656" s="664"/>
      <c r="H656" s="664"/>
      <c r="I656" s="664"/>
      <c r="J656" s="664"/>
      <c r="K656" s="664"/>
      <c r="L656" s="664"/>
      <c r="M656" s="664"/>
      <c r="N656" s="664"/>
      <c r="O656" s="664"/>
      <c r="P656" s="664"/>
      <c r="Q656" s="664"/>
      <c r="R656" s="664"/>
      <c r="S656" s="664"/>
      <c r="T656" s="664"/>
      <c r="U656" s="664"/>
      <c r="V656" s="664"/>
      <c r="W656" s="664"/>
      <c r="X656" s="664"/>
      <c r="Y656" s="664"/>
      <c r="Z656" s="664"/>
    </row>
    <row r="657">
      <c r="A657" s="664"/>
      <c r="B657" s="664"/>
      <c r="C657" s="664"/>
      <c r="D657" s="664"/>
      <c r="E657" s="664"/>
      <c r="F657" s="664"/>
      <c r="G657" s="664"/>
      <c r="H657" s="664"/>
      <c r="I657" s="664"/>
      <c r="J657" s="664"/>
      <c r="K657" s="664"/>
      <c r="L657" s="664"/>
      <c r="M657" s="664"/>
      <c r="N657" s="664"/>
      <c r="O657" s="664"/>
      <c r="P657" s="664"/>
      <c r="Q657" s="664"/>
      <c r="R657" s="664"/>
      <c r="S657" s="664"/>
      <c r="T657" s="664"/>
      <c r="U657" s="664"/>
      <c r="V657" s="664"/>
      <c r="W657" s="664"/>
      <c r="X657" s="664"/>
      <c r="Y657" s="664"/>
      <c r="Z657" s="664"/>
    </row>
    <row r="658">
      <c r="A658" s="664"/>
      <c r="B658" s="664"/>
      <c r="C658" s="664"/>
      <c r="D658" s="664"/>
      <c r="E658" s="664"/>
      <c r="F658" s="664"/>
      <c r="G658" s="664"/>
      <c r="H658" s="664"/>
      <c r="I658" s="664"/>
      <c r="J658" s="664"/>
      <c r="K658" s="664"/>
      <c r="L658" s="664"/>
      <c r="M658" s="664"/>
      <c r="N658" s="664"/>
      <c r="O658" s="664"/>
      <c r="P658" s="664"/>
      <c r="Q658" s="664"/>
      <c r="R658" s="664"/>
      <c r="S658" s="664"/>
      <c r="T658" s="664"/>
      <c r="U658" s="664"/>
      <c r="V658" s="664"/>
      <c r="W658" s="664"/>
      <c r="X658" s="664"/>
      <c r="Y658" s="664"/>
      <c r="Z658" s="664"/>
    </row>
    <row r="659">
      <c r="A659" s="664"/>
      <c r="B659" s="664"/>
      <c r="C659" s="664"/>
      <c r="D659" s="664"/>
      <c r="E659" s="664"/>
      <c r="F659" s="664"/>
      <c r="G659" s="664"/>
      <c r="H659" s="664"/>
      <c r="I659" s="664"/>
      <c r="J659" s="664"/>
      <c r="K659" s="664"/>
      <c r="L659" s="664"/>
      <c r="M659" s="664"/>
      <c r="N659" s="664"/>
      <c r="O659" s="664"/>
      <c r="P659" s="664"/>
      <c r="Q659" s="664"/>
      <c r="R659" s="664"/>
      <c r="S659" s="664"/>
      <c r="T659" s="664"/>
      <c r="U659" s="664"/>
      <c r="V659" s="664"/>
      <c r="W659" s="664"/>
      <c r="X659" s="664"/>
      <c r="Y659" s="664"/>
      <c r="Z659" s="664"/>
    </row>
    <row r="660">
      <c r="A660" s="664"/>
      <c r="B660" s="664"/>
      <c r="C660" s="664"/>
      <c r="D660" s="664"/>
      <c r="E660" s="664"/>
      <c r="F660" s="664"/>
      <c r="G660" s="664"/>
      <c r="H660" s="664"/>
      <c r="I660" s="664"/>
      <c r="J660" s="664"/>
      <c r="K660" s="664"/>
      <c r="L660" s="664"/>
      <c r="M660" s="664"/>
      <c r="N660" s="664"/>
      <c r="O660" s="664"/>
      <c r="P660" s="664"/>
      <c r="Q660" s="664"/>
      <c r="R660" s="664"/>
      <c r="S660" s="664"/>
      <c r="T660" s="664"/>
      <c r="U660" s="664"/>
      <c r="V660" s="664"/>
      <c r="W660" s="664"/>
      <c r="X660" s="664"/>
      <c r="Y660" s="664"/>
      <c r="Z660" s="664"/>
    </row>
    <row r="661">
      <c r="A661" s="664"/>
      <c r="B661" s="664"/>
      <c r="C661" s="664"/>
      <c r="D661" s="664"/>
      <c r="E661" s="664"/>
      <c r="F661" s="664"/>
      <c r="G661" s="664"/>
      <c r="H661" s="664"/>
      <c r="I661" s="664"/>
      <c r="J661" s="664"/>
      <c r="K661" s="664"/>
      <c r="L661" s="664"/>
      <c r="M661" s="664"/>
      <c r="N661" s="664"/>
      <c r="O661" s="664"/>
      <c r="P661" s="664"/>
      <c r="Q661" s="664"/>
      <c r="R661" s="664"/>
      <c r="S661" s="664"/>
      <c r="T661" s="664"/>
      <c r="U661" s="664"/>
      <c r="V661" s="664"/>
      <c r="W661" s="664"/>
      <c r="X661" s="664"/>
      <c r="Y661" s="664"/>
      <c r="Z661" s="664"/>
    </row>
    <row r="662">
      <c r="A662" s="664"/>
      <c r="B662" s="664"/>
      <c r="C662" s="664"/>
      <c r="D662" s="664"/>
      <c r="E662" s="664"/>
      <c r="F662" s="664"/>
      <c r="G662" s="664"/>
      <c r="H662" s="664"/>
      <c r="I662" s="664"/>
      <c r="J662" s="664"/>
      <c r="K662" s="664"/>
      <c r="L662" s="664"/>
      <c r="M662" s="664"/>
      <c r="N662" s="664"/>
      <c r="O662" s="664"/>
      <c r="P662" s="664"/>
      <c r="Q662" s="664"/>
      <c r="R662" s="664"/>
      <c r="S662" s="664"/>
      <c r="T662" s="664"/>
      <c r="U662" s="664"/>
      <c r="V662" s="664"/>
      <c r="W662" s="664"/>
      <c r="X662" s="664"/>
      <c r="Y662" s="664"/>
      <c r="Z662" s="664"/>
    </row>
    <row r="663">
      <c r="A663" s="664"/>
      <c r="B663" s="664"/>
      <c r="C663" s="664"/>
      <c r="D663" s="664"/>
      <c r="E663" s="664"/>
      <c r="F663" s="664"/>
      <c r="G663" s="664"/>
      <c r="H663" s="664"/>
      <c r="I663" s="664"/>
      <c r="J663" s="664"/>
      <c r="K663" s="664"/>
      <c r="L663" s="664"/>
      <c r="M663" s="664"/>
      <c r="N663" s="664"/>
      <c r="O663" s="664"/>
      <c r="P663" s="664"/>
      <c r="Q663" s="664"/>
      <c r="R663" s="664"/>
      <c r="S663" s="664"/>
      <c r="T663" s="664"/>
      <c r="U663" s="664"/>
      <c r="V663" s="664"/>
      <c r="W663" s="664"/>
      <c r="X663" s="664"/>
      <c r="Y663" s="664"/>
      <c r="Z663" s="664"/>
    </row>
    <row r="664">
      <c r="A664" s="664"/>
      <c r="B664" s="664"/>
      <c r="C664" s="664"/>
      <c r="D664" s="664"/>
      <c r="E664" s="664"/>
      <c r="F664" s="664"/>
      <c r="G664" s="664"/>
      <c r="H664" s="664"/>
      <c r="I664" s="664"/>
      <c r="J664" s="664"/>
      <c r="K664" s="664"/>
      <c r="L664" s="664"/>
      <c r="M664" s="664"/>
      <c r="N664" s="664"/>
      <c r="O664" s="664"/>
      <c r="P664" s="664"/>
      <c r="Q664" s="664"/>
      <c r="R664" s="664"/>
      <c r="S664" s="664"/>
      <c r="T664" s="664"/>
      <c r="U664" s="664"/>
      <c r="V664" s="664"/>
      <c r="W664" s="664"/>
      <c r="X664" s="664"/>
      <c r="Y664" s="664"/>
      <c r="Z664" s="664"/>
    </row>
    <row r="665">
      <c r="A665" s="664"/>
      <c r="B665" s="664"/>
      <c r="C665" s="664"/>
      <c r="D665" s="664"/>
      <c r="E665" s="664"/>
      <c r="F665" s="664"/>
      <c r="G665" s="664"/>
      <c r="H665" s="664"/>
      <c r="I665" s="664"/>
      <c r="J665" s="664"/>
      <c r="K665" s="664"/>
      <c r="L665" s="664"/>
      <c r="M665" s="664"/>
      <c r="N665" s="664"/>
      <c r="O665" s="664"/>
      <c r="P665" s="664"/>
      <c r="Q665" s="664"/>
      <c r="R665" s="664"/>
      <c r="S665" s="664"/>
      <c r="T665" s="664"/>
      <c r="U665" s="664"/>
      <c r="V665" s="664"/>
      <c r="W665" s="664"/>
      <c r="X665" s="664"/>
      <c r="Y665" s="664"/>
      <c r="Z665" s="664"/>
    </row>
    <row r="666">
      <c r="A666" s="664"/>
      <c r="B666" s="664"/>
      <c r="C666" s="664"/>
      <c r="D666" s="664"/>
      <c r="E666" s="664"/>
      <c r="F666" s="664"/>
      <c r="G666" s="664"/>
      <c r="H666" s="664"/>
      <c r="I666" s="664"/>
      <c r="J666" s="664"/>
      <c r="K666" s="664"/>
      <c r="L666" s="664"/>
      <c r="M666" s="664"/>
      <c r="N666" s="664"/>
      <c r="O666" s="664"/>
      <c r="P666" s="664"/>
      <c r="Q666" s="664"/>
      <c r="R666" s="664"/>
      <c r="S666" s="664"/>
      <c r="T666" s="664"/>
      <c r="U666" s="664"/>
      <c r="V666" s="664"/>
      <c r="W666" s="664"/>
      <c r="X666" s="664"/>
      <c r="Y666" s="664"/>
      <c r="Z666" s="664"/>
    </row>
    <row r="667">
      <c r="A667" s="664"/>
      <c r="B667" s="664"/>
      <c r="C667" s="664"/>
      <c r="D667" s="664"/>
      <c r="E667" s="664"/>
      <c r="F667" s="664"/>
      <c r="G667" s="664"/>
      <c r="H667" s="664"/>
      <c r="I667" s="664"/>
      <c r="J667" s="664"/>
      <c r="K667" s="664"/>
      <c r="L667" s="664"/>
      <c r="M667" s="664"/>
      <c r="N667" s="664"/>
      <c r="O667" s="664"/>
      <c r="P667" s="664"/>
      <c r="Q667" s="664"/>
      <c r="R667" s="664"/>
      <c r="S667" s="664"/>
      <c r="T667" s="664"/>
      <c r="U667" s="664"/>
      <c r="V667" s="664"/>
      <c r="W667" s="664"/>
      <c r="X667" s="664"/>
      <c r="Y667" s="664"/>
      <c r="Z667" s="664"/>
    </row>
    <row r="668">
      <c r="A668" s="664"/>
      <c r="B668" s="664"/>
      <c r="C668" s="664"/>
      <c r="D668" s="664"/>
      <c r="E668" s="664"/>
      <c r="F668" s="664"/>
      <c r="G668" s="664"/>
      <c r="H668" s="664"/>
      <c r="I668" s="664"/>
      <c r="J668" s="664"/>
      <c r="K668" s="664"/>
      <c r="L668" s="664"/>
      <c r="M668" s="664"/>
      <c r="N668" s="664"/>
      <c r="O668" s="664"/>
      <c r="P668" s="664"/>
      <c r="Q668" s="664"/>
      <c r="R668" s="664"/>
      <c r="S668" s="664"/>
      <c r="T668" s="664"/>
      <c r="U668" s="664"/>
      <c r="V668" s="664"/>
      <c r="W668" s="664"/>
      <c r="X668" s="664"/>
      <c r="Y668" s="664"/>
      <c r="Z668" s="664"/>
    </row>
    <row r="669">
      <c r="A669" s="664"/>
      <c r="B669" s="664"/>
      <c r="C669" s="664"/>
      <c r="D669" s="664"/>
      <c r="E669" s="664"/>
      <c r="F669" s="664"/>
      <c r="G669" s="664"/>
      <c r="H669" s="664"/>
      <c r="I669" s="664"/>
      <c r="J669" s="664"/>
      <c r="K669" s="664"/>
      <c r="L669" s="664"/>
      <c r="M669" s="664"/>
      <c r="N669" s="664"/>
      <c r="O669" s="664"/>
      <c r="P669" s="664"/>
      <c r="Q669" s="664"/>
      <c r="R669" s="664"/>
      <c r="S669" s="664"/>
      <c r="T669" s="664"/>
      <c r="U669" s="664"/>
      <c r="V669" s="664"/>
      <c r="W669" s="664"/>
      <c r="X669" s="664"/>
      <c r="Y669" s="664"/>
      <c r="Z669" s="664"/>
    </row>
    <row r="670">
      <c r="A670" s="664"/>
      <c r="B670" s="664"/>
      <c r="C670" s="664"/>
      <c r="D670" s="664"/>
      <c r="E670" s="664"/>
      <c r="F670" s="664"/>
      <c r="G670" s="664"/>
      <c r="H670" s="664"/>
      <c r="I670" s="664"/>
      <c r="J670" s="664"/>
      <c r="K670" s="664"/>
      <c r="L670" s="664"/>
      <c r="M670" s="664"/>
      <c r="N670" s="664"/>
      <c r="O670" s="664"/>
      <c r="P670" s="664"/>
      <c r="Q670" s="664"/>
      <c r="R670" s="664"/>
      <c r="S670" s="664"/>
      <c r="T670" s="664"/>
      <c r="U670" s="664"/>
      <c r="V670" s="664"/>
      <c r="W670" s="664"/>
      <c r="X670" s="664"/>
      <c r="Y670" s="664"/>
      <c r="Z670" s="664"/>
    </row>
    <row r="671">
      <c r="A671" s="664"/>
      <c r="B671" s="664"/>
      <c r="C671" s="664"/>
      <c r="D671" s="664"/>
      <c r="E671" s="664"/>
      <c r="F671" s="664"/>
      <c r="G671" s="664"/>
      <c r="H671" s="664"/>
      <c r="I671" s="664"/>
      <c r="J671" s="664"/>
      <c r="K671" s="664"/>
      <c r="L671" s="664"/>
      <c r="M671" s="664"/>
      <c r="N671" s="664"/>
      <c r="O671" s="664"/>
      <c r="P671" s="664"/>
      <c r="Q671" s="664"/>
      <c r="R671" s="664"/>
      <c r="S671" s="664"/>
      <c r="T671" s="664"/>
      <c r="U671" s="664"/>
      <c r="V671" s="664"/>
      <c r="W671" s="664"/>
      <c r="X671" s="664"/>
      <c r="Y671" s="664"/>
      <c r="Z671" s="664"/>
    </row>
    <row r="672">
      <c r="A672" s="664"/>
      <c r="B672" s="664"/>
      <c r="C672" s="664"/>
      <c r="D672" s="664"/>
      <c r="E672" s="664"/>
      <c r="F672" s="664"/>
      <c r="G672" s="664"/>
      <c r="H672" s="664"/>
      <c r="I672" s="664"/>
      <c r="J672" s="664"/>
      <c r="K672" s="664"/>
      <c r="L672" s="664"/>
      <c r="M672" s="664"/>
      <c r="N672" s="664"/>
      <c r="O672" s="664"/>
      <c r="P672" s="664"/>
      <c r="Q672" s="664"/>
      <c r="R672" s="664"/>
      <c r="S672" s="664"/>
      <c r="T672" s="664"/>
      <c r="U672" s="664"/>
      <c r="V672" s="664"/>
      <c r="W672" s="664"/>
      <c r="X672" s="664"/>
      <c r="Y672" s="664"/>
      <c r="Z672" s="664"/>
    </row>
    <row r="673">
      <c r="A673" s="664"/>
      <c r="B673" s="664"/>
      <c r="C673" s="664"/>
      <c r="D673" s="664"/>
      <c r="E673" s="664"/>
      <c r="F673" s="664"/>
      <c r="G673" s="664"/>
      <c r="H673" s="664"/>
      <c r="I673" s="664"/>
      <c r="J673" s="664"/>
      <c r="K673" s="664"/>
      <c r="L673" s="664"/>
      <c r="M673" s="664"/>
      <c r="N673" s="664"/>
      <c r="O673" s="664"/>
      <c r="P673" s="664"/>
      <c r="Q673" s="664"/>
      <c r="R673" s="664"/>
      <c r="S673" s="664"/>
      <c r="T673" s="664"/>
      <c r="U673" s="664"/>
      <c r="V673" s="664"/>
      <c r="W673" s="664"/>
      <c r="X673" s="664"/>
      <c r="Y673" s="664"/>
      <c r="Z673" s="664"/>
    </row>
    <row r="674">
      <c r="A674" s="664"/>
      <c r="B674" s="664"/>
      <c r="C674" s="664"/>
      <c r="D674" s="664"/>
      <c r="E674" s="664"/>
      <c r="F674" s="664"/>
      <c r="G674" s="664"/>
      <c r="H674" s="664"/>
      <c r="I674" s="664"/>
      <c r="J674" s="664"/>
      <c r="K674" s="664"/>
      <c r="L674" s="664"/>
      <c r="M674" s="664"/>
      <c r="N674" s="664"/>
      <c r="O674" s="664"/>
      <c r="P674" s="664"/>
      <c r="Q674" s="664"/>
      <c r="R674" s="664"/>
      <c r="S674" s="664"/>
      <c r="T674" s="664"/>
      <c r="U674" s="664"/>
      <c r="V674" s="664"/>
      <c r="W674" s="664"/>
      <c r="X674" s="664"/>
      <c r="Y674" s="664"/>
      <c r="Z674" s="664"/>
    </row>
    <row r="675">
      <c r="A675" s="664"/>
      <c r="B675" s="664"/>
      <c r="C675" s="664"/>
      <c r="D675" s="664"/>
      <c r="E675" s="664"/>
      <c r="F675" s="664"/>
      <c r="G675" s="664"/>
      <c r="H675" s="664"/>
      <c r="I675" s="664"/>
      <c r="J675" s="664"/>
      <c r="K675" s="664"/>
      <c r="L675" s="664"/>
      <c r="M675" s="664"/>
      <c r="N675" s="664"/>
      <c r="O675" s="664"/>
      <c r="P675" s="664"/>
      <c r="Q675" s="664"/>
      <c r="R675" s="664"/>
      <c r="S675" s="664"/>
      <c r="T675" s="664"/>
      <c r="U675" s="664"/>
      <c r="V675" s="664"/>
      <c r="W675" s="664"/>
      <c r="X675" s="664"/>
      <c r="Y675" s="664"/>
      <c r="Z675" s="664"/>
    </row>
    <row r="676">
      <c r="A676" s="664"/>
      <c r="B676" s="664"/>
      <c r="C676" s="664"/>
      <c r="D676" s="664"/>
      <c r="E676" s="664"/>
      <c r="F676" s="664"/>
      <c r="G676" s="664"/>
      <c r="H676" s="664"/>
      <c r="I676" s="664"/>
      <c r="J676" s="664"/>
      <c r="K676" s="664"/>
      <c r="L676" s="664"/>
      <c r="M676" s="664"/>
      <c r="N676" s="664"/>
      <c r="O676" s="664"/>
      <c r="P676" s="664"/>
      <c r="Q676" s="664"/>
      <c r="R676" s="664"/>
      <c r="S676" s="664"/>
      <c r="T676" s="664"/>
      <c r="U676" s="664"/>
      <c r="V676" s="664"/>
      <c r="W676" s="664"/>
      <c r="X676" s="664"/>
      <c r="Y676" s="664"/>
      <c r="Z676" s="664"/>
    </row>
    <row r="677">
      <c r="A677" s="664"/>
      <c r="B677" s="664"/>
      <c r="C677" s="664"/>
      <c r="D677" s="664"/>
      <c r="E677" s="664"/>
      <c r="F677" s="664"/>
      <c r="G677" s="664"/>
      <c r="H677" s="664"/>
      <c r="I677" s="664"/>
      <c r="J677" s="664"/>
      <c r="K677" s="664"/>
      <c r="L677" s="664"/>
      <c r="M677" s="664"/>
      <c r="N677" s="664"/>
      <c r="O677" s="664"/>
      <c r="P677" s="664"/>
      <c r="Q677" s="664"/>
      <c r="R677" s="664"/>
      <c r="S677" s="664"/>
      <c r="T677" s="664"/>
      <c r="U677" s="664"/>
      <c r="V677" s="664"/>
      <c r="W677" s="664"/>
      <c r="X677" s="664"/>
      <c r="Y677" s="664"/>
      <c r="Z677" s="664"/>
    </row>
    <row r="678">
      <c r="A678" s="664"/>
      <c r="B678" s="664"/>
      <c r="C678" s="664"/>
      <c r="D678" s="664"/>
      <c r="E678" s="664"/>
      <c r="F678" s="664"/>
      <c r="G678" s="664"/>
      <c r="H678" s="664"/>
      <c r="I678" s="664"/>
      <c r="J678" s="664"/>
      <c r="K678" s="664"/>
      <c r="L678" s="664"/>
      <c r="M678" s="664"/>
      <c r="N678" s="664"/>
      <c r="O678" s="664"/>
      <c r="P678" s="664"/>
      <c r="Q678" s="664"/>
      <c r="R678" s="664"/>
      <c r="S678" s="664"/>
      <c r="T678" s="664"/>
      <c r="U678" s="664"/>
      <c r="V678" s="664"/>
      <c r="W678" s="664"/>
      <c r="X678" s="664"/>
      <c r="Y678" s="664"/>
      <c r="Z678" s="664"/>
    </row>
    <row r="679">
      <c r="A679" s="664"/>
      <c r="B679" s="664"/>
      <c r="C679" s="664"/>
      <c r="D679" s="664"/>
      <c r="E679" s="664"/>
      <c r="F679" s="664"/>
      <c r="G679" s="664"/>
      <c r="H679" s="664"/>
      <c r="I679" s="664"/>
      <c r="J679" s="664"/>
      <c r="K679" s="664"/>
      <c r="L679" s="664"/>
      <c r="M679" s="664"/>
      <c r="N679" s="664"/>
      <c r="O679" s="664"/>
      <c r="P679" s="664"/>
      <c r="Q679" s="664"/>
      <c r="R679" s="664"/>
      <c r="S679" s="664"/>
      <c r="T679" s="664"/>
      <c r="U679" s="664"/>
      <c r="V679" s="664"/>
      <c r="W679" s="664"/>
      <c r="X679" s="664"/>
      <c r="Y679" s="664"/>
      <c r="Z679" s="664"/>
    </row>
    <row r="680">
      <c r="A680" s="664"/>
      <c r="B680" s="664"/>
      <c r="C680" s="664"/>
      <c r="D680" s="664"/>
      <c r="E680" s="664"/>
      <c r="F680" s="664"/>
      <c r="G680" s="664"/>
      <c r="H680" s="664"/>
      <c r="I680" s="664"/>
      <c r="J680" s="664"/>
      <c r="K680" s="664"/>
      <c r="L680" s="664"/>
      <c r="M680" s="664"/>
      <c r="N680" s="664"/>
      <c r="O680" s="664"/>
      <c r="P680" s="664"/>
      <c r="Q680" s="664"/>
      <c r="R680" s="664"/>
      <c r="S680" s="664"/>
      <c r="T680" s="664"/>
      <c r="U680" s="664"/>
      <c r="V680" s="664"/>
      <c r="W680" s="664"/>
      <c r="X680" s="664"/>
      <c r="Y680" s="664"/>
      <c r="Z680" s="664"/>
    </row>
    <row r="681">
      <c r="A681" s="664"/>
      <c r="B681" s="664"/>
      <c r="C681" s="664"/>
      <c r="D681" s="664"/>
      <c r="E681" s="664"/>
      <c r="F681" s="664"/>
      <c r="G681" s="664"/>
      <c r="H681" s="664"/>
      <c r="I681" s="664"/>
      <c r="J681" s="664"/>
      <c r="K681" s="664"/>
      <c r="L681" s="664"/>
      <c r="M681" s="664"/>
      <c r="N681" s="664"/>
      <c r="O681" s="664"/>
      <c r="P681" s="664"/>
      <c r="Q681" s="664"/>
      <c r="R681" s="664"/>
      <c r="S681" s="664"/>
      <c r="T681" s="664"/>
      <c r="U681" s="664"/>
      <c r="V681" s="664"/>
      <c r="W681" s="664"/>
      <c r="X681" s="664"/>
      <c r="Y681" s="664"/>
      <c r="Z681" s="664"/>
    </row>
    <row r="682">
      <c r="A682" s="664"/>
      <c r="B682" s="664"/>
      <c r="C682" s="664"/>
      <c r="D682" s="664"/>
      <c r="E682" s="664"/>
      <c r="F682" s="664"/>
      <c r="G682" s="664"/>
      <c r="H682" s="664"/>
      <c r="I682" s="664"/>
      <c r="J682" s="664"/>
      <c r="K682" s="664"/>
      <c r="L682" s="664"/>
      <c r="M682" s="664"/>
      <c r="N682" s="664"/>
      <c r="O682" s="664"/>
      <c r="P682" s="664"/>
      <c r="Q682" s="664"/>
      <c r="R682" s="664"/>
      <c r="S682" s="664"/>
      <c r="T682" s="664"/>
      <c r="U682" s="664"/>
      <c r="V682" s="664"/>
      <c r="W682" s="664"/>
      <c r="X682" s="664"/>
      <c r="Y682" s="664"/>
      <c r="Z682" s="664"/>
    </row>
    <row r="683">
      <c r="A683" s="664"/>
      <c r="B683" s="664"/>
      <c r="C683" s="664"/>
      <c r="D683" s="664"/>
      <c r="E683" s="664"/>
      <c r="F683" s="664"/>
      <c r="G683" s="664"/>
      <c r="H683" s="664"/>
      <c r="I683" s="664"/>
      <c r="J683" s="664"/>
      <c r="K683" s="664"/>
      <c r="L683" s="664"/>
      <c r="M683" s="664"/>
      <c r="N683" s="664"/>
      <c r="O683" s="664"/>
      <c r="P683" s="664"/>
      <c r="Q683" s="664"/>
      <c r="R683" s="664"/>
      <c r="S683" s="664"/>
      <c r="T683" s="664"/>
      <c r="U683" s="664"/>
      <c r="V683" s="664"/>
      <c r="W683" s="664"/>
      <c r="X683" s="664"/>
      <c r="Y683" s="664"/>
      <c r="Z683" s="664"/>
    </row>
    <row r="684">
      <c r="A684" s="664"/>
      <c r="B684" s="664"/>
      <c r="C684" s="664"/>
      <c r="D684" s="664"/>
      <c r="E684" s="664"/>
      <c r="F684" s="664"/>
      <c r="G684" s="664"/>
      <c r="H684" s="664"/>
      <c r="I684" s="664"/>
      <c r="J684" s="664"/>
      <c r="K684" s="664"/>
      <c r="L684" s="664"/>
      <c r="M684" s="664"/>
      <c r="N684" s="664"/>
      <c r="O684" s="664"/>
      <c r="P684" s="664"/>
      <c r="Q684" s="664"/>
      <c r="R684" s="664"/>
      <c r="S684" s="664"/>
      <c r="T684" s="664"/>
      <c r="U684" s="664"/>
      <c r="V684" s="664"/>
      <c r="W684" s="664"/>
      <c r="X684" s="664"/>
      <c r="Y684" s="664"/>
      <c r="Z684" s="664"/>
    </row>
    <row r="685">
      <c r="A685" s="664"/>
      <c r="B685" s="664"/>
      <c r="C685" s="664"/>
      <c r="D685" s="664"/>
      <c r="E685" s="664"/>
      <c r="F685" s="664"/>
      <c r="G685" s="664"/>
      <c r="H685" s="664"/>
      <c r="I685" s="664"/>
      <c r="J685" s="664"/>
      <c r="K685" s="664"/>
      <c r="L685" s="664"/>
      <c r="M685" s="664"/>
      <c r="N685" s="664"/>
      <c r="O685" s="664"/>
      <c r="P685" s="664"/>
      <c r="Q685" s="664"/>
      <c r="R685" s="664"/>
      <c r="S685" s="664"/>
      <c r="T685" s="664"/>
      <c r="U685" s="664"/>
      <c r="V685" s="664"/>
      <c r="W685" s="664"/>
      <c r="X685" s="664"/>
      <c r="Y685" s="664"/>
      <c r="Z685" s="664"/>
    </row>
    <row r="686">
      <c r="A686" s="664"/>
      <c r="B686" s="664"/>
      <c r="C686" s="664"/>
      <c r="D686" s="664"/>
      <c r="E686" s="664"/>
      <c r="F686" s="664"/>
      <c r="G686" s="664"/>
      <c r="H686" s="664"/>
      <c r="I686" s="664"/>
      <c r="J686" s="664"/>
      <c r="K686" s="664"/>
      <c r="L686" s="664"/>
      <c r="M686" s="664"/>
      <c r="N686" s="664"/>
      <c r="O686" s="664"/>
      <c r="P686" s="664"/>
      <c r="Q686" s="664"/>
      <c r="R686" s="664"/>
      <c r="S686" s="664"/>
      <c r="T686" s="664"/>
      <c r="U686" s="664"/>
      <c r="V686" s="664"/>
      <c r="W686" s="664"/>
      <c r="X686" s="664"/>
      <c r="Y686" s="664"/>
      <c r="Z686" s="664"/>
    </row>
    <row r="687">
      <c r="A687" s="664"/>
      <c r="B687" s="664"/>
      <c r="C687" s="664"/>
      <c r="D687" s="664"/>
      <c r="E687" s="664"/>
      <c r="F687" s="664"/>
      <c r="G687" s="664"/>
      <c r="H687" s="664"/>
      <c r="I687" s="664"/>
      <c r="J687" s="664"/>
      <c r="K687" s="664"/>
      <c r="L687" s="664"/>
      <c r="M687" s="664"/>
      <c r="N687" s="664"/>
      <c r="O687" s="664"/>
      <c r="P687" s="664"/>
      <c r="Q687" s="664"/>
      <c r="R687" s="664"/>
      <c r="S687" s="664"/>
      <c r="T687" s="664"/>
      <c r="U687" s="664"/>
      <c r="V687" s="664"/>
      <c r="W687" s="664"/>
      <c r="X687" s="664"/>
      <c r="Y687" s="664"/>
      <c r="Z687" s="664"/>
    </row>
    <row r="688">
      <c r="A688" s="664"/>
      <c r="B688" s="664"/>
      <c r="C688" s="664"/>
      <c r="D688" s="664"/>
      <c r="E688" s="664"/>
      <c r="F688" s="664"/>
      <c r="G688" s="664"/>
      <c r="H688" s="664"/>
      <c r="I688" s="664"/>
      <c r="J688" s="664"/>
      <c r="K688" s="664"/>
      <c r="L688" s="664"/>
      <c r="M688" s="664"/>
      <c r="N688" s="664"/>
      <c r="O688" s="664"/>
      <c r="P688" s="664"/>
      <c r="Q688" s="664"/>
      <c r="R688" s="664"/>
      <c r="S688" s="664"/>
      <c r="T688" s="664"/>
      <c r="U688" s="664"/>
      <c r="V688" s="664"/>
      <c r="W688" s="664"/>
      <c r="X688" s="664"/>
      <c r="Y688" s="664"/>
      <c r="Z688" s="664"/>
    </row>
    <row r="689">
      <c r="A689" s="664"/>
      <c r="B689" s="664"/>
      <c r="C689" s="664"/>
      <c r="D689" s="664"/>
      <c r="E689" s="664"/>
      <c r="F689" s="664"/>
      <c r="G689" s="664"/>
      <c r="H689" s="664"/>
      <c r="I689" s="664"/>
      <c r="J689" s="664"/>
      <c r="K689" s="664"/>
      <c r="L689" s="664"/>
      <c r="M689" s="664"/>
      <c r="N689" s="664"/>
      <c r="O689" s="664"/>
      <c r="P689" s="664"/>
      <c r="Q689" s="664"/>
      <c r="R689" s="664"/>
      <c r="S689" s="664"/>
      <c r="T689" s="664"/>
      <c r="U689" s="664"/>
      <c r="V689" s="664"/>
      <c r="W689" s="664"/>
      <c r="X689" s="664"/>
      <c r="Y689" s="664"/>
      <c r="Z689" s="664"/>
    </row>
    <row r="690">
      <c r="A690" s="664"/>
      <c r="B690" s="664"/>
      <c r="C690" s="664"/>
      <c r="D690" s="664"/>
      <c r="E690" s="664"/>
      <c r="F690" s="664"/>
      <c r="G690" s="664"/>
      <c r="H690" s="664"/>
      <c r="I690" s="664"/>
      <c r="J690" s="664"/>
      <c r="K690" s="664"/>
      <c r="L690" s="664"/>
      <c r="M690" s="664"/>
      <c r="N690" s="664"/>
      <c r="O690" s="664"/>
      <c r="P690" s="664"/>
      <c r="Q690" s="664"/>
      <c r="R690" s="664"/>
      <c r="S690" s="664"/>
      <c r="T690" s="664"/>
      <c r="U690" s="664"/>
      <c r="V690" s="664"/>
      <c r="W690" s="664"/>
      <c r="X690" s="664"/>
      <c r="Y690" s="664"/>
      <c r="Z690" s="664"/>
    </row>
    <row r="691">
      <c r="A691" s="664"/>
      <c r="B691" s="664"/>
      <c r="C691" s="664"/>
      <c r="D691" s="664"/>
      <c r="E691" s="664"/>
      <c r="F691" s="664"/>
      <c r="G691" s="664"/>
      <c r="H691" s="664"/>
      <c r="I691" s="664"/>
      <c r="J691" s="664"/>
      <c r="K691" s="664"/>
      <c r="L691" s="664"/>
      <c r="M691" s="664"/>
      <c r="N691" s="664"/>
      <c r="O691" s="664"/>
      <c r="P691" s="664"/>
      <c r="Q691" s="664"/>
      <c r="R691" s="664"/>
      <c r="S691" s="664"/>
      <c r="T691" s="664"/>
      <c r="U691" s="664"/>
      <c r="V691" s="664"/>
      <c r="W691" s="664"/>
      <c r="X691" s="664"/>
      <c r="Y691" s="664"/>
      <c r="Z691" s="664"/>
    </row>
    <row r="692">
      <c r="A692" s="664"/>
      <c r="B692" s="664"/>
      <c r="C692" s="664"/>
      <c r="D692" s="664"/>
      <c r="E692" s="664"/>
      <c r="F692" s="664"/>
      <c r="G692" s="664"/>
      <c r="H692" s="664"/>
      <c r="I692" s="664"/>
      <c r="J692" s="664"/>
      <c r="K692" s="664"/>
      <c r="L692" s="664"/>
      <c r="M692" s="664"/>
      <c r="N692" s="664"/>
      <c r="O692" s="664"/>
      <c r="P692" s="664"/>
      <c r="Q692" s="664"/>
      <c r="R692" s="664"/>
      <c r="S692" s="664"/>
      <c r="T692" s="664"/>
      <c r="U692" s="664"/>
      <c r="V692" s="664"/>
      <c r="W692" s="664"/>
      <c r="X692" s="664"/>
      <c r="Y692" s="664"/>
      <c r="Z692" s="664"/>
    </row>
    <row r="693">
      <c r="A693" s="664"/>
      <c r="B693" s="664"/>
      <c r="C693" s="664"/>
      <c r="D693" s="664"/>
      <c r="E693" s="664"/>
      <c r="F693" s="664"/>
      <c r="G693" s="664"/>
      <c r="H693" s="664"/>
      <c r="I693" s="664"/>
      <c r="J693" s="664"/>
      <c r="K693" s="664"/>
      <c r="L693" s="664"/>
      <c r="M693" s="664"/>
      <c r="N693" s="664"/>
      <c r="O693" s="664"/>
      <c r="P693" s="664"/>
      <c r="Q693" s="664"/>
      <c r="R693" s="664"/>
      <c r="S693" s="664"/>
      <c r="T693" s="664"/>
      <c r="U693" s="664"/>
      <c r="V693" s="664"/>
      <c r="W693" s="664"/>
      <c r="X693" s="664"/>
      <c r="Y693" s="664"/>
      <c r="Z693" s="664"/>
    </row>
    <row r="694">
      <c r="A694" s="664"/>
      <c r="B694" s="664"/>
      <c r="C694" s="664"/>
      <c r="D694" s="664"/>
      <c r="E694" s="664"/>
      <c r="F694" s="664"/>
      <c r="G694" s="664"/>
      <c r="H694" s="664"/>
      <c r="I694" s="664"/>
      <c r="J694" s="664"/>
      <c r="K694" s="664"/>
      <c r="L694" s="664"/>
      <c r="M694" s="664"/>
      <c r="N694" s="664"/>
      <c r="O694" s="664"/>
      <c r="P694" s="664"/>
      <c r="Q694" s="664"/>
      <c r="R694" s="664"/>
      <c r="S694" s="664"/>
      <c r="T694" s="664"/>
      <c r="U694" s="664"/>
      <c r="V694" s="664"/>
      <c r="W694" s="664"/>
      <c r="X694" s="664"/>
      <c r="Y694" s="664"/>
      <c r="Z694" s="664"/>
    </row>
    <row r="695">
      <c r="A695" s="664"/>
      <c r="B695" s="664"/>
      <c r="C695" s="664"/>
      <c r="D695" s="664"/>
      <c r="E695" s="664"/>
      <c r="F695" s="664"/>
      <c r="G695" s="664"/>
      <c r="H695" s="664"/>
      <c r="I695" s="664"/>
      <c r="J695" s="664"/>
      <c r="K695" s="664"/>
      <c r="L695" s="664"/>
      <c r="M695" s="664"/>
      <c r="N695" s="664"/>
      <c r="O695" s="664"/>
      <c r="P695" s="664"/>
      <c r="Q695" s="664"/>
      <c r="R695" s="664"/>
      <c r="S695" s="664"/>
      <c r="T695" s="664"/>
      <c r="U695" s="664"/>
      <c r="V695" s="664"/>
      <c r="W695" s="664"/>
      <c r="X695" s="664"/>
      <c r="Y695" s="664"/>
      <c r="Z695" s="664"/>
    </row>
    <row r="696">
      <c r="A696" s="664"/>
      <c r="B696" s="664"/>
      <c r="C696" s="664"/>
      <c r="D696" s="664"/>
      <c r="E696" s="664"/>
      <c r="F696" s="664"/>
      <c r="G696" s="664"/>
      <c r="H696" s="664"/>
      <c r="I696" s="664"/>
      <c r="J696" s="664"/>
      <c r="K696" s="664"/>
      <c r="L696" s="664"/>
      <c r="M696" s="664"/>
      <c r="N696" s="664"/>
      <c r="O696" s="664"/>
      <c r="P696" s="664"/>
      <c r="Q696" s="664"/>
      <c r="R696" s="664"/>
      <c r="S696" s="664"/>
      <c r="T696" s="664"/>
      <c r="U696" s="664"/>
      <c r="V696" s="664"/>
      <c r="W696" s="664"/>
      <c r="X696" s="664"/>
      <c r="Y696" s="664"/>
      <c r="Z696" s="664"/>
    </row>
    <row r="697">
      <c r="A697" s="664"/>
      <c r="B697" s="664"/>
      <c r="C697" s="664"/>
      <c r="D697" s="664"/>
      <c r="E697" s="664"/>
      <c r="F697" s="664"/>
      <c r="G697" s="664"/>
      <c r="H697" s="664"/>
      <c r="I697" s="664"/>
      <c r="J697" s="664"/>
      <c r="K697" s="664"/>
      <c r="L697" s="664"/>
      <c r="M697" s="664"/>
      <c r="N697" s="664"/>
      <c r="O697" s="664"/>
      <c r="P697" s="664"/>
      <c r="Q697" s="664"/>
      <c r="R697" s="664"/>
      <c r="S697" s="664"/>
      <c r="T697" s="664"/>
      <c r="U697" s="664"/>
      <c r="V697" s="664"/>
      <c r="W697" s="664"/>
      <c r="X697" s="664"/>
      <c r="Y697" s="664"/>
      <c r="Z697" s="664"/>
    </row>
    <row r="698">
      <c r="A698" s="664"/>
      <c r="B698" s="664"/>
      <c r="C698" s="664"/>
      <c r="D698" s="664"/>
      <c r="E698" s="664"/>
      <c r="F698" s="664"/>
      <c r="G698" s="664"/>
      <c r="H698" s="664"/>
      <c r="I698" s="664"/>
      <c r="J698" s="664"/>
      <c r="K698" s="664"/>
      <c r="L698" s="664"/>
      <c r="M698" s="664"/>
      <c r="N698" s="664"/>
      <c r="O698" s="664"/>
      <c r="P698" s="664"/>
      <c r="Q698" s="664"/>
      <c r="R698" s="664"/>
      <c r="S698" s="664"/>
      <c r="T698" s="664"/>
      <c r="U698" s="664"/>
      <c r="V698" s="664"/>
      <c r="W698" s="664"/>
      <c r="X698" s="664"/>
      <c r="Y698" s="664"/>
      <c r="Z698" s="664"/>
    </row>
    <row r="699">
      <c r="A699" s="664"/>
      <c r="B699" s="664"/>
      <c r="C699" s="664"/>
      <c r="D699" s="664"/>
      <c r="E699" s="664"/>
      <c r="F699" s="664"/>
      <c r="G699" s="664"/>
      <c r="H699" s="664"/>
      <c r="I699" s="664"/>
      <c r="J699" s="664"/>
      <c r="K699" s="664"/>
      <c r="L699" s="664"/>
      <c r="M699" s="664"/>
      <c r="N699" s="664"/>
      <c r="O699" s="664"/>
      <c r="P699" s="664"/>
      <c r="Q699" s="664"/>
      <c r="R699" s="664"/>
      <c r="S699" s="664"/>
      <c r="T699" s="664"/>
      <c r="U699" s="664"/>
      <c r="V699" s="664"/>
      <c r="W699" s="664"/>
      <c r="X699" s="664"/>
      <c r="Y699" s="664"/>
      <c r="Z699" s="664"/>
    </row>
    <row r="700">
      <c r="A700" s="664"/>
      <c r="B700" s="664"/>
      <c r="C700" s="664"/>
      <c r="D700" s="664"/>
      <c r="E700" s="664"/>
      <c r="F700" s="664"/>
      <c r="G700" s="664"/>
      <c r="H700" s="664"/>
      <c r="I700" s="664"/>
      <c r="J700" s="664"/>
      <c r="K700" s="664"/>
      <c r="L700" s="664"/>
      <c r="M700" s="664"/>
      <c r="N700" s="664"/>
      <c r="O700" s="664"/>
      <c r="P700" s="664"/>
      <c r="Q700" s="664"/>
      <c r="R700" s="664"/>
      <c r="S700" s="664"/>
      <c r="T700" s="664"/>
      <c r="U700" s="664"/>
      <c r="V700" s="664"/>
      <c r="W700" s="664"/>
      <c r="X700" s="664"/>
      <c r="Y700" s="664"/>
      <c r="Z700" s="664"/>
    </row>
    <row r="701">
      <c r="A701" s="664"/>
      <c r="B701" s="664"/>
      <c r="C701" s="664"/>
      <c r="D701" s="664"/>
      <c r="E701" s="664"/>
      <c r="F701" s="664"/>
      <c r="G701" s="664"/>
      <c r="H701" s="664"/>
      <c r="I701" s="664"/>
      <c r="J701" s="664"/>
      <c r="K701" s="664"/>
      <c r="L701" s="664"/>
      <c r="M701" s="664"/>
      <c r="N701" s="664"/>
      <c r="O701" s="664"/>
      <c r="P701" s="664"/>
      <c r="Q701" s="664"/>
      <c r="R701" s="664"/>
      <c r="S701" s="664"/>
      <c r="T701" s="664"/>
      <c r="U701" s="664"/>
      <c r="V701" s="664"/>
      <c r="W701" s="664"/>
      <c r="X701" s="664"/>
      <c r="Y701" s="664"/>
      <c r="Z701" s="664"/>
    </row>
    <row r="702">
      <c r="A702" s="664"/>
      <c r="B702" s="664"/>
      <c r="C702" s="664"/>
      <c r="D702" s="664"/>
      <c r="E702" s="664"/>
      <c r="F702" s="664"/>
      <c r="G702" s="664"/>
      <c r="H702" s="664"/>
      <c r="I702" s="664"/>
      <c r="J702" s="664"/>
      <c r="K702" s="664"/>
      <c r="L702" s="664"/>
      <c r="M702" s="664"/>
      <c r="N702" s="664"/>
      <c r="O702" s="664"/>
      <c r="P702" s="664"/>
      <c r="Q702" s="664"/>
      <c r="R702" s="664"/>
      <c r="S702" s="664"/>
      <c r="T702" s="664"/>
      <c r="U702" s="664"/>
      <c r="V702" s="664"/>
      <c r="W702" s="664"/>
      <c r="X702" s="664"/>
      <c r="Y702" s="664"/>
      <c r="Z702" s="664"/>
    </row>
    <row r="703">
      <c r="A703" s="664"/>
      <c r="B703" s="664"/>
      <c r="C703" s="664"/>
      <c r="D703" s="664"/>
      <c r="E703" s="664"/>
      <c r="F703" s="664"/>
      <c r="G703" s="664"/>
      <c r="H703" s="664"/>
      <c r="I703" s="664"/>
      <c r="J703" s="664"/>
      <c r="K703" s="664"/>
      <c r="L703" s="664"/>
      <c r="M703" s="664"/>
      <c r="N703" s="664"/>
      <c r="O703" s="664"/>
      <c r="P703" s="664"/>
      <c r="Q703" s="664"/>
      <c r="R703" s="664"/>
      <c r="S703" s="664"/>
      <c r="T703" s="664"/>
      <c r="U703" s="664"/>
      <c r="V703" s="664"/>
      <c r="W703" s="664"/>
      <c r="X703" s="664"/>
      <c r="Y703" s="664"/>
      <c r="Z703" s="664"/>
    </row>
    <row r="704">
      <c r="A704" s="664"/>
      <c r="B704" s="664"/>
      <c r="C704" s="664"/>
      <c r="D704" s="664"/>
      <c r="E704" s="664"/>
      <c r="F704" s="664"/>
      <c r="G704" s="664"/>
      <c r="H704" s="664"/>
      <c r="I704" s="664"/>
      <c r="J704" s="664"/>
      <c r="K704" s="664"/>
      <c r="L704" s="664"/>
      <c r="M704" s="664"/>
      <c r="N704" s="664"/>
      <c r="O704" s="664"/>
      <c r="P704" s="664"/>
      <c r="Q704" s="664"/>
      <c r="R704" s="664"/>
      <c r="S704" s="664"/>
      <c r="T704" s="664"/>
      <c r="U704" s="664"/>
      <c r="V704" s="664"/>
      <c r="W704" s="664"/>
      <c r="X704" s="664"/>
      <c r="Y704" s="664"/>
      <c r="Z704" s="664"/>
    </row>
    <row r="705">
      <c r="A705" s="664"/>
      <c r="B705" s="664"/>
      <c r="C705" s="664"/>
      <c r="D705" s="664"/>
      <c r="E705" s="664"/>
      <c r="F705" s="664"/>
      <c r="G705" s="664"/>
      <c r="H705" s="664"/>
      <c r="I705" s="664"/>
      <c r="J705" s="664"/>
      <c r="K705" s="664"/>
      <c r="L705" s="664"/>
      <c r="M705" s="664"/>
      <c r="N705" s="664"/>
      <c r="O705" s="664"/>
      <c r="P705" s="664"/>
      <c r="Q705" s="664"/>
      <c r="R705" s="664"/>
      <c r="S705" s="664"/>
      <c r="T705" s="664"/>
      <c r="U705" s="664"/>
      <c r="V705" s="664"/>
      <c r="W705" s="664"/>
      <c r="X705" s="664"/>
      <c r="Y705" s="664"/>
      <c r="Z705" s="664"/>
    </row>
    <row r="706">
      <c r="A706" s="664"/>
      <c r="B706" s="664"/>
      <c r="C706" s="664"/>
      <c r="D706" s="664"/>
      <c r="E706" s="664"/>
      <c r="F706" s="664"/>
      <c r="G706" s="664"/>
      <c r="H706" s="664"/>
      <c r="I706" s="664"/>
      <c r="J706" s="664"/>
      <c r="K706" s="664"/>
      <c r="L706" s="664"/>
      <c r="M706" s="664"/>
      <c r="N706" s="664"/>
      <c r="O706" s="664"/>
      <c r="P706" s="664"/>
      <c r="Q706" s="664"/>
      <c r="R706" s="664"/>
      <c r="S706" s="664"/>
      <c r="T706" s="664"/>
      <c r="U706" s="664"/>
      <c r="V706" s="664"/>
      <c r="W706" s="664"/>
      <c r="X706" s="664"/>
      <c r="Y706" s="664"/>
      <c r="Z706" s="664"/>
    </row>
    <row r="707">
      <c r="A707" s="664"/>
      <c r="B707" s="664"/>
      <c r="C707" s="664"/>
      <c r="D707" s="664"/>
      <c r="E707" s="664"/>
      <c r="F707" s="664"/>
      <c r="G707" s="664"/>
      <c r="H707" s="664"/>
      <c r="I707" s="664"/>
      <c r="J707" s="664"/>
      <c r="K707" s="664"/>
      <c r="L707" s="664"/>
      <c r="M707" s="664"/>
      <c r="N707" s="664"/>
      <c r="O707" s="664"/>
      <c r="P707" s="664"/>
      <c r="Q707" s="664"/>
      <c r="R707" s="664"/>
      <c r="S707" s="664"/>
      <c r="T707" s="664"/>
      <c r="U707" s="664"/>
      <c r="V707" s="664"/>
      <c r="W707" s="664"/>
      <c r="X707" s="664"/>
      <c r="Y707" s="664"/>
      <c r="Z707" s="664"/>
    </row>
    <row r="708">
      <c r="A708" s="664"/>
      <c r="B708" s="664"/>
      <c r="C708" s="664"/>
      <c r="D708" s="664"/>
      <c r="E708" s="664"/>
      <c r="F708" s="664"/>
      <c r="G708" s="664"/>
      <c r="H708" s="664"/>
      <c r="I708" s="664"/>
      <c r="J708" s="664"/>
      <c r="K708" s="664"/>
      <c r="L708" s="664"/>
      <c r="M708" s="664"/>
      <c r="N708" s="664"/>
      <c r="O708" s="664"/>
      <c r="P708" s="664"/>
      <c r="Q708" s="664"/>
      <c r="R708" s="664"/>
      <c r="S708" s="664"/>
      <c r="T708" s="664"/>
      <c r="U708" s="664"/>
      <c r="V708" s="664"/>
      <c r="W708" s="664"/>
      <c r="X708" s="664"/>
      <c r="Y708" s="664"/>
      <c r="Z708" s="664"/>
    </row>
    <row r="709">
      <c r="A709" s="664"/>
      <c r="B709" s="664"/>
      <c r="C709" s="664"/>
      <c r="D709" s="664"/>
      <c r="E709" s="664"/>
      <c r="F709" s="664"/>
      <c r="G709" s="664"/>
      <c r="H709" s="664"/>
      <c r="I709" s="664"/>
      <c r="J709" s="664"/>
      <c r="K709" s="664"/>
      <c r="L709" s="664"/>
      <c r="M709" s="664"/>
      <c r="N709" s="664"/>
      <c r="O709" s="664"/>
      <c r="P709" s="664"/>
      <c r="Q709" s="664"/>
      <c r="R709" s="664"/>
      <c r="S709" s="664"/>
      <c r="T709" s="664"/>
      <c r="U709" s="664"/>
      <c r="V709" s="664"/>
      <c r="W709" s="664"/>
      <c r="X709" s="664"/>
      <c r="Y709" s="664"/>
      <c r="Z709" s="664"/>
    </row>
    <row r="710">
      <c r="A710" s="664"/>
      <c r="B710" s="664"/>
      <c r="C710" s="664"/>
      <c r="D710" s="664"/>
      <c r="E710" s="664"/>
      <c r="F710" s="664"/>
      <c r="G710" s="664"/>
      <c r="H710" s="664"/>
      <c r="I710" s="664"/>
      <c r="J710" s="664"/>
      <c r="K710" s="664"/>
      <c r="L710" s="664"/>
      <c r="M710" s="664"/>
      <c r="N710" s="664"/>
      <c r="O710" s="664"/>
      <c r="P710" s="664"/>
      <c r="Q710" s="664"/>
      <c r="R710" s="664"/>
      <c r="S710" s="664"/>
      <c r="T710" s="664"/>
      <c r="U710" s="664"/>
      <c r="V710" s="664"/>
      <c r="W710" s="664"/>
      <c r="X710" s="664"/>
      <c r="Y710" s="664"/>
      <c r="Z710" s="664"/>
    </row>
    <row r="711">
      <c r="A711" s="664"/>
      <c r="B711" s="664"/>
      <c r="C711" s="664"/>
      <c r="D711" s="664"/>
      <c r="E711" s="664"/>
      <c r="F711" s="664"/>
      <c r="G711" s="664"/>
      <c r="H711" s="664"/>
      <c r="I711" s="664"/>
      <c r="J711" s="664"/>
      <c r="K711" s="664"/>
      <c r="L711" s="664"/>
      <c r="M711" s="664"/>
      <c r="N711" s="664"/>
      <c r="O711" s="664"/>
      <c r="P711" s="664"/>
      <c r="Q711" s="664"/>
      <c r="R711" s="664"/>
      <c r="S711" s="664"/>
      <c r="T711" s="664"/>
      <c r="U711" s="664"/>
      <c r="V711" s="664"/>
      <c r="W711" s="664"/>
      <c r="X711" s="664"/>
      <c r="Y711" s="664"/>
      <c r="Z711" s="664"/>
    </row>
    <row r="712">
      <c r="A712" s="664"/>
      <c r="B712" s="664"/>
      <c r="C712" s="664"/>
      <c r="D712" s="664"/>
      <c r="E712" s="664"/>
      <c r="F712" s="664"/>
      <c r="G712" s="664"/>
      <c r="H712" s="664"/>
      <c r="I712" s="664"/>
      <c r="J712" s="664"/>
      <c r="K712" s="664"/>
      <c r="L712" s="664"/>
      <c r="M712" s="664"/>
      <c r="N712" s="664"/>
      <c r="O712" s="664"/>
      <c r="P712" s="664"/>
      <c r="Q712" s="664"/>
      <c r="R712" s="664"/>
      <c r="S712" s="664"/>
      <c r="T712" s="664"/>
      <c r="U712" s="664"/>
      <c r="V712" s="664"/>
      <c r="W712" s="664"/>
      <c r="X712" s="664"/>
      <c r="Y712" s="664"/>
      <c r="Z712" s="664"/>
    </row>
    <row r="713">
      <c r="A713" s="664"/>
      <c r="B713" s="664"/>
      <c r="C713" s="664"/>
      <c r="D713" s="664"/>
      <c r="E713" s="664"/>
      <c r="F713" s="664"/>
      <c r="G713" s="664"/>
      <c r="H713" s="664"/>
      <c r="I713" s="664"/>
      <c r="J713" s="664"/>
      <c r="K713" s="664"/>
      <c r="L713" s="664"/>
      <c r="M713" s="664"/>
      <c r="N713" s="664"/>
      <c r="O713" s="664"/>
      <c r="P713" s="664"/>
      <c r="Q713" s="664"/>
      <c r="R713" s="664"/>
      <c r="S713" s="664"/>
      <c r="T713" s="664"/>
      <c r="U713" s="664"/>
      <c r="V713" s="664"/>
      <c r="W713" s="664"/>
      <c r="X713" s="664"/>
      <c r="Y713" s="664"/>
      <c r="Z713" s="664"/>
    </row>
    <row r="714">
      <c r="A714" s="664"/>
      <c r="B714" s="664"/>
      <c r="C714" s="664"/>
      <c r="D714" s="664"/>
      <c r="E714" s="664"/>
      <c r="F714" s="664"/>
      <c r="G714" s="664"/>
      <c r="H714" s="664"/>
      <c r="I714" s="664"/>
      <c r="J714" s="664"/>
      <c r="K714" s="664"/>
      <c r="L714" s="664"/>
      <c r="M714" s="664"/>
      <c r="N714" s="664"/>
      <c r="O714" s="664"/>
      <c r="P714" s="664"/>
      <c r="Q714" s="664"/>
      <c r="R714" s="664"/>
      <c r="S714" s="664"/>
      <c r="T714" s="664"/>
      <c r="U714" s="664"/>
      <c r="V714" s="664"/>
      <c r="W714" s="664"/>
      <c r="X714" s="664"/>
      <c r="Y714" s="664"/>
      <c r="Z714" s="664"/>
    </row>
    <row r="715">
      <c r="A715" s="664"/>
      <c r="B715" s="664"/>
      <c r="C715" s="664"/>
      <c r="D715" s="664"/>
      <c r="E715" s="664"/>
      <c r="F715" s="664"/>
      <c r="G715" s="664"/>
      <c r="H715" s="664"/>
      <c r="I715" s="664"/>
      <c r="J715" s="664"/>
      <c r="K715" s="664"/>
      <c r="L715" s="664"/>
      <c r="M715" s="664"/>
      <c r="N715" s="664"/>
      <c r="O715" s="664"/>
      <c r="P715" s="664"/>
      <c r="Q715" s="664"/>
      <c r="R715" s="664"/>
      <c r="S715" s="664"/>
      <c r="T715" s="664"/>
      <c r="U715" s="664"/>
      <c r="V715" s="664"/>
      <c r="W715" s="664"/>
      <c r="X715" s="664"/>
      <c r="Y715" s="664"/>
      <c r="Z715" s="664"/>
    </row>
    <row r="716">
      <c r="A716" s="664"/>
      <c r="B716" s="664"/>
      <c r="C716" s="664"/>
      <c r="D716" s="664"/>
      <c r="E716" s="664"/>
      <c r="F716" s="664"/>
      <c r="G716" s="664"/>
      <c r="H716" s="664"/>
      <c r="I716" s="664"/>
      <c r="J716" s="664"/>
      <c r="K716" s="664"/>
      <c r="L716" s="664"/>
      <c r="M716" s="664"/>
      <c r="N716" s="664"/>
      <c r="O716" s="664"/>
      <c r="P716" s="664"/>
      <c r="Q716" s="664"/>
      <c r="R716" s="664"/>
      <c r="S716" s="664"/>
      <c r="T716" s="664"/>
      <c r="U716" s="664"/>
      <c r="V716" s="664"/>
      <c r="W716" s="664"/>
      <c r="X716" s="664"/>
      <c r="Y716" s="664"/>
      <c r="Z716" s="664"/>
    </row>
    <row r="717">
      <c r="A717" s="664"/>
      <c r="B717" s="664"/>
      <c r="C717" s="664"/>
      <c r="D717" s="664"/>
      <c r="E717" s="664"/>
      <c r="F717" s="664"/>
      <c r="G717" s="664"/>
      <c r="H717" s="664"/>
      <c r="I717" s="664"/>
      <c r="J717" s="664"/>
      <c r="K717" s="664"/>
      <c r="L717" s="664"/>
      <c r="M717" s="664"/>
      <c r="N717" s="664"/>
      <c r="O717" s="664"/>
      <c r="P717" s="664"/>
      <c r="Q717" s="664"/>
      <c r="R717" s="664"/>
      <c r="S717" s="664"/>
      <c r="T717" s="664"/>
      <c r="U717" s="664"/>
      <c r="V717" s="664"/>
      <c r="W717" s="664"/>
      <c r="X717" s="664"/>
      <c r="Y717" s="664"/>
      <c r="Z717" s="664"/>
    </row>
    <row r="718">
      <c r="A718" s="664"/>
      <c r="B718" s="664"/>
      <c r="C718" s="664"/>
      <c r="D718" s="664"/>
      <c r="E718" s="664"/>
      <c r="F718" s="664"/>
      <c r="G718" s="664"/>
      <c r="H718" s="664"/>
      <c r="I718" s="664"/>
      <c r="J718" s="664"/>
      <c r="K718" s="664"/>
      <c r="L718" s="664"/>
      <c r="M718" s="664"/>
      <c r="N718" s="664"/>
      <c r="O718" s="664"/>
      <c r="P718" s="664"/>
      <c r="Q718" s="664"/>
      <c r="R718" s="664"/>
      <c r="S718" s="664"/>
      <c r="T718" s="664"/>
      <c r="U718" s="664"/>
      <c r="V718" s="664"/>
      <c r="W718" s="664"/>
      <c r="X718" s="664"/>
      <c r="Y718" s="664"/>
      <c r="Z718" s="664"/>
    </row>
    <row r="719">
      <c r="A719" s="664"/>
      <c r="B719" s="664"/>
      <c r="C719" s="664"/>
      <c r="D719" s="664"/>
      <c r="E719" s="664"/>
      <c r="F719" s="664"/>
      <c r="G719" s="664"/>
      <c r="H719" s="664"/>
      <c r="I719" s="664"/>
      <c r="J719" s="664"/>
      <c r="K719" s="664"/>
      <c r="L719" s="664"/>
      <c r="M719" s="664"/>
      <c r="N719" s="664"/>
      <c r="O719" s="664"/>
      <c r="P719" s="664"/>
      <c r="Q719" s="664"/>
      <c r="R719" s="664"/>
      <c r="S719" s="664"/>
      <c r="T719" s="664"/>
      <c r="U719" s="664"/>
      <c r="V719" s="664"/>
      <c r="W719" s="664"/>
      <c r="X719" s="664"/>
      <c r="Y719" s="664"/>
      <c r="Z719" s="664"/>
    </row>
    <row r="720">
      <c r="A720" s="664"/>
      <c r="B720" s="664"/>
      <c r="C720" s="664"/>
      <c r="D720" s="664"/>
      <c r="E720" s="664"/>
      <c r="F720" s="664"/>
      <c r="G720" s="664"/>
      <c r="H720" s="664"/>
      <c r="I720" s="664"/>
      <c r="J720" s="664"/>
      <c r="K720" s="664"/>
      <c r="L720" s="664"/>
      <c r="M720" s="664"/>
      <c r="N720" s="664"/>
      <c r="O720" s="664"/>
      <c r="P720" s="664"/>
      <c r="Q720" s="664"/>
      <c r="R720" s="664"/>
      <c r="S720" s="664"/>
      <c r="T720" s="664"/>
      <c r="U720" s="664"/>
      <c r="V720" s="664"/>
      <c r="W720" s="664"/>
      <c r="X720" s="664"/>
      <c r="Y720" s="664"/>
      <c r="Z720" s="664"/>
    </row>
    <row r="721">
      <c r="A721" s="664"/>
      <c r="B721" s="664"/>
      <c r="C721" s="664"/>
      <c r="D721" s="664"/>
      <c r="E721" s="664"/>
      <c r="F721" s="664"/>
      <c r="G721" s="664"/>
      <c r="H721" s="664"/>
      <c r="I721" s="664"/>
      <c r="J721" s="664"/>
      <c r="K721" s="664"/>
      <c r="L721" s="664"/>
      <c r="M721" s="664"/>
      <c r="N721" s="664"/>
      <c r="O721" s="664"/>
      <c r="P721" s="664"/>
      <c r="Q721" s="664"/>
      <c r="R721" s="664"/>
      <c r="S721" s="664"/>
      <c r="T721" s="664"/>
      <c r="U721" s="664"/>
      <c r="V721" s="664"/>
      <c r="W721" s="664"/>
      <c r="X721" s="664"/>
      <c r="Y721" s="664"/>
      <c r="Z721" s="664"/>
    </row>
    <row r="722">
      <c r="A722" s="664"/>
      <c r="B722" s="664"/>
      <c r="C722" s="664"/>
      <c r="D722" s="664"/>
      <c r="E722" s="664"/>
      <c r="F722" s="664"/>
      <c r="G722" s="664"/>
      <c r="H722" s="664"/>
      <c r="I722" s="664"/>
      <c r="J722" s="664"/>
      <c r="K722" s="664"/>
      <c r="L722" s="664"/>
      <c r="M722" s="664"/>
      <c r="N722" s="664"/>
      <c r="O722" s="664"/>
      <c r="P722" s="664"/>
      <c r="Q722" s="664"/>
      <c r="R722" s="664"/>
      <c r="S722" s="664"/>
      <c r="T722" s="664"/>
      <c r="U722" s="664"/>
      <c r="V722" s="664"/>
      <c r="W722" s="664"/>
      <c r="X722" s="664"/>
      <c r="Y722" s="664"/>
      <c r="Z722" s="664"/>
    </row>
    <row r="723">
      <c r="A723" s="664"/>
      <c r="B723" s="664"/>
      <c r="C723" s="664"/>
      <c r="D723" s="664"/>
      <c r="E723" s="664"/>
      <c r="F723" s="664"/>
      <c r="G723" s="664"/>
      <c r="H723" s="664"/>
      <c r="I723" s="664"/>
      <c r="J723" s="664"/>
      <c r="K723" s="664"/>
      <c r="L723" s="664"/>
      <c r="M723" s="664"/>
      <c r="N723" s="664"/>
      <c r="O723" s="664"/>
      <c r="P723" s="664"/>
      <c r="Q723" s="664"/>
      <c r="R723" s="664"/>
      <c r="S723" s="664"/>
      <c r="T723" s="664"/>
      <c r="U723" s="664"/>
      <c r="V723" s="664"/>
      <c r="W723" s="664"/>
      <c r="X723" s="664"/>
      <c r="Y723" s="664"/>
      <c r="Z723" s="664"/>
    </row>
    <row r="724">
      <c r="A724" s="664"/>
      <c r="B724" s="664"/>
      <c r="C724" s="664"/>
      <c r="D724" s="664"/>
      <c r="E724" s="664"/>
      <c r="F724" s="664"/>
      <c r="G724" s="664"/>
      <c r="H724" s="664"/>
      <c r="I724" s="664"/>
      <c r="J724" s="664"/>
      <c r="K724" s="664"/>
      <c r="L724" s="664"/>
      <c r="M724" s="664"/>
      <c r="N724" s="664"/>
      <c r="O724" s="664"/>
      <c r="P724" s="664"/>
      <c r="Q724" s="664"/>
      <c r="R724" s="664"/>
      <c r="S724" s="664"/>
      <c r="T724" s="664"/>
      <c r="U724" s="664"/>
      <c r="V724" s="664"/>
      <c r="W724" s="664"/>
      <c r="X724" s="664"/>
      <c r="Y724" s="664"/>
      <c r="Z724" s="664"/>
    </row>
    <row r="725">
      <c r="A725" s="664"/>
      <c r="B725" s="664"/>
      <c r="C725" s="664"/>
      <c r="D725" s="664"/>
      <c r="E725" s="664"/>
      <c r="F725" s="664"/>
      <c r="G725" s="664"/>
      <c r="H725" s="664"/>
      <c r="I725" s="664"/>
      <c r="J725" s="664"/>
      <c r="K725" s="664"/>
      <c r="L725" s="664"/>
      <c r="M725" s="664"/>
      <c r="N725" s="664"/>
      <c r="O725" s="664"/>
      <c r="P725" s="664"/>
      <c r="Q725" s="664"/>
      <c r="R725" s="664"/>
      <c r="S725" s="664"/>
      <c r="T725" s="664"/>
      <c r="U725" s="664"/>
      <c r="V725" s="664"/>
      <c r="W725" s="664"/>
      <c r="X725" s="664"/>
      <c r="Y725" s="664"/>
      <c r="Z725" s="664"/>
    </row>
    <row r="726">
      <c r="A726" s="664"/>
      <c r="B726" s="664"/>
      <c r="C726" s="664"/>
      <c r="D726" s="664"/>
      <c r="E726" s="664"/>
      <c r="F726" s="664"/>
      <c r="G726" s="664"/>
      <c r="H726" s="664"/>
      <c r="I726" s="664"/>
      <c r="J726" s="664"/>
      <c r="K726" s="664"/>
      <c r="L726" s="664"/>
      <c r="M726" s="664"/>
      <c r="N726" s="664"/>
      <c r="O726" s="664"/>
      <c r="P726" s="664"/>
      <c r="Q726" s="664"/>
      <c r="R726" s="664"/>
      <c r="S726" s="664"/>
      <c r="T726" s="664"/>
      <c r="U726" s="664"/>
      <c r="V726" s="664"/>
      <c r="W726" s="664"/>
      <c r="X726" s="664"/>
      <c r="Y726" s="664"/>
      <c r="Z726" s="664"/>
    </row>
    <row r="727">
      <c r="A727" s="664"/>
      <c r="B727" s="664"/>
      <c r="C727" s="664"/>
      <c r="D727" s="664"/>
      <c r="E727" s="664"/>
      <c r="F727" s="664"/>
      <c r="G727" s="664"/>
      <c r="H727" s="664"/>
      <c r="I727" s="664"/>
      <c r="J727" s="664"/>
      <c r="K727" s="664"/>
      <c r="L727" s="664"/>
      <c r="M727" s="664"/>
      <c r="N727" s="664"/>
      <c r="O727" s="664"/>
      <c r="P727" s="664"/>
      <c r="Q727" s="664"/>
      <c r="R727" s="664"/>
      <c r="S727" s="664"/>
      <c r="T727" s="664"/>
      <c r="U727" s="664"/>
      <c r="V727" s="664"/>
      <c r="W727" s="664"/>
      <c r="X727" s="664"/>
      <c r="Y727" s="664"/>
      <c r="Z727" s="664"/>
    </row>
    <row r="728">
      <c r="A728" s="664"/>
      <c r="B728" s="664"/>
      <c r="C728" s="664"/>
      <c r="D728" s="664"/>
      <c r="E728" s="664"/>
      <c r="F728" s="664"/>
      <c r="G728" s="664"/>
      <c r="H728" s="664"/>
      <c r="I728" s="664"/>
      <c r="J728" s="664"/>
      <c r="K728" s="664"/>
      <c r="L728" s="664"/>
      <c r="M728" s="664"/>
      <c r="N728" s="664"/>
      <c r="O728" s="664"/>
      <c r="P728" s="664"/>
      <c r="Q728" s="664"/>
      <c r="R728" s="664"/>
      <c r="S728" s="664"/>
      <c r="T728" s="664"/>
      <c r="U728" s="664"/>
      <c r="V728" s="664"/>
      <c r="W728" s="664"/>
      <c r="X728" s="664"/>
      <c r="Y728" s="664"/>
      <c r="Z728" s="664"/>
    </row>
    <row r="729">
      <c r="A729" s="664"/>
      <c r="B729" s="664"/>
      <c r="C729" s="664"/>
      <c r="D729" s="664"/>
      <c r="E729" s="664"/>
      <c r="F729" s="664"/>
      <c r="G729" s="664"/>
      <c r="H729" s="664"/>
      <c r="I729" s="664"/>
      <c r="J729" s="664"/>
      <c r="K729" s="664"/>
      <c r="L729" s="664"/>
      <c r="M729" s="664"/>
      <c r="N729" s="664"/>
      <c r="O729" s="664"/>
      <c r="P729" s="664"/>
      <c r="Q729" s="664"/>
      <c r="R729" s="664"/>
      <c r="S729" s="664"/>
      <c r="T729" s="664"/>
      <c r="U729" s="664"/>
      <c r="V729" s="664"/>
      <c r="W729" s="664"/>
      <c r="X729" s="664"/>
      <c r="Y729" s="664"/>
      <c r="Z729" s="664"/>
    </row>
    <row r="730">
      <c r="A730" s="664"/>
      <c r="B730" s="664"/>
      <c r="C730" s="664"/>
      <c r="D730" s="664"/>
      <c r="E730" s="664"/>
      <c r="F730" s="664"/>
      <c r="G730" s="664"/>
      <c r="H730" s="664"/>
      <c r="I730" s="664"/>
      <c r="J730" s="664"/>
      <c r="K730" s="664"/>
      <c r="L730" s="664"/>
      <c r="M730" s="664"/>
      <c r="N730" s="664"/>
      <c r="O730" s="664"/>
      <c r="P730" s="664"/>
      <c r="Q730" s="664"/>
      <c r="R730" s="664"/>
      <c r="S730" s="664"/>
      <c r="T730" s="664"/>
      <c r="U730" s="664"/>
      <c r="V730" s="664"/>
      <c r="W730" s="664"/>
      <c r="X730" s="664"/>
      <c r="Y730" s="664"/>
      <c r="Z730" s="664"/>
    </row>
    <row r="731">
      <c r="A731" s="664"/>
      <c r="B731" s="664"/>
      <c r="C731" s="664"/>
      <c r="D731" s="664"/>
      <c r="E731" s="664"/>
      <c r="F731" s="664"/>
      <c r="G731" s="664"/>
      <c r="H731" s="664"/>
      <c r="I731" s="664"/>
      <c r="J731" s="664"/>
      <c r="K731" s="664"/>
      <c r="L731" s="664"/>
      <c r="M731" s="664"/>
      <c r="N731" s="664"/>
      <c r="O731" s="664"/>
      <c r="P731" s="664"/>
      <c r="Q731" s="664"/>
      <c r="R731" s="664"/>
      <c r="S731" s="664"/>
      <c r="T731" s="664"/>
      <c r="U731" s="664"/>
      <c r="V731" s="664"/>
      <c r="W731" s="664"/>
      <c r="X731" s="664"/>
      <c r="Y731" s="664"/>
      <c r="Z731" s="664"/>
    </row>
    <row r="732">
      <c r="A732" s="664"/>
      <c r="B732" s="664"/>
      <c r="C732" s="664"/>
      <c r="D732" s="664"/>
      <c r="E732" s="664"/>
      <c r="F732" s="664"/>
      <c r="G732" s="664"/>
      <c r="H732" s="664"/>
      <c r="I732" s="664"/>
      <c r="J732" s="664"/>
      <c r="K732" s="664"/>
      <c r="L732" s="664"/>
      <c r="M732" s="664"/>
      <c r="N732" s="664"/>
      <c r="O732" s="664"/>
      <c r="P732" s="664"/>
      <c r="Q732" s="664"/>
      <c r="R732" s="664"/>
      <c r="S732" s="664"/>
      <c r="T732" s="664"/>
      <c r="U732" s="664"/>
      <c r="V732" s="664"/>
      <c r="W732" s="664"/>
      <c r="X732" s="664"/>
      <c r="Y732" s="664"/>
      <c r="Z732" s="664"/>
    </row>
    <row r="733">
      <c r="A733" s="664"/>
      <c r="B733" s="664"/>
      <c r="C733" s="664"/>
      <c r="D733" s="664"/>
      <c r="E733" s="664"/>
      <c r="F733" s="664"/>
      <c r="G733" s="664"/>
      <c r="H733" s="664"/>
      <c r="I733" s="664"/>
      <c r="J733" s="664"/>
      <c r="K733" s="664"/>
      <c r="L733" s="664"/>
      <c r="M733" s="664"/>
      <c r="N733" s="664"/>
      <c r="O733" s="664"/>
      <c r="P733" s="664"/>
      <c r="Q733" s="664"/>
      <c r="R733" s="664"/>
      <c r="S733" s="664"/>
      <c r="T733" s="664"/>
      <c r="U733" s="664"/>
      <c r="V733" s="664"/>
      <c r="W733" s="664"/>
      <c r="X733" s="664"/>
      <c r="Y733" s="664"/>
      <c r="Z733" s="664"/>
    </row>
    <row r="734">
      <c r="A734" s="664"/>
      <c r="B734" s="664"/>
      <c r="C734" s="664"/>
      <c r="D734" s="664"/>
      <c r="E734" s="664"/>
      <c r="F734" s="664"/>
      <c r="G734" s="664"/>
      <c r="H734" s="664"/>
      <c r="I734" s="664"/>
      <c r="J734" s="664"/>
      <c r="K734" s="664"/>
      <c r="L734" s="664"/>
      <c r="M734" s="664"/>
      <c r="N734" s="664"/>
      <c r="O734" s="664"/>
      <c r="P734" s="664"/>
      <c r="Q734" s="664"/>
      <c r="R734" s="664"/>
      <c r="S734" s="664"/>
      <c r="T734" s="664"/>
      <c r="U734" s="664"/>
      <c r="V734" s="664"/>
      <c r="W734" s="664"/>
      <c r="X734" s="664"/>
      <c r="Y734" s="664"/>
      <c r="Z734" s="664"/>
    </row>
    <row r="735">
      <c r="A735" s="664"/>
      <c r="B735" s="664"/>
      <c r="C735" s="664"/>
      <c r="D735" s="664"/>
      <c r="E735" s="664"/>
      <c r="F735" s="664"/>
      <c r="G735" s="664"/>
      <c r="H735" s="664"/>
      <c r="I735" s="664"/>
      <c r="J735" s="664"/>
      <c r="K735" s="664"/>
      <c r="L735" s="664"/>
      <c r="M735" s="664"/>
      <c r="N735" s="664"/>
      <c r="O735" s="664"/>
      <c r="P735" s="664"/>
      <c r="Q735" s="664"/>
      <c r="R735" s="664"/>
      <c r="S735" s="664"/>
      <c r="T735" s="664"/>
      <c r="U735" s="664"/>
      <c r="V735" s="664"/>
      <c r="W735" s="664"/>
      <c r="X735" s="664"/>
      <c r="Y735" s="664"/>
      <c r="Z735" s="664"/>
    </row>
    <row r="736">
      <c r="A736" s="664"/>
      <c r="B736" s="664"/>
      <c r="C736" s="664"/>
      <c r="D736" s="664"/>
      <c r="E736" s="664"/>
      <c r="F736" s="664"/>
      <c r="G736" s="664"/>
      <c r="H736" s="664"/>
      <c r="I736" s="664"/>
      <c r="J736" s="664"/>
      <c r="K736" s="664"/>
      <c r="L736" s="664"/>
      <c r="M736" s="664"/>
      <c r="N736" s="664"/>
      <c r="O736" s="664"/>
      <c r="P736" s="664"/>
      <c r="Q736" s="664"/>
      <c r="R736" s="664"/>
      <c r="S736" s="664"/>
      <c r="T736" s="664"/>
      <c r="U736" s="664"/>
      <c r="V736" s="664"/>
      <c r="W736" s="664"/>
      <c r="X736" s="664"/>
      <c r="Y736" s="664"/>
      <c r="Z736" s="664"/>
    </row>
    <row r="737">
      <c r="A737" s="664"/>
      <c r="B737" s="664"/>
      <c r="C737" s="664"/>
      <c r="D737" s="664"/>
      <c r="E737" s="664"/>
      <c r="F737" s="664"/>
      <c r="G737" s="664"/>
      <c r="H737" s="664"/>
      <c r="I737" s="664"/>
      <c r="J737" s="664"/>
      <c r="K737" s="664"/>
      <c r="L737" s="664"/>
      <c r="M737" s="664"/>
      <c r="N737" s="664"/>
      <c r="O737" s="664"/>
      <c r="P737" s="664"/>
      <c r="Q737" s="664"/>
      <c r="R737" s="664"/>
      <c r="S737" s="664"/>
      <c r="T737" s="664"/>
      <c r="U737" s="664"/>
      <c r="V737" s="664"/>
      <c r="W737" s="664"/>
      <c r="X737" s="664"/>
      <c r="Y737" s="664"/>
      <c r="Z737" s="664"/>
    </row>
    <row r="738">
      <c r="A738" s="664"/>
      <c r="B738" s="664"/>
      <c r="C738" s="664"/>
      <c r="D738" s="664"/>
      <c r="E738" s="664"/>
      <c r="F738" s="664"/>
      <c r="G738" s="664"/>
      <c r="H738" s="664"/>
      <c r="I738" s="664"/>
      <c r="J738" s="664"/>
      <c r="K738" s="664"/>
      <c r="L738" s="664"/>
      <c r="M738" s="664"/>
      <c r="N738" s="664"/>
      <c r="O738" s="664"/>
      <c r="P738" s="664"/>
      <c r="Q738" s="664"/>
      <c r="R738" s="664"/>
      <c r="S738" s="664"/>
      <c r="T738" s="664"/>
      <c r="U738" s="664"/>
      <c r="V738" s="664"/>
      <c r="W738" s="664"/>
      <c r="X738" s="664"/>
      <c r="Y738" s="664"/>
      <c r="Z738" s="664"/>
    </row>
    <row r="739">
      <c r="A739" s="664"/>
      <c r="B739" s="664"/>
      <c r="C739" s="664"/>
      <c r="D739" s="664"/>
      <c r="E739" s="664"/>
      <c r="F739" s="664"/>
      <c r="G739" s="664"/>
      <c r="H739" s="664"/>
      <c r="I739" s="664"/>
      <c r="J739" s="664"/>
      <c r="K739" s="664"/>
      <c r="L739" s="664"/>
      <c r="M739" s="664"/>
      <c r="N739" s="664"/>
      <c r="O739" s="664"/>
      <c r="P739" s="664"/>
      <c r="Q739" s="664"/>
      <c r="R739" s="664"/>
      <c r="S739" s="664"/>
      <c r="T739" s="664"/>
      <c r="U739" s="664"/>
      <c r="V739" s="664"/>
      <c r="W739" s="664"/>
      <c r="X739" s="664"/>
      <c r="Y739" s="664"/>
      <c r="Z739" s="664"/>
    </row>
    <row r="740">
      <c r="A740" s="664"/>
      <c r="B740" s="664"/>
      <c r="C740" s="664"/>
      <c r="D740" s="664"/>
      <c r="E740" s="664"/>
      <c r="F740" s="664"/>
      <c r="G740" s="664"/>
      <c r="H740" s="664"/>
      <c r="I740" s="664"/>
      <c r="J740" s="664"/>
      <c r="K740" s="664"/>
      <c r="L740" s="664"/>
      <c r="M740" s="664"/>
      <c r="N740" s="664"/>
      <c r="O740" s="664"/>
      <c r="P740" s="664"/>
      <c r="Q740" s="664"/>
      <c r="R740" s="664"/>
      <c r="S740" s="664"/>
      <c r="T740" s="664"/>
      <c r="U740" s="664"/>
      <c r="V740" s="664"/>
      <c r="W740" s="664"/>
      <c r="X740" s="664"/>
      <c r="Y740" s="664"/>
      <c r="Z740" s="664"/>
    </row>
    <row r="741">
      <c r="A741" s="664"/>
      <c r="B741" s="664"/>
      <c r="C741" s="664"/>
      <c r="D741" s="664"/>
      <c r="E741" s="664"/>
      <c r="F741" s="664"/>
      <c r="G741" s="664"/>
      <c r="H741" s="664"/>
      <c r="I741" s="664"/>
      <c r="J741" s="664"/>
      <c r="K741" s="664"/>
      <c r="L741" s="664"/>
      <c r="M741" s="664"/>
      <c r="N741" s="664"/>
      <c r="O741" s="664"/>
      <c r="P741" s="664"/>
      <c r="Q741" s="664"/>
      <c r="R741" s="664"/>
      <c r="S741" s="664"/>
      <c r="T741" s="664"/>
      <c r="U741" s="664"/>
      <c r="V741" s="664"/>
      <c r="W741" s="664"/>
      <c r="X741" s="664"/>
      <c r="Y741" s="664"/>
      <c r="Z741" s="664"/>
    </row>
    <row r="742">
      <c r="A742" s="664"/>
      <c r="B742" s="664"/>
      <c r="C742" s="664"/>
      <c r="D742" s="664"/>
      <c r="E742" s="664"/>
      <c r="F742" s="664"/>
      <c r="G742" s="664"/>
      <c r="H742" s="664"/>
      <c r="I742" s="664"/>
      <c r="J742" s="664"/>
      <c r="K742" s="664"/>
      <c r="L742" s="664"/>
      <c r="M742" s="664"/>
      <c r="N742" s="664"/>
      <c r="O742" s="664"/>
      <c r="P742" s="664"/>
      <c r="Q742" s="664"/>
      <c r="R742" s="664"/>
      <c r="S742" s="664"/>
      <c r="T742" s="664"/>
      <c r="U742" s="664"/>
      <c r="V742" s="664"/>
      <c r="W742" s="664"/>
      <c r="X742" s="664"/>
      <c r="Y742" s="664"/>
      <c r="Z742" s="664"/>
    </row>
    <row r="743">
      <c r="A743" s="664"/>
      <c r="B743" s="664"/>
      <c r="C743" s="664"/>
      <c r="D743" s="664"/>
      <c r="E743" s="664"/>
      <c r="F743" s="664"/>
      <c r="G743" s="664"/>
      <c r="H743" s="664"/>
      <c r="I743" s="664"/>
      <c r="J743" s="664"/>
      <c r="K743" s="664"/>
      <c r="L743" s="664"/>
      <c r="M743" s="664"/>
      <c r="N743" s="664"/>
      <c r="O743" s="664"/>
      <c r="P743" s="664"/>
      <c r="Q743" s="664"/>
      <c r="R743" s="664"/>
      <c r="S743" s="664"/>
      <c r="T743" s="664"/>
      <c r="U743" s="664"/>
      <c r="V743" s="664"/>
      <c r="W743" s="664"/>
      <c r="X743" s="664"/>
      <c r="Y743" s="664"/>
      <c r="Z743" s="664"/>
    </row>
    <row r="744">
      <c r="A744" s="664"/>
      <c r="B744" s="664"/>
      <c r="C744" s="664"/>
      <c r="D744" s="664"/>
      <c r="E744" s="664"/>
      <c r="F744" s="664"/>
      <c r="G744" s="664"/>
      <c r="H744" s="664"/>
      <c r="I744" s="664"/>
      <c r="J744" s="664"/>
      <c r="K744" s="664"/>
      <c r="L744" s="664"/>
      <c r="M744" s="664"/>
      <c r="N744" s="664"/>
      <c r="O744" s="664"/>
      <c r="P744" s="664"/>
      <c r="Q744" s="664"/>
      <c r="R744" s="664"/>
      <c r="S744" s="664"/>
      <c r="T744" s="664"/>
      <c r="U744" s="664"/>
      <c r="V744" s="664"/>
      <c r="W744" s="664"/>
      <c r="X744" s="664"/>
      <c r="Y744" s="664"/>
      <c r="Z744" s="664"/>
    </row>
    <row r="745">
      <c r="A745" s="664"/>
      <c r="B745" s="664"/>
      <c r="C745" s="664"/>
      <c r="D745" s="664"/>
      <c r="E745" s="664"/>
      <c r="F745" s="664"/>
      <c r="G745" s="664"/>
      <c r="H745" s="664"/>
      <c r="I745" s="664"/>
      <c r="J745" s="664"/>
      <c r="K745" s="664"/>
      <c r="L745" s="664"/>
      <c r="M745" s="664"/>
      <c r="N745" s="664"/>
      <c r="O745" s="664"/>
      <c r="P745" s="664"/>
      <c r="Q745" s="664"/>
      <c r="R745" s="664"/>
      <c r="S745" s="664"/>
      <c r="T745" s="664"/>
      <c r="U745" s="664"/>
      <c r="V745" s="664"/>
      <c r="W745" s="664"/>
      <c r="X745" s="664"/>
      <c r="Y745" s="664"/>
      <c r="Z745" s="664"/>
    </row>
    <row r="746">
      <c r="A746" s="664"/>
      <c r="B746" s="664"/>
      <c r="C746" s="664"/>
      <c r="D746" s="664"/>
      <c r="E746" s="664"/>
      <c r="F746" s="664"/>
      <c r="G746" s="664"/>
      <c r="H746" s="664"/>
      <c r="I746" s="664"/>
      <c r="J746" s="664"/>
      <c r="K746" s="664"/>
      <c r="L746" s="664"/>
      <c r="M746" s="664"/>
      <c r="N746" s="664"/>
      <c r="O746" s="664"/>
      <c r="P746" s="664"/>
      <c r="Q746" s="664"/>
      <c r="R746" s="664"/>
      <c r="S746" s="664"/>
      <c r="T746" s="664"/>
      <c r="U746" s="664"/>
      <c r="V746" s="664"/>
      <c r="W746" s="664"/>
      <c r="X746" s="664"/>
      <c r="Y746" s="664"/>
      <c r="Z746" s="664"/>
    </row>
    <row r="747">
      <c r="A747" s="664"/>
      <c r="B747" s="664"/>
      <c r="C747" s="664"/>
      <c r="D747" s="664"/>
      <c r="E747" s="664"/>
      <c r="F747" s="664"/>
      <c r="G747" s="664"/>
      <c r="H747" s="664"/>
      <c r="I747" s="664"/>
      <c r="J747" s="664"/>
      <c r="K747" s="664"/>
      <c r="L747" s="664"/>
      <c r="M747" s="664"/>
      <c r="N747" s="664"/>
      <c r="O747" s="664"/>
      <c r="P747" s="664"/>
      <c r="Q747" s="664"/>
      <c r="R747" s="664"/>
      <c r="S747" s="664"/>
      <c r="T747" s="664"/>
      <c r="U747" s="664"/>
      <c r="V747" s="664"/>
      <c r="W747" s="664"/>
      <c r="X747" s="664"/>
      <c r="Y747" s="664"/>
      <c r="Z747" s="664"/>
    </row>
    <row r="748">
      <c r="A748" s="664"/>
      <c r="B748" s="664"/>
      <c r="C748" s="664"/>
      <c r="D748" s="664"/>
      <c r="E748" s="664"/>
      <c r="F748" s="664"/>
      <c r="G748" s="664"/>
      <c r="H748" s="664"/>
      <c r="I748" s="664"/>
      <c r="J748" s="664"/>
      <c r="K748" s="664"/>
      <c r="L748" s="664"/>
      <c r="M748" s="664"/>
      <c r="N748" s="664"/>
      <c r="O748" s="664"/>
      <c r="P748" s="664"/>
      <c r="Q748" s="664"/>
      <c r="R748" s="664"/>
      <c r="S748" s="664"/>
      <c r="T748" s="664"/>
      <c r="U748" s="664"/>
      <c r="V748" s="664"/>
      <c r="W748" s="664"/>
      <c r="X748" s="664"/>
      <c r="Y748" s="664"/>
      <c r="Z748" s="664"/>
    </row>
    <row r="749">
      <c r="A749" s="664"/>
      <c r="B749" s="664"/>
      <c r="C749" s="664"/>
      <c r="D749" s="664"/>
      <c r="E749" s="664"/>
      <c r="F749" s="664"/>
      <c r="G749" s="664"/>
      <c r="H749" s="664"/>
      <c r="I749" s="664"/>
      <c r="J749" s="664"/>
      <c r="K749" s="664"/>
      <c r="L749" s="664"/>
      <c r="M749" s="664"/>
      <c r="N749" s="664"/>
      <c r="O749" s="664"/>
      <c r="P749" s="664"/>
      <c r="Q749" s="664"/>
      <c r="R749" s="664"/>
      <c r="S749" s="664"/>
      <c r="T749" s="664"/>
      <c r="U749" s="664"/>
      <c r="V749" s="664"/>
      <c r="W749" s="664"/>
      <c r="X749" s="664"/>
      <c r="Y749" s="664"/>
      <c r="Z749" s="664"/>
    </row>
    <row r="750">
      <c r="A750" s="664"/>
      <c r="B750" s="664"/>
      <c r="C750" s="664"/>
      <c r="D750" s="664"/>
      <c r="E750" s="664"/>
      <c r="F750" s="664"/>
      <c r="G750" s="664"/>
      <c r="H750" s="664"/>
      <c r="I750" s="664"/>
      <c r="J750" s="664"/>
      <c r="K750" s="664"/>
      <c r="L750" s="664"/>
      <c r="M750" s="664"/>
      <c r="N750" s="664"/>
      <c r="O750" s="664"/>
      <c r="P750" s="664"/>
      <c r="Q750" s="664"/>
      <c r="R750" s="664"/>
      <c r="S750" s="664"/>
      <c r="T750" s="664"/>
      <c r="U750" s="664"/>
      <c r="V750" s="664"/>
      <c r="W750" s="664"/>
      <c r="X750" s="664"/>
      <c r="Y750" s="664"/>
      <c r="Z750" s="664"/>
    </row>
    <row r="751">
      <c r="A751" s="664"/>
      <c r="B751" s="664"/>
      <c r="C751" s="664"/>
      <c r="D751" s="664"/>
      <c r="E751" s="664"/>
      <c r="F751" s="664"/>
      <c r="G751" s="664"/>
      <c r="H751" s="664"/>
      <c r="I751" s="664"/>
      <c r="J751" s="664"/>
      <c r="K751" s="664"/>
      <c r="L751" s="664"/>
      <c r="M751" s="664"/>
      <c r="N751" s="664"/>
      <c r="O751" s="664"/>
      <c r="P751" s="664"/>
      <c r="Q751" s="664"/>
      <c r="R751" s="664"/>
      <c r="S751" s="664"/>
      <c r="T751" s="664"/>
      <c r="U751" s="664"/>
      <c r="V751" s="664"/>
      <c r="W751" s="664"/>
      <c r="X751" s="664"/>
      <c r="Y751" s="664"/>
      <c r="Z751" s="664"/>
    </row>
    <row r="752">
      <c r="A752" s="664"/>
      <c r="B752" s="664"/>
      <c r="C752" s="664"/>
      <c r="D752" s="664"/>
      <c r="E752" s="664"/>
      <c r="F752" s="664"/>
      <c r="G752" s="664"/>
      <c r="H752" s="664"/>
      <c r="I752" s="664"/>
      <c r="J752" s="664"/>
      <c r="K752" s="664"/>
      <c r="L752" s="664"/>
      <c r="M752" s="664"/>
      <c r="N752" s="664"/>
      <c r="O752" s="664"/>
      <c r="P752" s="664"/>
      <c r="Q752" s="664"/>
      <c r="R752" s="664"/>
      <c r="S752" s="664"/>
      <c r="T752" s="664"/>
      <c r="U752" s="664"/>
      <c r="V752" s="664"/>
      <c r="W752" s="664"/>
      <c r="X752" s="664"/>
      <c r="Y752" s="664"/>
      <c r="Z752" s="664"/>
    </row>
    <row r="753">
      <c r="A753" s="664"/>
      <c r="B753" s="664"/>
      <c r="C753" s="664"/>
      <c r="D753" s="664"/>
      <c r="E753" s="664"/>
      <c r="F753" s="664"/>
      <c r="G753" s="664"/>
      <c r="H753" s="664"/>
      <c r="I753" s="664"/>
      <c r="J753" s="664"/>
      <c r="K753" s="664"/>
      <c r="L753" s="664"/>
      <c r="M753" s="664"/>
      <c r="N753" s="664"/>
      <c r="O753" s="664"/>
      <c r="P753" s="664"/>
      <c r="Q753" s="664"/>
      <c r="R753" s="664"/>
      <c r="S753" s="664"/>
      <c r="T753" s="664"/>
      <c r="U753" s="664"/>
      <c r="V753" s="664"/>
      <c r="W753" s="664"/>
      <c r="X753" s="664"/>
      <c r="Y753" s="664"/>
      <c r="Z753" s="664"/>
    </row>
    <row r="754">
      <c r="A754" s="664"/>
      <c r="B754" s="664"/>
      <c r="C754" s="664"/>
      <c r="D754" s="664"/>
      <c r="E754" s="664"/>
      <c r="F754" s="664"/>
      <c r="G754" s="664"/>
      <c r="H754" s="664"/>
      <c r="I754" s="664"/>
      <c r="J754" s="664"/>
      <c r="K754" s="664"/>
      <c r="L754" s="664"/>
      <c r="M754" s="664"/>
      <c r="N754" s="664"/>
      <c r="O754" s="664"/>
      <c r="P754" s="664"/>
      <c r="Q754" s="664"/>
      <c r="R754" s="664"/>
      <c r="S754" s="664"/>
      <c r="T754" s="664"/>
      <c r="U754" s="664"/>
      <c r="V754" s="664"/>
      <c r="W754" s="664"/>
      <c r="X754" s="664"/>
      <c r="Y754" s="664"/>
      <c r="Z754" s="664"/>
    </row>
    <row r="755">
      <c r="A755" s="664"/>
      <c r="B755" s="664"/>
      <c r="C755" s="664"/>
      <c r="D755" s="664"/>
      <c r="E755" s="664"/>
      <c r="F755" s="664"/>
      <c r="G755" s="664"/>
      <c r="H755" s="664"/>
      <c r="I755" s="664"/>
      <c r="J755" s="664"/>
      <c r="K755" s="664"/>
      <c r="L755" s="664"/>
      <c r="M755" s="664"/>
      <c r="N755" s="664"/>
      <c r="O755" s="664"/>
      <c r="P755" s="664"/>
      <c r="Q755" s="664"/>
      <c r="R755" s="664"/>
      <c r="S755" s="664"/>
      <c r="T755" s="664"/>
      <c r="U755" s="664"/>
      <c r="V755" s="664"/>
      <c r="W755" s="664"/>
      <c r="X755" s="664"/>
      <c r="Y755" s="664"/>
      <c r="Z755" s="664"/>
    </row>
    <row r="756">
      <c r="A756" s="664"/>
      <c r="B756" s="664"/>
      <c r="C756" s="664"/>
      <c r="D756" s="664"/>
      <c r="E756" s="664"/>
      <c r="F756" s="664"/>
      <c r="G756" s="664"/>
      <c r="H756" s="664"/>
      <c r="I756" s="664"/>
      <c r="J756" s="664"/>
      <c r="K756" s="664"/>
      <c r="L756" s="664"/>
      <c r="M756" s="664"/>
      <c r="N756" s="664"/>
      <c r="O756" s="664"/>
      <c r="P756" s="664"/>
      <c r="Q756" s="664"/>
      <c r="R756" s="664"/>
      <c r="S756" s="664"/>
      <c r="T756" s="664"/>
      <c r="U756" s="664"/>
      <c r="V756" s="664"/>
      <c r="W756" s="664"/>
      <c r="X756" s="664"/>
      <c r="Y756" s="664"/>
      <c r="Z756" s="664"/>
    </row>
    <row r="757">
      <c r="A757" s="664"/>
      <c r="B757" s="664"/>
      <c r="C757" s="664"/>
      <c r="D757" s="664"/>
      <c r="E757" s="664"/>
      <c r="F757" s="664"/>
      <c r="G757" s="664"/>
      <c r="H757" s="664"/>
      <c r="I757" s="664"/>
      <c r="J757" s="664"/>
      <c r="K757" s="664"/>
      <c r="L757" s="664"/>
      <c r="M757" s="664"/>
      <c r="N757" s="664"/>
      <c r="O757" s="664"/>
      <c r="P757" s="664"/>
      <c r="Q757" s="664"/>
      <c r="R757" s="664"/>
      <c r="S757" s="664"/>
      <c r="T757" s="664"/>
      <c r="U757" s="664"/>
      <c r="V757" s="664"/>
      <c r="W757" s="664"/>
      <c r="X757" s="664"/>
      <c r="Y757" s="664"/>
      <c r="Z757" s="664"/>
    </row>
    <row r="758">
      <c r="A758" s="664"/>
      <c r="B758" s="664"/>
      <c r="C758" s="664"/>
      <c r="D758" s="664"/>
      <c r="E758" s="664"/>
      <c r="F758" s="664"/>
      <c r="G758" s="664"/>
      <c r="H758" s="664"/>
      <c r="I758" s="664"/>
      <c r="J758" s="664"/>
      <c r="K758" s="664"/>
      <c r="L758" s="664"/>
      <c r="M758" s="664"/>
      <c r="N758" s="664"/>
      <c r="O758" s="664"/>
      <c r="P758" s="664"/>
      <c r="Q758" s="664"/>
      <c r="R758" s="664"/>
      <c r="S758" s="664"/>
      <c r="T758" s="664"/>
      <c r="U758" s="664"/>
      <c r="V758" s="664"/>
      <c r="W758" s="664"/>
      <c r="X758" s="664"/>
      <c r="Y758" s="664"/>
      <c r="Z758" s="664"/>
    </row>
    <row r="759">
      <c r="A759" s="664"/>
      <c r="B759" s="664"/>
      <c r="C759" s="664"/>
      <c r="D759" s="664"/>
      <c r="E759" s="664"/>
      <c r="F759" s="664"/>
      <c r="G759" s="664"/>
      <c r="H759" s="664"/>
      <c r="I759" s="664"/>
      <c r="J759" s="664"/>
      <c r="K759" s="664"/>
      <c r="L759" s="664"/>
      <c r="M759" s="664"/>
      <c r="N759" s="664"/>
      <c r="O759" s="664"/>
      <c r="P759" s="664"/>
      <c r="Q759" s="664"/>
      <c r="R759" s="664"/>
      <c r="S759" s="664"/>
      <c r="T759" s="664"/>
      <c r="U759" s="664"/>
      <c r="V759" s="664"/>
      <c r="W759" s="664"/>
      <c r="X759" s="664"/>
      <c r="Y759" s="664"/>
      <c r="Z759" s="664"/>
    </row>
    <row r="760">
      <c r="A760" s="664"/>
      <c r="B760" s="664"/>
      <c r="C760" s="664"/>
      <c r="D760" s="664"/>
      <c r="E760" s="664"/>
      <c r="F760" s="664"/>
      <c r="G760" s="664"/>
      <c r="H760" s="664"/>
      <c r="I760" s="664"/>
      <c r="J760" s="664"/>
      <c r="K760" s="664"/>
      <c r="L760" s="664"/>
      <c r="M760" s="664"/>
      <c r="N760" s="664"/>
      <c r="O760" s="664"/>
      <c r="P760" s="664"/>
      <c r="Q760" s="664"/>
      <c r="R760" s="664"/>
      <c r="S760" s="664"/>
      <c r="T760" s="664"/>
      <c r="U760" s="664"/>
      <c r="V760" s="664"/>
      <c r="W760" s="664"/>
      <c r="X760" s="664"/>
      <c r="Y760" s="664"/>
      <c r="Z760" s="664"/>
    </row>
    <row r="761">
      <c r="A761" s="664"/>
      <c r="B761" s="664"/>
      <c r="C761" s="664"/>
      <c r="D761" s="664"/>
      <c r="E761" s="664"/>
      <c r="F761" s="664"/>
      <c r="G761" s="664"/>
      <c r="H761" s="664"/>
      <c r="I761" s="664"/>
      <c r="J761" s="664"/>
      <c r="K761" s="664"/>
      <c r="L761" s="664"/>
      <c r="M761" s="664"/>
      <c r="N761" s="664"/>
      <c r="O761" s="664"/>
      <c r="P761" s="664"/>
      <c r="Q761" s="664"/>
      <c r="R761" s="664"/>
      <c r="S761" s="664"/>
      <c r="T761" s="664"/>
      <c r="U761" s="664"/>
      <c r="V761" s="664"/>
      <c r="W761" s="664"/>
      <c r="X761" s="664"/>
      <c r="Y761" s="664"/>
      <c r="Z761" s="664"/>
    </row>
    <row r="762">
      <c r="A762" s="664"/>
      <c r="B762" s="664"/>
      <c r="C762" s="664"/>
      <c r="D762" s="664"/>
      <c r="E762" s="664"/>
      <c r="F762" s="664"/>
      <c r="G762" s="664"/>
      <c r="H762" s="664"/>
      <c r="I762" s="664"/>
      <c r="J762" s="664"/>
      <c r="K762" s="664"/>
      <c r="L762" s="664"/>
      <c r="M762" s="664"/>
      <c r="N762" s="664"/>
      <c r="O762" s="664"/>
      <c r="P762" s="664"/>
      <c r="Q762" s="664"/>
      <c r="R762" s="664"/>
      <c r="S762" s="664"/>
      <c r="T762" s="664"/>
      <c r="U762" s="664"/>
      <c r="V762" s="664"/>
      <c r="W762" s="664"/>
      <c r="X762" s="664"/>
      <c r="Y762" s="664"/>
      <c r="Z762" s="664"/>
    </row>
    <row r="763">
      <c r="A763" s="664"/>
      <c r="B763" s="664"/>
      <c r="C763" s="664"/>
      <c r="D763" s="664"/>
      <c r="E763" s="664"/>
      <c r="F763" s="664"/>
      <c r="G763" s="664"/>
      <c r="H763" s="664"/>
      <c r="I763" s="664"/>
      <c r="J763" s="664"/>
      <c r="K763" s="664"/>
      <c r="L763" s="664"/>
      <c r="M763" s="664"/>
      <c r="N763" s="664"/>
      <c r="O763" s="664"/>
      <c r="P763" s="664"/>
      <c r="Q763" s="664"/>
      <c r="R763" s="664"/>
      <c r="S763" s="664"/>
      <c r="T763" s="664"/>
      <c r="U763" s="664"/>
      <c r="V763" s="664"/>
      <c r="W763" s="664"/>
      <c r="X763" s="664"/>
      <c r="Y763" s="664"/>
      <c r="Z763" s="664"/>
    </row>
    <row r="764">
      <c r="A764" s="664"/>
      <c r="B764" s="664"/>
      <c r="C764" s="664"/>
      <c r="D764" s="664"/>
      <c r="E764" s="664"/>
      <c r="F764" s="664"/>
      <c r="G764" s="664"/>
      <c r="H764" s="664"/>
      <c r="I764" s="664"/>
      <c r="J764" s="664"/>
      <c r="K764" s="664"/>
      <c r="L764" s="664"/>
      <c r="M764" s="664"/>
      <c r="N764" s="664"/>
      <c r="O764" s="664"/>
      <c r="P764" s="664"/>
      <c r="Q764" s="664"/>
      <c r="R764" s="664"/>
      <c r="S764" s="664"/>
      <c r="T764" s="664"/>
      <c r="U764" s="664"/>
      <c r="V764" s="664"/>
      <c r="W764" s="664"/>
      <c r="X764" s="664"/>
      <c r="Y764" s="664"/>
      <c r="Z764" s="664"/>
    </row>
    <row r="765">
      <c r="A765" s="664"/>
      <c r="B765" s="664"/>
      <c r="C765" s="664"/>
      <c r="D765" s="664"/>
      <c r="E765" s="664"/>
      <c r="F765" s="664"/>
      <c r="G765" s="664"/>
      <c r="H765" s="664"/>
      <c r="I765" s="664"/>
      <c r="J765" s="664"/>
      <c r="K765" s="664"/>
      <c r="L765" s="664"/>
      <c r="M765" s="664"/>
      <c r="N765" s="664"/>
      <c r="O765" s="664"/>
      <c r="P765" s="664"/>
      <c r="Q765" s="664"/>
      <c r="R765" s="664"/>
      <c r="S765" s="664"/>
      <c r="T765" s="664"/>
      <c r="U765" s="664"/>
      <c r="V765" s="664"/>
      <c r="W765" s="664"/>
      <c r="X765" s="664"/>
      <c r="Y765" s="664"/>
      <c r="Z765" s="664"/>
    </row>
    <row r="766">
      <c r="A766" s="664"/>
      <c r="B766" s="664"/>
      <c r="C766" s="664"/>
      <c r="D766" s="664"/>
      <c r="E766" s="664"/>
      <c r="F766" s="664"/>
      <c r="G766" s="664"/>
      <c r="H766" s="664"/>
      <c r="I766" s="664"/>
      <c r="J766" s="664"/>
      <c r="K766" s="664"/>
      <c r="L766" s="664"/>
      <c r="M766" s="664"/>
      <c r="N766" s="664"/>
      <c r="O766" s="664"/>
      <c r="P766" s="664"/>
      <c r="Q766" s="664"/>
      <c r="R766" s="664"/>
      <c r="S766" s="664"/>
      <c r="T766" s="664"/>
      <c r="U766" s="664"/>
      <c r="V766" s="664"/>
      <c r="W766" s="664"/>
      <c r="X766" s="664"/>
      <c r="Y766" s="664"/>
      <c r="Z766" s="664"/>
    </row>
    <row r="767">
      <c r="A767" s="664"/>
      <c r="B767" s="664"/>
      <c r="C767" s="664"/>
      <c r="D767" s="664"/>
      <c r="E767" s="664"/>
      <c r="F767" s="664"/>
      <c r="G767" s="664"/>
      <c r="H767" s="664"/>
      <c r="I767" s="664"/>
      <c r="J767" s="664"/>
      <c r="K767" s="664"/>
      <c r="L767" s="664"/>
      <c r="M767" s="664"/>
      <c r="N767" s="664"/>
      <c r="O767" s="664"/>
      <c r="P767" s="664"/>
      <c r="Q767" s="664"/>
      <c r="R767" s="664"/>
      <c r="S767" s="664"/>
      <c r="T767" s="664"/>
      <c r="U767" s="664"/>
      <c r="V767" s="664"/>
      <c r="W767" s="664"/>
      <c r="X767" s="664"/>
      <c r="Y767" s="664"/>
      <c r="Z767" s="664"/>
    </row>
    <row r="768">
      <c r="A768" s="664"/>
      <c r="B768" s="664"/>
      <c r="C768" s="664"/>
      <c r="D768" s="664"/>
      <c r="E768" s="664"/>
      <c r="F768" s="664"/>
      <c r="G768" s="664"/>
      <c r="H768" s="664"/>
      <c r="I768" s="664"/>
      <c r="J768" s="664"/>
      <c r="K768" s="664"/>
      <c r="L768" s="664"/>
      <c r="M768" s="664"/>
      <c r="N768" s="664"/>
      <c r="O768" s="664"/>
      <c r="P768" s="664"/>
      <c r="Q768" s="664"/>
      <c r="R768" s="664"/>
      <c r="S768" s="664"/>
      <c r="T768" s="664"/>
      <c r="U768" s="664"/>
      <c r="V768" s="664"/>
      <c r="W768" s="664"/>
      <c r="X768" s="664"/>
      <c r="Y768" s="664"/>
      <c r="Z768" s="664"/>
    </row>
    <row r="769">
      <c r="A769" s="664"/>
      <c r="B769" s="664"/>
      <c r="C769" s="664"/>
      <c r="D769" s="664"/>
      <c r="E769" s="664"/>
      <c r="F769" s="664"/>
      <c r="G769" s="664"/>
      <c r="H769" s="664"/>
      <c r="I769" s="664"/>
      <c r="J769" s="664"/>
      <c r="K769" s="664"/>
      <c r="L769" s="664"/>
      <c r="M769" s="664"/>
      <c r="N769" s="664"/>
      <c r="O769" s="664"/>
      <c r="P769" s="664"/>
      <c r="Q769" s="664"/>
      <c r="R769" s="664"/>
      <c r="S769" s="664"/>
      <c r="T769" s="664"/>
      <c r="U769" s="664"/>
      <c r="V769" s="664"/>
      <c r="W769" s="664"/>
      <c r="X769" s="664"/>
      <c r="Y769" s="664"/>
      <c r="Z769" s="664"/>
    </row>
    <row r="770">
      <c r="A770" s="664"/>
      <c r="B770" s="664"/>
      <c r="C770" s="664"/>
      <c r="D770" s="664"/>
      <c r="E770" s="664"/>
      <c r="F770" s="664"/>
      <c r="G770" s="664"/>
      <c r="H770" s="664"/>
      <c r="I770" s="664"/>
      <c r="J770" s="664"/>
      <c r="K770" s="664"/>
      <c r="L770" s="664"/>
      <c r="M770" s="664"/>
      <c r="N770" s="664"/>
      <c r="O770" s="664"/>
      <c r="P770" s="664"/>
      <c r="Q770" s="664"/>
      <c r="R770" s="664"/>
      <c r="S770" s="664"/>
      <c r="T770" s="664"/>
      <c r="U770" s="664"/>
      <c r="V770" s="664"/>
      <c r="W770" s="664"/>
      <c r="X770" s="664"/>
      <c r="Y770" s="664"/>
      <c r="Z770" s="664"/>
    </row>
    <row r="771">
      <c r="A771" s="664"/>
      <c r="B771" s="664"/>
      <c r="C771" s="664"/>
      <c r="D771" s="664"/>
      <c r="E771" s="664"/>
      <c r="F771" s="664"/>
      <c r="G771" s="664"/>
      <c r="H771" s="664"/>
      <c r="I771" s="664"/>
      <c r="J771" s="664"/>
      <c r="K771" s="664"/>
      <c r="L771" s="664"/>
      <c r="M771" s="664"/>
      <c r="N771" s="664"/>
      <c r="O771" s="664"/>
      <c r="P771" s="664"/>
      <c r="Q771" s="664"/>
      <c r="R771" s="664"/>
      <c r="S771" s="664"/>
      <c r="T771" s="664"/>
      <c r="U771" s="664"/>
      <c r="V771" s="664"/>
      <c r="W771" s="664"/>
      <c r="X771" s="664"/>
      <c r="Y771" s="664"/>
      <c r="Z771" s="664"/>
    </row>
    <row r="772">
      <c r="A772" s="664"/>
      <c r="B772" s="664"/>
      <c r="C772" s="664"/>
      <c r="D772" s="664"/>
      <c r="E772" s="664"/>
      <c r="F772" s="664"/>
      <c r="G772" s="664"/>
      <c r="H772" s="664"/>
      <c r="I772" s="664"/>
      <c r="J772" s="664"/>
      <c r="K772" s="664"/>
      <c r="L772" s="664"/>
      <c r="M772" s="664"/>
      <c r="N772" s="664"/>
      <c r="O772" s="664"/>
      <c r="P772" s="664"/>
      <c r="Q772" s="664"/>
      <c r="R772" s="664"/>
      <c r="S772" s="664"/>
      <c r="T772" s="664"/>
      <c r="U772" s="664"/>
      <c r="V772" s="664"/>
      <c r="W772" s="664"/>
      <c r="X772" s="664"/>
      <c r="Y772" s="664"/>
      <c r="Z772" s="664"/>
    </row>
    <row r="773">
      <c r="A773" s="664"/>
      <c r="B773" s="664"/>
      <c r="C773" s="664"/>
      <c r="D773" s="664"/>
      <c r="E773" s="664"/>
      <c r="F773" s="664"/>
      <c r="G773" s="664"/>
      <c r="H773" s="664"/>
      <c r="I773" s="664"/>
      <c r="J773" s="664"/>
      <c r="K773" s="664"/>
      <c r="L773" s="664"/>
      <c r="M773" s="664"/>
      <c r="N773" s="664"/>
      <c r="O773" s="664"/>
      <c r="P773" s="664"/>
      <c r="Q773" s="664"/>
      <c r="R773" s="664"/>
      <c r="S773" s="664"/>
      <c r="T773" s="664"/>
      <c r="U773" s="664"/>
      <c r="V773" s="664"/>
      <c r="W773" s="664"/>
      <c r="X773" s="664"/>
      <c r="Y773" s="664"/>
      <c r="Z773" s="664"/>
    </row>
    <row r="774">
      <c r="A774" s="664"/>
      <c r="B774" s="664"/>
      <c r="C774" s="664"/>
      <c r="D774" s="664"/>
      <c r="E774" s="664"/>
      <c r="F774" s="664"/>
      <c r="G774" s="664"/>
      <c r="H774" s="664"/>
      <c r="I774" s="664"/>
      <c r="J774" s="664"/>
      <c r="K774" s="664"/>
      <c r="L774" s="664"/>
      <c r="M774" s="664"/>
      <c r="N774" s="664"/>
      <c r="O774" s="664"/>
      <c r="P774" s="664"/>
      <c r="Q774" s="664"/>
      <c r="R774" s="664"/>
      <c r="S774" s="664"/>
      <c r="T774" s="664"/>
      <c r="U774" s="664"/>
      <c r="V774" s="664"/>
      <c r="W774" s="664"/>
      <c r="X774" s="664"/>
      <c r="Y774" s="664"/>
      <c r="Z774" s="664"/>
    </row>
    <row r="775">
      <c r="A775" s="664"/>
      <c r="B775" s="664"/>
      <c r="C775" s="664"/>
      <c r="D775" s="664"/>
      <c r="E775" s="664"/>
      <c r="F775" s="664"/>
      <c r="G775" s="664"/>
      <c r="H775" s="664"/>
      <c r="I775" s="664"/>
      <c r="J775" s="664"/>
      <c r="K775" s="664"/>
      <c r="L775" s="664"/>
      <c r="M775" s="664"/>
      <c r="N775" s="664"/>
      <c r="O775" s="664"/>
      <c r="P775" s="664"/>
      <c r="Q775" s="664"/>
      <c r="R775" s="664"/>
      <c r="S775" s="664"/>
      <c r="T775" s="664"/>
      <c r="U775" s="664"/>
      <c r="V775" s="664"/>
      <c r="W775" s="664"/>
      <c r="X775" s="664"/>
      <c r="Y775" s="664"/>
      <c r="Z775" s="664"/>
    </row>
    <row r="776">
      <c r="A776" s="664"/>
      <c r="B776" s="664"/>
      <c r="C776" s="664"/>
      <c r="D776" s="664"/>
      <c r="E776" s="664"/>
      <c r="F776" s="664"/>
      <c r="G776" s="664"/>
      <c r="H776" s="664"/>
      <c r="I776" s="664"/>
      <c r="J776" s="664"/>
      <c r="K776" s="664"/>
      <c r="L776" s="664"/>
      <c r="M776" s="664"/>
      <c r="N776" s="664"/>
      <c r="O776" s="664"/>
      <c r="P776" s="664"/>
      <c r="Q776" s="664"/>
      <c r="R776" s="664"/>
      <c r="S776" s="664"/>
      <c r="T776" s="664"/>
      <c r="U776" s="664"/>
      <c r="V776" s="664"/>
      <c r="W776" s="664"/>
      <c r="X776" s="664"/>
      <c r="Y776" s="664"/>
      <c r="Z776" s="664"/>
    </row>
    <row r="777">
      <c r="A777" s="664"/>
      <c r="B777" s="664"/>
      <c r="C777" s="664"/>
      <c r="D777" s="664"/>
      <c r="E777" s="664"/>
      <c r="F777" s="664"/>
      <c r="G777" s="664"/>
      <c r="H777" s="664"/>
      <c r="I777" s="664"/>
      <c r="J777" s="664"/>
      <c r="K777" s="664"/>
      <c r="L777" s="664"/>
      <c r="M777" s="664"/>
      <c r="N777" s="664"/>
      <c r="O777" s="664"/>
      <c r="P777" s="664"/>
      <c r="Q777" s="664"/>
      <c r="R777" s="664"/>
      <c r="S777" s="664"/>
      <c r="T777" s="664"/>
      <c r="U777" s="664"/>
      <c r="V777" s="664"/>
      <c r="W777" s="664"/>
      <c r="X777" s="664"/>
      <c r="Y777" s="664"/>
      <c r="Z777" s="664"/>
    </row>
    <row r="778">
      <c r="A778" s="664"/>
      <c r="B778" s="664"/>
      <c r="C778" s="664"/>
      <c r="D778" s="664"/>
      <c r="E778" s="664"/>
      <c r="F778" s="664"/>
      <c r="G778" s="664"/>
      <c r="H778" s="664"/>
      <c r="I778" s="664"/>
      <c r="J778" s="664"/>
      <c r="K778" s="664"/>
      <c r="L778" s="664"/>
      <c r="M778" s="664"/>
      <c r="N778" s="664"/>
      <c r="O778" s="664"/>
      <c r="P778" s="664"/>
      <c r="Q778" s="664"/>
      <c r="R778" s="664"/>
      <c r="S778" s="664"/>
      <c r="T778" s="664"/>
      <c r="U778" s="664"/>
      <c r="V778" s="664"/>
      <c r="W778" s="664"/>
      <c r="X778" s="664"/>
      <c r="Y778" s="664"/>
      <c r="Z778" s="664"/>
    </row>
    <row r="779">
      <c r="A779" s="664"/>
      <c r="B779" s="664"/>
      <c r="C779" s="664"/>
      <c r="D779" s="664"/>
      <c r="E779" s="664"/>
      <c r="F779" s="664"/>
      <c r="G779" s="664"/>
      <c r="H779" s="664"/>
      <c r="I779" s="664"/>
      <c r="J779" s="664"/>
      <c r="K779" s="664"/>
      <c r="L779" s="664"/>
      <c r="M779" s="664"/>
      <c r="N779" s="664"/>
      <c r="O779" s="664"/>
      <c r="P779" s="664"/>
      <c r="Q779" s="664"/>
      <c r="R779" s="664"/>
      <c r="S779" s="664"/>
      <c r="T779" s="664"/>
      <c r="U779" s="664"/>
      <c r="V779" s="664"/>
      <c r="W779" s="664"/>
      <c r="X779" s="664"/>
      <c r="Y779" s="664"/>
      <c r="Z779" s="664"/>
    </row>
    <row r="780">
      <c r="A780" s="664"/>
      <c r="B780" s="664"/>
      <c r="C780" s="664"/>
      <c r="D780" s="664"/>
      <c r="E780" s="664"/>
      <c r="F780" s="664"/>
      <c r="G780" s="664"/>
      <c r="H780" s="664"/>
      <c r="I780" s="664"/>
      <c r="J780" s="664"/>
      <c r="K780" s="664"/>
      <c r="L780" s="664"/>
      <c r="M780" s="664"/>
      <c r="N780" s="664"/>
      <c r="O780" s="664"/>
      <c r="P780" s="664"/>
      <c r="Q780" s="664"/>
      <c r="R780" s="664"/>
      <c r="S780" s="664"/>
      <c r="T780" s="664"/>
      <c r="U780" s="664"/>
      <c r="V780" s="664"/>
      <c r="W780" s="664"/>
      <c r="X780" s="664"/>
      <c r="Y780" s="664"/>
      <c r="Z780" s="664"/>
    </row>
    <row r="781">
      <c r="A781" s="664"/>
      <c r="B781" s="664"/>
      <c r="C781" s="664"/>
      <c r="D781" s="664"/>
      <c r="E781" s="664"/>
      <c r="F781" s="664"/>
      <c r="G781" s="664"/>
      <c r="H781" s="664"/>
      <c r="I781" s="664"/>
      <c r="J781" s="664"/>
      <c r="K781" s="664"/>
      <c r="L781" s="664"/>
      <c r="M781" s="664"/>
      <c r="N781" s="664"/>
      <c r="O781" s="664"/>
      <c r="P781" s="664"/>
      <c r="Q781" s="664"/>
      <c r="R781" s="664"/>
      <c r="S781" s="664"/>
      <c r="T781" s="664"/>
      <c r="U781" s="664"/>
      <c r="V781" s="664"/>
      <c r="W781" s="664"/>
      <c r="X781" s="664"/>
      <c r="Y781" s="664"/>
      <c r="Z781" s="664"/>
    </row>
    <row r="782">
      <c r="A782" s="664"/>
      <c r="B782" s="664"/>
      <c r="C782" s="664"/>
      <c r="D782" s="664"/>
      <c r="E782" s="664"/>
      <c r="F782" s="664"/>
      <c r="G782" s="664"/>
      <c r="H782" s="664"/>
      <c r="I782" s="664"/>
      <c r="J782" s="664"/>
      <c r="K782" s="664"/>
      <c r="L782" s="664"/>
      <c r="M782" s="664"/>
      <c r="N782" s="664"/>
      <c r="O782" s="664"/>
      <c r="P782" s="664"/>
      <c r="Q782" s="664"/>
      <c r="R782" s="664"/>
      <c r="S782" s="664"/>
      <c r="T782" s="664"/>
      <c r="U782" s="664"/>
      <c r="V782" s="664"/>
      <c r="W782" s="664"/>
      <c r="X782" s="664"/>
      <c r="Y782" s="664"/>
      <c r="Z782" s="664"/>
    </row>
    <row r="783">
      <c r="A783" s="664"/>
      <c r="B783" s="664"/>
      <c r="C783" s="664"/>
      <c r="D783" s="664"/>
      <c r="E783" s="664"/>
      <c r="F783" s="664"/>
      <c r="G783" s="664"/>
      <c r="H783" s="664"/>
      <c r="I783" s="664"/>
      <c r="J783" s="664"/>
      <c r="K783" s="664"/>
      <c r="L783" s="664"/>
      <c r="M783" s="664"/>
      <c r="N783" s="664"/>
      <c r="O783" s="664"/>
      <c r="P783" s="664"/>
      <c r="Q783" s="664"/>
      <c r="R783" s="664"/>
      <c r="S783" s="664"/>
      <c r="T783" s="664"/>
      <c r="U783" s="664"/>
      <c r="V783" s="664"/>
      <c r="W783" s="664"/>
      <c r="X783" s="664"/>
      <c r="Y783" s="664"/>
      <c r="Z783" s="664"/>
    </row>
    <row r="784">
      <c r="A784" s="664"/>
      <c r="B784" s="664"/>
      <c r="C784" s="664"/>
      <c r="D784" s="664"/>
      <c r="E784" s="664"/>
      <c r="F784" s="664"/>
      <c r="G784" s="664"/>
      <c r="H784" s="664"/>
      <c r="I784" s="664"/>
      <c r="J784" s="664"/>
      <c r="K784" s="664"/>
      <c r="L784" s="664"/>
      <c r="M784" s="664"/>
      <c r="N784" s="664"/>
      <c r="O784" s="664"/>
      <c r="P784" s="664"/>
      <c r="Q784" s="664"/>
      <c r="R784" s="664"/>
      <c r="S784" s="664"/>
      <c r="T784" s="664"/>
      <c r="U784" s="664"/>
      <c r="V784" s="664"/>
      <c r="W784" s="664"/>
      <c r="X784" s="664"/>
      <c r="Y784" s="664"/>
      <c r="Z784" s="664"/>
    </row>
    <row r="785">
      <c r="A785" s="664"/>
      <c r="B785" s="664"/>
      <c r="C785" s="664"/>
      <c r="D785" s="664"/>
      <c r="E785" s="664"/>
      <c r="F785" s="664"/>
      <c r="G785" s="664"/>
      <c r="H785" s="664"/>
      <c r="I785" s="664"/>
      <c r="J785" s="664"/>
      <c r="K785" s="664"/>
      <c r="L785" s="664"/>
      <c r="M785" s="664"/>
      <c r="N785" s="664"/>
      <c r="O785" s="664"/>
      <c r="P785" s="664"/>
      <c r="Q785" s="664"/>
      <c r="R785" s="664"/>
      <c r="S785" s="664"/>
      <c r="T785" s="664"/>
      <c r="U785" s="664"/>
      <c r="V785" s="664"/>
      <c r="W785" s="664"/>
      <c r="X785" s="664"/>
      <c r="Y785" s="664"/>
      <c r="Z785" s="664"/>
    </row>
    <row r="786">
      <c r="A786" s="664"/>
      <c r="B786" s="664"/>
      <c r="C786" s="664"/>
      <c r="D786" s="664"/>
      <c r="E786" s="664"/>
      <c r="F786" s="664"/>
      <c r="G786" s="664"/>
      <c r="H786" s="664"/>
      <c r="I786" s="664"/>
      <c r="J786" s="664"/>
      <c r="K786" s="664"/>
      <c r="L786" s="664"/>
      <c r="M786" s="664"/>
      <c r="N786" s="664"/>
      <c r="O786" s="664"/>
      <c r="P786" s="664"/>
      <c r="Q786" s="664"/>
      <c r="R786" s="664"/>
      <c r="S786" s="664"/>
      <c r="T786" s="664"/>
      <c r="U786" s="664"/>
      <c r="V786" s="664"/>
      <c r="W786" s="664"/>
      <c r="X786" s="664"/>
      <c r="Y786" s="664"/>
      <c r="Z786" s="664"/>
    </row>
    <row r="787">
      <c r="A787" s="664"/>
      <c r="B787" s="664"/>
      <c r="C787" s="664"/>
      <c r="D787" s="664"/>
      <c r="E787" s="664"/>
      <c r="F787" s="664"/>
      <c r="G787" s="664"/>
      <c r="H787" s="664"/>
      <c r="I787" s="664"/>
      <c r="J787" s="664"/>
      <c r="K787" s="664"/>
      <c r="L787" s="664"/>
      <c r="M787" s="664"/>
      <c r="N787" s="664"/>
      <c r="O787" s="664"/>
      <c r="P787" s="664"/>
      <c r="Q787" s="664"/>
      <c r="R787" s="664"/>
      <c r="S787" s="664"/>
      <c r="T787" s="664"/>
      <c r="U787" s="664"/>
      <c r="V787" s="664"/>
      <c r="W787" s="664"/>
      <c r="X787" s="664"/>
      <c r="Y787" s="664"/>
      <c r="Z787" s="664"/>
    </row>
    <row r="788">
      <c r="A788" s="664"/>
      <c r="B788" s="664"/>
      <c r="C788" s="664"/>
      <c r="D788" s="664"/>
      <c r="E788" s="664"/>
      <c r="F788" s="664"/>
      <c r="G788" s="664"/>
      <c r="H788" s="664"/>
      <c r="I788" s="664"/>
      <c r="J788" s="664"/>
      <c r="K788" s="664"/>
      <c r="L788" s="664"/>
      <c r="M788" s="664"/>
      <c r="N788" s="664"/>
      <c r="O788" s="664"/>
      <c r="P788" s="664"/>
      <c r="Q788" s="664"/>
      <c r="R788" s="664"/>
      <c r="S788" s="664"/>
      <c r="T788" s="664"/>
      <c r="U788" s="664"/>
      <c r="V788" s="664"/>
      <c r="W788" s="664"/>
      <c r="X788" s="664"/>
      <c r="Y788" s="664"/>
      <c r="Z788" s="664"/>
    </row>
    <row r="789">
      <c r="A789" s="664"/>
      <c r="B789" s="664"/>
      <c r="C789" s="664"/>
      <c r="D789" s="664"/>
      <c r="E789" s="664"/>
      <c r="F789" s="664"/>
      <c r="G789" s="664"/>
      <c r="H789" s="664"/>
      <c r="I789" s="664"/>
      <c r="J789" s="664"/>
      <c r="K789" s="664"/>
      <c r="L789" s="664"/>
      <c r="M789" s="664"/>
      <c r="N789" s="664"/>
      <c r="O789" s="664"/>
      <c r="P789" s="664"/>
      <c r="Q789" s="664"/>
      <c r="R789" s="664"/>
      <c r="S789" s="664"/>
      <c r="T789" s="664"/>
      <c r="U789" s="664"/>
      <c r="V789" s="664"/>
      <c r="W789" s="664"/>
      <c r="X789" s="664"/>
      <c r="Y789" s="664"/>
      <c r="Z789" s="664"/>
    </row>
    <row r="790">
      <c r="A790" s="664"/>
      <c r="B790" s="664"/>
      <c r="C790" s="664"/>
      <c r="D790" s="664"/>
      <c r="E790" s="664"/>
      <c r="F790" s="664"/>
      <c r="G790" s="664"/>
      <c r="H790" s="664"/>
      <c r="I790" s="664"/>
      <c r="J790" s="664"/>
      <c r="K790" s="664"/>
      <c r="L790" s="664"/>
      <c r="M790" s="664"/>
      <c r="N790" s="664"/>
      <c r="O790" s="664"/>
      <c r="P790" s="664"/>
      <c r="Q790" s="664"/>
      <c r="R790" s="664"/>
      <c r="S790" s="664"/>
      <c r="T790" s="664"/>
      <c r="U790" s="664"/>
      <c r="V790" s="664"/>
      <c r="W790" s="664"/>
      <c r="X790" s="664"/>
      <c r="Y790" s="664"/>
      <c r="Z790" s="664"/>
    </row>
    <row r="791">
      <c r="A791" s="664"/>
      <c r="B791" s="664"/>
      <c r="C791" s="664"/>
      <c r="D791" s="664"/>
      <c r="E791" s="664"/>
      <c r="F791" s="664"/>
      <c r="G791" s="664"/>
      <c r="H791" s="664"/>
      <c r="I791" s="664"/>
      <c r="J791" s="664"/>
      <c r="K791" s="664"/>
      <c r="L791" s="664"/>
      <c r="M791" s="664"/>
      <c r="N791" s="664"/>
      <c r="O791" s="664"/>
      <c r="P791" s="664"/>
      <c r="Q791" s="664"/>
      <c r="R791" s="664"/>
      <c r="S791" s="664"/>
      <c r="T791" s="664"/>
      <c r="U791" s="664"/>
      <c r="V791" s="664"/>
      <c r="W791" s="664"/>
      <c r="X791" s="664"/>
      <c r="Y791" s="664"/>
      <c r="Z791" s="664"/>
    </row>
    <row r="792">
      <c r="A792" s="664"/>
      <c r="B792" s="664"/>
      <c r="C792" s="664"/>
      <c r="D792" s="664"/>
      <c r="E792" s="664"/>
      <c r="F792" s="664"/>
      <c r="G792" s="664"/>
      <c r="H792" s="664"/>
      <c r="I792" s="664"/>
      <c r="J792" s="664"/>
      <c r="K792" s="664"/>
      <c r="L792" s="664"/>
      <c r="M792" s="664"/>
      <c r="N792" s="664"/>
      <c r="O792" s="664"/>
      <c r="P792" s="664"/>
      <c r="Q792" s="664"/>
      <c r="R792" s="664"/>
      <c r="S792" s="664"/>
      <c r="T792" s="664"/>
      <c r="U792" s="664"/>
      <c r="V792" s="664"/>
      <c r="W792" s="664"/>
      <c r="X792" s="664"/>
      <c r="Y792" s="664"/>
      <c r="Z792" s="664"/>
    </row>
    <row r="793">
      <c r="A793" s="664"/>
      <c r="B793" s="664"/>
      <c r="C793" s="664"/>
      <c r="D793" s="664"/>
      <c r="E793" s="664"/>
      <c r="F793" s="664"/>
      <c r="G793" s="664"/>
      <c r="H793" s="664"/>
      <c r="I793" s="664"/>
      <c r="J793" s="664"/>
      <c r="K793" s="664"/>
      <c r="L793" s="664"/>
      <c r="M793" s="664"/>
      <c r="N793" s="664"/>
      <c r="O793" s="664"/>
      <c r="P793" s="664"/>
      <c r="Q793" s="664"/>
      <c r="R793" s="664"/>
      <c r="S793" s="664"/>
      <c r="T793" s="664"/>
      <c r="U793" s="664"/>
      <c r="V793" s="664"/>
      <c r="W793" s="664"/>
      <c r="X793" s="664"/>
      <c r="Y793" s="664"/>
      <c r="Z793" s="664"/>
    </row>
    <row r="794">
      <c r="A794" s="664"/>
      <c r="B794" s="664"/>
      <c r="C794" s="664"/>
      <c r="D794" s="664"/>
      <c r="E794" s="664"/>
      <c r="F794" s="664"/>
      <c r="G794" s="664"/>
      <c r="H794" s="664"/>
      <c r="I794" s="664"/>
      <c r="J794" s="664"/>
      <c r="K794" s="664"/>
      <c r="L794" s="664"/>
      <c r="M794" s="664"/>
      <c r="N794" s="664"/>
      <c r="O794" s="664"/>
      <c r="P794" s="664"/>
      <c r="Q794" s="664"/>
      <c r="R794" s="664"/>
      <c r="S794" s="664"/>
      <c r="T794" s="664"/>
      <c r="U794" s="664"/>
      <c r="V794" s="664"/>
      <c r="W794" s="664"/>
      <c r="X794" s="664"/>
      <c r="Y794" s="664"/>
      <c r="Z794" s="664"/>
    </row>
    <row r="795">
      <c r="A795" s="664"/>
      <c r="B795" s="664"/>
      <c r="C795" s="664"/>
      <c r="D795" s="664"/>
      <c r="E795" s="664"/>
      <c r="F795" s="664"/>
      <c r="G795" s="664"/>
      <c r="H795" s="664"/>
      <c r="I795" s="664"/>
      <c r="J795" s="664"/>
      <c r="K795" s="664"/>
      <c r="L795" s="664"/>
      <c r="M795" s="664"/>
      <c r="N795" s="664"/>
      <c r="O795" s="664"/>
      <c r="P795" s="664"/>
      <c r="Q795" s="664"/>
      <c r="R795" s="664"/>
      <c r="S795" s="664"/>
      <c r="T795" s="664"/>
      <c r="U795" s="664"/>
      <c r="V795" s="664"/>
      <c r="W795" s="664"/>
      <c r="X795" s="664"/>
      <c r="Y795" s="664"/>
      <c r="Z795" s="664"/>
    </row>
    <row r="796">
      <c r="A796" s="664"/>
      <c r="B796" s="664"/>
      <c r="C796" s="664"/>
      <c r="D796" s="664"/>
      <c r="E796" s="664"/>
      <c r="F796" s="664"/>
      <c r="G796" s="664"/>
      <c r="H796" s="664"/>
      <c r="I796" s="664"/>
      <c r="J796" s="664"/>
      <c r="K796" s="664"/>
      <c r="L796" s="664"/>
      <c r="M796" s="664"/>
      <c r="N796" s="664"/>
      <c r="O796" s="664"/>
      <c r="P796" s="664"/>
      <c r="Q796" s="664"/>
      <c r="R796" s="664"/>
      <c r="S796" s="664"/>
      <c r="T796" s="664"/>
      <c r="U796" s="664"/>
      <c r="V796" s="664"/>
      <c r="W796" s="664"/>
      <c r="X796" s="664"/>
      <c r="Y796" s="664"/>
      <c r="Z796" s="664"/>
    </row>
    <row r="797">
      <c r="A797" s="664"/>
      <c r="B797" s="664"/>
      <c r="C797" s="664"/>
      <c r="D797" s="664"/>
      <c r="E797" s="664"/>
      <c r="F797" s="664"/>
      <c r="G797" s="664"/>
      <c r="H797" s="664"/>
      <c r="I797" s="664"/>
      <c r="J797" s="664"/>
      <c r="K797" s="664"/>
      <c r="L797" s="664"/>
      <c r="M797" s="664"/>
      <c r="N797" s="664"/>
      <c r="O797" s="664"/>
      <c r="P797" s="664"/>
      <c r="Q797" s="664"/>
      <c r="R797" s="664"/>
      <c r="S797" s="664"/>
      <c r="T797" s="664"/>
      <c r="U797" s="664"/>
      <c r="V797" s="664"/>
      <c r="W797" s="664"/>
      <c r="X797" s="664"/>
      <c r="Y797" s="664"/>
      <c r="Z797" s="664"/>
    </row>
    <row r="798">
      <c r="A798" s="664"/>
      <c r="B798" s="664"/>
      <c r="C798" s="664"/>
      <c r="D798" s="664"/>
      <c r="E798" s="664"/>
      <c r="F798" s="664"/>
      <c r="G798" s="664"/>
      <c r="H798" s="664"/>
      <c r="I798" s="664"/>
      <c r="J798" s="664"/>
      <c r="K798" s="664"/>
      <c r="L798" s="664"/>
      <c r="M798" s="664"/>
      <c r="N798" s="664"/>
      <c r="O798" s="664"/>
      <c r="P798" s="664"/>
      <c r="Q798" s="664"/>
      <c r="R798" s="664"/>
      <c r="S798" s="664"/>
      <c r="T798" s="664"/>
      <c r="U798" s="664"/>
      <c r="V798" s="664"/>
      <c r="W798" s="664"/>
      <c r="X798" s="664"/>
      <c r="Y798" s="664"/>
      <c r="Z798" s="664"/>
    </row>
    <row r="799">
      <c r="A799" s="664"/>
      <c r="B799" s="664"/>
      <c r="C799" s="664"/>
      <c r="D799" s="664"/>
      <c r="E799" s="664"/>
      <c r="F799" s="664"/>
      <c r="G799" s="664"/>
      <c r="H799" s="664"/>
      <c r="I799" s="664"/>
      <c r="J799" s="664"/>
      <c r="K799" s="664"/>
      <c r="L799" s="664"/>
      <c r="M799" s="664"/>
      <c r="N799" s="664"/>
      <c r="O799" s="664"/>
      <c r="P799" s="664"/>
      <c r="Q799" s="664"/>
      <c r="R799" s="664"/>
      <c r="S799" s="664"/>
      <c r="T799" s="664"/>
      <c r="U799" s="664"/>
      <c r="V799" s="664"/>
      <c r="W799" s="664"/>
      <c r="X799" s="664"/>
      <c r="Y799" s="664"/>
      <c r="Z799" s="664"/>
    </row>
    <row r="800">
      <c r="A800" s="664"/>
      <c r="B800" s="664"/>
      <c r="C800" s="664"/>
      <c r="D800" s="664"/>
      <c r="E800" s="664"/>
      <c r="F800" s="664"/>
      <c r="G800" s="664"/>
      <c r="H800" s="664"/>
      <c r="I800" s="664"/>
      <c r="J800" s="664"/>
      <c r="K800" s="664"/>
      <c r="L800" s="664"/>
      <c r="M800" s="664"/>
      <c r="N800" s="664"/>
      <c r="O800" s="664"/>
      <c r="P800" s="664"/>
      <c r="Q800" s="664"/>
      <c r="R800" s="664"/>
      <c r="S800" s="664"/>
      <c r="T800" s="664"/>
      <c r="U800" s="664"/>
      <c r="V800" s="664"/>
      <c r="W800" s="664"/>
      <c r="X800" s="664"/>
      <c r="Y800" s="664"/>
      <c r="Z800" s="664"/>
    </row>
    <row r="801">
      <c r="A801" s="664"/>
      <c r="B801" s="664"/>
      <c r="C801" s="664"/>
      <c r="D801" s="664"/>
      <c r="E801" s="664"/>
      <c r="F801" s="664"/>
      <c r="G801" s="664"/>
      <c r="H801" s="664"/>
      <c r="I801" s="664"/>
      <c r="J801" s="664"/>
      <c r="K801" s="664"/>
      <c r="L801" s="664"/>
      <c r="M801" s="664"/>
      <c r="N801" s="664"/>
      <c r="O801" s="664"/>
      <c r="P801" s="664"/>
      <c r="Q801" s="664"/>
      <c r="R801" s="664"/>
      <c r="S801" s="664"/>
      <c r="T801" s="664"/>
      <c r="U801" s="664"/>
      <c r="V801" s="664"/>
      <c r="W801" s="664"/>
      <c r="X801" s="664"/>
      <c r="Y801" s="664"/>
      <c r="Z801" s="664"/>
    </row>
    <row r="802">
      <c r="A802" s="664"/>
      <c r="B802" s="664"/>
      <c r="C802" s="664"/>
      <c r="D802" s="664"/>
      <c r="E802" s="664"/>
      <c r="F802" s="664"/>
      <c r="G802" s="664"/>
      <c r="H802" s="664"/>
      <c r="I802" s="664"/>
      <c r="J802" s="664"/>
      <c r="K802" s="664"/>
      <c r="L802" s="664"/>
      <c r="M802" s="664"/>
      <c r="N802" s="664"/>
      <c r="O802" s="664"/>
      <c r="P802" s="664"/>
      <c r="Q802" s="664"/>
      <c r="R802" s="664"/>
      <c r="S802" s="664"/>
      <c r="T802" s="664"/>
      <c r="U802" s="664"/>
      <c r="V802" s="664"/>
      <c r="W802" s="664"/>
      <c r="X802" s="664"/>
      <c r="Y802" s="664"/>
      <c r="Z802" s="664"/>
    </row>
    <row r="803">
      <c r="A803" s="664"/>
      <c r="B803" s="664"/>
      <c r="C803" s="664"/>
      <c r="D803" s="664"/>
      <c r="E803" s="664"/>
      <c r="F803" s="664"/>
      <c r="G803" s="664"/>
      <c r="H803" s="664"/>
      <c r="I803" s="664"/>
      <c r="J803" s="664"/>
      <c r="K803" s="664"/>
      <c r="L803" s="664"/>
      <c r="M803" s="664"/>
      <c r="N803" s="664"/>
      <c r="O803" s="664"/>
      <c r="P803" s="664"/>
      <c r="Q803" s="664"/>
      <c r="R803" s="664"/>
      <c r="S803" s="664"/>
      <c r="T803" s="664"/>
      <c r="U803" s="664"/>
      <c r="V803" s="664"/>
      <c r="W803" s="664"/>
      <c r="X803" s="664"/>
      <c r="Y803" s="664"/>
      <c r="Z803" s="664"/>
    </row>
    <row r="804">
      <c r="A804" s="664"/>
      <c r="B804" s="664"/>
      <c r="C804" s="664"/>
      <c r="D804" s="664"/>
      <c r="E804" s="664"/>
      <c r="F804" s="664"/>
      <c r="G804" s="664"/>
      <c r="H804" s="664"/>
      <c r="I804" s="664"/>
      <c r="J804" s="664"/>
      <c r="K804" s="664"/>
      <c r="L804" s="664"/>
      <c r="M804" s="664"/>
      <c r="N804" s="664"/>
      <c r="O804" s="664"/>
      <c r="P804" s="664"/>
      <c r="Q804" s="664"/>
      <c r="R804" s="664"/>
      <c r="S804" s="664"/>
      <c r="T804" s="664"/>
      <c r="U804" s="664"/>
      <c r="V804" s="664"/>
      <c r="W804" s="664"/>
      <c r="X804" s="664"/>
      <c r="Y804" s="664"/>
      <c r="Z804" s="664"/>
    </row>
    <row r="805">
      <c r="A805" s="664"/>
      <c r="B805" s="664"/>
      <c r="C805" s="664"/>
      <c r="D805" s="664"/>
      <c r="E805" s="664"/>
      <c r="F805" s="664"/>
      <c r="G805" s="664"/>
      <c r="H805" s="664"/>
      <c r="I805" s="664"/>
      <c r="J805" s="664"/>
      <c r="K805" s="664"/>
      <c r="L805" s="664"/>
      <c r="M805" s="664"/>
      <c r="N805" s="664"/>
      <c r="O805" s="664"/>
      <c r="P805" s="664"/>
      <c r="Q805" s="664"/>
      <c r="R805" s="664"/>
      <c r="S805" s="664"/>
      <c r="T805" s="664"/>
      <c r="U805" s="664"/>
      <c r="V805" s="664"/>
      <c r="W805" s="664"/>
      <c r="X805" s="664"/>
      <c r="Y805" s="664"/>
      <c r="Z805" s="664"/>
    </row>
    <row r="806">
      <c r="A806" s="664"/>
      <c r="B806" s="664"/>
      <c r="C806" s="664"/>
      <c r="D806" s="664"/>
      <c r="E806" s="664"/>
      <c r="F806" s="664"/>
      <c r="G806" s="664"/>
      <c r="H806" s="664"/>
      <c r="I806" s="664"/>
      <c r="J806" s="664"/>
      <c r="K806" s="664"/>
      <c r="L806" s="664"/>
      <c r="M806" s="664"/>
      <c r="N806" s="664"/>
      <c r="O806" s="664"/>
      <c r="P806" s="664"/>
      <c r="Q806" s="664"/>
      <c r="R806" s="664"/>
      <c r="S806" s="664"/>
      <c r="T806" s="664"/>
      <c r="U806" s="664"/>
      <c r="V806" s="664"/>
      <c r="W806" s="664"/>
      <c r="X806" s="664"/>
      <c r="Y806" s="664"/>
      <c r="Z806" s="664"/>
    </row>
    <row r="807">
      <c r="A807" s="664"/>
      <c r="B807" s="664"/>
      <c r="C807" s="664"/>
      <c r="D807" s="664"/>
      <c r="E807" s="664"/>
      <c r="F807" s="664"/>
      <c r="G807" s="664"/>
      <c r="H807" s="664"/>
      <c r="I807" s="664"/>
      <c r="J807" s="664"/>
      <c r="K807" s="664"/>
      <c r="L807" s="664"/>
      <c r="M807" s="664"/>
      <c r="N807" s="664"/>
      <c r="O807" s="664"/>
      <c r="P807" s="664"/>
      <c r="Q807" s="664"/>
      <c r="R807" s="664"/>
      <c r="S807" s="664"/>
      <c r="T807" s="664"/>
      <c r="U807" s="664"/>
      <c r="V807" s="664"/>
      <c r="W807" s="664"/>
      <c r="X807" s="664"/>
      <c r="Y807" s="664"/>
      <c r="Z807" s="664"/>
    </row>
    <row r="808">
      <c r="A808" s="664"/>
      <c r="B808" s="664"/>
      <c r="C808" s="664"/>
      <c r="D808" s="664"/>
      <c r="E808" s="664"/>
      <c r="F808" s="664"/>
      <c r="G808" s="664"/>
      <c r="H808" s="664"/>
      <c r="I808" s="664"/>
      <c r="J808" s="664"/>
      <c r="K808" s="664"/>
      <c r="L808" s="664"/>
      <c r="M808" s="664"/>
      <c r="N808" s="664"/>
      <c r="O808" s="664"/>
      <c r="P808" s="664"/>
      <c r="Q808" s="664"/>
      <c r="R808" s="664"/>
      <c r="S808" s="664"/>
      <c r="T808" s="664"/>
      <c r="U808" s="664"/>
      <c r="V808" s="664"/>
      <c r="W808" s="664"/>
      <c r="X808" s="664"/>
      <c r="Y808" s="664"/>
      <c r="Z808" s="664"/>
    </row>
    <row r="809">
      <c r="A809" s="664"/>
      <c r="B809" s="664"/>
      <c r="C809" s="664"/>
      <c r="D809" s="664"/>
      <c r="E809" s="664"/>
      <c r="F809" s="664"/>
      <c r="G809" s="664"/>
      <c r="H809" s="664"/>
      <c r="I809" s="664"/>
      <c r="J809" s="664"/>
      <c r="K809" s="664"/>
      <c r="L809" s="664"/>
      <c r="M809" s="664"/>
      <c r="N809" s="664"/>
      <c r="O809" s="664"/>
      <c r="P809" s="664"/>
      <c r="Q809" s="664"/>
      <c r="R809" s="664"/>
      <c r="S809" s="664"/>
      <c r="T809" s="664"/>
      <c r="U809" s="664"/>
      <c r="V809" s="664"/>
      <c r="W809" s="664"/>
      <c r="X809" s="664"/>
      <c r="Y809" s="664"/>
      <c r="Z809" s="664"/>
    </row>
    <row r="810">
      <c r="A810" s="664"/>
      <c r="B810" s="664"/>
      <c r="C810" s="664"/>
      <c r="D810" s="664"/>
      <c r="E810" s="664"/>
      <c r="F810" s="664"/>
      <c r="G810" s="664"/>
      <c r="H810" s="664"/>
      <c r="I810" s="664"/>
      <c r="J810" s="664"/>
      <c r="K810" s="664"/>
      <c r="L810" s="664"/>
      <c r="M810" s="664"/>
      <c r="N810" s="664"/>
      <c r="O810" s="664"/>
      <c r="P810" s="664"/>
      <c r="Q810" s="664"/>
      <c r="R810" s="664"/>
      <c r="S810" s="664"/>
      <c r="T810" s="664"/>
      <c r="U810" s="664"/>
      <c r="V810" s="664"/>
      <c r="W810" s="664"/>
      <c r="X810" s="664"/>
      <c r="Y810" s="664"/>
      <c r="Z810" s="664"/>
    </row>
    <row r="811">
      <c r="A811" s="664"/>
      <c r="B811" s="664"/>
      <c r="C811" s="664"/>
      <c r="D811" s="664"/>
      <c r="E811" s="664"/>
      <c r="F811" s="664"/>
      <c r="G811" s="664"/>
      <c r="H811" s="664"/>
      <c r="I811" s="664"/>
      <c r="J811" s="664"/>
      <c r="K811" s="664"/>
      <c r="L811" s="664"/>
      <c r="M811" s="664"/>
      <c r="N811" s="664"/>
      <c r="O811" s="664"/>
      <c r="P811" s="664"/>
      <c r="Q811" s="664"/>
      <c r="R811" s="664"/>
      <c r="S811" s="664"/>
      <c r="T811" s="664"/>
      <c r="U811" s="664"/>
      <c r="V811" s="664"/>
      <c r="W811" s="664"/>
      <c r="X811" s="664"/>
      <c r="Y811" s="664"/>
      <c r="Z811" s="664"/>
    </row>
    <row r="812">
      <c r="A812" s="664"/>
      <c r="B812" s="664"/>
      <c r="C812" s="664"/>
      <c r="D812" s="664"/>
      <c r="E812" s="664"/>
      <c r="F812" s="664"/>
      <c r="G812" s="664"/>
      <c r="H812" s="664"/>
      <c r="I812" s="664"/>
      <c r="J812" s="664"/>
      <c r="K812" s="664"/>
      <c r="L812" s="664"/>
      <c r="M812" s="664"/>
      <c r="N812" s="664"/>
      <c r="O812" s="664"/>
      <c r="P812" s="664"/>
      <c r="Q812" s="664"/>
      <c r="R812" s="664"/>
      <c r="S812" s="664"/>
      <c r="T812" s="664"/>
      <c r="U812" s="664"/>
      <c r="V812" s="664"/>
      <c r="W812" s="664"/>
      <c r="X812" s="664"/>
      <c r="Y812" s="664"/>
      <c r="Z812" s="664"/>
    </row>
    <row r="813">
      <c r="A813" s="664"/>
      <c r="B813" s="664"/>
      <c r="C813" s="664"/>
      <c r="D813" s="664"/>
      <c r="E813" s="664"/>
      <c r="F813" s="664"/>
      <c r="G813" s="664"/>
      <c r="H813" s="664"/>
      <c r="I813" s="664"/>
      <c r="J813" s="664"/>
      <c r="K813" s="664"/>
      <c r="L813" s="664"/>
      <c r="M813" s="664"/>
      <c r="N813" s="664"/>
      <c r="O813" s="664"/>
      <c r="P813" s="664"/>
      <c r="Q813" s="664"/>
      <c r="R813" s="664"/>
      <c r="S813" s="664"/>
      <c r="T813" s="664"/>
      <c r="U813" s="664"/>
      <c r="V813" s="664"/>
      <c r="W813" s="664"/>
      <c r="X813" s="664"/>
      <c r="Y813" s="664"/>
      <c r="Z813" s="664"/>
    </row>
    <row r="814">
      <c r="A814" s="664"/>
      <c r="B814" s="664"/>
      <c r="C814" s="664"/>
      <c r="D814" s="664"/>
      <c r="E814" s="664"/>
      <c r="F814" s="664"/>
      <c r="G814" s="664"/>
      <c r="H814" s="664"/>
      <c r="I814" s="664"/>
      <c r="J814" s="664"/>
      <c r="K814" s="664"/>
      <c r="L814" s="664"/>
      <c r="M814" s="664"/>
      <c r="N814" s="664"/>
      <c r="O814" s="664"/>
      <c r="P814" s="664"/>
      <c r="Q814" s="664"/>
      <c r="R814" s="664"/>
      <c r="S814" s="664"/>
      <c r="T814" s="664"/>
      <c r="U814" s="664"/>
      <c r="V814" s="664"/>
      <c r="W814" s="664"/>
      <c r="X814" s="664"/>
      <c r="Y814" s="664"/>
      <c r="Z814" s="664"/>
    </row>
    <row r="815">
      <c r="A815" s="664"/>
      <c r="B815" s="664"/>
      <c r="C815" s="664"/>
      <c r="D815" s="664"/>
      <c r="E815" s="664"/>
      <c r="F815" s="664"/>
      <c r="G815" s="664"/>
      <c r="H815" s="664"/>
      <c r="I815" s="664"/>
      <c r="J815" s="664"/>
      <c r="K815" s="664"/>
      <c r="L815" s="664"/>
      <c r="M815" s="664"/>
      <c r="N815" s="664"/>
      <c r="O815" s="664"/>
      <c r="P815" s="664"/>
      <c r="Q815" s="664"/>
      <c r="R815" s="664"/>
      <c r="S815" s="664"/>
      <c r="T815" s="664"/>
      <c r="U815" s="664"/>
      <c r="V815" s="664"/>
      <c r="W815" s="664"/>
      <c r="X815" s="664"/>
      <c r="Y815" s="664"/>
      <c r="Z815" s="664"/>
    </row>
    <row r="816">
      <c r="A816" s="664"/>
      <c r="B816" s="664"/>
      <c r="C816" s="664"/>
      <c r="D816" s="664"/>
      <c r="E816" s="664"/>
      <c r="F816" s="664"/>
      <c r="G816" s="664"/>
      <c r="H816" s="664"/>
      <c r="I816" s="664"/>
      <c r="J816" s="664"/>
      <c r="K816" s="664"/>
      <c r="L816" s="664"/>
      <c r="M816" s="664"/>
      <c r="N816" s="664"/>
      <c r="O816" s="664"/>
      <c r="P816" s="664"/>
      <c r="Q816" s="664"/>
      <c r="R816" s="664"/>
      <c r="S816" s="664"/>
      <c r="T816" s="664"/>
      <c r="U816" s="664"/>
      <c r="V816" s="664"/>
      <c r="W816" s="664"/>
      <c r="X816" s="664"/>
      <c r="Y816" s="664"/>
      <c r="Z816" s="664"/>
    </row>
    <row r="817">
      <c r="A817" s="664"/>
      <c r="B817" s="664"/>
      <c r="C817" s="664"/>
      <c r="D817" s="664"/>
      <c r="E817" s="664"/>
      <c r="F817" s="664"/>
      <c r="G817" s="664"/>
      <c r="H817" s="664"/>
      <c r="I817" s="664"/>
      <c r="J817" s="664"/>
      <c r="K817" s="664"/>
      <c r="L817" s="664"/>
      <c r="M817" s="664"/>
      <c r="N817" s="664"/>
      <c r="O817" s="664"/>
      <c r="P817" s="664"/>
      <c r="Q817" s="664"/>
      <c r="R817" s="664"/>
      <c r="S817" s="664"/>
      <c r="T817" s="664"/>
      <c r="U817" s="664"/>
      <c r="V817" s="664"/>
      <c r="W817" s="664"/>
      <c r="X817" s="664"/>
      <c r="Y817" s="664"/>
      <c r="Z817" s="664"/>
    </row>
    <row r="818">
      <c r="A818" s="664"/>
      <c r="B818" s="664"/>
      <c r="C818" s="664"/>
      <c r="D818" s="664"/>
      <c r="E818" s="664"/>
      <c r="F818" s="664"/>
      <c r="G818" s="664"/>
      <c r="H818" s="664"/>
      <c r="I818" s="664"/>
      <c r="J818" s="664"/>
      <c r="K818" s="664"/>
      <c r="L818" s="664"/>
      <c r="M818" s="664"/>
      <c r="N818" s="664"/>
      <c r="O818" s="664"/>
      <c r="P818" s="664"/>
      <c r="Q818" s="664"/>
      <c r="R818" s="664"/>
      <c r="S818" s="664"/>
      <c r="T818" s="664"/>
      <c r="U818" s="664"/>
      <c r="V818" s="664"/>
      <c r="W818" s="664"/>
      <c r="X818" s="664"/>
      <c r="Y818" s="664"/>
      <c r="Z818" s="664"/>
    </row>
    <row r="819">
      <c r="A819" s="664"/>
      <c r="B819" s="664"/>
      <c r="C819" s="664"/>
      <c r="D819" s="664"/>
      <c r="E819" s="664"/>
      <c r="F819" s="664"/>
      <c r="G819" s="664"/>
      <c r="H819" s="664"/>
      <c r="I819" s="664"/>
      <c r="J819" s="664"/>
      <c r="K819" s="664"/>
      <c r="L819" s="664"/>
      <c r="M819" s="664"/>
      <c r="N819" s="664"/>
      <c r="O819" s="664"/>
      <c r="P819" s="664"/>
      <c r="Q819" s="664"/>
      <c r="R819" s="664"/>
      <c r="S819" s="664"/>
      <c r="T819" s="664"/>
      <c r="U819" s="664"/>
      <c r="V819" s="664"/>
      <c r="W819" s="664"/>
      <c r="X819" s="664"/>
      <c r="Y819" s="664"/>
      <c r="Z819" s="664"/>
    </row>
    <row r="820">
      <c r="A820" s="664"/>
      <c r="B820" s="664"/>
      <c r="C820" s="664"/>
      <c r="D820" s="664"/>
      <c r="E820" s="664"/>
      <c r="F820" s="664"/>
      <c r="G820" s="664"/>
      <c r="H820" s="664"/>
      <c r="I820" s="664"/>
      <c r="J820" s="664"/>
      <c r="K820" s="664"/>
      <c r="L820" s="664"/>
      <c r="M820" s="664"/>
      <c r="N820" s="664"/>
      <c r="O820" s="664"/>
      <c r="P820" s="664"/>
      <c r="Q820" s="664"/>
      <c r="R820" s="664"/>
      <c r="S820" s="664"/>
      <c r="T820" s="664"/>
      <c r="U820" s="664"/>
      <c r="V820" s="664"/>
      <c r="W820" s="664"/>
      <c r="X820" s="664"/>
      <c r="Y820" s="664"/>
      <c r="Z820" s="664"/>
    </row>
    <row r="821">
      <c r="A821" s="664"/>
      <c r="B821" s="664"/>
      <c r="C821" s="664"/>
      <c r="D821" s="664"/>
      <c r="E821" s="664"/>
      <c r="F821" s="664"/>
      <c r="G821" s="664"/>
      <c r="H821" s="664"/>
      <c r="I821" s="664"/>
      <c r="J821" s="664"/>
      <c r="K821" s="664"/>
      <c r="L821" s="664"/>
      <c r="M821" s="664"/>
      <c r="N821" s="664"/>
      <c r="O821" s="664"/>
      <c r="P821" s="664"/>
      <c r="Q821" s="664"/>
      <c r="R821" s="664"/>
      <c r="S821" s="664"/>
      <c r="T821" s="664"/>
      <c r="U821" s="664"/>
      <c r="V821" s="664"/>
      <c r="W821" s="664"/>
      <c r="X821" s="664"/>
      <c r="Y821" s="664"/>
      <c r="Z821" s="664"/>
    </row>
    <row r="822">
      <c r="A822" s="664"/>
      <c r="B822" s="664"/>
      <c r="C822" s="664"/>
      <c r="D822" s="664"/>
      <c r="E822" s="664"/>
      <c r="F822" s="664"/>
      <c r="G822" s="664"/>
      <c r="H822" s="664"/>
      <c r="I822" s="664"/>
      <c r="J822" s="664"/>
      <c r="K822" s="664"/>
      <c r="L822" s="664"/>
      <c r="M822" s="664"/>
      <c r="N822" s="664"/>
      <c r="O822" s="664"/>
      <c r="P822" s="664"/>
      <c r="Q822" s="664"/>
      <c r="R822" s="664"/>
      <c r="S822" s="664"/>
      <c r="T822" s="664"/>
      <c r="U822" s="664"/>
      <c r="V822" s="664"/>
      <c r="W822" s="664"/>
      <c r="X822" s="664"/>
      <c r="Y822" s="664"/>
      <c r="Z822" s="664"/>
    </row>
    <row r="823">
      <c r="A823" s="664"/>
      <c r="B823" s="664"/>
      <c r="C823" s="664"/>
      <c r="D823" s="664"/>
      <c r="E823" s="664"/>
      <c r="F823" s="664"/>
      <c r="G823" s="664"/>
      <c r="H823" s="664"/>
      <c r="I823" s="664"/>
      <c r="J823" s="664"/>
      <c r="K823" s="664"/>
      <c r="L823" s="664"/>
      <c r="M823" s="664"/>
      <c r="N823" s="664"/>
      <c r="O823" s="664"/>
      <c r="P823" s="664"/>
      <c r="Q823" s="664"/>
      <c r="R823" s="664"/>
      <c r="S823" s="664"/>
      <c r="T823" s="664"/>
      <c r="U823" s="664"/>
      <c r="V823" s="664"/>
      <c r="W823" s="664"/>
      <c r="X823" s="664"/>
      <c r="Y823" s="664"/>
      <c r="Z823" s="664"/>
    </row>
    <row r="824">
      <c r="A824" s="664"/>
      <c r="B824" s="664"/>
      <c r="C824" s="664"/>
      <c r="D824" s="664"/>
      <c r="E824" s="664"/>
      <c r="F824" s="664"/>
      <c r="G824" s="664"/>
      <c r="H824" s="664"/>
      <c r="I824" s="664"/>
      <c r="J824" s="664"/>
      <c r="K824" s="664"/>
      <c r="L824" s="664"/>
      <c r="M824" s="664"/>
      <c r="N824" s="664"/>
      <c r="O824" s="664"/>
      <c r="P824" s="664"/>
      <c r="Q824" s="664"/>
      <c r="R824" s="664"/>
      <c r="S824" s="664"/>
      <c r="T824" s="664"/>
      <c r="U824" s="664"/>
      <c r="V824" s="664"/>
      <c r="W824" s="664"/>
      <c r="X824" s="664"/>
      <c r="Y824" s="664"/>
      <c r="Z824" s="664"/>
    </row>
    <row r="825">
      <c r="A825" s="664"/>
      <c r="B825" s="664"/>
      <c r="C825" s="664"/>
      <c r="D825" s="664"/>
      <c r="E825" s="664"/>
      <c r="F825" s="664"/>
      <c r="G825" s="664"/>
      <c r="H825" s="664"/>
      <c r="I825" s="664"/>
      <c r="J825" s="664"/>
      <c r="K825" s="664"/>
      <c r="L825" s="664"/>
      <c r="M825" s="664"/>
      <c r="N825" s="664"/>
      <c r="O825" s="664"/>
      <c r="P825" s="664"/>
      <c r="Q825" s="664"/>
      <c r="R825" s="664"/>
      <c r="S825" s="664"/>
      <c r="T825" s="664"/>
      <c r="U825" s="664"/>
      <c r="V825" s="664"/>
      <c r="W825" s="664"/>
      <c r="X825" s="664"/>
      <c r="Y825" s="664"/>
      <c r="Z825" s="664"/>
    </row>
    <row r="826">
      <c r="A826" s="664"/>
      <c r="B826" s="664"/>
      <c r="C826" s="664"/>
      <c r="D826" s="664"/>
      <c r="E826" s="664"/>
      <c r="F826" s="664"/>
      <c r="G826" s="664"/>
      <c r="H826" s="664"/>
      <c r="I826" s="664"/>
      <c r="J826" s="664"/>
      <c r="K826" s="664"/>
      <c r="L826" s="664"/>
      <c r="M826" s="664"/>
      <c r="N826" s="664"/>
      <c r="O826" s="664"/>
      <c r="P826" s="664"/>
      <c r="Q826" s="664"/>
      <c r="R826" s="664"/>
      <c r="S826" s="664"/>
      <c r="T826" s="664"/>
      <c r="U826" s="664"/>
      <c r="V826" s="664"/>
      <c r="W826" s="664"/>
      <c r="X826" s="664"/>
      <c r="Y826" s="664"/>
      <c r="Z826" s="664"/>
    </row>
    <row r="827">
      <c r="A827" s="664"/>
      <c r="B827" s="664"/>
      <c r="C827" s="664"/>
      <c r="D827" s="664"/>
      <c r="E827" s="664"/>
      <c r="F827" s="664"/>
      <c r="G827" s="664"/>
      <c r="H827" s="664"/>
      <c r="I827" s="664"/>
      <c r="J827" s="664"/>
      <c r="K827" s="664"/>
      <c r="L827" s="664"/>
      <c r="M827" s="664"/>
      <c r="N827" s="664"/>
      <c r="O827" s="664"/>
      <c r="P827" s="664"/>
      <c r="Q827" s="664"/>
      <c r="R827" s="664"/>
      <c r="S827" s="664"/>
      <c r="T827" s="664"/>
      <c r="U827" s="664"/>
      <c r="V827" s="664"/>
      <c r="W827" s="664"/>
      <c r="X827" s="664"/>
      <c r="Y827" s="664"/>
      <c r="Z827" s="664"/>
    </row>
    <row r="828">
      <c r="A828" s="664"/>
      <c r="B828" s="664"/>
      <c r="C828" s="664"/>
      <c r="D828" s="664"/>
      <c r="E828" s="664"/>
      <c r="F828" s="664"/>
      <c r="G828" s="664"/>
      <c r="H828" s="664"/>
      <c r="I828" s="664"/>
      <c r="J828" s="664"/>
      <c r="K828" s="664"/>
      <c r="L828" s="664"/>
      <c r="M828" s="664"/>
      <c r="N828" s="664"/>
      <c r="O828" s="664"/>
      <c r="P828" s="664"/>
      <c r="Q828" s="664"/>
      <c r="R828" s="664"/>
      <c r="S828" s="664"/>
      <c r="T828" s="664"/>
      <c r="U828" s="664"/>
      <c r="V828" s="664"/>
      <c r="W828" s="664"/>
      <c r="X828" s="664"/>
      <c r="Y828" s="664"/>
      <c r="Z828" s="664"/>
    </row>
    <row r="829">
      <c r="A829" s="664"/>
      <c r="B829" s="664"/>
      <c r="C829" s="664"/>
      <c r="D829" s="664"/>
      <c r="E829" s="664"/>
      <c r="F829" s="664"/>
      <c r="G829" s="664"/>
      <c r="H829" s="664"/>
      <c r="I829" s="664"/>
      <c r="J829" s="664"/>
      <c r="K829" s="664"/>
      <c r="L829" s="664"/>
      <c r="M829" s="664"/>
      <c r="N829" s="664"/>
      <c r="O829" s="664"/>
      <c r="P829" s="664"/>
      <c r="Q829" s="664"/>
      <c r="R829" s="664"/>
      <c r="S829" s="664"/>
      <c r="T829" s="664"/>
      <c r="U829" s="664"/>
      <c r="V829" s="664"/>
      <c r="W829" s="664"/>
      <c r="X829" s="664"/>
      <c r="Y829" s="664"/>
      <c r="Z829" s="664"/>
    </row>
    <row r="830">
      <c r="A830" s="664"/>
      <c r="B830" s="664"/>
      <c r="C830" s="664"/>
      <c r="D830" s="664"/>
      <c r="E830" s="664"/>
      <c r="F830" s="664"/>
      <c r="G830" s="664"/>
      <c r="H830" s="664"/>
      <c r="I830" s="664"/>
      <c r="J830" s="664"/>
      <c r="K830" s="664"/>
      <c r="L830" s="664"/>
      <c r="M830" s="664"/>
      <c r="N830" s="664"/>
      <c r="O830" s="664"/>
      <c r="P830" s="664"/>
      <c r="Q830" s="664"/>
      <c r="R830" s="664"/>
      <c r="S830" s="664"/>
      <c r="T830" s="664"/>
      <c r="U830" s="664"/>
      <c r="V830" s="664"/>
      <c r="W830" s="664"/>
      <c r="X830" s="664"/>
      <c r="Y830" s="664"/>
      <c r="Z830" s="664"/>
    </row>
    <row r="831">
      <c r="A831" s="664"/>
      <c r="B831" s="664"/>
      <c r="C831" s="664"/>
      <c r="D831" s="664"/>
      <c r="E831" s="664"/>
      <c r="F831" s="664"/>
      <c r="G831" s="664"/>
      <c r="H831" s="664"/>
      <c r="I831" s="664"/>
      <c r="J831" s="664"/>
      <c r="K831" s="664"/>
      <c r="L831" s="664"/>
      <c r="M831" s="664"/>
      <c r="N831" s="664"/>
      <c r="O831" s="664"/>
      <c r="P831" s="664"/>
      <c r="Q831" s="664"/>
      <c r="R831" s="664"/>
      <c r="S831" s="664"/>
      <c r="T831" s="664"/>
      <c r="U831" s="664"/>
      <c r="V831" s="664"/>
      <c r="W831" s="664"/>
      <c r="X831" s="664"/>
      <c r="Y831" s="664"/>
      <c r="Z831" s="664"/>
    </row>
    <row r="832">
      <c r="A832" s="664"/>
      <c r="B832" s="664"/>
      <c r="C832" s="664"/>
      <c r="D832" s="664"/>
      <c r="E832" s="664"/>
      <c r="F832" s="664"/>
      <c r="G832" s="664"/>
      <c r="H832" s="664"/>
      <c r="I832" s="664"/>
      <c r="J832" s="664"/>
      <c r="K832" s="664"/>
      <c r="L832" s="664"/>
      <c r="M832" s="664"/>
      <c r="N832" s="664"/>
      <c r="O832" s="664"/>
      <c r="P832" s="664"/>
      <c r="Q832" s="664"/>
      <c r="R832" s="664"/>
      <c r="S832" s="664"/>
      <c r="T832" s="664"/>
      <c r="U832" s="664"/>
      <c r="V832" s="664"/>
      <c r="W832" s="664"/>
      <c r="X832" s="664"/>
      <c r="Y832" s="664"/>
      <c r="Z832" s="664"/>
    </row>
    <row r="833">
      <c r="A833" s="664"/>
      <c r="B833" s="664"/>
      <c r="C833" s="664"/>
      <c r="D833" s="664"/>
      <c r="E833" s="664"/>
      <c r="F833" s="664"/>
      <c r="G833" s="664"/>
      <c r="H833" s="664"/>
      <c r="I833" s="664"/>
      <c r="J833" s="664"/>
      <c r="K833" s="664"/>
      <c r="L833" s="664"/>
      <c r="M833" s="664"/>
      <c r="N833" s="664"/>
      <c r="O833" s="664"/>
      <c r="P833" s="664"/>
      <c r="Q833" s="664"/>
      <c r="R833" s="664"/>
      <c r="S833" s="664"/>
      <c r="T833" s="664"/>
      <c r="U833" s="664"/>
      <c r="V833" s="664"/>
      <c r="W833" s="664"/>
      <c r="X833" s="664"/>
      <c r="Y833" s="664"/>
      <c r="Z833" s="664"/>
    </row>
    <row r="834">
      <c r="A834" s="664"/>
      <c r="B834" s="664"/>
      <c r="C834" s="664"/>
      <c r="D834" s="664"/>
      <c r="E834" s="664"/>
      <c r="F834" s="664"/>
      <c r="G834" s="664"/>
      <c r="H834" s="664"/>
      <c r="I834" s="664"/>
      <c r="J834" s="664"/>
      <c r="K834" s="664"/>
      <c r="L834" s="664"/>
      <c r="M834" s="664"/>
      <c r="N834" s="664"/>
      <c r="O834" s="664"/>
      <c r="P834" s="664"/>
      <c r="Q834" s="664"/>
      <c r="R834" s="664"/>
      <c r="S834" s="664"/>
      <c r="T834" s="664"/>
      <c r="U834" s="664"/>
      <c r="V834" s="664"/>
      <c r="W834" s="664"/>
      <c r="X834" s="664"/>
      <c r="Y834" s="664"/>
      <c r="Z834" s="664"/>
    </row>
    <row r="835">
      <c r="A835" s="664"/>
      <c r="B835" s="664"/>
      <c r="C835" s="664"/>
      <c r="D835" s="664"/>
      <c r="E835" s="664"/>
      <c r="F835" s="664"/>
      <c r="G835" s="664"/>
      <c r="H835" s="664"/>
      <c r="I835" s="664"/>
      <c r="J835" s="664"/>
      <c r="K835" s="664"/>
      <c r="L835" s="664"/>
      <c r="M835" s="664"/>
      <c r="N835" s="664"/>
      <c r="O835" s="664"/>
      <c r="P835" s="664"/>
      <c r="Q835" s="664"/>
      <c r="R835" s="664"/>
      <c r="S835" s="664"/>
      <c r="T835" s="664"/>
      <c r="U835" s="664"/>
      <c r="V835" s="664"/>
      <c r="W835" s="664"/>
      <c r="X835" s="664"/>
      <c r="Y835" s="664"/>
      <c r="Z835" s="664"/>
    </row>
    <row r="836">
      <c r="A836" s="664"/>
      <c r="B836" s="664"/>
      <c r="C836" s="664"/>
      <c r="D836" s="664"/>
      <c r="E836" s="664"/>
      <c r="F836" s="664"/>
      <c r="G836" s="664"/>
      <c r="H836" s="664"/>
      <c r="I836" s="664"/>
      <c r="J836" s="664"/>
      <c r="K836" s="664"/>
      <c r="L836" s="664"/>
      <c r="M836" s="664"/>
      <c r="N836" s="664"/>
      <c r="O836" s="664"/>
      <c r="P836" s="664"/>
      <c r="Q836" s="664"/>
      <c r="R836" s="664"/>
      <c r="S836" s="664"/>
      <c r="T836" s="664"/>
      <c r="U836" s="664"/>
      <c r="V836" s="664"/>
      <c r="W836" s="664"/>
      <c r="X836" s="664"/>
      <c r="Y836" s="664"/>
      <c r="Z836" s="664"/>
    </row>
    <row r="837">
      <c r="A837" s="664"/>
      <c r="B837" s="664"/>
      <c r="C837" s="664"/>
      <c r="D837" s="664"/>
      <c r="E837" s="664"/>
      <c r="F837" s="664"/>
      <c r="G837" s="664"/>
      <c r="H837" s="664"/>
      <c r="I837" s="664"/>
      <c r="J837" s="664"/>
      <c r="K837" s="664"/>
      <c r="L837" s="664"/>
      <c r="M837" s="664"/>
      <c r="N837" s="664"/>
      <c r="O837" s="664"/>
      <c r="P837" s="664"/>
      <c r="Q837" s="664"/>
      <c r="R837" s="664"/>
      <c r="S837" s="664"/>
      <c r="T837" s="664"/>
      <c r="U837" s="664"/>
      <c r="V837" s="664"/>
      <c r="W837" s="664"/>
      <c r="X837" s="664"/>
      <c r="Y837" s="664"/>
      <c r="Z837" s="664"/>
    </row>
    <row r="838">
      <c r="A838" s="664"/>
      <c r="B838" s="664"/>
      <c r="C838" s="664"/>
      <c r="D838" s="664"/>
      <c r="E838" s="664"/>
      <c r="F838" s="664"/>
      <c r="G838" s="664"/>
      <c r="H838" s="664"/>
      <c r="I838" s="664"/>
      <c r="J838" s="664"/>
      <c r="K838" s="664"/>
      <c r="L838" s="664"/>
      <c r="M838" s="664"/>
      <c r="N838" s="664"/>
      <c r="O838" s="664"/>
      <c r="P838" s="664"/>
      <c r="Q838" s="664"/>
      <c r="R838" s="664"/>
      <c r="S838" s="664"/>
      <c r="T838" s="664"/>
      <c r="U838" s="664"/>
      <c r="V838" s="664"/>
      <c r="W838" s="664"/>
      <c r="X838" s="664"/>
      <c r="Y838" s="664"/>
      <c r="Z838" s="664"/>
    </row>
    <row r="839">
      <c r="A839" s="664"/>
      <c r="B839" s="664"/>
      <c r="C839" s="664"/>
      <c r="D839" s="664"/>
      <c r="E839" s="664"/>
      <c r="F839" s="664"/>
      <c r="G839" s="664"/>
      <c r="H839" s="664"/>
      <c r="I839" s="664"/>
      <c r="J839" s="664"/>
      <c r="K839" s="664"/>
      <c r="L839" s="664"/>
      <c r="M839" s="664"/>
      <c r="N839" s="664"/>
      <c r="O839" s="664"/>
      <c r="P839" s="664"/>
      <c r="Q839" s="664"/>
      <c r="R839" s="664"/>
      <c r="S839" s="664"/>
      <c r="T839" s="664"/>
      <c r="U839" s="664"/>
      <c r="V839" s="664"/>
      <c r="W839" s="664"/>
      <c r="X839" s="664"/>
      <c r="Y839" s="664"/>
      <c r="Z839" s="664"/>
    </row>
    <row r="840">
      <c r="A840" s="664"/>
      <c r="B840" s="664"/>
      <c r="C840" s="664"/>
      <c r="D840" s="664"/>
      <c r="E840" s="664"/>
      <c r="F840" s="664"/>
      <c r="G840" s="664"/>
      <c r="H840" s="664"/>
      <c r="I840" s="664"/>
      <c r="J840" s="664"/>
      <c r="K840" s="664"/>
      <c r="L840" s="664"/>
      <c r="M840" s="664"/>
      <c r="N840" s="664"/>
      <c r="O840" s="664"/>
      <c r="P840" s="664"/>
      <c r="Q840" s="664"/>
      <c r="R840" s="664"/>
      <c r="S840" s="664"/>
      <c r="T840" s="664"/>
      <c r="U840" s="664"/>
      <c r="V840" s="664"/>
      <c r="W840" s="664"/>
      <c r="X840" s="664"/>
      <c r="Y840" s="664"/>
      <c r="Z840" s="664"/>
    </row>
    <row r="841">
      <c r="A841" s="664"/>
      <c r="B841" s="664"/>
      <c r="C841" s="664"/>
      <c r="D841" s="664"/>
      <c r="E841" s="664"/>
      <c r="F841" s="664"/>
      <c r="G841" s="664"/>
      <c r="H841" s="664"/>
      <c r="I841" s="664"/>
      <c r="J841" s="664"/>
      <c r="K841" s="664"/>
      <c r="L841" s="664"/>
      <c r="M841" s="664"/>
      <c r="N841" s="664"/>
      <c r="O841" s="664"/>
      <c r="P841" s="664"/>
      <c r="Q841" s="664"/>
      <c r="R841" s="664"/>
      <c r="S841" s="664"/>
      <c r="T841" s="664"/>
      <c r="U841" s="664"/>
      <c r="V841" s="664"/>
      <c r="W841" s="664"/>
      <c r="X841" s="664"/>
      <c r="Y841" s="664"/>
      <c r="Z841" s="664"/>
    </row>
    <row r="842">
      <c r="A842" s="664"/>
      <c r="B842" s="664"/>
      <c r="C842" s="664"/>
      <c r="D842" s="664"/>
      <c r="E842" s="664"/>
      <c r="F842" s="664"/>
      <c r="G842" s="664"/>
      <c r="H842" s="664"/>
      <c r="I842" s="664"/>
      <c r="J842" s="664"/>
      <c r="K842" s="664"/>
      <c r="L842" s="664"/>
      <c r="M842" s="664"/>
      <c r="N842" s="664"/>
      <c r="O842" s="664"/>
      <c r="P842" s="664"/>
      <c r="Q842" s="664"/>
      <c r="R842" s="664"/>
      <c r="S842" s="664"/>
      <c r="T842" s="664"/>
      <c r="U842" s="664"/>
      <c r="V842" s="664"/>
      <c r="W842" s="664"/>
      <c r="X842" s="664"/>
      <c r="Y842" s="664"/>
      <c r="Z842" s="664"/>
    </row>
    <row r="843">
      <c r="A843" s="664"/>
      <c r="B843" s="664"/>
      <c r="C843" s="664"/>
      <c r="D843" s="664"/>
      <c r="E843" s="664"/>
      <c r="F843" s="664"/>
      <c r="G843" s="664"/>
      <c r="H843" s="664"/>
      <c r="I843" s="664"/>
      <c r="J843" s="664"/>
      <c r="K843" s="664"/>
      <c r="L843" s="664"/>
      <c r="M843" s="664"/>
      <c r="N843" s="664"/>
      <c r="O843" s="664"/>
      <c r="P843" s="664"/>
      <c r="Q843" s="664"/>
      <c r="R843" s="664"/>
      <c r="S843" s="664"/>
      <c r="T843" s="664"/>
      <c r="U843" s="664"/>
      <c r="V843" s="664"/>
      <c r="W843" s="664"/>
      <c r="X843" s="664"/>
      <c r="Y843" s="664"/>
      <c r="Z843" s="664"/>
    </row>
    <row r="844">
      <c r="A844" s="664"/>
      <c r="B844" s="664"/>
      <c r="C844" s="664"/>
      <c r="D844" s="664"/>
      <c r="E844" s="664"/>
      <c r="F844" s="664"/>
      <c r="G844" s="664"/>
      <c r="H844" s="664"/>
      <c r="I844" s="664"/>
      <c r="J844" s="664"/>
      <c r="K844" s="664"/>
      <c r="L844" s="664"/>
      <c r="M844" s="664"/>
      <c r="N844" s="664"/>
      <c r="O844" s="664"/>
      <c r="P844" s="664"/>
      <c r="Q844" s="664"/>
      <c r="R844" s="664"/>
      <c r="S844" s="664"/>
      <c r="T844" s="664"/>
      <c r="U844" s="664"/>
      <c r="V844" s="664"/>
      <c r="W844" s="664"/>
      <c r="X844" s="664"/>
      <c r="Y844" s="664"/>
      <c r="Z844" s="664"/>
    </row>
    <row r="845">
      <c r="A845" s="664"/>
      <c r="B845" s="664"/>
      <c r="C845" s="664"/>
      <c r="D845" s="664"/>
      <c r="E845" s="664"/>
      <c r="F845" s="664"/>
      <c r="G845" s="664"/>
      <c r="H845" s="664"/>
      <c r="I845" s="664"/>
      <c r="J845" s="664"/>
      <c r="K845" s="664"/>
      <c r="L845" s="664"/>
      <c r="M845" s="664"/>
      <c r="N845" s="664"/>
      <c r="O845" s="664"/>
      <c r="P845" s="664"/>
      <c r="Q845" s="664"/>
      <c r="R845" s="664"/>
      <c r="S845" s="664"/>
      <c r="T845" s="664"/>
      <c r="U845" s="664"/>
      <c r="V845" s="664"/>
      <c r="W845" s="664"/>
      <c r="X845" s="664"/>
      <c r="Y845" s="664"/>
      <c r="Z845" s="664"/>
    </row>
    <row r="846">
      <c r="A846" s="664"/>
      <c r="B846" s="664"/>
      <c r="C846" s="664"/>
      <c r="D846" s="664"/>
      <c r="E846" s="664"/>
      <c r="F846" s="664"/>
      <c r="G846" s="664"/>
      <c r="H846" s="664"/>
      <c r="I846" s="664"/>
      <c r="J846" s="664"/>
      <c r="K846" s="664"/>
      <c r="L846" s="664"/>
      <c r="M846" s="664"/>
      <c r="N846" s="664"/>
      <c r="O846" s="664"/>
      <c r="P846" s="664"/>
      <c r="Q846" s="664"/>
      <c r="R846" s="664"/>
      <c r="S846" s="664"/>
      <c r="T846" s="664"/>
      <c r="U846" s="664"/>
      <c r="V846" s="664"/>
      <c r="W846" s="664"/>
      <c r="X846" s="664"/>
      <c r="Y846" s="664"/>
      <c r="Z846" s="664"/>
    </row>
    <row r="847">
      <c r="A847" s="664"/>
      <c r="B847" s="664"/>
      <c r="C847" s="664"/>
      <c r="D847" s="664"/>
      <c r="E847" s="664"/>
      <c r="F847" s="664"/>
      <c r="G847" s="664"/>
      <c r="H847" s="664"/>
      <c r="I847" s="664"/>
      <c r="J847" s="664"/>
      <c r="K847" s="664"/>
      <c r="L847" s="664"/>
      <c r="M847" s="664"/>
      <c r="N847" s="664"/>
      <c r="O847" s="664"/>
      <c r="P847" s="664"/>
      <c r="Q847" s="664"/>
      <c r="R847" s="664"/>
      <c r="S847" s="664"/>
      <c r="T847" s="664"/>
      <c r="U847" s="664"/>
      <c r="V847" s="664"/>
      <c r="W847" s="664"/>
      <c r="X847" s="664"/>
      <c r="Y847" s="664"/>
      <c r="Z847" s="664"/>
    </row>
    <row r="848">
      <c r="A848" s="664"/>
      <c r="B848" s="664"/>
      <c r="C848" s="664"/>
      <c r="D848" s="664"/>
      <c r="E848" s="664"/>
      <c r="F848" s="664"/>
      <c r="G848" s="664"/>
      <c r="H848" s="664"/>
      <c r="I848" s="664"/>
      <c r="J848" s="664"/>
      <c r="K848" s="664"/>
      <c r="L848" s="664"/>
      <c r="M848" s="664"/>
      <c r="N848" s="664"/>
      <c r="O848" s="664"/>
      <c r="P848" s="664"/>
      <c r="Q848" s="664"/>
      <c r="R848" s="664"/>
      <c r="S848" s="664"/>
      <c r="T848" s="664"/>
      <c r="U848" s="664"/>
      <c r="V848" s="664"/>
      <c r="W848" s="664"/>
      <c r="X848" s="664"/>
      <c r="Y848" s="664"/>
      <c r="Z848" s="664"/>
    </row>
    <row r="849">
      <c r="A849" s="664"/>
      <c r="B849" s="664"/>
      <c r="C849" s="664"/>
      <c r="D849" s="664"/>
      <c r="E849" s="664"/>
      <c r="F849" s="664"/>
      <c r="G849" s="664"/>
      <c r="H849" s="664"/>
      <c r="I849" s="664"/>
      <c r="J849" s="664"/>
      <c r="K849" s="664"/>
      <c r="L849" s="664"/>
      <c r="M849" s="664"/>
      <c r="N849" s="664"/>
      <c r="O849" s="664"/>
      <c r="P849" s="664"/>
      <c r="Q849" s="664"/>
      <c r="R849" s="664"/>
      <c r="S849" s="664"/>
      <c r="T849" s="664"/>
      <c r="U849" s="664"/>
      <c r="V849" s="664"/>
      <c r="W849" s="664"/>
      <c r="X849" s="664"/>
      <c r="Y849" s="664"/>
      <c r="Z849" s="664"/>
    </row>
    <row r="850">
      <c r="A850" s="664"/>
      <c r="B850" s="664"/>
      <c r="C850" s="664"/>
      <c r="D850" s="664"/>
      <c r="E850" s="664"/>
      <c r="F850" s="664"/>
      <c r="G850" s="664"/>
      <c r="H850" s="664"/>
      <c r="I850" s="664"/>
      <c r="J850" s="664"/>
      <c r="K850" s="664"/>
      <c r="L850" s="664"/>
      <c r="M850" s="664"/>
      <c r="N850" s="664"/>
      <c r="O850" s="664"/>
      <c r="P850" s="664"/>
      <c r="Q850" s="664"/>
      <c r="R850" s="664"/>
      <c r="S850" s="664"/>
      <c r="T850" s="664"/>
      <c r="U850" s="664"/>
      <c r="V850" s="664"/>
      <c r="W850" s="664"/>
      <c r="X850" s="664"/>
      <c r="Y850" s="664"/>
      <c r="Z850" s="664"/>
    </row>
    <row r="851">
      <c r="A851" s="664"/>
      <c r="B851" s="664"/>
      <c r="C851" s="664"/>
      <c r="D851" s="664"/>
      <c r="E851" s="664"/>
      <c r="F851" s="664"/>
      <c r="G851" s="664"/>
      <c r="H851" s="664"/>
      <c r="I851" s="664"/>
      <c r="J851" s="664"/>
      <c r="K851" s="664"/>
      <c r="L851" s="664"/>
      <c r="M851" s="664"/>
      <c r="N851" s="664"/>
      <c r="O851" s="664"/>
      <c r="P851" s="664"/>
      <c r="Q851" s="664"/>
      <c r="R851" s="664"/>
      <c r="S851" s="664"/>
      <c r="T851" s="664"/>
      <c r="U851" s="664"/>
      <c r="V851" s="664"/>
      <c r="W851" s="664"/>
      <c r="X851" s="664"/>
      <c r="Y851" s="664"/>
      <c r="Z851" s="664"/>
    </row>
    <row r="852">
      <c r="A852" s="664"/>
      <c r="B852" s="664"/>
      <c r="C852" s="664"/>
      <c r="D852" s="664"/>
      <c r="E852" s="664"/>
      <c r="F852" s="664"/>
      <c r="G852" s="664"/>
      <c r="H852" s="664"/>
      <c r="I852" s="664"/>
      <c r="J852" s="664"/>
      <c r="K852" s="664"/>
      <c r="L852" s="664"/>
      <c r="M852" s="664"/>
      <c r="N852" s="664"/>
      <c r="O852" s="664"/>
      <c r="P852" s="664"/>
      <c r="Q852" s="664"/>
      <c r="R852" s="664"/>
      <c r="S852" s="664"/>
      <c r="T852" s="664"/>
      <c r="U852" s="664"/>
      <c r="V852" s="664"/>
      <c r="W852" s="664"/>
      <c r="X852" s="664"/>
      <c r="Y852" s="664"/>
      <c r="Z852" s="664"/>
    </row>
    <row r="853">
      <c r="A853" s="664"/>
      <c r="B853" s="664"/>
      <c r="C853" s="664"/>
      <c r="D853" s="664"/>
      <c r="E853" s="664"/>
      <c r="F853" s="664"/>
      <c r="G853" s="664"/>
      <c r="H853" s="664"/>
      <c r="I853" s="664"/>
      <c r="J853" s="664"/>
      <c r="K853" s="664"/>
      <c r="L853" s="664"/>
      <c r="M853" s="664"/>
      <c r="N853" s="664"/>
      <c r="O853" s="664"/>
      <c r="P853" s="664"/>
      <c r="Q853" s="664"/>
      <c r="R853" s="664"/>
      <c r="S853" s="664"/>
      <c r="T853" s="664"/>
      <c r="U853" s="664"/>
      <c r="V853" s="664"/>
      <c r="W853" s="664"/>
      <c r="X853" s="664"/>
      <c r="Y853" s="664"/>
      <c r="Z853" s="664"/>
    </row>
    <row r="854">
      <c r="A854" s="664"/>
      <c r="B854" s="664"/>
      <c r="C854" s="664"/>
      <c r="D854" s="664"/>
      <c r="E854" s="664"/>
      <c r="F854" s="664"/>
      <c r="G854" s="664"/>
      <c r="H854" s="664"/>
      <c r="I854" s="664"/>
      <c r="J854" s="664"/>
      <c r="K854" s="664"/>
      <c r="L854" s="664"/>
      <c r="M854" s="664"/>
      <c r="N854" s="664"/>
      <c r="O854" s="664"/>
      <c r="P854" s="664"/>
      <c r="Q854" s="664"/>
      <c r="R854" s="664"/>
      <c r="S854" s="664"/>
      <c r="T854" s="664"/>
      <c r="U854" s="664"/>
      <c r="V854" s="664"/>
      <c r="W854" s="664"/>
      <c r="X854" s="664"/>
      <c r="Y854" s="664"/>
      <c r="Z854" s="664"/>
    </row>
    <row r="855">
      <c r="A855" s="664"/>
      <c r="B855" s="664"/>
      <c r="C855" s="664"/>
      <c r="D855" s="664"/>
      <c r="E855" s="664"/>
      <c r="F855" s="664"/>
      <c r="G855" s="664"/>
      <c r="H855" s="664"/>
      <c r="I855" s="664"/>
      <c r="J855" s="664"/>
      <c r="K855" s="664"/>
      <c r="L855" s="664"/>
      <c r="M855" s="664"/>
      <c r="N855" s="664"/>
      <c r="O855" s="664"/>
      <c r="P855" s="664"/>
      <c r="Q855" s="664"/>
      <c r="R855" s="664"/>
      <c r="S855" s="664"/>
      <c r="T855" s="664"/>
      <c r="U855" s="664"/>
      <c r="V855" s="664"/>
      <c r="W855" s="664"/>
      <c r="X855" s="664"/>
      <c r="Y855" s="664"/>
      <c r="Z855" s="664"/>
    </row>
    <row r="856">
      <c r="A856" s="664"/>
      <c r="B856" s="664"/>
      <c r="C856" s="664"/>
      <c r="D856" s="664"/>
      <c r="E856" s="664"/>
      <c r="F856" s="664"/>
      <c r="G856" s="664"/>
      <c r="H856" s="664"/>
      <c r="I856" s="664"/>
      <c r="J856" s="664"/>
      <c r="K856" s="664"/>
      <c r="L856" s="664"/>
      <c r="M856" s="664"/>
      <c r="N856" s="664"/>
      <c r="O856" s="664"/>
      <c r="P856" s="664"/>
      <c r="Q856" s="664"/>
      <c r="R856" s="664"/>
      <c r="S856" s="664"/>
      <c r="T856" s="664"/>
      <c r="U856" s="664"/>
      <c r="V856" s="664"/>
      <c r="W856" s="664"/>
      <c r="X856" s="664"/>
      <c r="Y856" s="664"/>
      <c r="Z856" s="664"/>
    </row>
    <row r="857">
      <c r="A857" s="664"/>
      <c r="B857" s="664"/>
      <c r="C857" s="664"/>
      <c r="D857" s="664"/>
      <c r="E857" s="664"/>
      <c r="F857" s="664"/>
      <c r="G857" s="664"/>
      <c r="H857" s="664"/>
      <c r="I857" s="664"/>
      <c r="J857" s="664"/>
      <c r="K857" s="664"/>
      <c r="L857" s="664"/>
      <c r="M857" s="664"/>
      <c r="N857" s="664"/>
      <c r="O857" s="664"/>
      <c r="P857" s="664"/>
      <c r="Q857" s="664"/>
      <c r="R857" s="664"/>
      <c r="S857" s="664"/>
      <c r="T857" s="664"/>
      <c r="U857" s="664"/>
      <c r="V857" s="664"/>
      <c r="W857" s="664"/>
      <c r="X857" s="664"/>
      <c r="Y857" s="664"/>
      <c r="Z857" s="664"/>
    </row>
    <row r="858">
      <c r="A858" s="664"/>
      <c r="B858" s="664"/>
      <c r="C858" s="664"/>
      <c r="D858" s="664"/>
      <c r="E858" s="664"/>
      <c r="F858" s="664"/>
      <c r="G858" s="664"/>
      <c r="H858" s="664"/>
      <c r="I858" s="664"/>
      <c r="J858" s="664"/>
      <c r="K858" s="664"/>
      <c r="L858" s="664"/>
      <c r="M858" s="664"/>
      <c r="N858" s="664"/>
      <c r="O858" s="664"/>
      <c r="P858" s="664"/>
      <c r="Q858" s="664"/>
      <c r="R858" s="664"/>
      <c r="S858" s="664"/>
      <c r="T858" s="664"/>
      <c r="U858" s="664"/>
      <c r="V858" s="664"/>
      <c r="W858" s="664"/>
      <c r="X858" s="664"/>
      <c r="Y858" s="664"/>
      <c r="Z858" s="664"/>
    </row>
    <row r="859">
      <c r="A859" s="664"/>
      <c r="B859" s="664"/>
      <c r="C859" s="664"/>
      <c r="D859" s="664"/>
      <c r="E859" s="664"/>
      <c r="F859" s="664"/>
      <c r="G859" s="664"/>
      <c r="H859" s="664"/>
      <c r="I859" s="664"/>
      <c r="J859" s="664"/>
      <c r="K859" s="664"/>
      <c r="L859" s="664"/>
      <c r="M859" s="664"/>
      <c r="N859" s="664"/>
      <c r="O859" s="664"/>
      <c r="P859" s="664"/>
      <c r="Q859" s="664"/>
      <c r="R859" s="664"/>
      <c r="S859" s="664"/>
      <c r="T859" s="664"/>
      <c r="U859" s="664"/>
      <c r="V859" s="664"/>
      <c r="W859" s="664"/>
      <c r="X859" s="664"/>
      <c r="Y859" s="664"/>
      <c r="Z859" s="664"/>
    </row>
    <row r="860">
      <c r="A860" s="664"/>
      <c r="B860" s="664"/>
      <c r="C860" s="664"/>
      <c r="D860" s="664"/>
      <c r="E860" s="664"/>
      <c r="F860" s="664"/>
      <c r="G860" s="664"/>
      <c r="H860" s="664"/>
      <c r="I860" s="664"/>
      <c r="J860" s="664"/>
      <c r="K860" s="664"/>
      <c r="L860" s="664"/>
      <c r="M860" s="664"/>
      <c r="N860" s="664"/>
      <c r="O860" s="664"/>
      <c r="P860" s="664"/>
      <c r="Q860" s="664"/>
      <c r="R860" s="664"/>
      <c r="S860" s="664"/>
      <c r="T860" s="664"/>
      <c r="U860" s="664"/>
      <c r="V860" s="664"/>
      <c r="W860" s="664"/>
      <c r="X860" s="664"/>
      <c r="Y860" s="664"/>
      <c r="Z860" s="664"/>
    </row>
    <row r="861">
      <c r="A861" s="664"/>
      <c r="B861" s="664"/>
      <c r="C861" s="664"/>
      <c r="D861" s="664"/>
      <c r="E861" s="664"/>
      <c r="F861" s="664"/>
      <c r="G861" s="664"/>
      <c r="H861" s="664"/>
      <c r="I861" s="664"/>
      <c r="J861" s="664"/>
      <c r="K861" s="664"/>
      <c r="L861" s="664"/>
      <c r="M861" s="664"/>
      <c r="N861" s="664"/>
      <c r="O861" s="664"/>
      <c r="P861" s="664"/>
      <c r="Q861" s="664"/>
      <c r="R861" s="664"/>
      <c r="S861" s="664"/>
      <c r="T861" s="664"/>
      <c r="U861" s="664"/>
      <c r="V861" s="664"/>
      <c r="W861" s="664"/>
      <c r="X861" s="664"/>
      <c r="Y861" s="664"/>
      <c r="Z861" s="664"/>
    </row>
    <row r="862">
      <c r="A862" s="664"/>
      <c r="B862" s="664"/>
      <c r="C862" s="664"/>
      <c r="D862" s="664"/>
      <c r="E862" s="664"/>
      <c r="F862" s="664"/>
      <c r="G862" s="664"/>
      <c r="H862" s="664"/>
      <c r="I862" s="664"/>
      <c r="J862" s="664"/>
      <c r="K862" s="664"/>
      <c r="L862" s="664"/>
      <c r="M862" s="664"/>
      <c r="N862" s="664"/>
      <c r="O862" s="664"/>
      <c r="P862" s="664"/>
      <c r="Q862" s="664"/>
      <c r="R862" s="664"/>
      <c r="S862" s="664"/>
      <c r="T862" s="664"/>
      <c r="U862" s="664"/>
      <c r="V862" s="664"/>
      <c r="W862" s="664"/>
      <c r="X862" s="664"/>
      <c r="Y862" s="664"/>
      <c r="Z862" s="664"/>
    </row>
    <row r="863">
      <c r="A863" s="664"/>
      <c r="B863" s="664"/>
      <c r="C863" s="664"/>
      <c r="D863" s="664"/>
      <c r="E863" s="664"/>
      <c r="F863" s="664"/>
      <c r="G863" s="664"/>
      <c r="H863" s="664"/>
      <c r="I863" s="664"/>
      <c r="J863" s="664"/>
      <c r="K863" s="664"/>
      <c r="L863" s="664"/>
      <c r="M863" s="664"/>
      <c r="N863" s="664"/>
      <c r="O863" s="664"/>
      <c r="P863" s="664"/>
      <c r="Q863" s="664"/>
      <c r="R863" s="664"/>
      <c r="S863" s="664"/>
      <c r="T863" s="664"/>
      <c r="U863" s="664"/>
      <c r="V863" s="664"/>
      <c r="W863" s="664"/>
      <c r="X863" s="664"/>
      <c r="Y863" s="664"/>
      <c r="Z863" s="664"/>
    </row>
    <row r="864">
      <c r="A864" s="664"/>
      <c r="B864" s="664"/>
      <c r="C864" s="664"/>
      <c r="D864" s="664"/>
      <c r="E864" s="664"/>
      <c r="F864" s="664"/>
      <c r="G864" s="664"/>
      <c r="H864" s="664"/>
      <c r="I864" s="664"/>
      <c r="J864" s="664"/>
      <c r="K864" s="664"/>
      <c r="L864" s="664"/>
      <c r="M864" s="664"/>
      <c r="N864" s="664"/>
      <c r="O864" s="664"/>
      <c r="P864" s="664"/>
      <c r="Q864" s="664"/>
      <c r="R864" s="664"/>
      <c r="S864" s="664"/>
      <c r="T864" s="664"/>
      <c r="U864" s="664"/>
      <c r="V864" s="664"/>
      <c r="W864" s="664"/>
      <c r="X864" s="664"/>
      <c r="Y864" s="664"/>
      <c r="Z864" s="664"/>
    </row>
    <row r="865">
      <c r="A865" s="664"/>
      <c r="B865" s="664"/>
      <c r="C865" s="664"/>
      <c r="D865" s="664"/>
      <c r="E865" s="664"/>
      <c r="F865" s="664"/>
      <c r="G865" s="664"/>
      <c r="H865" s="664"/>
      <c r="I865" s="664"/>
      <c r="J865" s="664"/>
      <c r="K865" s="664"/>
      <c r="L865" s="664"/>
      <c r="M865" s="664"/>
      <c r="N865" s="664"/>
      <c r="O865" s="664"/>
      <c r="P865" s="664"/>
      <c r="Q865" s="664"/>
      <c r="R865" s="664"/>
      <c r="S865" s="664"/>
      <c r="T865" s="664"/>
      <c r="U865" s="664"/>
      <c r="V865" s="664"/>
      <c r="W865" s="664"/>
      <c r="X865" s="664"/>
      <c r="Y865" s="664"/>
      <c r="Z865" s="664"/>
    </row>
    <row r="866">
      <c r="A866" s="664"/>
      <c r="B866" s="664"/>
      <c r="C866" s="664"/>
      <c r="D866" s="664"/>
      <c r="E866" s="664"/>
      <c r="F866" s="664"/>
      <c r="G866" s="664"/>
      <c r="H866" s="664"/>
      <c r="I866" s="664"/>
      <c r="J866" s="664"/>
      <c r="K866" s="664"/>
      <c r="L866" s="664"/>
      <c r="M866" s="664"/>
      <c r="N866" s="664"/>
      <c r="O866" s="664"/>
      <c r="P866" s="664"/>
      <c r="Q866" s="664"/>
      <c r="R866" s="664"/>
      <c r="S866" s="664"/>
      <c r="T866" s="664"/>
      <c r="U866" s="664"/>
      <c r="V866" s="664"/>
      <c r="W866" s="664"/>
      <c r="X866" s="664"/>
      <c r="Y866" s="664"/>
      <c r="Z866" s="664"/>
    </row>
    <row r="867">
      <c r="A867" s="664"/>
      <c r="B867" s="664"/>
      <c r="C867" s="664"/>
      <c r="D867" s="664"/>
      <c r="E867" s="664"/>
      <c r="F867" s="664"/>
      <c r="G867" s="664"/>
      <c r="H867" s="664"/>
      <c r="I867" s="664"/>
      <c r="J867" s="664"/>
      <c r="K867" s="664"/>
      <c r="L867" s="664"/>
      <c r="M867" s="664"/>
      <c r="N867" s="664"/>
      <c r="O867" s="664"/>
      <c r="P867" s="664"/>
      <c r="Q867" s="664"/>
      <c r="R867" s="664"/>
      <c r="S867" s="664"/>
      <c r="T867" s="664"/>
      <c r="U867" s="664"/>
      <c r="V867" s="664"/>
      <c r="W867" s="664"/>
      <c r="X867" s="664"/>
      <c r="Y867" s="664"/>
      <c r="Z867" s="664"/>
    </row>
    <row r="868">
      <c r="A868" s="664"/>
      <c r="B868" s="664"/>
      <c r="C868" s="664"/>
      <c r="D868" s="664"/>
      <c r="E868" s="664"/>
      <c r="F868" s="664"/>
      <c r="G868" s="664"/>
      <c r="H868" s="664"/>
      <c r="I868" s="664"/>
      <c r="J868" s="664"/>
      <c r="K868" s="664"/>
      <c r="L868" s="664"/>
      <c r="M868" s="664"/>
      <c r="N868" s="664"/>
      <c r="O868" s="664"/>
      <c r="P868" s="664"/>
      <c r="Q868" s="664"/>
      <c r="R868" s="664"/>
      <c r="S868" s="664"/>
      <c r="T868" s="664"/>
      <c r="U868" s="664"/>
      <c r="V868" s="664"/>
      <c r="W868" s="664"/>
      <c r="X868" s="664"/>
      <c r="Y868" s="664"/>
      <c r="Z868" s="664"/>
    </row>
    <row r="869">
      <c r="A869" s="664"/>
      <c r="B869" s="664"/>
      <c r="C869" s="664"/>
      <c r="D869" s="664"/>
      <c r="E869" s="664"/>
      <c r="F869" s="664"/>
      <c r="G869" s="664"/>
      <c r="H869" s="664"/>
      <c r="I869" s="664"/>
      <c r="J869" s="664"/>
      <c r="K869" s="664"/>
      <c r="L869" s="664"/>
      <c r="M869" s="664"/>
      <c r="N869" s="664"/>
      <c r="O869" s="664"/>
      <c r="P869" s="664"/>
      <c r="Q869" s="664"/>
      <c r="R869" s="664"/>
      <c r="S869" s="664"/>
      <c r="T869" s="664"/>
      <c r="U869" s="664"/>
      <c r="V869" s="664"/>
      <c r="W869" s="664"/>
      <c r="X869" s="664"/>
      <c r="Y869" s="664"/>
      <c r="Z869" s="664"/>
    </row>
    <row r="870">
      <c r="A870" s="664"/>
      <c r="B870" s="664"/>
      <c r="C870" s="664"/>
      <c r="D870" s="664"/>
      <c r="E870" s="664"/>
      <c r="F870" s="664"/>
      <c r="G870" s="664"/>
      <c r="H870" s="664"/>
      <c r="I870" s="664"/>
      <c r="J870" s="664"/>
      <c r="K870" s="664"/>
      <c r="L870" s="664"/>
      <c r="M870" s="664"/>
      <c r="N870" s="664"/>
      <c r="O870" s="664"/>
      <c r="P870" s="664"/>
      <c r="Q870" s="664"/>
      <c r="R870" s="664"/>
      <c r="S870" s="664"/>
      <c r="T870" s="664"/>
      <c r="U870" s="664"/>
      <c r="V870" s="664"/>
      <c r="W870" s="664"/>
      <c r="X870" s="664"/>
      <c r="Y870" s="664"/>
      <c r="Z870" s="664"/>
    </row>
    <row r="871">
      <c r="A871" s="664"/>
      <c r="B871" s="664"/>
      <c r="C871" s="664"/>
      <c r="D871" s="664"/>
      <c r="E871" s="664"/>
      <c r="F871" s="664"/>
      <c r="G871" s="664"/>
      <c r="H871" s="664"/>
      <c r="I871" s="664"/>
      <c r="J871" s="664"/>
      <c r="K871" s="664"/>
      <c r="L871" s="664"/>
      <c r="M871" s="664"/>
      <c r="N871" s="664"/>
      <c r="O871" s="664"/>
      <c r="P871" s="664"/>
      <c r="Q871" s="664"/>
      <c r="R871" s="664"/>
      <c r="S871" s="664"/>
      <c r="T871" s="664"/>
      <c r="U871" s="664"/>
      <c r="V871" s="664"/>
      <c r="W871" s="664"/>
      <c r="X871" s="664"/>
      <c r="Y871" s="664"/>
      <c r="Z871" s="664"/>
    </row>
    <row r="872">
      <c r="A872" s="664"/>
      <c r="B872" s="664"/>
      <c r="C872" s="664"/>
      <c r="D872" s="664"/>
      <c r="E872" s="664"/>
      <c r="F872" s="664"/>
      <c r="G872" s="664"/>
      <c r="H872" s="664"/>
      <c r="I872" s="664"/>
      <c r="J872" s="664"/>
      <c r="K872" s="664"/>
      <c r="L872" s="664"/>
      <c r="M872" s="664"/>
      <c r="N872" s="664"/>
      <c r="O872" s="664"/>
      <c r="P872" s="664"/>
      <c r="Q872" s="664"/>
      <c r="R872" s="664"/>
      <c r="S872" s="664"/>
      <c r="T872" s="664"/>
      <c r="U872" s="664"/>
      <c r="V872" s="664"/>
      <c r="W872" s="664"/>
      <c r="X872" s="664"/>
      <c r="Y872" s="664"/>
      <c r="Z872" s="664"/>
    </row>
    <row r="873">
      <c r="A873" s="664"/>
      <c r="B873" s="664"/>
      <c r="C873" s="664"/>
      <c r="D873" s="664"/>
      <c r="E873" s="664"/>
      <c r="F873" s="664"/>
      <c r="G873" s="664"/>
      <c r="H873" s="664"/>
      <c r="I873" s="664"/>
      <c r="J873" s="664"/>
      <c r="K873" s="664"/>
      <c r="L873" s="664"/>
      <c r="M873" s="664"/>
      <c r="N873" s="664"/>
      <c r="O873" s="664"/>
      <c r="P873" s="664"/>
      <c r="Q873" s="664"/>
      <c r="R873" s="664"/>
      <c r="S873" s="664"/>
      <c r="T873" s="664"/>
      <c r="U873" s="664"/>
      <c r="V873" s="664"/>
      <c r="W873" s="664"/>
      <c r="X873" s="664"/>
      <c r="Y873" s="664"/>
      <c r="Z873" s="664"/>
    </row>
    <row r="874">
      <c r="A874" s="664"/>
      <c r="B874" s="664"/>
      <c r="C874" s="664"/>
      <c r="D874" s="664"/>
      <c r="E874" s="664"/>
      <c r="F874" s="664"/>
      <c r="G874" s="664"/>
      <c r="H874" s="664"/>
      <c r="I874" s="664"/>
      <c r="J874" s="664"/>
      <c r="K874" s="664"/>
      <c r="L874" s="664"/>
      <c r="M874" s="664"/>
      <c r="N874" s="664"/>
      <c r="O874" s="664"/>
      <c r="P874" s="664"/>
      <c r="Q874" s="664"/>
      <c r="R874" s="664"/>
      <c r="S874" s="664"/>
      <c r="T874" s="664"/>
      <c r="U874" s="664"/>
      <c r="V874" s="664"/>
      <c r="W874" s="664"/>
      <c r="X874" s="664"/>
      <c r="Y874" s="664"/>
      <c r="Z874" s="664"/>
    </row>
    <row r="875">
      <c r="A875" s="664"/>
      <c r="B875" s="664"/>
      <c r="C875" s="664"/>
      <c r="D875" s="664"/>
      <c r="E875" s="664"/>
      <c r="F875" s="664"/>
      <c r="G875" s="664"/>
      <c r="H875" s="664"/>
      <c r="I875" s="664"/>
      <c r="J875" s="664"/>
      <c r="K875" s="664"/>
      <c r="L875" s="664"/>
      <c r="M875" s="664"/>
      <c r="N875" s="664"/>
      <c r="O875" s="664"/>
      <c r="P875" s="664"/>
      <c r="Q875" s="664"/>
      <c r="R875" s="664"/>
      <c r="S875" s="664"/>
      <c r="T875" s="664"/>
      <c r="U875" s="664"/>
      <c r="V875" s="664"/>
      <c r="W875" s="664"/>
      <c r="X875" s="664"/>
      <c r="Y875" s="664"/>
      <c r="Z875" s="664"/>
    </row>
    <row r="876">
      <c r="A876" s="664"/>
      <c r="B876" s="664"/>
      <c r="C876" s="664"/>
      <c r="D876" s="664"/>
      <c r="E876" s="664"/>
      <c r="F876" s="664"/>
      <c r="G876" s="664"/>
      <c r="H876" s="664"/>
      <c r="I876" s="664"/>
      <c r="J876" s="664"/>
      <c r="K876" s="664"/>
      <c r="L876" s="664"/>
      <c r="M876" s="664"/>
      <c r="N876" s="664"/>
      <c r="O876" s="664"/>
      <c r="P876" s="664"/>
      <c r="Q876" s="664"/>
      <c r="R876" s="664"/>
      <c r="S876" s="664"/>
      <c r="T876" s="664"/>
      <c r="U876" s="664"/>
      <c r="V876" s="664"/>
      <c r="W876" s="664"/>
      <c r="X876" s="664"/>
      <c r="Y876" s="664"/>
      <c r="Z876" s="664"/>
    </row>
    <row r="877">
      <c r="A877" s="664"/>
      <c r="B877" s="664"/>
      <c r="C877" s="664"/>
      <c r="D877" s="664"/>
      <c r="E877" s="664"/>
      <c r="F877" s="664"/>
      <c r="G877" s="664"/>
      <c r="H877" s="664"/>
      <c r="I877" s="664"/>
      <c r="J877" s="664"/>
      <c r="K877" s="664"/>
      <c r="L877" s="664"/>
      <c r="M877" s="664"/>
      <c r="N877" s="664"/>
      <c r="O877" s="664"/>
      <c r="P877" s="664"/>
      <c r="Q877" s="664"/>
      <c r="R877" s="664"/>
      <c r="S877" s="664"/>
      <c r="T877" s="664"/>
      <c r="U877" s="664"/>
      <c r="V877" s="664"/>
      <c r="W877" s="664"/>
      <c r="X877" s="664"/>
      <c r="Y877" s="664"/>
      <c r="Z877" s="664"/>
    </row>
    <row r="878">
      <c r="A878" s="664"/>
      <c r="B878" s="664"/>
      <c r="C878" s="664"/>
      <c r="D878" s="664"/>
      <c r="E878" s="664"/>
      <c r="F878" s="664"/>
      <c r="G878" s="664"/>
      <c r="H878" s="664"/>
      <c r="I878" s="664"/>
      <c r="J878" s="664"/>
      <c r="K878" s="664"/>
      <c r="L878" s="664"/>
      <c r="M878" s="664"/>
      <c r="N878" s="664"/>
      <c r="O878" s="664"/>
      <c r="P878" s="664"/>
      <c r="Q878" s="664"/>
      <c r="R878" s="664"/>
      <c r="S878" s="664"/>
      <c r="T878" s="664"/>
      <c r="U878" s="664"/>
      <c r="V878" s="664"/>
      <c r="W878" s="664"/>
      <c r="X878" s="664"/>
      <c r="Y878" s="664"/>
      <c r="Z878" s="664"/>
    </row>
    <row r="879">
      <c r="A879" s="664"/>
      <c r="B879" s="664"/>
      <c r="C879" s="664"/>
      <c r="D879" s="664"/>
      <c r="E879" s="664"/>
      <c r="F879" s="664"/>
      <c r="G879" s="664"/>
      <c r="H879" s="664"/>
      <c r="I879" s="664"/>
      <c r="J879" s="664"/>
      <c r="K879" s="664"/>
      <c r="L879" s="664"/>
      <c r="M879" s="664"/>
      <c r="N879" s="664"/>
      <c r="O879" s="664"/>
      <c r="P879" s="664"/>
      <c r="Q879" s="664"/>
      <c r="R879" s="664"/>
      <c r="S879" s="664"/>
      <c r="T879" s="664"/>
      <c r="U879" s="664"/>
      <c r="V879" s="664"/>
      <c r="W879" s="664"/>
      <c r="X879" s="664"/>
      <c r="Y879" s="664"/>
      <c r="Z879" s="664"/>
    </row>
    <row r="880">
      <c r="A880" s="664"/>
      <c r="B880" s="664"/>
      <c r="C880" s="664"/>
      <c r="D880" s="664"/>
      <c r="E880" s="664"/>
      <c r="F880" s="664"/>
      <c r="G880" s="664"/>
      <c r="H880" s="664"/>
      <c r="I880" s="664"/>
      <c r="J880" s="664"/>
      <c r="K880" s="664"/>
      <c r="L880" s="664"/>
      <c r="M880" s="664"/>
      <c r="N880" s="664"/>
      <c r="O880" s="664"/>
      <c r="P880" s="664"/>
      <c r="Q880" s="664"/>
      <c r="R880" s="664"/>
      <c r="S880" s="664"/>
      <c r="T880" s="664"/>
      <c r="U880" s="664"/>
      <c r="V880" s="664"/>
      <c r="W880" s="664"/>
      <c r="X880" s="664"/>
      <c r="Y880" s="664"/>
      <c r="Z880" s="664"/>
    </row>
    <row r="881">
      <c r="A881" s="664"/>
      <c r="B881" s="664"/>
      <c r="C881" s="664"/>
      <c r="D881" s="664"/>
      <c r="E881" s="664"/>
      <c r="F881" s="664"/>
      <c r="G881" s="664"/>
      <c r="H881" s="664"/>
      <c r="I881" s="664"/>
      <c r="J881" s="664"/>
      <c r="K881" s="664"/>
      <c r="L881" s="664"/>
      <c r="M881" s="664"/>
      <c r="N881" s="664"/>
      <c r="O881" s="664"/>
      <c r="P881" s="664"/>
      <c r="Q881" s="664"/>
      <c r="R881" s="664"/>
      <c r="S881" s="664"/>
      <c r="T881" s="664"/>
      <c r="U881" s="664"/>
      <c r="V881" s="664"/>
      <c r="W881" s="664"/>
      <c r="X881" s="664"/>
      <c r="Y881" s="664"/>
      <c r="Z881" s="664"/>
    </row>
    <row r="882">
      <c r="A882" s="664"/>
      <c r="B882" s="664"/>
      <c r="C882" s="664"/>
      <c r="D882" s="664"/>
      <c r="E882" s="664"/>
      <c r="F882" s="664"/>
      <c r="G882" s="664"/>
      <c r="H882" s="664"/>
      <c r="I882" s="664"/>
      <c r="J882" s="664"/>
      <c r="K882" s="664"/>
      <c r="L882" s="664"/>
      <c r="M882" s="664"/>
      <c r="N882" s="664"/>
      <c r="O882" s="664"/>
      <c r="P882" s="664"/>
      <c r="Q882" s="664"/>
      <c r="R882" s="664"/>
      <c r="S882" s="664"/>
      <c r="T882" s="664"/>
      <c r="U882" s="664"/>
      <c r="V882" s="664"/>
      <c r="W882" s="664"/>
      <c r="X882" s="664"/>
      <c r="Y882" s="664"/>
      <c r="Z882" s="664"/>
    </row>
    <row r="883">
      <c r="A883" s="664"/>
      <c r="B883" s="664"/>
      <c r="C883" s="664"/>
      <c r="D883" s="664"/>
      <c r="E883" s="664"/>
      <c r="F883" s="664"/>
      <c r="G883" s="664"/>
      <c r="H883" s="664"/>
      <c r="I883" s="664"/>
      <c r="J883" s="664"/>
      <c r="K883" s="664"/>
      <c r="L883" s="664"/>
      <c r="M883" s="664"/>
      <c r="N883" s="664"/>
      <c r="O883" s="664"/>
      <c r="P883" s="664"/>
      <c r="Q883" s="664"/>
      <c r="R883" s="664"/>
      <c r="S883" s="664"/>
      <c r="T883" s="664"/>
      <c r="U883" s="664"/>
      <c r="V883" s="664"/>
      <c r="W883" s="664"/>
      <c r="X883" s="664"/>
      <c r="Y883" s="664"/>
      <c r="Z883" s="664"/>
    </row>
    <row r="884">
      <c r="A884" s="664"/>
      <c r="B884" s="664"/>
      <c r="C884" s="664"/>
      <c r="D884" s="664"/>
      <c r="E884" s="664"/>
      <c r="F884" s="664"/>
      <c r="G884" s="664"/>
      <c r="H884" s="664"/>
      <c r="I884" s="664"/>
      <c r="J884" s="664"/>
      <c r="K884" s="664"/>
      <c r="L884" s="664"/>
      <c r="M884" s="664"/>
      <c r="N884" s="664"/>
      <c r="O884" s="664"/>
      <c r="P884" s="664"/>
      <c r="Q884" s="664"/>
      <c r="R884" s="664"/>
      <c r="S884" s="664"/>
      <c r="T884" s="664"/>
      <c r="U884" s="664"/>
      <c r="V884" s="664"/>
      <c r="W884" s="664"/>
      <c r="X884" s="664"/>
      <c r="Y884" s="664"/>
      <c r="Z884" s="664"/>
    </row>
    <row r="885">
      <c r="A885" s="664"/>
      <c r="B885" s="664"/>
      <c r="C885" s="664"/>
      <c r="D885" s="664"/>
      <c r="E885" s="664"/>
      <c r="F885" s="664"/>
      <c r="G885" s="664"/>
      <c r="H885" s="664"/>
      <c r="I885" s="664"/>
      <c r="J885" s="664"/>
      <c r="K885" s="664"/>
      <c r="L885" s="664"/>
      <c r="M885" s="664"/>
      <c r="N885" s="664"/>
      <c r="O885" s="664"/>
      <c r="P885" s="664"/>
      <c r="Q885" s="664"/>
      <c r="R885" s="664"/>
      <c r="S885" s="664"/>
      <c r="T885" s="664"/>
      <c r="U885" s="664"/>
      <c r="V885" s="664"/>
      <c r="W885" s="664"/>
      <c r="X885" s="664"/>
      <c r="Y885" s="664"/>
      <c r="Z885" s="664"/>
    </row>
    <row r="886">
      <c r="A886" s="664"/>
      <c r="B886" s="664"/>
      <c r="C886" s="664"/>
      <c r="D886" s="664"/>
      <c r="E886" s="664"/>
      <c r="F886" s="664"/>
      <c r="G886" s="664"/>
      <c r="H886" s="664"/>
      <c r="I886" s="664"/>
      <c r="J886" s="664"/>
      <c r="K886" s="664"/>
      <c r="L886" s="664"/>
      <c r="M886" s="664"/>
      <c r="N886" s="664"/>
      <c r="O886" s="664"/>
      <c r="P886" s="664"/>
      <c r="Q886" s="664"/>
      <c r="R886" s="664"/>
      <c r="S886" s="664"/>
      <c r="T886" s="664"/>
      <c r="U886" s="664"/>
      <c r="V886" s="664"/>
      <c r="W886" s="664"/>
      <c r="X886" s="664"/>
      <c r="Y886" s="664"/>
      <c r="Z886" s="664"/>
    </row>
    <row r="887">
      <c r="A887" s="664"/>
      <c r="B887" s="664"/>
      <c r="C887" s="664"/>
      <c r="D887" s="664"/>
      <c r="E887" s="664"/>
      <c r="F887" s="664"/>
      <c r="G887" s="664"/>
      <c r="H887" s="664"/>
      <c r="I887" s="664"/>
      <c r="J887" s="664"/>
      <c r="K887" s="664"/>
      <c r="L887" s="664"/>
      <c r="M887" s="664"/>
      <c r="N887" s="664"/>
      <c r="O887" s="664"/>
      <c r="P887" s="664"/>
      <c r="Q887" s="664"/>
      <c r="R887" s="664"/>
      <c r="S887" s="664"/>
      <c r="T887" s="664"/>
      <c r="U887" s="664"/>
      <c r="V887" s="664"/>
      <c r="W887" s="664"/>
      <c r="X887" s="664"/>
      <c r="Y887" s="664"/>
      <c r="Z887" s="664"/>
    </row>
    <row r="888">
      <c r="A888" s="664"/>
      <c r="B888" s="664"/>
      <c r="C888" s="664"/>
      <c r="D888" s="664"/>
      <c r="E888" s="664"/>
      <c r="F888" s="664"/>
      <c r="G888" s="664"/>
      <c r="H888" s="664"/>
      <c r="I888" s="664"/>
      <c r="J888" s="664"/>
      <c r="K888" s="664"/>
      <c r="L888" s="664"/>
      <c r="M888" s="664"/>
      <c r="N888" s="664"/>
      <c r="O888" s="664"/>
      <c r="P888" s="664"/>
      <c r="Q888" s="664"/>
      <c r="R888" s="664"/>
      <c r="S888" s="664"/>
      <c r="T888" s="664"/>
      <c r="U888" s="664"/>
      <c r="V888" s="664"/>
      <c r="W888" s="664"/>
      <c r="X888" s="664"/>
      <c r="Y888" s="664"/>
      <c r="Z888" s="664"/>
    </row>
    <row r="889">
      <c r="A889" s="664"/>
      <c r="B889" s="664"/>
      <c r="C889" s="664"/>
      <c r="D889" s="664"/>
      <c r="E889" s="664"/>
      <c r="F889" s="664"/>
      <c r="G889" s="664"/>
      <c r="H889" s="664"/>
      <c r="I889" s="664"/>
      <c r="J889" s="664"/>
      <c r="K889" s="664"/>
      <c r="L889" s="664"/>
      <c r="M889" s="664"/>
      <c r="N889" s="664"/>
      <c r="O889" s="664"/>
      <c r="P889" s="664"/>
      <c r="Q889" s="664"/>
      <c r="R889" s="664"/>
      <c r="S889" s="664"/>
      <c r="T889" s="664"/>
      <c r="U889" s="664"/>
      <c r="V889" s="664"/>
      <c r="W889" s="664"/>
      <c r="X889" s="664"/>
      <c r="Y889" s="664"/>
      <c r="Z889" s="664"/>
    </row>
    <row r="890">
      <c r="A890" s="664"/>
      <c r="B890" s="664"/>
      <c r="C890" s="664"/>
      <c r="D890" s="664"/>
      <c r="E890" s="664"/>
      <c r="F890" s="664"/>
      <c r="G890" s="664"/>
      <c r="H890" s="664"/>
      <c r="I890" s="664"/>
      <c r="J890" s="664"/>
      <c r="K890" s="664"/>
      <c r="L890" s="664"/>
      <c r="M890" s="664"/>
      <c r="N890" s="664"/>
      <c r="O890" s="664"/>
      <c r="P890" s="664"/>
      <c r="Q890" s="664"/>
      <c r="R890" s="664"/>
      <c r="S890" s="664"/>
      <c r="T890" s="664"/>
      <c r="U890" s="664"/>
      <c r="V890" s="664"/>
      <c r="W890" s="664"/>
      <c r="X890" s="664"/>
      <c r="Y890" s="664"/>
      <c r="Z890" s="664"/>
    </row>
    <row r="891">
      <c r="A891" s="664"/>
      <c r="B891" s="664"/>
      <c r="C891" s="664"/>
      <c r="D891" s="664"/>
      <c r="E891" s="664"/>
      <c r="F891" s="664"/>
      <c r="G891" s="664"/>
      <c r="H891" s="664"/>
      <c r="I891" s="664"/>
      <c r="J891" s="664"/>
      <c r="K891" s="664"/>
      <c r="L891" s="664"/>
      <c r="M891" s="664"/>
      <c r="N891" s="664"/>
      <c r="O891" s="664"/>
      <c r="P891" s="664"/>
      <c r="Q891" s="664"/>
      <c r="R891" s="664"/>
      <c r="S891" s="664"/>
      <c r="T891" s="664"/>
      <c r="U891" s="664"/>
      <c r="V891" s="664"/>
      <c r="W891" s="664"/>
      <c r="X891" s="664"/>
      <c r="Y891" s="664"/>
      <c r="Z891" s="664"/>
    </row>
    <row r="892">
      <c r="A892" s="664"/>
      <c r="B892" s="664"/>
      <c r="C892" s="664"/>
      <c r="D892" s="664"/>
      <c r="E892" s="664"/>
      <c r="F892" s="664"/>
      <c r="G892" s="664"/>
      <c r="H892" s="664"/>
      <c r="I892" s="664"/>
      <c r="J892" s="664"/>
      <c r="K892" s="664"/>
      <c r="L892" s="664"/>
      <c r="M892" s="664"/>
      <c r="N892" s="664"/>
      <c r="O892" s="664"/>
      <c r="P892" s="664"/>
      <c r="Q892" s="664"/>
      <c r="R892" s="664"/>
      <c r="S892" s="664"/>
      <c r="T892" s="664"/>
      <c r="U892" s="664"/>
      <c r="V892" s="664"/>
      <c r="W892" s="664"/>
      <c r="X892" s="664"/>
      <c r="Y892" s="664"/>
      <c r="Z892" s="664"/>
    </row>
    <row r="893">
      <c r="A893" s="664"/>
      <c r="B893" s="664"/>
      <c r="C893" s="664"/>
      <c r="D893" s="664"/>
      <c r="E893" s="664"/>
      <c r="F893" s="664"/>
      <c r="G893" s="664"/>
      <c r="H893" s="664"/>
      <c r="I893" s="664"/>
      <c r="J893" s="664"/>
      <c r="K893" s="664"/>
      <c r="L893" s="664"/>
      <c r="M893" s="664"/>
      <c r="N893" s="664"/>
      <c r="O893" s="664"/>
      <c r="P893" s="664"/>
      <c r="Q893" s="664"/>
      <c r="R893" s="664"/>
      <c r="S893" s="664"/>
      <c r="T893" s="664"/>
      <c r="U893" s="664"/>
      <c r="V893" s="664"/>
      <c r="W893" s="664"/>
      <c r="X893" s="664"/>
      <c r="Y893" s="664"/>
      <c r="Z893" s="664"/>
    </row>
    <row r="894">
      <c r="A894" s="664"/>
      <c r="B894" s="664"/>
      <c r="C894" s="664"/>
      <c r="D894" s="664"/>
      <c r="E894" s="664"/>
      <c r="F894" s="664"/>
      <c r="G894" s="664"/>
      <c r="H894" s="664"/>
      <c r="I894" s="664"/>
      <c r="J894" s="664"/>
      <c r="K894" s="664"/>
      <c r="L894" s="664"/>
      <c r="M894" s="664"/>
      <c r="N894" s="664"/>
      <c r="O894" s="664"/>
      <c r="P894" s="664"/>
      <c r="Q894" s="664"/>
      <c r="R894" s="664"/>
      <c r="S894" s="664"/>
      <c r="T894" s="664"/>
      <c r="U894" s="664"/>
      <c r="V894" s="664"/>
      <c r="W894" s="664"/>
      <c r="X894" s="664"/>
      <c r="Y894" s="664"/>
      <c r="Z894" s="664"/>
    </row>
    <row r="895">
      <c r="A895" s="664"/>
      <c r="B895" s="664"/>
      <c r="C895" s="664"/>
      <c r="D895" s="664"/>
      <c r="E895" s="664"/>
      <c r="F895" s="664"/>
      <c r="G895" s="664"/>
      <c r="H895" s="664"/>
      <c r="I895" s="664"/>
      <c r="J895" s="664"/>
      <c r="K895" s="664"/>
      <c r="L895" s="664"/>
      <c r="M895" s="664"/>
      <c r="N895" s="664"/>
      <c r="O895" s="664"/>
      <c r="P895" s="664"/>
      <c r="Q895" s="664"/>
      <c r="R895" s="664"/>
      <c r="S895" s="664"/>
      <c r="T895" s="664"/>
      <c r="U895" s="664"/>
      <c r="V895" s="664"/>
      <c r="W895" s="664"/>
      <c r="X895" s="664"/>
      <c r="Y895" s="664"/>
      <c r="Z895" s="664"/>
    </row>
    <row r="896">
      <c r="A896" s="664"/>
      <c r="B896" s="664"/>
      <c r="C896" s="664"/>
      <c r="D896" s="664"/>
      <c r="E896" s="664"/>
      <c r="F896" s="664"/>
      <c r="G896" s="664"/>
      <c r="H896" s="664"/>
      <c r="I896" s="664"/>
      <c r="J896" s="664"/>
      <c r="K896" s="664"/>
      <c r="L896" s="664"/>
      <c r="M896" s="664"/>
      <c r="N896" s="664"/>
      <c r="O896" s="664"/>
      <c r="P896" s="664"/>
      <c r="Q896" s="664"/>
      <c r="R896" s="664"/>
      <c r="S896" s="664"/>
      <c r="T896" s="664"/>
      <c r="U896" s="664"/>
      <c r="V896" s="664"/>
      <c r="W896" s="664"/>
      <c r="X896" s="664"/>
      <c r="Y896" s="664"/>
      <c r="Z896" s="664"/>
    </row>
    <row r="897">
      <c r="A897" s="664"/>
      <c r="B897" s="664"/>
      <c r="C897" s="664"/>
      <c r="D897" s="664"/>
      <c r="E897" s="664"/>
      <c r="F897" s="664"/>
      <c r="G897" s="664"/>
      <c r="H897" s="664"/>
      <c r="I897" s="664"/>
      <c r="J897" s="664"/>
      <c r="K897" s="664"/>
      <c r="L897" s="664"/>
      <c r="M897" s="664"/>
      <c r="N897" s="664"/>
      <c r="O897" s="664"/>
      <c r="P897" s="664"/>
      <c r="Q897" s="664"/>
      <c r="R897" s="664"/>
      <c r="S897" s="664"/>
      <c r="T897" s="664"/>
      <c r="U897" s="664"/>
      <c r="V897" s="664"/>
      <c r="W897" s="664"/>
      <c r="X897" s="664"/>
      <c r="Y897" s="664"/>
      <c r="Z897" s="664"/>
    </row>
    <row r="898">
      <c r="A898" s="664"/>
      <c r="B898" s="664"/>
      <c r="C898" s="664"/>
      <c r="D898" s="664"/>
      <c r="E898" s="664"/>
      <c r="F898" s="664"/>
      <c r="G898" s="664"/>
      <c r="H898" s="664"/>
      <c r="I898" s="664"/>
      <c r="J898" s="664"/>
      <c r="K898" s="664"/>
      <c r="L898" s="664"/>
      <c r="M898" s="664"/>
      <c r="N898" s="664"/>
      <c r="O898" s="664"/>
      <c r="P898" s="664"/>
      <c r="Q898" s="664"/>
      <c r="R898" s="664"/>
      <c r="S898" s="664"/>
      <c r="T898" s="664"/>
      <c r="U898" s="664"/>
      <c r="V898" s="664"/>
      <c r="W898" s="664"/>
      <c r="X898" s="664"/>
      <c r="Y898" s="664"/>
      <c r="Z898" s="664"/>
    </row>
    <row r="899">
      <c r="A899" s="664"/>
      <c r="B899" s="664"/>
      <c r="C899" s="664"/>
      <c r="D899" s="664"/>
      <c r="E899" s="664"/>
      <c r="F899" s="664"/>
      <c r="G899" s="664"/>
      <c r="H899" s="664"/>
      <c r="I899" s="664"/>
      <c r="J899" s="664"/>
      <c r="K899" s="664"/>
      <c r="L899" s="664"/>
      <c r="M899" s="664"/>
      <c r="N899" s="664"/>
      <c r="O899" s="664"/>
      <c r="P899" s="664"/>
      <c r="Q899" s="664"/>
      <c r="R899" s="664"/>
      <c r="S899" s="664"/>
      <c r="T899" s="664"/>
      <c r="U899" s="664"/>
      <c r="V899" s="664"/>
      <c r="W899" s="664"/>
      <c r="X899" s="664"/>
      <c r="Y899" s="664"/>
      <c r="Z899" s="664"/>
    </row>
    <row r="900">
      <c r="A900" s="664"/>
      <c r="B900" s="664"/>
      <c r="C900" s="664"/>
      <c r="D900" s="664"/>
      <c r="E900" s="664"/>
      <c r="F900" s="664"/>
      <c r="G900" s="664"/>
      <c r="H900" s="664"/>
      <c r="I900" s="664"/>
      <c r="J900" s="664"/>
      <c r="K900" s="664"/>
      <c r="L900" s="664"/>
      <c r="M900" s="664"/>
      <c r="N900" s="664"/>
      <c r="O900" s="664"/>
      <c r="P900" s="664"/>
      <c r="Q900" s="664"/>
      <c r="R900" s="664"/>
      <c r="S900" s="664"/>
      <c r="T900" s="664"/>
      <c r="U900" s="664"/>
      <c r="V900" s="664"/>
      <c r="W900" s="664"/>
      <c r="X900" s="664"/>
      <c r="Y900" s="664"/>
      <c r="Z900" s="664"/>
    </row>
    <row r="901">
      <c r="A901" s="664"/>
      <c r="B901" s="664"/>
      <c r="C901" s="664"/>
      <c r="D901" s="664"/>
      <c r="E901" s="664"/>
      <c r="F901" s="664"/>
      <c r="G901" s="664"/>
      <c r="H901" s="664"/>
      <c r="I901" s="664"/>
      <c r="J901" s="664"/>
      <c r="K901" s="664"/>
      <c r="L901" s="664"/>
      <c r="M901" s="664"/>
      <c r="N901" s="664"/>
      <c r="O901" s="664"/>
      <c r="P901" s="664"/>
      <c r="Q901" s="664"/>
      <c r="R901" s="664"/>
      <c r="S901" s="664"/>
      <c r="T901" s="664"/>
      <c r="U901" s="664"/>
      <c r="V901" s="664"/>
      <c r="W901" s="664"/>
      <c r="X901" s="664"/>
      <c r="Y901" s="664"/>
      <c r="Z901" s="664"/>
    </row>
    <row r="902">
      <c r="A902" s="664"/>
      <c r="B902" s="664"/>
      <c r="C902" s="664"/>
      <c r="D902" s="664"/>
      <c r="E902" s="664"/>
      <c r="F902" s="664"/>
      <c r="G902" s="664"/>
      <c r="H902" s="664"/>
      <c r="I902" s="664"/>
      <c r="J902" s="664"/>
      <c r="K902" s="664"/>
      <c r="L902" s="664"/>
      <c r="M902" s="664"/>
      <c r="N902" s="664"/>
      <c r="O902" s="664"/>
      <c r="P902" s="664"/>
      <c r="Q902" s="664"/>
      <c r="R902" s="664"/>
      <c r="S902" s="664"/>
      <c r="T902" s="664"/>
      <c r="U902" s="664"/>
      <c r="V902" s="664"/>
      <c r="W902" s="664"/>
      <c r="X902" s="664"/>
      <c r="Y902" s="664"/>
      <c r="Z902" s="664"/>
    </row>
    <row r="903">
      <c r="A903" s="664"/>
      <c r="B903" s="664"/>
      <c r="C903" s="664"/>
      <c r="D903" s="664"/>
      <c r="E903" s="664"/>
      <c r="F903" s="664"/>
      <c r="G903" s="664"/>
      <c r="H903" s="664"/>
      <c r="I903" s="664"/>
      <c r="J903" s="664"/>
      <c r="K903" s="664"/>
      <c r="L903" s="664"/>
      <c r="M903" s="664"/>
      <c r="N903" s="664"/>
      <c r="O903" s="664"/>
      <c r="P903" s="664"/>
      <c r="Q903" s="664"/>
      <c r="R903" s="664"/>
      <c r="S903" s="664"/>
      <c r="T903" s="664"/>
      <c r="U903" s="664"/>
      <c r="V903" s="664"/>
      <c r="W903" s="664"/>
      <c r="X903" s="664"/>
      <c r="Y903" s="664"/>
      <c r="Z903" s="664"/>
    </row>
    <row r="904">
      <c r="A904" s="664"/>
      <c r="B904" s="664"/>
      <c r="C904" s="664"/>
      <c r="D904" s="664"/>
      <c r="E904" s="664"/>
      <c r="F904" s="664"/>
      <c r="G904" s="664"/>
      <c r="H904" s="664"/>
      <c r="I904" s="664"/>
      <c r="J904" s="664"/>
      <c r="K904" s="664"/>
      <c r="L904" s="664"/>
      <c r="M904" s="664"/>
      <c r="N904" s="664"/>
      <c r="O904" s="664"/>
      <c r="P904" s="664"/>
      <c r="Q904" s="664"/>
      <c r="R904" s="664"/>
      <c r="S904" s="664"/>
      <c r="T904" s="664"/>
      <c r="U904" s="664"/>
      <c r="V904" s="664"/>
      <c r="W904" s="664"/>
      <c r="X904" s="664"/>
      <c r="Y904" s="664"/>
      <c r="Z904" s="664"/>
    </row>
    <row r="905">
      <c r="A905" s="664"/>
      <c r="B905" s="664"/>
      <c r="C905" s="664"/>
      <c r="D905" s="664"/>
      <c r="E905" s="664"/>
      <c r="F905" s="664"/>
      <c r="G905" s="664"/>
      <c r="H905" s="664"/>
      <c r="I905" s="664"/>
      <c r="J905" s="664"/>
      <c r="K905" s="664"/>
      <c r="L905" s="664"/>
      <c r="M905" s="664"/>
      <c r="N905" s="664"/>
      <c r="O905" s="664"/>
      <c r="P905" s="664"/>
      <c r="Q905" s="664"/>
      <c r="R905" s="664"/>
      <c r="S905" s="664"/>
      <c r="T905" s="664"/>
      <c r="U905" s="664"/>
      <c r="V905" s="664"/>
      <c r="W905" s="664"/>
      <c r="X905" s="664"/>
      <c r="Y905" s="664"/>
      <c r="Z905" s="664"/>
    </row>
    <row r="906">
      <c r="A906" s="664"/>
      <c r="B906" s="664"/>
      <c r="C906" s="664"/>
      <c r="D906" s="664"/>
      <c r="E906" s="664"/>
      <c r="F906" s="664"/>
      <c r="G906" s="664"/>
      <c r="H906" s="664"/>
      <c r="I906" s="664"/>
      <c r="J906" s="664"/>
      <c r="K906" s="664"/>
      <c r="L906" s="664"/>
      <c r="M906" s="664"/>
      <c r="N906" s="664"/>
      <c r="O906" s="664"/>
      <c r="P906" s="664"/>
      <c r="Q906" s="664"/>
      <c r="R906" s="664"/>
      <c r="S906" s="664"/>
      <c r="T906" s="664"/>
      <c r="U906" s="664"/>
      <c r="V906" s="664"/>
      <c r="W906" s="664"/>
      <c r="X906" s="664"/>
      <c r="Y906" s="664"/>
      <c r="Z906" s="664"/>
    </row>
    <row r="907">
      <c r="A907" s="664"/>
      <c r="B907" s="664"/>
      <c r="C907" s="664"/>
      <c r="D907" s="664"/>
      <c r="E907" s="664"/>
      <c r="F907" s="664"/>
      <c r="G907" s="664"/>
      <c r="H907" s="664"/>
      <c r="I907" s="664"/>
      <c r="J907" s="664"/>
      <c r="K907" s="664"/>
      <c r="L907" s="664"/>
      <c r="M907" s="664"/>
      <c r="N907" s="664"/>
      <c r="O907" s="664"/>
      <c r="P907" s="664"/>
      <c r="Q907" s="664"/>
      <c r="R907" s="664"/>
      <c r="S907" s="664"/>
      <c r="T907" s="664"/>
      <c r="U907" s="664"/>
      <c r="V907" s="664"/>
      <c r="W907" s="664"/>
      <c r="X907" s="664"/>
      <c r="Y907" s="664"/>
      <c r="Z907" s="664"/>
    </row>
    <row r="908">
      <c r="A908" s="664"/>
      <c r="B908" s="664"/>
      <c r="C908" s="664"/>
      <c r="D908" s="664"/>
      <c r="E908" s="664"/>
      <c r="F908" s="664"/>
      <c r="G908" s="664"/>
      <c r="H908" s="664"/>
      <c r="I908" s="664"/>
      <c r="J908" s="664"/>
      <c r="K908" s="664"/>
      <c r="L908" s="664"/>
      <c r="M908" s="664"/>
      <c r="N908" s="664"/>
      <c r="O908" s="664"/>
      <c r="P908" s="664"/>
      <c r="Q908" s="664"/>
      <c r="R908" s="664"/>
      <c r="S908" s="664"/>
      <c r="T908" s="664"/>
      <c r="U908" s="664"/>
      <c r="V908" s="664"/>
      <c r="W908" s="664"/>
      <c r="X908" s="664"/>
      <c r="Y908" s="664"/>
      <c r="Z908" s="664"/>
    </row>
    <row r="909">
      <c r="A909" s="664"/>
      <c r="B909" s="664"/>
      <c r="C909" s="664"/>
      <c r="D909" s="664"/>
      <c r="E909" s="664"/>
      <c r="F909" s="664"/>
      <c r="G909" s="664"/>
      <c r="H909" s="664"/>
      <c r="I909" s="664"/>
      <c r="J909" s="664"/>
      <c r="K909" s="664"/>
      <c r="L909" s="664"/>
      <c r="M909" s="664"/>
      <c r="N909" s="664"/>
      <c r="O909" s="664"/>
      <c r="P909" s="664"/>
      <c r="Q909" s="664"/>
      <c r="R909" s="664"/>
      <c r="S909" s="664"/>
      <c r="T909" s="664"/>
      <c r="U909" s="664"/>
      <c r="V909" s="664"/>
      <c r="W909" s="664"/>
      <c r="X909" s="664"/>
      <c r="Y909" s="664"/>
      <c r="Z909" s="664"/>
    </row>
    <row r="910">
      <c r="A910" s="664"/>
      <c r="B910" s="664"/>
      <c r="C910" s="664"/>
      <c r="D910" s="664"/>
      <c r="E910" s="664"/>
      <c r="F910" s="664"/>
      <c r="G910" s="664"/>
      <c r="H910" s="664"/>
      <c r="I910" s="664"/>
      <c r="J910" s="664"/>
      <c r="K910" s="664"/>
      <c r="L910" s="664"/>
      <c r="M910" s="664"/>
      <c r="N910" s="664"/>
      <c r="O910" s="664"/>
      <c r="P910" s="664"/>
      <c r="Q910" s="664"/>
      <c r="R910" s="664"/>
      <c r="S910" s="664"/>
      <c r="T910" s="664"/>
      <c r="U910" s="664"/>
      <c r="V910" s="664"/>
      <c r="W910" s="664"/>
      <c r="X910" s="664"/>
      <c r="Y910" s="664"/>
      <c r="Z910" s="664"/>
    </row>
    <row r="911">
      <c r="A911" s="664"/>
      <c r="B911" s="664"/>
      <c r="C911" s="664"/>
      <c r="D911" s="664"/>
      <c r="E911" s="664"/>
      <c r="F911" s="664"/>
      <c r="G911" s="664"/>
      <c r="H911" s="664"/>
      <c r="I911" s="664"/>
      <c r="J911" s="664"/>
      <c r="K911" s="664"/>
      <c r="L911" s="664"/>
      <c r="M911" s="664"/>
      <c r="N911" s="664"/>
      <c r="O911" s="664"/>
      <c r="P911" s="664"/>
      <c r="Q911" s="664"/>
      <c r="R911" s="664"/>
      <c r="S911" s="664"/>
      <c r="T911" s="664"/>
      <c r="U911" s="664"/>
      <c r="V911" s="664"/>
      <c r="W911" s="664"/>
      <c r="X911" s="664"/>
      <c r="Y911" s="664"/>
      <c r="Z911" s="664"/>
    </row>
    <row r="912">
      <c r="A912" s="664"/>
      <c r="B912" s="664"/>
      <c r="C912" s="664"/>
      <c r="D912" s="664"/>
      <c r="E912" s="664"/>
      <c r="F912" s="664"/>
      <c r="G912" s="664"/>
      <c r="H912" s="664"/>
      <c r="I912" s="664"/>
      <c r="J912" s="664"/>
      <c r="K912" s="664"/>
      <c r="L912" s="664"/>
      <c r="M912" s="664"/>
      <c r="N912" s="664"/>
      <c r="O912" s="664"/>
      <c r="P912" s="664"/>
      <c r="Q912" s="664"/>
      <c r="R912" s="664"/>
      <c r="S912" s="664"/>
      <c r="T912" s="664"/>
      <c r="U912" s="664"/>
      <c r="V912" s="664"/>
      <c r="W912" s="664"/>
      <c r="X912" s="664"/>
      <c r="Y912" s="664"/>
      <c r="Z912" s="664"/>
    </row>
    <row r="913">
      <c r="A913" s="664"/>
      <c r="B913" s="664"/>
      <c r="C913" s="664"/>
      <c r="D913" s="664"/>
      <c r="E913" s="664"/>
      <c r="F913" s="664"/>
      <c r="G913" s="664"/>
      <c r="H913" s="664"/>
      <c r="I913" s="664"/>
      <c r="J913" s="664"/>
      <c r="K913" s="664"/>
      <c r="L913" s="664"/>
      <c r="M913" s="664"/>
      <c r="N913" s="664"/>
      <c r="O913" s="664"/>
      <c r="P913" s="664"/>
      <c r="Q913" s="664"/>
      <c r="R913" s="664"/>
      <c r="S913" s="664"/>
      <c r="T913" s="664"/>
      <c r="U913" s="664"/>
      <c r="V913" s="664"/>
      <c r="W913" s="664"/>
      <c r="X913" s="664"/>
      <c r="Y913" s="664"/>
      <c r="Z913" s="664"/>
    </row>
    <row r="914">
      <c r="A914" s="664"/>
      <c r="B914" s="664"/>
      <c r="C914" s="664"/>
      <c r="D914" s="664"/>
      <c r="E914" s="664"/>
      <c r="F914" s="664"/>
      <c r="G914" s="664"/>
      <c r="H914" s="664"/>
      <c r="I914" s="664"/>
      <c r="J914" s="664"/>
      <c r="K914" s="664"/>
      <c r="L914" s="664"/>
      <c r="M914" s="664"/>
      <c r="N914" s="664"/>
      <c r="O914" s="664"/>
      <c r="P914" s="664"/>
      <c r="Q914" s="664"/>
      <c r="R914" s="664"/>
      <c r="S914" s="664"/>
      <c r="T914" s="664"/>
      <c r="U914" s="664"/>
      <c r="V914" s="664"/>
      <c r="W914" s="664"/>
      <c r="X914" s="664"/>
      <c r="Y914" s="664"/>
      <c r="Z914" s="664"/>
    </row>
    <row r="915">
      <c r="A915" s="664"/>
      <c r="B915" s="664"/>
      <c r="C915" s="664"/>
      <c r="D915" s="664"/>
      <c r="E915" s="664"/>
      <c r="F915" s="664"/>
      <c r="G915" s="664"/>
      <c r="H915" s="664"/>
      <c r="I915" s="664"/>
      <c r="J915" s="664"/>
      <c r="K915" s="664"/>
      <c r="L915" s="664"/>
      <c r="M915" s="664"/>
      <c r="N915" s="664"/>
      <c r="O915" s="664"/>
      <c r="P915" s="664"/>
      <c r="Q915" s="664"/>
      <c r="R915" s="664"/>
      <c r="S915" s="664"/>
      <c r="T915" s="664"/>
      <c r="U915" s="664"/>
      <c r="V915" s="664"/>
      <c r="W915" s="664"/>
      <c r="X915" s="664"/>
      <c r="Y915" s="664"/>
      <c r="Z915" s="664"/>
    </row>
    <row r="916">
      <c r="A916" s="664"/>
      <c r="B916" s="664"/>
      <c r="C916" s="664"/>
      <c r="D916" s="664"/>
      <c r="E916" s="664"/>
      <c r="F916" s="664"/>
      <c r="G916" s="664"/>
      <c r="H916" s="664"/>
      <c r="I916" s="664"/>
      <c r="J916" s="664"/>
      <c r="K916" s="664"/>
      <c r="L916" s="664"/>
      <c r="M916" s="664"/>
      <c r="N916" s="664"/>
      <c r="O916" s="664"/>
      <c r="P916" s="664"/>
      <c r="Q916" s="664"/>
      <c r="R916" s="664"/>
      <c r="S916" s="664"/>
      <c r="T916" s="664"/>
      <c r="U916" s="664"/>
      <c r="V916" s="664"/>
      <c r="W916" s="664"/>
      <c r="X916" s="664"/>
      <c r="Y916" s="664"/>
      <c r="Z916" s="664"/>
    </row>
    <row r="917">
      <c r="A917" s="664"/>
      <c r="B917" s="664"/>
      <c r="C917" s="664"/>
      <c r="D917" s="664"/>
      <c r="E917" s="664"/>
      <c r="F917" s="664"/>
      <c r="G917" s="664"/>
      <c r="H917" s="664"/>
      <c r="I917" s="664"/>
      <c r="J917" s="664"/>
      <c r="K917" s="664"/>
      <c r="L917" s="664"/>
      <c r="M917" s="664"/>
      <c r="N917" s="664"/>
      <c r="O917" s="664"/>
      <c r="P917" s="664"/>
      <c r="Q917" s="664"/>
      <c r="R917" s="664"/>
      <c r="S917" s="664"/>
      <c r="T917" s="664"/>
      <c r="U917" s="664"/>
      <c r="V917" s="664"/>
      <c r="W917" s="664"/>
      <c r="X917" s="664"/>
      <c r="Y917" s="664"/>
      <c r="Z917" s="664"/>
    </row>
    <row r="918">
      <c r="A918" s="664"/>
      <c r="B918" s="664"/>
      <c r="C918" s="664"/>
      <c r="D918" s="664"/>
      <c r="E918" s="664"/>
      <c r="F918" s="664"/>
      <c r="G918" s="664"/>
      <c r="H918" s="664"/>
      <c r="I918" s="664"/>
      <c r="J918" s="664"/>
      <c r="K918" s="664"/>
      <c r="L918" s="664"/>
      <c r="M918" s="664"/>
      <c r="N918" s="664"/>
      <c r="O918" s="664"/>
      <c r="P918" s="664"/>
      <c r="Q918" s="664"/>
      <c r="R918" s="664"/>
      <c r="S918" s="664"/>
      <c r="T918" s="664"/>
      <c r="U918" s="664"/>
      <c r="V918" s="664"/>
      <c r="W918" s="664"/>
      <c r="X918" s="664"/>
      <c r="Y918" s="664"/>
      <c r="Z918" s="664"/>
    </row>
    <row r="919">
      <c r="A919" s="664"/>
      <c r="B919" s="664"/>
      <c r="C919" s="664"/>
      <c r="D919" s="664"/>
      <c r="E919" s="664"/>
      <c r="F919" s="664"/>
      <c r="G919" s="664"/>
      <c r="H919" s="664"/>
      <c r="I919" s="664"/>
      <c r="J919" s="664"/>
      <c r="K919" s="664"/>
      <c r="L919" s="664"/>
      <c r="M919" s="664"/>
      <c r="N919" s="664"/>
      <c r="O919" s="664"/>
      <c r="P919" s="664"/>
      <c r="Q919" s="664"/>
      <c r="R919" s="664"/>
      <c r="S919" s="664"/>
      <c r="T919" s="664"/>
      <c r="U919" s="664"/>
      <c r="V919" s="664"/>
      <c r="W919" s="664"/>
      <c r="X919" s="664"/>
      <c r="Y919" s="664"/>
      <c r="Z919" s="664"/>
    </row>
    <row r="920">
      <c r="A920" s="664"/>
      <c r="B920" s="664"/>
      <c r="C920" s="664"/>
      <c r="D920" s="664"/>
      <c r="E920" s="664"/>
      <c r="F920" s="664"/>
      <c r="G920" s="664"/>
      <c r="H920" s="664"/>
      <c r="I920" s="664"/>
      <c r="J920" s="664"/>
      <c r="K920" s="664"/>
      <c r="L920" s="664"/>
      <c r="M920" s="664"/>
      <c r="N920" s="664"/>
      <c r="O920" s="664"/>
      <c r="P920" s="664"/>
      <c r="Q920" s="664"/>
      <c r="R920" s="664"/>
      <c r="S920" s="664"/>
      <c r="T920" s="664"/>
      <c r="U920" s="664"/>
      <c r="V920" s="664"/>
      <c r="W920" s="664"/>
      <c r="X920" s="664"/>
      <c r="Y920" s="664"/>
      <c r="Z920" s="664"/>
    </row>
    <row r="921">
      <c r="A921" s="664"/>
      <c r="B921" s="664"/>
      <c r="C921" s="664"/>
      <c r="D921" s="664"/>
      <c r="E921" s="664"/>
      <c r="F921" s="664"/>
      <c r="G921" s="664"/>
      <c r="H921" s="664"/>
      <c r="I921" s="664"/>
      <c r="J921" s="664"/>
      <c r="K921" s="664"/>
      <c r="L921" s="664"/>
      <c r="M921" s="664"/>
      <c r="N921" s="664"/>
      <c r="O921" s="664"/>
      <c r="P921" s="664"/>
      <c r="Q921" s="664"/>
      <c r="R921" s="664"/>
      <c r="S921" s="664"/>
      <c r="T921" s="664"/>
      <c r="U921" s="664"/>
      <c r="V921" s="664"/>
      <c r="W921" s="664"/>
      <c r="X921" s="664"/>
      <c r="Y921" s="664"/>
      <c r="Z921" s="664"/>
    </row>
    <row r="922">
      <c r="A922" s="664"/>
      <c r="B922" s="664"/>
      <c r="C922" s="664"/>
      <c r="D922" s="664"/>
      <c r="E922" s="664"/>
      <c r="F922" s="664"/>
      <c r="G922" s="664"/>
      <c r="H922" s="664"/>
      <c r="I922" s="664"/>
      <c r="J922" s="664"/>
      <c r="K922" s="664"/>
      <c r="L922" s="664"/>
      <c r="M922" s="664"/>
      <c r="N922" s="664"/>
      <c r="O922" s="664"/>
      <c r="P922" s="664"/>
      <c r="Q922" s="664"/>
      <c r="R922" s="664"/>
      <c r="S922" s="664"/>
      <c r="T922" s="664"/>
      <c r="U922" s="664"/>
      <c r="V922" s="664"/>
      <c r="W922" s="664"/>
      <c r="X922" s="664"/>
      <c r="Y922" s="664"/>
      <c r="Z922" s="664"/>
    </row>
    <row r="923">
      <c r="A923" s="664"/>
      <c r="B923" s="664"/>
      <c r="C923" s="664"/>
      <c r="D923" s="664"/>
      <c r="E923" s="664"/>
      <c r="F923" s="664"/>
      <c r="G923" s="664"/>
      <c r="H923" s="664"/>
      <c r="I923" s="664"/>
      <c r="J923" s="664"/>
      <c r="K923" s="664"/>
      <c r="L923" s="664"/>
      <c r="M923" s="664"/>
      <c r="N923" s="664"/>
      <c r="O923" s="664"/>
      <c r="P923" s="664"/>
      <c r="Q923" s="664"/>
      <c r="R923" s="664"/>
      <c r="S923" s="664"/>
      <c r="T923" s="664"/>
      <c r="U923" s="664"/>
      <c r="V923" s="664"/>
      <c r="W923" s="664"/>
      <c r="X923" s="664"/>
      <c r="Y923" s="664"/>
      <c r="Z923" s="664"/>
    </row>
    <row r="924">
      <c r="A924" s="664"/>
      <c r="B924" s="664"/>
      <c r="C924" s="664"/>
      <c r="D924" s="664"/>
      <c r="E924" s="664"/>
      <c r="F924" s="664"/>
      <c r="G924" s="664"/>
      <c r="H924" s="664"/>
      <c r="I924" s="664"/>
      <c r="J924" s="664"/>
      <c r="K924" s="664"/>
      <c r="L924" s="664"/>
      <c r="M924" s="664"/>
      <c r="N924" s="664"/>
      <c r="O924" s="664"/>
      <c r="P924" s="664"/>
      <c r="Q924" s="664"/>
      <c r="R924" s="664"/>
      <c r="S924" s="664"/>
      <c r="T924" s="664"/>
      <c r="U924" s="664"/>
      <c r="V924" s="664"/>
      <c r="W924" s="664"/>
      <c r="X924" s="664"/>
      <c r="Y924" s="664"/>
      <c r="Z924" s="664"/>
    </row>
    <row r="925">
      <c r="A925" s="664"/>
      <c r="B925" s="664"/>
      <c r="C925" s="664"/>
      <c r="D925" s="664"/>
      <c r="E925" s="664"/>
      <c r="F925" s="664"/>
      <c r="G925" s="664"/>
      <c r="H925" s="664"/>
      <c r="I925" s="664"/>
      <c r="J925" s="664"/>
      <c r="K925" s="664"/>
      <c r="L925" s="664"/>
      <c r="M925" s="664"/>
      <c r="N925" s="664"/>
      <c r="O925" s="664"/>
      <c r="P925" s="664"/>
      <c r="Q925" s="664"/>
      <c r="R925" s="664"/>
      <c r="S925" s="664"/>
      <c r="T925" s="664"/>
      <c r="U925" s="664"/>
      <c r="V925" s="664"/>
      <c r="W925" s="664"/>
      <c r="X925" s="664"/>
      <c r="Y925" s="664"/>
      <c r="Z925" s="664"/>
    </row>
    <row r="926">
      <c r="A926" s="664"/>
      <c r="B926" s="664"/>
      <c r="C926" s="664"/>
      <c r="D926" s="664"/>
      <c r="E926" s="664"/>
      <c r="F926" s="664"/>
      <c r="G926" s="664"/>
      <c r="H926" s="664"/>
      <c r="I926" s="664"/>
      <c r="J926" s="664"/>
      <c r="K926" s="664"/>
      <c r="L926" s="664"/>
      <c r="M926" s="664"/>
      <c r="N926" s="664"/>
      <c r="O926" s="664"/>
      <c r="P926" s="664"/>
      <c r="Q926" s="664"/>
      <c r="R926" s="664"/>
      <c r="S926" s="664"/>
      <c r="T926" s="664"/>
      <c r="U926" s="664"/>
      <c r="V926" s="664"/>
      <c r="W926" s="664"/>
      <c r="X926" s="664"/>
      <c r="Y926" s="664"/>
      <c r="Z926" s="664"/>
    </row>
    <row r="927">
      <c r="A927" s="664"/>
      <c r="B927" s="664"/>
      <c r="C927" s="664"/>
      <c r="D927" s="664"/>
      <c r="E927" s="664"/>
      <c r="F927" s="664"/>
      <c r="G927" s="664"/>
      <c r="H927" s="664"/>
      <c r="I927" s="664"/>
      <c r="J927" s="664"/>
      <c r="K927" s="664"/>
      <c r="L927" s="664"/>
      <c r="M927" s="664"/>
      <c r="N927" s="664"/>
      <c r="O927" s="664"/>
      <c r="P927" s="664"/>
      <c r="Q927" s="664"/>
      <c r="R927" s="664"/>
      <c r="S927" s="664"/>
      <c r="T927" s="664"/>
      <c r="U927" s="664"/>
      <c r="V927" s="664"/>
      <c r="W927" s="664"/>
      <c r="X927" s="664"/>
      <c r="Y927" s="664"/>
      <c r="Z927" s="664"/>
    </row>
    <row r="928">
      <c r="A928" s="664"/>
      <c r="B928" s="664"/>
      <c r="C928" s="664"/>
      <c r="D928" s="664"/>
      <c r="E928" s="664"/>
      <c r="F928" s="664"/>
      <c r="G928" s="664"/>
      <c r="H928" s="664"/>
      <c r="I928" s="664"/>
      <c r="J928" s="664"/>
      <c r="K928" s="664"/>
      <c r="L928" s="664"/>
      <c r="M928" s="664"/>
      <c r="N928" s="664"/>
      <c r="O928" s="664"/>
      <c r="P928" s="664"/>
      <c r="Q928" s="664"/>
      <c r="R928" s="664"/>
      <c r="S928" s="664"/>
      <c r="T928" s="664"/>
      <c r="U928" s="664"/>
      <c r="V928" s="664"/>
      <c r="W928" s="664"/>
      <c r="X928" s="664"/>
      <c r="Y928" s="664"/>
      <c r="Z928" s="664"/>
    </row>
    <row r="929">
      <c r="A929" s="664"/>
      <c r="B929" s="664"/>
      <c r="C929" s="664"/>
      <c r="D929" s="664"/>
      <c r="E929" s="664"/>
      <c r="F929" s="664"/>
      <c r="G929" s="664"/>
      <c r="H929" s="664"/>
      <c r="I929" s="664"/>
      <c r="J929" s="664"/>
      <c r="K929" s="664"/>
      <c r="L929" s="664"/>
      <c r="M929" s="664"/>
      <c r="N929" s="664"/>
      <c r="O929" s="664"/>
      <c r="P929" s="664"/>
      <c r="Q929" s="664"/>
      <c r="R929" s="664"/>
      <c r="S929" s="664"/>
      <c r="T929" s="664"/>
      <c r="U929" s="664"/>
      <c r="V929" s="664"/>
      <c r="W929" s="664"/>
      <c r="X929" s="664"/>
      <c r="Y929" s="664"/>
      <c r="Z929" s="664"/>
    </row>
    <row r="930">
      <c r="A930" s="664"/>
      <c r="B930" s="664"/>
      <c r="C930" s="664"/>
      <c r="D930" s="664"/>
      <c r="E930" s="664"/>
      <c r="F930" s="664"/>
      <c r="G930" s="664"/>
      <c r="H930" s="664"/>
      <c r="I930" s="664"/>
      <c r="J930" s="664"/>
      <c r="K930" s="664"/>
      <c r="L930" s="664"/>
      <c r="M930" s="664"/>
      <c r="N930" s="664"/>
      <c r="O930" s="664"/>
      <c r="P930" s="664"/>
      <c r="Q930" s="664"/>
      <c r="R930" s="664"/>
      <c r="S930" s="664"/>
      <c r="T930" s="664"/>
      <c r="U930" s="664"/>
      <c r="V930" s="664"/>
      <c r="W930" s="664"/>
      <c r="X930" s="664"/>
      <c r="Y930" s="664"/>
      <c r="Z930" s="664"/>
    </row>
    <row r="931">
      <c r="A931" s="664"/>
      <c r="B931" s="664"/>
      <c r="C931" s="664"/>
      <c r="D931" s="664"/>
      <c r="E931" s="664"/>
      <c r="F931" s="664"/>
      <c r="G931" s="664"/>
      <c r="H931" s="664"/>
      <c r="I931" s="664"/>
      <c r="J931" s="664"/>
      <c r="K931" s="664"/>
      <c r="L931" s="664"/>
      <c r="M931" s="664"/>
      <c r="N931" s="664"/>
      <c r="O931" s="664"/>
      <c r="P931" s="664"/>
      <c r="Q931" s="664"/>
      <c r="R931" s="664"/>
      <c r="S931" s="664"/>
      <c r="T931" s="664"/>
      <c r="U931" s="664"/>
      <c r="V931" s="664"/>
      <c r="W931" s="664"/>
      <c r="X931" s="664"/>
      <c r="Y931" s="664"/>
      <c r="Z931" s="664"/>
    </row>
    <row r="932">
      <c r="A932" s="664"/>
      <c r="B932" s="664"/>
      <c r="C932" s="664"/>
      <c r="D932" s="664"/>
      <c r="E932" s="664"/>
      <c r="F932" s="664"/>
      <c r="G932" s="664"/>
      <c r="H932" s="664"/>
      <c r="I932" s="664"/>
      <c r="J932" s="664"/>
      <c r="K932" s="664"/>
      <c r="L932" s="664"/>
      <c r="M932" s="664"/>
      <c r="N932" s="664"/>
      <c r="O932" s="664"/>
      <c r="P932" s="664"/>
      <c r="Q932" s="664"/>
      <c r="R932" s="664"/>
      <c r="S932" s="664"/>
      <c r="T932" s="664"/>
      <c r="U932" s="664"/>
      <c r="V932" s="664"/>
      <c r="W932" s="664"/>
      <c r="X932" s="664"/>
      <c r="Y932" s="664"/>
      <c r="Z932" s="664"/>
    </row>
    <row r="933">
      <c r="A933" s="664"/>
      <c r="B933" s="664"/>
      <c r="C933" s="664"/>
      <c r="D933" s="664"/>
      <c r="E933" s="664"/>
      <c r="F933" s="664"/>
      <c r="G933" s="664"/>
      <c r="H933" s="664"/>
      <c r="I933" s="664"/>
      <c r="J933" s="664"/>
      <c r="K933" s="664"/>
      <c r="L933" s="664"/>
      <c r="M933" s="664"/>
      <c r="N933" s="664"/>
      <c r="O933" s="664"/>
      <c r="P933" s="664"/>
      <c r="Q933" s="664"/>
      <c r="R933" s="664"/>
      <c r="S933" s="664"/>
      <c r="T933" s="664"/>
      <c r="U933" s="664"/>
      <c r="V933" s="664"/>
      <c r="W933" s="664"/>
      <c r="X933" s="664"/>
      <c r="Y933" s="664"/>
      <c r="Z933" s="664"/>
    </row>
    <row r="934">
      <c r="A934" s="664"/>
      <c r="B934" s="664"/>
      <c r="C934" s="664"/>
      <c r="D934" s="664"/>
      <c r="E934" s="664"/>
      <c r="F934" s="664"/>
      <c r="G934" s="664"/>
      <c r="H934" s="664"/>
      <c r="I934" s="664"/>
      <c r="J934" s="664"/>
      <c r="K934" s="664"/>
      <c r="L934" s="664"/>
      <c r="M934" s="664"/>
      <c r="N934" s="664"/>
      <c r="O934" s="664"/>
      <c r="P934" s="664"/>
      <c r="Q934" s="664"/>
      <c r="R934" s="664"/>
      <c r="S934" s="664"/>
      <c r="T934" s="664"/>
      <c r="U934" s="664"/>
      <c r="V934" s="664"/>
      <c r="W934" s="664"/>
      <c r="X934" s="664"/>
      <c r="Y934" s="664"/>
      <c r="Z934" s="664"/>
    </row>
    <row r="935">
      <c r="A935" s="664"/>
      <c r="B935" s="664"/>
      <c r="C935" s="664"/>
      <c r="D935" s="664"/>
      <c r="E935" s="664"/>
      <c r="F935" s="664"/>
      <c r="G935" s="664"/>
      <c r="H935" s="664"/>
      <c r="I935" s="664"/>
      <c r="J935" s="664"/>
      <c r="K935" s="664"/>
      <c r="L935" s="664"/>
      <c r="M935" s="664"/>
      <c r="N935" s="664"/>
      <c r="O935" s="664"/>
      <c r="P935" s="664"/>
      <c r="Q935" s="664"/>
      <c r="R935" s="664"/>
      <c r="S935" s="664"/>
      <c r="T935" s="664"/>
      <c r="U935" s="664"/>
      <c r="V935" s="664"/>
      <c r="W935" s="664"/>
      <c r="X935" s="664"/>
      <c r="Y935" s="664"/>
      <c r="Z935" s="664"/>
    </row>
    <row r="936">
      <c r="A936" s="664"/>
      <c r="B936" s="664"/>
      <c r="C936" s="664"/>
      <c r="D936" s="664"/>
      <c r="E936" s="664"/>
      <c r="F936" s="664"/>
      <c r="G936" s="664"/>
      <c r="H936" s="664"/>
      <c r="I936" s="664"/>
      <c r="J936" s="664"/>
      <c r="K936" s="664"/>
      <c r="L936" s="664"/>
      <c r="M936" s="664"/>
      <c r="N936" s="664"/>
      <c r="O936" s="664"/>
      <c r="P936" s="664"/>
      <c r="Q936" s="664"/>
      <c r="R936" s="664"/>
      <c r="S936" s="664"/>
      <c r="T936" s="664"/>
      <c r="U936" s="664"/>
      <c r="V936" s="664"/>
      <c r="W936" s="664"/>
      <c r="X936" s="664"/>
      <c r="Y936" s="664"/>
      <c r="Z936" s="664"/>
    </row>
    <row r="937">
      <c r="A937" s="664"/>
      <c r="B937" s="664"/>
      <c r="C937" s="664"/>
      <c r="D937" s="664"/>
      <c r="E937" s="664"/>
      <c r="F937" s="664"/>
      <c r="G937" s="664"/>
      <c r="H937" s="664"/>
      <c r="I937" s="664"/>
      <c r="J937" s="664"/>
      <c r="K937" s="664"/>
      <c r="L937" s="664"/>
      <c r="M937" s="664"/>
      <c r="N937" s="664"/>
      <c r="O937" s="664"/>
      <c r="P937" s="664"/>
      <c r="Q937" s="664"/>
      <c r="R937" s="664"/>
      <c r="S937" s="664"/>
      <c r="T937" s="664"/>
      <c r="U937" s="664"/>
      <c r="V937" s="664"/>
      <c r="W937" s="664"/>
      <c r="X937" s="664"/>
      <c r="Y937" s="664"/>
      <c r="Z937" s="664"/>
    </row>
    <row r="938">
      <c r="A938" s="664"/>
      <c r="B938" s="664"/>
      <c r="C938" s="664"/>
      <c r="D938" s="664"/>
      <c r="E938" s="664"/>
      <c r="F938" s="664"/>
      <c r="G938" s="664"/>
      <c r="H938" s="664"/>
      <c r="I938" s="664"/>
      <c r="J938" s="664"/>
      <c r="K938" s="664"/>
      <c r="L938" s="664"/>
      <c r="M938" s="664"/>
      <c r="N938" s="664"/>
      <c r="O938" s="664"/>
      <c r="P938" s="664"/>
      <c r="Q938" s="664"/>
      <c r="R938" s="664"/>
      <c r="S938" s="664"/>
      <c r="T938" s="664"/>
      <c r="U938" s="664"/>
      <c r="V938" s="664"/>
      <c r="W938" s="664"/>
      <c r="X938" s="664"/>
      <c r="Y938" s="664"/>
      <c r="Z938" s="664"/>
    </row>
    <row r="939">
      <c r="A939" s="664"/>
      <c r="B939" s="664"/>
      <c r="C939" s="664"/>
      <c r="D939" s="664"/>
      <c r="E939" s="664"/>
      <c r="F939" s="664"/>
      <c r="G939" s="664"/>
      <c r="H939" s="664"/>
      <c r="I939" s="664"/>
      <c r="J939" s="664"/>
      <c r="K939" s="664"/>
      <c r="L939" s="664"/>
      <c r="M939" s="664"/>
      <c r="N939" s="664"/>
      <c r="O939" s="664"/>
      <c r="P939" s="664"/>
      <c r="Q939" s="664"/>
      <c r="R939" s="664"/>
      <c r="S939" s="664"/>
      <c r="T939" s="664"/>
      <c r="U939" s="664"/>
      <c r="V939" s="664"/>
      <c r="W939" s="664"/>
      <c r="X939" s="664"/>
      <c r="Y939" s="664"/>
      <c r="Z939" s="664"/>
    </row>
    <row r="940">
      <c r="A940" s="664"/>
      <c r="B940" s="664"/>
      <c r="C940" s="664"/>
      <c r="D940" s="664"/>
      <c r="E940" s="664"/>
      <c r="F940" s="664"/>
      <c r="G940" s="664"/>
      <c r="H940" s="664"/>
      <c r="I940" s="664"/>
      <c r="J940" s="664"/>
      <c r="K940" s="664"/>
      <c r="L940" s="664"/>
      <c r="M940" s="664"/>
      <c r="N940" s="664"/>
      <c r="O940" s="664"/>
      <c r="P940" s="664"/>
      <c r="Q940" s="664"/>
      <c r="R940" s="664"/>
      <c r="S940" s="664"/>
      <c r="T940" s="664"/>
      <c r="U940" s="664"/>
      <c r="V940" s="664"/>
      <c r="W940" s="664"/>
      <c r="X940" s="664"/>
      <c r="Y940" s="664"/>
      <c r="Z940" s="664"/>
    </row>
    <row r="941">
      <c r="A941" s="664"/>
      <c r="B941" s="664"/>
      <c r="C941" s="664"/>
      <c r="D941" s="664"/>
      <c r="E941" s="664"/>
      <c r="F941" s="664"/>
      <c r="G941" s="664"/>
      <c r="H941" s="664"/>
      <c r="I941" s="664"/>
      <c r="J941" s="664"/>
      <c r="K941" s="664"/>
      <c r="L941" s="664"/>
      <c r="M941" s="664"/>
      <c r="N941" s="664"/>
      <c r="O941" s="664"/>
      <c r="P941" s="664"/>
      <c r="Q941" s="664"/>
      <c r="R941" s="664"/>
      <c r="S941" s="664"/>
      <c r="T941" s="664"/>
      <c r="U941" s="664"/>
      <c r="V941" s="664"/>
      <c r="W941" s="664"/>
      <c r="X941" s="664"/>
      <c r="Y941" s="664"/>
      <c r="Z941" s="664"/>
    </row>
    <row r="942">
      <c r="A942" s="664"/>
      <c r="B942" s="664"/>
      <c r="C942" s="664"/>
      <c r="D942" s="664"/>
      <c r="E942" s="664"/>
      <c r="F942" s="664"/>
      <c r="G942" s="664"/>
      <c r="H942" s="664"/>
      <c r="I942" s="664"/>
      <c r="J942" s="664"/>
      <c r="K942" s="664"/>
      <c r="L942" s="664"/>
      <c r="M942" s="664"/>
      <c r="N942" s="664"/>
      <c r="O942" s="664"/>
      <c r="P942" s="664"/>
      <c r="Q942" s="664"/>
      <c r="R942" s="664"/>
      <c r="S942" s="664"/>
      <c r="T942" s="664"/>
      <c r="U942" s="664"/>
      <c r="V942" s="664"/>
      <c r="W942" s="664"/>
      <c r="X942" s="664"/>
      <c r="Y942" s="664"/>
      <c r="Z942" s="664"/>
    </row>
    <row r="943">
      <c r="A943" s="664"/>
      <c r="B943" s="664"/>
      <c r="C943" s="664"/>
      <c r="D943" s="664"/>
      <c r="E943" s="664"/>
      <c r="F943" s="664"/>
      <c r="G943" s="664"/>
      <c r="H943" s="664"/>
      <c r="I943" s="664"/>
      <c r="J943" s="664"/>
      <c r="K943" s="664"/>
      <c r="L943" s="664"/>
      <c r="M943" s="664"/>
      <c r="N943" s="664"/>
      <c r="O943" s="664"/>
      <c r="P943" s="664"/>
      <c r="Q943" s="664"/>
      <c r="R943" s="664"/>
      <c r="S943" s="664"/>
      <c r="T943" s="664"/>
      <c r="U943" s="664"/>
      <c r="V943" s="664"/>
      <c r="W943" s="664"/>
      <c r="X943" s="664"/>
      <c r="Y943" s="664"/>
      <c r="Z943" s="664"/>
    </row>
    <row r="944">
      <c r="A944" s="664"/>
      <c r="B944" s="664"/>
      <c r="C944" s="664"/>
      <c r="D944" s="664"/>
      <c r="E944" s="664"/>
      <c r="F944" s="664"/>
      <c r="G944" s="664"/>
      <c r="H944" s="664"/>
      <c r="I944" s="664"/>
      <c r="J944" s="664"/>
      <c r="K944" s="664"/>
      <c r="L944" s="664"/>
      <c r="M944" s="664"/>
      <c r="N944" s="664"/>
      <c r="O944" s="664"/>
      <c r="P944" s="664"/>
      <c r="Q944" s="664"/>
      <c r="R944" s="664"/>
      <c r="S944" s="664"/>
      <c r="T944" s="664"/>
      <c r="U944" s="664"/>
      <c r="V944" s="664"/>
      <c r="W944" s="664"/>
      <c r="X944" s="664"/>
      <c r="Y944" s="664"/>
      <c r="Z944" s="664"/>
    </row>
    <row r="945">
      <c r="A945" s="664"/>
      <c r="B945" s="664"/>
      <c r="C945" s="664"/>
      <c r="D945" s="664"/>
      <c r="E945" s="664"/>
      <c r="F945" s="664"/>
      <c r="G945" s="664"/>
      <c r="H945" s="664"/>
      <c r="I945" s="664"/>
      <c r="J945" s="664"/>
      <c r="K945" s="664"/>
      <c r="L945" s="664"/>
      <c r="M945" s="664"/>
      <c r="N945" s="664"/>
      <c r="O945" s="664"/>
      <c r="P945" s="664"/>
      <c r="Q945" s="664"/>
      <c r="R945" s="664"/>
      <c r="S945" s="664"/>
      <c r="T945" s="664"/>
      <c r="U945" s="664"/>
      <c r="V945" s="664"/>
      <c r="W945" s="664"/>
      <c r="X945" s="664"/>
      <c r="Y945" s="664"/>
      <c r="Z945" s="664"/>
    </row>
    <row r="946">
      <c r="A946" s="664"/>
      <c r="B946" s="664"/>
      <c r="C946" s="664"/>
      <c r="D946" s="664"/>
      <c r="E946" s="664"/>
      <c r="F946" s="664"/>
      <c r="G946" s="664"/>
      <c r="H946" s="664"/>
      <c r="I946" s="664"/>
      <c r="J946" s="664"/>
      <c r="K946" s="664"/>
      <c r="L946" s="664"/>
      <c r="M946" s="664"/>
      <c r="N946" s="664"/>
      <c r="O946" s="664"/>
      <c r="P946" s="664"/>
      <c r="Q946" s="664"/>
      <c r="R946" s="664"/>
      <c r="S946" s="664"/>
      <c r="T946" s="664"/>
      <c r="U946" s="664"/>
      <c r="V946" s="664"/>
      <c r="W946" s="664"/>
      <c r="X946" s="664"/>
      <c r="Y946" s="664"/>
      <c r="Z946" s="664"/>
    </row>
    <row r="947">
      <c r="A947" s="664"/>
      <c r="B947" s="664"/>
      <c r="C947" s="664"/>
      <c r="D947" s="664"/>
      <c r="E947" s="664"/>
      <c r="F947" s="664"/>
      <c r="G947" s="664"/>
      <c r="H947" s="664"/>
      <c r="I947" s="664"/>
      <c r="J947" s="664"/>
      <c r="K947" s="664"/>
      <c r="L947" s="664"/>
      <c r="M947" s="664"/>
      <c r="N947" s="664"/>
      <c r="O947" s="664"/>
      <c r="P947" s="664"/>
      <c r="Q947" s="664"/>
      <c r="R947" s="664"/>
      <c r="S947" s="664"/>
      <c r="T947" s="664"/>
      <c r="U947" s="664"/>
      <c r="V947" s="664"/>
      <c r="W947" s="664"/>
      <c r="X947" s="664"/>
      <c r="Y947" s="664"/>
      <c r="Z947" s="664"/>
    </row>
    <row r="948">
      <c r="A948" s="664"/>
      <c r="B948" s="664"/>
      <c r="C948" s="664"/>
      <c r="D948" s="664"/>
      <c r="E948" s="664"/>
      <c r="F948" s="664"/>
      <c r="G948" s="664"/>
      <c r="H948" s="664"/>
      <c r="I948" s="664"/>
      <c r="J948" s="664"/>
      <c r="K948" s="664"/>
      <c r="L948" s="664"/>
      <c r="M948" s="664"/>
      <c r="N948" s="664"/>
      <c r="O948" s="664"/>
      <c r="P948" s="664"/>
      <c r="Q948" s="664"/>
      <c r="R948" s="664"/>
      <c r="S948" s="664"/>
      <c r="T948" s="664"/>
      <c r="U948" s="664"/>
      <c r="V948" s="664"/>
      <c r="W948" s="664"/>
      <c r="X948" s="664"/>
      <c r="Y948" s="664"/>
      <c r="Z948" s="664"/>
    </row>
    <row r="949">
      <c r="A949" s="664"/>
      <c r="B949" s="664"/>
      <c r="C949" s="664"/>
      <c r="D949" s="664"/>
      <c r="E949" s="664"/>
      <c r="F949" s="664"/>
      <c r="G949" s="664"/>
      <c r="H949" s="664"/>
      <c r="I949" s="664"/>
      <c r="J949" s="664"/>
      <c r="K949" s="664"/>
      <c r="L949" s="664"/>
      <c r="M949" s="664"/>
      <c r="N949" s="664"/>
      <c r="O949" s="664"/>
      <c r="P949" s="664"/>
      <c r="Q949" s="664"/>
      <c r="R949" s="664"/>
      <c r="S949" s="664"/>
      <c r="T949" s="664"/>
      <c r="U949" s="664"/>
      <c r="V949" s="664"/>
      <c r="W949" s="664"/>
      <c r="X949" s="664"/>
      <c r="Y949" s="664"/>
      <c r="Z949" s="664"/>
    </row>
    <row r="950">
      <c r="A950" s="664"/>
      <c r="B950" s="664"/>
      <c r="C950" s="664"/>
      <c r="D950" s="664"/>
      <c r="E950" s="664"/>
      <c r="F950" s="664"/>
      <c r="G950" s="664"/>
      <c r="H950" s="664"/>
      <c r="I950" s="664"/>
      <c r="J950" s="664"/>
      <c r="K950" s="664"/>
      <c r="L950" s="664"/>
      <c r="M950" s="664"/>
      <c r="N950" s="664"/>
      <c r="O950" s="664"/>
      <c r="P950" s="664"/>
      <c r="Q950" s="664"/>
      <c r="R950" s="664"/>
      <c r="S950" s="664"/>
      <c r="T950" s="664"/>
      <c r="U950" s="664"/>
      <c r="V950" s="664"/>
      <c r="W950" s="664"/>
      <c r="X950" s="664"/>
      <c r="Y950" s="664"/>
      <c r="Z950" s="664"/>
    </row>
    <row r="951">
      <c r="A951" s="664"/>
      <c r="B951" s="664"/>
      <c r="C951" s="664"/>
      <c r="D951" s="664"/>
      <c r="E951" s="664"/>
      <c r="F951" s="664"/>
      <c r="G951" s="664"/>
      <c r="H951" s="664"/>
      <c r="I951" s="664"/>
      <c r="J951" s="664"/>
      <c r="K951" s="664"/>
      <c r="L951" s="664"/>
      <c r="M951" s="664"/>
      <c r="N951" s="664"/>
      <c r="O951" s="664"/>
      <c r="P951" s="664"/>
      <c r="Q951" s="664"/>
      <c r="R951" s="664"/>
      <c r="S951" s="664"/>
      <c r="T951" s="664"/>
      <c r="U951" s="664"/>
      <c r="V951" s="664"/>
      <c r="W951" s="664"/>
      <c r="X951" s="664"/>
      <c r="Y951" s="664"/>
      <c r="Z951" s="664"/>
    </row>
    <row r="952">
      <c r="A952" s="664"/>
      <c r="B952" s="664"/>
      <c r="C952" s="664"/>
      <c r="D952" s="664"/>
      <c r="E952" s="664"/>
      <c r="F952" s="664"/>
      <c r="G952" s="664"/>
      <c r="H952" s="664"/>
      <c r="I952" s="664"/>
      <c r="J952" s="664"/>
      <c r="K952" s="664"/>
      <c r="L952" s="664"/>
      <c r="M952" s="664"/>
      <c r="N952" s="664"/>
      <c r="O952" s="664"/>
      <c r="P952" s="664"/>
      <c r="Q952" s="664"/>
      <c r="R952" s="664"/>
      <c r="S952" s="664"/>
      <c r="T952" s="664"/>
      <c r="U952" s="664"/>
      <c r="V952" s="664"/>
      <c r="W952" s="664"/>
      <c r="X952" s="664"/>
      <c r="Y952" s="664"/>
      <c r="Z952" s="664"/>
    </row>
    <row r="953">
      <c r="A953" s="664"/>
      <c r="B953" s="664"/>
      <c r="C953" s="664"/>
      <c r="D953" s="664"/>
      <c r="E953" s="664"/>
      <c r="F953" s="664"/>
      <c r="G953" s="664"/>
      <c r="H953" s="664"/>
      <c r="I953" s="664"/>
      <c r="J953" s="664"/>
      <c r="K953" s="664"/>
      <c r="L953" s="664"/>
      <c r="M953" s="664"/>
      <c r="N953" s="664"/>
      <c r="O953" s="664"/>
      <c r="P953" s="664"/>
      <c r="Q953" s="664"/>
      <c r="R953" s="664"/>
      <c r="S953" s="664"/>
      <c r="T953" s="664"/>
      <c r="U953" s="664"/>
      <c r="V953" s="664"/>
      <c r="W953" s="664"/>
      <c r="X953" s="664"/>
      <c r="Y953" s="664"/>
      <c r="Z953" s="664"/>
    </row>
    <row r="954">
      <c r="A954" s="664"/>
      <c r="B954" s="664"/>
      <c r="C954" s="664"/>
      <c r="D954" s="664"/>
      <c r="E954" s="664"/>
      <c r="F954" s="664"/>
      <c r="G954" s="664"/>
      <c r="H954" s="664"/>
      <c r="I954" s="664"/>
      <c r="J954" s="664"/>
      <c r="K954" s="664"/>
      <c r="L954" s="664"/>
      <c r="M954" s="664"/>
      <c r="N954" s="664"/>
      <c r="O954" s="664"/>
      <c r="P954" s="664"/>
      <c r="Q954" s="664"/>
      <c r="R954" s="664"/>
      <c r="S954" s="664"/>
      <c r="T954" s="664"/>
      <c r="U954" s="664"/>
      <c r="V954" s="664"/>
      <c r="W954" s="664"/>
      <c r="X954" s="664"/>
      <c r="Y954" s="664"/>
      <c r="Z954" s="664"/>
    </row>
    <row r="955">
      <c r="A955" s="664"/>
      <c r="B955" s="664"/>
      <c r="C955" s="664"/>
      <c r="D955" s="664"/>
      <c r="E955" s="664"/>
      <c r="F955" s="664"/>
      <c r="G955" s="664"/>
      <c r="H955" s="664"/>
      <c r="I955" s="664"/>
      <c r="J955" s="664"/>
      <c r="K955" s="664"/>
      <c r="L955" s="664"/>
      <c r="M955" s="664"/>
      <c r="N955" s="664"/>
      <c r="O955" s="664"/>
      <c r="P955" s="664"/>
      <c r="Q955" s="664"/>
      <c r="R955" s="664"/>
      <c r="S955" s="664"/>
      <c r="T955" s="664"/>
      <c r="U955" s="664"/>
      <c r="V955" s="664"/>
      <c r="W955" s="664"/>
      <c r="X955" s="664"/>
      <c r="Y955" s="664"/>
      <c r="Z955" s="664"/>
    </row>
    <row r="956">
      <c r="A956" s="664"/>
      <c r="B956" s="664"/>
      <c r="C956" s="664"/>
      <c r="D956" s="664"/>
      <c r="E956" s="664"/>
      <c r="F956" s="664"/>
      <c r="G956" s="664"/>
      <c r="H956" s="664"/>
      <c r="I956" s="664"/>
      <c r="J956" s="664"/>
      <c r="K956" s="664"/>
      <c r="L956" s="664"/>
      <c r="M956" s="664"/>
      <c r="N956" s="664"/>
      <c r="O956" s="664"/>
      <c r="P956" s="664"/>
      <c r="Q956" s="664"/>
      <c r="R956" s="664"/>
      <c r="S956" s="664"/>
      <c r="T956" s="664"/>
      <c r="U956" s="664"/>
      <c r="V956" s="664"/>
      <c r="W956" s="664"/>
      <c r="X956" s="664"/>
      <c r="Y956" s="664"/>
      <c r="Z956" s="664"/>
    </row>
    <row r="957">
      <c r="A957" s="664"/>
      <c r="B957" s="664"/>
      <c r="C957" s="664"/>
      <c r="D957" s="664"/>
      <c r="E957" s="664"/>
      <c r="F957" s="664"/>
      <c r="G957" s="664"/>
      <c r="H957" s="664"/>
      <c r="I957" s="664"/>
      <c r="J957" s="664"/>
      <c r="K957" s="664"/>
      <c r="L957" s="664"/>
      <c r="M957" s="664"/>
      <c r="N957" s="664"/>
      <c r="O957" s="664"/>
      <c r="P957" s="664"/>
      <c r="Q957" s="664"/>
      <c r="R957" s="664"/>
      <c r="S957" s="664"/>
      <c r="T957" s="664"/>
      <c r="U957" s="664"/>
      <c r="V957" s="664"/>
      <c r="W957" s="664"/>
      <c r="X957" s="664"/>
      <c r="Y957" s="664"/>
      <c r="Z957" s="664"/>
    </row>
    <row r="958">
      <c r="A958" s="664"/>
      <c r="B958" s="664"/>
      <c r="C958" s="664"/>
      <c r="D958" s="664"/>
      <c r="E958" s="664"/>
      <c r="F958" s="664"/>
      <c r="G958" s="664"/>
      <c r="H958" s="664"/>
      <c r="I958" s="664"/>
      <c r="J958" s="664"/>
      <c r="K958" s="664"/>
      <c r="L958" s="664"/>
      <c r="M958" s="664"/>
      <c r="N958" s="664"/>
      <c r="O958" s="664"/>
      <c r="P958" s="664"/>
      <c r="Q958" s="664"/>
      <c r="R958" s="664"/>
      <c r="S958" s="664"/>
      <c r="T958" s="664"/>
      <c r="U958" s="664"/>
      <c r="V958" s="664"/>
      <c r="W958" s="664"/>
      <c r="X958" s="664"/>
      <c r="Y958" s="664"/>
      <c r="Z958" s="664"/>
    </row>
    <row r="959">
      <c r="A959" s="664"/>
      <c r="B959" s="664"/>
      <c r="C959" s="664"/>
      <c r="D959" s="664"/>
      <c r="E959" s="664"/>
      <c r="F959" s="664"/>
      <c r="G959" s="664"/>
      <c r="H959" s="664"/>
      <c r="I959" s="664"/>
      <c r="J959" s="664"/>
      <c r="K959" s="664"/>
      <c r="L959" s="664"/>
      <c r="M959" s="664"/>
      <c r="N959" s="664"/>
      <c r="O959" s="664"/>
      <c r="P959" s="664"/>
      <c r="Q959" s="664"/>
      <c r="R959" s="664"/>
      <c r="S959" s="664"/>
      <c r="T959" s="664"/>
      <c r="U959" s="664"/>
      <c r="V959" s="664"/>
      <c r="W959" s="664"/>
      <c r="X959" s="664"/>
      <c r="Y959" s="664"/>
      <c r="Z959" s="664"/>
    </row>
    <row r="960">
      <c r="A960" s="664"/>
      <c r="B960" s="664"/>
      <c r="C960" s="664"/>
      <c r="D960" s="664"/>
      <c r="E960" s="664"/>
      <c r="F960" s="664"/>
      <c r="G960" s="664"/>
      <c r="H960" s="664"/>
      <c r="I960" s="664"/>
      <c r="J960" s="664"/>
      <c r="K960" s="664"/>
      <c r="L960" s="664"/>
      <c r="M960" s="664"/>
      <c r="N960" s="664"/>
      <c r="O960" s="664"/>
      <c r="P960" s="664"/>
      <c r="Q960" s="664"/>
      <c r="R960" s="664"/>
      <c r="S960" s="664"/>
      <c r="T960" s="664"/>
      <c r="U960" s="664"/>
      <c r="V960" s="664"/>
      <c r="W960" s="664"/>
      <c r="X960" s="664"/>
      <c r="Y960" s="664"/>
      <c r="Z960" s="664"/>
    </row>
    <row r="961">
      <c r="A961" s="664"/>
      <c r="B961" s="664"/>
      <c r="C961" s="664"/>
      <c r="D961" s="664"/>
      <c r="E961" s="664"/>
      <c r="F961" s="664"/>
      <c r="G961" s="664"/>
      <c r="H961" s="664"/>
      <c r="I961" s="664"/>
      <c r="J961" s="664"/>
      <c r="K961" s="664"/>
      <c r="L961" s="664"/>
      <c r="M961" s="664"/>
      <c r="N961" s="664"/>
      <c r="O961" s="664"/>
      <c r="P961" s="664"/>
      <c r="Q961" s="664"/>
      <c r="R961" s="664"/>
      <c r="S961" s="664"/>
      <c r="T961" s="664"/>
      <c r="U961" s="664"/>
      <c r="V961" s="664"/>
      <c r="W961" s="664"/>
      <c r="X961" s="664"/>
      <c r="Y961" s="664"/>
      <c r="Z961" s="664"/>
    </row>
    <row r="962">
      <c r="A962" s="664"/>
      <c r="B962" s="664"/>
      <c r="C962" s="664"/>
      <c r="D962" s="664"/>
      <c r="E962" s="664"/>
      <c r="F962" s="664"/>
      <c r="G962" s="664"/>
      <c r="H962" s="664"/>
      <c r="I962" s="664"/>
      <c r="J962" s="664"/>
      <c r="K962" s="664"/>
      <c r="L962" s="664"/>
      <c r="M962" s="664"/>
      <c r="N962" s="664"/>
      <c r="O962" s="664"/>
      <c r="P962" s="664"/>
      <c r="Q962" s="664"/>
      <c r="R962" s="664"/>
      <c r="S962" s="664"/>
      <c r="T962" s="664"/>
      <c r="U962" s="664"/>
      <c r="V962" s="664"/>
      <c r="W962" s="664"/>
      <c r="X962" s="664"/>
      <c r="Y962" s="664"/>
      <c r="Z962" s="664"/>
    </row>
    <row r="963">
      <c r="A963" s="664"/>
      <c r="B963" s="664"/>
      <c r="C963" s="664"/>
      <c r="D963" s="664"/>
      <c r="E963" s="664"/>
      <c r="F963" s="664"/>
      <c r="G963" s="664"/>
      <c r="H963" s="664"/>
      <c r="I963" s="664"/>
      <c r="J963" s="664"/>
      <c r="K963" s="664"/>
      <c r="L963" s="664"/>
      <c r="M963" s="664"/>
      <c r="N963" s="664"/>
      <c r="O963" s="664"/>
      <c r="P963" s="664"/>
      <c r="Q963" s="664"/>
      <c r="R963" s="664"/>
      <c r="S963" s="664"/>
      <c r="T963" s="664"/>
      <c r="U963" s="664"/>
      <c r="V963" s="664"/>
      <c r="W963" s="664"/>
      <c r="X963" s="664"/>
      <c r="Y963" s="664"/>
      <c r="Z963" s="664"/>
    </row>
    <row r="964">
      <c r="A964" s="664"/>
      <c r="B964" s="664"/>
      <c r="C964" s="664"/>
      <c r="D964" s="664"/>
      <c r="E964" s="664"/>
      <c r="F964" s="664"/>
      <c r="G964" s="664"/>
      <c r="H964" s="664"/>
      <c r="I964" s="664"/>
      <c r="J964" s="664"/>
      <c r="K964" s="664"/>
      <c r="L964" s="664"/>
      <c r="M964" s="664"/>
      <c r="N964" s="664"/>
      <c r="O964" s="664"/>
      <c r="P964" s="664"/>
      <c r="Q964" s="664"/>
      <c r="R964" s="664"/>
      <c r="S964" s="664"/>
      <c r="T964" s="664"/>
      <c r="U964" s="664"/>
      <c r="V964" s="664"/>
      <c r="W964" s="664"/>
      <c r="X964" s="664"/>
      <c r="Y964" s="664"/>
      <c r="Z964" s="664"/>
    </row>
    <row r="965">
      <c r="A965" s="664"/>
      <c r="B965" s="664"/>
      <c r="C965" s="664"/>
      <c r="D965" s="664"/>
      <c r="E965" s="664"/>
      <c r="F965" s="664"/>
      <c r="G965" s="664"/>
      <c r="H965" s="664"/>
      <c r="I965" s="664"/>
      <c r="J965" s="664"/>
      <c r="K965" s="664"/>
      <c r="L965" s="664"/>
      <c r="M965" s="664"/>
      <c r="N965" s="664"/>
      <c r="O965" s="664"/>
      <c r="P965" s="664"/>
      <c r="Q965" s="664"/>
      <c r="R965" s="664"/>
      <c r="S965" s="664"/>
      <c r="T965" s="664"/>
      <c r="U965" s="664"/>
      <c r="V965" s="664"/>
      <c r="W965" s="664"/>
      <c r="X965" s="664"/>
      <c r="Y965" s="664"/>
      <c r="Z965" s="664"/>
    </row>
    <row r="966">
      <c r="A966" s="664"/>
      <c r="B966" s="664"/>
      <c r="C966" s="664"/>
      <c r="D966" s="664"/>
      <c r="E966" s="664"/>
      <c r="F966" s="664"/>
      <c r="G966" s="664"/>
      <c r="H966" s="664"/>
      <c r="I966" s="664"/>
      <c r="J966" s="664"/>
      <c r="K966" s="664"/>
      <c r="L966" s="664"/>
      <c r="M966" s="664"/>
      <c r="N966" s="664"/>
      <c r="O966" s="664"/>
      <c r="P966" s="664"/>
      <c r="Q966" s="664"/>
      <c r="R966" s="664"/>
      <c r="S966" s="664"/>
      <c r="T966" s="664"/>
      <c r="U966" s="664"/>
      <c r="V966" s="664"/>
      <c r="W966" s="664"/>
      <c r="X966" s="664"/>
      <c r="Y966" s="664"/>
      <c r="Z966" s="664"/>
    </row>
    <row r="967">
      <c r="A967" s="664"/>
      <c r="B967" s="664"/>
      <c r="C967" s="664"/>
      <c r="D967" s="664"/>
      <c r="E967" s="664"/>
      <c r="F967" s="664"/>
      <c r="G967" s="664"/>
      <c r="H967" s="664"/>
      <c r="I967" s="664"/>
      <c r="J967" s="664"/>
      <c r="K967" s="664"/>
      <c r="L967" s="664"/>
      <c r="M967" s="664"/>
      <c r="N967" s="664"/>
      <c r="O967" s="664"/>
      <c r="P967" s="664"/>
      <c r="Q967" s="664"/>
      <c r="R967" s="664"/>
      <c r="S967" s="664"/>
      <c r="T967" s="664"/>
      <c r="U967" s="664"/>
      <c r="V967" s="664"/>
      <c r="W967" s="664"/>
      <c r="X967" s="664"/>
      <c r="Y967" s="664"/>
      <c r="Z967" s="664"/>
    </row>
    <row r="968">
      <c r="A968" s="664"/>
      <c r="B968" s="664"/>
      <c r="C968" s="664"/>
      <c r="D968" s="664"/>
      <c r="E968" s="664"/>
      <c r="F968" s="664"/>
      <c r="G968" s="664"/>
      <c r="H968" s="664"/>
      <c r="I968" s="664"/>
      <c r="J968" s="664"/>
      <c r="K968" s="664"/>
      <c r="L968" s="664"/>
      <c r="M968" s="664"/>
      <c r="N968" s="664"/>
      <c r="O968" s="664"/>
      <c r="P968" s="664"/>
      <c r="Q968" s="664"/>
      <c r="R968" s="664"/>
      <c r="S968" s="664"/>
      <c r="T968" s="664"/>
      <c r="U968" s="664"/>
      <c r="V968" s="664"/>
      <c r="W968" s="664"/>
      <c r="X968" s="664"/>
      <c r="Y968" s="664"/>
      <c r="Z968" s="664"/>
    </row>
    <row r="969">
      <c r="A969" s="664"/>
      <c r="B969" s="664"/>
      <c r="C969" s="664"/>
      <c r="D969" s="664"/>
      <c r="E969" s="664"/>
      <c r="F969" s="664"/>
      <c r="G969" s="664"/>
      <c r="H969" s="664"/>
      <c r="I969" s="664"/>
      <c r="J969" s="664"/>
      <c r="K969" s="664"/>
      <c r="L969" s="664"/>
      <c r="M969" s="664"/>
      <c r="N969" s="664"/>
      <c r="O969" s="664"/>
      <c r="P969" s="664"/>
      <c r="Q969" s="664"/>
      <c r="R969" s="664"/>
      <c r="S969" s="664"/>
      <c r="T969" s="664"/>
      <c r="U969" s="664"/>
      <c r="V969" s="664"/>
      <c r="W969" s="664"/>
      <c r="X969" s="664"/>
      <c r="Y969" s="664"/>
      <c r="Z969" s="664"/>
    </row>
    <row r="970">
      <c r="A970" s="664"/>
      <c r="B970" s="664"/>
      <c r="C970" s="664"/>
      <c r="D970" s="664"/>
      <c r="E970" s="664"/>
      <c r="F970" s="664"/>
      <c r="G970" s="664"/>
      <c r="H970" s="664"/>
      <c r="I970" s="664"/>
      <c r="J970" s="664"/>
      <c r="K970" s="664"/>
      <c r="L970" s="664"/>
      <c r="M970" s="664"/>
      <c r="N970" s="664"/>
      <c r="O970" s="664"/>
      <c r="P970" s="664"/>
      <c r="Q970" s="664"/>
      <c r="R970" s="664"/>
      <c r="S970" s="664"/>
      <c r="T970" s="664"/>
      <c r="U970" s="664"/>
      <c r="V970" s="664"/>
      <c r="W970" s="664"/>
      <c r="X970" s="664"/>
      <c r="Y970" s="664"/>
      <c r="Z970" s="664"/>
    </row>
    <row r="971">
      <c r="A971" s="664"/>
      <c r="B971" s="664"/>
      <c r="C971" s="664"/>
      <c r="D971" s="664"/>
      <c r="E971" s="664"/>
      <c r="F971" s="664"/>
      <c r="G971" s="664"/>
      <c r="H971" s="664"/>
      <c r="I971" s="664"/>
      <c r="J971" s="664"/>
      <c r="K971" s="664"/>
      <c r="L971" s="664"/>
      <c r="M971" s="664"/>
      <c r="N971" s="664"/>
      <c r="O971" s="664"/>
      <c r="P971" s="664"/>
      <c r="Q971" s="664"/>
      <c r="R971" s="664"/>
      <c r="S971" s="664"/>
      <c r="T971" s="664"/>
      <c r="U971" s="664"/>
      <c r="V971" s="664"/>
      <c r="W971" s="664"/>
      <c r="X971" s="664"/>
      <c r="Y971" s="664"/>
      <c r="Z971" s="664"/>
    </row>
    <row r="972">
      <c r="A972" s="664"/>
      <c r="B972" s="664"/>
      <c r="C972" s="664"/>
      <c r="D972" s="664"/>
      <c r="E972" s="664"/>
      <c r="F972" s="664"/>
      <c r="G972" s="664"/>
      <c r="H972" s="664"/>
      <c r="I972" s="664"/>
      <c r="J972" s="664"/>
      <c r="K972" s="664"/>
      <c r="L972" s="664"/>
      <c r="M972" s="664"/>
      <c r="N972" s="664"/>
      <c r="O972" s="664"/>
      <c r="P972" s="664"/>
      <c r="Q972" s="664"/>
      <c r="R972" s="664"/>
      <c r="S972" s="664"/>
      <c r="T972" s="664"/>
      <c r="U972" s="664"/>
      <c r="V972" s="664"/>
      <c r="W972" s="664"/>
      <c r="X972" s="664"/>
      <c r="Y972" s="664"/>
      <c r="Z972" s="664"/>
    </row>
    <row r="973">
      <c r="A973" s="664"/>
      <c r="B973" s="664"/>
      <c r="C973" s="664"/>
      <c r="D973" s="664"/>
      <c r="E973" s="664"/>
      <c r="F973" s="664"/>
      <c r="G973" s="664"/>
      <c r="H973" s="664"/>
      <c r="I973" s="664"/>
      <c r="J973" s="664"/>
      <c r="K973" s="664"/>
      <c r="L973" s="664"/>
      <c r="M973" s="664"/>
      <c r="N973" s="664"/>
      <c r="O973" s="664"/>
      <c r="P973" s="664"/>
      <c r="Q973" s="664"/>
      <c r="R973" s="664"/>
      <c r="S973" s="664"/>
      <c r="T973" s="664"/>
      <c r="U973" s="664"/>
      <c r="V973" s="664"/>
      <c r="W973" s="664"/>
      <c r="X973" s="664"/>
      <c r="Y973" s="664"/>
      <c r="Z973" s="664"/>
    </row>
    <row r="974">
      <c r="A974" s="664"/>
      <c r="B974" s="664"/>
      <c r="C974" s="664"/>
      <c r="D974" s="664"/>
      <c r="E974" s="664"/>
      <c r="F974" s="664"/>
      <c r="G974" s="664"/>
      <c r="H974" s="664"/>
      <c r="I974" s="664"/>
      <c r="J974" s="664"/>
      <c r="K974" s="664"/>
      <c r="L974" s="664"/>
      <c r="M974" s="664"/>
      <c r="N974" s="664"/>
      <c r="O974" s="664"/>
      <c r="P974" s="664"/>
      <c r="Q974" s="664"/>
      <c r="R974" s="664"/>
      <c r="S974" s="664"/>
      <c r="T974" s="664"/>
      <c r="U974" s="664"/>
      <c r="V974" s="664"/>
      <c r="W974" s="664"/>
      <c r="X974" s="664"/>
      <c r="Y974" s="664"/>
      <c r="Z974" s="664"/>
    </row>
    <row r="975">
      <c r="A975" s="664"/>
      <c r="B975" s="664"/>
      <c r="C975" s="664"/>
      <c r="D975" s="664"/>
      <c r="E975" s="664"/>
      <c r="F975" s="664"/>
      <c r="G975" s="664"/>
      <c r="H975" s="664"/>
      <c r="I975" s="664"/>
      <c r="J975" s="664"/>
      <c r="K975" s="664"/>
      <c r="L975" s="664"/>
      <c r="M975" s="664"/>
      <c r="N975" s="664"/>
      <c r="O975" s="664"/>
      <c r="P975" s="664"/>
      <c r="Q975" s="664"/>
      <c r="R975" s="664"/>
      <c r="S975" s="664"/>
      <c r="T975" s="664"/>
      <c r="U975" s="664"/>
      <c r="V975" s="664"/>
      <c r="W975" s="664"/>
      <c r="X975" s="664"/>
      <c r="Y975" s="664"/>
      <c r="Z975" s="664"/>
    </row>
    <row r="976">
      <c r="A976" s="664"/>
      <c r="B976" s="664"/>
      <c r="C976" s="664"/>
      <c r="D976" s="664"/>
      <c r="E976" s="664"/>
      <c r="F976" s="664"/>
      <c r="G976" s="664"/>
      <c r="H976" s="664"/>
      <c r="I976" s="664"/>
      <c r="J976" s="664"/>
      <c r="K976" s="664"/>
      <c r="L976" s="664"/>
      <c r="M976" s="664"/>
      <c r="N976" s="664"/>
      <c r="O976" s="664"/>
      <c r="P976" s="664"/>
      <c r="Q976" s="664"/>
      <c r="R976" s="664"/>
      <c r="S976" s="664"/>
      <c r="T976" s="664"/>
      <c r="U976" s="664"/>
      <c r="V976" s="664"/>
      <c r="W976" s="664"/>
      <c r="X976" s="664"/>
      <c r="Y976" s="664"/>
      <c r="Z976" s="664"/>
    </row>
    <row r="977">
      <c r="A977" s="664"/>
      <c r="B977" s="664"/>
      <c r="C977" s="664"/>
      <c r="D977" s="664"/>
      <c r="E977" s="664"/>
      <c r="F977" s="664"/>
      <c r="G977" s="664"/>
      <c r="H977" s="664"/>
      <c r="I977" s="664"/>
      <c r="J977" s="664"/>
      <c r="K977" s="664"/>
      <c r="L977" s="664"/>
      <c r="M977" s="664"/>
      <c r="N977" s="664"/>
      <c r="O977" s="664"/>
      <c r="P977" s="664"/>
      <c r="Q977" s="664"/>
      <c r="R977" s="664"/>
      <c r="S977" s="664"/>
      <c r="T977" s="664"/>
      <c r="U977" s="664"/>
      <c r="V977" s="664"/>
      <c r="W977" s="664"/>
      <c r="X977" s="664"/>
      <c r="Y977" s="664"/>
      <c r="Z977" s="664"/>
    </row>
    <row r="978">
      <c r="A978" s="664"/>
      <c r="B978" s="664"/>
      <c r="C978" s="664"/>
      <c r="D978" s="664"/>
      <c r="E978" s="664"/>
      <c r="F978" s="664"/>
      <c r="G978" s="664"/>
      <c r="H978" s="664"/>
      <c r="I978" s="664"/>
      <c r="J978" s="664"/>
      <c r="K978" s="664"/>
      <c r="L978" s="664"/>
      <c r="M978" s="664"/>
      <c r="N978" s="664"/>
      <c r="O978" s="664"/>
      <c r="P978" s="664"/>
      <c r="Q978" s="664"/>
      <c r="R978" s="664"/>
      <c r="S978" s="664"/>
      <c r="T978" s="664"/>
      <c r="U978" s="664"/>
      <c r="V978" s="664"/>
      <c r="W978" s="664"/>
      <c r="X978" s="664"/>
      <c r="Y978" s="664"/>
      <c r="Z978" s="664"/>
    </row>
    <row r="979">
      <c r="A979" s="664"/>
      <c r="B979" s="664"/>
      <c r="C979" s="664"/>
      <c r="D979" s="664"/>
      <c r="E979" s="664"/>
      <c r="F979" s="664"/>
      <c r="G979" s="664"/>
      <c r="H979" s="664"/>
      <c r="I979" s="664"/>
      <c r="J979" s="664"/>
      <c r="K979" s="664"/>
      <c r="L979" s="664"/>
      <c r="M979" s="664"/>
      <c r="N979" s="664"/>
      <c r="O979" s="664"/>
      <c r="P979" s="664"/>
      <c r="Q979" s="664"/>
      <c r="R979" s="664"/>
      <c r="S979" s="664"/>
      <c r="T979" s="664"/>
      <c r="U979" s="664"/>
      <c r="V979" s="664"/>
      <c r="W979" s="664"/>
      <c r="X979" s="664"/>
      <c r="Y979" s="664"/>
      <c r="Z979" s="664"/>
    </row>
    <row r="980">
      <c r="A980" s="664"/>
      <c r="B980" s="664"/>
      <c r="C980" s="664"/>
      <c r="D980" s="664"/>
      <c r="E980" s="664"/>
      <c r="F980" s="664"/>
      <c r="G980" s="664"/>
      <c r="H980" s="664"/>
      <c r="I980" s="664"/>
      <c r="J980" s="664"/>
      <c r="K980" s="664"/>
      <c r="L980" s="664"/>
      <c r="M980" s="664"/>
      <c r="N980" s="664"/>
      <c r="O980" s="664"/>
      <c r="P980" s="664"/>
      <c r="Q980" s="664"/>
      <c r="R980" s="664"/>
      <c r="S980" s="664"/>
      <c r="T980" s="664"/>
      <c r="U980" s="664"/>
      <c r="V980" s="664"/>
      <c r="W980" s="664"/>
      <c r="X980" s="664"/>
      <c r="Y980" s="664"/>
      <c r="Z980" s="664"/>
    </row>
    <row r="981">
      <c r="A981" s="664"/>
      <c r="B981" s="664"/>
      <c r="C981" s="664"/>
      <c r="D981" s="664"/>
      <c r="E981" s="664"/>
      <c r="F981" s="664"/>
      <c r="G981" s="664"/>
      <c r="H981" s="664"/>
      <c r="I981" s="664"/>
      <c r="J981" s="664"/>
      <c r="K981" s="664"/>
      <c r="L981" s="664"/>
      <c r="M981" s="664"/>
      <c r="N981" s="664"/>
      <c r="O981" s="664"/>
      <c r="P981" s="664"/>
      <c r="Q981" s="664"/>
      <c r="R981" s="664"/>
      <c r="S981" s="664"/>
      <c r="T981" s="664"/>
      <c r="U981" s="664"/>
      <c r="V981" s="664"/>
      <c r="W981" s="664"/>
      <c r="X981" s="664"/>
      <c r="Y981" s="664"/>
      <c r="Z981" s="664"/>
    </row>
    <row r="982">
      <c r="A982" s="664"/>
      <c r="B982" s="664"/>
      <c r="C982" s="664"/>
      <c r="D982" s="664"/>
      <c r="E982" s="664"/>
      <c r="F982" s="664"/>
      <c r="G982" s="664"/>
      <c r="H982" s="664"/>
      <c r="I982" s="664"/>
      <c r="J982" s="664"/>
      <c r="K982" s="664"/>
      <c r="L982" s="664"/>
      <c r="M982" s="664"/>
      <c r="N982" s="664"/>
      <c r="O982" s="664"/>
      <c r="P982" s="664"/>
      <c r="Q982" s="664"/>
      <c r="R982" s="664"/>
      <c r="S982" s="664"/>
      <c r="T982" s="664"/>
      <c r="U982" s="664"/>
      <c r="V982" s="664"/>
      <c r="W982" s="664"/>
      <c r="X982" s="664"/>
      <c r="Y982" s="664"/>
      <c r="Z982" s="664"/>
    </row>
    <row r="983">
      <c r="A983" s="664"/>
      <c r="B983" s="664"/>
      <c r="C983" s="664"/>
      <c r="D983" s="664"/>
      <c r="E983" s="664"/>
      <c r="F983" s="664"/>
      <c r="G983" s="664"/>
      <c r="H983" s="664"/>
      <c r="I983" s="664"/>
      <c r="J983" s="664"/>
      <c r="K983" s="664"/>
      <c r="L983" s="664"/>
      <c r="M983" s="664"/>
      <c r="N983" s="664"/>
      <c r="O983" s="664"/>
      <c r="P983" s="664"/>
      <c r="Q983" s="664"/>
      <c r="R983" s="664"/>
      <c r="S983" s="664"/>
      <c r="T983" s="664"/>
      <c r="U983" s="664"/>
      <c r="V983" s="664"/>
      <c r="W983" s="664"/>
      <c r="X983" s="664"/>
      <c r="Y983" s="664"/>
      <c r="Z983" s="664"/>
    </row>
    <row r="984">
      <c r="A984" s="664"/>
      <c r="B984" s="664"/>
      <c r="C984" s="664"/>
      <c r="D984" s="664"/>
      <c r="E984" s="664"/>
      <c r="F984" s="664"/>
      <c r="G984" s="664"/>
      <c r="H984" s="664"/>
      <c r="I984" s="664"/>
      <c r="J984" s="664"/>
      <c r="K984" s="664"/>
      <c r="L984" s="664"/>
      <c r="M984" s="664"/>
      <c r="N984" s="664"/>
      <c r="O984" s="664"/>
      <c r="P984" s="664"/>
      <c r="Q984" s="664"/>
      <c r="R984" s="664"/>
      <c r="S984" s="664"/>
      <c r="T984" s="664"/>
      <c r="U984" s="664"/>
      <c r="V984" s="664"/>
      <c r="W984" s="664"/>
      <c r="X984" s="664"/>
      <c r="Y984" s="664"/>
      <c r="Z984" s="664"/>
    </row>
    <row r="985">
      <c r="A985" s="664"/>
      <c r="B985" s="664"/>
      <c r="C985" s="664"/>
      <c r="D985" s="664"/>
      <c r="E985" s="664"/>
      <c r="F985" s="664"/>
      <c r="G985" s="664"/>
      <c r="H985" s="664"/>
      <c r="I985" s="664"/>
      <c r="J985" s="664"/>
      <c r="K985" s="664"/>
      <c r="L985" s="664"/>
      <c r="M985" s="664"/>
      <c r="N985" s="664"/>
      <c r="O985" s="664"/>
      <c r="P985" s="664"/>
      <c r="Q985" s="664"/>
      <c r="R985" s="664"/>
      <c r="S985" s="664"/>
      <c r="T985" s="664"/>
      <c r="U985" s="664"/>
      <c r="V985" s="664"/>
      <c r="W985" s="664"/>
      <c r="X985" s="664"/>
      <c r="Y985" s="664"/>
      <c r="Z985" s="664"/>
    </row>
    <row r="986">
      <c r="A986" s="664"/>
      <c r="B986" s="664"/>
      <c r="C986" s="664"/>
      <c r="D986" s="664"/>
      <c r="E986" s="664"/>
      <c r="F986" s="664"/>
      <c r="G986" s="664"/>
      <c r="H986" s="664"/>
      <c r="I986" s="664"/>
      <c r="J986" s="664"/>
      <c r="K986" s="664"/>
      <c r="L986" s="664"/>
      <c r="M986" s="664"/>
      <c r="N986" s="664"/>
      <c r="O986" s="664"/>
      <c r="P986" s="664"/>
      <c r="Q986" s="664"/>
      <c r="R986" s="664"/>
      <c r="S986" s="664"/>
      <c r="T986" s="664"/>
      <c r="U986" s="664"/>
      <c r="V986" s="664"/>
      <c r="W986" s="664"/>
      <c r="X986" s="664"/>
      <c r="Y986" s="664"/>
      <c r="Z986" s="664"/>
    </row>
    <row r="987">
      <c r="A987" s="664"/>
      <c r="B987" s="664"/>
      <c r="C987" s="664"/>
      <c r="D987" s="664"/>
      <c r="E987" s="664"/>
      <c r="F987" s="664"/>
      <c r="G987" s="664"/>
      <c r="H987" s="664"/>
      <c r="I987" s="664"/>
      <c r="J987" s="664"/>
      <c r="K987" s="664"/>
      <c r="L987" s="664"/>
      <c r="M987" s="664"/>
      <c r="N987" s="664"/>
      <c r="O987" s="664"/>
      <c r="P987" s="664"/>
      <c r="Q987" s="664"/>
      <c r="R987" s="664"/>
      <c r="S987" s="664"/>
      <c r="T987" s="664"/>
      <c r="U987" s="664"/>
      <c r="V987" s="664"/>
      <c r="W987" s="664"/>
      <c r="X987" s="664"/>
      <c r="Y987" s="664"/>
      <c r="Z987" s="664"/>
    </row>
    <row r="988">
      <c r="A988" s="664"/>
      <c r="B988" s="664"/>
      <c r="C988" s="664"/>
      <c r="D988" s="664"/>
      <c r="E988" s="664"/>
      <c r="F988" s="664"/>
      <c r="G988" s="664"/>
      <c r="H988" s="664"/>
      <c r="I988" s="664"/>
      <c r="J988" s="664"/>
      <c r="K988" s="664"/>
      <c r="L988" s="664"/>
      <c r="M988" s="664"/>
      <c r="N988" s="664"/>
      <c r="O988" s="664"/>
      <c r="P988" s="664"/>
      <c r="Q988" s="664"/>
      <c r="R988" s="664"/>
      <c r="S988" s="664"/>
      <c r="T988" s="664"/>
      <c r="U988" s="664"/>
      <c r="V988" s="664"/>
      <c r="W988" s="664"/>
      <c r="X988" s="664"/>
      <c r="Y988" s="664"/>
      <c r="Z988" s="664"/>
    </row>
    <row r="989">
      <c r="A989" s="664"/>
      <c r="B989" s="664"/>
      <c r="C989" s="664"/>
      <c r="D989" s="664"/>
      <c r="E989" s="664"/>
      <c r="F989" s="664"/>
      <c r="G989" s="664"/>
      <c r="H989" s="664"/>
      <c r="I989" s="664"/>
      <c r="J989" s="664"/>
      <c r="K989" s="664"/>
      <c r="L989" s="664"/>
      <c r="M989" s="664"/>
      <c r="N989" s="664"/>
      <c r="O989" s="664"/>
      <c r="P989" s="664"/>
      <c r="Q989" s="664"/>
      <c r="R989" s="664"/>
      <c r="S989" s="664"/>
      <c r="T989" s="664"/>
      <c r="U989" s="664"/>
      <c r="V989" s="664"/>
      <c r="W989" s="664"/>
      <c r="X989" s="664"/>
      <c r="Y989" s="664"/>
      <c r="Z989" s="664"/>
    </row>
    <row r="990">
      <c r="A990" s="664"/>
      <c r="B990" s="664"/>
      <c r="C990" s="664"/>
      <c r="D990" s="664"/>
      <c r="E990" s="664"/>
      <c r="F990" s="664"/>
      <c r="G990" s="664"/>
      <c r="H990" s="664"/>
      <c r="I990" s="664"/>
      <c r="J990" s="664"/>
      <c r="K990" s="664"/>
      <c r="L990" s="664"/>
      <c r="M990" s="664"/>
      <c r="N990" s="664"/>
      <c r="O990" s="664"/>
      <c r="P990" s="664"/>
      <c r="Q990" s="664"/>
      <c r="R990" s="664"/>
      <c r="S990" s="664"/>
      <c r="T990" s="664"/>
      <c r="U990" s="664"/>
      <c r="V990" s="664"/>
      <c r="W990" s="664"/>
      <c r="X990" s="664"/>
      <c r="Y990" s="664"/>
      <c r="Z990" s="664"/>
    </row>
    <row r="991">
      <c r="A991" s="664"/>
      <c r="B991" s="664"/>
      <c r="C991" s="664"/>
      <c r="D991" s="664"/>
      <c r="E991" s="664"/>
      <c r="F991" s="664"/>
      <c r="G991" s="664"/>
      <c r="H991" s="664"/>
      <c r="I991" s="664"/>
      <c r="J991" s="664"/>
      <c r="K991" s="664"/>
      <c r="L991" s="664"/>
      <c r="M991" s="664"/>
      <c r="N991" s="664"/>
      <c r="O991" s="664"/>
      <c r="P991" s="664"/>
      <c r="Q991" s="664"/>
      <c r="R991" s="664"/>
      <c r="S991" s="664"/>
      <c r="T991" s="664"/>
      <c r="U991" s="664"/>
      <c r="V991" s="664"/>
      <c r="W991" s="664"/>
      <c r="X991" s="664"/>
      <c r="Y991" s="664"/>
      <c r="Z991" s="664"/>
    </row>
    <row r="992">
      <c r="A992" s="664"/>
      <c r="B992" s="664"/>
      <c r="C992" s="664"/>
      <c r="D992" s="664"/>
      <c r="E992" s="664"/>
      <c r="F992" s="664"/>
      <c r="G992" s="664"/>
      <c r="H992" s="664"/>
      <c r="I992" s="664"/>
      <c r="J992" s="664"/>
      <c r="K992" s="664"/>
      <c r="L992" s="664"/>
      <c r="M992" s="664"/>
      <c r="N992" s="664"/>
      <c r="O992" s="664"/>
      <c r="P992" s="664"/>
      <c r="Q992" s="664"/>
      <c r="R992" s="664"/>
      <c r="S992" s="664"/>
      <c r="T992" s="664"/>
      <c r="U992" s="664"/>
      <c r="V992" s="664"/>
      <c r="W992" s="664"/>
      <c r="X992" s="664"/>
      <c r="Y992" s="664"/>
      <c r="Z992" s="664"/>
    </row>
    <row r="993">
      <c r="A993" s="664"/>
      <c r="B993" s="664"/>
      <c r="C993" s="664"/>
      <c r="D993" s="664"/>
      <c r="E993" s="664"/>
      <c r="F993" s="664"/>
      <c r="G993" s="664"/>
      <c r="H993" s="664"/>
      <c r="I993" s="664"/>
      <c r="J993" s="664"/>
      <c r="K993" s="664"/>
      <c r="L993" s="664"/>
      <c r="M993" s="664"/>
      <c r="N993" s="664"/>
      <c r="O993" s="664"/>
      <c r="P993" s="664"/>
      <c r="Q993" s="664"/>
      <c r="R993" s="664"/>
      <c r="S993" s="664"/>
      <c r="T993" s="664"/>
      <c r="U993" s="664"/>
      <c r="V993" s="664"/>
      <c r="W993" s="664"/>
      <c r="X993" s="664"/>
      <c r="Y993" s="664"/>
      <c r="Z993" s="664"/>
    </row>
    <row r="994">
      <c r="A994" s="664"/>
      <c r="B994" s="664"/>
      <c r="C994" s="664"/>
      <c r="D994" s="664"/>
      <c r="E994" s="664"/>
      <c r="F994" s="664"/>
      <c r="G994" s="664"/>
      <c r="H994" s="664"/>
      <c r="I994" s="664"/>
      <c r="J994" s="664"/>
      <c r="K994" s="664"/>
      <c r="L994" s="664"/>
      <c r="M994" s="664"/>
      <c r="N994" s="664"/>
      <c r="O994" s="664"/>
      <c r="P994" s="664"/>
      <c r="Q994" s="664"/>
      <c r="R994" s="664"/>
      <c r="S994" s="664"/>
      <c r="T994" s="664"/>
      <c r="U994" s="664"/>
      <c r="V994" s="664"/>
      <c r="W994" s="664"/>
      <c r="X994" s="664"/>
      <c r="Y994" s="664"/>
      <c r="Z994" s="664"/>
    </row>
    <row r="995">
      <c r="A995" s="664"/>
      <c r="B995" s="664"/>
      <c r="C995" s="664"/>
      <c r="D995" s="664"/>
      <c r="E995" s="664"/>
      <c r="F995" s="664"/>
      <c r="G995" s="664"/>
      <c r="H995" s="664"/>
      <c r="I995" s="664"/>
      <c r="J995" s="664"/>
      <c r="K995" s="664"/>
      <c r="L995" s="664"/>
      <c r="M995" s="664"/>
      <c r="N995" s="664"/>
      <c r="O995" s="664"/>
      <c r="P995" s="664"/>
      <c r="Q995" s="664"/>
      <c r="R995" s="664"/>
      <c r="S995" s="664"/>
      <c r="T995" s="664"/>
      <c r="U995" s="664"/>
      <c r="V995" s="664"/>
      <c r="W995" s="664"/>
      <c r="X995" s="664"/>
      <c r="Y995" s="664"/>
      <c r="Z995" s="664"/>
    </row>
    <row r="996">
      <c r="A996" s="664"/>
      <c r="B996" s="664"/>
      <c r="C996" s="664"/>
      <c r="D996" s="664"/>
      <c r="E996" s="664"/>
      <c r="F996" s="664"/>
      <c r="G996" s="664"/>
      <c r="H996" s="664"/>
      <c r="I996" s="664"/>
      <c r="J996" s="664"/>
      <c r="K996" s="664"/>
      <c r="L996" s="664"/>
      <c r="M996" s="664"/>
      <c r="N996" s="664"/>
      <c r="O996" s="664"/>
      <c r="P996" s="664"/>
      <c r="Q996" s="664"/>
      <c r="R996" s="664"/>
      <c r="S996" s="664"/>
      <c r="T996" s="664"/>
      <c r="U996" s="664"/>
      <c r="V996" s="664"/>
      <c r="W996" s="664"/>
      <c r="X996" s="664"/>
      <c r="Y996" s="664"/>
      <c r="Z996" s="664"/>
    </row>
    <row r="997">
      <c r="A997" s="664"/>
      <c r="B997" s="664"/>
      <c r="C997" s="664"/>
      <c r="D997" s="664"/>
      <c r="E997" s="664"/>
      <c r="F997" s="664"/>
      <c r="G997" s="664"/>
      <c r="H997" s="664"/>
      <c r="I997" s="664"/>
      <c r="J997" s="664"/>
      <c r="K997" s="664"/>
      <c r="L997" s="664"/>
      <c r="M997" s="664"/>
      <c r="N997" s="664"/>
      <c r="O997" s="664"/>
      <c r="P997" s="664"/>
      <c r="Q997" s="664"/>
      <c r="R997" s="664"/>
      <c r="S997" s="664"/>
      <c r="T997" s="664"/>
      <c r="U997" s="664"/>
      <c r="V997" s="664"/>
      <c r="W997" s="664"/>
      <c r="X997" s="664"/>
      <c r="Y997" s="664"/>
      <c r="Z997" s="664"/>
    </row>
    <row r="998">
      <c r="A998" s="664"/>
      <c r="B998" s="664"/>
      <c r="C998" s="664"/>
      <c r="D998" s="664"/>
      <c r="E998" s="664"/>
      <c r="F998" s="664"/>
      <c r="G998" s="664"/>
      <c r="H998" s="664"/>
      <c r="I998" s="664"/>
      <c r="J998" s="664"/>
      <c r="K998" s="664"/>
      <c r="L998" s="664"/>
      <c r="M998" s="664"/>
      <c r="N998" s="664"/>
      <c r="O998" s="664"/>
      <c r="P998" s="664"/>
      <c r="Q998" s="664"/>
      <c r="R998" s="664"/>
      <c r="S998" s="664"/>
      <c r="T998" s="664"/>
      <c r="U998" s="664"/>
      <c r="V998" s="664"/>
      <c r="W998" s="664"/>
      <c r="X998" s="664"/>
      <c r="Y998" s="664"/>
      <c r="Z998" s="664"/>
    </row>
    <row r="999">
      <c r="A999" s="664"/>
      <c r="B999" s="664"/>
      <c r="C999" s="664"/>
      <c r="D999" s="664"/>
      <c r="E999" s="664"/>
      <c r="F999" s="664"/>
      <c r="G999" s="664"/>
      <c r="H999" s="664"/>
      <c r="I999" s="664"/>
      <c r="J999" s="664"/>
      <c r="K999" s="664"/>
      <c r="L999" s="664"/>
      <c r="M999" s="664"/>
      <c r="N999" s="664"/>
      <c r="O999" s="664"/>
      <c r="P999" s="664"/>
      <c r="Q999" s="664"/>
      <c r="R999" s="664"/>
      <c r="S999" s="664"/>
      <c r="T999" s="664"/>
      <c r="U999" s="664"/>
      <c r="V999" s="664"/>
      <c r="W999" s="664"/>
      <c r="X999" s="664"/>
      <c r="Y999" s="664"/>
      <c r="Z999" s="664"/>
    </row>
    <row r="1000">
      <c r="A1000" s="664"/>
      <c r="B1000" s="664"/>
      <c r="C1000" s="664"/>
      <c r="D1000" s="664"/>
      <c r="E1000" s="664"/>
      <c r="F1000" s="664"/>
      <c r="G1000" s="664"/>
      <c r="H1000" s="664"/>
      <c r="I1000" s="664"/>
      <c r="J1000" s="664"/>
      <c r="K1000" s="664"/>
      <c r="L1000" s="664"/>
      <c r="M1000" s="664"/>
      <c r="N1000" s="664"/>
      <c r="O1000" s="664"/>
      <c r="P1000" s="664"/>
      <c r="Q1000" s="664"/>
      <c r="R1000" s="664"/>
      <c r="S1000" s="664"/>
      <c r="T1000" s="664"/>
      <c r="U1000" s="664"/>
      <c r="V1000" s="664"/>
      <c r="W1000" s="664"/>
      <c r="X1000" s="664"/>
      <c r="Y1000" s="664"/>
      <c r="Z1000" s="664"/>
    </row>
    <row r="1001">
      <c r="A1001" s="664"/>
      <c r="B1001" s="664"/>
      <c r="C1001" s="664"/>
      <c r="D1001" s="664"/>
      <c r="E1001" s="664"/>
      <c r="F1001" s="664"/>
      <c r="G1001" s="664"/>
      <c r="H1001" s="664"/>
      <c r="I1001" s="664"/>
      <c r="J1001" s="664"/>
      <c r="K1001" s="664"/>
      <c r="L1001" s="664"/>
      <c r="M1001" s="664"/>
      <c r="N1001" s="664"/>
      <c r="O1001" s="664"/>
      <c r="P1001" s="664"/>
      <c r="Q1001" s="664"/>
      <c r="R1001" s="664"/>
      <c r="S1001" s="664"/>
      <c r="T1001" s="664"/>
      <c r="U1001" s="664"/>
      <c r="V1001" s="664"/>
      <c r="W1001" s="664"/>
      <c r="X1001" s="664"/>
      <c r="Y1001" s="664"/>
      <c r="Z1001" s="664"/>
    </row>
  </sheetData>
  <mergeCells count="1">
    <mergeCell ref="B39:D39"/>
  </mergeCells>
  <hyperlinks>
    <hyperlink r:id="rId1" ref="D17"/>
    <hyperlink r:id="rId2" ref="E17"/>
    <hyperlink r:id="rId3" ref="D18"/>
    <hyperlink r:id="rId4" ref="E18"/>
    <hyperlink r:id="rId5" ref="D19"/>
    <hyperlink r:id="rId6" ref="E19"/>
    <hyperlink r:id="rId7" ref="D20"/>
    <hyperlink r:id="rId8" ref="E20"/>
    <hyperlink r:id="rId9" ref="D21"/>
    <hyperlink r:id="rId10" ref="E21"/>
    <hyperlink r:id="rId11" ref="D22"/>
    <hyperlink r:id="rId12" ref="E22"/>
    <hyperlink r:id="rId13" ref="E24"/>
  </hyperlinks>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8" max="8" width="20.43"/>
    <col customWidth="1" min="9" max="9" width="17.71"/>
  </cols>
  <sheetData>
    <row r="1">
      <c r="A1" s="669" t="s">
        <v>7658</v>
      </c>
      <c r="B1" s="670" t="s">
        <v>7659</v>
      </c>
      <c r="C1" s="670" t="s">
        <v>7660</v>
      </c>
      <c r="D1" s="670" t="s">
        <v>7661</v>
      </c>
      <c r="E1" s="670" t="s">
        <v>7662</v>
      </c>
      <c r="F1" s="670" t="s">
        <v>7663</v>
      </c>
      <c r="G1" s="670" t="s">
        <v>1</v>
      </c>
      <c r="H1" s="670" t="s">
        <v>7664</v>
      </c>
      <c r="I1" s="670" t="s">
        <v>3572</v>
      </c>
      <c r="J1" s="670" t="s">
        <v>7665</v>
      </c>
      <c r="K1" s="670" t="s">
        <v>7666</v>
      </c>
      <c r="L1" s="670" t="s">
        <v>7667</v>
      </c>
      <c r="M1" s="670" t="s">
        <v>7668</v>
      </c>
      <c r="N1" s="653"/>
      <c r="O1" s="653"/>
      <c r="P1" s="653"/>
      <c r="Q1" s="653"/>
      <c r="R1" s="653"/>
      <c r="S1" s="653"/>
      <c r="T1" s="653"/>
      <c r="U1" s="653"/>
      <c r="V1" s="653"/>
    </row>
    <row r="2">
      <c r="A2" s="671">
        <v>43777.76666666667</v>
      </c>
      <c r="B2" s="672" t="s">
        <v>7669</v>
      </c>
      <c r="C2" s="672" t="s">
        <v>7670</v>
      </c>
      <c r="D2" s="673" t="s">
        <v>7671</v>
      </c>
      <c r="E2" s="673" t="s">
        <v>7672</v>
      </c>
      <c r="F2" s="674" t="s">
        <v>4503</v>
      </c>
      <c r="G2" s="673" t="s">
        <v>7673</v>
      </c>
      <c r="H2" s="674" t="s">
        <v>7674</v>
      </c>
      <c r="I2" s="674" t="s">
        <v>7675</v>
      </c>
      <c r="J2" s="674" t="s">
        <v>7676</v>
      </c>
      <c r="K2" s="674" t="s">
        <v>4271</v>
      </c>
      <c r="L2" s="674" t="s">
        <v>4271</v>
      </c>
      <c r="M2" s="674" t="s">
        <v>7677</v>
      </c>
      <c r="N2" s="675" t="s">
        <v>7678</v>
      </c>
      <c r="O2" s="653"/>
      <c r="P2" s="653"/>
      <c r="Q2" s="653"/>
      <c r="R2" s="653"/>
      <c r="S2" s="653"/>
      <c r="T2" s="653"/>
      <c r="U2" s="653"/>
      <c r="V2" s="653"/>
    </row>
    <row r="3">
      <c r="A3" s="676">
        <v>43777.76597222222</v>
      </c>
      <c r="B3" s="677" t="s">
        <v>7669</v>
      </c>
      <c r="C3" s="677" t="s">
        <v>7670</v>
      </c>
      <c r="D3" s="678" t="s">
        <v>7679</v>
      </c>
      <c r="E3" s="678" t="s">
        <v>7672</v>
      </c>
      <c r="F3" s="677" t="s">
        <v>4503</v>
      </c>
      <c r="G3" s="678" t="s">
        <v>7673</v>
      </c>
      <c r="H3" s="677" t="s">
        <v>7674</v>
      </c>
      <c r="I3" s="677" t="s">
        <v>7680</v>
      </c>
      <c r="J3" s="677" t="s">
        <v>7676</v>
      </c>
      <c r="K3" s="677" t="s">
        <v>4271</v>
      </c>
      <c r="L3" s="677" t="s">
        <v>4271</v>
      </c>
      <c r="M3" s="677" t="s">
        <v>7681</v>
      </c>
      <c r="N3" s="653"/>
      <c r="O3" s="653"/>
      <c r="P3" s="653"/>
      <c r="Q3" s="653"/>
      <c r="R3" s="653"/>
      <c r="S3" s="653"/>
      <c r="T3" s="653"/>
      <c r="U3" s="653"/>
      <c r="V3" s="653"/>
    </row>
    <row r="4">
      <c r="A4" s="676">
        <v>43777.697916666664</v>
      </c>
      <c r="B4" s="677" t="s">
        <v>7669</v>
      </c>
      <c r="C4" s="677" t="s">
        <v>7670</v>
      </c>
      <c r="D4" s="678" t="s">
        <v>7682</v>
      </c>
      <c r="E4" s="678" t="s">
        <v>7683</v>
      </c>
      <c r="F4" s="677" t="s">
        <v>4517</v>
      </c>
      <c r="G4" s="678" t="s">
        <v>7684</v>
      </c>
      <c r="H4" s="677" t="s">
        <v>7685</v>
      </c>
      <c r="I4" s="679">
        <v>5.44523165E8</v>
      </c>
      <c r="J4" s="677" t="s">
        <v>4271</v>
      </c>
      <c r="K4" s="677" t="s">
        <v>4271</v>
      </c>
      <c r="L4" s="677" t="s">
        <v>4271</v>
      </c>
      <c r="M4" s="677" t="s">
        <v>7686</v>
      </c>
      <c r="N4" s="675" t="s">
        <v>7687</v>
      </c>
      <c r="O4" s="653"/>
      <c r="P4" s="653"/>
      <c r="Q4" s="653"/>
      <c r="R4" s="653"/>
      <c r="S4" s="653"/>
      <c r="T4" s="653"/>
      <c r="U4" s="653"/>
      <c r="V4" s="653"/>
    </row>
    <row r="5">
      <c r="A5" s="676">
        <v>43777.68541666667</v>
      </c>
      <c r="B5" s="677" t="s">
        <v>7669</v>
      </c>
      <c r="C5" s="677" t="s">
        <v>7670</v>
      </c>
      <c r="D5" s="680" t="s">
        <v>7688</v>
      </c>
      <c r="E5" s="680" t="s">
        <v>7689</v>
      </c>
      <c r="F5" s="681" t="s">
        <v>4461</v>
      </c>
      <c r="G5" s="680" t="s">
        <v>7690</v>
      </c>
      <c r="H5" s="681" t="s">
        <v>7685</v>
      </c>
      <c r="I5" s="681" t="s">
        <v>7691</v>
      </c>
      <c r="J5" s="681" t="s">
        <v>4271</v>
      </c>
      <c r="K5" s="681" t="s">
        <v>4271</v>
      </c>
      <c r="L5" s="681" t="s">
        <v>4271</v>
      </c>
      <c r="M5" s="681" t="s">
        <v>7686</v>
      </c>
      <c r="N5" s="675" t="s">
        <v>7692</v>
      </c>
      <c r="O5" s="653"/>
      <c r="P5" s="653"/>
      <c r="Q5" s="653"/>
      <c r="R5" s="653"/>
      <c r="S5" s="653"/>
      <c r="T5" s="653"/>
      <c r="U5" s="653"/>
      <c r="V5" s="653"/>
    </row>
    <row r="6">
      <c r="A6" s="676">
        <v>43777.68194444444</v>
      </c>
      <c r="B6" s="677" t="s">
        <v>7669</v>
      </c>
      <c r="C6" s="677" t="s">
        <v>7670</v>
      </c>
      <c r="D6" s="678" t="s">
        <v>7693</v>
      </c>
      <c r="E6" s="678" t="s">
        <v>7694</v>
      </c>
      <c r="F6" s="677" t="s">
        <v>4517</v>
      </c>
      <c r="G6" s="678" t="s">
        <v>7695</v>
      </c>
      <c r="H6" s="677" t="s">
        <v>7696</v>
      </c>
      <c r="I6" s="677" t="s">
        <v>7697</v>
      </c>
      <c r="J6" s="677" t="s">
        <v>4271</v>
      </c>
      <c r="K6" s="677" t="s">
        <v>4271</v>
      </c>
      <c r="L6" s="677" t="s">
        <v>4271</v>
      </c>
      <c r="M6" s="677" t="s">
        <v>7686</v>
      </c>
      <c r="N6" s="675" t="s">
        <v>7692</v>
      </c>
      <c r="O6" s="653"/>
      <c r="P6" s="653"/>
      <c r="Q6" s="653"/>
      <c r="R6" s="653"/>
      <c r="S6" s="653"/>
      <c r="T6" s="653"/>
      <c r="U6" s="653"/>
      <c r="V6" s="653"/>
    </row>
    <row r="7">
      <c r="A7" s="676">
        <v>43777.649305555555</v>
      </c>
      <c r="B7" s="677" t="s">
        <v>7669</v>
      </c>
      <c r="C7" s="677" t="s">
        <v>7670</v>
      </c>
      <c r="D7" s="680" t="s">
        <v>7698</v>
      </c>
      <c r="E7" s="680" t="s">
        <v>7699</v>
      </c>
      <c r="F7" s="681" t="s">
        <v>7700</v>
      </c>
      <c r="G7" s="680" t="s">
        <v>7684</v>
      </c>
      <c r="H7" s="681" t="s">
        <v>7701</v>
      </c>
      <c r="I7" s="681" t="s">
        <v>7702</v>
      </c>
      <c r="J7" s="681" t="s">
        <v>7676</v>
      </c>
      <c r="K7" s="682" t="s">
        <v>7703</v>
      </c>
      <c r="L7" s="681" t="s">
        <v>7704</v>
      </c>
      <c r="M7" s="681" t="s">
        <v>7686</v>
      </c>
      <c r="N7" s="653"/>
      <c r="O7" s="653"/>
      <c r="P7" s="653"/>
      <c r="Q7" s="653"/>
      <c r="R7" s="653"/>
      <c r="S7" s="653"/>
      <c r="T7" s="653"/>
      <c r="U7" s="653"/>
      <c r="V7" s="653"/>
    </row>
    <row r="8">
      <c r="A8" s="671">
        <v>43779.69375</v>
      </c>
      <c r="B8" s="672" t="s">
        <v>7669</v>
      </c>
      <c r="C8" s="683" t="s">
        <v>7670</v>
      </c>
      <c r="D8" s="684" t="s">
        <v>7705</v>
      </c>
      <c r="E8" s="684" t="s">
        <v>7706</v>
      </c>
      <c r="F8" s="672" t="s">
        <v>4461</v>
      </c>
      <c r="G8" s="684" t="s">
        <v>7684</v>
      </c>
      <c r="H8" s="672" t="s">
        <v>7685</v>
      </c>
      <c r="I8" s="685">
        <f>+358447150297</f>
        <v>358447150297</v>
      </c>
      <c r="J8" s="672" t="s">
        <v>4271</v>
      </c>
      <c r="K8" s="672" t="s">
        <v>4271</v>
      </c>
      <c r="L8" s="672" t="s">
        <v>4271</v>
      </c>
      <c r="M8" s="672" t="s">
        <v>7707</v>
      </c>
      <c r="N8" s="653"/>
      <c r="O8" s="653"/>
      <c r="P8" s="653"/>
      <c r="Q8" s="653"/>
      <c r="R8" s="653"/>
      <c r="S8" s="653"/>
      <c r="T8" s="653"/>
      <c r="U8" s="653"/>
      <c r="V8" s="653"/>
    </row>
    <row r="9">
      <c r="A9" s="676">
        <v>43779.69305555556</v>
      </c>
      <c r="B9" s="677" t="s">
        <v>7669</v>
      </c>
      <c r="C9" s="686" t="s">
        <v>7670</v>
      </c>
      <c r="D9" s="678" t="s">
        <v>7708</v>
      </c>
      <c r="E9" s="678" t="s">
        <v>4974</v>
      </c>
      <c r="F9" s="677" t="s">
        <v>7709</v>
      </c>
      <c r="G9" s="678" t="s">
        <v>7684</v>
      </c>
      <c r="H9" s="677" t="s">
        <v>7710</v>
      </c>
      <c r="I9" s="679">
        <v>7.99104555E8</v>
      </c>
      <c r="J9" s="677" t="s">
        <v>4271</v>
      </c>
      <c r="K9" s="677" t="s">
        <v>4271</v>
      </c>
      <c r="L9" s="677" t="s">
        <v>4271</v>
      </c>
      <c r="M9" s="677" t="s">
        <v>7707</v>
      </c>
      <c r="N9" s="653"/>
      <c r="O9" s="653"/>
      <c r="P9" s="653"/>
      <c r="Q9" s="653"/>
      <c r="R9" s="653"/>
      <c r="S9" s="653"/>
      <c r="T9" s="653"/>
      <c r="U9" s="653"/>
      <c r="V9" s="653"/>
    </row>
    <row r="10">
      <c r="A10" s="676">
        <v>43779.65972222222</v>
      </c>
      <c r="B10" s="677" t="s">
        <v>7669</v>
      </c>
      <c r="C10" s="686" t="s">
        <v>7670</v>
      </c>
      <c r="D10" s="678" t="s">
        <v>2840</v>
      </c>
      <c r="E10" s="678" t="s">
        <v>7711</v>
      </c>
      <c r="F10" s="677" t="s">
        <v>7712</v>
      </c>
      <c r="G10" s="678" t="s">
        <v>7684</v>
      </c>
      <c r="H10" s="677" t="s">
        <v>7713</v>
      </c>
      <c r="I10" s="677" t="s">
        <v>7714</v>
      </c>
      <c r="J10" s="677" t="s">
        <v>4271</v>
      </c>
      <c r="K10" s="677" t="s">
        <v>4271</v>
      </c>
      <c r="L10" s="677" t="s">
        <v>4271</v>
      </c>
      <c r="M10" s="677" t="s">
        <v>7715</v>
      </c>
      <c r="N10" s="675" t="s">
        <v>7716</v>
      </c>
      <c r="O10" s="653"/>
      <c r="P10" s="653"/>
      <c r="Q10" s="653"/>
      <c r="R10" s="653"/>
      <c r="S10" s="653"/>
      <c r="T10" s="653"/>
      <c r="U10" s="653"/>
      <c r="V10" s="653"/>
    </row>
    <row r="11">
      <c r="A11" s="676">
        <v>43779.64444444444</v>
      </c>
      <c r="B11" s="677" t="s">
        <v>7669</v>
      </c>
      <c r="C11" s="686" t="s">
        <v>7670</v>
      </c>
      <c r="D11" s="678" t="s">
        <v>2589</v>
      </c>
      <c r="E11" s="678" t="s">
        <v>7717</v>
      </c>
      <c r="F11" s="677" t="s">
        <v>7718</v>
      </c>
      <c r="G11" s="678" t="s">
        <v>7695</v>
      </c>
      <c r="H11" s="677" t="s">
        <v>7719</v>
      </c>
      <c r="I11" s="679">
        <v>2.1622254004E10</v>
      </c>
      <c r="J11" s="677" t="s">
        <v>4271</v>
      </c>
      <c r="K11" s="677" t="s">
        <v>4271</v>
      </c>
      <c r="L11" s="677" t="s">
        <v>4271</v>
      </c>
      <c r="M11" s="677" t="s">
        <v>7715</v>
      </c>
      <c r="N11" s="653"/>
      <c r="O11" s="653"/>
      <c r="P11" s="653"/>
      <c r="Q11" s="653"/>
      <c r="R11" s="653"/>
      <c r="S11" s="653"/>
      <c r="T11" s="653"/>
      <c r="U11" s="653"/>
      <c r="V11" s="653"/>
    </row>
    <row r="12">
      <c r="A12" s="676">
        <v>43779.62291666667</v>
      </c>
      <c r="B12" s="677" t="s">
        <v>7669</v>
      </c>
      <c r="C12" s="686" t="s">
        <v>7670</v>
      </c>
      <c r="D12" s="678" t="s">
        <v>7720</v>
      </c>
      <c r="E12" s="678" t="s">
        <v>7721</v>
      </c>
      <c r="F12" s="677" t="s">
        <v>4852</v>
      </c>
      <c r="G12" s="678" t="s">
        <v>7684</v>
      </c>
      <c r="H12" s="677" t="s">
        <v>7722</v>
      </c>
      <c r="I12" s="679">
        <v>3.3783227741E10</v>
      </c>
      <c r="J12" s="677" t="s">
        <v>4271</v>
      </c>
      <c r="K12" s="677" t="s">
        <v>4271</v>
      </c>
      <c r="L12" s="677" t="s">
        <v>4271</v>
      </c>
      <c r="M12" s="677" t="s">
        <v>7723</v>
      </c>
      <c r="N12" s="653"/>
      <c r="O12" s="653"/>
      <c r="P12" s="653"/>
      <c r="Q12" s="653"/>
      <c r="R12" s="653"/>
      <c r="S12" s="653"/>
      <c r="T12" s="653"/>
      <c r="U12" s="653"/>
      <c r="V12" s="653"/>
    </row>
    <row r="13">
      <c r="A13" s="676">
        <v>43779.615277777775</v>
      </c>
      <c r="B13" s="677" t="s">
        <v>7669</v>
      </c>
      <c r="C13" s="686" t="s">
        <v>7670</v>
      </c>
      <c r="D13" s="678" t="s">
        <v>7724</v>
      </c>
      <c r="E13" s="678" t="s">
        <v>7725</v>
      </c>
      <c r="F13" s="677" t="s">
        <v>4503</v>
      </c>
      <c r="G13" s="678" t="s">
        <v>7726</v>
      </c>
      <c r="H13" s="677" t="s">
        <v>7727</v>
      </c>
      <c r="I13" s="679">
        <v>9779710.0</v>
      </c>
      <c r="J13" s="677" t="s">
        <v>4271</v>
      </c>
      <c r="K13" s="677" t="s">
        <v>4271</v>
      </c>
      <c r="L13" s="677" t="s">
        <v>4271</v>
      </c>
      <c r="M13" s="677" t="s">
        <v>7728</v>
      </c>
      <c r="N13" s="653"/>
      <c r="O13" s="653"/>
      <c r="P13" s="653"/>
      <c r="Q13" s="653"/>
      <c r="R13" s="653"/>
      <c r="S13" s="653"/>
      <c r="T13" s="653"/>
      <c r="U13" s="653"/>
      <c r="V13" s="653"/>
    </row>
    <row r="14">
      <c r="A14" s="676">
        <v>43779.61388888889</v>
      </c>
      <c r="B14" s="677" t="s">
        <v>7669</v>
      </c>
      <c r="C14" s="686" t="s">
        <v>7670</v>
      </c>
      <c r="D14" s="678" t="s">
        <v>7729</v>
      </c>
      <c r="E14" s="678" t="s">
        <v>7711</v>
      </c>
      <c r="F14" s="677" t="s">
        <v>7730</v>
      </c>
      <c r="G14" s="678" t="s">
        <v>7684</v>
      </c>
      <c r="H14" s="677" t="s">
        <v>7731</v>
      </c>
      <c r="I14" s="677" t="s">
        <v>7732</v>
      </c>
      <c r="J14" s="677" t="s">
        <v>4271</v>
      </c>
      <c r="K14" s="677" t="s">
        <v>4271</v>
      </c>
      <c r="L14" s="677" t="s">
        <v>4271</v>
      </c>
      <c r="M14" s="677" t="s">
        <v>7728</v>
      </c>
      <c r="N14" s="653"/>
      <c r="O14" s="653"/>
      <c r="P14" s="653"/>
      <c r="Q14" s="653"/>
      <c r="R14" s="653"/>
      <c r="S14" s="653"/>
      <c r="T14" s="653"/>
      <c r="U14" s="653"/>
      <c r="V14" s="653"/>
    </row>
    <row r="15">
      <c r="A15" s="676">
        <v>43779.57638888889</v>
      </c>
      <c r="B15" s="677" t="s">
        <v>7669</v>
      </c>
      <c r="C15" s="686" t="s">
        <v>7670</v>
      </c>
      <c r="D15" s="687" t="s">
        <v>7733</v>
      </c>
      <c r="E15" s="687" t="s">
        <v>7734</v>
      </c>
      <c r="F15" s="688" t="s">
        <v>4503</v>
      </c>
      <c r="G15" s="687" t="s">
        <v>7684</v>
      </c>
      <c r="H15" s="688" t="s">
        <v>7685</v>
      </c>
      <c r="I15" s="688" t="s">
        <v>7735</v>
      </c>
      <c r="J15" s="688" t="s">
        <v>4271</v>
      </c>
      <c r="K15" s="688" t="s">
        <v>4271</v>
      </c>
      <c r="L15" s="688" t="s">
        <v>4271</v>
      </c>
      <c r="M15" s="688" t="s">
        <v>7736</v>
      </c>
      <c r="N15" s="653"/>
      <c r="O15" s="653"/>
      <c r="P15" s="653"/>
      <c r="Q15" s="653"/>
      <c r="R15" s="653"/>
      <c r="S15" s="653"/>
      <c r="T15" s="653"/>
      <c r="U15" s="653"/>
      <c r="V15" s="653"/>
    </row>
    <row r="16">
      <c r="A16" s="676">
        <v>43779.56875</v>
      </c>
      <c r="B16" s="677" t="s">
        <v>7669</v>
      </c>
      <c r="C16" s="686" t="s">
        <v>7670</v>
      </c>
      <c r="D16" s="678" t="s">
        <v>7737</v>
      </c>
      <c r="E16" s="678" t="s">
        <v>7738</v>
      </c>
      <c r="F16" s="677" t="s">
        <v>4852</v>
      </c>
      <c r="G16" s="678" t="s">
        <v>7684</v>
      </c>
      <c r="H16" s="677" t="s">
        <v>7722</v>
      </c>
      <c r="I16" s="677" t="s">
        <v>7739</v>
      </c>
      <c r="J16" s="677" t="s">
        <v>4271</v>
      </c>
      <c r="K16" s="677" t="s">
        <v>4271</v>
      </c>
      <c r="L16" s="677" t="s">
        <v>7704</v>
      </c>
      <c r="M16" s="677" t="s">
        <v>7728</v>
      </c>
      <c r="N16" s="653"/>
      <c r="O16" s="653"/>
      <c r="P16" s="653"/>
      <c r="Q16" s="653"/>
      <c r="R16" s="653"/>
      <c r="S16" s="653"/>
      <c r="T16" s="653"/>
      <c r="U16" s="653"/>
      <c r="V16" s="653"/>
    </row>
    <row r="17">
      <c r="A17" s="676">
        <v>43779.489583333336</v>
      </c>
      <c r="B17" s="677" t="s">
        <v>7669</v>
      </c>
      <c r="C17" s="686" t="s">
        <v>7670</v>
      </c>
      <c r="D17" s="680" t="s">
        <v>7740</v>
      </c>
      <c r="E17" s="680" t="s">
        <v>7711</v>
      </c>
      <c r="F17" s="681" t="s">
        <v>4542</v>
      </c>
      <c r="G17" s="680" t="s">
        <v>7684</v>
      </c>
      <c r="H17" s="681" t="s">
        <v>7713</v>
      </c>
      <c r="I17" s="681" t="s">
        <v>7741</v>
      </c>
      <c r="J17" s="681" t="s">
        <v>7676</v>
      </c>
      <c r="K17" s="681" t="s">
        <v>4271</v>
      </c>
      <c r="L17" s="681" t="s">
        <v>4271</v>
      </c>
      <c r="M17" s="681" t="s">
        <v>7742</v>
      </c>
      <c r="N17" s="653"/>
      <c r="O17" s="653"/>
      <c r="P17" s="653"/>
      <c r="Q17" s="653"/>
      <c r="R17" s="653"/>
      <c r="S17" s="653"/>
      <c r="T17" s="653"/>
      <c r="U17" s="653"/>
      <c r="V17" s="653"/>
    </row>
    <row r="18">
      <c r="A18" s="676">
        <v>43779.46805555555</v>
      </c>
      <c r="B18" s="677" t="s">
        <v>7669</v>
      </c>
      <c r="C18" s="686" t="s">
        <v>7670</v>
      </c>
      <c r="D18" s="678" t="s">
        <v>7743</v>
      </c>
      <c r="E18" s="678" t="s">
        <v>7744</v>
      </c>
      <c r="F18" s="677" t="s">
        <v>4503</v>
      </c>
      <c r="G18" s="678" t="s">
        <v>7684</v>
      </c>
      <c r="H18" s="677" t="s">
        <v>7745</v>
      </c>
      <c r="I18" s="677" t="s">
        <v>7746</v>
      </c>
      <c r="J18" s="677" t="s">
        <v>4271</v>
      </c>
      <c r="K18" s="677" t="s">
        <v>4271</v>
      </c>
      <c r="L18" s="677" t="s">
        <v>4271</v>
      </c>
      <c r="M18" s="677" t="s">
        <v>7728</v>
      </c>
      <c r="N18" s="653"/>
      <c r="O18" s="653"/>
      <c r="P18" s="653"/>
      <c r="Q18" s="653"/>
      <c r="R18" s="653"/>
      <c r="S18" s="653"/>
      <c r="T18" s="653"/>
      <c r="U18" s="653"/>
      <c r="V18" s="653"/>
    </row>
    <row r="19">
      <c r="A19" s="689">
        <v>43779.489583333336</v>
      </c>
      <c r="B19" s="672" t="s">
        <v>7669</v>
      </c>
      <c r="C19" s="683" t="s">
        <v>7670</v>
      </c>
      <c r="D19" s="684" t="s">
        <v>7740</v>
      </c>
      <c r="E19" s="684" t="s">
        <v>7711</v>
      </c>
      <c r="F19" s="672" t="s">
        <v>4542</v>
      </c>
      <c r="G19" s="684" t="s">
        <v>7684</v>
      </c>
      <c r="H19" s="672" t="s">
        <v>7713</v>
      </c>
      <c r="I19" s="672" t="s">
        <v>7741</v>
      </c>
      <c r="J19" s="672" t="s">
        <v>7676</v>
      </c>
      <c r="K19" s="672" t="s">
        <v>4271</v>
      </c>
      <c r="L19" s="672" t="s">
        <v>4271</v>
      </c>
      <c r="M19" s="690" t="s">
        <v>7677</v>
      </c>
      <c r="N19" s="691"/>
      <c r="O19" s="691"/>
      <c r="P19" s="691"/>
      <c r="Q19" s="691"/>
      <c r="R19" s="691"/>
      <c r="S19" s="691"/>
      <c r="T19" s="691"/>
      <c r="U19" s="691"/>
      <c r="V19" s="691"/>
    </row>
    <row r="20">
      <c r="A20" s="692">
        <v>43781.50555555556</v>
      </c>
      <c r="B20" s="677" t="s">
        <v>7669</v>
      </c>
      <c r="C20" s="677" t="s">
        <v>7670</v>
      </c>
      <c r="D20" s="678" t="s">
        <v>7747</v>
      </c>
      <c r="E20" s="678" t="s">
        <v>4974</v>
      </c>
      <c r="F20" s="677" t="s">
        <v>7748</v>
      </c>
      <c r="G20" s="678" t="s">
        <v>7726</v>
      </c>
      <c r="H20" s="677" t="s">
        <v>7749</v>
      </c>
      <c r="I20" s="677">
        <v>9.35900711E8</v>
      </c>
      <c r="J20" s="677" t="s">
        <v>4271</v>
      </c>
      <c r="K20" s="677" t="s">
        <v>4271</v>
      </c>
      <c r="L20" s="677" t="s">
        <v>4271</v>
      </c>
      <c r="M20" s="693" t="s">
        <v>7681</v>
      </c>
      <c r="N20" s="236"/>
      <c r="O20" s="236"/>
      <c r="P20" s="236"/>
      <c r="Q20" s="236"/>
      <c r="R20" s="236"/>
      <c r="S20" s="236"/>
      <c r="T20" s="236"/>
      <c r="U20" s="236"/>
      <c r="V20" s="236"/>
    </row>
    <row r="21">
      <c r="A21" s="692">
        <v>43781.498611111114</v>
      </c>
      <c r="B21" s="677" t="s">
        <v>7669</v>
      </c>
      <c r="C21" s="677" t="s">
        <v>7670</v>
      </c>
      <c r="D21" s="678" t="s">
        <v>7750</v>
      </c>
      <c r="E21" s="678" t="s">
        <v>7750</v>
      </c>
      <c r="F21" s="677" t="s">
        <v>4542</v>
      </c>
      <c r="G21" s="678" t="s">
        <v>7684</v>
      </c>
      <c r="H21" s="677" t="s">
        <v>7685</v>
      </c>
      <c r="I21" s="677">
        <v>0.0</v>
      </c>
      <c r="J21" s="677" t="s">
        <v>4271</v>
      </c>
      <c r="K21" s="677" t="s">
        <v>4271</v>
      </c>
      <c r="L21" s="677" t="s">
        <v>4271</v>
      </c>
      <c r="M21" s="677" t="s">
        <v>7751</v>
      </c>
      <c r="N21" s="236"/>
      <c r="O21" s="236"/>
      <c r="P21" s="236"/>
      <c r="Q21" s="236"/>
      <c r="R21" s="236"/>
      <c r="S21" s="236"/>
      <c r="T21" s="236"/>
      <c r="U21" s="236"/>
      <c r="V21" s="236"/>
    </row>
    <row r="22">
      <c r="A22" s="692">
        <v>43781.45138888889</v>
      </c>
      <c r="B22" s="677" t="s">
        <v>7669</v>
      </c>
      <c r="C22" s="677" t="s">
        <v>7670</v>
      </c>
      <c r="D22" s="678" t="s">
        <v>7752</v>
      </c>
      <c r="E22" s="678" t="s">
        <v>7753</v>
      </c>
      <c r="F22" s="677" t="s">
        <v>4525</v>
      </c>
      <c r="G22" s="678" t="s">
        <v>7684</v>
      </c>
      <c r="H22" s="677" t="s">
        <v>7754</v>
      </c>
      <c r="I22" s="677" t="s">
        <v>7755</v>
      </c>
      <c r="J22" s="677" t="s">
        <v>4271</v>
      </c>
      <c r="K22" s="677" t="s">
        <v>4271</v>
      </c>
      <c r="L22" s="677" t="s">
        <v>4271</v>
      </c>
      <c r="M22" s="693" t="s">
        <v>7728</v>
      </c>
      <c r="N22" s="236"/>
      <c r="O22" s="236"/>
      <c r="P22" s="236"/>
      <c r="Q22" s="236"/>
      <c r="R22" s="236"/>
      <c r="S22" s="236"/>
      <c r="T22" s="236"/>
      <c r="U22" s="236"/>
      <c r="V22" s="236"/>
    </row>
    <row r="23">
      <c r="A23" s="692">
        <v>43781.44583333333</v>
      </c>
      <c r="B23" s="677" t="s">
        <v>7669</v>
      </c>
      <c r="C23" s="677" t="s">
        <v>7670</v>
      </c>
      <c r="D23" s="678" t="s">
        <v>7756</v>
      </c>
      <c r="E23" s="678" t="s">
        <v>7757</v>
      </c>
      <c r="F23" s="677" t="s">
        <v>5060</v>
      </c>
      <c r="G23" s="678" t="s">
        <v>7684</v>
      </c>
      <c r="H23" s="677" t="s">
        <v>7758</v>
      </c>
      <c r="I23" s="677" t="s">
        <v>7759</v>
      </c>
      <c r="J23" s="677" t="s">
        <v>7676</v>
      </c>
      <c r="K23" s="677" t="s">
        <v>4271</v>
      </c>
      <c r="L23" s="677" t="s">
        <v>7704</v>
      </c>
      <c r="M23" s="693" t="s">
        <v>7728</v>
      </c>
      <c r="N23" s="236"/>
      <c r="O23" s="236"/>
      <c r="P23" s="236"/>
      <c r="Q23" s="236"/>
      <c r="R23" s="236"/>
      <c r="S23" s="236"/>
      <c r="T23" s="236"/>
      <c r="U23" s="236"/>
      <c r="V23" s="236"/>
    </row>
    <row r="24">
      <c r="A24" s="692">
        <v>43782.90347222222</v>
      </c>
      <c r="B24" s="677" t="s">
        <v>7669</v>
      </c>
      <c r="C24" s="677" t="s">
        <v>7670</v>
      </c>
      <c r="D24" s="678" t="s">
        <v>2888</v>
      </c>
      <c r="E24" s="678" t="s">
        <v>7760</v>
      </c>
      <c r="F24" s="677" t="s">
        <v>4461</v>
      </c>
      <c r="G24" s="678" t="s">
        <v>7761</v>
      </c>
      <c r="H24" s="677" t="s">
        <v>7685</v>
      </c>
      <c r="I24" s="677">
        <v>5.09498811E8</v>
      </c>
      <c r="J24" s="677" t="s">
        <v>7762</v>
      </c>
      <c r="K24" s="677" t="s">
        <v>4271</v>
      </c>
      <c r="L24" s="677" t="s">
        <v>7763</v>
      </c>
      <c r="M24" s="693" t="s">
        <v>7728</v>
      </c>
      <c r="N24" s="236"/>
      <c r="O24" s="236"/>
      <c r="P24" s="236"/>
      <c r="Q24" s="236"/>
      <c r="R24" s="236"/>
      <c r="S24" s="236"/>
      <c r="T24" s="236"/>
      <c r="U24" s="236"/>
      <c r="V24" s="236"/>
    </row>
    <row r="25">
      <c r="A25" s="692">
        <v>43782.895833333336</v>
      </c>
      <c r="B25" s="677" t="s">
        <v>7669</v>
      </c>
      <c r="C25" s="677" t="s">
        <v>7670</v>
      </c>
      <c r="D25" s="678" t="s">
        <v>7764</v>
      </c>
      <c r="E25" s="678" t="s">
        <v>7765</v>
      </c>
      <c r="F25" s="677" t="s">
        <v>4503</v>
      </c>
      <c r="G25" s="678" t="s">
        <v>7766</v>
      </c>
      <c r="H25" s="677" t="s">
        <v>7674</v>
      </c>
      <c r="I25" s="677" t="s">
        <v>7767</v>
      </c>
      <c r="J25" s="677" t="s">
        <v>7676</v>
      </c>
      <c r="K25" s="677" t="s">
        <v>4271</v>
      </c>
      <c r="L25" s="677" t="s">
        <v>4271</v>
      </c>
      <c r="M25" s="693" t="s">
        <v>7742</v>
      </c>
      <c r="N25" s="236"/>
      <c r="O25" s="236"/>
      <c r="P25" s="236"/>
      <c r="Q25" s="236"/>
      <c r="R25" s="236"/>
      <c r="S25" s="236"/>
      <c r="T25" s="236"/>
      <c r="U25" s="236"/>
      <c r="V25" s="236"/>
    </row>
    <row r="26">
      <c r="A26" s="692">
        <v>43782.84305555555</v>
      </c>
      <c r="B26" s="677" t="s">
        <v>7669</v>
      </c>
      <c r="C26" s="677" t="s">
        <v>7670</v>
      </c>
      <c r="D26" s="678" t="s">
        <v>7768</v>
      </c>
      <c r="E26" s="678" t="s">
        <v>972</v>
      </c>
      <c r="F26" s="677" t="s">
        <v>4500</v>
      </c>
      <c r="G26" s="678" t="s">
        <v>7769</v>
      </c>
      <c r="H26" s="677" t="s">
        <v>7685</v>
      </c>
      <c r="I26" s="677">
        <v>9.6590914999E10</v>
      </c>
      <c r="J26" s="677" t="s">
        <v>4271</v>
      </c>
      <c r="K26" s="677" t="s">
        <v>4271</v>
      </c>
      <c r="L26" s="677" t="s">
        <v>4271</v>
      </c>
      <c r="M26" s="693" t="s">
        <v>7728</v>
      </c>
      <c r="N26" s="236"/>
      <c r="O26" s="236"/>
      <c r="P26" s="236"/>
      <c r="Q26" s="236"/>
      <c r="R26" s="236"/>
      <c r="S26" s="236"/>
      <c r="T26" s="236"/>
      <c r="U26" s="236"/>
      <c r="V26" s="236"/>
    </row>
    <row r="27">
      <c r="A27" s="692">
        <v>43782.82847222222</v>
      </c>
      <c r="B27" s="677" t="s">
        <v>7669</v>
      </c>
      <c r="C27" s="677" t="s">
        <v>7670</v>
      </c>
      <c r="D27" s="678" t="s">
        <v>368</v>
      </c>
      <c r="E27" s="678" t="s">
        <v>7770</v>
      </c>
      <c r="F27" s="677" t="s">
        <v>7700</v>
      </c>
      <c r="G27" s="678" t="s">
        <v>7673</v>
      </c>
      <c r="H27" s="677" t="s">
        <v>7701</v>
      </c>
      <c r="I27" s="677">
        <v>5.44443504E8</v>
      </c>
      <c r="J27" s="677" t="s">
        <v>7676</v>
      </c>
      <c r="K27" s="677" t="s">
        <v>4271</v>
      </c>
      <c r="L27" s="677" t="s">
        <v>4271</v>
      </c>
      <c r="M27" s="693" t="s">
        <v>7707</v>
      </c>
      <c r="N27" s="236"/>
      <c r="O27" s="236"/>
      <c r="P27" s="236"/>
      <c r="Q27" s="236"/>
      <c r="R27" s="236"/>
      <c r="S27" s="236"/>
      <c r="T27" s="236"/>
      <c r="U27" s="236"/>
      <c r="V27" s="236"/>
    </row>
    <row r="28">
      <c r="A28" s="692">
        <v>43782.79583333333</v>
      </c>
      <c r="B28" s="677" t="s">
        <v>7669</v>
      </c>
      <c r="C28" s="677" t="s">
        <v>7670</v>
      </c>
      <c r="D28" s="678" t="s">
        <v>1728</v>
      </c>
      <c r="E28" s="678" t="s">
        <v>7771</v>
      </c>
      <c r="F28" s="677" t="s">
        <v>7772</v>
      </c>
      <c r="G28" s="678" t="s">
        <v>7673</v>
      </c>
      <c r="H28" s="677" t="s">
        <v>7685</v>
      </c>
      <c r="I28" s="677">
        <v>5.55054395E8</v>
      </c>
      <c r="J28" s="677" t="s">
        <v>7676</v>
      </c>
      <c r="K28" s="677" t="s">
        <v>4271</v>
      </c>
      <c r="L28" s="677" t="s">
        <v>4271</v>
      </c>
      <c r="M28" s="693" t="s">
        <v>7707</v>
      </c>
      <c r="N28" s="236"/>
      <c r="O28" s="236"/>
      <c r="P28" s="236"/>
      <c r="Q28" s="236"/>
      <c r="R28" s="236"/>
      <c r="S28" s="236"/>
      <c r="T28" s="236"/>
      <c r="U28" s="236"/>
      <c r="V28" s="236"/>
    </row>
    <row r="29">
      <c r="A29" s="692">
        <v>43782.790972222225</v>
      </c>
      <c r="B29" s="677" t="s">
        <v>7669</v>
      </c>
      <c r="C29" s="677" t="s">
        <v>7670</v>
      </c>
      <c r="D29" s="678" t="s">
        <v>7773</v>
      </c>
      <c r="E29" s="678" t="s">
        <v>7771</v>
      </c>
      <c r="F29" s="677" t="s">
        <v>7774</v>
      </c>
      <c r="G29" s="678" t="s">
        <v>7673</v>
      </c>
      <c r="H29" s="677" t="s">
        <v>7775</v>
      </c>
      <c r="I29" s="677">
        <v>7.0218818E7</v>
      </c>
      <c r="J29" s="677" t="s">
        <v>7676</v>
      </c>
      <c r="K29" s="677" t="s">
        <v>4271</v>
      </c>
      <c r="L29" s="677" t="s">
        <v>4271</v>
      </c>
      <c r="M29" s="693" t="s">
        <v>7715</v>
      </c>
      <c r="N29" s="236"/>
      <c r="O29" s="236"/>
      <c r="P29" s="236"/>
      <c r="Q29" s="236"/>
      <c r="R29" s="236"/>
      <c r="S29" s="236"/>
      <c r="T29" s="236"/>
      <c r="U29" s="236"/>
      <c r="V29" s="236"/>
    </row>
    <row r="30">
      <c r="A30" s="692">
        <v>43782.785416666666</v>
      </c>
      <c r="B30" s="677" t="s">
        <v>7669</v>
      </c>
      <c r="C30" s="677" t="s">
        <v>7670</v>
      </c>
      <c r="D30" s="678" t="s">
        <v>7776</v>
      </c>
      <c r="E30" s="678" t="s">
        <v>7771</v>
      </c>
      <c r="F30" s="677" t="s">
        <v>7777</v>
      </c>
      <c r="G30" s="678" t="s">
        <v>7673</v>
      </c>
      <c r="H30" s="677" t="s">
        <v>7778</v>
      </c>
      <c r="I30" s="677">
        <v>7.85372414E8</v>
      </c>
      <c r="J30" s="677" t="s">
        <v>7676</v>
      </c>
      <c r="K30" s="677" t="s">
        <v>4271</v>
      </c>
      <c r="L30" s="677" t="s">
        <v>4271</v>
      </c>
      <c r="M30" s="693" t="s">
        <v>7715</v>
      </c>
      <c r="N30" s="236"/>
      <c r="O30" s="236"/>
      <c r="P30" s="236"/>
      <c r="Q30" s="236"/>
      <c r="R30" s="236"/>
      <c r="S30" s="236"/>
      <c r="T30" s="236"/>
      <c r="U30" s="236"/>
      <c r="V30" s="236"/>
    </row>
    <row r="31">
      <c r="A31" s="692">
        <v>43782.782638888886</v>
      </c>
      <c r="B31" s="677" t="s">
        <v>7669</v>
      </c>
      <c r="C31" s="677" t="s">
        <v>7670</v>
      </c>
      <c r="D31" s="678" t="s">
        <v>7779</v>
      </c>
      <c r="E31" s="678" t="s">
        <v>7771</v>
      </c>
      <c r="F31" s="677" t="s">
        <v>4525</v>
      </c>
      <c r="G31" s="678" t="s">
        <v>7673</v>
      </c>
      <c r="H31" s="677" t="s">
        <v>7754</v>
      </c>
      <c r="I31" s="677" t="s">
        <v>7780</v>
      </c>
      <c r="J31" s="677" t="s">
        <v>7676</v>
      </c>
      <c r="K31" s="677" t="s">
        <v>4271</v>
      </c>
      <c r="L31" s="677" t="s">
        <v>4271</v>
      </c>
      <c r="M31" s="693" t="s">
        <v>7686</v>
      </c>
      <c r="N31" s="236"/>
      <c r="O31" s="236"/>
      <c r="P31" s="236"/>
      <c r="Q31" s="236"/>
      <c r="R31" s="236"/>
      <c r="S31" s="236"/>
      <c r="T31" s="236"/>
      <c r="U31" s="236"/>
      <c r="V31" s="236"/>
    </row>
    <row r="32">
      <c r="A32" s="692">
        <v>43782.745833333334</v>
      </c>
      <c r="B32" s="677" t="s">
        <v>7669</v>
      </c>
      <c r="C32" s="677" t="s">
        <v>7670</v>
      </c>
      <c r="D32" s="678" t="s">
        <v>7781</v>
      </c>
      <c r="E32" s="678" t="s">
        <v>7771</v>
      </c>
      <c r="F32" s="677" t="s">
        <v>4521</v>
      </c>
      <c r="G32" s="678" t="s">
        <v>7673</v>
      </c>
      <c r="H32" s="677" t="s">
        <v>7782</v>
      </c>
      <c r="I32" s="677" t="s">
        <v>7783</v>
      </c>
      <c r="J32" s="677" t="s">
        <v>7676</v>
      </c>
      <c r="K32" s="677" t="s">
        <v>4271</v>
      </c>
      <c r="L32" s="677" t="s">
        <v>4271</v>
      </c>
      <c r="M32" s="693" t="s">
        <v>7686</v>
      </c>
      <c r="N32" s="236"/>
      <c r="O32" s="236"/>
      <c r="P32" s="236"/>
      <c r="Q32" s="236"/>
      <c r="R32" s="236"/>
      <c r="S32" s="236"/>
      <c r="T32" s="236"/>
      <c r="U32" s="236"/>
      <c r="V32" s="236"/>
    </row>
    <row r="33">
      <c r="A33" s="692">
        <v>43782.70138888889</v>
      </c>
      <c r="B33" s="677" t="s">
        <v>7669</v>
      </c>
      <c r="C33" s="677" t="s">
        <v>7670</v>
      </c>
      <c r="D33" s="678" t="s">
        <v>7784</v>
      </c>
      <c r="E33" s="678" t="s">
        <v>7711</v>
      </c>
      <c r="F33" s="677" t="s">
        <v>4503</v>
      </c>
      <c r="G33" s="678" t="s">
        <v>7684</v>
      </c>
      <c r="H33" s="677" t="s">
        <v>7674</v>
      </c>
      <c r="I33" s="677" t="s">
        <v>7785</v>
      </c>
      <c r="J33" s="677" t="s">
        <v>4271</v>
      </c>
      <c r="K33" s="677" t="s">
        <v>4271</v>
      </c>
      <c r="L33" s="677" t="s">
        <v>4271</v>
      </c>
      <c r="M33" s="693" t="s">
        <v>7686</v>
      </c>
      <c r="N33" s="236"/>
      <c r="O33" s="236"/>
      <c r="P33" s="236"/>
      <c r="Q33" s="236"/>
      <c r="R33" s="236"/>
      <c r="S33" s="236"/>
      <c r="T33" s="236"/>
      <c r="U33" s="236"/>
      <c r="V33" s="236"/>
    </row>
    <row r="34">
      <c r="A34" s="692">
        <v>43782.680555555555</v>
      </c>
      <c r="B34" s="677" t="s">
        <v>7669</v>
      </c>
      <c r="C34" s="677" t="s">
        <v>7670</v>
      </c>
      <c r="D34" s="678" t="s">
        <v>6316</v>
      </c>
      <c r="E34" s="678" t="s">
        <v>7711</v>
      </c>
      <c r="F34" s="677" t="s">
        <v>7730</v>
      </c>
      <c r="G34" s="678" t="s">
        <v>7684</v>
      </c>
      <c r="H34" s="677" t="s">
        <v>7731</v>
      </c>
      <c r="I34" s="677" t="s">
        <v>7786</v>
      </c>
      <c r="J34" s="677" t="s">
        <v>4271</v>
      </c>
      <c r="K34" s="677" t="s">
        <v>4271</v>
      </c>
      <c r="L34" s="677" t="s">
        <v>4271</v>
      </c>
      <c r="M34" s="693" t="s">
        <v>7686</v>
      </c>
      <c r="N34" s="236"/>
      <c r="O34" s="236"/>
      <c r="P34" s="236"/>
      <c r="Q34" s="236"/>
      <c r="R34" s="236"/>
      <c r="S34" s="236"/>
      <c r="T34" s="236"/>
      <c r="U34" s="236"/>
      <c r="V34" s="236"/>
    </row>
    <row r="35">
      <c r="A35" s="694">
        <v>43782.677777777775</v>
      </c>
      <c r="B35" s="681" t="s">
        <v>7669</v>
      </c>
      <c r="C35" s="681" t="s">
        <v>7670</v>
      </c>
      <c r="D35" s="680" t="s">
        <v>7787</v>
      </c>
      <c r="E35" s="680" t="s">
        <v>7711</v>
      </c>
      <c r="F35" s="681" t="s">
        <v>4699</v>
      </c>
      <c r="G35" s="680" t="s">
        <v>7684</v>
      </c>
      <c r="H35" s="681" t="s">
        <v>7788</v>
      </c>
      <c r="I35" s="681">
        <v>5.14431777E8</v>
      </c>
      <c r="J35" s="681" t="s">
        <v>4271</v>
      </c>
      <c r="K35" s="677" t="s">
        <v>4271</v>
      </c>
      <c r="L35" s="677" t="s">
        <v>4271</v>
      </c>
      <c r="M35" s="677" t="s">
        <v>7789</v>
      </c>
      <c r="N35" s="236"/>
      <c r="O35" s="236"/>
      <c r="P35" s="236"/>
      <c r="Q35" s="236"/>
      <c r="R35" s="236"/>
      <c r="S35" s="236"/>
      <c r="T35" s="236"/>
      <c r="U35" s="236"/>
      <c r="V35" s="236"/>
    </row>
    <row r="36">
      <c r="A36" s="692">
        <v>43782.67291666667</v>
      </c>
      <c r="B36" s="677" t="s">
        <v>7669</v>
      </c>
      <c r="C36" s="677" t="s">
        <v>7670</v>
      </c>
      <c r="D36" s="678" t="s">
        <v>7790</v>
      </c>
      <c r="E36" s="678" t="s">
        <v>7711</v>
      </c>
      <c r="F36" s="677" t="s">
        <v>6019</v>
      </c>
      <c r="G36" s="678" t="s">
        <v>7684</v>
      </c>
      <c r="H36" s="677" t="s">
        <v>7791</v>
      </c>
      <c r="I36" s="677">
        <v>5.08510002E8</v>
      </c>
      <c r="J36" s="677" t="s">
        <v>4271</v>
      </c>
      <c r="K36" s="677" t="s">
        <v>4271</v>
      </c>
      <c r="L36" s="677" t="s">
        <v>4271</v>
      </c>
      <c r="M36" s="677" t="s">
        <v>7789</v>
      </c>
      <c r="N36" s="236"/>
      <c r="O36" s="236"/>
      <c r="P36" s="236"/>
      <c r="Q36" s="236"/>
      <c r="R36" s="236"/>
      <c r="S36" s="236"/>
      <c r="T36" s="236"/>
      <c r="U36" s="236"/>
      <c r="V36" s="236"/>
    </row>
    <row r="37">
      <c r="A37" s="692">
        <v>43782.66805555556</v>
      </c>
      <c r="B37" s="677" t="s">
        <v>7669</v>
      </c>
      <c r="C37" s="677" t="s">
        <v>7670</v>
      </c>
      <c r="D37" s="678" t="s">
        <v>7792</v>
      </c>
      <c r="E37" s="678" t="s">
        <v>7711</v>
      </c>
      <c r="F37" s="677" t="s">
        <v>4660</v>
      </c>
      <c r="G37" s="678" t="s">
        <v>7684</v>
      </c>
      <c r="H37" s="677" t="s">
        <v>7793</v>
      </c>
      <c r="I37" s="677" t="s">
        <v>7794</v>
      </c>
      <c r="J37" s="677" t="s">
        <v>4271</v>
      </c>
      <c r="K37" s="677" t="s">
        <v>4271</v>
      </c>
      <c r="L37" s="677" t="s">
        <v>4271</v>
      </c>
      <c r="M37" s="677" t="s">
        <v>7795</v>
      </c>
      <c r="N37" s="236"/>
      <c r="O37" s="236"/>
      <c r="P37" s="236"/>
      <c r="Q37" s="236"/>
      <c r="R37" s="236"/>
      <c r="S37" s="236"/>
      <c r="T37" s="236"/>
      <c r="U37" s="236"/>
      <c r="V37" s="236"/>
    </row>
    <row r="38">
      <c r="A38" s="692">
        <v>43782.620833333334</v>
      </c>
      <c r="B38" s="677" t="s">
        <v>7669</v>
      </c>
      <c r="C38" s="677" t="s">
        <v>7670</v>
      </c>
      <c r="D38" s="678" t="s">
        <v>7796</v>
      </c>
      <c r="E38" s="678" t="s">
        <v>7711</v>
      </c>
      <c r="F38" s="677" t="s">
        <v>4542</v>
      </c>
      <c r="G38" s="678" t="s">
        <v>7684</v>
      </c>
      <c r="H38" s="677" t="s">
        <v>7797</v>
      </c>
      <c r="I38" s="677">
        <v>0.0</v>
      </c>
      <c r="J38" s="677" t="s">
        <v>4271</v>
      </c>
      <c r="K38" s="677" t="s">
        <v>4271</v>
      </c>
      <c r="L38" s="677" t="s">
        <v>4271</v>
      </c>
      <c r="M38" s="693" t="s">
        <v>7723</v>
      </c>
      <c r="N38" s="236"/>
      <c r="O38" s="236"/>
      <c r="P38" s="236"/>
      <c r="Q38" s="236"/>
      <c r="R38" s="236"/>
      <c r="S38" s="236"/>
      <c r="T38" s="236"/>
      <c r="U38" s="236"/>
      <c r="V38" s="236"/>
    </row>
    <row r="39">
      <c r="A39" s="692">
        <v>43782.615277777775</v>
      </c>
      <c r="B39" s="677" t="s">
        <v>7669</v>
      </c>
      <c r="C39" s="677" t="s">
        <v>7670</v>
      </c>
      <c r="D39" s="678" t="s">
        <v>7798</v>
      </c>
      <c r="E39" s="678" t="s">
        <v>7799</v>
      </c>
      <c r="F39" s="677" t="s">
        <v>4660</v>
      </c>
      <c r="G39" s="678" t="s">
        <v>7800</v>
      </c>
      <c r="H39" s="677" t="s">
        <v>7793</v>
      </c>
      <c r="I39" s="677">
        <v>1.719742374E9</v>
      </c>
      <c r="J39" s="677" t="s">
        <v>4271</v>
      </c>
      <c r="K39" s="677" t="s">
        <v>4271</v>
      </c>
      <c r="L39" s="677" t="s">
        <v>4271</v>
      </c>
      <c r="M39" s="693" t="s">
        <v>7736</v>
      </c>
      <c r="N39" s="236"/>
      <c r="O39" s="236"/>
      <c r="P39" s="236"/>
      <c r="Q39" s="236"/>
      <c r="R39" s="236"/>
      <c r="S39" s="236"/>
      <c r="T39" s="236"/>
      <c r="U39" s="236"/>
      <c r="V39" s="236"/>
    </row>
    <row r="40">
      <c r="A40" s="695">
        <v>43783.78958333333</v>
      </c>
      <c r="B40" s="696" t="s">
        <v>7669</v>
      </c>
      <c r="C40" s="696" t="s">
        <v>7670</v>
      </c>
      <c r="D40" s="697" t="s">
        <v>7801</v>
      </c>
      <c r="E40" s="697" t="s">
        <v>7672</v>
      </c>
      <c r="F40" s="696" t="s">
        <v>4556</v>
      </c>
      <c r="G40" s="697" t="s">
        <v>7673</v>
      </c>
      <c r="H40" s="696" t="s">
        <v>7802</v>
      </c>
      <c r="I40" s="696" t="s">
        <v>7803</v>
      </c>
      <c r="J40" s="696" t="s">
        <v>7676</v>
      </c>
      <c r="K40" s="698" t="s">
        <v>4271</v>
      </c>
      <c r="L40" s="698" t="s">
        <v>4271</v>
      </c>
      <c r="M40" s="699" t="s">
        <v>7681</v>
      </c>
      <c r="N40" s="700" t="s">
        <v>7804</v>
      </c>
      <c r="O40" s="701">
        <v>1.0</v>
      </c>
      <c r="P40" s="698" t="s">
        <v>7805</v>
      </c>
      <c r="Q40" s="702"/>
      <c r="R40" s="702"/>
      <c r="S40" s="702"/>
      <c r="T40" s="702"/>
      <c r="U40" s="702"/>
      <c r="V40" s="702"/>
      <c r="W40" s="702"/>
      <c r="X40" s="702"/>
      <c r="Y40" s="702"/>
    </row>
    <row r="41">
      <c r="A41" s="703">
        <v>43783.75555555556</v>
      </c>
      <c r="B41" s="704" t="s">
        <v>7669</v>
      </c>
      <c r="C41" s="704" t="s">
        <v>7670</v>
      </c>
      <c r="D41" s="705" t="s">
        <v>7806</v>
      </c>
      <c r="E41" s="705" t="s">
        <v>7807</v>
      </c>
      <c r="F41" s="704" t="s">
        <v>4461</v>
      </c>
      <c r="G41" s="705" t="s">
        <v>7673</v>
      </c>
      <c r="H41" s="704" t="s">
        <v>7685</v>
      </c>
      <c r="I41" s="706">
        <v>5.54332338E8</v>
      </c>
      <c r="J41" s="704" t="s">
        <v>7676</v>
      </c>
      <c r="K41" s="704" t="s">
        <v>4271</v>
      </c>
      <c r="L41" s="704" t="s">
        <v>4271</v>
      </c>
      <c r="M41" s="707" t="s">
        <v>7677</v>
      </c>
      <c r="N41" s="705" t="s">
        <v>7804</v>
      </c>
      <c r="O41" s="706">
        <v>1.0</v>
      </c>
      <c r="P41" s="704" t="s">
        <v>7808</v>
      </c>
      <c r="Q41" s="236"/>
      <c r="R41" s="236"/>
      <c r="S41" s="236"/>
      <c r="T41" s="236"/>
      <c r="U41" s="236"/>
      <c r="V41" s="236"/>
      <c r="W41" s="236"/>
      <c r="X41" s="236"/>
      <c r="Y41" s="236"/>
    </row>
    <row r="42">
      <c r="A42" s="676">
        <v>43784.825694444444</v>
      </c>
      <c r="B42" s="677" t="s">
        <v>7669</v>
      </c>
      <c r="C42" s="677" t="s">
        <v>7670</v>
      </c>
      <c r="D42" s="678" t="s">
        <v>7809</v>
      </c>
      <c r="E42" s="678" t="s">
        <v>7672</v>
      </c>
      <c r="F42" s="677" t="s">
        <v>7810</v>
      </c>
      <c r="G42" s="678" t="s">
        <v>7673</v>
      </c>
      <c r="H42" s="677" t="s">
        <v>7811</v>
      </c>
      <c r="I42" s="679">
        <v>7.88306008E8</v>
      </c>
      <c r="J42" s="677" t="s">
        <v>7676</v>
      </c>
      <c r="K42" s="677" t="s">
        <v>4271</v>
      </c>
      <c r="L42" s="677" t="s">
        <v>4271</v>
      </c>
      <c r="M42" s="693" t="s">
        <v>7812</v>
      </c>
      <c r="N42" s="678" t="s">
        <v>7804</v>
      </c>
      <c r="O42" s="679">
        <v>1.0</v>
      </c>
      <c r="P42" s="677" t="s">
        <v>7813</v>
      </c>
      <c r="Q42" s="236"/>
      <c r="R42" s="236"/>
      <c r="S42" s="236"/>
      <c r="T42" s="236"/>
      <c r="U42" s="236"/>
      <c r="V42" s="236"/>
      <c r="W42" s="236"/>
      <c r="X42" s="236"/>
      <c r="Y42" s="236"/>
    </row>
    <row r="43">
      <c r="A43" s="676">
        <v>43784.78194444445</v>
      </c>
      <c r="B43" s="677" t="s">
        <v>7669</v>
      </c>
      <c r="C43" s="677" t="s">
        <v>7670</v>
      </c>
      <c r="D43" s="678" t="s">
        <v>7814</v>
      </c>
      <c r="E43" s="678" t="s">
        <v>7672</v>
      </c>
      <c r="F43" s="677" t="s">
        <v>4503</v>
      </c>
      <c r="G43" s="678" t="s">
        <v>7673</v>
      </c>
      <c r="H43" s="677" t="s">
        <v>7685</v>
      </c>
      <c r="I43" s="679">
        <v>5.55130452E8</v>
      </c>
      <c r="J43" s="677" t="s">
        <v>7676</v>
      </c>
      <c r="K43" s="677"/>
      <c r="L43" s="677" t="s">
        <v>4271</v>
      </c>
      <c r="M43" s="693" t="s">
        <v>7812</v>
      </c>
      <c r="N43" s="678" t="s">
        <v>7804</v>
      </c>
      <c r="O43" s="679">
        <v>1.0</v>
      </c>
      <c r="P43" s="677" t="s">
        <v>7815</v>
      </c>
      <c r="Q43" s="236"/>
      <c r="R43" s="236"/>
      <c r="S43" s="236"/>
      <c r="T43" s="236"/>
      <c r="U43" s="236"/>
      <c r="V43" s="236"/>
      <c r="W43" s="236"/>
      <c r="X43" s="236"/>
      <c r="Y43" s="236"/>
    </row>
    <row r="44">
      <c r="A44" s="676">
        <v>43784.78125</v>
      </c>
      <c r="B44" s="677" t="s">
        <v>7669</v>
      </c>
      <c r="C44" s="677" t="s">
        <v>7670</v>
      </c>
      <c r="D44" s="678" t="s">
        <v>7816</v>
      </c>
      <c r="E44" s="678" t="s">
        <v>7672</v>
      </c>
      <c r="F44" s="677" t="s">
        <v>4542</v>
      </c>
      <c r="G44" s="678" t="s">
        <v>7673</v>
      </c>
      <c r="H44" s="677" t="s">
        <v>7685</v>
      </c>
      <c r="I44" s="679">
        <v>7054045.0</v>
      </c>
      <c r="J44" s="677" t="s">
        <v>7676</v>
      </c>
      <c r="K44" s="677" t="s">
        <v>4271</v>
      </c>
      <c r="L44" s="677" t="s">
        <v>4271</v>
      </c>
      <c r="M44" s="693" t="s">
        <v>7817</v>
      </c>
      <c r="N44" s="678" t="s">
        <v>7804</v>
      </c>
      <c r="O44" s="679">
        <v>1.0</v>
      </c>
      <c r="P44" s="677" t="s">
        <v>7818</v>
      </c>
      <c r="Q44" s="236"/>
      <c r="R44" s="236"/>
      <c r="S44" s="236"/>
      <c r="T44" s="236"/>
      <c r="U44" s="236"/>
      <c r="V44" s="236"/>
      <c r="W44" s="236"/>
      <c r="X44" s="236"/>
      <c r="Y44" s="236"/>
    </row>
    <row r="45">
      <c r="A45" s="676">
        <v>43784.77916666667</v>
      </c>
      <c r="B45" s="677" t="s">
        <v>7669</v>
      </c>
      <c r="C45" s="677" t="s">
        <v>7670</v>
      </c>
      <c r="D45" s="678" t="s">
        <v>7819</v>
      </c>
      <c r="E45" s="678" t="s">
        <v>7672</v>
      </c>
      <c r="F45" s="677" t="s">
        <v>4500</v>
      </c>
      <c r="G45" s="678" t="s">
        <v>7673</v>
      </c>
      <c r="H45" s="677" t="s">
        <v>7685</v>
      </c>
      <c r="I45" s="679">
        <v>5.56648051E8</v>
      </c>
      <c r="J45" s="677" t="s">
        <v>7676</v>
      </c>
      <c r="K45" s="677" t="s">
        <v>4271</v>
      </c>
      <c r="L45" s="677" t="s">
        <v>4271</v>
      </c>
      <c r="M45" s="693" t="s">
        <v>7812</v>
      </c>
      <c r="N45" s="678" t="s">
        <v>7804</v>
      </c>
      <c r="O45" s="679">
        <v>1.0</v>
      </c>
      <c r="P45" s="677" t="s">
        <v>7820</v>
      </c>
      <c r="Q45" s="236"/>
      <c r="R45" s="236"/>
      <c r="S45" s="236"/>
      <c r="T45" s="236"/>
      <c r="U45" s="236"/>
      <c r="V45" s="236"/>
      <c r="W45" s="236"/>
      <c r="X45" s="236"/>
      <c r="Y45" s="236"/>
    </row>
    <row r="46">
      <c r="A46" s="676">
        <v>43784.74513888889</v>
      </c>
      <c r="B46" s="677" t="s">
        <v>7669</v>
      </c>
      <c r="C46" s="677" t="s">
        <v>7670</v>
      </c>
      <c r="D46" s="678" t="s">
        <v>7809</v>
      </c>
      <c r="E46" s="678" t="s">
        <v>7672</v>
      </c>
      <c r="F46" s="677" t="s">
        <v>7810</v>
      </c>
      <c r="G46" s="678" t="s">
        <v>7673</v>
      </c>
      <c r="H46" s="677" t="s">
        <v>7811</v>
      </c>
      <c r="I46" s="679">
        <v>7.88306008E8</v>
      </c>
      <c r="J46" s="677" t="s">
        <v>7676</v>
      </c>
      <c r="K46" s="677" t="s">
        <v>4271</v>
      </c>
      <c r="L46" s="677" t="s">
        <v>4271</v>
      </c>
      <c r="M46" s="693" t="s">
        <v>7812</v>
      </c>
      <c r="N46" s="678" t="s">
        <v>7804</v>
      </c>
      <c r="O46" s="679">
        <v>1.0</v>
      </c>
      <c r="P46" s="677" t="s">
        <v>7821</v>
      </c>
      <c r="Q46" s="236"/>
      <c r="R46" s="236"/>
      <c r="S46" s="236"/>
      <c r="T46" s="236"/>
      <c r="U46" s="236"/>
      <c r="V46" s="236"/>
      <c r="W46" s="236"/>
      <c r="X46" s="236"/>
      <c r="Y46" s="236"/>
    </row>
    <row r="47">
      <c r="A47" s="676">
        <v>43784.736805555556</v>
      </c>
      <c r="B47" s="677" t="s">
        <v>7669</v>
      </c>
      <c r="C47" s="677" t="s">
        <v>7670</v>
      </c>
      <c r="D47" s="678" t="s">
        <v>7822</v>
      </c>
      <c r="E47" s="678" t="s">
        <v>7823</v>
      </c>
      <c r="F47" s="677" t="s">
        <v>4571</v>
      </c>
      <c r="G47" s="678" t="s">
        <v>7673</v>
      </c>
      <c r="H47" s="677" t="s">
        <v>7685</v>
      </c>
      <c r="I47" s="679">
        <v>5.0230312E8</v>
      </c>
      <c r="J47" s="677" t="s">
        <v>7676</v>
      </c>
      <c r="K47" s="677" t="s">
        <v>4271</v>
      </c>
      <c r="L47" s="677" t="s">
        <v>4271</v>
      </c>
      <c r="M47" s="693" t="s">
        <v>7812</v>
      </c>
      <c r="N47" s="678" t="s">
        <v>7804</v>
      </c>
      <c r="O47" s="679">
        <v>1.0</v>
      </c>
      <c r="P47" s="708" t="s">
        <v>7824</v>
      </c>
      <c r="Q47" s="236"/>
      <c r="R47" s="236"/>
      <c r="S47" s="236"/>
      <c r="T47" s="236"/>
      <c r="U47" s="236"/>
      <c r="V47" s="236"/>
      <c r="W47" s="236"/>
      <c r="X47" s="236"/>
      <c r="Y47" s="236"/>
    </row>
    <row r="48">
      <c r="A48" s="676">
        <v>43784.72083333333</v>
      </c>
      <c r="B48" s="677" t="s">
        <v>7669</v>
      </c>
      <c r="C48" s="677" t="s">
        <v>7670</v>
      </c>
      <c r="D48" s="678" t="s">
        <v>7825</v>
      </c>
      <c r="E48" s="678" t="s">
        <v>7826</v>
      </c>
      <c r="F48" s="677" t="s">
        <v>7772</v>
      </c>
      <c r="G48" s="678" t="s">
        <v>7673</v>
      </c>
      <c r="H48" s="677" t="s">
        <v>7827</v>
      </c>
      <c r="I48" s="679">
        <v>9.98669176E8</v>
      </c>
      <c r="J48" s="677" t="s">
        <v>7676</v>
      </c>
      <c r="K48" s="677" t="s">
        <v>4271</v>
      </c>
      <c r="L48" s="677" t="s">
        <v>4271</v>
      </c>
      <c r="M48" s="693" t="s">
        <v>7817</v>
      </c>
      <c r="N48" s="678" t="s">
        <v>7804</v>
      </c>
      <c r="O48" s="679">
        <v>1.0</v>
      </c>
      <c r="P48" s="677" t="s">
        <v>7828</v>
      </c>
      <c r="Q48" s="236"/>
      <c r="R48" s="236"/>
      <c r="S48" s="236"/>
      <c r="T48" s="236"/>
      <c r="U48" s="236"/>
      <c r="V48" s="236"/>
      <c r="W48" s="236"/>
      <c r="X48" s="236"/>
      <c r="Y48" s="236"/>
    </row>
    <row r="49">
      <c r="A49" s="676">
        <v>43784.720138888886</v>
      </c>
      <c r="B49" s="677" t="s">
        <v>7669</v>
      </c>
      <c r="C49" s="677" t="s">
        <v>7670</v>
      </c>
      <c r="D49" s="678" t="s">
        <v>7829</v>
      </c>
      <c r="E49" s="678" t="s">
        <v>7830</v>
      </c>
      <c r="F49" s="677" t="s">
        <v>7772</v>
      </c>
      <c r="G49" s="678" t="s">
        <v>7673</v>
      </c>
      <c r="H49" s="677" t="s">
        <v>7827</v>
      </c>
      <c r="I49" s="677" t="s">
        <v>7831</v>
      </c>
      <c r="J49" s="677" t="s">
        <v>7676</v>
      </c>
      <c r="K49" s="677" t="s">
        <v>4271</v>
      </c>
      <c r="L49" s="677" t="s">
        <v>4271</v>
      </c>
      <c r="M49" s="693" t="s">
        <v>7817</v>
      </c>
      <c r="N49" s="678" t="s">
        <v>7804</v>
      </c>
      <c r="O49" s="679">
        <v>1.0</v>
      </c>
      <c r="P49" s="677" t="s">
        <v>7832</v>
      </c>
      <c r="Q49" s="236"/>
      <c r="R49" s="236"/>
      <c r="S49" s="236"/>
      <c r="T49" s="236"/>
      <c r="U49" s="236"/>
      <c r="V49" s="236"/>
      <c r="W49" s="236"/>
      <c r="X49" s="236"/>
      <c r="Y49" s="236"/>
    </row>
    <row r="50">
      <c r="A50" s="676">
        <v>43784.717361111114</v>
      </c>
      <c r="B50" s="677" t="s">
        <v>7669</v>
      </c>
      <c r="C50" s="677" t="s">
        <v>7670</v>
      </c>
      <c r="D50" s="678" t="s">
        <v>7829</v>
      </c>
      <c r="E50" s="678" t="s">
        <v>7830</v>
      </c>
      <c r="F50" s="677" t="s">
        <v>7772</v>
      </c>
      <c r="G50" s="678" t="s">
        <v>7673</v>
      </c>
      <c r="H50" s="677" t="s">
        <v>7827</v>
      </c>
      <c r="I50" s="677" t="s">
        <v>7831</v>
      </c>
      <c r="J50" s="677" t="s">
        <v>7676</v>
      </c>
      <c r="K50" s="677" t="s">
        <v>4271</v>
      </c>
      <c r="L50" s="677" t="s">
        <v>4271</v>
      </c>
      <c r="M50" s="693" t="s">
        <v>7817</v>
      </c>
      <c r="N50" s="678" t="s">
        <v>7804</v>
      </c>
      <c r="O50" s="679">
        <v>1.0</v>
      </c>
      <c r="P50" s="677" t="s">
        <v>7833</v>
      </c>
      <c r="Q50" s="236"/>
      <c r="R50" s="236"/>
      <c r="S50" s="236"/>
      <c r="T50" s="236"/>
      <c r="U50" s="236"/>
      <c r="V50" s="236"/>
      <c r="W50" s="236"/>
      <c r="X50" s="236"/>
      <c r="Y50" s="236"/>
    </row>
    <row r="51">
      <c r="A51" s="676">
        <v>43784.70347222222</v>
      </c>
      <c r="B51" s="677" t="s">
        <v>7669</v>
      </c>
      <c r="C51" s="677" t="s">
        <v>7670</v>
      </c>
      <c r="D51" s="678" t="s">
        <v>2864</v>
      </c>
      <c r="E51" s="678" t="s">
        <v>7834</v>
      </c>
      <c r="F51" s="677" t="s">
        <v>7700</v>
      </c>
      <c r="G51" s="678" t="s">
        <v>7684</v>
      </c>
      <c r="H51" s="677" t="s">
        <v>7701</v>
      </c>
      <c r="I51" s="677" t="s">
        <v>7835</v>
      </c>
      <c r="J51" s="677" t="s">
        <v>4271</v>
      </c>
      <c r="K51" s="677" t="s">
        <v>4271</v>
      </c>
      <c r="L51" s="677" t="s">
        <v>7704</v>
      </c>
      <c r="M51" s="693" t="s">
        <v>7836</v>
      </c>
      <c r="N51" s="678" t="s">
        <v>7804</v>
      </c>
      <c r="O51" s="679">
        <v>1.0</v>
      </c>
      <c r="P51" s="677" t="s">
        <v>7837</v>
      </c>
      <c r="Q51" s="236"/>
      <c r="R51" s="236"/>
      <c r="S51" s="236"/>
      <c r="T51" s="236"/>
      <c r="U51" s="236"/>
      <c r="V51" s="236"/>
      <c r="W51" s="236"/>
      <c r="X51" s="236"/>
      <c r="Y51" s="236"/>
    </row>
    <row r="52">
      <c r="A52" s="709">
        <v>43784.69375</v>
      </c>
      <c r="B52" s="681" t="s">
        <v>7669</v>
      </c>
      <c r="C52" s="681" t="s">
        <v>7670</v>
      </c>
      <c r="D52" s="680" t="s">
        <v>7838</v>
      </c>
      <c r="E52" s="680" t="s">
        <v>4974</v>
      </c>
      <c r="F52" s="681" t="s">
        <v>4461</v>
      </c>
      <c r="G52" s="680" t="s">
        <v>7684</v>
      </c>
      <c r="H52" s="681" t="s">
        <v>7685</v>
      </c>
      <c r="I52" s="710">
        <f>+258864452558</f>
        <v>258864452558</v>
      </c>
      <c r="J52" s="681" t="s">
        <v>4271</v>
      </c>
      <c r="K52" s="681" t="s">
        <v>4271</v>
      </c>
      <c r="L52" s="681" t="s">
        <v>4271</v>
      </c>
      <c r="M52" s="693" t="s">
        <v>7839</v>
      </c>
      <c r="N52" s="678" t="s">
        <v>7804</v>
      </c>
      <c r="O52" s="679">
        <v>1.0</v>
      </c>
      <c r="P52" s="677" t="s">
        <v>7840</v>
      </c>
      <c r="Q52" s="236"/>
      <c r="R52" s="236"/>
      <c r="S52" s="236"/>
      <c r="T52" s="236"/>
      <c r="U52" s="236"/>
      <c r="V52" s="236"/>
      <c r="W52" s="236"/>
      <c r="X52" s="236"/>
      <c r="Y52" s="236"/>
    </row>
    <row r="53">
      <c r="A53" s="676">
        <v>43784.65833333333</v>
      </c>
      <c r="B53" s="677" t="s">
        <v>7669</v>
      </c>
      <c r="C53" s="677" t="s">
        <v>7670</v>
      </c>
      <c r="D53" s="678" t="s">
        <v>7841</v>
      </c>
      <c r="E53" s="678" t="s">
        <v>4974</v>
      </c>
      <c r="F53" s="677" t="s">
        <v>7709</v>
      </c>
      <c r="G53" s="678" t="s">
        <v>7684</v>
      </c>
      <c r="H53" s="677" t="s">
        <v>7710</v>
      </c>
      <c r="I53" s="679">
        <v>7.480899E8</v>
      </c>
      <c r="J53" s="677" t="s">
        <v>7676</v>
      </c>
      <c r="K53" s="677" t="s">
        <v>4271</v>
      </c>
      <c r="L53" s="677" t="s">
        <v>4271</v>
      </c>
      <c r="M53" s="693" t="s">
        <v>7839</v>
      </c>
      <c r="N53" s="678" t="s">
        <v>7804</v>
      </c>
      <c r="O53" s="679">
        <v>1.0</v>
      </c>
      <c r="P53" s="677" t="s">
        <v>7842</v>
      </c>
      <c r="Q53" s="236"/>
      <c r="R53" s="236"/>
      <c r="S53" s="236"/>
      <c r="T53" s="236"/>
      <c r="U53" s="236"/>
      <c r="V53" s="236"/>
      <c r="W53" s="236"/>
      <c r="X53" s="236"/>
      <c r="Y53" s="236"/>
    </row>
    <row r="54">
      <c r="A54" s="676">
        <v>43784.65694444445</v>
      </c>
      <c r="B54" s="677" t="s">
        <v>7669</v>
      </c>
      <c r="C54" s="677" t="s">
        <v>7670</v>
      </c>
      <c r="D54" s="678" t="s">
        <v>7843</v>
      </c>
      <c r="E54" s="678" t="s">
        <v>4974</v>
      </c>
      <c r="F54" s="677" t="s">
        <v>4461</v>
      </c>
      <c r="G54" s="678" t="s">
        <v>7684</v>
      </c>
      <c r="H54" s="677" t="s">
        <v>7685</v>
      </c>
      <c r="I54" s="677" t="s">
        <v>7844</v>
      </c>
      <c r="J54" s="677" t="s">
        <v>4271</v>
      </c>
      <c r="K54" s="677" t="s">
        <v>4271</v>
      </c>
      <c r="L54" s="677" t="s">
        <v>4271</v>
      </c>
      <c r="M54" s="693" t="s">
        <v>7839</v>
      </c>
      <c r="N54" s="678" t="s">
        <v>7804</v>
      </c>
      <c r="O54" s="679">
        <v>1.0</v>
      </c>
      <c r="P54" s="677" t="s">
        <v>7845</v>
      </c>
      <c r="Q54" s="236"/>
      <c r="R54" s="236"/>
      <c r="S54" s="236"/>
      <c r="T54" s="236"/>
      <c r="U54" s="236"/>
      <c r="V54" s="236"/>
      <c r="W54" s="236"/>
      <c r="X54" s="236"/>
      <c r="Y54" s="236"/>
    </row>
  </sheetData>
  <autoFilter ref="$M$1:$M$1001"/>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19.29"/>
    <col customWidth="1" min="7" max="7" width="20.71"/>
    <col customWidth="1" min="8" max="8" width="17.86"/>
    <col customWidth="1" min="9" max="9" width="17.0"/>
    <col customWidth="1" min="10" max="10" width="13.29"/>
  </cols>
  <sheetData>
    <row r="1">
      <c r="A1" s="711" t="s">
        <v>7846</v>
      </c>
      <c r="B1" s="711">
        <v>902.0</v>
      </c>
      <c r="C1" s="711">
        <v>9.0</v>
      </c>
      <c r="D1" s="711" t="s">
        <v>4457</v>
      </c>
      <c r="E1" s="711" t="s">
        <v>7847</v>
      </c>
      <c r="F1" s="712">
        <v>0.0</v>
      </c>
      <c r="G1" s="712">
        <v>0.0</v>
      </c>
      <c r="H1" s="711" t="s">
        <v>7848</v>
      </c>
      <c r="I1" s="711" t="s">
        <v>7849</v>
      </c>
      <c r="J1" s="711" t="s">
        <v>4710</v>
      </c>
      <c r="K1" s="711" t="s">
        <v>6133</v>
      </c>
      <c r="L1" s="39" t="s">
        <v>168</v>
      </c>
    </row>
    <row r="2">
      <c r="A2" s="711" t="s">
        <v>7850</v>
      </c>
      <c r="B2" s="711">
        <v>2602.0</v>
      </c>
      <c r="C2" s="711">
        <v>26.0</v>
      </c>
      <c r="D2" s="711" t="s">
        <v>4479</v>
      </c>
      <c r="E2" s="711" t="s">
        <v>7851</v>
      </c>
      <c r="F2" s="711">
        <v>0.0</v>
      </c>
      <c r="G2" s="712">
        <v>0.0</v>
      </c>
      <c r="H2" s="711">
        <v>0.0</v>
      </c>
      <c r="I2" s="712">
        <v>0.0</v>
      </c>
      <c r="J2" s="711" t="s">
        <v>7852</v>
      </c>
      <c r="K2" s="711" t="s">
        <v>6133</v>
      </c>
    </row>
    <row r="3">
      <c r="A3" s="711" t="s">
        <v>7850</v>
      </c>
      <c r="B3" s="711">
        <v>2708.0</v>
      </c>
      <c r="C3" s="711">
        <v>27.0</v>
      </c>
      <c r="D3" s="711" t="s">
        <v>4479</v>
      </c>
      <c r="E3" s="711" t="s">
        <v>7853</v>
      </c>
      <c r="F3" s="712">
        <v>0.0</v>
      </c>
      <c r="G3" s="711" t="s">
        <v>7854</v>
      </c>
      <c r="H3" s="711" t="s">
        <v>7855</v>
      </c>
      <c r="I3" s="711" t="s">
        <v>7856</v>
      </c>
      <c r="J3" s="711" t="s">
        <v>4710</v>
      </c>
      <c r="K3" s="711" t="s">
        <v>6133</v>
      </c>
    </row>
    <row r="4">
      <c r="A4" s="711" t="s">
        <v>7850</v>
      </c>
      <c r="B4" s="711">
        <v>301.0</v>
      </c>
      <c r="C4" s="711">
        <v>3.0</v>
      </c>
      <c r="D4" s="711" t="s">
        <v>4479</v>
      </c>
      <c r="E4" s="711" t="s">
        <v>7857</v>
      </c>
      <c r="F4" s="712">
        <v>0.0</v>
      </c>
      <c r="G4" s="712">
        <v>0.0</v>
      </c>
      <c r="H4" s="711">
        <v>9.71507397509E11</v>
      </c>
      <c r="I4" s="712">
        <v>0.0</v>
      </c>
      <c r="J4" s="711" t="s">
        <v>4710</v>
      </c>
      <c r="K4" s="711" t="s">
        <v>6133</v>
      </c>
      <c r="L4" s="39" t="s">
        <v>168</v>
      </c>
    </row>
    <row r="5">
      <c r="A5" s="711" t="s">
        <v>7850</v>
      </c>
      <c r="B5" s="711">
        <v>407.0</v>
      </c>
      <c r="C5" s="711">
        <v>4.0</v>
      </c>
      <c r="D5" s="711" t="s">
        <v>4479</v>
      </c>
      <c r="E5" s="711" t="s">
        <v>7858</v>
      </c>
      <c r="F5" s="711">
        <v>5.02528188E8</v>
      </c>
      <c r="G5" s="711" t="s">
        <v>7859</v>
      </c>
      <c r="H5" s="711">
        <v>9.71529059669E11</v>
      </c>
      <c r="I5" s="711" t="s">
        <v>7860</v>
      </c>
      <c r="J5" s="711" t="s">
        <v>4710</v>
      </c>
      <c r="K5" s="711" t="s">
        <v>6133</v>
      </c>
      <c r="L5" s="39" t="s">
        <v>516</v>
      </c>
    </row>
    <row r="6">
      <c r="A6" s="711" t="s">
        <v>7850</v>
      </c>
      <c r="B6" s="711">
        <v>605.0</v>
      </c>
      <c r="C6" s="711">
        <v>6.0</v>
      </c>
      <c r="D6" s="711" t="s">
        <v>4479</v>
      </c>
      <c r="E6" s="711" t="s">
        <v>7861</v>
      </c>
      <c r="F6" s="711">
        <v>4.3688808E7</v>
      </c>
      <c r="G6" s="712">
        <v>0.0</v>
      </c>
      <c r="H6" s="711">
        <v>5.58677586E8</v>
      </c>
      <c r="I6" s="712">
        <v>0.0</v>
      </c>
      <c r="J6" s="711" t="s">
        <v>4710</v>
      </c>
      <c r="K6" s="711" t="s">
        <v>6133</v>
      </c>
      <c r="L6" s="39" t="s">
        <v>7862</v>
      </c>
    </row>
    <row r="7">
      <c r="A7" s="711" t="s">
        <v>7850</v>
      </c>
      <c r="B7" s="711">
        <v>803.0</v>
      </c>
      <c r="C7" s="711">
        <v>8.0</v>
      </c>
      <c r="D7" s="711" t="s">
        <v>4479</v>
      </c>
      <c r="E7" s="711" t="s">
        <v>7863</v>
      </c>
      <c r="F7" s="712">
        <v>0.0</v>
      </c>
      <c r="G7" s="711" t="s">
        <v>7864</v>
      </c>
      <c r="H7" s="711">
        <v>9.71555460009E11</v>
      </c>
      <c r="I7" s="712">
        <v>0.0</v>
      </c>
      <c r="J7" s="711" t="s">
        <v>4710</v>
      </c>
      <c r="K7" s="711" t="s">
        <v>6133</v>
      </c>
      <c r="L7" s="39" t="s">
        <v>168</v>
      </c>
    </row>
    <row r="8">
      <c r="A8" s="711" t="s">
        <v>7865</v>
      </c>
      <c r="B8" s="711">
        <v>204.0</v>
      </c>
      <c r="C8" s="711">
        <v>2.0</v>
      </c>
      <c r="D8" s="711" t="s">
        <v>4479</v>
      </c>
      <c r="E8" s="711" t="s">
        <v>7866</v>
      </c>
      <c r="F8" s="712">
        <v>0.0</v>
      </c>
      <c r="G8" s="712">
        <v>0.0</v>
      </c>
      <c r="H8" s="711">
        <v>9.71502756809E11</v>
      </c>
      <c r="I8" s="712">
        <v>0.0</v>
      </c>
      <c r="J8" s="711" t="s">
        <v>4710</v>
      </c>
      <c r="K8" s="711" t="s">
        <v>6133</v>
      </c>
      <c r="L8" s="39" t="s">
        <v>172</v>
      </c>
    </row>
    <row r="9">
      <c r="A9" s="711" t="s">
        <v>7865</v>
      </c>
      <c r="B9" s="711">
        <v>508.0</v>
      </c>
      <c r="C9" s="711">
        <v>5.0</v>
      </c>
      <c r="D9" s="711" t="s">
        <v>4457</v>
      </c>
      <c r="E9" s="711" t="s">
        <v>7867</v>
      </c>
      <c r="F9" s="712">
        <v>0.0</v>
      </c>
      <c r="G9" s="712">
        <v>0.0</v>
      </c>
      <c r="H9" s="711" t="s">
        <v>7868</v>
      </c>
      <c r="I9" s="711" t="s">
        <v>7869</v>
      </c>
      <c r="J9" s="711" t="s">
        <v>4710</v>
      </c>
      <c r="K9" s="711" t="s">
        <v>6133</v>
      </c>
      <c r="L9" s="39" t="s">
        <v>3613</v>
      </c>
    </row>
    <row r="10">
      <c r="A10" s="711" t="s">
        <v>7865</v>
      </c>
      <c r="B10" s="711">
        <v>3602.0</v>
      </c>
      <c r="C10" s="711">
        <v>36.0</v>
      </c>
      <c r="D10" s="711" t="s">
        <v>4457</v>
      </c>
      <c r="E10" s="711" t="s">
        <v>7870</v>
      </c>
      <c r="F10" s="711">
        <v>0.0</v>
      </c>
      <c r="G10" s="712">
        <v>0.0</v>
      </c>
      <c r="H10" s="711">
        <v>0.0</v>
      </c>
      <c r="I10" s="712">
        <v>0.0</v>
      </c>
      <c r="J10" s="711" t="s">
        <v>4710</v>
      </c>
      <c r="K10" s="711" t="s">
        <v>6133</v>
      </c>
    </row>
    <row r="11">
      <c r="A11" s="711" t="s">
        <v>7871</v>
      </c>
      <c r="B11" s="711">
        <v>309.0</v>
      </c>
      <c r="C11" s="711">
        <v>3.0</v>
      </c>
      <c r="D11" s="711" t="s">
        <v>4457</v>
      </c>
      <c r="E11" s="711" t="s">
        <v>7872</v>
      </c>
      <c r="F11" s="711">
        <v>4.3911111E7</v>
      </c>
      <c r="G11" s="712">
        <v>0.0</v>
      </c>
      <c r="H11" s="711">
        <v>5.27375516E8</v>
      </c>
      <c r="I11" s="712">
        <v>0.0</v>
      </c>
      <c r="J11" s="711" t="s">
        <v>7852</v>
      </c>
      <c r="K11" s="711" t="s">
        <v>6133</v>
      </c>
      <c r="L11" s="39" t="s">
        <v>172</v>
      </c>
    </row>
    <row r="12">
      <c r="A12" s="711" t="s">
        <v>7871</v>
      </c>
      <c r="B12" s="711">
        <v>908.0</v>
      </c>
      <c r="C12" s="711">
        <v>9.0</v>
      </c>
      <c r="D12" s="711" t="s">
        <v>4457</v>
      </c>
      <c r="E12" s="711" t="s">
        <v>7873</v>
      </c>
      <c r="F12" s="713">
        <f>+97145512076</f>
        <v>97145512076</v>
      </c>
      <c r="G12" s="712">
        <v>0.0</v>
      </c>
      <c r="H12" s="713">
        <f>+971509188607</f>
        <v>971509188607</v>
      </c>
      <c r="I12" s="712">
        <v>0.0</v>
      </c>
      <c r="J12" s="711" t="s">
        <v>4710</v>
      </c>
      <c r="K12" s="711" t="s">
        <v>6133</v>
      </c>
      <c r="L12" s="39" t="s">
        <v>3613</v>
      </c>
    </row>
    <row r="13">
      <c r="A13" s="711" t="s">
        <v>7871</v>
      </c>
      <c r="B13" s="711">
        <v>1109.0</v>
      </c>
      <c r="C13" s="711">
        <v>11.0</v>
      </c>
      <c r="D13" s="711" t="s">
        <v>4457</v>
      </c>
      <c r="E13" s="711" t="s">
        <v>7874</v>
      </c>
      <c r="F13" s="711">
        <v>1.0</v>
      </c>
      <c r="G13" s="712">
        <v>0.0</v>
      </c>
      <c r="H13" s="711">
        <v>1.0</v>
      </c>
      <c r="I13" s="712">
        <v>0.0</v>
      </c>
      <c r="J13" s="711" t="s">
        <v>4710</v>
      </c>
      <c r="K13" s="711" t="s">
        <v>6133</v>
      </c>
    </row>
    <row r="14">
      <c r="A14" s="711" t="s">
        <v>7875</v>
      </c>
      <c r="B14" s="711">
        <v>1701.0</v>
      </c>
      <c r="C14" s="711">
        <v>17.0</v>
      </c>
      <c r="D14" s="711" t="s">
        <v>4641</v>
      </c>
      <c r="E14" s="711" t="s">
        <v>7876</v>
      </c>
      <c r="F14" s="712">
        <v>0.0</v>
      </c>
      <c r="G14" s="711" t="s">
        <v>7877</v>
      </c>
      <c r="H14" s="711" t="s">
        <v>7878</v>
      </c>
      <c r="I14" s="711" t="s">
        <v>7879</v>
      </c>
      <c r="J14" s="711" t="s">
        <v>7852</v>
      </c>
      <c r="K14" s="711" t="s">
        <v>6133</v>
      </c>
      <c r="L14" s="39" t="s">
        <v>7880</v>
      </c>
    </row>
    <row r="15">
      <c r="A15" s="711" t="s">
        <v>7875</v>
      </c>
      <c r="B15" s="711">
        <v>1101.0</v>
      </c>
      <c r="C15" s="711">
        <v>11.0</v>
      </c>
      <c r="D15" s="711" t="s">
        <v>4641</v>
      </c>
      <c r="E15" s="711" t="s">
        <v>7881</v>
      </c>
      <c r="F15" s="711">
        <v>0.0</v>
      </c>
      <c r="G15" s="712">
        <v>0.0</v>
      </c>
      <c r="H15" s="711">
        <v>9.7150154548E11</v>
      </c>
      <c r="I15" s="712">
        <v>0.0</v>
      </c>
      <c r="J15" s="711" t="s">
        <v>4710</v>
      </c>
      <c r="K15" s="711" t="s">
        <v>6133</v>
      </c>
      <c r="L15" s="39" t="s">
        <v>251</v>
      </c>
    </row>
    <row r="16">
      <c r="A16" s="711" t="s">
        <v>7875</v>
      </c>
      <c r="B16" s="711">
        <v>1103.0</v>
      </c>
      <c r="C16" s="711">
        <v>11.0</v>
      </c>
      <c r="D16" s="711" t="s">
        <v>4457</v>
      </c>
      <c r="E16" s="711" t="s">
        <v>7882</v>
      </c>
      <c r="F16" s="711">
        <v>0.0</v>
      </c>
      <c r="G16" s="712">
        <v>0.0</v>
      </c>
      <c r="H16" s="711">
        <v>0.0</v>
      </c>
      <c r="I16" s="712">
        <v>0.0</v>
      </c>
      <c r="J16" s="711" t="s">
        <v>4710</v>
      </c>
      <c r="K16" s="711" t="s">
        <v>6133</v>
      </c>
    </row>
    <row r="17">
      <c r="A17" s="711" t="s">
        <v>7871</v>
      </c>
      <c r="B17" s="711">
        <v>1810.0</v>
      </c>
      <c r="C17" s="711">
        <v>18.0</v>
      </c>
      <c r="D17" s="711" t="s">
        <v>4457</v>
      </c>
      <c r="E17" s="711" t="s">
        <v>7883</v>
      </c>
      <c r="F17" s="711">
        <v>5.02733721E8</v>
      </c>
      <c r="G17" s="712">
        <v>0.0</v>
      </c>
      <c r="H17" s="711" t="s">
        <v>7884</v>
      </c>
      <c r="I17" s="712">
        <v>0.0</v>
      </c>
      <c r="J17" s="711" t="s">
        <v>4710</v>
      </c>
      <c r="K17" s="711" t="s">
        <v>6133</v>
      </c>
      <c r="L17" s="39" t="s">
        <v>251</v>
      </c>
    </row>
    <row r="18">
      <c r="A18" s="711" t="s">
        <v>7871</v>
      </c>
      <c r="B18" s="711">
        <v>1811.0</v>
      </c>
      <c r="C18" s="711">
        <v>18.0</v>
      </c>
      <c r="D18" s="711" t="s">
        <v>4457</v>
      </c>
      <c r="E18" s="711" t="s">
        <v>7885</v>
      </c>
      <c r="F18" s="711">
        <v>0.0</v>
      </c>
      <c r="G18" s="712">
        <v>0.0</v>
      </c>
      <c r="H18" s="711">
        <v>9.71503781983E11</v>
      </c>
      <c r="I18" s="712">
        <v>0.0</v>
      </c>
      <c r="J18" s="711" t="s">
        <v>7748</v>
      </c>
      <c r="K18" s="711" t="s">
        <v>6133</v>
      </c>
      <c r="L18" s="39" t="s">
        <v>172</v>
      </c>
    </row>
    <row r="19">
      <c r="A19" s="711" t="s">
        <v>7886</v>
      </c>
      <c r="B19" s="711">
        <v>2903.0</v>
      </c>
      <c r="C19" s="711">
        <v>29.0</v>
      </c>
      <c r="D19" s="711" t="s">
        <v>5915</v>
      </c>
      <c r="E19" s="711" t="s">
        <v>7887</v>
      </c>
      <c r="F19" s="712">
        <v>0.0</v>
      </c>
      <c r="G19" s="712">
        <v>0.0</v>
      </c>
      <c r="H19" s="711">
        <v>7.8432906285E10</v>
      </c>
      <c r="I19" s="712">
        <v>0.0</v>
      </c>
      <c r="J19" s="711" t="s">
        <v>4710</v>
      </c>
      <c r="K19" s="711" t="s">
        <v>6133</v>
      </c>
    </row>
    <row r="20">
      <c r="A20" s="711" t="s">
        <v>7888</v>
      </c>
      <c r="B20" s="711">
        <v>3901.0</v>
      </c>
      <c r="C20" s="711">
        <v>39.0</v>
      </c>
      <c r="D20" s="711" t="s">
        <v>5915</v>
      </c>
      <c r="E20" s="711" t="s">
        <v>7889</v>
      </c>
      <c r="F20" s="712">
        <v>0.0</v>
      </c>
      <c r="G20" s="712">
        <v>0.0</v>
      </c>
      <c r="H20" s="711">
        <v>0.0</v>
      </c>
      <c r="I20" s="712">
        <v>0.0</v>
      </c>
      <c r="J20" s="711" t="s">
        <v>4710</v>
      </c>
      <c r="K20" s="711" t="s">
        <v>6133</v>
      </c>
    </row>
    <row r="21">
      <c r="A21" s="711" t="s">
        <v>7871</v>
      </c>
      <c r="B21" s="711">
        <v>409.0</v>
      </c>
      <c r="C21" s="711">
        <v>4.0</v>
      </c>
      <c r="D21" s="711" t="s">
        <v>4457</v>
      </c>
      <c r="E21" s="711" t="s">
        <v>7890</v>
      </c>
      <c r="F21" s="711">
        <v>0.0</v>
      </c>
      <c r="G21" s="712">
        <v>0.0</v>
      </c>
      <c r="H21" s="711">
        <v>9.71502253927E11</v>
      </c>
      <c r="I21" s="712">
        <v>0.0</v>
      </c>
      <c r="J21" s="711" t="s">
        <v>4710</v>
      </c>
      <c r="K21" s="711" t="s">
        <v>6133</v>
      </c>
      <c r="L21" s="39" t="s">
        <v>172</v>
      </c>
    </row>
    <row r="22">
      <c r="A22" s="711" t="s">
        <v>7871</v>
      </c>
      <c r="B22" s="711">
        <v>1712.0</v>
      </c>
      <c r="C22" s="711">
        <v>17.0</v>
      </c>
      <c r="D22" s="711" t="s">
        <v>4641</v>
      </c>
      <c r="E22" s="711" t="s">
        <v>7891</v>
      </c>
      <c r="F22" s="711">
        <v>5.24832373E8</v>
      </c>
      <c r="G22" s="712">
        <v>0.0</v>
      </c>
      <c r="H22" s="711">
        <v>5.24832373E8</v>
      </c>
      <c r="I22" s="712">
        <v>0.0</v>
      </c>
      <c r="J22" s="711" t="s">
        <v>4710</v>
      </c>
      <c r="K22" s="711" t="s">
        <v>6133</v>
      </c>
      <c r="L22" s="39" t="s">
        <v>7892</v>
      </c>
    </row>
    <row r="23">
      <c r="A23" s="711" t="s">
        <v>7871</v>
      </c>
      <c r="B23" s="711">
        <v>411.0</v>
      </c>
      <c r="C23" s="711">
        <v>4.0</v>
      </c>
      <c r="D23" s="711" t="s">
        <v>4457</v>
      </c>
      <c r="E23" s="711" t="s">
        <v>7893</v>
      </c>
      <c r="F23" s="712">
        <v>0.0</v>
      </c>
      <c r="G23" s="712">
        <v>0.0</v>
      </c>
      <c r="H23" s="711" t="s">
        <v>7894</v>
      </c>
      <c r="I23" s="711" t="s">
        <v>7895</v>
      </c>
      <c r="J23" s="711" t="s">
        <v>4710</v>
      </c>
      <c r="K23" s="711" t="s">
        <v>6133</v>
      </c>
      <c r="L23" s="39" t="s">
        <v>7892</v>
      </c>
    </row>
    <row r="24">
      <c r="A24" s="711" t="s">
        <v>7896</v>
      </c>
      <c r="B24" s="711">
        <v>801.0</v>
      </c>
      <c r="C24" s="711">
        <v>8.0</v>
      </c>
      <c r="D24" s="711" t="s">
        <v>4641</v>
      </c>
      <c r="E24" s="711" t="s">
        <v>7897</v>
      </c>
      <c r="F24" s="711">
        <v>4.0</v>
      </c>
      <c r="G24" s="712">
        <v>0.0</v>
      </c>
      <c r="H24" s="711">
        <v>5.55851616E8</v>
      </c>
      <c r="I24" s="712">
        <v>0.0</v>
      </c>
      <c r="J24" s="711" t="s">
        <v>4710</v>
      </c>
      <c r="K24" s="711" t="s">
        <v>6133</v>
      </c>
      <c r="L24" s="39" t="s">
        <v>168</v>
      </c>
    </row>
    <row r="25">
      <c r="A25" s="711" t="s">
        <v>7888</v>
      </c>
      <c r="B25" s="711">
        <v>1007.0</v>
      </c>
      <c r="C25" s="711">
        <v>10.0</v>
      </c>
      <c r="D25" s="711" t="s">
        <v>4641</v>
      </c>
      <c r="E25" s="711" t="s">
        <v>7873</v>
      </c>
      <c r="F25" s="713">
        <f>+97145512076</f>
        <v>97145512076</v>
      </c>
      <c r="G25" s="712">
        <v>0.0</v>
      </c>
      <c r="H25" s="713">
        <f>+971509188607</f>
        <v>971509188607</v>
      </c>
      <c r="I25" s="712">
        <v>0.0</v>
      </c>
      <c r="J25" s="711" t="s">
        <v>4710</v>
      </c>
      <c r="K25" s="711" t="s">
        <v>6133</v>
      </c>
      <c r="L25" s="39" t="s">
        <v>574</v>
      </c>
    </row>
    <row r="26">
      <c r="A26" s="711" t="s">
        <v>7888</v>
      </c>
      <c r="B26" s="711">
        <v>2009.0</v>
      </c>
      <c r="C26" s="711">
        <v>20.0</v>
      </c>
      <c r="D26" s="711" t="s">
        <v>4457</v>
      </c>
      <c r="E26" s="711" t="s">
        <v>7898</v>
      </c>
      <c r="F26" s="712">
        <v>0.0</v>
      </c>
      <c r="G26" s="711" t="s">
        <v>7899</v>
      </c>
      <c r="H26" s="711" t="s">
        <v>7900</v>
      </c>
      <c r="I26" s="711" t="s">
        <v>7901</v>
      </c>
      <c r="J26" s="711" t="s">
        <v>4710</v>
      </c>
      <c r="K26" s="711" t="s">
        <v>6133</v>
      </c>
    </row>
    <row r="27">
      <c r="A27" s="711" t="s">
        <v>7896</v>
      </c>
      <c r="B27" s="711">
        <v>2502.0</v>
      </c>
      <c r="C27" s="711">
        <v>25.0</v>
      </c>
      <c r="D27" s="711" t="s">
        <v>4457</v>
      </c>
      <c r="E27" s="711" t="s">
        <v>7902</v>
      </c>
      <c r="F27" s="712">
        <v>0.0</v>
      </c>
      <c r="G27" s="712">
        <v>0.0</v>
      </c>
      <c r="H27" s="712">
        <v>0.0</v>
      </c>
      <c r="I27" s="711" t="s">
        <v>7903</v>
      </c>
      <c r="J27" s="711" t="s">
        <v>4710</v>
      </c>
      <c r="K27" s="711" t="s">
        <v>6133</v>
      </c>
      <c r="L27" s="39" t="s">
        <v>172</v>
      </c>
    </row>
    <row r="28">
      <c r="A28" s="711" t="s">
        <v>7896</v>
      </c>
      <c r="B28" s="711">
        <v>2702.0</v>
      </c>
      <c r="C28" s="711">
        <v>27.0</v>
      </c>
      <c r="D28" s="711" t="s">
        <v>4457</v>
      </c>
      <c r="E28" s="711" t="s">
        <v>7902</v>
      </c>
      <c r="F28" s="712">
        <v>0.0</v>
      </c>
      <c r="G28" s="712">
        <v>0.0</v>
      </c>
      <c r="H28" s="712">
        <v>0.0</v>
      </c>
      <c r="I28" s="711" t="s">
        <v>7903</v>
      </c>
      <c r="J28" s="711" t="s">
        <v>4710</v>
      </c>
      <c r="K28" s="711" t="s">
        <v>6133</v>
      </c>
      <c r="L28" s="39" t="s">
        <v>172</v>
      </c>
    </row>
    <row r="29">
      <c r="A29" s="711" t="s">
        <v>7875</v>
      </c>
      <c r="B29" s="711">
        <v>202.0</v>
      </c>
      <c r="C29" s="711">
        <v>2.0</v>
      </c>
      <c r="D29" s="711" t="s">
        <v>4641</v>
      </c>
      <c r="E29" s="711" t="s">
        <v>7904</v>
      </c>
      <c r="F29" s="711" t="s">
        <v>7905</v>
      </c>
      <c r="G29" s="712">
        <v>0.0</v>
      </c>
      <c r="H29" s="711" t="s">
        <v>7906</v>
      </c>
      <c r="I29" s="711" t="s">
        <v>7905</v>
      </c>
      <c r="J29" s="711" t="s">
        <v>4710</v>
      </c>
      <c r="K29" s="711" t="s">
        <v>6133</v>
      </c>
      <c r="L29" s="39" t="s">
        <v>516</v>
      </c>
    </row>
    <row r="30">
      <c r="A30" s="711" t="s">
        <v>7875</v>
      </c>
      <c r="B30" s="711">
        <v>302.0</v>
      </c>
      <c r="C30" s="711">
        <v>3.0</v>
      </c>
      <c r="D30" s="711" t="s">
        <v>4641</v>
      </c>
      <c r="E30" s="711" t="s">
        <v>7907</v>
      </c>
      <c r="F30" s="711">
        <v>5.665069721E9</v>
      </c>
      <c r="G30" s="712">
        <v>0.0</v>
      </c>
      <c r="H30" s="712">
        <v>0.0</v>
      </c>
      <c r="I30" s="712">
        <v>0.0</v>
      </c>
      <c r="J30" s="711" t="s">
        <v>4710</v>
      </c>
      <c r="K30" s="711" t="s">
        <v>6133</v>
      </c>
      <c r="L30" s="39" t="s">
        <v>172</v>
      </c>
    </row>
    <row r="31">
      <c r="A31" s="711" t="s">
        <v>7888</v>
      </c>
      <c r="B31" s="711">
        <v>909.0</v>
      </c>
      <c r="C31" s="711">
        <v>9.0</v>
      </c>
      <c r="D31" s="711" t="s">
        <v>4457</v>
      </c>
      <c r="E31" s="711" t="s">
        <v>7908</v>
      </c>
      <c r="F31" s="711">
        <v>4.4433616E7</v>
      </c>
      <c r="G31" s="712">
        <v>0.0</v>
      </c>
      <c r="H31" s="712">
        <v>0.0</v>
      </c>
      <c r="I31" s="712">
        <v>0.0</v>
      </c>
      <c r="J31" s="711" t="s">
        <v>4710</v>
      </c>
      <c r="K31" s="711" t="s">
        <v>6133</v>
      </c>
    </row>
    <row r="32">
      <c r="A32" s="711" t="s">
        <v>7888</v>
      </c>
      <c r="B32" s="711">
        <v>1708.0</v>
      </c>
      <c r="C32" s="711">
        <v>17.0</v>
      </c>
      <c r="D32" s="711" t="s">
        <v>4457</v>
      </c>
      <c r="E32" s="711" t="s">
        <v>7909</v>
      </c>
      <c r="F32" s="711">
        <v>0.0</v>
      </c>
      <c r="G32" s="712">
        <v>0.0</v>
      </c>
      <c r="H32" s="711">
        <v>0.0</v>
      </c>
      <c r="I32" s="712">
        <v>0.0</v>
      </c>
      <c r="J32" s="711" t="s">
        <v>4710</v>
      </c>
      <c r="K32" s="711" t="s">
        <v>6133</v>
      </c>
    </row>
    <row r="33">
      <c r="A33" s="711" t="s">
        <v>7888</v>
      </c>
      <c r="B33" s="711">
        <v>1709.0</v>
      </c>
      <c r="C33" s="711">
        <v>17.0</v>
      </c>
      <c r="D33" s="711" t="s">
        <v>4457</v>
      </c>
      <c r="E33" s="711" t="s">
        <v>7910</v>
      </c>
      <c r="F33" s="711">
        <v>4.3911111E7</v>
      </c>
      <c r="G33" s="712">
        <v>0.0</v>
      </c>
      <c r="H33" s="711">
        <v>5.52479757E8</v>
      </c>
      <c r="I33" s="712">
        <v>0.0</v>
      </c>
      <c r="J33" s="711" t="s">
        <v>4710</v>
      </c>
      <c r="K33" s="711" t="s">
        <v>6133</v>
      </c>
      <c r="L33" s="39" t="s">
        <v>5420</v>
      </c>
    </row>
    <row r="34">
      <c r="A34" s="711" t="s">
        <v>7896</v>
      </c>
      <c r="B34" s="711">
        <v>1202.0</v>
      </c>
      <c r="C34" s="711">
        <v>12.0</v>
      </c>
      <c r="D34" s="711" t="s">
        <v>4641</v>
      </c>
      <c r="E34" s="711" t="s">
        <v>7911</v>
      </c>
      <c r="F34" s="711">
        <v>7.4953608502E10</v>
      </c>
      <c r="G34" s="712">
        <v>0.0</v>
      </c>
      <c r="H34" s="711">
        <v>7.916672207E10</v>
      </c>
      <c r="I34" s="712">
        <v>0.0</v>
      </c>
      <c r="J34" s="711" t="s">
        <v>4710</v>
      </c>
      <c r="K34" s="711" t="s">
        <v>6133</v>
      </c>
      <c r="L34" s="39" t="s">
        <v>251</v>
      </c>
    </row>
    <row r="35">
      <c r="A35" s="711" t="s">
        <v>7896</v>
      </c>
      <c r="B35" s="711">
        <v>1801.0</v>
      </c>
      <c r="C35" s="711">
        <v>18.0</v>
      </c>
      <c r="D35" s="711" t="s">
        <v>4457</v>
      </c>
      <c r="E35" s="711" t="s">
        <v>7912</v>
      </c>
      <c r="F35" s="711" t="s">
        <v>7913</v>
      </c>
      <c r="G35" s="711" t="s">
        <v>5717</v>
      </c>
      <c r="H35" s="711" t="s">
        <v>7914</v>
      </c>
      <c r="I35" s="712">
        <v>0.0</v>
      </c>
      <c r="J35" s="711" t="s">
        <v>7852</v>
      </c>
      <c r="K35" s="711" t="s">
        <v>6133</v>
      </c>
      <c r="L35" s="39" t="s">
        <v>251</v>
      </c>
    </row>
    <row r="36">
      <c r="A36" s="711" t="s">
        <v>7888</v>
      </c>
      <c r="B36" s="711">
        <v>2706.0</v>
      </c>
      <c r="C36" s="711">
        <v>27.0</v>
      </c>
      <c r="D36" s="711" t="s">
        <v>4641</v>
      </c>
      <c r="E36" s="711" t="s">
        <v>7915</v>
      </c>
      <c r="F36" s="711">
        <v>4.3903899E7</v>
      </c>
      <c r="G36" s="712">
        <v>0.0</v>
      </c>
      <c r="H36" s="711">
        <v>0.0</v>
      </c>
      <c r="I36" s="712">
        <v>0.0</v>
      </c>
      <c r="J36" s="711" t="s">
        <v>7748</v>
      </c>
      <c r="K36" s="711" t="s">
        <v>6133</v>
      </c>
      <c r="L36" s="39" t="s">
        <v>251</v>
      </c>
    </row>
    <row r="37">
      <c r="A37" s="711" t="s">
        <v>7896</v>
      </c>
      <c r="B37" s="711">
        <v>2302.0</v>
      </c>
      <c r="C37" s="711">
        <v>23.0</v>
      </c>
      <c r="D37" s="711" t="s">
        <v>4457</v>
      </c>
      <c r="E37" s="711" t="s">
        <v>7916</v>
      </c>
      <c r="F37" s="711">
        <v>5.5587973E8</v>
      </c>
      <c r="G37" s="712">
        <v>0.0</v>
      </c>
      <c r="H37" s="711">
        <v>5.5587973E8</v>
      </c>
      <c r="I37" s="712">
        <v>0.0</v>
      </c>
      <c r="J37" s="711" t="s">
        <v>4710</v>
      </c>
      <c r="K37" s="711" t="s">
        <v>6133</v>
      </c>
      <c r="L37" s="39" t="s">
        <v>5420</v>
      </c>
    </row>
    <row r="38">
      <c r="A38" s="711" t="s">
        <v>7917</v>
      </c>
      <c r="B38" s="711">
        <v>1704.0</v>
      </c>
      <c r="C38" s="711">
        <v>17.0</v>
      </c>
      <c r="D38" s="711" t="s">
        <v>5915</v>
      </c>
      <c r="E38" s="711" t="s">
        <v>7918</v>
      </c>
      <c r="F38" s="713" t="str">
        <f>+971 4 4524528</f>
        <v>#ERROR!</v>
      </c>
      <c r="G38" s="711" t="s">
        <v>7919</v>
      </c>
      <c r="H38" s="713" t="str">
        <f>+971 50 1016263</f>
        <v>#ERROR!</v>
      </c>
      <c r="I38" s="712">
        <v>0.0</v>
      </c>
      <c r="J38" s="711" t="s">
        <v>4710</v>
      </c>
      <c r="K38" s="711" t="s">
        <v>6133</v>
      </c>
    </row>
    <row r="39">
      <c r="A39" s="711" t="s">
        <v>7896</v>
      </c>
      <c r="B39" s="711">
        <v>2801.0</v>
      </c>
      <c r="C39" s="711">
        <v>28.0</v>
      </c>
      <c r="D39" s="711" t="s">
        <v>4457</v>
      </c>
      <c r="E39" s="711" t="s">
        <v>7920</v>
      </c>
      <c r="F39" s="711" t="s">
        <v>7921</v>
      </c>
      <c r="G39" s="712">
        <v>0.0</v>
      </c>
      <c r="H39" s="711" t="s">
        <v>7922</v>
      </c>
      <c r="I39" s="711" t="s">
        <v>7921</v>
      </c>
      <c r="J39" s="711" t="s">
        <v>7852</v>
      </c>
      <c r="K39" s="711" t="s">
        <v>6133</v>
      </c>
      <c r="L39" s="39" t="s">
        <v>251</v>
      </c>
    </row>
    <row r="40">
      <c r="A40" s="711" t="s">
        <v>7886</v>
      </c>
      <c r="B40" s="711" t="s">
        <v>7923</v>
      </c>
      <c r="C40" s="711" t="s">
        <v>7923</v>
      </c>
      <c r="D40" s="711" t="s">
        <v>4641</v>
      </c>
      <c r="E40" s="711" t="s">
        <v>7904</v>
      </c>
      <c r="F40" s="711">
        <v>5.0343779E8</v>
      </c>
      <c r="G40" s="712">
        <v>0.0</v>
      </c>
      <c r="H40" s="711">
        <v>5.0343779E8</v>
      </c>
      <c r="I40" s="712">
        <v>0.0</v>
      </c>
      <c r="J40" s="711" t="s">
        <v>4710</v>
      </c>
      <c r="K40" s="711" t="s">
        <v>6133</v>
      </c>
      <c r="L40" s="39" t="s">
        <v>516</v>
      </c>
    </row>
    <row r="41">
      <c r="A41" s="711" t="s">
        <v>7886</v>
      </c>
      <c r="B41" s="711">
        <v>2805.0</v>
      </c>
      <c r="C41" s="711">
        <v>28.0</v>
      </c>
      <c r="D41" s="711" t="s">
        <v>4457</v>
      </c>
      <c r="E41" s="711" t="s">
        <v>7924</v>
      </c>
      <c r="F41" s="711">
        <v>0.0</v>
      </c>
      <c r="G41" s="712">
        <v>0.0</v>
      </c>
      <c r="H41" s="711">
        <v>7.9039616966E10</v>
      </c>
      <c r="I41" s="712">
        <v>0.0</v>
      </c>
      <c r="J41" s="711" t="s">
        <v>4710</v>
      </c>
      <c r="K41" s="711" t="s">
        <v>6133</v>
      </c>
      <c r="L41" s="39" t="s">
        <v>168</v>
      </c>
    </row>
    <row r="42">
      <c r="A42" s="711" t="s">
        <v>7896</v>
      </c>
      <c r="B42" s="711">
        <v>302.0</v>
      </c>
      <c r="C42" s="711">
        <v>3.0</v>
      </c>
      <c r="D42" s="711" t="s">
        <v>4641</v>
      </c>
      <c r="E42" s="711" t="s">
        <v>7925</v>
      </c>
      <c r="F42" s="712">
        <v>0.0</v>
      </c>
      <c r="G42" s="712">
        <v>0.0</v>
      </c>
      <c r="H42" s="712">
        <v>0.0</v>
      </c>
      <c r="I42" s="711" t="s">
        <v>7926</v>
      </c>
      <c r="J42" s="711" t="s">
        <v>4710</v>
      </c>
      <c r="K42" s="711" t="s">
        <v>6133</v>
      </c>
      <c r="L42" s="39" t="s">
        <v>574</v>
      </c>
    </row>
    <row r="43">
      <c r="A43" s="711" t="s">
        <v>7886</v>
      </c>
      <c r="B43" s="711">
        <v>705.0</v>
      </c>
      <c r="C43" s="711">
        <v>7.0</v>
      </c>
      <c r="D43" s="711" t="s">
        <v>4641</v>
      </c>
      <c r="E43" s="711" t="s">
        <v>7887</v>
      </c>
      <c r="F43" s="712">
        <v>0.0</v>
      </c>
      <c r="G43" s="712">
        <v>0.0</v>
      </c>
      <c r="H43" s="711">
        <v>7.8432906285E10</v>
      </c>
      <c r="I43" s="712">
        <v>0.0</v>
      </c>
      <c r="J43" s="711" t="s">
        <v>4710</v>
      </c>
      <c r="K43" s="711" t="s">
        <v>6133</v>
      </c>
      <c r="L43" s="39" t="s">
        <v>168</v>
      </c>
    </row>
    <row r="44">
      <c r="A44" s="711" t="s">
        <v>7886</v>
      </c>
      <c r="B44" s="711">
        <v>706.0</v>
      </c>
      <c r="C44" s="711">
        <v>7.0</v>
      </c>
      <c r="D44" s="711" t="s">
        <v>4641</v>
      </c>
      <c r="E44" s="711" t="s">
        <v>7927</v>
      </c>
      <c r="F44" s="711" t="s">
        <v>7928</v>
      </c>
      <c r="G44" s="711" t="s">
        <v>7929</v>
      </c>
      <c r="H44" s="711" t="s">
        <v>7930</v>
      </c>
      <c r="I44" s="712">
        <v>0.0</v>
      </c>
      <c r="J44" s="711" t="s">
        <v>4710</v>
      </c>
      <c r="K44" s="711" t="s">
        <v>6133</v>
      </c>
      <c r="L44" s="39" t="s">
        <v>168</v>
      </c>
    </row>
    <row r="45">
      <c r="A45" s="711" t="s">
        <v>7896</v>
      </c>
      <c r="B45" s="711">
        <v>1003.0</v>
      </c>
      <c r="C45" s="711">
        <v>10.0</v>
      </c>
      <c r="D45" s="711" t="s">
        <v>4641</v>
      </c>
      <c r="E45" s="711" t="s">
        <v>7931</v>
      </c>
      <c r="F45" s="711">
        <v>0.0</v>
      </c>
      <c r="G45" s="712">
        <v>0.0</v>
      </c>
      <c r="H45" s="712">
        <v>0.0</v>
      </c>
      <c r="I45" s="712">
        <v>0.0</v>
      </c>
      <c r="J45" s="711" t="s">
        <v>4710</v>
      </c>
      <c r="K45" s="711" t="s">
        <v>6133</v>
      </c>
    </row>
    <row r="46">
      <c r="A46" s="711" t="s">
        <v>7886</v>
      </c>
      <c r="B46" s="711">
        <v>1406.0</v>
      </c>
      <c r="C46" s="711">
        <v>14.0</v>
      </c>
      <c r="D46" s="711" t="s">
        <v>4641</v>
      </c>
      <c r="E46" s="711" t="s">
        <v>7932</v>
      </c>
      <c r="F46" s="712">
        <v>0.0</v>
      </c>
      <c r="G46" s="712">
        <v>0.0</v>
      </c>
      <c r="H46" s="711">
        <v>9.71507093399E11</v>
      </c>
      <c r="I46" s="712">
        <v>0.0</v>
      </c>
      <c r="J46" s="711" t="s">
        <v>4710</v>
      </c>
      <c r="K46" s="711" t="s">
        <v>6133</v>
      </c>
      <c r="L46" s="39" t="s">
        <v>251</v>
      </c>
    </row>
    <row r="47">
      <c r="A47" s="711" t="s">
        <v>7886</v>
      </c>
      <c r="B47" s="711">
        <v>1506.0</v>
      </c>
      <c r="C47" s="711">
        <v>15.0</v>
      </c>
      <c r="D47" s="711" t="s">
        <v>4641</v>
      </c>
      <c r="E47" s="711" t="s">
        <v>7933</v>
      </c>
      <c r="F47" s="711">
        <v>0.0</v>
      </c>
      <c r="G47" s="712">
        <v>0.0</v>
      </c>
      <c r="H47" s="711">
        <v>9.71505746581E11</v>
      </c>
      <c r="I47" s="712">
        <v>0.0</v>
      </c>
      <c r="J47" s="711" t="s">
        <v>4710</v>
      </c>
      <c r="K47" s="711" t="s">
        <v>6133</v>
      </c>
      <c r="L47" s="39" t="s">
        <v>168</v>
      </c>
    </row>
    <row r="48">
      <c r="A48" s="711" t="s">
        <v>7886</v>
      </c>
      <c r="B48" s="711">
        <v>1605.0</v>
      </c>
      <c r="C48" s="711">
        <v>16.0</v>
      </c>
      <c r="D48" s="711" t="s">
        <v>4641</v>
      </c>
      <c r="E48" s="711" t="s">
        <v>7934</v>
      </c>
      <c r="F48" s="712">
        <v>0.0</v>
      </c>
      <c r="G48" s="712">
        <v>0.0</v>
      </c>
      <c r="H48" s="711">
        <v>9.71528610808E11</v>
      </c>
      <c r="I48" s="712">
        <v>0.0</v>
      </c>
      <c r="J48" s="711" t="s">
        <v>4710</v>
      </c>
      <c r="K48" s="711" t="s">
        <v>6133</v>
      </c>
      <c r="L48" s="39" t="s">
        <v>7935</v>
      </c>
    </row>
    <row r="49">
      <c r="A49" s="711" t="s">
        <v>7871</v>
      </c>
      <c r="B49" s="711">
        <v>3711.0</v>
      </c>
      <c r="C49" s="711">
        <v>37.0</v>
      </c>
      <c r="D49" s="711" t="s">
        <v>4457</v>
      </c>
      <c r="E49" s="711" t="s">
        <v>7936</v>
      </c>
      <c r="F49" s="711" t="s">
        <v>7937</v>
      </c>
      <c r="G49" s="712">
        <v>0.0</v>
      </c>
      <c r="H49" s="711" t="s">
        <v>7938</v>
      </c>
      <c r="I49" s="712">
        <v>0.0</v>
      </c>
      <c r="J49" s="711" t="s">
        <v>4710</v>
      </c>
      <c r="K49" s="711" t="s">
        <v>6133</v>
      </c>
      <c r="L49" s="39" t="s">
        <v>251</v>
      </c>
    </row>
    <row r="50">
      <c r="A50" s="711" t="s">
        <v>7871</v>
      </c>
      <c r="B50" s="711">
        <v>1911.0</v>
      </c>
      <c r="C50" s="711">
        <v>19.0</v>
      </c>
      <c r="D50" s="711" t="s">
        <v>4457</v>
      </c>
      <c r="E50" s="711" t="s">
        <v>7939</v>
      </c>
      <c r="F50" s="712">
        <v>0.0</v>
      </c>
      <c r="G50" s="712">
        <v>0.0</v>
      </c>
      <c r="H50" s="711">
        <v>9.71507967121E11</v>
      </c>
      <c r="I50" s="712">
        <v>0.0</v>
      </c>
      <c r="J50" s="711" t="s">
        <v>4710</v>
      </c>
      <c r="K50" s="711" t="s">
        <v>6133</v>
      </c>
      <c r="L50" s="39" t="s">
        <v>251</v>
      </c>
    </row>
    <row r="51">
      <c r="A51" s="711" t="s">
        <v>7871</v>
      </c>
      <c r="B51" s="711">
        <v>1913.0</v>
      </c>
      <c r="C51" s="711">
        <v>19.0</v>
      </c>
      <c r="D51" s="711" t="s">
        <v>4641</v>
      </c>
      <c r="E51" s="711" t="s">
        <v>7940</v>
      </c>
      <c r="F51" s="711" t="s">
        <v>7941</v>
      </c>
      <c r="G51" s="712">
        <v>0.0</v>
      </c>
      <c r="H51" s="711">
        <v>9.71507659466E11</v>
      </c>
      <c r="I51" s="712">
        <v>0.0</v>
      </c>
      <c r="J51" s="711" t="s">
        <v>4710</v>
      </c>
      <c r="K51" s="711" t="s">
        <v>6133</v>
      </c>
      <c r="L51" s="39" t="s">
        <v>574</v>
      </c>
    </row>
    <row r="52">
      <c r="A52" s="711" t="s">
        <v>7886</v>
      </c>
      <c r="B52" s="711">
        <v>305.0</v>
      </c>
      <c r="C52" s="711">
        <v>3.0</v>
      </c>
      <c r="D52" s="711" t="s">
        <v>4641</v>
      </c>
      <c r="E52" s="711" t="s">
        <v>7942</v>
      </c>
      <c r="F52" s="713">
        <f>+79264120307</f>
        <v>79264120307</v>
      </c>
      <c r="G52" s="711" t="s">
        <v>7943</v>
      </c>
      <c r="H52" s="711">
        <v>5.01159127E8</v>
      </c>
      <c r="I52" s="712">
        <v>0.0</v>
      </c>
      <c r="J52" s="711" t="s">
        <v>4710</v>
      </c>
      <c r="K52" s="711" t="s">
        <v>6133</v>
      </c>
    </row>
    <row r="53">
      <c r="A53" s="711" t="s">
        <v>7871</v>
      </c>
      <c r="B53" s="711">
        <v>2311.0</v>
      </c>
      <c r="C53" s="711">
        <v>23.0</v>
      </c>
      <c r="D53" s="711" t="s">
        <v>4457</v>
      </c>
      <c r="E53" s="711" t="s">
        <v>7944</v>
      </c>
      <c r="F53" s="711">
        <v>4.0E7</v>
      </c>
      <c r="G53" s="712">
        <v>0.0</v>
      </c>
      <c r="H53" s="711">
        <v>9.71529610033E11</v>
      </c>
      <c r="I53" s="712">
        <v>0.0</v>
      </c>
      <c r="J53" s="711" t="s">
        <v>7748</v>
      </c>
      <c r="K53" s="711" t="s">
        <v>6133</v>
      </c>
    </row>
    <row r="54">
      <c r="A54" s="711" t="s">
        <v>7871</v>
      </c>
      <c r="B54" s="711">
        <v>2509.0</v>
      </c>
      <c r="C54" s="711">
        <v>25.0</v>
      </c>
      <c r="D54" s="711" t="s">
        <v>4479</v>
      </c>
      <c r="E54" s="711" t="s">
        <v>7945</v>
      </c>
      <c r="F54" s="712">
        <v>0.0</v>
      </c>
      <c r="G54" s="712">
        <v>0.0</v>
      </c>
      <c r="H54" s="711">
        <v>9.71506136032E11</v>
      </c>
      <c r="I54" s="712">
        <v>0.0</v>
      </c>
      <c r="J54" s="711" t="s">
        <v>4710</v>
      </c>
      <c r="K54" s="711" t="s">
        <v>6133</v>
      </c>
    </row>
    <row r="55">
      <c r="A55" s="711" t="s">
        <v>7886</v>
      </c>
      <c r="B55" s="711">
        <v>1106.0</v>
      </c>
      <c r="C55" s="711">
        <v>11.0</v>
      </c>
      <c r="D55" s="711" t="s">
        <v>4641</v>
      </c>
      <c r="E55" s="711" t="s">
        <v>7946</v>
      </c>
      <c r="F55" s="711" t="s">
        <v>7947</v>
      </c>
      <c r="G55" s="712">
        <v>0.0</v>
      </c>
      <c r="H55" s="711">
        <v>9.7150624681E11</v>
      </c>
      <c r="I55" s="712">
        <v>0.0</v>
      </c>
      <c r="J55" s="711" t="s">
        <v>4710</v>
      </c>
      <c r="K55" s="711" t="s">
        <v>6133</v>
      </c>
    </row>
    <row r="56">
      <c r="A56" s="711" t="s">
        <v>7871</v>
      </c>
      <c r="B56" s="711">
        <v>2808.0</v>
      </c>
      <c r="C56" s="711">
        <v>28.0</v>
      </c>
      <c r="D56" s="711" t="s">
        <v>4457</v>
      </c>
      <c r="E56" s="711" t="s">
        <v>7948</v>
      </c>
      <c r="F56" s="711">
        <v>0.0</v>
      </c>
      <c r="G56" s="712">
        <v>0.0</v>
      </c>
      <c r="H56" s="711">
        <v>0.0</v>
      </c>
      <c r="I56" s="712">
        <v>0.0</v>
      </c>
      <c r="J56" s="711" t="s">
        <v>4710</v>
      </c>
      <c r="K56" s="711" t="s">
        <v>6133</v>
      </c>
    </row>
    <row r="57">
      <c r="A57" s="711" t="s">
        <v>7871</v>
      </c>
      <c r="B57" s="711">
        <v>3109.0</v>
      </c>
      <c r="C57" s="711">
        <v>31.0</v>
      </c>
      <c r="D57" s="711" t="s">
        <v>4479</v>
      </c>
      <c r="E57" s="711" t="s">
        <v>7949</v>
      </c>
      <c r="F57" s="712">
        <v>0.0</v>
      </c>
      <c r="G57" s="712">
        <v>0.0</v>
      </c>
      <c r="H57" s="711">
        <v>5.03573337E8</v>
      </c>
      <c r="I57" s="712">
        <v>0.0</v>
      </c>
      <c r="J57" s="711" t="s">
        <v>7852</v>
      </c>
      <c r="K57" s="711" t="s">
        <v>6133</v>
      </c>
    </row>
    <row r="58">
      <c r="A58" s="711" t="s">
        <v>7886</v>
      </c>
      <c r="B58" s="711">
        <v>2107.0</v>
      </c>
      <c r="C58" s="711">
        <v>21.0</v>
      </c>
      <c r="D58" s="711" t="s">
        <v>4641</v>
      </c>
      <c r="E58" s="711" t="s">
        <v>7950</v>
      </c>
      <c r="F58" s="711">
        <v>6.5574795E7</v>
      </c>
      <c r="G58" s="712">
        <v>0.0</v>
      </c>
      <c r="H58" s="711">
        <v>5.0361013E7</v>
      </c>
      <c r="I58" s="712">
        <v>0.0</v>
      </c>
      <c r="J58" s="711" t="s">
        <v>4710</v>
      </c>
      <c r="K58" s="711" t="s">
        <v>6133</v>
      </c>
    </row>
    <row r="59">
      <c r="A59" s="711" t="s">
        <v>7871</v>
      </c>
      <c r="B59" s="711">
        <v>3412.0</v>
      </c>
      <c r="C59" s="711">
        <v>34.0</v>
      </c>
      <c r="D59" s="711" t="s">
        <v>4641</v>
      </c>
      <c r="E59" s="711" t="s">
        <v>7951</v>
      </c>
      <c r="F59" s="711">
        <v>0.0</v>
      </c>
      <c r="G59" s="711" t="s">
        <v>7952</v>
      </c>
      <c r="H59" s="711">
        <v>5.61134555E8</v>
      </c>
      <c r="I59" s="712">
        <v>0.0</v>
      </c>
      <c r="J59" s="711" t="s">
        <v>4710</v>
      </c>
      <c r="K59" s="711" t="s">
        <v>6133</v>
      </c>
    </row>
    <row r="60">
      <c r="A60" s="711" t="s">
        <v>7871</v>
      </c>
      <c r="B60" s="711">
        <v>3413.0</v>
      </c>
      <c r="C60" s="711">
        <v>34.0</v>
      </c>
      <c r="D60" s="711" t="s">
        <v>4641</v>
      </c>
      <c r="E60" s="711" t="s">
        <v>7951</v>
      </c>
      <c r="F60" s="711">
        <v>0.0</v>
      </c>
      <c r="G60" s="711" t="s">
        <v>7952</v>
      </c>
      <c r="H60" s="711">
        <v>5.61134555E8</v>
      </c>
      <c r="I60" s="712">
        <v>0.0</v>
      </c>
      <c r="J60" s="711" t="s">
        <v>4710</v>
      </c>
      <c r="K60" s="711" t="s">
        <v>6133</v>
      </c>
    </row>
    <row r="61">
      <c r="A61" s="711" t="s">
        <v>7871</v>
      </c>
      <c r="B61" s="711">
        <v>3608.0</v>
      </c>
      <c r="C61" s="711">
        <v>36.0</v>
      </c>
      <c r="D61" s="711" t="s">
        <v>4457</v>
      </c>
      <c r="E61" s="711" t="s">
        <v>7953</v>
      </c>
      <c r="F61" s="712">
        <v>0.0</v>
      </c>
      <c r="G61" s="711" t="s">
        <v>7954</v>
      </c>
      <c r="H61" s="711" t="s">
        <v>7955</v>
      </c>
      <c r="I61" s="711" t="s">
        <v>7956</v>
      </c>
      <c r="J61" s="711" t="s">
        <v>4710</v>
      </c>
      <c r="K61" s="711" t="s">
        <v>6133</v>
      </c>
    </row>
    <row r="62">
      <c r="A62" s="711" t="s">
        <v>7871</v>
      </c>
      <c r="B62" s="711">
        <v>4212.0</v>
      </c>
      <c r="C62" s="711">
        <v>42.0</v>
      </c>
      <c r="D62" s="711" t="s">
        <v>4479</v>
      </c>
      <c r="E62" s="711" t="s">
        <v>7957</v>
      </c>
      <c r="F62" s="711">
        <v>7.863245969E10</v>
      </c>
      <c r="G62" s="712">
        <v>0.0</v>
      </c>
      <c r="H62" s="711">
        <v>7.8632219688E10</v>
      </c>
      <c r="I62" s="712">
        <v>0.0</v>
      </c>
      <c r="J62" s="711" t="s">
        <v>4710</v>
      </c>
      <c r="K62" s="711" t="s">
        <v>6133</v>
      </c>
    </row>
    <row r="63">
      <c r="A63" s="711" t="s">
        <v>7871</v>
      </c>
      <c r="B63" s="711">
        <v>4108.0</v>
      </c>
      <c r="C63" s="711">
        <v>41.0</v>
      </c>
      <c r="D63" s="711" t="s">
        <v>4479</v>
      </c>
      <c r="E63" s="711" t="s">
        <v>7958</v>
      </c>
      <c r="F63" s="711">
        <v>0.0</v>
      </c>
      <c r="G63" s="712">
        <v>0.0</v>
      </c>
      <c r="H63" s="711">
        <v>9.71506783045E11</v>
      </c>
      <c r="I63" s="712">
        <v>0.0</v>
      </c>
      <c r="J63" s="711" t="s">
        <v>4710</v>
      </c>
      <c r="K63" s="711" t="s">
        <v>6133</v>
      </c>
    </row>
    <row r="64">
      <c r="A64" s="711" t="s">
        <v>7871</v>
      </c>
      <c r="B64" s="711">
        <v>2109.0</v>
      </c>
      <c r="C64" s="711">
        <v>21.0</v>
      </c>
      <c r="D64" s="711" t="s">
        <v>4457</v>
      </c>
      <c r="E64" s="711" t="s">
        <v>7959</v>
      </c>
      <c r="F64" s="711">
        <v>4.3623796E7</v>
      </c>
      <c r="G64" s="711" t="s">
        <v>7960</v>
      </c>
      <c r="H64" s="711">
        <v>9.71527535555E11</v>
      </c>
      <c r="I64" s="712">
        <v>0.0</v>
      </c>
      <c r="J64" s="711" t="s">
        <v>4710</v>
      </c>
      <c r="K64" s="711" t="s">
        <v>6133</v>
      </c>
    </row>
    <row r="65">
      <c r="A65" s="711" t="s">
        <v>7875</v>
      </c>
      <c r="B65" s="711">
        <v>1602.0</v>
      </c>
      <c r="C65" s="711">
        <v>16.0</v>
      </c>
      <c r="D65" s="711" t="s">
        <v>4641</v>
      </c>
      <c r="E65" s="711" t="s">
        <v>7961</v>
      </c>
      <c r="F65" s="711" t="s">
        <v>7962</v>
      </c>
      <c r="G65" s="711" t="s">
        <v>7963</v>
      </c>
      <c r="H65" s="711" t="s">
        <v>7964</v>
      </c>
      <c r="I65" s="711" t="s">
        <v>7965</v>
      </c>
      <c r="J65" s="711" t="s">
        <v>7748</v>
      </c>
      <c r="K65" s="711" t="s">
        <v>6133</v>
      </c>
    </row>
    <row r="66">
      <c r="A66" s="711" t="s">
        <v>7917</v>
      </c>
      <c r="B66" s="711">
        <v>1603.0</v>
      </c>
      <c r="C66" s="711">
        <v>16.0</v>
      </c>
      <c r="D66" s="711" t="s">
        <v>5915</v>
      </c>
      <c r="E66" s="711" t="s">
        <v>7966</v>
      </c>
      <c r="F66" s="712">
        <v>0.0</v>
      </c>
      <c r="G66" s="711" t="s">
        <v>7967</v>
      </c>
      <c r="H66" s="711" t="s">
        <v>7968</v>
      </c>
      <c r="I66" s="712">
        <v>0.0</v>
      </c>
      <c r="J66" s="711" t="s">
        <v>4710</v>
      </c>
      <c r="K66" s="711" t="s">
        <v>6133</v>
      </c>
    </row>
    <row r="67">
      <c r="A67" s="711" t="s">
        <v>7871</v>
      </c>
      <c r="B67" s="711">
        <v>2711.0</v>
      </c>
      <c r="C67" s="711">
        <v>27.0</v>
      </c>
      <c r="D67" s="711" t="s">
        <v>4457</v>
      </c>
      <c r="E67" s="711" t="s">
        <v>7969</v>
      </c>
      <c r="F67" s="711">
        <v>0.0</v>
      </c>
      <c r="G67" s="712">
        <v>0.0</v>
      </c>
      <c r="H67" s="711">
        <v>0.0</v>
      </c>
      <c r="I67" s="712">
        <v>0.0</v>
      </c>
      <c r="J67" s="711" t="s">
        <v>7748</v>
      </c>
      <c r="K67" s="711" t="s">
        <v>6133</v>
      </c>
    </row>
    <row r="68">
      <c r="A68" s="711" t="s">
        <v>7871</v>
      </c>
      <c r="B68" s="711">
        <v>3211.0</v>
      </c>
      <c r="C68" s="711">
        <v>32.0</v>
      </c>
      <c r="D68" s="711" t="s">
        <v>4457</v>
      </c>
      <c r="E68" s="711" t="s">
        <v>7970</v>
      </c>
      <c r="F68" s="712">
        <v>0.0</v>
      </c>
      <c r="G68" s="712">
        <v>0.0</v>
      </c>
      <c r="H68" s="711" t="s">
        <v>7971</v>
      </c>
      <c r="I68" s="711" t="s">
        <v>7972</v>
      </c>
      <c r="J68" s="711" t="s">
        <v>4710</v>
      </c>
      <c r="K68" s="711" t="s">
        <v>6133</v>
      </c>
    </row>
    <row r="69">
      <c r="A69" s="711" t="s">
        <v>7871</v>
      </c>
      <c r="B69" s="711">
        <v>4311.0</v>
      </c>
      <c r="C69" s="711">
        <v>43.0</v>
      </c>
      <c r="D69" s="711" t="s">
        <v>4479</v>
      </c>
      <c r="E69" s="711" t="s">
        <v>7973</v>
      </c>
      <c r="F69" s="711">
        <v>0.0</v>
      </c>
      <c r="G69" s="712">
        <v>0.0</v>
      </c>
      <c r="H69" s="711">
        <v>0.0</v>
      </c>
      <c r="I69" s="712">
        <v>0.0</v>
      </c>
      <c r="J69" s="711" t="s">
        <v>4710</v>
      </c>
      <c r="K69" s="711" t="s">
        <v>6133</v>
      </c>
    </row>
    <row r="70">
      <c r="A70" s="711" t="s">
        <v>7917</v>
      </c>
      <c r="B70" s="711">
        <v>1106.0</v>
      </c>
      <c r="C70" s="711">
        <v>11.0</v>
      </c>
      <c r="D70" s="711" t="s">
        <v>4641</v>
      </c>
      <c r="E70" s="711" t="s">
        <v>7974</v>
      </c>
      <c r="F70" s="712">
        <v>0.0</v>
      </c>
      <c r="G70" s="711" t="s">
        <v>7975</v>
      </c>
      <c r="H70" s="711" t="s">
        <v>7976</v>
      </c>
      <c r="I70" s="712">
        <v>0.0</v>
      </c>
      <c r="J70" s="711" t="s">
        <v>7852</v>
      </c>
      <c r="K70" s="711" t="s">
        <v>6133</v>
      </c>
    </row>
    <row r="71">
      <c r="A71" s="711" t="s">
        <v>7977</v>
      </c>
      <c r="B71" s="711" t="s">
        <v>7978</v>
      </c>
      <c r="C71" s="711" t="s">
        <v>7978</v>
      </c>
      <c r="D71" s="711" t="s">
        <v>4457</v>
      </c>
      <c r="E71" s="711" t="s">
        <v>7904</v>
      </c>
      <c r="F71" s="711">
        <v>5.0343779E8</v>
      </c>
      <c r="G71" s="712">
        <v>0.0</v>
      </c>
      <c r="H71" s="711">
        <v>5.0343779E8</v>
      </c>
      <c r="I71" s="712">
        <v>0.0</v>
      </c>
      <c r="J71" s="711" t="s">
        <v>4710</v>
      </c>
      <c r="K71" s="711" t="s">
        <v>6133</v>
      </c>
    </row>
    <row r="72">
      <c r="A72" s="711" t="s">
        <v>7977</v>
      </c>
      <c r="B72" s="711">
        <v>106.0</v>
      </c>
      <c r="C72" s="711">
        <v>1.0</v>
      </c>
      <c r="D72" s="711" t="s">
        <v>4457</v>
      </c>
      <c r="E72" s="711" t="s">
        <v>7904</v>
      </c>
      <c r="F72" s="711" t="s">
        <v>7905</v>
      </c>
      <c r="G72" s="712">
        <v>0.0</v>
      </c>
      <c r="H72" s="711" t="s">
        <v>7906</v>
      </c>
      <c r="I72" s="711" t="s">
        <v>7905</v>
      </c>
      <c r="J72" s="711" t="s">
        <v>4710</v>
      </c>
      <c r="K72" s="711" t="s">
        <v>6133</v>
      </c>
    </row>
    <row r="73">
      <c r="A73" s="711" t="s">
        <v>7977</v>
      </c>
      <c r="B73" s="711">
        <v>301.0</v>
      </c>
      <c r="C73" s="711">
        <v>3.0</v>
      </c>
      <c r="D73" s="711" t="s">
        <v>4457</v>
      </c>
      <c r="E73" s="711" t="s">
        <v>7979</v>
      </c>
      <c r="F73" s="711">
        <v>5.59918278E8</v>
      </c>
      <c r="G73" s="712">
        <v>0.0</v>
      </c>
      <c r="H73" s="711">
        <v>5.27197775E8</v>
      </c>
      <c r="I73" s="712">
        <v>0.0</v>
      </c>
      <c r="J73" s="711" t="s">
        <v>4710</v>
      </c>
      <c r="K73" s="711" t="s">
        <v>6133</v>
      </c>
    </row>
    <row r="74">
      <c r="A74" s="711" t="s">
        <v>7977</v>
      </c>
      <c r="B74" s="711">
        <v>304.0</v>
      </c>
      <c r="C74" s="711">
        <v>3.0</v>
      </c>
      <c r="D74" s="711" t="s">
        <v>4457</v>
      </c>
      <c r="E74" s="711" t="s">
        <v>7980</v>
      </c>
      <c r="F74" s="711">
        <v>4.3911111E7</v>
      </c>
      <c r="G74" s="712">
        <v>0.0</v>
      </c>
      <c r="H74" s="711">
        <v>5.61795274E8</v>
      </c>
      <c r="I74" s="712">
        <v>0.0</v>
      </c>
      <c r="J74" s="711" t="s">
        <v>4710</v>
      </c>
      <c r="K74" s="711" t="s">
        <v>6133</v>
      </c>
    </row>
    <row r="75">
      <c r="A75" s="711" t="s">
        <v>7977</v>
      </c>
      <c r="B75" s="711">
        <v>506.0</v>
      </c>
      <c r="C75" s="711">
        <v>5.0</v>
      </c>
      <c r="D75" s="711" t="s">
        <v>4457</v>
      </c>
      <c r="E75" s="711" t="s">
        <v>7981</v>
      </c>
      <c r="F75" s="711">
        <v>0.0</v>
      </c>
      <c r="G75" s="712">
        <v>0.0</v>
      </c>
      <c r="H75" s="711">
        <v>9.71501552034E11</v>
      </c>
      <c r="I75" s="712">
        <v>0.0</v>
      </c>
      <c r="J75" s="711" t="s">
        <v>4710</v>
      </c>
      <c r="K75" s="711" t="s">
        <v>6133</v>
      </c>
    </row>
    <row r="76">
      <c r="A76" s="711" t="s">
        <v>7977</v>
      </c>
      <c r="B76" s="711">
        <v>705.0</v>
      </c>
      <c r="C76" s="711">
        <v>7.0</v>
      </c>
      <c r="D76" s="711" t="s">
        <v>4457</v>
      </c>
      <c r="E76" s="711" t="s">
        <v>7982</v>
      </c>
      <c r="F76" s="711">
        <v>1.0</v>
      </c>
      <c r="G76" s="712">
        <v>0.0</v>
      </c>
      <c r="H76" s="711">
        <v>9.71501710694E11</v>
      </c>
      <c r="I76" s="712">
        <v>0.0</v>
      </c>
      <c r="J76" s="711" t="s">
        <v>4710</v>
      </c>
      <c r="K76" s="711" t="s">
        <v>6133</v>
      </c>
    </row>
    <row r="77">
      <c r="A77" s="711" t="s">
        <v>7977</v>
      </c>
      <c r="B77" s="711">
        <v>801.0</v>
      </c>
      <c r="C77" s="711">
        <v>8.0</v>
      </c>
      <c r="D77" s="711" t="s">
        <v>4457</v>
      </c>
      <c r="E77" s="711" t="s">
        <v>7983</v>
      </c>
      <c r="F77" s="712">
        <v>0.0</v>
      </c>
      <c r="G77" s="712">
        <v>0.0</v>
      </c>
      <c r="H77" s="711">
        <v>9.7155639044E11</v>
      </c>
      <c r="I77" s="712">
        <v>0.0</v>
      </c>
      <c r="J77" s="711" t="s">
        <v>4710</v>
      </c>
      <c r="K77" s="711" t="s">
        <v>6133</v>
      </c>
    </row>
    <row r="78">
      <c r="A78" s="711" t="s">
        <v>7977</v>
      </c>
      <c r="B78" s="711">
        <v>901.0</v>
      </c>
      <c r="C78" s="711">
        <v>9.0</v>
      </c>
      <c r="D78" s="711" t="s">
        <v>4457</v>
      </c>
      <c r="E78" s="711" t="s">
        <v>7866</v>
      </c>
      <c r="F78" s="712">
        <v>0.0</v>
      </c>
      <c r="G78" s="712">
        <v>0.0</v>
      </c>
      <c r="H78" s="711">
        <v>9.71502756809E11</v>
      </c>
      <c r="I78" s="712">
        <v>0.0</v>
      </c>
      <c r="J78" s="711" t="s">
        <v>4710</v>
      </c>
      <c r="K78" s="711" t="s">
        <v>6133</v>
      </c>
    </row>
    <row r="79">
      <c r="A79" s="711" t="s">
        <v>7977</v>
      </c>
      <c r="B79" s="711">
        <v>3205.0</v>
      </c>
      <c r="C79" s="711">
        <v>32.0</v>
      </c>
      <c r="D79" s="711" t="s">
        <v>4479</v>
      </c>
      <c r="E79" s="711" t="s">
        <v>7984</v>
      </c>
      <c r="F79" s="712">
        <v>0.0</v>
      </c>
      <c r="G79" s="712">
        <v>0.0</v>
      </c>
      <c r="H79" s="711">
        <v>7.9122421552E10</v>
      </c>
      <c r="I79" s="712">
        <v>0.0</v>
      </c>
      <c r="J79" s="711" t="s">
        <v>4710</v>
      </c>
      <c r="K79" s="711" t="s">
        <v>6133</v>
      </c>
    </row>
    <row r="80">
      <c r="A80" s="711" t="s">
        <v>7977</v>
      </c>
      <c r="B80" s="711">
        <v>3206.0</v>
      </c>
      <c r="C80" s="711">
        <v>32.0</v>
      </c>
      <c r="D80" s="711" t="s">
        <v>4479</v>
      </c>
      <c r="E80" s="711" t="s">
        <v>7985</v>
      </c>
      <c r="F80" s="712">
        <v>0.0</v>
      </c>
      <c r="G80" s="712">
        <v>0.0</v>
      </c>
      <c r="H80" s="711" t="s">
        <v>7986</v>
      </c>
      <c r="I80" s="711" t="s">
        <v>7987</v>
      </c>
      <c r="J80" s="711" t="s">
        <v>7852</v>
      </c>
      <c r="K80" s="711" t="s">
        <v>6133</v>
      </c>
    </row>
    <row r="81">
      <c r="A81" s="711" t="s">
        <v>7977</v>
      </c>
      <c r="B81" s="711">
        <v>1004.0</v>
      </c>
      <c r="C81" s="711">
        <v>10.0</v>
      </c>
      <c r="D81" s="711" t="s">
        <v>4457</v>
      </c>
      <c r="E81" s="711" t="s">
        <v>7988</v>
      </c>
      <c r="F81" s="712">
        <v>0.0</v>
      </c>
      <c r="G81" s="712">
        <v>0.0</v>
      </c>
      <c r="H81" s="711" t="s">
        <v>7989</v>
      </c>
      <c r="I81" s="711" t="s">
        <v>7990</v>
      </c>
      <c r="J81" s="711" t="s">
        <v>4710</v>
      </c>
      <c r="K81" s="711" t="s">
        <v>6133</v>
      </c>
    </row>
    <row r="82">
      <c r="A82" s="711" t="s">
        <v>7977</v>
      </c>
      <c r="B82" s="711">
        <v>1701.0</v>
      </c>
      <c r="C82" s="711">
        <v>17.0</v>
      </c>
      <c r="D82" s="711" t="s">
        <v>4457</v>
      </c>
      <c r="E82" s="711" t="s">
        <v>7991</v>
      </c>
      <c r="F82" s="712">
        <v>0.0</v>
      </c>
      <c r="G82" s="712">
        <v>0.0</v>
      </c>
      <c r="H82" s="711">
        <v>9.71506757593E11</v>
      </c>
      <c r="I82" s="712">
        <v>0.0</v>
      </c>
      <c r="J82" s="711" t="s">
        <v>4710</v>
      </c>
      <c r="K82" s="711" t="s">
        <v>6133</v>
      </c>
    </row>
    <row r="83">
      <c r="A83" s="711" t="s">
        <v>7977</v>
      </c>
      <c r="B83" s="711">
        <v>1706.0</v>
      </c>
      <c r="C83" s="711">
        <v>17.0</v>
      </c>
      <c r="D83" s="711" t="s">
        <v>4457</v>
      </c>
      <c r="E83" s="711" t="s">
        <v>7992</v>
      </c>
      <c r="F83" s="711">
        <v>0.0</v>
      </c>
      <c r="G83" s="711" t="s">
        <v>7993</v>
      </c>
      <c r="H83" s="711" t="s">
        <v>7994</v>
      </c>
      <c r="I83" s="711" t="s">
        <v>7995</v>
      </c>
      <c r="J83" s="711" t="s">
        <v>4710</v>
      </c>
      <c r="K83" s="711" t="s">
        <v>6133</v>
      </c>
    </row>
    <row r="84">
      <c r="A84" s="711" t="s">
        <v>7977</v>
      </c>
      <c r="B84" s="711">
        <v>1804.0</v>
      </c>
      <c r="C84" s="711">
        <v>18.0</v>
      </c>
      <c r="D84" s="711" t="s">
        <v>4457</v>
      </c>
      <c r="E84" s="711" t="s">
        <v>7996</v>
      </c>
      <c r="F84" s="711">
        <v>5.28460312E8</v>
      </c>
      <c r="G84" s="712">
        <v>0.0</v>
      </c>
      <c r="H84" s="711">
        <v>1.0</v>
      </c>
      <c r="I84" s="712">
        <v>0.0</v>
      </c>
      <c r="J84" s="711" t="s">
        <v>4710</v>
      </c>
      <c r="K84" s="711" t="s">
        <v>6133</v>
      </c>
    </row>
    <row r="85">
      <c r="A85" s="711" t="s">
        <v>7977</v>
      </c>
      <c r="B85" s="711">
        <v>1806.0</v>
      </c>
      <c r="C85" s="711">
        <v>18.0</v>
      </c>
      <c r="D85" s="711" t="s">
        <v>4457</v>
      </c>
      <c r="E85" s="711" t="s">
        <v>7997</v>
      </c>
      <c r="F85" s="711">
        <v>0.0</v>
      </c>
      <c r="G85" s="712">
        <v>0.0</v>
      </c>
      <c r="H85" s="711">
        <v>0.0</v>
      </c>
      <c r="I85" s="712">
        <v>0.0</v>
      </c>
      <c r="J85" s="711" t="s">
        <v>4710</v>
      </c>
      <c r="K85" s="711" t="s">
        <v>6133</v>
      </c>
    </row>
    <row r="86">
      <c r="A86" s="711" t="s">
        <v>7977</v>
      </c>
      <c r="B86" s="711">
        <v>4201.0</v>
      </c>
      <c r="C86" s="711">
        <v>42.0</v>
      </c>
      <c r="D86" s="711" t="s">
        <v>4479</v>
      </c>
      <c r="E86" s="711" t="s">
        <v>7998</v>
      </c>
      <c r="F86" s="712">
        <v>0.0</v>
      </c>
      <c r="G86" s="712">
        <v>0.0</v>
      </c>
      <c r="H86" s="711" t="s">
        <v>7999</v>
      </c>
      <c r="I86" s="712">
        <v>0.0</v>
      </c>
      <c r="J86" s="711" t="s">
        <v>4710</v>
      </c>
      <c r="K86" s="711" t="s">
        <v>6133</v>
      </c>
    </row>
    <row r="87">
      <c r="A87" s="711" t="s">
        <v>7977</v>
      </c>
      <c r="B87" s="711">
        <v>2203.0</v>
      </c>
      <c r="C87" s="711">
        <v>22.0</v>
      </c>
      <c r="D87" s="711" t="s">
        <v>4457</v>
      </c>
      <c r="E87" s="711" t="s">
        <v>8000</v>
      </c>
      <c r="F87" s="712">
        <v>0.0</v>
      </c>
      <c r="G87" s="712">
        <v>0.0</v>
      </c>
      <c r="H87" s="711" t="s">
        <v>8001</v>
      </c>
      <c r="I87" s="712">
        <v>0.0</v>
      </c>
      <c r="J87" s="711" t="s">
        <v>4710</v>
      </c>
      <c r="K87" s="711" t="s">
        <v>6133</v>
      </c>
    </row>
    <row r="88">
      <c r="A88" s="711" t="s">
        <v>7977</v>
      </c>
      <c r="B88" s="711">
        <v>2501.0</v>
      </c>
      <c r="C88" s="711">
        <v>25.0</v>
      </c>
      <c r="D88" s="711" t="s">
        <v>4479</v>
      </c>
      <c r="E88" s="711" t="s">
        <v>8002</v>
      </c>
      <c r="F88" s="711">
        <v>0.0</v>
      </c>
      <c r="G88" s="712">
        <v>0.0</v>
      </c>
      <c r="H88" s="711">
        <v>7.7015559582E10</v>
      </c>
      <c r="I88" s="712">
        <v>0.0</v>
      </c>
      <c r="J88" s="711" t="s">
        <v>4710</v>
      </c>
      <c r="K88" s="711" t="s">
        <v>6133</v>
      </c>
    </row>
    <row r="89">
      <c r="A89" s="711" t="s">
        <v>7977</v>
      </c>
      <c r="B89" s="711">
        <v>502.0</v>
      </c>
      <c r="C89" s="711">
        <v>5.0</v>
      </c>
      <c r="D89" s="711" t="s">
        <v>4457</v>
      </c>
      <c r="E89" s="711" t="s">
        <v>8003</v>
      </c>
      <c r="F89" s="711">
        <v>0.0</v>
      </c>
      <c r="G89" s="712">
        <v>0.0</v>
      </c>
      <c r="H89" s="711">
        <v>0.0</v>
      </c>
      <c r="I89" s="712">
        <v>0.0</v>
      </c>
      <c r="J89" s="711" t="s">
        <v>4710</v>
      </c>
      <c r="K89" s="711" t="s">
        <v>6133</v>
      </c>
    </row>
    <row r="90">
      <c r="A90" s="711" t="s">
        <v>7977</v>
      </c>
      <c r="B90" s="711">
        <v>503.0</v>
      </c>
      <c r="C90" s="711">
        <v>5.0</v>
      </c>
      <c r="D90" s="711" t="s">
        <v>4457</v>
      </c>
      <c r="E90" s="711" t="s">
        <v>7979</v>
      </c>
      <c r="F90" s="711">
        <v>5.59918278E8</v>
      </c>
      <c r="G90" s="712">
        <v>0.0</v>
      </c>
      <c r="H90" s="711">
        <v>5.27197775E8</v>
      </c>
      <c r="I90" s="712">
        <v>0.0</v>
      </c>
      <c r="J90" s="711" t="s">
        <v>4710</v>
      </c>
      <c r="K90" s="711" t="s">
        <v>6133</v>
      </c>
    </row>
    <row r="91">
      <c r="A91" s="711" t="s">
        <v>7977</v>
      </c>
      <c r="B91" s="711">
        <v>2901.0</v>
      </c>
      <c r="C91" s="711">
        <v>29.0</v>
      </c>
      <c r="D91" s="711" t="s">
        <v>4479</v>
      </c>
      <c r="E91" s="711" t="s">
        <v>7890</v>
      </c>
      <c r="F91" s="711">
        <v>0.0</v>
      </c>
      <c r="G91" s="712">
        <v>0.0</v>
      </c>
      <c r="H91" s="711">
        <v>9.71502253927E11</v>
      </c>
      <c r="I91" s="712">
        <v>0.0</v>
      </c>
      <c r="J91" s="711" t="s">
        <v>4710</v>
      </c>
      <c r="K91" s="711" t="s">
        <v>6133</v>
      </c>
    </row>
    <row r="92">
      <c r="A92" s="711" t="s">
        <v>7977</v>
      </c>
      <c r="B92" s="711">
        <v>2903.0</v>
      </c>
      <c r="C92" s="711">
        <v>29.0</v>
      </c>
      <c r="D92" s="711" t="s">
        <v>4479</v>
      </c>
      <c r="E92" s="711" t="s">
        <v>8004</v>
      </c>
      <c r="F92" s="712">
        <v>0.0</v>
      </c>
      <c r="G92" s="712">
        <v>0.0</v>
      </c>
      <c r="H92" s="711" t="s">
        <v>8005</v>
      </c>
      <c r="I92" s="712">
        <v>0.0</v>
      </c>
      <c r="J92" s="711" t="s">
        <v>4710</v>
      </c>
      <c r="K92" s="711" t="s">
        <v>6133</v>
      </c>
    </row>
    <row r="93">
      <c r="A93" s="711" t="s">
        <v>7977</v>
      </c>
      <c r="B93" s="711">
        <v>2905.0</v>
      </c>
      <c r="C93" s="711">
        <v>29.0</v>
      </c>
      <c r="D93" s="711" t="s">
        <v>4479</v>
      </c>
      <c r="E93" s="711" t="s">
        <v>7996</v>
      </c>
      <c r="F93" s="711">
        <v>5.28460312E8</v>
      </c>
      <c r="G93" s="712">
        <v>0.0</v>
      </c>
      <c r="H93" s="711">
        <v>1.0</v>
      </c>
      <c r="I93" s="712">
        <v>0.0</v>
      </c>
      <c r="J93" s="711" t="s">
        <v>4710</v>
      </c>
      <c r="K93" s="711" t="s">
        <v>6133</v>
      </c>
    </row>
    <row r="94">
      <c r="A94" s="711" t="s">
        <v>7977</v>
      </c>
      <c r="B94" s="711">
        <v>3003.0</v>
      </c>
      <c r="C94" s="711">
        <v>30.0</v>
      </c>
      <c r="D94" s="711" t="s">
        <v>4479</v>
      </c>
      <c r="E94" s="711" t="s">
        <v>8006</v>
      </c>
      <c r="F94" s="711">
        <v>971.0</v>
      </c>
      <c r="G94" s="712">
        <v>0.0</v>
      </c>
      <c r="H94" s="711" t="s">
        <v>8007</v>
      </c>
      <c r="I94" s="711" t="s">
        <v>4868</v>
      </c>
      <c r="J94" s="711" t="s">
        <v>4710</v>
      </c>
      <c r="K94" s="711" t="s">
        <v>6133</v>
      </c>
      <c r="L94" s="39" t="s">
        <v>168</v>
      </c>
    </row>
    <row r="95">
      <c r="A95" s="711" t="s">
        <v>7977</v>
      </c>
      <c r="B95" s="711">
        <v>3006.0</v>
      </c>
      <c r="C95" s="711">
        <v>30.0</v>
      </c>
      <c r="D95" s="711" t="s">
        <v>4479</v>
      </c>
      <c r="E95" s="711" t="s">
        <v>8008</v>
      </c>
      <c r="F95" s="711" t="s">
        <v>8009</v>
      </c>
      <c r="G95" s="711" t="s">
        <v>8010</v>
      </c>
      <c r="H95" s="711">
        <v>9.71567159297E11</v>
      </c>
      <c r="I95" s="712">
        <v>0.0</v>
      </c>
      <c r="J95" s="711" t="s">
        <v>4710</v>
      </c>
      <c r="K95" s="711" t="s">
        <v>6133</v>
      </c>
    </row>
    <row r="96">
      <c r="A96" s="711" t="s">
        <v>7977</v>
      </c>
      <c r="B96" s="711">
        <v>3105.0</v>
      </c>
      <c r="C96" s="711">
        <v>31.0</v>
      </c>
      <c r="D96" s="711" t="s">
        <v>4479</v>
      </c>
      <c r="E96" s="711" t="s">
        <v>8011</v>
      </c>
      <c r="F96" s="711">
        <v>4.3589006E7</v>
      </c>
      <c r="G96" s="712">
        <v>0.0</v>
      </c>
      <c r="H96" s="712">
        <v>0.0</v>
      </c>
      <c r="I96" s="712">
        <v>0.0</v>
      </c>
      <c r="J96" s="711" t="s">
        <v>4710</v>
      </c>
      <c r="K96" s="711" t="s">
        <v>6133</v>
      </c>
    </row>
    <row r="97">
      <c r="A97" s="711" t="s">
        <v>7977</v>
      </c>
      <c r="B97" s="711">
        <v>3505.0</v>
      </c>
      <c r="C97" s="711">
        <v>35.0</v>
      </c>
      <c r="D97" s="711" t="s">
        <v>4479</v>
      </c>
      <c r="E97" s="711" t="s">
        <v>8012</v>
      </c>
      <c r="F97" s="711">
        <v>0.0</v>
      </c>
      <c r="G97" s="712">
        <v>0.0</v>
      </c>
      <c r="H97" s="711">
        <v>7.9028414959E10</v>
      </c>
      <c r="I97" s="712">
        <v>0.0</v>
      </c>
      <c r="J97" s="711" t="s">
        <v>4710</v>
      </c>
      <c r="K97" s="711" t="s">
        <v>6133</v>
      </c>
    </row>
    <row r="98">
      <c r="A98" s="711" t="s">
        <v>7977</v>
      </c>
      <c r="B98" s="711">
        <v>3906.0</v>
      </c>
      <c r="C98" s="711">
        <v>39.0</v>
      </c>
      <c r="D98" s="711" t="s">
        <v>4479</v>
      </c>
      <c r="E98" s="711" t="s">
        <v>8013</v>
      </c>
      <c r="F98" s="712">
        <v>0.0</v>
      </c>
      <c r="G98" s="712">
        <v>0.0</v>
      </c>
      <c r="H98" s="711">
        <v>1.0</v>
      </c>
      <c r="I98" s="712">
        <v>0.0</v>
      </c>
      <c r="J98" s="711" t="s">
        <v>4710</v>
      </c>
      <c r="K98" s="711" t="s">
        <v>6133</v>
      </c>
    </row>
    <row r="99">
      <c r="A99" s="711" t="s">
        <v>7977</v>
      </c>
      <c r="B99" s="711">
        <v>4002.0</v>
      </c>
      <c r="C99" s="711">
        <v>40.0</v>
      </c>
      <c r="D99" s="711" t="s">
        <v>4479</v>
      </c>
      <c r="E99" s="711" t="s">
        <v>8014</v>
      </c>
      <c r="F99" s="712">
        <v>0.0</v>
      </c>
      <c r="G99" s="711" t="s">
        <v>8015</v>
      </c>
      <c r="H99" s="711" t="s">
        <v>8016</v>
      </c>
      <c r="I99" s="711" t="s">
        <v>8017</v>
      </c>
      <c r="J99" s="711" t="s">
        <v>4710</v>
      </c>
      <c r="K99" s="711" t="s">
        <v>6133</v>
      </c>
    </row>
    <row r="100">
      <c r="A100" s="711" t="s">
        <v>7917</v>
      </c>
      <c r="B100" s="711">
        <v>106.0</v>
      </c>
      <c r="C100" s="711">
        <v>1.0</v>
      </c>
      <c r="D100" s="711" t="s">
        <v>4641</v>
      </c>
      <c r="E100" s="711" t="s">
        <v>8018</v>
      </c>
      <c r="F100" s="711">
        <v>0.0</v>
      </c>
      <c r="G100" s="712">
        <v>0.0</v>
      </c>
      <c r="H100" s="711">
        <v>0.0</v>
      </c>
      <c r="I100" s="712">
        <v>0.0</v>
      </c>
      <c r="J100" s="711" t="s">
        <v>4710</v>
      </c>
      <c r="K100" s="711" t="s">
        <v>6133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5.14"/>
    <col customWidth="1" min="2" max="2" width="17.29"/>
    <col customWidth="1" min="6" max="6" width="20.71"/>
    <col customWidth="1" min="7" max="7" width="17.71"/>
    <col customWidth="1" min="8" max="8" width="6.14"/>
    <col customWidth="1" min="9" max="9" width="28.0"/>
    <col customWidth="1" min="10" max="10" width="19.71"/>
    <col customWidth="1" min="11" max="11" width="9.29"/>
    <col customWidth="1" min="12" max="12" width="21.43"/>
    <col customWidth="1" min="13" max="13" width="7.29"/>
    <col customWidth="1" min="14" max="14" width="8.57"/>
    <col customWidth="1" min="15" max="15" width="18.29"/>
    <col customWidth="1" min="16" max="16" width="9.0"/>
    <col customWidth="1" min="17" max="17" width="19.86"/>
    <col customWidth="1" min="18" max="18" width="21.14"/>
  </cols>
  <sheetData>
    <row r="1">
      <c r="A1" s="714" t="s">
        <v>7659</v>
      </c>
      <c r="B1" s="715" t="s">
        <v>8019</v>
      </c>
      <c r="C1" s="716" t="s">
        <v>8020</v>
      </c>
      <c r="D1" s="715" t="s">
        <v>7661</v>
      </c>
      <c r="E1" s="715" t="s">
        <v>7662</v>
      </c>
      <c r="F1" s="715" t="s">
        <v>7664</v>
      </c>
      <c r="G1" s="715" t="s">
        <v>8021</v>
      </c>
      <c r="H1" s="715" t="s">
        <v>8022</v>
      </c>
      <c r="I1" s="715" t="s">
        <v>1</v>
      </c>
      <c r="J1" s="715" t="s">
        <v>7663</v>
      </c>
      <c r="K1" s="717" t="s">
        <v>8023</v>
      </c>
      <c r="L1" s="715" t="s">
        <v>8024</v>
      </c>
      <c r="M1" s="715" t="s">
        <v>8025</v>
      </c>
      <c r="N1" s="715" t="s">
        <v>8026</v>
      </c>
      <c r="O1" s="715" t="s">
        <v>8027</v>
      </c>
      <c r="P1" s="715" t="s">
        <v>8028</v>
      </c>
      <c r="Q1" s="718" t="s">
        <v>8029</v>
      </c>
      <c r="R1" s="715" t="s">
        <v>8030</v>
      </c>
      <c r="S1" s="653"/>
      <c r="T1" s="653"/>
      <c r="U1" s="653"/>
      <c r="V1" s="653"/>
      <c r="W1" s="653"/>
      <c r="X1" s="653"/>
      <c r="Y1" s="653"/>
      <c r="Z1" s="653"/>
    </row>
    <row r="2">
      <c r="A2" s="719" t="s">
        <v>8031</v>
      </c>
      <c r="B2" s="720" t="s">
        <v>8032</v>
      </c>
      <c r="C2" s="721">
        <v>43739.0</v>
      </c>
      <c r="D2" s="720" t="s">
        <v>8033</v>
      </c>
      <c r="E2" s="720" t="s">
        <v>8034</v>
      </c>
      <c r="F2" s="236"/>
      <c r="G2" s="236"/>
      <c r="H2" s="236"/>
      <c r="I2" s="720" t="s">
        <v>8035</v>
      </c>
      <c r="J2" s="720" t="s">
        <v>4660</v>
      </c>
      <c r="K2" s="81">
        <v>0.0</v>
      </c>
      <c r="L2" s="720" t="s">
        <v>4660</v>
      </c>
      <c r="M2" s="720">
        <v>0.0</v>
      </c>
      <c r="N2" s="720">
        <v>0.0</v>
      </c>
      <c r="O2" s="236"/>
      <c r="P2" s="236"/>
      <c r="Q2" s="722" t="s">
        <v>8036</v>
      </c>
      <c r="R2" s="236"/>
      <c r="S2" s="653"/>
      <c r="T2" s="653"/>
      <c r="U2" s="653"/>
      <c r="V2" s="653"/>
      <c r="W2" s="653"/>
      <c r="X2" s="653"/>
      <c r="Y2" s="653"/>
      <c r="Z2" s="653"/>
    </row>
    <row r="3">
      <c r="A3" s="719" t="s">
        <v>8031</v>
      </c>
      <c r="B3" s="720" t="s">
        <v>8032</v>
      </c>
      <c r="C3" s="721">
        <v>43739.0</v>
      </c>
      <c r="D3" s="720" t="s">
        <v>8037</v>
      </c>
      <c r="E3" s="720" t="s">
        <v>8037</v>
      </c>
      <c r="F3" s="720" t="s">
        <v>7722</v>
      </c>
      <c r="G3" s="720">
        <v>3.3757421543E10</v>
      </c>
      <c r="H3" s="236"/>
      <c r="I3" s="720" t="s">
        <v>8038</v>
      </c>
      <c r="J3" s="720" t="s">
        <v>4852</v>
      </c>
      <c r="K3" s="81">
        <v>0.0</v>
      </c>
      <c r="L3" s="720" t="s">
        <v>4852</v>
      </c>
      <c r="M3" s="720">
        <v>0.0</v>
      </c>
      <c r="N3" s="720">
        <v>0.0</v>
      </c>
      <c r="O3" s="236"/>
      <c r="P3" s="723" t="s">
        <v>8039</v>
      </c>
      <c r="Q3" s="722" t="s">
        <v>8040</v>
      </c>
      <c r="R3" s="236"/>
      <c r="S3" s="653"/>
      <c r="T3" s="653"/>
      <c r="U3" s="653"/>
      <c r="V3" s="653"/>
      <c r="W3" s="653"/>
      <c r="X3" s="653"/>
      <c r="Y3" s="653"/>
      <c r="Z3" s="653"/>
    </row>
    <row r="4">
      <c r="A4" s="724" t="s">
        <v>8041</v>
      </c>
      <c r="B4" s="725" t="s">
        <v>8032</v>
      </c>
      <c r="C4" s="726">
        <v>43743.0</v>
      </c>
      <c r="D4" s="725" t="s">
        <v>8042</v>
      </c>
      <c r="E4" s="725" t="s">
        <v>8043</v>
      </c>
      <c r="F4" s="725" t="s">
        <v>7685</v>
      </c>
      <c r="G4" s="727">
        <v>9.71101010101E12</v>
      </c>
      <c r="H4" s="702"/>
      <c r="I4" s="725" t="s">
        <v>8044</v>
      </c>
      <c r="J4" s="725" t="s">
        <v>5673</v>
      </c>
      <c r="K4" s="728">
        <v>1.0</v>
      </c>
      <c r="L4" s="725" t="s">
        <v>4461</v>
      </c>
      <c r="M4" s="727">
        <v>0.0</v>
      </c>
      <c r="N4" s="727">
        <v>0.0</v>
      </c>
      <c r="O4" s="702"/>
      <c r="P4" s="702"/>
      <c r="Q4" s="729" t="s">
        <v>8045</v>
      </c>
      <c r="R4" s="702"/>
      <c r="S4" s="653"/>
      <c r="T4" s="653"/>
      <c r="U4" s="653"/>
      <c r="V4" s="653"/>
      <c r="W4" s="653"/>
      <c r="X4" s="653"/>
      <c r="Y4" s="653"/>
      <c r="Z4" s="653"/>
    </row>
    <row r="5">
      <c r="A5" s="719" t="s">
        <v>8041</v>
      </c>
      <c r="B5" s="720" t="s">
        <v>8032</v>
      </c>
      <c r="C5" s="721">
        <v>43743.0</v>
      </c>
      <c r="D5" s="720" t="s">
        <v>8046</v>
      </c>
      <c r="E5" s="720" t="s">
        <v>8047</v>
      </c>
      <c r="F5" s="720" t="s">
        <v>7793</v>
      </c>
      <c r="G5" s="730">
        <v>4.917612008344E12</v>
      </c>
      <c r="H5" s="236"/>
      <c r="I5" s="720" t="s">
        <v>8038</v>
      </c>
      <c r="J5" s="720" t="s">
        <v>4660</v>
      </c>
      <c r="K5" s="81">
        <v>0.0</v>
      </c>
      <c r="L5" s="720" t="s">
        <v>4660</v>
      </c>
      <c r="M5" s="730">
        <v>0.0</v>
      </c>
      <c r="N5" s="730">
        <v>0.0</v>
      </c>
      <c r="O5" s="236"/>
      <c r="P5" s="236"/>
      <c r="Q5" s="722" t="s">
        <v>8045</v>
      </c>
      <c r="R5" s="236"/>
      <c r="S5" s="653"/>
      <c r="T5" s="653"/>
      <c r="U5" s="653"/>
      <c r="V5" s="653"/>
      <c r="W5" s="653"/>
      <c r="X5" s="653"/>
      <c r="Y5" s="653"/>
      <c r="Z5" s="653"/>
    </row>
    <row r="6">
      <c r="A6" s="719" t="s">
        <v>8041</v>
      </c>
      <c r="B6" s="720" t="s">
        <v>8032</v>
      </c>
      <c r="C6" s="721">
        <v>43743.0</v>
      </c>
      <c r="D6" s="731" t="s">
        <v>8048</v>
      </c>
      <c r="E6" s="732" t="s">
        <v>8049</v>
      </c>
      <c r="F6" s="732" t="s">
        <v>8050</v>
      </c>
      <c r="G6" s="733">
        <v>9.6566792777E10</v>
      </c>
      <c r="H6" s="734"/>
      <c r="I6" s="732" t="s">
        <v>8038</v>
      </c>
      <c r="J6" s="732" t="s">
        <v>4458</v>
      </c>
      <c r="K6" s="735">
        <v>0.0</v>
      </c>
      <c r="L6" s="732" t="s">
        <v>4458</v>
      </c>
      <c r="M6" s="733">
        <v>0.0</v>
      </c>
      <c r="N6" s="733">
        <v>0.0</v>
      </c>
      <c r="O6" s="734"/>
      <c r="P6" s="734"/>
      <c r="Q6" s="736" t="s">
        <v>8051</v>
      </c>
      <c r="R6" s="734"/>
      <c r="S6" s="653"/>
      <c r="T6" s="653"/>
      <c r="U6" s="653"/>
      <c r="V6" s="653"/>
      <c r="W6" s="653"/>
      <c r="X6" s="653"/>
      <c r="Y6" s="653"/>
      <c r="Z6" s="653"/>
    </row>
    <row r="7">
      <c r="A7" s="719" t="s">
        <v>8041</v>
      </c>
      <c r="B7" s="720" t="s">
        <v>8032</v>
      </c>
      <c r="C7" s="721">
        <v>43743.0</v>
      </c>
      <c r="D7" s="720" t="s">
        <v>8052</v>
      </c>
      <c r="E7" s="720" t="s">
        <v>8053</v>
      </c>
      <c r="F7" s="720" t="s">
        <v>7827</v>
      </c>
      <c r="G7" s="730">
        <v>2.34703039931E12</v>
      </c>
      <c r="H7" s="236"/>
      <c r="I7" s="720" t="s">
        <v>8038</v>
      </c>
      <c r="J7" s="720" t="s">
        <v>7772</v>
      </c>
      <c r="K7" s="81">
        <v>0.0</v>
      </c>
      <c r="L7" s="720" t="s">
        <v>7772</v>
      </c>
      <c r="M7" s="730">
        <v>0.0</v>
      </c>
      <c r="N7" s="730">
        <v>0.0</v>
      </c>
      <c r="O7" s="236"/>
      <c r="P7" s="236"/>
      <c r="Q7" s="722" t="s">
        <v>8051</v>
      </c>
      <c r="R7" s="236"/>
      <c r="S7" s="653"/>
      <c r="T7" s="653"/>
      <c r="U7" s="653"/>
      <c r="V7" s="653"/>
      <c r="W7" s="653"/>
      <c r="X7" s="653"/>
      <c r="Y7" s="653"/>
      <c r="Z7" s="653"/>
    </row>
    <row r="8">
      <c r="A8" s="719" t="s">
        <v>8041</v>
      </c>
      <c r="B8" s="720" t="s">
        <v>8032</v>
      </c>
      <c r="C8" s="721">
        <v>43743.0</v>
      </c>
      <c r="D8" s="720" t="s">
        <v>8054</v>
      </c>
      <c r="E8" s="720" t="s">
        <v>8055</v>
      </c>
      <c r="F8" s="720" t="s">
        <v>7674</v>
      </c>
      <c r="G8" s="730">
        <v>9.19982807363E11</v>
      </c>
      <c r="H8" s="236"/>
      <c r="I8" s="720" t="s">
        <v>8038</v>
      </c>
      <c r="J8" s="720" t="s">
        <v>4503</v>
      </c>
      <c r="K8" s="81">
        <v>0.0</v>
      </c>
      <c r="L8" s="720" t="s">
        <v>4503</v>
      </c>
      <c r="M8" s="730">
        <v>0.0</v>
      </c>
      <c r="N8" s="730">
        <v>0.0</v>
      </c>
      <c r="O8" s="236"/>
      <c r="P8" s="236"/>
      <c r="Q8" s="722" t="s">
        <v>8051</v>
      </c>
      <c r="R8" s="236"/>
      <c r="S8" s="653"/>
      <c r="T8" s="653"/>
      <c r="U8" s="653"/>
      <c r="V8" s="653"/>
      <c r="W8" s="653"/>
      <c r="X8" s="653"/>
      <c r="Y8" s="653"/>
      <c r="Z8" s="653"/>
    </row>
    <row r="9">
      <c r="A9" s="719" t="s">
        <v>8056</v>
      </c>
      <c r="B9" s="720" t="s">
        <v>8032</v>
      </c>
      <c r="C9" s="721">
        <v>43743.0</v>
      </c>
      <c r="D9" s="720" t="s">
        <v>8057</v>
      </c>
      <c r="E9" s="720" t="s">
        <v>8057</v>
      </c>
      <c r="F9" s="720" t="s">
        <v>7793</v>
      </c>
      <c r="G9" s="730">
        <v>4.91785611262E11</v>
      </c>
      <c r="H9" s="236"/>
      <c r="I9" s="720" t="s">
        <v>8038</v>
      </c>
      <c r="J9" s="720" t="s">
        <v>4660</v>
      </c>
      <c r="K9" s="81">
        <v>0.0</v>
      </c>
      <c r="L9" s="720" t="s">
        <v>4660</v>
      </c>
      <c r="M9" s="730">
        <v>0.0</v>
      </c>
      <c r="N9" s="730">
        <v>0.0</v>
      </c>
      <c r="O9" s="236"/>
      <c r="P9" s="236"/>
      <c r="Q9" s="722" t="s">
        <v>8058</v>
      </c>
      <c r="R9" s="236"/>
      <c r="S9" s="653"/>
      <c r="T9" s="653"/>
      <c r="U9" s="653"/>
      <c r="V9" s="653"/>
      <c r="W9" s="653"/>
      <c r="X9" s="653"/>
      <c r="Y9" s="653"/>
      <c r="Z9" s="653"/>
    </row>
    <row r="10">
      <c r="A10" s="719" t="s">
        <v>8056</v>
      </c>
      <c r="B10" s="720" t="s">
        <v>8032</v>
      </c>
      <c r="C10" s="721">
        <v>43743.0</v>
      </c>
      <c r="D10" s="720" t="s">
        <v>8059</v>
      </c>
      <c r="E10" s="720" t="s">
        <v>8059</v>
      </c>
      <c r="F10" s="720" t="s">
        <v>7797</v>
      </c>
      <c r="G10" s="730">
        <v>8.61500484007E11</v>
      </c>
      <c r="H10" s="236"/>
      <c r="I10" s="720" t="s">
        <v>8038</v>
      </c>
      <c r="J10" s="720" t="s">
        <v>4542</v>
      </c>
      <c r="K10" s="81">
        <v>0.0</v>
      </c>
      <c r="L10" s="720" t="s">
        <v>4542</v>
      </c>
      <c r="M10" s="730">
        <v>0.0</v>
      </c>
      <c r="N10" s="730">
        <v>0.0</v>
      </c>
      <c r="O10" s="236"/>
      <c r="P10" s="236"/>
      <c r="Q10" s="722" t="s">
        <v>8058</v>
      </c>
      <c r="R10" s="236"/>
      <c r="S10" s="653"/>
      <c r="T10" s="653"/>
      <c r="U10" s="653"/>
      <c r="V10" s="653"/>
      <c r="W10" s="653"/>
      <c r="X10" s="653"/>
      <c r="Y10" s="653"/>
      <c r="Z10" s="653"/>
    </row>
    <row r="11">
      <c r="A11" s="719" t="s">
        <v>8056</v>
      </c>
      <c r="B11" s="720" t="s">
        <v>8032</v>
      </c>
      <c r="C11" s="721">
        <v>43743.0</v>
      </c>
      <c r="D11" s="720" t="s">
        <v>8060</v>
      </c>
      <c r="E11" s="720" t="s">
        <v>8060</v>
      </c>
      <c r="F11" s="720" t="s">
        <v>7713</v>
      </c>
      <c r="G11" s="730">
        <v>1.8924156769E10</v>
      </c>
      <c r="H11" s="236"/>
      <c r="I11" s="720" t="s">
        <v>8038</v>
      </c>
      <c r="J11" s="720" t="s">
        <v>4542</v>
      </c>
      <c r="K11" s="81">
        <v>0.0</v>
      </c>
      <c r="L11" s="720" t="s">
        <v>7712</v>
      </c>
      <c r="M11" s="730">
        <v>0.0</v>
      </c>
      <c r="N11" s="730">
        <v>0.0</v>
      </c>
      <c r="O11" s="236"/>
      <c r="P11" s="236"/>
      <c r="Q11" s="722" t="s">
        <v>8058</v>
      </c>
      <c r="R11" s="236"/>
      <c r="S11" s="653"/>
      <c r="T11" s="653"/>
      <c r="U11" s="653"/>
      <c r="V11" s="653"/>
      <c r="W11" s="653"/>
      <c r="X11" s="653"/>
      <c r="Y11" s="653"/>
      <c r="Z11" s="653"/>
    </row>
    <row r="12">
      <c r="A12" s="719" t="s">
        <v>8056</v>
      </c>
      <c r="B12" s="720" t="s">
        <v>8032</v>
      </c>
      <c r="C12" s="721">
        <v>43743.0</v>
      </c>
      <c r="D12" s="720" t="s">
        <v>8061</v>
      </c>
      <c r="E12" s="720" t="s">
        <v>8062</v>
      </c>
      <c r="F12" s="720" t="s">
        <v>7713</v>
      </c>
      <c r="G12" s="730">
        <v>1.6681596721E10</v>
      </c>
      <c r="H12" s="236"/>
      <c r="I12" s="720" t="s">
        <v>8038</v>
      </c>
      <c r="J12" s="720" t="s">
        <v>7712</v>
      </c>
      <c r="K12" s="81">
        <v>0.0</v>
      </c>
      <c r="L12" s="720" t="s">
        <v>7712</v>
      </c>
      <c r="M12" s="730">
        <v>0.0</v>
      </c>
      <c r="N12" s="730">
        <v>0.0</v>
      </c>
      <c r="O12" s="236"/>
      <c r="P12" s="236"/>
      <c r="Q12" s="722" t="s">
        <v>8058</v>
      </c>
      <c r="R12" s="236"/>
      <c r="S12" s="653"/>
      <c r="T12" s="653"/>
      <c r="U12" s="653"/>
      <c r="V12" s="653"/>
      <c r="W12" s="653"/>
      <c r="X12" s="653"/>
      <c r="Y12" s="653"/>
      <c r="Z12" s="653"/>
    </row>
    <row r="13">
      <c r="A13" s="719" t="s">
        <v>8056</v>
      </c>
      <c r="B13" s="720" t="s">
        <v>8032</v>
      </c>
      <c r="C13" s="721">
        <v>43743.0</v>
      </c>
      <c r="D13" s="720" t="s">
        <v>8063</v>
      </c>
      <c r="E13" s="720" t="s">
        <v>8064</v>
      </c>
      <c r="F13" s="720" t="s">
        <v>7685</v>
      </c>
      <c r="G13" s="730">
        <v>9.71564343344E11</v>
      </c>
      <c r="H13" s="236"/>
      <c r="I13" s="720" t="s">
        <v>8038</v>
      </c>
      <c r="J13" s="720" t="s">
        <v>4461</v>
      </c>
      <c r="K13" s="81">
        <v>1.0</v>
      </c>
      <c r="L13" s="720" t="s">
        <v>4461</v>
      </c>
      <c r="M13" s="730">
        <v>0.0</v>
      </c>
      <c r="N13" s="730">
        <v>0.0</v>
      </c>
      <c r="O13" s="236"/>
      <c r="P13" s="236"/>
      <c r="Q13" s="722" t="s">
        <v>8051</v>
      </c>
      <c r="R13" s="236"/>
      <c r="S13" s="653"/>
      <c r="T13" s="653"/>
      <c r="U13" s="653"/>
      <c r="V13" s="653"/>
      <c r="W13" s="653"/>
      <c r="X13" s="653"/>
      <c r="Y13" s="653"/>
      <c r="Z13" s="653"/>
    </row>
    <row r="14">
      <c r="A14" s="719" t="s">
        <v>8056</v>
      </c>
      <c r="B14" s="720" t="s">
        <v>8032</v>
      </c>
      <c r="C14" s="721">
        <v>43743.0</v>
      </c>
      <c r="D14" s="720" t="s">
        <v>8065</v>
      </c>
      <c r="E14" s="720" t="s">
        <v>8066</v>
      </c>
      <c r="F14" s="720" t="s">
        <v>7793</v>
      </c>
      <c r="G14" s="730">
        <v>4.91797033401E11</v>
      </c>
      <c r="H14" s="236"/>
      <c r="I14" s="720" t="s">
        <v>8038</v>
      </c>
      <c r="J14" s="720" t="s">
        <v>4660</v>
      </c>
      <c r="K14" s="81">
        <v>0.0</v>
      </c>
      <c r="L14" s="720" t="s">
        <v>4660</v>
      </c>
      <c r="M14" s="730">
        <v>0.0</v>
      </c>
      <c r="N14" s="730">
        <v>0.0</v>
      </c>
      <c r="O14" s="236"/>
      <c r="P14" s="236"/>
      <c r="Q14" s="722" t="s">
        <v>8051</v>
      </c>
      <c r="R14" s="236"/>
      <c r="S14" s="653"/>
      <c r="T14" s="653"/>
      <c r="U14" s="653"/>
      <c r="V14" s="653"/>
      <c r="W14" s="653"/>
      <c r="X14" s="653"/>
      <c r="Y14" s="653"/>
      <c r="Z14" s="653"/>
    </row>
    <row r="15">
      <c r="A15" s="719" t="s">
        <v>8056</v>
      </c>
      <c r="B15" s="720" t="s">
        <v>8032</v>
      </c>
      <c r="C15" s="721">
        <v>43743.0</v>
      </c>
      <c r="D15" s="720" t="s">
        <v>8067</v>
      </c>
      <c r="E15" s="720" t="s">
        <v>8068</v>
      </c>
      <c r="F15" s="720" t="s">
        <v>8069</v>
      </c>
      <c r="G15" s="730">
        <v>9.7333622111E10</v>
      </c>
      <c r="H15" s="236"/>
      <c r="I15" s="720" t="s">
        <v>8038</v>
      </c>
      <c r="J15" s="720" t="s">
        <v>5504</v>
      </c>
      <c r="K15" s="81">
        <v>0.0</v>
      </c>
      <c r="L15" s="720" t="s">
        <v>5504</v>
      </c>
      <c r="M15" s="730">
        <v>0.0</v>
      </c>
      <c r="N15" s="730">
        <v>0.0</v>
      </c>
      <c r="O15" s="236"/>
      <c r="P15" s="236"/>
      <c r="Q15" s="722" t="s">
        <v>8051</v>
      </c>
      <c r="R15" s="236"/>
      <c r="S15" s="653"/>
      <c r="T15" s="653"/>
      <c r="U15" s="653"/>
      <c r="V15" s="653"/>
      <c r="W15" s="653"/>
      <c r="X15" s="653"/>
      <c r="Y15" s="653"/>
      <c r="Z15" s="653"/>
    </row>
    <row r="16">
      <c r="A16" s="719" t="s">
        <v>8056</v>
      </c>
      <c r="B16" s="720" t="s">
        <v>8032</v>
      </c>
      <c r="C16" s="721">
        <v>43743.0</v>
      </c>
      <c r="D16" s="737" t="s">
        <v>8070</v>
      </c>
      <c r="E16" s="737" t="s">
        <v>8071</v>
      </c>
      <c r="F16" s="737" t="s">
        <v>7685</v>
      </c>
      <c r="G16" s="738">
        <v>9.71504210266E11</v>
      </c>
      <c r="H16" s="739"/>
      <c r="I16" s="737" t="s">
        <v>8038</v>
      </c>
      <c r="J16" s="737" t="s">
        <v>4461</v>
      </c>
      <c r="K16" s="740">
        <v>1.0</v>
      </c>
      <c r="L16" s="737" t="s">
        <v>4461</v>
      </c>
      <c r="M16" s="738">
        <v>0.0</v>
      </c>
      <c r="N16" s="738">
        <v>0.0</v>
      </c>
      <c r="O16" s="739"/>
      <c r="P16" s="739"/>
      <c r="Q16" s="741" t="s">
        <v>8051</v>
      </c>
      <c r="R16" s="739"/>
      <c r="S16" s="653"/>
      <c r="T16" s="653"/>
      <c r="U16" s="653"/>
      <c r="V16" s="653"/>
      <c r="W16" s="653"/>
      <c r="X16" s="653"/>
      <c r="Y16" s="653"/>
      <c r="Z16" s="653"/>
    </row>
    <row r="17">
      <c r="A17" s="719" t="s">
        <v>8056</v>
      </c>
      <c r="B17" s="720" t="s">
        <v>8032</v>
      </c>
      <c r="C17" s="721">
        <v>43743.0</v>
      </c>
      <c r="D17" s="737" t="s">
        <v>3582</v>
      </c>
      <c r="E17" s="737" t="s">
        <v>8064</v>
      </c>
      <c r="F17" s="737" t="s">
        <v>7685</v>
      </c>
      <c r="G17" s="738">
        <v>9.71564343344E11</v>
      </c>
      <c r="H17" s="739"/>
      <c r="I17" s="737" t="s">
        <v>8038</v>
      </c>
      <c r="J17" s="737" t="s">
        <v>4461</v>
      </c>
      <c r="K17" s="740">
        <v>1.0</v>
      </c>
      <c r="L17" s="737" t="s">
        <v>4461</v>
      </c>
      <c r="M17" s="738">
        <v>0.0</v>
      </c>
      <c r="N17" s="738">
        <v>0.0</v>
      </c>
      <c r="O17" s="739"/>
      <c r="P17" s="739"/>
      <c r="Q17" s="741" t="s">
        <v>8051</v>
      </c>
      <c r="R17" s="739"/>
      <c r="S17" s="653"/>
      <c r="T17" s="653"/>
      <c r="U17" s="653"/>
      <c r="V17" s="653"/>
      <c r="W17" s="653"/>
      <c r="X17" s="653"/>
      <c r="Y17" s="653"/>
      <c r="Z17" s="653"/>
    </row>
    <row r="18">
      <c r="A18" s="719" t="s">
        <v>8056</v>
      </c>
      <c r="B18" s="720" t="s">
        <v>8032</v>
      </c>
      <c r="C18" s="721">
        <v>43743.0</v>
      </c>
      <c r="D18" s="720" t="s">
        <v>8068</v>
      </c>
      <c r="E18" s="720" t="s">
        <v>8072</v>
      </c>
      <c r="F18" s="720" t="s">
        <v>7701</v>
      </c>
      <c r="G18" s="730">
        <v>9.66563001486E11</v>
      </c>
      <c r="H18" s="236"/>
      <c r="I18" s="720" t="s">
        <v>8038</v>
      </c>
      <c r="J18" s="720" t="s">
        <v>7700</v>
      </c>
      <c r="K18" s="81">
        <v>0.0</v>
      </c>
      <c r="L18" s="720" t="s">
        <v>7700</v>
      </c>
      <c r="M18" s="730">
        <v>0.0</v>
      </c>
      <c r="N18" s="730">
        <v>0.0</v>
      </c>
      <c r="O18" s="236"/>
      <c r="P18" s="236"/>
      <c r="Q18" s="722" t="s">
        <v>8051</v>
      </c>
      <c r="R18" s="236"/>
      <c r="S18" s="653"/>
      <c r="T18" s="653"/>
      <c r="U18" s="653"/>
      <c r="V18" s="653"/>
      <c r="W18" s="653"/>
      <c r="X18" s="653"/>
      <c r="Y18" s="653"/>
      <c r="Z18" s="653"/>
    </row>
    <row r="19">
      <c r="A19" s="719" t="s">
        <v>8056</v>
      </c>
      <c r="B19" s="720" t="s">
        <v>8032</v>
      </c>
      <c r="C19" s="721">
        <v>43743.0</v>
      </c>
      <c r="D19" s="720" t="s">
        <v>8073</v>
      </c>
      <c r="E19" s="720" t="s">
        <v>6099</v>
      </c>
      <c r="F19" s="720" t="s">
        <v>8074</v>
      </c>
      <c r="G19" s="730">
        <v>6.596589237E9</v>
      </c>
      <c r="H19" s="236"/>
      <c r="I19" s="720" t="s">
        <v>8038</v>
      </c>
      <c r="J19" s="720" t="s">
        <v>6099</v>
      </c>
      <c r="K19" s="81">
        <v>0.0</v>
      </c>
      <c r="L19" s="720" t="s">
        <v>6099</v>
      </c>
      <c r="M19" s="730">
        <v>0.0</v>
      </c>
      <c r="N19" s="730">
        <v>0.0</v>
      </c>
      <c r="O19" s="236"/>
      <c r="P19" s="236"/>
      <c r="Q19" s="722" t="s">
        <v>8051</v>
      </c>
      <c r="R19" s="236"/>
      <c r="S19" s="653"/>
      <c r="T19" s="653"/>
      <c r="U19" s="653"/>
      <c r="V19" s="653"/>
      <c r="W19" s="653"/>
      <c r="X19" s="653"/>
      <c r="Y19" s="653"/>
      <c r="Z19" s="653"/>
    </row>
    <row r="20">
      <c r="A20" s="719" t="s">
        <v>8056</v>
      </c>
      <c r="B20" s="720" t="s">
        <v>8032</v>
      </c>
      <c r="C20" s="721">
        <v>43743.0</v>
      </c>
      <c r="D20" s="720" t="s">
        <v>8075</v>
      </c>
      <c r="E20" s="720" t="s">
        <v>8076</v>
      </c>
      <c r="F20" s="720" t="s">
        <v>7685</v>
      </c>
      <c r="G20" s="730">
        <v>9.71561148727E11</v>
      </c>
      <c r="H20" s="236"/>
      <c r="I20" s="720" t="s">
        <v>8038</v>
      </c>
      <c r="J20" s="720" t="s">
        <v>4461</v>
      </c>
      <c r="K20" s="81">
        <v>1.0</v>
      </c>
      <c r="L20" s="720" t="s">
        <v>4461</v>
      </c>
      <c r="M20" s="730">
        <v>0.0</v>
      </c>
      <c r="N20" s="730">
        <v>0.0</v>
      </c>
      <c r="O20" s="236"/>
      <c r="P20" s="236"/>
      <c r="Q20" s="722" t="s">
        <v>8051</v>
      </c>
      <c r="R20" s="236"/>
      <c r="S20" s="653"/>
      <c r="T20" s="653"/>
      <c r="U20" s="653"/>
      <c r="V20" s="653"/>
      <c r="W20" s="653"/>
      <c r="X20" s="653"/>
      <c r="Y20" s="653"/>
      <c r="Z20" s="653"/>
    </row>
    <row r="21">
      <c r="A21" s="719" t="s">
        <v>8056</v>
      </c>
      <c r="B21" s="720" t="s">
        <v>8032</v>
      </c>
      <c r="C21" s="721">
        <v>43743.0</v>
      </c>
      <c r="D21" s="720" t="s">
        <v>8077</v>
      </c>
      <c r="E21" s="720" t="s">
        <v>8078</v>
      </c>
      <c r="F21" s="720" t="s">
        <v>8079</v>
      </c>
      <c r="G21" s="730">
        <v>8.5292202613E10</v>
      </c>
      <c r="H21" s="236"/>
      <c r="I21" s="720" t="s">
        <v>8038</v>
      </c>
      <c r="J21" s="720" t="s">
        <v>8080</v>
      </c>
      <c r="K21" s="81">
        <v>0.0</v>
      </c>
      <c r="L21" s="720" t="s">
        <v>8080</v>
      </c>
      <c r="M21" s="730">
        <v>0.0</v>
      </c>
      <c r="N21" s="730">
        <v>0.0</v>
      </c>
      <c r="O21" s="236"/>
      <c r="P21" s="236"/>
      <c r="Q21" s="722" t="s">
        <v>8051</v>
      </c>
      <c r="R21" s="236"/>
      <c r="S21" s="653"/>
      <c r="T21" s="653"/>
      <c r="U21" s="653"/>
      <c r="V21" s="653"/>
      <c r="W21" s="653"/>
      <c r="X21" s="653"/>
      <c r="Y21" s="653"/>
      <c r="Z21" s="653"/>
    </row>
    <row r="22">
      <c r="A22" s="719" t="s">
        <v>8056</v>
      </c>
      <c r="B22" s="720" t="s">
        <v>8032</v>
      </c>
      <c r="C22" s="721">
        <v>43743.0</v>
      </c>
      <c r="D22" s="720" t="s">
        <v>8081</v>
      </c>
      <c r="E22" s="720" t="s">
        <v>8082</v>
      </c>
      <c r="F22" s="236"/>
      <c r="G22" s="236"/>
      <c r="H22" s="236"/>
      <c r="I22" s="720" t="s">
        <v>8083</v>
      </c>
      <c r="J22" s="720" t="s">
        <v>4503</v>
      </c>
      <c r="K22" s="81">
        <v>1.0</v>
      </c>
      <c r="L22" s="720" t="s">
        <v>4461</v>
      </c>
      <c r="M22" s="730">
        <v>0.0</v>
      </c>
      <c r="N22" s="730">
        <v>0.0</v>
      </c>
      <c r="O22" s="236"/>
      <c r="P22" s="236"/>
      <c r="Q22" s="722" t="s">
        <v>8084</v>
      </c>
      <c r="R22" s="236"/>
      <c r="S22" s="653"/>
      <c r="T22" s="653"/>
      <c r="U22" s="653"/>
      <c r="V22" s="653"/>
      <c r="W22" s="653"/>
      <c r="X22" s="653"/>
      <c r="Y22" s="653"/>
      <c r="Z22" s="653"/>
    </row>
    <row r="23">
      <c r="A23" s="719" t="s">
        <v>8056</v>
      </c>
      <c r="B23" s="720" t="s">
        <v>8032</v>
      </c>
      <c r="C23" s="721">
        <v>43743.0</v>
      </c>
      <c r="D23" s="720" t="s">
        <v>8085</v>
      </c>
      <c r="E23" s="720" t="s">
        <v>8086</v>
      </c>
      <c r="F23" s="720" t="s">
        <v>8087</v>
      </c>
      <c r="G23" s="730">
        <v>9.96707977475E11</v>
      </c>
      <c r="H23" s="236"/>
      <c r="I23" s="720" t="s">
        <v>8038</v>
      </c>
      <c r="J23" s="720" t="s">
        <v>8088</v>
      </c>
      <c r="K23" s="81">
        <v>0.0</v>
      </c>
      <c r="L23" s="720" t="s">
        <v>8088</v>
      </c>
      <c r="M23" s="730">
        <v>0.0</v>
      </c>
      <c r="N23" s="730">
        <v>0.0</v>
      </c>
      <c r="O23" s="236"/>
      <c r="P23" s="236"/>
      <c r="Q23" s="722" t="s">
        <v>8045</v>
      </c>
      <c r="R23" s="236"/>
      <c r="S23" s="653"/>
      <c r="T23" s="653"/>
      <c r="U23" s="653"/>
      <c r="V23" s="653"/>
      <c r="W23" s="653"/>
      <c r="X23" s="653"/>
      <c r="Y23" s="653"/>
      <c r="Z23" s="653"/>
    </row>
    <row r="24">
      <c r="A24" s="719" t="s">
        <v>8056</v>
      </c>
      <c r="B24" s="720" t="s">
        <v>8032</v>
      </c>
      <c r="C24" s="721">
        <v>43743.0</v>
      </c>
      <c r="D24" s="732" t="s">
        <v>8089</v>
      </c>
      <c r="E24" s="732" t="s">
        <v>8090</v>
      </c>
      <c r="F24" s="732" t="s">
        <v>7797</v>
      </c>
      <c r="G24" s="733">
        <v>8.613127806822E12</v>
      </c>
      <c r="H24" s="734"/>
      <c r="I24" s="732" t="s">
        <v>8038</v>
      </c>
      <c r="J24" s="732" t="s">
        <v>4542</v>
      </c>
      <c r="K24" s="735">
        <v>0.0</v>
      </c>
      <c r="L24" s="732" t="s">
        <v>4542</v>
      </c>
      <c r="M24" s="733">
        <v>0.0</v>
      </c>
      <c r="N24" s="733">
        <v>0.0</v>
      </c>
      <c r="O24" s="734"/>
      <c r="P24" s="734"/>
      <c r="Q24" s="736" t="s">
        <v>8051</v>
      </c>
      <c r="R24" s="734"/>
      <c r="S24" s="653"/>
      <c r="T24" s="653"/>
      <c r="U24" s="653"/>
      <c r="V24" s="653"/>
      <c r="W24" s="653"/>
      <c r="X24" s="653"/>
      <c r="Y24" s="653"/>
      <c r="Z24" s="653"/>
    </row>
    <row r="25">
      <c r="A25" s="724" t="s">
        <v>8056</v>
      </c>
      <c r="B25" s="725" t="s">
        <v>8032</v>
      </c>
      <c r="C25" s="726">
        <v>43744.0</v>
      </c>
      <c r="D25" s="725" t="s">
        <v>368</v>
      </c>
      <c r="E25" s="725" t="s">
        <v>8091</v>
      </c>
      <c r="F25" s="725" t="s">
        <v>7685</v>
      </c>
      <c r="G25" s="725">
        <v>9.71554362908E11</v>
      </c>
      <c r="H25" s="702"/>
      <c r="I25" s="725" t="s">
        <v>8038</v>
      </c>
      <c r="J25" s="725" t="s">
        <v>4517</v>
      </c>
      <c r="K25" s="728">
        <v>0.0</v>
      </c>
      <c r="L25" s="725" t="s">
        <v>4517</v>
      </c>
      <c r="M25" s="725">
        <v>0.0</v>
      </c>
      <c r="N25" s="725">
        <v>0.0</v>
      </c>
      <c r="O25" s="702"/>
      <c r="P25" s="702"/>
      <c r="Q25" s="729" t="s">
        <v>8092</v>
      </c>
      <c r="R25" s="702"/>
      <c r="S25" s="653"/>
      <c r="T25" s="653"/>
      <c r="U25" s="653"/>
      <c r="V25" s="653"/>
      <c r="W25" s="653"/>
      <c r="X25" s="653"/>
      <c r="Y25" s="653"/>
      <c r="Z25" s="653"/>
    </row>
    <row r="26">
      <c r="A26" s="719" t="s">
        <v>8056</v>
      </c>
      <c r="B26" s="720" t="s">
        <v>8032</v>
      </c>
      <c r="C26" s="721">
        <v>43744.0</v>
      </c>
      <c r="D26" s="720" t="s">
        <v>8093</v>
      </c>
      <c r="E26" s="720" t="s">
        <v>8094</v>
      </c>
      <c r="F26" s="720" t="s">
        <v>7685</v>
      </c>
      <c r="G26" s="720">
        <v>9.71557800763E11</v>
      </c>
      <c r="H26" s="236"/>
      <c r="I26" s="720" t="s">
        <v>8038</v>
      </c>
      <c r="J26" s="720" t="s">
        <v>4503</v>
      </c>
      <c r="K26" s="81">
        <v>1.0</v>
      </c>
      <c r="L26" s="720" t="s">
        <v>4461</v>
      </c>
      <c r="M26" s="720">
        <v>0.0</v>
      </c>
      <c r="N26" s="720">
        <v>0.0</v>
      </c>
      <c r="O26" s="236"/>
      <c r="P26" s="236"/>
      <c r="Q26" s="722" t="s">
        <v>8092</v>
      </c>
      <c r="R26" s="236"/>
      <c r="S26" s="653"/>
      <c r="T26" s="653"/>
      <c r="U26" s="653"/>
      <c r="V26" s="653"/>
      <c r="W26" s="653"/>
      <c r="X26" s="653"/>
      <c r="Y26" s="653"/>
      <c r="Z26" s="653"/>
    </row>
    <row r="27">
      <c r="A27" s="719" t="s">
        <v>8056</v>
      </c>
      <c r="B27" s="720" t="s">
        <v>8032</v>
      </c>
      <c r="C27" s="721">
        <v>43744.0</v>
      </c>
      <c r="D27" s="720" t="s">
        <v>7764</v>
      </c>
      <c r="E27" s="720" t="s">
        <v>8095</v>
      </c>
      <c r="F27" s="720" t="s">
        <v>7685</v>
      </c>
      <c r="G27" s="720">
        <v>9.71568560001E11</v>
      </c>
      <c r="H27" s="236"/>
      <c r="I27" s="720" t="s">
        <v>8038</v>
      </c>
      <c r="J27" s="720" t="s">
        <v>4503</v>
      </c>
      <c r="K27" s="81">
        <v>1.0</v>
      </c>
      <c r="L27" s="720" t="s">
        <v>4461</v>
      </c>
      <c r="M27" s="720">
        <v>0.0</v>
      </c>
      <c r="N27" s="720">
        <v>0.0</v>
      </c>
      <c r="O27" s="236"/>
      <c r="P27" s="236"/>
      <c r="Q27" s="722" t="s">
        <v>8092</v>
      </c>
      <c r="R27" s="236"/>
      <c r="S27" s="653"/>
      <c r="T27" s="653"/>
      <c r="U27" s="653"/>
      <c r="V27" s="653"/>
      <c r="W27" s="653"/>
      <c r="X27" s="653"/>
      <c r="Y27" s="653"/>
      <c r="Z27" s="653"/>
    </row>
    <row r="28">
      <c r="A28" s="719" t="s">
        <v>8056</v>
      </c>
      <c r="B28" s="720" t="s">
        <v>8032</v>
      </c>
      <c r="C28" s="721">
        <v>43744.0</v>
      </c>
      <c r="D28" s="732" t="s">
        <v>8096</v>
      </c>
      <c r="E28" s="732" t="s">
        <v>8097</v>
      </c>
      <c r="F28" s="732" t="s">
        <v>7685</v>
      </c>
      <c r="G28" s="732">
        <v>9.71568913055E11</v>
      </c>
      <c r="H28" s="734"/>
      <c r="I28" s="732" t="s">
        <v>8038</v>
      </c>
      <c r="J28" s="732" t="s">
        <v>4458</v>
      </c>
      <c r="K28" s="735">
        <v>1.0</v>
      </c>
      <c r="L28" s="732" t="s">
        <v>4461</v>
      </c>
      <c r="M28" s="732">
        <v>0.0</v>
      </c>
      <c r="N28" s="732">
        <v>0.0</v>
      </c>
      <c r="O28" s="734"/>
      <c r="P28" s="734"/>
      <c r="Q28" s="736" t="s">
        <v>8092</v>
      </c>
      <c r="R28" s="742" t="s">
        <v>8098</v>
      </c>
      <c r="S28" s="653"/>
      <c r="T28" s="653"/>
      <c r="U28" s="653"/>
      <c r="V28" s="653"/>
      <c r="W28" s="653"/>
      <c r="X28" s="653"/>
      <c r="Y28" s="653"/>
      <c r="Z28" s="653"/>
    </row>
    <row r="29">
      <c r="A29" s="719" t="s">
        <v>8056</v>
      </c>
      <c r="B29" s="720" t="s">
        <v>8032</v>
      </c>
      <c r="C29" s="721">
        <v>43744.0</v>
      </c>
      <c r="D29" s="732" t="s">
        <v>8099</v>
      </c>
      <c r="E29" s="732" t="s">
        <v>8100</v>
      </c>
      <c r="F29" s="732" t="s">
        <v>7674</v>
      </c>
      <c r="G29" s="732">
        <v>9.19884552522E11</v>
      </c>
      <c r="H29" s="734"/>
      <c r="I29" s="732" t="s">
        <v>8038</v>
      </c>
      <c r="J29" s="732" t="s">
        <v>4503</v>
      </c>
      <c r="K29" s="735">
        <v>0.0</v>
      </c>
      <c r="L29" s="732" t="s">
        <v>4503</v>
      </c>
      <c r="M29" s="732">
        <v>0.0</v>
      </c>
      <c r="N29" s="732">
        <v>0.0</v>
      </c>
      <c r="O29" s="734"/>
      <c r="P29" s="734"/>
      <c r="Q29" s="736" t="s">
        <v>8092</v>
      </c>
      <c r="R29" s="734"/>
      <c r="S29" s="653"/>
      <c r="T29" s="653"/>
      <c r="U29" s="653"/>
      <c r="V29" s="653"/>
      <c r="W29" s="653"/>
      <c r="X29" s="653"/>
      <c r="Y29" s="653"/>
      <c r="Z29" s="653"/>
    </row>
    <row r="30">
      <c r="A30" s="719" t="s">
        <v>8056</v>
      </c>
      <c r="B30" s="720" t="s">
        <v>8032</v>
      </c>
      <c r="C30" s="721">
        <v>43744.0</v>
      </c>
      <c r="D30" s="720" t="s">
        <v>8101</v>
      </c>
      <c r="E30" s="720" t="s">
        <v>8101</v>
      </c>
      <c r="F30" s="720" t="s">
        <v>7685</v>
      </c>
      <c r="G30" s="720">
        <v>9.71585876771E11</v>
      </c>
      <c r="H30" s="236"/>
      <c r="I30" s="720" t="s">
        <v>8038</v>
      </c>
      <c r="J30" s="720" t="s">
        <v>4503</v>
      </c>
      <c r="K30" s="81">
        <v>1.0</v>
      </c>
      <c r="L30" s="720" t="s">
        <v>4461</v>
      </c>
      <c r="M30" s="720">
        <v>0.0</v>
      </c>
      <c r="N30" s="720">
        <v>0.0</v>
      </c>
      <c r="O30" s="236"/>
      <c r="P30" s="236"/>
      <c r="Q30" s="722" t="s">
        <v>8045</v>
      </c>
      <c r="R30" s="236"/>
      <c r="S30" s="653"/>
      <c r="T30" s="653"/>
      <c r="U30" s="653"/>
      <c r="V30" s="653"/>
      <c r="W30" s="653"/>
      <c r="X30" s="653"/>
      <c r="Y30" s="653"/>
      <c r="Z30" s="653"/>
    </row>
    <row r="31">
      <c r="A31" s="719" t="s">
        <v>8056</v>
      </c>
      <c r="B31" s="720" t="s">
        <v>8032</v>
      </c>
      <c r="C31" s="721">
        <v>43744.0</v>
      </c>
      <c r="D31" s="732" t="s">
        <v>8102</v>
      </c>
      <c r="E31" s="732" t="s">
        <v>7365</v>
      </c>
      <c r="F31" s="732" t="s">
        <v>7685</v>
      </c>
      <c r="G31" s="732">
        <v>9.71504487798E11</v>
      </c>
      <c r="H31" s="734"/>
      <c r="I31" s="732" t="s">
        <v>8038</v>
      </c>
      <c r="J31" s="732" t="s">
        <v>4461</v>
      </c>
      <c r="K31" s="735">
        <v>1.0</v>
      </c>
      <c r="L31" s="732" t="s">
        <v>4461</v>
      </c>
      <c r="M31" s="732">
        <v>0.0</v>
      </c>
      <c r="N31" s="732">
        <v>0.0</v>
      </c>
      <c r="O31" s="734"/>
      <c r="P31" s="734"/>
      <c r="Q31" s="736" t="s">
        <v>8092</v>
      </c>
      <c r="R31" s="734"/>
      <c r="S31" s="653"/>
      <c r="T31" s="653"/>
      <c r="U31" s="653"/>
      <c r="V31" s="653"/>
      <c r="W31" s="653"/>
      <c r="X31" s="653"/>
      <c r="Y31" s="653"/>
      <c r="Z31" s="653"/>
    </row>
    <row r="32">
      <c r="A32" s="719" t="s">
        <v>8056</v>
      </c>
      <c r="B32" s="720" t="s">
        <v>8032</v>
      </c>
      <c r="C32" s="721">
        <v>43744.0</v>
      </c>
      <c r="D32" s="720" t="s">
        <v>8103</v>
      </c>
      <c r="E32" s="720" t="s">
        <v>8103</v>
      </c>
      <c r="F32" s="720" t="s">
        <v>7685</v>
      </c>
      <c r="G32" s="720">
        <v>9.71504692755E11</v>
      </c>
      <c r="H32" s="236"/>
      <c r="I32" s="720" t="s">
        <v>8038</v>
      </c>
      <c r="J32" s="720" t="s">
        <v>7772</v>
      </c>
      <c r="K32" s="81">
        <v>0.0</v>
      </c>
      <c r="L32" s="720" t="s">
        <v>7772</v>
      </c>
      <c r="M32" s="720">
        <v>0.0</v>
      </c>
      <c r="N32" s="720">
        <v>0.0</v>
      </c>
      <c r="O32" s="236"/>
      <c r="P32" s="236"/>
      <c r="Q32" s="722" t="s">
        <v>8092</v>
      </c>
      <c r="R32" s="236"/>
      <c r="S32" s="653"/>
      <c r="T32" s="653"/>
      <c r="U32" s="653"/>
      <c r="V32" s="653"/>
      <c r="W32" s="653"/>
      <c r="X32" s="653"/>
      <c r="Y32" s="653"/>
      <c r="Z32" s="653"/>
    </row>
    <row r="33">
      <c r="A33" s="719" t="s">
        <v>8056</v>
      </c>
      <c r="B33" s="720" t="s">
        <v>8032</v>
      </c>
      <c r="C33" s="721">
        <v>43744.0</v>
      </c>
      <c r="D33" s="720" t="s">
        <v>8104</v>
      </c>
      <c r="E33" s="720" t="s">
        <v>7004</v>
      </c>
      <c r="F33" s="720" t="s">
        <v>7685</v>
      </c>
      <c r="G33" s="720">
        <v>9.71522222866E11</v>
      </c>
      <c r="H33" s="236"/>
      <c r="I33" s="720" t="s">
        <v>8038</v>
      </c>
      <c r="J33" s="720" t="s">
        <v>4461</v>
      </c>
      <c r="K33" s="81">
        <v>1.0</v>
      </c>
      <c r="L33" s="720" t="s">
        <v>4461</v>
      </c>
      <c r="M33" s="720">
        <v>0.0</v>
      </c>
      <c r="N33" s="720">
        <v>0.0</v>
      </c>
      <c r="O33" s="236"/>
      <c r="P33" s="236"/>
      <c r="Q33" s="722" t="s">
        <v>8092</v>
      </c>
      <c r="R33" s="236"/>
      <c r="S33" s="653"/>
      <c r="T33" s="653"/>
      <c r="U33" s="653"/>
      <c r="V33" s="653"/>
      <c r="W33" s="653"/>
      <c r="X33" s="653"/>
      <c r="Y33" s="653"/>
      <c r="Z33" s="653"/>
    </row>
    <row r="34">
      <c r="A34" s="719" t="s">
        <v>8056</v>
      </c>
      <c r="B34" s="720" t="s">
        <v>8032</v>
      </c>
      <c r="C34" s="721">
        <v>43744.0</v>
      </c>
      <c r="D34" s="720" t="s">
        <v>8105</v>
      </c>
      <c r="E34" s="720" t="s">
        <v>8106</v>
      </c>
      <c r="F34" s="720" t="s">
        <v>7754</v>
      </c>
      <c r="G34" s="720">
        <v>4.47448952988E11</v>
      </c>
      <c r="H34" s="236"/>
      <c r="I34" s="720" t="s">
        <v>8107</v>
      </c>
      <c r="J34" s="720" t="s">
        <v>4525</v>
      </c>
      <c r="K34" s="81">
        <v>0.0</v>
      </c>
      <c r="L34" s="720" t="s">
        <v>4525</v>
      </c>
      <c r="M34" s="720">
        <v>0.0</v>
      </c>
      <c r="N34" s="720">
        <v>0.0</v>
      </c>
      <c r="O34" s="236"/>
      <c r="P34" s="236"/>
      <c r="Q34" s="743" t="s">
        <v>8108</v>
      </c>
      <c r="R34" s="744"/>
      <c r="S34" s="653"/>
      <c r="T34" s="653"/>
      <c r="U34" s="653"/>
      <c r="V34" s="653"/>
      <c r="W34" s="653"/>
      <c r="X34" s="653"/>
      <c r="Y34" s="653"/>
      <c r="Z34" s="653"/>
    </row>
    <row r="35">
      <c r="A35" s="719" t="s">
        <v>8056</v>
      </c>
      <c r="B35" s="720" t="s">
        <v>8032</v>
      </c>
      <c r="C35" s="721">
        <v>43744.0</v>
      </c>
      <c r="D35" s="720" t="s">
        <v>3582</v>
      </c>
      <c r="E35" s="720" t="s">
        <v>8109</v>
      </c>
      <c r="F35" s="720" t="s">
        <v>8069</v>
      </c>
      <c r="G35" s="720">
        <v>9.733990488E10</v>
      </c>
      <c r="H35" s="236"/>
      <c r="I35" s="720" t="s">
        <v>8110</v>
      </c>
      <c r="J35" s="720" t="s">
        <v>5504</v>
      </c>
      <c r="K35" s="81">
        <v>0.0</v>
      </c>
      <c r="L35" s="720" t="s">
        <v>5504</v>
      </c>
      <c r="M35" s="720">
        <v>0.0</v>
      </c>
      <c r="N35" s="720">
        <v>0.0</v>
      </c>
      <c r="O35" s="236"/>
      <c r="P35" s="236"/>
      <c r="Q35" s="722" t="s">
        <v>8092</v>
      </c>
      <c r="R35" s="236"/>
      <c r="S35" s="653"/>
      <c r="T35" s="653"/>
      <c r="U35" s="653"/>
      <c r="V35" s="653"/>
      <c r="W35" s="653"/>
      <c r="X35" s="653"/>
      <c r="Y35" s="653"/>
      <c r="Z35" s="653"/>
    </row>
    <row r="36">
      <c r="A36" s="719" t="s">
        <v>8056</v>
      </c>
      <c r="B36" s="720" t="s">
        <v>8032</v>
      </c>
      <c r="C36" s="721">
        <v>43744.0</v>
      </c>
      <c r="D36" s="720" t="s">
        <v>8111</v>
      </c>
      <c r="E36" s="720" t="s">
        <v>8112</v>
      </c>
      <c r="F36" s="720" t="s">
        <v>7674</v>
      </c>
      <c r="G36" s="720">
        <v>9.18651036131E11</v>
      </c>
      <c r="H36" s="236"/>
      <c r="I36" s="720" t="s">
        <v>8038</v>
      </c>
      <c r="J36" s="720" t="s">
        <v>4503</v>
      </c>
      <c r="K36" s="81">
        <v>0.0</v>
      </c>
      <c r="L36" s="720" t="s">
        <v>4503</v>
      </c>
      <c r="M36" s="720">
        <v>0.0</v>
      </c>
      <c r="N36" s="720">
        <v>0.0</v>
      </c>
      <c r="O36" s="236"/>
      <c r="P36" s="236"/>
      <c r="Q36" s="722" t="s">
        <v>8092</v>
      </c>
      <c r="R36" s="236"/>
      <c r="S36" s="653"/>
      <c r="T36" s="653"/>
      <c r="U36" s="653"/>
      <c r="V36" s="653"/>
      <c r="W36" s="653"/>
      <c r="X36" s="653"/>
      <c r="Y36" s="653"/>
      <c r="Z36" s="653"/>
    </row>
    <row r="37">
      <c r="A37" s="719" t="s">
        <v>8056</v>
      </c>
      <c r="B37" s="720" t="s">
        <v>8032</v>
      </c>
      <c r="C37" s="721">
        <v>43744.0</v>
      </c>
      <c r="D37" s="720" t="s">
        <v>8113</v>
      </c>
      <c r="E37" s="720" t="s">
        <v>6316</v>
      </c>
      <c r="F37" s="720" t="s">
        <v>7685</v>
      </c>
      <c r="G37" s="720">
        <v>9.71547779969E11</v>
      </c>
      <c r="H37" s="236"/>
      <c r="I37" s="720" t="s">
        <v>8038</v>
      </c>
      <c r="J37" s="720" t="s">
        <v>4461</v>
      </c>
      <c r="K37" s="81">
        <v>1.0</v>
      </c>
      <c r="L37" s="720" t="s">
        <v>4461</v>
      </c>
      <c r="M37" s="720">
        <v>0.0</v>
      </c>
      <c r="N37" s="720">
        <v>0.0</v>
      </c>
      <c r="O37" s="236"/>
      <c r="P37" s="236"/>
      <c r="Q37" s="722" t="s">
        <v>8092</v>
      </c>
      <c r="R37" s="236"/>
      <c r="S37" s="653"/>
      <c r="T37" s="653"/>
      <c r="U37" s="653"/>
      <c r="V37" s="653"/>
      <c r="W37" s="653"/>
      <c r="X37" s="653"/>
      <c r="Y37" s="653"/>
      <c r="Z37" s="653"/>
    </row>
    <row r="38">
      <c r="A38" s="719" t="s">
        <v>8056</v>
      </c>
      <c r="B38" s="720" t="s">
        <v>8032</v>
      </c>
      <c r="C38" s="721">
        <v>43744.0</v>
      </c>
      <c r="D38" s="720" t="s">
        <v>8114</v>
      </c>
      <c r="E38" s="720" t="s">
        <v>8115</v>
      </c>
      <c r="F38" s="720" t="s">
        <v>8116</v>
      </c>
      <c r="G38" s="720">
        <v>2.01006692406E11</v>
      </c>
      <c r="H38" s="236"/>
      <c r="I38" s="720" t="s">
        <v>8038</v>
      </c>
      <c r="J38" s="720" t="s">
        <v>4500</v>
      </c>
      <c r="K38" s="81">
        <v>0.0</v>
      </c>
      <c r="L38" s="720" t="s">
        <v>4500</v>
      </c>
      <c r="M38" s="720">
        <v>0.0</v>
      </c>
      <c r="N38" s="720">
        <v>0.0</v>
      </c>
      <c r="O38" s="236"/>
      <c r="P38" s="236"/>
      <c r="Q38" s="722" t="s">
        <v>8092</v>
      </c>
      <c r="R38" s="236"/>
      <c r="S38" s="653"/>
      <c r="T38" s="653"/>
      <c r="U38" s="653"/>
      <c r="V38" s="653"/>
      <c r="W38" s="653"/>
      <c r="X38" s="653"/>
      <c r="Y38" s="653"/>
      <c r="Z38" s="653"/>
    </row>
    <row r="39">
      <c r="A39" s="719" t="s">
        <v>8056</v>
      </c>
      <c r="B39" s="720" t="s">
        <v>8032</v>
      </c>
      <c r="C39" s="721">
        <v>43744.0</v>
      </c>
      <c r="D39" s="720" t="s">
        <v>8117</v>
      </c>
      <c r="E39" s="720" t="s">
        <v>8118</v>
      </c>
      <c r="F39" s="720" t="s">
        <v>8119</v>
      </c>
      <c r="G39" s="720">
        <v>5.7101010101E11</v>
      </c>
      <c r="H39" s="236"/>
      <c r="I39" s="720" t="s">
        <v>8120</v>
      </c>
      <c r="J39" s="720" t="s">
        <v>8121</v>
      </c>
      <c r="K39" s="81">
        <v>0.0</v>
      </c>
      <c r="L39" s="720" t="s">
        <v>8121</v>
      </c>
      <c r="M39" s="720">
        <v>0.0</v>
      </c>
      <c r="N39" s="720">
        <v>0.0</v>
      </c>
      <c r="O39" s="236"/>
      <c r="P39" s="236"/>
      <c r="Q39" s="722" t="s">
        <v>8045</v>
      </c>
      <c r="R39" s="236"/>
      <c r="S39" s="653"/>
      <c r="T39" s="653"/>
      <c r="U39" s="653"/>
      <c r="V39" s="653"/>
      <c r="W39" s="653"/>
      <c r="X39" s="653"/>
      <c r="Y39" s="653"/>
      <c r="Z39" s="653"/>
    </row>
    <row r="40">
      <c r="A40" s="719" t="s">
        <v>8056</v>
      </c>
      <c r="B40" s="720" t="s">
        <v>8032</v>
      </c>
      <c r="C40" s="721">
        <v>43744.0</v>
      </c>
      <c r="D40" s="720" t="s">
        <v>8122</v>
      </c>
      <c r="E40" s="720" t="s">
        <v>8123</v>
      </c>
      <c r="F40" s="720" t="s">
        <v>7713</v>
      </c>
      <c r="G40" s="720">
        <v>1.9057416149E10</v>
      </c>
      <c r="H40" s="236"/>
      <c r="I40" s="720" t="s">
        <v>8038</v>
      </c>
      <c r="J40" s="720" t="s">
        <v>7712</v>
      </c>
      <c r="K40" s="81">
        <v>0.0</v>
      </c>
      <c r="L40" s="720" t="s">
        <v>7712</v>
      </c>
      <c r="M40" s="720">
        <v>0.0</v>
      </c>
      <c r="N40" s="720">
        <v>0.0</v>
      </c>
      <c r="O40" s="236"/>
      <c r="P40" s="236"/>
      <c r="Q40" s="722" t="s">
        <v>8051</v>
      </c>
      <c r="R40" s="236"/>
      <c r="S40" s="653"/>
      <c r="T40" s="653"/>
      <c r="U40" s="653"/>
      <c r="V40" s="653"/>
      <c r="W40" s="653"/>
      <c r="X40" s="653"/>
      <c r="Y40" s="653"/>
      <c r="Z40" s="653"/>
    </row>
    <row r="41">
      <c r="A41" s="719" t="s">
        <v>8056</v>
      </c>
      <c r="B41" s="720" t="s">
        <v>8032</v>
      </c>
      <c r="C41" s="721">
        <v>43744.0</v>
      </c>
      <c r="D41" s="720" t="s">
        <v>8124</v>
      </c>
      <c r="E41" s="720" t="s">
        <v>8125</v>
      </c>
      <c r="F41" s="720" t="s">
        <v>7685</v>
      </c>
      <c r="G41" s="720">
        <v>9.71505535557E11</v>
      </c>
      <c r="H41" s="236"/>
      <c r="I41" s="720" t="s">
        <v>8038</v>
      </c>
      <c r="J41" s="720" t="s">
        <v>4461</v>
      </c>
      <c r="K41" s="81">
        <v>1.0</v>
      </c>
      <c r="L41" s="720" t="s">
        <v>4461</v>
      </c>
      <c r="M41" s="720">
        <v>0.0</v>
      </c>
      <c r="N41" s="720">
        <v>0.0</v>
      </c>
      <c r="O41" s="236"/>
      <c r="P41" s="236"/>
      <c r="Q41" s="722" t="s">
        <v>8051</v>
      </c>
      <c r="R41" s="236"/>
      <c r="S41" s="653"/>
      <c r="T41" s="653"/>
      <c r="U41" s="653"/>
      <c r="V41" s="653"/>
      <c r="W41" s="653"/>
      <c r="X41" s="653"/>
      <c r="Y41" s="653"/>
      <c r="Z41" s="653"/>
    </row>
    <row r="42">
      <c r="A42" s="719" t="s">
        <v>8056</v>
      </c>
      <c r="B42" s="720" t="s">
        <v>8032</v>
      </c>
      <c r="C42" s="721">
        <v>43744.0</v>
      </c>
      <c r="D42" s="732" t="s">
        <v>8126</v>
      </c>
      <c r="E42" s="732" t="s">
        <v>8127</v>
      </c>
      <c r="F42" s="732" t="s">
        <v>7685</v>
      </c>
      <c r="G42" s="732">
        <v>9.71508855119E11</v>
      </c>
      <c r="H42" s="734"/>
      <c r="I42" s="732" t="s">
        <v>8038</v>
      </c>
      <c r="J42" s="732" t="s">
        <v>4461</v>
      </c>
      <c r="K42" s="735">
        <v>1.0</v>
      </c>
      <c r="L42" s="732" t="s">
        <v>4461</v>
      </c>
      <c r="M42" s="732">
        <v>0.0</v>
      </c>
      <c r="N42" s="732">
        <v>0.0</v>
      </c>
      <c r="O42" s="734"/>
      <c r="P42" s="734"/>
      <c r="Q42" s="736" t="s">
        <v>8051</v>
      </c>
      <c r="R42" s="734"/>
      <c r="S42" s="653"/>
      <c r="T42" s="653"/>
      <c r="U42" s="653"/>
      <c r="V42" s="653"/>
      <c r="W42" s="653"/>
      <c r="X42" s="653"/>
      <c r="Y42" s="653"/>
      <c r="Z42" s="653"/>
    </row>
    <row r="43">
      <c r="A43" s="719" t="s">
        <v>8056</v>
      </c>
      <c r="B43" s="720" t="s">
        <v>8032</v>
      </c>
      <c r="C43" s="721">
        <v>43744.0</v>
      </c>
      <c r="D43" s="720" t="s">
        <v>8128</v>
      </c>
      <c r="E43" s="720" t="s">
        <v>8129</v>
      </c>
      <c r="F43" s="720" t="s">
        <v>7685</v>
      </c>
      <c r="G43" s="720">
        <v>9.71506007435E11</v>
      </c>
      <c r="H43" s="236"/>
      <c r="I43" s="720" t="s">
        <v>8038</v>
      </c>
      <c r="J43" s="720" t="s">
        <v>4461</v>
      </c>
      <c r="K43" s="81">
        <v>1.0</v>
      </c>
      <c r="L43" s="720" t="s">
        <v>4461</v>
      </c>
      <c r="M43" s="720">
        <v>0.0</v>
      </c>
      <c r="N43" s="720">
        <v>0.0</v>
      </c>
      <c r="O43" s="236"/>
      <c r="P43" s="236"/>
      <c r="Q43" s="722" t="s">
        <v>8092</v>
      </c>
      <c r="R43" s="236"/>
      <c r="S43" s="653"/>
      <c r="T43" s="653"/>
      <c r="U43" s="653"/>
      <c r="V43" s="653"/>
      <c r="W43" s="653"/>
      <c r="X43" s="653"/>
      <c r="Y43" s="653"/>
      <c r="Z43" s="653"/>
    </row>
    <row r="44">
      <c r="A44" s="719" t="s">
        <v>8056</v>
      </c>
      <c r="B44" s="720" t="s">
        <v>8032</v>
      </c>
      <c r="C44" s="721">
        <v>43744.0</v>
      </c>
      <c r="D44" s="720" t="s">
        <v>8130</v>
      </c>
      <c r="E44" s="720" t="s">
        <v>8131</v>
      </c>
      <c r="F44" s="720" t="s">
        <v>7685</v>
      </c>
      <c r="G44" s="720">
        <v>9.7150260926E11</v>
      </c>
      <c r="H44" s="236"/>
      <c r="I44" s="720" t="s">
        <v>8038</v>
      </c>
      <c r="J44" s="720" t="s">
        <v>4461</v>
      </c>
      <c r="K44" s="81">
        <v>1.0</v>
      </c>
      <c r="L44" s="720" t="s">
        <v>4461</v>
      </c>
      <c r="M44" s="720">
        <v>0.0</v>
      </c>
      <c r="N44" s="720">
        <v>0.0</v>
      </c>
      <c r="O44" s="236"/>
      <c r="P44" s="236"/>
      <c r="Q44" s="722" t="s">
        <v>8092</v>
      </c>
      <c r="R44" s="236"/>
      <c r="S44" s="653"/>
      <c r="T44" s="653"/>
      <c r="U44" s="653"/>
      <c r="V44" s="653"/>
      <c r="W44" s="653"/>
      <c r="X44" s="653"/>
      <c r="Y44" s="653"/>
      <c r="Z44" s="653"/>
    </row>
    <row r="45">
      <c r="A45" s="719" t="s">
        <v>8056</v>
      </c>
      <c r="B45" s="720" t="s">
        <v>8032</v>
      </c>
      <c r="C45" s="721">
        <v>43744.0</v>
      </c>
      <c r="D45" s="720" t="s">
        <v>8132</v>
      </c>
      <c r="E45" s="720" t="s">
        <v>8133</v>
      </c>
      <c r="F45" s="720" t="s">
        <v>7685</v>
      </c>
      <c r="G45" s="720">
        <v>9.71504596615E11</v>
      </c>
      <c r="H45" s="236"/>
      <c r="I45" s="720" t="s">
        <v>8038</v>
      </c>
      <c r="J45" s="720" t="s">
        <v>4461</v>
      </c>
      <c r="K45" s="81">
        <v>1.0</v>
      </c>
      <c r="L45" s="720" t="s">
        <v>4461</v>
      </c>
      <c r="M45" s="720">
        <v>0.0</v>
      </c>
      <c r="N45" s="720">
        <v>0.0</v>
      </c>
      <c r="O45" s="236"/>
      <c r="P45" s="236"/>
      <c r="Q45" s="722" t="s">
        <v>8051</v>
      </c>
      <c r="R45" s="236"/>
      <c r="S45" s="653"/>
      <c r="T45" s="653"/>
      <c r="U45" s="653"/>
      <c r="V45" s="653"/>
      <c r="W45" s="653"/>
      <c r="X45" s="653"/>
      <c r="Y45" s="653"/>
      <c r="Z45" s="653"/>
    </row>
    <row r="46">
      <c r="A46" s="719" t="s">
        <v>8056</v>
      </c>
      <c r="B46" s="720" t="s">
        <v>8032</v>
      </c>
      <c r="C46" s="721">
        <v>43744.0</v>
      </c>
      <c r="D46" s="720" t="s">
        <v>8099</v>
      </c>
      <c r="E46" s="720" t="s">
        <v>8134</v>
      </c>
      <c r="F46" s="720" t="s">
        <v>7674</v>
      </c>
      <c r="G46" s="720">
        <v>9.19884552522E11</v>
      </c>
      <c r="H46" s="236"/>
      <c r="I46" s="720" t="s">
        <v>8038</v>
      </c>
      <c r="J46" s="720" t="s">
        <v>4503</v>
      </c>
      <c r="K46" s="81">
        <v>0.0</v>
      </c>
      <c r="L46" s="720" t="s">
        <v>4503</v>
      </c>
      <c r="M46" s="720">
        <v>0.0</v>
      </c>
      <c r="N46" s="720">
        <v>0.0</v>
      </c>
      <c r="O46" s="236"/>
      <c r="P46" s="236"/>
      <c r="Q46" s="722" t="s">
        <v>8092</v>
      </c>
      <c r="R46" s="236"/>
      <c r="S46" s="653"/>
      <c r="T46" s="653"/>
      <c r="U46" s="653"/>
      <c r="V46" s="653"/>
      <c r="W46" s="653"/>
      <c r="X46" s="653"/>
      <c r="Y46" s="653"/>
      <c r="Z46" s="653"/>
    </row>
    <row r="47">
      <c r="A47" s="719" t="s">
        <v>8056</v>
      </c>
      <c r="B47" s="720" t="s">
        <v>8032</v>
      </c>
      <c r="C47" s="721">
        <v>43744.0</v>
      </c>
      <c r="D47" s="720" t="s">
        <v>8135</v>
      </c>
      <c r="E47" s="720" t="s">
        <v>8136</v>
      </c>
      <c r="F47" s="720" t="s">
        <v>8137</v>
      </c>
      <c r="G47" s="720">
        <v>4.179291192E10</v>
      </c>
      <c r="H47" s="236"/>
      <c r="I47" s="720" t="s">
        <v>8038</v>
      </c>
      <c r="J47" s="720" t="s">
        <v>8138</v>
      </c>
      <c r="K47" s="81">
        <v>0.0</v>
      </c>
      <c r="L47" s="720" t="s">
        <v>8138</v>
      </c>
      <c r="M47" s="720">
        <v>0.0</v>
      </c>
      <c r="N47" s="720">
        <v>0.0</v>
      </c>
      <c r="O47" s="236"/>
      <c r="P47" s="236"/>
      <c r="Q47" s="722" t="s">
        <v>8092</v>
      </c>
      <c r="R47" s="236"/>
      <c r="S47" s="653"/>
      <c r="T47" s="653"/>
      <c r="U47" s="653"/>
      <c r="V47" s="653"/>
      <c r="W47" s="653"/>
      <c r="X47" s="653"/>
      <c r="Y47" s="653"/>
      <c r="Z47" s="653"/>
    </row>
    <row r="48">
      <c r="A48" s="719" t="s">
        <v>8056</v>
      </c>
      <c r="B48" s="720" t="s">
        <v>8032</v>
      </c>
      <c r="C48" s="721">
        <v>43744.0</v>
      </c>
      <c r="D48" s="732" t="s">
        <v>8139</v>
      </c>
      <c r="E48" s="732" t="s">
        <v>8140</v>
      </c>
      <c r="F48" s="732" t="s">
        <v>7701</v>
      </c>
      <c r="G48" s="732">
        <v>9.6654555527E10</v>
      </c>
      <c r="H48" s="734"/>
      <c r="I48" s="732" t="s">
        <v>8141</v>
      </c>
      <c r="J48" s="732" t="s">
        <v>7700</v>
      </c>
      <c r="K48" s="735">
        <v>0.0</v>
      </c>
      <c r="L48" s="732" t="s">
        <v>7700</v>
      </c>
      <c r="M48" s="732">
        <v>0.0</v>
      </c>
      <c r="N48" s="732">
        <v>0.0</v>
      </c>
      <c r="O48" s="732" t="s">
        <v>8142</v>
      </c>
      <c r="P48" s="734"/>
      <c r="Q48" s="745" t="s">
        <v>8143</v>
      </c>
      <c r="R48" s="734"/>
      <c r="S48" s="653"/>
      <c r="T48" s="653"/>
      <c r="U48" s="653"/>
      <c r="V48" s="653"/>
      <c r="W48" s="653"/>
      <c r="X48" s="653"/>
      <c r="Y48" s="653"/>
      <c r="Z48" s="653"/>
    </row>
    <row r="49">
      <c r="A49" s="724" t="s">
        <v>8041</v>
      </c>
      <c r="B49" s="725" t="s">
        <v>8032</v>
      </c>
      <c r="C49" s="726">
        <v>43745.0</v>
      </c>
      <c r="D49" s="725" t="s">
        <v>8144</v>
      </c>
      <c r="E49" s="725" t="s">
        <v>7765</v>
      </c>
      <c r="F49" s="725" t="s">
        <v>7674</v>
      </c>
      <c r="G49" s="725">
        <v>9.1725075055E11</v>
      </c>
      <c r="H49" s="702"/>
      <c r="I49" s="725" t="s">
        <v>8038</v>
      </c>
      <c r="J49" s="725" t="s">
        <v>4503</v>
      </c>
      <c r="K49" s="728">
        <v>0.0</v>
      </c>
      <c r="L49" s="725" t="s">
        <v>4503</v>
      </c>
      <c r="M49" s="725">
        <v>0.0</v>
      </c>
      <c r="N49" s="725">
        <v>0.0</v>
      </c>
      <c r="O49" s="702"/>
      <c r="P49" s="702"/>
      <c r="Q49" s="729" t="s">
        <v>8092</v>
      </c>
      <c r="R49" s="702"/>
      <c r="S49" s="653"/>
      <c r="T49" s="653"/>
      <c r="U49" s="653"/>
      <c r="V49" s="653"/>
      <c r="W49" s="653"/>
      <c r="X49" s="653"/>
      <c r="Y49" s="653"/>
      <c r="Z49" s="653"/>
    </row>
    <row r="50">
      <c r="A50" s="719" t="s">
        <v>8041</v>
      </c>
      <c r="B50" s="720" t="s">
        <v>8032</v>
      </c>
      <c r="C50" s="721">
        <v>43745.0</v>
      </c>
      <c r="D50" s="720" t="s">
        <v>368</v>
      </c>
      <c r="E50" s="720" t="s">
        <v>7733</v>
      </c>
      <c r="F50" s="720" t="s">
        <v>7685</v>
      </c>
      <c r="G50" s="720">
        <v>9.71543224228E11</v>
      </c>
      <c r="H50" s="236"/>
      <c r="I50" s="720" t="s">
        <v>8038</v>
      </c>
      <c r="J50" s="720" t="s">
        <v>4461</v>
      </c>
      <c r="K50" s="81">
        <v>1.0</v>
      </c>
      <c r="L50" s="720" t="s">
        <v>4461</v>
      </c>
      <c r="M50" s="720">
        <v>0.0</v>
      </c>
      <c r="N50" s="720">
        <v>0.0</v>
      </c>
      <c r="O50" s="236"/>
      <c r="P50" s="236"/>
      <c r="Q50" s="722" t="s">
        <v>8092</v>
      </c>
      <c r="R50" s="236"/>
      <c r="S50" s="653"/>
      <c r="T50" s="653"/>
      <c r="U50" s="653"/>
      <c r="V50" s="653"/>
      <c r="W50" s="653"/>
      <c r="X50" s="653"/>
      <c r="Y50" s="653"/>
      <c r="Z50" s="653"/>
    </row>
    <row r="51">
      <c r="A51" s="719" t="s">
        <v>8041</v>
      </c>
      <c r="B51" s="720" t="s">
        <v>8032</v>
      </c>
      <c r="C51" s="721">
        <v>43745.0</v>
      </c>
      <c r="D51" s="732" t="s">
        <v>7504</v>
      </c>
      <c r="E51" s="732" t="s">
        <v>8145</v>
      </c>
      <c r="F51" s="732" t="s">
        <v>7674</v>
      </c>
      <c r="G51" s="732">
        <v>9.19818350363E11</v>
      </c>
      <c r="H51" s="734"/>
      <c r="I51" s="732" t="s">
        <v>8146</v>
      </c>
      <c r="J51" s="732" t="s">
        <v>4503</v>
      </c>
      <c r="K51" s="735">
        <v>0.0</v>
      </c>
      <c r="L51" s="732" t="s">
        <v>4503</v>
      </c>
      <c r="M51" s="732">
        <v>0.0</v>
      </c>
      <c r="N51" s="732">
        <v>0.0</v>
      </c>
      <c r="O51" s="734"/>
      <c r="P51" s="734"/>
      <c r="Q51" s="736" t="s">
        <v>8147</v>
      </c>
      <c r="R51" s="734"/>
      <c r="S51" s="653"/>
      <c r="T51" s="653"/>
      <c r="U51" s="653"/>
      <c r="V51" s="653"/>
      <c r="W51" s="653"/>
      <c r="X51" s="653"/>
      <c r="Y51" s="653"/>
      <c r="Z51" s="653"/>
    </row>
    <row r="52">
      <c r="A52" s="719" t="s">
        <v>8041</v>
      </c>
      <c r="B52" s="720" t="s">
        <v>8032</v>
      </c>
      <c r="C52" s="721">
        <v>43745.0</v>
      </c>
      <c r="D52" s="720" t="s">
        <v>8148</v>
      </c>
      <c r="E52" s="720" t="s">
        <v>8149</v>
      </c>
      <c r="F52" s="720" t="s">
        <v>7701</v>
      </c>
      <c r="G52" s="720">
        <v>9.6650411512E11</v>
      </c>
      <c r="H52" s="236"/>
      <c r="I52" s="720" t="s">
        <v>8038</v>
      </c>
      <c r="J52" s="720" t="s">
        <v>7700</v>
      </c>
      <c r="K52" s="81">
        <v>0.0</v>
      </c>
      <c r="L52" s="720" t="s">
        <v>7700</v>
      </c>
      <c r="M52" s="720">
        <v>0.0</v>
      </c>
      <c r="N52" s="720">
        <v>0.0</v>
      </c>
      <c r="O52" s="236"/>
      <c r="P52" s="236"/>
      <c r="Q52" s="722" t="s">
        <v>8092</v>
      </c>
      <c r="R52" s="236"/>
      <c r="S52" s="653"/>
      <c r="T52" s="653"/>
      <c r="U52" s="653"/>
      <c r="V52" s="653"/>
      <c r="W52" s="653"/>
      <c r="X52" s="653"/>
      <c r="Y52" s="653"/>
      <c r="Z52" s="653"/>
    </row>
    <row r="53">
      <c r="A53" s="724" t="s">
        <v>8150</v>
      </c>
      <c r="B53" s="725" t="s">
        <v>8032</v>
      </c>
      <c r="C53" s="726">
        <v>43748.0</v>
      </c>
      <c r="D53" s="725" t="s">
        <v>8151</v>
      </c>
      <c r="E53" s="725" t="s">
        <v>8151</v>
      </c>
      <c r="F53" s="725" t="s">
        <v>7685</v>
      </c>
      <c r="G53" s="725">
        <v>9.71506652022E11</v>
      </c>
      <c r="H53" s="702"/>
      <c r="I53" s="725" t="s">
        <v>8038</v>
      </c>
      <c r="J53" s="725" t="s">
        <v>4461</v>
      </c>
      <c r="K53" s="728">
        <v>1.0</v>
      </c>
      <c r="L53" s="725" t="s">
        <v>4461</v>
      </c>
      <c r="M53" s="725">
        <v>0.0</v>
      </c>
      <c r="N53" s="725">
        <v>0.0</v>
      </c>
      <c r="O53" s="702"/>
      <c r="P53" s="702"/>
      <c r="Q53" s="729" t="s">
        <v>8152</v>
      </c>
      <c r="R53" s="702"/>
      <c r="S53" s="653"/>
      <c r="T53" s="653"/>
      <c r="U53" s="653"/>
      <c r="V53" s="653"/>
      <c r="W53" s="653"/>
      <c r="X53" s="653"/>
      <c r="Y53" s="653"/>
      <c r="Z53" s="653"/>
    </row>
    <row r="54">
      <c r="A54" s="719" t="s">
        <v>8150</v>
      </c>
      <c r="B54" s="720" t="s">
        <v>8032</v>
      </c>
      <c r="C54" s="721">
        <v>43748.0</v>
      </c>
      <c r="D54" s="720" t="s">
        <v>8153</v>
      </c>
      <c r="E54" s="720" t="s">
        <v>8154</v>
      </c>
      <c r="F54" s="720" t="s">
        <v>8050</v>
      </c>
      <c r="G54" s="720">
        <v>9.6566868846E10</v>
      </c>
      <c r="H54" s="236"/>
      <c r="I54" s="720" t="s">
        <v>8038</v>
      </c>
      <c r="J54" s="720" t="s">
        <v>4458</v>
      </c>
      <c r="K54" s="81">
        <v>0.0</v>
      </c>
      <c r="L54" s="720" t="s">
        <v>4458</v>
      </c>
      <c r="M54" s="720">
        <v>0.0</v>
      </c>
      <c r="N54" s="720">
        <v>0.0</v>
      </c>
      <c r="O54" s="236"/>
      <c r="P54" s="236"/>
      <c r="Q54" s="722" t="s">
        <v>8155</v>
      </c>
      <c r="R54" s="236"/>
      <c r="S54" s="653"/>
      <c r="T54" s="653"/>
      <c r="U54" s="653"/>
      <c r="V54" s="653"/>
      <c r="W54" s="653"/>
      <c r="X54" s="653"/>
      <c r="Y54" s="653"/>
      <c r="Z54" s="653"/>
    </row>
    <row r="55">
      <c r="A55" s="719" t="s">
        <v>8150</v>
      </c>
      <c r="B55" s="720" t="s">
        <v>8032</v>
      </c>
      <c r="C55" s="721">
        <v>43748.0</v>
      </c>
      <c r="D55" s="720" t="s">
        <v>4247</v>
      </c>
      <c r="E55" s="720" t="s">
        <v>8156</v>
      </c>
      <c r="F55" s="720" t="s">
        <v>7701</v>
      </c>
      <c r="G55" s="720">
        <v>9.66504464888E11</v>
      </c>
      <c r="H55" s="236"/>
      <c r="I55" s="720" t="s">
        <v>8157</v>
      </c>
      <c r="J55" s="720" t="s">
        <v>7700</v>
      </c>
      <c r="K55" s="81">
        <v>0.0</v>
      </c>
      <c r="L55" s="720" t="s">
        <v>7700</v>
      </c>
      <c r="M55" s="720">
        <v>0.0</v>
      </c>
      <c r="N55" s="720">
        <v>0.0</v>
      </c>
      <c r="O55" s="236"/>
      <c r="P55" s="236"/>
      <c r="Q55" s="722" t="s">
        <v>8155</v>
      </c>
      <c r="R55" s="236"/>
      <c r="S55" s="653"/>
      <c r="T55" s="653"/>
      <c r="U55" s="653"/>
      <c r="V55" s="653"/>
      <c r="W55" s="653"/>
      <c r="X55" s="653"/>
      <c r="Y55" s="653"/>
      <c r="Z55" s="653"/>
    </row>
    <row r="56">
      <c r="A56" s="719" t="s">
        <v>8150</v>
      </c>
      <c r="B56" s="720" t="s">
        <v>8032</v>
      </c>
      <c r="C56" s="721">
        <v>43748.0</v>
      </c>
      <c r="D56" s="720" t="s">
        <v>8158</v>
      </c>
      <c r="E56" s="720" t="s">
        <v>8159</v>
      </c>
      <c r="F56" s="720" t="s">
        <v>8050</v>
      </c>
      <c r="G56" s="720">
        <v>9.6594738609E10</v>
      </c>
      <c r="H56" s="720">
        <v>9.6176630755E10</v>
      </c>
      <c r="I56" s="720" t="s">
        <v>8160</v>
      </c>
      <c r="J56" s="720" t="s">
        <v>4642</v>
      </c>
      <c r="K56" s="81">
        <v>0.0</v>
      </c>
      <c r="L56" s="720" t="s">
        <v>4458</v>
      </c>
      <c r="M56" s="720">
        <v>0.0</v>
      </c>
      <c r="N56" s="720">
        <v>0.0</v>
      </c>
      <c r="O56" s="236"/>
      <c r="P56" s="236"/>
      <c r="Q56" s="722" t="s">
        <v>8155</v>
      </c>
      <c r="R56" s="236"/>
      <c r="S56" s="653"/>
      <c r="T56" s="653"/>
      <c r="U56" s="653"/>
      <c r="V56" s="653"/>
      <c r="W56" s="653"/>
      <c r="X56" s="653"/>
      <c r="Y56" s="653"/>
      <c r="Z56" s="653"/>
    </row>
    <row r="57">
      <c r="A57" s="719" t="s">
        <v>8150</v>
      </c>
      <c r="B57" s="720" t="s">
        <v>8032</v>
      </c>
      <c r="C57" s="721">
        <v>43748.0</v>
      </c>
      <c r="D57" s="720" t="s">
        <v>8161</v>
      </c>
      <c r="E57" s="720" t="s">
        <v>8162</v>
      </c>
      <c r="F57" s="720" t="s">
        <v>8163</v>
      </c>
      <c r="G57" s="720">
        <v>9.62799999868E11</v>
      </c>
      <c r="H57" s="236"/>
      <c r="I57" s="720" t="s">
        <v>8038</v>
      </c>
      <c r="J57" s="720" t="s">
        <v>4571</v>
      </c>
      <c r="K57" s="81">
        <v>0.0</v>
      </c>
      <c r="L57" s="720" t="s">
        <v>4514</v>
      </c>
      <c r="M57" s="720">
        <v>0.0</v>
      </c>
      <c r="N57" s="720">
        <v>0.0</v>
      </c>
      <c r="O57" s="236"/>
      <c r="P57" s="236"/>
      <c r="Q57" s="722" t="s">
        <v>8155</v>
      </c>
      <c r="R57" s="236"/>
      <c r="S57" s="653"/>
      <c r="T57" s="653"/>
      <c r="U57" s="653"/>
      <c r="V57" s="653"/>
      <c r="W57" s="653"/>
      <c r="X57" s="653"/>
      <c r="Y57" s="653"/>
      <c r="Z57" s="653"/>
    </row>
    <row r="58">
      <c r="A58" s="746" t="s">
        <v>8150</v>
      </c>
      <c r="B58" s="737" t="s">
        <v>8032</v>
      </c>
      <c r="C58" s="747">
        <v>43748.0</v>
      </c>
      <c r="D58" s="732" t="s">
        <v>121</v>
      </c>
      <c r="E58" s="732" t="s">
        <v>8164</v>
      </c>
      <c r="F58" s="732" t="s">
        <v>7685</v>
      </c>
      <c r="G58" s="732">
        <v>9.71503017066E11</v>
      </c>
      <c r="H58" s="734"/>
      <c r="I58" s="732" t="s">
        <v>8038</v>
      </c>
      <c r="J58" s="732" t="s">
        <v>4461</v>
      </c>
      <c r="K58" s="735">
        <v>1.0</v>
      </c>
      <c r="L58" s="732" t="s">
        <v>4461</v>
      </c>
      <c r="M58" s="732">
        <v>0.0</v>
      </c>
      <c r="N58" s="732">
        <v>0.0</v>
      </c>
      <c r="O58" s="732" t="s">
        <v>8165</v>
      </c>
      <c r="P58" s="734"/>
      <c r="Q58" s="736" t="s">
        <v>8155</v>
      </c>
      <c r="R58" s="734"/>
      <c r="S58" s="653"/>
      <c r="T58" s="653"/>
      <c r="U58" s="653"/>
      <c r="V58" s="653"/>
      <c r="W58" s="653"/>
      <c r="X58" s="653"/>
      <c r="Y58" s="653"/>
      <c r="Z58" s="653"/>
    </row>
    <row r="59">
      <c r="A59" s="746" t="s">
        <v>8150</v>
      </c>
      <c r="B59" s="737" t="s">
        <v>8032</v>
      </c>
      <c r="C59" s="747">
        <v>43748.0</v>
      </c>
      <c r="D59" s="732" t="s">
        <v>8166</v>
      </c>
      <c r="E59" s="732" t="s">
        <v>5307</v>
      </c>
      <c r="F59" s="732" t="s">
        <v>7685</v>
      </c>
      <c r="G59" s="732">
        <v>9.71508046375E11</v>
      </c>
      <c r="H59" s="734"/>
      <c r="I59" s="732" t="s">
        <v>8038</v>
      </c>
      <c r="J59" s="732" t="s">
        <v>4626</v>
      </c>
      <c r="K59" s="735">
        <v>1.0</v>
      </c>
      <c r="L59" s="732" t="s">
        <v>4461</v>
      </c>
      <c r="M59" s="732">
        <v>0.0</v>
      </c>
      <c r="N59" s="732">
        <v>0.0</v>
      </c>
      <c r="O59" s="734"/>
      <c r="P59" s="734"/>
      <c r="Q59" s="736" t="s">
        <v>8051</v>
      </c>
      <c r="R59" s="734"/>
      <c r="S59" s="653"/>
      <c r="T59" s="653"/>
      <c r="U59" s="653"/>
      <c r="V59" s="653"/>
      <c r="W59" s="653"/>
      <c r="X59" s="653"/>
      <c r="Y59" s="653"/>
      <c r="Z59" s="653"/>
    </row>
    <row r="60">
      <c r="A60" s="724" t="s">
        <v>8041</v>
      </c>
      <c r="B60" s="725" t="s">
        <v>8032</v>
      </c>
      <c r="C60" s="726">
        <v>43755.0</v>
      </c>
      <c r="D60" s="748" t="s">
        <v>8167</v>
      </c>
      <c r="E60" s="748" t="s">
        <v>8168</v>
      </c>
      <c r="F60" s="748" t="s">
        <v>7701</v>
      </c>
      <c r="G60" s="748">
        <v>9.66555566647E11</v>
      </c>
      <c r="H60" s="749"/>
      <c r="I60" s="748" t="s">
        <v>8038</v>
      </c>
      <c r="J60" s="748" t="s">
        <v>7700</v>
      </c>
      <c r="K60" s="750">
        <v>0.0</v>
      </c>
      <c r="L60" s="748" t="s">
        <v>7700</v>
      </c>
      <c r="M60" s="748">
        <v>0.0</v>
      </c>
      <c r="N60" s="748">
        <v>0.0</v>
      </c>
      <c r="O60" s="749"/>
      <c r="P60" s="749"/>
      <c r="Q60" s="751" t="s">
        <v>8169</v>
      </c>
      <c r="R60" s="752" t="s">
        <v>8170</v>
      </c>
      <c r="S60" s="653"/>
      <c r="T60" s="653"/>
      <c r="U60" s="653"/>
      <c r="V60" s="653"/>
      <c r="W60" s="653"/>
      <c r="X60" s="653"/>
      <c r="Y60" s="653"/>
      <c r="Z60" s="653"/>
    </row>
    <row r="61">
      <c r="A61" s="719" t="s">
        <v>8041</v>
      </c>
      <c r="B61" s="720" t="s">
        <v>8032</v>
      </c>
      <c r="C61" s="721">
        <v>43755.0</v>
      </c>
      <c r="D61" s="732" t="s">
        <v>8063</v>
      </c>
      <c r="E61" s="732" t="s">
        <v>8171</v>
      </c>
      <c r="F61" s="732" t="s">
        <v>7685</v>
      </c>
      <c r="G61" s="732">
        <v>9.71507847516E11</v>
      </c>
      <c r="H61" s="734"/>
      <c r="I61" s="732" t="s">
        <v>8172</v>
      </c>
      <c r="J61" s="732" t="s">
        <v>4514</v>
      </c>
      <c r="K61" s="735">
        <v>0.0</v>
      </c>
      <c r="L61" s="732" t="s">
        <v>4514</v>
      </c>
      <c r="M61" s="732">
        <v>0.0</v>
      </c>
      <c r="N61" s="732">
        <v>0.0</v>
      </c>
      <c r="O61" s="753" t="s">
        <v>8173</v>
      </c>
      <c r="P61" s="734"/>
      <c r="Q61" s="745" t="s">
        <v>8174</v>
      </c>
      <c r="R61" s="754"/>
      <c r="S61" s="675" t="s">
        <v>8175</v>
      </c>
      <c r="T61" s="653"/>
      <c r="U61" s="653"/>
      <c r="V61" s="653"/>
      <c r="W61" s="653"/>
      <c r="X61" s="653"/>
      <c r="Y61" s="653"/>
      <c r="Z61" s="653"/>
    </row>
    <row r="62">
      <c r="A62" s="719" t="s">
        <v>8041</v>
      </c>
      <c r="B62" s="720" t="s">
        <v>8032</v>
      </c>
      <c r="C62" s="721">
        <v>43755.0</v>
      </c>
      <c r="D62" s="720" t="s">
        <v>8176</v>
      </c>
      <c r="E62" s="720" t="s">
        <v>8177</v>
      </c>
      <c r="F62" s="720" t="s">
        <v>7827</v>
      </c>
      <c r="G62" s="720">
        <v>2.348187240511E12</v>
      </c>
      <c r="H62" s="236"/>
      <c r="I62" s="720" t="s">
        <v>8038</v>
      </c>
      <c r="J62" s="720" t="s">
        <v>7772</v>
      </c>
      <c r="K62" s="81">
        <v>0.0</v>
      </c>
      <c r="L62" s="720" t="s">
        <v>7772</v>
      </c>
      <c r="M62" s="720">
        <v>0.0</v>
      </c>
      <c r="N62" s="720">
        <v>0.0</v>
      </c>
      <c r="O62" s="236"/>
      <c r="P62" s="236"/>
      <c r="Q62" s="722" t="s">
        <v>8169</v>
      </c>
      <c r="R62" s="236"/>
      <c r="S62" s="653"/>
      <c r="T62" s="653"/>
      <c r="U62" s="653"/>
      <c r="V62" s="653"/>
      <c r="W62" s="653"/>
      <c r="X62" s="653"/>
      <c r="Y62" s="653"/>
      <c r="Z62" s="653"/>
    </row>
    <row r="63">
      <c r="A63" s="719" t="s">
        <v>8041</v>
      </c>
      <c r="B63" s="720" t="s">
        <v>8032</v>
      </c>
      <c r="C63" s="721">
        <v>43755.0</v>
      </c>
      <c r="D63" s="732" t="s">
        <v>8178</v>
      </c>
      <c r="E63" s="732" t="s">
        <v>8179</v>
      </c>
      <c r="F63" s="732" t="s">
        <v>8180</v>
      </c>
      <c r="G63" s="732">
        <v>2.56751068003E11</v>
      </c>
      <c r="H63" s="734"/>
      <c r="I63" s="732" t="s">
        <v>8181</v>
      </c>
      <c r="J63" s="732" t="s">
        <v>8182</v>
      </c>
      <c r="K63" s="735">
        <v>0.0</v>
      </c>
      <c r="L63" s="732" t="s">
        <v>8182</v>
      </c>
      <c r="M63" s="732">
        <v>0.0</v>
      </c>
      <c r="N63" s="732">
        <v>0.0</v>
      </c>
      <c r="O63" s="753" t="s">
        <v>8173</v>
      </c>
      <c r="P63" s="734"/>
      <c r="Q63" s="745" t="s">
        <v>8183</v>
      </c>
      <c r="R63" s="734"/>
      <c r="S63" s="653"/>
      <c r="T63" s="653"/>
      <c r="U63" s="653"/>
      <c r="V63" s="653"/>
      <c r="W63" s="653"/>
      <c r="X63" s="653"/>
      <c r="Y63" s="653"/>
      <c r="Z63" s="653"/>
    </row>
    <row r="64">
      <c r="A64" s="719" t="s">
        <v>8041</v>
      </c>
      <c r="B64" s="720" t="s">
        <v>8032</v>
      </c>
      <c r="C64" s="721">
        <v>43755.0</v>
      </c>
      <c r="D64" s="732" t="s">
        <v>8184</v>
      </c>
      <c r="E64" s="732" t="s">
        <v>8185</v>
      </c>
      <c r="F64" s="732" t="s">
        <v>8186</v>
      </c>
      <c r="G64" s="732">
        <v>4.795257749E9</v>
      </c>
      <c r="H64" s="734"/>
      <c r="I64" s="732" t="s">
        <v>8187</v>
      </c>
      <c r="J64" s="732" t="s">
        <v>8188</v>
      </c>
      <c r="K64" s="735">
        <v>0.0</v>
      </c>
      <c r="L64" s="732" t="s">
        <v>8188</v>
      </c>
      <c r="M64" s="732">
        <v>0.0</v>
      </c>
      <c r="N64" s="732">
        <v>0.0</v>
      </c>
      <c r="O64" s="753" t="s">
        <v>8173</v>
      </c>
      <c r="P64" s="734"/>
      <c r="Q64" s="745" t="s">
        <v>8189</v>
      </c>
      <c r="R64" s="734"/>
      <c r="S64" s="653"/>
      <c r="T64" s="653"/>
      <c r="U64" s="653"/>
      <c r="V64" s="653"/>
      <c r="W64" s="653"/>
      <c r="X64" s="653"/>
      <c r="Y64" s="653"/>
      <c r="Z64" s="653"/>
    </row>
    <row r="65">
      <c r="A65" s="719" t="s">
        <v>8041</v>
      </c>
      <c r="B65" s="720" t="s">
        <v>8032</v>
      </c>
      <c r="C65" s="721">
        <v>43755.0</v>
      </c>
      <c r="D65" s="732" t="s">
        <v>8184</v>
      </c>
      <c r="E65" s="732" t="s">
        <v>8190</v>
      </c>
      <c r="F65" s="732" t="s">
        <v>8186</v>
      </c>
      <c r="G65" s="732">
        <v>4.791345592E9</v>
      </c>
      <c r="H65" s="734"/>
      <c r="I65" s="732" t="s">
        <v>8038</v>
      </c>
      <c r="J65" s="732" t="s">
        <v>8182</v>
      </c>
      <c r="K65" s="735">
        <v>0.0</v>
      </c>
      <c r="L65" s="732" t="s">
        <v>8188</v>
      </c>
      <c r="M65" s="732">
        <v>0.0</v>
      </c>
      <c r="N65" s="732">
        <v>0.0</v>
      </c>
      <c r="O65" s="753" t="s">
        <v>8173</v>
      </c>
      <c r="P65" s="734"/>
      <c r="Q65" s="736" t="s">
        <v>8169</v>
      </c>
      <c r="R65" s="734"/>
      <c r="S65" s="653"/>
      <c r="T65" s="653"/>
      <c r="U65" s="653"/>
      <c r="V65" s="653"/>
      <c r="W65" s="653"/>
      <c r="X65" s="653"/>
      <c r="Y65" s="653"/>
      <c r="Z65" s="653"/>
    </row>
    <row r="66">
      <c r="A66" s="719" t="s">
        <v>8041</v>
      </c>
      <c r="B66" s="720" t="s">
        <v>8032</v>
      </c>
      <c r="C66" s="721">
        <v>43755.0</v>
      </c>
      <c r="D66" s="720" t="s">
        <v>8191</v>
      </c>
      <c r="E66" s="720" t="s">
        <v>3582</v>
      </c>
      <c r="F66" s="720" t="s">
        <v>7674</v>
      </c>
      <c r="G66" s="720">
        <v>9.19972680625E11</v>
      </c>
      <c r="H66" s="236"/>
      <c r="I66" s="720" t="s">
        <v>8038</v>
      </c>
      <c r="J66" s="720" t="s">
        <v>4503</v>
      </c>
      <c r="K66" s="81">
        <v>0.0</v>
      </c>
      <c r="L66" s="720" t="s">
        <v>4503</v>
      </c>
      <c r="M66" s="720">
        <v>0.0</v>
      </c>
      <c r="N66" s="720">
        <v>0.0</v>
      </c>
      <c r="O66" s="236"/>
      <c r="P66" s="236"/>
      <c r="Q66" s="722" t="s">
        <v>8169</v>
      </c>
      <c r="R66" s="236"/>
      <c r="S66" s="653"/>
      <c r="T66" s="653"/>
      <c r="U66" s="653"/>
      <c r="V66" s="653"/>
      <c r="W66" s="653"/>
      <c r="X66" s="653"/>
      <c r="Y66" s="653"/>
      <c r="Z66" s="653"/>
    </row>
    <row r="67">
      <c r="A67" s="719" t="s">
        <v>8041</v>
      </c>
      <c r="B67" s="720" t="s">
        <v>8032</v>
      </c>
      <c r="C67" s="721">
        <v>43755.0</v>
      </c>
      <c r="D67" s="720" t="s">
        <v>8139</v>
      </c>
      <c r="E67" s="720" t="s">
        <v>8192</v>
      </c>
      <c r="F67" s="720" t="s">
        <v>7701</v>
      </c>
      <c r="G67" s="720">
        <v>9.66536453686E11</v>
      </c>
      <c r="H67" s="236"/>
      <c r="I67" s="720" t="s">
        <v>8038</v>
      </c>
      <c r="J67" s="720" t="s">
        <v>7700</v>
      </c>
      <c r="K67" s="81">
        <v>0.0</v>
      </c>
      <c r="L67" s="720" t="s">
        <v>7700</v>
      </c>
      <c r="M67" s="720">
        <v>0.0</v>
      </c>
      <c r="N67" s="720">
        <v>0.0</v>
      </c>
      <c r="O67" s="236"/>
      <c r="P67" s="236"/>
      <c r="Q67" s="722" t="s">
        <v>8169</v>
      </c>
      <c r="R67" s="236"/>
      <c r="S67" s="653"/>
      <c r="T67" s="653"/>
      <c r="U67" s="653"/>
      <c r="V67" s="653"/>
      <c r="W67" s="653"/>
      <c r="X67" s="653"/>
      <c r="Y67" s="653"/>
      <c r="Z67" s="653"/>
    </row>
    <row r="68">
      <c r="A68" s="719" t="s">
        <v>8041</v>
      </c>
      <c r="B68" s="720" t="s">
        <v>8032</v>
      </c>
      <c r="C68" s="721">
        <v>43755.0</v>
      </c>
      <c r="D68" s="720" t="s">
        <v>8193</v>
      </c>
      <c r="E68" s="720" t="s">
        <v>8194</v>
      </c>
      <c r="F68" s="720" t="s">
        <v>7701</v>
      </c>
      <c r="G68" s="720">
        <v>9.6653853774E11</v>
      </c>
      <c r="H68" s="236"/>
      <c r="I68" s="720" t="s">
        <v>8038</v>
      </c>
      <c r="J68" s="720" t="s">
        <v>7700</v>
      </c>
      <c r="K68" s="81">
        <v>0.0</v>
      </c>
      <c r="L68" s="720" t="s">
        <v>7700</v>
      </c>
      <c r="M68" s="720">
        <v>0.0</v>
      </c>
      <c r="N68" s="720">
        <v>0.0</v>
      </c>
      <c r="O68" s="236"/>
      <c r="P68" s="236"/>
      <c r="Q68" s="722" t="s">
        <v>8169</v>
      </c>
      <c r="R68" s="236"/>
      <c r="S68" s="653"/>
      <c r="T68" s="653"/>
      <c r="U68" s="653"/>
      <c r="V68" s="653"/>
      <c r="W68" s="653"/>
      <c r="X68" s="653"/>
      <c r="Y68" s="653"/>
      <c r="Z68" s="653"/>
    </row>
    <row r="69">
      <c r="A69" s="719" t="s">
        <v>8056</v>
      </c>
      <c r="B69" s="720" t="s">
        <v>8032</v>
      </c>
      <c r="C69" s="721">
        <v>43755.0</v>
      </c>
      <c r="D69" s="732" t="s">
        <v>121</v>
      </c>
      <c r="E69" s="732" t="s">
        <v>8195</v>
      </c>
      <c r="F69" s="732" t="s">
        <v>7754</v>
      </c>
      <c r="G69" s="732">
        <v>4.47789263104E11</v>
      </c>
      <c r="H69" s="734"/>
      <c r="I69" s="732" t="s">
        <v>8038</v>
      </c>
      <c r="J69" s="732" t="s">
        <v>4525</v>
      </c>
      <c r="K69" s="735">
        <v>0.0</v>
      </c>
      <c r="L69" s="732" t="s">
        <v>4525</v>
      </c>
      <c r="M69" s="732">
        <v>0.0</v>
      </c>
      <c r="N69" s="732">
        <v>0.0</v>
      </c>
      <c r="O69" s="753" t="s">
        <v>8173</v>
      </c>
      <c r="P69" s="734"/>
      <c r="Q69" s="745" t="s">
        <v>8196</v>
      </c>
      <c r="R69" s="754"/>
      <c r="S69" s="675" t="s">
        <v>3600</v>
      </c>
      <c r="T69" s="653"/>
      <c r="U69" s="653"/>
      <c r="V69" s="653"/>
      <c r="W69" s="653"/>
      <c r="X69" s="653"/>
      <c r="Y69" s="653"/>
      <c r="Z69" s="653"/>
    </row>
    <row r="70">
      <c r="A70" s="719" t="s">
        <v>8041</v>
      </c>
      <c r="B70" s="720" t="s">
        <v>8032</v>
      </c>
      <c r="C70" s="721">
        <v>43755.0</v>
      </c>
      <c r="D70" s="720" t="s">
        <v>8197</v>
      </c>
      <c r="E70" s="720" t="s">
        <v>8198</v>
      </c>
      <c r="F70" s="720" t="s">
        <v>7674</v>
      </c>
      <c r="G70" s="720">
        <v>9.19581026823E11</v>
      </c>
      <c r="H70" s="236"/>
      <c r="I70" s="720" t="s">
        <v>8038</v>
      </c>
      <c r="J70" s="720" t="s">
        <v>4503</v>
      </c>
      <c r="K70" s="81">
        <v>0.0</v>
      </c>
      <c r="L70" s="720" t="s">
        <v>4503</v>
      </c>
      <c r="M70" s="720">
        <v>0.0</v>
      </c>
      <c r="N70" s="720">
        <v>0.0</v>
      </c>
      <c r="O70" s="236"/>
      <c r="P70" s="236"/>
      <c r="Q70" s="722" t="s">
        <v>8169</v>
      </c>
      <c r="R70" s="236"/>
      <c r="S70" s="653"/>
      <c r="T70" s="653"/>
      <c r="U70" s="653"/>
      <c r="V70" s="653"/>
      <c r="W70" s="653"/>
      <c r="X70" s="653"/>
      <c r="Y70" s="653"/>
      <c r="Z70" s="653"/>
    </row>
    <row r="71">
      <c r="A71" s="719" t="s">
        <v>8041</v>
      </c>
      <c r="B71" s="720" t="s">
        <v>8032</v>
      </c>
      <c r="C71" s="721">
        <v>43755.0</v>
      </c>
      <c r="D71" s="720" t="s">
        <v>8199</v>
      </c>
      <c r="E71" s="720" t="s">
        <v>7765</v>
      </c>
      <c r="F71" s="720" t="s">
        <v>7674</v>
      </c>
      <c r="G71" s="720">
        <v>9.17349545481E11</v>
      </c>
      <c r="H71" s="236"/>
      <c r="I71" s="720" t="s">
        <v>8038</v>
      </c>
      <c r="J71" s="720" t="s">
        <v>4503</v>
      </c>
      <c r="K71" s="81">
        <v>0.0</v>
      </c>
      <c r="L71" s="720" t="s">
        <v>4503</v>
      </c>
      <c r="M71" s="720">
        <v>0.0</v>
      </c>
      <c r="N71" s="720">
        <v>0.0</v>
      </c>
      <c r="O71" s="236"/>
      <c r="P71" s="236"/>
      <c r="Q71" s="722" t="s">
        <v>8169</v>
      </c>
      <c r="R71" s="236"/>
      <c r="S71" s="653"/>
      <c r="T71" s="653"/>
      <c r="U71" s="653"/>
      <c r="V71" s="653"/>
      <c r="W71" s="653"/>
      <c r="X71" s="653"/>
      <c r="Y71" s="653"/>
      <c r="Z71" s="653"/>
    </row>
    <row r="72">
      <c r="A72" s="719" t="s">
        <v>8041</v>
      </c>
      <c r="B72" s="720" t="s">
        <v>8032</v>
      </c>
      <c r="C72" s="721">
        <v>43755.0</v>
      </c>
      <c r="D72" s="720" t="s">
        <v>8200</v>
      </c>
      <c r="E72" s="720" t="s">
        <v>8201</v>
      </c>
      <c r="F72" s="720" t="s">
        <v>7674</v>
      </c>
      <c r="G72" s="720">
        <v>9.19861315609E11</v>
      </c>
      <c r="H72" s="236"/>
      <c r="I72" s="720" t="s">
        <v>8038</v>
      </c>
      <c r="J72" s="720" t="s">
        <v>4503</v>
      </c>
      <c r="K72" s="81">
        <v>0.0</v>
      </c>
      <c r="L72" s="720" t="s">
        <v>4503</v>
      </c>
      <c r="M72" s="720">
        <v>0.0</v>
      </c>
      <c r="N72" s="720">
        <v>0.0</v>
      </c>
      <c r="O72" s="236"/>
      <c r="P72" s="236"/>
      <c r="Q72" s="722" t="s">
        <v>8169</v>
      </c>
      <c r="R72" s="236"/>
      <c r="S72" s="653"/>
      <c r="T72" s="653"/>
      <c r="U72" s="653"/>
      <c r="V72" s="653"/>
      <c r="W72" s="653"/>
      <c r="X72" s="653"/>
      <c r="Y72" s="653"/>
      <c r="Z72" s="653"/>
    </row>
    <row r="73">
      <c r="A73" s="719" t="s">
        <v>8041</v>
      </c>
      <c r="B73" s="720" t="s">
        <v>8032</v>
      </c>
      <c r="C73" s="721">
        <v>43755.0</v>
      </c>
      <c r="D73" s="720" t="s">
        <v>8202</v>
      </c>
      <c r="E73" s="720" t="s">
        <v>7765</v>
      </c>
      <c r="F73" s="720" t="s">
        <v>7674</v>
      </c>
      <c r="G73" s="720">
        <v>9.1950105875E11</v>
      </c>
      <c r="H73" s="236"/>
      <c r="I73" s="720" t="s">
        <v>8038</v>
      </c>
      <c r="J73" s="720" t="s">
        <v>4503</v>
      </c>
      <c r="K73" s="81">
        <v>0.0</v>
      </c>
      <c r="L73" s="720" t="s">
        <v>4503</v>
      </c>
      <c r="M73" s="720">
        <v>0.0</v>
      </c>
      <c r="N73" s="720">
        <v>0.0</v>
      </c>
      <c r="O73" s="236"/>
      <c r="P73" s="236"/>
      <c r="Q73" s="722" t="s">
        <v>8169</v>
      </c>
      <c r="R73" s="236"/>
      <c r="S73" s="653"/>
      <c r="T73" s="653"/>
      <c r="U73" s="653"/>
      <c r="V73" s="653"/>
      <c r="W73" s="653"/>
      <c r="X73" s="653"/>
      <c r="Y73" s="653"/>
      <c r="Z73" s="653"/>
    </row>
    <row r="74">
      <c r="A74" s="719" t="s">
        <v>8041</v>
      </c>
      <c r="B74" s="720" t="s">
        <v>8032</v>
      </c>
      <c r="C74" s="721">
        <v>43755.0</v>
      </c>
      <c r="D74" s="720" t="s">
        <v>8203</v>
      </c>
      <c r="E74" s="720" t="s">
        <v>8204</v>
      </c>
      <c r="F74" s="720" t="s">
        <v>7674</v>
      </c>
      <c r="G74" s="720">
        <v>9.19214707641E11</v>
      </c>
      <c r="H74" s="236"/>
      <c r="I74" s="720" t="s">
        <v>8038</v>
      </c>
      <c r="J74" s="720" t="s">
        <v>4503</v>
      </c>
      <c r="K74" s="81">
        <v>0.0</v>
      </c>
      <c r="L74" s="720" t="s">
        <v>4503</v>
      </c>
      <c r="M74" s="720">
        <v>0.0</v>
      </c>
      <c r="N74" s="720">
        <v>0.0</v>
      </c>
      <c r="O74" s="236"/>
      <c r="P74" s="236"/>
      <c r="Q74" s="722" t="s">
        <v>8169</v>
      </c>
      <c r="R74" s="236"/>
      <c r="S74" s="653"/>
      <c r="T74" s="653"/>
      <c r="U74" s="653"/>
      <c r="V74" s="653"/>
      <c r="W74" s="653"/>
      <c r="X74" s="653"/>
      <c r="Y74" s="653"/>
      <c r="Z74" s="653"/>
    </row>
    <row r="75">
      <c r="A75" s="719" t="s">
        <v>8041</v>
      </c>
      <c r="B75" s="720" t="s">
        <v>8032</v>
      </c>
      <c r="C75" s="721">
        <v>43755.0</v>
      </c>
      <c r="D75" s="720" t="s">
        <v>8205</v>
      </c>
      <c r="E75" s="720" t="s">
        <v>8206</v>
      </c>
      <c r="F75" s="720" t="s">
        <v>7685</v>
      </c>
      <c r="G75" s="720">
        <v>9.71544403572E11</v>
      </c>
      <c r="H75" s="236"/>
      <c r="I75" s="720" t="s">
        <v>8038</v>
      </c>
      <c r="J75" s="720" t="s">
        <v>8207</v>
      </c>
      <c r="K75" s="81">
        <v>1.0</v>
      </c>
      <c r="L75" s="720" t="s">
        <v>4461</v>
      </c>
      <c r="M75" s="720">
        <v>0.0</v>
      </c>
      <c r="N75" s="720">
        <v>0.0</v>
      </c>
      <c r="O75" s="236"/>
      <c r="P75" s="236"/>
      <c r="Q75" s="722" t="s">
        <v>8169</v>
      </c>
      <c r="R75" s="236"/>
      <c r="S75" s="653"/>
      <c r="T75" s="653"/>
      <c r="U75" s="653"/>
      <c r="V75" s="653"/>
      <c r="W75" s="653"/>
      <c r="X75" s="653"/>
      <c r="Y75" s="653"/>
      <c r="Z75" s="653"/>
    </row>
    <row r="76">
      <c r="A76" s="719" t="s">
        <v>8041</v>
      </c>
      <c r="B76" s="720" t="s">
        <v>8032</v>
      </c>
      <c r="C76" s="721">
        <v>43755.0</v>
      </c>
      <c r="D76" s="720" t="s">
        <v>8208</v>
      </c>
      <c r="E76" s="720" t="s">
        <v>8209</v>
      </c>
      <c r="F76" s="720" t="s">
        <v>7685</v>
      </c>
      <c r="G76" s="720">
        <v>9.71506265015E11</v>
      </c>
      <c r="H76" s="236"/>
      <c r="I76" s="720" t="s">
        <v>8210</v>
      </c>
      <c r="J76" s="720" t="s">
        <v>4461</v>
      </c>
      <c r="K76" s="81">
        <v>1.0</v>
      </c>
      <c r="L76" s="720" t="s">
        <v>4461</v>
      </c>
      <c r="M76" s="720">
        <v>0.0</v>
      </c>
      <c r="N76" s="720">
        <v>0.0</v>
      </c>
      <c r="O76" s="236"/>
      <c r="P76" s="236"/>
      <c r="Q76" s="722" t="s">
        <v>8169</v>
      </c>
      <c r="R76" s="236"/>
      <c r="S76" s="653"/>
      <c r="T76" s="653"/>
      <c r="U76" s="653"/>
      <c r="V76" s="653"/>
      <c r="W76" s="653"/>
      <c r="X76" s="653"/>
      <c r="Y76" s="653"/>
      <c r="Z76" s="653"/>
    </row>
    <row r="77">
      <c r="A77" s="719" t="s">
        <v>8041</v>
      </c>
      <c r="B77" s="720" t="s">
        <v>8032</v>
      </c>
      <c r="C77" s="721">
        <v>43755.0</v>
      </c>
      <c r="D77" s="720" t="s">
        <v>121</v>
      </c>
      <c r="E77" s="720" t="s">
        <v>8195</v>
      </c>
      <c r="F77" s="720" t="s">
        <v>7754</v>
      </c>
      <c r="G77" s="720">
        <v>4.47789263104E11</v>
      </c>
      <c r="H77" s="236"/>
      <c r="I77" s="720" t="s">
        <v>8038</v>
      </c>
      <c r="J77" s="720" t="s">
        <v>4525</v>
      </c>
      <c r="K77" s="81">
        <v>0.0</v>
      </c>
      <c r="L77" s="720" t="s">
        <v>4525</v>
      </c>
      <c r="M77" s="720">
        <v>0.0</v>
      </c>
      <c r="N77" s="720">
        <v>0.0</v>
      </c>
      <c r="O77" s="236"/>
      <c r="P77" s="236"/>
      <c r="Q77" s="722" t="s">
        <v>8169</v>
      </c>
      <c r="R77" s="236"/>
      <c r="S77" s="653"/>
      <c r="T77" s="653"/>
      <c r="U77" s="653"/>
      <c r="V77" s="653"/>
      <c r="W77" s="653"/>
      <c r="X77" s="653"/>
      <c r="Y77" s="653"/>
      <c r="Z77" s="653"/>
    </row>
    <row r="78">
      <c r="A78" s="719" t="s">
        <v>8041</v>
      </c>
      <c r="B78" s="720" t="s">
        <v>8032</v>
      </c>
      <c r="C78" s="721">
        <v>43755.0</v>
      </c>
      <c r="D78" s="720" t="s">
        <v>7608</v>
      </c>
      <c r="E78" s="720" t="s">
        <v>8211</v>
      </c>
      <c r="F78" s="720" t="s">
        <v>7674</v>
      </c>
      <c r="G78" s="720">
        <v>9.19574020004E11</v>
      </c>
      <c r="H78" s="236"/>
      <c r="I78" s="720" t="s">
        <v>8212</v>
      </c>
      <c r="J78" s="720" t="s">
        <v>4503</v>
      </c>
      <c r="K78" s="81">
        <v>0.0</v>
      </c>
      <c r="L78" s="720" t="s">
        <v>4503</v>
      </c>
      <c r="M78" s="720">
        <v>0.0</v>
      </c>
      <c r="N78" s="720">
        <v>0.0</v>
      </c>
      <c r="O78" s="236"/>
      <c r="P78" s="236"/>
      <c r="Q78" s="722" t="s">
        <v>8169</v>
      </c>
      <c r="R78" s="236"/>
      <c r="S78" s="653"/>
      <c r="T78" s="653"/>
      <c r="U78" s="653"/>
      <c r="V78" s="653"/>
      <c r="W78" s="653"/>
      <c r="X78" s="653"/>
      <c r="Y78" s="653"/>
      <c r="Z78" s="653"/>
    </row>
    <row r="79">
      <c r="A79" s="719" t="s">
        <v>8056</v>
      </c>
      <c r="B79" s="720" t="s">
        <v>8032</v>
      </c>
      <c r="C79" s="721">
        <v>43755.0</v>
      </c>
      <c r="D79" s="732" t="s">
        <v>8213</v>
      </c>
      <c r="E79" s="732" t="s">
        <v>8214</v>
      </c>
      <c r="F79" s="732" t="s">
        <v>8215</v>
      </c>
      <c r="G79" s="732">
        <v>2.44928188915E11</v>
      </c>
      <c r="H79" s="734"/>
      <c r="I79" s="732" t="s">
        <v>8038</v>
      </c>
      <c r="J79" s="732" t="s">
        <v>8216</v>
      </c>
      <c r="K79" s="735">
        <v>0.0</v>
      </c>
      <c r="L79" s="732" t="s">
        <v>8216</v>
      </c>
      <c r="M79" s="732">
        <v>0.0</v>
      </c>
      <c r="N79" s="732">
        <v>0.0</v>
      </c>
      <c r="O79" s="734"/>
      <c r="P79" s="734"/>
      <c r="Q79" s="736" t="s">
        <v>8169</v>
      </c>
      <c r="R79" s="742" t="s">
        <v>8217</v>
      </c>
      <c r="S79" s="675"/>
      <c r="T79" s="653"/>
      <c r="U79" s="653"/>
      <c r="V79" s="653"/>
      <c r="W79" s="653"/>
      <c r="X79" s="653"/>
      <c r="Y79" s="653"/>
      <c r="Z79" s="653"/>
    </row>
    <row r="80">
      <c r="A80" s="719" t="s">
        <v>8056</v>
      </c>
      <c r="B80" s="720" t="s">
        <v>8032</v>
      </c>
      <c r="C80" s="721">
        <v>43755.0</v>
      </c>
      <c r="D80" s="732" t="s">
        <v>8218</v>
      </c>
      <c r="E80" s="732" t="s">
        <v>8219</v>
      </c>
      <c r="F80" s="732" t="s">
        <v>7802</v>
      </c>
      <c r="G80" s="732">
        <v>1.4168369611E10</v>
      </c>
      <c r="H80" s="732">
        <v>1.3109236619E10</v>
      </c>
      <c r="I80" s="732" t="s">
        <v>8220</v>
      </c>
      <c r="J80" s="732" t="s">
        <v>4533</v>
      </c>
      <c r="K80" s="735">
        <v>0.0</v>
      </c>
      <c r="L80" s="732" t="s">
        <v>4533</v>
      </c>
      <c r="M80" s="732">
        <v>0.0</v>
      </c>
      <c r="N80" s="732">
        <v>0.0</v>
      </c>
      <c r="O80" s="732" t="s">
        <v>8221</v>
      </c>
      <c r="P80" s="734"/>
      <c r="Q80" s="736" t="s">
        <v>8169</v>
      </c>
      <c r="R80" s="742" t="s">
        <v>8222</v>
      </c>
      <c r="S80" s="675"/>
      <c r="T80" s="653"/>
      <c r="U80" s="653"/>
      <c r="V80" s="653"/>
      <c r="W80" s="653"/>
      <c r="X80" s="653"/>
      <c r="Y80" s="653"/>
      <c r="Z80" s="653"/>
    </row>
    <row r="81">
      <c r="A81" s="719" t="s">
        <v>8056</v>
      </c>
      <c r="B81" s="720" t="s">
        <v>8032</v>
      </c>
      <c r="C81" s="721">
        <v>43755.0</v>
      </c>
      <c r="D81" s="732" t="s">
        <v>8223</v>
      </c>
      <c r="E81" s="732" t="s">
        <v>8224</v>
      </c>
      <c r="F81" s="732" t="s">
        <v>7754</v>
      </c>
      <c r="G81" s="732">
        <v>4.47986295718E11</v>
      </c>
      <c r="H81" s="734"/>
      <c r="I81" s="732" t="s">
        <v>8038</v>
      </c>
      <c r="J81" s="732" t="s">
        <v>4525</v>
      </c>
      <c r="K81" s="735">
        <v>0.0</v>
      </c>
      <c r="L81" s="732" t="s">
        <v>4525</v>
      </c>
      <c r="M81" s="732">
        <v>0.0</v>
      </c>
      <c r="N81" s="732">
        <v>0.0</v>
      </c>
      <c r="O81" s="734"/>
      <c r="P81" s="734"/>
      <c r="Q81" s="736" t="s">
        <v>8169</v>
      </c>
      <c r="R81" s="742" t="s">
        <v>6520</v>
      </c>
      <c r="S81" s="653"/>
      <c r="T81" s="653"/>
      <c r="U81" s="653"/>
      <c r="V81" s="653"/>
      <c r="W81" s="653"/>
      <c r="X81" s="653"/>
      <c r="Y81" s="653"/>
      <c r="Z81" s="653"/>
    </row>
    <row r="82">
      <c r="A82" s="719" t="s">
        <v>8056</v>
      </c>
      <c r="B82" s="720" t="s">
        <v>8032</v>
      </c>
      <c r="C82" s="721">
        <v>43755.0</v>
      </c>
      <c r="D82" s="720" t="s">
        <v>8225</v>
      </c>
      <c r="E82" s="720" t="s">
        <v>8226</v>
      </c>
      <c r="F82" s="720" t="s">
        <v>7754</v>
      </c>
      <c r="G82" s="720">
        <v>4.47838535233E11</v>
      </c>
      <c r="H82" s="236"/>
      <c r="I82" s="720" t="s">
        <v>8038</v>
      </c>
      <c r="J82" s="720" t="s">
        <v>4525</v>
      </c>
      <c r="K82" s="81">
        <v>0.0</v>
      </c>
      <c r="L82" s="720" t="s">
        <v>4525</v>
      </c>
      <c r="M82" s="720">
        <v>0.0</v>
      </c>
      <c r="N82" s="720">
        <v>0.0</v>
      </c>
      <c r="O82" s="236"/>
      <c r="P82" s="236"/>
      <c r="Q82" s="722" t="s">
        <v>8169</v>
      </c>
      <c r="R82" s="236"/>
      <c r="S82" s="653"/>
      <c r="T82" s="653"/>
      <c r="U82" s="653"/>
      <c r="V82" s="653"/>
      <c r="W82" s="653"/>
      <c r="X82" s="653"/>
      <c r="Y82" s="653"/>
      <c r="Z82" s="653"/>
    </row>
    <row r="83">
      <c r="A83" s="719" t="s">
        <v>8056</v>
      </c>
      <c r="B83" s="720" t="s">
        <v>8032</v>
      </c>
      <c r="C83" s="721">
        <v>43755.0</v>
      </c>
      <c r="D83" s="720" t="s">
        <v>8227</v>
      </c>
      <c r="E83" s="720" t="s">
        <v>8228</v>
      </c>
      <c r="F83" s="720" t="s">
        <v>8229</v>
      </c>
      <c r="G83" s="720">
        <v>2.4205355079E11</v>
      </c>
      <c r="H83" s="720" t="s">
        <v>8230</v>
      </c>
      <c r="I83" s="720" t="s">
        <v>8231</v>
      </c>
      <c r="J83" s="720" t="s">
        <v>8232</v>
      </c>
      <c r="K83" s="81">
        <v>0.0</v>
      </c>
      <c r="L83" s="720" t="s">
        <v>8232</v>
      </c>
      <c r="M83" s="720">
        <v>0.0</v>
      </c>
      <c r="N83" s="720">
        <v>0.0</v>
      </c>
      <c r="O83" s="236"/>
      <c r="P83" s="236"/>
      <c r="Q83" s="722" t="s">
        <v>8169</v>
      </c>
      <c r="R83" s="236"/>
      <c r="S83" s="653"/>
      <c r="T83" s="653"/>
      <c r="U83" s="653"/>
      <c r="V83" s="653"/>
      <c r="W83" s="653"/>
      <c r="X83" s="653"/>
      <c r="Y83" s="653"/>
      <c r="Z83" s="653"/>
    </row>
    <row r="84">
      <c r="A84" s="719" t="s">
        <v>8056</v>
      </c>
      <c r="B84" s="720" t="s">
        <v>8032</v>
      </c>
      <c r="C84" s="721">
        <v>43755.0</v>
      </c>
      <c r="D84" s="720" t="s">
        <v>8233</v>
      </c>
      <c r="E84" s="720" t="s">
        <v>8224</v>
      </c>
      <c r="F84" s="720" t="s">
        <v>8234</v>
      </c>
      <c r="G84" s="720">
        <v>3.55676737153E11</v>
      </c>
      <c r="H84" s="236"/>
      <c r="I84" s="720" t="s">
        <v>8038</v>
      </c>
      <c r="J84" s="720" t="s">
        <v>4626</v>
      </c>
      <c r="K84" s="81">
        <v>0.0</v>
      </c>
      <c r="L84" s="720" t="s">
        <v>8235</v>
      </c>
      <c r="M84" s="720">
        <v>0.0</v>
      </c>
      <c r="N84" s="720">
        <v>0.0</v>
      </c>
      <c r="O84" s="236"/>
      <c r="P84" s="236"/>
      <c r="Q84" s="722" t="s">
        <v>8169</v>
      </c>
      <c r="R84" s="236"/>
      <c r="S84" s="653"/>
      <c r="T84" s="653"/>
      <c r="U84" s="653"/>
      <c r="V84" s="653"/>
      <c r="W84" s="653"/>
      <c r="X84" s="653"/>
      <c r="Y84" s="653"/>
      <c r="Z84" s="653"/>
    </row>
    <row r="85">
      <c r="A85" s="724" t="s">
        <v>8041</v>
      </c>
      <c r="B85" s="725" t="s">
        <v>8032</v>
      </c>
      <c r="C85" s="726">
        <v>43757.0</v>
      </c>
      <c r="D85" s="748" t="s">
        <v>3582</v>
      </c>
      <c r="E85" s="748" t="s">
        <v>8236</v>
      </c>
      <c r="F85" s="748" t="s">
        <v>7701</v>
      </c>
      <c r="G85" s="748">
        <v>9.66569090906E11</v>
      </c>
      <c r="H85" s="749"/>
      <c r="I85" s="748" t="s">
        <v>8038</v>
      </c>
      <c r="J85" s="748" t="s">
        <v>7700</v>
      </c>
      <c r="K85" s="750">
        <v>0.0</v>
      </c>
      <c r="L85" s="748" t="s">
        <v>7700</v>
      </c>
      <c r="M85" s="748">
        <v>0.0</v>
      </c>
      <c r="N85" s="748">
        <v>0.0</v>
      </c>
      <c r="O85" s="749"/>
      <c r="P85" s="749"/>
      <c r="Q85" s="751" t="s">
        <v>8058</v>
      </c>
      <c r="R85" s="749"/>
      <c r="S85" s="653"/>
      <c r="T85" s="653"/>
      <c r="U85" s="653"/>
      <c r="V85" s="653"/>
      <c r="W85" s="653"/>
      <c r="X85" s="653"/>
      <c r="Y85" s="653"/>
      <c r="Z85" s="653"/>
    </row>
    <row r="86">
      <c r="A86" s="719" t="s">
        <v>8056</v>
      </c>
      <c r="B86" s="720" t="s">
        <v>8032</v>
      </c>
      <c r="C86" s="721">
        <v>43757.0</v>
      </c>
      <c r="D86" s="720" t="s">
        <v>2502</v>
      </c>
      <c r="E86" s="720" t="s">
        <v>8237</v>
      </c>
      <c r="F86" s="720" t="s">
        <v>7674</v>
      </c>
      <c r="G86" s="720">
        <v>9.18056550324E11</v>
      </c>
      <c r="H86" s="236"/>
      <c r="I86" s="720" t="s">
        <v>8038</v>
      </c>
      <c r="J86" s="720" t="s">
        <v>4503</v>
      </c>
      <c r="K86" s="81">
        <v>0.0</v>
      </c>
      <c r="L86" s="720" t="s">
        <v>4503</v>
      </c>
      <c r="M86" s="720">
        <v>0.0</v>
      </c>
      <c r="N86" s="720">
        <v>0.0</v>
      </c>
      <c r="O86" s="236"/>
      <c r="P86" s="236"/>
      <c r="Q86" s="722" t="s">
        <v>8051</v>
      </c>
      <c r="R86" s="236"/>
      <c r="S86" s="653"/>
      <c r="T86" s="653"/>
      <c r="U86" s="653"/>
      <c r="V86" s="653"/>
      <c r="W86" s="653"/>
      <c r="X86" s="653"/>
      <c r="Y86" s="653"/>
      <c r="Z86" s="653"/>
    </row>
    <row r="87">
      <c r="A87" s="724" t="s">
        <v>8056</v>
      </c>
      <c r="B87" s="725" t="s">
        <v>8032</v>
      </c>
      <c r="C87" s="726">
        <v>43756.0</v>
      </c>
      <c r="D87" s="725" t="s">
        <v>8238</v>
      </c>
      <c r="E87" s="725" t="s">
        <v>8239</v>
      </c>
      <c r="F87" s="725" t="s">
        <v>8050</v>
      </c>
      <c r="G87" s="725">
        <v>9.6566333138E10</v>
      </c>
      <c r="H87" s="702"/>
      <c r="I87" s="725" t="s">
        <v>8038</v>
      </c>
      <c r="J87" s="725" t="s">
        <v>4458</v>
      </c>
      <c r="K87" s="728">
        <v>0.0</v>
      </c>
      <c r="L87" s="725" t="s">
        <v>4458</v>
      </c>
      <c r="M87" s="725">
        <v>0.0</v>
      </c>
      <c r="N87" s="725">
        <v>0.0</v>
      </c>
      <c r="O87" s="702"/>
      <c r="P87" s="702"/>
      <c r="Q87" s="729" t="s">
        <v>8051</v>
      </c>
      <c r="R87" s="702"/>
      <c r="S87" s="653"/>
      <c r="T87" s="653"/>
      <c r="U87" s="653"/>
      <c r="V87" s="653"/>
      <c r="W87" s="653"/>
      <c r="X87" s="653"/>
      <c r="Y87" s="653"/>
      <c r="Z87" s="653"/>
    </row>
    <row r="88">
      <c r="A88" s="719" t="s">
        <v>8041</v>
      </c>
      <c r="B88" s="720" t="s">
        <v>8032</v>
      </c>
      <c r="C88" s="721">
        <v>43756.0</v>
      </c>
      <c r="D88" s="720" t="s">
        <v>8240</v>
      </c>
      <c r="E88" s="720" t="s">
        <v>8240</v>
      </c>
      <c r="F88" s="720" t="s">
        <v>7749</v>
      </c>
      <c r="G88" s="720">
        <v>9.98998939939393E14</v>
      </c>
      <c r="H88" s="236"/>
      <c r="I88" s="720" t="s">
        <v>8038</v>
      </c>
      <c r="J88" s="720" t="s">
        <v>7748</v>
      </c>
      <c r="K88" s="81">
        <v>0.0</v>
      </c>
      <c r="L88" s="720" t="s">
        <v>7748</v>
      </c>
      <c r="M88" s="720">
        <v>0.0</v>
      </c>
      <c r="N88" s="720">
        <v>0.0</v>
      </c>
      <c r="O88" s="236"/>
      <c r="P88" s="236"/>
      <c r="Q88" s="722" t="s">
        <v>8169</v>
      </c>
      <c r="R88" s="236"/>
      <c r="S88" s="653"/>
      <c r="T88" s="653"/>
      <c r="U88" s="653"/>
      <c r="V88" s="653"/>
      <c r="W88" s="653"/>
      <c r="X88" s="653"/>
      <c r="Y88" s="653"/>
      <c r="Z88" s="653"/>
    </row>
    <row r="89">
      <c r="A89" s="719" t="s">
        <v>8041</v>
      </c>
      <c r="B89" s="720" t="s">
        <v>8032</v>
      </c>
      <c r="C89" s="721">
        <v>43756.0</v>
      </c>
      <c r="D89" s="732" t="s">
        <v>8241</v>
      </c>
      <c r="E89" s="732" t="s">
        <v>8241</v>
      </c>
      <c r="F89" s="732" t="s">
        <v>7685</v>
      </c>
      <c r="G89" s="732">
        <v>9.71506271006E11</v>
      </c>
      <c r="H89" s="734"/>
      <c r="I89" s="732" t="s">
        <v>8038</v>
      </c>
      <c r="J89" s="732" t="s">
        <v>4642</v>
      </c>
      <c r="K89" s="735">
        <v>1.0</v>
      </c>
      <c r="L89" s="732" t="s">
        <v>4461</v>
      </c>
      <c r="M89" s="732">
        <v>0.0</v>
      </c>
      <c r="N89" s="732">
        <v>0.0</v>
      </c>
      <c r="O89" s="732" t="s">
        <v>8221</v>
      </c>
      <c r="P89" s="734"/>
      <c r="Q89" s="736" t="s">
        <v>8242</v>
      </c>
      <c r="R89" s="734"/>
      <c r="S89" s="653"/>
      <c r="T89" s="653"/>
      <c r="U89" s="653"/>
      <c r="V89" s="653"/>
      <c r="W89" s="653"/>
      <c r="X89" s="653"/>
      <c r="Y89" s="653"/>
      <c r="Z89" s="653"/>
    </row>
    <row r="90">
      <c r="A90" s="719" t="s">
        <v>8056</v>
      </c>
      <c r="B90" s="720" t="s">
        <v>8032</v>
      </c>
      <c r="C90" s="721">
        <v>43756.0</v>
      </c>
      <c r="D90" s="732" t="s">
        <v>8243</v>
      </c>
      <c r="E90" s="732" t="s">
        <v>8244</v>
      </c>
      <c r="F90" s="732" t="s">
        <v>7674</v>
      </c>
      <c r="G90" s="732">
        <v>9.19029871863E11</v>
      </c>
      <c r="H90" s="734"/>
      <c r="I90" s="732" t="s">
        <v>8038</v>
      </c>
      <c r="J90" s="732" t="s">
        <v>4503</v>
      </c>
      <c r="K90" s="735">
        <v>0.0</v>
      </c>
      <c r="L90" s="732" t="s">
        <v>4503</v>
      </c>
      <c r="M90" s="732">
        <v>0.0</v>
      </c>
      <c r="N90" s="732">
        <v>0.0</v>
      </c>
      <c r="O90" s="734"/>
      <c r="P90" s="734"/>
      <c r="Q90" s="736" t="s">
        <v>8051</v>
      </c>
      <c r="R90" s="734"/>
      <c r="S90" s="653"/>
      <c r="T90" s="653"/>
      <c r="U90" s="653"/>
      <c r="V90" s="653"/>
      <c r="W90" s="653"/>
      <c r="X90" s="653"/>
      <c r="Y90" s="653"/>
      <c r="Z90" s="653"/>
    </row>
    <row r="91">
      <c r="A91" s="719" t="s">
        <v>8056</v>
      </c>
      <c r="B91" s="720" t="s">
        <v>8032</v>
      </c>
      <c r="C91" s="721">
        <v>43756.0</v>
      </c>
      <c r="D91" s="720" t="s">
        <v>8245</v>
      </c>
      <c r="E91" s="720" t="s">
        <v>8246</v>
      </c>
      <c r="F91" s="720" t="s">
        <v>7713</v>
      </c>
      <c r="G91" s="720">
        <v>1.4042959217E10</v>
      </c>
      <c r="H91" s="236"/>
      <c r="I91" s="720" t="s">
        <v>8038</v>
      </c>
      <c r="J91" s="720" t="s">
        <v>7712</v>
      </c>
      <c r="K91" s="81">
        <v>0.0</v>
      </c>
      <c r="L91" s="720" t="s">
        <v>7712</v>
      </c>
      <c r="M91" s="720">
        <v>0.0</v>
      </c>
      <c r="N91" s="720">
        <v>0.0</v>
      </c>
      <c r="O91" s="236"/>
      <c r="P91" s="236"/>
      <c r="Q91" s="722" t="s">
        <v>8051</v>
      </c>
      <c r="R91" s="236"/>
      <c r="S91" s="653"/>
      <c r="T91" s="653"/>
      <c r="U91" s="653"/>
      <c r="V91" s="653"/>
      <c r="W91" s="653"/>
      <c r="X91" s="653"/>
      <c r="Y91" s="653"/>
      <c r="Z91" s="653"/>
    </row>
    <row r="92">
      <c r="A92" s="719" t="s">
        <v>8056</v>
      </c>
      <c r="B92" s="720" t="s">
        <v>8032</v>
      </c>
      <c r="C92" s="721">
        <v>43756.0</v>
      </c>
      <c r="D92" s="720" t="s">
        <v>8068</v>
      </c>
      <c r="E92" s="720" t="s">
        <v>8247</v>
      </c>
      <c r="F92" s="720" t="s">
        <v>7685</v>
      </c>
      <c r="G92" s="720">
        <v>9.7150730863E11</v>
      </c>
      <c r="H92" s="236"/>
      <c r="I92" s="720" t="s">
        <v>8038</v>
      </c>
      <c r="J92" s="720" t="s">
        <v>4571</v>
      </c>
      <c r="K92" s="81">
        <v>1.0</v>
      </c>
      <c r="L92" s="720" t="s">
        <v>4461</v>
      </c>
      <c r="M92" s="720">
        <v>0.0</v>
      </c>
      <c r="N92" s="720">
        <v>0.0</v>
      </c>
      <c r="O92" s="236"/>
      <c r="P92" s="236"/>
      <c r="Q92" s="722" t="s">
        <v>8051</v>
      </c>
      <c r="R92" s="236"/>
      <c r="S92" s="653"/>
      <c r="T92" s="653"/>
      <c r="U92" s="653"/>
      <c r="V92" s="653"/>
      <c r="W92" s="653"/>
      <c r="X92" s="653"/>
      <c r="Y92" s="653"/>
      <c r="Z92" s="653"/>
    </row>
    <row r="93">
      <c r="A93" s="719" t="s">
        <v>8056</v>
      </c>
      <c r="B93" s="720" t="s">
        <v>8032</v>
      </c>
      <c r="C93" s="721">
        <v>43756.0</v>
      </c>
      <c r="D93" s="720" t="s">
        <v>3582</v>
      </c>
      <c r="E93" s="720" t="s">
        <v>8248</v>
      </c>
      <c r="F93" s="720" t="s">
        <v>7685</v>
      </c>
      <c r="G93" s="720">
        <v>9.71508768044E11</v>
      </c>
      <c r="H93" s="236"/>
      <c r="I93" s="720" t="s">
        <v>8038</v>
      </c>
      <c r="J93" s="720" t="s">
        <v>4500</v>
      </c>
      <c r="K93" s="81">
        <v>1.0</v>
      </c>
      <c r="L93" s="720" t="s">
        <v>4461</v>
      </c>
      <c r="M93" s="720">
        <v>0.0</v>
      </c>
      <c r="N93" s="720">
        <v>0.0</v>
      </c>
      <c r="O93" s="236"/>
      <c r="P93" s="236"/>
      <c r="Q93" s="722" t="s">
        <v>8249</v>
      </c>
      <c r="R93" s="236"/>
      <c r="S93" s="653"/>
      <c r="T93" s="653"/>
      <c r="U93" s="653"/>
      <c r="V93" s="653"/>
      <c r="W93" s="653"/>
      <c r="X93" s="653"/>
      <c r="Y93" s="653"/>
      <c r="Z93" s="653"/>
    </row>
    <row r="94">
      <c r="A94" s="724" t="s">
        <v>8041</v>
      </c>
      <c r="B94" s="725" t="s">
        <v>8032</v>
      </c>
      <c r="C94" s="726">
        <v>43758.0</v>
      </c>
      <c r="D94" s="748" t="s">
        <v>8250</v>
      </c>
      <c r="E94" s="748" t="s">
        <v>8251</v>
      </c>
      <c r="F94" s="748" t="s">
        <v>7685</v>
      </c>
      <c r="G94" s="748">
        <v>9.71582941796E11</v>
      </c>
      <c r="H94" s="749"/>
      <c r="I94" s="748" t="s">
        <v>8038</v>
      </c>
      <c r="J94" s="748" t="s">
        <v>5137</v>
      </c>
      <c r="K94" s="750">
        <v>0.0</v>
      </c>
      <c r="L94" s="748" t="s">
        <v>5137</v>
      </c>
      <c r="M94" s="748">
        <v>0.0</v>
      </c>
      <c r="N94" s="748">
        <v>0.0</v>
      </c>
      <c r="O94" s="749"/>
      <c r="P94" s="749"/>
      <c r="Q94" s="755" t="s">
        <v>8252</v>
      </c>
      <c r="R94" s="749"/>
      <c r="S94" s="653"/>
      <c r="T94" s="653"/>
      <c r="U94" s="653"/>
      <c r="V94" s="653"/>
      <c r="W94" s="653"/>
      <c r="X94" s="653"/>
      <c r="Y94" s="653"/>
      <c r="Z94" s="653"/>
    </row>
    <row r="95">
      <c r="A95" s="719" t="s">
        <v>8041</v>
      </c>
      <c r="B95" s="720" t="s">
        <v>8032</v>
      </c>
      <c r="C95" s="721">
        <v>43758.0</v>
      </c>
      <c r="D95" s="732" t="s">
        <v>8253</v>
      </c>
      <c r="E95" s="732" t="s">
        <v>8254</v>
      </c>
      <c r="F95" s="734"/>
      <c r="G95" s="734"/>
      <c r="H95" s="734"/>
      <c r="I95" s="732" t="s">
        <v>8255</v>
      </c>
      <c r="J95" s="732" t="s">
        <v>4660</v>
      </c>
      <c r="K95" s="735">
        <v>0.0</v>
      </c>
      <c r="L95" s="732" t="s">
        <v>4660</v>
      </c>
      <c r="M95" s="732">
        <v>0.0</v>
      </c>
      <c r="N95" s="732">
        <v>0.0</v>
      </c>
      <c r="O95" s="734"/>
      <c r="P95" s="734"/>
      <c r="Q95" s="745" t="s">
        <v>8256</v>
      </c>
      <c r="R95" s="734"/>
      <c r="S95" s="653"/>
      <c r="T95" s="653"/>
      <c r="U95" s="653"/>
      <c r="V95" s="653"/>
      <c r="W95" s="653"/>
      <c r="X95" s="653"/>
      <c r="Y95" s="653"/>
      <c r="Z95" s="653"/>
    </row>
    <row r="96">
      <c r="A96" s="719" t="s">
        <v>8056</v>
      </c>
      <c r="B96" s="720" t="s">
        <v>8032</v>
      </c>
      <c r="C96" s="721">
        <v>43758.0</v>
      </c>
      <c r="D96" s="720" t="s">
        <v>7453</v>
      </c>
      <c r="E96" s="720" t="s">
        <v>8257</v>
      </c>
      <c r="F96" s="720" t="s">
        <v>7685</v>
      </c>
      <c r="G96" s="720">
        <v>9.7158611432E11</v>
      </c>
      <c r="H96" s="236"/>
      <c r="I96" s="720" t="s">
        <v>8038</v>
      </c>
      <c r="J96" s="720" t="s">
        <v>4461</v>
      </c>
      <c r="K96" s="81">
        <v>1.0</v>
      </c>
      <c r="L96" s="720" t="s">
        <v>4461</v>
      </c>
      <c r="M96" s="720">
        <v>0.0</v>
      </c>
      <c r="N96" s="720">
        <v>0.0</v>
      </c>
      <c r="O96" s="236"/>
      <c r="P96" s="236"/>
      <c r="Q96" s="722" t="s">
        <v>8045</v>
      </c>
      <c r="R96" s="236"/>
      <c r="S96" s="653"/>
      <c r="T96" s="653"/>
      <c r="U96" s="653"/>
      <c r="V96" s="653"/>
      <c r="W96" s="653"/>
      <c r="X96" s="653"/>
      <c r="Y96" s="653"/>
      <c r="Z96" s="653"/>
    </row>
    <row r="97">
      <c r="A97" s="719" t="s">
        <v>8056</v>
      </c>
      <c r="B97" s="720" t="s">
        <v>8032</v>
      </c>
      <c r="C97" s="721">
        <v>43758.0</v>
      </c>
      <c r="D97" s="732" t="s">
        <v>8258</v>
      </c>
      <c r="E97" s="732" t="s">
        <v>8258</v>
      </c>
      <c r="F97" s="732" t="s">
        <v>7731</v>
      </c>
      <c r="G97" s="732">
        <v>7.7024431343E10</v>
      </c>
      <c r="H97" s="734"/>
      <c r="I97" s="732" t="s">
        <v>8038</v>
      </c>
      <c r="J97" s="732" t="s">
        <v>7748</v>
      </c>
      <c r="K97" s="735">
        <v>0.0</v>
      </c>
      <c r="L97" s="732" t="s">
        <v>7748</v>
      </c>
      <c r="M97" s="732">
        <v>0.0</v>
      </c>
      <c r="N97" s="732">
        <v>0.0</v>
      </c>
      <c r="O97" s="734"/>
      <c r="P97" s="732" t="s">
        <v>1835</v>
      </c>
      <c r="Q97" s="745" t="s">
        <v>8259</v>
      </c>
      <c r="R97" s="734"/>
      <c r="S97" s="653"/>
      <c r="T97" s="653"/>
      <c r="U97" s="653"/>
      <c r="V97" s="653"/>
      <c r="W97" s="653"/>
      <c r="X97" s="653"/>
      <c r="Y97" s="653"/>
      <c r="Z97" s="653"/>
    </row>
    <row r="98">
      <c r="A98" s="719" t="s">
        <v>8056</v>
      </c>
      <c r="B98" s="720" t="s">
        <v>8032</v>
      </c>
      <c r="C98" s="721">
        <v>43758.0</v>
      </c>
      <c r="D98" s="732" t="s">
        <v>8260</v>
      </c>
      <c r="E98" s="732" t="s">
        <v>8261</v>
      </c>
      <c r="F98" s="732" t="s">
        <v>7782</v>
      </c>
      <c r="G98" s="732">
        <v>7.70732333E10</v>
      </c>
      <c r="H98" s="734"/>
      <c r="I98" s="732" t="s">
        <v>8038</v>
      </c>
      <c r="J98" s="732" t="s">
        <v>4521</v>
      </c>
      <c r="K98" s="735">
        <v>0.0</v>
      </c>
      <c r="L98" s="732" t="s">
        <v>4521</v>
      </c>
      <c r="M98" s="732">
        <v>0.0</v>
      </c>
      <c r="N98" s="732">
        <v>0.0</v>
      </c>
      <c r="O98" s="734"/>
      <c r="P98" s="734"/>
      <c r="Q98" s="745" t="s">
        <v>8262</v>
      </c>
      <c r="R98" s="734"/>
      <c r="S98" s="653"/>
      <c r="T98" s="653"/>
      <c r="U98" s="653"/>
      <c r="V98" s="653"/>
      <c r="W98" s="653"/>
      <c r="X98" s="653"/>
      <c r="Y98" s="653"/>
      <c r="Z98" s="653"/>
    </row>
    <row r="99">
      <c r="A99" s="719" t="s">
        <v>8056</v>
      </c>
      <c r="B99" s="720" t="s">
        <v>8032</v>
      </c>
      <c r="C99" s="721">
        <v>43758.0</v>
      </c>
      <c r="D99" s="732" t="s">
        <v>8263</v>
      </c>
      <c r="E99" s="732" t="s">
        <v>8264</v>
      </c>
      <c r="F99" s="732" t="s">
        <v>8265</v>
      </c>
      <c r="G99" s="732">
        <v>9.89352799607E11</v>
      </c>
      <c r="H99" s="734"/>
      <c r="I99" s="732" t="s">
        <v>8038</v>
      </c>
      <c r="J99" s="732" t="s">
        <v>8266</v>
      </c>
      <c r="K99" s="735">
        <v>0.0</v>
      </c>
      <c r="L99" s="732" t="s">
        <v>8266</v>
      </c>
      <c r="M99" s="732">
        <v>0.0</v>
      </c>
      <c r="N99" s="732">
        <v>0.0</v>
      </c>
      <c r="O99" s="734"/>
      <c r="P99" s="734"/>
      <c r="Q99" s="736" t="s">
        <v>8051</v>
      </c>
      <c r="R99" s="734"/>
      <c r="S99" s="653"/>
      <c r="T99" s="653"/>
      <c r="U99" s="653"/>
      <c r="V99" s="653"/>
      <c r="W99" s="653"/>
      <c r="X99" s="653"/>
      <c r="Y99" s="653"/>
      <c r="Z99" s="653"/>
    </row>
    <row r="100">
      <c r="A100" s="724" t="s">
        <v>8041</v>
      </c>
      <c r="B100" s="725" t="s">
        <v>8032</v>
      </c>
      <c r="C100" s="726">
        <v>43764.0</v>
      </c>
      <c r="D100" s="725" t="s">
        <v>8267</v>
      </c>
      <c r="E100" s="725" t="s">
        <v>8268</v>
      </c>
      <c r="F100" s="702"/>
      <c r="G100" s="702"/>
      <c r="H100" s="702"/>
      <c r="I100" s="725" t="s">
        <v>8038</v>
      </c>
      <c r="J100" s="725" t="s">
        <v>4542</v>
      </c>
      <c r="K100" s="728">
        <v>0.0</v>
      </c>
      <c r="L100" s="725" t="s">
        <v>4542</v>
      </c>
      <c r="M100" s="725">
        <v>0.0</v>
      </c>
      <c r="N100" s="725">
        <v>0.0</v>
      </c>
      <c r="O100" s="702"/>
      <c r="P100" s="702"/>
      <c r="Q100" s="729" t="s">
        <v>8169</v>
      </c>
      <c r="R100" s="725" t="s">
        <v>8269</v>
      </c>
      <c r="S100" s="653"/>
      <c r="T100" s="653"/>
      <c r="U100" s="653"/>
      <c r="V100" s="653"/>
      <c r="W100" s="653"/>
      <c r="X100" s="653"/>
      <c r="Y100" s="653"/>
      <c r="Z100" s="653"/>
    </row>
    <row r="101">
      <c r="A101" s="719" t="s">
        <v>8041</v>
      </c>
      <c r="B101" s="720" t="s">
        <v>8032</v>
      </c>
      <c r="C101" s="721">
        <v>43764.0</v>
      </c>
      <c r="D101" s="720" t="s">
        <v>8270</v>
      </c>
      <c r="E101" s="720" t="s">
        <v>8271</v>
      </c>
      <c r="F101" s="236"/>
      <c r="G101" s="236"/>
      <c r="H101" s="236"/>
      <c r="I101" s="720" t="s">
        <v>8038</v>
      </c>
      <c r="J101" s="720" t="s">
        <v>4542</v>
      </c>
      <c r="K101" s="81">
        <v>0.0</v>
      </c>
      <c r="L101" s="720" t="s">
        <v>4542</v>
      </c>
      <c r="M101" s="720">
        <v>0.0</v>
      </c>
      <c r="N101" s="720">
        <v>0.0</v>
      </c>
      <c r="O101" s="236"/>
      <c r="P101" s="236"/>
      <c r="Q101" s="722" t="s">
        <v>8169</v>
      </c>
      <c r="R101" s="720" t="s">
        <v>8272</v>
      </c>
      <c r="S101" s="653"/>
      <c r="T101" s="653"/>
      <c r="U101" s="653"/>
      <c r="V101" s="653"/>
      <c r="W101" s="653"/>
      <c r="X101" s="653"/>
      <c r="Y101" s="653"/>
      <c r="Z101" s="653"/>
    </row>
    <row r="102">
      <c r="A102" s="719" t="s">
        <v>8041</v>
      </c>
      <c r="B102" s="720" t="s">
        <v>8032</v>
      </c>
      <c r="C102" s="721">
        <v>43764.0</v>
      </c>
      <c r="D102" s="720" t="s">
        <v>8273</v>
      </c>
      <c r="E102" s="720" t="s">
        <v>8274</v>
      </c>
      <c r="F102" s="236"/>
      <c r="G102" s="236"/>
      <c r="H102" s="236"/>
      <c r="I102" s="720" t="s">
        <v>8275</v>
      </c>
      <c r="J102" s="720" t="s">
        <v>4503</v>
      </c>
      <c r="K102" s="81">
        <v>0.0</v>
      </c>
      <c r="L102" s="720" t="s">
        <v>4503</v>
      </c>
      <c r="M102" s="720">
        <v>0.0</v>
      </c>
      <c r="N102" s="720">
        <v>0.0</v>
      </c>
      <c r="O102" s="236"/>
      <c r="P102" s="236"/>
      <c r="Q102" s="722" t="s">
        <v>8169</v>
      </c>
      <c r="R102" s="236"/>
      <c r="S102" s="653"/>
      <c r="T102" s="653"/>
      <c r="U102" s="653"/>
      <c r="V102" s="653"/>
      <c r="W102" s="653"/>
      <c r="X102" s="653"/>
      <c r="Y102" s="653"/>
      <c r="Z102" s="653"/>
    </row>
    <row r="103">
      <c r="A103" s="719" t="s">
        <v>8041</v>
      </c>
      <c r="B103" s="720" t="s">
        <v>8032</v>
      </c>
      <c r="C103" s="721">
        <v>43764.0</v>
      </c>
      <c r="D103" s="720" t="s">
        <v>8276</v>
      </c>
      <c r="E103" s="720" t="s">
        <v>8277</v>
      </c>
      <c r="F103" s="236"/>
      <c r="G103" s="236"/>
      <c r="H103" s="236"/>
      <c r="I103" s="720" t="s">
        <v>8278</v>
      </c>
      <c r="J103" s="720" t="s">
        <v>4503</v>
      </c>
      <c r="K103" s="81">
        <v>1.0</v>
      </c>
      <c r="L103" s="720" t="s">
        <v>4461</v>
      </c>
      <c r="M103" s="720">
        <v>0.0</v>
      </c>
      <c r="N103" s="720">
        <v>0.0</v>
      </c>
      <c r="O103" s="236"/>
      <c r="P103" s="236"/>
      <c r="Q103" s="722" t="s">
        <v>8169</v>
      </c>
      <c r="R103" s="236"/>
      <c r="S103" s="653"/>
      <c r="T103" s="653"/>
      <c r="U103" s="653"/>
      <c r="V103" s="653"/>
      <c r="W103" s="653"/>
      <c r="X103" s="653"/>
      <c r="Y103" s="653"/>
      <c r="Z103" s="653"/>
    </row>
    <row r="104">
      <c r="A104" s="719" t="s">
        <v>8041</v>
      </c>
      <c r="B104" s="720" t="s">
        <v>8032</v>
      </c>
      <c r="C104" s="721">
        <v>43764.0</v>
      </c>
      <c r="D104" s="732" t="s">
        <v>8279</v>
      </c>
      <c r="E104" s="732" t="s">
        <v>8280</v>
      </c>
      <c r="F104" s="732" t="s">
        <v>7685</v>
      </c>
      <c r="G104" s="732">
        <v>9.71508949625E11</v>
      </c>
      <c r="H104" s="734"/>
      <c r="I104" s="732" t="s">
        <v>8038</v>
      </c>
      <c r="J104" s="732" t="s">
        <v>4461</v>
      </c>
      <c r="K104" s="735">
        <v>1.0</v>
      </c>
      <c r="L104" s="732" t="s">
        <v>4461</v>
      </c>
      <c r="M104" s="732">
        <v>0.0</v>
      </c>
      <c r="N104" s="732">
        <v>0.0</v>
      </c>
      <c r="O104" s="734"/>
      <c r="P104" s="734"/>
      <c r="Q104" s="736" t="s">
        <v>8169</v>
      </c>
      <c r="R104" s="236"/>
      <c r="S104" s="653"/>
      <c r="T104" s="653"/>
      <c r="U104" s="653"/>
      <c r="V104" s="653"/>
      <c r="W104" s="653"/>
      <c r="X104" s="653"/>
      <c r="Y104" s="653"/>
      <c r="Z104" s="653"/>
    </row>
    <row r="105">
      <c r="A105" s="719" t="s">
        <v>8041</v>
      </c>
      <c r="B105" s="720" t="s">
        <v>8032</v>
      </c>
      <c r="C105" s="721">
        <v>43764.0</v>
      </c>
      <c r="D105" s="720" t="s">
        <v>8281</v>
      </c>
      <c r="E105" s="720" t="s">
        <v>8282</v>
      </c>
      <c r="F105" s="720" t="s">
        <v>7754</v>
      </c>
      <c r="G105" s="720">
        <v>4.4779177405E11</v>
      </c>
      <c r="H105" s="236"/>
      <c r="I105" s="720" t="s">
        <v>8283</v>
      </c>
      <c r="J105" s="720" t="s">
        <v>4525</v>
      </c>
      <c r="K105" s="81">
        <v>0.0</v>
      </c>
      <c r="L105" s="720" t="s">
        <v>4525</v>
      </c>
      <c r="M105" s="720">
        <v>0.0</v>
      </c>
      <c r="N105" s="720">
        <v>0.0</v>
      </c>
      <c r="O105" s="236"/>
      <c r="P105" s="236"/>
      <c r="Q105" s="756" t="s">
        <v>8284</v>
      </c>
      <c r="R105" s="236"/>
      <c r="S105" s="653"/>
      <c r="T105" s="653"/>
      <c r="U105" s="653"/>
      <c r="V105" s="653"/>
      <c r="W105" s="653"/>
      <c r="X105" s="653"/>
      <c r="Y105" s="653"/>
      <c r="Z105" s="653"/>
    </row>
    <row r="106">
      <c r="A106" s="719" t="s">
        <v>8041</v>
      </c>
      <c r="B106" s="720" t="s">
        <v>8032</v>
      </c>
      <c r="C106" s="721">
        <v>43764.0</v>
      </c>
      <c r="D106" s="720" t="s">
        <v>8285</v>
      </c>
      <c r="E106" s="720" t="s">
        <v>6316</v>
      </c>
      <c r="F106" s="720" t="s">
        <v>7685</v>
      </c>
      <c r="G106" s="720">
        <v>9.71554345171E11</v>
      </c>
      <c r="H106" s="236"/>
      <c r="I106" s="720" t="s">
        <v>8286</v>
      </c>
      <c r="J106" s="720" t="s">
        <v>4503</v>
      </c>
      <c r="K106" s="81">
        <v>1.0</v>
      </c>
      <c r="L106" s="720" t="s">
        <v>4461</v>
      </c>
      <c r="M106" s="720">
        <v>0.0</v>
      </c>
      <c r="N106" s="720">
        <v>0.0</v>
      </c>
      <c r="O106" s="236"/>
      <c r="P106" s="236"/>
      <c r="Q106" s="722" t="s">
        <v>8169</v>
      </c>
      <c r="R106" s="236"/>
      <c r="S106" s="653"/>
      <c r="T106" s="653"/>
      <c r="U106" s="653"/>
      <c r="V106" s="653"/>
      <c r="W106" s="653"/>
      <c r="X106" s="653"/>
      <c r="Y106" s="653"/>
      <c r="Z106" s="653"/>
    </row>
    <row r="107">
      <c r="A107" s="719" t="s">
        <v>8041</v>
      </c>
      <c r="B107" s="720" t="s">
        <v>8032</v>
      </c>
      <c r="C107" s="721">
        <v>43764.0</v>
      </c>
      <c r="D107" s="720" t="s">
        <v>8287</v>
      </c>
      <c r="E107" s="720" t="s">
        <v>8288</v>
      </c>
      <c r="F107" s="720" t="s">
        <v>8289</v>
      </c>
      <c r="G107" s="720">
        <v>2.33244628998E11</v>
      </c>
      <c r="H107" s="236"/>
      <c r="I107" s="720" t="s">
        <v>8290</v>
      </c>
      <c r="J107" s="720" t="s">
        <v>4999</v>
      </c>
      <c r="K107" s="81">
        <v>0.0</v>
      </c>
      <c r="L107" s="720" t="s">
        <v>4999</v>
      </c>
      <c r="M107" s="720">
        <v>0.0</v>
      </c>
      <c r="N107" s="720">
        <v>0.0</v>
      </c>
      <c r="O107" s="236"/>
      <c r="P107" s="236"/>
      <c r="Q107" s="722" t="s">
        <v>8169</v>
      </c>
      <c r="R107" s="236"/>
      <c r="S107" s="653"/>
      <c r="T107" s="653"/>
      <c r="U107" s="653"/>
      <c r="V107" s="653"/>
      <c r="W107" s="653"/>
      <c r="X107" s="653"/>
      <c r="Y107" s="653"/>
      <c r="Z107" s="653"/>
    </row>
    <row r="108">
      <c r="A108" s="719" t="s">
        <v>8056</v>
      </c>
      <c r="B108" s="720" t="s">
        <v>8032</v>
      </c>
      <c r="C108" s="721">
        <v>43764.0</v>
      </c>
      <c r="D108" s="720" t="s">
        <v>8291</v>
      </c>
      <c r="E108" s="720" t="s">
        <v>8292</v>
      </c>
      <c r="F108" s="720" t="s">
        <v>7685</v>
      </c>
      <c r="G108" s="720">
        <v>9.710589467629E12</v>
      </c>
      <c r="H108" s="236"/>
      <c r="I108" s="720" t="s">
        <v>8038</v>
      </c>
      <c r="J108" s="720" t="s">
        <v>4542</v>
      </c>
      <c r="K108" s="81">
        <v>0.0</v>
      </c>
      <c r="L108" s="720" t="s">
        <v>4542</v>
      </c>
      <c r="M108" s="720">
        <v>0.0</v>
      </c>
      <c r="N108" s="720">
        <v>1.0</v>
      </c>
      <c r="O108" s="236"/>
      <c r="P108" s="236"/>
      <c r="Q108" s="722" t="s">
        <v>8169</v>
      </c>
      <c r="R108" s="236"/>
      <c r="S108" s="653"/>
      <c r="T108" s="653"/>
      <c r="U108" s="653"/>
      <c r="V108" s="653"/>
      <c r="W108" s="653"/>
      <c r="X108" s="653"/>
      <c r="Y108" s="653"/>
      <c r="Z108" s="653"/>
    </row>
    <row r="109">
      <c r="A109" s="719" t="s">
        <v>8056</v>
      </c>
      <c r="B109" s="720" t="s">
        <v>8032</v>
      </c>
      <c r="C109" s="721">
        <v>43764.0</v>
      </c>
      <c r="D109" s="720" t="s">
        <v>8293</v>
      </c>
      <c r="E109" s="720" t="s">
        <v>8294</v>
      </c>
      <c r="F109" s="720" t="s">
        <v>7827</v>
      </c>
      <c r="G109" s="720">
        <v>2.348051248481E12</v>
      </c>
      <c r="H109" s="236"/>
      <c r="I109" s="720" t="s">
        <v>8038</v>
      </c>
      <c r="J109" s="720" t="s">
        <v>7772</v>
      </c>
      <c r="K109" s="81">
        <v>0.0</v>
      </c>
      <c r="L109" s="720" t="s">
        <v>7772</v>
      </c>
      <c r="M109" s="720">
        <v>0.0</v>
      </c>
      <c r="N109" s="720">
        <v>0.0</v>
      </c>
      <c r="O109" s="236"/>
      <c r="P109" s="236"/>
      <c r="Q109" s="722" t="s">
        <v>7790</v>
      </c>
      <c r="R109" s="236"/>
      <c r="S109" s="653"/>
      <c r="T109" s="653"/>
      <c r="U109" s="653"/>
      <c r="V109" s="653"/>
      <c r="W109" s="653"/>
      <c r="X109" s="653"/>
      <c r="Y109" s="653"/>
      <c r="Z109" s="653"/>
    </row>
    <row r="110">
      <c r="A110" s="719" t="s">
        <v>8056</v>
      </c>
      <c r="B110" s="720" t="s">
        <v>8032</v>
      </c>
      <c r="C110" s="721">
        <v>43764.0</v>
      </c>
      <c r="D110" s="720" t="s">
        <v>8295</v>
      </c>
      <c r="E110" s="720" t="s">
        <v>8296</v>
      </c>
      <c r="F110" s="720" t="s">
        <v>7685</v>
      </c>
      <c r="G110" s="720">
        <v>9.71505273612E11</v>
      </c>
      <c r="H110" s="236"/>
      <c r="I110" s="720" t="s">
        <v>8297</v>
      </c>
      <c r="J110" s="720" t="s">
        <v>4852</v>
      </c>
      <c r="K110" s="81">
        <v>0.0</v>
      </c>
      <c r="L110" s="720" t="s">
        <v>4852</v>
      </c>
      <c r="M110" s="720">
        <v>0.0</v>
      </c>
      <c r="N110" s="720">
        <v>0.0</v>
      </c>
      <c r="O110" s="236"/>
      <c r="P110" s="236"/>
      <c r="Q110" s="722" t="s">
        <v>7790</v>
      </c>
      <c r="R110" s="236"/>
      <c r="S110" s="653"/>
      <c r="T110" s="653"/>
      <c r="U110" s="653"/>
      <c r="V110" s="653"/>
      <c r="W110" s="653"/>
      <c r="X110" s="653"/>
      <c r="Y110" s="653"/>
      <c r="Z110" s="653"/>
    </row>
    <row r="111">
      <c r="A111" s="719" t="s">
        <v>8056</v>
      </c>
      <c r="B111" s="720" t="s">
        <v>8032</v>
      </c>
      <c r="C111" s="721">
        <v>43764.0</v>
      </c>
      <c r="D111" s="732" t="s">
        <v>8298</v>
      </c>
      <c r="E111" s="732" t="s">
        <v>8299</v>
      </c>
      <c r="F111" s="732" t="s">
        <v>8116</v>
      </c>
      <c r="G111" s="732">
        <v>2.01223568298E11</v>
      </c>
      <c r="H111" s="734"/>
      <c r="I111" s="732" t="s">
        <v>8038</v>
      </c>
      <c r="J111" s="732" t="s">
        <v>4500</v>
      </c>
      <c r="K111" s="735">
        <v>0.0</v>
      </c>
      <c r="L111" s="732" t="s">
        <v>4500</v>
      </c>
      <c r="M111" s="720">
        <v>0.0</v>
      </c>
      <c r="N111" s="720">
        <v>0.0</v>
      </c>
      <c r="O111" s="236"/>
      <c r="P111" s="236"/>
      <c r="Q111" s="722" t="s">
        <v>8058</v>
      </c>
      <c r="R111" s="236"/>
      <c r="S111" s="653"/>
      <c r="T111" s="653"/>
      <c r="U111" s="653"/>
      <c r="V111" s="653"/>
      <c r="W111" s="653"/>
      <c r="X111" s="653"/>
      <c r="Y111" s="653"/>
      <c r="Z111" s="653"/>
    </row>
    <row r="112">
      <c r="A112" s="719" t="s">
        <v>8056</v>
      </c>
      <c r="B112" s="720" t="s">
        <v>8032</v>
      </c>
      <c r="C112" s="721">
        <v>43764.0</v>
      </c>
      <c r="D112" s="720" t="s">
        <v>8300</v>
      </c>
      <c r="E112" s="720" t="s">
        <v>8300</v>
      </c>
      <c r="F112" s="720" t="s">
        <v>7731</v>
      </c>
      <c r="G112" s="720">
        <v>7.7017667418E10</v>
      </c>
      <c r="H112" s="236"/>
      <c r="I112" s="720" t="s">
        <v>8038</v>
      </c>
      <c r="J112" s="720" t="s">
        <v>7730</v>
      </c>
      <c r="K112" s="81">
        <v>0.0</v>
      </c>
      <c r="L112" s="720" t="s">
        <v>7730</v>
      </c>
      <c r="M112" s="720">
        <v>0.0</v>
      </c>
      <c r="N112" s="720">
        <v>0.0</v>
      </c>
      <c r="O112" s="236"/>
      <c r="P112" s="236"/>
      <c r="Q112" s="722" t="s">
        <v>8058</v>
      </c>
      <c r="R112" s="236"/>
      <c r="S112" s="653"/>
      <c r="T112" s="653"/>
      <c r="U112" s="653"/>
      <c r="V112" s="653"/>
      <c r="W112" s="653"/>
      <c r="X112" s="653"/>
      <c r="Y112" s="653"/>
      <c r="Z112" s="653"/>
    </row>
    <row r="113">
      <c r="A113" s="724" t="s">
        <v>8056</v>
      </c>
      <c r="B113" s="725" t="s">
        <v>8032</v>
      </c>
      <c r="C113" s="726">
        <v>43765.0</v>
      </c>
      <c r="D113" s="725" t="s">
        <v>8301</v>
      </c>
      <c r="E113" s="725" t="s">
        <v>8261</v>
      </c>
      <c r="F113" s="725" t="s">
        <v>8302</v>
      </c>
      <c r="G113" s="725">
        <v>9.043110571E9</v>
      </c>
      <c r="H113" s="725" t="s">
        <v>8303</v>
      </c>
      <c r="I113" s="725" t="s">
        <v>8038</v>
      </c>
      <c r="J113" s="725" t="s">
        <v>4597</v>
      </c>
      <c r="K113" s="728">
        <v>0.0</v>
      </c>
      <c r="L113" s="725" t="s">
        <v>4597</v>
      </c>
      <c r="M113" s="725">
        <v>0.0</v>
      </c>
      <c r="N113" s="725">
        <v>0.0</v>
      </c>
      <c r="O113" s="702"/>
      <c r="P113" s="702"/>
      <c r="Q113" s="729" t="s">
        <v>8304</v>
      </c>
      <c r="R113" s="702"/>
      <c r="S113" s="653"/>
      <c r="T113" s="653"/>
      <c r="U113" s="653"/>
      <c r="V113" s="653"/>
      <c r="W113" s="653"/>
      <c r="X113" s="653"/>
      <c r="Y113" s="653"/>
      <c r="Z113" s="653"/>
    </row>
    <row r="114">
      <c r="A114" s="719" t="s">
        <v>8041</v>
      </c>
      <c r="B114" s="720" t="s">
        <v>8032</v>
      </c>
      <c r="C114" s="721">
        <v>43765.0</v>
      </c>
      <c r="D114" s="732" t="s">
        <v>8305</v>
      </c>
      <c r="E114" s="732" t="s">
        <v>8305</v>
      </c>
      <c r="F114" s="732" t="s">
        <v>7685</v>
      </c>
      <c r="G114" s="732">
        <v>9.7156161057E11</v>
      </c>
      <c r="H114" s="734"/>
      <c r="I114" s="732" t="s">
        <v>8038</v>
      </c>
      <c r="J114" s="732" t="s">
        <v>4458</v>
      </c>
      <c r="K114" s="735">
        <v>1.0</v>
      </c>
      <c r="L114" s="732" t="s">
        <v>4461</v>
      </c>
      <c r="M114" s="732">
        <v>0.0</v>
      </c>
      <c r="N114" s="732">
        <v>0.0</v>
      </c>
      <c r="O114" s="734"/>
      <c r="P114" s="734"/>
      <c r="Q114" s="736" t="s">
        <v>8306</v>
      </c>
      <c r="R114" s="236"/>
      <c r="S114" s="653"/>
      <c r="T114" s="653"/>
      <c r="U114" s="653"/>
      <c r="V114" s="653"/>
      <c r="W114" s="653"/>
      <c r="X114" s="653"/>
      <c r="Y114" s="653"/>
      <c r="Z114" s="653"/>
    </row>
    <row r="115">
      <c r="A115" s="719" t="s">
        <v>8041</v>
      </c>
      <c r="B115" s="720" t="s">
        <v>8032</v>
      </c>
      <c r="C115" s="721">
        <v>43765.0</v>
      </c>
      <c r="D115" s="732" t="s">
        <v>8307</v>
      </c>
      <c r="E115" s="732" t="s">
        <v>8308</v>
      </c>
      <c r="F115" s="732" t="s">
        <v>7827</v>
      </c>
      <c r="G115" s="732">
        <v>2.348093764425E12</v>
      </c>
      <c r="H115" s="732">
        <v>9.71507490218E11</v>
      </c>
      <c r="I115" s="732" t="s">
        <v>8309</v>
      </c>
      <c r="J115" s="732" t="s">
        <v>7772</v>
      </c>
      <c r="K115" s="735">
        <v>0.0</v>
      </c>
      <c r="L115" s="732" t="s">
        <v>7772</v>
      </c>
      <c r="M115" s="732">
        <v>0.0</v>
      </c>
      <c r="N115" s="732">
        <v>0.0</v>
      </c>
      <c r="O115" s="732" t="s">
        <v>8310</v>
      </c>
      <c r="P115" s="734"/>
      <c r="Q115" s="736" t="s">
        <v>8058</v>
      </c>
      <c r="R115" s="236"/>
      <c r="S115" s="653"/>
      <c r="T115" s="653"/>
      <c r="U115" s="653"/>
      <c r="V115" s="653"/>
      <c r="W115" s="653"/>
      <c r="X115" s="653"/>
      <c r="Y115" s="653"/>
      <c r="Z115" s="653"/>
    </row>
    <row r="116">
      <c r="A116" s="719" t="s">
        <v>8041</v>
      </c>
      <c r="B116" s="720" t="s">
        <v>8032</v>
      </c>
      <c r="C116" s="721">
        <v>43765.0</v>
      </c>
      <c r="D116" s="732" t="s">
        <v>8311</v>
      </c>
      <c r="E116" s="732" t="s">
        <v>8311</v>
      </c>
      <c r="F116" s="732" t="s">
        <v>7713</v>
      </c>
      <c r="G116" s="732">
        <v>1.3057107417E10</v>
      </c>
      <c r="H116" s="734"/>
      <c r="I116" s="732" t="s">
        <v>8038</v>
      </c>
      <c r="J116" s="732" t="s">
        <v>7712</v>
      </c>
      <c r="K116" s="735">
        <v>0.0</v>
      </c>
      <c r="L116" s="732" t="s">
        <v>7712</v>
      </c>
      <c r="M116" s="732">
        <v>0.0</v>
      </c>
      <c r="N116" s="732">
        <v>0.0</v>
      </c>
      <c r="O116" s="734"/>
      <c r="P116" s="734"/>
      <c r="Q116" s="736" t="s">
        <v>8312</v>
      </c>
      <c r="R116" s="236"/>
      <c r="S116" s="653"/>
      <c r="T116" s="653"/>
      <c r="U116" s="653"/>
      <c r="V116" s="653"/>
      <c r="W116" s="653"/>
      <c r="X116" s="653"/>
      <c r="Y116" s="653"/>
      <c r="Z116" s="653"/>
    </row>
    <row r="117">
      <c r="A117" s="719" t="s">
        <v>8041</v>
      </c>
      <c r="B117" s="720" t="s">
        <v>8032</v>
      </c>
      <c r="C117" s="721">
        <v>43765.0</v>
      </c>
      <c r="D117" s="732" t="s">
        <v>8313</v>
      </c>
      <c r="E117" s="732" t="s">
        <v>8313</v>
      </c>
      <c r="F117" s="732" t="s">
        <v>7713</v>
      </c>
      <c r="G117" s="732">
        <v>1.2012599103E10</v>
      </c>
      <c r="H117" s="734"/>
      <c r="I117" s="732" t="s">
        <v>8038</v>
      </c>
      <c r="J117" s="732" t="s">
        <v>7712</v>
      </c>
      <c r="K117" s="735">
        <v>0.0</v>
      </c>
      <c r="L117" s="732" t="s">
        <v>7712</v>
      </c>
      <c r="M117" s="732">
        <v>0.0</v>
      </c>
      <c r="N117" s="732">
        <v>0.0</v>
      </c>
      <c r="O117" s="734"/>
      <c r="P117" s="734"/>
      <c r="Q117" s="736" t="s">
        <v>8312</v>
      </c>
      <c r="R117" s="236"/>
      <c r="S117" s="653"/>
      <c r="T117" s="653"/>
      <c r="U117" s="653"/>
      <c r="V117" s="653"/>
      <c r="W117" s="653"/>
      <c r="X117" s="653"/>
      <c r="Y117" s="653"/>
      <c r="Z117" s="653"/>
    </row>
    <row r="118">
      <c r="A118" s="719" t="s">
        <v>8041</v>
      </c>
      <c r="B118" s="720" t="s">
        <v>8032</v>
      </c>
      <c r="C118" s="721">
        <v>43765.0</v>
      </c>
      <c r="D118" s="732" t="s">
        <v>8314</v>
      </c>
      <c r="E118" s="732" t="s">
        <v>8314</v>
      </c>
      <c r="F118" s="732" t="s">
        <v>8302</v>
      </c>
      <c r="G118" s="732">
        <v>9.005454883954E12</v>
      </c>
      <c r="H118" s="734"/>
      <c r="I118" s="732" t="s">
        <v>8038</v>
      </c>
      <c r="J118" s="732" t="s">
        <v>4597</v>
      </c>
      <c r="K118" s="735">
        <v>0.0</v>
      </c>
      <c r="L118" s="732" t="s">
        <v>4597</v>
      </c>
      <c r="M118" s="732">
        <v>0.0</v>
      </c>
      <c r="N118" s="732">
        <v>0.0</v>
      </c>
      <c r="O118" s="734"/>
      <c r="P118" s="734"/>
      <c r="Q118" s="736" t="s">
        <v>8315</v>
      </c>
      <c r="R118" s="236"/>
      <c r="S118" s="653"/>
      <c r="T118" s="653"/>
      <c r="U118" s="653"/>
      <c r="V118" s="653"/>
      <c r="W118" s="653"/>
      <c r="X118" s="653"/>
      <c r="Y118" s="653"/>
      <c r="Z118" s="653"/>
    </row>
    <row r="119">
      <c r="A119" s="719" t="s">
        <v>8041</v>
      </c>
      <c r="B119" s="720" t="s">
        <v>8032</v>
      </c>
      <c r="C119" s="721">
        <v>43765.0</v>
      </c>
      <c r="D119" s="720" t="s">
        <v>8316</v>
      </c>
      <c r="E119" s="720" t="s">
        <v>3582</v>
      </c>
      <c r="F119" s="720" t="s">
        <v>7827</v>
      </c>
      <c r="G119" s="720">
        <v>2.348135910959E12</v>
      </c>
      <c r="H119" s="236"/>
      <c r="I119" s="720" t="s">
        <v>8038</v>
      </c>
      <c r="J119" s="720" t="s">
        <v>7772</v>
      </c>
      <c r="K119" s="81">
        <v>0.0</v>
      </c>
      <c r="L119" s="720" t="s">
        <v>7772</v>
      </c>
      <c r="M119" s="720">
        <v>0.0</v>
      </c>
      <c r="N119" s="720">
        <v>0.0</v>
      </c>
      <c r="O119" s="236"/>
      <c r="P119" s="236"/>
      <c r="Q119" s="722" t="s">
        <v>8312</v>
      </c>
      <c r="R119" s="236"/>
      <c r="S119" s="653"/>
      <c r="T119" s="653"/>
      <c r="U119" s="653"/>
      <c r="V119" s="653"/>
      <c r="W119" s="653"/>
      <c r="X119" s="653"/>
      <c r="Y119" s="653"/>
      <c r="Z119" s="653"/>
    </row>
    <row r="120">
      <c r="A120" s="719" t="s">
        <v>8041</v>
      </c>
      <c r="B120" s="720" t="s">
        <v>8032</v>
      </c>
      <c r="C120" s="721">
        <v>43765.0</v>
      </c>
      <c r="D120" s="720" t="s">
        <v>8317</v>
      </c>
      <c r="E120" s="720" t="s">
        <v>8318</v>
      </c>
      <c r="F120" s="720" t="s">
        <v>7674</v>
      </c>
      <c r="G120" s="720">
        <v>9.19916895954E11</v>
      </c>
      <c r="H120" s="236"/>
      <c r="I120" s="720" t="s">
        <v>8319</v>
      </c>
      <c r="J120" s="720" t="s">
        <v>4503</v>
      </c>
      <c r="K120" s="81">
        <v>0.0</v>
      </c>
      <c r="L120" s="720" t="s">
        <v>4503</v>
      </c>
      <c r="M120" s="720">
        <v>0.0</v>
      </c>
      <c r="N120" s="720">
        <v>0.0</v>
      </c>
      <c r="O120" s="236"/>
      <c r="P120" s="236"/>
      <c r="Q120" s="722" t="s">
        <v>8312</v>
      </c>
      <c r="R120" s="236"/>
      <c r="S120" s="653"/>
      <c r="T120" s="653"/>
      <c r="U120" s="653"/>
      <c r="V120" s="653"/>
      <c r="W120" s="653"/>
      <c r="X120" s="653"/>
      <c r="Y120" s="653"/>
      <c r="Z120" s="653"/>
    </row>
    <row r="121">
      <c r="A121" s="724" t="s">
        <v>8056</v>
      </c>
      <c r="B121" s="725" t="s">
        <v>8032</v>
      </c>
      <c r="C121" s="726">
        <v>43766.0</v>
      </c>
      <c r="D121" s="725" t="s">
        <v>8320</v>
      </c>
      <c r="E121" s="725" t="s">
        <v>8321</v>
      </c>
      <c r="F121" s="725" t="s">
        <v>7827</v>
      </c>
      <c r="G121" s="725">
        <v>2.34890000942E11</v>
      </c>
      <c r="H121" s="702"/>
      <c r="I121" s="725" t="s">
        <v>8038</v>
      </c>
      <c r="J121" s="725" t="s">
        <v>7772</v>
      </c>
      <c r="K121" s="728">
        <v>0.0</v>
      </c>
      <c r="L121" s="725" t="s">
        <v>7772</v>
      </c>
      <c r="M121" s="725">
        <v>0.0</v>
      </c>
      <c r="N121" s="725">
        <v>0.0</v>
      </c>
      <c r="O121" s="702"/>
      <c r="P121" s="702"/>
      <c r="Q121" s="729" t="s">
        <v>8322</v>
      </c>
      <c r="R121" s="702"/>
      <c r="S121" s="653"/>
      <c r="T121" s="653"/>
      <c r="U121" s="653"/>
      <c r="V121" s="653"/>
      <c r="W121" s="653"/>
      <c r="X121" s="653"/>
      <c r="Y121" s="653"/>
      <c r="Z121" s="653"/>
    </row>
    <row r="122">
      <c r="A122" s="719" t="s">
        <v>8041</v>
      </c>
      <c r="B122" s="720" t="s">
        <v>8032</v>
      </c>
      <c r="C122" s="721">
        <v>43766.0</v>
      </c>
      <c r="D122" s="720" t="s">
        <v>8323</v>
      </c>
      <c r="E122" s="720" t="s">
        <v>8324</v>
      </c>
      <c r="F122" s="720" t="s">
        <v>7754</v>
      </c>
      <c r="G122" s="720">
        <v>4.47735003396E11</v>
      </c>
      <c r="H122" s="236"/>
      <c r="I122" s="720" t="s">
        <v>8325</v>
      </c>
      <c r="J122" s="720" t="s">
        <v>4525</v>
      </c>
      <c r="K122" s="81">
        <v>0.0</v>
      </c>
      <c r="L122" s="720" t="s">
        <v>4525</v>
      </c>
      <c r="M122" s="720">
        <v>0.0</v>
      </c>
      <c r="N122" s="720">
        <v>0.0</v>
      </c>
      <c r="O122" s="236"/>
      <c r="P122" s="236"/>
      <c r="Q122" s="722" t="s">
        <v>8326</v>
      </c>
      <c r="R122" s="236"/>
      <c r="S122" s="653"/>
      <c r="T122" s="653"/>
      <c r="U122" s="653"/>
      <c r="V122" s="653"/>
      <c r="W122" s="653"/>
      <c r="X122" s="653"/>
      <c r="Y122" s="653"/>
      <c r="Z122" s="653"/>
    </row>
    <row r="123">
      <c r="A123" s="719" t="s">
        <v>8041</v>
      </c>
      <c r="B123" s="720" t="s">
        <v>8032</v>
      </c>
      <c r="C123" s="721">
        <v>43766.0</v>
      </c>
      <c r="D123" s="732" t="s">
        <v>8327</v>
      </c>
      <c r="E123" s="732" t="s">
        <v>8328</v>
      </c>
      <c r="F123" s="732" t="s">
        <v>7827</v>
      </c>
      <c r="G123" s="732">
        <v>2.347032696251E12</v>
      </c>
      <c r="H123" s="734"/>
      <c r="I123" s="732" t="s">
        <v>8038</v>
      </c>
      <c r="J123" s="732" t="s">
        <v>7772</v>
      </c>
      <c r="K123" s="735">
        <v>0.0</v>
      </c>
      <c r="L123" s="732" t="s">
        <v>7772</v>
      </c>
      <c r="M123" s="732">
        <v>0.0</v>
      </c>
      <c r="N123" s="732">
        <v>0.0</v>
      </c>
      <c r="O123" s="734"/>
      <c r="P123" s="734"/>
      <c r="Q123" s="736" t="s">
        <v>8329</v>
      </c>
      <c r="R123" s="236"/>
      <c r="S123" s="653"/>
      <c r="T123" s="653"/>
      <c r="U123" s="653"/>
      <c r="V123" s="653"/>
      <c r="W123" s="653"/>
      <c r="X123" s="653"/>
      <c r="Y123" s="653"/>
      <c r="Z123" s="653"/>
    </row>
    <row r="124">
      <c r="A124" s="719" t="s">
        <v>8056</v>
      </c>
      <c r="B124" s="720" t="s">
        <v>8032</v>
      </c>
      <c r="C124" s="721">
        <v>43766.0</v>
      </c>
      <c r="D124" s="720" t="s">
        <v>8330</v>
      </c>
      <c r="E124" s="720" t="s">
        <v>8331</v>
      </c>
      <c r="F124" s="720" t="s">
        <v>7701</v>
      </c>
      <c r="G124" s="720">
        <v>9.66553364779E11</v>
      </c>
      <c r="H124" s="236"/>
      <c r="I124" s="720" t="s">
        <v>8332</v>
      </c>
      <c r="J124" s="720" t="s">
        <v>7700</v>
      </c>
      <c r="K124" s="81">
        <v>0.0</v>
      </c>
      <c r="L124" s="720" t="s">
        <v>7700</v>
      </c>
      <c r="M124" s="720">
        <v>0.0</v>
      </c>
      <c r="N124" s="720">
        <v>0.0</v>
      </c>
      <c r="O124" s="236"/>
      <c r="P124" s="236"/>
      <c r="Q124" s="743" t="s">
        <v>8333</v>
      </c>
      <c r="R124" s="744"/>
      <c r="S124" s="653"/>
      <c r="T124" s="653"/>
      <c r="U124" s="653"/>
      <c r="V124" s="653"/>
      <c r="W124" s="653"/>
      <c r="X124" s="653"/>
      <c r="Y124" s="653"/>
      <c r="Z124" s="653"/>
    </row>
    <row r="125">
      <c r="A125" s="719" t="s">
        <v>8056</v>
      </c>
      <c r="B125" s="720" t="s">
        <v>8032</v>
      </c>
      <c r="C125" s="721">
        <v>43766.0</v>
      </c>
      <c r="D125" s="732" t="s">
        <v>8334</v>
      </c>
      <c r="E125" s="732" t="s">
        <v>8335</v>
      </c>
      <c r="F125" s="732" t="s">
        <v>7685</v>
      </c>
      <c r="G125" s="732">
        <v>9.71553211931E11</v>
      </c>
      <c r="H125" s="734"/>
      <c r="I125" s="732" t="s">
        <v>8038</v>
      </c>
      <c r="J125" s="732" t="s">
        <v>4500</v>
      </c>
      <c r="K125" s="735">
        <v>1.0</v>
      </c>
      <c r="L125" s="732" t="s">
        <v>4461</v>
      </c>
      <c r="M125" s="732">
        <v>0.0</v>
      </c>
      <c r="N125" s="732">
        <v>0.0</v>
      </c>
      <c r="O125" s="734"/>
      <c r="P125" s="734"/>
      <c r="Q125" s="745" t="s">
        <v>8336</v>
      </c>
      <c r="R125" s="744"/>
      <c r="S125" s="757"/>
      <c r="T125" s="653"/>
      <c r="U125" s="653"/>
      <c r="V125" s="653"/>
      <c r="W125" s="653"/>
      <c r="X125" s="653"/>
      <c r="Y125" s="653"/>
      <c r="Z125" s="653"/>
    </row>
    <row r="126">
      <c r="A126" s="719" t="s">
        <v>8041</v>
      </c>
      <c r="B126" s="720" t="s">
        <v>8032</v>
      </c>
      <c r="C126" s="721">
        <v>43766.0</v>
      </c>
      <c r="D126" s="720" t="s">
        <v>8337</v>
      </c>
      <c r="E126" s="720" t="s">
        <v>8086</v>
      </c>
      <c r="F126" s="720" t="s">
        <v>7731</v>
      </c>
      <c r="G126" s="720">
        <v>7.9222722229E10</v>
      </c>
      <c r="H126" s="236"/>
      <c r="I126" s="720" t="s">
        <v>8038</v>
      </c>
      <c r="J126" s="720" t="s">
        <v>7730</v>
      </c>
      <c r="K126" s="81">
        <v>0.0</v>
      </c>
      <c r="L126" s="720" t="s">
        <v>7730</v>
      </c>
      <c r="M126" s="720">
        <v>0.0</v>
      </c>
      <c r="N126" s="720">
        <v>0.0</v>
      </c>
      <c r="O126" s="236"/>
      <c r="P126" s="236"/>
      <c r="Q126" s="722" t="s">
        <v>8338</v>
      </c>
      <c r="R126" s="236"/>
      <c r="S126" s="653"/>
      <c r="T126" s="653"/>
      <c r="U126" s="653"/>
      <c r="V126" s="653"/>
      <c r="W126" s="653"/>
      <c r="X126" s="653"/>
      <c r="Y126" s="653"/>
      <c r="Z126" s="653"/>
    </row>
    <row r="127">
      <c r="A127" s="719" t="s">
        <v>8150</v>
      </c>
      <c r="B127" s="720" t="s">
        <v>8032</v>
      </c>
      <c r="C127" s="721">
        <v>43766.0</v>
      </c>
      <c r="D127" s="720" t="s">
        <v>8330</v>
      </c>
      <c r="E127" s="720" t="s">
        <v>8331</v>
      </c>
      <c r="F127" s="720" t="s">
        <v>7701</v>
      </c>
      <c r="G127" s="720">
        <v>9.66553364779E11</v>
      </c>
      <c r="H127" s="236"/>
      <c r="I127" s="720" t="s">
        <v>8332</v>
      </c>
      <c r="J127" s="720" t="s">
        <v>7700</v>
      </c>
      <c r="K127" s="81">
        <v>0.0</v>
      </c>
      <c r="L127" s="720" t="s">
        <v>7700</v>
      </c>
      <c r="M127" s="720">
        <v>0.0</v>
      </c>
      <c r="N127" s="720">
        <v>0.0</v>
      </c>
      <c r="O127" s="236"/>
      <c r="P127" s="236"/>
      <c r="Q127" s="743" t="s">
        <v>8333</v>
      </c>
      <c r="R127" s="744"/>
      <c r="S127" s="653"/>
      <c r="T127" s="653"/>
      <c r="U127" s="653"/>
      <c r="V127" s="653"/>
      <c r="W127" s="653"/>
      <c r="X127" s="653"/>
      <c r="Y127" s="653"/>
      <c r="Z127" s="653"/>
    </row>
    <row r="128">
      <c r="A128" s="24" t="s">
        <v>8150</v>
      </c>
      <c r="B128" s="24" t="s">
        <v>8032</v>
      </c>
      <c r="C128" s="183">
        <v>43769.0</v>
      </c>
      <c r="D128" s="24" t="s">
        <v>8339</v>
      </c>
      <c r="E128" s="24" t="s">
        <v>8340</v>
      </c>
      <c r="F128" s="24" t="s">
        <v>8341</v>
      </c>
      <c r="G128" s="24">
        <v>3.93292210977E11</v>
      </c>
      <c r="H128" s="28"/>
      <c r="I128" s="24" t="s">
        <v>8038</v>
      </c>
      <c r="J128" s="24" t="s">
        <v>4626</v>
      </c>
      <c r="K128" s="24">
        <v>0.0</v>
      </c>
      <c r="L128" s="24" t="s">
        <v>4626</v>
      </c>
      <c r="M128" s="24">
        <v>0.0</v>
      </c>
      <c r="N128" s="24">
        <v>0.0</v>
      </c>
      <c r="O128" s="28"/>
      <c r="P128" s="28"/>
      <c r="Q128" s="24" t="s">
        <v>8342</v>
      </c>
      <c r="R128" s="758" t="s">
        <v>979</v>
      </c>
      <c r="S128" s="28"/>
      <c r="T128" s="28"/>
      <c r="U128" s="28"/>
      <c r="V128" s="28"/>
      <c r="W128" s="28"/>
      <c r="X128" s="28"/>
      <c r="Y128" s="28"/>
      <c r="Z128" s="28"/>
    </row>
    <row r="129">
      <c r="A129" s="24" t="s">
        <v>8150</v>
      </c>
      <c r="B129" s="24" t="s">
        <v>8032</v>
      </c>
      <c r="C129" s="183">
        <v>43769.0</v>
      </c>
      <c r="D129" s="24" t="s">
        <v>2864</v>
      </c>
      <c r="E129" s="24" t="s">
        <v>8343</v>
      </c>
      <c r="F129" s="24" t="s">
        <v>7685</v>
      </c>
      <c r="G129" s="24">
        <v>9.7158556063E11</v>
      </c>
      <c r="H129" s="28"/>
      <c r="I129" s="24" t="s">
        <v>8038</v>
      </c>
      <c r="J129" s="24" t="s">
        <v>4514</v>
      </c>
      <c r="K129" s="24">
        <v>1.0</v>
      </c>
      <c r="L129" s="24" t="s">
        <v>4461</v>
      </c>
      <c r="M129" s="24">
        <v>0.0</v>
      </c>
      <c r="N129" s="24">
        <v>0.0</v>
      </c>
      <c r="O129" s="28"/>
      <c r="P129" s="28"/>
      <c r="Q129" s="24" t="s">
        <v>8342</v>
      </c>
      <c r="R129" s="28"/>
      <c r="S129" s="28"/>
      <c r="T129" s="28"/>
      <c r="U129" s="28"/>
      <c r="V129" s="28"/>
      <c r="W129" s="28"/>
      <c r="X129" s="28"/>
      <c r="Y129" s="28"/>
      <c r="Z129" s="28"/>
    </row>
    <row r="130">
      <c r="A130" s="24" t="s">
        <v>8150</v>
      </c>
      <c r="B130" s="24" t="s">
        <v>8032</v>
      </c>
      <c r="C130" s="183">
        <v>43771.0</v>
      </c>
      <c r="D130" s="759" t="s">
        <v>8344</v>
      </c>
      <c r="E130" s="759" t="s">
        <v>8344</v>
      </c>
      <c r="F130" s="759" t="s">
        <v>8345</v>
      </c>
      <c r="G130" s="759">
        <v>2.781349826E10</v>
      </c>
      <c r="H130" s="760"/>
      <c r="I130" s="759" t="s">
        <v>8038</v>
      </c>
      <c r="J130" s="759" t="s">
        <v>5056</v>
      </c>
      <c r="K130" s="759">
        <v>0.0</v>
      </c>
      <c r="L130" s="759" t="s">
        <v>5056</v>
      </c>
      <c r="M130" s="759">
        <v>0.0</v>
      </c>
      <c r="N130" s="759">
        <v>0.0</v>
      </c>
      <c r="O130" s="760"/>
      <c r="P130" s="760"/>
      <c r="Q130" s="759" t="s">
        <v>8346</v>
      </c>
      <c r="R130" s="28"/>
      <c r="S130" s="28"/>
      <c r="T130" s="28"/>
      <c r="U130" s="28"/>
      <c r="V130" s="28"/>
      <c r="W130" s="28"/>
      <c r="X130" s="28"/>
      <c r="Y130" s="28"/>
      <c r="Z130" s="28"/>
    </row>
    <row r="131">
      <c r="A131" s="24" t="s">
        <v>8150</v>
      </c>
      <c r="B131" s="24" t="s">
        <v>8032</v>
      </c>
      <c r="C131" s="183">
        <v>43771.0</v>
      </c>
      <c r="D131" s="759" t="s">
        <v>8347</v>
      </c>
      <c r="E131" s="759" t="s">
        <v>8348</v>
      </c>
      <c r="F131" s="759" t="s">
        <v>8116</v>
      </c>
      <c r="G131" s="759">
        <v>2.01222455101E11</v>
      </c>
      <c r="H131" s="760"/>
      <c r="I131" s="759" t="s">
        <v>8349</v>
      </c>
      <c r="J131" s="759" t="s">
        <v>4500</v>
      </c>
      <c r="K131" s="759">
        <v>0.0</v>
      </c>
      <c r="L131" s="759" t="s">
        <v>4500</v>
      </c>
      <c r="M131" s="759">
        <v>0.0</v>
      </c>
      <c r="N131" s="759">
        <v>0.0</v>
      </c>
      <c r="O131" s="760"/>
      <c r="P131" s="760"/>
      <c r="Q131" s="759" t="s">
        <v>8346</v>
      </c>
      <c r="R131" s="28"/>
      <c r="S131" s="28"/>
      <c r="T131" s="28"/>
      <c r="U131" s="28"/>
      <c r="V131" s="28"/>
      <c r="W131" s="28"/>
      <c r="X131" s="28"/>
      <c r="Y131" s="28"/>
      <c r="Z131" s="28"/>
    </row>
    <row r="132">
      <c r="A132" s="24" t="s">
        <v>8150</v>
      </c>
      <c r="B132" s="24" t="s">
        <v>8032</v>
      </c>
      <c r="C132" s="183">
        <v>43771.0</v>
      </c>
      <c r="D132" s="759" t="s">
        <v>8350</v>
      </c>
      <c r="E132" s="759" t="s">
        <v>8350</v>
      </c>
      <c r="F132" s="759" t="s">
        <v>7685</v>
      </c>
      <c r="G132" s="759">
        <v>9.71551235345E11</v>
      </c>
      <c r="H132" s="760"/>
      <c r="I132" s="759" t="s">
        <v>8038</v>
      </c>
      <c r="J132" s="759" t="s">
        <v>4503</v>
      </c>
      <c r="K132" s="759">
        <v>1.0</v>
      </c>
      <c r="L132" s="759" t="s">
        <v>4461</v>
      </c>
      <c r="M132" s="759">
        <v>0.0</v>
      </c>
      <c r="N132" s="759">
        <v>0.0</v>
      </c>
      <c r="O132" s="760"/>
      <c r="P132" s="760"/>
      <c r="Q132" s="759" t="s">
        <v>8346</v>
      </c>
      <c r="R132" s="28"/>
      <c r="S132" s="28"/>
      <c r="T132" s="28"/>
      <c r="U132" s="28"/>
      <c r="V132" s="28"/>
      <c r="W132" s="28"/>
      <c r="X132" s="28"/>
      <c r="Y132" s="28"/>
      <c r="Z132" s="28"/>
    </row>
    <row r="133">
      <c r="A133" s="24" t="s">
        <v>8150</v>
      </c>
      <c r="B133" s="24" t="s">
        <v>8032</v>
      </c>
      <c r="C133" s="183">
        <v>43771.0</v>
      </c>
      <c r="D133" s="759" t="s">
        <v>8350</v>
      </c>
      <c r="E133" s="759" t="s">
        <v>8350</v>
      </c>
      <c r="F133" s="759" t="s">
        <v>7685</v>
      </c>
      <c r="G133" s="759">
        <v>9.71551235345E11</v>
      </c>
      <c r="H133" s="760"/>
      <c r="I133" s="759" t="s">
        <v>8038</v>
      </c>
      <c r="J133" s="759" t="s">
        <v>4503</v>
      </c>
      <c r="K133" s="759">
        <v>1.0</v>
      </c>
      <c r="L133" s="759" t="s">
        <v>4461</v>
      </c>
      <c r="M133" s="759">
        <v>0.0</v>
      </c>
      <c r="N133" s="759">
        <v>0.0</v>
      </c>
      <c r="O133" s="759" t="s">
        <v>8221</v>
      </c>
      <c r="P133" s="760"/>
      <c r="Q133" s="759" t="s">
        <v>8346</v>
      </c>
      <c r="R133" s="28"/>
      <c r="S133" s="28"/>
      <c r="T133" s="28"/>
      <c r="U133" s="28"/>
      <c r="V133" s="28"/>
      <c r="W133" s="28"/>
      <c r="X133" s="28"/>
      <c r="Y133" s="28"/>
      <c r="Z133" s="28"/>
    </row>
    <row r="134">
      <c r="A134" s="24" t="s">
        <v>8150</v>
      </c>
      <c r="B134" s="24" t="s">
        <v>8032</v>
      </c>
      <c r="C134" s="183">
        <v>43771.0</v>
      </c>
      <c r="D134" s="24" t="s">
        <v>7608</v>
      </c>
      <c r="E134" s="24" t="s">
        <v>7608</v>
      </c>
      <c r="F134" s="24" t="s">
        <v>7674</v>
      </c>
      <c r="G134" s="24">
        <v>9.19997744945E11</v>
      </c>
      <c r="H134" s="28"/>
      <c r="I134" s="24" t="s">
        <v>8038</v>
      </c>
      <c r="J134" s="24" t="s">
        <v>4503</v>
      </c>
      <c r="K134" s="24">
        <v>0.0</v>
      </c>
      <c r="L134" s="24" t="s">
        <v>4503</v>
      </c>
      <c r="M134" s="24">
        <v>0.0</v>
      </c>
      <c r="N134" s="24">
        <v>0.0</v>
      </c>
      <c r="O134" s="24" t="s">
        <v>8221</v>
      </c>
      <c r="P134" s="28"/>
      <c r="Q134" s="24" t="s">
        <v>8346</v>
      </c>
      <c r="R134" s="28"/>
      <c r="S134" s="28"/>
      <c r="T134" s="28"/>
      <c r="U134" s="28"/>
      <c r="V134" s="28"/>
      <c r="W134" s="28"/>
      <c r="X134" s="28"/>
      <c r="Y134" s="28"/>
      <c r="Z134" s="28"/>
    </row>
    <row r="135">
      <c r="A135" s="24" t="s">
        <v>8150</v>
      </c>
      <c r="B135" s="24" t="s">
        <v>8032</v>
      </c>
      <c r="C135" s="183">
        <v>43771.0</v>
      </c>
      <c r="D135" s="24" t="s">
        <v>2862</v>
      </c>
      <c r="E135" s="24" t="s">
        <v>2862</v>
      </c>
      <c r="F135" s="24" t="s">
        <v>7701</v>
      </c>
      <c r="G135" s="24">
        <v>9.66534085513E11</v>
      </c>
      <c r="H135" s="28"/>
      <c r="I135" s="24" t="s">
        <v>8038</v>
      </c>
      <c r="J135" s="24" t="s">
        <v>7700</v>
      </c>
      <c r="K135" s="24">
        <v>0.0</v>
      </c>
      <c r="L135" s="24" t="s">
        <v>7700</v>
      </c>
      <c r="M135" s="24">
        <v>0.0</v>
      </c>
      <c r="N135" s="24">
        <v>0.0</v>
      </c>
      <c r="O135" s="28"/>
      <c r="P135" s="28"/>
      <c r="Q135" s="24" t="s">
        <v>8346</v>
      </c>
      <c r="R135" s="28"/>
      <c r="S135" s="28"/>
      <c r="T135" s="28"/>
      <c r="U135" s="28"/>
      <c r="V135" s="28"/>
      <c r="W135" s="28"/>
      <c r="X135" s="28"/>
      <c r="Y135" s="28"/>
      <c r="Z135" s="28"/>
    </row>
    <row r="136">
      <c r="A136" s="24" t="s">
        <v>8150</v>
      </c>
      <c r="B136" s="24" t="s">
        <v>8032</v>
      </c>
      <c r="C136" s="183">
        <v>43771.0</v>
      </c>
      <c r="D136" s="24" t="s">
        <v>8343</v>
      </c>
      <c r="E136" s="24" t="s">
        <v>8351</v>
      </c>
      <c r="F136" s="24" t="s">
        <v>7685</v>
      </c>
      <c r="G136" s="24">
        <v>9.71504567085E11</v>
      </c>
      <c r="H136" s="28"/>
      <c r="I136" s="24" t="s">
        <v>8352</v>
      </c>
      <c r="J136" s="24" t="s">
        <v>4514</v>
      </c>
      <c r="K136" s="24">
        <v>1.0</v>
      </c>
      <c r="L136" s="24" t="s">
        <v>4461</v>
      </c>
      <c r="M136" s="24">
        <v>0.0</v>
      </c>
      <c r="N136" s="24">
        <v>0.0</v>
      </c>
      <c r="O136" s="24" t="s">
        <v>8221</v>
      </c>
      <c r="P136" s="28"/>
      <c r="Q136" s="24" t="s">
        <v>8346</v>
      </c>
      <c r="R136" s="28"/>
      <c r="S136" s="28"/>
      <c r="T136" s="28"/>
      <c r="U136" s="28"/>
      <c r="V136" s="28"/>
      <c r="W136" s="28"/>
      <c r="X136" s="28"/>
      <c r="Y136" s="28"/>
      <c r="Z136" s="28"/>
    </row>
    <row r="137">
      <c r="A137" s="24" t="s">
        <v>8150</v>
      </c>
      <c r="B137" s="24" t="s">
        <v>8032</v>
      </c>
      <c r="C137" s="183">
        <v>43771.0</v>
      </c>
      <c r="D137" s="759" t="s">
        <v>8353</v>
      </c>
      <c r="E137" s="759" t="s">
        <v>8353</v>
      </c>
      <c r="F137" s="759" t="s">
        <v>7731</v>
      </c>
      <c r="G137" s="759">
        <v>7.912817435E10</v>
      </c>
      <c r="H137" s="761"/>
      <c r="I137" s="759" t="s">
        <v>8038</v>
      </c>
      <c r="J137" s="759" t="s">
        <v>7730</v>
      </c>
      <c r="K137" s="759">
        <v>0.0</v>
      </c>
      <c r="L137" s="759" t="s">
        <v>7730</v>
      </c>
      <c r="M137" s="759">
        <v>0.0</v>
      </c>
      <c r="N137" s="759">
        <v>0.0</v>
      </c>
      <c r="O137" s="761"/>
      <c r="P137" s="761"/>
      <c r="Q137" s="762" t="s">
        <v>8354</v>
      </c>
      <c r="R137" s="28"/>
      <c r="S137" s="28"/>
      <c r="T137" s="28"/>
      <c r="U137" s="28"/>
      <c r="V137" s="28"/>
      <c r="W137" s="28"/>
      <c r="X137" s="28"/>
      <c r="Y137" s="28"/>
      <c r="Z137" s="28"/>
    </row>
    <row r="138">
      <c r="A138" s="24" t="s">
        <v>8150</v>
      </c>
      <c r="B138" s="24" t="s">
        <v>8032</v>
      </c>
      <c r="C138" s="183">
        <v>43771.0</v>
      </c>
      <c r="D138" s="759" t="s">
        <v>8355</v>
      </c>
      <c r="E138" s="759" t="s">
        <v>8356</v>
      </c>
      <c r="F138" s="759" t="s">
        <v>7674</v>
      </c>
      <c r="G138" s="759">
        <v>9.19890494269E11</v>
      </c>
      <c r="H138" s="761"/>
      <c r="I138" s="759" t="s">
        <v>8038</v>
      </c>
      <c r="J138" s="759" t="s">
        <v>4503</v>
      </c>
      <c r="K138" s="759">
        <v>0.0</v>
      </c>
      <c r="L138" s="759" t="s">
        <v>4503</v>
      </c>
      <c r="M138" s="759">
        <v>0.0</v>
      </c>
      <c r="N138" s="759">
        <v>0.0</v>
      </c>
      <c r="O138" s="761"/>
      <c r="P138" s="761"/>
      <c r="Q138" s="759" t="s">
        <v>8346</v>
      </c>
      <c r="R138" s="28"/>
      <c r="S138" s="28"/>
      <c r="T138" s="28"/>
      <c r="U138" s="28"/>
      <c r="V138" s="28"/>
      <c r="W138" s="28"/>
      <c r="X138" s="28"/>
      <c r="Y138" s="28"/>
      <c r="Z138" s="28"/>
    </row>
    <row r="139">
      <c r="A139" s="24" t="s">
        <v>8150</v>
      </c>
      <c r="B139" s="24" t="s">
        <v>8032</v>
      </c>
      <c r="C139" s="183">
        <v>43771.0</v>
      </c>
      <c r="D139" s="759" t="s">
        <v>8308</v>
      </c>
      <c r="E139" s="759" t="s">
        <v>8308</v>
      </c>
      <c r="F139" s="759" t="s">
        <v>7713</v>
      </c>
      <c r="G139" s="759">
        <v>1.4033700372E10</v>
      </c>
      <c r="H139" s="760"/>
      <c r="I139" s="759" t="s">
        <v>8038</v>
      </c>
      <c r="J139" s="759" t="s">
        <v>7712</v>
      </c>
      <c r="K139" s="759">
        <v>0.0</v>
      </c>
      <c r="L139" s="759" t="s">
        <v>7712</v>
      </c>
      <c r="M139" s="759">
        <v>0.0</v>
      </c>
      <c r="N139" s="759">
        <v>0.0</v>
      </c>
      <c r="O139" s="760"/>
      <c r="P139" s="760"/>
      <c r="Q139" s="759" t="s">
        <v>8346</v>
      </c>
      <c r="R139" s="28"/>
      <c r="S139" s="28"/>
      <c r="T139" s="28"/>
      <c r="U139" s="28"/>
      <c r="V139" s="28"/>
      <c r="W139" s="28"/>
      <c r="X139" s="28"/>
      <c r="Y139" s="28"/>
      <c r="Z139" s="28"/>
    </row>
    <row r="140">
      <c r="A140" s="24" t="s">
        <v>8150</v>
      </c>
      <c r="B140" s="24" t="s">
        <v>8032</v>
      </c>
      <c r="C140" s="183">
        <v>43771.0</v>
      </c>
      <c r="D140" s="759" t="s">
        <v>8357</v>
      </c>
      <c r="E140" s="759" t="s">
        <v>8357</v>
      </c>
      <c r="F140" s="759" t="s">
        <v>7788</v>
      </c>
      <c r="G140" s="759">
        <v>9.9450250922E11</v>
      </c>
      <c r="H140" s="760"/>
      <c r="I140" s="759" t="s">
        <v>8038</v>
      </c>
      <c r="J140" s="759" t="s">
        <v>4503</v>
      </c>
      <c r="K140" s="759">
        <v>0.0</v>
      </c>
      <c r="L140" s="759" t="s">
        <v>4699</v>
      </c>
      <c r="M140" s="759">
        <v>0.0</v>
      </c>
      <c r="N140" s="759">
        <v>0.0</v>
      </c>
      <c r="O140" s="760"/>
      <c r="P140" s="760"/>
      <c r="Q140" s="759" t="s">
        <v>8346</v>
      </c>
      <c r="R140" s="28"/>
      <c r="S140" s="28"/>
      <c r="T140" s="28"/>
      <c r="U140" s="28"/>
      <c r="V140" s="28"/>
      <c r="W140" s="28"/>
      <c r="X140" s="28"/>
      <c r="Y140" s="28"/>
      <c r="Z140" s="28"/>
    </row>
    <row r="141">
      <c r="A141" s="763" t="s">
        <v>8150</v>
      </c>
      <c r="B141" s="763" t="s">
        <v>8032</v>
      </c>
      <c r="C141" s="763" t="s">
        <v>8358</v>
      </c>
      <c r="D141" s="763" t="s">
        <v>8359</v>
      </c>
      <c r="E141" s="763" t="s">
        <v>8360</v>
      </c>
      <c r="F141" s="763" t="s">
        <v>8137</v>
      </c>
      <c r="G141" s="763" t="s">
        <v>8361</v>
      </c>
      <c r="H141" s="764"/>
      <c r="I141" s="763" t="s">
        <v>8362</v>
      </c>
      <c r="J141" s="763" t="s">
        <v>8138</v>
      </c>
      <c r="K141" s="763" t="b">
        <v>0</v>
      </c>
      <c r="L141" s="763" t="s">
        <v>8138</v>
      </c>
      <c r="M141" s="763" t="b">
        <v>0</v>
      </c>
      <c r="N141" s="763" t="b">
        <v>0</v>
      </c>
      <c r="O141" s="763"/>
      <c r="P141" s="763"/>
      <c r="Q141" s="763" t="s">
        <v>8363</v>
      </c>
      <c r="R141" s="763"/>
      <c r="S141" s="764"/>
      <c r="T141" s="764"/>
      <c r="U141" s="764"/>
      <c r="V141" s="764"/>
      <c r="W141" s="764"/>
      <c r="X141" s="764"/>
      <c r="Y141" s="764"/>
      <c r="Z141" s="764"/>
    </row>
    <row r="142">
      <c r="A142" s="764" t="s">
        <v>8150</v>
      </c>
      <c r="B142" s="764" t="s">
        <v>8032</v>
      </c>
      <c r="C142" s="764" t="s">
        <v>8364</v>
      </c>
      <c r="D142" s="765" t="s">
        <v>8365</v>
      </c>
      <c r="E142" s="765" t="s">
        <v>2888</v>
      </c>
      <c r="F142" s="765" t="s">
        <v>7701</v>
      </c>
      <c r="G142" s="765" t="s">
        <v>8366</v>
      </c>
      <c r="H142" s="765"/>
      <c r="I142" s="765" t="s">
        <v>8038</v>
      </c>
      <c r="J142" s="765" t="s">
        <v>7700</v>
      </c>
      <c r="K142" s="765" t="b">
        <v>0</v>
      </c>
      <c r="L142" s="765" t="s">
        <v>7700</v>
      </c>
      <c r="M142" s="765" t="b">
        <v>0</v>
      </c>
      <c r="N142" s="765" t="b">
        <v>0</v>
      </c>
      <c r="O142" s="765"/>
      <c r="P142" s="765"/>
      <c r="Q142" s="765" t="s">
        <v>8367</v>
      </c>
      <c r="R142" s="764"/>
      <c r="S142" s="764"/>
      <c r="T142" s="764"/>
      <c r="U142" s="764"/>
      <c r="V142" s="764"/>
      <c r="W142" s="764"/>
      <c r="X142" s="764"/>
      <c r="Y142" s="764"/>
      <c r="Z142" s="764"/>
    </row>
    <row r="143">
      <c r="A143" s="28" t="s">
        <v>8056</v>
      </c>
      <c r="B143" s="28" t="s">
        <v>8032</v>
      </c>
      <c r="C143" s="28" t="s">
        <v>8368</v>
      </c>
      <c r="D143" s="28" t="s">
        <v>8369</v>
      </c>
      <c r="E143" s="28" t="s">
        <v>8369</v>
      </c>
      <c r="F143" s="28" t="s">
        <v>8370</v>
      </c>
      <c r="G143" s="28" t="s">
        <v>8371</v>
      </c>
      <c r="H143" s="28"/>
      <c r="I143" s="28" t="s">
        <v>8038</v>
      </c>
      <c r="J143" s="28" t="s">
        <v>8372</v>
      </c>
      <c r="K143" s="28" t="b">
        <v>0</v>
      </c>
      <c r="L143" s="28" t="s">
        <v>8372</v>
      </c>
      <c r="M143" s="28" t="b">
        <v>0</v>
      </c>
      <c r="N143" s="28" t="b">
        <v>0</v>
      </c>
      <c r="O143" s="28"/>
      <c r="P143" s="28"/>
      <c r="Q143" s="28" t="s">
        <v>8051</v>
      </c>
      <c r="R143" s="28"/>
      <c r="S143" s="28"/>
      <c r="T143" s="28"/>
      <c r="U143" s="28"/>
      <c r="V143" s="28"/>
      <c r="W143" s="28"/>
      <c r="X143" s="28"/>
      <c r="Y143" s="28"/>
      <c r="Z143" s="28"/>
    </row>
    <row r="144">
      <c r="A144" s="28" t="s">
        <v>8056</v>
      </c>
      <c r="B144" s="28" t="s">
        <v>8032</v>
      </c>
      <c r="C144" s="28" t="s">
        <v>8368</v>
      </c>
      <c r="D144" s="28" t="s">
        <v>8373</v>
      </c>
      <c r="E144" s="28" t="s">
        <v>8373</v>
      </c>
      <c r="F144" s="28" t="s">
        <v>7674</v>
      </c>
      <c r="G144" s="28" t="s">
        <v>8374</v>
      </c>
      <c r="H144" s="28"/>
      <c r="I144" s="28" t="s">
        <v>8038</v>
      </c>
      <c r="J144" s="28" t="s">
        <v>4503</v>
      </c>
      <c r="K144" s="28" t="b">
        <v>0</v>
      </c>
      <c r="L144" s="28" t="s">
        <v>4503</v>
      </c>
      <c r="M144" s="28" t="b">
        <v>0</v>
      </c>
      <c r="N144" s="28" t="b">
        <v>0</v>
      </c>
      <c r="O144" s="28"/>
      <c r="P144" s="28"/>
      <c r="Q144" s="28" t="s">
        <v>8051</v>
      </c>
      <c r="R144" s="28"/>
      <c r="S144" s="28"/>
      <c r="T144" s="28"/>
      <c r="U144" s="28"/>
      <c r="V144" s="28"/>
      <c r="W144" s="28"/>
      <c r="X144" s="28"/>
      <c r="Y144" s="28"/>
      <c r="Z144" s="28"/>
    </row>
    <row r="145">
      <c r="A145" s="28" t="s">
        <v>8056</v>
      </c>
      <c r="B145" s="28" t="s">
        <v>8032</v>
      </c>
      <c r="C145" s="28" t="s">
        <v>8368</v>
      </c>
      <c r="D145" s="28" t="s">
        <v>8375</v>
      </c>
      <c r="E145" s="28" t="s">
        <v>8376</v>
      </c>
      <c r="F145" s="28" t="s">
        <v>7797</v>
      </c>
      <c r="G145" s="28" t="s">
        <v>8377</v>
      </c>
      <c r="H145" s="28"/>
      <c r="I145" s="28" t="s">
        <v>8378</v>
      </c>
      <c r="J145" s="28" t="s">
        <v>4542</v>
      </c>
      <c r="K145" s="28" t="b">
        <v>0</v>
      </c>
      <c r="L145" s="28" t="s">
        <v>4542</v>
      </c>
      <c r="M145" s="28" t="b">
        <v>0</v>
      </c>
      <c r="N145" s="28" t="b">
        <v>0</v>
      </c>
      <c r="O145" s="28"/>
      <c r="P145" s="28"/>
      <c r="Q145" s="28" t="s">
        <v>8051</v>
      </c>
      <c r="R145" s="28" t="s">
        <v>8379</v>
      </c>
      <c r="S145" s="28"/>
      <c r="T145" s="28"/>
      <c r="U145" s="28"/>
      <c r="V145" s="28"/>
      <c r="W145" s="28"/>
      <c r="X145" s="28"/>
      <c r="Y145" s="28"/>
      <c r="Z145" s="28"/>
    </row>
    <row r="146">
      <c r="A146" s="28" t="s">
        <v>8056</v>
      </c>
      <c r="B146" s="28" t="s">
        <v>8032</v>
      </c>
      <c r="C146" s="28" t="s">
        <v>8368</v>
      </c>
      <c r="D146" s="28" t="s">
        <v>8380</v>
      </c>
      <c r="E146" s="28" t="s">
        <v>8381</v>
      </c>
      <c r="F146" s="28" t="s">
        <v>8382</v>
      </c>
      <c r="G146" s="28" t="s">
        <v>8383</v>
      </c>
      <c r="H146" s="28"/>
      <c r="I146" s="28" t="s">
        <v>8038</v>
      </c>
      <c r="J146" s="28" t="s">
        <v>5074</v>
      </c>
      <c r="K146" s="28" t="b">
        <v>0</v>
      </c>
      <c r="L146" s="28" t="s">
        <v>5074</v>
      </c>
      <c r="M146" s="28" t="b">
        <v>0</v>
      </c>
      <c r="N146" s="28" t="b">
        <v>0</v>
      </c>
      <c r="O146" s="28" t="s">
        <v>8384</v>
      </c>
      <c r="P146" s="28"/>
      <c r="Q146" s="28" t="s">
        <v>8051</v>
      </c>
      <c r="R146" s="28"/>
      <c r="S146" s="28"/>
      <c r="T146" s="28"/>
      <c r="U146" s="28"/>
      <c r="V146" s="28"/>
      <c r="W146" s="28"/>
      <c r="X146" s="28"/>
      <c r="Y146" s="28"/>
      <c r="Z146" s="28"/>
    </row>
    <row r="147">
      <c r="A147" s="28" t="s">
        <v>8056</v>
      </c>
      <c r="B147" s="28" t="s">
        <v>8032</v>
      </c>
      <c r="C147" s="28" t="s">
        <v>8368</v>
      </c>
      <c r="D147" s="760" t="s">
        <v>8385</v>
      </c>
      <c r="E147" s="760" t="s">
        <v>8385</v>
      </c>
      <c r="F147" s="760" t="s">
        <v>7685</v>
      </c>
      <c r="G147" s="760" t="s">
        <v>8386</v>
      </c>
      <c r="H147" s="760"/>
      <c r="I147" s="760" t="s">
        <v>8038</v>
      </c>
      <c r="J147" s="760" t="s">
        <v>7772</v>
      </c>
      <c r="K147" s="760" t="b">
        <v>1</v>
      </c>
      <c r="L147" s="760" t="s">
        <v>4461</v>
      </c>
      <c r="M147" s="760" t="b">
        <v>0</v>
      </c>
      <c r="N147" s="760" t="b">
        <v>0</v>
      </c>
      <c r="O147" s="760"/>
      <c r="P147" s="28"/>
      <c r="Q147" s="28" t="s">
        <v>8051</v>
      </c>
      <c r="R147" s="28"/>
      <c r="S147" s="28"/>
      <c r="T147" s="28"/>
      <c r="U147" s="28"/>
      <c r="V147" s="28"/>
      <c r="W147" s="28"/>
      <c r="X147" s="28"/>
      <c r="Y147" s="28"/>
      <c r="Z147" s="28"/>
    </row>
    <row r="148">
      <c r="A148" s="28" t="s">
        <v>8056</v>
      </c>
      <c r="B148" s="28" t="s">
        <v>8032</v>
      </c>
      <c r="C148" s="28" t="s">
        <v>8368</v>
      </c>
      <c r="D148" s="760" t="s">
        <v>8387</v>
      </c>
      <c r="E148" s="760" t="s">
        <v>8388</v>
      </c>
      <c r="F148" s="760" t="s">
        <v>8215</v>
      </c>
      <c r="G148" s="760" t="s">
        <v>8389</v>
      </c>
      <c r="H148" s="760"/>
      <c r="I148" s="760" t="s">
        <v>8038</v>
      </c>
      <c r="J148" s="760" t="s">
        <v>8216</v>
      </c>
      <c r="K148" s="760" t="b">
        <v>0</v>
      </c>
      <c r="L148" s="760" t="s">
        <v>8216</v>
      </c>
      <c r="M148" s="760" t="b">
        <v>0</v>
      </c>
      <c r="N148" s="760" t="b">
        <v>0</v>
      </c>
      <c r="O148" s="760" t="s">
        <v>8384</v>
      </c>
      <c r="P148" s="28"/>
      <c r="Q148" s="28" t="s">
        <v>8390</v>
      </c>
      <c r="R148" s="28"/>
      <c r="S148" s="28"/>
      <c r="T148" s="28"/>
      <c r="U148" s="28"/>
      <c r="V148" s="28"/>
      <c r="W148" s="28"/>
      <c r="X148" s="28"/>
      <c r="Y148" s="28"/>
      <c r="Z148" s="28"/>
    </row>
    <row r="149">
      <c r="A149" s="28" t="s">
        <v>8056</v>
      </c>
      <c r="B149" s="28" t="s">
        <v>8032</v>
      </c>
      <c r="C149" s="28" t="s">
        <v>8368</v>
      </c>
      <c r="D149" s="760" t="s">
        <v>8391</v>
      </c>
      <c r="E149" s="760" t="s">
        <v>8391</v>
      </c>
      <c r="F149" s="760" t="s">
        <v>7754</v>
      </c>
      <c r="G149" s="760" t="s">
        <v>8392</v>
      </c>
      <c r="H149" s="760"/>
      <c r="I149" s="760" t="s">
        <v>8038</v>
      </c>
      <c r="J149" s="760" t="s">
        <v>4525</v>
      </c>
      <c r="K149" s="760" t="b">
        <v>0</v>
      </c>
      <c r="L149" s="760" t="s">
        <v>4525</v>
      </c>
      <c r="M149" s="760" t="b">
        <v>0</v>
      </c>
      <c r="N149" s="760" t="b">
        <v>0</v>
      </c>
      <c r="O149" s="760"/>
      <c r="P149" s="760"/>
      <c r="Q149" s="766" t="s">
        <v>8393</v>
      </c>
      <c r="R149" s="28"/>
      <c r="S149" s="28"/>
      <c r="T149" s="28"/>
      <c r="U149" s="28"/>
      <c r="V149" s="28"/>
      <c r="W149" s="28"/>
      <c r="X149" s="28"/>
      <c r="Y149" s="28"/>
      <c r="Z149" s="28"/>
    </row>
    <row r="150">
      <c r="A150" s="28" t="s">
        <v>8056</v>
      </c>
      <c r="B150" s="28" t="s">
        <v>8032</v>
      </c>
      <c r="C150" s="28" t="s">
        <v>8368</v>
      </c>
      <c r="D150" s="28" t="s">
        <v>8394</v>
      </c>
      <c r="E150" s="28" t="s">
        <v>8324</v>
      </c>
      <c r="F150" s="28" t="s">
        <v>7674</v>
      </c>
      <c r="G150" s="28" t="s">
        <v>8395</v>
      </c>
      <c r="H150" s="28"/>
      <c r="I150" s="28" t="s">
        <v>8038</v>
      </c>
      <c r="J150" s="28" t="s">
        <v>4503</v>
      </c>
      <c r="K150" s="28" t="b">
        <v>0</v>
      </c>
      <c r="L150" s="28" t="s">
        <v>4503</v>
      </c>
      <c r="M150" s="28" t="b">
        <v>0</v>
      </c>
      <c r="N150" s="28" t="b">
        <v>0</v>
      </c>
      <c r="O150" s="28"/>
      <c r="P150" s="28"/>
      <c r="Q150" s="28" t="s">
        <v>8155</v>
      </c>
      <c r="R150" s="28"/>
      <c r="S150" s="28"/>
      <c r="T150" s="28"/>
      <c r="U150" s="28"/>
      <c r="V150" s="28"/>
      <c r="W150" s="28"/>
      <c r="X150" s="28"/>
      <c r="Y150" s="28"/>
      <c r="Z150" s="28"/>
    </row>
    <row r="151">
      <c r="A151" s="28" t="s">
        <v>8056</v>
      </c>
      <c r="B151" s="28" t="s">
        <v>8032</v>
      </c>
      <c r="C151" s="28" t="s">
        <v>8368</v>
      </c>
      <c r="D151" s="760" t="s">
        <v>8396</v>
      </c>
      <c r="E151" s="760" t="s">
        <v>8396</v>
      </c>
      <c r="F151" s="760" t="s">
        <v>7685</v>
      </c>
      <c r="G151" s="760" t="s">
        <v>8397</v>
      </c>
      <c r="H151" s="760"/>
      <c r="I151" s="760" t="s">
        <v>8038</v>
      </c>
      <c r="J151" s="760" t="s">
        <v>4999</v>
      </c>
      <c r="K151" s="760" t="b">
        <v>1</v>
      </c>
      <c r="L151" s="760" t="s">
        <v>4461</v>
      </c>
      <c r="M151" s="760" t="b">
        <v>0</v>
      </c>
      <c r="N151" s="760" t="b">
        <v>0</v>
      </c>
      <c r="O151" s="760"/>
      <c r="P151" s="760"/>
      <c r="Q151" s="760" t="s">
        <v>8155</v>
      </c>
      <c r="R151" s="28"/>
      <c r="S151" s="28"/>
      <c r="T151" s="28"/>
      <c r="U151" s="28"/>
      <c r="V151" s="28"/>
      <c r="W151" s="28"/>
      <c r="X151" s="28"/>
      <c r="Y151" s="28"/>
      <c r="Z151" s="28"/>
    </row>
    <row r="152">
      <c r="A152" s="711" t="s">
        <v>8056</v>
      </c>
      <c r="B152" s="711" t="s">
        <v>8032</v>
      </c>
      <c r="C152" s="711" t="s">
        <v>8398</v>
      </c>
      <c r="D152" s="767" t="s">
        <v>8399</v>
      </c>
      <c r="E152" s="767" t="s">
        <v>8400</v>
      </c>
      <c r="F152" s="767" t="s">
        <v>7674</v>
      </c>
      <c r="G152" s="767" t="s">
        <v>8401</v>
      </c>
      <c r="H152" s="768"/>
      <c r="I152" s="767" t="s">
        <v>8402</v>
      </c>
      <c r="J152" s="767" t="s">
        <v>4503</v>
      </c>
      <c r="K152" s="767" t="b">
        <v>0</v>
      </c>
      <c r="L152" s="767" t="s">
        <v>4503</v>
      </c>
      <c r="M152" s="767" t="b">
        <v>0</v>
      </c>
      <c r="N152" s="767" t="b">
        <v>0</v>
      </c>
      <c r="O152" s="769" t="s">
        <v>8403</v>
      </c>
      <c r="P152" s="770"/>
      <c r="Q152" s="771" t="s">
        <v>8404</v>
      </c>
      <c r="R152" s="772"/>
      <c r="S152" s="772"/>
      <c r="T152" s="772"/>
      <c r="U152" s="772"/>
      <c r="V152" s="772"/>
      <c r="W152" s="772"/>
      <c r="X152" s="772"/>
      <c r="Y152" s="772"/>
      <c r="Z152" s="772"/>
    </row>
    <row r="153">
      <c r="A153" s="711" t="s">
        <v>8056</v>
      </c>
      <c r="B153" s="711" t="s">
        <v>8032</v>
      </c>
      <c r="C153" s="711" t="s">
        <v>8398</v>
      </c>
      <c r="D153" s="711" t="s">
        <v>8405</v>
      </c>
      <c r="E153" s="711" t="s">
        <v>8406</v>
      </c>
      <c r="F153" s="711" t="s">
        <v>7685</v>
      </c>
      <c r="G153" s="711" t="s">
        <v>8407</v>
      </c>
      <c r="H153" s="713"/>
      <c r="I153" s="711" t="s">
        <v>8408</v>
      </c>
      <c r="J153" s="711" t="s">
        <v>7700</v>
      </c>
      <c r="K153" s="711" t="b">
        <v>0</v>
      </c>
      <c r="L153" s="711" t="s">
        <v>7700</v>
      </c>
      <c r="M153" s="711" t="b">
        <v>0</v>
      </c>
      <c r="N153" s="711" t="b">
        <v>0</v>
      </c>
      <c r="O153" s="713"/>
      <c r="P153" s="713"/>
      <c r="Q153" s="773" t="s">
        <v>8409</v>
      </c>
      <c r="R153" s="772"/>
      <c r="S153" s="772"/>
      <c r="T153" s="772"/>
      <c r="U153" s="772"/>
      <c r="V153" s="772"/>
      <c r="W153" s="772"/>
      <c r="X153" s="772"/>
      <c r="Y153" s="772"/>
      <c r="Z153" s="772"/>
    </row>
    <row r="154">
      <c r="A154" s="711" t="s">
        <v>8056</v>
      </c>
      <c r="B154" s="711" t="s">
        <v>8032</v>
      </c>
      <c r="C154" s="711" t="s">
        <v>8398</v>
      </c>
      <c r="D154" s="767" t="s">
        <v>8410</v>
      </c>
      <c r="E154" s="767" t="s">
        <v>8411</v>
      </c>
      <c r="F154" s="767" t="s">
        <v>7685</v>
      </c>
      <c r="G154" s="767" t="s">
        <v>8412</v>
      </c>
      <c r="H154" s="768"/>
      <c r="I154" s="767" t="s">
        <v>8413</v>
      </c>
      <c r="J154" s="767" t="s">
        <v>4999</v>
      </c>
      <c r="K154" s="767" t="b">
        <v>1</v>
      </c>
      <c r="L154" s="767" t="s">
        <v>4461</v>
      </c>
      <c r="M154" s="767" t="b">
        <v>0</v>
      </c>
      <c r="N154" s="767" t="b">
        <v>0</v>
      </c>
      <c r="O154" s="768"/>
      <c r="P154" s="713"/>
      <c r="Q154" s="773" t="s">
        <v>8346</v>
      </c>
      <c r="R154" s="772"/>
      <c r="S154" s="772"/>
      <c r="T154" s="772"/>
      <c r="U154" s="772"/>
      <c r="V154" s="772"/>
      <c r="W154" s="772"/>
      <c r="X154" s="772"/>
      <c r="Y154" s="772"/>
      <c r="Z154" s="772"/>
    </row>
    <row r="155">
      <c r="A155" s="711" t="s">
        <v>8056</v>
      </c>
      <c r="B155" s="711" t="s">
        <v>8032</v>
      </c>
      <c r="C155" s="711" t="s">
        <v>8398</v>
      </c>
      <c r="D155" s="711" t="s">
        <v>8414</v>
      </c>
      <c r="E155" s="711" t="s">
        <v>8414</v>
      </c>
      <c r="F155" s="711" t="s">
        <v>8289</v>
      </c>
      <c r="G155" s="711" t="s">
        <v>8415</v>
      </c>
      <c r="H155" s="713"/>
      <c r="I155" s="711" t="s">
        <v>8038</v>
      </c>
      <c r="J155" s="711" t="s">
        <v>4999</v>
      </c>
      <c r="K155" s="711" t="b">
        <v>0</v>
      </c>
      <c r="L155" s="711" t="s">
        <v>4999</v>
      </c>
      <c r="M155" s="711" t="b">
        <v>0</v>
      </c>
      <c r="N155" s="711" t="b">
        <v>0</v>
      </c>
      <c r="O155" s="713"/>
      <c r="P155" s="713"/>
      <c r="Q155" s="773" t="s">
        <v>8346</v>
      </c>
      <c r="R155" s="772"/>
      <c r="S155" s="772"/>
      <c r="T155" s="772"/>
      <c r="U155" s="772"/>
      <c r="V155" s="772"/>
      <c r="W155" s="772"/>
      <c r="X155" s="772"/>
      <c r="Y155" s="772"/>
      <c r="Z155" s="772"/>
    </row>
    <row r="156">
      <c r="A156" s="711" t="s">
        <v>8056</v>
      </c>
      <c r="B156" s="711" t="s">
        <v>8032</v>
      </c>
      <c r="C156" s="711" t="s">
        <v>8398</v>
      </c>
      <c r="D156" s="711" t="s">
        <v>8416</v>
      </c>
      <c r="E156" s="711" t="s">
        <v>8417</v>
      </c>
      <c r="F156" s="711" t="s">
        <v>7754</v>
      </c>
      <c r="G156" s="711" t="s">
        <v>8418</v>
      </c>
      <c r="H156" s="713"/>
      <c r="I156" s="711" t="s">
        <v>8038</v>
      </c>
      <c r="J156" s="711" t="s">
        <v>4525</v>
      </c>
      <c r="K156" s="711" t="b">
        <v>0</v>
      </c>
      <c r="L156" s="711" t="s">
        <v>4525</v>
      </c>
      <c r="M156" s="711" t="b">
        <v>0</v>
      </c>
      <c r="N156" s="711" t="b">
        <v>0</v>
      </c>
      <c r="O156" s="713"/>
      <c r="P156" s="713"/>
      <c r="Q156" s="773" t="s">
        <v>8092</v>
      </c>
      <c r="R156" s="772"/>
      <c r="S156" s="772"/>
      <c r="T156" s="772"/>
      <c r="U156" s="772"/>
      <c r="V156" s="772"/>
      <c r="W156" s="772"/>
      <c r="X156" s="772"/>
      <c r="Y156" s="772"/>
      <c r="Z156" s="772"/>
    </row>
    <row r="157">
      <c r="A157" s="711" t="s">
        <v>8056</v>
      </c>
      <c r="B157" s="711" t="s">
        <v>8032</v>
      </c>
      <c r="C157" s="711" t="s">
        <v>8398</v>
      </c>
      <c r="D157" s="767" t="s">
        <v>8419</v>
      </c>
      <c r="E157" s="767" t="s">
        <v>8420</v>
      </c>
      <c r="F157" s="767" t="s">
        <v>7696</v>
      </c>
      <c r="G157" s="767" t="s">
        <v>8421</v>
      </c>
      <c r="H157" s="768"/>
      <c r="I157" s="767" t="s">
        <v>8038</v>
      </c>
      <c r="J157" s="767" t="s">
        <v>4517</v>
      </c>
      <c r="K157" s="767" t="b">
        <v>0</v>
      </c>
      <c r="L157" s="767" t="s">
        <v>4517</v>
      </c>
      <c r="M157" s="767" t="b">
        <v>0</v>
      </c>
      <c r="N157" s="767" t="b">
        <v>0</v>
      </c>
      <c r="O157" s="768"/>
      <c r="P157" s="713"/>
      <c r="Q157" s="773" t="s">
        <v>8092</v>
      </c>
      <c r="R157" s="772"/>
      <c r="S157" s="772"/>
      <c r="T157" s="772"/>
      <c r="U157" s="772"/>
      <c r="V157" s="772"/>
      <c r="W157" s="772"/>
      <c r="X157" s="772"/>
      <c r="Y157" s="772"/>
      <c r="Z157" s="772"/>
    </row>
    <row r="158">
      <c r="A158" s="711" t="s">
        <v>8056</v>
      </c>
      <c r="B158" s="711" t="s">
        <v>8032</v>
      </c>
      <c r="C158" s="711" t="s">
        <v>8398</v>
      </c>
      <c r="D158" s="767" t="s">
        <v>8422</v>
      </c>
      <c r="E158" s="767" t="s">
        <v>8422</v>
      </c>
      <c r="F158" s="767" t="s">
        <v>7685</v>
      </c>
      <c r="G158" s="767" t="s">
        <v>8423</v>
      </c>
      <c r="H158" s="768"/>
      <c r="I158" s="767" t="s">
        <v>8038</v>
      </c>
      <c r="J158" s="767" t="s">
        <v>4517</v>
      </c>
      <c r="K158" s="767" t="b">
        <v>1</v>
      </c>
      <c r="L158" s="767" t="s">
        <v>4461</v>
      </c>
      <c r="M158" s="767" t="b">
        <v>0</v>
      </c>
      <c r="N158" s="767" t="b">
        <v>0</v>
      </c>
      <c r="O158" s="713"/>
      <c r="P158" s="713"/>
      <c r="Q158" s="773" t="s">
        <v>8092</v>
      </c>
      <c r="R158" s="772"/>
      <c r="S158" s="772"/>
      <c r="T158" s="772"/>
      <c r="U158" s="772"/>
      <c r="V158" s="772"/>
      <c r="W158" s="772"/>
      <c r="X158" s="772"/>
      <c r="Y158" s="772"/>
      <c r="Z158" s="772"/>
    </row>
    <row r="159">
      <c r="A159" s="711" t="s">
        <v>8056</v>
      </c>
      <c r="B159" s="711" t="s">
        <v>8032</v>
      </c>
      <c r="C159" s="711" t="s">
        <v>8398</v>
      </c>
      <c r="D159" s="711" t="s">
        <v>8424</v>
      </c>
      <c r="E159" s="711" t="s">
        <v>8425</v>
      </c>
      <c r="F159" s="711" t="s">
        <v>7827</v>
      </c>
      <c r="G159" s="711" t="s">
        <v>8426</v>
      </c>
      <c r="H159" s="713"/>
      <c r="I159" s="711" t="s">
        <v>8038</v>
      </c>
      <c r="J159" s="711" t="s">
        <v>7772</v>
      </c>
      <c r="K159" s="711" t="b">
        <v>0</v>
      </c>
      <c r="L159" s="711" t="s">
        <v>7772</v>
      </c>
      <c r="M159" s="711" t="b">
        <v>0</v>
      </c>
      <c r="N159" s="711" t="b">
        <v>0</v>
      </c>
      <c r="O159" s="713"/>
      <c r="P159" s="713"/>
      <c r="Q159" s="773" t="s">
        <v>8169</v>
      </c>
      <c r="R159" s="772"/>
      <c r="S159" s="772"/>
      <c r="T159" s="772"/>
      <c r="U159" s="772"/>
      <c r="V159" s="772"/>
      <c r="W159" s="772"/>
      <c r="X159" s="772"/>
      <c r="Y159" s="772"/>
      <c r="Z159" s="772"/>
    </row>
    <row r="160">
      <c r="A160" s="711" t="s">
        <v>8056</v>
      </c>
      <c r="B160" s="711" t="s">
        <v>8032</v>
      </c>
      <c r="C160" s="711" t="s">
        <v>8398</v>
      </c>
      <c r="D160" s="711" t="s">
        <v>8427</v>
      </c>
      <c r="E160" s="711" t="s">
        <v>8428</v>
      </c>
      <c r="F160" s="711" t="s">
        <v>8341</v>
      </c>
      <c r="G160" s="711" t="s">
        <v>8429</v>
      </c>
      <c r="H160" s="713"/>
      <c r="I160" s="711" t="s">
        <v>8038</v>
      </c>
      <c r="J160" s="711" t="s">
        <v>4626</v>
      </c>
      <c r="K160" s="711" t="b">
        <v>0</v>
      </c>
      <c r="L160" s="711" t="s">
        <v>4626</v>
      </c>
      <c r="M160" s="711" t="b">
        <v>0</v>
      </c>
      <c r="N160" s="711" t="b">
        <v>0</v>
      </c>
      <c r="O160" s="713"/>
      <c r="P160" s="713"/>
      <c r="Q160" s="773" t="s">
        <v>8058</v>
      </c>
      <c r="R160" s="772"/>
      <c r="S160" s="772"/>
      <c r="T160" s="772"/>
      <c r="U160" s="772"/>
      <c r="V160" s="772"/>
      <c r="W160" s="772"/>
      <c r="X160" s="772"/>
      <c r="Y160" s="772"/>
      <c r="Z160" s="772"/>
    </row>
    <row r="161">
      <c r="A161" s="28" t="s">
        <v>8056</v>
      </c>
      <c r="B161" s="28" t="s">
        <v>8032</v>
      </c>
      <c r="C161" s="28" t="s">
        <v>8430</v>
      </c>
      <c r="D161" s="28" t="s">
        <v>2840</v>
      </c>
      <c r="E161" s="28" t="s">
        <v>8431</v>
      </c>
      <c r="F161" s="28" t="s">
        <v>7674</v>
      </c>
      <c r="G161" s="28" t="s">
        <v>8432</v>
      </c>
      <c r="H161" s="28"/>
      <c r="I161" s="28" t="s">
        <v>8038</v>
      </c>
      <c r="J161" s="28" t="s">
        <v>4503</v>
      </c>
      <c r="K161" s="28" t="b">
        <v>0</v>
      </c>
      <c r="L161" s="28" t="s">
        <v>4503</v>
      </c>
      <c r="M161" s="28" t="b">
        <v>0</v>
      </c>
      <c r="N161" s="28" t="b">
        <v>0</v>
      </c>
      <c r="O161" s="28"/>
      <c r="P161" s="28"/>
      <c r="Q161" s="774" t="s">
        <v>8433</v>
      </c>
      <c r="R161" s="28"/>
      <c r="S161" s="28"/>
      <c r="T161" s="28"/>
      <c r="U161" s="28"/>
      <c r="V161" s="28"/>
      <c r="W161" s="28"/>
      <c r="X161" s="28"/>
      <c r="Y161" s="28"/>
      <c r="Z161" s="28"/>
    </row>
    <row r="162">
      <c r="A162" s="28" t="s">
        <v>8056</v>
      </c>
      <c r="B162" s="28" t="s">
        <v>8032</v>
      </c>
      <c r="C162" s="28" t="s">
        <v>8430</v>
      </c>
      <c r="D162" s="28" t="s">
        <v>8434</v>
      </c>
      <c r="E162" s="28" t="s">
        <v>8435</v>
      </c>
      <c r="F162" s="28" t="s">
        <v>7713</v>
      </c>
      <c r="G162" s="28" t="s">
        <v>8436</v>
      </c>
      <c r="H162" s="28"/>
      <c r="I162" s="28" t="s">
        <v>8038</v>
      </c>
      <c r="J162" s="28" t="s">
        <v>8437</v>
      </c>
      <c r="K162" s="28" t="b">
        <v>0</v>
      </c>
      <c r="L162" s="28" t="s">
        <v>7712</v>
      </c>
      <c r="M162" s="28" t="b">
        <v>0</v>
      </c>
      <c r="N162" s="28" t="b">
        <v>0</v>
      </c>
      <c r="O162" s="28"/>
      <c r="P162" s="28"/>
      <c r="Q162" s="28" t="s">
        <v>8058</v>
      </c>
      <c r="R162" s="28"/>
      <c r="S162" s="28"/>
      <c r="T162" s="28"/>
      <c r="U162" s="28"/>
      <c r="V162" s="28"/>
      <c r="W162" s="28"/>
      <c r="X162" s="28"/>
      <c r="Y162" s="28"/>
      <c r="Z162" s="28"/>
    </row>
    <row r="163">
      <c r="A163" s="28" t="s">
        <v>8056</v>
      </c>
      <c r="B163" s="28" t="s">
        <v>8032</v>
      </c>
      <c r="C163" s="28" t="s">
        <v>8430</v>
      </c>
      <c r="D163" s="760" t="s">
        <v>8438</v>
      </c>
      <c r="E163" s="760" t="s">
        <v>8439</v>
      </c>
      <c r="F163" s="760" t="s">
        <v>7674</v>
      </c>
      <c r="G163" s="760" t="s">
        <v>8440</v>
      </c>
      <c r="H163" s="760"/>
      <c r="I163" s="760" t="s">
        <v>8038</v>
      </c>
      <c r="J163" s="760" t="s">
        <v>4503</v>
      </c>
      <c r="K163" s="760" t="b">
        <v>0</v>
      </c>
      <c r="L163" s="760" t="s">
        <v>4503</v>
      </c>
      <c r="M163" s="760" t="b">
        <v>0</v>
      </c>
      <c r="N163" s="760" t="b">
        <v>0</v>
      </c>
      <c r="O163" s="760"/>
      <c r="P163" s="760"/>
      <c r="Q163" s="760" t="s">
        <v>8169</v>
      </c>
      <c r="R163" s="28"/>
      <c r="S163" s="28"/>
      <c r="T163" s="28"/>
      <c r="U163" s="28"/>
      <c r="V163" s="28"/>
      <c r="W163" s="28"/>
      <c r="X163" s="28"/>
      <c r="Y163" s="28"/>
      <c r="Z163" s="28"/>
    </row>
    <row r="164">
      <c r="A164" s="28" t="s">
        <v>8056</v>
      </c>
      <c r="B164" s="28" t="s">
        <v>8032</v>
      </c>
      <c r="C164" s="28" t="s">
        <v>8430</v>
      </c>
      <c r="D164" s="760" t="s">
        <v>6316</v>
      </c>
      <c r="E164" s="760" t="s">
        <v>8441</v>
      </c>
      <c r="F164" s="760" t="s">
        <v>7685</v>
      </c>
      <c r="G164" s="760" t="s">
        <v>8442</v>
      </c>
      <c r="H164" s="760"/>
      <c r="I164" s="760" t="s">
        <v>8038</v>
      </c>
      <c r="J164" s="760" t="s">
        <v>7700</v>
      </c>
      <c r="K164" s="760" t="b">
        <v>1</v>
      </c>
      <c r="L164" s="760" t="s">
        <v>4461</v>
      </c>
      <c r="M164" s="760" t="b">
        <v>0</v>
      </c>
      <c r="N164" s="760" t="b">
        <v>0</v>
      </c>
      <c r="O164" s="760"/>
      <c r="P164" s="760"/>
      <c r="Q164" s="760" t="s">
        <v>8346</v>
      </c>
      <c r="R164" s="28"/>
      <c r="S164" s="28"/>
      <c r="T164" s="28"/>
      <c r="U164" s="28"/>
      <c r="V164" s="28"/>
      <c r="W164" s="28"/>
      <c r="X164" s="28"/>
      <c r="Y164" s="28"/>
      <c r="Z164" s="28"/>
    </row>
    <row r="165">
      <c r="A165" s="28" t="s">
        <v>8056</v>
      </c>
      <c r="B165" s="28" t="s">
        <v>8032</v>
      </c>
      <c r="C165" s="28" t="s">
        <v>8430</v>
      </c>
      <c r="D165" s="28" t="s">
        <v>8443</v>
      </c>
      <c r="E165" s="28" t="s">
        <v>8443</v>
      </c>
      <c r="F165" s="28" t="s">
        <v>8186</v>
      </c>
      <c r="G165" s="28" t="s">
        <v>8444</v>
      </c>
      <c r="H165" s="28"/>
      <c r="I165" s="28" t="s">
        <v>8038</v>
      </c>
      <c r="J165" s="28" t="s">
        <v>8188</v>
      </c>
      <c r="K165" s="28" t="b">
        <v>0</v>
      </c>
      <c r="L165" s="28" t="s">
        <v>8188</v>
      </c>
      <c r="M165" s="28" t="b">
        <v>0</v>
      </c>
      <c r="N165" s="28" t="b">
        <v>0</v>
      </c>
      <c r="O165" s="28"/>
      <c r="P165" s="28"/>
      <c r="Q165" s="28" t="s">
        <v>8346</v>
      </c>
      <c r="R165" s="28"/>
      <c r="S165" s="28"/>
      <c r="T165" s="28"/>
      <c r="U165" s="28"/>
      <c r="V165" s="28"/>
      <c r="W165" s="28"/>
      <c r="X165" s="28"/>
      <c r="Y165" s="28"/>
      <c r="Z165" s="28"/>
    </row>
    <row r="166">
      <c r="A166" s="28" t="s">
        <v>8056</v>
      </c>
      <c r="B166" s="28" t="s">
        <v>8032</v>
      </c>
      <c r="C166" s="28" t="s">
        <v>8430</v>
      </c>
      <c r="D166" s="28" t="s">
        <v>8139</v>
      </c>
      <c r="E166" s="28" t="s">
        <v>6316</v>
      </c>
      <c r="F166" s="28" t="s">
        <v>8050</v>
      </c>
      <c r="G166" s="28" t="s">
        <v>8445</v>
      </c>
      <c r="H166" s="28"/>
      <c r="I166" s="28" t="s">
        <v>8446</v>
      </c>
      <c r="J166" s="28" t="s">
        <v>4458</v>
      </c>
      <c r="K166" s="28" t="b">
        <v>0</v>
      </c>
      <c r="L166" s="28" t="s">
        <v>4458</v>
      </c>
      <c r="M166" s="28" t="b">
        <v>0</v>
      </c>
      <c r="N166" s="28" t="b">
        <v>0</v>
      </c>
      <c r="O166" s="28"/>
      <c r="P166" s="28"/>
      <c r="Q166" s="28" t="s">
        <v>8346</v>
      </c>
      <c r="R166" s="28"/>
      <c r="S166" s="28"/>
      <c r="T166" s="28"/>
      <c r="U166" s="28"/>
      <c r="V166" s="28"/>
      <c r="W166" s="28"/>
      <c r="X166" s="28"/>
      <c r="Y166" s="28"/>
      <c r="Z166" s="28"/>
    </row>
    <row r="167">
      <c r="A167" s="28" t="s">
        <v>8447</v>
      </c>
      <c r="B167" s="28" t="s">
        <v>8032</v>
      </c>
      <c r="C167" s="28" t="s">
        <v>8448</v>
      </c>
      <c r="D167" s="760" t="s">
        <v>8449</v>
      </c>
      <c r="E167" s="760" t="s">
        <v>8450</v>
      </c>
      <c r="F167" s="760" t="s">
        <v>7802</v>
      </c>
      <c r="G167" s="760" t="s">
        <v>8451</v>
      </c>
      <c r="H167" s="760"/>
      <c r="I167" s="760" t="s">
        <v>8452</v>
      </c>
      <c r="J167" s="760" t="s">
        <v>4533</v>
      </c>
      <c r="K167" s="760" t="b">
        <v>0</v>
      </c>
      <c r="L167" s="760" t="s">
        <v>4533</v>
      </c>
      <c r="M167" s="760" t="b">
        <v>0</v>
      </c>
      <c r="N167" s="760" t="b">
        <v>0</v>
      </c>
      <c r="O167" s="760"/>
      <c r="P167" s="760"/>
      <c r="Q167" s="760" t="s">
        <v>8453</v>
      </c>
      <c r="R167" s="28"/>
      <c r="S167" s="28"/>
      <c r="T167" s="28"/>
      <c r="U167" s="28"/>
      <c r="V167" s="28"/>
      <c r="W167" s="28"/>
      <c r="X167" s="28"/>
      <c r="Y167" s="28"/>
      <c r="Z167" s="28"/>
    </row>
    <row r="168">
      <c r="A168" s="28" t="s">
        <v>8447</v>
      </c>
      <c r="B168" s="28" t="s">
        <v>8032</v>
      </c>
      <c r="C168" s="28" t="s">
        <v>8448</v>
      </c>
      <c r="D168" s="28" t="s">
        <v>8454</v>
      </c>
      <c r="E168" s="28" t="s">
        <v>8455</v>
      </c>
      <c r="F168" s="28" t="s">
        <v>7827</v>
      </c>
      <c r="G168" s="774" t="s">
        <v>8456</v>
      </c>
      <c r="H168" s="28"/>
      <c r="I168" s="28" t="s">
        <v>8457</v>
      </c>
      <c r="J168" s="28" t="s">
        <v>7772</v>
      </c>
      <c r="K168" s="28" t="b">
        <v>0</v>
      </c>
      <c r="L168" s="28" t="s">
        <v>7772</v>
      </c>
      <c r="M168" s="28" t="b">
        <v>0</v>
      </c>
      <c r="N168" s="28" t="b">
        <v>0</v>
      </c>
      <c r="O168" s="28"/>
      <c r="P168" s="28"/>
      <c r="Q168" s="28" t="s">
        <v>8169</v>
      </c>
      <c r="R168" s="28"/>
      <c r="S168" s="28"/>
      <c r="T168" s="28"/>
      <c r="U168" s="28"/>
      <c r="V168" s="28"/>
      <c r="W168" s="28"/>
      <c r="X168" s="28"/>
      <c r="Y168" s="28"/>
      <c r="Z168" s="28"/>
    </row>
    <row r="169">
      <c r="A169" s="28" t="s">
        <v>8447</v>
      </c>
      <c r="B169" s="28" t="s">
        <v>8032</v>
      </c>
      <c r="C169" s="28" t="s">
        <v>8448</v>
      </c>
      <c r="D169" s="28" t="s">
        <v>368</v>
      </c>
      <c r="E169" s="28" t="s">
        <v>8458</v>
      </c>
      <c r="F169" s="28" t="s">
        <v>7701</v>
      </c>
      <c r="G169" s="28" t="s">
        <v>8459</v>
      </c>
      <c r="H169" s="28"/>
      <c r="I169" s="28" t="s">
        <v>8038</v>
      </c>
      <c r="J169" s="28" t="s">
        <v>7700</v>
      </c>
      <c r="K169" s="28" t="b">
        <v>0</v>
      </c>
      <c r="L169" s="28" t="s">
        <v>7700</v>
      </c>
      <c r="M169" s="28" t="b">
        <v>0</v>
      </c>
      <c r="N169" s="28" t="b">
        <v>0</v>
      </c>
      <c r="O169" s="28"/>
      <c r="P169" s="28"/>
      <c r="Q169" s="28" t="s">
        <v>8169</v>
      </c>
      <c r="R169" s="28"/>
      <c r="S169" s="28"/>
      <c r="T169" s="28"/>
      <c r="U169" s="28"/>
      <c r="V169" s="28"/>
      <c r="W169" s="28"/>
      <c r="X169" s="28"/>
      <c r="Y169" s="28"/>
      <c r="Z169" s="28"/>
    </row>
    <row r="170">
      <c r="A170" s="28" t="s">
        <v>8447</v>
      </c>
      <c r="B170" s="28" t="s">
        <v>8032</v>
      </c>
      <c r="C170" s="28" t="s">
        <v>8448</v>
      </c>
      <c r="D170" s="28" t="s">
        <v>8460</v>
      </c>
      <c r="E170" s="28" t="s">
        <v>8461</v>
      </c>
      <c r="F170" s="28" t="s">
        <v>7731</v>
      </c>
      <c r="G170" s="28" t="s">
        <v>8462</v>
      </c>
      <c r="H170" s="28"/>
      <c r="I170" s="28" t="s">
        <v>8463</v>
      </c>
      <c r="J170" s="28" t="s">
        <v>7730</v>
      </c>
      <c r="K170" s="28" t="b">
        <v>0</v>
      </c>
      <c r="L170" s="28" t="s">
        <v>7730</v>
      </c>
      <c r="M170" s="28" t="b">
        <v>0</v>
      </c>
      <c r="N170" s="28" t="b">
        <v>0</v>
      </c>
      <c r="O170" s="28"/>
      <c r="P170" s="28"/>
      <c r="Q170" s="28" t="s">
        <v>8169</v>
      </c>
      <c r="R170" s="28"/>
      <c r="S170" s="28"/>
      <c r="T170" s="28"/>
      <c r="U170" s="28"/>
      <c r="V170" s="28"/>
      <c r="W170" s="28"/>
      <c r="X170" s="28"/>
      <c r="Y170" s="28"/>
      <c r="Z170" s="28"/>
    </row>
    <row r="171">
      <c r="A171" s="28" t="s">
        <v>8447</v>
      </c>
      <c r="B171" s="28" t="s">
        <v>8032</v>
      </c>
      <c r="C171" s="28" t="s">
        <v>8448</v>
      </c>
      <c r="D171" s="760" t="s">
        <v>8464</v>
      </c>
      <c r="E171" s="760" t="s">
        <v>8465</v>
      </c>
      <c r="F171" s="760" t="s">
        <v>7701</v>
      </c>
      <c r="G171" s="760" t="s">
        <v>8466</v>
      </c>
      <c r="H171" s="760"/>
      <c r="I171" s="760" t="s">
        <v>8467</v>
      </c>
      <c r="J171" s="760" t="s">
        <v>7700</v>
      </c>
      <c r="K171" s="760" t="b">
        <v>0</v>
      </c>
      <c r="L171" s="760" t="s">
        <v>7700</v>
      </c>
      <c r="M171" s="760" t="b">
        <v>0</v>
      </c>
      <c r="N171" s="760" t="b">
        <v>0</v>
      </c>
      <c r="O171" s="760"/>
      <c r="P171" s="760"/>
      <c r="Q171" s="760" t="s">
        <v>8169</v>
      </c>
      <c r="R171" s="28"/>
      <c r="S171" s="28"/>
      <c r="T171" s="28"/>
      <c r="U171" s="28"/>
      <c r="V171" s="28"/>
      <c r="W171" s="28"/>
      <c r="X171" s="28"/>
      <c r="Y171" s="28"/>
      <c r="Z171" s="28"/>
    </row>
    <row r="172">
      <c r="A172" s="28" t="s">
        <v>8056</v>
      </c>
      <c r="B172" s="28" t="s">
        <v>8032</v>
      </c>
      <c r="C172" s="28" t="s">
        <v>8468</v>
      </c>
      <c r="D172" s="28" t="s">
        <v>8469</v>
      </c>
      <c r="E172" s="28" t="s">
        <v>8470</v>
      </c>
      <c r="F172" s="28" t="s">
        <v>8471</v>
      </c>
      <c r="G172" s="28" t="s">
        <v>8472</v>
      </c>
      <c r="H172" s="28"/>
      <c r="I172" s="28" t="s">
        <v>8038</v>
      </c>
      <c r="J172" s="28" t="s">
        <v>4955</v>
      </c>
      <c r="K172" s="28" t="b">
        <v>0</v>
      </c>
      <c r="L172" s="28" t="s">
        <v>4955</v>
      </c>
      <c r="M172" s="28" t="b">
        <v>0</v>
      </c>
      <c r="N172" s="28" t="b">
        <v>0</v>
      </c>
      <c r="O172" s="28"/>
      <c r="P172" s="28"/>
      <c r="Q172" s="28" t="s">
        <v>8051</v>
      </c>
      <c r="R172" s="28"/>
      <c r="S172" s="28"/>
      <c r="T172" s="28"/>
      <c r="U172" s="28"/>
      <c r="V172" s="28"/>
      <c r="W172" s="28"/>
      <c r="X172" s="28"/>
      <c r="Y172" s="28"/>
      <c r="Z172" s="28"/>
    </row>
    <row r="173">
      <c r="A173" s="28" t="s">
        <v>8056</v>
      </c>
      <c r="B173" s="28" t="s">
        <v>8032</v>
      </c>
      <c r="C173" s="28" t="s">
        <v>8468</v>
      </c>
      <c r="D173" s="760" t="s">
        <v>8473</v>
      </c>
      <c r="E173" s="760" t="s">
        <v>8264</v>
      </c>
      <c r="F173" s="760" t="s">
        <v>7827</v>
      </c>
      <c r="G173" s="760" t="s">
        <v>8474</v>
      </c>
      <c r="H173" s="760"/>
      <c r="I173" s="760" t="s">
        <v>8038</v>
      </c>
      <c r="J173" s="760" t="s">
        <v>7772</v>
      </c>
      <c r="K173" s="760" t="b">
        <v>0</v>
      </c>
      <c r="L173" s="760" t="s">
        <v>7772</v>
      </c>
      <c r="M173" s="760" t="b">
        <v>0</v>
      </c>
      <c r="N173" s="760" t="b">
        <v>0</v>
      </c>
      <c r="O173" s="760"/>
      <c r="P173" s="760"/>
      <c r="Q173" s="760" t="s">
        <v>8045</v>
      </c>
      <c r="R173" s="28"/>
      <c r="S173" s="28"/>
      <c r="T173" s="28"/>
      <c r="U173" s="28"/>
      <c r="V173" s="28"/>
      <c r="W173" s="28"/>
      <c r="X173" s="28"/>
      <c r="Y173" s="28"/>
      <c r="Z173" s="28"/>
    </row>
    <row r="174">
      <c r="A174" s="28" t="s">
        <v>8056</v>
      </c>
      <c r="B174" s="28" t="s">
        <v>8032</v>
      </c>
      <c r="C174" s="28" t="s">
        <v>8468</v>
      </c>
      <c r="D174" s="28" t="s">
        <v>8475</v>
      </c>
      <c r="E174" s="28" t="s">
        <v>8476</v>
      </c>
      <c r="F174" s="28"/>
      <c r="G174" s="28"/>
      <c r="H174" s="28"/>
      <c r="I174" s="28" t="s">
        <v>8477</v>
      </c>
      <c r="J174" s="28" t="s">
        <v>6019</v>
      </c>
      <c r="K174" s="28" t="b">
        <v>0</v>
      </c>
      <c r="L174" s="28" t="s">
        <v>6019</v>
      </c>
      <c r="M174" s="28" t="b">
        <v>0</v>
      </c>
      <c r="N174" s="28" t="b">
        <v>0</v>
      </c>
      <c r="O174" s="28"/>
      <c r="P174" s="28"/>
      <c r="Q174" s="28" t="s">
        <v>8169</v>
      </c>
      <c r="R174" s="28"/>
      <c r="S174" s="28"/>
      <c r="T174" s="28"/>
      <c r="U174" s="28"/>
      <c r="V174" s="28"/>
      <c r="W174" s="28"/>
      <c r="X174" s="28"/>
      <c r="Y174" s="28"/>
      <c r="Z174" s="28"/>
    </row>
    <row r="175">
      <c r="A175" s="28" t="s">
        <v>8056</v>
      </c>
      <c r="B175" s="28" t="s">
        <v>8032</v>
      </c>
      <c r="C175" s="28" t="s">
        <v>8468</v>
      </c>
      <c r="D175" s="760" t="s">
        <v>8478</v>
      </c>
      <c r="E175" s="760" t="s">
        <v>8479</v>
      </c>
      <c r="F175" s="760" t="s">
        <v>7701</v>
      </c>
      <c r="G175" s="760" t="s">
        <v>8480</v>
      </c>
      <c r="H175" s="760"/>
      <c r="I175" s="760" t="s">
        <v>8038</v>
      </c>
      <c r="J175" s="760" t="s">
        <v>7700</v>
      </c>
      <c r="K175" s="760" t="b">
        <v>0</v>
      </c>
      <c r="L175" s="760" t="s">
        <v>7700</v>
      </c>
      <c r="M175" s="760" t="b">
        <v>0</v>
      </c>
      <c r="N175" s="760" t="b">
        <v>0</v>
      </c>
      <c r="O175" s="760"/>
      <c r="P175" s="760"/>
      <c r="Q175" s="760" t="s">
        <v>8169</v>
      </c>
      <c r="R175" s="28"/>
      <c r="S175" s="28"/>
      <c r="T175" s="28"/>
      <c r="U175" s="28"/>
      <c r="V175" s="28"/>
      <c r="W175" s="28"/>
      <c r="X175" s="28"/>
      <c r="Y175" s="28"/>
      <c r="Z175" s="28"/>
    </row>
    <row r="176">
      <c r="A176" s="28" t="s">
        <v>8056</v>
      </c>
      <c r="B176" s="28" t="s">
        <v>8032</v>
      </c>
      <c r="C176" s="28" t="s">
        <v>8468</v>
      </c>
      <c r="D176" s="760" t="s">
        <v>8113</v>
      </c>
      <c r="E176" s="760" t="s">
        <v>8481</v>
      </c>
      <c r="F176" s="760" t="s">
        <v>7685</v>
      </c>
      <c r="G176" s="760" t="s">
        <v>8482</v>
      </c>
      <c r="H176" s="760"/>
      <c r="I176" s="760" t="s">
        <v>8483</v>
      </c>
      <c r="J176" s="760" t="s">
        <v>4503</v>
      </c>
      <c r="K176" s="760" t="b">
        <v>1</v>
      </c>
      <c r="L176" s="760" t="s">
        <v>4461</v>
      </c>
      <c r="M176" s="760" t="b">
        <v>0</v>
      </c>
      <c r="N176" s="760" t="b">
        <v>0</v>
      </c>
      <c r="O176" s="760"/>
      <c r="P176" s="760"/>
      <c r="Q176" s="760" t="s">
        <v>8169</v>
      </c>
      <c r="R176" s="28"/>
      <c r="S176" s="28"/>
      <c r="T176" s="28"/>
      <c r="U176" s="28"/>
      <c r="V176" s="28"/>
      <c r="W176" s="28"/>
      <c r="X176" s="28"/>
      <c r="Y176" s="28"/>
      <c r="Z176" s="28"/>
    </row>
    <row r="177">
      <c r="A177" s="28" t="s">
        <v>8056</v>
      </c>
      <c r="B177" s="28" t="s">
        <v>8032</v>
      </c>
      <c r="C177" s="28" t="s">
        <v>8468</v>
      </c>
      <c r="D177" s="28" t="s">
        <v>8394</v>
      </c>
      <c r="E177" s="28" t="s">
        <v>8484</v>
      </c>
      <c r="F177" s="28" t="s">
        <v>7685</v>
      </c>
      <c r="G177" s="28" t="s">
        <v>8485</v>
      </c>
      <c r="H177" s="28"/>
      <c r="I177" s="28" t="s">
        <v>8038</v>
      </c>
      <c r="J177" s="28" t="s">
        <v>4503</v>
      </c>
      <c r="K177" s="28" t="b">
        <v>1</v>
      </c>
      <c r="L177" s="28" t="s">
        <v>4461</v>
      </c>
      <c r="M177" s="28" t="b">
        <v>0</v>
      </c>
      <c r="N177" s="28" t="b">
        <v>0</v>
      </c>
      <c r="O177" s="28"/>
      <c r="P177" s="28"/>
      <c r="Q177" s="28" t="s">
        <v>8169</v>
      </c>
      <c r="R177" s="28"/>
      <c r="S177" s="28"/>
      <c r="T177" s="28"/>
      <c r="U177" s="28"/>
      <c r="V177" s="28"/>
      <c r="W177" s="28"/>
      <c r="X177" s="28"/>
      <c r="Y177" s="28"/>
      <c r="Z177" s="28"/>
    </row>
    <row r="178">
      <c r="A178" s="28" t="s">
        <v>8056</v>
      </c>
      <c r="B178" s="28" t="s">
        <v>8032</v>
      </c>
      <c r="C178" s="28" t="s">
        <v>8468</v>
      </c>
      <c r="D178" s="760" t="s">
        <v>8486</v>
      </c>
      <c r="E178" s="760" t="s">
        <v>8486</v>
      </c>
      <c r="F178" s="760" t="s">
        <v>7827</v>
      </c>
      <c r="G178" s="760" t="s">
        <v>8487</v>
      </c>
      <c r="H178" s="760"/>
      <c r="I178" s="760" t="s">
        <v>8038</v>
      </c>
      <c r="J178" s="760" t="s">
        <v>7772</v>
      </c>
      <c r="K178" s="760" t="b">
        <v>0</v>
      </c>
      <c r="L178" s="760" t="s">
        <v>7772</v>
      </c>
      <c r="M178" s="760" t="b">
        <v>0</v>
      </c>
      <c r="N178" s="760" t="b">
        <v>0</v>
      </c>
      <c r="O178" s="760"/>
      <c r="P178" s="760"/>
      <c r="Q178" s="760" t="s">
        <v>8169</v>
      </c>
      <c r="R178" s="28"/>
      <c r="S178" s="28"/>
      <c r="T178" s="28"/>
      <c r="U178" s="28"/>
      <c r="V178" s="28"/>
      <c r="W178" s="28"/>
      <c r="X178" s="28"/>
      <c r="Y178" s="28"/>
      <c r="Z178" s="28"/>
    </row>
    <row r="179">
      <c r="A179" s="28" t="s">
        <v>8056</v>
      </c>
      <c r="B179" s="28" t="s">
        <v>8032</v>
      </c>
      <c r="C179" s="28" t="s">
        <v>8468</v>
      </c>
      <c r="D179" s="760" t="s">
        <v>6316</v>
      </c>
      <c r="E179" s="760" t="s">
        <v>8488</v>
      </c>
      <c r="F179" s="760" t="s">
        <v>7727</v>
      </c>
      <c r="G179" s="760" t="s">
        <v>8489</v>
      </c>
      <c r="H179" s="760"/>
      <c r="I179" s="760" t="s">
        <v>8038</v>
      </c>
      <c r="J179" s="760" t="s">
        <v>5069</v>
      </c>
      <c r="K179" s="760" t="b">
        <v>0</v>
      </c>
      <c r="L179" s="760" t="s">
        <v>5069</v>
      </c>
      <c r="M179" s="760" t="b">
        <v>0</v>
      </c>
      <c r="N179" s="760" t="b">
        <v>0</v>
      </c>
      <c r="O179" s="760"/>
      <c r="P179" s="760"/>
      <c r="Q179" s="760" t="s">
        <v>8169</v>
      </c>
      <c r="R179" s="28"/>
      <c r="S179" s="28"/>
      <c r="T179" s="28"/>
      <c r="U179" s="28"/>
      <c r="V179" s="28"/>
      <c r="W179" s="28"/>
      <c r="X179" s="28"/>
      <c r="Y179" s="28"/>
      <c r="Z179" s="28"/>
    </row>
    <row r="180">
      <c r="A180" s="28" t="s">
        <v>8056</v>
      </c>
      <c r="B180" s="28" t="s">
        <v>8032</v>
      </c>
      <c r="C180" s="28" t="s">
        <v>8468</v>
      </c>
      <c r="D180" s="760" t="s">
        <v>8061</v>
      </c>
      <c r="E180" s="760" t="s">
        <v>8061</v>
      </c>
      <c r="F180" s="760" t="s">
        <v>7754</v>
      </c>
      <c r="G180" s="760" t="s">
        <v>8490</v>
      </c>
      <c r="H180" s="760"/>
      <c r="I180" s="760" t="s">
        <v>8038</v>
      </c>
      <c r="J180" s="760" t="s">
        <v>7772</v>
      </c>
      <c r="K180" s="760" t="b">
        <v>0</v>
      </c>
      <c r="L180" s="760" t="s">
        <v>4525</v>
      </c>
      <c r="M180" s="760" t="b">
        <v>0</v>
      </c>
      <c r="N180" s="760" t="b">
        <v>0</v>
      </c>
      <c r="O180" s="760"/>
      <c r="P180" s="760"/>
      <c r="Q180" s="760" t="s">
        <v>8169</v>
      </c>
      <c r="R180" s="28"/>
      <c r="S180" s="28"/>
      <c r="T180" s="28"/>
      <c r="U180" s="28"/>
      <c r="V180" s="28"/>
      <c r="W180" s="28"/>
      <c r="X180" s="28"/>
      <c r="Y180" s="28"/>
      <c r="Z180" s="28"/>
    </row>
    <row r="181">
      <c r="A181" s="28" t="s">
        <v>8056</v>
      </c>
      <c r="B181" s="28" t="s">
        <v>8032</v>
      </c>
      <c r="C181" s="28" t="s">
        <v>8468</v>
      </c>
      <c r="D181" s="28" t="s">
        <v>8070</v>
      </c>
      <c r="E181" s="28" t="s">
        <v>8070</v>
      </c>
      <c r="F181" s="28" t="s">
        <v>7701</v>
      </c>
      <c r="G181" s="28" t="s">
        <v>8491</v>
      </c>
      <c r="H181" s="28"/>
      <c r="I181" s="28" t="s">
        <v>8038</v>
      </c>
      <c r="J181" s="28" t="s">
        <v>7700</v>
      </c>
      <c r="K181" s="28" t="b">
        <v>0</v>
      </c>
      <c r="L181" s="28" t="s">
        <v>7700</v>
      </c>
      <c r="M181" s="28" t="b">
        <v>0</v>
      </c>
      <c r="N181" s="28" t="b">
        <v>0</v>
      </c>
      <c r="O181" s="28"/>
      <c r="P181" s="28"/>
      <c r="Q181" s="774" t="s">
        <v>8492</v>
      </c>
      <c r="R181" s="28"/>
      <c r="S181" s="28"/>
      <c r="T181" s="28"/>
      <c r="U181" s="28"/>
      <c r="V181" s="28"/>
      <c r="W181" s="28"/>
      <c r="X181" s="28"/>
      <c r="Y181" s="28"/>
      <c r="Z181" s="28"/>
    </row>
    <row r="182">
      <c r="A182" s="28" t="s">
        <v>8056</v>
      </c>
      <c r="B182" s="28" t="s">
        <v>8032</v>
      </c>
      <c r="C182" s="28" t="s">
        <v>8468</v>
      </c>
      <c r="D182" s="760" t="s">
        <v>8493</v>
      </c>
      <c r="E182" s="760" t="s">
        <v>8493</v>
      </c>
      <c r="F182" s="760" t="s">
        <v>7685</v>
      </c>
      <c r="G182" s="760" t="s">
        <v>8494</v>
      </c>
      <c r="H182" s="760"/>
      <c r="I182" s="760" t="s">
        <v>8038</v>
      </c>
      <c r="J182" s="760" t="s">
        <v>4461</v>
      </c>
      <c r="K182" s="760" t="b">
        <v>1</v>
      </c>
      <c r="L182" s="760" t="s">
        <v>4461</v>
      </c>
      <c r="M182" s="760" t="b">
        <v>0</v>
      </c>
      <c r="N182" s="760" t="b">
        <v>0</v>
      </c>
      <c r="O182" s="760"/>
      <c r="P182" s="760"/>
      <c r="Q182" s="760" t="s">
        <v>8249</v>
      </c>
      <c r="R182" s="28"/>
      <c r="S182" s="28"/>
      <c r="T182" s="28"/>
      <c r="U182" s="28"/>
      <c r="V182" s="28"/>
      <c r="W182" s="28"/>
      <c r="X182" s="28"/>
      <c r="Y182" s="28"/>
      <c r="Z182" s="28"/>
    </row>
    <row r="183">
      <c r="A183" s="28" t="s">
        <v>8056</v>
      </c>
      <c r="B183" s="28" t="s">
        <v>8032</v>
      </c>
      <c r="C183" s="28" t="s">
        <v>8468</v>
      </c>
      <c r="D183" s="28" t="s">
        <v>8495</v>
      </c>
      <c r="E183" s="28" t="s">
        <v>8495</v>
      </c>
      <c r="F183" s="28" t="s">
        <v>7797</v>
      </c>
      <c r="G183" s="28" t="s">
        <v>8496</v>
      </c>
      <c r="H183" s="28"/>
      <c r="I183" s="28" t="s">
        <v>8038</v>
      </c>
      <c r="J183" s="28" t="s">
        <v>4542</v>
      </c>
      <c r="K183" s="28" t="b">
        <v>0</v>
      </c>
      <c r="L183" s="28" t="s">
        <v>4542</v>
      </c>
      <c r="M183" s="28" t="b">
        <v>0</v>
      </c>
      <c r="N183" s="28" t="b">
        <v>0</v>
      </c>
      <c r="O183" s="28"/>
      <c r="P183" s="28"/>
      <c r="Q183" s="28" t="s">
        <v>8051</v>
      </c>
      <c r="R183" s="774" t="s">
        <v>8497</v>
      </c>
      <c r="S183" s="28"/>
      <c r="T183" s="28"/>
      <c r="U183" s="28"/>
      <c r="V183" s="28"/>
      <c r="W183" s="28"/>
      <c r="X183" s="28"/>
      <c r="Y183" s="28"/>
      <c r="Z183" s="28"/>
    </row>
    <row r="184">
      <c r="A184" s="711" t="s">
        <v>8056</v>
      </c>
      <c r="B184" s="711" t="s">
        <v>8032</v>
      </c>
      <c r="C184" s="775">
        <v>43720.0</v>
      </c>
      <c r="D184" s="711" t="s">
        <v>8498</v>
      </c>
      <c r="E184" s="711" t="s">
        <v>6316</v>
      </c>
      <c r="F184" s="711" t="s">
        <v>7713</v>
      </c>
      <c r="G184" s="711" t="s">
        <v>8499</v>
      </c>
      <c r="H184" s="713"/>
      <c r="I184" s="711" t="s">
        <v>8500</v>
      </c>
      <c r="J184" s="711" t="s">
        <v>7712</v>
      </c>
      <c r="K184" s="711" t="b">
        <v>0</v>
      </c>
      <c r="L184" s="711" t="s">
        <v>7712</v>
      </c>
      <c r="M184" s="711" t="b">
        <v>0</v>
      </c>
      <c r="N184" s="711" t="b">
        <v>0</v>
      </c>
      <c r="O184" s="713"/>
      <c r="P184" s="713"/>
      <c r="Q184" s="711" t="s">
        <v>8058</v>
      </c>
      <c r="R184" s="713"/>
      <c r="S184" s="772"/>
      <c r="T184" s="772"/>
      <c r="U184" s="772"/>
      <c r="V184" s="772"/>
      <c r="W184" s="772"/>
      <c r="X184" s="772"/>
      <c r="Y184" s="772"/>
      <c r="Z184" s="772"/>
    </row>
    <row r="185">
      <c r="A185" s="711" t="s">
        <v>8056</v>
      </c>
      <c r="B185" s="711" t="s">
        <v>8032</v>
      </c>
      <c r="C185" s="775">
        <v>43720.0</v>
      </c>
      <c r="D185" s="767" t="s">
        <v>8291</v>
      </c>
      <c r="E185" s="767" t="s">
        <v>8294</v>
      </c>
      <c r="F185" s="767" t="s">
        <v>8289</v>
      </c>
      <c r="G185" s="767" t="s">
        <v>8501</v>
      </c>
      <c r="H185" s="768"/>
      <c r="I185" s="767" t="s">
        <v>8038</v>
      </c>
      <c r="J185" s="767" t="s">
        <v>4999</v>
      </c>
      <c r="K185" s="767" t="b">
        <v>0</v>
      </c>
      <c r="L185" s="767" t="s">
        <v>4999</v>
      </c>
      <c r="M185" s="767" t="b">
        <v>0</v>
      </c>
      <c r="N185" s="767" t="b">
        <v>0</v>
      </c>
      <c r="O185" s="713"/>
      <c r="P185" s="713"/>
      <c r="Q185" s="711" t="s">
        <v>8169</v>
      </c>
      <c r="R185" s="713"/>
      <c r="S185" s="772"/>
      <c r="T185" s="772"/>
      <c r="U185" s="772"/>
      <c r="V185" s="772"/>
      <c r="W185" s="772"/>
      <c r="X185" s="772"/>
      <c r="Y185" s="772"/>
      <c r="Z185" s="772"/>
    </row>
    <row r="186">
      <c r="A186" s="28" t="s">
        <v>8056</v>
      </c>
      <c r="B186" s="28" t="s">
        <v>8032</v>
      </c>
      <c r="C186" s="28" t="s">
        <v>8502</v>
      </c>
      <c r="D186" s="760" t="s">
        <v>8503</v>
      </c>
      <c r="E186" s="760" t="s">
        <v>8504</v>
      </c>
      <c r="F186" s="760" t="s">
        <v>8505</v>
      </c>
      <c r="G186" s="760" t="s">
        <v>8506</v>
      </c>
      <c r="H186" s="760"/>
      <c r="I186" s="760" t="s">
        <v>8038</v>
      </c>
      <c r="J186" s="760" t="s">
        <v>8507</v>
      </c>
      <c r="K186" s="760" t="b">
        <v>0</v>
      </c>
      <c r="L186" s="760" t="s">
        <v>8507</v>
      </c>
      <c r="M186" s="760" t="b">
        <v>0</v>
      </c>
      <c r="N186" s="760" t="b">
        <v>0</v>
      </c>
      <c r="O186" s="28"/>
      <c r="P186" s="28"/>
      <c r="Q186" s="28" t="s">
        <v>8508</v>
      </c>
      <c r="R186" s="28"/>
      <c r="S186" s="28"/>
      <c r="T186" s="28"/>
      <c r="U186" s="28"/>
      <c r="V186" s="28"/>
      <c r="W186" s="28"/>
      <c r="X186" s="28"/>
      <c r="Y186" s="28"/>
      <c r="Z186" s="28"/>
    </row>
    <row r="187">
      <c r="A187" s="28" t="s">
        <v>8056</v>
      </c>
      <c r="B187" s="28" t="s">
        <v>8032</v>
      </c>
      <c r="C187" s="28" t="s">
        <v>8502</v>
      </c>
      <c r="D187" s="760" t="s">
        <v>8509</v>
      </c>
      <c r="E187" s="760" t="s">
        <v>6810</v>
      </c>
      <c r="F187" s="760" t="s">
        <v>8345</v>
      </c>
      <c r="G187" s="760" t="s">
        <v>8510</v>
      </c>
      <c r="H187" s="760"/>
      <c r="I187" s="760" t="s">
        <v>8038</v>
      </c>
      <c r="J187" s="760" t="s">
        <v>5056</v>
      </c>
      <c r="K187" s="760" t="b">
        <v>0</v>
      </c>
      <c r="L187" s="760" t="s">
        <v>5056</v>
      </c>
      <c r="M187" s="760" t="b">
        <v>0</v>
      </c>
      <c r="N187" s="760" t="b">
        <v>0</v>
      </c>
      <c r="O187" s="760"/>
      <c r="P187" s="760"/>
      <c r="Q187" s="766" t="s">
        <v>8511</v>
      </c>
      <c r="R187" s="28"/>
      <c r="S187" s="28"/>
      <c r="T187" s="28"/>
      <c r="U187" s="28"/>
      <c r="V187" s="28"/>
      <c r="W187" s="28"/>
      <c r="X187" s="28"/>
      <c r="Y187" s="28"/>
      <c r="Z187" s="28"/>
    </row>
    <row r="188">
      <c r="A188" s="28" t="s">
        <v>8056</v>
      </c>
      <c r="B188" s="28" t="s">
        <v>8032</v>
      </c>
      <c r="C188" s="28" t="s">
        <v>8502</v>
      </c>
      <c r="D188" s="28" t="s">
        <v>8512</v>
      </c>
      <c r="E188" s="28" t="s">
        <v>8513</v>
      </c>
      <c r="F188" s="28" t="s">
        <v>7685</v>
      </c>
      <c r="G188" s="28" t="s">
        <v>8514</v>
      </c>
      <c r="H188" s="28"/>
      <c r="I188" s="28" t="s">
        <v>8038</v>
      </c>
      <c r="J188" s="28" t="s">
        <v>8515</v>
      </c>
      <c r="K188" s="28" t="b">
        <v>1</v>
      </c>
      <c r="L188" s="28" t="s">
        <v>4461</v>
      </c>
      <c r="M188" s="28" t="b">
        <v>0</v>
      </c>
      <c r="N188" s="28" t="b">
        <v>0</v>
      </c>
      <c r="O188" s="28"/>
      <c r="P188" s="28"/>
      <c r="Q188" s="28" t="s">
        <v>8092</v>
      </c>
      <c r="R188" s="28"/>
      <c r="S188" s="28"/>
      <c r="T188" s="28"/>
      <c r="U188" s="28"/>
      <c r="V188" s="28"/>
      <c r="W188" s="28"/>
      <c r="X188" s="28"/>
      <c r="Y188" s="28"/>
      <c r="Z188" s="28"/>
    </row>
    <row r="189">
      <c r="A189" s="28" t="s">
        <v>8056</v>
      </c>
      <c r="B189" s="28" t="s">
        <v>8032</v>
      </c>
      <c r="C189" s="28" t="s">
        <v>8502</v>
      </c>
      <c r="D189" s="28" t="s">
        <v>8516</v>
      </c>
      <c r="E189" s="28" t="s">
        <v>8517</v>
      </c>
      <c r="F189" s="28" t="s">
        <v>7701</v>
      </c>
      <c r="G189" s="28" t="s">
        <v>8518</v>
      </c>
      <c r="H189" s="28"/>
      <c r="I189" s="28" t="s">
        <v>8038</v>
      </c>
      <c r="J189" s="28" t="s">
        <v>7700</v>
      </c>
      <c r="K189" s="28" t="b">
        <v>0</v>
      </c>
      <c r="L189" s="28" t="s">
        <v>7700</v>
      </c>
      <c r="M189" s="28" t="b">
        <v>0</v>
      </c>
      <c r="N189" s="28" t="b">
        <v>0</v>
      </c>
      <c r="O189" s="28"/>
      <c r="P189" s="28"/>
      <c r="Q189" s="28" t="s">
        <v>8092</v>
      </c>
      <c r="R189" s="28"/>
      <c r="S189" s="28"/>
      <c r="T189" s="28"/>
      <c r="U189" s="28"/>
      <c r="V189" s="28"/>
      <c r="W189" s="28"/>
      <c r="X189" s="28"/>
      <c r="Y189" s="28"/>
      <c r="Z189" s="28"/>
    </row>
    <row r="190">
      <c r="A190" s="28" t="s">
        <v>8056</v>
      </c>
      <c r="B190" s="28" t="s">
        <v>8032</v>
      </c>
      <c r="C190" s="28" t="s">
        <v>8502</v>
      </c>
      <c r="D190" s="28" t="s">
        <v>8519</v>
      </c>
      <c r="E190" s="28" t="s">
        <v>8520</v>
      </c>
      <c r="F190" s="28" t="s">
        <v>7713</v>
      </c>
      <c r="G190" s="28" t="s">
        <v>8521</v>
      </c>
      <c r="H190" s="28"/>
      <c r="I190" s="28" t="s">
        <v>8038</v>
      </c>
      <c r="J190" s="28" t="s">
        <v>7712</v>
      </c>
      <c r="K190" s="28" t="b">
        <v>0</v>
      </c>
      <c r="L190" s="28" t="s">
        <v>7712</v>
      </c>
      <c r="M190" s="28" t="b">
        <v>0</v>
      </c>
      <c r="N190" s="28" t="b">
        <v>0</v>
      </c>
      <c r="O190" s="28"/>
      <c r="P190" s="28"/>
      <c r="Q190" s="28" t="s">
        <v>8092</v>
      </c>
      <c r="R190" s="28"/>
      <c r="S190" s="28"/>
      <c r="T190" s="28"/>
      <c r="U190" s="28"/>
      <c r="V190" s="28"/>
      <c r="W190" s="28"/>
      <c r="X190" s="28"/>
      <c r="Y190" s="28"/>
      <c r="Z190" s="28"/>
    </row>
    <row r="191">
      <c r="A191" s="28" t="s">
        <v>8056</v>
      </c>
      <c r="B191" s="28" t="s">
        <v>8032</v>
      </c>
      <c r="C191" s="28" t="s">
        <v>8502</v>
      </c>
      <c r="D191" s="28" t="s">
        <v>8114</v>
      </c>
      <c r="E191" s="28" t="s">
        <v>8522</v>
      </c>
      <c r="F191" s="28" t="s">
        <v>8050</v>
      </c>
      <c r="G191" s="28" t="s">
        <v>8523</v>
      </c>
      <c r="H191" s="28"/>
      <c r="I191" s="28" t="s">
        <v>8038</v>
      </c>
      <c r="J191" s="28" t="s">
        <v>4458</v>
      </c>
      <c r="K191" s="28" t="b">
        <v>0</v>
      </c>
      <c r="L191" s="28" t="s">
        <v>4458</v>
      </c>
      <c r="M191" s="28" t="b">
        <v>0</v>
      </c>
      <c r="N191" s="28" t="b">
        <v>0</v>
      </c>
      <c r="O191" s="28"/>
      <c r="P191" s="28"/>
      <c r="Q191" s="28" t="s">
        <v>8092</v>
      </c>
      <c r="R191" s="28"/>
      <c r="S191" s="28"/>
      <c r="T191" s="28"/>
      <c r="U191" s="28"/>
      <c r="V191" s="28"/>
      <c r="W191" s="28"/>
      <c r="X191" s="28"/>
      <c r="Y191" s="28"/>
      <c r="Z191" s="28"/>
    </row>
    <row r="192">
      <c r="A192" s="28" t="s">
        <v>8056</v>
      </c>
      <c r="B192" s="28" t="s">
        <v>8032</v>
      </c>
      <c r="C192" s="28" t="s">
        <v>8502</v>
      </c>
      <c r="D192" s="28" t="s">
        <v>8524</v>
      </c>
      <c r="E192" s="28" t="s">
        <v>8525</v>
      </c>
      <c r="F192" s="28" t="s">
        <v>7701</v>
      </c>
      <c r="G192" s="28" t="s">
        <v>8526</v>
      </c>
      <c r="H192" s="28"/>
      <c r="I192" s="28" t="s">
        <v>8038</v>
      </c>
      <c r="J192" s="28" t="s">
        <v>7700</v>
      </c>
      <c r="K192" s="28" t="b">
        <v>0</v>
      </c>
      <c r="L192" s="28" t="s">
        <v>7700</v>
      </c>
      <c r="M192" s="28" t="b">
        <v>0</v>
      </c>
      <c r="N192" s="28" t="b">
        <v>0</v>
      </c>
      <c r="O192" s="28"/>
      <c r="P192" s="28"/>
      <c r="Q192" s="28" t="s">
        <v>8058</v>
      </c>
      <c r="R192" s="28"/>
      <c r="S192" s="28"/>
      <c r="T192" s="28"/>
      <c r="U192" s="28"/>
      <c r="V192" s="28"/>
      <c r="W192" s="28"/>
      <c r="X192" s="28"/>
      <c r="Y192" s="28"/>
      <c r="Z192" s="28"/>
    </row>
    <row r="193">
      <c r="A193" s="28" t="s">
        <v>8527</v>
      </c>
      <c r="B193" s="28" t="s">
        <v>8032</v>
      </c>
      <c r="C193" s="28" t="s">
        <v>8528</v>
      </c>
      <c r="D193" s="28" t="s">
        <v>8529</v>
      </c>
      <c r="E193" s="28" t="s">
        <v>8529</v>
      </c>
      <c r="F193" s="28" t="s">
        <v>7701</v>
      </c>
      <c r="G193" s="28" t="s">
        <v>8530</v>
      </c>
      <c r="H193" s="28"/>
      <c r="I193" s="28" t="s">
        <v>8038</v>
      </c>
      <c r="J193" s="28" t="s">
        <v>7700</v>
      </c>
      <c r="K193" s="28" t="b">
        <v>0</v>
      </c>
      <c r="L193" s="28" t="s">
        <v>7700</v>
      </c>
      <c r="M193" s="28" t="b">
        <v>0</v>
      </c>
      <c r="N193" s="28" t="b">
        <v>0</v>
      </c>
      <c r="O193" s="28"/>
      <c r="P193" s="28"/>
      <c r="Q193" s="28" t="s">
        <v>8169</v>
      </c>
      <c r="R193" s="28"/>
      <c r="S193" s="28"/>
      <c r="T193" s="28"/>
      <c r="U193" s="28"/>
      <c r="V193" s="28"/>
      <c r="W193" s="28"/>
      <c r="X193" s="28"/>
      <c r="Y193" s="28"/>
      <c r="Z193" s="28"/>
    </row>
    <row r="194">
      <c r="A194" s="28" t="s">
        <v>8527</v>
      </c>
      <c r="B194" s="28" t="s">
        <v>8032</v>
      </c>
      <c r="C194" s="28" t="s">
        <v>8528</v>
      </c>
      <c r="D194" s="28" t="s">
        <v>8531</v>
      </c>
      <c r="E194" s="28" t="s">
        <v>8531</v>
      </c>
      <c r="F194" s="28" t="s">
        <v>7731</v>
      </c>
      <c r="G194" s="28" t="s">
        <v>8532</v>
      </c>
      <c r="H194" s="28"/>
      <c r="I194" s="28" t="s">
        <v>8038</v>
      </c>
      <c r="J194" s="28" t="s">
        <v>7730</v>
      </c>
      <c r="K194" s="28" t="b">
        <v>0</v>
      </c>
      <c r="L194" s="28" t="s">
        <v>7730</v>
      </c>
      <c r="M194" s="28" t="b">
        <v>0</v>
      </c>
      <c r="N194" s="28" t="b">
        <v>0</v>
      </c>
      <c r="O194" s="28"/>
      <c r="P194" s="28"/>
      <c r="Q194" s="28" t="s">
        <v>8169</v>
      </c>
      <c r="R194" s="28"/>
      <c r="S194" s="28"/>
      <c r="T194" s="28"/>
      <c r="U194" s="28"/>
      <c r="V194" s="28"/>
      <c r="W194" s="28"/>
      <c r="X194" s="28"/>
      <c r="Y194" s="28"/>
      <c r="Z194" s="28"/>
    </row>
    <row r="195">
      <c r="A195" s="711" t="s">
        <v>8527</v>
      </c>
      <c r="B195" s="711" t="s">
        <v>8032</v>
      </c>
      <c r="C195" s="711" t="s">
        <v>8533</v>
      </c>
      <c r="D195" s="767" t="s">
        <v>6316</v>
      </c>
      <c r="E195" s="767" t="s">
        <v>8534</v>
      </c>
      <c r="F195" s="767" t="s">
        <v>7685</v>
      </c>
      <c r="G195" s="767" t="s">
        <v>8535</v>
      </c>
      <c r="H195" s="768"/>
      <c r="I195" s="767" t="s">
        <v>8038</v>
      </c>
      <c r="J195" s="767" t="s">
        <v>4514</v>
      </c>
      <c r="K195" s="767" t="b">
        <v>1</v>
      </c>
      <c r="L195" s="767" t="s">
        <v>4461</v>
      </c>
      <c r="M195" s="767" t="b">
        <v>0</v>
      </c>
      <c r="N195" s="767" t="b">
        <v>0</v>
      </c>
      <c r="O195" s="713"/>
      <c r="P195" s="713"/>
      <c r="Q195" s="711" t="s">
        <v>8536</v>
      </c>
      <c r="R195" s="713"/>
      <c r="S195" s="772"/>
      <c r="T195" s="772"/>
      <c r="U195" s="772"/>
      <c r="V195" s="772"/>
      <c r="W195" s="772"/>
      <c r="X195" s="772"/>
      <c r="Y195" s="772"/>
      <c r="Z195" s="772"/>
    </row>
    <row r="196">
      <c r="A196" s="711" t="s">
        <v>8527</v>
      </c>
      <c r="B196" s="711" t="s">
        <v>8032</v>
      </c>
      <c r="C196" s="711" t="s">
        <v>8533</v>
      </c>
      <c r="D196" s="767" t="s">
        <v>8537</v>
      </c>
      <c r="E196" s="767" t="s">
        <v>8537</v>
      </c>
      <c r="F196" s="767" t="s">
        <v>7674</v>
      </c>
      <c r="G196" s="767" t="s">
        <v>8538</v>
      </c>
      <c r="H196" s="768"/>
      <c r="I196" s="767" t="s">
        <v>8038</v>
      </c>
      <c r="J196" s="767" t="s">
        <v>4503</v>
      </c>
      <c r="K196" s="767" t="b">
        <v>0</v>
      </c>
      <c r="L196" s="767" t="s">
        <v>4503</v>
      </c>
      <c r="M196" s="767" t="b">
        <v>0</v>
      </c>
      <c r="N196" s="767" t="b">
        <v>0</v>
      </c>
      <c r="O196" s="713"/>
      <c r="P196" s="713"/>
      <c r="Q196" s="711" t="s">
        <v>8155</v>
      </c>
      <c r="R196" s="713"/>
      <c r="S196" s="772"/>
      <c r="T196" s="772"/>
      <c r="U196" s="772"/>
      <c r="V196" s="772"/>
      <c r="W196" s="772"/>
      <c r="X196" s="772"/>
      <c r="Y196" s="772"/>
      <c r="Z196" s="772"/>
    </row>
    <row r="197">
      <c r="A197" s="711" t="s">
        <v>8527</v>
      </c>
      <c r="B197" s="711" t="s">
        <v>8032</v>
      </c>
      <c r="C197" s="711" t="s">
        <v>8533</v>
      </c>
      <c r="D197" s="767" t="s">
        <v>8539</v>
      </c>
      <c r="E197" s="767" t="s">
        <v>8539</v>
      </c>
      <c r="F197" s="767" t="s">
        <v>7701</v>
      </c>
      <c r="G197" s="767" t="s">
        <v>8540</v>
      </c>
      <c r="H197" s="768"/>
      <c r="I197" s="767" t="s">
        <v>8038</v>
      </c>
      <c r="J197" s="767" t="s">
        <v>7700</v>
      </c>
      <c r="K197" s="767" t="b">
        <v>0</v>
      </c>
      <c r="L197" s="767" t="s">
        <v>7700</v>
      </c>
      <c r="M197" s="767" t="b">
        <v>0</v>
      </c>
      <c r="N197" s="767" t="b">
        <v>0</v>
      </c>
      <c r="O197" s="713"/>
      <c r="P197" s="713"/>
      <c r="Q197" s="711" t="s">
        <v>8155</v>
      </c>
      <c r="R197" s="713"/>
      <c r="S197" s="772"/>
      <c r="T197" s="772"/>
      <c r="U197" s="772"/>
      <c r="V197" s="772"/>
      <c r="W197" s="772"/>
      <c r="X197" s="772"/>
      <c r="Y197" s="772"/>
      <c r="Z197" s="772"/>
    </row>
    <row r="198">
      <c r="A198" s="711" t="s">
        <v>8527</v>
      </c>
      <c r="B198" s="711" t="s">
        <v>8032</v>
      </c>
      <c r="C198" s="711" t="s">
        <v>8533</v>
      </c>
      <c r="D198" s="711" t="s">
        <v>8541</v>
      </c>
      <c r="E198" s="711" t="s">
        <v>8541</v>
      </c>
      <c r="F198" s="711" t="s">
        <v>8542</v>
      </c>
      <c r="G198" s="711" t="s">
        <v>8543</v>
      </c>
      <c r="H198" s="713"/>
      <c r="I198" s="711" t="s">
        <v>8038</v>
      </c>
      <c r="J198" s="711" t="s">
        <v>8544</v>
      </c>
      <c r="K198" s="711" t="b">
        <v>0</v>
      </c>
      <c r="L198" s="711" t="s">
        <v>8544</v>
      </c>
      <c r="M198" s="711" t="b">
        <v>0</v>
      </c>
      <c r="N198" s="711" t="b">
        <v>0</v>
      </c>
      <c r="O198" s="713"/>
      <c r="P198" s="713"/>
      <c r="Q198" s="711" t="s">
        <v>8155</v>
      </c>
      <c r="R198" s="713"/>
      <c r="S198" s="772"/>
      <c r="T198" s="772"/>
      <c r="U198" s="772"/>
      <c r="V198" s="772"/>
      <c r="W198" s="772"/>
      <c r="X198" s="772"/>
      <c r="Y198" s="772"/>
      <c r="Z198" s="772"/>
    </row>
    <row r="199">
      <c r="A199" s="711" t="s">
        <v>8527</v>
      </c>
      <c r="B199" s="711" t="s">
        <v>8032</v>
      </c>
      <c r="C199" s="711" t="s">
        <v>8533</v>
      </c>
      <c r="D199" s="711" t="s">
        <v>8545</v>
      </c>
      <c r="E199" s="711" t="s">
        <v>8546</v>
      </c>
      <c r="F199" s="711" t="s">
        <v>7731</v>
      </c>
      <c r="G199" s="711" t="s">
        <v>8547</v>
      </c>
      <c r="H199" s="713"/>
      <c r="I199" s="711" t="s">
        <v>8548</v>
      </c>
      <c r="J199" s="711" t="s">
        <v>7730</v>
      </c>
      <c r="K199" s="711" t="b">
        <v>0</v>
      </c>
      <c r="L199" s="711" t="s">
        <v>7730</v>
      </c>
      <c r="M199" s="711" t="b">
        <v>0</v>
      </c>
      <c r="N199" s="711" t="b">
        <v>0</v>
      </c>
      <c r="O199" s="713"/>
      <c r="P199" s="713"/>
      <c r="Q199" s="711" t="s">
        <v>8342</v>
      </c>
      <c r="R199" s="713"/>
      <c r="S199" s="772"/>
      <c r="T199" s="772"/>
      <c r="U199" s="772"/>
      <c r="V199" s="772"/>
      <c r="W199" s="772"/>
      <c r="X199" s="772"/>
      <c r="Y199" s="772"/>
      <c r="Z199" s="772"/>
    </row>
    <row r="200">
      <c r="A200" s="28" t="s">
        <v>8527</v>
      </c>
      <c r="B200" s="28" t="s">
        <v>8032</v>
      </c>
      <c r="C200" s="28" t="s">
        <v>8533</v>
      </c>
      <c r="D200" s="28" t="s">
        <v>8537</v>
      </c>
      <c r="E200" s="28" t="s">
        <v>8537</v>
      </c>
      <c r="F200" s="28" t="s">
        <v>7674</v>
      </c>
      <c r="G200" s="28" t="s">
        <v>8538</v>
      </c>
      <c r="H200" s="28"/>
      <c r="I200" s="28" t="s">
        <v>8038</v>
      </c>
      <c r="J200" s="28" t="s">
        <v>4503</v>
      </c>
      <c r="K200" s="28" t="b">
        <v>0</v>
      </c>
      <c r="L200" s="28" t="s">
        <v>4503</v>
      </c>
      <c r="M200" s="28" t="b">
        <v>0</v>
      </c>
      <c r="N200" s="28" t="b">
        <v>0</v>
      </c>
      <c r="O200" s="28"/>
      <c r="P200" s="28"/>
      <c r="Q200" s="28" t="s">
        <v>8155</v>
      </c>
      <c r="R200" s="28"/>
      <c r="S200" s="28"/>
      <c r="T200" s="28"/>
      <c r="U200" s="28"/>
      <c r="V200" s="28"/>
      <c r="W200" s="28"/>
      <c r="X200" s="28"/>
      <c r="Y200" s="28"/>
      <c r="Z200" s="28"/>
    </row>
    <row r="201">
      <c r="A201" s="28" t="s">
        <v>8527</v>
      </c>
      <c r="B201" s="28" t="s">
        <v>8032</v>
      </c>
      <c r="C201" s="28" t="s">
        <v>8533</v>
      </c>
      <c r="D201" s="760" t="s">
        <v>8539</v>
      </c>
      <c r="E201" s="760" t="s">
        <v>8539</v>
      </c>
      <c r="F201" s="760" t="s">
        <v>7701</v>
      </c>
      <c r="G201" s="760" t="s">
        <v>8540</v>
      </c>
      <c r="H201" s="760"/>
      <c r="I201" s="760" t="s">
        <v>8038</v>
      </c>
      <c r="J201" s="760" t="s">
        <v>7700</v>
      </c>
      <c r="K201" s="760" t="b">
        <v>0</v>
      </c>
      <c r="L201" s="760" t="s">
        <v>7700</v>
      </c>
      <c r="M201" s="760" t="b">
        <v>0</v>
      </c>
      <c r="N201" s="760" t="b">
        <v>0</v>
      </c>
      <c r="O201" s="28"/>
      <c r="P201" s="28"/>
      <c r="Q201" s="28" t="s">
        <v>8155</v>
      </c>
      <c r="R201" s="28"/>
      <c r="S201" s="28"/>
      <c r="T201" s="28"/>
      <c r="U201" s="28"/>
      <c r="V201" s="28"/>
      <c r="W201" s="28"/>
      <c r="X201" s="28"/>
      <c r="Y201" s="28"/>
      <c r="Z201" s="28"/>
    </row>
    <row r="202">
      <c r="A202" s="28" t="s">
        <v>8527</v>
      </c>
      <c r="B202" s="28" t="s">
        <v>8032</v>
      </c>
      <c r="C202" s="28" t="s">
        <v>8533</v>
      </c>
      <c r="D202" s="28" t="s">
        <v>8541</v>
      </c>
      <c r="E202" s="28" t="s">
        <v>8541</v>
      </c>
      <c r="F202" s="28" t="s">
        <v>8542</v>
      </c>
      <c r="G202" s="28" t="s">
        <v>8543</v>
      </c>
      <c r="H202" s="28"/>
      <c r="I202" s="28" t="s">
        <v>8038</v>
      </c>
      <c r="J202" s="28" t="s">
        <v>8544</v>
      </c>
      <c r="K202" s="28" t="b">
        <v>0</v>
      </c>
      <c r="L202" s="28" t="s">
        <v>8544</v>
      </c>
      <c r="M202" s="28" t="b">
        <v>0</v>
      </c>
      <c r="N202" s="28" t="b">
        <v>0</v>
      </c>
      <c r="O202" s="28"/>
      <c r="P202" s="28"/>
      <c r="Q202" s="28" t="s">
        <v>8155</v>
      </c>
      <c r="R202" s="28"/>
      <c r="S202" s="28"/>
      <c r="T202" s="28"/>
      <c r="U202" s="28"/>
      <c r="V202" s="28"/>
      <c r="W202" s="28"/>
      <c r="X202" s="28"/>
      <c r="Y202" s="28"/>
      <c r="Z202" s="28"/>
    </row>
    <row r="203">
      <c r="A203" s="28" t="s">
        <v>8527</v>
      </c>
      <c r="B203" s="28" t="s">
        <v>8032</v>
      </c>
      <c r="C203" s="28" t="s">
        <v>8533</v>
      </c>
      <c r="D203" s="28" t="s">
        <v>8545</v>
      </c>
      <c r="E203" s="28" t="s">
        <v>8546</v>
      </c>
      <c r="F203" s="28" t="s">
        <v>7731</v>
      </c>
      <c r="G203" s="28" t="s">
        <v>8547</v>
      </c>
      <c r="H203" s="28"/>
      <c r="I203" s="28" t="s">
        <v>8548</v>
      </c>
      <c r="J203" s="28" t="s">
        <v>7730</v>
      </c>
      <c r="K203" s="28" t="b">
        <v>0</v>
      </c>
      <c r="L203" s="28" t="s">
        <v>7730</v>
      </c>
      <c r="M203" s="28" t="b">
        <v>0</v>
      </c>
      <c r="N203" s="28" t="b">
        <v>0</v>
      </c>
      <c r="O203" s="28"/>
      <c r="P203" s="28"/>
      <c r="Q203" s="28" t="s">
        <v>8342</v>
      </c>
      <c r="R203" s="28"/>
      <c r="S203" s="28"/>
      <c r="T203" s="28"/>
      <c r="U203" s="28"/>
      <c r="V203" s="28"/>
      <c r="W203" s="28"/>
      <c r="X203" s="28"/>
      <c r="Y203" s="28"/>
      <c r="Z203" s="28"/>
    </row>
    <row r="204">
      <c r="A204" s="28" t="s">
        <v>8527</v>
      </c>
      <c r="B204" s="28" t="s">
        <v>8032</v>
      </c>
      <c r="C204" s="28" t="s">
        <v>8549</v>
      </c>
      <c r="D204" s="28" t="s">
        <v>6316</v>
      </c>
      <c r="E204" s="28" t="s">
        <v>6316</v>
      </c>
      <c r="F204" s="28" t="s">
        <v>8050</v>
      </c>
      <c r="G204" s="28" t="s">
        <v>8550</v>
      </c>
      <c r="H204" s="28"/>
      <c r="I204" s="28" t="s">
        <v>8038</v>
      </c>
      <c r="J204" s="28" t="s">
        <v>4458</v>
      </c>
      <c r="K204" s="28" t="b">
        <v>0</v>
      </c>
      <c r="L204" s="28" t="s">
        <v>4458</v>
      </c>
      <c r="M204" s="28" t="b">
        <v>0</v>
      </c>
      <c r="N204" s="28" t="b">
        <v>0</v>
      </c>
      <c r="O204" s="28"/>
      <c r="P204" s="28"/>
      <c r="Q204" s="28" t="s">
        <v>8092</v>
      </c>
      <c r="R204" s="28"/>
      <c r="S204" s="28"/>
      <c r="T204" s="28"/>
      <c r="U204" s="28"/>
      <c r="V204" s="28"/>
      <c r="W204" s="28"/>
      <c r="X204" s="28"/>
      <c r="Y204" s="28"/>
      <c r="Z204" s="28"/>
    </row>
    <row r="205">
      <c r="A205" s="28" t="s">
        <v>8527</v>
      </c>
      <c r="B205" s="28" t="s">
        <v>8032</v>
      </c>
      <c r="C205" s="28" t="s">
        <v>8549</v>
      </c>
      <c r="D205" s="28" t="s">
        <v>8551</v>
      </c>
      <c r="E205" s="28" t="s">
        <v>8551</v>
      </c>
      <c r="F205" s="28" t="s">
        <v>7713</v>
      </c>
      <c r="G205" s="28" t="s">
        <v>8552</v>
      </c>
      <c r="H205" s="28"/>
      <c r="I205" s="28" t="s">
        <v>8038</v>
      </c>
      <c r="J205" s="28" t="s">
        <v>7712</v>
      </c>
      <c r="K205" s="28" t="b">
        <v>0</v>
      </c>
      <c r="L205" s="28" t="s">
        <v>7712</v>
      </c>
      <c r="M205" s="28" t="b">
        <v>0</v>
      </c>
      <c r="N205" s="28" t="b">
        <v>0</v>
      </c>
      <c r="O205" s="28"/>
      <c r="P205" s="28"/>
      <c r="Q205" s="28" t="s">
        <v>8092</v>
      </c>
      <c r="R205" s="28"/>
      <c r="S205" s="28"/>
      <c r="T205" s="28"/>
      <c r="U205" s="28"/>
      <c r="V205" s="28"/>
      <c r="W205" s="28"/>
      <c r="X205" s="28"/>
      <c r="Y205" s="28"/>
      <c r="Z205" s="28"/>
    </row>
    <row r="206">
      <c r="A206" s="28" t="s">
        <v>8527</v>
      </c>
      <c r="B206" s="28" t="s">
        <v>8032</v>
      </c>
      <c r="C206" s="28" t="s">
        <v>8549</v>
      </c>
      <c r="D206" s="28" t="s">
        <v>8553</v>
      </c>
      <c r="E206" s="28" t="s">
        <v>8554</v>
      </c>
      <c r="F206" s="28" t="s">
        <v>7674</v>
      </c>
      <c r="G206" s="28" t="s">
        <v>8555</v>
      </c>
      <c r="H206" s="28"/>
      <c r="I206" s="28" t="s">
        <v>8556</v>
      </c>
      <c r="J206" s="28" t="s">
        <v>4503</v>
      </c>
      <c r="K206" s="28" t="b">
        <v>0</v>
      </c>
      <c r="L206" s="28" t="s">
        <v>4503</v>
      </c>
      <c r="M206" s="28" t="b">
        <v>0</v>
      </c>
      <c r="N206" s="28" t="b">
        <v>0</v>
      </c>
      <c r="O206" s="28"/>
      <c r="P206" s="28"/>
      <c r="Q206" s="28" t="s">
        <v>8092</v>
      </c>
      <c r="R206" s="28"/>
      <c r="S206" s="28"/>
      <c r="T206" s="28"/>
      <c r="U206" s="28"/>
      <c r="V206" s="28"/>
      <c r="W206" s="28"/>
      <c r="X206" s="28"/>
      <c r="Y206" s="28"/>
      <c r="Z206" s="28"/>
    </row>
    <row r="207">
      <c r="A207" s="28" t="s">
        <v>8527</v>
      </c>
      <c r="B207" s="28" t="s">
        <v>8032</v>
      </c>
      <c r="C207" s="28" t="s">
        <v>8549</v>
      </c>
      <c r="D207" s="28" t="s">
        <v>8557</v>
      </c>
      <c r="E207" s="28" t="s">
        <v>8558</v>
      </c>
      <c r="F207" s="28" t="s">
        <v>7793</v>
      </c>
      <c r="G207" s="28" t="s">
        <v>8559</v>
      </c>
      <c r="H207" s="28"/>
      <c r="I207" s="28" t="s">
        <v>8038</v>
      </c>
      <c r="J207" s="28" t="s">
        <v>4660</v>
      </c>
      <c r="K207" s="28" t="b">
        <v>0</v>
      </c>
      <c r="L207" s="28" t="s">
        <v>4660</v>
      </c>
      <c r="M207" s="28" t="b">
        <v>0</v>
      </c>
      <c r="N207" s="28" t="b">
        <v>0</v>
      </c>
      <c r="O207" s="28"/>
      <c r="P207" s="28"/>
      <c r="Q207" s="28" t="s">
        <v>8092</v>
      </c>
      <c r="R207" s="28"/>
      <c r="S207" s="28"/>
      <c r="T207" s="28"/>
      <c r="U207" s="28"/>
      <c r="V207" s="28"/>
      <c r="W207" s="28"/>
      <c r="X207" s="28"/>
      <c r="Y207" s="28"/>
      <c r="Z207" s="28"/>
    </row>
    <row r="208">
      <c r="A208" s="28" t="s">
        <v>8527</v>
      </c>
      <c r="B208" s="28" t="s">
        <v>8032</v>
      </c>
      <c r="C208" s="28" t="s">
        <v>8549</v>
      </c>
      <c r="D208" s="760" t="s">
        <v>8560</v>
      </c>
      <c r="E208" s="760" t="s">
        <v>8560</v>
      </c>
      <c r="F208" s="760" t="s">
        <v>7685</v>
      </c>
      <c r="G208" s="760" t="s">
        <v>8561</v>
      </c>
      <c r="H208" s="760"/>
      <c r="I208" s="760" t="s">
        <v>8038</v>
      </c>
      <c r="J208" s="760" t="s">
        <v>7712</v>
      </c>
      <c r="K208" s="760" t="b">
        <v>1</v>
      </c>
      <c r="L208" s="760" t="s">
        <v>4461</v>
      </c>
      <c r="M208" s="760" t="b">
        <v>0</v>
      </c>
      <c r="N208" s="760" t="b">
        <v>0</v>
      </c>
      <c r="O208" s="28"/>
      <c r="P208" s="28"/>
      <c r="Q208" s="28" t="s">
        <v>8092</v>
      </c>
      <c r="R208" s="28"/>
      <c r="S208" s="28"/>
      <c r="T208" s="28"/>
      <c r="U208" s="28"/>
      <c r="V208" s="28"/>
      <c r="W208" s="28"/>
      <c r="X208" s="28"/>
      <c r="Y208" s="28"/>
      <c r="Z208" s="28"/>
    </row>
    <row r="209">
      <c r="A209" s="28" t="s">
        <v>8527</v>
      </c>
      <c r="B209" s="28" t="s">
        <v>8032</v>
      </c>
      <c r="C209" s="28" t="s">
        <v>8562</v>
      </c>
      <c r="D209" s="760" t="s">
        <v>7720</v>
      </c>
      <c r="E209" s="760" t="s">
        <v>7720</v>
      </c>
      <c r="F209" s="760" t="s">
        <v>8563</v>
      </c>
      <c r="G209" s="760" t="s">
        <v>8564</v>
      </c>
      <c r="H209" s="760"/>
      <c r="I209" s="760" t="s">
        <v>8038</v>
      </c>
      <c r="J209" s="760" t="s">
        <v>4571</v>
      </c>
      <c r="K209" s="760" t="b">
        <v>0</v>
      </c>
      <c r="L209" s="760" t="s">
        <v>4571</v>
      </c>
      <c r="M209" s="760" t="b">
        <v>0</v>
      </c>
      <c r="N209" s="760" t="b">
        <v>0</v>
      </c>
      <c r="O209" s="28"/>
      <c r="P209" s="28"/>
      <c r="Q209" s="28" t="s">
        <v>8092</v>
      </c>
      <c r="R209" s="28"/>
      <c r="S209" s="28"/>
      <c r="T209" s="28"/>
      <c r="U209" s="28"/>
      <c r="V209" s="28"/>
      <c r="W209" s="28"/>
      <c r="X209" s="28"/>
      <c r="Y209" s="28"/>
      <c r="Z209" s="28"/>
    </row>
    <row r="210">
      <c r="A210" s="28" t="s">
        <v>8527</v>
      </c>
      <c r="B210" s="28" t="s">
        <v>8032</v>
      </c>
      <c r="C210" s="28" t="s">
        <v>8562</v>
      </c>
      <c r="D210" s="28" t="s">
        <v>8565</v>
      </c>
      <c r="E210" s="28" t="s">
        <v>8566</v>
      </c>
      <c r="F210" s="28" t="s">
        <v>7701</v>
      </c>
      <c r="G210" s="28" t="s">
        <v>8567</v>
      </c>
      <c r="H210" s="28"/>
      <c r="I210" s="28" t="s">
        <v>8038</v>
      </c>
      <c r="J210" s="28" t="s">
        <v>8568</v>
      </c>
      <c r="K210" s="28" t="b">
        <v>0</v>
      </c>
      <c r="L210" s="28" t="s">
        <v>7700</v>
      </c>
      <c r="M210" s="28" t="b">
        <v>0</v>
      </c>
      <c r="N210" s="28" t="b">
        <v>0</v>
      </c>
      <c r="O210" s="28"/>
      <c r="P210" s="28"/>
      <c r="Q210" s="28" t="s">
        <v>8536</v>
      </c>
      <c r="R210" s="28"/>
      <c r="S210" s="28"/>
      <c r="T210" s="28"/>
      <c r="U210" s="28"/>
      <c r="V210" s="28"/>
      <c r="W210" s="28"/>
      <c r="X210" s="28"/>
      <c r="Y210" s="28"/>
      <c r="Z210" s="28"/>
    </row>
    <row r="211">
      <c r="A211" s="28" t="s">
        <v>8527</v>
      </c>
      <c r="B211" s="28" t="s">
        <v>8032</v>
      </c>
      <c r="C211" s="28" t="s">
        <v>8562</v>
      </c>
      <c r="D211" s="28" t="s">
        <v>8569</v>
      </c>
      <c r="E211" s="28" t="s">
        <v>8316</v>
      </c>
      <c r="F211" s="28" t="s">
        <v>7685</v>
      </c>
      <c r="G211" s="28" t="s">
        <v>8570</v>
      </c>
      <c r="H211" s="28"/>
      <c r="I211" s="28" t="s">
        <v>8038</v>
      </c>
      <c r="J211" s="28" t="s">
        <v>7700</v>
      </c>
      <c r="K211" s="28" t="b">
        <v>0</v>
      </c>
      <c r="L211" s="28" t="s">
        <v>7700</v>
      </c>
      <c r="M211" s="28" t="b">
        <v>0</v>
      </c>
      <c r="N211" s="28" t="b">
        <v>0</v>
      </c>
      <c r="O211" s="28"/>
      <c r="P211" s="28"/>
      <c r="Q211" s="28" t="s">
        <v>8536</v>
      </c>
      <c r="R211" s="28"/>
      <c r="S211" s="28"/>
      <c r="T211" s="28"/>
      <c r="U211" s="28"/>
      <c r="V211" s="28"/>
      <c r="W211" s="28"/>
      <c r="X211" s="28"/>
      <c r="Y211" s="28"/>
      <c r="Z211" s="28"/>
    </row>
    <row r="212">
      <c r="A212" s="28" t="s">
        <v>8527</v>
      </c>
      <c r="B212" s="28" t="s">
        <v>8032</v>
      </c>
      <c r="C212" s="28" t="s">
        <v>8562</v>
      </c>
      <c r="D212" s="760" t="s">
        <v>6751</v>
      </c>
      <c r="E212" s="760" t="s">
        <v>6751</v>
      </c>
      <c r="F212" s="760" t="s">
        <v>7685</v>
      </c>
      <c r="G212" s="760" t="s">
        <v>8571</v>
      </c>
      <c r="H212" s="760"/>
      <c r="I212" s="760" t="s">
        <v>8038</v>
      </c>
      <c r="J212" s="760" t="s">
        <v>4503</v>
      </c>
      <c r="K212" s="760" t="b">
        <v>1</v>
      </c>
      <c r="L212" s="760" t="s">
        <v>4461</v>
      </c>
      <c r="M212" s="760" t="b">
        <v>0</v>
      </c>
      <c r="N212" s="760" t="b">
        <v>0</v>
      </c>
      <c r="O212" s="28"/>
      <c r="P212" s="28"/>
      <c r="Q212" s="28" t="s">
        <v>8092</v>
      </c>
      <c r="R212" s="28"/>
      <c r="S212" s="28"/>
      <c r="T212" s="28"/>
      <c r="U212" s="28"/>
      <c r="V212" s="28"/>
      <c r="W212" s="28"/>
      <c r="X212" s="28"/>
      <c r="Y212" s="28"/>
      <c r="Z212" s="28"/>
    </row>
    <row r="213">
      <c r="A213" s="24" t="s">
        <v>8527</v>
      </c>
      <c r="B213" s="24" t="s">
        <v>8032</v>
      </c>
      <c r="C213" s="24" t="s">
        <v>8572</v>
      </c>
      <c r="D213" s="24" t="s">
        <v>8573</v>
      </c>
      <c r="E213" s="24" t="s">
        <v>8574</v>
      </c>
      <c r="F213" s="24" t="s">
        <v>8116</v>
      </c>
      <c r="G213" s="24" t="s">
        <v>8575</v>
      </c>
      <c r="H213" s="28"/>
      <c r="I213" s="24" t="s">
        <v>8038</v>
      </c>
      <c r="J213" s="24" t="s">
        <v>4500</v>
      </c>
      <c r="K213" s="24" t="b">
        <v>0</v>
      </c>
      <c r="L213" s="24" t="s">
        <v>4500</v>
      </c>
      <c r="M213" s="24" t="b">
        <v>0</v>
      </c>
      <c r="N213" s="24" t="b">
        <v>0</v>
      </c>
      <c r="O213" s="28"/>
      <c r="P213" s="28"/>
      <c r="Q213" s="24" t="s">
        <v>8169</v>
      </c>
      <c r="R213" s="28"/>
      <c r="S213" s="28"/>
      <c r="T213" s="28"/>
      <c r="U213" s="28"/>
      <c r="V213" s="28"/>
      <c r="W213" s="28"/>
      <c r="X213" s="28"/>
      <c r="Y213" s="28"/>
      <c r="Z213" s="28"/>
    </row>
    <row r="214">
      <c r="A214" s="24" t="s">
        <v>8527</v>
      </c>
      <c r="B214" s="24" t="s">
        <v>8032</v>
      </c>
      <c r="C214" s="24" t="s">
        <v>8572</v>
      </c>
      <c r="D214" s="24" t="s">
        <v>8576</v>
      </c>
      <c r="E214" s="24" t="s">
        <v>8577</v>
      </c>
      <c r="F214" s="24" t="s">
        <v>7722</v>
      </c>
      <c r="G214" s="24" t="s">
        <v>8578</v>
      </c>
      <c r="H214" s="28"/>
      <c r="I214" s="24" t="s">
        <v>8579</v>
      </c>
      <c r="J214" s="24" t="s">
        <v>4852</v>
      </c>
      <c r="K214" s="24" t="b">
        <v>0</v>
      </c>
      <c r="L214" s="24" t="s">
        <v>4852</v>
      </c>
      <c r="M214" s="24" t="b">
        <v>0</v>
      </c>
      <c r="N214" s="24" t="b">
        <v>0</v>
      </c>
      <c r="O214" s="28"/>
      <c r="P214" s="28"/>
      <c r="Q214" s="24" t="s">
        <v>8169</v>
      </c>
      <c r="R214" s="28"/>
      <c r="S214" s="28"/>
      <c r="T214" s="28"/>
      <c r="U214" s="28"/>
      <c r="V214" s="28"/>
      <c r="W214" s="28"/>
      <c r="X214" s="28"/>
      <c r="Y214" s="28"/>
      <c r="Z214" s="28"/>
    </row>
    <row r="215">
      <c r="A215" s="24" t="s">
        <v>8527</v>
      </c>
      <c r="B215" s="24" t="s">
        <v>8032</v>
      </c>
      <c r="C215" s="24" t="s">
        <v>8572</v>
      </c>
      <c r="D215" s="24" t="s">
        <v>8124</v>
      </c>
      <c r="E215" s="24" t="s">
        <v>8580</v>
      </c>
      <c r="F215" s="24" t="s">
        <v>7701</v>
      </c>
      <c r="G215" s="24" t="s">
        <v>8581</v>
      </c>
      <c r="H215" s="28"/>
      <c r="I215" s="24" t="s">
        <v>8582</v>
      </c>
      <c r="J215" s="24" t="s">
        <v>7700</v>
      </c>
      <c r="K215" s="24" t="b">
        <v>0</v>
      </c>
      <c r="L215" s="24" t="s">
        <v>7700</v>
      </c>
      <c r="M215" s="24" t="b">
        <v>0</v>
      </c>
      <c r="N215" s="24" t="b">
        <v>0</v>
      </c>
      <c r="O215" s="28"/>
      <c r="P215" s="28"/>
      <c r="Q215" s="24" t="s">
        <v>8169</v>
      </c>
      <c r="R215" s="28"/>
      <c r="S215" s="28"/>
      <c r="T215" s="28"/>
      <c r="U215" s="28"/>
      <c r="V215" s="28"/>
      <c r="W215" s="28"/>
      <c r="X215" s="28"/>
      <c r="Y215" s="28"/>
      <c r="Z215" s="28"/>
    </row>
    <row r="216">
      <c r="A216" s="24" t="s">
        <v>8527</v>
      </c>
      <c r="B216" s="24" t="s">
        <v>8032</v>
      </c>
      <c r="C216" s="24" t="s">
        <v>8572</v>
      </c>
      <c r="D216" s="24" t="s">
        <v>8583</v>
      </c>
      <c r="E216" s="24" t="s">
        <v>8584</v>
      </c>
      <c r="F216" s="24" t="s">
        <v>8289</v>
      </c>
      <c r="G216" s="24" t="s">
        <v>8585</v>
      </c>
      <c r="H216" s="28"/>
      <c r="I216" s="24" t="s">
        <v>8586</v>
      </c>
      <c r="J216" s="24" t="s">
        <v>4999</v>
      </c>
      <c r="K216" s="24" t="b">
        <v>0</v>
      </c>
      <c r="L216" s="24" t="s">
        <v>4999</v>
      </c>
      <c r="M216" s="24" t="b">
        <v>0</v>
      </c>
      <c r="N216" s="24" t="b">
        <v>0</v>
      </c>
      <c r="O216" s="28"/>
      <c r="P216" s="28"/>
      <c r="Q216" s="776" t="s">
        <v>8587</v>
      </c>
      <c r="R216" s="28"/>
      <c r="S216" s="28"/>
      <c r="T216" s="28"/>
      <c r="U216" s="28"/>
      <c r="V216" s="28"/>
      <c r="W216" s="28"/>
      <c r="X216" s="28"/>
      <c r="Y216" s="28"/>
      <c r="Z216" s="28"/>
    </row>
    <row r="217">
      <c r="A217" s="24" t="s">
        <v>8527</v>
      </c>
      <c r="B217" s="24" t="s">
        <v>8032</v>
      </c>
      <c r="C217" s="24" t="s">
        <v>8572</v>
      </c>
      <c r="D217" s="759" t="s">
        <v>6316</v>
      </c>
      <c r="E217" s="759" t="s">
        <v>8588</v>
      </c>
      <c r="F217" s="759" t="s">
        <v>7696</v>
      </c>
      <c r="G217" s="759" t="s">
        <v>8589</v>
      </c>
      <c r="H217" s="760"/>
      <c r="I217" s="759" t="s">
        <v>8038</v>
      </c>
      <c r="J217" s="759" t="s">
        <v>4517</v>
      </c>
      <c r="K217" s="759" t="b">
        <v>0</v>
      </c>
      <c r="L217" s="759" t="s">
        <v>4517</v>
      </c>
      <c r="M217" s="759" t="b">
        <v>0</v>
      </c>
      <c r="N217" s="759" t="b">
        <v>0</v>
      </c>
      <c r="O217" s="28"/>
      <c r="P217" s="28"/>
      <c r="Q217" s="24" t="s">
        <v>8169</v>
      </c>
      <c r="R217" s="28"/>
      <c r="S217" s="28"/>
      <c r="T217" s="28"/>
      <c r="U217" s="28"/>
      <c r="V217" s="28"/>
      <c r="W217" s="28"/>
      <c r="X217" s="28"/>
      <c r="Y217" s="28"/>
      <c r="Z217" s="28"/>
    </row>
    <row r="218">
      <c r="A218" s="28" t="s">
        <v>8527</v>
      </c>
      <c r="B218" s="28" t="s">
        <v>8032</v>
      </c>
      <c r="C218" s="28" t="s">
        <v>8590</v>
      </c>
      <c r="D218" s="760" t="s">
        <v>8591</v>
      </c>
      <c r="E218" s="760" t="s">
        <v>8592</v>
      </c>
      <c r="F218" s="760" t="s">
        <v>7713</v>
      </c>
      <c r="G218" s="760" t="s">
        <v>8593</v>
      </c>
      <c r="H218" s="760"/>
      <c r="I218" s="760" t="s">
        <v>8038</v>
      </c>
      <c r="J218" s="760" t="s">
        <v>7712</v>
      </c>
      <c r="K218" s="760" t="b">
        <v>0</v>
      </c>
      <c r="L218" s="760" t="s">
        <v>7712</v>
      </c>
      <c r="M218" s="760" t="b">
        <v>0</v>
      </c>
      <c r="N218" s="760" t="b">
        <v>0</v>
      </c>
      <c r="O218" s="28"/>
      <c r="P218" s="28"/>
      <c r="Q218" s="28" t="s">
        <v>8169</v>
      </c>
      <c r="R218" s="28"/>
      <c r="S218" s="28"/>
      <c r="T218" s="28"/>
      <c r="U218" s="28"/>
      <c r="V218" s="28"/>
      <c r="W218" s="28"/>
      <c r="X218" s="28"/>
      <c r="Y218" s="28"/>
      <c r="Z218" s="28"/>
    </row>
    <row r="219">
      <c r="A219" s="28" t="s">
        <v>8527</v>
      </c>
      <c r="B219" s="28" t="s">
        <v>8032</v>
      </c>
      <c r="C219" s="28" t="s">
        <v>8590</v>
      </c>
      <c r="D219" s="760" t="s">
        <v>8594</v>
      </c>
      <c r="E219" s="760" t="s">
        <v>8592</v>
      </c>
      <c r="F219" s="760" t="s">
        <v>7713</v>
      </c>
      <c r="G219" s="760" t="s">
        <v>8595</v>
      </c>
      <c r="H219" s="760"/>
      <c r="I219" s="760" t="s">
        <v>8038</v>
      </c>
      <c r="J219" s="760" t="s">
        <v>7712</v>
      </c>
      <c r="K219" s="760" t="b">
        <v>0</v>
      </c>
      <c r="L219" s="760" t="s">
        <v>7712</v>
      </c>
      <c r="M219" s="760" t="b">
        <v>0</v>
      </c>
      <c r="N219" s="760" t="b">
        <v>0</v>
      </c>
      <c r="O219" s="28"/>
      <c r="P219" s="28"/>
      <c r="Q219" s="28" t="s">
        <v>8169</v>
      </c>
      <c r="R219" s="28"/>
      <c r="S219" s="28"/>
      <c r="T219" s="28"/>
      <c r="U219" s="28"/>
      <c r="V219" s="28"/>
      <c r="W219" s="28"/>
      <c r="X219" s="28"/>
      <c r="Y219" s="28"/>
      <c r="Z219" s="28"/>
    </row>
    <row r="220">
      <c r="A220" s="28" t="s">
        <v>8527</v>
      </c>
      <c r="B220" s="28" t="s">
        <v>8032</v>
      </c>
      <c r="C220" s="28" t="s">
        <v>8590</v>
      </c>
      <c r="D220" s="28" t="s">
        <v>8596</v>
      </c>
      <c r="E220" s="28" t="s">
        <v>8597</v>
      </c>
      <c r="F220" s="28"/>
      <c r="G220" s="28"/>
      <c r="H220" s="28"/>
      <c r="I220" s="28" t="s">
        <v>8598</v>
      </c>
      <c r="J220" s="28" t="s">
        <v>4525</v>
      </c>
      <c r="K220" s="28" t="b">
        <v>0</v>
      </c>
      <c r="L220" s="28" t="s">
        <v>4525</v>
      </c>
      <c r="M220" s="28" t="b">
        <v>0</v>
      </c>
      <c r="N220" s="28" t="b">
        <v>0</v>
      </c>
      <c r="O220" s="28"/>
      <c r="P220" s="28"/>
      <c r="Q220" s="28" t="s">
        <v>8169</v>
      </c>
      <c r="R220" s="28"/>
      <c r="S220" s="28"/>
      <c r="T220" s="28"/>
      <c r="U220" s="28"/>
      <c r="V220" s="28"/>
      <c r="W220" s="28"/>
      <c r="X220" s="28"/>
      <c r="Y220" s="28"/>
      <c r="Z220" s="28"/>
    </row>
    <row r="221">
      <c r="A221" s="28" t="s">
        <v>8527</v>
      </c>
      <c r="B221" s="28" t="s">
        <v>8032</v>
      </c>
      <c r="C221" s="28" t="s">
        <v>8599</v>
      </c>
      <c r="D221" s="760" t="s">
        <v>8113</v>
      </c>
      <c r="E221" s="760" t="s">
        <v>8600</v>
      </c>
      <c r="F221" s="760" t="s">
        <v>7685</v>
      </c>
      <c r="G221" s="760" t="s">
        <v>8601</v>
      </c>
      <c r="H221" s="760"/>
      <c r="I221" s="760" t="s">
        <v>8038</v>
      </c>
      <c r="J221" s="760" t="s">
        <v>4461</v>
      </c>
      <c r="K221" s="760" t="b">
        <v>1</v>
      </c>
      <c r="L221" s="760" t="s">
        <v>4461</v>
      </c>
      <c r="M221" s="760" t="b">
        <v>0</v>
      </c>
      <c r="N221" s="760" t="b">
        <v>0</v>
      </c>
      <c r="O221" s="28"/>
      <c r="P221" s="28"/>
      <c r="Q221" s="28" t="s">
        <v>8169</v>
      </c>
      <c r="R221" s="28"/>
      <c r="S221" s="28"/>
      <c r="T221" s="28"/>
      <c r="U221" s="28"/>
      <c r="V221" s="28"/>
      <c r="W221" s="28"/>
      <c r="X221" s="28"/>
      <c r="Y221" s="28"/>
      <c r="Z221" s="28"/>
    </row>
    <row r="222">
      <c r="A222" s="28" t="s">
        <v>8527</v>
      </c>
      <c r="B222" s="28" t="s">
        <v>8032</v>
      </c>
      <c r="C222" s="28" t="s">
        <v>8602</v>
      </c>
      <c r="D222" s="28" t="s">
        <v>8603</v>
      </c>
      <c r="E222" s="28" t="s">
        <v>8604</v>
      </c>
      <c r="F222" s="28" t="s">
        <v>7722</v>
      </c>
      <c r="G222" s="28" t="s">
        <v>8605</v>
      </c>
      <c r="H222" s="28"/>
      <c r="I222" s="28" t="s">
        <v>8038</v>
      </c>
      <c r="J222" s="28" t="s">
        <v>4852</v>
      </c>
      <c r="K222" s="28" t="b">
        <v>0</v>
      </c>
      <c r="L222" s="28" t="s">
        <v>4852</v>
      </c>
      <c r="M222" s="28" t="b">
        <v>0</v>
      </c>
      <c r="N222" s="28" t="b">
        <v>0</v>
      </c>
      <c r="O222" s="28"/>
      <c r="P222" s="28"/>
      <c r="Q222" s="28" t="s">
        <v>8155</v>
      </c>
      <c r="R222" s="28"/>
      <c r="S222" s="28"/>
      <c r="T222" s="28"/>
      <c r="U222" s="28"/>
      <c r="V222" s="28"/>
      <c r="W222" s="28"/>
      <c r="X222" s="28"/>
      <c r="Y222" s="28"/>
      <c r="Z222" s="28"/>
    </row>
    <row r="223">
      <c r="A223" s="28" t="s">
        <v>8527</v>
      </c>
      <c r="B223" s="28" t="s">
        <v>8032</v>
      </c>
      <c r="C223" s="777">
        <v>43831.0</v>
      </c>
      <c r="D223" s="760" t="s">
        <v>8606</v>
      </c>
      <c r="E223" s="760" t="s">
        <v>8607</v>
      </c>
      <c r="F223" s="760" t="s">
        <v>8163</v>
      </c>
      <c r="G223" s="760" t="s">
        <v>8608</v>
      </c>
      <c r="H223" s="760"/>
      <c r="I223" s="760" t="s">
        <v>8038</v>
      </c>
      <c r="J223" s="760" t="s">
        <v>4514</v>
      </c>
      <c r="K223" s="760" t="b">
        <v>0</v>
      </c>
      <c r="L223" s="760" t="s">
        <v>4514</v>
      </c>
      <c r="M223" s="760" t="b">
        <v>0</v>
      </c>
      <c r="N223" s="760" t="b">
        <v>0</v>
      </c>
      <c r="O223" s="760"/>
      <c r="P223" s="28"/>
      <c r="Q223" s="774" t="s">
        <v>8609</v>
      </c>
      <c r="R223" s="28"/>
      <c r="S223" s="28"/>
      <c r="T223" s="28"/>
      <c r="U223" s="28"/>
      <c r="V223" s="28"/>
      <c r="W223" s="28"/>
      <c r="X223" s="28"/>
      <c r="Y223" s="28"/>
      <c r="Z223" s="28"/>
    </row>
    <row r="224">
      <c r="A224" s="28" t="s">
        <v>8527</v>
      </c>
      <c r="B224" s="28" t="s">
        <v>8032</v>
      </c>
      <c r="C224" s="777">
        <v>43831.0</v>
      </c>
      <c r="D224" s="760" t="s">
        <v>8610</v>
      </c>
      <c r="E224" s="760" t="s">
        <v>8610</v>
      </c>
      <c r="F224" s="760" t="s">
        <v>7701</v>
      </c>
      <c r="G224" s="760" t="s">
        <v>8611</v>
      </c>
      <c r="H224" s="760"/>
      <c r="I224" s="760" t="s">
        <v>8038</v>
      </c>
      <c r="J224" s="760" t="s">
        <v>7700</v>
      </c>
      <c r="K224" s="760" t="b">
        <v>0</v>
      </c>
      <c r="L224" s="760" t="s">
        <v>7700</v>
      </c>
      <c r="M224" s="760" t="b">
        <v>0</v>
      </c>
      <c r="N224" s="760" t="b">
        <v>0</v>
      </c>
      <c r="O224" s="760"/>
      <c r="P224" s="28"/>
      <c r="Q224" s="28" t="s">
        <v>8155</v>
      </c>
      <c r="R224" s="28"/>
      <c r="S224" s="28"/>
      <c r="T224" s="28"/>
      <c r="U224" s="28"/>
      <c r="V224" s="28"/>
      <c r="W224" s="28"/>
      <c r="X224" s="28"/>
      <c r="Y224" s="28"/>
      <c r="Z224" s="28"/>
    </row>
    <row r="225">
      <c r="A225" s="28" t="s">
        <v>8527</v>
      </c>
      <c r="B225" s="28" t="s">
        <v>8032</v>
      </c>
      <c r="C225" s="777">
        <v>43831.0</v>
      </c>
      <c r="D225" s="760" t="s">
        <v>8612</v>
      </c>
      <c r="E225" s="760" t="s">
        <v>8612</v>
      </c>
      <c r="F225" s="760" t="s">
        <v>7685</v>
      </c>
      <c r="G225" s="760" t="s">
        <v>8613</v>
      </c>
      <c r="H225" s="760"/>
      <c r="I225" s="760" t="s">
        <v>8038</v>
      </c>
      <c r="J225" s="760" t="s">
        <v>4461</v>
      </c>
      <c r="K225" s="760" t="b">
        <v>1</v>
      </c>
      <c r="L225" s="760" t="s">
        <v>4461</v>
      </c>
      <c r="M225" s="760" t="b">
        <v>0</v>
      </c>
      <c r="N225" s="760" t="b">
        <v>0</v>
      </c>
      <c r="O225" s="760"/>
      <c r="P225" s="28"/>
      <c r="Q225" s="28" t="s">
        <v>8342</v>
      </c>
      <c r="R225" s="28"/>
      <c r="S225" s="28"/>
      <c r="T225" s="28"/>
      <c r="U225" s="28"/>
      <c r="V225" s="28"/>
      <c r="W225" s="28"/>
      <c r="X225" s="28"/>
      <c r="Y225" s="28"/>
      <c r="Z225" s="28"/>
    </row>
    <row r="226">
      <c r="A226" s="28" t="s">
        <v>8527</v>
      </c>
      <c r="B226" s="28" t="s">
        <v>8032</v>
      </c>
      <c r="C226" s="777">
        <v>43862.0</v>
      </c>
      <c r="D226" s="28" t="s">
        <v>8614</v>
      </c>
      <c r="E226" s="28" t="s">
        <v>8614</v>
      </c>
      <c r="F226" s="28" t="s">
        <v>7701</v>
      </c>
      <c r="G226" s="28" t="s">
        <v>8615</v>
      </c>
      <c r="H226" s="28"/>
      <c r="I226" s="28" t="s">
        <v>8038</v>
      </c>
      <c r="J226" s="28" t="s">
        <v>4517</v>
      </c>
      <c r="K226" s="28" t="b">
        <v>0</v>
      </c>
      <c r="L226" s="28" t="s">
        <v>7700</v>
      </c>
      <c r="M226" s="28" t="b">
        <v>0</v>
      </c>
      <c r="N226" s="28" t="b">
        <v>0</v>
      </c>
      <c r="O226" s="28"/>
      <c r="P226" s="28"/>
      <c r="Q226" s="28" t="s">
        <v>8155</v>
      </c>
      <c r="R226" s="28"/>
      <c r="S226" s="28"/>
      <c r="T226" s="28"/>
      <c r="U226" s="28"/>
      <c r="V226" s="28"/>
      <c r="W226" s="28"/>
      <c r="X226" s="28"/>
      <c r="Y226" s="28"/>
      <c r="Z226" s="28"/>
    </row>
    <row r="227">
      <c r="A227" s="28" t="s">
        <v>8527</v>
      </c>
      <c r="B227" s="28" t="s">
        <v>8032</v>
      </c>
      <c r="C227" s="777">
        <v>43862.0</v>
      </c>
      <c r="D227" s="760" t="s">
        <v>8616</v>
      </c>
      <c r="E227" s="760" t="s">
        <v>8616</v>
      </c>
      <c r="F227" s="760" t="s">
        <v>7674</v>
      </c>
      <c r="G227" s="760" t="s">
        <v>8617</v>
      </c>
      <c r="H227" s="760"/>
      <c r="I227" s="760" t="s">
        <v>8038</v>
      </c>
      <c r="J227" s="760" t="s">
        <v>4503</v>
      </c>
      <c r="K227" s="760" t="b">
        <v>0</v>
      </c>
      <c r="L227" s="760" t="s">
        <v>4503</v>
      </c>
      <c r="M227" s="760" t="b">
        <v>0</v>
      </c>
      <c r="N227" s="760" t="b">
        <v>0</v>
      </c>
      <c r="O227" s="760"/>
      <c r="P227" s="28"/>
      <c r="Q227" s="28" t="s">
        <v>8155</v>
      </c>
      <c r="R227" s="28"/>
      <c r="S227" s="28"/>
      <c r="T227" s="28"/>
      <c r="U227" s="28"/>
      <c r="V227" s="28"/>
      <c r="W227" s="28"/>
      <c r="X227" s="28"/>
      <c r="Y227" s="28"/>
      <c r="Z227" s="28"/>
    </row>
    <row r="228">
      <c r="A228" s="28" t="s">
        <v>8527</v>
      </c>
      <c r="B228" s="28" t="s">
        <v>8032</v>
      </c>
      <c r="C228" s="777">
        <v>43862.0</v>
      </c>
      <c r="D228" s="760" t="s">
        <v>368</v>
      </c>
      <c r="E228" s="760" t="s">
        <v>368</v>
      </c>
      <c r="F228" s="760" t="s">
        <v>8050</v>
      </c>
      <c r="G228" s="760" t="s">
        <v>8618</v>
      </c>
      <c r="H228" s="760"/>
      <c r="I228" s="760" t="s">
        <v>8038</v>
      </c>
      <c r="J228" s="760" t="s">
        <v>4458</v>
      </c>
      <c r="K228" s="760" t="b">
        <v>0</v>
      </c>
      <c r="L228" s="760" t="s">
        <v>4458</v>
      </c>
      <c r="M228" s="760" t="b">
        <v>0</v>
      </c>
      <c r="N228" s="760" t="b">
        <v>0</v>
      </c>
      <c r="O228" s="760"/>
      <c r="P228" s="28"/>
      <c r="Q228" s="28" t="s">
        <v>8169</v>
      </c>
      <c r="R228" s="28"/>
      <c r="S228" s="28"/>
      <c r="T228" s="28"/>
      <c r="U228" s="28"/>
      <c r="V228" s="28"/>
      <c r="W228" s="28"/>
      <c r="X228" s="28"/>
      <c r="Y228" s="28"/>
      <c r="Z228" s="28"/>
    </row>
    <row r="229">
      <c r="A229" s="28" t="s">
        <v>8527</v>
      </c>
      <c r="B229" s="28" t="s">
        <v>8032</v>
      </c>
      <c r="C229" s="777">
        <v>43862.0</v>
      </c>
      <c r="D229" s="760" t="s">
        <v>8279</v>
      </c>
      <c r="E229" s="760" t="s">
        <v>8619</v>
      </c>
      <c r="F229" s="760" t="s">
        <v>7685</v>
      </c>
      <c r="G229" s="760" t="s">
        <v>8620</v>
      </c>
      <c r="H229" s="760"/>
      <c r="I229" s="760" t="s">
        <v>8038</v>
      </c>
      <c r="J229" s="760" t="s">
        <v>8568</v>
      </c>
      <c r="K229" s="760" t="b">
        <v>1</v>
      </c>
      <c r="L229" s="760" t="s">
        <v>4461</v>
      </c>
      <c r="M229" s="760" t="b">
        <v>0</v>
      </c>
      <c r="N229" s="760" t="b">
        <v>0</v>
      </c>
      <c r="O229" s="760"/>
      <c r="P229" s="28"/>
      <c r="Q229" s="774" t="s">
        <v>8621</v>
      </c>
      <c r="R229" s="28"/>
      <c r="S229" s="28"/>
      <c r="T229" s="28"/>
      <c r="U229" s="28"/>
      <c r="V229" s="28"/>
      <c r="W229" s="28"/>
      <c r="X229" s="28"/>
      <c r="Y229" s="28"/>
      <c r="Z229" s="28"/>
    </row>
    <row r="230">
      <c r="A230" s="28" t="s">
        <v>8527</v>
      </c>
      <c r="B230" s="28" t="s">
        <v>8032</v>
      </c>
      <c r="C230" s="777">
        <v>43862.0</v>
      </c>
      <c r="D230" s="760" t="s">
        <v>8622</v>
      </c>
      <c r="E230" s="760" t="s">
        <v>8619</v>
      </c>
      <c r="F230" s="760" t="s">
        <v>8563</v>
      </c>
      <c r="G230" s="760" t="s">
        <v>8623</v>
      </c>
      <c r="H230" s="760"/>
      <c r="I230" s="760" t="s">
        <v>8038</v>
      </c>
      <c r="J230" s="760" t="s">
        <v>4571</v>
      </c>
      <c r="K230" s="760" t="b">
        <v>0</v>
      </c>
      <c r="L230" s="760" t="s">
        <v>4571</v>
      </c>
      <c r="M230" s="760" t="b">
        <v>0</v>
      </c>
      <c r="N230" s="760" t="b">
        <v>0</v>
      </c>
      <c r="O230" s="760"/>
      <c r="P230" s="28"/>
      <c r="Q230" s="28" t="s">
        <v>8169</v>
      </c>
      <c r="R230" s="28"/>
      <c r="S230" s="28"/>
      <c r="T230" s="28"/>
      <c r="U230" s="28"/>
      <c r="V230" s="28"/>
      <c r="W230" s="28"/>
      <c r="X230" s="28"/>
      <c r="Y230" s="28"/>
      <c r="Z230" s="28"/>
    </row>
    <row r="231">
      <c r="A231" s="28" t="s">
        <v>8527</v>
      </c>
      <c r="B231" s="28" t="s">
        <v>8032</v>
      </c>
      <c r="C231" s="777">
        <v>43862.0</v>
      </c>
      <c r="D231" s="760" t="s">
        <v>3557</v>
      </c>
      <c r="E231" s="760" t="s">
        <v>8624</v>
      </c>
      <c r="F231" s="760" t="s">
        <v>7701</v>
      </c>
      <c r="G231" s="760" t="s">
        <v>8625</v>
      </c>
      <c r="H231" s="760"/>
      <c r="I231" s="760" t="s">
        <v>8038</v>
      </c>
      <c r="J231" s="760" t="s">
        <v>7700</v>
      </c>
      <c r="K231" s="760" t="b">
        <v>0</v>
      </c>
      <c r="L231" s="760" t="s">
        <v>7700</v>
      </c>
      <c r="M231" s="760" t="b">
        <v>0</v>
      </c>
      <c r="N231" s="760" t="b">
        <v>0</v>
      </c>
      <c r="O231" s="760"/>
      <c r="P231" s="28"/>
      <c r="Q231" s="774" t="s">
        <v>8626</v>
      </c>
      <c r="R231" s="28"/>
      <c r="S231" s="28"/>
      <c r="T231" s="28"/>
      <c r="U231" s="28"/>
      <c r="V231" s="28"/>
      <c r="W231" s="28"/>
      <c r="X231" s="28"/>
      <c r="Y231" s="28"/>
      <c r="Z231" s="28"/>
    </row>
    <row r="232">
      <c r="A232" s="28" t="s">
        <v>8527</v>
      </c>
      <c r="B232" s="28" t="s">
        <v>8032</v>
      </c>
      <c r="C232" s="777">
        <v>43862.0</v>
      </c>
      <c r="D232" s="760" t="s">
        <v>368</v>
      </c>
      <c r="E232" s="760" t="s">
        <v>8627</v>
      </c>
      <c r="F232" s="760" t="s">
        <v>7685</v>
      </c>
      <c r="G232" s="760" t="s">
        <v>8628</v>
      </c>
      <c r="H232" s="760"/>
      <c r="I232" s="760" t="s">
        <v>8038</v>
      </c>
      <c r="J232" s="760" t="s">
        <v>4503</v>
      </c>
      <c r="K232" s="760" t="b">
        <v>1</v>
      </c>
      <c r="L232" s="760" t="s">
        <v>4461</v>
      </c>
      <c r="M232" s="760" t="b">
        <v>0</v>
      </c>
      <c r="N232" s="760" t="b">
        <v>0</v>
      </c>
      <c r="O232" s="760"/>
      <c r="P232" s="28"/>
      <c r="Q232" s="28" t="s">
        <v>8629</v>
      </c>
      <c r="R232" s="28"/>
      <c r="S232" s="28"/>
      <c r="T232" s="28"/>
      <c r="U232" s="28"/>
      <c r="V232" s="28"/>
      <c r="W232" s="28"/>
      <c r="X232" s="28"/>
      <c r="Y232" s="28"/>
      <c r="Z232" s="28"/>
    </row>
    <row r="233">
      <c r="A233" s="28" t="s">
        <v>8527</v>
      </c>
      <c r="B233" s="28" t="s">
        <v>8032</v>
      </c>
      <c r="C233" s="777">
        <v>43862.0</v>
      </c>
      <c r="D233" s="28" t="s">
        <v>8630</v>
      </c>
      <c r="E233" s="28" t="s">
        <v>8631</v>
      </c>
      <c r="F233" s="28" t="s">
        <v>7731</v>
      </c>
      <c r="G233" s="28" t="s">
        <v>8632</v>
      </c>
      <c r="H233" s="28"/>
      <c r="I233" s="28" t="s">
        <v>8633</v>
      </c>
      <c r="J233" s="28" t="s">
        <v>8634</v>
      </c>
      <c r="K233" s="28" t="b">
        <v>0</v>
      </c>
      <c r="L233" s="28" t="s">
        <v>7730</v>
      </c>
      <c r="M233" s="28" t="b">
        <v>0</v>
      </c>
      <c r="N233" s="28" t="b">
        <v>0</v>
      </c>
      <c r="O233" s="28"/>
      <c r="P233" s="28"/>
      <c r="Q233" s="28" t="s">
        <v>8329</v>
      </c>
      <c r="R233" s="28"/>
      <c r="S233" s="28"/>
      <c r="T233" s="28"/>
      <c r="U233" s="28"/>
      <c r="V233" s="28"/>
      <c r="W233" s="28"/>
      <c r="X233" s="28"/>
      <c r="Y233" s="28"/>
      <c r="Z233" s="28"/>
    </row>
    <row r="234">
      <c r="A234" s="28" t="s">
        <v>8527</v>
      </c>
      <c r="B234" s="28" t="s">
        <v>8032</v>
      </c>
      <c r="C234" s="777">
        <v>43862.0</v>
      </c>
      <c r="D234" s="28" t="s">
        <v>8635</v>
      </c>
      <c r="E234" s="28" t="s">
        <v>8635</v>
      </c>
      <c r="F234" s="28" t="s">
        <v>7782</v>
      </c>
      <c r="G234" s="28" t="s">
        <v>8636</v>
      </c>
      <c r="H234" s="28"/>
      <c r="I234" s="28" t="s">
        <v>8038</v>
      </c>
      <c r="J234" s="28" t="s">
        <v>4521</v>
      </c>
      <c r="K234" s="28" t="b">
        <v>0</v>
      </c>
      <c r="L234" s="28" t="s">
        <v>4521</v>
      </c>
      <c r="M234" s="28" t="b">
        <v>0</v>
      </c>
      <c r="N234" s="28" t="b">
        <v>0</v>
      </c>
      <c r="O234" s="28"/>
      <c r="P234" s="28"/>
      <c r="Q234" s="28" t="s">
        <v>8629</v>
      </c>
      <c r="R234" s="28"/>
      <c r="S234" s="28"/>
      <c r="T234" s="28"/>
      <c r="U234" s="28"/>
      <c r="V234" s="28"/>
      <c r="W234" s="28"/>
      <c r="X234" s="28"/>
      <c r="Y234" s="28"/>
      <c r="Z234" s="28"/>
    </row>
    <row r="235">
      <c r="A235" s="28" t="s">
        <v>8527</v>
      </c>
      <c r="B235" s="28" t="s">
        <v>8032</v>
      </c>
      <c r="C235" s="777">
        <v>43922.0</v>
      </c>
      <c r="D235" s="760" t="s">
        <v>8637</v>
      </c>
      <c r="E235" s="760" t="s">
        <v>8638</v>
      </c>
      <c r="F235" s="760" t="s">
        <v>8639</v>
      </c>
      <c r="G235" s="760" t="s">
        <v>8640</v>
      </c>
      <c r="H235" s="760"/>
      <c r="I235" s="760" t="s">
        <v>8641</v>
      </c>
      <c r="J235" s="760" t="s">
        <v>4611</v>
      </c>
      <c r="K235" s="760" t="b">
        <v>0</v>
      </c>
      <c r="L235" s="760" t="s">
        <v>4611</v>
      </c>
      <c r="M235" s="760" t="b">
        <v>0</v>
      </c>
      <c r="N235" s="760" t="b">
        <v>0</v>
      </c>
      <c r="O235" s="760"/>
      <c r="P235" s="28"/>
      <c r="Q235" s="28" t="s">
        <v>8629</v>
      </c>
      <c r="R235" s="28"/>
      <c r="S235" s="28"/>
      <c r="T235" s="28"/>
      <c r="U235" s="28"/>
      <c r="V235" s="28"/>
      <c r="W235" s="28"/>
      <c r="X235" s="28"/>
      <c r="Y235" s="28"/>
      <c r="Z235" s="28"/>
    </row>
    <row r="236">
      <c r="A236" s="28" t="s">
        <v>8527</v>
      </c>
      <c r="B236" s="28" t="s">
        <v>8032</v>
      </c>
      <c r="C236" s="777">
        <v>43922.0</v>
      </c>
      <c r="D236" s="28" t="s">
        <v>8637</v>
      </c>
      <c r="E236" s="28" t="s">
        <v>8638</v>
      </c>
      <c r="F236" s="28" t="s">
        <v>8639</v>
      </c>
      <c r="G236" s="28" t="s">
        <v>8640</v>
      </c>
      <c r="H236" s="28"/>
      <c r="I236" s="28" t="s">
        <v>8641</v>
      </c>
      <c r="J236" s="28" t="s">
        <v>4611</v>
      </c>
      <c r="K236" s="28" t="b">
        <v>0</v>
      </c>
      <c r="L236" s="28" t="s">
        <v>4611</v>
      </c>
      <c r="M236" s="28" t="b">
        <v>0</v>
      </c>
      <c r="N236" s="28" t="b">
        <v>0</v>
      </c>
      <c r="O236" s="28"/>
      <c r="P236" s="28"/>
      <c r="Q236" s="28" t="s">
        <v>8629</v>
      </c>
      <c r="R236" s="28"/>
      <c r="S236" s="28"/>
      <c r="T236" s="28"/>
      <c r="U236" s="28"/>
      <c r="V236" s="28"/>
      <c r="W236" s="28"/>
      <c r="X236" s="28"/>
      <c r="Y236" s="28"/>
      <c r="Z236" s="28"/>
    </row>
    <row r="237">
      <c r="A237" s="28" t="s">
        <v>8527</v>
      </c>
      <c r="B237" s="28" t="s">
        <v>8032</v>
      </c>
      <c r="C237" s="777">
        <v>43983.0</v>
      </c>
      <c r="D237" s="28" t="s">
        <v>8642</v>
      </c>
      <c r="E237" s="28" t="s">
        <v>8643</v>
      </c>
      <c r="F237" s="28" t="s">
        <v>8087</v>
      </c>
      <c r="G237" s="28" t="s">
        <v>8644</v>
      </c>
      <c r="H237" s="28"/>
      <c r="I237" s="28" t="s">
        <v>8645</v>
      </c>
      <c r="J237" s="28" t="s">
        <v>8088</v>
      </c>
      <c r="K237" s="28" t="b">
        <v>0</v>
      </c>
      <c r="L237" s="28" t="s">
        <v>8088</v>
      </c>
      <c r="M237" s="28" t="b">
        <v>0</v>
      </c>
      <c r="N237" s="28" t="b">
        <v>0</v>
      </c>
      <c r="O237" s="28"/>
      <c r="P237" s="28"/>
      <c r="Q237" s="28" t="s">
        <v>8169</v>
      </c>
      <c r="R237" s="28"/>
      <c r="S237" s="28"/>
      <c r="T237" s="28"/>
      <c r="U237" s="28"/>
      <c r="V237" s="28"/>
      <c r="W237" s="28"/>
      <c r="X237" s="28"/>
      <c r="Y237" s="28"/>
      <c r="Z237" s="28"/>
    </row>
    <row r="238">
      <c r="A238" s="28" t="s">
        <v>8527</v>
      </c>
      <c r="B238" s="28" t="s">
        <v>8032</v>
      </c>
      <c r="C238" s="777">
        <v>43983.0</v>
      </c>
      <c r="D238" s="28" t="s">
        <v>8646</v>
      </c>
      <c r="E238" s="28" t="s">
        <v>8647</v>
      </c>
      <c r="F238" s="28" t="s">
        <v>7731</v>
      </c>
      <c r="G238" s="28" t="s">
        <v>8648</v>
      </c>
      <c r="H238" s="28"/>
      <c r="I238" s="28" t="s">
        <v>8649</v>
      </c>
      <c r="J238" s="28" t="s">
        <v>7730</v>
      </c>
      <c r="K238" s="28" t="b">
        <v>0</v>
      </c>
      <c r="L238" s="28" t="s">
        <v>7730</v>
      </c>
      <c r="M238" s="28" t="b">
        <v>0</v>
      </c>
      <c r="N238" s="28" t="b">
        <v>0</v>
      </c>
      <c r="O238" s="28"/>
      <c r="P238" s="28"/>
      <c r="Q238" s="28" t="s">
        <v>8169</v>
      </c>
      <c r="R238" s="28"/>
      <c r="S238" s="28"/>
      <c r="T238" s="28"/>
      <c r="U238" s="28"/>
      <c r="V238" s="28"/>
      <c r="W238" s="28"/>
      <c r="X238" s="28"/>
      <c r="Y238" s="28"/>
      <c r="Z238" s="28"/>
    </row>
    <row r="239">
      <c r="A239" s="28" t="s">
        <v>8527</v>
      </c>
      <c r="B239" s="28" t="s">
        <v>8032</v>
      </c>
      <c r="C239" s="777">
        <v>43983.0</v>
      </c>
      <c r="D239" s="760" t="s">
        <v>8650</v>
      </c>
      <c r="E239" s="760" t="s">
        <v>8650</v>
      </c>
      <c r="F239" s="760" t="s">
        <v>8651</v>
      </c>
      <c r="G239" s="760" t="s">
        <v>8652</v>
      </c>
      <c r="H239" s="760"/>
      <c r="I239" s="760" t="s">
        <v>8038</v>
      </c>
      <c r="J239" s="760" t="s">
        <v>4593</v>
      </c>
      <c r="K239" s="760" t="b">
        <v>0</v>
      </c>
      <c r="L239" s="760" t="s">
        <v>4593</v>
      </c>
      <c r="M239" s="760" t="b">
        <v>0</v>
      </c>
      <c r="N239" s="760" t="b">
        <v>0</v>
      </c>
      <c r="O239" s="760"/>
      <c r="P239" s="28"/>
      <c r="Q239" s="28" t="s">
        <v>8629</v>
      </c>
      <c r="R239" s="28"/>
      <c r="S239" s="28"/>
      <c r="T239" s="28"/>
      <c r="U239" s="28"/>
      <c r="V239" s="28"/>
      <c r="W239" s="28"/>
      <c r="X239" s="28"/>
      <c r="Y239" s="28"/>
      <c r="Z239" s="28"/>
    </row>
    <row r="240">
      <c r="A240" s="28" t="s">
        <v>8527</v>
      </c>
      <c r="B240" s="28" t="s">
        <v>8032</v>
      </c>
      <c r="C240" s="777">
        <v>43983.0</v>
      </c>
      <c r="D240" s="28" t="s">
        <v>1728</v>
      </c>
      <c r="E240" s="28" t="s">
        <v>1728</v>
      </c>
      <c r="F240" s="28" t="s">
        <v>8653</v>
      </c>
      <c r="G240" s="28" t="s">
        <v>8654</v>
      </c>
      <c r="H240" s="28"/>
      <c r="I240" s="28" t="s">
        <v>8038</v>
      </c>
      <c r="J240" s="28" t="s">
        <v>5080</v>
      </c>
      <c r="K240" s="28" t="b">
        <v>0</v>
      </c>
      <c r="L240" s="28" t="s">
        <v>5080</v>
      </c>
      <c r="M240" s="28" t="b">
        <v>0</v>
      </c>
      <c r="N240" s="28" t="b">
        <v>0</v>
      </c>
      <c r="O240" s="28"/>
      <c r="P240" s="28"/>
      <c r="Q240" s="28" t="s">
        <v>8655</v>
      </c>
      <c r="R240" s="28"/>
      <c r="S240" s="28"/>
      <c r="T240" s="28"/>
      <c r="U240" s="28"/>
      <c r="V240" s="28"/>
      <c r="W240" s="28"/>
      <c r="X240" s="28"/>
      <c r="Y240" s="28"/>
      <c r="Z240" s="28"/>
    </row>
    <row r="241">
      <c r="A241" s="28" t="s">
        <v>8527</v>
      </c>
      <c r="B241" s="28" t="s">
        <v>8032</v>
      </c>
      <c r="C241" s="777">
        <v>43983.0</v>
      </c>
      <c r="D241" s="28" t="s">
        <v>8656</v>
      </c>
      <c r="E241" s="28" t="s">
        <v>8657</v>
      </c>
      <c r="F241" s="28" t="s">
        <v>7701</v>
      </c>
      <c r="G241" s="28" t="s">
        <v>8658</v>
      </c>
      <c r="H241" s="28"/>
      <c r="I241" s="28" t="s">
        <v>8659</v>
      </c>
      <c r="J241" s="28" t="s">
        <v>4517</v>
      </c>
      <c r="K241" s="28" t="b">
        <v>0</v>
      </c>
      <c r="L241" s="28" t="s">
        <v>7700</v>
      </c>
      <c r="M241" s="28" t="b">
        <v>0</v>
      </c>
      <c r="N241" s="28" t="b">
        <v>0</v>
      </c>
      <c r="O241" s="28"/>
      <c r="P241" s="28"/>
      <c r="Q241" s="28" t="s">
        <v>8169</v>
      </c>
      <c r="R241" s="28"/>
      <c r="S241" s="28"/>
      <c r="T241" s="28"/>
      <c r="U241" s="28"/>
      <c r="V241" s="28"/>
      <c r="W241" s="28"/>
      <c r="X241" s="28"/>
      <c r="Y241" s="28"/>
      <c r="Z241" s="28"/>
    </row>
    <row r="242">
      <c r="A242" s="28" t="s">
        <v>8527</v>
      </c>
      <c r="B242" s="28" t="s">
        <v>8032</v>
      </c>
      <c r="C242" s="777">
        <v>43983.0</v>
      </c>
      <c r="D242" s="760" t="s">
        <v>8660</v>
      </c>
      <c r="E242" s="760" t="s">
        <v>8661</v>
      </c>
      <c r="F242" s="760" t="s">
        <v>8662</v>
      </c>
      <c r="G242" s="760" t="s">
        <v>8663</v>
      </c>
      <c r="H242" s="760"/>
      <c r="I242" s="760" t="s">
        <v>8038</v>
      </c>
      <c r="J242" s="760" t="s">
        <v>4545</v>
      </c>
      <c r="K242" s="760" t="b">
        <v>0</v>
      </c>
      <c r="L242" s="760" t="s">
        <v>4545</v>
      </c>
      <c r="M242" s="760" t="b">
        <v>0</v>
      </c>
      <c r="N242" s="760" t="b">
        <v>0</v>
      </c>
      <c r="O242" s="760"/>
      <c r="P242" s="28"/>
      <c r="Q242" s="28" t="s">
        <v>8655</v>
      </c>
      <c r="R242" s="28"/>
      <c r="S242" s="28"/>
      <c r="T242" s="28"/>
      <c r="U242" s="28"/>
      <c r="V242" s="28"/>
      <c r="W242" s="28"/>
      <c r="X242" s="28"/>
      <c r="Y242" s="28"/>
      <c r="Z242" s="28"/>
    </row>
    <row r="243">
      <c r="A243" s="28" t="s">
        <v>8527</v>
      </c>
      <c r="B243" s="28" t="s">
        <v>8032</v>
      </c>
      <c r="C243" s="777">
        <v>43983.0</v>
      </c>
      <c r="D243" s="28" t="s">
        <v>8068</v>
      </c>
      <c r="E243" s="28" t="s">
        <v>8664</v>
      </c>
      <c r="F243" s="28" t="s">
        <v>7685</v>
      </c>
      <c r="G243" s="28" t="s">
        <v>8665</v>
      </c>
      <c r="H243" s="28"/>
      <c r="I243" s="28" t="s">
        <v>8038</v>
      </c>
      <c r="J243" s="28" t="s">
        <v>7712</v>
      </c>
      <c r="K243" s="28" t="b">
        <v>1</v>
      </c>
      <c r="L243" s="28" t="s">
        <v>4461</v>
      </c>
      <c r="M243" s="28" t="b">
        <v>0</v>
      </c>
      <c r="N243" s="28" t="b">
        <v>0</v>
      </c>
      <c r="O243" s="28"/>
      <c r="P243" s="28"/>
      <c r="Q243" s="28" t="s">
        <v>8169</v>
      </c>
      <c r="R243" s="28"/>
      <c r="S243" s="28"/>
      <c r="T243" s="28"/>
      <c r="U243" s="28"/>
      <c r="V243" s="28"/>
      <c r="W243" s="28"/>
      <c r="X243" s="28"/>
      <c r="Y243" s="28"/>
      <c r="Z243" s="28"/>
    </row>
    <row r="244">
      <c r="A244" s="28" t="s">
        <v>8527</v>
      </c>
      <c r="B244" s="28" t="s">
        <v>8032</v>
      </c>
      <c r="C244" s="777">
        <v>44044.0</v>
      </c>
      <c r="D244" s="28" t="s">
        <v>8666</v>
      </c>
      <c r="E244" s="28" t="s">
        <v>8667</v>
      </c>
      <c r="F244" s="28" t="s">
        <v>7731</v>
      </c>
      <c r="G244" s="778" t="s">
        <v>8668</v>
      </c>
      <c r="H244" s="778" t="s">
        <v>8669</v>
      </c>
      <c r="I244" s="28" t="s">
        <v>8670</v>
      </c>
      <c r="J244" s="28" t="s">
        <v>7730</v>
      </c>
      <c r="K244" s="28" t="b">
        <v>0</v>
      </c>
      <c r="L244" s="28" t="s">
        <v>7730</v>
      </c>
      <c r="M244" s="28" t="b">
        <v>0</v>
      </c>
      <c r="N244" s="28" t="b">
        <v>0</v>
      </c>
      <c r="O244" s="28"/>
      <c r="P244" s="28"/>
      <c r="Q244" s="28" t="s">
        <v>8169</v>
      </c>
      <c r="R244" s="28"/>
      <c r="S244" s="28"/>
      <c r="T244" s="28"/>
      <c r="U244" s="28"/>
      <c r="V244" s="28"/>
      <c r="W244" s="28"/>
      <c r="X244" s="28"/>
      <c r="Y244" s="28"/>
      <c r="Z244" s="28"/>
    </row>
    <row r="245">
      <c r="A245" s="28" t="s">
        <v>8527</v>
      </c>
      <c r="B245" s="28" t="s">
        <v>8032</v>
      </c>
      <c r="C245" s="777">
        <v>44044.0</v>
      </c>
      <c r="D245" s="28" t="s">
        <v>8671</v>
      </c>
      <c r="E245" s="28" t="s">
        <v>8672</v>
      </c>
      <c r="F245" s="28" t="s">
        <v>7674</v>
      </c>
      <c r="G245" s="778" t="s">
        <v>8673</v>
      </c>
      <c r="H245" s="28"/>
      <c r="I245" s="28" t="s">
        <v>8038</v>
      </c>
      <c r="J245" s="28" t="s">
        <v>4503</v>
      </c>
      <c r="K245" s="28" t="b">
        <v>0</v>
      </c>
      <c r="L245" s="28" t="s">
        <v>4503</v>
      </c>
      <c r="M245" s="28" t="b">
        <v>0</v>
      </c>
      <c r="N245" s="28" t="b">
        <v>0</v>
      </c>
      <c r="O245" s="28"/>
      <c r="P245" s="28"/>
      <c r="Q245" s="28" t="s">
        <v>8155</v>
      </c>
      <c r="R245" s="28"/>
      <c r="S245" s="28"/>
      <c r="T245" s="28"/>
      <c r="U245" s="28"/>
      <c r="V245" s="28"/>
      <c r="W245" s="28"/>
      <c r="X245" s="28"/>
      <c r="Y245" s="28"/>
      <c r="Z245" s="28"/>
    </row>
    <row r="246">
      <c r="A246" s="28" t="s">
        <v>8527</v>
      </c>
      <c r="B246" s="28" t="s">
        <v>8032</v>
      </c>
      <c r="C246" s="777">
        <v>44044.0</v>
      </c>
      <c r="D246" s="760" t="s">
        <v>3582</v>
      </c>
      <c r="E246" s="760" t="s">
        <v>8674</v>
      </c>
      <c r="F246" s="760" t="s">
        <v>7685</v>
      </c>
      <c r="G246" s="779" t="s">
        <v>8675</v>
      </c>
      <c r="H246" s="760"/>
      <c r="I246" s="760" t="s">
        <v>8038</v>
      </c>
      <c r="J246" s="760" t="s">
        <v>4461</v>
      </c>
      <c r="K246" s="760" t="b">
        <v>1</v>
      </c>
      <c r="L246" s="760" t="s">
        <v>4461</v>
      </c>
      <c r="M246" s="760" t="b">
        <v>0</v>
      </c>
      <c r="N246" s="760" t="b">
        <v>0</v>
      </c>
      <c r="O246" s="760"/>
      <c r="P246" s="28"/>
      <c r="Q246" s="28" t="s">
        <v>8169</v>
      </c>
      <c r="R246" s="28"/>
      <c r="S246" s="28"/>
      <c r="T246" s="28"/>
      <c r="U246" s="28"/>
      <c r="V246" s="28"/>
      <c r="W246" s="28"/>
      <c r="X246" s="28"/>
      <c r="Y246" s="28"/>
      <c r="Z246" s="28"/>
    </row>
    <row r="247">
      <c r="A247" s="28" t="s">
        <v>8527</v>
      </c>
      <c r="B247" s="28" t="s">
        <v>8032</v>
      </c>
      <c r="C247" s="777">
        <v>44044.0</v>
      </c>
      <c r="D247" s="760" t="s">
        <v>8287</v>
      </c>
      <c r="E247" s="760" t="s">
        <v>8676</v>
      </c>
      <c r="F247" s="760" t="s">
        <v>7685</v>
      </c>
      <c r="G247" s="779" t="s">
        <v>8677</v>
      </c>
      <c r="H247" s="760"/>
      <c r="I247" s="760" t="s">
        <v>8038</v>
      </c>
      <c r="J247" s="760" t="s">
        <v>8678</v>
      </c>
      <c r="K247" s="760" t="b">
        <v>1</v>
      </c>
      <c r="L247" s="760" t="s">
        <v>4461</v>
      </c>
      <c r="M247" s="760" t="b">
        <v>0</v>
      </c>
      <c r="N247" s="760" t="b">
        <v>0</v>
      </c>
      <c r="O247" s="760"/>
      <c r="P247" s="28"/>
      <c r="Q247" s="28" t="s">
        <v>8155</v>
      </c>
      <c r="R247" s="28"/>
      <c r="S247" s="28"/>
      <c r="T247" s="28"/>
      <c r="U247" s="28"/>
      <c r="V247" s="28"/>
      <c r="W247" s="28"/>
      <c r="X247" s="28"/>
      <c r="Y247" s="28"/>
      <c r="Z247" s="28"/>
    </row>
    <row r="248">
      <c r="A248" s="28" t="s">
        <v>8527</v>
      </c>
      <c r="B248" s="28" t="s">
        <v>8032</v>
      </c>
      <c r="C248" s="777">
        <v>44044.0</v>
      </c>
      <c r="D248" s="760" t="s">
        <v>2864</v>
      </c>
      <c r="E248" s="760" t="s">
        <v>2888</v>
      </c>
      <c r="F248" s="760" t="s">
        <v>7701</v>
      </c>
      <c r="G248" s="779" t="s">
        <v>8679</v>
      </c>
      <c r="H248" s="760"/>
      <c r="I248" s="760" t="s">
        <v>8038</v>
      </c>
      <c r="J248" s="760" t="s">
        <v>7700</v>
      </c>
      <c r="K248" s="760" t="b">
        <v>0</v>
      </c>
      <c r="L248" s="760" t="s">
        <v>7700</v>
      </c>
      <c r="M248" s="760" t="b">
        <v>0</v>
      </c>
      <c r="N248" s="760" t="b">
        <v>0</v>
      </c>
      <c r="O248" s="760"/>
      <c r="P248" s="28"/>
      <c r="Q248" s="28" t="s">
        <v>8155</v>
      </c>
      <c r="R248" s="28"/>
      <c r="S248" s="28"/>
      <c r="T248" s="28"/>
      <c r="U248" s="28"/>
      <c r="V248" s="28"/>
      <c r="W248" s="28"/>
      <c r="X248" s="28"/>
      <c r="Y248" s="28"/>
      <c r="Z248" s="28"/>
    </row>
    <row r="249">
      <c r="A249" s="28" t="s">
        <v>8527</v>
      </c>
      <c r="B249" s="28" t="s">
        <v>8032</v>
      </c>
      <c r="C249" s="777">
        <v>44105.0</v>
      </c>
      <c r="D249" s="28" t="s">
        <v>8680</v>
      </c>
      <c r="E249" s="28" t="s">
        <v>8681</v>
      </c>
      <c r="F249" s="28" t="s">
        <v>8682</v>
      </c>
      <c r="G249" s="28" t="s">
        <v>8683</v>
      </c>
      <c r="H249" s="28"/>
      <c r="I249" s="28" t="s">
        <v>8038</v>
      </c>
      <c r="J249" s="28" t="s">
        <v>4521</v>
      </c>
      <c r="K249" s="28" t="b">
        <v>0</v>
      </c>
      <c r="L249" s="28" t="s">
        <v>4521</v>
      </c>
      <c r="M249" s="28" t="b">
        <v>0</v>
      </c>
      <c r="N249" s="28" t="b">
        <v>0</v>
      </c>
      <c r="O249" s="28"/>
      <c r="P249" s="28"/>
      <c r="Q249" s="774" t="s">
        <v>8684</v>
      </c>
      <c r="R249" s="28"/>
      <c r="S249" s="28"/>
      <c r="T249" s="28"/>
      <c r="U249" s="28"/>
      <c r="V249" s="28"/>
      <c r="W249" s="28"/>
      <c r="X249" s="28"/>
      <c r="Y249" s="28"/>
      <c r="Z249" s="28"/>
    </row>
    <row r="250">
      <c r="A250" s="28" t="s">
        <v>8527</v>
      </c>
      <c r="B250" s="28" t="s">
        <v>8032</v>
      </c>
      <c r="C250" s="777">
        <v>44105.0</v>
      </c>
      <c r="D250" s="760" t="s">
        <v>8498</v>
      </c>
      <c r="E250" s="760" t="s">
        <v>8498</v>
      </c>
      <c r="F250" s="760" t="s">
        <v>7701</v>
      </c>
      <c r="G250" s="760" t="s">
        <v>8685</v>
      </c>
      <c r="H250" s="760"/>
      <c r="I250" s="760" t="s">
        <v>8038</v>
      </c>
      <c r="J250" s="760" t="s">
        <v>7700</v>
      </c>
      <c r="K250" s="760" t="b">
        <v>0</v>
      </c>
      <c r="L250" s="760" t="s">
        <v>7700</v>
      </c>
      <c r="M250" s="760" t="b">
        <v>0</v>
      </c>
      <c r="N250" s="760" t="b">
        <v>0</v>
      </c>
      <c r="O250" s="760"/>
      <c r="P250" s="28"/>
      <c r="Q250" s="28" t="s">
        <v>8629</v>
      </c>
      <c r="R250" s="28"/>
      <c r="S250" s="28"/>
      <c r="T250" s="28"/>
      <c r="U250" s="28"/>
      <c r="V250" s="28"/>
      <c r="W250" s="28"/>
      <c r="X250" s="28"/>
      <c r="Y250" s="28"/>
      <c r="Z250" s="28"/>
    </row>
    <row r="251">
      <c r="A251" s="28" t="s">
        <v>8527</v>
      </c>
      <c r="B251" s="28" t="s">
        <v>8032</v>
      </c>
      <c r="C251" s="777">
        <v>44105.0</v>
      </c>
      <c r="D251" s="28" t="s">
        <v>8686</v>
      </c>
      <c r="E251" s="28" t="s">
        <v>8687</v>
      </c>
      <c r="F251" s="28" t="s">
        <v>7731</v>
      </c>
      <c r="G251" s="28" t="s">
        <v>8688</v>
      </c>
      <c r="H251" s="28"/>
      <c r="I251" s="28" t="s">
        <v>8689</v>
      </c>
      <c r="J251" s="28" t="s">
        <v>7730</v>
      </c>
      <c r="K251" s="28" t="b">
        <v>0</v>
      </c>
      <c r="L251" s="28" t="s">
        <v>7730</v>
      </c>
      <c r="M251" s="28" t="b">
        <v>0</v>
      </c>
      <c r="N251" s="28" t="b">
        <v>0</v>
      </c>
      <c r="O251" s="28"/>
      <c r="P251" s="28"/>
      <c r="Q251" s="28" t="s">
        <v>8342</v>
      </c>
      <c r="R251" s="28"/>
      <c r="S251" s="28"/>
      <c r="T251" s="28"/>
      <c r="U251" s="28"/>
      <c r="V251" s="28"/>
      <c r="W251" s="28"/>
      <c r="X251" s="28"/>
      <c r="Y251" s="28"/>
      <c r="Z251" s="28"/>
    </row>
    <row r="252">
      <c r="A252" s="28" t="s">
        <v>8527</v>
      </c>
      <c r="B252" s="28" t="s">
        <v>8032</v>
      </c>
      <c r="C252" s="777">
        <v>44105.0</v>
      </c>
      <c r="D252" s="760" t="s">
        <v>8690</v>
      </c>
      <c r="E252" s="760" t="s">
        <v>6316</v>
      </c>
      <c r="F252" s="760" t="s">
        <v>8186</v>
      </c>
      <c r="G252" s="760" t="s">
        <v>8691</v>
      </c>
      <c r="H252" s="760"/>
      <c r="I252" s="760" t="s">
        <v>8692</v>
      </c>
      <c r="J252" s="760" t="s">
        <v>8188</v>
      </c>
      <c r="K252" s="760" t="b">
        <v>0</v>
      </c>
      <c r="L252" s="760" t="s">
        <v>8188</v>
      </c>
      <c r="M252" s="760" t="b">
        <v>0</v>
      </c>
      <c r="N252" s="760" t="b">
        <v>0</v>
      </c>
      <c r="O252" s="760"/>
      <c r="P252" s="28"/>
      <c r="Q252" s="28" t="s">
        <v>8629</v>
      </c>
      <c r="R252" s="28"/>
      <c r="S252" s="28"/>
      <c r="T252" s="28"/>
      <c r="U252" s="28"/>
      <c r="V252" s="28"/>
      <c r="W252" s="28"/>
      <c r="X252" s="28"/>
      <c r="Y252" s="28"/>
      <c r="Z252" s="28"/>
    </row>
    <row r="253">
      <c r="A253" s="28" t="s">
        <v>8527</v>
      </c>
      <c r="B253" s="28" t="s">
        <v>8032</v>
      </c>
      <c r="C253" s="777">
        <v>44105.0</v>
      </c>
      <c r="D253" s="760" t="s">
        <v>8693</v>
      </c>
      <c r="E253" s="760" t="s">
        <v>8693</v>
      </c>
      <c r="F253" s="760" t="s">
        <v>7710</v>
      </c>
      <c r="G253" s="760" t="s">
        <v>8694</v>
      </c>
      <c r="H253" s="760"/>
      <c r="I253" s="760" t="s">
        <v>8038</v>
      </c>
      <c r="J253" s="760" t="s">
        <v>7709</v>
      </c>
      <c r="K253" s="760" t="b">
        <v>0</v>
      </c>
      <c r="L253" s="760" t="s">
        <v>7709</v>
      </c>
      <c r="M253" s="760" t="b">
        <v>0</v>
      </c>
      <c r="N253" s="760" t="b">
        <v>0</v>
      </c>
      <c r="O253" s="760"/>
      <c r="P253" s="28"/>
      <c r="Q253" s="28" t="s">
        <v>8629</v>
      </c>
      <c r="R253" s="28"/>
      <c r="S253" s="28"/>
      <c r="T253" s="28"/>
      <c r="U253" s="28"/>
      <c r="V253" s="28"/>
      <c r="W253" s="28"/>
      <c r="X253" s="28"/>
      <c r="Y253" s="28"/>
      <c r="Z253" s="28"/>
    </row>
    <row r="254">
      <c r="A254" s="28" t="s">
        <v>8527</v>
      </c>
      <c r="B254" s="28" t="s">
        <v>8032</v>
      </c>
      <c r="C254" s="780">
        <v>44105.0</v>
      </c>
      <c r="D254" s="760" t="s">
        <v>8591</v>
      </c>
      <c r="E254" s="760" t="s">
        <v>8591</v>
      </c>
      <c r="F254" s="760" t="s">
        <v>8345</v>
      </c>
      <c r="G254" s="760" t="s">
        <v>8695</v>
      </c>
      <c r="H254" s="760"/>
      <c r="I254" s="760" t="s">
        <v>8038</v>
      </c>
      <c r="J254" s="760" t="s">
        <v>5056</v>
      </c>
      <c r="K254" s="760" t="b">
        <v>0</v>
      </c>
      <c r="L254" s="760" t="s">
        <v>5056</v>
      </c>
      <c r="M254" s="760" t="b">
        <v>0</v>
      </c>
      <c r="N254" s="760" t="b">
        <v>0</v>
      </c>
      <c r="O254" s="760"/>
      <c r="P254" s="28"/>
      <c r="Q254" s="28" t="s">
        <v>8629</v>
      </c>
      <c r="R254" s="28"/>
      <c r="S254" s="28"/>
      <c r="T254" s="28"/>
      <c r="U254" s="28"/>
      <c r="V254" s="28"/>
      <c r="W254" s="28"/>
      <c r="X254" s="28"/>
      <c r="Y254" s="28"/>
      <c r="Z254" s="28"/>
    </row>
    <row r="255">
      <c r="A255" s="28" t="s">
        <v>8527</v>
      </c>
      <c r="B255" s="28" t="s">
        <v>8032</v>
      </c>
      <c r="C255" s="777">
        <v>44105.0</v>
      </c>
      <c r="D255" s="28" t="s">
        <v>8347</v>
      </c>
      <c r="E255" s="28" t="s">
        <v>8696</v>
      </c>
      <c r="F255" s="28" t="s">
        <v>7701</v>
      </c>
      <c r="G255" s="28" t="s">
        <v>8697</v>
      </c>
      <c r="H255" s="28"/>
      <c r="I255" s="28" t="s">
        <v>8698</v>
      </c>
      <c r="J255" s="28" t="s">
        <v>7700</v>
      </c>
      <c r="K255" s="28" t="b">
        <v>0</v>
      </c>
      <c r="L255" s="28" t="s">
        <v>7700</v>
      </c>
      <c r="M255" s="28" t="b">
        <v>0</v>
      </c>
      <c r="N255" s="28" t="b">
        <v>0</v>
      </c>
      <c r="O255" s="28"/>
      <c r="P255" s="28"/>
      <c r="Q255" s="28" t="s">
        <v>8169</v>
      </c>
      <c r="R255" s="28"/>
      <c r="S255" s="28"/>
      <c r="T255" s="28"/>
      <c r="U255" s="28"/>
      <c r="V255" s="28"/>
      <c r="W255" s="28"/>
      <c r="X255" s="28"/>
      <c r="Y255" s="28"/>
      <c r="Z255" s="28"/>
    </row>
    <row r="256">
      <c r="A256" s="28" t="s">
        <v>8527</v>
      </c>
      <c r="B256" s="760" t="s">
        <v>8032</v>
      </c>
      <c r="C256" s="780">
        <v>44105.0</v>
      </c>
      <c r="D256" s="760" t="s">
        <v>8699</v>
      </c>
      <c r="E256" s="760" t="s">
        <v>8700</v>
      </c>
      <c r="F256" s="760" t="s">
        <v>7782</v>
      </c>
      <c r="G256" s="760" t="s">
        <v>8701</v>
      </c>
      <c r="H256" s="760"/>
      <c r="I256" s="760" t="s">
        <v>8702</v>
      </c>
      <c r="J256" s="760" t="s">
        <v>4521</v>
      </c>
      <c r="K256" s="760" t="b">
        <v>0</v>
      </c>
      <c r="L256" s="760" t="s">
        <v>4521</v>
      </c>
      <c r="M256" s="760" t="b">
        <v>0</v>
      </c>
      <c r="N256" s="760" t="b">
        <v>0</v>
      </c>
      <c r="O256" s="760"/>
      <c r="P256" s="760"/>
      <c r="Q256" s="760" t="s">
        <v>8169</v>
      </c>
      <c r="R256" s="28"/>
      <c r="S256" s="28"/>
      <c r="T256" s="28"/>
      <c r="U256" s="28"/>
      <c r="V256" s="28"/>
      <c r="W256" s="28"/>
      <c r="X256" s="28"/>
      <c r="Y256" s="28"/>
      <c r="Z256" s="28"/>
    </row>
    <row r="257">
      <c r="A257" s="28" t="s">
        <v>8527</v>
      </c>
      <c r="B257" s="28" t="s">
        <v>8032</v>
      </c>
      <c r="C257" s="777">
        <v>44105.0</v>
      </c>
      <c r="D257" s="28" t="s">
        <v>8703</v>
      </c>
      <c r="E257" s="28" t="s">
        <v>5307</v>
      </c>
      <c r="F257" s="28" t="s">
        <v>7731</v>
      </c>
      <c r="G257" s="28" t="s">
        <v>8704</v>
      </c>
      <c r="H257" s="28"/>
      <c r="I257" s="28" t="s">
        <v>8038</v>
      </c>
      <c r="J257" s="28" t="s">
        <v>7730</v>
      </c>
      <c r="K257" s="28" t="b">
        <v>0</v>
      </c>
      <c r="L257" s="28" t="s">
        <v>7730</v>
      </c>
      <c r="M257" s="28" t="b">
        <v>0</v>
      </c>
      <c r="N257" s="28" t="b">
        <v>0</v>
      </c>
      <c r="O257" s="28"/>
      <c r="P257" s="28"/>
      <c r="Q257" s="28" t="s">
        <v>8169</v>
      </c>
      <c r="R257" s="28"/>
      <c r="S257" s="28"/>
      <c r="T257" s="28"/>
      <c r="U257" s="28"/>
      <c r="V257" s="28"/>
      <c r="W257" s="28"/>
      <c r="X257" s="28"/>
      <c r="Y257" s="28"/>
      <c r="Z257" s="28"/>
    </row>
    <row r="258">
      <c r="A258" s="28" t="s">
        <v>8527</v>
      </c>
      <c r="B258" s="760" t="s">
        <v>8032</v>
      </c>
      <c r="C258" s="780">
        <v>44105.0</v>
      </c>
      <c r="D258" s="760" t="s">
        <v>8705</v>
      </c>
      <c r="E258" s="760" t="s">
        <v>8706</v>
      </c>
      <c r="F258" s="760" t="s">
        <v>7731</v>
      </c>
      <c r="G258" s="760" t="s">
        <v>8707</v>
      </c>
      <c r="H258" s="760"/>
      <c r="I258" s="760" t="s">
        <v>8708</v>
      </c>
      <c r="J258" s="760" t="s">
        <v>7730</v>
      </c>
      <c r="K258" s="760" t="b">
        <v>0</v>
      </c>
      <c r="L258" s="760" t="s">
        <v>7730</v>
      </c>
      <c r="M258" s="760" t="b">
        <v>0</v>
      </c>
      <c r="N258" s="760" t="b">
        <v>0</v>
      </c>
      <c r="O258" s="28"/>
      <c r="P258" s="28"/>
      <c r="Q258" s="28" t="s">
        <v>8169</v>
      </c>
      <c r="R258" s="28"/>
      <c r="S258" s="28"/>
      <c r="T258" s="28"/>
      <c r="U258" s="28"/>
      <c r="V258" s="28"/>
      <c r="W258" s="28"/>
      <c r="X258" s="28"/>
      <c r="Y258" s="28"/>
      <c r="Z258" s="28"/>
    </row>
    <row r="259">
      <c r="A259" s="28" t="s">
        <v>8527</v>
      </c>
      <c r="B259" s="760" t="s">
        <v>8032</v>
      </c>
      <c r="C259" s="780">
        <v>44105.0</v>
      </c>
      <c r="D259" s="760" t="s">
        <v>8709</v>
      </c>
      <c r="E259" s="760" t="s">
        <v>8696</v>
      </c>
      <c r="F259" s="760" t="s">
        <v>7685</v>
      </c>
      <c r="G259" s="760" t="s">
        <v>8710</v>
      </c>
      <c r="H259" s="760"/>
      <c r="I259" s="760" t="s">
        <v>8038</v>
      </c>
      <c r="J259" s="760" t="s">
        <v>4461</v>
      </c>
      <c r="K259" s="760" t="b">
        <v>1</v>
      </c>
      <c r="L259" s="760" t="s">
        <v>4461</v>
      </c>
      <c r="M259" s="760" t="b">
        <v>0</v>
      </c>
      <c r="N259" s="760" t="b">
        <v>0</v>
      </c>
      <c r="O259" s="760"/>
      <c r="P259" s="760"/>
      <c r="Q259" s="760" t="s">
        <v>8169</v>
      </c>
      <c r="R259" s="28"/>
      <c r="S259" s="28"/>
      <c r="T259" s="28"/>
      <c r="U259" s="28"/>
      <c r="V259" s="28"/>
      <c r="W259" s="28"/>
      <c r="X259" s="28"/>
      <c r="Y259" s="28"/>
      <c r="Z259" s="28"/>
    </row>
    <row r="260">
      <c r="A260" s="28" t="s">
        <v>8527</v>
      </c>
      <c r="B260" s="760" t="s">
        <v>8032</v>
      </c>
      <c r="C260" s="780">
        <v>44105.0</v>
      </c>
      <c r="D260" s="760" t="s">
        <v>8711</v>
      </c>
      <c r="E260" s="760" t="s">
        <v>8711</v>
      </c>
      <c r="F260" s="760" t="s">
        <v>7701</v>
      </c>
      <c r="G260" s="760" t="s">
        <v>8712</v>
      </c>
      <c r="H260" s="760"/>
      <c r="I260" s="760" t="s">
        <v>8038</v>
      </c>
      <c r="J260" s="760" t="s">
        <v>7700</v>
      </c>
      <c r="K260" s="760" t="b">
        <v>0</v>
      </c>
      <c r="L260" s="760" t="s">
        <v>7700</v>
      </c>
      <c r="M260" s="760" t="b">
        <v>0</v>
      </c>
      <c r="N260" s="760" t="b">
        <v>0</v>
      </c>
      <c r="O260" s="760"/>
      <c r="P260" s="760"/>
      <c r="Q260" s="760" t="s">
        <v>8346</v>
      </c>
      <c r="R260" s="28"/>
      <c r="S260" s="28"/>
      <c r="T260" s="28"/>
      <c r="U260" s="28"/>
      <c r="V260" s="28"/>
      <c r="W260" s="28"/>
      <c r="X260" s="28"/>
      <c r="Y260" s="28"/>
      <c r="Z260" s="28"/>
    </row>
    <row r="261">
      <c r="A261" s="28" t="s">
        <v>8527</v>
      </c>
      <c r="B261" s="760" t="s">
        <v>8032</v>
      </c>
      <c r="C261" s="780">
        <v>44105.0</v>
      </c>
      <c r="D261" s="760" t="s">
        <v>8713</v>
      </c>
      <c r="E261" s="760" t="s">
        <v>8714</v>
      </c>
      <c r="F261" s="760" t="s">
        <v>7685</v>
      </c>
      <c r="G261" s="760" t="s">
        <v>8715</v>
      </c>
      <c r="H261" s="760"/>
      <c r="I261" s="760" t="s">
        <v>8038</v>
      </c>
      <c r="J261" s="760" t="s">
        <v>4514</v>
      </c>
      <c r="K261" s="760" t="b">
        <v>1</v>
      </c>
      <c r="L261" s="760" t="s">
        <v>4461</v>
      </c>
      <c r="M261" s="760" t="b">
        <v>0</v>
      </c>
      <c r="N261" s="760" t="b">
        <v>0</v>
      </c>
      <c r="O261" s="760"/>
      <c r="P261" s="760"/>
      <c r="Q261" s="760" t="s">
        <v>8346</v>
      </c>
      <c r="R261" s="28"/>
      <c r="S261" s="28"/>
      <c r="T261" s="28"/>
      <c r="U261" s="28"/>
      <c r="V261" s="28"/>
      <c r="W261" s="28"/>
      <c r="X261" s="28"/>
      <c r="Y261" s="28"/>
      <c r="Z261" s="28"/>
    </row>
    <row r="262">
      <c r="A262" s="28" t="s">
        <v>8527</v>
      </c>
      <c r="B262" s="760" t="s">
        <v>8032</v>
      </c>
      <c r="C262" s="780">
        <v>44105.0</v>
      </c>
      <c r="D262" s="760" t="s">
        <v>8716</v>
      </c>
      <c r="E262" s="760" t="s">
        <v>8716</v>
      </c>
      <c r="F262" s="760" t="s">
        <v>7701</v>
      </c>
      <c r="G262" s="760" t="s">
        <v>8717</v>
      </c>
      <c r="H262" s="760"/>
      <c r="I262" s="760" t="s">
        <v>8038</v>
      </c>
      <c r="J262" s="760" t="s">
        <v>7700</v>
      </c>
      <c r="K262" s="760" t="b">
        <v>0</v>
      </c>
      <c r="L262" s="760" t="s">
        <v>7700</v>
      </c>
      <c r="M262" s="760" t="b">
        <v>0</v>
      </c>
      <c r="N262" s="760" t="b">
        <v>0</v>
      </c>
      <c r="O262" s="760"/>
      <c r="P262" s="760"/>
      <c r="Q262" s="760" t="s">
        <v>8346</v>
      </c>
      <c r="R262" s="28"/>
      <c r="S262" s="28"/>
      <c r="T262" s="28"/>
      <c r="U262" s="28"/>
      <c r="V262" s="28"/>
      <c r="W262" s="28"/>
      <c r="X262" s="28"/>
      <c r="Y262" s="28"/>
      <c r="Z262" s="28"/>
    </row>
    <row r="263">
      <c r="A263" s="28" t="s">
        <v>8527</v>
      </c>
      <c r="B263" s="760" t="s">
        <v>8032</v>
      </c>
      <c r="C263" s="780">
        <v>44105.0</v>
      </c>
      <c r="D263" s="760" t="s">
        <v>6838</v>
      </c>
      <c r="E263" s="760" t="s">
        <v>8539</v>
      </c>
      <c r="F263" s="760" t="s">
        <v>7685</v>
      </c>
      <c r="G263" s="760" t="s">
        <v>8718</v>
      </c>
      <c r="H263" s="760"/>
      <c r="I263" s="760" t="s">
        <v>8038</v>
      </c>
      <c r="J263" s="760" t="s">
        <v>4517</v>
      </c>
      <c r="K263" s="760" t="b">
        <v>1</v>
      </c>
      <c r="L263" s="760" t="s">
        <v>4461</v>
      </c>
      <c r="M263" s="760" t="b">
        <v>0</v>
      </c>
      <c r="N263" s="760" t="b">
        <v>0</v>
      </c>
      <c r="O263" s="760"/>
      <c r="P263" s="760"/>
      <c r="Q263" s="760" t="s">
        <v>8346</v>
      </c>
      <c r="R263" s="28"/>
      <c r="S263" s="28"/>
      <c r="T263" s="28"/>
      <c r="U263" s="28"/>
      <c r="V263" s="28"/>
      <c r="W263" s="28"/>
      <c r="X263" s="28"/>
      <c r="Y263" s="28"/>
      <c r="Z263" s="28"/>
    </row>
    <row r="264">
      <c r="A264" s="28" t="s">
        <v>8527</v>
      </c>
      <c r="B264" s="760" t="s">
        <v>8032</v>
      </c>
      <c r="C264" s="780">
        <v>44105.0</v>
      </c>
      <c r="D264" s="760" t="s">
        <v>8046</v>
      </c>
      <c r="E264" s="760" t="s">
        <v>8719</v>
      </c>
      <c r="F264" s="760" t="s">
        <v>7701</v>
      </c>
      <c r="G264" s="760" t="s">
        <v>8720</v>
      </c>
      <c r="H264" s="760"/>
      <c r="I264" s="760" t="s">
        <v>8038</v>
      </c>
      <c r="J264" s="760" t="s">
        <v>7700</v>
      </c>
      <c r="K264" s="760" t="b">
        <v>0</v>
      </c>
      <c r="L264" s="760" t="s">
        <v>7700</v>
      </c>
      <c r="M264" s="28" t="b">
        <v>0</v>
      </c>
      <c r="N264" s="28" t="b">
        <v>0</v>
      </c>
      <c r="O264" s="28"/>
      <c r="P264" s="28"/>
      <c r="Q264" s="28" t="s">
        <v>8346</v>
      </c>
      <c r="R264" s="28"/>
      <c r="S264" s="28"/>
      <c r="T264" s="28"/>
      <c r="U264" s="28"/>
      <c r="V264" s="28"/>
      <c r="W264" s="28"/>
      <c r="X264" s="28"/>
      <c r="Y264" s="28"/>
      <c r="Z264" s="28"/>
    </row>
    <row r="265">
      <c r="A265" s="28" t="s">
        <v>8527</v>
      </c>
      <c r="B265" s="761" t="s">
        <v>8032</v>
      </c>
      <c r="C265" s="781">
        <v>44105.0</v>
      </c>
      <c r="D265" s="761" t="s">
        <v>2862</v>
      </c>
      <c r="E265" s="761" t="s">
        <v>2862</v>
      </c>
      <c r="F265" s="761" t="s">
        <v>7701</v>
      </c>
      <c r="G265" s="761" t="s">
        <v>8721</v>
      </c>
      <c r="H265" s="761"/>
      <c r="I265" s="761" t="s">
        <v>8038</v>
      </c>
      <c r="J265" s="761" t="s">
        <v>7700</v>
      </c>
      <c r="K265" s="761" t="b">
        <v>0</v>
      </c>
      <c r="L265" s="761" t="s">
        <v>7700</v>
      </c>
      <c r="M265" s="761" t="b">
        <v>0</v>
      </c>
      <c r="N265" s="761" t="b">
        <v>0</v>
      </c>
      <c r="O265" s="761" t="s">
        <v>8722</v>
      </c>
      <c r="P265" s="761"/>
      <c r="Q265" s="28" t="s">
        <v>8346</v>
      </c>
      <c r="R265" s="28"/>
      <c r="S265" s="28"/>
      <c r="T265" s="28"/>
      <c r="U265" s="28"/>
      <c r="V265" s="28"/>
      <c r="W265" s="28"/>
      <c r="X265" s="28"/>
      <c r="Y265" s="28"/>
      <c r="Z265" s="28"/>
    </row>
    <row r="266">
      <c r="A266" s="28" t="s">
        <v>8527</v>
      </c>
      <c r="B266" s="28" t="s">
        <v>8032</v>
      </c>
      <c r="C266" s="777">
        <v>44105.0</v>
      </c>
      <c r="D266" s="28" t="s">
        <v>8723</v>
      </c>
      <c r="E266" s="28" t="s">
        <v>8724</v>
      </c>
      <c r="F266" s="28" t="s">
        <v>7731</v>
      </c>
      <c r="G266" s="28" t="s">
        <v>8725</v>
      </c>
      <c r="H266" s="28"/>
      <c r="I266" s="28" t="s">
        <v>8726</v>
      </c>
      <c r="J266" s="28" t="s">
        <v>7730</v>
      </c>
      <c r="K266" s="28" t="b">
        <v>0</v>
      </c>
      <c r="L266" s="28" t="s">
        <v>7730</v>
      </c>
      <c r="M266" s="28" t="b">
        <v>0</v>
      </c>
      <c r="N266" s="28" t="b">
        <v>0</v>
      </c>
      <c r="O266" s="28"/>
      <c r="P266" s="28"/>
      <c r="Q266" s="28" t="s">
        <v>8346</v>
      </c>
      <c r="R266" s="28"/>
      <c r="S266" s="28"/>
      <c r="T266" s="28"/>
      <c r="U266" s="28"/>
      <c r="V266" s="28"/>
      <c r="W266" s="28"/>
      <c r="X266" s="28"/>
      <c r="Y266" s="28"/>
      <c r="Z266" s="28"/>
    </row>
    <row r="267">
      <c r="A267" s="760" t="s">
        <v>8527</v>
      </c>
      <c r="B267" s="760" t="s">
        <v>8032</v>
      </c>
      <c r="C267" s="780">
        <v>44105.0</v>
      </c>
      <c r="D267" s="760" t="s">
        <v>8195</v>
      </c>
      <c r="E267" s="760" t="s">
        <v>8195</v>
      </c>
      <c r="F267" s="760" t="s">
        <v>7793</v>
      </c>
      <c r="G267" s="760" t="s">
        <v>8727</v>
      </c>
      <c r="H267" s="760"/>
      <c r="I267" s="760" t="s">
        <v>8038</v>
      </c>
      <c r="J267" s="760" t="s">
        <v>4660</v>
      </c>
      <c r="K267" s="760" t="b">
        <v>0</v>
      </c>
      <c r="L267" s="760" t="s">
        <v>4660</v>
      </c>
      <c r="M267" s="760" t="b">
        <v>0</v>
      </c>
      <c r="N267" s="760" t="b">
        <v>0</v>
      </c>
      <c r="O267" s="760"/>
      <c r="P267" s="760" t="s">
        <v>8039</v>
      </c>
      <c r="Q267" s="760" t="s">
        <v>8346</v>
      </c>
      <c r="R267" s="28"/>
      <c r="S267" s="28"/>
      <c r="T267" s="28"/>
      <c r="U267" s="28"/>
      <c r="V267" s="28"/>
      <c r="W267" s="28"/>
      <c r="X267" s="28"/>
      <c r="Y267" s="28"/>
      <c r="Z267" s="28"/>
    </row>
    <row r="268">
      <c r="A268" s="28" t="s">
        <v>8527</v>
      </c>
      <c r="B268" s="28" t="s">
        <v>8032</v>
      </c>
      <c r="C268" s="28" t="s">
        <v>8728</v>
      </c>
      <c r="D268" s="28" t="s">
        <v>8729</v>
      </c>
      <c r="E268" s="28" t="s">
        <v>8730</v>
      </c>
      <c r="F268" s="28" t="s">
        <v>7685</v>
      </c>
      <c r="G268" s="28" t="s">
        <v>8731</v>
      </c>
      <c r="H268" s="28"/>
      <c r="I268" s="28" t="s">
        <v>8038</v>
      </c>
      <c r="J268" s="28" t="s">
        <v>4461</v>
      </c>
      <c r="K268" s="28" t="b">
        <v>1</v>
      </c>
      <c r="L268" s="28" t="s">
        <v>4461</v>
      </c>
      <c r="M268" s="28" t="b">
        <v>0</v>
      </c>
      <c r="N268" s="28" t="b">
        <v>0</v>
      </c>
      <c r="O268" s="28"/>
      <c r="P268" s="28"/>
      <c r="Q268" s="28" t="s">
        <v>8342</v>
      </c>
      <c r="R268" s="28"/>
      <c r="S268" s="28"/>
      <c r="T268" s="28"/>
      <c r="U268" s="28"/>
      <c r="V268" s="28"/>
      <c r="W268" s="28"/>
      <c r="X268" s="28"/>
      <c r="Y268" s="28"/>
      <c r="Z268" s="28"/>
    </row>
    <row r="269">
      <c r="A269" s="28" t="s">
        <v>8527</v>
      </c>
      <c r="B269" s="28" t="s">
        <v>8032</v>
      </c>
      <c r="C269" s="28" t="s">
        <v>8728</v>
      </c>
      <c r="D269" s="28" t="s">
        <v>8732</v>
      </c>
      <c r="E269" s="28" t="s">
        <v>8733</v>
      </c>
      <c r="F269" s="28" t="s">
        <v>8734</v>
      </c>
      <c r="G269" s="28" t="s">
        <v>8735</v>
      </c>
      <c r="H269" s="28" t="s">
        <v>8736</v>
      </c>
      <c r="I269" s="28" t="s">
        <v>8737</v>
      </c>
      <c r="J269" s="28" t="s">
        <v>5172</v>
      </c>
      <c r="K269" s="28" t="b">
        <v>0</v>
      </c>
      <c r="L269" s="28" t="s">
        <v>5172</v>
      </c>
      <c r="M269" s="28" t="b">
        <v>0</v>
      </c>
      <c r="N269" s="28" t="b">
        <v>0</v>
      </c>
      <c r="O269" s="28"/>
      <c r="P269" s="28"/>
      <c r="Q269" s="28" t="s">
        <v>8342</v>
      </c>
      <c r="R269" s="28"/>
      <c r="S269" s="28"/>
      <c r="T269" s="28"/>
      <c r="U269" s="28"/>
      <c r="V269" s="28"/>
      <c r="W269" s="28"/>
      <c r="X269" s="28"/>
      <c r="Y269" s="28"/>
      <c r="Z269" s="28"/>
    </row>
    <row r="270">
      <c r="A270" s="28" t="s">
        <v>8527</v>
      </c>
      <c r="B270" s="28" t="s">
        <v>8032</v>
      </c>
      <c r="C270" s="28" t="s">
        <v>8728</v>
      </c>
      <c r="D270" s="760" t="s">
        <v>7608</v>
      </c>
      <c r="E270" s="760" t="s">
        <v>7608</v>
      </c>
      <c r="F270" s="760" t="s">
        <v>7754</v>
      </c>
      <c r="G270" s="760" t="s">
        <v>8738</v>
      </c>
      <c r="H270" s="760"/>
      <c r="I270" s="760" t="s">
        <v>8038</v>
      </c>
      <c r="J270" s="760" t="s">
        <v>4525</v>
      </c>
      <c r="K270" s="760" t="b">
        <v>0</v>
      </c>
      <c r="L270" s="760" t="s">
        <v>4525</v>
      </c>
      <c r="M270" s="760" t="b">
        <v>0</v>
      </c>
      <c r="N270" s="760" t="b">
        <v>0</v>
      </c>
      <c r="O270" s="760"/>
      <c r="P270" s="760"/>
      <c r="Q270" s="28" t="s">
        <v>8155</v>
      </c>
      <c r="R270" s="28"/>
      <c r="S270" s="28"/>
      <c r="T270" s="28"/>
      <c r="U270" s="28"/>
      <c r="V270" s="28"/>
      <c r="W270" s="28"/>
      <c r="X270" s="28"/>
      <c r="Y270" s="28"/>
      <c r="Z270" s="28"/>
    </row>
    <row r="271">
      <c r="A271" s="28" t="s">
        <v>8527</v>
      </c>
      <c r="B271" s="28" t="s">
        <v>8032</v>
      </c>
      <c r="C271" s="28" t="s">
        <v>8728</v>
      </c>
      <c r="D271" s="760" t="s">
        <v>8739</v>
      </c>
      <c r="E271" s="760" t="s">
        <v>8740</v>
      </c>
      <c r="F271" s="760" t="s">
        <v>7722</v>
      </c>
      <c r="G271" s="760" t="s">
        <v>8741</v>
      </c>
      <c r="H271" s="760"/>
      <c r="I271" s="760" t="s">
        <v>8038</v>
      </c>
      <c r="J271" s="760" t="s">
        <v>4852</v>
      </c>
      <c r="K271" s="760" t="b">
        <v>0</v>
      </c>
      <c r="L271" s="760" t="s">
        <v>4852</v>
      </c>
      <c r="M271" s="760" t="b">
        <v>0</v>
      </c>
      <c r="N271" s="760" t="b">
        <v>0</v>
      </c>
      <c r="O271" s="760"/>
      <c r="P271" s="760"/>
      <c r="Q271" s="28" t="s">
        <v>8169</v>
      </c>
      <c r="R271" s="28"/>
      <c r="S271" s="28"/>
      <c r="T271" s="28"/>
      <c r="U271" s="28"/>
      <c r="V271" s="28"/>
      <c r="W271" s="28"/>
      <c r="X271" s="28"/>
      <c r="Y271" s="28"/>
      <c r="Z271" s="28"/>
    </row>
    <row r="272">
      <c r="A272" s="28" t="s">
        <v>8527</v>
      </c>
      <c r="B272" s="28" t="s">
        <v>8032</v>
      </c>
      <c r="C272" s="28" t="s">
        <v>8728</v>
      </c>
      <c r="D272" s="760" t="s">
        <v>8742</v>
      </c>
      <c r="E272" s="760" t="s">
        <v>8743</v>
      </c>
      <c r="F272" s="760" t="s">
        <v>7754</v>
      </c>
      <c r="G272" s="760" t="s">
        <v>8744</v>
      </c>
      <c r="H272" s="760"/>
      <c r="I272" s="760" t="s">
        <v>8745</v>
      </c>
      <c r="J272" s="760" t="s">
        <v>4525</v>
      </c>
      <c r="K272" s="760" t="b">
        <v>0</v>
      </c>
      <c r="L272" s="760" t="s">
        <v>4525</v>
      </c>
      <c r="M272" s="760" t="b">
        <v>0</v>
      </c>
      <c r="N272" s="760" t="b">
        <v>0</v>
      </c>
      <c r="O272" s="760"/>
      <c r="P272" s="760"/>
      <c r="Q272" s="28" t="s">
        <v>8169</v>
      </c>
      <c r="R272" s="28"/>
      <c r="S272" s="28"/>
      <c r="T272" s="28"/>
      <c r="U272" s="28"/>
      <c r="V272" s="28"/>
      <c r="W272" s="28"/>
      <c r="X272" s="28"/>
      <c r="Y272" s="28"/>
      <c r="Z272" s="28"/>
    </row>
    <row r="273">
      <c r="A273" s="28" t="s">
        <v>8527</v>
      </c>
      <c r="B273" s="28" t="s">
        <v>8032</v>
      </c>
      <c r="C273" s="28" t="s">
        <v>8728</v>
      </c>
      <c r="D273" s="760" t="s">
        <v>8746</v>
      </c>
      <c r="E273" s="760" t="s">
        <v>8746</v>
      </c>
      <c r="F273" s="760" t="s">
        <v>8747</v>
      </c>
      <c r="G273" s="760" t="s">
        <v>8748</v>
      </c>
      <c r="H273" s="760"/>
      <c r="I273" s="760" t="s">
        <v>8038</v>
      </c>
      <c r="J273" s="760" t="s">
        <v>4742</v>
      </c>
      <c r="K273" s="760" t="b">
        <v>0</v>
      </c>
      <c r="L273" s="760" t="s">
        <v>4742</v>
      </c>
      <c r="M273" s="760" t="b">
        <v>0</v>
      </c>
      <c r="N273" s="760" t="b">
        <v>0</v>
      </c>
      <c r="O273" s="760"/>
      <c r="P273" s="760"/>
      <c r="Q273" s="28" t="s">
        <v>8155</v>
      </c>
      <c r="R273" s="28"/>
      <c r="S273" s="28"/>
      <c r="T273" s="28"/>
      <c r="U273" s="28"/>
      <c r="V273" s="28"/>
      <c r="W273" s="28"/>
      <c r="X273" s="28"/>
      <c r="Y273" s="28"/>
      <c r="Z273" s="28"/>
    </row>
    <row r="274">
      <c r="A274" s="28" t="s">
        <v>8527</v>
      </c>
      <c r="B274" s="28" t="s">
        <v>8032</v>
      </c>
      <c r="C274" s="28" t="s">
        <v>8728</v>
      </c>
      <c r="D274" s="28" t="s">
        <v>8749</v>
      </c>
      <c r="E274" s="28" t="s">
        <v>8750</v>
      </c>
      <c r="F274" s="28" t="s">
        <v>7685</v>
      </c>
      <c r="G274" s="28" t="s">
        <v>8751</v>
      </c>
      <c r="H274" s="28"/>
      <c r="I274" s="28" t="s">
        <v>8038</v>
      </c>
      <c r="J274" s="28" t="s">
        <v>4525</v>
      </c>
      <c r="K274" s="28" t="b">
        <v>1</v>
      </c>
      <c r="L274" s="28" t="s">
        <v>4461</v>
      </c>
      <c r="M274" s="28" t="b">
        <v>0</v>
      </c>
      <c r="N274" s="28" t="b">
        <v>0</v>
      </c>
      <c r="O274" s="28"/>
      <c r="P274" s="28"/>
      <c r="Q274" s="28" t="s">
        <v>8342</v>
      </c>
      <c r="R274" s="28"/>
      <c r="S274" s="28"/>
      <c r="T274" s="28"/>
      <c r="U274" s="28"/>
      <c r="V274" s="28"/>
      <c r="W274" s="28"/>
      <c r="X274" s="28"/>
      <c r="Y274" s="28"/>
      <c r="Z274" s="28"/>
    </row>
    <row r="275">
      <c r="A275" s="28" t="s">
        <v>8527</v>
      </c>
      <c r="B275" s="28" t="s">
        <v>8032</v>
      </c>
      <c r="C275" s="28" t="s">
        <v>8752</v>
      </c>
      <c r="D275" s="28" t="s">
        <v>8753</v>
      </c>
      <c r="E275" s="28" t="s">
        <v>8753</v>
      </c>
      <c r="F275" s="28" t="s">
        <v>7701</v>
      </c>
      <c r="G275" s="28" t="s">
        <v>8754</v>
      </c>
      <c r="H275" s="28"/>
      <c r="I275" s="28" t="s">
        <v>8038</v>
      </c>
      <c r="J275" s="28" t="s">
        <v>7700</v>
      </c>
      <c r="K275" s="28" t="b">
        <v>0</v>
      </c>
      <c r="L275" s="28" t="s">
        <v>7700</v>
      </c>
      <c r="M275" s="28" t="b">
        <v>0</v>
      </c>
      <c r="N275" s="28" t="b">
        <v>0</v>
      </c>
      <c r="O275" s="28"/>
      <c r="P275" s="28"/>
      <c r="Q275" s="28" t="s">
        <v>8169</v>
      </c>
      <c r="R275" s="28"/>
      <c r="S275" s="28"/>
      <c r="T275" s="28"/>
      <c r="U275" s="28"/>
      <c r="V275" s="28"/>
      <c r="W275" s="28"/>
      <c r="X275" s="28"/>
      <c r="Y275" s="28"/>
      <c r="Z275" s="28"/>
    </row>
    <row r="276">
      <c r="A276" s="28" t="s">
        <v>8527</v>
      </c>
      <c r="B276" s="28" t="s">
        <v>8032</v>
      </c>
      <c r="C276" s="28" t="s">
        <v>8752</v>
      </c>
      <c r="D276" s="760" t="s">
        <v>8139</v>
      </c>
      <c r="E276" s="760" t="s">
        <v>8139</v>
      </c>
      <c r="F276" s="760" t="s">
        <v>7701</v>
      </c>
      <c r="G276" s="760" t="s">
        <v>8755</v>
      </c>
      <c r="H276" s="760"/>
      <c r="I276" s="760" t="s">
        <v>8038</v>
      </c>
      <c r="J276" s="760" t="s">
        <v>7700</v>
      </c>
      <c r="K276" s="760" t="b">
        <v>0</v>
      </c>
      <c r="L276" s="760" t="s">
        <v>7700</v>
      </c>
      <c r="M276" s="760" t="b">
        <v>0</v>
      </c>
      <c r="N276" s="760" t="b">
        <v>0</v>
      </c>
      <c r="O276" s="760"/>
      <c r="P276" s="760"/>
      <c r="Q276" s="28" t="s">
        <v>8169</v>
      </c>
      <c r="R276" s="28"/>
      <c r="S276" s="28"/>
      <c r="T276" s="28"/>
      <c r="U276" s="28"/>
      <c r="V276" s="28"/>
      <c r="W276" s="28"/>
      <c r="X276" s="28"/>
      <c r="Y276" s="28"/>
      <c r="Z276" s="28"/>
    </row>
    <row r="277">
      <c r="A277" s="28" t="s">
        <v>8527</v>
      </c>
      <c r="B277" s="28" t="s">
        <v>8032</v>
      </c>
      <c r="C277" s="28" t="s">
        <v>8752</v>
      </c>
      <c r="D277" s="760" t="s">
        <v>8756</v>
      </c>
      <c r="E277" s="760" t="s">
        <v>8757</v>
      </c>
      <c r="F277" s="760" t="s">
        <v>8747</v>
      </c>
      <c r="G277" s="760" t="s">
        <v>8758</v>
      </c>
      <c r="H277" s="760"/>
      <c r="I277" s="760" t="s">
        <v>8759</v>
      </c>
      <c r="J277" s="760" t="s">
        <v>4742</v>
      </c>
      <c r="K277" s="760" t="b">
        <v>0</v>
      </c>
      <c r="L277" s="760" t="s">
        <v>4742</v>
      </c>
      <c r="M277" s="760" t="b">
        <v>0</v>
      </c>
      <c r="N277" s="760" t="b">
        <v>0</v>
      </c>
      <c r="O277" s="760"/>
      <c r="P277" s="760"/>
      <c r="Q277" s="28" t="s">
        <v>8169</v>
      </c>
      <c r="R277" s="28"/>
      <c r="S277" s="28"/>
      <c r="T277" s="28"/>
      <c r="U277" s="28"/>
      <c r="V277" s="28"/>
      <c r="W277" s="28"/>
      <c r="X277" s="28"/>
      <c r="Y277" s="28"/>
      <c r="Z277" s="28"/>
    </row>
    <row r="278">
      <c r="A278" s="28" t="s">
        <v>8527</v>
      </c>
      <c r="B278" s="28" t="s">
        <v>8032</v>
      </c>
      <c r="C278" s="28" t="s">
        <v>8752</v>
      </c>
      <c r="D278" s="28" t="s">
        <v>8760</v>
      </c>
      <c r="E278" s="28" t="s">
        <v>8760</v>
      </c>
      <c r="F278" s="28" t="s">
        <v>8087</v>
      </c>
      <c r="G278" s="28" t="s">
        <v>8761</v>
      </c>
      <c r="H278" s="28"/>
      <c r="I278" s="28" t="s">
        <v>8038</v>
      </c>
      <c r="J278" s="28" t="s">
        <v>8088</v>
      </c>
      <c r="K278" s="28" t="b">
        <v>0</v>
      </c>
      <c r="L278" s="28" t="s">
        <v>8088</v>
      </c>
      <c r="M278" s="28" t="b">
        <v>0</v>
      </c>
      <c r="N278" s="28" t="b">
        <v>0</v>
      </c>
      <c r="O278" s="28"/>
      <c r="P278" s="28"/>
      <c r="Q278" s="28" t="s">
        <v>8169</v>
      </c>
      <c r="R278" s="28"/>
      <c r="S278" s="28"/>
      <c r="T278" s="28"/>
      <c r="U278" s="28"/>
      <c r="V278" s="28"/>
      <c r="W278" s="28"/>
      <c r="X278" s="28"/>
      <c r="Y278" s="28"/>
      <c r="Z278" s="28"/>
    </row>
    <row r="279">
      <c r="A279" s="28" t="s">
        <v>8527</v>
      </c>
      <c r="B279" s="28" t="s">
        <v>8032</v>
      </c>
      <c r="C279" s="28" t="s">
        <v>8752</v>
      </c>
      <c r="D279" s="28" t="s">
        <v>8762</v>
      </c>
      <c r="E279" s="28" t="s">
        <v>8762</v>
      </c>
      <c r="F279" s="28" t="s">
        <v>7731</v>
      </c>
      <c r="G279" s="28" t="s">
        <v>8763</v>
      </c>
      <c r="H279" s="28"/>
      <c r="I279" s="28" t="s">
        <v>8038</v>
      </c>
      <c r="J279" s="28" t="s">
        <v>7730</v>
      </c>
      <c r="K279" s="28" t="b">
        <v>0</v>
      </c>
      <c r="L279" s="28" t="s">
        <v>7730</v>
      </c>
      <c r="M279" s="28" t="b">
        <v>0</v>
      </c>
      <c r="N279" s="28" t="b">
        <v>0</v>
      </c>
      <c r="O279" s="28"/>
      <c r="P279" s="28"/>
      <c r="Q279" s="774" t="s">
        <v>8764</v>
      </c>
      <c r="R279" s="28"/>
      <c r="S279" s="28"/>
      <c r="T279" s="28"/>
      <c r="U279" s="28"/>
      <c r="V279" s="28"/>
      <c r="W279" s="28"/>
      <c r="X279" s="28"/>
      <c r="Y279" s="28"/>
      <c r="Z279" s="28"/>
    </row>
    <row r="280">
      <c r="A280" s="28" t="s">
        <v>8527</v>
      </c>
      <c r="B280" s="28" t="s">
        <v>8032</v>
      </c>
      <c r="C280" s="28" t="s">
        <v>8765</v>
      </c>
      <c r="D280" s="28" t="s">
        <v>8766</v>
      </c>
      <c r="E280" s="28" t="s">
        <v>8767</v>
      </c>
      <c r="F280" s="28" t="s">
        <v>7749</v>
      </c>
      <c r="G280" s="28" t="s">
        <v>8768</v>
      </c>
      <c r="H280" s="28"/>
      <c r="I280" s="28" t="s">
        <v>8769</v>
      </c>
      <c r="J280" s="28" t="s">
        <v>7748</v>
      </c>
      <c r="K280" s="28" t="b">
        <v>0</v>
      </c>
      <c r="L280" s="28" t="s">
        <v>7748</v>
      </c>
      <c r="M280" s="28" t="b">
        <v>0</v>
      </c>
      <c r="N280" s="28" t="b">
        <v>0</v>
      </c>
      <c r="O280" s="28"/>
      <c r="P280" s="28"/>
      <c r="Q280" s="774" t="s">
        <v>8770</v>
      </c>
      <c r="R280" s="28"/>
      <c r="S280" s="28"/>
      <c r="T280" s="28"/>
      <c r="U280" s="28"/>
      <c r="V280" s="28"/>
      <c r="W280" s="28"/>
      <c r="X280" s="28"/>
      <c r="Y280" s="28"/>
      <c r="Z280" s="28"/>
    </row>
    <row r="281">
      <c r="A281" s="28" t="s">
        <v>8527</v>
      </c>
      <c r="B281" s="28" t="s">
        <v>8032</v>
      </c>
      <c r="C281" s="28" t="s">
        <v>8752</v>
      </c>
      <c r="D281" s="28" t="s">
        <v>8343</v>
      </c>
      <c r="E281" s="28" t="s">
        <v>8771</v>
      </c>
      <c r="F281" s="28" t="s">
        <v>7685</v>
      </c>
      <c r="G281" s="28" t="s">
        <v>8772</v>
      </c>
      <c r="H281" s="28"/>
      <c r="I281" s="28" t="s">
        <v>8773</v>
      </c>
      <c r="J281" s="28" t="s">
        <v>4514</v>
      </c>
      <c r="K281" s="28" t="b">
        <v>1</v>
      </c>
      <c r="L281" s="28" t="s">
        <v>4461</v>
      </c>
      <c r="M281" s="28" t="b">
        <v>0</v>
      </c>
      <c r="N281" s="28" t="b">
        <v>0</v>
      </c>
      <c r="O281" s="28"/>
      <c r="P281" s="28"/>
      <c r="Q281" s="28" t="s">
        <v>8346</v>
      </c>
      <c r="R281" s="28"/>
      <c r="S281" s="28"/>
      <c r="T281" s="28"/>
      <c r="U281" s="28"/>
      <c r="V281" s="28"/>
      <c r="W281" s="28"/>
      <c r="X281" s="28"/>
      <c r="Y281" s="28"/>
      <c r="Z281" s="28"/>
    </row>
    <row r="282">
      <c r="A282" s="28" t="s">
        <v>8527</v>
      </c>
      <c r="B282" s="28" t="s">
        <v>8032</v>
      </c>
      <c r="C282" s="28" t="s">
        <v>8774</v>
      </c>
      <c r="D282" s="28" t="s">
        <v>8775</v>
      </c>
      <c r="E282" s="28" t="s">
        <v>8775</v>
      </c>
      <c r="F282" s="28" t="s">
        <v>7727</v>
      </c>
      <c r="G282" s="28" t="s">
        <v>8776</v>
      </c>
      <c r="H282" s="28"/>
      <c r="I282" s="28" t="s">
        <v>8038</v>
      </c>
      <c r="J282" s="28" t="s">
        <v>5069</v>
      </c>
      <c r="K282" s="28" t="b">
        <v>0</v>
      </c>
      <c r="L282" s="28" t="s">
        <v>5069</v>
      </c>
      <c r="M282" s="28" t="b">
        <v>0</v>
      </c>
      <c r="N282" s="28" t="b">
        <v>0</v>
      </c>
      <c r="O282" s="28"/>
      <c r="P282" s="28"/>
      <c r="Q282" s="28" t="s">
        <v>8169</v>
      </c>
      <c r="R282" s="28"/>
      <c r="S282" s="28"/>
      <c r="T282" s="28"/>
      <c r="U282" s="28"/>
      <c r="V282" s="28"/>
      <c r="W282" s="28"/>
      <c r="X282" s="28"/>
      <c r="Y282" s="28"/>
      <c r="Z282" s="28"/>
    </row>
    <row r="283">
      <c r="A283" s="28" t="s">
        <v>8527</v>
      </c>
      <c r="B283" s="28" t="s">
        <v>8032</v>
      </c>
      <c r="C283" s="28" t="s">
        <v>8774</v>
      </c>
      <c r="D283" s="28" t="s">
        <v>8777</v>
      </c>
      <c r="E283" s="28" t="s">
        <v>8778</v>
      </c>
      <c r="F283" s="28" t="s">
        <v>7791</v>
      </c>
      <c r="G283" s="28" t="s">
        <v>8779</v>
      </c>
      <c r="H283" s="28"/>
      <c r="I283" s="28" t="s">
        <v>8780</v>
      </c>
      <c r="J283" s="28" t="s">
        <v>6019</v>
      </c>
      <c r="K283" s="28" t="b">
        <v>0</v>
      </c>
      <c r="L283" s="28" t="s">
        <v>6019</v>
      </c>
      <c r="M283" s="28" t="b">
        <v>0</v>
      </c>
      <c r="N283" s="28" t="b">
        <v>0</v>
      </c>
      <c r="O283" s="28"/>
      <c r="P283" s="28"/>
      <c r="Q283" s="28" t="s">
        <v>8169</v>
      </c>
      <c r="R283" s="28"/>
      <c r="S283" s="28"/>
      <c r="T283" s="28"/>
      <c r="U283" s="28"/>
      <c r="V283" s="28"/>
      <c r="W283" s="28"/>
      <c r="X283" s="28"/>
      <c r="Y283" s="28"/>
      <c r="Z283" s="28"/>
    </row>
    <row r="284">
      <c r="A284" s="28" t="s">
        <v>8527</v>
      </c>
      <c r="B284" s="28" t="s">
        <v>8032</v>
      </c>
      <c r="C284" s="28" t="s">
        <v>8774</v>
      </c>
      <c r="D284" s="28" t="s">
        <v>8781</v>
      </c>
      <c r="E284" s="28" t="s">
        <v>8782</v>
      </c>
      <c r="F284" s="28" t="s">
        <v>7674</v>
      </c>
      <c r="G284" s="28" t="s">
        <v>8783</v>
      </c>
      <c r="H284" s="28"/>
      <c r="I284" s="28" t="s">
        <v>8038</v>
      </c>
      <c r="J284" s="28" t="s">
        <v>4503</v>
      </c>
      <c r="K284" s="28" t="b">
        <v>0</v>
      </c>
      <c r="L284" s="28" t="s">
        <v>4503</v>
      </c>
      <c r="M284" s="28" t="b">
        <v>0</v>
      </c>
      <c r="N284" s="28" t="b">
        <v>0</v>
      </c>
      <c r="O284" s="774" t="s">
        <v>8784</v>
      </c>
      <c r="P284" s="28"/>
      <c r="Q284" s="774" t="s">
        <v>8785</v>
      </c>
      <c r="R284" s="28"/>
      <c r="S284" s="28"/>
      <c r="T284" s="28"/>
      <c r="U284" s="28"/>
      <c r="V284" s="28"/>
      <c r="W284" s="28"/>
      <c r="X284" s="28"/>
      <c r="Y284" s="28"/>
      <c r="Z284" s="28"/>
    </row>
    <row r="285">
      <c r="A285" s="28" t="s">
        <v>8527</v>
      </c>
      <c r="B285" s="28" t="s">
        <v>8032</v>
      </c>
      <c r="C285" s="28" t="s">
        <v>8774</v>
      </c>
      <c r="D285" s="28" t="s">
        <v>8786</v>
      </c>
      <c r="E285" s="28" t="s">
        <v>8787</v>
      </c>
      <c r="F285" s="28" t="s">
        <v>8345</v>
      </c>
      <c r="G285" s="28" t="s">
        <v>8788</v>
      </c>
      <c r="H285" s="28"/>
      <c r="I285" s="28" t="s">
        <v>8789</v>
      </c>
      <c r="J285" s="28" t="s">
        <v>5056</v>
      </c>
      <c r="K285" s="28" t="b">
        <v>0</v>
      </c>
      <c r="L285" s="28" t="s">
        <v>5056</v>
      </c>
      <c r="M285" s="28" t="b">
        <v>0</v>
      </c>
      <c r="N285" s="28" t="b">
        <v>0</v>
      </c>
      <c r="O285" s="28"/>
      <c r="P285" s="28"/>
      <c r="Q285" s="28" t="s">
        <v>8169</v>
      </c>
      <c r="R285" s="28"/>
      <c r="S285" s="28"/>
      <c r="T285" s="28"/>
      <c r="U285" s="28"/>
      <c r="V285" s="28"/>
      <c r="W285" s="28"/>
      <c r="X285" s="28"/>
      <c r="Y285" s="28"/>
      <c r="Z285" s="28"/>
    </row>
    <row r="286">
      <c r="A286" s="28" t="s">
        <v>8527</v>
      </c>
      <c r="B286" s="28" t="s">
        <v>8032</v>
      </c>
      <c r="C286" s="28" t="s">
        <v>8790</v>
      </c>
      <c r="D286" s="28" t="s">
        <v>8791</v>
      </c>
      <c r="E286" s="28" t="s">
        <v>8792</v>
      </c>
      <c r="F286" s="28"/>
      <c r="G286" s="28"/>
      <c r="H286" s="28"/>
      <c r="I286" s="28" t="s">
        <v>8793</v>
      </c>
      <c r="J286" s="28" t="s">
        <v>7712</v>
      </c>
      <c r="K286" s="28" t="b">
        <v>0</v>
      </c>
      <c r="L286" s="28" t="s">
        <v>7712</v>
      </c>
      <c r="M286" s="28" t="b">
        <v>0</v>
      </c>
      <c r="N286" s="28" t="b">
        <v>0</v>
      </c>
      <c r="O286" s="28"/>
      <c r="P286" s="28"/>
      <c r="Q286" s="28" t="s">
        <v>8342</v>
      </c>
      <c r="R286" s="28"/>
      <c r="S286" s="28"/>
      <c r="T286" s="28"/>
      <c r="U286" s="28"/>
      <c r="V286" s="28"/>
      <c r="W286" s="28"/>
      <c r="X286" s="28"/>
      <c r="Y286" s="28"/>
      <c r="Z286" s="28"/>
    </row>
    <row r="287">
      <c r="A287" s="28" t="s">
        <v>8527</v>
      </c>
      <c r="B287" s="28" t="s">
        <v>8032</v>
      </c>
      <c r="C287" s="28" t="s">
        <v>8790</v>
      </c>
      <c r="D287" s="760" t="s">
        <v>2687</v>
      </c>
      <c r="E287" s="760" t="s">
        <v>8794</v>
      </c>
      <c r="F287" s="760" t="s">
        <v>7713</v>
      </c>
      <c r="G287" s="760" t="s">
        <v>8795</v>
      </c>
      <c r="H287" s="760"/>
      <c r="I287" s="760" t="s">
        <v>8038</v>
      </c>
      <c r="J287" s="760" t="s">
        <v>7712</v>
      </c>
      <c r="K287" s="760" t="b">
        <v>0</v>
      </c>
      <c r="L287" s="760" t="s">
        <v>7712</v>
      </c>
      <c r="M287" s="760" t="b">
        <v>0</v>
      </c>
      <c r="N287" s="760" t="b">
        <v>0</v>
      </c>
      <c r="O287" s="760"/>
      <c r="P287" s="760"/>
      <c r="Q287" s="760" t="s">
        <v>8342</v>
      </c>
      <c r="R287" s="758" t="s">
        <v>8796</v>
      </c>
      <c r="S287" s="28"/>
      <c r="T287" s="28"/>
      <c r="U287" s="28"/>
      <c r="V287" s="28"/>
      <c r="W287" s="28"/>
      <c r="X287" s="28"/>
      <c r="Y287" s="28"/>
      <c r="Z287" s="28"/>
    </row>
    <row r="288">
      <c r="A288" s="28" t="s">
        <v>8527</v>
      </c>
      <c r="B288" s="28" t="s">
        <v>8032</v>
      </c>
      <c r="C288" s="28" t="s">
        <v>8790</v>
      </c>
      <c r="D288" s="28" t="s">
        <v>8797</v>
      </c>
      <c r="E288" s="28" t="s">
        <v>8797</v>
      </c>
      <c r="F288" s="28" t="s">
        <v>7685</v>
      </c>
      <c r="G288" s="28" t="s">
        <v>8798</v>
      </c>
      <c r="H288" s="28"/>
      <c r="I288" s="28" t="s">
        <v>8038</v>
      </c>
      <c r="J288" s="28" t="s">
        <v>4503</v>
      </c>
      <c r="K288" s="28" t="b">
        <v>1</v>
      </c>
      <c r="L288" s="28" t="s">
        <v>4461</v>
      </c>
      <c r="M288" s="28" t="b">
        <v>0</v>
      </c>
      <c r="N288" s="28" t="b">
        <v>0</v>
      </c>
      <c r="O288" s="28"/>
      <c r="P288" s="28"/>
      <c r="Q288" s="28" t="s">
        <v>8169</v>
      </c>
      <c r="R288" s="758" t="s">
        <v>8799</v>
      </c>
      <c r="S288" s="28"/>
      <c r="T288" s="28"/>
      <c r="U288" s="28"/>
      <c r="V288" s="28"/>
      <c r="W288" s="28"/>
      <c r="X288" s="28"/>
      <c r="Y288" s="28"/>
      <c r="Z288" s="28"/>
    </row>
    <row r="289">
      <c r="A289" s="28" t="s">
        <v>8527</v>
      </c>
      <c r="B289" s="28" t="s">
        <v>8032</v>
      </c>
      <c r="C289" s="28" t="s">
        <v>8800</v>
      </c>
      <c r="D289" s="28" t="s">
        <v>8801</v>
      </c>
      <c r="E289" s="28" t="s">
        <v>8802</v>
      </c>
      <c r="F289" s="28" t="s">
        <v>7782</v>
      </c>
      <c r="G289" s="28" t="s">
        <v>8803</v>
      </c>
      <c r="H289" s="28"/>
      <c r="I289" s="28" t="s">
        <v>8804</v>
      </c>
      <c r="J289" s="28" t="s">
        <v>4521</v>
      </c>
      <c r="K289" s="28" t="b">
        <v>0</v>
      </c>
      <c r="L289" s="28" t="s">
        <v>4521</v>
      </c>
      <c r="M289" s="28" t="b">
        <v>0</v>
      </c>
      <c r="N289" s="28" t="b">
        <v>0</v>
      </c>
      <c r="O289" s="28"/>
      <c r="P289" s="28"/>
      <c r="Q289" s="774" t="s">
        <v>8805</v>
      </c>
      <c r="R289" s="28"/>
      <c r="S289" s="28"/>
      <c r="T289" s="28"/>
      <c r="U289" s="28"/>
      <c r="V289" s="28"/>
      <c r="W289" s="28"/>
      <c r="X289" s="28"/>
      <c r="Y289" s="28"/>
      <c r="Z289" s="28"/>
    </row>
    <row r="290">
      <c r="A290" s="28" t="s">
        <v>8527</v>
      </c>
      <c r="B290" s="28" t="s">
        <v>8032</v>
      </c>
      <c r="C290" s="28" t="s">
        <v>8800</v>
      </c>
      <c r="D290" s="760" t="s">
        <v>8806</v>
      </c>
      <c r="E290" s="760" t="s">
        <v>8807</v>
      </c>
      <c r="F290" s="760" t="s">
        <v>7713</v>
      </c>
      <c r="G290" s="760" t="s">
        <v>8808</v>
      </c>
      <c r="H290" s="760"/>
      <c r="I290" s="760" t="s">
        <v>8809</v>
      </c>
      <c r="J290" s="760" t="s">
        <v>7712</v>
      </c>
      <c r="K290" s="760" t="b">
        <v>0</v>
      </c>
      <c r="L290" s="760" t="s">
        <v>7712</v>
      </c>
      <c r="M290" s="760" t="b">
        <v>0</v>
      </c>
      <c r="N290" s="760" t="b">
        <v>0</v>
      </c>
      <c r="O290" s="766" t="s">
        <v>8810</v>
      </c>
      <c r="P290" s="760"/>
      <c r="Q290" s="760" t="s">
        <v>8051</v>
      </c>
      <c r="R290" s="758" t="s">
        <v>8811</v>
      </c>
      <c r="S290" s="28"/>
      <c r="T290" s="28"/>
      <c r="U290" s="28"/>
      <c r="V290" s="28"/>
      <c r="W290" s="28"/>
      <c r="X290" s="28"/>
      <c r="Y290" s="28"/>
      <c r="Z290" s="28"/>
    </row>
    <row r="291">
      <c r="A291" s="28" t="s">
        <v>8527</v>
      </c>
      <c r="B291" s="28" t="s">
        <v>8032</v>
      </c>
      <c r="C291" s="28" t="s">
        <v>8800</v>
      </c>
      <c r="D291" s="760" t="s">
        <v>8812</v>
      </c>
      <c r="E291" s="760" t="s">
        <v>8324</v>
      </c>
      <c r="F291" s="760" t="s">
        <v>7696</v>
      </c>
      <c r="G291" s="760" t="s">
        <v>8813</v>
      </c>
      <c r="H291" s="760"/>
      <c r="I291" s="760" t="s">
        <v>8038</v>
      </c>
      <c r="J291" s="760" t="s">
        <v>4517</v>
      </c>
      <c r="K291" s="760" t="b">
        <v>0</v>
      </c>
      <c r="L291" s="760" t="s">
        <v>4517</v>
      </c>
      <c r="M291" s="760" t="b">
        <v>0</v>
      </c>
      <c r="N291" s="760" t="b">
        <v>0</v>
      </c>
      <c r="O291" s="766" t="s">
        <v>8810</v>
      </c>
      <c r="P291" s="760"/>
      <c r="Q291" s="760" t="s">
        <v>8051</v>
      </c>
      <c r="R291" s="758" t="s">
        <v>8814</v>
      </c>
      <c r="S291" s="28"/>
      <c r="T291" s="28"/>
      <c r="U291" s="28"/>
      <c r="V291" s="28"/>
      <c r="W291" s="28"/>
      <c r="X291" s="28"/>
      <c r="Y291" s="28"/>
      <c r="Z291" s="28"/>
    </row>
    <row r="292">
      <c r="A292" s="28" t="s">
        <v>8527</v>
      </c>
      <c r="B292" s="28" t="s">
        <v>8032</v>
      </c>
      <c r="C292" s="28" t="s">
        <v>8800</v>
      </c>
      <c r="D292" s="760" t="s">
        <v>8815</v>
      </c>
      <c r="E292" s="760" t="s">
        <v>8816</v>
      </c>
      <c r="F292" s="760" t="s">
        <v>7793</v>
      </c>
      <c r="G292" s="760" t="s">
        <v>8817</v>
      </c>
      <c r="H292" s="760"/>
      <c r="I292" s="760" t="s">
        <v>8818</v>
      </c>
      <c r="J292" s="760" t="s">
        <v>4660</v>
      </c>
      <c r="K292" s="760" t="b">
        <v>0</v>
      </c>
      <c r="L292" s="760" t="s">
        <v>4660</v>
      </c>
      <c r="M292" s="760" t="b">
        <v>0</v>
      </c>
      <c r="N292" s="760" t="b">
        <v>0</v>
      </c>
      <c r="O292" s="766" t="s">
        <v>8810</v>
      </c>
      <c r="P292" s="760"/>
      <c r="Q292" s="760" t="s">
        <v>8051</v>
      </c>
      <c r="R292" s="758" t="s">
        <v>8819</v>
      </c>
      <c r="S292" s="28"/>
      <c r="T292" s="28"/>
      <c r="U292" s="28"/>
      <c r="V292" s="28"/>
      <c r="W292" s="28"/>
      <c r="X292" s="28"/>
      <c r="Y292" s="28"/>
      <c r="Z292" s="28"/>
    </row>
    <row r="293">
      <c r="A293" s="28" t="s">
        <v>8527</v>
      </c>
      <c r="B293" s="28" t="s">
        <v>8032</v>
      </c>
      <c r="C293" s="28" t="s">
        <v>8800</v>
      </c>
      <c r="D293" s="28" t="s">
        <v>8820</v>
      </c>
      <c r="E293" s="28" t="s">
        <v>8821</v>
      </c>
      <c r="F293" s="28" t="s">
        <v>7749</v>
      </c>
      <c r="G293" s="28" t="s">
        <v>8822</v>
      </c>
      <c r="H293" s="28"/>
      <c r="I293" s="28" t="s">
        <v>8823</v>
      </c>
      <c r="J293" s="28" t="s">
        <v>7748</v>
      </c>
      <c r="K293" s="28" t="b">
        <v>0</v>
      </c>
      <c r="L293" s="28" t="s">
        <v>7748</v>
      </c>
      <c r="M293" s="28" t="b">
        <v>0</v>
      </c>
      <c r="N293" s="28" t="b">
        <v>0</v>
      </c>
      <c r="O293" s="774" t="s">
        <v>8810</v>
      </c>
      <c r="P293" s="28"/>
      <c r="Q293" s="774" t="s">
        <v>8824</v>
      </c>
      <c r="R293" s="28"/>
      <c r="S293" s="28"/>
      <c r="T293" s="28"/>
      <c r="U293" s="28"/>
      <c r="V293" s="28"/>
      <c r="W293" s="28"/>
      <c r="X293" s="28"/>
      <c r="Y293" s="28"/>
      <c r="Z293" s="28"/>
    </row>
    <row r="294">
      <c r="A294" s="28" t="s">
        <v>8527</v>
      </c>
      <c r="B294" s="28" t="s">
        <v>8032</v>
      </c>
      <c r="C294" s="28" t="s">
        <v>8800</v>
      </c>
      <c r="D294" s="28" t="s">
        <v>8825</v>
      </c>
      <c r="E294" s="28" t="s">
        <v>8264</v>
      </c>
      <c r="F294" s="28" t="s">
        <v>7827</v>
      </c>
      <c r="G294" s="28" t="s">
        <v>8826</v>
      </c>
      <c r="H294" s="28"/>
      <c r="I294" s="28" t="s">
        <v>8038</v>
      </c>
      <c r="J294" s="28" t="s">
        <v>7772</v>
      </c>
      <c r="K294" s="28" t="b">
        <v>0</v>
      </c>
      <c r="L294" s="28" t="s">
        <v>7772</v>
      </c>
      <c r="M294" s="28" t="b">
        <v>0</v>
      </c>
      <c r="N294" s="28" t="b">
        <v>0</v>
      </c>
      <c r="O294" s="28"/>
      <c r="P294" s="28"/>
      <c r="Q294" s="28" t="s">
        <v>8045</v>
      </c>
      <c r="R294" s="758" t="s">
        <v>8827</v>
      </c>
      <c r="S294" s="28"/>
      <c r="T294" s="28"/>
      <c r="U294" s="28"/>
      <c r="V294" s="28"/>
      <c r="W294" s="28"/>
      <c r="X294" s="28"/>
      <c r="Y294" s="28"/>
      <c r="Z294" s="28"/>
    </row>
    <row r="295">
      <c r="A295" s="28" t="s">
        <v>8527</v>
      </c>
      <c r="B295" s="28" t="s">
        <v>8032</v>
      </c>
      <c r="C295" s="28" t="s">
        <v>8800</v>
      </c>
      <c r="D295" s="28" t="s">
        <v>8828</v>
      </c>
      <c r="E295" s="28" t="s">
        <v>8829</v>
      </c>
      <c r="F295" s="28" t="s">
        <v>7685</v>
      </c>
      <c r="G295" s="28" t="s">
        <v>8830</v>
      </c>
      <c r="H295" s="28"/>
      <c r="I295" s="28" t="s">
        <v>8831</v>
      </c>
      <c r="J295" s="28" t="s">
        <v>4461</v>
      </c>
      <c r="K295" s="28" t="b">
        <v>1</v>
      </c>
      <c r="L295" s="28" t="s">
        <v>4461</v>
      </c>
      <c r="M295" s="28" t="b">
        <v>0</v>
      </c>
      <c r="N295" s="28" t="b">
        <v>0</v>
      </c>
      <c r="O295" s="774" t="s">
        <v>8810</v>
      </c>
      <c r="P295" s="28"/>
      <c r="Q295" s="28" t="s">
        <v>8045</v>
      </c>
      <c r="R295" s="758" t="s">
        <v>8832</v>
      </c>
      <c r="S295" s="28"/>
      <c r="T295" s="28"/>
      <c r="U295" s="28"/>
      <c r="V295" s="28"/>
      <c r="W295" s="28"/>
      <c r="X295" s="28"/>
      <c r="Y295" s="28"/>
      <c r="Z295" s="28"/>
    </row>
    <row r="296">
      <c r="A296" s="28" t="s">
        <v>8527</v>
      </c>
      <c r="B296" s="28" t="s">
        <v>8032</v>
      </c>
      <c r="C296" s="28" t="s">
        <v>8800</v>
      </c>
      <c r="D296" s="28" t="s">
        <v>368</v>
      </c>
      <c r="E296" s="28" t="s">
        <v>8833</v>
      </c>
      <c r="F296" s="28" t="s">
        <v>7685</v>
      </c>
      <c r="G296" s="28" t="s">
        <v>8834</v>
      </c>
      <c r="H296" s="28"/>
      <c r="I296" s="28" t="s">
        <v>8038</v>
      </c>
      <c r="J296" s="28" t="s">
        <v>5756</v>
      </c>
      <c r="K296" s="28" t="b">
        <v>1</v>
      </c>
      <c r="L296" s="28" t="s">
        <v>4461</v>
      </c>
      <c r="M296" s="28" t="b">
        <v>0</v>
      </c>
      <c r="N296" s="28" t="b">
        <v>0</v>
      </c>
      <c r="O296" s="28"/>
      <c r="P296" s="28"/>
      <c r="Q296" s="28" t="s">
        <v>8169</v>
      </c>
      <c r="R296" s="758" t="s">
        <v>8832</v>
      </c>
      <c r="S296" s="28"/>
      <c r="T296" s="28"/>
      <c r="U296" s="28"/>
      <c r="V296" s="28"/>
      <c r="W296" s="28"/>
      <c r="X296" s="28"/>
      <c r="Y296" s="28"/>
      <c r="Z296" s="28"/>
    </row>
    <row r="297">
      <c r="A297" s="28" t="s">
        <v>8527</v>
      </c>
      <c r="B297" s="28" t="s">
        <v>8032</v>
      </c>
      <c r="C297" s="28" t="s">
        <v>8800</v>
      </c>
      <c r="D297" s="28" t="s">
        <v>8835</v>
      </c>
      <c r="E297" s="28" t="s">
        <v>8836</v>
      </c>
      <c r="F297" s="28" t="s">
        <v>8302</v>
      </c>
      <c r="G297" s="28" t="s">
        <v>8837</v>
      </c>
      <c r="H297" s="28"/>
      <c r="I297" s="28" t="s">
        <v>8838</v>
      </c>
      <c r="J297" s="28" t="s">
        <v>4597</v>
      </c>
      <c r="K297" s="28" t="b">
        <v>0</v>
      </c>
      <c r="L297" s="28" t="s">
        <v>4597</v>
      </c>
      <c r="M297" s="28" t="b">
        <v>0</v>
      </c>
      <c r="N297" s="28" t="b">
        <v>0</v>
      </c>
      <c r="O297" s="28"/>
      <c r="P297" s="28"/>
      <c r="Q297" s="28" t="s">
        <v>8045</v>
      </c>
      <c r="R297" s="758" t="s">
        <v>8839</v>
      </c>
      <c r="S297" s="28"/>
      <c r="T297" s="28"/>
      <c r="U297" s="28"/>
      <c r="V297" s="28"/>
      <c r="W297" s="28"/>
      <c r="X297" s="28"/>
      <c r="Y297" s="28"/>
      <c r="Z297" s="28"/>
    </row>
    <row r="298">
      <c r="A298" s="28" t="s">
        <v>8527</v>
      </c>
      <c r="B298" s="28" t="s">
        <v>8032</v>
      </c>
      <c r="C298" s="28" t="s">
        <v>8800</v>
      </c>
      <c r="D298" s="760" t="s">
        <v>121</v>
      </c>
      <c r="E298" s="760" t="s">
        <v>8840</v>
      </c>
      <c r="F298" s="760" t="s">
        <v>7685</v>
      </c>
      <c r="G298" s="760" t="s">
        <v>8841</v>
      </c>
      <c r="H298" s="760"/>
      <c r="I298" s="760" t="s">
        <v>8038</v>
      </c>
      <c r="J298" s="760" t="s">
        <v>4503</v>
      </c>
      <c r="K298" s="760" t="b">
        <v>1</v>
      </c>
      <c r="L298" s="760" t="s">
        <v>4461</v>
      </c>
      <c r="M298" s="760" t="b">
        <v>0</v>
      </c>
      <c r="N298" s="760" t="b">
        <v>0</v>
      </c>
      <c r="O298" s="766" t="s">
        <v>8810</v>
      </c>
      <c r="P298" s="760"/>
      <c r="Q298" s="760" t="s">
        <v>8051</v>
      </c>
      <c r="R298" s="758" t="s">
        <v>8842</v>
      </c>
      <c r="S298" s="28"/>
      <c r="T298" s="28"/>
      <c r="U298" s="28"/>
      <c r="V298" s="28"/>
      <c r="W298" s="28"/>
      <c r="X298" s="28"/>
      <c r="Y298" s="28"/>
      <c r="Z298" s="28"/>
    </row>
    <row r="299">
      <c r="A299" s="28" t="s">
        <v>8527</v>
      </c>
      <c r="B299" s="28" t="s">
        <v>8032</v>
      </c>
      <c r="C299" s="28" t="s">
        <v>8843</v>
      </c>
      <c r="D299" s="28" t="s">
        <v>8844</v>
      </c>
      <c r="E299" s="28" t="s">
        <v>8844</v>
      </c>
      <c r="F299" s="28" t="s">
        <v>7731</v>
      </c>
      <c r="G299" s="28" t="s">
        <v>8845</v>
      </c>
      <c r="H299" s="28"/>
      <c r="I299" s="28" t="s">
        <v>8846</v>
      </c>
      <c r="J299" s="28" t="s">
        <v>7730</v>
      </c>
      <c r="K299" s="28" t="b">
        <v>0</v>
      </c>
      <c r="L299" s="28" t="s">
        <v>7730</v>
      </c>
      <c r="M299" s="28" t="b">
        <v>0</v>
      </c>
      <c r="N299" s="28" t="b">
        <v>0</v>
      </c>
      <c r="O299" s="774" t="s">
        <v>8847</v>
      </c>
      <c r="P299" s="28"/>
      <c r="Q299" s="774" t="s">
        <v>8848</v>
      </c>
      <c r="R299" s="28"/>
      <c r="S299" s="758" t="s">
        <v>8849</v>
      </c>
      <c r="T299" s="28"/>
      <c r="U299" s="28"/>
      <c r="V299" s="28"/>
      <c r="W299" s="28"/>
      <c r="X299" s="28"/>
      <c r="Y299" s="28"/>
      <c r="Z299" s="28"/>
    </row>
    <row r="300">
      <c r="A300" s="28" t="s">
        <v>8527</v>
      </c>
      <c r="B300" s="28" t="s">
        <v>8032</v>
      </c>
      <c r="C300" s="782" t="s">
        <v>8843</v>
      </c>
      <c r="D300" s="760" t="s">
        <v>8850</v>
      </c>
      <c r="E300" s="760" t="s">
        <v>7796</v>
      </c>
      <c r="F300" s="760" t="s">
        <v>7797</v>
      </c>
      <c r="G300" s="760" t="s">
        <v>8377</v>
      </c>
      <c r="H300" s="760"/>
      <c r="I300" s="760" t="s">
        <v>8851</v>
      </c>
      <c r="J300" s="760" t="s">
        <v>4542</v>
      </c>
      <c r="K300" s="760" t="b">
        <v>0</v>
      </c>
      <c r="L300" s="760" t="s">
        <v>4542</v>
      </c>
      <c r="M300" s="760" t="b">
        <v>0</v>
      </c>
      <c r="N300" s="760" t="b">
        <v>0</v>
      </c>
      <c r="O300" s="760"/>
      <c r="P300" s="760"/>
      <c r="Q300" s="760" t="s">
        <v>8852</v>
      </c>
      <c r="R300" s="760" t="s">
        <v>8853</v>
      </c>
      <c r="S300" s="758" t="s">
        <v>8854</v>
      </c>
      <c r="T300" s="28"/>
      <c r="U300" s="28"/>
      <c r="V300" s="28"/>
      <c r="W300" s="28"/>
      <c r="X300" s="28"/>
      <c r="Y300" s="28"/>
      <c r="Z300" s="28"/>
    </row>
    <row r="301">
      <c r="A301" s="28" t="s">
        <v>8527</v>
      </c>
      <c r="B301" s="28" t="s">
        <v>8032</v>
      </c>
      <c r="C301" s="28" t="s">
        <v>8843</v>
      </c>
      <c r="D301" s="28" t="s">
        <v>8855</v>
      </c>
      <c r="E301" s="28" t="s">
        <v>8856</v>
      </c>
      <c r="F301" s="28" t="s">
        <v>7782</v>
      </c>
      <c r="G301" s="28" t="s">
        <v>8857</v>
      </c>
      <c r="H301" s="28"/>
      <c r="I301" s="28" t="s">
        <v>8858</v>
      </c>
      <c r="J301" s="28" t="s">
        <v>4521</v>
      </c>
      <c r="K301" s="28" t="b">
        <v>0</v>
      </c>
      <c r="L301" s="28" t="s">
        <v>4521</v>
      </c>
      <c r="M301" s="28" t="b">
        <v>0</v>
      </c>
      <c r="N301" s="28" t="b">
        <v>0</v>
      </c>
      <c r="O301" s="774" t="s">
        <v>8859</v>
      </c>
      <c r="P301" s="28"/>
      <c r="Q301" s="774" t="s">
        <v>8860</v>
      </c>
      <c r="R301" s="28"/>
      <c r="S301" s="758" t="s">
        <v>8861</v>
      </c>
      <c r="T301" s="28"/>
      <c r="U301" s="28"/>
      <c r="V301" s="28"/>
      <c r="W301" s="28"/>
      <c r="X301" s="28"/>
      <c r="Y301" s="28"/>
      <c r="Z301" s="28"/>
    </row>
    <row r="302">
      <c r="A302" s="782" t="s">
        <v>8527</v>
      </c>
      <c r="B302" s="782" t="s">
        <v>8032</v>
      </c>
      <c r="C302" s="782" t="s">
        <v>8843</v>
      </c>
      <c r="D302" s="760" t="s">
        <v>8862</v>
      </c>
      <c r="E302" s="760" t="s">
        <v>8862</v>
      </c>
      <c r="F302" s="760" t="s">
        <v>7754</v>
      </c>
      <c r="G302" s="760" t="s">
        <v>8863</v>
      </c>
      <c r="H302" s="760"/>
      <c r="I302" s="760" t="s">
        <v>8038</v>
      </c>
      <c r="J302" s="760" t="s">
        <v>4525</v>
      </c>
      <c r="K302" s="760" t="b">
        <v>0</v>
      </c>
      <c r="L302" s="760" t="s">
        <v>4525</v>
      </c>
      <c r="M302" s="760" t="b">
        <v>0</v>
      </c>
      <c r="N302" s="760" t="b">
        <v>0</v>
      </c>
      <c r="O302" s="760" t="s">
        <v>8859</v>
      </c>
      <c r="P302" s="760" t="s">
        <v>8039</v>
      </c>
      <c r="Q302" s="760" t="s">
        <v>8155</v>
      </c>
      <c r="R302" s="758" t="s">
        <v>8864</v>
      </c>
      <c r="S302" s="28"/>
      <c r="T302" s="28"/>
      <c r="U302" s="28"/>
      <c r="V302" s="28"/>
      <c r="W302" s="28"/>
      <c r="X302" s="28"/>
      <c r="Y302" s="28"/>
      <c r="Z302" s="28"/>
    </row>
    <row r="303">
      <c r="A303" s="28" t="s">
        <v>8527</v>
      </c>
      <c r="B303" s="28" t="s">
        <v>8032</v>
      </c>
      <c r="C303" s="28" t="s">
        <v>8865</v>
      </c>
      <c r="D303" s="28" t="s">
        <v>8866</v>
      </c>
      <c r="E303" s="28" t="s">
        <v>8195</v>
      </c>
      <c r="F303" s="28" t="s">
        <v>8116</v>
      </c>
      <c r="G303" s="28" t="s">
        <v>8867</v>
      </c>
      <c r="H303" s="28"/>
      <c r="I303" s="28" t="s">
        <v>8038</v>
      </c>
      <c r="J303" s="28" t="s">
        <v>4500</v>
      </c>
      <c r="K303" s="28" t="b">
        <v>0</v>
      </c>
      <c r="L303" s="28" t="s">
        <v>4500</v>
      </c>
      <c r="M303" s="28" t="b">
        <v>0</v>
      </c>
      <c r="N303" s="28" t="b">
        <v>0</v>
      </c>
      <c r="O303" s="28"/>
      <c r="P303" s="28"/>
      <c r="Q303" s="774" t="s">
        <v>8868</v>
      </c>
      <c r="R303" s="28"/>
      <c r="S303" s="758" t="s">
        <v>8869</v>
      </c>
      <c r="T303" s="28"/>
      <c r="U303" s="28"/>
      <c r="V303" s="28"/>
      <c r="W303" s="28"/>
      <c r="X303" s="28"/>
      <c r="Y303" s="28"/>
      <c r="Z303" s="28"/>
    </row>
    <row r="304">
      <c r="A304" s="28" t="s">
        <v>8527</v>
      </c>
      <c r="B304" s="28" t="s">
        <v>8032</v>
      </c>
      <c r="C304" s="28" t="s">
        <v>8865</v>
      </c>
      <c r="D304" s="28" t="s">
        <v>8870</v>
      </c>
      <c r="E304" s="28" t="s">
        <v>8871</v>
      </c>
      <c r="F304" s="28" t="s">
        <v>7731</v>
      </c>
      <c r="G304" s="28" t="s">
        <v>8872</v>
      </c>
      <c r="H304" s="28"/>
      <c r="I304" s="28" t="s">
        <v>8873</v>
      </c>
      <c r="J304" s="28" t="s">
        <v>7730</v>
      </c>
      <c r="K304" s="28" t="b">
        <v>0</v>
      </c>
      <c r="L304" s="28" t="s">
        <v>7730</v>
      </c>
      <c r="M304" s="28" t="b">
        <v>0</v>
      </c>
      <c r="N304" s="28" t="b">
        <v>0</v>
      </c>
      <c r="O304" s="28"/>
      <c r="P304" s="28"/>
      <c r="Q304" s="774" t="s">
        <v>8874</v>
      </c>
      <c r="R304" s="28"/>
      <c r="S304" s="28"/>
      <c r="T304" s="28"/>
      <c r="U304" s="758" t="s">
        <v>979</v>
      </c>
      <c r="V304" s="28"/>
      <c r="W304" s="28"/>
      <c r="X304" s="28"/>
      <c r="Y304" s="28"/>
      <c r="Z304" s="28"/>
    </row>
    <row r="305">
      <c r="A305" s="28" t="s">
        <v>8527</v>
      </c>
      <c r="B305" s="28" t="s">
        <v>8032</v>
      </c>
      <c r="C305" s="28" t="s">
        <v>8865</v>
      </c>
      <c r="D305" s="28" t="s">
        <v>8169</v>
      </c>
      <c r="E305" s="28" t="s">
        <v>8875</v>
      </c>
      <c r="F305" s="28" t="s">
        <v>7731</v>
      </c>
      <c r="G305" s="28" t="s">
        <v>8876</v>
      </c>
      <c r="H305" s="28"/>
      <c r="I305" s="28" t="s">
        <v>8038</v>
      </c>
      <c r="J305" s="28" t="s">
        <v>7730</v>
      </c>
      <c r="K305" s="28" t="b">
        <v>0</v>
      </c>
      <c r="L305" s="28" t="s">
        <v>7730</v>
      </c>
      <c r="M305" s="28" t="b">
        <v>0</v>
      </c>
      <c r="N305" s="28" t="b">
        <v>0</v>
      </c>
      <c r="O305" s="28" t="s">
        <v>8877</v>
      </c>
      <c r="P305" s="28"/>
      <c r="Q305" s="774" t="s">
        <v>8878</v>
      </c>
      <c r="R305" s="28"/>
      <c r="S305" s="758" t="s">
        <v>8879</v>
      </c>
      <c r="T305" s="28"/>
      <c r="U305" s="28"/>
      <c r="V305" s="28"/>
      <c r="W305" s="28"/>
      <c r="X305" s="28"/>
      <c r="Y305" s="28"/>
      <c r="Z305" s="28"/>
    </row>
    <row r="306">
      <c r="A306" s="28" t="s">
        <v>8527</v>
      </c>
      <c r="B306" s="28" t="s">
        <v>8032</v>
      </c>
      <c r="C306" s="28" t="s">
        <v>8865</v>
      </c>
      <c r="D306" s="760" t="s">
        <v>8880</v>
      </c>
      <c r="E306" s="760" t="s">
        <v>8881</v>
      </c>
      <c r="F306" s="760" t="s">
        <v>8302</v>
      </c>
      <c r="G306" s="760" t="s">
        <v>8882</v>
      </c>
      <c r="H306" s="760"/>
      <c r="I306" s="760" t="s">
        <v>8883</v>
      </c>
      <c r="J306" s="760" t="s">
        <v>4597</v>
      </c>
      <c r="K306" s="760" t="b">
        <v>0</v>
      </c>
      <c r="L306" s="760" t="s">
        <v>4597</v>
      </c>
      <c r="M306" s="760" t="b">
        <v>0</v>
      </c>
      <c r="N306" s="760" t="b">
        <v>0</v>
      </c>
      <c r="O306" s="760"/>
      <c r="P306" s="760"/>
      <c r="Q306" s="766" t="s">
        <v>8884</v>
      </c>
      <c r="R306" s="760"/>
      <c r="S306" s="783" t="s">
        <v>8885</v>
      </c>
      <c r="T306" s="760"/>
      <c r="U306" s="760"/>
      <c r="V306" s="28"/>
      <c r="W306" s="28"/>
      <c r="X306" s="28"/>
      <c r="Y306" s="28"/>
      <c r="Z306" s="28"/>
    </row>
    <row r="307">
      <c r="A307" s="28" t="s">
        <v>8527</v>
      </c>
      <c r="B307" s="28" t="s">
        <v>8032</v>
      </c>
      <c r="C307" s="28" t="s">
        <v>8886</v>
      </c>
      <c r="D307" s="760" t="s">
        <v>8887</v>
      </c>
      <c r="E307" s="760" t="s">
        <v>8888</v>
      </c>
      <c r="F307" s="760" t="s">
        <v>7797</v>
      </c>
      <c r="G307" s="760">
        <v>8.613915976159E12</v>
      </c>
      <c r="H307" s="760"/>
      <c r="I307" s="760" t="s">
        <v>8889</v>
      </c>
      <c r="J307" s="760" t="s">
        <v>4542</v>
      </c>
      <c r="K307" s="760" t="b">
        <v>0</v>
      </c>
      <c r="L307" s="760" t="s">
        <v>4542</v>
      </c>
      <c r="M307" s="760" t="b">
        <v>0</v>
      </c>
      <c r="N307" s="760" t="b">
        <v>0</v>
      </c>
      <c r="O307" s="760"/>
      <c r="P307" s="760"/>
      <c r="Q307" s="766" t="s">
        <v>8890</v>
      </c>
      <c r="R307" s="760"/>
      <c r="S307" s="28"/>
      <c r="T307" s="28"/>
      <c r="U307" s="28"/>
      <c r="V307" s="28"/>
      <c r="W307" s="28"/>
      <c r="X307" s="28"/>
      <c r="Y307" s="28"/>
      <c r="Z307" s="28"/>
    </row>
    <row r="308">
      <c r="A308" s="28" t="s">
        <v>8527</v>
      </c>
      <c r="B308" s="28" t="s">
        <v>8032</v>
      </c>
      <c r="C308" s="28" t="s">
        <v>8886</v>
      </c>
      <c r="D308" s="28" t="s">
        <v>8891</v>
      </c>
      <c r="E308" s="28" t="s">
        <v>8891</v>
      </c>
      <c r="F308" s="28" t="s">
        <v>7685</v>
      </c>
      <c r="G308" s="28">
        <v>9.710556495674E12</v>
      </c>
      <c r="H308" s="28"/>
      <c r="I308" s="28" t="s">
        <v>8038</v>
      </c>
      <c r="J308" s="28" t="s">
        <v>4583</v>
      </c>
      <c r="K308" s="28" t="b">
        <v>0</v>
      </c>
      <c r="L308" s="28" t="s">
        <v>4583</v>
      </c>
      <c r="M308" s="28" t="b">
        <v>0</v>
      </c>
      <c r="N308" s="28" t="b">
        <v>0</v>
      </c>
      <c r="O308" s="28" t="s">
        <v>8892</v>
      </c>
      <c r="P308" s="28"/>
      <c r="Q308" s="28" t="s">
        <v>8629</v>
      </c>
      <c r="R308" s="758" t="s">
        <v>8893</v>
      </c>
      <c r="S308" s="28"/>
      <c r="T308" s="28"/>
      <c r="U308" s="28"/>
      <c r="V308" s="28"/>
      <c r="W308" s="28"/>
      <c r="X308" s="28"/>
      <c r="Y308" s="28"/>
      <c r="Z308" s="28"/>
    </row>
    <row r="309">
      <c r="A309" s="28" t="s">
        <v>8527</v>
      </c>
      <c r="B309" s="28" t="s">
        <v>8032</v>
      </c>
      <c r="C309" s="28" t="s">
        <v>8886</v>
      </c>
      <c r="D309" s="760" t="s">
        <v>8894</v>
      </c>
      <c r="E309" s="760" t="s">
        <v>8895</v>
      </c>
      <c r="F309" s="760" t="s">
        <v>7685</v>
      </c>
      <c r="G309" s="760">
        <v>9.71509796176E11</v>
      </c>
      <c r="H309" s="760"/>
      <c r="I309" s="760" t="s">
        <v>8896</v>
      </c>
      <c r="J309" s="760" t="s">
        <v>4500</v>
      </c>
      <c r="K309" s="760" t="b">
        <v>1</v>
      </c>
      <c r="L309" s="760" t="s">
        <v>4461</v>
      </c>
      <c r="M309" s="760" t="b">
        <v>0</v>
      </c>
      <c r="N309" s="760" t="b">
        <v>0</v>
      </c>
      <c r="O309" s="760"/>
      <c r="P309" s="760"/>
      <c r="Q309" s="766" t="s">
        <v>8897</v>
      </c>
      <c r="R309" s="28"/>
      <c r="S309" s="28"/>
      <c r="T309" s="28"/>
      <c r="U309" s="28"/>
      <c r="V309" s="28"/>
      <c r="W309" s="28"/>
      <c r="X309" s="28"/>
      <c r="Y309" s="28"/>
      <c r="Z309" s="28"/>
    </row>
    <row r="310">
      <c r="A310" s="28" t="s">
        <v>8527</v>
      </c>
      <c r="B310" s="28" t="s">
        <v>8032</v>
      </c>
      <c r="C310" s="28" t="s">
        <v>8886</v>
      </c>
      <c r="D310" s="760" t="s">
        <v>8898</v>
      </c>
      <c r="E310" s="760" t="s">
        <v>8899</v>
      </c>
      <c r="F310" s="760" t="s">
        <v>8563</v>
      </c>
      <c r="G310" s="760">
        <v>9.647700555111E12</v>
      </c>
      <c r="H310" s="760"/>
      <c r="I310" s="760" t="s">
        <v>8900</v>
      </c>
      <c r="J310" s="760" t="s">
        <v>4571</v>
      </c>
      <c r="K310" s="760" t="b">
        <v>0</v>
      </c>
      <c r="L310" s="760" t="s">
        <v>4571</v>
      </c>
      <c r="M310" s="760" t="b">
        <v>0</v>
      </c>
      <c r="N310" s="760" t="b">
        <v>0</v>
      </c>
      <c r="O310" s="760"/>
      <c r="P310" s="760"/>
      <c r="Q310" s="760" t="s">
        <v>8868</v>
      </c>
      <c r="R310" s="28"/>
      <c r="S310" s="28"/>
      <c r="T310" s="28"/>
      <c r="U310" s="28"/>
      <c r="V310" s="28"/>
      <c r="W310" s="28"/>
      <c r="X310" s="28"/>
      <c r="Y310" s="28"/>
      <c r="Z310" s="28"/>
    </row>
    <row r="311">
      <c r="A311" s="28" t="s">
        <v>8527</v>
      </c>
      <c r="B311" s="28" t="s">
        <v>8032</v>
      </c>
      <c r="C311" s="28" t="s">
        <v>8886</v>
      </c>
      <c r="D311" s="28" t="s">
        <v>2761</v>
      </c>
      <c r="E311" s="28" t="s">
        <v>8901</v>
      </c>
      <c r="F311" s="28" t="s">
        <v>7701</v>
      </c>
      <c r="G311" s="28">
        <v>9.66507677757E11</v>
      </c>
      <c r="H311" s="28"/>
      <c r="I311" s="28" t="s">
        <v>8038</v>
      </c>
      <c r="J311" s="28" t="s">
        <v>7700</v>
      </c>
      <c r="K311" s="28" t="b">
        <v>0</v>
      </c>
      <c r="L311" s="28" t="s">
        <v>7700</v>
      </c>
      <c r="M311" s="28" t="b">
        <v>0</v>
      </c>
      <c r="N311" s="28" t="b">
        <v>0</v>
      </c>
      <c r="O311" s="28"/>
      <c r="P311" s="28"/>
      <c r="Q311" s="28" t="s">
        <v>8902</v>
      </c>
      <c r="R311" s="28"/>
      <c r="S311" s="758" t="s">
        <v>8832</v>
      </c>
      <c r="T311" s="28"/>
      <c r="U311" s="28"/>
      <c r="V311" s="28"/>
      <c r="W311" s="28"/>
      <c r="X311" s="28"/>
      <c r="Y311" s="28"/>
      <c r="Z311" s="28"/>
    </row>
    <row r="312">
      <c r="A312" s="28" t="s">
        <v>8527</v>
      </c>
      <c r="B312" s="28" t="s">
        <v>8032</v>
      </c>
      <c r="C312" s="28" t="s">
        <v>8886</v>
      </c>
      <c r="D312" s="760" t="s">
        <v>8903</v>
      </c>
      <c r="E312" s="760" t="s">
        <v>8904</v>
      </c>
      <c r="F312" s="760" t="s">
        <v>7685</v>
      </c>
      <c r="G312" s="760">
        <v>9.71506310695E11</v>
      </c>
      <c r="H312" s="760"/>
      <c r="I312" s="760" t="s">
        <v>8038</v>
      </c>
      <c r="J312" s="760" t="s">
        <v>4642</v>
      </c>
      <c r="K312" s="760" t="b">
        <v>1</v>
      </c>
      <c r="L312" s="760" t="s">
        <v>4461</v>
      </c>
      <c r="M312" s="760" t="b">
        <v>0</v>
      </c>
      <c r="N312" s="760" t="b">
        <v>0</v>
      </c>
      <c r="O312" s="760" t="s">
        <v>8892</v>
      </c>
      <c r="P312" s="760"/>
      <c r="Q312" s="760" t="s">
        <v>8905</v>
      </c>
      <c r="R312" s="28"/>
      <c r="S312" s="758" t="s">
        <v>8906</v>
      </c>
      <c r="T312" s="28"/>
      <c r="U312" s="28"/>
      <c r="V312" s="28"/>
      <c r="W312" s="28"/>
      <c r="X312" s="28"/>
      <c r="Y312" s="28"/>
      <c r="Z312" s="28"/>
    </row>
    <row r="313">
      <c r="A313" s="28" t="s">
        <v>8527</v>
      </c>
      <c r="B313" s="28" t="s">
        <v>8032</v>
      </c>
      <c r="C313" s="777">
        <v>43832.0</v>
      </c>
      <c r="D313" s="28" t="s">
        <v>8907</v>
      </c>
      <c r="E313" s="28" t="s">
        <v>8908</v>
      </c>
      <c r="F313" s="28" t="s">
        <v>7685</v>
      </c>
      <c r="G313" s="28">
        <v>9.7152709606E11</v>
      </c>
      <c r="H313" s="28"/>
      <c r="I313" s="28" t="s">
        <v>8909</v>
      </c>
      <c r="J313" s="28" t="s">
        <v>4461</v>
      </c>
      <c r="K313" s="28" t="b">
        <v>1</v>
      </c>
      <c r="L313" s="28" t="s">
        <v>4461</v>
      </c>
      <c r="M313" s="28" t="b">
        <v>0</v>
      </c>
      <c r="N313" s="28" t="b">
        <v>0</v>
      </c>
      <c r="O313" s="28"/>
      <c r="P313" s="28"/>
      <c r="Q313" s="774" t="s">
        <v>8910</v>
      </c>
      <c r="R313" s="28"/>
      <c r="S313" s="28"/>
      <c r="T313" s="28"/>
      <c r="U313" s="28"/>
      <c r="V313" s="28"/>
      <c r="W313" s="28"/>
      <c r="X313" s="28"/>
      <c r="Y313" s="28"/>
      <c r="Z313" s="28"/>
    </row>
    <row r="314">
      <c r="A314" s="28" t="s">
        <v>8527</v>
      </c>
      <c r="B314" s="28" t="s">
        <v>8032</v>
      </c>
      <c r="C314" s="777">
        <v>43832.0</v>
      </c>
      <c r="D314" s="28" t="s">
        <v>8911</v>
      </c>
      <c r="E314" s="28" t="s">
        <v>6316</v>
      </c>
      <c r="F314" s="28" t="s">
        <v>8563</v>
      </c>
      <c r="G314" s="28">
        <v>9.64781000226E12</v>
      </c>
      <c r="H314" s="28"/>
      <c r="I314" s="28" t="s">
        <v>8038</v>
      </c>
      <c r="J314" s="28" t="s">
        <v>4571</v>
      </c>
      <c r="K314" s="28" t="b">
        <v>0</v>
      </c>
      <c r="L314" s="28" t="s">
        <v>4571</v>
      </c>
      <c r="M314" s="28" t="b">
        <v>0</v>
      </c>
      <c r="N314" s="28" t="b">
        <v>0</v>
      </c>
      <c r="O314" s="774" t="s">
        <v>8784</v>
      </c>
      <c r="P314" s="28"/>
      <c r="Q314" s="28" t="s">
        <v>8169</v>
      </c>
      <c r="R314" s="28"/>
      <c r="S314" s="28"/>
      <c r="T314" s="28"/>
      <c r="U314" s="28"/>
      <c r="V314" s="28"/>
      <c r="W314" s="28"/>
      <c r="X314" s="28"/>
      <c r="Y314" s="28"/>
      <c r="Z314" s="28"/>
    </row>
    <row r="315">
      <c r="A315" s="28" t="s">
        <v>8527</v>
      </c>
      <c r="B315" s="28" t="s">
        <v>8032</v>
      </c>
      <c r="C315" s="777">
        <v>43832.0</v>
      </c>
      <c r="D315" s="28" t="s">
        <v>8907</v>
      </c>
      <c r="E315" s="28" t="s">
        <v>8908</v>
      </c>
      <c r="F315" s="28" t="s">
        <v>7685</v>
      </c>
      <c r="G315" s="28">
        <v>9.7152709606E11</v>
      </c>
      <c r="H315" s="28"/>
      <c r="I315" s="28" t="s">
        <v>8909</v>
      </c>
      <c r="J315" s="28" t="s">
        <v>4461</v>
      </c>
      <c r="K315" s="28" t="b">
        <v>1</v>
      </c>
      <c r="L315" s="28" t="s">
        <v>4461</v>
      </c>
      <c r="M315" s="28" t="b">
        <v>0</v>
      </c>
      <c r="N315" s="28" t="b">
        <v>0</v>
      </c>
      <c r="O315" s="28"/>
      <c r="P315" s="28"/>
      <c r="Q315" s="784" t="s">
        <v>8910</v>
      </c>
      <c r="R315" s="28"/>
      <c r="S315" s="28"/>
      <c r="T315" s="28"/>
      <c r="U315" s="28"/>
      <c r="V315" s="28"/>
      <c r="W315" s="28"/>
      <c r="X315" s="28"/>
      <c r="Y315" s="28"/>
      <c r="Z315" s="28"/>
    </row>
    <row r="316">
      <c r="A316" s="28" t="s">
        <v>8527</v>
      </c>
      <c r="B316" s="28" t="s">
        <v>8032</v>
      </c>
      <c r="C316" s="777">
        <v>43832.0</v>
      </c>
      <c r="D316" s="760" t="s">
        <v>8912</v>
      </c>
      <c r="E316" s="760" t="s">
        <v>8913</v>
      </c>
      <c r="F316" s="760" t="s">
        <v>8341</v>
      </c>
      <c r="G316" s="760">
        <v>3.9344187616E11</v>
      </c>
      <c r="H316" s="760"/>
      <c r="I316" s="760" t="s">
        <v>8914</v>
      </c>
      <c r="J316" s="760" t="s">
        <v>4626</v>
      </c>
      <c r="K316" s="760" t="b">
        <v>0</v>
      </c>
      <c r="L316" s="760" t="s">
        <v>4626</v>
      </c>
      <c r="M316" s="760" t="b">
        <v>0</v>
      </c>
      <c r="N316" s="760" t="b">
        <v>0</v>
      </c>
      <c r="O316" s="760"/>
      <c r="P316" s="760"/>
      <c r="Q316" s="766" t="s">
        <v>8915</v>
      </c>
      <c r="R316" s="28"/>
      <c r="S316" s="758" t="s">
        <v>8916</v>
      </c>
      <c r="T316" s="28"/>
      <c r="U316" s="28"/>
      <c r="V316" s="28"/>
      <c r="W316" s="28"/>
      <c r="X316" s="28"/>
      <c r="Y316" s="28"/>
      <c r="Z316" s="28"/>
    </row>
    <row r="317">
      <c r="A317" s="28" t="s">
        <v>8527</v>
      </c>
      <c r="B317" s="28" t="s">
        <v>8032</v>
      </c>
      <c r="C317" s="777">
        <v>43832.0</v>
      </c>
      <c r="D317" s="28" t="s">
        <v>8917</v>
      </c>
      <c r="E317" s="28" t="s">
        <v>8918</v>
      </c>
      <c r="F317" s="28" t="s">
        <v>8919</v>
      </c>
      <c r="G317" s="28">
        <v>4.20606757609E11</v>
      </c>
      <c r="H317" s="28"/>
      <c r="I317" s="28" t="s">
        <v>8920</v>
      </c>
      <c r="J317" s="28" t="s">
        <v>8921</v>
      </c>
      <c r="K317" s="28" t="b">
        <v>0</v>
      </c>
      <c r="L317" s="28" t="s">
        <v>8921</v>
      </c>
      <c r="M317" s="28" t="b">
        <v>0</v>
      </c>
      <c r="N317" s="28" t="b">
        <v>0</v>
      </c>
      <c r="O317" s="774" t="s">
        <v>8784</v>
      </c>
      <c r="P317" s="28"/>
      <c r="Q317" s="785" t="s">
        <v>8922</v>
      </c>
      <c r="R317" s="28"/>
      <c r="S317" s="28"/>
      <c r="T317" s="28"/>
      <c r="U317" s="28"/>
      <c r="V317" s="28"/>
      <c r="W317" s="28"/>
      <c r="X317" s="28"/>
      <c r="Y317" s="28"/>
      <c r="Z317" s="28"/>
    </row>
    <row r="318">
      <c r="A318" s="28" t="s">
        <v>8527</v>
      </c>
      <c r="B318" s="28" t="s">
        <v>8032</v>
      </c>
      <c r="C318" s="777">
        <v>43832.0</v>
      </c>
      <c r="D318" s="28" t="s">
        <v>8923</v>
      </c>
      <c r="E318" s="28" t="s">
        <v>8924</v>
      </c>
      <c r="F318" s="28" t="s">
        <v>7701</v>
      </c>
      <c r="G318" s="28">
        <v>9.66503866332E11</v>
      </c>
      <c r="H318" s="28"/>
      <c r="I318" s="28" t="s">
        <v>8038</v>
      </c>
      <c r="J318" s="28" t="s">
        <v>7700</v>
      </c>
      <c r="K318" s="28" t="b">
        <v>0</v>
      </c>
      <c r="L318" s="28" t="s">
        <v>7700</v>
      </c>
      <c r="M318" s="28" t="b">
        <v>0</v>
      </c>
      <c r="N318" s="28" t="b">
        <v>0</v>
      </c>
      <c r="O318" s="774" t="s">
        <v>8784</v>
      </c>
      <c r="P318" s="28"/>
      <c r="Q318" s="28" t="s">
        <v>8092</v>
      </c>
      <c r="R318" s="28"/>
      <c r="S318" s="28"/>
      <c r="T318" s="28"/>
      <c r="U318" s="28"/>
      <c r="V318" s="28"/>
      <c r="W318" s="28"/>
      <c r="X318" s="28"/>
      <c r="Y318" s="28"/>
      <c r="Z318" s="28"/>
    </row>
    <row r="319">
      <c r="A319" s="28" t="s">
        <v>8527</v>
      </c>
      <c r="B319" s="28" t="s">
        <v>8032</v>
      </c>
      <c r="C319" s="777">
        <v>43832.0</v>
      </c>
      <c r="D319" s="28" t="s">
        <v>8911</v>
      </c>
      <c r="E319" s="28" t="s">
        <v>6316</v>
      </c>
      <c r="F319" s="28" t="s">
        <v>8563</v>
      </c>
      <c r="G319" s="28">
        <v>9.64781000226E12</v>
      </c>
      <c r="H319" s="28"/>
      <c r="I319" s="28" t="s">
        <v>8038</v>
      </c>
      <c r="J319" s="28" t="s">
        <v>4571</v>
      </c>
      <c r="K319" s="28" t="b">
        <v>0</v>
      </c>
      <c r="L319" s="28" t="s">
        <v>4571</v>
      </c>
      <c r="M319" s="28" t="b">
        <v>0</v>
      </c>
      <c r="N319" s="28" t="b">
        <v>0</v>
      </c>
      <c r="O319" s="774" t="s">
        <v>8784</v>
      </c>
      <c r="P319" s="28"/>
      <c r="Q319" s="785" t="s">
        <v>8169</v>
      </c>
      <c r="R319" s="28"/>
      <c r="S319" s="28"/>
      <c r="T319" s="28"/>
      <c r="U319" s="28"/>
      <c r="V319" s="28"/>
      <c r="W319" s="28"/>
      <c r="X319" s="28"/>
      <c r="Y319" s="28"/>
      <c r="Z319" s="28"/>
    </row>
    <row r="320">
      <c r="A320" s="28" t="s">
        <v>8527</v>
      </c>
      <c r="B320" s="28" t="s">
        <v>8032</v>
      </c>
      <c r="C320" s="777">
        <v>43832.0</v>
      </c>
      <c r="D320" s="760" t="s">
        <v>8925</v>
      </c>
      <c r="E320" s="760" t="s">
        <v>8926</v>
      </c>
      <c r="F320" s="760" t="s">
        <v>8651</v>
      </c>
      <c r="G320" s="760">
        <v>3.161946639E10</v>
      </c>
      <c r="H320" s="760"/>
      <c r="I320" s="760" t="s">
        <v>8927</v>
      </c>
      <c r="J320" s="760" t="s">
        <v>4593</v>
      </c>
      <c r="K320" s="760" t="b">
        <v>0</v>
      </c>
      <c r="L320" s="760" t="s">
        <v>4593</v>
      </c>
      <c r="M320" s="760" t="b">
        <v>0</v>
      </c>
      <c r="N320" s="760" t="b">
        <v>0</v>
      </c>
      <c r="O320" s="766" t="s">
        <v>8784</v>
      </c>
      <c r="P320" s="760"/>
      <c r="Q320" s="760" t="s">
        <v>8092</v>
      </c>
      <c r="R320" s="758" t="s">
        <v>8928</v>
      </c>
      <c r="S320" s="28"/>
      <c r="T320" s="28"/>
      <c r="U320" s="28"/>
      <c r="V320" s="28"/>
      <c r="W320" s="28"/>
      <c r="X320" s="28"/>
      <c r="Y320" s="28"/>
      <c r="Z320" s="28"/>
    </row>
    <row r="321">
      <c r="A321" s="28" t="s">
        <v>8527</v>
      </c>
      <c r="B321" s="28" t="s">
        <v>8032</v>
      </c>
      <c r="C321" s="777">
        <v>43892.0</v>
      </c>
      <c r="D321" s="28" t="s">
        <v>8929</v>
      </c>
      <c r="E321" s="28" t="s">
        <v>8930</v>
      </c>
      <c r="F321" s="28" t="s">
        <v>7731</v>
      </c>
      <c r="G321" s="28" t="s">
        <v>8931</v>
      </c>
      <c r="H321" s="28"/>
      <c r="I321" s="28" t="s">
        <v>8932</v>
      </c>
      <c r="J321" s="28" t="s">
        <v>7730</v>
      </c>
      <c r="K321" s="28" t="b">
        <v>0</v>
      </c>
      <c r="L321" s="28" t="s">
        <v>7730</v>
      </c>
      <c r="M321" s="28" t="b">
        <v>0</v>
      </c>
      <c r="N321" s="28" t="b">
        <v>0</v>
      </c>
      <c r="O321" s="774" t="s">
        <v>8784</v>
      </c>
      <c r="P321" s="28"/>
      <c r="Q321" s="28" t="s">
        <v>8629</v>
      </c>
      <c r="R321" s="28"/>
      <c r="S321" s="28"/>
      <c r="T321" s="28"/>
      <c r="U321" s="28"/>
      <c r="V321" s="28"/>
      <c r="W321" s="28"/>
      <c r="X321" s="28"/>
      <c r="Y321" s="28"/>
      <c r="Z321" s="28"/>
    </row>
    <row r="322">
      <c r="A322" s="28" t="s">
        <v>8527</v>
      </c>
      <c r="B322" s="28" t="s">
        <v>8032</v>
      </c>
      <c r="C322" s="777">
        <v>43892.0</v>
      </c>
      <c r="D322" s="28" t="s">
        <v>8933</v>
      </c>
      <c r="E322" s="28" t="s">
        <v>8934</v>
      </c>
      <c r="F322" s="28" t="s">
        <v>7727</v>
      </c>
      <c r="G322" s="28" t="s">
        <v>8935</v>
      </c>
      <c r="H322" s="28"/>
      <c r="I322" s="28" t="s">
        <v>8038</v>
      </c>
      <c r="J322" s="28" t="s">
        <v>5069</v>
      </c>
      <c r="K322" s="28" t="b">
        <v>0</v>
      </c>
      <c r="L322" s="28" t="s">
        <v>5069</v>
      </c>
      <c r="M322" s="28" t="b">
        <v>0</v>
      </c>
      <c r="N322" s="28" t="b">
        <v>0</v>
      </c>
      <c r="O322" s="774" t="s">
        <v>8784</v>
      </c>
      <c r="P322" s="28"/>
      <c r="Q322" s="28" t="s">
        <v>8051</v>
      </c>
      <c r="R322" s="28"/>
      <c r="S322" s="28"/>
      <c r="T322" s="28"/>
      <c r="U322" s="28"/>
      <c r="V322" s="28"/>
      <c r="W322" s="28"/>
      <c r="X322" s="28"/>
      <c r="Y322" s="28"/>
      <c r="Z322" s="28"/>
    </row>
    <row r="323">
      <c r="A323" s="28" t="s">
        <v>8527</v>
      </c>
      <c r="B323" s="28" t="s">
        <v>8032</v>
      </c>
      <c r="C323" s="777">
        <v>43892.0</v>
      </c>
      <c r="D323" s="760" t="s">
        <v>368</v>
      </c>
      <c r="E323" s="760" t="s">
        <v>8936</v>
      </c>
      <c r="F323" s="760" t="s">
        <v>7685</v>
      </c>
      <c r="G323" s="760" t="s">
        <v>8937</v>
      </c>
      <c r="H323" s="760"/>
      <c r="I323" s="760" t="s">
        <v>8038</v>
      </c>
      <c r="J323" s="760" t="s">
        <v>4571</v>
      </c>
      <c r="K323" s="760" t="b">
        <v>1</v>
      </c>
      <c r="L323" s="760" t="s">
        <v>4461</v>
      </c>
      <c r="M323" s="760" t="b">
        <v>0</v>
      </c>
      <c r="N323" s="760" t="b">
        <v>0</v>
      </c>
      <c r="O323" s="766" t="s">
        <v>8784</v>
      </c>
      <c r="P323" s="760"/>
      <c r="Q323" s="785" t="s">
        <v>8938</v>
      </c>
      <c r="R323" s="28"/>
      <c r="S323" s="758" t="s">
        <v>8939</v>
      </c>
      <c r="T323" s="28"/>
      <c r="U323" s="28"/>
      <c r="V323" s="28"/>
      <c r="W323" s="28"/>
      <c r="X323" s="28"/>
      <c r="Y323" s="28"/>
      <c r="Z323" s="28"/>
    </row>
    <row r="324">
      <c r="A324" s="28" t="s">
        <v>8527</v>
      </c>
      <c r="B324" s="28" t="s">
        <v>8032</v>
      </c>
      <c r="C324" s="777">
        <v>43892.0</v>
      </c>
      <c r="D324" s="28" t="s">
        <v>8940</v>
      </c>
      <c r="E324" s="28" t="s">
        <v>8941</v>
      </c>
      <c r="F324" s="28" t="s">
        <v>7782</v>
      </c>
      <c r="G324" s="28" t="s">
        <v>8942</v>
      </c>
      <c r="H324" s="28"/>
      <c r="I324" s="28" t="s">
        <v>8943</v>
      </c>
      <c r="J324" s="28" t="s">
        <v>4521</v>
      </c>
      <c r="K324" s="28" t="b">
        <v>0</v>
      </c>
      <c r="L324" s="28" t="s">
        <v>4521</v>
      </c>
      <c r="M324" s="28" t="b">
        <v>0</v>
      </c>
      <c r="N324" s="28" t="b">
        <v>0</v>
      </c>
      <c r="O324" s="774" t="s">
        <v>8784</v>
      </c>
      <c r="P324" s="28"/>
      <c r="Q324" s="28" t="s">
        <v>8629</v>
      </c>
      <c r="R324" s="28"/>
      <c r="S324" s="28"/>
      <c r="T324" s="28"/>
      <c r="U324" s="28"/>
      <c r="V324" s="28"/>
      <c r="W324" s="28"/>
      <c r="X324" s="28"/>
      <c r="Y324" s="28"/>
      <c r="Z324" s="28"/>
    </row>
    <row r="325">
      <c r="A325" s="28" t="s">
        <v>8527</v>
      </c>
      <c r="B325" s="28" t="s">
        <v>8032</v>
      </c>
      <c r="C325" s="777">
        <v>43953.0</v>
      </c>
      <c r="D325" s="28" t="s">
        <v>8944</v>
      </c>
      <c r="E325" s="28" t="s">
        <v>8945</v>
      </c>
      <c r="F325" s="28" t="s">
        <v>7782</v>
      </c>
      <c r="G325" s="28" t="s">
        <v>8946</v>
      </c>
      <c r="H325" s="28"/>
      <c r="I325" s="28" t="s">
        <v>8947</v>
      </c>
      <c r="J325" s="28" t="s">
        <v>4521</v>
      </c>
      <c r="K325" s="28" t="b">
        <v>0</v>
      </c>
      <c r="L325" s="28" t="s">
        <v>4521</v>
      </c>
      <c r="M325" s="28" t="b">
        <v>0</v>
      </c>
      <c r="N325" s="28" t="b">
        <v>0</v>
      </c>
      <c r="O325" s="28" t="s">
        <v>8948</v>
      </c>
      <c r="P325" s="28"/>
      <c r="Q325" s="28" t="s">
        <v>8629</v>
      </c>
      <c r="R325" s="28"/>
      <c r="S325" s="28"/>
      <c r="T325" s="28"/>
      <c r="U325" s="28"/>
      <c r="V325" s="28"/>
      <c r="W325" s="28"/>
      <c r="X325" s="28"/>
      <c r="Y325" s="28"/>
      <c r="Z325" s="28"/>
    </row>
    <row r="326">
      <c r="A326" s="28" t="s">
        <v>8527</v>
      </c>
      <c r="B326" s="28" t="s">
        <v>8032</v>
      </c>
      <c r="C326" s="777">
        <v>43953.0</v>
      </c>
      <c r="D326" s="760" t="s">
        <v>8949</v>
      </c>
      <c r="E326" s="760" t="s">
        <v>8950</v>
      </c>
      <c r="F326" s="760" t="s">
        <v>7802</v>
      </c>
      <c r="G326" s="760" t="s">
        <v>8951</v>
      </c>
      <c r="H326" s="760"/>
      <c r="I326" s="760" t="s">
        <v>8952</v>
      </c>
      <c r="J326" s="760" t="s">
        <v>4533</v>
      </c>
      <c r="K326" s="760" t="b">
        <v>0</v>
      </c>
      <c r="L326" s="760" t="s">
        <v>4533</v>
      </c>
      <c r="M326" s="760" t="b">
        <v>0</v>
      </c>
      <c r="N326" s="760" t="b">
        <v>0</v>
      </c>
      <c r="O326" s="760" t="s">
        <v>8948</v>
      </c>
      <c r="P326" s="760"/>
      <c r="Q326" s="760" t="s">
        <v>8169</v>
      </c>
      <c r="R326" s="28"/>
      <c r="S326" s="28"/>
      <c r="T326" s="28"/>
      <c r="U326" s="28"/>
      <c r="V326" s="28"/>
      <c r="W326" s="28"/>
      <c r="X326" s="28"/>
      <c r="Y326" s="28"/>
      <c r="Z326" s="28"/>
    </row>
    <row r="327">
      <c r="A327" s="28" t="s">
        <v>8527</v>
      </c>
      <c r="B327" s="28" t="s">
        <v>8032</v>
      </c>
      <c r="C327" s="777">
        <v>43953.0</v>
      </c>
      <c r="D327" s="760" t="s">
        <v>8953</v>
      </c>
      <c r="E327" s="760" t="s">
        <v>8954</v>
      </c>
      <c r="F327" s="760" t="s">
        <v>7685</v>
      </c>
      <c r="G327" s="760" t="s">
        <v>8955</v>
      </c>
      <c r="H327" s="760"/>
      <c r="I327" s="760" t="s">
        <v>8956</v>
      </c>
      <c r="J327" s="760" t="s">
        <v>7730</v>
      </c>
      <c r="K327" s="760" t="b">
        <v>1</v>
      </c>
      <c r="L327" s="760" t="s">
        <v>4461</v>
      </c>
      <c r="M327" s="760" t="b">
        <v>0</v>
      </c>
      <c r="N327" s="760" t="b">
        <v>0</v>
      </c>
      <c r="O327" s="760" t="s">
        <v>8948</v>
      </c>
      <c r="P327" s="760"/>
      <c r="Q327" s="760" t="s">
        <v>8169</v>
      </c>
      <c r="R327" s="28"/>
      <c r="S327" s="28"/>
      <c r="T327" s="28"/>
      <c r="U327" s="28"/>
      <c r="V327" s="28"/>
      <c r="W327" s="28"/>
      <c r="X327" s="28"/>
      <c r="Y327" s="28"/>
      <c r="Z327" s="28"/>
    </row>
    <row r="328">
      <c r="A328" s="28" t="s">
        <v>8527</v>
      </c>
      <c r="B328" s="28" t="s">
        <v>8032</v>
      </c>
      <c r="C328" s="777">
        <v>43953.0</v>
      </c>
      <c r="D328" s="760" t="s">
        <v>8957</v>
      </c>
      <c r="E328" s="760" t="s">
        <v>2996</v>
      </c>
      <c r="F328" s="760" t="s">
        <v>8958</v>
      </c>
      <c r="G328" s="760" t="s">
        <v>8959</v>
      </c>
      <c r="H328" s="760"/>
      <c r="I328" s="760" t="s">
        <v>8960</v>
      </c>
      <c r="J328" s="760" t="s">
        <v>5367</v>
      </c>
      <c r="K328" s="760" t="b">
        <v>0</v>
      </c>
      <c r="L328" s="760" t="s">
        <v>5367</v>
      </c>
      <c r="M328" s="760" t="b">
        <v>0</v>
      </c>
      <c r="N328" s="760" t="b">
        <v>0</v>
      </c>
      <c r="O328" s="760" t="s">
        <v>8948</v>
      </c>
      <c r="P328" s="760"/>
      <c r="Q328" s="760" t="s">
        <v>8169</v>
      </c>
      <c r="R328" s="28"/>
      <c r="S328" s="28"/>
      <c r="T328" s="28"/>
      <c r="U328" s="28"/>
      <c r="V328" s="28"/>
      <c r="W328" s="28"/>
      <c r="X328" s="28"/>
      <c r="Y328" s="28"/>
      <c r="Z328" s="28"/>
    </row>
    <row r="329">
      <c r="A329" s="28" t="s">
        <v>8527</v>
      </c>
      <c r="B329" s="28" t="s">
        <v>8032</v>
      </c>
      <c r="C329" s="777">
        <v>43953.0</v>
      </c>
      <c r="D329" s="760" t="s">
        <v>8961</v>
      </c>
      <c r="E329" s="760" t="s">
        <v>8962</v>
      </c>
      <c r="F329" s="760" t="s">
        <v>8963</v>
      </c>
      <c r="G329" s="760" t="s">
        <v>8964</v>
      </c>
      <c r="H329" s="760"/>
      <c r="I329" s="760" t="s">
        <v>8965</v>
      </c>
      <c r="J329" s="760" t="s">
        <v>4588</v>
      </c>
      <c r="K329" s="760" t="b">
        <v>0</v>
      </c>
      <c r="L329" s="760" t="s">
        <v>4588</v>
      </c>
      <c r="M329" s="760" t="b">
        <v>0</v>
      </c>
      <c r="N329" s="760" t="b">
        <v>0</v>
      </c>
      <c r="O329" s="766" t="s">
        <v>8784</v>
      </c>
      <c r="P329" s="760"/>
      <c r="Q329" s="785" t="s">
        <v>8966</v>
      </c>
      <c r="R329" s="28"/>
      <c r="S329" s="28"/>
      <c r="T329" s="28"/>
      <c r="U329" s="28"/>
      <c r="V329" s="28"/>
      <c r="W329" s="28"/>
      <c r="X329" s="28"/>
      <c r="Y329" s="28"/>
      <c r="Z329" s="28"/>
    </row>
    <row r="330">
      <c r="A330" s="28" t="s">
        <v>8527</v>
      </c>
      <c r="B330" s="28" t="s">
        <v>8032</v>
      </c>
      <c r="C330" s="777">
        <v>44076.0</v>
      </c>
      <c r="D330" s="28" t="s">
        <v>8967</v>
      </c>
      <c r="E330" s="28" t="s">
        <v>8968</v>
      </c>
      <c r="F330" s="28" t="s">
        <v>7731</v>
      </c>
      <c r="G330" s="774" t="s">
        <v>8969</v>
      </c>
      <c r="H330" s="28"/>
      <c r="I330" s="28" t="s">
        <v>8038</v>
      </c>
      <c r="J330" s="28" t="s">
        <v>7730</v>
      </c>
      <c r="K330" s="28" t="b">
        <v>0</v>
      </c>
      <c r="L330" s="28" t="s">
        <v>7730</v>
      </c>
      <c r="M330" s="28" t="b">
        <v>0</v>
      </c>
      <c r="N330" s="28" t="b">
        <v>0</v>
      </c>
      <c r="O330" s="28"/>
      <c r="P330" s="28"/>
      <c r="Q330" s="28" t="s">
        <v>8312</v>
      </c>
      <c r="R330" s="28"/>
      <c r="S330" s="28"/>
      <c r="T330" s="28"/>
      <c r="U330" s="28"/>
      <c r="V330" s="28"/>
      <c r="W330" s="28"/>
      <c r="X330" s="28"/>
      <c r="Y330" s="28"/>
      <c r="Z330" s="28"/>
    </row>
    <row r="331">
      <c r="A331" s="28" t="s">
        <v>8527</v>
      </c>
      <c r="B331" s="28" t="s">
        <v>8032</v>
      </c>
      <c r="C331" s="777">
        <v>44076.0</v>
      </c>
      <c r="D331" s="28" t="s">
        <v>8970</v>
      </c>
      <c r="E331" s="28" t="s">
        <v>8971</v>
      </c>
      <c r="F331" s="28" t="s">
        <v>7713</v>
      </c>
      <c r="G331" s="28" t="s">
        <v>8972</v>
      </c>
      <c r="H331" s="28"/>
      <c r="I331" s="28" t="s">
        <v>8038</v>
      </c>
      <c r="J331" s="28" t="s">
        <v>4521</v>
      </c>
      <c r="K331" s="28" t="b">
        <v>0</v>
      </c>
      <c r="L331" s="28" t="s">
        <v>7712</v>
      </c>
      <c r="M331" s="28" t="b">
        <v>0</v>
      </c>
      <c r="N331" s="28" t="b">
        <v>0</v>
      </c>
      <c r="O331" s="28"/>
      <c r="P331" s="28"/>
      <c r="Q331" s="28" t="s">
        <v>8973</v>
      </c>
      <c r="R331" s="28"/>
      <c r="S331" s="28"/>
      <c r="T331" s="28"/>
      <c r="U331" s="28"/>
      <c r="V331" s="28"/>
      <c r="W331" s="28"/>
      <c r="X331" s="28"/>
      <c r="Y331" s="28"/>
      <c r="Z331" s="28"/>
    </row>
    <row r="332">
      <c r="A332" s="28" t="s">
        <v>8527</v>
      </c>
      <c r="B332" s="28" t="s">
        <v>8032</v>
      </c>
      <c r="C332" s="777">
        <v>44137.0</v>
      </c>
      <c r="D332" s="760" t="s">
        <v>8113</v>
      </c>
      <c r="E332" s="760" t="s">
        <v>8113</v>
      </c>
      <c r="F332" s="760" t="s">
        <v>7754</v>
      </c>
      <c r="G332" s="766" t="s">
        <v>8974</v>
      </c>
      <c r="H332" s="760"/>
      <c r="I332" s="760" t="s">
        <v>8038</v>
      </c>
      <c r="J332" s="760" t="s">
        <v>4525</v>
      </c>
      <c r="K332" s="760" t="b">
        <v>0</v>
      </c>
      <c r="L332" s="760" t="s">
        <v>4525</v>
      </c>
      <c r="M332" s="760" t="b">
        <v>0</v>
      </c>
      <c r="N332" s="760" t="b">
        <v>0</v>
      </c>
      <c r="O332" s="760"/>
      <c r="P332" s="760"/>
      <c r="Q332" s="760" t="s">
        <v>8975</v>
      </c>
      <c r="R332" s="28"/>
      <c r="S332" s="28"/>
      <c r="T332" s="28"/>
      <c r="U332" s="28"/>
      <c r="V332" s="28"/>
      <c r="W332" s="28"/>
      <c r="X332" s="28"/>
      <c r="Y332" s="28"/>
      <c r="Z332" s="28"/>
    </row>
    <row r="333">
      <c r="A333" s="28" t="s">
        <v>8527</v>
      </c>
      <c r="B333" s="28" t="s">
        <v>8032</v>
      </c>
      <c r="C333" s="777">
        <v>44137.0</v>
      </c>
      <c r="D333" s="28" t="s">
        <v>8529</v>
      </c>
      <c r="E333" s="28" t="s">
        <v>8976</v>
      </c>
      <c r="F333" s="28" t="s">
        <v>7685</v>
      </c>
      <c r="G333" s="774" t="s">
        <v>8977</v>
      </c>
      <c r="H333" s="28"/>
      <c r="I333" s="28" t="s">
        <v>8038</v>
      </c>
      <c r="J333" s="28" t="s">
        <v>4670</v>
      </c>
      <c r="K333" s="28" t="b">
        <v>1</v>
      </c>
      <c r="L333" s="28" t="s">
        <v>4461</v>
      </c>
      <c r="M333" s="28" t="b">
        <v>0</v>
      </c>
      <c r="N333" s="28" t="b">
        <v>0</v>
      </c>
      <c r="O333" s="28"/>
      <c r="P333" s="28"/>
      <c r="Q333" s="28" t="s">
        <v>8169</v>
      </c>
      <c r="R333" s="28"/>
      <c r="S333" s="28"/>
      <c r="T333" s="28"/>
      <c r="U333" s="28"/>
      <c r="V333" s="28"/>
      <c r="W333" s="28"/>
      <c r="X333" s="28"/>
      <c r="Y333" s="28"/>
      <c r="Z333" s="28"/>
    </row>
    <row r="334">
      <c r="A334" s="28" t="s">
        <v>8527</v>
      </c>
      <c r="B334" s="28" t="s">
        <v>8032</v>
      </c>
      <c r="C334" s="777">
        <v>44137.0</v>
      </c>
      <c r="D334" s="28" t="s">
        <v>8978</v>
      </c>
      <c r="E334" s="28" t="s">
        <v>8979</v>
      </c>
      <c r="F334" s="28" t="s">
        <v>8980</v>
      </c>
      <c r="G334" s="28" t="s">
        <v>8981</v>
      </c>
      <c r="H334" s="28"/>
      <c r="I334" s="28" t="s">
        <v>8038</v>
      </c>
      <c r="J334" s="28" t="s">
        <v>4583</v>
      </c>
      <c r="K334" s="28" t="b">
        <v>0</v>
      </c>
      <c r="L334" s="28" t="s">
        <v>4583</v>
      </c>
      <c r="M334" s="28" t="b">
        <v>0</v>
      </c>
      <c r="N334" s="28" t="b">
        <v>0</v>
      </c>
      <c r="O334" s="28"/>
      <c r="P334" s="28"/>
      <c r="Q334" s="28" t="s">
        <v>8975</v>
      </c>
      <c r="R334" s="28"/>
      <c r="S334" s="28"/>
      <c r="T334" s="28"/>
      <c r="U334" s="28"/>
      <c r="V334" s="28"/>
      <c r="W334" s="28"/>
      <c r="X334" s="28"/>
      <c r="Y334" s="28"/>
      <c r="Z334" s="28"/>
    </row>
    <row r="335">
      <c r="A335" s="28" t="s">
        <v>8527</v>
      </c>
      <c r="B335" s="28" t="s">
        <v>8032</v>
      </c>
      <c r="C335" s="777">
        <v>44137.0</v>
      </c>
      <c r="D335" s="28" t="s">
        <v>8982</v>
      </c>
      <c r="E335" s="28" t="s">
        <v>8983</v>
      </c>
      <c r="F335" s="28" t="s">
        <v>8984</v>
      </c>
      <c r="G335" s="774" t="s">
        <v>8985</v>
      </c>
      <c r="H335" s="28"/>
      <c r="I335" s="28" t="s">
        <v>8986</v>
      </c>
      <c r="J335" s="28" t="s">
        <v>8987</v>
      </c>
      <c r="K335" s="28" t="b">
        <v>0</v>
      </c>
      <c r="L335" s="28" t="s">
        <v>8987</v>
      </c>
      <c r="M335" s="28" t="b">
        <v>0</v>
      </c>
      <c r="N335" s="28" t="b">
        <v>0</v>
      </c>
      <c r="O335" s="28"/>
      <c r="P335" s="28"/>
      <c r="Q335" s="28" t="s">
        <v>8902</v>
      </c>
      <c r="R335" s="28"/>
      <c r="S335" s="28"/>
      <c r="T335" s="28"/>
      <c r="U335" s="28"/>
      <c r="V335" s="28"/>
      <c r="W335" s="28"/>
      <c r="X335" s="28"/>
      <c r="Y335" s="28"/>
      <c r="Z335" s="28"/>
    </row>
    <row r="336">
      <c r="A336" s="28" t="s">
        <v>8527</v>
      </c>
      <c r="B336" s="28" t="s">
        <v>8032</v>
      </c>
      <c r="C336" s="777">
        <v>44137.0</v>
      </c>
      <c r="D336" s="28" t="s">
        <v>8988</v>
      </c>
      <c r="E336" s="28" t="s">
        <v>8989</v>
      </c>
      <c r="F336" s="28" t="s">
        <v>7731</v>
      </c>
      <c r="G336" s="28" t="s">
        <v>8990</v>
      </c>
      <c r="H336" s="28"/>
      <c r="I336" s="28" t="s">
        <v>8991</v>
      </c>
      <c r="J336" s="28" t="s">
        <v>7730</v>
      </c>
      <c r="K336" s="28" t="b">
        <v>0</v>
      </c>
      <c r="L336" s="28" t="s">
        <v>7730</v>
      </c>
      <c r="M336" s="28" t="b">
        <v>0</v>
      </c>
      <c r="N336" s="28" t="b">
        <v>0</v>
      </c>
      <c r="O336" s="28"/>
      <c r="P336" s="28"/>
      <c r="Q336" s="28" t="s">
        <v>8992</v>
      </c>
      <c r="R336" s="28"/>
      <c r="S336" s="28"/>
      <c r="T336" s="28"/>
      <c r="U336" s="28"/>
      <c r="V336" s="28"/>
      <c r="W336" s="28"/>
      <c r="X336" s="28"/>
      <c r="Y336" s="28"/>
      <c r="Z336" s="28"/>
    </row>
    <row r="337">
      <c r="A337" s="28" t="s">
        <v>8527</v>
      </c>
      <c r="B337" s="28" t="s">
        <v>8032</v>
      </c>
      <c r="C337" s="777">
        <v>44137.0</v>
      </c>
      <c r="D337" s="28" t="s">
        <v>8993</v>
      </c>
      <c r="E337" s="28" t="s">
        <v>8994</v>
      </c>
      <c r="F337" s="28" t="s">
        <v>8995</v>
      </c>
      <c r="G337" s="28" t="s">
        <v>8996</v>
      </c>
      <c r="H337" s="28"/>
      <c r="I337" s="28" t="s">
        <v>8997</v>
      </c>
      <c r="J337" s="28" t="s">
        <v>5144</v>
      </c>
      <c r="K337" s="28" t="b">
        <v>0</v>
      </c>
      <c r="L337" s="28" t="s">
        <v>5144</v>
      </c>
      <c r="M337" s="28" t="b">
        <v>0</v>
      </c>
      <c r="N337" s="28" t="b">
        <v>0</v>
      </c>
      <c r="O337" s="28"/>
      <c r="P337" s="28"/>
      <c r="Q337" s="774" t="s">
        <v>8998</v>
      </c>
      <c r="R337" s="28"/>
      <c r="S337" s="28"/>
      <c r="T337" s="28"/>
      <c r="U337" s="28"/>
      <c r="V337" s="28"/>
      <c r="W337" s="28"/>
      <c r="X337" s="28"/>
      <c r="Y337" s="28"/>
      <c r="Z337" s="28"/>
    </row>
    <row r="338">
      <c r="A338" s="28" t="s">
        <v>8527</v>
      </c>
      <c r="B338" s="28" t="s">
        <v>8032</v>
      </c>
      <c r="C338" s="777">
        <v>44137.0</v>
      </c>
      <c r="D338" s="760" t="s">
        <v>1728</v>
      </c>
      <c r="E338" s="760" t="s">
        <v>8999</v>
      </c>
      <c r="F338" s="760" t="s">
        <v>7685</v>
      </c>
      <c r="G338" s="766" t="s">
        <v>9000</v>
      </c>
      <c r="H338" s="760"/>
      <c r="I338" s="760" t="s">
        <v>9001</v>
      </c>
      <c r="J338" s="760" t="s">
        <v>4642</v>
      </c>
      <c r="K338" s="760" t="b">
        <v>0</v>
      </c>
      <c r="L338" s="760" t="s">
        <v>4642</v>
      </c>
      <c r="M338" s="760" t="b">
        <v>0</v>
      </c>
      <c r="N338" s="760" t="b">
        <v>0</v>
      </c>
      <c r="O338" s="760"/>
      <c r="P338" s="760"/>
      <c r="Q338" s="766" t="s">
        <v>9002</v>
      </c>
      <c r="R338" s="28"/>
      <c r="S338" s="28"/>
      <c r="T338" s="28"/>
      <c r="U338" s="28"/>
      <c r="V338" s="28"/>
      <c r="W338" s="28"/>
      <c r="X338" s="28"/>
      <c r="Y338" s="28"/>
      <c r="Z338" s="28"/>
    </row>
    <row r="339">
      <c r="A339" s="786" t="s">
        <v>8527</v>
      </c>
      <c r="B339" s="786" t="s">
        <v>8032</v>
      </c>
      <c r="C339" s="786" t="s">
        <v>9003</v>
      </c>
      <c r="D339" s="786" t="s">
        <v>9004</v>
      </c>
      <c r="E339" s="786" t="s">
        <v>9004</v>
      </c>
      <c r="F339" s="786" t="s">
        <v>7685</v>
      </c>
      <c r="G339" s="786" t="s">
        <v>9005</v>
      </c>
      <c r="H339" s="786"/>
      <c r="I339" s="786" t="s">
        <v>8038</v>
      </c>
      <c r="J339" s="786" t="s">
        <v>4517</v>
      </c>
      <c r="K339" s="787" t="b">
        <v>1</v>
      </c>
      <c r="L339" s="786" t="s">
        <v>4461</v>
      </c>
      <c r="M339" s="787" t="b">
        <v>0</v>
      </c>
      <c r="N339" s="787" t="b">
        <v>0</v>
      </c>
      <c r="O339" s="786" t="s">
        <v>8892</v>
      </c>
      <c r="P339" s="786"/>
      <c r="Q339" s="786" t="s">
        <v>8169</v>
      </c>
      <c r="R339" s="786"/>
      <c r="S339" s="786"/>
      <c r="T339" s="786"/>
      <c r="U339" s="786"/>
      <c r="V339" s="786"/>
      <c r="W339" s="786"/>
      <c r="X339" s="786"/>
      <c r="Y339" s="786"/>
      <c r="Z339" s="786"/>
    </row>
    <row r="340">
      <c r="A340" s="786" t="s">
        <v>8527</v>
      </c>
      <c r="B340" s="786" t="s">
        <v>8032</v>
      </c>
      <c r="C340" s="786" t="s">
        <v>9003</v>
      </c>
      <c r="D340" s="786" t="s">
        <v>8293</v>
      </c>
      <c r="E340" s="786" t="s">
        <v>8509</v>
      </c>
      <c r="F340" s="786" t="s">
        <v>7685</v>
      </c>
      <c r="G340" s="786" t="s">
        <v>9006</v>
      </c>
      <c r="H340" s="786"/>
      <c r="I340" s="786" t="s">
        <v>9007</v>
      </c>
      <c r="J340" s="786" t="s">
        <v>4503</v>
      </c>
      <c r="K340" s="787" t="b">
        <v>1</v>
      </c>
      <c r="L340" s="786" t="s">
        <v>4461</v>
      </c>
      <c r="M340" s="787" t="b">
        <v>0</v>
      </c>
      <c r="N340" s="787" t="b">
        <v>1</v>
      </c>
      <c r="O340" s="786" t="s">
        <v>8892</v>
      </c>
      <c r="P340" s="786"/>
      <c r="Q340" s="786" t="s">
        <v>8169</v>
      </c>
      <c r="R340" s="786"/>
      <c r="S340" s="786"/>
      <c r="T340" s="786"/>
      <c r="U340" s="786"/>
      <c r="V340" s="786"/>
      <c r="W340" s="786"/>
      <c r="X340" s="786"/>
      <c r="Y340" s="786"/>
      <c r="Z340" s="786"/>
    </row>
    <row r="341">
      <c r="A341" s="786" t="s">
        <v>8527</v>
      </c>
      <c r="B341" s="786" t="s">
        <v>8032</v>
      </c>
      <c r="C341" s="786" t="s">
        <v>9003</v>
      </c>
      <c r="D341" s="786" t="s">
        <v>6284</v>
      </c>
      <c r="E341" s="786" t="s">
        <v>8122</v>
      </c>
      <c r="F341" s="786" t="s">
        <v>8471</v>
      </c>
      <c r="G341" s="786" t="s">
        <v>9008</v>
      </c>
      <c r="H341" s="786"/>
      <c r="I341" s="786" t="s">
        <v>9009</v>
      </c>
      <c r="J341" s="786" t="s">
        <v>4955</v>
      </c>
      <c r="K341" s="787" t="b">
        <v>0</v>
      </c>
      <c r="L341" s="786" t="s">
        <v>4955</v>
      </c>
      <c r="M341" s="787" t="b">
        <v>0</v>
      </c>
      <c r="N341" s="787" t="b">
        <v>0</v>
      </c>
      <c r="O341" s="786" t="s">
        <v>8892</v>
      </c>
      <c r="P341" s="786"/>
      <c r="Q341" s="786" t="s">
        <v>8169</v>
      </c>
      <c r="R341" s="786"/>
      <c r="S341" s="786"/>
      <c r="T341" s="786"/>
      <c r="U341" s="786"/>
      <c r="V341" s="786"/>
      <c r="W341" s="786"/>
      <c r="X341" s="786"/>
      <c r="Y341" s="786"/>
      <c r="Z341" s="786"/>
    </row>
    <row r="342">
      <c r="A342" s="786" t="s">
        <v>8527</v>
      </c>
      <c r="B342" s="786" t="s">
        <v>8032</v>
      </c>
      <c r="C342" s="786" t="s">
        <v>9003</v>
      </c>
      <c r="D342" s="786" t="s">
        <v>9010</v>
      </c>
      <c r="E342" s="786" t="s">
        <v>9011</v>
      </c>
      <c r="F342" s="786" t="s">
        <v>7793</v>
      </c>
      <c r="G342" s="786" t="s">
        <v>9012</v>
      </c>
      <c r="H342" s="786"/>
      <c r="I342" s="786" t="s">
        <v>9013</v>
      </c>
      <c r="J342" s="786" t="s">
        <v>4660</v>
      </c>
      <c r="K342" s="787" t="b">
        <v>0</v>
      </c>
      <c r="L342" s="786" t="s">
        <v>4660</v>
      </c>
      <c r="M342" s="787" t="b">
        <v>0</v>
      </c>
      <c r="N342" s="787" t="b">
        <v>0</v>
      </c>
      <c r="O342" s="786" t="s">
        <v>8892</v>
      </c>
      <c r="P342" s="786"/>
      <c r="Q342" s="788" t="s">
        <v>9014</v>
      </c>
      <c r="R342" s="786"/>
      <c r="S342" s="786"/>
      <c r="T342" s="786"/>
      <c r="U342" s="786"/>
      <c r="V342" s="786"/>
      <c r="W342" s="786"/>
      <c r="X342" s="786"/>
      <c r="Y342" s="786"/>
      <c r="Z342" s="786"/>
    </row>
    <row r="343">
      <c r="A343" s="786" t="s">
        <v>8527</v>
      </c>
      <c r="B343" s="786" t="s">
        <v>8032</v>
      </c>
      <c r="C343" s="786" t="s">
        <v>9003</v>
      </c>
      <c r="D343" s="786" t="s">
        <v>9015</v>
      </c>
      <c r="E343" s="786" t="s">
        <v>9016</v>
      </c>
      <c r="F343" s="786" t="s">
        <v>7731</v>
      </c>
      <c r="G343" s="786" t="s">
        <v>9017</v>
      </c>
      <c r="H343" s="786"/>
      <c r="I343" s="786" t="s">
        <v>9018</v>
      </c>
      <c r="J343" s="786" t="s">
        <v>7730</v>
      </c>
      <c r="K343" s="787" t="b">
        <v>0</v>
      </c>
      <c r="L343" s="786" t="s">
        <v>7730</v>
      </c>
      <c r="M343" s="787" t="b">
        <v>0</v>
      </c>
      <c r="N343" s="787" t="b">
        <v>0</v>
      </c>
      <c r="O343" s="786" t="s">
        <v>8892</v>
      </c>
      <c r="P343" s="786"/>
      <c r="Q343" s="786" t="s">
        <v>8169</v>
      </c>
      <c r="R343" s="786"/>
      <c r="S343" s="786"/>
      <c r="T343" s="786"/>
      <c r="U343" s="786"/>
      <c r="V343" s="786"/>
      <c r="W343" s="786"/>
      <c r="X343" s="786"/>
      <c r="Y343" s="786"/>
      <c r="Z343" s="786"/>
    </row>
    <row r="344">
      <c r="A344" s="786" t="s">
        <v>8527</v>
      </c>
      <c r="B344" s="786" t="s">
        <v>8032</v>
      </c>
      <c r="C344" s="786" t="s">
        <v>9003</v>
      </c>
      <c r="D344" s="786" t="s">
        <v>9019</v>
      </c>
      <c r="E344" s="786" t="s">
        <v>9019</v>
      </c>
      <c r="F344" s="786" t="s">
        <v>7685</v>
      </c>
      <c r="G344" s="786" t="s">
        <v>9020</v>
      </c>
      <c r="H344" s="786"/>
      <c r="I344" s="786" t="s">
        <v>8038</v>
      </c>
      <c r="J344" s="786" t="s">
        <v>4525</v>
      </c>
      <c r="K344" s="787" t="b">
        <v>0</v>
      </c>
      <c r="L344" s="786" t="s">
        <v>4525</v>
      </c>
      <c r="M344" s="787" t="b">
        <v>0</v>
      </c>
      <c r="N344" s="787" t="b">
        <v>0</v>
      </c>
      <c r="O344" s="786"/>
      <c r="P344" s="786"/>
      <c r="Q344" s="788" t="s">
        <v>9002</v>
      </c>
      <c r="R344" s="786"/>
      <c r="S344" s="786"/>
      <c r="T344" s="786"/>
      <c r="U344" s="786"/>
      <c r="V344" s="786"/>
      <c r="W344" s="786"/>
      <c r="X344" s="786"/>
      <c r="Y344" s="786"/>
      <c r="Z344" s="786"/>
    </row>
    <row r="345">
      <c r="A345" s="786" t="s">
        <v>8527</v>
      </c>
      <c r="B345" s="786" t="s">
        <v>8032</v>
      </c>
      <c r="C345" s="786" t="s">
        <v>9003</v>
      </c>
      <c r="D345" s="786" t="s">
        <v>9021</v>
      </c>
      <c r="E345" s="786" t="s">
        <v>9021</v>
      </c>
      <c r="F345" s="786" t="s">
        <v>8639</v>
      </c>
      <c r="G345" s="786" t="s">
        <v>9022</v>
      </c>
      <c r="H345" s="786"/>
      <c r="I345" s="786" t="s">
        <v>8038</v>
      </c>
      <c r="J345" s="786" t="s">
        <v>4542</v>
      </c>
      <c r="K345" s="787" t="b">
        <v>0</v>
      </c>
      <c r="L345" s="786" t="s">
        <v>4611</v>
      </c>
      <c r="M345" s="787" t="b">
        <v>0</v>
      </c>
      <c r="N345" s="787" t="b">
        <v>0</v>
      </c>
      <c r="O345" s="788" t="s">
        <v>8784</v>
      </c>
      <c r="P345" s="786"/>
      <c r="Q345" s="786" t="s">
        <v>8169</v>
      </c>
      <c r="R345" s="786"/>
      <c r="S345" s="786"/>
      <c r="T345" s="786"/>
      <c r="U345" s="786"/>
      <c r="V345" s="786"/>
      <c r="W345" s="786"/>
      <c r="X345" s="786"/>
      <c r="Y345" s="786"/>
      <c r="Z345" s="786"/>
    </row>
    <row r="346">
      <c r="A346" s="786" t="s">
        <v>8527</v>
      </c>
      <c r="B346" s="786" t="s">
        <v>8032</v>
      </c>
      <c r="C346" s="786" t="s">
        <v>9003</v>
      </c>
      <c r="D346" s="786" t="s">
        <v>9023</v>
      </c>
      <c r="E346" s="786" t="s">
        <v>9024</v>
      </c>
      <c r="F346" s="786" t="s">
        <v>8345</v>
      </c>
      <c r="G346" s="786" t="s">
        <v>9025</v>
      </c>
      <c r="H346" s="786"/>
      <c r="I346" s="786" t="s">
        <v>9026</v>
      </c>
      <c r="J346" s="786" t="s">
        <v>5056</v>
      </c>
      <c r="K346" s="787" t="b">
        <v>0</v>
      </c>
      <c r="L346" s="786" t="s">
        <v>5056</v>
      </c>
      <c r="M346" s="787" t="b">
        <v>0</v>
      </c>
      <c r="N346" s="787" t="b">
        <v>0</v>
      </c>
      <c r="O346" s="788" t="s">
        <v>8784</v>
      </c>
      <c r="P346" s="786"/>
      <c r="Q346" s="786" t="s">
        <v>9027</v>
      </c>
      <c r="R346" s="786"/>
      <c r="S346" s="786"/>
      <c r="T346" s="786"/>
      <c r="U346" s="786"/>
      <c r="V346" s="786"/>
      <c r="W346" s="786"/>
      <c r="X346" s="786"/>
      <c r="Y346" s="786"/>
      <c r="Z346" s="786"/>
    </row>
    <row r="347">
      <c r="A347" s="786" t="s">
        <v>8527</v>
      </c>
      <c r="B347" s="786" t="s">
        <v>8032</v>
      </c>
      <c r="C347" s="786" t="s">
        <v>9028</v>
      </c>
      <c r="D347" s="786" t="s">
        <v>9029</v>
      </c>
      <c r="E347" s="786" t="s">
        <v>9030</v>
      </c>
      <c r="F347" s="786" t="s">
        <v>8074</v>
      </c>
      <c r="G347" s="786" t="s">
        <v>9031</v>
      </c>
      <c r="H347" s="786"/>
      <c r="I347" s="786" t="s">
        <v>9032</v>
      </c>
      <c r="J347" s="786" t="s">
        <v>6099</v>
      </c>
      <c r="K347" s="787" t="b">
        <v>0</v>
      </c>
      <c r="L347" s="786" t="s">
        <v>6099</v>
      </c>
      <c r="M347" s="787" t="b">
        <v>0</v>
      </c>
      <c r="N347" s="787" t="b">
        <v>0</v>
      </c>
      <c r="O347" s="786"/>
      <c r="P347" s="786"/>
      <c r="Q347" s="786" t="s">
        <v>9033</v>
      </c>
      <c r="R347" s="786"/>
      <c r="S347" s="786"/>
      <c r="T347" s="786"/>
      <c r="U347" s="786"/>
      <c r="V347" s="786"/>
      <c r="W347" s="786"/>
      <c r="X347" s="786"/>
      <c r="Y347" s="786"/>
      <c r="Z347" s="786"/>
    </row>
    <row r="348">
      <c r="A348" s="786" t="s">
        <v>8527</v>
      </c>
      <c r="B348" s="786" t="s">
        <v>8032</v>
      </c>
      <c r="C348" s="786" t="s">
        <v>9028</v>
      </c>
      <c r="D348" s="786" t="s">
        <v>9034</v>
      </c>
      <c r="E348" s="786" t="s">
        <v>9034</v>
      </c>
      <c r="F348" s="786" t="s">
        <v>9035</v>
      </c>
      <c r="G348" s="786" t="s">
        <v>9036</v>
      </c>
      <c r="H348" s="786"/>
      <c r="I348" s="786" t="s">
        <v>8038</v>
      </c>
      <c r="J348" s="786" t="s">
        <v>8678</v>
      </c>
      <c r="K348" s="787" t="b">
        <v>0</v>
      </c>
      <c r="L348" s="786" t="s">
        <v>8678</v>
      </c>
      <c r="M348" s="787" t="b">
        <v>0</v>
      </c>
      <c r="N348" s="787" t="b">
        <v>0</v>
      </c>
      <c r="O348" s="786"/>
      <c r="P348" s="786"/>
      <c r="Q348" s="786" t="s">
        <v>9037</v>
      </c>
      <c r="R348" s="786"/>
      <c r="S348" s="786"/>
      <c r="T348" s="786"/>
      <c r="U348" s="786"/>
      <c r="V348" s="786"/>
      <c r="W348" s="786"/>
      <c r="X348" s="786"/>
      <c r="Y348" s="786"/>
      <c r="Z348" s="786"/>
    </row>
    <row r="349">
      <c r="A349" s="786" t="s">
        <v>8527</v>
      </c>
      <c r="B349" s="702" t="s">
        <v>8032</v>
      </c>
      <c r="C349" s="789">
        <v>43953.0</v>
      </c>
      <c r="D349" s="702" t="s">
        <v>9038</v>
      </c>
      <c r="E349" s="702" t="s">
        <v>9038</v>
      </c>
      <c r="F349" s="702" t="s">
        <v>7685</v>
      </c>
      <c r="G349" s="702" t="s">
        <v>9039</v>
      </c>
      <c r="H349" s="702"/>
      <c r="I349" s="702" t="s">
        <v>8038</v>
      </c>
      <c r="J349" s="702" t="s">
        <v>4852</v>
      </c>
      <c r="K349" s="790" t="b">
        <v>1</v>
      </c>
      <c r="L349" s="702" t="s">
        <v>4461</v>
      </c>
      <c r="M349" s="790" t="b">
        <v>0</v>
      </c>
      <c r="N349" s="790" t="b">
        <v>0</v>
      </c>
      <c r="O349" s="702"/>
      <c r="P349" s="702"/>
      <c r="Q349" s="791" t="s">
        <v>9040</v>
      </c>
      <c r="R349" s="702"/>
      <c r="S349" s="653"/>
      <c r="T349" s="653"/>
      <c r="U349" s="653"/>
      <c r="V349" s="653"/>
      <c r="W349" s="653"/>
      <c r="X349" s="653"/>
      <c r="Y349" s="653"/>
      <c r="Z349" s="653"/>
    </row>
    <row r="350">
      <c r="A350" s="792" t="s">
        <v>8527</v>
      </c>
      <c r="B350" s="236" t="s">
        <v>8032</v>
      </c>
      <c r="C350" s="793">
        <v>43953.0</v>
      </c>
      <c r="D350" s="236" t="s">
        <v>9041</v>
      </c>
      <c r="E350" s="236" t="s">
        <v>7733</v>
      </c>
      <c r="F350" s="236"/>
      <c r="G350" s="236"/>
      <c r="H350" s="236"/>
      <c r="I350" s="236" t="s">
        <v>9042</v>
      </c>
      <c r="J350" s="236" t="s">
        <v>4517</v>
      </c>
      <c r="K350" s="242" t="b">
        <v>0</v>
      </c>
      <c r="L350" s="236" t="s">
        <v>4533</v>
      </c>
      <c r="M350" s="242" t="b">
        <v>0</v>
      </c>
      <c r="N350" s="242" t="b">
        <v>0</v>
      </c>
      <c r="O350" s="236" t="s">
        <v>8948</v>
      </c>
      <c r="P350" s="236"/>
      <c r="Q350" s="794" t="s">
        <v>9043</v>
      </c>
      <c r="R350" s="744"/>
      <c r="S350" s="757"/>
      <c r="T350" s="653"/>
      <c r="U350" s="653"/>
      <c r="V350" s="653"/>
      <c r="W350" s="653"/>
      <c r="X350" s="653"/>
      <c r="Y350" s="653"/>
      <c r="Z350" s="653"/>
    </row>
    <row r="351">
      <c r="A351" s="792" t="s">
        <v>8527</v>
      </c>
      <c r="B351" s="236" t="s">
        <v>8032</v>
      </c>
      <c r="C351" s="793">
        <v>43953.0</v>
      </c>
      <c r="D351" s="236" t="s">
        <v>9044</v>
      </c>
      <c r="E351" s="236" t="s">
        <v>9044</v>
      </c>
      <c r="F351" s="236" t="s">
        <v>7713</v>
      </c>
      <c r="G351" s="236" t="s">
        <v>9045</v>
      </c>
      <c r="H351" s="236"/>
      <c r="I351" s="236" t="s">
        <v>8038</v>
      </c>
      <c r="J351" s="236" t="s">
        <v>4525</v>
      </c>
      <c r="K351" s="242" t="b">
        <v>0</v>
      </c>
      <c r="L351" s="236" t="s">
        <v>4525</v>
      </c>
      <c r="M351" s="242" t="b">
        <v>0</v>
      </c>
      <c r="N351" s="242" t="b">
        <v>0</v>
      </c>
      <c r="O351" s="236" t="s">
        <v>8948</v>
      </c>
      <c r="P351" s="236"/>
      <c r="Q351" s="795" t="s">
        <v>9046</v>
      </c>
      <c r="R351" s="236"/>
      <c r="S351" s="653"/>
      <c r="T351" s="653"/>
      <c r="U351" s="653"/>
      <c r="V351" s="653"/>
      <c r="W351" s="653"/>
      <c r="X351" s="653"/>
      <c r="Y351" s="653"/>
      <c r="Z351" s="653"/>
    </row>
    <row r="352">
      <c r="A352" s="792" t="s">
        <v>8527</v>
      </c>
      <c r="B352" s="236" t="s">
        <v>8032</v>
      </c>
      <c r="C352" s="793">
        <v>43953.0</v>
      </c>
      <c r="D352" s="236" t="s">
        <v>9047</v>
      </c>
      <c r="E352" s="236" t="s">
        <v>9048</v>
      </c>
      <c r="F352" s="236"/>
      <c r="G352" s="236"/>
      <c r="H352" s="236"/>
      <c r="I352" s="236" t="s">
        <v>9049</v>
      </c>
      <c r="J352" s="236" t="s">
        <v>5033</v>
      </c>
      <c r="K352" s="242" t="b">
        <v>0</v>
      </c>
      <c r="L352" s="236" t="s">
        <v>5033</v>
      </c>
      <c r="M352" s="242" t="b">
        <v>0</v>
      </c>
      <c r="N352" s="242" t="b">
        <v>0</v>
      </c>
      <c r="O352" s="236"/>
      <c r="P352" s="236"/>
      <c r="Q352" s="794" t="s">
        <v>9050</v>
      </c>
      <c r="R352" s="744"/>
      <c r="S352" s="653"/>
      <c r="T352" s="653"/>
      <c r="U352" s="653"/>
      <c r="V352" s="653"/>
      <c r="W352" s="653"/>
      <c r="X352" s="653"/>
      <c r="Y352" s="653"/>
      <c r="Z352" s="653"/>
    </row>
    <row r="353">
      <c r="A353" s="792" t="s">
        <v>8527</v>
      </c>
      <c r="B353" s="236" t="s">
        <v>8032</v>
      </c>
      <c r="C353" s="793">
        <v>43953.0</v>
      </c>
      <c r="D353" s="236" t="s">
        <v>8369</v>
      </c>
      <c r="E353" s="236" t="s">
        <v>8369</v>
      </c>
      <c r="F353" s="236" t="s">
        <v>8289</v>
      </c>
      <c r="G353" s="236" t="s">
        <v>9051</v>
      </c>
      <c r="H353" s="236"/>
      <c r="I353" s="236" t="s">
        <v>8038</v>
      </c>
      <c r="J353" s="236" t="s">
        <v>4999</v>
      </c>
      <c r="K353" s="242" t="b">
        <v>0</v>
      </c>
      <c r="L353" s="236" t="s">
        <v>4999</v>
      </c>
      <c r="M353" s="242" t="b">
        <v>0</v>
      </c>
      <c r="N353" s="242" t="b">
        <v>0</v>
      </c>
      <c r="O353" s="236"/>
      <c r="P353" s="236"/>
      <c r="Q353" s="794" t="s">
        <v>9052</v>
      </c>
      <c r="R353" s="236"/>
      <c r="S353" s="653"/>
      <c r="T353" s="653"/>
      <c r="U353" s="653"/>
      <c r="V353" s="653"/>
      <c r="W353" s="653"/>
      <c r="X353" s="653"/>
      <c r="Y353" s="653"/>
      <c r="Z353" s="653"/>
    </row>
    <row r="354">
      <c r="A354" s="792" t="s">
        <v>8527</v>
      </c>
      <c r="B354" s="236" t="s">
        <v>8032</v>
      </c>
      <c r="C354" s="793">
        <v>43953.0</v>
      </c>
      <c r="D354" s="236" t="s">
        <v>9053</v>
      </c>
      <c r="E354" s="236" t="s">
        <v>9054</v>
      </c>
      <c r="F354" s="236" t="s">
        <v>9055</v>
      </c>
      <c r="G354" s="794" t="s">
        <v>9056</v>
      </c>
      <c r="H354" s="236"/>
      <c r="I354" s="236" t="s">
        <v>9057</v>
      </c>
      <c r="J354" s="236" t="s">
        <v>5737</v>
      </c>
      <c r="K354" s="242" t="b">
        <v>0</v>
      </c>
      <c r="L354" s="236" t="s">
        <v>5737</v>
      </c>
      <c r="M354" s="242" t="b">
        <v>0</v>
      </c>
      <c r="N354" s="242" t="b">
        <v>0</v>
      </c>
      <c r="O354" s="236" t="s">
        <v>8948</v>
      </c>
      <c r="P354" s="236"/>
      <c r="Q354" s="236" t="s">
        <v>9058</v>
      </c>
      <c r="R354" s="236"/>
      <c r="S354" s="653"/>
      <c r="T354" s="653"/>
      <c r="U354" s="653"/>
      <c r="V354" s="653"/>
      <c r="W354" s="653"/>
      <c r="X354" s="653"/>
      <c r="Y354" s="653"/>
      <c r="Z354" s="653"/>
    </row>
    <row r="355">
      <c r="A355" s="786" t="s">
        <v>8527</v>
      </c>
      <c r="B355" s="786" t="s">
        <v>8032</v>
      </c>
      <c r="C355" s="786" t="s">
        <v>9059</v>
      </c>
      <c r="D355" s="786" t="s">
        <v>9060</v>
      </c>
      <c r="E355" s="786" t="s">
        <v>9061</v>
      </c>
      <c r="F355" s="786" t="s">
        <v>7793</v>
      </c>
      <c r="G355" s="786" t="s">
        <v>9062</v>
      </c>
      <c r="H355" s="786"/>
      <c r="I355" s="786" t="s">
        <v>9063</v>
      </c>
      <c r="J355" s="786" t="s">
        <v>4583</v>
      </c>
      <c r="K355" s="787" t="b">
        <v>0</v>
      </c>
      <c r="L355" s="786" t="s">
        <v>4660</v>
      </c>
      <c r="M355" s="787" t="b">
        <v>0</v>
      </c>
      <c r="N355" s="787" t="b">
        <v>0</v>
      </c>
      <c r="O355" s="786"/>
      <c r="P355" s="786"/>
      <c r="Q355" s="796" t="s">
        <v>9064</v>
      </c>
      <c r="R355" s="786"/>
      <c r="S355" s="786"/>
      <c r="T355" s="786"/>
      <c r="U355" s="786"/>
      <c r="V355" s="786"/>
      <c r="W355" s="786"/>
      <c r="X355" s="786"/>
      <c r="Y355" s="786"/>
      <c r="Z355" s="786"/>
    </row>
    <row r="356">
      <c r="A356" s="786" t="s">
        <v>8527</v>
      </c>
      <c r="B356" s="786" t="s">
        <v>8032</v>
      </c>
      <c r="C356" s="786" t="s">
        <v>9059</v>
      </c>
      <c r="D356" s="786" t="s">
        <v>9065</v>
      </c>
      <c r="E356" s="786" t="s">
        <v>7720</v>
      </c>
      <c r="F356" s="786"/>
      <c r="G356" s="786"/>
      <c r="H356" s="786"/>
      <c r="I356" s="786" t="s">
        <v>9066</v>
      </c>
      <c r="J356" s="786" t="s">
        <v>4461</v>
      </c>
      <c r="K356" s="787" t="b">
        <v>1</v>
      </c>
      <c r="L356" s="786" t="s">
        <v>4461</v>
      </c>
      <c r="M356" s="787" t="b">
        <v>0</v>
      </c>
      <c r="N356" s="787" t="b">
        <v>0</v>
      </c>
      <c r="O356" s="788" t="s">
        <v>8784</v>
      </c>
      <c r="P356" s="786"/>
      <c r="Q356" s="786" t="s">
        <v>8342</v>
      </c>
      <c r="R356" s="786"/>
      <c r="S356" s="786"/>
      <c r="T356" s="786"/>
      <c r="U356" s="786"/>
      <c r="V356" s="786"/>
      <c r="W356" s="786"/>
      <c r="X356" s="786"/>
      <c r="Y356" s="786"/>
      <c r="Z356" s="786"/>
    </row>
    <row r="357">
      <c r="A357" s="786" t="s">
        <v>8527</v>
      </c>
      <c r="B357" s="786" t="s">
        <v>8032</v>
      </c>
      <c r="C357" s="786" t="s">
        <v>9059</v>
      </c>
      <c r="D357" s="786" t="s">
        <v>9067</v>
      </c>
      <c r="E357" s="786" t="s">
        <v>9068</v>
      </c>
      <c r="F357" s="786" t="s">
        <v>8302</v>
      </c>
      <c r="G357" s="786" t="s">
        <v>9069</v>
      </c>
      <c r="H357" s="786"/>
      <c r="I357" s="786" t="s">
        <v>8038</v>
      </c>
      <c r="J357" s="786" t="s">
        <v>4597</v>
      </c>
      <c r="K357" s="787" t="b">
        <v>0</v>
      </c>
      <c r="L357" s="786" t="s">
        <v>4597</v>
      </c>
      <c r="M357" s="787" t="b">
        <v>0</v>
      </c>
      <c r="N357" s="787" t="b">
        <v>1</v>
      </c>
      <c r="O357" s="786"/>
      <c r="P357" s="786"/>
      <c r="Q357" s="796" t="s">
        <v>9070</v>
      </c>
      <c r="R357" s="786"/>
      <c r="S357" s="786"/>
      <c r="T357" s="786"/>
      <c r="U357" s="786"/>
      <c r="V357" s="786"/>
      <c r="W357" s="786"/>
      <c r="X357" s="786"/>
      <c r="Y357" s="786"/>
      <c r="Z357" s="786"/>
    </row>
    <row r="358">
      <c r="A358" s="786" t="s">
        <v>8527</v>
      </c>
      <c r="B358" s="786" t="s">
        <v>8032</v>
      </c>
      <c r="C358" s="786" t="s">
        <v>9059</v>
      </c>
      <c r="D358" s="786" t="s">
        <v>994</v>
      </c>
      <c r="E358" s="786" t="s">
        <v>9071</v>
      </c>
      <c r="F358" s="786" t="s">
        <v>7713</v>
      </c>
      <c r="G358" s="786" t="s">
        <v>9072</v>
      </c>
      <c r="H358" s="786"/>
      <c r="I358" s="786" t="s">
        <v>9073</v>
      </c>
      <c r="J358" s="786" t="s">
        <v>7712</v>
      </c>
      <c r="K358" s="787" t="b">
        <v>0</v>
      </c>
      <c r="L358" s="786" t="s">
        <v>7712</v>
      </c>
      <c r="M358" s="787" t="b">
        <v>0</v>
      </c>
      <c r="N358" s="787" t="b">
        <v>0</v>
      </c>
      <c r="O358" s="786"/>
      <c r="P358" s="786"/>
      <c r="Q358" s="786" t="s">
        <v>8342</v>
      </c>
      <c r="R358" s="786"/>
      <c r="S358" s="786"/>
      <c r="T358" s="786"/>
      <c r="U358" s="786"/>
      <c r="V358" s="786"/>
      <c r="W358" s="786"/>
      <c r="X358" s="786"/>
      <c r="Y358" s="786"/>
      <c r="Z358" s="786"/>
    </row>
    <row r="359">
      <c r="A359" s="786" t="s">
        <v>8527</v>
      </c>
      <c r="B359" s="786" t="s">
        <v>8032</v>
      </c>
      <c r="C359" s="786" t="s">
        <v>9074</v>
      </c>
      <c r="D359" s="786" t="s">
        <v>9075</v>
      </c>
      <c r="E359" s="786" t="s">
        <v>9076</v>
      </c>
      <c r="F359" s="786" t="s">
        <v>7788</v>
      </c>
      <c r="G359" s="786" t="s">
        <v>9077</v>
      </c>
      <c r="H359" s="786"/>
      <c r="I359" s="786" t="s">
        <v>9078</v>
      </c>
      <c r="J359" s="786" t="s">
        <v>4699</v>
      </c>
      <c r="K359" s="787" t="b">
        <v>0</v>
      </c>
      <c r="L359" s="786" t="s">
        <v>4699</v>
      </c>
      <c r="M359" s="787" t="b">
        <v>0</v>
      </c>
      <c r="N359" s="787" t="b">
        <v>0</v>
      </c>
      <c r="O359" s="786"/>
      <c r="P359" s="786"/>
      <c r="Q359" s="788" t="s">
        <v>8878</v>
      </c>
      <c r="R359" s="786"/>
      <c r="S359" s="786"/>
      <c r="T359" s="786"/>
      <c r="U359" s="786"/>
      <c r="V359" s="786"/>
      <c r="W359" s="786"/>
      <c r="X359" s="786"/>
      <c r="Y359" s="786"/>
      <c r="Z359" s="786"/>
    </row>
    <row r="360">
      <c r="A360" s="786" t="s">
        <v>8527</v>
      </c>
      <c r="B360" s="786" t="s">
        <v>8032</v>
      </c>
      <c r="C360" s="786" t="s">
        <v>9074</v>
      </c>
      <c r="D360" s="786" t="s">
        <v>420</v>
      </c>
      <c r="E360" s="786" t="s">
        <v>9079</v>
      </c>
      <c r="F360" s="786" t="s">
        <v>7754</v>
      </c>
      <c r="G360" s="786" t="s">
        <v>9080</v>
      </c>
      <c r="H360" s="786"/>
      <c r="I360" s="786" t="s">
        <v>8038</v>
      </c>
      <c r="J360" s="786" t="s">
        <v>4525</v>
      </c>
      <c r="K360" s="787" t="b">
        <v>0</v>
      </c>
      <c r="L360" s="786" t="s">
        <v>4525</v>
      </c>
      <c r="M360" s="787" t="b">
        <v>0</v>
      </c>
      <c r="N360" s="787" t="b">
        <v>0</v>
      </c>
      <c r="O360" s="786"/>
      <c r="P360" s="786"/>
      <c r="Q360" s="786" t="s">
        <v>8629</v>
      </c>
      <c r="R360" s="786"/>
      <c r="S360" s="786"/>
      <c r="T360" s="786"/>
      <c r="U360" s="786"/>
      <c r="V360" s="786"/>
      <c r="W360" s="786"/>
      <c r="X360" s="786"/>
      <c r="Y360" s="786"/>
      <c r="Z360" s="786"/>
    </row>
    <row r="361">
      <c r="A361" s="786" t="s">
        <v>8527</v>
      </c>
      <c r="B361" s="786" t="s">
        <v>8032</v>
      </c>
      <c r="C361" s="786" t="s">
        <v>9074</v>
      </c>
      <c r="D361" s="786" t="s">
        <v>9081</v>
      </c>
      <c r="E361" s="786" t="s">
        <v>9081</v>
      </c>
      <c r="F361" s="786" t="s">
        <v>7685</v>
      </c>
      <c r="G361" s="786" t="s">
        <v>9082</v>
      </c>
      <c r="H361" s="786"/>
      <c r="I361" s="786" t="s">
        <v>8038</v>
      </c>
      <c r="J361" s="786" t="s">
        <v>7712</v>
      </c>
      <c r="K361" s="787" t="b">
        <v>1</v>
      </c>
      <c r="L361" s="786" t="s">
        <v>4461</v>
      </c>
      <c r="M361" s="787" t="b">
        <v>0</v>
      </c>
      <c r="N361" s="787" t="b">
        <v>0</v>
      </c>
      <c r="O361" s="786"/>
      <c r="P361" s="786"/>
      <c r="Q361" s="786" t="s">
        <v>8629</v>
      </c>
      <c r="R361" s="786"/>
      <c r="S361" s="786"/>
      <c r="T361" s="786"/>
      <c r="U361" s="786"/>
      <c r="V361" s="786"/>
      <c r="W361" s="786"/>
      <c r="X361" s="786"/>
      <c r="Y361" s="786"/>
      <c r="Z361" s="786"/>
    </row>
    <row r="362">
      <c r="A362" s="786" t="s">
        <v>8527</v>
      </c>
      <c r="B362" s="786" t="s">
        <v>8032</v>
      </c>
      <c r="C362" s="786" t="s">
        <v>9074</v>
      </c>
      <c r="D362" s="786" t="s">
        <v>9083</v>
      </c>
      <c r="E362" s="786" t="s">
        <v>9084</v>
      </c>
      <c r="F362" s="786" t="s">
        <v>7754</v>
      </c>
      <c r="G362" s="786" t="s">
        <v>9085</v>
      </c>
      <c r="H362" s="786"/>
      <c r="I362" s="786" t="s">
        <v>9086</v>
      </c>
      <c r="J362" s="786" t="s">
        <v>4525</v>
      </c>
      <c r="K362" s="787" t="b">
        <v>0</v>
      </c>
      <c r="L362" s="786" t="s">
        <v>4525</v>
      </c>
      <c r="M362" s="787" t="b">
        <v>0</v>
      </c>
      <c r="N362" s="787" t="b">
        <v>0</v>
      </c>
      <c r="O362" s="786"/>
      <c r="P362" s="786"/>
      <c r="Q362" s="786" t="s">
        <v>8629</v>
      </c>
      <c r="R362" s="786"/>
      <c r="S362" s="786"/>
      <c r="T362" s="786"/>
      <c r="U362" s="786"/>
      <c r="V362" s="786"/>
      <c r="W362" s="786"/>
      <c r="X362" s="786"/>
      <c r="Y362" s="786"/>
      <c r="Z362" s="786"/>
    </row>
    <row r="363">
      <c r="A363" s="786" t="s">
        <v>8527</v>
      </c>
      <c r="B363" s="786" t="s">
        <v>8032</v>
      </c>
      <c r="C363" s="786" t="s">
        <v>9074</v>
      </c>
      <c r="D363" s="786" t="s">
        <v>9087</v>
      </c>
      <c r="E363" s="786" t="s">
        <v>9087</v>
      </c>
      <c r="F363" s="786" t="s">
        <v>7754</v>
      </c>
      <c r="G363" s="786" t="s">
        <v>9088</v>
      </c>
      <c r="H363" s="786"/>
      <c r="I363" s="786" t="s">
        <v>8038</v>
      </c>
      <c r="J363" s="786" t="s">
        <v>4525</v>
      </c>
      <c r="K363" s="787" t="b">
        <v>0</v>
      </c>
      <c r="L363" s="786" t="s">
        <v>4525</v>
      </c>
      <c r="M363" s="787" t="b">
        <v>0</v>
      </c>
      <c r="N363" s="787" t="b">
        <v>0</v>
      </c>
      <c r="O363" s="786"/>
      <c r="P363" s="786"/>
      <c r="Q363" s="786" t="s">
        <v>8629</v>
      </c>
      <c r="R363" s="786"/>
      <c r="S363" s="786"/>
      <c r="T363" s="786"/>
      <c r="U363" s="786"/>
      <c r="V363" s="786"/>
      <c r="W363" s="786"/>
      <c r="X363" s="786"/>
      <c r="Y363" s="786"/>
      <c r="Z363" s="786"/>
    </row>
    <row r="364">
      <c r="A364" s="786" t="s">
        <v>8527</v>
      </c>
      <c r="B364" s="786" t="s">
        <v>8032</v>
      </c>
      <c r="C364" s="786" t="s">
        <v>9074</v>
      </c>
      <c r="D364" s="786" t="s">
        <v>9089</v>
      </c>
      <c r="E364" s="786" t="s">
        <v>9089</v>
      </c>
      <c r="F364" s="786" t="s">
        <v>7797</v>
      </c>
      <c r="G364" s="786" t="s">
        <v>9090</v>
      </c>
      <c r="H364" s="786"/>
      <c r="I364" s="786" t="s">
        <v>8038</v>
      </c>
      <c r="J364" s="786" t="s">
        <v>4521</v>
      </c>
      <c r="K364" s="787" t="b">
        <v>0</v>
      </c>
      <c r="L364" s="786" t="s">
        <v>4542</v>
      </c>
      <c r="M364" s="787" t="b">
        <v>0</v>
      </c>
      <c r="N364" s="787" t="b">
        <v>0</v>
      </c>
      <c r="O364" s="786"/>
      <c r="P364" s="786"/>
      <c r="Q364" s="786" t="s">
        <v>8629</v>
      </c>
      <c r="R364" s="786"/>
      <c r="S364" s="786"/>
      <c r="T364" s="786"/>
      <c r="U364" s="786"/>
      <c r="V364" s="786"/>
      <c r="W364" s="786"/>
      <c r="X364" s="786"/>
      <c r="Y364" s="786"/>
      <c r="Z364" s="786"/>
    </row>
    <row r="365">
      <c r="A365" s="786" t="s">
        <v>8527</v>
      </c>
      <c r="B365" s="786" t="s">
        <v>8032</v>
      </c>
      <c r="C365" s="786" t="s">
        <v>9074</v>
      </c>
      <c r="D365" s="786" t="s">
        <v>9091</v>
      </c>
      <c r="E365" s="786" t="s">
        <v>9092</v>
      </c>
      <c r="F365" s="786" t="s">
        <v>7731</v>
      </c>
      <c r="G365" s="786" t="s">
        <v>9093</v>
      </c>
      <c r="H365" s="786"/>
      <c r="I365" s="786" t="s">
        <v>9094</v>
      </c>
      <c r="J365" s="786" t="s">
        <v>7730</v>
      </c>
      <c r="K365" s="787" t="b">
        <v>0</v>
      </c>
      <c r="L365" s="786" t="s">
        <v>7730</v>
      </c>
      <c r="M365" s="787" t="b">
        <v>0</v>
      </c>
      <c r="N365" s="787" t="b">
        <v>0</v>
      </c>
      <c r="O365" s="786"/>
      <c r="P365" s="786"/>
      <c r="Q365" s="788" t="s">
        <v>9095</v>
      </c>
      <c r="R365" s="786"/>
      <c r="S365" s="786"/>
      <c r="T365" s="786"/>
      <c r="U365" s="786"/>
      <c r="V365" s="786"/>
      <c r="W365" s="786"/>
      <c r="X365" s="786"/>
      <c r="Y365" s="786"/>
      <c r="Z365" s="786"/>
    </row>
    <row r="366">
      <c r="A366" s="786" t="s">
        <v>8527</v>
      </c>
      <c r="B366" s="786" t="s">
        <v>8032</v>
      </c>
      <c r="C366" s="786" t="s">
        <v>9074</v>
      </c>
      <c r="D366" s="786" t="s">
        <v>9096</v>
      </c>
      <c r="E366" s="786" t="s">
        <v>9097</v>
      </c>
      <c r="F366" s="786" t="s">
        <v>8341</v>
      </c>
      <c r="G366" s="786" t="s">
        <v>9098</v>
      </c>
      <c r="H366" s="786"/>
      <c r="I366" s="786" t="s">
        <v>8038</v>
      </c>
      <c r="J366" s="786" t="s">
        <v>4626</v>
      </c>
      <c r="K366" s="787" t="b">
        <v>0</v>
      </c>
      <c r="L366" s="786" t="s">
        <v>4626</v>
      </c>
      <c r="M366" s="787" t="b">
        <v>0</v>
      </c>
      <c r="N366" s="787" t="b">
        <v>1</v>
      </c>
      <c r="O366" s="786"/>
      <c r="P366" s="786"/>
      <c r="Q366" s="786" t="s">
        <v>9099</v>
      </c>
      <c r="R366" s="797" t="s">
        <v>9100</v>
      </c>
      <c r="S366" s="786"/>
      <c r="T366" s="786"/>
      <c r="U366" s="786"/>
      <c r="V366" s="786"/>
      <c r="W366" s="786"/>
      <c r="X366" s="786"/>
      <c r="Y366" s="786"/>
      <c r="Z366" s="786"/>
    </row>
    <row r="367">
      <c r="A367" s="786" t="s">
        <v>8527</v>
      </c>
      <c r="B367" s="786" t="s">
        <v>8032</v>
      </c>
      <c r="C367" s="786" t="s">
        <v>9074</v>
      </c>
      <c r="D367" s="786" t="s">
        <v>7733</v>
      </c>
      <c r="E367" s="786" t="s">
        <v>9101</v>
      </c>
      <c r="F367" s="786"/>
      <c r="G367" s="786"/>
      <c r="H367" s="786"/>
      <c r="I367" s="786" t="s">
        <v>9102</v>
      </c>
      <c r="J367" s="786" t="s">
        <v>4458</v>
      </c>
      <c r="K367" s="787" t="b">
        <v>0</v>
      </c>
      <c r="L367" s="786" t="s">
        <v>4458</v>
      </c>
      <c r="M367" s="787" t="b">
        <v>0</v>
      </c>
      <c r="N367" s="787" t="b">
        <v>1</v>
      </c>
      <c r="O367" s="786"/>
      <c r="P367" s="786"/>
      <c r="Q367" s="786" t="s">
        <v>9099</v>
      </c>
      <c r="R367" s="786"/>
      <c r="S367" s="786"/>
      <c r="T367" s="786"/>
      <c r="U367" s="786"/>
      <c r="V367" s="786"/>
      <c r="W367" s="786"/>
      <c r="X367" s="786"/>
      <c r="Y367" s="786"/>
      <c r="Z367" s="786"/>
    </row>
    <row r="368">
      <c r="A368" s="786" t="s">
        <v>8527</v>
      </c>
      <c r="B368" s="786" t="s">
        <v>8032</v>
      </c>
      <c r="C368" s="786" t="s">
        <v>9103</v>
      </c>
      <c r="D368" s="798" t="s">
        <v>9104</v>
      </c>
      <c r="E368" s="798" t="s">
        <v>9105</v>
      </c>
      <c r="F368" s="798" t="s">
        <v>7674</v>
      </c>
      <c r="G368" s="798" t="s">
        <v>9106</v>
      </c>
      <c r="H368" s="798"/>
      <c r="I368" s="798" t="s">
        <v>9107</v>
      </c>
      <c r="J368" s="798" t="s">
        <v>4503</v>
      </c>
      <c r="K368" s="799" t="b">
        <v>0</v>
      </c>
      <c r="L368" s="798" t="s">
        <v>4503</v>
      </c>
      <c r="M368" s="799" t="b">
        <v>0</v>
      </c>
      <c r="N368" s="799" t="b">
        <v>1</v>
      </c>
      <c r="O368" s="798"/>
      <c r="P368" s="798"/>
      <c r="Q368" s="798" t="s">
        <v>8169</v>
      </c>
      <c r="R368" s="786"/>
      <c r="S368" s="17"/>
      <c r="T368" s="786"/>
      <c r="U368" s="786"/>
      <c r="V368" s="786"/>
      <c r="W368" s="786"/>
      <c r="X368" s="786"/>
      <c r="Y368" s="786"/>
      <c r="Z368" s="786"/>
    </row>
    <row r="369">
      <c r="A369" s="786" t="s">
        <v>8527</v>
      </c>
      <c r="B369" s="786" t="s">
        <v>8032</v>
      </c>
      <c r="C369" s="786" t="s">
        <v>9103</v>
      </c>
      <c r="D369" s="786" t="s">
        <v>9108</v>
      </c>
      <c r="E369" s="786" t="s">
        <v>9109</v>
      </c>
      <c r="F369" s="786" t="s">
        <v>7685</v>
      </c>
      <c r="G369" s="786" t="s">
        <v>9110</v>
      </c>
      <c r="H369" s="786"/>
      <c r="I369" s="786" t="s">
        <v>8038</v>
      </c>
      <c r="J369" s="786" t="s">
        <v>4461</v>
      </c>
      <c r="K369" s="787" t="b">
        <v>1</v>
      </c>
      <c r="L369" s="786" t="s">
        <v>4461</v>
      </c>
      <c r="M369" s="787" t="b">
        <v>0</v>
      </c>
      <c r="N369" s="787" t="b">
        <v>1</v>
      </c>
      <c r="O369" s="786"/>
      <c r="P369" s="786"/>
      <c r="Q369" s="786" t="s">
        <v>8169</v>
      </c>
      <c r="R369" s="786"/>
      <c r="S369" s="17"/>
      <c r="T369" s="786"/>
      <c r="U369" s="786"/>
      <c r="V369" s="786"/>
      <c r="W369" s="786"/>
      <c r="X369" s="786"/>
      <c r="Y369" s="786"/>
      <c r="Z369" s="786"/>
    </row>
    <row r="370">
      <c r="A370" s="786" t="s">
        <v>8527</v>
      </c>
      <c r="B370" s="786" t="s">
        <v>8032</v>
      </c>
      <c r="C370" s="786" t="s">
        <v>9103</v>
      </c>
      <c r="D370" s="786" t="s">
        <v>9111</v>
      </c>
      <c r="E370" s="786" t="s">
        <v>9112</v>
      </c>
      <c r="F370" s="786" t="s">
        <v>7685</v>
      </c>
      <c r="G370" s="786" t="s">
        <v>9113</v>
      </c>
      <c r="H370" s="786"/>
      <c r="I370" s="786" t="s">
        <v>8038</v>
      </c>
      <c r="J370" s="786" t="s">
        <v>4461</v>
      </c>
      <c r="K370" s="787" t="b">
        <v>1</v>
      </c>
      <c r="L370" s="786" t="s">
        <v>4461</v>
      </c>
      <c r="M370" s="787" t="b">
        <v>0</v>
      </c>
      <c r="N370" s="787" t="b">
        <v>1</v>
      </c>
      <c r="O370" s="786"/>
      <c r="P370" s="786"/>
      <c r="Q370" s="786" t="s">
        <v>8169</v>
      </c>
      <c r="R370" s="786"/>
      <c r="S370" s="17"/>
      <c r="T370" s="786"/>
      <c r="U370" s="786"/>
      <c r="V370" s="786"/>
      <c r="W370" s="786"/>
      <c r="X370" s="786"/>
      <c r="Y370" s="786"/>
      <c r="Z370" s="786"/>
    </row>
    <row r="371">
      <c r="A371" s="786" t="s">
        <v>8527</v>
      </c>
      <c r="B371" s="786" t="s">
        <v>8032</v>
      </c>
      <c r="C371" s="786" t="s">
        <v>9103</v>
      </c>
      <c r="D371" s="786" t="s">
        <v>7294</v>
      </c>
      <c r="E371" s="786" t="s">
        <v>7294</v>
      </c>
      <c r="F371" s="786" t="s">
        <v>7685</v>
      </c>
      <c r="G371" s="786" t="s">
        <v>9114</v>
      </c>
      <c r="H371" s="786"/>
      <c r="I371" s="786" t="s">
        <v>8038</v>
      </c>
      <c r="J371" s="786" t="s">
        <v>4517</v>
      </c>
      <c r="K371" s="787" t="b">
        <v>1</v>
      </c>
      <c r="L371" s="786" t="s">
        <v>4461</v>
      </c>
      <c r="M371" s="787" t="b">
        <v>0</v>
      </c>
      <c r="N371" s="787" t="b">
        <v>0</v>
      </c>
      <c r="O371" s="786"/>
      <c r="P371" s="786"/>
      <c r="Q371" s="786" t="s">
        <v>9115</v>
      </c>
      <c r="R371" s="786"/>
      <c r="S371" s="17"/>
      <c r="T371" s="786"/>
      <c r="U371" s="786"/>
      <c r="V371" s="786"/>
      <c r="W371" s="786"/>
      <c r="X371" s="786"/>
      <c r="Y371" s="786"/>
      <c r="Z371" s="786"/>
    </row>
    <row r="372">
      <c r="A372" s="786" t="s">
        <v>8527</v>
      </c>
      <c r="B372" s="786" t="s">
        <v>8032</v>
      </c>
      <c r="C372" s="786" t="s">
        <v>9103</v>
      </c>
      <c r="D372" s="786" t="s">
        <v>9116</v>
      </c>
      <c r="E372" s="786" t="s">
        <v>9117</v>
      </c>
      <c r="F372" s="786" t="s">
        <v>8050</v>
      </c>
      <c r="G372" s="786" t="s">
        <v>9118</v>
      </c>
      <c r="H372" s="786"/>
      <c r="I372" s="786" t="s">
        <v>9119</v>
      </c>
      <c r="J372" s="786" t="s">
        <v>4458</v>
      </c>
      <c r="K372" s="787" t="b">
        <v>0</v>
      </c>
      <c r="L372" s="786" t="s">
        <v>4458</v>
      </c>
      <c r="M372" s="787" t="b">
        <v>0</v>
      </c>
      <c r="N372" s="787" t="b">
        <v>1</v>
      </c>
      <c r="O372" s="786"/>
      <c r="P372" s="786"/>
      <c r="Q372" s="786" t="s">
        <v>8169</v>
      </c>
      <c r="R372" s="786"/>
      <c r="S372" s="17"/>
      <c r="T372" s="786"/>
      <c r="U372" s="786"/>
      <c r="V372" s="786"/>
      <c r="W372" s="786"/>
      <c r="X372" s="786"/>
      <c r="Y372" s="786"/>
      <c r="Z372" s="786"/>
    </row>
    <row r="373">
      <c r="A373" s="786" t="s">
        <v>8527</v>
      </c>
      <c r="B373" s="786" t="s">
        <v>8032</v>
      </c>
      <c r="C373" s="786" t="s">
        <v>9103</v>
      </c>
      <c r="D373" s="786" t="s">
        <v>2749</v>
      </c>
      <c r="E373" s="786" t="s">
        <v>9120</v>
      </c>
      <c r="F373" s="786" t="s">
        <v>8050</v>
      </c>
      <c r="G373" s="786" t="s">
        <v>9121</v>
      </c>
      <c r="H373" s="786"/>
      <c r="I373" s="786" t="s">
        <v>9122</v>
      </c>
      <c r="J373" s="786" t="s">
        <v>4458</v>
      </c>
      <c r="K373" s="787" t="b">
        <v>0</v>
      </c>
      <c r="L373" s="786" t="s">
        <v>4458</v>
      </c>
      <c r="M373" s="787" t="b">
        <v>0</v>
      </c>
      <c r="N373" s="787" t="b">
        <v>1</v>
      </c>
      <c r="O373" s="786"/>
      <c r="P373" s="786"/>
      <c r="Q373" s="786" t="s">
        <v>8169</v>
      </c>
      <c r="R373" s="786"/>
      <c r="S373" s="17"/>
      <c r="T373" s="786"/>
      <c r="U373" s="786"/>
      <c r="V373" s="786"/>
      <c r="W373" s="786"/>
      <c r="X373" s="786"/>
      <c r="Y373" s="786"/>
      <c r="Z373" s="786"/>
    </row>
    <row r="374">
      <c r="A374" s="786" t="s">
        <v>8527</v>
      </c>
      <c r="B374" s="786" t="s">
        <v>8032</v>
      </c>
      <c r="C374" s="786" t="s">
        <v>9103</v>
      </c>
      <c r="D374" s="798" t="s">
        <v>9123</v>
      </c>
      <c r="E374" s="798" t="s">
        <v>9124</v>
      </c>
      <c r="F374" s="798" t="s">
        <v>7701</v>
      </c>
      <c r="G374" s="798" t="s">
        <v>9125</v>
      </c>
      <c r="H374" s="798"/>
      <c r="I374" s="798" t="s">
        <v>8038</v>
      </c>
      <c r="J374" s="798" t="s">
        <v>7700</v>
      </c>
      <c r="K374" s="799" t="b">
        <v>0</v>
      </c>
      <c r="L374" s="798" t="s">
        <v>7700</v>
      </c>
      <c r="M374" s="799" t="b">
        <v>0</v>
      </c>
      <c r="N374" s="799" t="b">
        <v>1</v>
      </c>
      <c r="O374" s="798"/>
      <c r="P374" s="798"/>
      <c r="Q374" s="800" t="s">
        <v>9126</v>
      </c>
      <c r="R374" s="786"/>
      <c r="S374" s="17"/>
      <c r="T374" s="786"/>
      <c r="U374" s="786"/>
      <c r="V374" s="786"/>
      <c r="W374" s="786"/>
      <c r="X374" s="786"/>
      <c r="Y374" s="786"/>
      <c r="Z374" s="786"/>
    </row>
    <row r="375">
      <c r="A375" s="786" t="s">
        <v>8527</v>
      </c>
      <c r="B375" s="786" t="s">
        <v>8032</v>
      </c>
      <c r="C375" s="786" t="s">
        <v>9103</v>
      </c>
      <c r="D375" s="786" t="s">
        <v>9127</v>
      </c>
      <c r="E375" s="786" t="s">
        <v>9128</v>
      </c>
      <c r="F375" s="786" t="s">
        <v>7782</v>
      </c>
      <c r="G375" s="786" t="s">
        <v>9129</v>
      </c>
      <c r="H375" s="786"/>
      <c r="I375" s="786" t="s">
        <v>8038</v>
      </c>
      <c r="J375" s="786" t="s">
        <v>4521</v>
      </c>
      <c r="K375" s="787" t="b">
        <v>0</v>
      </c>
      <c r="L375" s="786" t="s">
        <v>4521</v>
      </c>
      <c r="M375" s="787" t="b">
        <v>0</v>
      </c>
      <c r="N375" s="787" t="b">
        <v>0</v>
      </c>
      <c r="O375" s="786"/>
      <c r="P375" s="786"/>
      <c r="Q375" s="788" t="s">
        <v>8878</v>
      </c>
      <c r="R375" s="786"/>
      <c r="S375" s="17"/>
      <c r="T375" s="786"/>
      <c r="U375" s="786"/>
      <c r="V375" s="786"/>
      <c r="W375" s="786"/>
      <c r="X375" s="786"/>
      <c r="Y375" s="786"/>
      <c r="Z375" s="786"/>
    </row>
    <row r="376">
      <c r="A376" s="786" t="s">
        <v>8527</v>
      </c>
      <c r="B376" s="786" t="s">
        <v>8032</v>
      </c>
      <c r="C376" s="786" t="s">
        <v>9103</v>
      </c>
      <c r="D376" s="786" t="s">
        <v>9130</v>
      </c>
      <c r="E376" s="786" t="s">
        <v>9131</v>
      </c>
      <c r="F376" s="786" t="s">
        <v>9132</v>
      </c>
      <c r="G376" s="786" t="s">
        <v>9133</v>
      </c>
      <c r="H376" s="786"/>
      <c r="I376" s="786" t="s">
        <v>8038</v>
      </c>
      <c r="J376" s="786" t="s">
        <v>7852</v>
      </c>
      <c r="K376" s="787" t="b">
        <v>0</v>
      </c>
      <c r="L376" s="786" t="s">
        <v>7852</v>
      </c>
      <c r="M376" s="787" t="b">
        <v>0</v>
      </c>
      <c r="N376" s="787" t="b">
        <v>0</v>
      </c>
      <c r="O376" s="786"/>
      <c r="P376" s="786"/>
      <c r="Q376" s="786" t="s">
        <v>8629</v>
      </c>
      <c r="R376" s="786"/>
      <c r="S376" s="17"/>
      <c r="T376" s="786"/>
      <c r="U376" s="786"/>
      <c r="V376" s="786"/>
      <c r="W376" s="786"/>
      <c r="X376" s="786"/>
      <c r="Y376" s="786"/>
      <c r="Z376" s="786"/>
    </row>
    <row r="377">
      <c r="A377" s="786" t="s">
        <v>8527</v>
      </c>
      <c r="B377" s="786" t="s">
        <v>8032</v>
      </c>
      <c r="C377" s="786" t="s">
        <v>9134</v>
      </c>
      <c r="D377" s="786" t="s">
        <v>2687</v>
      </c>
      <c r="E377" s="786" t="s">
        <v>9135</v>
      </c>
      <c r="F377" s="786" t="s">
        <v>7722</v>
      </c>
      <c r="G377" s="786" t="s">
        <v>9136</v>
      </c>
      <c r="H377" s="786"/>
      <c r="I377" s="786" t="s">
        <v>9137</v>
      </c>
      <c r="J377" s="786" t="s">
        <v>4852</v>
      </c>
      <c r="K377" s="787" t="b">
        <v>0</v>
      </c>
      <c r="L377" s="786" t="s">
        <v>4852</v>
      </c>
      <c r="M377" s="787" t="b">
        <v>0</v>
      </c>
      <c r="N377" s="787" t="b">
        <v>0</v>
      </c>
      <c r="O377" s="786"/>
      <c r="P377" s="786"/>
      <c r="Q377" s="788" t="s">
        <v>9138</v>
      </c>
      <c r="R377" s="786"/>
      <c r="S377" s="786"/>
      <c r="T377" s="786"/>
      <c r="U377" s="786"/>
      <c r="V377" s="786"/>
      <c r="W377" s="786"/>
      <c r="X377" s="786"/>
      <c r="Y377" s="786"/>
      <c r="Z377" s="786"/>
    </row>
    <row r="378">
      <c r="A378" s="786" t="s">
        <v>8527</v>
      </c>
      <c r="B378" s="786" t="s">
        <v>8032</v>
      </c>
      <c r="C378" s="786" t="s">
        <v>9134</v>
      </c>
      <c r="D378" s="786" t="s">
        <v>9139</v>
      </c>
      <c r="E378" s="786" t="s">
        <v>9140</v>
      </c>
      <c r="F378" s="786" t="s">
        <v>7685</v>
      </c>
      <c r="G378" s="786" t="s">
        <v>9141</v>
      </c>
      <c r="H378" s="786"/>
      <c r="I378" s="786" t="s">
        <v>9142</v>
      </c>
      <c r="J378" s="786" t="s">
        <v>4503</v>
      </c>
      <c r="K378" s="787" t="b">
        <v>0</v>
      </c>
      <c r="L378" s="786" t="s">
        <v>4503</v>
      </c>
      <c r="M378" s="787" t="b">
        <v>0</v>
      </c>
      <c r="N378" s="787" t="b">
        <v>1</v>
      </c>
      <c r="O378" s="786"/>
      <c r="P378" s="786"/>
      <c r="Q378" s="786" t="s">
        <v>8169</v>
      </c>
      <c r="R378" s="786"/>
      <c r="S378" s="786"/>
      <c r="T378" s="786"/>
      <c r="U378" s="786"/>
      <c r="V378" s="786"/>
      <c r="W378" s="786"/>
      <c r="X378" s="786"/>
      <c r="Y378" s="786"/>
      <c r="Z378" s="786"/>
    </row>
    <row r="379">
      <c r="A379" s="786" t="s">
        <v>8527</v>
      </c>
      <c r="B379" s="786" t="s">
        <v>8032</v>
      </c>
      <c r="C379" s="786" t="s">
        <v>9134</v>
      </c>
      <c r="D379" s="786" t="s">
        <v>9143</v>
      </c>
      <c r="E379" s="786" t="s">
        <v>9144</v>
      </c>
      <c r="F379" s="786" t="s">
        <v>7685</v>
      </c>
      <c r="G379" s="786" t="s">
        <v>9145</v>
      </c>
      <c r="H379" s="786"/>
      <c r="I379" s="786" t="s">
        <v>9146</v>
      </c>
      <c r="J379" s="786" t="s">
        <v>4556</v>
      </c>
      <c r="K379" s="787" t="b">
        <v>0</v>
      </c>
      <c r="L379" s="786" t="s">
        <v>4556</v>
      </c>
      <c r="M379" s="787" t="b">
        <v>0</v>
      </c>
      <c r="N379" s="787" t="b">
        <v>1</v>
      </c>
      <c r="O379" s="786"/>
      <c r="P379" s="786"/>
      <c r="Q379" s="786" t="s">
        <v>8169</v>
      </c>
      <c r="R379" s="786"/>
      <c r="S379" s="786"/>
      <c r="T379" s="786"/>
      <c r="U379" s="786"/>
      <c r="V379" s="786"/>
      <c r="W379" s="786"/>
      <c r="X379" s="786"/>
      <c r="Y379" s="786"/>
      <c r="Z379" s="786"/>
    </row>
    <row r="380">
      <c r="A380" s="786" t="s">
        <v>8527</v>
      </c>
      <c r="B380" s="786" t="s">
        <v>8032</v>
      </c>
      <c r="C380" s="786" t="s">
        <v>9134</v>
      </c>
      <c r="D380" s="786" t="s">
        <v>8279</v>
      </c>
      <c r="E380" s="786" t="s">
        <v>9147</v>
      </c>
      <c r="F380" s="786" t="s">
        <v>7685</v>
      </c>
      <c r="G380" s="786" t="s">
        <v>9148</v>
      </c>
      <c r="H380" s="786"/>
      <c r="I380" s="786" t="s">
        <v>9149</v>
      </c>
      <c r="J380" s="786" t="s">
        <v>4461</v>
      </c>
      <c r="K380" s="787" t="b">
        <v>1</v>
      </c>
      <c r="L380" s="786" t="s">
        <v>4461</v>
      </c>
      <c r="M380" s="787" t="b">
        <v>0</v>
      </c>
      <c r="N380" s="787" t="b">
        <v>1</v>
      </c>
      <c r="O380" s="786"/>
      <c r="P380" s="786"/>
      <c r="Q380" s="786" t="s">
        <v>8169</v>
      </c>
      <c r="R380" s="786"/>
      <c r="S380" s="786"/>
      <c r="T380" s="786"/>
      <c r="U380" s="786"/>
      <c r="V380" s="786"/>
      <c r="W380" s="786"/>
      <c r="X380" s="786"/>
      <c r="Y380" s="786"/>
      <c r="Z380" s="786"/>
    </row>
    <row r="381">
      <c r="A381" s="786" t="s">
        <v>8527</v>
      </c>
      <c r="B381" s="786" t="s">
        <v>8032</v>
      </c>
      <c r="C381" s="786" t="s">
        <v>9134</v>
      </c>
      <c r="D381" s="786" t="s">
        <v>9150</v>
      </c>
      <c r="E381" s="786" t="s">
        <v>9124</v>
      </c>
      <c r="F381" s="786" t="s">
        <v>7782</v>
      </c>
      <c r="G381" s="786" t="s">
        <v>9151</v>
      </c>
      <c r="H381" s="786"/>
      <c r="I381" s="786" t="s">
        <v>9152</v>
      </c>
      <c r="J381" s="786" t="s">
        <v>4521</v>
      </c>
      <c r="K381" s="787" t="b">
        <v>0</v>
      </c>
      <c r="L381" s="786" t="s">
        <v>4521</v>
      </c>
      <c r="M381" s="787" t="b">
        <v>0</v>
      </c>
      <c r="N381" s="787" t="b">
        <v>1</v>
      </c>
      <c r="O381" s="786"/>
      <c r="P381" s="786"/>
      <c r="Q381" s="786" t="s">
        <v>8169</v>
      </c>
      <c r="R381" s="786"/>
      <c r="S381" s="786"/>
      <c r="T381" s="786"/>
      <c r="U381" s="786"/>
      <c r="V381" s="786"/>
      <c r="W381" s="786"/>
      <c r="X381" s="786"/>
      <c r="Y381" s="786"/>
      <c r="Z381" s="786"/>
    </row>
    <row r="382">
      <c r="A382" s="786" t="s">
        <v>8527</v>
      </c>
      <c r="B382" s="786" t="s">
        <v>8032</v>
      </c>
      <c r="C382" s="786" t="s">
        <v>9134</v>
      </c>
      <c r="D382" s="786" t="s">
        <v>9153</v>
      </c>
      <c r="E382" s="786" t="s">
        <v>9154</v>
      </c>
      <c r="F382" s="786" t="s">
        <v>7754</v>
      </c>
      <c r="G382" s="786" t="s">
        <v>9155</v>
      </c>
      <c r="H382" s="786"/>
      <c r="I382" s="786" t="s">
        <v>9156</v>
      </c>
      <c r="J382" s="786" t="s">
        <v>4626</v>
      </c>
      <c r="K382" s="787" t="b">
        <v>0</v>
      </c>
      <c r="L382" s="786" t="s">
        <v>4626</v>
      </c>
      <c r="M382" s="787" t="b">
        <v>0</v>
      </c>
      <c r="N382" s="787" t="b">
        <v>1</v>
      </c>
      <c r="O382" s="786"/>
      <c r="P382" s="786"/>
      <c r="Q382" s="786" t="s">
        <v>8169</v>
      </c>
      <c r="R382" s="786"/>
      <c r="S382" s="786"/>
      <c r="T382" s="786"/>
      <c r="U382" s="786"/>
      <c r="V382" s="786"/>
      <c r="W382" s="786"/>
      <c r="X382" s="786"/>
      <c r="Y382" s="786"/>
      <c r="Z382" s="786"/>
    </row>
    <row r="383">
      <c r="A383" s="786" t="s">
        <v>8527</v>
      </c>
      <c r="B383" s="786" t="s">
        <v>8032</v>
      </c>
      <c r="C383" s="786" t="s">
        <v>9134</v>
      </c>
      <c r="D383" s="786" t="s">
        <v>340</v>
      </c>
      <c r="E383" s="786" t="s">
        <v>9157</v>
      </c>
      <c r="F383" s="786" t="s">
        <v>7713</v>
      </c>
      <c r="G383" s="786" t="s">
        <v>9158</v>
      </c>
      <c r="H383" s="786"/>
      <c r="I383" s="786" t="s">
        <v>9159</v>
      </c>
      <c r="J383" s="786" t="s">
        <v>4626</v>
      </c>
      <c r="K383" s="787" t="b">
        <v>0</v>
      </c>
      <c r="L383" s="786" t="s">
        <v>4525</v>
      </c>
      <c r="M383" s="787" t="b">
        <v>0</v>
      </c>
      <c r="N383" s="787" t="b">
        <v>1</v>
      </c>
      <c r="O383" s="786"/>
      <c r="P383" s="786"/>
      <c r="Q383" s="786" t="s">
        <v>8169</v>
      </c>
      <c r="R383" s="786"/>
      <c r="S383" s="786"/>
      <c r="T383" s="786"/>
      <c r="U383" s="786"/>
      <c r="V383" s="786"/>
      <c r="W383" s="786"/>
      <c r="X383" s="786"/>
      <c r="Y383" s="786"/>
      <c r="Z383" s="786"/>
    </row>
    <row r="384">
      <c r="A384" s="786" t="s">
        <v>8527</v>
      </c>
      <c r="B384" s="786" t="s">
        <v>8032</v>
      </c>
      <c r="C384" s="786" t="s">
        <v>9134</v>
      </c>
      <c r="D384" s="786" t="s">
        <v>121</v>
      </c>
      <c r="E384" s="786" t="s">
        <v>9160</v>
      </c>
      <c r="F384" s="786" t="s">
        <v>7685</v>
      </c>
      <c r="G384" s="786" t="s">
        <v>9161</v>
      </c>
      <c r="H384" s="786"/>
      <c r="I384" s="786" t="s">
        <v>8038</v>
      </c>
      <c r="J384" s="786" t="s">
        <v>4461</v>
      </c>
      <c r="K384" s="787" t="b">
        <v>1</v>
      </c>
      <c r="L384" s="786" t="s">
        <v>4461</v>
      </c>
      <c r="M384" s="787" t="b">
        <v>0</v>
      </c>
      <c r="N384" s="787" t="b">
        <v>1</v>
      </c>
      <c r="O384" s="786"/>
      <c r="P384" s="786"/>
      <c r="Q384" s="786" t="s">
        <v>8169</v>
      </c>
      <c r="R384" s="786"/>
      <c r="S384" s="786"/>
      <c r="T384" s="786"/>
      <c r="U384" s="786"/>
      <c r="V384" s="786"/>
      <c r="W384" s="786"/>
      <c r="X384" s="786"/>
      <c r="Y384" s="786"/>
      <c r="Z384" s="786"/>
    </row>
    <row r="385">
      <c r="A385" s="786" t="s">
        <v>8527</v>
      </c>
      <c r="B385" s="786" t="s">
        <v>8032</v>
      </c>
      <c r="C385" s="786" t="s">
        <v>9134</v>
      </c>
      <c r="D385" s="786" t="s">
        <v>9162</v>
      </c>
      <c r="E385" s="786" t="s">
        <v>9163</v>
      </c>
      <c r="F385" s="786" t="s">
        <v>7722</v>
      </c>
      <c r="G385" s="786" t="s">
        <v>9164</v>
      </c>
      <c r="H385" s="786"/>
      <c r="I385" s="786" t="s">
        <v>9165</v>
      </c>
      <c r="J385" s="786" t="s">
        <v>4852</v>
      </c>
      <c r="K385" s="787" t="b">
        <v>0</v>
      </c>
      <c r="L385" s="786" t="s">
        <v>4852</v>
      </c>
      <c r="M385" s="787" t="b">
        <v>0</v>
      </c>
      <c r="N385" s="787" t="b">
        <v>1</v>
      </c>
      <c r="O385" s="786"/>
      <c r="P385" s="786"/>
      <c r="Q385" s="786" t="s">
        <v>9166</v>
      </c>
      <c r="R385" s="786"/>
      <c r="S385" s="786"/>
      <c r="T385" s="786"/>
      <c r="U385" s="786"/>
      <c r="V385" s="786"/>
      <c r="W385" s="786"/>
      <c r="X385" s="786"/>
      <c r="Y385" s="786"/>
      <c r="Z385" s="786"/>
    </row>
    <row r="386">
      <c r="A386" s="786" t="s">
        <v>8527</v>
      </c>
      <c r="B386" s="786" t="s">
        <v>8032</v>
      </c>
      <c r="C386" s="786" t="s">
        <v>9134</v>
      </c>
      <c r="D386" s="786" t="s">
        <v>6184</v>
      </c>
      <c r="E386" s="786" t="s">
        <v>9167</v>
      </c>
      <c r="F386" s="786" t="s">
        <v>7782</v>
      </c>
      <c r="G386" s="786" t="s">
        <v>9168</v>
      </c>
      <c r="H386" s="786"/>
      <c r="I386" s="786" t="s">
        <v>9169</v>
      </c>
      <c r="J386" s="786" t="s">
        <v>4521</v>
      </c>
      <c r="K386" s="787" t="b">
        <v>0</v>
      </c>
      <c r="L386" s="786" t="s">
        <v>4521</v>
      </c>
      <c r="M386" s="787" t="b">
        <v>0</v>
      </c>
      <c r="N386" s="787" t="b">
        <v>1</v>
      </c>
      <c r="O386" s="786"/>
      <c r="P386" s="786"/>
      <c r="Q386" s="786" t="s">
        <v>9170</v>
      </c>
      <c r="R386" s="786"/>
      <c r="S386" s="786"/>
      <c r="T386" s="786"/>
      <c r="U386" s="786"/>
      <c r="V386" s="786"/>
      <c r="W386" s="786"/>
      <c r="X386" s="786"/>
      <c r="Y386" s="786"/>
      <c r="Z386" s="786"/>
    </row>
    <row r="387">
      <c r="A387" s="786" t="s">
        <v>8527</v>
      </c>
      <c r="B387" s="786" t="s">
        <v>8032</v>
      </c>
      <c r="C387" s="786" t="s">
        <v>9134</v>
      </c>
      <c r="D387" s="786" t="s">
        <v>9171</v>
      </c>
      <c r="E387" s="786" t="s">
        <v>9011</v>
      </c>
      <c r="F387" s="786" t="s">
        <v>7793</v>
      </c>
      <c r="G387" s="786" t="s">
        <v>9172</v>
      </c>
      <c r="H387" s="786"/>
      <c r="I387" s="786" t="s">
        <v>9173</v>
      </c>
      <c r="J387" s="786" t="s">
        <v>4660</v>
      </c>
      <c r="K387" s="787" t="b">
        <v>0</v>
      </c>
      <c r="L387" s="786" t="s">
        <v>4660</v>
      </c>
      <c r="M387" s="787" t="b">
        <v>0</v>
      </c>
      <c r="N387" s="787" t="b">
        <v>1</v>
      </c>
      <c r="O387" s="786"/>
      <c r="P387" s="786"/>
      <c r="Q387" s="786" t="s">
        <v>8169</v>
      </c>
      <c r="R387" s="786"/>
      <c r="S387" s="786"/>
      <c r="T387" s="786"/>
      <c r="U387" s="786"/>
      <c r="V387" s="786"/>
      <c r="W387" s="786"/>
      <c r="X387" s="786"/>
      <c r="Y387" s="786"/>
      <c r="Z387" s="786"/>
    </row>
    <row r="388">
      <c r="A388" s="786" t="s">
        <v>8527</v>
      </c>
      <c r="B388" s="786" t="s">
        <v>8032</v>
      </c>
      <c r="C388" s="786" t="s">
        <v>9134</v>
      </c>
      <c r="D388" s="786" t="s">
        <v>8978</v>
      </c>
      <c r="E388" s="786" t="s">
        <v>8978</v>
      </c>
      <c r="F388" s="786" t="s">
        <v>7713</v>
      </c>
      <c r="G388" s="786" t="s">
        <v>9174</v>
      </c>
      <c r="H388" s="786"/>
      <c r="I388" s="786" t="s">
        <v>8038</v>
      </c>
      <c r="J388" s="786" t="s">
        <v>7712</v>
      </c>
      <c r="K388" s="787" t="b">
        <v>0</v>
      </c>
      <c r="L388" s="786" t="s">
        <v>7712</v>
      </c>
      <c r="M388" s="787" t="b">
        <v>0</v>
      </c>
      <c r="N388" s="787" t="b">
        <v>0</v>
      </c>
      <c r="O388" s="786"/>
      <c r="P388" s="786"/>
      <c r="Q388" s="786" t="s">
        <v>8629</v>
      </c>
      <c r="R388" s="786"/>
      <c r="S388" s="786"/>
      <c r="T388" s="786"/>
      <c r="U388" s="786"/>
      <c r="V388" s="786"/>
      <c r="W388" s="786"/>
      <c r="X388" s="786"/>
      <c r="Y388" s="786"/>
      <c r="Z388" s="786"/>
    </row>
    <row r="389">
      <c r="A389" s="786" t="s">
        <v>8527</v>
      </c>
      <c r="B389" s="786" t="s">
        <v>8032</v>
      </c>
      <c r="C389" s="786" t="s">
        <v>9175</v>
      </c>
      <c r="D389" s="786" t="s">
        <v>9176</v>
      </c>
      <c r="E389" s="786" t="s">
        <v>8894</v>
      </c>
      <c r="F389" s="786" t="s">
        <v>7674</v>
      </c>
      <c r="G389" s="786" t="s">
        <v>9177</v>
      </c>
      <c r="H389" s="786"/>
      <c r="I389" s="786" t="s">
        <v>8038</v>
      </c>
      <c r="J389" s="786" t="s">
        <v>4503</v>
      </c>
      <c r="K389" s="787" t="b">
        <v>0</v>
      </c>
      <c r="L389" s="786" t="s">
        <v>4503</v>
      </c>
      <c r="M389" s="787" t="b">
        <v>0</v>
      </c>
      <c r="N389" s="787" t="b">
        <v>0</v>
      </c>
      <c r="O389" s="786"/>
      <c r="P389" s="786"/>
      <c r="Q389" s="786" t="s">
        <v>8169</v>
      </c>
      <c r="R389" s="786"/>
      <c r="S389" s="786"/>
      <c r="T389" s="786"/>
      <c r="U389" s="786"/>
      <c r="V389" s="786"/>
      <c r="W389" s="786"/>
      <c r="X389" s="786"/>
      <c r="Y389" s="786"/>
      <c r="Z389" s="786"/>
    </row>
    <row r="390">
      <c r="A390" s="786" t="s">
        <v>8527</v>
      </c>
      <c r="B390" s="786" t="s">
        <v>8032</v>
      </c>
      <c r="C390" s="786" t="s">
        <v>9175</v>
      </c>
      <c r="D390" s="786" t="s">
        <v>9178</v>
      </c>
      <c r="E390" s="786" t="s">
        <v>9178</v>
      </c>
      <c r="F390" s="786" t="s">
        <v>7685</v>
      </c>
      <c r="G390" s="786" t="s">
        <v>9179</v>
      </c>
      <c r="H390" s="786"/>
      <c r="I390" s="786" t="s">
        <v>8038</v>
      </c>
      <c r="J390" s="786" t="s">
        <v>4461</v>
      </c>
      <c r="K390" s="787" t="b">
        <v>1</v>
      </c>
      <c r="L390" s="786" t="s">
        <v>4461</v>
      </c>
      <c r="M390" s="787" t="b">
        <v>0</v>
      </c>
      <c r="N390" s="787" t="b">
        <v>0</v>
      </c>
      <c r="O390" s="786"/>
      <c r="P390" s="786"/>
      <c r="Q390" s="786" t="s">
        <v>9180</v>
      </c>
      <c r="R390" s="786"/>
      <c r="S390" s="786"/>
      <c r="T390" s="786"/>
      <c r="U390" s="786"/>
      <c r="V390" s="786"/>
      <c r="W390" s="786"/>
      <c r="X390" s="786"/>
      <c r="Y390" s="786"/>
      <c r="Z390" s="786"/>
    </row>
    <row r="391">
      <c r="A391" s="786" t="s">
        <v>8527</v>
      </c>
      <c r="B391" s="786" t="s">
        <v>8032</v>
      </c>
      <c r="C391" s="786" t="s">
        <v>9175</v>
      </c>
      <c r="D391" s="786" t="s">
        <v>9181</v>
      </c>
      <c r="E391" s="786" t="s">
        <v>9182</v>
      </c>
      <c r="F391" s="786" t="s">
        <v>7701</v>
      </c>
      <c r="G391" s="786" t="s">
        <v>9183</v>
      </c>
      <c r="H391" s="786"/>
      <c r="I391" s="786" t="s">
        <v>9184</v>
      </c>
      <c r="J391" s="786" t="s">
        <v>7700</v>
      </c>
      <c r="K391" s="787" t="b">
        <v>0</v>
      </c>
      <c r="L391" s="786" t="s">
        <v>7700</v>
      </c>
      <c r="M391" s="787" t="b">
        <v>0</v>
      </c>
      <c r="N391" s="787" t="b">
        <v>0</v>
      </c>
      <c r="O391" s="786"/>
      <c r="P391" s="786"/>
      <c r="Q391" s="786" t="s">
        <v>8169</v>
      </c>
      <c r="R391" s="786"/>
      <c r="S391" s="786"/>
      <c r="T391" s="786"/>
      <c r="U391" s="786"/>
      <c r="V391" s="786"/>
      <c r="W391" s="786"/>
      <c r="X391" s="786"/>
      <c r="Y391" s="786"/>
      <c r="Z391" s="786"/>
    </row>
    <row r="392">
      <c r="A392" s="786" t="s">
        <v>8527</v>
      </c>
      <c r="B392" s="786" t="s">
        <v>8032</v>
      </c>
      <c r="C392" s="786" t="s">
        <v>9175</v>
      </c>
      <c r="D392" s="798" t="s">
        <v>9185</v>
      </c>
      <c r="E392" s="798" t="s">
        <v>8569</v>
      </c>
      <c r="F392" s="798" t="s">
        <v>9186</v>
      </c>
      <c r="G392" s="798" t="s">
        <v>9187</v>
      </c>
      <c r="H392" s="798"/>
      <c r="I392" s="798" t="s">
        <v>9188</v>
      </c>
      <c r="J392" s="798" t="s">
        <v>5331</v>
      </c>
      <c r="K392" s="799" t="b">
        <v>0</v>
      </c>
      <c r="L392" s="798" t="s">
        <v>5331</v>
      </c>
      <c r="M392" s="799" t="b">
        <v>0</v>
      </c>
      <c r="N392" s="799" t="b">
        <v>0</v>
      </c>
      <c r="O392" s="786"/>
      <c r="P392" s="786"/>
      <c r="Q392" s="786" t="s">
        <v>8169</v>
      </c>
      <c r="R392" s="786"/>
      <c r="S392" s="786"/>
      <c r="T392" s="786"/>
      <c r="U392" s="786"/>
      <c r="V392" s="786"/>
      <c r="W392" s="786"/>
      <c r="X392" s="786"/>
      <c r="Y392" s="786"/>
      <c r="Z392" s="786"/>
    </row>
    <row r="393">
      <c r="A393" s="786" t="s">
        <v>8527</v>
      </c>
      <c r="B393" s="786" t="s">
        <v>8032</v>
      </c>
      <c r="C393" s="786" t="s">
        <v>9175</v>
      </c>
      <c r="D393" s="786" t="s">
        <v>2687</v>
      </c>
      <c r="E393" s="786" t="s">
        <v>9189</v>
      </c>
      <c r="F393" s="786" t="s">
        <v>7685</v>
      </c>
      <c r="G393" s="786" t="s">
        <v>9190</v>
      </c>
      <c r="H393" s="786"/>
      <c r="I393" s="786" t="s">
        <v>9191</v>
      </c>
      <c r="J393" s="786" t="s">
        <v>4642</v>
      </c>
      <c r="K393" s="787" t="b">
        <v>0</v>
      </c>
      <c r="L393" s="786" t="s">
        <v>4642</v>
      </c>
      <c r="M393" s="787" t="b">
        <v>0</v>
      </c>
      <c r="N393" s="787" t="b">
        <v>1</v>
      </c>
      <c r="O393" s="786"/>
      <c r="P393" s="786"/>
      <c r="Q393" s="786" t="s">
        <v>9170</v>
      </c>
      <c r="R393" s="786"/>
      <c r="S393" s="786"/>
      <c r="T393" s="786"/>
      <c r="U393" s="786"/>
      <c r="V393" s="786"/>
      <c r="W393" s="786"/>
      <c r="X393" s="786"/>
      <c r="Y393" s="786"/>
      <c r="Z393" s="786"/>
    </row>
    <row r="394">
      <c r="A394" s="786" t="s">
        <v>8527</v>
      </c>
      <c r="B394" s="786" t="s">
        <v>8032</v>
      </c>
      <c r="C394" s="786" t="s">
        <v>9175</v>
      </c>
      <c r="D394" s="786" t="s">
        <v>2864</v>
      </c>
      <c r="E394" s="786" t="s">
        <v>9192</v>
      </c>
      <c r="F394" s="786" t="s">
        <v>7685</v>
      </c>
      <c r="G394" s="786" t="s">
        <v>9193</v>
      </c>
      <c r="H394" s="786"/>
      <c r="I394" s="786" t="s">
        <v>9194</v>
      </c>
      <c r="J394" s="786" t="s">
        <v>4461</v>
      </c>
      <c r="K394" s="787" t="b">
        <v>1</v>
      </c>
      <c r="L394" s="786" t="s">
        <v>4461</v>
      </c>
      <c r="M394" s="787" t="b">
        <v>0</v>
      </c>
      <c r="N394" s="787" t="b">
        <v>0</v>
      </c>
      <c r="O394" s="786"/>
      <c r="P394" s="786"/>
      <c r="Q394" s="786" t="s">
        <v>8169</v>
      </c>
      <c r="R394" s="786"/>
      <c r="S394" s="786"/>
      <c r="T394" s="786"/>
      <c r="U394" s="786"/>
      <c r="V394" s="786"/>
      <c r="W394" s="786"/>
      <c r="X394" s="786"/>
      <c r="Y394" s="786"/>
      <c r="Z394" s="786"/>
    </row>
    <row r="395">
      <c r="A395" s="786" t="s">
        <v>8527</v>
      </c>
      <c r="B395" s="786" t="s">
        <v>8032</v>
      </c>
      <c r="C395" s="786" t="s">
        <v>9175</v>
      </c>
      <c r="D395" s="786" t="s">
        <v>9195</v>
      </c>
      <c r="E395" s="786" t="s">
        <v>9196</v>
      </c>
      <c r="F395" s="786" t="s">
        <v>7731</v>
      </c>
      <c r="G395" s="786" t="s">
        <v>9197</v>
      </c>
      <c r="H395" s="786"/>
      <c r="I395" s="786" t="s">
        <v>8038</v>
      </c>
      <c r="J395" s="786" t="s">
        <v>7730</v>
      </c>
      <c r="K395" s="787" t="b">
        <v>0</v>
      </c>
      <c r="L395" s="786" t="s">
        <v>7730</v>
      </c>
      <c r="M395" s="787" t="b">
        <v>0</v>
      </c>
      <c r="N395" s="787" t="b">
        <v>0</v>
      </c>
      <c r="O395" s="786"/>
      <c r="P395" s="786"/>
      <c r="Q395" s="786" t="s">
        <v>8058</v>
      </c>
      <c r="R395" s="786"/>
      <c r="S395" s="786"/>
      <c r="T395" s="786"/>
      <c r="U395" s="786"/>
      <c r="V395" s="786"/>
      <c r="W395" s="786"/>
      <c r="X395" s="786"/>
      <c r="Y395" s="786"/>
      <c r="Z395" s="786"/>
    </row>
    <row r="396">
      <c r="A396" s="786" t="s">
        <v>8527</v>
      </c>
      <c r="B396" s="786" t="s">
        <v>8032</v>
      </c>
      <c r="C396" s="786" t="s">
        <v>9175</v>
      </c>
      <c r="D396" s="798" t="s">
        <v>9198</v>
      </c>
      <c r="E396" s="798" t="s">
        <v>9199</v>
      </c>
      <c r="F396" s="798" t="s">
        <v>7685</v>
      </c>
      <c r="G396" s="798" t="s">
        <v>9200</v>
      </c>
      <c r="H396" s="798"/>
      <c r="I396" s="798" t="s">
        <v>8038</v>
      </c>
      <c r="J396" s="798" t="s">
        <v>4503</v>
      </c>
      <c r="K396" s="799" t="b">
        <v>1</v>
      </c>
      <c r="L396" s="798" t="s">
        <v>4461</v>
      </c>
      <c r="M396" s="799" t="b">
        <v>0</v>
      </c>
      <c r="N396" s="799" t="b">
        <v>0</v>
      </c>
      <c r="O396" s="798"/>
      <c r="P396" s="798"/>
      <c r="Q396" s="798" t="s">
        <v>9201</v>
      </c>
      <c r="R396" s="786"/>
      <c r="S396" s="786"/>
      <c r="T396" s="786"/>
      <c r="U396" s="786"/>
      <c r="V396" s="786"/>
      <c r="W396" s="786"/>
      <c r="X396" s="786"/>
      <c r="Y396" s="786"/>
      <c r="Z396" s="786"/>
    </row>
    <row r="397">
      <c r="A397" s="786" t="s">
        <v>8527</v>
      </c>
      <c r="B397" s="786" t="s">
        <v>8032</v>
      </c>
      <c r="C397" s="786" t="s">
        <v>9175</v>
      </c>
      <c r="D397" s="798" t="s">
        <v>8049</v>
      </c>
      <c r="E397" s="798" t="s">
        <v>8049</v>
      </c>
      <c r="F397" s="798" t="s">
        <v>7782</v>
      </c>
      <c r="G397" s="798" t="s">
        <v>9202</v>
      </c>
      <c r="H397" s="798"/>
      <c r="I397" s="798" t="s">
        <v>8038</v>
      </c>
      <c r="J397" s="798" t="s">
        <v>4521</v>
      </c>
      <c r="K397" s="799" t="b">
        <v>0</v>
      </c>
      <c r="L397" s="798" t="s">
        <v>4521</v>
      </c>
      <c r="M397" s="799" t="b">
        <v>0</v>
      </c>
      <c r="N397" s="799" t="b">
        <v>0</v>
      </c>
      <c r="O397" s="798"/>
      <c r="P397" s="798"/>
      <c r="Q397" s="798" t="s">
        <v>8346</v>
      </c>
      <c r="R397" s="786"/>
      <c r="S397" s="786"/>
      <c r="T397" s="786"/>
      <c r="U397" s="786"/>
      <c r="V397" s="786"/>
      <c r="W397" s="786"/>
      <c r="X397" s="786"/>
      <c r="Y397" s="786"/>
      <c r="Z397" s="786"/>
    </row>
    <row r="398">
      <c r="A398" s="28" t="s">
        <v>8527</v>
      </c>
      <c r="B398" s="28" t="s">
        <v>8032</v>
      </c>
      <c r="C398" s="28" t="s">
        <v>9175</v>
      </c>
      <c r="D398" s="760" t="s">
        <v>9203</v>
      </c>
      <c r="E398" s="760" t="s">
        <v>8268</v>
      </c>
      <c r="F398" s="760" t="s">
        <v>8651</v>
      </c>
      <c r="G398" s="760" t="s">
        <v>9204</v>
      </c>
      <c r="H398" s="760"/>
      <c r="I398" s="760" t="s">
        <v>8038</v>
      </c>
      <c r="J398" s="760" t="s">
        <v>4593</v>
      </c>
      <c r="K398" s="760" t="b">
        <v>0</v>
      </c>
      <c r="L398" s="760" t="s">
        <v>4593</v>
      </c>
      <c r="M398" s="760" t="b">
        <v>0</v>
      </c>
      <c r="N398" s="760" t="b">
        <v>0</v>
      </c>
      <c r="O398" s="760"/>
      <c r="P398" s="760"/>
      <c r="Q398" s="760" t="s">
        <v>9205</v>
      </c>
      <c r="R398" s="27"/>
      <c r="S398" s="27"/>
      <c r="T398" s="27"/>
      <c r="U398" s="27"/>
      <c r="V398" s="27"/>
      <c r="W398" s="27"/>
      <c r="X398" s="27"/>
      <c r="Y398" s="27"/>
      <c r="Z398" s="27"/>
    </row>
    <row r="399">
      <c r="A399" s="28" t="s">
        <v>8527</v>
      </c>
      <c r="B399" s="28" t="s">
        <v>8032</v>
      </c>
      <c r="C399" s="801">
        <v>43892.0</v>
      </c>
      <c r="D399" s="760" t="s">
        <v>9206</v>
      </c>
      <c r="E399" s="760" t="s">
        <v>9207</v>
      </c>
      <c r="F399" s="760" t="s">
        <v>8289</v>
      </c>
      <c r="G399" s="760" t="s">
        <v>9208</v>
      </c>
      <c r="H399" s="760"/>
      <c r="I399" s="760" t="s">
        <v>9209</v>
      </c>
      <c r="J399" s="760" t="s">
        <v>4999</v>
      </c>
      <c r="K399" s="760" t="b">
        <v>0</v>
      </c>
      <c r="L399" s="760" t="s">
        <v>4999</v>
      </c>
      <c r="M399" s="760" t="b">
        <v>0</v>
      </c>
      <c r="N399" s="760" t="b">
        <v>1</v>
      </c>
      <c r="O399" s="760"/>
      <c r="P399" s="760"/>
      <c r="Q399" s="760" t="s">
        <v>8169</v>
      </c>
      <c r="R399" s="27"/>
      <c r="S399" s="27"/>
      <c r="T399" s="27"/>
      <c r="U399" s="27"/>
      <c r="V399" s="27"/>
      <c r="W399" s="27"/>
      <c r="X399" s="27"/>
      <c r="Y399" s="27"/>
      <c r="Z399" s="27"/>
    </row>
    <row r="400">
      <c r="A400" s="28" t="s">
        <v>8527</v>
      </c>
      <c r="B400" s="28" t="s">
        <v>8032</v>
      </c>
      <c r="C400" s="801">
        <v>43892.0</v>
      </c>
      <c r="D400" s="28" t="s">
        <v>9210</v>
      </c>
      <c r="E400" s="28" t="s">
        <v>9211</v>
      </c>
      <c r="F400" s="28" t="s">
        <v>7685</v>
      </c>
      <c r="G400" s="28" t="s">
        <v>9212</v>
      </c>
      <c r="H400" s="28"/>
      <c r="I400" s="28" t="s">
        <v>9213</v>
      </c>
      <c r="J400" s="28" t="s">
        <v>4642</v>
      </c>
      <c r="K400" s="28" t="b">
        <v>1</v>
      </c>
      <c r="L400" s="28" t="s">
        <v>4461</v>
      </c>
      <c r="M400" s="28" t="b">
        <v>0</v>
      </c>
      <c r="N400" s="28" t="b">
        <v>1</v>
      </c>
      <c r="O400" s="28"/>
      <c r="P400" s="28"/>
      <c r="Q400" s="28" t="s">
        <v>9170</v>
      </c>
      <c r="R400" s="27"/>
      <c r="S400" s="27"/>
      <c r="T400" s="27"/>
      <c r="U400" s="27"/>
      <c r="V400" s="27"/>
      <c r="W400" s="27"/>
      <c r="X400" s="27"/>
      <c r="Y400" s="27"/>
      <c r="Z400" s="27"/>
    </row>
    <row r="401">
      <c r="A401" s="28" t="s">
        <v>8527</v>
      </c>
      <c r="B401" s="28" t="s">
        <v>8032</v>
      </c>
      <c r="C401" s="801">
        <v>43892.0</v>
      </c>
      <c r="D401" s="28" t="s">
        <v>9214</v>
      </c>
      <c r="E401" s="28" t="s">
        <v>9124</v>
      </c>
      <c r="F401" s="28" t="s">
        <v>7685</v>
      </c>
      <c r="G401" s="28" t="s">
        <v>9215</v>
      </c>
      <c r="H401" s="28"/>
      <c r="I401" s="28" t="s">
        <v>8038</v>
      </c>
      <c r="J401" s="28" t="s">
        <v>4461</v>
      </c>
      <c r="K401" s="28" t="b">
        <v>1</v>
      </c>
      <c r="L401" s="28" t="s">
        <v>4461</v>
      </c>
      <c r="M401" s="28" t="b">
        <v>0</v>
      </c>
      <c r="N401" s="28" t="b">
        <v>1</v>
      </c>
      <c r="O401" s="28"/>
      <c r="P401" s="28"/>
      <c r="Q401" s="28" t="s">
        <v>8169</v>
      </c>
      <c r="R401" s="27"/>
      <c r="S401" s="27"/>
      <c r="T401" s="27"/>
      <c r="U401" s="27"/>
      <c r="V401" s="27"/>
      <c r="W401" s="27"/>
      <c r="X401" s="27"/>
      <c r="Y401" s="27"/>
      <c r="Z401" s="27"/>
    </row>
    <row r="402">
      <c r="A402" s="28" t="s">
        <v>8527</v>
      </c>
      <c r="B402" s="28" t="s">
        <v>8032</v>
      </c>
      <c r="C402" s="801">
        <v>43894.0</v>
      </c>
      <c r="D402" s="760" t="s">
        <v>2862</v>
      </c>
      <c r="E402" s="760" t="s">
        <v>9216</v>
      </c>
      <c r="F402" s="760" t="s">
        <v>7802</v>
      </c>
      <c r="G402" s="760" t="s">
        <v>9217</v>
      </c>
      <c r="H402" s="760"/>
      <c r="I402" s="760" t="s">
        <v>9218</v>
      </c>
      <c r="J402" s="760" t="s">
        <v>4533</v>
      </c>
      <c r="K402" s="760" t="b">
        <v>0</v>
      </c>
      <c r="L402" s="760" t="s">
        <v>4533</v>
      </c>
      <c r="M402" s="760" t="b">
        <v>0</v>
      </c>
      <c r="N402" s="760" t="b">
        <v>0</v>
      </c>
      <c r="O402" s="760"/>
      <c r="P402" s="760"/>
      <c r="Q402" s="760" t="s">
        <v>8169</v>
      </c>
      <c r="R402" s="28"/>
      <c r="S402" s="28"/>
      <c r="T402" s="28"/>
      <c r="U402" s="28"/>
      <c r="V402" s="28"/>
      <c r="W402" s="28"/>
      <c r="X402" s="28"/>
      <c r="Y402" s="28"/>
      <c r="Z402" s="28"/>
    </row>
    <row r="403">
      <c r="A403" s="28" t="s">
        <v>8527</v>
      </c>
      <c r="B403" s="28" t="s">
        <v>8032</v>
      </c>
      <c r="C403" s="801">
        <v>43894.0</v>
      </c>
      <c r="D403" s="760" t="s">
        <v>9219</v>
      </c>
      <c r="E403" s="760" t="s">
        <v>2858</v>
      </c>
      <c r="F403" s="760" t="s">
        <v>7685</v>
      </c>
      <c r="G403" s="760" t="s">
        <v>9220</v>
      </c>
      <c r="H403" s="760"/>
      <c r="I403" s="760" t="s">
        <v>9221</v>
      </c>
      <c r="J403" s="760" t="s">
        <v>4699</v>
      </c>
      <c r="K403" s="760" t="b">
        <v>0</v>
      </c>
      <c r="L403" s="760" t="s">
        <v>4699</v>
      </c>
      <c r="M403" s="760" t="b">
        <v>1</v>
      </c>
      <c r="N403" s="760" t="b">
        <v>0</v>
      </c>
      <c r="O403" s="760"/>
      <c r="P403" s="760"/>
      <c r="Q403" s="766" t="s">
        <v>9222</v>
      </c>
      <c r="R403" s="28"/>
      <c r="S403" s="28"/>
      <c r="T403" s="28"/>
      <c r="U403" s="28"/>
      <c r="V403" s="28"/>
      <c r="W403" s="28"/>
      <c r="X403" s="28"/>
      <c r="Y403" s="28"/>
      <c r="Z403" s="28"/>
    </row>
    <row r="404">
      <c r="A404" s="28" t="s">
        <v>8527</v>
      </c>
      <c r="B404" s="28" t="s">
        <v>8032</v>
      </c>
      <c r="C404" s="801">
        <v>43894.0</v>
      </c>
      <c r="D404" s="28" t="s">
        <v>9223</v>
      </c>
      <c r="E404" s="28" t="s">
        <v>9224</v>
      </c>
      <c r="F404" s="28" t="s">
        <v>7731</v>
      </c>
      <c r="G404" s="28" t="s">
        <v>9225</v>
      </c>
      <c r="H404" s="28"/>
      <c r="I404" s="28" t="s">
        <v>8038</v>
      </c>
      <c r="J404" s="28" t="s">
        <v>7730</v>
      </c>
      <c r="K404" s="28" t="b">
        <v>0</v>
      </c>
      <c r="L404" s="28" t="s">
        <v>7730</v>
      </c>
      <c r="M404" s="28" t="b">
        <v>0</v>
      </c>
      <c r="N404" s="28" t="b">
        <v>0</v>
      </c>
      <c r="O404" s="28"/>
      <c r="P404" s="28"/>
      <c r="Q404" s="774" t="s">
        <v>8878</v>
      </c>
      <c r="R404" s="28"/>
      <c r="S404" s="28"/>
      <c r="T404" s="28"/>
      <c r="U404" s="28"/>
      <c r="V404" s="28"/>
      <c r="W404" s="28"/>
      <c r="X404" s="28"/>
      <c r="Y404" s="28"/>
      <c r="Z404" s="28"/>
    </row>
    <row r="405">
      <c r="A405" s="28" t="s">
        <v>8527</v>
      </c>
      <c r="B405" s="28" t="s">
        <v>8032</v>
      </c>
      <c r="C405" s="801">
        <v>43894.0</v>
      </c>
      <c r="D405" s="28" t="s">
        <v>9226</v>
      </c>
      <c r="E405" s="28" t="s">
        <v>9226</v>
      </c>
      <c r="F405" s="28" t="s">
        <v>7685</v>
      </c>
      <c r="G405" s="28" t="s">
        <v>9227</v>
      </c>
      <c r="H405" s="28"/>
      <c r="I405" s="28" t="s">
        <v>8038</v>
      </c>
      <c r="J405" s="28" t="s">
        <v>4503</v>
      </c>
      <c r="K405" s="28" t="b">
        <v>1</v>
      </c>
      <c r="L405" s="28" t="s">
        <v>4461</v>
      </c>
      <c r="M405" s="28" t="b">
        <v>0</v>
      </c>
      <c r="N405" s="28" t="b">
        <v>0</v>
      </c>
      <c r="O405" s="28"/>
      <c r="P405" s="28"/>
      <c r="Q405" s="28" t="s">
        <v>8655</v>
      </c>
      <c r="R405" s="28"/>
      <c r="S405" s="28"/>
      <c r="T405" s="28"/>
      <c r="U405" s="28"/>
      <c r="V405" s="28"/>
      <c r="W405" s="28"/>
      <c r="X405" s="28"/>
      <c r="Y405" s="28"/>
      <c r="Z405" s="28"/>
    </row>
    <row r="406">
      <c r="A406" s="786" t="s">
        <v>8527</v>
      </c>
      <c r="B406" s="786" t="s">
        <v>8032</v>
      </c>
      <c r="C406" s="802">
        <v>44046.0</v>
      </c>
      <c r="D406" s="786" t="s">
        <v>9228</v>
      </c>
      <c r="E406" s="786" t="s">
        <v>8264</v>
      </c>
      <c r="F406" s="786" t="s">
        <v>7685</v>
      </c>
      <c r="G406" s="803">
        <v>9.71522686637E11</v>
      </c>
      <c r="H406" s="786"/>
      <c r="I406" s="786" t="s">
        <v>8038</v>
      </c>
      <c r="J406" s="786" t="s">
        <v>4503</v>
      </c>
      <c r="K406" s="787" t="b">
        <v>1</v>
      </c>
      <c r="L406" s="786" t="s">
        <v>4461</v>
      </c>
      <c r="M406" s="787" t="b">
        <v>0</v>
      </c>
      <c r="N406" s="787" t="b">
        <v>0</v>
      </c>
      <c r="O406" s="786"/>
      <c r="P406" s="786"/>
      <c r="Q406" s="786" t="s">
        <v>9229</v>
      </c>
      <c r="R406" s="786"/>
    </row>
    <row r="407">
      <c r="A407" s="786" t="s">
        <v>8527</v>
      </c>
      <c r="B407" s="786" t="s">
        <v>8032</v>
      </c>
      <c r="C407" s="802">
        <v>44046.0</v>
      </c>
      <c r="D407" s="786" t="s">
        <v>9230</v>
      </c>
      <c r="E407" s="786" t="s">
        <v>9231</v>
      </c>
      <c r="F407" s="786" t="s">
        <v>7731</v>
      </c>
      <c r="G407" s="803">
        <v>7.9333371111E10</v>
      </c>
      <c r="H407" s="786"/>
      <c r="I407" s="786" t="s">
        <v>9232</v>
      </c>
      <c r="J407" s="786" t="s">
        <v>7730</v>
      </c>
      <c r="K407" s="787" t="b">
        <v>0</v>
      </c>
      <c r="L407" s="786" t="s">
        <v>7730</v>
      </c>
      <c r="M407" s="787" t="b">
        <v>0</v>
      </c>
      <c r="N407" s="787" t="b">
        <v>0</v>
      </c>
      <c r="O407" s="786"/>
      <c r="P407" s="786"/>
      <c r="Q407" s="800" t="s">
        <v>9233</v>
      </c>
      <c r="R407" s="786"/>
    </row>
    <row r="408">
      <c r="A408" s="786" t="s">
        <v>8527</v>
      </c>
      <c r="B408" s="786" t="s">
        <v>8032</v>
      </c>
      <c r="C408" s="802">
        <v>44046.0</v>
      </c>
      <c r="D408" s="786" t="s">
        <v>9234</v>
      </c>
      <c r="E408" s="786" t="s">
        <v>9234</v>
      </c>
      <c r="F408" s="786" t="s">
        <v>7685</v>
      </c>
      <c r="G408" s="803">
        <v>9.71586521821E11</v>
      </c>
      <c r="H408" s="786"/>
      <c r="I408" s="786" t="s">
        <v>8038</v>
      </c>
      <c r="J408" s="786" t="s">
        <v>7772</v>
      </c>
      <c r="K408" s="787" t="b">
        <v>1</v>
      </c>
      <c r="L408" s="786" t="s">
        <v>4461</v>
      </c>
      <c r="M408" s="787" t="b">
        <v>0</v>
      </c>
      <c r="N408" s="787" t="b">
        <v>0</v>
      </c>
      <c r="O408" s="786"/>
      <c r="P408" s="786"/>
      <c r="Q408" s="786" t="s">
        <v>8169</v>
      </c>
      <c r="R408" s="786"/>
    </row>
    <row r="409">
      <c r="A409" s="786" t="s">
        <v>8527</v>
      </c>
      <c r="B409" s="786" t="s">
        <v>8032</v>
      </c>
      <c r="C409" s="802">
        <v>44046.0</v>
      </c>
      <c r="D409" s="786" t="s">
        <v>8081</v>
      </c>
      <c r="E409" s="786" t="s">
        <v>9235</v>
      </c>
      <c r="F409" s="786" t="s">
        <v>7749</v>
      </c>
      <c r="G409" s="803">
        <v>9.98903337E11</v>
      </c>
      <c r="H409" s="786"/>
      <c r="I409" s="786" t="s">
        <v>8038</v>
      </c>
      <c r="J409" s="786" t="s">
        <v>7748</v>
      </c>
      <c r="K409" s="787" t="b">
        <v>0</v>
      </c>
      <c r="L409" s="786" t="s">
        <v>7748</v>
      </c>
      <c r="M409" s="787" t="b">
        <v>0</v>
      </c>
      <c r="N409" s="787" t="b">
        <v>0</v>
      </c>
      <c r="O409" s="786"/>
      <c r="P409" s="786"/>
      <c r="Q409" s="788" t="s">
        <v>9236</v>
      </c>
      <c r="R409" s="786"/>
    </row>
    <row r="410">
      <c r="A410" s="786" t="s">
        <v>8527</v>
      </c>
      <c r="B410" s="786" t="s">
        <v>8032</v>
      </c>
      <c r="C410" s="802">
        <v>44046.0</v>
      </c>
      <c r="D410" s="786" t="s">
        <v>9237</v>
      </c>
      <c r="E410" s="786" t="s">
        <v>9238</v>
      </c>
      <c r="F410" s="786" t="s">
        <v>9239</v>
      </c>
      <c r="G410" s="803">
        <v>3.7498375707E10</v>
      </c>
      <c r="H410" s="786"/>
      <c r="I410" s="786" t="s">
        <v>9240</v>
      </c>
      <c r="J410" s="786" t="s">
        <v>8634</v>
      </c>
      <c r="K410" s="787" t="b">
        <v>0</v>
      </c>
      <c r="L410" s="786" t="s">
        <v>8634</v>
      </c>
      <c r="M410" s="787" t="b">
        <v>0</v>
      </c>
      <c r="N410" s="787" t="b">
        <v>0</v>
      </c>
      <c r="O410" s="786"/>
      <c r="P410" s="786"/>
      <c r="Q410" s="788" t="s">
        <v>8878</v>
      </c>
      <c r="R410" s="786"/>
    </row>
    <row r="411">
      <c r="A411" s="786" t="s">
        <v>8527</v>
      </c>
      <c r="B411" s="786" t="s">
        <v>8032</v>
      </c>
      <c r="C411" s="802">
        <v>44046.0</v>
      </c>
      <c r="D411" s="786" t="s">
        <v>9241</v>
      </c>
      <c r="E411" s="786" t="s">
        <v>9242</v>
      </c>
      <c r="F411" s="786" t="s">
        <v>7685</v>
      </c>
      <c r="G411" s="803">
        <v>9.71561363291E11</v>
      </c>
      <c r="H411" s="786"/>
      <c r="I411" s="786" t="s">
        <v>9243</v>
      </c>
      <c r="J411" s="786" t="s">
        <v>8088</v>
      </c>
      <c r="K411" s="787" t="b">
        <v>1</v>
      </c>
      <c r="L411" s="786" t="s">
        <v>4461</v>
      </c>
      <c r="M411" s="787" t="b">
        <v>0</v>
      </c>
      <c r="N411" s="787" t="b">
        <v>0</v>
      </c>
      <c r="O411" s="786"/>
      <c r="P411" s="786"/>
      <c r="Q411" s="788" t="s">
        <v>8878</v>
      </c>
      <c r="R411" s="786"/>
    </row>
    <row r="412">
      <c r="A412" s="786" t="s">
        <v>8527</v>
      </c>
      <c r="B412" s="786" t="s">
        <v>8032</v>
      </c>
      <c r="C412" s="804">
        <v>44107.0</v>
      </c>
      <c r="D412" s="786" t="s">
        <v>8293</v>
      </c>
      <c r="E412" s="786" t="s">
        <v>8293</v>
      </c>
      <c r="F412" s="786" t="s">
        <v>7685</v>
      </c>
      <c r="G412" s="803">
        <v>9.71525452176E11</v>
      </c>
      <c r="H412" s="786"/>
      <c r="I412" s="786" t="s">
        <v>8038</v>
      </c>
      <c r="J412" s="786" t="s">
        <v>7772</v>
      </c>
      <c r="K412" s="787" t="b">
        <v>1</v>
      </c>
      <c r="L412" s="786" t="s">
        <v>4461</v>
      </c>
      <c r="M412" s="787" t="b">
        <v>0</v>
      </c>
      <c r="N412" s="787" t="b">
        <v>0</v>
      </c>
      <c r="O412" s="786"/>
      <c r="P412" s="786"/>
      <c r="Q412" s="786" t="s">
        <v>8169</v>
      </c>
      <c r="R412" s="786"/>
      <c r="S412" s="786"/>
      <c r="T412" s="786"/>
      <c r="U412" s="786"/>
      <c r="V412" s="786"/>
      <c r="W412" s="786"/>
      <c r="X412" s="786"/>
      <c r="Y412" s="786"/>
      <c r="Z412" s="786"/>
    </row>
    <row r="413">
      <c r="A413" s="786" t="s">
        <v>8527</v>
      </c>
      <c r="B413" s="786" t="s">
        <v>8032</v>
      </c>
      <c r="C413" s="804">
        <v>44107.0</v>
      </c>
      <c r="D413" s="786" t="s">
        <v>9244</v>
      </c>
      <c r="E413" s="786" t="s">
        <v>9245</v>
      </c>
      <c r="F413" s="786" t="s">
        <v>7674</v>
      </c>
      <c r="G413" s="803">
        <v>9.1101010101E11</v>
      </c>
      <c r="H413" s="786"/>
      <c r="I413" s="786" t="s">
        <v>9246</v>
      </c>
      <c r="J413" s="786" t="s">
        <v>4503</v>
      </c>
      <c r="K413" s="787" t="b">
        <v>1</v>
      </c>
      <c r="L413" s="786" t="s">
        <v>4461</v>
      </c>
      <c r="M413" s="787" t="b">
        <v>0</v>
      </c>
      <c r="N413" s="787" t="b">
        <v>0</v>
      </c>
      <c r="O413" s="786"/>
      <c r="P413" s="786"/>
      <c r="Q413" s="786" t="s">
        <v>8169</v>
      </c>
      <c r="R413" s="786"/>
      <c r="S413" s="786"/>
      <c r="T413" s="786"/>
      <c r="U413" s="786"/>
      <c r="V413" s="786"/>
      <c r="W413" s="786"/>
      <c r="X413" s="786"/>
      <c r="Y413" s="786"/>
      <c r="Z413" s="786"/>
    </row>
    <row r="414">
      <c r="A414" s="786" t="s">
        <v>8527</v>
      </c>
      <c r="B414" s="786" t="s">
        <v>8032</v>
      </c>
      <c r="C414" s="804">
        <v>44107.0</v>
      </c>
      <c r="D414" s="786" t="s">
        <v>9247</v>
      </c>
      <c r="E414" s="786" t="s">
        <v>8068</v>
      </c>
      <c r="F414" s="786" t="s">
        <v>7685</v>
      </c>
      <c r="G414" s="803">
        <v>9.71502185059E11</v>
      </c>
      <c r="H414" s="786"/>
      <c r="I414" s="786" t="s">
        <v>8038</v>
      </c>
      <c r="J414" s="786" t="s">
        <v>7700</v>
      </c>
      <c r="K414" s="787" t="b">
        <v>1</v>
      </c>
      <c r="L414" s="786" t="s">
        <v>4461</v>
      </c>
      <c r="M414" s="787" t="b">
        <v>0</v>
      </c>
      <c r="N414" s="787" t="b">
        <v>0</v>
      </c>
      <c r="O414" s="786"/>
      <c r="P414" s="786"/>
      <c r="Q414" s="786" t="s">
        <v>8169</v>
      </c>
      <c r="R414" s="786"/>
      <c r="S414" s="786"/>
      <c r="T414" s="786"/>
      <c r="U414" s="786"/>
      <c r="V414" s="786"/>
      <c r="W414" s="786"/>
      <c r="X414" s="786"/>
      <c r="Y414" s="786"/>
      <c r="Z414" s="786"/>
    </row>
    <row r="415">
      <c r="A415" s="786" t="s">
        <v>8527</v>
      </c>
      <c r="B415" s="786" t="s">
        <v>8032</v>
      </c>
      <c r="C415" s="804">
        <v>44107.0</v>
      </c>
      <c r="D415" s="786" t="s">
        <v>9248</v>
      </c>
      <c r="E415" s="786" t="s">
        <v>9249</v>
      </c>
      <c r="F415" s="786" t="s">
        <v>8074</v>
      </c>
      <c r="G415" s="803">
        <v>6.596446207E9</v>
      </c>
      <c r="H415" s="805">
        <v>6.57E9</v>
      </c>
      <c r="I415" s="786" t="s">
        <v>9250</v>
      </c>
      <c r="J415" s="786" t="s">
        <v>9251</v>
      </c>
      <c r="K415" s="787" t="b">
        <v>0</v>
      </c>
      <c r="L415" s="786" t="s">
        <v>6099</v>
      </c>
      <c r="M415" s="787" t="b">
        <v>0</v>
      </c>
      <c r="N415" s="787" t="b">
        <v>0</v>
      </c>
      <c r="O415" s="786"/>
      <c r="P415" s="786"/>
      <c r="Q415" s="786" t="s">
        <v>8169</v>
      </c>
      <c r="R415" s="786"/>
      <c r="S415" s="786"/>
      <c r="T415" s="786"/>
      <c r="U415" s="786"/>
      <c r="V415" s="786"/>
      <c r="W415" s="786"/>
      <c r="X415" s="786"/>
      <c r="Y415" s="786"/>
      <c r="Z415" s="786"/>
    </row>
    <row r="416">
      <c r="A416" s="786" t="s">
        <v>8527</v>
      </c>
      <c r="B416" s="786" t="s">
        <v>8032</v>
      </c>
      <c r="C416" s="804">
        <v>44107.0</v>
      </c>
      <c r="D416" s="786" t="s">
        <v>9252</v>
      </c>
      <c r="E416" s="786" t="s">
        <v>9252</v>
      </c>
      <c r="F416" s="786" t="s">
        <v>7685</v>
      </c>
      <c r="G416" s="803">
        <v>9.7150323023E11</v>
      </c>
      <c r="H416" s="786"/>
      <c r="I416" s="786" t="s">
        <v>8038</v>
      </c>
      <c r="J416" s="786" t="s">
        <v>4461</v>
      </c>
      <c r="K416" s="787" t="b">
        <v>1</v>
      </c>
      <c r="L416" s="786" t="s">
        <v>4461</v>
      </c>
      <c r="M416" s="787" t="b">
        <v>0</v>
      </c>
      <c r="N416" s="787" t="b">
        <v>0</v>
      </c>
      <c r="O416" s="786"/>
      <c r="P416" s="786"/>
      <c r="Q416" s="786" t="s">
        <v>8169</v>
      </c>
      <c r="R416" s="786"/>
      <c r="S416" s="786"/>
      <c r="T416" s="786"/>
      <c r="U416" s="786"/>
      <c r="V416" s="786"/>
      <c r="W416" s="786"/>
      <c r="X416" s="786"/>
      <c r="Y416" s="786"/>
      <c r="Z416" s="786"/>
    </row>
    <row r="417">
      <c r="A417" s="786" t="s">
        <v>8527</v>
      </c>
      <c r="B417" s="786" t="s">
        <v>8032</v>
      </c>
      <c r="C417" s="804">
        <v>44107.0</v>
      </c>
      <c r="D417" s="786" t="s">
        <v>2840</v>
      </c>
      <c r="E417" s="786" t="s">
        <v>2840</v>
      </c>
      <c r="F417" s="786" t="s">
        <v>7674</v>
      </c>
      <c r="G417" s="803">
        <v>9.1995302976E11</v>
      </c>
      <c r="H417" s="786"/>
      <c r="I417" s="786" t="s">
        <v>8038</v>
      </c>
      <c r="J417" s="786" t="s">
        <v>4503</v>
      </c>
      <c r="K417" s="787" t="b">
        <v>0</v>
      </c>
      <c r="L417" s="786" t="s">
        <v>4503</v>
      </c>
      <c r="M417" s="787" t="b">
        <v>0</v>
      </c>
      <c r="N417" s="787" t="b">
        <v>0</v>
      </c>
      <c r="O417" s="786"/>
      <c r="P417" s="786"/>
      <c r="Q417" s="786" t="s">
        <v>8169</v>
      </c>
      <c r="R417" s="786"/>
      <c r="S417" s="786"/>
      <c r="T417" s="786"/>
      <c r="U417" s="786"/>
      <c r="V417" s="786"/>
      <c r="W417" s="786"/>
      <c r="X417" s="786"/>
      <c r="Y417" s="786"/>
      <c r="Z417" s="786"/>
    </row>
    <row r="418">
      <c r="A418" s="786" t="s">
        <v>8527</v>
      </c>
      <c r="B418" s="786" t="s">
        <v>8032</v>
      </c>
      <c r="C418" s="804">
        <v>44107.0</v>
      </c>
      <c r="D418" s="786" t="s">
        <v>8139</v>
      </c>
      <c r="E418" s="786" t="s">
        <v>9253</v>
      </c>
      <c r="F418" s="786" t="s">
        <v>7685</v>
      </c>
      <c r="G418" s="803">
        <v>9.71505117797E11</v>
      </c>
      <c r="H418" s="786"/>
      <c r="I418" s="786" t="s">
        <v>9254</v>
      </c>
      <c r="J418" s="786" t="s">
        <v>4461</v>
      </c>
      <c r="K418" s="787" t="b">
        <v>1</v>
      </c>
      <c r="L418" s="786" t="s">
        <v>4461</v>
      </c>
      <c r="M418" s="787" t="b">
        <v>0</v>
      </c>
      <c r="N418" s="787" t="b">
        <v>0</v>
      </c>
      <c r="O418" s="786"/>
      <c r="P418" s="786"/>
      <c r="Q418" s="786" t="s">
        <v>8169</v>
      </c>
      <c r="R418" s="786"/>
      <c r="S418" s="786"/>
      <c r="T418" s="786"/>
      <c r="U418" s="786"/>
      <c r="V418" s="786"/>
      <c r="W418" s="786"/>
      <c r="X418" s="786"/>
      <c r="Y418" s="786"/>
      <c r="Z418" s="786"/>
    </row>
    <row r="419">
      <c r="A419" s="786" t="s">
        <v>8527</v>
      </c>
      <c r="B419" s="786" t="s">
        <v>8032</v>
      </c>
      <c r="C419" s="804">
        <v>44107.0</v>
      </c>
      <c r="D419" s="786" t="s">
        <v>9255</v>
      </c>
      <c r="E419" s="786" t="s">
        <v>9256</v>
      </c>
      <c r="F419" s="786" t="s">
        <v>7685</v>
      </c>
      <c r="G419" s="803">
        <v>9.7150441143E11</v>
      </c>
      <c r="H419" s="786"/>
      <c r="I419" s="786" t="s">
        <v>8038</v>
      </c>
      <c r="J419" s="786" t="s">
        <v>4461</v>
      </c>
      <c r="K419" s="787" t="b">
        <v>1</v>
      </c>
      <c r="L419" s="786" t="s">
        <v>4461</v>
      </c>
      <c r="M419" s="787" t="b">
        <v>0</v>
      </c>
      <c r="N419" s="787" t="b">
        <v>0</v>
      </c>
      <c r="O419" s="786"/>
      <c r="P419" s="786"/>
      <c r="Q419" s="786" t="s">
        <v>8169</v>
      </c>
      <c r="R419" s="786"/>
      <c r="S419" s="786"/>
      <c r="T419" s="786"/>
      <c r="U419" s="786"/>
      <c r="V419" s="786"/>
      <c r="W419" s="786"/>
      <c r="X419" s="786"/>
      <c r="Y419" s="786"/>
      <c r="Z419" s="786"/>
    </row>
    <row r="420">
      <c r="A420" s="786" t="s">
        <v>8527</v>
      </c>
      <c r="B420" s="786" t="s">
        <v>8032</v>
      </c>
      <c r="C420" s="804">
        <v>44107.0</v>
      </c>
      <c r="D420" s="786" t="s">
        <v>9257</v>
      </c>
      <c r="E420" s="786" t="s">
        <v>9258</v>
      </c>
      <c r="F420" s="786" t="s">
        <v>7685</v>
      </c>
      <c r="G420" s="803">
        <v>9.715660553E11</v>
      </c>
      <c r="H420" s="786"/>
      <c r="I420" s="786" t="s">
        <v>8038</v>
      </c>
      <c r="J420" s="786" t="s">
        <v>4461</v>
      </c>
      <c r="K420" s="787" t="b">
        <v>1</v>
      </c>
      <c r="L420" s="786" t="s">
        <v>4461</v>
      </c>
      <c r="M420" s="787" t="b">
        <v>0</v>
      </c>
      <c r="N420" s="787" t="b">
        <v>1</v>
      </c>
      <c r="O420" s="786"/>
      <c r="P420" s="786"/>
      <c r="Q420" s="786" t="s">
        <v>8169</v>
      </c>
      <c r="R420" s="786"/>
      <c r="S420" s="786"/>
      <c r="T420" s="786"/>
      <c r="U420" s="786"/>
      <c r="V420" s="786"/>
      <c r="W420" s="786"/>
      <c r="X420" s="786"/>
      <c r="Y420" s="786"/>
      <c r="Z420" s="786"/>
    </row>
    <row r="421">
      <c r="A421" s="786" t="s">
        <v>8527</v>
      </c>
      <c r="B421" s="786" t="s">
        <v>8032</v>
      </c>
      <c r="C421" s="804">
        <v>44107.0</v>
      </c>
      <c r="D421" s="786" t="s">
        <v>9259</v>
      </c>
      <c r="E421" s="786" t="s">
        <v>9260</v>
      </c>
      <c r="F421" s="786" t="s">
        <v>7710</v>
      </c>
      <c r="G421" s="803">
        <v>4.00786890839E11</v>
      </c>
      <c r="H421" s="786"/>
      <c r="I421" s="786" t="s">
        <v>9261</v>
      </c>
      <c r="J421" s="786" t="s">
        <v>7709</v>
      </c>
      <c r="K421" s="787" t="b">
        <v>0</v>
      </c>
      <c r="L421" s="786" t="s">
        <v>7709</v>
      </c>
      <c r="M421" s="787" t="b">
        <v>0</v>
      </c>
      <c r="N421" s="787" t="b">
        <v>0</v>
      </c>
      <c r="O421" s="786"/>
      <c r="P421" s="786"/>
      <c r="Q421" s="788" t="s">
        <v>9262</v>
      </c>
      <c r="R421" s="786"/>
      <c r="S421" s="786"/>
      <c r="T421" s="786"/>
      <c r="U421" s="786"/>
      <c r="V421" s="786"/>
      <c r="W421" s="786"/>
      <c r="X421" s="786"/>
      <c r="Y421" s="786"/>
      <c r="Z421" s="786"/>
    </row>
    <row r="422">
      <c r="A422" s="786" t="s">
        <v>8527</v>
      </c>
      <c r="B422" s="786" t="s">
        <v>8032</v>
      </c>
      <c r="C422" s="804">
        <v>44107.0</v>
      </c>
      <c r="D422" s="786" t="s">
        <v>9263</v>
      </c>
      <c r="E422" s="786" t="s">
        <v>9264</v>
      </c>
      <c r="F422" s="786" t="s">
        <v>7782</v>
      </c>
      <c r="G422" s="803">
        <v>7.7012447035E10</v>
      </c>
      <c r="H422" s="786"/>
      <c r="I422" s="786" t="s">
        <v>9265</v>
      </c>
      <c r="J422" s="786" t="s">
        <v>4521</v>
      </c>
      <c r="K422" s="787" t="b">
        <v>0</v>
      </c>
      <c r="L422" s="786" t="s">
        <v>4521</v>
      </c>
      <c r="M422" s="787" t="b">
        <v>0</v>
      </c>
      <c r="N422" s="787" t="b">
        <v>0</v>
      </c>
      <c r="O422" s="786"/>
      <c r="P422" s="786"/>
      <c r="Q422" s="788" t="s">
        <v>9266</v>
      </c>
      <c r="R422" s="786"/>
      <c r="S422" s="786"/>
      <c r="T422" s="786"/>
      <c r="U422" s="786"/>
      <c r="V422" s="786"/>
      <c r="W422" s="786"/>
      <c r="X422" s="786"/>
      <c r="Y422" s="786"/>
      <c r="Z422" s="786"/>
    </row>
    <row r="423">
      <c r="A423" s="786" t="s">
        <v>8527</v>
      </c>
      <c r="B423" s="786" t="s">
        <v>8032</v>
      </c>
      <c r="C423" s="804">
        <v>44107.0</v>
      </c>
      <c r="D423" s="786" t="s">
        <v>9267</v>
      </c>
      <c r="E423" s="786" t="s">
        <v>9268</v>
      </c>
      <c r="F423" s="786" t="s">
        <v>7731</v>
      </c>
      <c r="G423" s="803">
        <v>7.9107020737E10</v>
      </c>
      <c r="H423" s="786"/>
      <c r="I423" s="786" t="s">
        <v>8038</v>
      </c>
      <c r="J423" s="786" t="s">
        <v>7730</v>
      </c>
      <c r="K423" s="787" t="b">
        <v>0</v>
      </c>
      <c r="L423" s="786" t="s">
        <v>7730</v>
      </c>
      <c r="M423" s="787" t="b">
        <v>0</v>
      </c>
      <c r="N423" s="787" t="b">
        <v>0</v>
      </c>
      <c r="O423" s="786"/>
      <c r="P423" s="786"/>
      <c r="Q423" s="788" t="s">
        <v>9269</v>
      </c>
      <c r="R423" s="786"/>
      <c r="S423" s="786"/>
      <c r="T423" s="786"/>
      <c r="U423" s="786"/>
      <c r="V423" s="786"/>
      <c r="W423" s="786"/>
      <c r="X423" s="786"/>
      <c r="Y423" s="786"/>
      <c r="Z423" s="786"/>
    </row>
    <row r="424">
      <c r="A424" s="786" t="s">
        <v>8527</v>
      </c>
      <c r="B424" s="786" t="s">
        <v>8032</v>
      </c>
      <c r="C424" s="804">
        <v>44107.0</v>
      </c>
      <c r="D424" s="786" t="s">
        <v>9270</v>
      </c>
      <c r="E424" s="786" t="s">
        <v>9270</v>
      </c>
      <c r="F424" s="786" t="s">
        <v>7731</v>
      </c>
      <c r="G424" s="803">
        <v>7.921935002E10</v>
      </c>
      <c r="H424" s="786"/>
      <c r="I424" s="786" t="s">
        <v>8038</v>
      </c>
      <c r="J424" s="786" t="s">
        <v>7730</v>
      </c>
      <c r="K424" s="787" t="b">
        <v>0</v>
      </c>
      <c r="L424" s="786" t="s">
        <v>7730</v>
      </c>
      <c r="M424" s="787" t="b">
        <v>0</v>
      </c>
      <c r="N424" s="787" t="b">
        <v>0</v>
      </c>
      <c r="O424" s="786"/>
      <c r="P424" s="786"/>
      <c r="Q424" s="786" t="s">
        <v>8346</v>
      </c>
      <c r="R424" s="786"/>
      <c r="S424" s="786"/>
      <c r="T424" s="786"/>
      <c r="U424" s="786"/>
      <c r="V424" s="786"/>
      <c r="W424" s="786"/>
      <c r="X424" s="786"/>
      <c r="Y424" s="786"/>
      <c r="Z424" s="786"/>
    </row>
    <row r="425">
      <c r="A425" s="786" t="s">
        <v>8527</v>
      </c>
      <c r="B425" s="786" t="s">
        <v>8032</v>
      </c>
      <c r="C425" s="804">
        <v>44107.0</v>
      </c>
      <c r="D425" s="786" t="s">
        <v>8285</v>
      </c>
      <c r="E425" s="786" t="s">
        <v>8285</v>
      </c>
      <c r="F425" s="786" t="s">
        <v>7696</v>
      </c>
      <c r="G425" s="803">
        <v>9.23008222945E11</v>
      </c>
      <c r="H425" s="786"/>
      <c r="I425" s="786" t="s">
        <v>8038</v>
      </c>
      <c r="J425" s="786" t="s">
        <v>4517</v>
      </c>
      <c r="K425" s="787" t="b">
        <v>0</v>
      </c>
      <c r="L425" s="786" t="s">
        <v>4517</v>
      </c>
      <c r="M425" s="787" t="b">
        <v>0</v>
      </c>
      <c r="N425" s="787" t="b">
        <v>0</v>
      </c>
      <c r="O425" s="786"/>
      <c r="P425" s="786"/>
      <c r="Q425" s="786" t="s">
        <v>8346</v>
      </c>
      <c r="R425" s="786"/>
      <c r="S425" s="786"/>
      <c r="T425" s="786"/>
      <c r="U425" s="786"/>
      <c r="V425" s="786"/>
      <c r="W425" s="786"/>
      <c r="X425" s="786"/>
      <c r="Y425" s="786"/>
      <c r="Z425" s="786"/>
    </row>
    <row r="426">
      <c r="A426" s="786" t="s">
        <v>8527</v>
      </c>
      <c r="B426" s="786" t="s">
        <v>8032</v>
      </c>
      <c r="C426" s="804">
        <v>44107.0</v>
      </c>
      <c r="D426" s="786" t="s">
        <v>8071</v>
      </c>
      <c r="E426" s="786" t="s">
        <v>8071</v>
      </c>
      <c r="F426" s="786" t="s">
        <v>7701</v>
      </c>
      <c r="G426" s="803">
        <v>9.66503041099E11</v>
      </c>
      <c r="H426" s="786"/>
      <c r="I426" s="786" t="s">
        <v>8038</v>
      </c>
      <c r="J426" s="786" t="s">
        <v>7700</v>
      </c>
      <c r="K426" s="787" t="b">
        <v>0</v>
      </c>
      <c r="L426" s="786" t="s">
        <v>7700</v>
      </c>
      <c r="M426" s="787" t="b">
        <v>0</v>
      </c>
      <c r="N426" s="787" t="b">
        <v>0</v>
      </c>
      <c r="O426" s="786"/>
      <c r="P426" s="786"/>
      <c r="Q426" s="786" t="s">
        <v>8346</v>
      </c>
      <c r="R426" s="786"/>
      <c r="S426" s="786"/>
      <c r="T426" s="786"/>
      <c r="U426" s="786"/>
      <c r="V426" s="786"/>
      <c r="W426" s="786"/>
      <c r="X426" s="786"/>
      <c r="Y426" s="786"/>
      <c r="Z426" s="786"/>
    </row>
    <row r="427">
      <c r="A427" s="786" t="s">
        <v>8527</v>
      </c>
      <c r="B427" s="786" t="s">
        <v>8032</v>
      </c>
      <c r="C427" s="804">
        <v>44107.0</v>
      </c>
      <c r="D427" s="786" t="s">
        <v>9271</v>
      </c>
      <c r="E427" s="786" t="s">
        <v>9272</v>
      </c>
      <c r="F427" s="786" t="s">
        <v>9035</v>
      </c>
      <c r="G427" s="803">
        <v>2.2507971911E10</v>
      </c>
      <c r="H427" s="786"/>
      <c r="I427" s="786" t="s">
        <v>9273</v>
      </c>
      <c r="J427" s="786" t="s">
        <v>8678</v>
      </c>
      <c r="K427" s="787" t="b">
        <v>0</v>
      </c>
      <c r="L427" s="786" t="s">
        <v>8678</v>
      </c>
      <c r="M427" s="787" t="b">
        <v>0</v>
      </c>
      <c r="N427" s="787" t="b">
        <v>0</v>
      </c>
      <c r="O427" s="786"/>
      <c r="P427" s="786"/>
      <c r="Q427" s="786" t="s">
        <v>8346</v>
      </c>
      <c r="R427" s="786"/>
      <c r="S427" s="786"/>
      <c r="T427" s="786"/>
      <c r="U427" s="786"/>
      <c r="V427" s="786"/>
      <c r="W427" s="786"/>
      <c r="X427" s="786"/>
      <c r="Y427" s="786"/>
      <c r="Z427" s="786"/>
    </row>
    <row r="428">
      <c r="A428" s="786" t="s">
        <v>8527</v>
      </c>
      <c r="B428" s="786" t="s">
        <v>8032</v>
      </c>
      <c r="C428" s="804">
        <v>44107.0</v>
      </c>
      <c r="D428" s="786" t="s">
        <v>9274</v>
      </c>
      <c r="E428" s="786" t="s">
        <v>9275</v>
      </c>
      <c r="F428" s="786" t="s">
        <v>7713</v>
      </c>
      <c r="G428" s="803">
        <v>1.4079286497E10</v>
      </c>
      <c r="H428" s="786"/>
      <c r="I428" s="786" t="s">
        <v>9276</v>
      </c>
      <c r="J428" s="786" t="s">
        <v>7712</v>
      </c>
      <c r="K428" s="787" t="b">
        <v>0</v>
      </c>
      <c r="L428" s="786" t="s">
        <v>7712</v>
      </c>
      <c r="M428" s="787" t="b">
        <v>0</v>
      </c>
      <c r="N428" s="787" t="b">
        <v>0</v>
      </c>
      <c r="O428" s="786"/>
      <c r="P428" s="786"/>
      <c r="Q428" s="786" t="s">
        <v>8346</v>
      </c>
      <c r="R428" s="786"/>
      <c r="S428" s="786"/>
      <c r="T428" s="786"/>
      <c r="U428" s="786"/>
      <c r="V428" s="786"/>
      <c r="W428" s="786"/>
      <c r="X428" s="786"/>
      <c r="Y428" s="786"/>
      <c r="Z428" s="786"/>
    </row>
    <row r="429">
      <c r="A429" s="786" t="s">
        <v>8527</v>
      </c>
      <c r="B429" s="786" t="s">
        <v>8032</v>
      </c>
      <c r="C429" s="804">
        <v>44107.0</v>
      </c>
      <c r="D429" s="786" t="s">
        <v>9277</v>
      </c>
      <c r="E429" s="786" t="s">
        <v>9278</v>
      </c>
      <c r="F429" s="786" t="s">
        <v>8137</v>
      </c>
      <c r="G429" s="803">
        <v>4.1764330042E10</v>
      </c>
      <c r="H429" s="786"/>
      <c r="I429" s="786" t="s">
        <v>9279</v>
      </c>
      <c r="J429" s="786" t="s">
        <v>8138</v>
      </c>
      <c r="K429" s="787" t="b">
        <v>0</v>
      </c>
      <c r="L429" s="786" t="s">
        <v>8138</v>
      </c>
      <c r="M429" s="787" t="b">
        <v>0</v>
      </c>
      <c r="N429" s="787" t="b">
        <v>0</v>
      </c>
      <c r="O429" s="786"/>
      <c r="P429" s="786"/>
      <c r="Q429" s="786" t="s">
        <v>8346</v>
      </c>
      <c r="R429" s="786"/>
      <c r="S429" s="786"/>
      <c r="T429" s="786"/>
      <c r="U429" s="786"/>
      <c r="V429" s="786"/>
      <c r="W429" s="786"/>
      <c r="X429" s="786"/>
      <c r="Y429" s="786"/>
      <c r="Z429" s="786"/>
    </row>
    <row r="430">
      <c r="A430" s="786" t="s">
        <v>8527</v>
      </c>
      <c r="B430" s="786" t="s">
        <v>8032</v>
      </c>
      <c r="C430" s="804">
        <v>44107.0</v>
      </c>
      <c r="D430" s="786" t="s">
        <v>9280</v>
      </c>
      <c r="E430" s="786" t="s">
        <v>9281</v>
      </c>
      <c r="F430" s="786" t="s">
        <v>7713</v>
      </c>
      <c r="G430" s="803">
        <v>1.8173083781E10</v>
      </c>
      <c r="H430" s="786"/>
      <c r="I430" s="786" t="s">
        <v>9282</v>
      </c>
      <c r="J430" s="786" t="s">
        <v>7712</v>
      </c>
      <c r="K430" s="787" t="b">
        <v>0</v>
      </c>
      <c r="L430" s="786" t="s">
        <v>7712</v>
      </c>
      <c r="M430" s="787" t="b">
        <v>0</v>
      </c>
      <c r="N430" s="787" t="b">
        <v>0</v>
      </c>
      <c r="O430" s="786"/>
      <c r="P430" s="786"/>
      <c r="Q430" s="786" t="s">
        <v>8346</v>
      </c>
      <c r="R430" s="786"/>
      <c r="S430" s="786"/>
      <c r="T430" s="786"/>
      <c r="U430" s="786"/>
      <c r="V430" s="786"/>
      <c r="W430" s="786"/>
      <c r="X430" s="786"/>
      <c r="Y430" s="786"/>
      <c r="Z430" s="786"/>
    </row>
    <row r="431">
      <c r="A431" s="786" t="s">
        <v>8527</v>
      </c>
      <c r="B431" s="786" t="s">
        <v>8032</v>
      </c>
      <c r="C431" s="804">
        <v>44107.0</v>
      </c>
      <c r="D431" s="786" t="s">
        <v>9277</v>
      </c>
      <c r="E431" s="786" t="s">
        <v>9277</v>
      </c>
      <c r="F431" s="786" t="s">
        <v>8651</v>
      </c>
      <c r="G431" s="803">
        <v>3.1655528715E10</v>
      </c>
      <c r="H431" s="786"/>
      <c r="I431" s="786" t="s">
        <v>8038</v>
      </c>
      <c r="J431" s="786" t="s">
        <v>4593</v>
      </c>
      <c r="K431" s="787" t="b">
        <v>0</v>
      </c>
      <c r="L431" s="786" t="s">
        <v>4593</v>
      </c>
      <c r="M431" s="787" t="b">
        <v>0</v>
      </c>
      <c r="N431" s="787" t="b">
        <v>0</v>
      </c>
      <c r="O431" s="788" t="s">
        <v>8784</v>
      </c>
      <c r="P431" s="786"/>
      <c r="Q431" s="786" t="s">
        <v>8346</v>
      </c>
      <c r="R431" s="786"/>
      <c r="S431" s="786"/>
      <c r="T431" s="786"/>
      <c r="U431" s="786"/>
      <c r="V431" s="786"/>
      <c r="W431" s="786"/>
      <c r="X431" s="786"/>
      <c r="Y431" s="786"/>
      <c r="Z431" s="786"/>
    </row>
    <row r="432">
      <c r="A432" s="806" t="s">
        <v>8527</v>
      </c>
      <c r="B432" s="806" t="s">
        <v>8032</v>
      </c>
      <c r="C432" s="807">
        <v>43902.0</v>
      </c>
      <c r="D432" s="806" t="s">
        <v>9283</v>
      </c>
      <c r="E432" s="806" t="s">
        <v>9283</v>
      </c>
      <c r="F432" s="806" t="s">
        <v>7749</v>
      </c>
      <c r="G432" s="808" t="s">
        <v>9284</v>
      </c>
      <c r="H432" s="809"/>
      <c r="I432" s="806" t="s">
        <v>8038</v>
      </c>
      <c r="J432" s="806" t="s">
        <v>7748</v>
      </c>
      <c r="K432" s="714" t="b">
        <v>0</v>
      </c>
      <c r="L432" s="806" t="s">
        <v>7748</v>
      </c>
      <c r="M432" s="714" t="b">
        <v>0</v>
      </c>
      <c r="N432" s="714" t="b">
        <v>0</v>
      </c>
      <c r="O432" s="809"/>
      <c r="P432" s="809"/>
      <c r="Q432" s="810" t="s">
        <v>8346</v>
      </c>
    </row>
    <row r="433">
      <c r="A433" s="806" t="s">
        <v>8527</v>
      </c>
      <c r="B433" s="806" t="s">
        <v>8032</v>
      </c>
      <c r="C433" s="807">
        <v>43902.0</v>
      </c>
      <c r="D433" s="806" t="s">
        <v>8037</v>
      </c>
      <c r="E433" s="806" t="s">
        <v>8037</v>
      </c>
      <c r="F433" s="806" t="s">
        <v>8163</v>
      </c>
      <c r="G433" s="808" t="s">
        <v>9285</v>
      </c>
      <c r="H433" s="809"/>
      <c r="I433" s="806" t="s">
        <v>8038</v>
      </c>
      <c r="J433" s="806" t="s">
        <v>4514</v>
      </c>
      <c r="K433" s="714" t="b">
        <v>0</v>
      </c>
      <c r="L433" s="806" t="s">
        <v>4514</v>
      </c>
      <c r="M433" s="714" t="b">
        <v>0</v>
      </c>
      <c r="N433" s="714" t="b">
        <v>0</v>
      </c>
      <c r="O433" s="809"/>
      <c r="P433" s="809"/>
      <c r="Q433" s="810" t="s">
        <v>8346</v>
      </c>
    </row>
    <row r="434">
      <c r="A434" s="806" t="s">
        <v>8527</v>
      </c>
      <c r="B434" s="806" t="s">
        <v>8032</v>
      </c>
      <c r="C434" s="807">
        <v>43902.0</v>
      </c>
      <c r="D434" s="806" t="s">
        <v>9286</v>
      </c>
      <c r="E434" s="806" t="s">
        <v>9286</v>
      </c>
      <c r="F434" s="806" t="s">
        <v>7754</v>
      </c>
      <c r="G434" s="808" t="s">
        <v>9287</v>
      </c>
      <c r="H434" s="809"/>
      <c r="I434" s="806" t="s">
        <v>8038</v>
      </c>
      <c r="J434" s="806" t="s">
        <v>7772</v>
      </c>
      <c r="K434" s="714" t="b">
        <v>0</v>
      </c>
      <c r="L434" s="806" t="s">
        <v>4525</v>
      </c>
      <c r="M434" s="714" t="b">
        <v>0</v>
      </c>
      <c r="N434" s="714" t="b">
        <v>0</v>
      </c>
      <c r="O434" s="809"/>
      <c r="P434" s="809"/>
      <c r="Q434" s="810" t="s">
        <v>8169</v>
      </c>
    </row>
    <row r="435">
      <c r="A435" s="811" t="s">
        <v>8527</v>
      </c>
      <c r="B435" s="811" t="s">
        <v>8032</v>
      </c>
      <c r="C435" s="811" t="s">
        <v>9288</v>
      </c>
      <c r="D435" s="811" t="s">
        <v>9289</v>
      </c>
      <c r="E435" s="811" t="s">
        <v>9290</v>
      </c>
      <c r="F435" s="811" t="s">
        <v>7674</v>
      </c>
      <c r="G435" s="812" t="s">
        <v>9291</v>
      </c>
      <c r="H435" s="813"/>
      <c r="I435" s="811" t="s">
        <v>8038</v>
      </c>
      <c r="J435" s="811" t="s">
        <v>4503</v>
      </c>
      <c r="K435" s="811" t="b">
        <v>0</v>
      </c>
      <c r="L435" s="811" t="s">
        <v>4503</v>
      </c>
      <c r="M435" s="811" t="b">
        <v>0</v>
      </c>
      <c r="N435" s="811" t="b">
        <v>0</v>
      </c>
      <c r="O435" s="813"/>
      <c r="P435" s="813"/>
      <c r="Q435" s="811" t="s">
        <v>8346</v>
      </c>
      <c r="R435" s="813"/>
    </row>
    <row r="436">
      <c r="A436" s="811" t="s">
        <v>8527</v>
      </c>
      <c r="B436" s="811" t="s">
        <v>8032</v>
      </c>
      <c r="C436" s="811" t="s">
        <v>9288</v>
      </c>
      <c r="D436" s="811" t="s">
        <v>9292</v>
      </c>
      <c r="E436" s="811" t="s">
        <v>8264</v>
      </c>
      <c r="F436" s="811" t="s">
        <v>7754</v>
      </c>
      <c r="G436" s="812" t="s">
        <v>9293</v>
      </c>
      <c r="H436" s="813"/>
      <c r="I436" s="811" t="s">
        <v>8038</v>
      </c>
      <c r="J436" s="811" t="s">
        <v>4525</v>
      </c>
      <c r="K436" s="811" t="b">
        <v>0</v>
      </c>
      <c r="L436" s="811" t="s">
        <v>4525</v>
      </c>
      <c r="M436" s="811" t="b">
        <v>0</v>
      </c>
      <c r="N436" s="811" t="b">
        <v>0</v>
      </c>
      <c r="O436" s="813"/>
      <c r="P436" s="813"/>
      <c r="Q436" s="811" t="s">
        <v>9229</v>
      </c>
      <c r="R436" s="813"/>
    </row>
    <row r="437">
      <c r="A437" s="811" t="s">
        <v>8527</v>
      </c>
      <c r="B437" s="811" t="s">
        <v>8032</v>
      </c>
      <c r="C437" s="811" t="s">
        <v>9288</v>
      </c>
      <c r="D437" s="811" t="s">
        <v>9294</v>
      </c>
      <c r="E437" s="811" t="s">
        <v>9295</v>
      </c>
      <c r="F437" s="811" t="s">
        <v>7713</v>
      </c>
      <c r="G437" s="812" t="s">
        <v>9296</v>
      </c>
      <c r="H437" s="813"/>
      <c r="I437" s="811" t="s">
        <v>9297</v>
      </c>
      <c r="J437" s="811" t="s">
        <v>7712</v>
      </c>
      <c r="K437" s="811" t="b">
        <v>0</v>
      </c>
      <c r="L437" s="811" t="s">
        <v>7712</v>
      </c>
      <c r="M437" s="811" t="b">
        <v>0</v>
      </c>
      <c r="N437" s="811" t="b">
        <v>0</v>
      </c>
      <c r="O437" s="813"/>
      <c r="P437" s="813"/>
      <c r="Q437" s="814" t="s">
        <v>9298</v>
      </c>
      <c r="R437" s="813"/>
    </row>
    <row r="438">
      <c r="A438" s="811" t="s">
        <v>8527</v>
      </c>
      <c r="B438" s="811" t="s">
        <v>8032</v>
      </c>
      <c r="C438" s="811" t="s">
        <v>9288</v>
      </c>
      <c r="D438" s="811" t="s">
        <v>9299</v>
      </c>
      <c r="E438" s="811" t="s">
        <v>9299</v>
      </c>
      <c r="F438" s="811" t="s">
        <v>7754</v>
      </c>
      <c r="G438" s="812" t="s">
        <v>9300</v>
      </c>
      <c r="H438" s="813"/>
      <c r="I438" s="811" t="s">
        <v>8038</v>
      </c>
      <c r="J438" s="811" t="s">
        <v>4525</v>
      </c>
      <c r="K438" s="811" t="b">
        <v>0</v>
      </c>
      <c r="L438" s="811" t="s">
        <v>4525</v>
      </c>
      <c r="M438" s="811" t="b">
        <v>0</v>
      </c>
      <c r="N438" s="811" t="b">
        <v>0</v>
      </c>
      <c r="O438" s="813"/>
      <c r="P438" s="813"/>
      <c r="Q438" s="811" t="s">
        <v>8346</v>
      </c>
      <c r="R438" s="813"/>
    </row>
    <row r="439">
      <c r="A439" s="811" t="s">
        <v>8527</v>
      </c>
      <c r="B439" s="811" t="s">
        <v>8032</v>
      </c>
      <c r="C439" s="811" t="s">
        <v>9288</v>
      </c>
      <c r="D439" s="811" t="s">
        <v>7453</v>
      </c>
      <c r="E439" s="811" t="s">
        <v>8775</v>
      </c>
      <c r="F439" s="811" t="s">
        <v>7685</v>
      </c>
      <c r="G439" s="812" t="s">
        <v>9301</v>
      </c>
      <c r="H439" s="813"/>
      <c r="I439" s="811" t="s">
        <v>8038</v>
      </c>
      <c r="J439" s="811" t="s">
        <v>7700</v>
      </c>
      <c r="K439" s="811" t="b">
        <v>1</v>
      </c>
      <c r="L439" s="811" t="s">
        <v>4461</v>
      </c>
      <c r="M439" s="811" t="b">
        <v>0</v>
      </c>
      <c r="N439" s="811" t="b">
        <v>0</v>
      </c>
      <c r="O439" s="813"/>
      <c r="P439" s="813"/>
      <c r="Q439" s="811" t="s">
        <v>8346</v>
      </c>
      <c r="R439" s="813"/>
    </row>
    <row r="440">
      <c r="A440" s="811" t="s">
        <v>8527</v>
      </c>
      <c r="B440" s="811" t="s">
        <v>8032</v>
      </c>
      <c r="C440" s="811" t="s">
        <v>9288</v>
      </c>
      <c r="D440" s="811" t="s">
        <v>9302</v>
      </c>
      <c r="E440" s="811" t="s">
        <v>9303</v>
      </c>
      <c r="F440" s="811" t="s">
        <v>7685</v>
      </c>
      <c r="G440" s="812" t="s">
        <v>9304</v>
      </c>
      <c r="H440" s="813"/>
      <c r="I440" s="811" t="s">
        <v>8038</v>
      </c>
      <c r="J440" s="811" t="s">
        <v>8216</v>
      </c>
      <c r="K440" s="811" t="b">
        <v>1</v>
      </c>
      <c r="L440" s="811" t="s">
        <v>4461</v>
      </c>
      <c r="M440" s="811" t="b">
        <v>0</v>
      </c>
      <c r="N440" s="811" t="b">
        <v>0</v>
      </c>
      <c r="O440" s="813"/>
      <c r="P440" s="813"/>
      <c r="Q440" s="811" t="s">
        <v>8346</v>
      </c>
      <c r="R440" s="813"/>
    </row>
    <row r="441">
      <c r="A441" s="443"/>
      <c r="C441" s="443"/>
      <c r="K441" s="815"/>
      <c r="Q441" s="443"/>
    </row>
    <row r="442">
      <c r="A442" s="443"/>
      <c r="C442" s="443"/>
      <c r="K442" s="815"/>
      <c r="Q442" s="443"/>
    </row>
    <row r="443">
      <c r="A443" s="443"/>
      <c r="C443" s="443"/>
      <c r="K443" s="815"/>
      <c r="Q443" s="443"/>
    </row>
    <row r="444">
      <c r="A444" s="443"/>
      <c r="C444" s="443"/>
      <c r="K444" s="815"/>
      <c r="Q444" s="443"/>
    </row>
    <row r="445">
      <c r="A445" s="443"/>
      <c r="C445" s="443"/>
      <c r="K445" s="815"/>
      <c r="Q445" s="443"/>
    </row>
    <row r="446">
      <c r="A446" s="443"/>
      <c r="C446" s="443"/>
      <c r="K446" s="815"/>
      <c r="Q446" s="443"/>
    </row>
    <row r="447">
      <c r="A447" s="443"/>
      <c r="C447" s="443"/>
      <c r="K447" s="815"/>
      <c r="Q447" s="443"/>
    </row>
    <row r="448">
      <c r="A448" s="443"/>
      <c r="C448" s="443"/>
      <c r="K448" s="815"/>
      <c r="Q448" s="443"/>
    </row>
    <row r="449">
      <c r="A449" s="443"/>
      <c r="C449" s="443"/>
      <c r="K449" s="815"/>
      <c r="Q449" s="443"/>
    </row>
    <row r="450">
      <c r="A450" s="443"/>
      <c r="C450" s="443"/>
      <c r="K450" s="815"/>
      <c r="Q450" s="443"/>
    </row>
    <row r="451">
      <c r="A451" s="443"/>
      <c r="C451" s="443"/>
      <c r="K451" s="815"/>
      <c r="Q451" s="443"/>
    </row>
    <row r="452">
      <c r="A452" s="443"/>
      <c r="C452" s="443"/>
      <c r="K452" s="815"/>
      <c r="Q452" s="443"/>
    </row>
    <row r="453">
      <c r="A453" s="443"/>
      <c r="C453" s="443"/>
      <c r="K453" s="815"/>
      <c r="Q453" s="443"/>
    </row>
    <row r="454">
      <c r="A454" s="443"/>
      <c r="C454" s="443"/>
      <c r="K454" s="815"/>
      <c r="Q454" s="443"/>
    </row>
    <row r="455">
      <c r="A455" s="443"/>
      <c r="C455" s="443"/>
      <c r="K455" s="815"/>
      <c r="Q455" s="443"/>
    </row>
    <row r="456">
      <c r="A456" s="443"/>
      <c r="C456" s="443"/>
      <c r="K456" s="815"/>
      <c r="Q456" s="443"/>
    </row>
    <row r="457">
      <c r="A457" s="443"/>
      <c r="C457" s="443"/>
      <c r="K457" s="815"/>
      <c r="Q457" s="443"/>
    </row>
    <row r="458">
      <c r="A458" s="443"/>
      <c r="C458" s="443"/>
      <c r="K458" s="815"/>
      <c r="Q458" s="443"/>
    </row>
    <row r="459">
      <c r="A459" s="443"/>
      <c r="C459" s="443"/>
      <c r="K459" s="815"/>
      <c r="Q459" s="443"/>
    </row>
    <row r="460">
      <c r="A460" s="443"/>
      <c r="C460" s="443"/>
      <c r="K460" s="815"/>
      <c r="Q460" s="443"/>
    </row>
    <row r="461">
      <c r="A461" s="443"/>
      <c r="C461" s="443"/>
      <c r="K461" s="815"/>
      <c r="Q461" s="443"/>
    </row>
    <row r="462">
      <c r="A462" s="443"/>
      <c r="C462" s="443"/>
      <c r="K462" s="815"/>
      <c r="Q462" s="443"/>
    </row>
    <row r="463">
      <c r="A463" s="443"/>
      <c r="C463" s="443"/>
      <c r="K463" s="815"/>
      <c r="Q463" s="443"/>
    </row>
    <row r="464">
      <c r="A464" s="443"/>
      <c r="C464" s="443"/>
      <c r="K464" s="815"/>
      <c r="Q464" s="443"/>
    </row>
    <row r="465">
      <c r="A465" s="443"/>
      <c r="C465" s="443"/>
      <c r="K465" s="815"/>
      <c r="Q465" s="443"/>
    </row>
    <row r="466">
      <c r="A466" s="443"/>
      <c r="C466" s="443"/>
      <c r="K466" s="815"/>
      <c r="Q466" s="443"/>
    </row>
    <row r="467">
      <c r="A467" s="443"/>
      <c r="C467" s="443"/>
      <c r="K467" s="815"/>
      <c r="Q467" s="443"/>
    </row>
    <row r="468">
      <c r="A468" s="443"/>
      <c r="C468" s="443"/>
      <c r="K468" s="815"/>
      <c r="Q468" s="443"/>
    </row>
    <row r="469">
      <c r="A469" s="443"/>
      <c r="C469" s="443"/>
      <c r="K469" s="815"/>
      <c r="Q469" s="443"/>
    </row>
    <row r="470">
      <c r="A470" s="443"/>
      <c r="C470" s="443"/>
      <c r="K470" s="815"/>
      <c r="Q470" s="443"/>
    </row>
    <row r="471">
      <c r="A471" s="443"/>
      <c r="C471" s="443"/>
      <c r="K471" s="815"/>
      <c r="Q471" s="443"/>
    </row>
    <row r="472">
      <c r="A472" s="443"/>
      <c r="C472" s="443"/>
      <c r="K472" s="815"/>
      <c r="Q472" s="443"/>
    </row>
    <row r="473">
      <c r="A473" s="443"/>
      <c r="C473" s="443"/>
      <c r="K473" s="815"/>
      <c r="Q473" s="443"/>
    </row>
    <row r="474">
      <c r="A474" s="443"/>
      <c r="C474" s="443"/>
      <c r="K474" s="815"/>
      <c r="Q474" s="443"/>
    </row>
    <row r="475">
      <c r="A475" s="443"/>
      <c r="C475" s="443"/>
      <c r="K475" s="815"/>
      <c r="Q475" s="443"/>
    </row>
    <row r="476">
      <c r="A476" s="443"/>
      <c r="C476" s="443"/>
      <c r="K476" s="815"/>
      <c r="Q476" s="443"/>
    </row>
    <row r="477">
      <c r="A477" s="443"/>
      <c r="C477" s="443"/>
      <c r="K477" s="815"/>
      <c r="Q477" s="443"/>
    </row>
    <row r="478">
      <c r="A478" s="443"/>
      <c r="C478" s="443"/>
      <c r="K478" s="815"/>
      <c r="Q478" s="443"/>
    </row>
    <row r="479">
      <c r="A479" s="443"/>
      <c r="C479" s="443"/>
      <c r="K479" s="815"/>
      <c r="Q479" s="443"/>
    </row>
    <row r="480">
      <c r="A480" s="443"/>
      <c r="C480" s="443"/>
      <c r="K480" s="815"/>
      <c r="Q480" s="443"/>
    </row>
    <row r="481">
      <c r="A481" s="443"/>
      <c r="C481" s="443"/>
      <c r="K481" s="815"/>
      <c r="Q481" s="443"/>
    </row>
    <row r="482">
      <c r="A482" s="443"/>
      <c r="C482" s="443"/>
      <c r="K482" s="815"/>
      <c r="Q482" s="443"/>
    </row>
    <row r="483">
      <c r="A483" s="443"/>
      <c r="C483" s="443"/>
      <c r="K483" s="815"/>
      <c r="Q483" s="443"/>
    </row>
    <row r="484">
      <c r="A484" s="443"/>
      <c r="C484" s="443"/>
      <c r="K484" s="815"/>
      <c r="Q484" s="443"/>
    </row>
    <row r="485">
      <c r="A485" s="443"/>
      <c r="C485" s="443"/>
      <c r="K485" s="815"/>
      <c r="Q485" s="443"/>
    </row>
    <row r="486">
      <c r="A486" s="443"/>
      <c r="C486" s="443"/>
      <c r="K486" s="815"/>
      <c r="Q486" s="443"/>
    </row>
    <row r="487">
      <c r="A487" s="443"/>
      <c r="C487" s="443"/>
      <c r="K487" s="815"/>
      <c r="Q487" s="443"/>
    </row>
    <row r="488">
      <c r="A488" s="443"/>
      <c r="C488" s="443"/>
      <c r="K488" s="815"/>
      <c r="Q488" s="443"/>
    </row>
    <row r="489">
      <c r="A489" s="443"/>
      <c r="C489" s="443"/>
      <c r="K489" s="815"/>
      <c r="Q489" s="443"/>
    </row>
    <row r="490">
      <c r="A490" s="443"/>
      <c r="C490" s="443"/>
      <c r="K490" s="815"/>
      <c r="Q490" s="443"/>
    </row>
    <row r="491">
      <c r="A491" s="443"/>
      <c r="C491" s="443"/>
      <c r="K491" s="815"/>
      <c r="Q491" s="443"/>
    </row>
    <row r="492">
      <c r="A492" s="443"/>
      <c r="C492" s="443"/>
      <c r="K492" s="815"/>
      <c r="Q492" s="443"/>
    </row>
    <row r="493">
      <c r="A493" s="443"/>
      <c r="C493" s="443"/>
      <c r="K493" s="815"/>
      <c r="Q493" s="443"/>
    </row>
    <row r="494">
      <c r="A494" s="443"/>
      <c r="C494" s="443"/>
      <c r="K494" s="815"/>
      <c r="Q494" s="443"/>
    </row>
    <row r="495">
      <c r="A495" s="443"/>
      <c r="C495" s="443"/>
      <c r="K495" s="815"/>
      <c r="Q495" s="443"/>
    </row>
    <row r="496">
      <c r="A496" s="443"/>
      <c r="C496" s="443"/>
      <c r="K496" s="815"/>
      <c r="Q496" s="443"/>
    </row>
    <row r="497">
      <c r="A497" s="443"/>
      <c r="C497" s="443"/>
      <c r="K497" s="815"/>
      <c r="Q497" s="443"/>
    </row>
    <row r="498">
      <c r="A498" s="443"/>
      <c r="C498" s="443"/>
      <c r="K498" s="815"/>
      <c r="Q498" s="443"/>
    </row>
    <row r="499">
      <c r="A499" s="443"/>
      <c r="C499" s="443"/>
      <c r="K499" s="815"/>
      <c r="Q499" s="443"/>
    </row>
    <row r="500">
      <c r="A500" s="443"/>
      <c r="C500" s="443"/>
      <c r="K500" s="815"/>
      <c r="Q500" s="443"/>
    </row>
    <row r="501">
      <c r="A501" s="443"/>
      <c r="C501" s="443"/>
      <c r="K501" s="815"/>
      <c r="Q501" s="443"/>
    </row>
    <row r="502">
      <c r="A502" s="443"/>
      <c r="C502" s="443"/>
      <c r="K502" s="815"/>
      <c r="Q502" s="443"/>
    </row>
    <row r="503">
      <c r="A503" s="443"/>
      <c r="C503" s="443"/>
      <c r="K503" s="815"/>
      <c r="Q503" s="443"/>
    </row>
    <row r="504">
      <c r="A504" s="443"/>
      <c r="C504" s="443"/>
      <c r="K504" s="815"/>
      <c r="Q504" s="443"/>
    </row>
    <row r="505">
      <c r="A505" s="443"/>
      <c r="C505" s="443"/>
      <c r="K505" s="815"/>
      <c r="Q505" s="443"/>
    </row>
    <row r="506">
      <c r="A506" s="443"/>
      <c r="C506" s="443"/>
      <c r="K506" s="815"/>
      <c r="Q506" s="443"/>
    </row>
    <row r="507">
      <c r="A507" s="443"/>
      <c r="C507" s="443"/>
      <c r="K507" s="815"/>
      <c r="Q507" s="443"/>
    </row>
    <row r="508">
      <c r="A508" s="443"/>
      <c r="C508" s="443"/>
      <c r="K508" s="815"/>
      <c r="Q508" s="443"/>
    </row>
    <row r="509">
      <c r="A509" s="443"/>
      <c r="C509" s="443"/>
      <c r="K509" s="815"/>
      <c r="Q509" s="443"/>
    </row>
    <row r="510">
      <c r="A510" s="443"/>
      <c r="C510" s="443"/>
      <c r="K510" s="815"/>
      <c r="Q510" s="443"/>
    </row>
    <row r="511">
      <c r="A511" s="443"/>
      <c r="C511" s="443"/>
      <c r="K511" s="815"/>
      <c r="Q511" s="443"/>
    </row>
    <row r="512">
      <c r="A512" s="443"/>
      <c r="C512" s="443"/>
      <c r="K512" s="815"/>
      <c r="Q512" s="443"/>
    </row>
    <row r="513">
      <c r="A513" s="443"/>
      <c r="C513" s="443"/>
      <c r="K513" s="815"/>
      <c r="Q513" s="443"/>
    </row>
    <row r="514">
      <c r="A514" s="443"/>
      <c r="C514" s="443"/>
      <c r="K514" s="815"/>
      <c r="Q514" s="443"/>
    </row>
    <row r="515">
      <c r="A515" s="443"/>
      <c r="C515" s="443"/>
      <c r="K515" s="815"/>
      <c r="Q515" s="443"/>
    </row>
    <row r="516">
      <c r="A516" s="443"/>
      <c r="C516" s="443"/>
      <c r="K516" s="815"/>
      <c r="Q516" s="443"/>
    </row>
    <row r="517">
      <c r="A517" s="443"/>
      <c r="C517" s="443"/>
      <c r="K517" s="815"/>
      <c r="Q517" s="443"/>
    </row>
    <row r="518">
      <c r="A518" s="443"/>
      <c r="C518" s="443"/>
      <c r="K518" s="815"/>
      <c r="Q518" s="443"/>
    </row>
    <row r="519">
      <c r="A519" s="443"/>
      <c r="C519" s="443"/>
      <c r="K519" s="815"/>
      <c r="Q519" s="443"/>
    </row>
    <row r="520">
      <c r="A520" s="443"/>
      <c r="C520" s="443"/>
      <c r="K520" s="815"/>
      <c r="Q520" s="443"/>
    </row>
    <row r="521">
      <c r="A521" s="443"/>
      <c r="C521" s="443"/>
      <c r="K521" s="815"/>
      <c r="Q521" s="443"/>
    </row>
    <row r="522">
      <c r="A522" s="443"/>
      <c r="C522" s="443"/>
      <c r="K522" s="815"/>
      <c r="Q522" s="443"/>
    </row>
    <row r="523">
      <c r="A523" s="443"/>
      <c r="C523" s="443"/>
      <c r="K523" s="815"/>
      <c r="Q523" s="443"/>
    </row>
    <row r="524">
      <c r="A524" s="443"/>
      <c r="C524" s="443"/>
      <c r="K524" s="815"/>
      <c r="Q524" s="443"/>
    </row>
    <row r="525">
      <c r="A525" s="443"/>
      <c r="C525" s="443"/>
      <c r="K525" s="815"/>
      <c r="Q525" s="443"/>
    </row>
    <row r="526">
      <c r="A526" s="443"/>
      <c r="C526" s="443"/>
      <c r="K526" s="815"/>
      <c r="Q526" s="443"/>
    </row>
    <row r="527">
      <c r="A527" s="443"/>
      <c r="C527" s="443"/>
      <c r="K527" s="815"/>
      <c r="Q527" s="443"/>
    </row>
    <row r="528">
      <c r="A528" s="443"/>
      <c r="C528" s="443"/>
      <c r="K528" s="815"/>
      <c r="Q528" s="443"/>
    </row>
    <row r="529">
      <c r="A529" s="443"/>
      <c r="C529" s="443"/>
      <c r="K529" s="815"/>
      <c r="Q529" s="443"/>
    </row>
    <row r="530">
      <c r="A530" s="443"/>
      <c r="C530" s="443"/>
      <c r="K530" s="815"/>
      <c r="Q530" s="443"/>
    </row>
    <row r="531">
      <c r="A531" s="443"/>
      <c r="C531" s="443"/>
      <c r="K531" s="815"/>
      <c r="Q531" s="443"/>
    </row>
    <row r="532">
      <c r="A532" s="443"/>
      <c r="C532" s="443"/>
      <c r="K532" s="815"/>
      <c r="Q532" s="443"/>
    </row>
    <row r="533">
      <c r="A533" s="443"/>
      <c r="C533" s="443"/>
      <c r="K533" s="815"/>
      <c r="Q533" s="443"/>
    </row>
    <row r="534">
      <c r="A534" s="443"/>
      <c r="C534" s="443"/>
      <c r="K534" s="815"/>
      <c r="Q534" s="443"/>
    </row>
    <row r="535">
      <c r="A535" s="443"/>
      <c r="C535" s="443"/>
      <c r="K535" s="815"/>
      <c r="Q535" s="443"/>
    </row>
    <row r="536">
      <c r="A536" s="443"/>
      <c r="C536" s="443"/>
      <c r="K536" s="815"/>
      <c r="Q536" s="443"/>
    </row>
    <row r="537">
      <c r="A537" s="443"/>
      <c r="C537" s="443"/>
      <c r="K537" s="815"/>
      <c r="Q537" s="443"/>
    </row>
    <row r="538">
      <c r="A538" s="443"/>
      <c r="C538" s="443"/>
      <c r="K538" s="815"/>
      <c r="Q538" s="443"/>
    </row>
    <row r="539">
      <c r="A539" s="443"/>
      <c r="C539" s="443"/>
      <c r="K539" s="815"/>
      <c r="Q539" s="443"/>
    </row>
    <row r="540">
      <c r="A540" s="443"/>
      <c r="C540" s="443"/>
      <c r="K540" s="815"/>
      <c r="Q540" s="443"/>
    </row>
    <row r="541">
      <c r="A541" s="443"/>
      <c r="C541" s="443"/>
      <c r="K541" s="815"/>
      <c r="Q541" s="443"/>
    </row>
    <row r="542">
      <c r="A542" s="443"/>
      <c r="C542" s="443"/>
      <c r="K542" s="815"/>
      <c r="Q542" s="443"/>
    </row>
    <row r="543">
      <c r="A543" s="443"/>
      <c r="C543" s="443"/>
      <c r="K543" s="815"/>
      <c r="Q543" s="443"/>
    </row>
    <row r="544">
      <c r="A544" s="443"/>
      <c r="C544" s="443"/>
      <c r="K544" s="815"/>
      <c r="Q544" s="443"/>
    </row>
    <row r="545">
      <c r="A545" s="443"/>
      <c r="C545" s="443"/>
      <c r="K545" s="815"/>
      <c r="Q545" s="443"/>
    </row>
    <row r="546">
      <c r="A546" s="443"/>
      <c r="C546" s="443"/>
      <c r="K546" s="815"/>
      <c r="Q546" s="443"/>
    </row>
    <row r="547">
      <c r="A547" s="443"/>
      <c r="C547" s="443"/>
      <c r="K547" s="815"/>
      <c r="Q547" s="443"/>
    </row>
    <row r="548">
      <c r="A548" s="443"/>
      <c r="C548" s="443"/>
      <c r="K548" s="815"/>
      <c r="Q548" s="443"/>
    </row>
    <row r="549">
      <c r="A549" s="443"/>
      <c r="C549" s="443"/>
      <c r="K549" s="815"/>
      <c r="Q549" s="443"/>
    </row>
    <row r="550">
      <c r="A550" s="443"/>
      <c r="C550" s="443"/>
      <c r="K550" s="815"/>
      <c r="Q550" s="443"/>
    </row>
    <row r="551">
      <c r="A551" s="443"/>
      <c r="C551" s="443"/>
      <c r="K551" s="815"/>
      <c r="Q551" s="443"/>
    </row>
    <row r="552">
      <c r="A552" s="443"/>
      <c r="C552" s="443"/>
      <c r="K552" s="815"/>
      <c r="Q552" s="443"/>
    </row>
    <row r="553">
      <c r="A553" s="443"/>
      <c r="C553" s="443"/>
      <c r="K553" s="815"/>
      <c r="Q553" s="443"/>
    </row>
    <row r="554">
      <c r="A554" s="443"/>
      <c r="C554" s="443"/>
      <c r="K554" s="815"/>
      <c r="Q554" s="443"/>
    </row>
    <row r="555">
      <c r="A555" s="443"/>
      <c r="C555" s="443"/>
      <c r="K555" s="815"/>
      <c r="Q555" s="443"/>
    </row>
    <row r="556">
      <c r="A556" s="443"/>
      <c r="C556" s="443"/>
      <c r="K556" s="815"/>
      <c r="Q556" s="443"/>
    </row>
    <row r="557">
      <c r="A557" s="443"/>
      <c r="C557" s="443"/>
      <c r="K557" s="815"/>
      <c r="Q557" s="443"/>
    </row>
    <row r="558">
      <c r="A558" s="443"/>
      <c r="C558" s="443"/>
      <c r="K558" s="815"/>
      <c r="Q558" s="443"/>
    </row>
    <row r="559">
      <c r="A559" s="443"/>
      <c r="C559" s="443"/>
      <c r="K559" s="815"/>
      <c r="Q559" s="443"/>
    </row>
    <row r="560">
      <c r="A560" s="443"/>
      <c r="C560" s="443"/>
      <c r="K560" s="815"/>
      <c r="Q560" s="443"/>
    </row>
    <row r="561">
      <c r="A561" s="443"/>
      <c r="C561" s="443"/>
      <c r="K561" s="815"/>
      <c r="Q561" s="443"/>
    </row>
    <row r="562">
      <c r="A562" s="443"/>
      <c r="C562" s="443"/>
      <c r="K562" s="815"/>
      <c r="Q562" s="443"/>
    </row>
    <row r="563">
      <c r="A563" s="443"/>
      <c r="C563" s="443"/>
      <c r="K563" s="815"/>
      <c r="Q563" s="443"/>
    </row>
    <row r="564">
      <c r="A564" s="443"/>
      <c r="C564" s="443"/>
      <c r="K564" s="815"/>
      <c r="Q564" s="443"/>
    </row>
    <row r="565">
      <c r="A565" s="443"/>
      <c r="C565" s="443"/>
      <c r="K565" s="815"/>
      <c r="Q565" s="443"/>
    </row>
    <row r="566">
      <c r="A566" s="443"/>
      <c r="C566" s="443"/>
      <c r="K566" s="815"/>
      <c r="Q566" s="443"/>
    </row>
    <row r="567">
      <c r="A567" s="443"/>
      <c r="C567" s="443"/>
      <c r="K567" s="815"/>
      <c r="Q567" s="443"/>
    </row>
    <row r="568">
      <c r="A568" s="443"/>
      <c r="C568" s="443"/>
      <c r="K568" s="815"/>
      <c r="Q568" s="443"/>
    </row>
    <row r="569">
      <c r="A569" s="443"/>
      <c r="C569" s="443"/>
      <c r="K569" s="815"/>
      <c r="Q569" s="443"/>
    </row>
    <row r="570">
      <c r="A570" s="443"/>
      <c r="C570" s="443"/>
      <c r="K570" s="815"/>
      <c r="Q570" s="443"/>
    </row>
    <row r="571">
      <c r="A571" s="443"/>
      <c r="C571" s="443"/>
      <c r="K571" s="815"/>
      <c r="Q571" s="443"/>
    </row>
    <row r="572">
      <c r="A572" s="443"/>
      <c r="C572" s="443"/>
      <c r="K572" s="815"/>
      <c r="Q572" s="443"/>
    </row>
    <row r="573">
      <c r="A573" s="443"/>
      <c r="C573" s="443"/>
      <c r="K573" s="815"/>
      <c r="Q573" s="443"/>
    </row>
    <row r="574">
      <c r="A574" s="443"/>
      <c r="C574" s="443"/>
      <c r="K574" s="815"/>
      <c r="Q574" s="443"/>
    </row>
    <row r="575">
      <c r="A575" s="443"/>
      <c r="C575" s="443"/>
      <c r="K575" s="815"/>
      <c r="Q575" s="443"/>
    </row>
    <row r="576">
      <c r="A576" s="443"/>
      <c r="C576" s="443"/>
      <c r="K576" s="815"/>
      <c r="Q576" s="443"/>
    </row>
    <row r="577">
      <c r="A577" s="443"/>
      <c r="C577" s="443"/>
      <c r="K577" s="815"/>
      <c r="Q577" s="443"/>
    </row>
    <row r="578">
      <c r="A578" s="443"/>
      <c r="C578" s="443"/>
      <c r="K578" s="815"/>
      <c r="Q578" s="443"/>
    </row>
    <row r="579">
      <c r="A579" s="443"/>
      <c r="C579" s="443"/>
      <c r="K579" s="815"/>
      <c r="Q579" s="443"/>
    </row>
    <row r="580">
      <c r="A580" s="443"/>
      <c r="C580" s="443"/>
      <c r="K580" s="815"/>
      <c r="Q580" s="443"/>
    </row>
    <row r="581">
      <c r="A581" s="443"/>
      <c r="C581" s="443"/>
      <c r="K581" s="815"/>
      <c r="Q581" s="443"/>
    </row>
    <row r="582">
      <c r="A582" s="443"/>
      <c r="C582" s="443"/>
      <c r="K582" s="815"/>
      <c r="Q582" s="443"/>
    </row>
    <row r="583">
      <c r="A583" s="443"/>
      <c r="C583" s="443"/>
      <c r="K583" s="815"/>
      <c r="Q583" s="443"/>
    </row>
    <row r="584">
      <c r="A584" s="443"/>
      <c r="C584" s="443"/>
      <c r="K584" s="815"/>
      <c r="Q584" s="443"/>
    </row>
    <row r="585">
      <c r="A585" s="443"/>
      <c r="C585" s="443"/>
      <c r="K585" s="815"/>
      <c r="Q585" s="443"/>
    </row>
    <row r="586">
      <c r="A586" s="443"/>
      <c r="C586" s="443"/>
      <c r="K586" s="815"/>
      <c r="Q586" s="443"/>
    </row>
    <row r="587">
      <c r="A587" s="443"/>
      <c r="C587" s="443"/>
      <c r="K587" s="815"/>
      <c r="Q587" s="443"/>
    </row>
    <row r="588">
      <c r="A588" s="443"/>
      <c r="C588" s="443"/>
      <c r="K588" s="815"/>
      <c r="Q588" s="443"/>
    </row>
    <row r="589">
      <c r="A589" s="443"/>
      <c r="C589" s="443"/>
      <c r="K589" s="815"/>
      <c r="Q589" s="443"/>
    </row>
    <row r="590">
      <c r="A590" s="443"/>
      <c r="C590" s="443"/>
      <c r="K590" s="815"/>
      <c r="Q590" s="443"/>
    </row>
    <row r="591">
      <c r="A591" s="443"/>
      <c r="C591" s="443"/>
      <c r="K591" s="815"/>
      <c r="Q591" s="443"/>
    </row>
    <row r="592">
      <c r="A592" s="443"/>
      <c r="C592" s="443"/>
      <c r="K592" s="815"/>
      <c r="Q592" s="443"/>
    </row>
    <row r="593">
      <c r="A593" s="443"/>
      <c r="C593" s="443"/>
      <c r="K593" s="815"/>
      <c r="Q593" s="443"/>
    </row>
    <row r="594">
      <c r="A594" s="443"/>
      <c r="C594" s="443"/>
      <c r="K594" s="815"/>
      <c r="Q594" s="443"/>
    </row>
    <row r="595">
      <c r="A595" s="443"/>
      <c r="C595" s="443"/>
      <c r="K595" s="815"/>
      <c r="Q595" s="443"/>
    </row>
    <row r="596">
      <c r="A596" s="443"/>
      <c r="C596" s="443"/>
      <c r="K596" s="815"/>
      <c r="Q596" s="443"/>
    </row>
    <row r="597">
      <c r="A597" s="443"/>
      <c r="C597" s="443"/>
      <c r="K597" s="815"/>
      <c r="Q597" s="443"/>
    </row>
    <row r="598">
      <c r="A598" s="443"/>
      <c r="C598" s="443"/>
      <c r="K598" s="815"/>
      <c r="Q598" s="443"/>
    </row>
    <row r="599">
      <c r="A599" s="443"/>
      <c r="C599" s="443"/>
      <c r="K599" s="815"/>
      <c r="Q599" s="443"/>
    </row>
    <row r="600">
      <c r="A600" s="443"/>
      <c r="C600" s="443"/>
      <c r="K600" s="815"/>
      <c r="Q600" s="443"/>
    </row>
    <row r="601">
      <c r="A601" s="443"/>
      <c r="C601" s="443"/>
      <c r="K601" s="815"/>
      <c r="Q601" s="443"/>
    </row>
    <row r="602">
      <c r="A602" s="443"/>
      <c r="C602" s="443"/>
      <c r="K602" s="815"/>
      <c r="Q602" s="443"/>
    </row>
    <row r="603">
      <c r="A603" s="443"/>
      <c r="C603" s="443"/>
      <c r="K603" s="815"/>
      <c r="Q603" s="443"/>
    </row>
    <row r="604">
      <c r="A604" s="443"/>
      <c r="C604" s="443"/>
      <c r="K604" s="815"/>
      <c r="Q604" s="443"/>
    </row>
    <row r="605">
      <c r="A605" s="443"/>
      <c r="C605" s="443"/>
      <c r="K605" s="815"/>
      <c r="Q605" s="443"/>
    </row>
    <row r="606">
      <c r="A606" s="443"/>
      <c r="C606" s="443"/>
      <c r="K606" s="815"/>
      <c r="Q606" s="443"/>
    </row>
    <row r="607">
      <c r="A607" s="443"/>
      <c r="C607" s="443"/>
      <c r="K607" s="815"/>
      <c r="Q607" s="443"/>
    </row>
    <row r="608">
      <c r="A608" s="443"/>
      <c r="C608" s="443"/>
      <c r="K608" s="815"/>
      <c r="Q608" s="443"/>
    </row>
    <row r="609">
      <c r="A609" s="443"/>
      <c r="C609" s="443"/>
      <c r="K609" s="815"/>
      <c r="Q609" s="443"/>
    </row>
    <row r="610">
      <c r="A610" s="443"/>
      <c r="C610" s="443"/>
      <c r="K610" s="815"/>
      <c r="Q610" s="443"/>
    </row>
    <row r="611">
      <c r="A611" s="443"/>
      <c r="C611" s="443"/>
      <c r="K611" s="815"/>
      <c r="Q611" s="443"/>
    </row>
    <row r="612">
      <c r="A612" s="443"/>
      <c r="C612" s="443"/>
      <c r="K612" s="815"/>
      <c r="Q612" s="443"/>
    </row>
    <row r="613">
      <c r="A613" s="443"/>
      <c r="C613" s="443"/>
      <c r="K613" s="815"/>
      <c r="Q613" s="443"/>
    </row>
    <row r="614">
      <c r="A614" s="443"/>
      <c r="C614" s="443"/>
      <c r="K614" s="815"/>
      <c r="Q614" s="443"/>
    </row>
    <row r="615">
      <c r="A615" s="443"/>
      <c r="C615" s="443"/>
      <c r="K615" s="815"/>
      <c r="Q615" s="443"/>
    </row>
    <row r="616">
      <c r="A616" s="443"/>
      <c r="C616" s="443"/>
      <c r="K616" s="815"/>
      <c r="Q616" s="443"/>
    </row>
    <row r="617">
      <c r="A617" s="443"/>
      <c r="C617" s="443"/>
      <c r="K617" s="815"/>
      <c r="Q617" s="443"/>
    </row>
    <row r="618">
      <c r="A618" s="443"/>
      <c r="C618" s="443"/>
      <c r="K618" s="815"/>
      <c r="Q618" s="443"/>
    </row>
    <row r="619">
      <c r="A619" s="443"/>
      <c r="C619" s="443"/>
      <c r="K619" s="815"/>
      <c r="Q619" s="443"/>
    </row>
    <row r="620">
      <c r="A620" s="443"/>
      <c r="C620" s="443"/>
      <c r="K620" s="815"/>
      <c r="Q620" s="443"/>
    </row>
    <row r="621">
      <c r="A621" s="443"/>
      <c r="C621" s="443"/>
      <c r="K621" s="815"/>
      <c r="Q621" s="443"/>
    </row>
    <row r="622">
      <c r="A622" s="443"/>
      <c r="C622" s="443"/>
      <c r="K622" s="815"/>
      <c r="Q622" s="443"/>
    </row>
    <row r="623">
      <c r="A623" s="443"/>
      <c r="C623" s="443"/>
      <c r="K623" s="815"/>
      <c r="Q623" s="443"/>
    </row>
    <row r="624">
      <c r="A624" s="443"/>
      <c r="C624" s="443"/>
      <c r="K624" s="815"/>
      <c r="Q624" s="443"/>
    </row>
    <row r="625">
      <c r="A625" s="443"/>
      <c r="C625" s="443"/>
      <c r="K625" s="815"/>
      <c r="Q625" s="443"/>
    </row>
    <row r="626">
      <c r="A626" s="443"/>
      <c r="C626" s="443"/>
      <c r="K626" s="815"/>
      <c r="Q626" s="443"/>
    </row>
    <row r="627">
      <c r="A627" s="443"/>
      <c r="C627" s="443"/>
      <c r="K627" s="815"/>
      <c r="Q627" s="443"/>
    </row>
    <row r="628">
      <c r="A628" s="443"/>
      <c r="C628" s="443"/>
      <c r="K628" s="815"/>
      <c r="Q628" s="443"/>
    </row>
    <row r="629">
      <c r="A629" s="443"/>
      <c r="C629" s="443"/>
      <c r="K629" s="815"/>
      <c r="Q629" s="443"/>
    </row>
    <row r="630">
      <c r="A630" s="443"/>
      <c r="C630" s="443"/>
      <c r="K630" s="815"/>
      <c r="Q630" s="443"/>
    </row>
    <row r="631">
      <c r="A631" s="443"/>
      <c r="C631" s="443"/>
      <c r="K631" s="815"/>
      <c r="Q631" s="443"/>
    </row>
    <row r="632">
      <c r="A632" s="443"/>
      <c r="C632" s="443"/>
      <c r="K632" s="815"/>
      <c r="Q632" s="443"/>
    </row>
    <row r="633">
      <c r="A633" s="443"/>
      <c r="C633" s="443"/>
      <c r="K633" s="815"/>
      <c r="Q633" s="443"/>
    </row>
    <row r="634">
      <c r="A634" s="443"/>
      <c r="C634" s="443"/>
      <c r="K634" s="815"/>
      <c r="Q634" s="443"/>
    </row>
    <row r="635">
      <c r="A635" s="443"/>
      <c r="C635" s="443"/>
      <c r="K635" s="815"/>
      <c r="Q635" s="443"/>
    </row>
    <row r="636">
      <c r="A636" s="443"/>
      <c r="C636" s="443"/>
      <c r="K636" s="815"/>
      <c r="Q636" s="443"/>
    </row>
    <row r="637">
      <c r="A637" s="443"/>
      <c r="C637" s="443"/>
      <c r="K637" s="815"/>
      <c r="Q637" s="443"/>
    </row>
    <row r="638">
      <c r="A638" s="443"/>
      <c r="C638" s="443"/>
      <c r="K638" s="815"/>
      <c r="Q638" s="443"/>
    </row>
    <row r="639">
      <c r="A639" s="443"/>
      <c r="C639" s="443"/>
      <c r="K639" s="815"/>
      <c r="Q639" s="443"/>
    </row>
    <row r="640">
      <c r="A640" s="443"/>
      <c r="C640" s="443"/>
      <c r="K640" s="815"/>
      <c r="Q640" s="443"/>
    </row>
    <row r="641">
      <c r="A641" s="443"/>
      <c r="C641" s="443"/>
      <c r="K641" s="815"/>
      <c r="Q641" s="443"/>
    </row>
    <row r="642">
      <c r="A642" s="443"/>
      <c r="C642" s="443"/>
      <c r="K642" s="815"/>
      <c r="Q642" s="443"/>
    </row>
    <row r="643">
      <c r="A643" s="443"/>
      <c r="C643" s="443"/>
      <c r="K643" s="815"/>
      <c r="Q643" s="443"/>
    </row>
    <row r="644">
      <c r="A644" s="443"/>
      <c r="C644" s="443"/>
      <c r="K644" s="815"/>
      <c r="Q644" s="443"/>
    </row>
    <row r="645">
      <c r="A645" s="443"/>
      <c r="C645" s="443"/>
      <c r="K645" s="815"/>
      <c r="Q645" s="443"/>
    </row>
    <row r="646">
      <c r="A646" s="443"/>
      <c r="C646" s="443"/>
      <c r="K646" s="815"/>
      <c r="Q646" s="443"/>
    </row>
    <row r="647">
      <c r="A647" s="443"/>
      <c r="C647" s="443"/>
      <c r="K647" s="815"/>
      <c r="Q647" s="443"/>
    </row>
    <row r="648">
      <c r="A648" s="443"/>
      <c r="C648" s="443"/>
      <c r="K648" s="815"/>
      <c r="Q648" s="443"/>
    </row>
    <row r="649">
      <c r="A649" s="443"/>
      <c r="C649" s="443"/>
      <c r="K649" s="815"/>
      <c r="Q649" s="443"/>
    </row>
    <row r="650">
      <c r="A650" s="443"/>
      <c r="C650" s="443"/>
      <c r="K650" s="815"/>
      <c r="Q650" s="443"/>
    </row>
    <row r="651">
      <c r="A651" s="443"/>
      <c r="C651" s="443"/>
      <c r="K651" s="815"/>
      <c r="Q651" s="443"/>
    </row>
    <row r="652">
      <c r="A652" s="443"/>
      <c r="C652" s="443"/>
      <c r="K652" s="815"/>
      <c r="Q652" s="443"/>
    </row>
    <row r="653">
      <c r="A653" s="443"/>
      <c r="C653" s="443"/>
      <c r="K653" s="815"/>
      <c r="Q653" s="443"/>
    </row>
    <row r="654">
      <c r="A654" s="443"/>
      <c r="C654" s="443"/>
      <c r="K654" s="815"/>
      <c r="Q654" s="443"/>
    </row>
    <row r="655">
      <c r="A655" s="443"/>
      <c r="C655" s="443"/>
      <c r="K655" s="815"/>
      <c r="Q655" s="443"/>
    </row>
    <row r="656">
      <c r="A656" s="443"/>
      <c r="C656" s="443"/>
      <c r="K656" s="815"/>
      <c r="Q656" s="443"/>
    </row>
    <row r="657">
      <c r="A657" s="443"/>
      <c r="C657" s="443"/>
      <c r="K657" s="815"/>
      <c r="Q657" s="443"/>
    </row>
    <row r="658">
      <c r="A658" s="443"/>
      <c r="C658" s="443"/>
      <c r="K658" s="815"/>
      <c r="Q658" s="443"/>
    </row>
    <row r="659">
      <c r="A659" s="443"/>
      <c r="C659" s="443"/>
      <c r="K659" s="815"/>
      <c r="Q659" s="443"/>
    </row>
    <row r="660">
      <c r="A660" s="443"/>
      <c r="C660" s="443"/>
      <c r="K660" s="815"/>
      <c r="Q660" s="443"/>
    </row>
    <row r="661">
      <c r="A661" s="443"/>
      <c r="C661" s="443"/>
      <c r="K661" s="815"/>
      <c r="Q661" s="443"/>
    </row>
    <row r="662">
      <c r="A662" s="443"/>
      <c r="C662" s="443"/>
      <c r="K662" s="815"/>
      <c r="Q662" s="443"/>
    </row>
    <row r="663">
      <c r="A663" s="443"/>
      <c r="C663" s="443"/>
      <c r="K663" s="815"/>
      <c r="Q663" s="443"/>
    </row>
    <row r="664">
      <c r="A664" s="443"/>
      <c r="C664" s="443"/>
      <c r="K664" s="815"/>
      <c r="Q664" s="443"/>
    </row>
    <row r="665">
      <c r="A665" s="443"/>
      <c r="C665" s="443"/>
      <c r="K665" s="815"/>
      <c r="Q665" s="443"/>
    </row>
    <row r="666">
      <c r="A666" s="443"/>
      <c r="C666" s="443"/>
      <c r="K666" s="815"/>
      <c r="Q666" s="443"/>
    </row>
    <row r="667">
      <c r="A667" s="443"/>
      <c r="C667" s="443"/>
      <c r="K667" s="815"/>
      <c r="Q667" s="443"/>
    </row>
    <row r="668">
      <c r="A668" s="443"/>
      <c r="C668" s="443"/>
      <c r="K668" s="815"/>
      <c r="Q668" s="443"/>
    </row>
    <row r="669">
      <c r="A669" s="443"/>
      <c r="C669" s="443"/>
      <c r="K669" s="815"/>
      <c r="Q669" s="443"/>
    </row>
    <row r="670">
      <c r="A670" s="443"/>
      <c r="C670" s="443"/>
      <c r="K670" s="815"/>
      <c r="Q670" s="443"/>
    </row>
    <row r="671">
      <c r="A671" s="443"/>
      <c r="C671" s="443"/>
      <c r="K671" s="815"/>
      <c r="Q671" s="443"/>
    </row>
    <row r="672">
      <c r="A672" s="443"/>
      <c r="C672" s="443"/>
      <c r="K672" s="815"/>
      <c r="Q672" s="443"/>
    </row>
    <row r="673">
      <c r="A673" s="443"/>
      <c r="C673" s="443"/>
      <c r="K673" s="815"/>
      <c r="Q673" s="443"/>
    </row>
    <row r="674">
      <c r="A674" s="443"/>
      <c r="C674" s="443"/>
      <c r="K674" s="815"/>
      <c r="Q674" s="443"/>
    </row>
    <row r="675">
      <c r="A675" s="443"/>
      <c r="C675" s="443"/>
      <c r="K675" s="815"/>
      <c r="Q675" s="443"/>
    </row>
    <row r="676">
      <c r="A676" s="443"/>
      <c r="C676" s="443"/>
      <c r="K676" s="815"/>
      <c r="Q676" s="443"/>
    </row>
    <row r="677">
      <c r="A677" s="443"/>
      <c r="C677" s="443"/>
      <c r="K677" s="815"/>
      <c r="Q677" s="443"/>
    </row>
    <row r="678">
      <c r="A678" s="443"/>
      <c r="C678" s="443"/>
      <c r="K678" s="815"/>
      <c r="Q678" s="443"/>
    </row>
    <row r="679">
      <c r="A679" s="443"/>
      <c r="C679" s="443"/>
      <c r="K679" s="815"/>
      <c r="Q679" s="443"/>
    </row>
    <row r="680">
      <c r="A680" s="443"/>
      <c r="C680" s="443"/>
      <c r="K680" s="815"/>
      <c r="Q680" s="443"/>
    </row>
    <row r="681">
      <c r="A681" s="443"/>
      <c r="C681" s="443"/>
      <c r="K681" s="815"/>
      <c r="Q681" s="443"/>
    </row>
    <row r="682">
      <c r="A682" s="443"/>
      <c r="C682" s="443"/>
      <c r="K682" s="815"/>
      <c r="Q682" s="443"/>
    </row>
    <row r="683">
      <c r="A683" s="443"/>
      <c r="C683" s="443"/>
      <c r="K683" s="815"/>
      <c r="Q683" s="443"/>
    </row>
    <row r="684">
      <c r="A684" s="443"/>
      <c r="C684" s="443"/>
      <c r="K684" s="815"/>
      <c r="Q684" s="443"/>
    </row>
    <row r="685">
      <c r="A685" s="443"/>
      <c r="C685" s="443"/>
      <c r="K685" s="815"/>
      <c r="Q685" s="443"/>
    </row>
    <row r="686">
      <c r="A686" s="443"/>
      <c r="C686" s="443"/>
      <c r="K686" s="815"/>
      <c r="Q686" s="443"/>
    </row>
    <row r="687">
      <c r="A687" s="443"/>
      <c r="C687" s="443"/>
      <c r="K687" s="815"/>
      <c r="Q687" s="443"/>
    </row>
    <row r="688">
      <c r="A688" s="443"/>
      <c r="C688" s="443"/>
      <c r="K688" s="815"/>
      <c r="Q688" s="443"/>
    </row>
    <row r="689">
      <c r="A689" s="443"/>
      <c r="C689" s="443"/>
      <c r="K689" s="815"/>
      <c r="Q689" s="443"/>
    </row>
    <row r="690">
      <c r="A690" s="443"/>
      <c r="C690" s="443"/>
      <c r="K690" s="815"/>
      <c r="Q690" s="443"/>
    </row>
    <row r="691">
      <c r="A691" s="443"/>
      <c r="C691" s="443"/>
      <c r="K691" s="815"/>
      <c r="Q691" s="443"/>
    </row>
    <row r="692">
      <c r="A692" s="443"/>
      <c r="C692" s="443"/>
      <c r="K692" s="815"/>
      <c r="Q692" s="443"/>
    </row>
    <row r="693">
      <c r="A693" s="443"/>
      <c r="C693" s="443"/>
      <c r="K693" s="815"/>
      <c r="Q693" s="443"/>
    </row>
    <row r="694">
      <c r="A694" s="443"/>
      <c r="C694" s="443"/>
      <c r="K694" s="815"/>
      <c r="Q694" s="443"/>
    </row>
    <row r="695">
      <c r="A695" s="443"/>
      <c r="C695" s="443"/>
      <c r="K695" s="815"/>
      <c r="Q695" s="443"/>
    </row>
    <row r="696">
      <c r="A696" s="443"/>
      <c r="C696" s="443"/>
      <c r="K696" s="815"/>
      <c r="Q696" s="443"/>
    </row>
    <row r="697">
      <c r="A697" s="443"/>
      <c r="C697" s="443"/>
      <c r="K697" s="815"/>
      <c r="Q697" s="443"/>
    </row>
    <row r="698">
      <c r="A698" s="443"/>
      <c r="C698" s="443"/>
      <c r="K698" s="815"/>
      <c r="Q698" s="443"/>
    </row>
    <row r="699">
      <c r="A699" s="443"/>
      <c r="C699" s="443"/>
      <c r="K699" s="815"/>
      <c r="Q699" s="443"/>
    </row>
    <row r="700">
      <c r="A700" s="443"/>
      <c r="C700" s="443"/>
      <c r="K700" s="815"/>
      <c r="Q700" s="443"/>
    </row>
    <row r="701">
      <c r="A701" s="443"/>
      <c r="C701" s="443"/>
      <c r="K701" s="815"/>
      <c r="Q701" s="443"/>
    </row>
    <row r="702">
      <c r="A702" s="443"/>
      <c r="C702" s="443"/>
      <c r="K702" s="815"/>
      <c r="Q702" s="443"/>
    </row>
    <row r="703">
      <c r="A703" s="443"/>
      <c r="C703" s="443"/>
      <c r="K703" s="815"/>
      <c r="Q703" s="443"/>
    </row>
    <row r="704">
      <c r="A704" s="443"/>
      <c r="C704" s="443"/>
      <c r="K704" s="815"/>
      <c r="Q704" s="443"/>
    </row>
    <row r="705">
      <c r="A705" s="443"/>
      <c r="C705" s="443"/>
      <c r="K705" s="815"/>
      <c r="Q705" s="443"/>
    </row>
    <row r="706">
      <c r="A706" s="443"/>
      <c r="C706" s="443"/>
      <c r="K706" s="815"/>
      <c r="Q706" s="443"/>
    </row>
    <row r="707">
      <c r="A707" s="443"/>
      <c r="C707" s="443"/>
      <c r="K707" s="815"/>
      <c r="Q707" s="443"/>
    </row>
    <row r="708">
      <c r="A708" s="443"/>
      <c r="C708" s="443"/>
      <c r="K708" s="815"/>
      <c r="Q708" s="443"/>
    </row>
    <row r="709">
      <c r="A709" s="443"/>
      <c r="C709" s="443"/>
      <c r="K709" s="815"/>
      <c r="Q709" s="443"/>
    </row>
    <row r="710">
      <c r="A710" s="443"/>
      <c r="C710" s="443"/>
      <c r="K710" s="815"/>
      <c r="Q710" s="443"/>
    </row>
    <row r="711">
      <c r="A711" s="443"/>
      <c r="C711" s="443"/>
      <c r="K711" s="815"/>
      <c r="Q711" s="443"/>
    </row>
    <row r="712">
      <c r="A712" s="443"/>
      <c r="C712" s="443"/>
      <c r="K712" s="815"/>
      <c r="Q712" s="443"/>
    </row>
    <row r="713">
      <c r="A713" s="443"/>
      <c r="C713" s="443"/>
      <c r="K713" s="815"/>
      <c r="Q713" s="443"/>
    </row>
    <row r="714">
      <c r="A714" s="443"/>
      <c r="C714" s="443"/>
      <c r="K714" s="815"/>
      <c r="Q714" s="443"/>
    </row>
    <row r="715">
      <c r="A715" s="443"/>
      <c r="C715" s="443"/>
      <c r="K715" s="815"/>
      <c r="Q715" s="443"/>
    </row>
    <row r="716">
      <c r="A716" s="443"/>
      <c r="C716" s="443"/>
      <c r="K716" s="815"/>
      <c r="Q716" s="443"/>
    </row>
    <row r="717">
      <c r="A717" s="443"/>
      <c r="C717" s="443"/>
      <c r="K717" s="815"/>
      <c r="Q717" s="443"/>
    </row>
    <row r="718">
      <c r="A718" s="443"/>
      <c r="C718" s="443"/>
      <c r="K718" s="815"/>
      <c r="Q718" s="443"/>
    </row>
    <row r="719">
      <c r="A719" s="443"/>
      <c r="C719" s="443"/>
      <c r="K719" s="815"/>
      <c r="Q719" s="443"/>
    </row>
    <row r="720">
      <c r="A720" s="443"/>
      <c r="C720" s="443"/>
      <c r="K720" s="815"/>
      <c r="Q720" s="443"/>
    </row>
    <row r="721">
      <c r="A721" s="443"/>
      <c r="C721" s="443"/>
      <c r="K721" s="815"/>
      <c r="Q721" s="443"/>
    </row>
    <row r="722">
      <c r="A722" s="443"/>
      <c r="C722" s="443"/>
      <c r="K722" s="815"/>
      <c r="Q722" s="443"/>
    </row>
    <row r="723">
      <c r="A723" s="443"/>
      <c r="C723" s="443"/>
      <c r="K723" s="815"/>
      <c r="Q723" s="443"/>
    </row>
    <row r="724">
      <c r="A724" s="443"/>
      <c r="C724" s="443"/>
      <c r="K724" s="815"/>
      <c r="Q724" s="443"/>
    </row>
    <row r="725">
      <c r="A725" s="443"/>
      <c r="C725" s="443"/>
      <c r="K725" s="815"/>
      <c r="Q725" s="443"/>
    </row>
    <row r="726">
      <c r="A726" s="443"/>
      <c r="C726" s="443"/>
      <c r="K726" s="815"/>
      <c r="Q726" s="443"/>
    </row>
    <row r="727">
      <c r="A727" s="443"/>
      <c r="C727" s="443"/>
      <c r="K727" s="815"/>
      <c r="Q727" s="443"/>
    </row>
    <row r="728">
      <c r="A728" s="443"/>
      <c r="C728" s="443"/>
      <c r="K728" s="815"/>
      <c r="Q728" s="443"/>
    </row>
    <row r="729">
      <c r="A729" s="443"/>
      <c r="C729" s="443"/>
      <c r="K729" s="815"/>
      <c r="Q729" s="443"/>
    </row>
    <row r="730">
      <c r="A730" s="443"/>
      <c r="C730" s="443"/>
      <c r="K730" s="815"/>
      <c r="Q730" s="443"/>
    </row>
    <row r="731">
      <c r="A731" s="443"/>
      <c r="C731" s="443"/>
      <c r="K731" s="815"/>
      <c r="Q731" s="443"/>
    </row>
    <row r="732">
      <c r="A732" s="443"/>
      <c r="C732" s="443"/>
      <c r="K732" s="815"/>
      <c r="Q732" s="443"/>
    </row>
    <row r="733">
      <c r="A733" s="443"/>
      <c r="C733" s="443"/>
      <c r="K733" s="815"/>
      <c r="Q733" s="443"/>
    </row>
    <row r="734">
      <c r="A734" s="443"/>
      <c r="C734" s="443"/>
      <c r="K734" s="815"/>
      <c r="Q734" s="443"/>
    </row>
    <row r="735">
      <c r="A735" s="443"/>
      <c r="C735" s="443"/>
      <c r="K735" s="815"/>
      <c r="Q735" s="443"/>
    </row>
    <row r="736">
      <c r="A736" s="443"/>
      <c r="C736" s="443"/>
      <c r="K736" s="815"/>
      <c r="Q736" s="443"/>
    </row>
    <row r="737">
      <c r="A737" s="443"/>
      <c r="C737" s="443"/>
      <c r="K737" s="815"/>
      <c r="Q737" s="443"/>
    </row>
    <row r="738">
      <c r="A738" s="443"/>
      <c r="C738" s="443"/>
      <c r="K738" s="815"/>
      <c r="Q738" s="443"/>
    </row>
    <row r="739">
      <c r="A739" s="443"/>
      <c r="C739" s="443"/>
      <c r="K739" s="815"/>
      <c r="Q739" s="443"/>
    </row>
    <row r="740">
      <c r="A740" s="443"/>
      <c r="C740" s="443"/>
      <c r="K740" s="815"/>
      <c r="Q740" s="443"/>
    </row>
    <row r="741">
      <c r="A741" s="443"/>
      <c r="C741" s="443"/>
      <c r="K741" s="815"/>
      <c r="Q741" s="443"/>
    </row>
    <row r="742">
      <c r="A742" s="443"/>
      <c r="C742" s="443"/>
      <c r="K742" s="815"/>
      <c r="Q742" s="443"/>
    </row>
    <row r="743">
      <c r="A743" s="443"/>
      <c r="C743" s="443"/>
      <c r="K743" s="815"/>
      <c r="Q743" s="443"/>
    </row>
    <row r="744">
      <c r="A744" s="443"/>
      <c r="C744" s="443"/>
      <c r="K744" s="815"/>
      <c r="Q744" s="443"/>
    </row>
    <row r="745">
      <c r="A745" s="443"/>
      <c r="C745" s="443"/>
      <c r="K745" s="815"/>
      <c r="Q745" s="443"/>
    </row>
    <row r="746">
      <c r="A746" s="443"/>
      <c r="C746" s="443"/>
      <c r="K746" s="815"/>
      <c r="Q746" s="443"/>
    </row>
    <row r="747">
      <c r="A747" s="443"/>
      <c r="C747" s="443"/>
      <c r="K747" s="815"/>
      <c r="Q747" s="443"/>
    </row>
    <row r="748">
      <c r="A748" s="443"/>
      <c r="C748" s="443"/>
      <c r="K748" s="815"/>
      <c r="Q748" s="443"/>
    </row>
    <row r="749">
      <c r="A749" s="443"/>
      <c r="C749" s="443"/>
      <c r="K749" s="815"/>
      <c r="Q749" s="443"/>
    </row>
    <row r="750">
      <c r="A750" s="443"/>
      <c r="C750" s="443"/>
      <c r="K750" s="815"/>
      <c r="Q750" s="443"/>
    </row>
    <row r="751">
      <c r="A751" s="443"/>
      <c r="C751" s="443"/>
      <c r="K751" s="815"/>
      <c r="Q751" s="443"/>
    </row>
    <row r="752">
      <c r="A752" s="443"/>
      <c r="C752" s="443"/>
      <c r="K752" s="815"/>
      <c r="Q752" s="443"/>
    </row>
    <row r="753">
      <c r="A753" s="443"/>
      <c r="C753" s="443"/>
      <c r="K753" s="815"/>
      <c r="Q753" s="443"/>
    </row>
    <row r="754">
      <c r="A754" s="443"/>
      <c r="C754" s="443"/>
      <c r="K754" s="815"/>
      <c r="Q754" s="443"/>
    </row>
    <row r="755">
      <c r="A755" s="443"/>
      <c r="C755" s="443"/>
      <c r="K755" s="815"/>
      <c r="Q755" s="443"/>
    </row>
    <row r="756">
      <c r="A756" s="443"/>
      <c r="C756" s="443"/>
      <c r="K756" s="815"/>
      <c r="Q756" s="443"/>
    </row>
    <row r="757">
      <c r="A757" s="443"/>
      <c r="C757" s="443"/>
      <c r="K757" s="815"/>
      <c r="Q757" s="443"/>
    </row>
    <row r="758">
      <c r="A758" s="443"/>
      <c r="C758" s="443"/>
      <c r="K758" s="815"/>
      <c r="Q758" s="443"/>
    </row>
    <row r="759">
      <c r="A759" s="443"/>
      <c r="C759" s="443"/>
      <c r="K759" s="815"/>
      <c r="Q759" s="443"/>
    </row>
    <row r="760">
      <c r="A760" s="443"/>
      <c r="C760" s="443"/>
      <c r="K760" s="815"/>
      <c r="Q760" s="443"/>
    </row>
    <row r="761">
      <c r="A761" s="443"/>
      <c r="C761" s="443"/>
      <c r="K761" s="815"/>
      <c r="Q761" s="443"/>
    </row>
    <row r="762">
      <c r="A762" s="443"/>
      <c r="C762" s="443"/>
      <c r="K762" s="815"/>
      <c r="Q762" s="443"/>
    </row>
    <row r="763">
      <c r="A763" s="443"/>
      <c r="C763" s="443"/>
      <c r="K763" s="815"/>
      <c r="Q763" s="443"/>
    </row>
    <row r="764">
      <c r="A764" s="443"/>
      <c r="C764" s="443"/>
      <c r="K764" s="815"/>
      <c r="Q764" s="443"/>
    </row>
    <row r="765">
      <c r="A765" s="443"/>
      <c r="C765" s="443"/>
      <c r="K765" s="815"/>
      <c r="Q765" s="443"/>
    </row>
    <row r="766">
      <c r="A766" s="443"/>
      <c r="C766" s="443"/>
      <c r="K766" s="815"/>
      <c r="Q766" s="443"/>
    </row>
    <row r="767">
      <c r="A767" s="443"/>
      <c r="C767" s="443"/>
      <c r="K767" s="815"/>
      <c r="Q767" s="443"/>
    </row>
    <row r="768">
      <c r="A768" s="443"/>
      <c r="C768" s="443"/>
      <c r="K768" s="815"/>
      <c r="Q768" s="443"/>
    </row>
    <row r="769">
      <c r="A769" s="443"/>
      <c r="C769" s="443"/>
      <c r="K769" s="815"/>
      <c r="Q769" s="443"/>
    </row>
    <row r="770">
      <c r="A770" s="443"/>
      <c r="C770" s="443"/>
      <c r="K770" s="815"/>
      <c r="Q770" s="443"/>
    </row>
    <row r="771">
      <c r="A771" s="443"/>
      <c r="C771" s="443"/>
      <c r="K771" s="815"/>
      <c r="Q771" s="443"/>
    </row>
    <row r="772">
      <c r="A772" s="443"/>
      <c r="C772" s="443"/>
      <c r="K772" s="815"/>
      <c r="Q772" s="443"/>
    </row>
    <row r="773">
      <c r="A773" s="443"/>
      <c r="C773" s="443"/>
      <c r="K773" s="815"/>
      <c r="Q773" s="443"/>
    </row>
    <row r="774">
      <c r="A774" s="443"/>
      <c r="C774" s="443"/>
      <c r="K774" s="815"/>
      <c r="Q774" s="443"/>
    </row>
    <row r="775">
      <c r="A775" s="443"/>
      <c r="C775" s="443"/>
      <c r="K775" s="815"/>
      <c r="Q775" s="443"/>
    </row>
    <row r="776">
      <c r="A776" s="443"/>
      <c r="C776" s="443"/>
      <c r="K776" s="815"/>
      <c r="Q776" s="443"/>
    </row>
    <row r="777">
      <c r="A777" s="443"/>
      <c r="C777" s="443"/>
      <c r="K777" s="815"/>
      <c r="Q777" s="443"/>
    </row>
    <row r="778">
      <c r="A778" s="443"/>
      <c r="C778" s="443"/>
      <c r="K778" s="815"/>
      <c r="Q778" s="443"/>
    </row>
    <row r="779">
      <c r="A779" s="443"/>
      <c r="C779" s="443"/>
      <c r="K779" s="815"/>
      <c r="Q779" s="443"/>
    </row>
    <row r="780">
      <c r="A780" s="443"/>
      <c r="C780" s="443"/>
      <c r="K780" s="815"/>
      <c r="Q780" s="443"/>
    </row>
    <row r="781">
      <c r="A781" s="443"/>
      <c r="C781" s="443"/>
      <c r="K781" s="815"/>
      <c r="Q781" s="443"/>
    </row>
    <row r="782">
      <c r="A782" s="443"/>
      <c r="C782" s="443"/>
      <c r="K782" s="815"/>
      <c r="Q782" s="443"/>
    </row>
    <row r="783">
      <c r="A783" s="443"/>
      <c r="C783" s="443"/>
      <c r="K783" s="815"/>
      <c r="Q783" s="443"/>
    </row>
    <row r="784">
      <c r="A784" s="443"/>
      <c r="C784" s="443"/>
      <c r="K784" s="815"/>
      <c r="Q784" s="443"/>
    </row>
    <row r="785">
      <c r="A785" s="443"/>
      <c r="C785" s="443"/>
      <c r="K785" s="815"/>
      <c r="Q785" s="443"/>
    </row>
    <row r="786">
      <c r="A786" s="443"/>
      <c r="C786" s="443"/>
      <c r="K786" s="815"/>
      <c r="Q786" s="443"/>
    </row>
    <row r="787">
      <c r="A787" s="443"/>
      <c r="C787" s="443"/>
      <c r="K787" s="815"/>
      <c r="Q787" s="443"/>
    </row>
    <row r="788">
      <c r="A788" s="443"/>
      <c r="C788" s="443"/>
      <c r="K788" s="815"/>
      <c r="Q788" s="443"/>
    </row>
    <row r="789">
      <c r="A789" s="443"/>
      <c r="C789" s="443"/>
      <c r="K789" s="815"/>
      <c r="Q789" s="443"/>
    </row>
    <row r="790">
      <c r="A790" s="443"/>
      <c r="C790" s="443"/>
      <c r="K790" s="815"/>
      <c r="Q790" s="443"/>
    </row>
    <row r="791">
      <c r="A791" s="443"/>
      <c r="C791" s="443"/>
      <c r="K791" s="815"/>
      <c r="Q791" s="443"/>
    </row>
    <row r="792">
      <c r="A792" s="443"/>
      <c r="C792" s="443"/>
      <c r="K792" s="815"/>
      <c r="Q792" s="443"/>
    </row>
    <row r="793">
      <c r="A793" s="443"/>
      <c r="C793" s="443"/>
      <c r="K793" s="815"/>
      <c r="Q793" s="443"/>
    </row>
    <row r="794">
      <c r="A794" s="443"/>
      <c r="C794" s="443"/>
      <c r="K794" s="815"/>
      <c r="Q794" s="443"/>
    </row>
    <row r="795">
      <c r="A795" s="443"/>
      <c r="C795" s="443"/>
      <c r="K795" s="815"/>
      <c r="Q795" s="443"/>
    </row>
    <row r="796">
      <c r="A796" s="443"/>
      <c r="C796" s="443"/>
      <c r="K796" s="815"/>
      <c r="Q796" s="443"/>
    </row>
    <row r="797">
      <c r="A797" s="443"/>
      <c r="C797" s="443"/>
      <c r="K797" s="815"/>
      <c r="Q797" s="443"/>
    </row>
    <row r="798">
      <c r="A798" s="443"/>
      <c r="C798" s="443"/>
      <c r="K798" s="815"/>
      <c r="Q798" s="443"/>
    </row>
    <row r="799">
      <c r="A799" s="443"/>
      <c r="C799" s="443"/>
      <c r="K799" s="815"/>
      <c r="Q799" s="443"/>
    </row>
    <row r="800">
      <c r="A800" s="443"/>
      <c r="C800" s="443"/>
      <c r="K800" s="815"/>
      <c r="Q800" s="443"/>
    </row>
    <row r="801">
      <c r="A801" s="443"/>
      <c r="C801" s="443"/>
      <c r="K801" s="815"/>
      <c r="Q801" s="443"/>
    </row>
    <row r="802">
      <c r="A802" s="443"/>
      <c r="C802" s="443"/>
      <c r="K802" s="815"/>
      <c r="Q802" s="443"/>
    </row>
    <row r="803">
      <c r="A803" s="443"/>
      <c r="C803" s="443"/>
      <c r="K803" s="815"/>
      <c r="Q803" s="443"/>
    </row>
    <row r="804">
      <c r="A804" s="443"/>
      <c r="C804" s="443"/>
      <c r="K804" s="815"/>
      <c r="Q804" s="443"/>
    </row>
    <row r="805">
      <c r="A805" s="443"/>
      <c r="C805" s="443"/>
      <c r="K805" s="815"/>
      <c r="Q805" s="443"/>
    </row>
    <row r="806">
      <c r="A806" s="443"/>
      <c r="C806" s="443"/>
      <c r="K806" s="815"/>
      <c r="Q806" s="443"/>
    </row>
    <row r="807">
      <c r="A807" s="443"/>
      <c r="C807" s="443"/>
      <c r="K807" s="815"/>
      <c r="Q807" s="443"/>
    </row>
    <row r="808">
      <c r="A808" s="443"/>
      <c r="C808" s="443"/>
      <c r="K808" s="815"/>
      <c r="Q808" s="443"/>
    </row>
    <row r="809">
      <c r="A809" s="443"/>
      <c r="C809" s="443"/>
      <c r="K809" s="815"/>
      <c r="Q809" s="443"/>
    </row>
    <row r="810">
      <c r="A810" s="443"/>
      <c r="C810" s="443"/>
      <c r="K810" s="815"/>
      <c r="Q810" s="443"/>
    </row>
    <row r="811">
      <c r="A811" s="443"/>
      <c r="C811" s="443"/>
      <c r="K811" s="815"/>
      <c r="Q811" s="443"/>
    </row>
    <row r="812">
      <c r="A812" s="443"/>
      <c r="C812" s="443"/>
      <c r="K812" s="815"/>
      <c r="Q812" s="443"/>
    </row>
    <row r="813">
      <c r="A813" s="443"/>
      <c r="C813" s="443"/>
      <c r="K813" s="815"/>
      <c r="Q813" s="443"/>
    </row>
    <row r="814">
      <c r="A814" s="443"/>
      <c r="C814" s="443"/>
      <c r="K814" s="815"/>
      <c r="Q814" s="443"/>
    </row>
    <row r="815">
      <c r="A815" s="443"/>
      <c r="C815" s="443"/>
      <c r="K815" s="815"/>
      <c r="Q815" s="443"/>
    </row>
    <row r="816">
      <c r="A816" s="443"/>
      <c r="C816" s="443"/>
      <c r="K816" s="815"/>
      <c r="Q816" s="443"/>
    </row>
    <row r="817">
      <c r="A817" s="443"/>
      <c r="C817" s="443"/>
      <c r="K817" s="815"/>
      <c r="Q817" s="443"/>
    </row>
    <row r="818">
      <c r="A818" s="443"/>
      <c r="C818" s="443"/>
      <c r="K818" s="815"/>
      <c r="Q818" s="443"/>
    </row>
    <row r="819">
      <c r="A819" s="443"/>
      <c r="C819" s="443"/>
      <c r="K819" s="815"/>
      <c r="Q819" s="443"/>
    </row>
    <row r="820">
      <c r="A820" s="443"/>
      <c r="C820" s="443"/>
      <c r="K820" s="815"/>
      <c r="Q820" s="443"/>
    </row>
    <row r="821">
      <c r="A821" s="443"/>
      <c r="C821" s="443"/>
      <c r="K821" s="815"/>
      <c r="Q821" s="443"/>
    </row>
    <row r="822">
      <c r="A822" s="443"/>
      <c r="C822" s="443"/>
      <c r="K822" s="815"/>
      <c r="Q822" s="443"/>
    </row>
    <row r="823">
      <c r="A823" s="443"/>
      <c r="C823" s="443"/>
      <c r="K823" s="815"/>
      <c r="Q823" s="443"/>
    </row>
    <row r="824">
      <c r="A824" s="443"/>
      <c r="C824" s="443"/>
      <c r="K824" s="815"/>
      <c r="Q824" s="443"/>
    </row>
    <row r="825">
      <c r="A825" s="443"/>
      <c r="C825" s="443"/>
      <c r="K825" s="815"/>
      <c r="Q825" s="443"/>
    </row>
    <row r="826">
      <c r="A826" s="443"/>
      <c r="C826" s="443"/>
      <c r="K826" s="815"/>
      <c r="Q826" s="443"/>
    </row>
    <row r="827">
      <c r="A827" s="443"/>
      <c r="C827" s="443"/>
      <c r="K827" s="815"/>
      <c r="Q827" s="443"/>
    </row>
    <row r="828">
      <c r="A828" s="443"/>
      <c r="C828" s="443"/>
      <c r="K828" s="815"/>
      <c r="Q828" s="443"/>
    </row>
    <row r="829">
      <c r="A829" s="443"/>
      <c r="C829" s="443"/>
      <c r="K829" s="815"/>
      <c r="Q829" s="443"/>
    </row>
    <row r="830">
      <c r="A830" s="443"/>
      <c r="C830" s="443"/>
      <c r="K830" s="815"/>
      <c r="Q830" s="443"/>
    </row>
    <row r="831">
      <c r="A831" s="443"/>
      <c r="C831" s="443"/>
      <c r="K831" s="815"/>
      <c r="Q831" s="443"/>
    </row>
    <row r="832">
      <c r="A832" s="443"/>
      <c r="C832" s="443"/>
      <c r="K832" s="815"/>
      <c r="Q832" s="443"/>
    </row>
    <row r="833">
      <c r="A833" s="443"/>
      <c r="C833" s="443"/>
      <c r="K833" s="815"/>
      <c r="Q833" s="443"/>
    </row>
    <row r="834">
      <c r="A834" s="443"/>
      <c r="C834" s="443"/>
      <c r="K834" s="815"/>
      <c r="Q834" s="443"/>
    </row>
    <row r="835">
      <c r="A835" s="443"/>
      <c r="C835" s="443"/>
      <c r="K835" s="815"/>
      <c r="Q835" s="443"/>
    </row>
    <row r="836">
      <c r="A836" s="443"/>
      <c r="C836" s="443"/>
      <c r="K836" s="815"/>
      <c r="Q836" s="443"/>
    </row>
    <row r="837">
      <c r="A837" s="443"/>
      <c r="C837" s="443"/>
      <c r="K837" s="815"/>
      <c r="Q837" s="443"/>
    </row>
    <row r="838">
      <c r="A838" s="443"/>
      <c r="C838" s="443"/>
      <c r="K838" s="815"/>
      <c r="Q838" s="443"/>
    </row>
    <row r="839">
      <c r="A839" s="443"/>
      <c r="C839" s="443"/>
      <c r="K839" s="815"/>
      <c r="Q839" s="443"/>
    </row>
    <row r="840">
      <c r="A840" s="443"/>
      <c r="C840" s="443"/>
      <c r="K840" s="815"/>
      <c r="Q840" s="443"/>
    </row>
    <row r="841">
      <c r="A841" s="443"/>
      <c r="C841" s="443"/>
      <c r="K841" s="815"/>
      <c r="Q841" s="443"/>
    </row>
    <row r="842">
      <c r="A842" s="443"/>
      <c r="C842" s="443"/>
      <c r="K842" s="815"/>
      <c r="Q842" s="443"/>
    </row>
    <row r="843">
      <c r="A843" s="443"/>
      <c r="C843" s="443"/>
      <c r="K843" s="815"/>
      <c r="Q843" s="443"/>
    </row>
    <row r="844">
      <c r="A844" s="443"/>
      <c r="C844" s="443"/>
      <c r="K844" s="815"/>
      <c r="Q844" s="443"/>
    </row>
    <row r="845">
      <c r="A845" s="443"/>
      <c r="C845" s="443"/>
      <c r="K845" s="815"/>
      <c r="Q845" s="443"/>
    </row>
    <row r="846">
      <c r="A846" s="443"/>
      <c r="C846" s="443"/>
      <c r="K846" s="815"/>
      <c r="Q846" s="443"/>
    </row>
    <row r="847">
      <c r="A847" s="443"/>
      <c r="C847" s="443"/>
      <c r="K847" s="815"/>
      <c r="Q847" s="443"/>
    </row>
    <row r="848">
      <c r="A848" s="443"/>
      <c r="C848" s="443"/>
      <c r="K848" s="815"/>
      <c r="Q848" s="443"/>
    </row>
    <row r="849">
      <c r="A849" s="443"/>
      <c r="C849" s="443"/>
      <c r="K849" s="815"/>
      <c r="Q849" s="443"/>
    </row>
    <row r="850">
      <c r="A850" s="443"/>
      <c r="C850" s="443"/>
      <c r="K850" s="815"/>
      <c r="Q850" s="443"/>
    </row>
    <row r="851">
      <c r="A851" s="443"/>
      <c r="C851" s="443"/>
      <c r="K851" s="815"/>
      <c r="Q851" s="443"/>
    </row>
    <row r="852">
      <c r="A852" s="443"/>
      <c r="C852" s="443"/>
      <c r="K852" s="815"/>
      <c r="Q852" s="443"/>
    </row>
    <row r="853">
      <c r="A853" s="443"/>
      <c r="C853" s="443"/>
      <c r="K853" s="815"/>
      <c r="Q853" s="443"/>
    </row>
    <row r="854">
      <c r="A854" s="443"/>
      <c r="C854" s="443"/>
      <c r="K854" s="815"/>
      <c r="Q854" s="443"/>
    </row>
    <row r="855">
      <c r="A855" s="443"/>
      <c r="C855" s="443"/>
      <c r="K855" s="815"/>
      <c r="Q855" s="443"/>
    </row>
    <row r="856">
      <c r="A856" s="443"/>
      <c r="C856" s="443"/>
      <c r="K856" s="815"/>
      <c r="Q856" s="443"/>
    </row>
    <row r="857">
      <c r="A857" s="443"/>
      <c r="C857" s="443"/>
      <c r="K857" s="815"/>
      <c r="Q857" s="443"/>
    </row>
    <row r="858">
      <c r="A858" s="443"/>
      <c r="C858" s="443"/>
      <c r="K858" s="815"/>
      <c r="Q858" s="443"/>
    </row>
    <row r="859">
      <c r="A859" s="443"/>
      <c r="C859" s="443"/>
      <c r="K859" s="815"/>
      <c r="Q859" s="443"/>
    </row>
    <row r="860">
      <c r="A860" s="443"/>
      <c r="C860" s="443"/>
      <c r="K860" s="815"/>
      <c r="Q860" s="443"/>
    </row>
    <row r="861">
      <c r="A861" s="443"/>
      <c r="C861" s="443"/>
      <c r="K861" s="815"/>
      <c r="Q861" s="443"/>
    </row>
    <row r="862">
      <c r="A862" s="443"/>
      <c r="C862" s="443"/>
      <c r="K862" s="815"/>
      <c r="Q862" s="443"/>
    </row>
    <row r="863">
      <c r="A863" s="443"/>
      <c r="C863" s="443"/>
      <c r="K863" s="815"/>
      <c r="Q863" s="443"/>
    </row>
    <row r="864">
      <c r="A864" s="443"/>
      <c r="C864" s="443"/>
      <c r="K864" s="815"/>
      <c r="Q864" s="443"/>
    </row>
    <row r="865">
      <c r="A865" s="443"/>
      <c r="C865" s="443"/>
      <c r="K865" s="815"/>
      <c r="Q865" s="443"/>
    </row>
    <row r="866">
      <c r="A866" s="443"/>
      <c r="C866" s="443"/>
      <c r="K866" s="815"/>
      <c r="Q866" s="443"/>
    </row>
    <row r="867">
      <c r="A867" s="443"/>
      <c r="C867" s="443"/>
      <c r="K867" s="815"/>
      <c r="Q867" s="443"/>
    </row>
    <row r="868">
      <c r="A868" s="443"/>
      <c r="C868" s="443"/>
      <c r="K868" s="815"/>
      <c r="Q868" s="443"/>
    </row>
    <row r="869">
      <c r="A869" s="443"/>
      <c r="C869" s="443"/>
      <c r="K869" s="815"/>
      <c r="Q869" s="443"/>
    </row>
    <row r="870">
      <c r="A870" s="443"/>
      <c r="C870" s="443"/>
      <c r="K870" s="815"/>
      <c r="Q870" s="443"/>
    </row>
    <row r="871">
      <c r="A871" s="443"/>
      <c r="C871" s="443"/>
      <c r="K871" s="815"/>
      <c r="Q871" s="443"/>
    </row>
    <row r="872">
      <c r="A872" s="443"/>
      <c r="C872" s="443"/>
      <c r="K872" s="815"/>
      <c r="Q872" s="443"/>
    </row>
    <row r="873">
      <c r="A873" s="443"/>
      <c r="C873" s="443"/>
      <c r="K873" s="815"/>
      <c r="Q873" s="443"/>
    </row>
    <row r="874">
      <c r="A874" s="443"/>
      <c r="C874" s="443"/>
      <c r="K874" s="815"/>
      <c r="Q874" s="443"/>
    </row>
    <row r="875">
      <c r="A875" s="443"/>
      <c r="C875" s="443"/>
      <c r="K875" s="815"/>
      <c r="Q875" s="443"/>
    </row>
    <row r="876">
      <c r="A876" s="443"/>
      <c r="C876" s="443"/>
      <c r="K876" s="815"/>
      <c r="Q876" s="443"/>
    </row>
    <row r="877">
      <c r="A877" s="443"/>
      <c r="C877" s="443"/>
      <c r="K877" s="815"/>
      <c r="Q877" s="443"/>
    </row>
    <row r="878">
      <c r="A878" s="443"/>
      <c r="C878" s="443"/>
      <c r="K878" s="815"/>
      <c r="Q878" s="443"/>
    </row>
    <row r="879">
      <c r="A879" s="443"/>
      <c r="C879" s="443"/>
      <c r="K879" s="815"/>
      <c r="Q879" s="443"/>
    </row>
    <row r="880">
      <c r="A880" s="443"/>
      <c r="C880" s="443"/>
      <c r="K880" s="815"/>
      <c r="Q880" s="443"/>
    </row>
    <row r="881">
      <c r="A881" s="443"/>
      <c r="C881" s="443"/>
      <c r="K881" s="815"/>
      <c r="Q881" s="443"/>
    </row>
    <row r="882">
      <c r="A882" s="443"/>
      <c r="C882" s="443"/>
      <c r="K882" s="815"/>
      <c r="Q882" s="443"/>
    </row>
    <row r="883">
      <c r="A883" s="443"/>
      <c r="C883" s="443"/>
      <c r="K883" s="815"/>
      <c r="Q883" s="443"/>
    </row>
    <row r="884">
      <c r="A884" s="443"/>
      <c r="C884" s="443"/>
      <c r="K884" s="815"/>
      <c r="Q884" s="443"/>
    </row>
    <row r="885">
      <c r="A885" s="443"/>
      <c r="C885" s="443"/>
      <c r="K885" s="815"/>
      <c r="Q885" s="443"/>
    </row>
    <row r="886">
      <c r="A886" s="443"/>
      <c r="C886" s="443"/>
      <c r="K886" s="815"/>
      <c r="Q886" s="443"/>
    </row>
    <row r="887">
      <c r="A887" s="443"/>
      <c r="C887" s="443"/>
      <c r="K887" s="815"/>
      <c r="Q887" s="443"/>
    </row>
    <row r="888">
      <c r="A888" s="443"/>
      <c r="C888" s="443"/>
      <c r="K888" s="815"/>
      <c r="Q888" s="443"/>
    </row>
    <row r="889">
      <c r="A889" s="443"/>
      <c r="C889" s="443"/>
      <c r="K889" s="815"/>
      <c r="Q889" s="443"/>
    </row>
    <row r="890">
      <c r="A890" s="443"/>
      <c r="C890" s="443"/>
      <c r="K890" s="815"/>
      <c r="Q890" s="443"/>
    </row>
    <row r="891">
      <c r="A891" s="443"/>
      <c r="C891" s="443"/>
      <c r="K891" s="815"/>
      <c r="Q891" s="443"/>
    </row>
    <row r="892">
      <c r="A892" s="443"/>
      <c r="C892" s="443"/>
      <c r="K892" s="815"/>
      <c r="Q892" s="443"/>
    </row>
    <row r="893">
      <c r="A893" s="443"/>
      <c r="C893" s="443"/>
      <c r="K893" s="815"/>
      <c r="Q893" s="443"/>
    </row>
    <row r="894">
      <c r="A894" s="443"/>
      <c r="C894" s="443"/>
      <c r="K894" s="815"/>
      <c r="Q894" s="443"/>
    </row>
    <row r="895">
      <c r="A895" s="443"/>
      <c r="C895" s="443"/>
      <c r="K895" s="815"/>
      <c r="Q895" s="443"/>
    </row>
    <row r="896">
      <c r="A896" s="443"/>
      <c r="C896" s="443"/>
      <c r="K896" s="815"/>
      <c r="Q896" s="443"/>
    </row>
    <row r="897">
      <c r="A897" s="443"/>
      <c r="C897" s="443"/>
      <c r="K897" s="815"/>
      <c r="Q897" s="443"/>
    </row>
    <row r="898">
      <c r="A898" s="443"/>
      <c r="C898" s="443"/>
      <c r="K898" s="815"/>
      <c r="Q898" s="443"/>
    </row>
    <row r="899">
      <c r="A899" s="443"/>
      <c r="C899" s="443"/>
      <c r="K899" s="815"/>
      <c r="Q899" s="443"/>
    </row>
    <row r="900">
      <c r="A900" s="443"/>
      <c r="C900" s="443"/>
      <c r="K900" s="815"/>
      <c r="Q900" s="443"/>
    </row>
    <row r="901">
      <c r="A901" s="443"/>
      <c r="C901" s="443"/>
      <c r="K901" s="815"/>
      <c r="Q901" s="443"/>
    </row>
    <row r="902">
      <c r="A902" s="443"/>
      <c r="C902" s="443"/>
      <c r="K902" s="815"/>
      <c r="Q902" s="443"/>
    </row>
    <row r="903">
      <c r="A903" s="443"/>
      <c r="C903" s="443"/>
      <c r="K903" s="815"/>
      <c r="Q903" s="443"/>
    </row>
    <row r="904">
      <c r="A904" s="443"/>
      <c r="C904" s="443"/>
      <c r="K904" s="815"/>
      <c r="Q904" s="443"/>
    </row>
    <row r="905">
      <c r="A905" s="443"/>
      <c r="C905" s="443"/>
      <c r="K905" s="815"/>
      <c r="Q905" s="443"/>
    </row>
    <row r="906">
      <c r="A906" s="443"/>
      <c r="C906" s="443"/>
      <c r="K906" s="815"/>
      <c r="Q906" s="443"/>
    </row>
    <row r="907">
      <c r="A907" s="443"/>
      <c r="C907" s="443"/>
      <c r="K907" s="815"/>
      <c r="Q907" s="443"/>
    </row>
    <row r="908">
      <c r="A908" s="443"/>
      <c r="C908" s="443"/>
      <c r="K908" s="815"/>
      <c r="Q908" s="443"/>
    </row>
    <row r="909">
      <c r="A909" s="443"/>
      <c r="C909" s="443"/>
      <c r="K909" s="815"/>
      <c r="Q909" s="443"/>
    </row>
    <row r="910">
      <c r="A910" s="443"/>
      <c r="C910" s="443"/>
      <c r="K910" s="815"/>
      <c r="Q910" s="443"/>
    </row>
    <row r="911">
      <c r="A911" s="443"/>
      <c r="C911" s="443"/>
      <c r="K911" s="815"/>
      <c r="Q911" s="443"/>
    </row>
    <row r="912">
      <c r="A912" s="443"/>
      <c r="C912" s="443"/>
      <c r="K912" s="815"/>
      <c r="Q912" s="443"/>
    </row>
    <row r="913">
      <c r="A913" s="443"/>
      <c r="C913" s="443"/>
      <c r="K913" s="815"/>
      <c r="Q913" s="443"/>
    </row>
    <row r="914">
      <c r="A914" s="443"/>
      <c r="C914" s="443"/>
      <c r="K914" s="815"/>
      <c r="Q914" s="443"/>
    </row>
    <row r="915">
      <c r="A915" s="443"/>
      <c r="C915" s="443"/>
      <c r="K915" s="815"/>
      <c r="Q915" s="443"/>
    </row>
    <row r="916">
      <c r="A916" s="443"/>
      <c r="C916" s="443"/>
      <c r="K916" s="815"/>
      <c r="Q916" s="443"/>
    </row>
    <row r="917">
      <c r="A917" s="443"/>
      <c r="C917" s="443"/>
      <c r="K917" s="815"/>
      <c r="Q917" s="443"/>
    </row>
    <row r="918">
      <c r="A918" s="443"/>
      <c r="C918" s="443"/>
      <c r="K918" s="815"/>
      <c r="Q918" s="443"/>
    </row>
    <row r="919">
      <c r="A919" s="443"/>
      <c r="C919" s="443"/>
      <c r="K919" s="815"/>
      <c r="Q919" s="443"/>
    </row>
    <row r="920">
      <c r="A920" s="443"/>
      <c r="C920" s="443"/>
      <c r="K920" s="815"/>
      <c r="Q920" s="443"/>
    </row>
    <row r="921">
      <c r="A921" s="443"/>
      <c r="C921" s="443"/>
      <c r="K921" s="815"/>
      <c r="Q921" s="443"/>
    </row>
    <row r="922">
      <c r="A922" s="443"/>
      <c r="C922" s="443"/>
      <c r="K922" s="815"/>
      <c r="Q922" s="443"/>
    </row>
    <row r="923">
      <c r="A923" s="443"/>
      <c r="C923" s="443"/>
      <c r="K923" s="815"/>
      <c r="Q923" s="443"/>
    </row>
    <row r="924">
      <c r="A924" s="443"/>
      <c r="C924" s="443"/>
      <c r="K924" s="815"/>
      <c r="Q924" s="443"/>
    </row>
    <row r="925">
      <c r="A925" s="443"/>
      <c r="C925" s="443"/>
      <c r="K925" s="815"/>
      <c r="Q925" s="443"/>
    </row>
    <row r="926">
      <c r="A926" s="443"/>
      <c r="C926" s="443"/>
      <c r="K926" s="815"/>
      <c r="Q926" s="443"/>
    </row>
    <row r="927">
      <c r="A927" s="443"/>
      <c r="C927" s="443"/>
      <c r="K927" s="815"/>
      <c r="Q927" s="443"/>
    </row>
    <row r="928">
      <c r="A928" s="443"/>
      <c r="C928" s="443"/>
      <c r="K928" s="815"/>
      <c r="Q928" s="443"/>
    </row>
    <row r="929">
      <c r="A929" s="443"/>
      <c r="C929" s="443"/>
      <c r="K929" s="815"/>
      <c r="Q929" s="443"/>
    </row>
    <row r="930">
      <c r="A930" s="443"/>
      <c r="C930" s="443"/>
      <c r="K930" s="815"/>
      <c r="Q930" s="443"/>
    </row>
    <row r="931">
      <c r="A931" s="443"/>
      <c r="C931" s="443"/>
      <c r="K931" s="815"/>
      <c r="Q931" s="443"/>
    </row>
    <row r="932">
      <c r="A932" s="443"/>
      <c r="C932" s="443"/>
      <c r="K932" s="815"/>
      <c r="Q932" s="443"/>
    </row>
    <row r="933">
      <c r="A933" s="443"/>
      <c r="C933" s="443"/>
      <c r="K933" s="815"/>
      <c r="Q933" s="443"/>
    </row>
    <row r="934">
      <c r="A934" s="443"/>
      <c r="C934" s="443"/>
      <c r="K934" s="815"/>
      <c r="Q934" s="443"/>
    </row>
    <row r="935">
      <c r="A935" s="443"/>
      <c r="C935" s="443"/>
      <c r="K935" s="815"/>
      <c r="Q935" s="443"/>
    </row>
    <row r="936">
      <c r="A936" s="443"/>
      <c r="C936" s="443"/>
      <c r="K936" s="815"/>
      <c r="Q936" s="443"/>
    </row>
    <row r="937">
      <c r="A937" s="443"/>
      <c r="C937" s="443"/>
      <c r="K937" s="815"/>
      <c r="Q937" s="443"/>
    </row>
    <row r="938">
      <c r="A938" s="443"/>
      <c r="C938" s="443"/>
      <c r="K938" s="815"/>
      <c r="Q938" s="443"/>
    </row>
    <row r="939">
      <c r="A939" s="443"/>
      <c r="C939" s="443"/>
      <c r="K939" s="815"/>
      <c r="Q939" s="443"/>
    </row>
    <row r="940">
      <c r="A940" s="443"/>
      <c r="C940" s="443"/>
      <c r="K940" s="815"/>
      <c r="Q940" s="443"/>
    </row>
    <row r="941">
      <c r="A941" s="443"/>
      <c r="C941" s="443"/>
      <c r="K941" s="815"/>
      <c r="Q941" s="443"/>
    </row>
    <row r="942">
      <c r="A942" s="443"/>
      <c r="C942" s="443"/>
      <c r="K942" s="815"/>
      <c r="Q942" s="443"/>
    </row>
    <row r="943">
      <c r="A943" s="443"/>
      <c r="C943" s="443"/>
      <c r="K943" s="815"/>
      <c r="Q943" s="443"/>
    </row>
    <row r="944">
      <c r="A944" s="443"/>
      <c r="C944" s="443"/>
      <c r="K944" s="815"/>
      <c r="Q944" s="443"/>
    </row>
    <row r="945">
      <c r="A945" s="443"/>
      <c r="C945" s="443"/>
      <c r="K945" s="815"/>
      <c r="Q945" s="443"/>
    </row>
    <row r="946">
      <c r="A946" s="443"/>
      <c r="C946" s="443"/>
      <c r="K946" s="815"/>
      <c r="Q946" s="443"/>
    </row>
    <row r="947">
      <c r="A947" s="443"/>
      <c r="C947" s="443"/>
      <c r="K947" s="815"/>
      <c r="Q947" s="443"/>
    </row>
    <row r="948">
      <c r="A948" s="443"/>
      <c r="C948" s="443"/>
      <c r="K948" s="815"/>
      <c r="Q948" s="443"/>
    </row>
    <row r="949">
      <c r="A949" s="443"/>
      <c r="C949" s="443"/>
      <c r="K949" s="815"/>
      <c r="Q949" s="443"/>
    </row>
    <row r="950">
      <c r="A950" s="443"/>
      <c r="C950" s="443"/>
      <c r="K950" s="815"/>
      <c r="Q950" s="443"/>
    </row>
    <row r="951">
      <c r="A951" s="443"/>
      <c r="C951" s="443"/>
      <c r="K951" s="815"/>
      <c r="Q951" s="443"/>
    </row>
    <row r="952">
      <c r="A952" s="443"/>
      <c r="C952" s="443"/>
      <c r="K952" s="815"/>
      <c r="Q952" s="443"/>
    </row>
    <row r="953">
      <c r="A953" s="443"/>
      <c r="C953" s="443"/>
      <c r="K953" s="815"/>
      <c r="Q953" s="443"/>
    </row>
    <row r="954">
      <c r="A954" s="443"/>
      <c r="C954" s="443"/>
      <c r="K954" s="815"/>
      <c r="Q954" s="443"/>
    </row>
    <row r="955">
      <c r="A955" s="443"/>
      <c r="C955" s="443"/>
      <c r="K955" s="815"/>
      <c r="Q955" s="443"/>
    </row>
    <row r="956">
      <c r="A956" s="443"/>
      <c r="C956" s="443"/>
      <c r="K956" s="815"/>
      <c r="Q956" s="443"/>
    </row>
    <row r="957">
      <c r="A957" s="443"/>
      <c r="C957" s="443"/>
      <c r="K957" s="815"/>
      <c r="Q957" s="443"/>
    </row>
    <row r="958">
      <c r="A958" s="443"/>
      <c r="C958" s="443"/>
      <c r="K958" s="815"/>
      <c r="Q958" s="443"/>
    </row>
    <row r="959">
      <c r="A959" s="443"/>
      <c r="C959" s="443"/>
      <c r="K959" s="815"/>
      <c r="Q959" s="443"/>
    </row>
    <row r="960">
      <c r="A960" s="443"/>
      <c r="C960" s="443"/>
      <c r="K960" s="815"/>
      <c r="Q960" s="443"/>
    </row>
    <row r="961">
      <c r="A961" s="443"/>
      <c r="C961" s="443"/>
      <c r="K961" s="815"/>
      <c r="Q961" s="443"/>
    </row>
    <row r="962">
      <c r="A962" s="443"/>
      <c r="C962" s="443"/>
      <c r="K962" s="815"/>
      <c r="Q962" s="443"/>
    </row>
    <row r="963">
      <c r="A963" s="443"/>
      <c r="C963" s="443"/>
      <c r="K963" s="815"/>
      <c r="Q963" s="443"/>
    </row>
    <row r="964">
      <c r="A964" s="443"/>
      <c r="C964" s="443"/>
      <c r="K964" s="815"/>
      <c r="Q964" s="443"/>
    </row>
    <row r="965">
      <c r="A965" s="443"/>
      <c r="C965" s="443"/>
      <c r="K965" s="815"/>
      <c r="Q965" s="443"/>
    </row>
    <row r="966">
      <c r="A966" s="443"/>
      <c r="C966" s="443"/>
      <c r="K966" s="815"/>
      <c r="Q966" s="443"/>
    </row>
    <row r="967">
      <c r="A967" s="443"/>
      <c r="C967" s="443"/>
      <c r="K967" s="815"/>
      <c r="Q967" s="443"/>
    </row>
    <row r="968">
      <c r="A968" s="443"/>
      <c r="C968" s="443"/>
      <c r="K968" s="815"/>
      <c r="Q968" s="443"/>
    </row>
    <row r="969">
      <c r="A969" s="443"/>
      <c r="C969" s="443"/>
      <c r="K969" s="815"/>
      <c r="Q969" s="443"/>
    </row>
    <row r="970">
      <c r="A970" s="443"/>
      <c r="C970" s="443"/>
      <c r="K970" s="815"/>
      <c r="Q970" s="443"/>
    </row>
    <row r="971">
      <c r="A971" s="443"/>
      <c r="C971" s="443"/>
      <c r="K971" s="815"/>
      <c r="Q971" s="443"/>
    </row>
    <row r="972">
      <c r="A972" s="443"/>
      <c r="C972" s="443"/>
      <c r="K972" s="815"/>
      <c r="Q972" s="443"/>
    </row>
    <row r="973">
      <c r="A973" s="443"/>
      <c r="C973" s="443"/>
      <c r="K973" s="815"/>
      <c r="Q973" s="443"/>
    </row>
    <row r="974">
      <c r="A974" s="443"/>
      <c r="C974" s="443"/>
      <c r="K974" s="815"/>
      <c r="Q974" s="443"/>
    </row>
    <row r="975">
      <c r="A975" s="443"/>
      <c r="C975" s="443"/>
      <c r="K975" s="815"/>
      <c r="Q975" s="443"/>
    </row>
    <row r="976">
      <c r="A976" s="443"/>
      <c r="C976" s="443"/>
      <c r="K976" s="815"/>
      <c r="Q976" s="443"/>
    </row>
    <row r="977">
      <c r="A977" s="443"/>
      <c r="C977" s="443"/>
      <c r="K977" s="815"/>
      <c r="Q977" s="443"/>
    </row>
    <row r="978">
      <c r="A978" s="443"/>
      <c r="C978" s="443"/>
      <c r="K978" s="815"/>
      <c r="Q978" s="443"/>
    </row>
    <row r="979">
      <c r="A979" s="443"/>
      <c r="C979" s="443"/>
      <c r="K979" s="815"/>
      <c r="Q979" s="443"/>
    </row>
    <row r="980">
      <c r="A980" s="443"/>
      <c r="C980" s="443"/>
      <c r="K980" s="815"/>
      <c r="Q980" s="443"/>
    </row>
    <row r="981">
      <c r="A981" s="443"/>
      <c r="C981" s="443"/>
      <c r="K981" s="815"/>
      <c r="Q981" s="443"/>
    </row>
    <row r="982">
      <c r="A982" s="443"/>
      <c r="C982" s="443"/>
      <c r="K982" s="815"/>
      <c r="Q982" s="443"/>
    </row>
    <row r="983">
      <c r="A983" s="443"/>
      <c r="C983" s="443"/>
      <c r="K983" s="815"/>
      <c r="Q983" s="443"/>
    </row>
    <row r="984">
      <c r="A984" s="443"/>
      <c r="C984" s="443"/>
      <c r="K984" s="815"/>
      <c r="Q984" s="443"/>
    </row>
    <row r="985">
      <c r="A985" s="443"/>
      <c r="C985" s="443"/>
      <c r="K985" s="815"/>
      <c r="Q985" s="443"/>
    </row>
    <row r="986">
      <c r="A986" s="443"/>
      <c r="C986" s="443"/>
      <c r="K986" s="815"/>
      <c r="Q986" s="443"/>
    </row>
    <row r="987">
      <c r="A987" s="443"/>
      <c r="C987" s="443"/>
      <c r="K987" s="815"/>
      <c r="Q987" s="443"/>
    </row>
    <row r="988">
      <c r="A988" s="443"/>
      <c r="C988" s="443"/>
      <c r="K988" s="815"/>
      <c r="Q988" s="443"/>
    </row>
    <row r="989">
      <c r="A989" s="443"/>
      <c r="C989" s="443"/>
      <c r="K989" s="815"/>
      <c r="Q989" s="443"/>
    </row>
    <row r="990">
      <c r="A990" s="443"/>
      <c r="C990" s="443"/>
      <c r="K990" s="815"/>
      <c r="Q990" s="443"/>
    </row>
    <row r="991">
      <c r="A991" s="443"/>
      <c r="C991" s="443"/>
      <c r="K991" s="815"/>
      <c r="Q991" s="443"/>
    </row>
    <row r="992">
      <c r="A992" s="443"/>
      <c r="C992" s="443"/>
      <c r="K992" s="815"/>
      <c r="Q992" s="443"/>
    </row>
    <row r="993">
      <c r="A993" s="443"/>
      <c r="C993" s="443"/>
      <c r="K993" s="815"/>
      <c r="Q993" s="443"/>
    </row>
  </sheetData>
  <autoFilter ref="$Q$1:$Q$993"/>
  <mergeCells count="1">
    <mergeCell ref="O152:P15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86"/>
    <col customWidth="1" min="2" max="2" width="20.29"/>
    <col customWidth="1" min="3" max="3" width="58.0"/>
    <col customWidth="1" min="4" max="4" width="40.29"/>
    <col customWidth="1" min="5" max="5" width="19.71"/>
    <col customWidth="1" min="6" max="6" width="21.29"/>
  </cols>
  <sheetData>
    <row r="1">
      <c r="A1" s="39"/>
      <c r="B1" s="39"/>
      <c r="C1" s="39"/>
    </row>
    <row r="2">
      <c r="A2" s="39" t="s">
        <v>9305</v>
      </c>
      <c r="B2" s="816">
        <v>9.7333622111E10</v>
      </c>
      <c r="C2" s="39" t="s">
        <v>9306</v>
      </c>
      <c r="D2" s="39" t="s">
        <v>1009</v>
      </c>
    </row>
    <row r="3">
      <c r="A3" s="39" t="s">
        <v>9307</v>
      </c>
      <c r="B3" s="816">
        <v>8.613127806822E12</v>
      </c>
      <c r="C3" s="39" t="s">
        <v>9308</v>
      </c>
      <c r="D3" s="39" t="s">
        <v>9309</v>
      </c>
    </row>
    <row r="4">
      <c r="A4" s="39" t="s">
        <v>9310</v>
      </c>
      <c r="B4" s="816">
        <v>5.02610039E8</v>
      </c>
      <c r="C4" s="39" t="s">
        <v>9311</v>
      </c>
      <c r="D4" s="39" t="s">
        <v>9312</v>
      </c>
    </row>
    <row r="5">
      <c r="A5" s="39" t="s">
        <v>9313</v>
      </c>
      <c r="B5" s="816">
        <v>5.06127847E8</v>
      </c>
      <c r="C5" s="39" t="s">
        <v>9314</v>
      </c>
    </row>
    <row r="6">
      <c r="A6" s="39" t="s">
        <v>3686</v>
      </c>
      <c r="B6" s="816">
        <v>5.55485231E8</v>
      </c>
      <c r="C6" s="39" t="s">
        <v>9315</v>
      </c>
      <c r="D6" s="39" t="s">
        <v>9316</v>
      </c>
    </row>
    <row r="7">
      <c r="A7" s="39" t="s">
        <v>3702</v>
      </c>
      <c r="B7" s="816">
        <v>5.52003049E8</v>
      </c>
      <c r="C7" s="39" t="s">
        <v>9317</v>
      </c>
      <c r="D7" s="39" t="s">
        <v>9318</v>
      </c>
    </row>
    <row r="8">
      <c r="A8" s="39" t="s">
        <v>9319</v>
      </c>
      <c r="B8" s="816">
        <v>5.01065794E8</v>
      </c>
      <c r="C8" s="39" t="s">
        <v>9320</v>
      </c>
    </row>
    <row r="9">
      <c r="A9" s="39" t="s">
        <v>9321</v>
      </c>
      <c r="B9" s="816">
        <v>9.2301888888E11</v>
      </c>
      <c r="C9" s="39" t="s">
        <v>9322</v>
      </c>
      <c r="D9" s="39" t="s">
        <v>9323</v>
      </c>
    </row>
    <row r="10">
      <c r="A10" s="39" t="s">
        <v>9324</v>
      </c>
      <c r="B10" s="816">
        <v>9.6566792777E10</v>
      </c>
      <c r="C10" s="39" t="s">
        <v>9308</v>
      </c>
    </row>
    <row r="11">
      <c r="A11" s="39" t="s">
        <v>9325</v>
      </c>
      <c r="B11" s="816">
        <v>5.06409829E8</v>
      </c>
      <c r="C11" s="39" t="s">
        <v>9326</v>
      </c>
      <c r="D11" s="39" t="s">
        <v>9327</v>
      </c>
    </row>
    <row r="12">
      <c r="A12" s="39" t="s">
        <v>9328</v>
      </c>
      <c r="B12" s="816">
        <v>5.610909E8</v>
      </c>
      <c r="C12" s="39" t="s">
        <v>9329</v>
      </c>
    </row>
    <row r="13">
      <c r="A13" s="39" t="s">
        <v>9330</v>
      </c>
      <c r="B13" s="816">
        <v>5.55640648E8</v>
      </c>
      <c r="C13" s="39" t="s">
        <v>9331</v>
      </c>
      <c r="D13" s="39" t="s">
        <v>9332</v>
      </c>
    </row>
    <row r="14">
      <c r="A14" s="39" t="s">
        <v>1741</v>
      </c>
      <c r="B14" s="816">
        <v>5.44471772E8</v>
      </c>
      <c r="C14" s="39" t="s">
        <v>9333</v>
      </c>
    </row>
    <row r="15">
      <c r="A15" s="39" t="s">
        <v>3690</v>
      </c>
      <c r="B15" s="816">
        <v>5.08466462E8</v>
      </c>
      <c r="C15" s="39" t="s">
        <v>9334</v>
      </c>
    </row>
    <row r="16">
      <c r="A16" s="39" t="s">
        <v>9335</v>
      </c>
      <c r="B16" s="816">
        <v>5.51812229E8</v>
      </c>
      <c r="C16" s="39" t="s">
        <v>9336</v>
      </c>
      <c r="D16" s="39" t="s">
        <v>9337</v>
      </c>
    </row>
    <row r="17">
      <c r="A17" s="39" t="s">
        <v>9338</v>
      </c>
      <c r="B17" s="816">
        <v>9.665325533E11</v>
      </c>
      <c r="C17" s="39" t="s">
        <v>9339</v>
      </c>
    </row>
    <row r="18">
      <c r="A18" s="39" t="s">
        <v>9340</v>
      </c>
      <c r="B18" s="816">
        <v>5.59087931E8</v>
      </c>
      <c r="C18" s="39" t="s">
        <v>9341</v>
      </c>
      <c r="D18" s="39" t="s">
        <v>4171</v>
      </c>
    </row>
    <row r="19">
      <c r="A19" s="39" t="s">
        <v>9342</v>
      </c>
      <c r="B19" s="816">
        <v>3.1653181129E10</v>
      </c>
      <c r="C19" s="39" t="s">
        <v>9343</v>
      </c>
      <c r="D19" s="39" t="s">
        <v>9344</v>
      </c>
    </row>
    <row r="20">
      <c r="A20" s="39" t="s">
        <v>9345</v>
      </c>
      <c r="B20" s="816">
        <v>4.47427075757E11</v>
      </c>
      <c r="C20" s="39" t="s">
        <v>9346</v>
      </c>
    </row>
    <row r="21">
      <c r="A21" s="39" t="s">
        <v>9347</v>
      </c>
      <c r="B21" s="816">
        <v>5.0538363E8</v>
      </c>
      <c r="C21" s="39" t="s">
        <v>9348</v>
      </c>
      <c r="D21" s="39" t="s">
        <v>9349</v>
      </c>
    </row>
    <row r="22">
      <c r="A22" s="39" t="s">
        <v>9350</v>
      </c>
      <c r="B22" s="816">
        <v>3.4661923016E10</v>
      </c>
      <c r="C22" s="39" t="s">
        <v>9351</v>
      </c>
    </row>
    <row r="23">
      <c r="A23" s="39" t="s">
        <v>9352</v>
      </c>
      <c r="B23" s="816">
        <v>5.04288261E8</v>
      </c>
      <c r="C23" s="39" t="s">
        <v>9353</v>
      </c>
    </row>
    <row r="24">
      <c r="A24" s="39" t="s">
        <v>9354</v>
      </c>
      <c r="B24" s="816">
        <v>5.51999958E8</v>
      </c>
      <c r="C24" s="39" t="s">
        <v>9355</v>
      </c>
      <c r="D24" s="623" t="s">
        <v>9356</v>
      </c>
    </row>
    <row r="25">
      <c r="A25" s="39" t="s">
        <v>9357</v>
      </c>
      <c r="B25" s="816">
        <v>5.08566067E8</v>
      </c>
      <c r="C25" s="39" t="s">
        <v>9358</v>
      </c>
      <c r="D25" s="39" t="s">
        <v>3727</v>
      </c>
    </row>
    <row r="26">
      <c r="A26" s="39" t="s">
        <v>9359</v>
      </c>
      <c r="B26" s="816">
        <v>2.63733512444E11</v>
      </c>
      <c r="C26" s="39" t="s">
        <v>9341</v>
      </c>
      <c r="D26" s="39" t="s">
        <v>9360</v>
      </c>
    </row>
    <row r="27">
      <c r="A27" s="39" t="s">
        <v>1216</v>
      </c>
      <c r="B27" s="816">
        <v>5.090077157E9</v>
      </c>
      <c r="C27" s="39" t="s">
        <v>9361</v>
      </c>
    </row>
    <row r="28">
      <c r="A28" s="39" t="s">
        <v>9362</v>
      </c>
      <c r="B28" s="816">
        <v>9.6566626242E10</v>
      </c>
      <c r="C28" s="39" t="s">
        <v>9363</v>
      </c>
      <c r="D28" s="39" t="s">
        <v>9364</v>
      </c>
    </row>
    <row r="29">
      <c r="A29" s="39" t="s">
        <v>9365</v>
      </c>
      <c r="B29" s="816">
        <v>4.6704566156E10</v>
      </c>
      <c r="C29" s="39" t="s">
        <v>9366</v>
      </c>
    </row>
    <row r="30">
      <c r="A30" s="39" t="s">
        <v>1856</v>
      </c>
      <c r="B30" s="816">
        <v>5.4462842E8</v>
      </c>
      <c r="C30" s="39" t="s">
        <v>9367</v>
      </c>
    </row>
    <row r="31">
      <c r="A31" s="39" t="s">
        <v>9368</v>
      </c>
      <c r="B31" s="816">
        <v>9.23047908722E11</v>
      </c>
      <c r="C31" s="39" t="s">
        <v>9369</v>
      </c>
    </row>
    <row r="32">
      <c r="A32" s="39" t="s">
        <v>9370</v>
      </c>
      <c r="B32" s="816">
        <v>4.47539367755E11</v>
      </c>
      <c r="C32" s="39" t="s">
        <v>9371</v>
      </c>
      <c r="D32" s="39" t="s">
        <v>3990</v>
      </c>
    </row>
    <row r="33">
      <c r="A33" s="39" t="s">
        <v>9372</v>
      </c>
      <c r="B33" s="816">
        <v>5.61106066E8</v>
      </c>
      <c r="C33" s="39" t="s">
        <v>9373</v>
      </c>
      <c r="D33" s="39" t="s">
        <v>9374</v>
      </c>
    </row>
    <row r="34">
      <c r="A34" s="39" t="s">
        <v>9375</v>
      </c>
      <c r="B34" s="816">
        <v>9.19911669033E11</v>
      </c>
      <c r="C34" s="39" t="s">
        <v>9376</v>
      </c>
      <c r="D34" s="39" t="s">
        <v>9377</v>
      </c>
    </row>
    <row r="35">
      <c r="A35" s="39" t="s">
        <v>1871</v>
      </c>
      <c r="B35" s="816">
        <v>5.53330055E8</v>
      </c>
      <c r="C35" s="39" t="s">
        <v>9378</v>
      </c>
      <c r="D35" s="623" t="s">
        <v>9379</v>
      </c>
    </row>
    <row r="36">
      <c r="A36" s="39" t="s">
        <v>1714</v>
      </c>
      <c r="B36" s="816">
        <v>5.0606233E8</v>
      </c>
      <c r="C36" s="39" t="s">
        <v>9380</v>
      </c>
    </row>
    <row r="37">
      <c r="A37" s="39" t="s">
        <v>9381</v>
      </c>
      <c r="B37" s="816">
        <v>4.47973705902E11</v>
      </c>
      <c r="C37" s="39" t="s">
        <v>9382</v>
      </c>
    </row>
    <row r="38">
      <c r="A38" s="39" t="s">
        <v>9383</v>
      </c>
      <c r="B38" s="816">
        <v>5.06261106E8</v>
      </c>
      <c r="C38" s="39" t="s">
        <v>9384</v>
      </c>
    </row>
    <row r="39">
      <c r="A39" s="39" t="s">
        <v>9385</v>
      </c>
      <c r="B39" s="816">
        <v>5.61560651E8</v>
      </c>
      <c r="C39" s="39" t="s">
        <v>9386</v>
      </c>
      <c r="D39" s="39" t="s">
        <v>3727</v>
      </c>
    </row>
    <row r="40">
      <c r="A40" s="39" t="s">
        <v>9387</v>
      </c>
      <c r="B40" s="816">
        <v>1.713715804E10</v>
      </c>
      <c r="C40" s="39" t="s">
        <v>9308</v>
      </c>
      <c r="D40" s="39" t="s">
        <v>9388</v>
      </c>
    </row>
    <row r="41">
      <c r="A41" s="39" t="s">
        <v>9389</v>
      </c>
      <c r="B41" s="816">
        <v>9.19966600027E11</v>
      </c>
      <c r="C41" s="39" t="s">
        <v>9390</v>
      </c>
      <c r="D41" s="39" t="s">
        <v>3990</v>
      </c>
    </row>
    <row r="42">
      <c r="A42" s="39" t="s">
        <v>9391</v>
      </c>
      <c r="B42" s="816">
        <v>9.19323034433E11</v>
      </c>
      <c r="C42" s="39" t="s">
        <v>9355</v>
      </c>
      <c r="D42" s="623" t="s">
        <v>9392</v>
      </c>
      <c r="E42" s="817" t="s">
        <v>9393</v>
      </c>
    </row>
    <row r="43">
      <c r="A43" s="39" t="s">
        <v>9394</v>
      </c>
      <c r="B43" s="816">
        <v>4.47476408404E11</v>
      </c>
      <c r="C43" s="39" t="s">
        <v>9355</v>
      </c>
      <c r="D43" s="39" t="s">
        <v>9395</v>
      </c>
      <c r="E43" s="818" t="s">
        <v>9396</v>
      </c>
    </row>
    <row r="44">
      <c r="A44" s="39" t="s">
        <v>9397</v>
      </c>
      <c r="B44" s="816">
        <v>3.6309366965E10</v>
      </c>
      <c r="C44" s="39" t="s">
        <v>9355</v>
      </c>
      <c r="D44" s="39" t="s">
        <v>9395</v>
      </c>
      <c r="E44" s="39" t="s">
        <v>9398</v>
      </c>
    </row>
    <row r="45">
      <c r="A45" s="39" t="s">
        <v>9399</v>
      </c>
      <c r="B45" s="816">
        <v>5.09660066E8</v>
      </c>
      <c r="C45" s="39" t="s">
        <v>9400</v>
      </c>
      <c r="D45" s="39" t="s">
        <v>9401</v>
      </c>
      <c r="E45" s="819" t="s">
        <v>9402</v>
      </c>
    </row>
    <row r="46">
      <c r="A46" s="39" t="s">
        <v>9403</v>
      </c>
      <c r="B46" s="816">
        <v>9.66544555527E11</v>
      </c>
      <c r="C46" s="39" t="s">
        <v>9404</v>
      </c>
      <c r="D46" s="39" t="s">
        <v>9405</v>
      </c>
    </row>
    <row r="47">
      <c r="A47" s="39" t="s">
        <v>8059</v>
      </c>
      <c r="B47" s="816">
        <v>1.500484007E9</v>
      </c>
      <c r="C47" s="39" t="s">
        <v>9406</v>
      </c>
    </row>
    <row r="48">
      <c r="A48" s="820" t="s">
        <v>3748</v>
      </c>
      <c r="B48" s="816">
        <v>5.08186772E8</v>
      </c>
      <c r="C48" s="39" t="s">
        <v>9407</v>
      </c>
      <c r="D48" s="39" t="s">
        <v>9408</v>
      </c>
      <c r="E48" s="39" t="s">
        <v>9409</v>
      </c>
    </row>
    <row r="49">
      <c r="A49" s="820" t="s">
        <v>9410</v>
      </c>
      <c r="B49" s="816">
        <v>5.0999253E8</v>
      </c>
      <c r="C49" s="39" t="s">
        <v>9411</v>
      </c>
      <c r="D49" s="39" t="s">
        <v>9412</v>
      </c>
    </row>
    <row r="50">
      <c r="A50" s="39" t="s">
        <v>9413</v>
      </c>
      <c r="B50" s="816">
        <v>9.19891052057E11</v>
      </c>
      <c r="C50" s="39" t="s">
        <v>9414</v>
      </c>
      <c r="D50" s="39" t="s">
        <v>9412</v>
      </c>
    </row>
    <row r="51">
      <c r="A51" s="39" t="s">
        <v>9415</v>
      </c>
      <c r="B51" s="816">
        <v>9.11274264E11</v>
      </c>
      <c r="C51" s="39" t="s">
        <v>9416</v>
      </c>
      <c r="D51" s="39"/>
    </row>
    <row r="52">
      <c r="A52" s="39" t="s">
        <v>8166</v>
      </c>
      <c r="B52" s="816">
        <v>5.08046375E8</v>
      </c>
      <c r="C52" s="39" t="s">
        <v>9417</v>
      </c>
      <c r="D52" s="39" t="s">
        <v>9418</v>
      </c>
    </row>
    <row r="53">
      <c r="A53" s="39" t="s">
        <v>9419</v>
      </c>
      <c r="B53" s="816">
        <v>5.03017066E8</v>
      </c>
      <c r="C53" s="39" t="s">
        <v>9420</v>
      </c>
      <c r="D53" s="39" t="s">
        <v>9421</v>
      </c>
    </row>
    <row r="54">
      <c r="A54" s="39" t="s">
        <v>9422</v>
      </c>
      <c r="B54" s="816">
        <v>9.66566660518E11</v>
      </c>
      <c r="C54" s="39" t="s">
        <v>9423</v>
      </c>
    </row>
    <row r="55">
      <c r="A55" s="821" t="s">
        <v>3740</v>
      </c>
      <c r="B55" s="821" t="s">
        <v>3741</v>
      </c>
      <c r="C55" s="822" t="s">
        <v>3742</v>
      </c>
      <c r="D55" s="39" t="s">
        <v>3743</v>
      </c>
    </row>
    <row r="56">
      <c r="A56" s="21" t="s">
        <v>3720</v>
      </c>
      <c r="B56" s="21" t="s">
        <v>3721</v>
      </c>
      <c r="C56" s="21">
        <f>+971505018193</f>
        <v>971505018193</v>
      </c>
      <c r="D56" s="39" t="s">
        <v>3722</v>
      </c>
      <c r="E56" s="39" t="s">
        <v>9424</v>
      </c>
    </row>
    <row r="57">
      <c r="A57" s="21" t="s">
        <v>3706</v>
      </c>
      <c r="B57" s="21" t="s">
        <v>3707</v>
      </c>
      <c r="C57" s="21">
        <f>+971506409829</f>
        <v>971506409829</v>
      </c>
      <c r="D57" s="39" t="s">
        <v>9425</v>
      </c>
    </row>
    <row r="58">
      <c r="A58" s="821" t="s">
        <v>3724</v>
      </c>
      <c r="B58" s="821" t="s">
        <v>3725</v>
      </c>
      <c r="C58" s="822" t="s">
        <v>3726</v>
      </c>
      <c r="D58" s="823" t="s">
        <v>9426</v>
      </c>
      <c r="E58" s="817" t="s">
        <v>9427</v>
      </c>
      <c r="F58" s="39" t="s">
        <v>4171</v>
      </c>
    </row>
    <row r="59">
      <c r="A59" s="21" t="s">
        <v>1012</v>
      </c>
      <c r="B59" s="21" t="s">
        <v>1013</v>
      </c>
      <c r="C59" s="21">
        <f>+9710553298666</f>
        <v>9710553298666</v>
      </c>
      <c r="D59" s="39" t="s">
        <v>9428</v>
      </c>
      <c r="E59" s="824" t="s">
        <v>9429</v>
      </c>
    </row>
    <row r="60">
      <c r="A60" s="39" t="s">
        <v>9430</v>
      </c>
      <c r="B60" s="816">
        <v>5.28833988E8</v>
      </c>
      <c r="C60" s="39" t="s">
        <v>9431</v>
      </c>
      <c r="D60" s="39" t="s">
        <v>9432</v>
      </c>
      <c r="E60" s="39" t="s">
        <v>9433</v>
      </c>
      <c r="F60" s="39" t="s">
        <v>9434</v>
      </c>
    </row>
    <row r="61">
      <c r="A61" s="39" t="s">
        <v>9435</v>
      </c>
      <c r="B61" s="816">
        <v>9.6597296385E10</v>
      </c>
      <c r="C61" s="39" t="s">
        <v>9436</v>
      </c>
      <c r="D61" s="39" t="s">
        <v>9437</v>
      </c>
    </row>
    <row r="62">
      <c r="A62" s="39" t="s">
        <v>9438</v>
      </c>
      <c r="B62" s="816">
        <v>5.47596134E8</v>
      </c>
      <c r="C62" s="39" t="s">
        <v>9439</v>
      </c>
      <c r="D62" s="823" t="s">
        <v>9440</v>
      </c>
    </row>
    <row r="63">
      <c r="A63" s="39" t="s">
        <v>6616</v>
      </c>
      <c r="B63" s="816">
        <v>5.06578633E8</v>
      </c>
      <c r="C63" s="39" t="s">
        <v>9441</v>
      </c>
    </row>
    <row r="64">
      <c r="A64" s="39" t="s">
        <v>9442</v>
      </c>
      <c r="B64" s="816">
        <v>5.65016302E8</v>
      </c>
      <c r="C64" s="39" t="s">
        <v>9443</v>
      </c>
    </row>
    <row r="65">
      <c r="A65" s="39" t="s">
        <v>9310</v>
      </c>
      <c r="B65" s="816">
        <v>5.02610039E8</v>
      </c>
      <c r="C65" s="39" t="s">
        <v>9444</v>
      </c>
      <c r="D65" s="39" t="s">
        <v>9445</v>
      </c>
    </row>
    <row r="66">
      <c r="A66" s="39" t="s">
        <v>9362</v>
      </c>
      <c r="B66" s="816">
        <v>9.6566626242E10</v>
      </c>
      <c r="C66" s="39" t="s">
        <v>9446</v>
      </c>
    </row>
    <row r="67">
      <c r="A67" s="825" t="s">
        <v>3619</v>
      </c>
      <c r="B67" s="825" t="s">
        <v>3620</v>
      </c>
      <c r="C67" s="825">
        <v>9.596111395E9</v>
      </c>
      <c r="D67" s="825" t="s">
        <v>3621</v>
      </c>
      <c r="E67" s="825"/>
    </row>
    <row r="68">
      <c r="A68" s="39" t="s">
        <v>1667</v>
      </c>
      <c r="B68" s="816">
        <v>5.69918965E8</v>
      </c>
      <c r="C68" s="39" t="s">
        <v>9447</v>
      </c>
    </row>
    <row r="69">
      <c r="A69" s="39" t="s">
        <v>9448</v>
      </c>
      <c r="B69" s="816">
        <v>5.06449311E8</v>
      </c>
      <c r="C69" s="39" t="s">
        <v>9449</v>
      </c>
      <c r="D69" s="823" t="s">
        <v>9450</v>
      </c>
    </row>
    <row r="70">
      <c r="A70" s="39" t="s">
        <v>9451</v>
      </c>
      <c r="B70" s="816">
        <v>5.55582928E8</v>
      </c>
      <c r="C70" s="39" t="s">
        <v>9452</v>
      </c>
    </row>
    <row r="71">
      <c r="A71" s="39" t="s">
        <v>9453</v>
      </c>
      <c r="B71" s="816">
        <v>4.795257749E9</v>
      </c>
      <c r="C71" s="39" t="s">
        <v>9454</v>
      </c>
      <c r="D71" s="39" t="s">
        <v>9455</v>
      </c>
    </row>
    <row r="72">
      <c r="A72" s="39" t="s">
        <v>3773</v>
      </c>
      <c r="B72" s="816">
        <v>6.593800301E9</v>
      </c>
      <c r="C72" s="39" t="s">
        <v>9456</v>
      </c>
      <c r="D72" s="39" t="s">
        <v>9457</v>
      </c>
    </row>
    <row r="73">
      <c r="A73" s="39" t="s">
        <v>9458</v>
      </c>
      <c r="B73" s="816">
        <v>2.44928188915E11</v>
      </c>
      <c r="C73" s="39" t="s">
        <v>9454</v>
      </c>
    </row>
    <row r="74">
      <c r="A74" s="39" t="s">
        <v>9459</v>
      </c>
      <c r="B74" s="816">
        <v>9.66506940551E11</v>
      </c>
      <c r="C74" s="39" t="s">
        <v>9460</v>
      </c>
    </row>
    <row r="75">
      <c r="A75" s="39" t="s">
        <v>9461</v>
      </c>
      <c r="B75" s="816">
        <v>4.47986295718E11</v>
      </c>
      <c r="C75" s="39" t="s">
        <v>9462</v>
      </c>
    </row>
    <row r="76">
      <c r="A76" s="39" t="s">
        <v>9463</v>
      </c>
      <c r="B76" s="816">
        <v>4.47539367755E11</v>
      </c>
      <c r="C76" s="39" t="s">
        <v>9464</v>
      </c>
    </row>
    <row r="77">
      <c r="A77" s="39" t="s">
        <v>9465</v>
      </c>
      <c r="B77" s="816">
        <v>9.23334243126E11</v>
      </c>
      <c r="C77" s="39" t="s">
        <v>9466</v>
      </c>
      <c r="D77" s="39" t="s">
        <v>4171</v>
      </c>
    </row>
    <row r="78">
      <c r="A78" s="39" t="s">
        <v>9467</v>
      </c>
      <c r="B78" s="816">
        <v>9.66569090906E11</v>
      </c>
      <c r="C78" s="39" t="s">
        <v>9468</v>
      </c>
    </row>
    <row r="79">
      <c r="A79" s="39" t="s">
        <v>9469</v>
      </c>
      <c r="B79" s="816">
        <v>5.06271006E8</v>
      </c>
      <c r="C79" s="39" t="s">
        <v>9470</v>
      </c>
    </row>
    <row r="80">
      <c r="A80" s="39" t="s">
        <v>9471</v>
      </c>
      <c r="B80" s="816">
        <v>5.24489146E8</v>
      </c>
      <c r="C80" s="39" t="s">
        <v>9472</v>
      </c>
    </row>
    <row r="81">
      <c r="A81" s="39" t="s">
        <v>9473</v>
      </c>
      <c r="B81" s="816">
        <v>7.70732333E10</v>
      </c>
      <c r="C81" s="39" t="s">
        <v>9474</v>
      </c>
    </row>
    <row r="82">
      <c r="A82" s="39" t="s">
        <v>8258</v>
      </c>
      <c r="B82" s="816">
        <v>7.7024431343E10</v>
      </c>
      <c r="C82" s="39" t="s">
        <v>9474</v>
      </c>
    </row>
    <row r="83">
      <c r="A83" s="39" t="s">
        <v>9475</v>
      </c>
      <c r="B83" s="816">
        <v>9.6650559638E11</v>
      </c>
      <c r="C83" s="39" t="s">
        <v>9476</v>
      </c>
    </row>
    <row r="84">
      <c r="A84" s="39" t="s">
        <v>9477</v>
      </c>
      <c r="B84" s="816">
        <v>5.02385777E8</v>
      </c>
      <c r="C84" s="39" t="s">
        <v>9478</v>
      </c>
    </row>
    <row r="85">
      <c r="A85" s="39" t="s">
        <v>9479</v>
      </c>
      <c r="B85" s="816">
        <v>5.55011253E8</v>
      </c>
      <c r="C85" s="39" t="s">
        <v>9480</v>
      </c>
    </row>
    <row r="86">
      <c r="A86" s="39" t="s">
        <v>9481</v>
      </c>
      <c r="B86" s="816">
        <v>9.6594172772E10</v>
      </c>
      <c r="C86" s="39" t="s">
        <v>9482</v>
      </c>
    </row>
    <row r="87">
      <c r="A87" s="39" t="s">
        <v>9483</v>
      </c>
      <c r="B87" s="816">
        <v>2.347035062733E12</v>
      </c>
      <c r="C87" s="39" t="s">
        <v>9484</v>
      </c>
    </row>
    <row r="88">
      <c r="A88" s="39" t="s">
        <v>9485</v>
      </c>
      <c r="B88" s="816">
        <v>2.43851777368E11</v>
      </c>
    </row>
    <row r="89">
      <c r="A89" s="39" t="s">
        <v>9486</v>
      </c>
      <c r="B89" s="816">
        <v>2.7630277724E10</v>
      </c>
    </row>
    <row r="90">
      <c r="A90" s="39" t="s">
        <v>9487</v>
      </c>
      <c r="B90" s="816">
        <v>2.42066501094E11</v>
      </c>
    </row>
    <row r="91">
      <c r="A91" s="39" t="s">
        <v>9488</v>
      </c>
      <c r="B91" s="816">
        <v>5.08949625E8</v>
      </c>
      <c r="C91" s="39" t="s">
        <v>9489</v>
      </c>
    </row>
    <row r="92">
      <c r="A92" s="39" t="s">
        <v>9490</v>
      </c>
      <c r="B92" s="816">
        <v>5.62975607E8</v>
      </c>
      <c r="C92" s="39" t="s">
        <v>9491</v>
      </c>
      <c r="D92" s="39" t="s">
        <v>9492</v>
      </c>
    </row>
    <row r="93">
      <c r="A93" s="39" t="s">
        <v>9493</v>
      </c>
      <c r="B93" s="816">
        <v>2.01223568298E11</v>
      </c>
      <c r="C93" s="823" t="s">
        <v>9494</v>
      </c>
    </row>
    <row r="94">
      <c r="A94" s="39" t="s">
        <v>9495</v>
      </c>
      <c r="B94" s="826">
        <v>9.71553211931E11</v>
      </c>
      <c r="C94" s="39" t="s">
        <v>9496</v>
      </c>
    </row>
    <row r="95">
      <c r="A95" s="39" t="s">
        <v>9497</v>
      </c>
      <c r="B95" s="816">
        <v>2.347032696251E12</v>
      </c>
      <c r="C95" s="39" t="s">
        <v>8976</v>
      </c>
    </row>
    <row r="96">
      <c r="A96" s="39" t="s">
        <v>8344</v>
      </c>
      <c r="B96" s="816">
        <v>2.781349826E10</v>
      </c>
      <c r="C96" s="39" t="s">
        <v>9498</v>
      </c>
    </row>
    <row r="97">
      <c r="A97" s="39" t="s">
        <v>8350</v>
      </c>
      <c r="B97" s="816">
        <v>5.51235345E8</v>
      </c>
      <c r="C97" s="39" t="s">
        <v>9499</v>
      </c>
    </row>
    <row r="98">
      <c r="A98" s="39" t="s">
        <v>9500</v>
      </c>
      <c r="B98" s="816">
        <v>5.03337062E8</v>
      </c>
      <c r="C98" s="39" t="s">
        <v>9501</v>
      </c>
    </row>
    <row r="99">
      <c r="A99" s="39" t="s">
        <v>9502</v>
      </c>
      <c r="B99" s="816">
        <v>5.45273134E8</v>
      </c>
      <c r="C99" s="39" t="s">
        <v>9503</v>
      </c>
    </row>
    <row r="100">
      <c r="A100" s="39" t="s">
        <v>9504</v>
      </c>
      <c r="B100" s="816">
        <v>2.0122245501E11</v>
      </c>
      <c r="C100" s="39" t="s">
        <v>9505</v>
      </c>
    </row>
    <row r="101">
      <c r="A101" s="39" t="s">
        <v>9506</v>
      </c>
      <c r="B101" s="39">
        <v>5.0509816E8</v>
      </c>
      <c r="C101" s="39" t="s">
        <v>9507</v>
      </c>
    </row>
    <row r="102">
      <c r="A102" s="39" t="s">
        <v>9508</v>
      </c>
      <c r="B102" s="39">
        <v>5.5165392E8</v>
      </c>
      <c r="C102" s="39" t="s">
        <v>9509</v>
      </c>
    </row>
    <row r="103">
      <c r="A103" s="39" t="s">
        <v>9510</v>
      </c>
      <c r="B103" s="39">
        <v>5.05593066E8</v>
      </c>
      <c r="C103" s="39" t="s">
        <v>9511</v>
      </c>
    </row>
    <row r="104">
      <c r="A104" s="39" t="s">
        <v>9512</v>
      </c>
      <c r="B104" s="39">
        <v>5.08838999E8</v>
      </c>
      <c r="C104" s="39" t="s">
        <v>9513</v>
      </c>
    </row>
    <row r="105">
      <c r="A105" s="39" t="s">
        <v>3819</v>
      </c>
      <c r="B105" s="39">
        <v>5.52036622E8</v>
      </c>
      <c r="C105" s="39" t="s">
        <v>9514</v>
      </c>
      <c r="D105" s="39" t="s">
        <v>9515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71"/>
    <col customWidth="1" min="2" max="2" width="37.86"/>
    <col customWidth="1" min="3" max="3" width="18.57"/>
    <col customWidth="1" min="5" max="5" width="31.43"/>
  </cols>
  <sheetData>
    <row r="1">
      <c r="A1" s="827" t="s">
        <v>0</v>
      </c>
      <c r="B1" s="828" t="s">
        <v>1</v>
      </c>
      <c r="C1" s="829" t="s">
        <v>2</v>
      </c>
      <c r="E1" s="830" t="s">
        <v>4</v>
      </c>
    </row>
    <row r="2">
      <c r="A2" s="174" t="s">
        <v>230</v>
      </c>
      <c r="B2" s="174" t="s">
        <v>231</v>
      </c>
      <c r="C2" s="831" t="s">
        <v>232</v>
      </c>
      <c r="E2" s="39" t="s">
        <v>251</v>
      </c>
    </row>
    <row r="3">
      <c r="A3" s="174" t="s">
        <v>234</v>
      </c>
      <c r="B3" s="174" t="s">
        <v>235</v>
      </c>
      <c r="C3" s="831" t="s">
        <v>236</v>
      </c>
      <c r="E3" s="39" t="s">
        <v>251</v>
      </c>
    </row>
    <row r="4">
      <c r="A4" s="174" t="s">
        <v>237</v>
      </c>
      <c r="B4" s="174" t="s">
        <v>238</v>
      </c>
      <c r="C4" s="831" t="s">
        <v>239</v>
      </c>
      <c r="E4" s="39" t="s">
        <v>172</v>
      </c>
    </row>
    <row r="5">
      <c r="A5" s="174" t="s">
        <v>240</v>
      </c>
      <c r="B5" s="174" t="s">
        <v>241</v>
      </c>
      <c r="C5" s="831" t="s">
        <v>242</v>
      </c>
      <c r="E5" s="39" t="s">
        <v>243</v>
      </c>
    </row>
    <row r="6">
      <c r="A6" s="174" t="s">
        <v>244</v>
      </c>
      <c r="B6" s="174" t="s">
        <v>245</v>
      </c>
      <c r="C6" s="831" t="s">
        <v>246</v>
      </c>
      <c r="E6" s="39" t="s">
        <v>251</v>
      </c>
    </row>
    <row r="7">
      <c r="A7" s="174" t="s">
        <v>248</v>
      </c>
      <c r="B7" s="174" t="s">
        <v>249</v>
      </c>
      <c r="C7" s="831" t="s">
        <v>250</v>
      </c>
      <c r="E7" s="39" t="s">
        <v>251</v>
      </c>
    </row>
    <row r="8">
      <c r="A8" s="174" t="s">
        <v>252</v>
      </c>
      <c r="B8" s="174" t="s">
        <v>253</v>
      </c>
      <c r="C8" s="831" t="s">
        <v>254</v>
      </c>
      <c r="E8" s="39" t="s">
        <v>251</v>
      </c>
    </row>
    <row r="9">
      <c r="A9" s="174" t="s">
        <v>256</v>
      </c>
      <c r="B9" s="174" t="s">
        <v>257</v>
      </c>
      <c r="C9" s="831" t="s">
        <v>258</v>
      </c>
      <c r="E9" s="39" t="s">
        <v>168</v>
      </c>
    </row>
    <row r="10">
      <c r="A10" s="174" t="s">
        <v>259</v>
      </c>
      <c r="B10" s="174" t="s">
        <v>260</v>
      </c>
      <c r="C10" s="831" t="s">
        <v>261</v>
      </c>
      <c r="E10" s="39" t="s">
        <v>262</v>
      </c>
    </row>
    <row r="11">
      <c r="A11" s="174" t="s">
        <v>263</v>
      </c>
      <c r="B11" s="174" t="s">
        <v>264</v>
      </c>
      <c r="C11" s="831" t="s">
        <v>265</v>
      </c>
      <c r="E11" s="39" t="s">
        <v>172</v>
      </c>
    </row>
    <row r="12">
      <c r="A12" s="174" t="s">
        <v>266</v>
      </c>
      <c r="B12" s="174" t="s">
        <v>267</v>
      </c>
      <c r="C12" s="831" t="s">
        <v>268</v>
      </c>
      <c r="E12" s="39" t="s">
        <v>251</v>
      </c>
    </row>
    <row r="13">
      <c r="A13" s="174" t="s">
        <v>269</v>
      </c>
      <c r="B13" s="174" t="s">
        <v>270</v>
      </c>
      <c r="C13" s="831" t="s">
        <v>271</v>
      </c>
      <c r="E13" s="39" t="s">
        <v>251</v>
      </c>
    </row>
    <row r="14">
      <c r="A14" s="174" t="s">
        <v>272</v>
      </c>
      <c r="B14" s="174" t="s">
        <v>273</v>
      </c>
      <c r="C14" s="831" t="s">
        <v>274</v>
      </c>
      <c r="E14" s="39" t="s">
        <v>168</v>
      </c>
    </row>
    <row r="15">
      <c r="A15" s="174" t="s">
        <v>275</v>
      </c>
      <c r="B15" s="174" t="s">
        <v>9516</v>
      </c>
      <c r="C15" s="831" t="s">
        <v>276</v>
      </c>
      <c r="E15" s="39" t="s">
        <v>251</v>
      </c>
    </row>
    <row r="16">
      <c r="A16" s="174" t="s">
        <v>277</v>
      </c>
      <c r="B16" s="174" t="s">
        <v>278</v>
      </c>
      <c r="C16" s="831" t="s">
        <v>279</v>
      </c>
      <c r="E16" s="39" t="s">
        <v>251</v>
      </c>
    </row>
    <row r="17">
      <c r="A17" s="174" t="s">
        <v>280</v>
      </c>
      <c r="B17" s="174" t="s">
        <v>281</v>
      </c>
      <c r="C17" s="831" t="s">
        <v>282</v>
      </c>
      <c r="E17" s="39" t="s">
        <v>251</v>
      </c>
    </row>
    <row r="18">
      <c r="A18" s="174" t="s">
        <v>283</v>
      </c>
      <c r="B18" s="174" t="s">
        <v>284</v>
      </c>
      <c r="C18" s="831" t="s">
        <v>285</v>
      </c>
      <c r="E18" s="39" t="s">
        <v>172</v>
      </c>
    </row>
    <row r="19">
      <c r="A19" s="174" t="s">
        <v>286</v>
      </c>
      <c r="B19" s="174" t="s">
        <v>287</v>
      </c>
      <c r="C19" s="831" t="s">
        <v>288</v>
      </c>
      <c r="E19" s="39" t="s">
        <v>251</v>
      </c>
    </row>
    <row r="20">
      <c r="A20" s="174" t="s">
        <v>289</v>
      </c>
      <c r="B20" s="174" t="s">
        <v>290</v>
      </c>
      <c r="C20" s="831" t="s">
        <v>291</v>
      </c>
      <c r="E20" s="39" t="s">
        <v>251</v>
      </c>
    </row>
    <row r="21">
      <c r="A21" s="174" t="s">
        <v>292</v>
      </c>
      <c r="B21" s="174" t="s">
        <v>293</v>
      </c>
      <c r="C21" s="831" t="s">
        <v>294</v>
      </c>
      <c r="E21" s="39" t="s">
        <v>262</v>
      </c>
    </row>
    <row r="22">
      <c r="A22" s="174" t="s">
        <v>295</v>
      </c>
      <c r="B22" s="174" t="s">
        <v>296</v>
      </c>
      <c r="C22" s="831" t="s">
        <v>297</v>
      </c>
      <c r="E22" s="39" t="s">
        <v>251</v>
      </c>
    </row>
    <row r="23">
      <c r="A23" s="174" t="s">
        <v>298</v>
      </c>
      <c r="B23" s="174" t="s">
        <v>299</v>
      </c>
      <c r="C23" s="831" t="s">
        <v>300</v>
      </c>
      <c r="E23" s="39" t="s">
        <v>251</v>
      </c>
    </row>
    <row r="24">
      <c r="A24" s="174" t="s">
        <v>301</v>
      </c>
      <c r="B24" s="174" t="s">
        <v>302</v>
      </c>
      <c r="C24" s="831" t="s">
        <v>303</v>
      </c>
      <c r="E24" s="39" t="s">
        <v>251</v>
      </c>
    </row>
    <row r="25">
      <c r="A25" s="832" t="s">
        <v>304</v>
      </c>
      <c r="B25" s="832" t="s">
        <v>305</v>
      </c>
      <c r="C25" s="831" t="s">
        <v>306</v>
      </c>
      <c r="E25" s="39" t="s">
        <v>251</v>
      </c>
    </row>
    <row r="26">
      <c r="A26" s="174" t="s">
        <v>307</v>
      </c>
      <c r="B26" s="174" t="s">
        <v>308</v>
      </c>
      <c r="C26" s="831" t="s">
        <v>309</v>
      </c>
      <c r="E26" s="39" t="s">
        <v>251</v>
      </c>
    </row>
    <row r="27">
      <c r="A27" s="174" t="s">
        <v>310</v>
      </c>
      <c r="B27" s="174" t="s">
        <v>311</v>
      </c>
      <c r="C27" s="831" t="s">
        <v>312</v>
      </c>
      <c r="E27" s="39" t="s">
        <v>251</v>
      </c>
    </row>
    <row r="28">
      <c r="A28" s="174" t="s">
        <v>313</v>
      </c>
      <c r="B28" s="174" t="s">
        <v>314</v>
      </c>
      <c r="C28" s="831" t="s">
        <v>315</v>
      </c>
      <c r="E28" s="39" t="s">
        <v>168</v>
      </c>
    </row>
    <row r="29">
      <c r="A29" s="174" t="s">
        <v>316</v>
      </c>
      <c r="B29" s="174" t="s">
        <v>317</v>
      </c>
      <c r="C29" s="831" t="s">
        <v>318</v>
      </c>
      <c r="E29" s="833" t="s">
        <v>251</v>
      </c>
    </row>
    <row r="30">
      <c r="A30" s="174" t="s">
        <v>319</v>
      </c>
      <c r="B30" s="174" t="s">
        <v>320</v>
      </c>
      <c r="C30" s="831" t="s">
        <v>321</v>
      </c>
      <c r="E30" s="39" t="s">
        <v>251</v>
      </c>
    </row>
    <row r="31">
      <c r="A31" s="174" t="s">
        <v>322</v>
      </c>
      <c r="B31" s="174" t="s">
        <v>323</v>
      </c>
      <c r="C31" s="831" t="s">
        <v>324</v>
      </c>
      <c r="E31" s="39" t="s">
        <v>168</v>
      </c>
    </row>
    <row r="32">
      <c r="A32" s="174" t="s">
        <v>325</v>
      </c>
      <c r="B32" s="174" t="s">
        <v>326</v>
      </c>
      <c r="C32" s="831" t="s">
        <v>327</v>
      </c>
      <c r="E32" s="39" t="s">
        <v>251</v>
      </c>
    </row>
    <row r="33">
      <c r="A33" s="174" t="s">
        <v>328</v>
      </c>
      <c r="B33" s="174" t="s">
        <v>329</v>
      </c>
      <c r="C33" s="831" t="s">
        <v>330</v>
      </c>
    </row>
    <row r="34">
      <c r="A34" s="174" t="s">
        <v>331</v>
      </c>
      <c r="B34" s="174" t="s">
        <v>332</v>
      </c>
      <c r="C34" s="831" t="s">
        <v>333</v>
      </c>
      <c r="E34" s="39" t="s">
        <v>251</v>
      </c>
    </row>
    <row r="35">
      <c r="A35" s="174" t="s">
        <v>334</v>
      </c>
      <c r="B35" s="174" t="s">
        <v>335</v>
      </c>
      <c r="C35" s="831" t="s">
        <v>336</v>
      </c>
      <c r="E35" s="39" t="s">
        <v>172</v>
      </c>
    </row>
    <row r="36">
      <c r="A36" s="174" t="s">
        <v>337</v>
      </c>
      <c r="B36" s="174" t="s">
        <v>338</v>
      </c>
      <c r="C36" s="831" t="s">
        <v>339</v>
      </c>
      <c r="E36" s="39" t="s">
        <v>251</v>
      </c>
    </row>
    <row r="37">
      <c r="A37" s="174" t="s">
        <v>340</v>
      </c>
      <c r="B37" s="174" t="s">
        <v>9517</v>
      </c>
      <c r="C37" s="831" t="s">
        <v>342</v>
      </c>
      <c r="E37" s="39" t="s">
        <v>9518</v>
      </c>
    </row>
    <row r="38">
      <c r="A38" s="174" t="s">
        <v>343</v>
      </c>
      <c r="B38" s="174" t="s">
        <v>344</v>
      </c>
      <c r="C38" s="831" t="s">
        <v>345</v>
      </c>
      <c r="E38" s="39" t="s">
        <v>172</v>
      </c>
    </row>
    <row r="39">
      <c r="A39" s="174" t="s">
        <v>346</v>
      </c>
      <c r="B39" s="174" t="s">
        <v>347</v>
      </c>
      <c r="C39" s="831" t="s">
        <v>348</v>
      </c>
      <c r="E39" s="39" t="s">
        <v>251</v>
      </c>
    </row>
    <row r="40">
      <c r="A40" s="174" t="s">
        <v>349</v>
      </c>
      <c r="B40" s="174" t="s">
        <v>350</v>
      </c>
      <c r="C40" s="831" t="s">
        <v>351</v>
      </c>
      <c r="E40" s="39" t="s">
        <v>251</v>
      </c>
    </row>
    <row r="41" ht="16.5" customHeight="1">
      <c r="A41" s="174" t="s">
        <v>352</v>
      </c>
      <c r="B41" s="174" t="s">
        <v>353</v>
      </c>
      <c r="C41" s="831" t="s">
        <v>354</v>
      </c>
      <c r="E41" s="39" t="s">
        <v>7516</v>
      </c>
      <c r="G41" s="39" t="s">
        <v>7516</v>
      </c>
    </row>
    <row r="42">
      <c r="A42" s="174" t="s">
        <v>356</v>
      </c>
      <c r="B42" s="174" t="s">
        <v>357</v>
      </c>
      <c r="C42" s="831" t="s">
        <v>358</v>
      </c>
      <c r="E42" s="39" t="s">
        <v>172</v>
      </c>
    </row>
    <row r="43">
      <c r="A43" s="174" t="s">
        <v>359</v>
      </c>
      <c r="B43" s="174" t="s">
        <v>360</v>
      </c>
      <c r="C43" s="831" t="s">
        <v>361</v>
      </c>
      <c r="E43" s="39" t="s">
        <v>251</v>
      </c>
    </row>
    <row r="44">
      <c r="A44" s="174" t="s">
        <v>362</v>
      </c>
      <c r="B44" s="174" t="s">
        <v>363</v>
      </c>
      <c r="C44" s="831" t="s">
        <v>364</v>
      </c>
      <c r="E44" s="39" t="s">
        <v>251</v>
      </c>
    </row>
    <row r="45">
      <c r="A45" s="174" t="s">
        <v>365</v>
      </c>
      <c r="B45" s="174" t="s">
        <v>366</v>
      </c>
      <c r="C45" s="831" t="s">
        <v>367</v>
      </c>
      <c r="E45" s="39" t="s">
        <v>251</v>
      </c>
    </row>
    <row r="46">
      <c r="A46" s="834" t="s">
        <v>368</v>
      </c>
      <c r="B46" s="835" t="s">
        <v>369</v>
      </c>
      <c r="C46" s="836" t="s">
        <v>370</v>
      </c>
      <c r="E46" s="39" t="s">
        <v>251</v>
      </c>
    </row>
    <row r="47">
      <c r="A47" s="837" t="s">
        <v>371</v>
      </c>
      <c r="B47" s="174" t="s">
        <v>372</v>
      </c>
      <c r="C47" s="831" t="s">
        <v>373</v>
      </c>
      <c r="E47" s="39" t="s">
        <v>251</v>
      </c>
    </row>
    <row r="48">
      <c r="A48" s="174" t="s">
        <v>374</v>
      </c>
      <c r="B48" s="174" t="s">
        <v>375</v>
      </c>
      <c r="C48" s="831" t="s">
        <v>376</v>
      </c>
      <c r="E48" s="39" t="s">
        <v>251</v>
      </c>
    </row>
    <row r="49">
      <c r="A49" s="174" t="s">
        <v>377</v>
      </c>
      <c r="B49" s="174" t="s">
        <v>378</v>
      </c>
      <c r="C49" s="831" t="s">
        <v>379</v>
      </c>
      <c r="E49" s="39" t="s">
        <v>251</v>
      </c>
    </row>
    <row r="50">
      <c r="A50" s="838"/>
      <c r="B50" s="838"/>
      <c r="C50" s="838"/>
    </row>
    <row r="51">
      <c r="A51" s="838"/>
      <c r="B51" s="838"/>
      <c r="C51" s="838"/>
    </row>
    <row r="52">
      <c r="A52" s="838"/>
      <c r="B52" s="838"/>
      <c r="C52" s="838"/>
    </row>
    <row r="53">
      <c r="A53" s="838"/>
      <c r="B53" s="838"/>
      <c r="C53" s="838"/>
    </row>
    <row r="54">
      <c r="A54" s="838"/>
      <c r="B54" s="838"/>
      <c r="C54" s="838"/>
    </row>
    <row r="55">
      <c r="A55" s="838"/>
      <c r="B55" s="838"/>
      <c r="C55" s="838"/>
    </row>
    <row r="56">
      <c r="A56" s="838"/>
      <c r="B56" s="838"/>
      <c r="C56" s="838"/>
    </row>
    <row r="57">
      <c r="A57" s="838"/>
      <c r="B57" s="838"/>
      <c r="C57" s="838"/>
    </row>
    <row r="58">
      <c r="A58" s="838"/>
      <c r="B58" s="838"/>
      <c r="C58" s="838"/>
    </row>
    <row r="59">
      <c r="A59" s="838"/>
      <c r="B59" s="838"/>
      <c r="C59" s="838"/>
    </row>
    <row r="60">
      <c r="A60" s="838"/>
      <c r="B60" s="838"/>
      <c r="C60" s="838"/>
    </row>
    <row r="61">
      <c r="A61" s="838"/>
      <c r="B61" s="838"/>
      <c r="C61" s="838"/>
    </row>
    <row r="62">
      <c r="A62" s="838"/>
      <c r="B62" s="838"/>
      <c r="C62" s="838"/>
    </row>
    <row r="63">
      <c r="A63" s="838"/>
      <c r="B63" s="838"/>
      <c r="C63" s="838"/>
    </row>
    <row r="64">
      <c r="A64" s="838"/>
      <c r="B64" s="838"/>
      <c r="C64" s="838"/>
    </row>
    <row r="65">
      <c r="A65" s="838"/>
      <c r="B65" s="838"/>
      <c r="C65" s="838"/>
    </row>
    <row r="66">
      <c r="A66" s="838"/>
      <c r="B66" s="838"/>
      <c r="C66" s="838"/>
    </row>
    <row r="67">
      <c r="A67" s="838"/>
      <c r="B67" s="838"/>
      <c r="C67" s="838"/>
    </row>
    <row r="68">
      <c r="A68" s="838"/>
      <c r="B68" s="838"/>
      <c r="C68" s="838"/>
    </row>
    <row r="69">
      <c r="A69" s="838"/>
      <c r="B69" s="838"/>
      <c r="C69" s="838"/>
    </row>
    <row r="70">
      <c r="A70" s="838"/>
      <c r="B70" s="838"/>
      <c r="C70" s="838"/>
    </row>
    <row r="71">
      <c r="A71" s="838"/>
      <c r="B71" s="838"/>
      <c r="C71" s="838"/>
    </row>
    <row r="72">
      <c r="A72" s="838"/>
      <c r="B72" s="838"/>
      <c r="C72" s="838"/>
    </row>
    <row r="73">
      <c r="A73" s="838"/>
      <c r="B73" s="838"/>
      <c r="C73" s="838"/>
    </row>
    <row r="74">
      <c r="A74" s="838"/>
      <c r="B74" s="838"/>
      <c r="C74" s="838"/>
    </row>
    <row r="75">
      <c r="A75" s="838"/>
      <c r="B75" s="838"/>
      <c r="C75" s="838"/>
    </row>
    <row r="76">
      <c r="A76" s="838"/>
      <c r="B76" s="838"/>
      <c r="C76" s="838"/>
    </row>
    <row r="77">
      <c r="A77" s="838"/>
      <c r="B77" s="838"/>
      <c r="C77" s="838"/>
    </row>
    <row r="78">
      <c r="A78" s="838"/>
      <c r="B78" s="838"/>
      <c r="C78" s="838"/>
    </row>
    <row r="79">
      <c r="A79" s="838"/>
      <c r="B79" s="838"/>
      <c r="C79" s="838"/>
    </row>
    <row r="80">
      <c r="A80" s="838"/>
      <c r="B80" s="838"/>
      <c r="C80" s="838"/>
    </row>
    <row r="81">
      <c r="A81" s="838"/>
      <c r="B81" s="838"/>
      <c r="C81" s="838"/>
    </row>
    <row r="82">
      <c r="A82" s="838"/>
      <c r="B82" s="838"/>
      <c r="C82" s="838"/>
    </row>
    <row r="83">
      <c r="A83" s="838"/>
      <c r="B83" s="838"/>
      <c r="C83" s="838"/>
    </row>
    <row r="84">
      <c r="A84" s="838"/>
      <c r="B84" s="838"/>
      <c r="C84" s="838"/>
    </row>
    <row r="85">
      <c r="A85" s="838"/>
      <c r="B85" s="838"/>
      <c r="C85" s="838"/>
    </row>
    <row r="86">
      <c r="A86" s="838"/>
      <c r="B86" s="838"/>
      <c r="C86" s="838"/>
    </row>
    <row r="87">
      <c r="A87" s="838"/>
      <c r="B87" s="838"/>
      <c r="C87" s="838"/>
    </row>
    <row r="88">
      <c r="A88" s="838"/>
      <c r="B88" s="838"/>
      <c r="C88" s="838"/>
    </row>
    <row r="89">
      <c r="A89" s="838"/>
      <c r="B89" s="838"/>
      <c r="C89" s="838"/>
    </row>
    <row r="90">
      <c r="A90" s="838"/>
      <c r="B90" s="838"/>
      <c r="C90" s="838"/>
    </row>
    <row r="91">
      <c r="A91" s="838"/>
      <c r="B91" s="838"/>
      <c r="C91" s="838"/>
    </row>
    <row r="92">
      <c r="A92" s="838"/>
      <c r="B92" s="838"/>
      <c r="C92" s="838"/>
    </row>
    <row r="93">
      <c r="A93" s="838"/>
      <c r="B93" s="838"/>
      <c r="C93" s="838"/>
    </row>
    <row r="94">
      <c r="A94" s="838"/>
      <c r="B94" s="838"/>
      <c r="C94" s="838"/>
    </row>
    <row r="95">
      <c r="A95" s="838"/>
      <c r="B95" s="838"/>
      <c r="C95" s="838"/>
    </row>
    <row r="96">
      <c r="A96" s="838"/>
      <c r="B96" s="838"/>
      <c r="C96" s="838"/>
    </row>
    <row r="97">
      <c r="A97" s="838"/>
      <c r="B97" s="838"/>
      <c r="C97" s="838"/>
    </row>
    <row r="98">
      <c r="A98" s="838"/>
      <c r="B98" s="838"/>
      <c r="C98" s="838"/>
    </row>
    <row r="99">
      <c r="A99" s="838"/>
      <c r="B99" s="838"/>
      <c r="C99" s="838"/>
    </row>
    <row r="100">
      <c r="A100" s="838"/>
      <c r="B100" s="838"/>
      <c r="C100" s="838"/>
    </row>
    <row r="101">
      <c r="A101" s="838"/>
      <c r="B101" s="838"/>
      <c r="C101" s="838"/>
    </row>
    <row r="102">
      <c r="A102" s="838"/>
      <c r="B102" s="838"/>
      <c r="C102" s="838"/>
    </row>
    <row r="103">
      <c r="A103" s="838"/>
      <c r="B103" s="838"/>
      <c r="C103" s="838"/>
    </row>
    <row r="104">
      <c r="A104" s="838"/>
      <c r="B104" s="838"/>
      <c r="C104" s="838"/>
    </row>
    <row r="105">
      <c r="A105" s="838"/>
      <c r="B105" s="838"/>
      <c r="C105" s="838"/>
    </row>
    <row r="106">
      <c r="A106" s="838"/>
      <c r="B106" s="838"/>
      <c r="C106" s="838"/>
    </row>
    <row r="107">
      <c r="A107" s="838"/>
      <c r="B107" s="838"/>
      <c r="C107" s="838"/>
    </row>
    <row r="108">
      <c r="A108" s="838"/>
      <c r="B108" s="838"/>
      <c r="C108" s="838"/>
    </row>
    <row r="109">
      <c r="A109" s="838"/>
      <c r="B109" s="838"/>
      <c r="C109" s="838"/>
    </row>
    <row r="110">
      <c r="A110" s="838"/>
      <c r="B110" s="838"/>
      <c r="C110" s="838"/>
    </row>
    <row r="111">
      <c r="A111" s="838"/>
      <c r="B111" s="838"/>
      <c r="C111" s="838"/>
    </row>
    <row r="112">
      <c r="A112" s="838"/>
      <c r="B112" s="838"/>
      <c r="C112" s="838"/>
    </row>
    <row r="113">
      <c r="A113" s="838"/>
      <c r="B113" s="838"/>
      <c r="C113" s="838"/>
    </row>
    <row r="114">
      <c r="A114" s="838"/>
      <c r="B114" s="838"/>
      <c r="C114" s="838"/>
    </row>
    <row r="115">
      <c r="A115" s="838"/>
      <c r="B115" s="838"/>
      <c r="C115" s="838"/>
    </row>
    <row r="116">
      <c r="A116" s="838"/>
      <c r="B116" s="838"/>
      <c r="C116" s="838"/>
    </row>
    <row r="117">
      <c r="A117" s="838"/>
      <c r="B117" s="838"/>
      <c r="C117" s="838"/>
    </row>
    <row r="118">
      <c r="A118" s="838"/>
      <c r="B118" s="838"/>
      <c r="C118" s="838"/>
    </row>
    <row r="119">
      <c r="A119" s="838"/>
      <c r="B119" s="838"/>
      <c r="C119" s="838"/>
    </row>
    <row r="120">
      <c r="A120" s="838"/>
      <c r="B120" s="838"/>
      <c r="C120" s="838"/>
    </row>
    <row r="121">
      <c r="A121" s="838"/>
      <c r="B121" s="838"/>
      <c r="C121" s="838"/>
    </row>
    <row r="122">
      <c r="A122" s="838"/>
      <c r="B122" s="838"/>
      <c r="C122" s="838"/>
    </row>
    <row r="123">
      <c r="A123" s="838"/>
      <c r="B123" s="838"/>
      <c r="C123" s="838"/>
    </row>
    <row r="124">
      <c r="A124" s="838"/>
      <c r="B124" s="838"/>
      <c r="C124" s="838"/>
    </row>
    <row r="125">
      <c r="A125" s="838"/>
      <c r="B125" s="838"/>
      <c r="C125" s="838"/>
    </row>
    <row r="126">
      <c r="A126" s="838"/>
      <c r="B126" s="838"/>
      <c r="C126" s="838"/>
    </row>
    <row r="127">
      <c r="A127" s="838"/>
      <c r="B127" s="838"/>
      <c r="C127" s="838"/>
    </row>
    <row r="128">
      <c r="A128" s="838"/>
      <c r="B128" s="838"/>
      <c r="C128" s="838"/>
    </row>
    <row r="129">
      <c r="A129" s="838"/>
      <c r="B129" s="838"/>
      <c r="C129" s="838"/>
    </row>
    <row r="130">
      <c r="A130" s="838"/>
      <c r="B130" s="838"/>
      <c r="C130" s="838"/>
    </row>
    <row r="131">
      <c r="A131" s="838"/>
      <c r="B131" s="838"/>
      <c r="C131" s="838"/>
    </row>
    <row r="132">
      <c r="A132" s="838"/>
      <c r="B132" s="838"/>
      <c r="C132" s="838"/>
    </row>
    <row r="133">
      <c r="A133" s="838"/>
      <c r="B133" s="838"/>
      <c r="C133" s="838"/>
    </row>
    <row r="134">
      <c r="A134" s="838"/>
      <c r="B134" s="838"/>
      <c r="C134" s="838"/>
    </row>
    <row r="135">
      <c r="A135" s="838"/>
      <c r="B135" s="838"/>
      <c r="C135" s="838"/>
    </row>
    <row r="136">
      <c r="A136" s="838"/>
      <c r="B136" s="838"/>
      <c r="C136" s="838"/>
    </row>
    <row r="137">
      <c r="A137" s="838"/>
      <c r="B137" s="838"/>
      <c r="C137" s="838"/>
    </row>
    <row r="138">
      <c r="A138" s="838"/>
      <c r="B138" s="838"/>
      <c r="C138" s="838"/>
    </row>
    <row r="139">
      <c r="A139" s="838"/>
      <c r="B139" s="838"/>
      <c r="C139" s="838"/>
    </row>
    <row r="140">
      <c r="A140" s="838"/>
      <c r="B140" s="838"/>
      <c r="C140" s="838"/>
    </row>
    <row r="141">
      <c r="A141" s="838"/>
      <c r="B141" s="838"/>
      <c r="C141" s="838"/>
    </row>
    <row r="142">
      <c r="A142" s="838"/>
      <c r="B142" s="838"/>
      <c r="C142" s="838"/>
    </row>
    <row r="143">
      <c r="A143" s="838"/>
      <c r="B143" s="838"/>
      <c r="C143" s="838"/>
    </row>
    <row r="144">
      <c r="A144" s="838"/>
      <c r="B144" s="838"/>
      <c r="C144" s="838"/>
    </row>
    <row r="145">
      <c r="A145" s="838"/>
      <c r="B145" s="838"/>
      <c r="C145" s="838"/>
    </row>
    <row r="146">
      <c r="A146" s="838"/>
      <c r="B146" s="838"/>
      <c r="C146" s="838"/>
    </row>
    <row r="147">
      <c r="A147" s="838"/>
      <c r="B147" s="838"/>
      <c r="C147" s="838"/>
    </row>
    <row r="148">
      <c r="A148" s="838"/>
      <c r="B148" s="838"/>
      <c r="C148" s="838"/>
    </row>
    <row r="149">
      <c r="A149" s="838"/>
      <c r="B149" s="838"/>
      <c r="C149" s="838"/>
    </row>
    <row r="150">
      <c r="A150" s="838"/>
      <c r="B150" s="838"/>
      <c r="C150" s="838"/>
    </row>
    <row r="151">
      <c r="A151" s="838"/>
      <c r="B151" s="838"/>
      <c r="C151" s="838"/>
    </row>
    <row r="152">
      <c r="A152" s="838"/>
      <c r="B152" s="838"/>
      <c r="C152" s="838"/>
    </row>
    <row r="153">
      <c r="A153" s="838"/>
      <c r="B153" s="838"/>
      <c r="C153" s="838"/>
    </row>
    <row r="154">
      <c r="A154" s="838"/>
      <c r="B154" s="838"/>
      <c r="C154" s="838"/>
    </row>
    <row r="155">
      <c r="A155" s="838"/>
      <c r="B155" s="838"/>
      <c r="C155" s="838"/>
    </row>
    <row r="156">
      <c r="A156" s="838"/>
      <c r="B156" s="838"/>
      <c r="C156" s="838"/>
    </row>
    <row r="157">
      <c r="A157" s="838"/>
      <c r="B157" s="838"/>
      <c r="C157" s="838"/>
    </row>
    <row r="158">
      <c r="A158" s="838"/>
      <c r="B158" s="838"/>
      <c r="C158" s="838"/>
    </row>
    <row r="159">
      <c r="A159" s="838"/>
      <c r="B159" s="838"/>
      <c r="C159" s="838"/>
    </row>
    <row r="160">
      <c r="A160" s="838"/>
      <c r="B160" s="838"/>
      <c r="C160" s="838"/>
    </row>
    <row r="161">
      <c r="A161" s="838"/>
      <c r="B161" s="838"/>
      <c r="C161" s="838"/>
    </row>
    <row r="162">
      <c r="A162" s="838"/>
      <c r="B162" s="838"/>
      <c r="C162" s="838"/>
    </row>
    <row r="163">
      <c r="A163" s="838"/>
      <c r="B163" s="838"/>
      <c r="C163" s="838"/>
    </row>
    <row r="164">
      <c r="A164" s="838"/>
      <c r="B164" s="838"/>
      <c r="C164" s="838"/>
    </row>
    <row r="165">
      <c r="A165" s="838"/>
      <c r="B165" s="838"/>
      <c r="C165" s="838"/>
    </row>
    <row r="166">
      <c r="A166" s="838"/>
      <c r="B166" s="838"/>
      <c r="C166" s="838"/>
    </row>
    <row r="167">
      <c r="A167" s="838"/>
      <c r="B167" s="838"/>
      <c r="C167" s="838"/>
    </row>
    <row r="168">
      <c r="A168" s="838"/>
      <c r="B168" s="838"/>
      <c r="C168" s="838"/>
    </row>
    <row r="169">
      <c r="A169" s="838"/>
      <c r="B169" s="838"/>
      <c r="C169" s="838"/>
    </row>
    <row r="170">
      <c r="A170" s="838"/>
      <c r="B170" s="838"/>
      <c r="C170" s="838"/>
    </row>
    <row r="171">
      <c r="A171" s="838"/>
      <c r="B171" s="838"/>
      <c r="C171" s="838"/>
    </row>
    <row r="172">
      <c r="A172" s="838"/>
      <c r="B172" s="838"/>
      <c r="C172" s="838"/>
    </row>
    <row r="173">
      <c r="A173" s="838"/>
      <c r="B173" s="838"/>
      <c r="C173" s="838"/>
    </row>
    <row r="174">
      <c r="A174" s="838"/>
      <c r="B174" s="838"/>
      <c r="C174" s="838"/>
    </row>
    <row r="175">
      <c r="A175" s="838"/>
      <c r="B175" s="838"/>
      <c r="C175" s="838"/>
    </row>
    <row r="176">
      <c r="A176" s="838"/>
      <c r="B176" s="838"/>
      <c r="C176" s="838"/>
    </row>
    <row r="177">
      <c r="A177" s="838"/>
      <c r="B177" s="838"/>
      <c r="C177" s="838"/>
    </row>
    <row r="178">
      <c r="A178" s="838"/>
      <c r="B178" s="838"/>
      <c r="C178" s="838"/>
    </row>
    <row r="179">
      <c r="A179" s="838"/>
      <c r="B179" s="838"/>
      <c r="C179" s="838"/>
    </row>
    <row r="180">
      <c r="A180" s="838"/>
      <c r="B180" s="838"/>
      <c r="C180" s="838"/>
    </row>
    <row r="181">
      <c r="A181" s="838"/>
      <c r="B181" s="838"/>
      <c r="C181" s="838"/>
    </row>
    <row r="182">
      <c r="A182" s="838"/>
      <c r="B182" s="838"/>
      <c r="C182" s="838"/>
    </row>
    <row r="183">
      <c r="A183" s="838"/>
      <c r="B183" s="838"/>
      <c r="C183" s="838"/>
    </row>
    <row r="184">
      <c r="A184" s="838"/>
      <c r="B184" s="838"/>
      <c r="C184" s="838"/>
    </row>
    <row r="185">
      <c r="A185" s="838"/>
      <c r="B185" s="838"/>
      <c r="C185" s="838"/>
    </row>
    <row r="186">
      <c r="A186" s="838"/>
      <c r="B186" s="838"/>
      <c r="C186" s="838"/>
    </row>
    <row r="187">
      <c r="A187" s="838"/>
      <c r="B187" s="838"/>
      <c r="C187" s="838"/>
    </row>
    <row r="188">
      <c r="A188" s="838"/>
      <c r="B188" s="838"/>
      <c r="C188" s="838"/>
    </row>
    <row r="189">
      <c r="A189" s="838"/>
      <c r="B189" s="838"/>
      <c r="C189" s="838"/>
    </row>
    <row r="190">
      <c r="A190" s="838"/>
      <c r="B190" s="838"/>
      <c r="C190" s="838"/>
    </row>
    <row r="191">
      <c r="A191" s="838"/>
      <c r="B191" s="838"/>
      <c r="C191" s="838"/>
    </row>
    <row r="192">
      <c r="A192" s="838"/>
      <c r="B192" s="838"/>
      <c r="C192" s="838"/>
    </row>
    <row r="193">
      <c r="A193" s="838"/>
      <c r="B193" s="838"/>
      <c r="C193" s="838"/>
    </row>
    <row r="194">
      <c r="A194" s="838"/>
      <c r="B194" s="838"/>
      <c r="C194" s="838"/>
    </row>
    <row r="195">
      <c r="A195" s="838"/>
      <c r="B195" s="838"/>
      <c r="C195" s="838"/>
    </row>
    <row r="196">
      <c r="A196" s="838"/>
      <c r="B196" s="838"/>
      <c r="C196" s="838"/>
    </row>
    <row r="197">
      <c r="A197" s="838"/>
      <c r="B197" s="838"/>
      <c r="C197" s="838"/>
    </row>
    <row r="198">
      <c r="A198" s="838"/>
      <c r="B198" s="838"/>
      <c r="C198" s="838"/>
    </row>
    <row r="199">
      <c r="A199" s="838"/>
      <c r="B199" s="838"/>
      <c r="C199" s="838"/>
    </row>
    <row r="200">
      <c r="A200" s="838"/>
      <c r="B200" s="838"/>
      <c r="C200" s="838"/>
    </row>
    <row r="201">
      <c r="A201" s="838"/>
      <c r="B201" s="838"/>
      <c r="C201" s="838"/>
    </row>
    <row r="202">
      <c r="A202" s="838"/>
      <c r="B202" s="838"/>
      <c r="C202" s="838"/>
    </row>
    <row r="203">
      <c r="A203" s="838"/>
      <c r="B203" s="838"/>
      <c r="C203" s="838"/>
    </row>
    <row r="204">
      <c r="A204" s="838"/>
      <c r="B204" s="838"/>
      <c r="C204" s="838"/>
    </row>
    <row r="205">
      <c r="A205" s="838"/>
      <c r="B205" s="838"/>
      <c r="C205" s="838"/>
    </row>
    <row r="206">
      <c r="A206" s="838"/>
      <c r="B206" s="838"/>
      <c r="C206" s="838"/>
    </row>
    <row r="207">
      <c r="A207" s="838"/>
      <c r="B207" s="838"/>
      <c r="C207" s="838"/>
    </row>
    <row r="208">
      <c r="A208" s="838"/>
      <c r="B208" s="838"/>
      <c r="C208" s="838"/>
    </row>
    <row r="209">
      <c r="A209" s="838"/>
      <c r="B209" s="838"/>
      <c r="C209" s="838"/>
    </row>
    <row r="210">
      <c r="A210" s="838"/>
      <c r="B210" s="838"/>
      <c r="C210" s="838"/>
    </row>
    <row r="211">
      <c r="A211" s="838"/>
      <c r="B211" s="838"/>
      <c r="C211" s="838"/>
    </row>
    <row r="212">
      <c r="A212" s="838"/>
      <c r="B212" s="838"/>
      <c r="C212" s="838"/>
    </row>
    <row r="213">
      <c r="A213" s="838"/>
      <c r="B213" s="838"/>
      <c r="C213" s="838"/>
    </row>
    <row r="214">
      <c r="A214" s="838"/>
      <c r="B214" s="838"/>
      <c r="C214" s="838"/>
    </row>
    <row r="215">
      <c r="A215" s="838"/>
      <c r="B215" s="838"/>
      <c r="C215" s="838"/>
    </row>
    <row r="216">
      <c r="A216" s="838"/>
      <c r="B216" s="838"/>
      <c r="C216" s="838"/>
    </row>
    <row r="217">
      <c r="A217" s="838"/>
      <c r="B217" s="838"/>
      <c r="C217" s="838"/>
    </row>
    <row r="218">
      <c r="A218" s="838"/>
      <c r="B218" s="838"/>
      <c r="C218" s="838"/>
    </row>
    <row r="219">
      <c r="A219" s="838"/>
      <c r="B219" s="838"/>
      <c r="C219" s="838"/>
    </row>
    <row r="220">
      <c r="A220" s="838"/>
      <c r="B220" s="838"/>
      <c r="C220" s="838"/>
    </row>
    <row r="221">
      <c r="A221" s="838"/>
      <c r="B221" s="838"/>
      <c r="C221" s="838"/>
    </row>
    <row r="222">
      <c r="A222" s="838"/>
      <c r="B222" s="838"/>
      <c r="C222" s="838"/>
    </row>
    <row r="223">
      <c r="A223" s="838"/>
      <c r="B223" s="838"/>
      <c r="C223" s="838"/>
    </row>
    <row r="224">
      <c r="A224" s="838"/>
      <c r="B224" s="838"/>
      <c r="C224" s="838"/>
    </row>
    <row r="225">
      <c r="A225" s="838"/>
      <c r="B225" s="838"/>
      <c r="C225" s="838"/>
    </row>
    <row r="226">
      <c r="A226" s="838"/>
      <c r="B226" s="838"/>
      <c r="C226" s="838"/>
    </row>
    <row r="227">
      <c r="A227" s="838"/>
      <c r="B227" s="838"/>
      <c r="C227" s="838"/>
    </row>
    <row r="228">
      <c r="A228" s="838"/>
      <c r="B228" s="838"/>
      <c r="C228" s="838"/>
    </row>
    <row r="229">
      <c r="A229" s="838"/>
      <c r="B229" s="838"/>
      <c r="C229" s="838"/>
    </row>
    <row r="230">
      <c r="A230" s="838"/>
      <c r="B230" s="838"/>
      <c r="C230" s="838"/>
    </row>
    <row r="231">
      <c r="A231" s="838"/>
      <c r="B231" s="838"/>
      <c r="C231" s="838"/>
    </row>
    <row r="232">
      <c r="A232" s="838"/>
      <c r="B232" s="838"/>
      <c r="C232" s="838"/>
    </row>
    <row r="233">
      <c r="A233" s="838"/>
      <c r="B233" s="838"/>
      <c r="C233" s="838"/>
    </row>
    <row r="234">
      <c r="A234" s="838"/>
      <c r="B234" s="838"/>
      <c r="C234" s="838"/>
    </row>
    <row r="235">
      <c r="A235" s="838"/>
      <c r="B235" s="838"/>
      <c r="C235" s="838"/>
    </row>
    <row r="236">
      <c r="A236" s="838"/>
      <c r="B236" s="838"/>
      <c r="C236" s="838"/>
    </row>
    <row r="237">
      <c r="A237" s="838"/>
      <c r="B237" s="838"/>
      <c r="C237" s="838"/>
    </row>
    <row r="238">
      <c r="A238" s="838"/>
      <c r="B238" s="838"/>
      <c r="C238" s="838"/>
    </row>
    <row r="239">
      <c r="A239" s="838"/>
      <c r="B239" s="838"/>
      <c r="C239" s="838"/>
    </row>
    <row r="240">
      <c r="A240" s="838"/>
      <c r="B240" s="838"/>
      <c r="C240" s="838"/>
    </row>
    <row r="241">
      <c r="A241" s="838"/>
      <c r="B241" s="838"/>
      <c r="C241" s="838"/>
    </row>
    <row r="242">
      <c r="A242" s="838"/>
      <c r="B242" s="838"/>
      <c r="C242" s="838"/>
    </row>
    <row r="243">
      <c r="A243" s="838"/>
      <c r="B243" s="838"/>
      <c r="C243" s="838"/>
    </row>
    <row r="244">
      <c r="A244" s="838"/>
      <c r="B244" s="838"/>
      <c r="C244" s="838"/>
    </row>
    <row r="245">
      <c r="A245" s="838"/>
      <c r="B245" s="838"/>
      <c r="C245" s="838"/>
    </row>
    <row r="246">
      <c r="A246" s="838"/>
      <c r="B246" s="838"/>
      <c r="C246" s="838"/>
    </row>
    <row r="247">
      <c r="A247" s="838"/>
      <c r="B247" s="838"/>
      <c r="C247" s="838"/>
    </row>
    <row r="248">
      <c r="A248" s="838"/>
      <c r="B248" s="838"/>
      <c r="C248" s="838"/>
    </row>
    <row r="249">
      <c r="A249" s="838"/>
      <c r="B249" s="838"/>
      <c r="C249" s="838"/>
    </row>
    <row r="250">
      <c r="A250" s="838"/>
      <c r="B250" s="838"/>
      <c r="C250" s="838"/>
    </row>
    <row r="251">
      <c r="A251" s="838"/>
      <c r="B251" s="838"/>
      <c r="C251" s="838"/>
    </row>
    <row r="252">
      <c r="A252" s="838"/>
      <c r="B252" s="838"/>
      <c r="C252" s="838"/>
    </row>
    <row r="253">
      <c r="A253" s="838"/>
      <c r="B253" s="838"/>
      <c r="C253" s="838"/>
    </row>
    <row r="254">
      <c r="A254" s="838"/>
      <c r="B254" s="838"/>
      <c r="C254" s="838"/>
    </row>
    <row r="255">
      <c r="A255" s="838"/>
      <c r="B255" s="838"/>
      <c r="C255" s="838"/>
    </row>
    <row r="256">
      <c r="A256" s="838"/>
      <c r="B256" s="838"/>
      <c r="C256" s="838"/>
    </row>
    <row r="257">
      <c r="A257" s="838"/>
      <c r="B257" s="838"/>
      <c r="C257" s="838"/>
    </row>
    <row r="258">
      <c r="A258" s="838"/>
      <c r="B258" s="838"/>
      <c r="C258" s="838"/>
    </row>
    <row r="259">
      <c r="A259" s="838"/>
      <c r="B259" s="838"/>
      <c r="C259" s="838"/>
    </row>
    <row r="260">
      <c r="A260" s="838"/>
      <c r="B260" s="838"/>
      <c r="C260" s="838"/>
    </row>
    <row r="261">
      <c r="A261" s="838"/>
      <c r="B261" s="838"/>
      <c r="C261" s="838"/>
    </row>
    <row r="262">
      <c r="A262" s="838"/>
      <c r="B262" s="838"/>
      <c r="C262" s="838"/>
    </row>
    <row r="263">
      <c r="A263" s="838"/>
      <c r="B263" s="838"/>
      <c r="C263" s="838"/>
    </row>
    <row r="264">
      <c r="A264" s="838"/>
      <c r="B264" s="838"/>
      <c r="C264" s="838"/>
    </row>
    <row r="265">
      <c r="A265" s="838"/>
      <c r="B265" s="838"/>
      <c r="C265" s="838"/>
    </row>
    <row r="266">
      <c r="A266" s="838"/>
      <c r="B266" s="838"/>
      <c r="C266" s="838"/>
    </row>
    <row r="267">
      <c r="A267" s="838"/>
      <c r="B267" s="838"/>
      <c r="C267" s="838"/>
    </row>
    <row r="268">
      <c r="A268" s="838"/>
      <c r="B268" s="838"/>
      <c r="C268" s="838"/>
    </row>
    <row r="269">
      <c r="A269" s="838"/>
      <c r="B269" s="838"/>
      <c r="C269" s="838"/>
    </row>
    <row r="270">
      <c r="A270" s="838"/>
      <c r="B270" s="838"/>
      <c r="C270" s="838"/>
    </row>
    <row r="271">
      <c r="A271" s="838"/>
      <c r="B271" s="838"/>
      <c r="C271" s="838"/>
    </row>
    <row r="272">
      <c r="A272" s="838"/>
      <c r="B272" s="838"/>
      <c r="C272" s="838"/>
    </row>
    <row r="273">
      <c r="A273" s="838"/>
      <c r="B273" s="838"/>
      <c r="C273" s="838"/>
    </row>
    <row r="274">
      <c r="A274" s="838"/>
      <c r="B274" s="838"/>
      <c r="C274" s="838"/>
    </row>
    <row r="275">
      <c r="A275" s="838"/>
      <c r="B275" s="838"/>
      <c r="C275" s="838"/>
    </row>
    <row r="276">
      <c r="A276" s="838"/>
      <c r="B276" s="838"/>
      <c r="C276" s="838"/>
    </row>
    <row r="277">
      <c r="A277" s="838"/>
      <c r="B277" s="838"/>
      <c r="C277" s="838"/>
    </row>
    <row r="278">
      <c r="A278" s="838"/>
      <c r="B278" s="838"/>
      <c r="C278" s="838"/>
    </row>
    <row r="279">
      <c r="A279" s="838"/>
      <c r="B279" s="838"/>
      <c r="C279" s="838"/>
    </row>
    <row r="280">
      <c r="A280" s="838"/>
      <c r="B280" s="838"/>
      <c r="C280" s="838"/>
    </row>
    <row r="281">
      <c r="A281" s="838"/>
      <c r="B281" s="838"/>
      <c r="C281" s="838"/>
    </row>
    <row r="282">
      <c r="A282" s="838"/>
      <c r="B282" s="838"/>
      <c r="C282" s="838"/>
    </row>
    <row r="283">
      <c r="A283" s="838"/>
      <c r="B283" s="838"/>
      <c r="C283" s="838"/>
    </row>
    <row r="284">
      <c r="A284" s="838"/>
      <c r="B284" s="838"/>
      <c r="C284" s="838"/>
    </row>
    <row r="285">
      <c r="A285" s="838"/>
      <c r="B285" s="838"/>
      <c r="C285" s="838"/>
    </row>
    <row r="286">
      <c r="A286" s="838"/>
      <c r="B286" s="838"/>
      <c r="C286" s="838"/>
    </row>
    <row r="287">
      <c r="A287" s="838"/>
      <c r="B287" s="838"/>
      <c r="C287" s="838"/>
    </row>
    <row r="288">
      <c r="A288" s="838"/>
      <c r="B288" s="838"/>
      <c r="C288" s="838"/>
    </row>
    <row r="289">
      <c r="A289" s="838"/>
      <c r="B289" s="838"/>
      <c r="C289" s="838"/>
    </row>
    <row r="290">
      <c r="A290" s="838"/>
      <c r="B290" s="838"/>
      <c r="C290" s="838"/>
    </row>
    <row r="291">
      <c r="A291" s="838"/>
      <c r="B291" s="838"/>
      <c r="C291" s="838"/>
    </row>
    <row r="292">
      <c r="A292" s="838"/>
      <c r="B292" s="838"/>
      <c r="C292" s="838"/>
    </row>
    <row r="293">
      <c r="A293" s="838"/>
      <c r="B293" s="838"/>
      <c r="C293" s="838"/>
    </row>
    <row r="294">
      <c r="A294" s="838"/>
      <c r="B294" s="838"/>
      <c r="C294" s="838"/>
    </row>
    <row r="295">
      <c r="A295" s="838"/>
      <c r="B295" s="838"/>
      <c r="C295" s="838"/>
    </row>
    <row r="296">
      <c r="A296" s="838"/>
      <c r="B296" s="838"/>
      <c r="C296" s="838"/>
    </row>
    <row r="297">
      <c r="A297" s="838"/>
      <c r="B297" s="838"/>
      <c r="C297" s="838"/>
    </row>
    <row r="298">
      <c r="A298" s="838"/>
      <c r="B298" s="838"/>
      <c r="C298" s="838"/>
    </row>
    <row r="299">
      <c r="A299" s="838"/>
      <c r="B299" s="838"/>
      <c r="C299" s="838"/>
    </row>
    <row r="300">
      <c r="A300" s="838"/>
      <c r="B300" s="838"/>
      <c r="C300" s="838"/>
    </row>
    <row r="301">
      <c r="A301" s="838"/>
      <c r="B301" s="838"/>
      <c r="C301" s="838"/>
    </row>
    <row r="302">
      <c r="A302" s="838"/>
      <c r="B302" s="838"/>
      <c r="C302" s="838"/>
    </row>
    <row r="303">
      <c r="A303" s="838"/>
      <c r="B303" s="838"/>
      <c r="C303" s="838"/>
    </row>
    <row r="304">
      <c r="A304" s="838"/>
      <c r="B304" s="838"/>
      <c r="C304" s="838"/>
    </row>
    <row r="305">
      <c r="A305" s="838"/>
      <c r="B305" s="838"/>
      <c r="C305" s="838"/>
    </row>
    <row r="306">
      <c r="A306" s="838"/>
      <c r="B306" s="838"/>
      <c r="C306" s="838"/>
    </row>
    <row r="307">
      <c r="A307" s="838"/>
      <c r="B307" s="838"/>
      <c r="C307" s="838"/>
    </row>
    <row r="308">
      <c r="A308" s="838"/>
      <c r="B308" s="838"/>
      <c r="C308" s="838"/>
    </row>
    <row r="309">
      <c r="A309" s="838"/>
      <c r="B309" s="838"/>
      <c r="C309" s="838"/>
    </row>
    <row r="310">
      <c r="A310" s="838"/>
      <c r="B310" s="838"/>
      <c r="C310" s="838"/>
    </row>
    <row r="311">
      <c r="A311" s="838"/>
      <c r="B311" s="838"/>
      <c r="C311" s="838"/>
    </row>
    <row r="312">
      <c r="A312" s="838"/>
      <c r="B312" s="838"/>
      <c r="C312" s="838"/>
    </row>
    <row r="313">
      <c r="A313" s="838"/>
      <c r="B313" s="838"/>
      <c r="C313" s="838"/>
    </row>
    <row r="314">
      <c r="A314" s="838"/>
      <c r="B314" s="838"/>
      <c r="C314" s="838"/>
    </row>
    <row r="315">
      <c r="A315" s="838"/>
      <c r="B315" s="838"/>
      <c r="C315" s="838"/>
    </row>
    <row r="316">
      <c r="A316" s="838"/>
      <c r="B316" s="838"/>
      <c r="C316" s="838"/>
    </row>
    <row r="317">
      <c r="A317" s="838"/>
      <c r="B317" s="838"/>
      <c r="C317" s="838"/>
    </row>
    <row r="318">
      <c r="A318" s="838"/>
      <c r="B318" s="838"/>
      <c r="C318" s="838"/>
    </row>
    <row r="319">
      <c r="A319" s="838"/>
      <c r="B319" s="838"/>
      <c r="C319" s="838"/>
    </row>
    <row r="320">
      <c r="A320" s="838"/>
      <c r="B320" s="838"/>
      <c r="C320" s="838"/>
    </row>
    <row r="321">
      <c r="A321" s="838"/>
      <c r="B321" s="838"/>
      <c r="C321" s="838"/>
    </row>
    <row r="322">
      <c r="A322" s="838"/>
      <c r="B322" s="838"/>
      <c r="C322" s="838"/>
    </row>
    <row r="323">
      <c r="A323" s="838"/>
      <c r="B323" s="838"/>
      <c r="C323" s="838"/>
    </row>
    <row r="324">
      <c r="A324" s="838"/>
      <c r="B324" s="838"/>
      <c r="C324" s="838"/>
    </row>
    <row r="325">
      <c r="A325" s="838"/>
      <c r="B325" s="838"/>
      <c r="C325" s="838"/>
    </row>
    <row r="326">
      <c r="A326" s="838"/>
      <c r="B326" s="838"/>
      <c r="C326" s="838"/>
    </row>
    <row r="327">
      <c r="A327" s="838"/>
      <c r="B327" s="838"/>
      <c r="C327" s="838"/>
    </row>
    <row r="328">
      <c r="A328" s="838"/>
      <c r="B328" s="838"/>
      <c r="C328" s="838"/>
    </row>
    <row r="329">
      <c r="A329" s="838"/>
      <c r="B329" s="838"/>
      <c r="C329" s="838"/>
    </row>
    <row r="330">
      <c r="A330" s="838"/>
      <c r="B330" s="838"/>
      <c r="C330" s="838"/>
    </row>
    <row r="331">
      <c r="A331" s="838"/>
      <c r="B331" s="838"/>
      <c r="C331" s="838"/>
    </row>
    <row r="332">
      <c r="A332" s="838"/>
      <c r="B332" s="838"/>
      <c r="C332" s="838"/>
    </row>
    <row r="333">
      <c r="A333" s="838"/>
      <c r="B333" s="838"/>
      <c r="C333" s="838"/>
    </row>
    <row r="334">
      <c r="A334" s="838"/>
      <c r="B334" s="838"/>
      <c r="C334" s="838"/>
    </row>
    <row r="335">
      <c r="A335" s="838"/>
      <c r="B335" s="838"/>
      <c r="C335" s="838"/>
    </row>
    <row r="336">
      <c r="A336" s="838"/>
      <c r="B336" s="838"/>
      <c r="C336" s="838"/>
    </row>
    <row r="337">
      <c r="A337" s="838"/>
      <c r="B337" s="838"/>
      <c r="C337" s="838"/>
    </row>
    <row r="338">
      <c r="A338" s="838"/>
      <c r="B338" s="838"/>
      <c r="C338" s="838"/>
    </row>
    <row r="339">
      <c r="A339" s="838"/>
      <c r="B339" s="838"/>
      <c r="C339" s="838"/>
    </row>
    <row r="340">
      <c r="A340" s="838"/>
      <c r="B340" s="838"/>
      <c r="C340" s="838"/>
    </row>
    <row r="341">
      <c r="A341" s="838"/>
      <c r="B341" s="838"/>
      <c r="C341" s="838"/>
    </row>
    <row r="342">
      <c r="A342" s="838"/>
      <c r="B342" s="838"/>
      <c r="C342" s="838"/>
    </row>
    <row r="343">
      <c r="A343" s="838"/>
      <c r="B343" s="838"/>
      <c r="C343" s="838"/>
    </row>
    <row r="344">
      <c r="A344" s="838"/>
      <c r="B344" s="838"/>
      <c r="C344" s="838"/>
    </row>
    <row r="345">
      <c r="A345" s="838"/>
      <c r="B345" s="838"/>
      <c r="C345" s="838"/>
    </row>
    <row r="346">
      <c r="A346" s="838"/>
      <c r="B346" s="838"/>
      <c r="C346" s="838"/>
    </row>
    <row r="347">
      <c r="A347" s="838"/>
      <c r="B347" s="838"/>
      <c r="C347" s="838"/>
    </row>
    <row r="348">
      <c r="A348" s="838"/>
      <c r="B348" s="838"/>
      <c r="C348" s="838"/>
    </row>
    <row r="349">
      <c r="A349" s="838"/>
      <c r="B349" s="838"/>
      <c r="C349" s="838"/>
    </row>
    <row r="350">
      <c r="A350" s="838"/>
      <c r="B350" s="838"/>
      <c r="C350" s="838"/>
    </row>
    <row r="351">
      <c r="A351" s="838"/>
      <c r="B351" s="838"/>
      <c r="C351" s="838"/>
    </row>
    <row r="352">
      <c r="A352" s="838"/>
      <c r="B352" s="838"/>
      <c r="C352" s="838"/>
    </row>
    <row r="353">
      <c r="A353" s="838"/>
      <c r="B353" s="838"/>
      <c r="C353" s="838"/>
    </row>
    <row r="354">
      <c r="A354" s="838"/>
      <c r="B354" s="838"/>
      <c r="C354" s="838"/>
    </row>
    <row r="355">
      <c r="A355" s="838"/>
      <c r="B355" s="838"/>
      <c r="C355" s="838"/>
    </row>
    <row r="356">
      <c r="A356" s="838"/>
      <c r="B356" s="838"/>
      <c r="C356" s="838"/>
    </row>
    <row r="357">
      <c r="A357" s="838"/>
      <c r="B357" s="838"/>
      <c r="C357" s="838"/>
    </row>
    <row r="358">
      <c r="A358" s="838"/>
      <c r="B358" s="838"/>
      <c r="C358" s="838"/>
    </row>
    <row r="359">
      <c r="A359" s="838"/>
      <c r="B359" s="838"/>
      <c r="C359" s="838"/>
    </row>
    <row r="360">
      <c r="A360" s="838"/>
      <c r="B360" s="838"/>
      <c r="C360" s="838"/>
    </row>
    <row r="361">
      <c r="A361" s="838"/>
      <c r="B361" s="838"/>
      <c r="C361" s="838"/>
    </row>
    <row r="362">
      <c r="A362" s="838"/>
      <c r="B362" s="838"/>
      <c r="C362" s="838"/>
    </row>
    <row r="363">
      <c r="A363" s="838"/>
      <c r="B363" s="838"/>
      <c r="C363" s="838"/>
    </row>
    <row r="364">
      <c r="A364" s="838"/>
      <c r="B364" s="838"/>
      <c r="C364" s="838"/>
    </row>
    <row r="365">
      <c r="A365" s="838"/>
      <c r="B365" s="838"/>
      <c r="C365" s="838"/>
    </row>
    <row r="366">
      <c r="A366" s="838"/>
      <c r="B366" s="838"/>
      <c r="C366" s="838"/>
    </row>
    <row r="367">
      <c r="A367" s="838"/>
      <c r="B367" s="838"/>
      <c r="C367" s="838"/>
    </row>
    <row r="368">
      <c r="A368" s="838"/>
      <c r="B368" s="838"/>
      <c r="C368" s="838"/>
    </row>
    <row r="369">
      <c r="A369" s="838"/>
      <c r="B369" s="838"/>
      <c r="C369" s="838"/>
    </row>
    <row r="370">
      <c r="A370" s="838"/>
      <c r="B370" s="838"/>
      <c r="C370" s="838"/>
    </row>
    <row r="371">
      <c r="A371" s="838"/>
      <c r="B371" s="838"/>
      <c r="C371" s="838"/>
    </row>
    <row r="372">
      <c r="A372" s="838"/>
      <c r="B372" s="838"/>
      <c r="C372" s="838"/>
    </row>
    <row r="373">
      <c r="A373" s="838"/>
      <c r="B373" s="838"/>
      <c r="C373" s="838"/>
    </row>
    <row r="374">
      <c r="A374" s="838"/>
      <c r="B374" s="838"/>
      <c r="C374" s="838"/>
    </row>
    <row r="375">
      <c r="A375" s="838"/>
      <c r="B375" s="838"/>
      <c r="C375" s="838"/>
    </row>
    <row r="376">
      <c r="A376" s="838"/>
      <c r="B376" s="838"/>
      <c r="C376" s="838"/>
    </row>
    <row r="377">
      <c r="A377" s="838"/>
      <c r="B377" s="838"/>
      <c r="C377" s="838"/>
    </row>
    <row r="378">
      <c r="A378" s="838"/>
      <c r="B378" s="838"/>
      <c r="C378" s="838"/>
    </row>
    <row r="379">
      <c r="A379" s="838"/>
      <c r="B379" s="838"/>
      <c r="C379" s="838"/>
    </row>
    <row r="380">
      <c r="A380" s="838"/>
      <c r="B380" s="838"/>
      <c r="C380" s="838"/>
    </row>
    <row r="381">
      <c r="A381" s="838"/>
      <c r="B381" s="838"/>
      <c r="C381" s="838"/>
    </row>
    <row r="382">
      <c r="A382" s="838"/>
      <c r="B382" s="838"/>
      <c r="C382" s="838"/>
    </row>
    <row r="383">
      <c r="A383" s="838"/>
      <c r="B383" s="838"/>
      <c r="C383" s="838"/>
    </row>
    <row r="384">
      <c r="A384" s="838"/>
      <c r="B384" s="838"/>
      <c r="C384" s="838"/>
    </row>
    <row r="385">
      <c r="A385" s="838"/>
      <c r="B385" s="838"/>
      <c r="C385" s="838"/>
    </row>
    <row r="386">
      <c r="A386" s="838"/>
      <c r="B386" s="838"/>
      <c r="C386" s="838"/>
    </row>
    <row r="387">
      <c r="A387" s="838"/>
      <c r="B387" s="838"/>
      <c r="C387" s="838"/>
    </row>
    <row r="388">
      <c r="A388" s="838"/>
      <c r="B388" s="838"/>
      <c r="C388" s="838"/>
    </row>
    <row r="389">
      <c r="A389" s="838"/>
      <c r="B389" s="838"/>
      <c r="C389" s="838"/>
    </row>
    <row r="390">
      <c r="A390" s="838"/>
      <c r="B390" s="838"/>
      <c r="C390" s="838"/>
    </row>
    <row r="391">
      <c r="A391" s="838"/>
      <c r="B391" s="838"/>
      <c r="C391" s="838"/>
    </row>
    <row r="392">
      <c r="A392" s="838"/>
      <c r="B392" s="838"/>
      <c r="C392" s="838"/>
    </row>
    <row r="393">
      <c r="A393" s="838"/>
      <c r="B393" s="838"/>
      <c r="C393" s="838"/>
    </row>
    <row r="394">
      <c r="A394" s="838"/>
      <c r="B394" s="838"/>
      <c r="C394" s="838"/>
    </row>
    <row r="395">
      <c r="A395" s="838"/>
      <c r="B395" s="838"/>
      <c r="C395" s="838"/>
    </row>
    <row r="396">
      <c r="A396" s="838"/>
      <c r="B396" s="838"/>
      <c r="C396" s="838"/>
    </row>
    <row r="397">
      <c r="A397" s="838"/>
      <c r="B397" s="838"/>
      <c r="C397" s="838"/>
    </row>
    <row r="398">
      <c r="A398" s="838"/>
      <c r="B398" s="838"/>
      <c r="C398" s="838"/>
    </row>
    <row r="399">
      <c r="A399" s="838"/>
      <c r="B399" s="838"/>
      <c r="C399" s="838"/>
    </row>
    <row r="400">
      <c r="A400" s="838"/>
      <c r="B400" s="838"/>
      <c r="C400" s="838"/>
    </row>
    <row r="401">
      <c r="A401" s="838"/>
      <c r="B401" s="838"/>
      <c r="C401" s="838"/>
    </row>
    <row r="402">
      <c r="A402" s="838"/>
      <c r="B402" s="838"/>
      <c r="C402" s="838"/>
    </row>
    <row r="403">
      <c r="A403" s="838"/>
      <c r="B403" s="838"/>
      <c r="C403" s="838"/>
    </row>
    <row r="404">
      <c r="A404" s="838"/>
      <c r="B404" s="838"/>
      <c r="C404" s="838"/>
    </row>
    <row r="405">
      <c r="A405" s="838"/>
      <c r="B405" s="838"/>
      <c r="C405" s="838"/>
    </row>
    <row r="406">
      <c r="A406" s="838"/>
      <c r="B406" s="838"/>
      <c r="C406" s="838"/>
    </row>
    <row r="407">
      <c r="A407" s="838"/>
      <c r="B407" s="838"/>
      <c r="C407" s="838"/>
    </row>
    <row r="408">
      <c r="A408" s="838"/>
      <c r="B408" s="838"/>
      <c r="C408" s="838"/>
    </row>
    <row r="409">
      <c r="A409" s="838"/>
      <c r="B409" s="838"/>
      <c r="C409" s="838"/>
    </row>
    <row r="410">
      <c r="A410" s="838"/>
      <c r="B410" s="838"/>
      <c r="C410" s="838"/>
    </row>
    <row r="411">
      <c r="A411" s="838"/>
      <c r="B411" s="838"/>
      <c r="C411" s="838"/>
    </row>
    <row r="412">
      <c r="A412" s="838"/>
      <c r="B412" s="838"/>
      <c r="C412" s="838"/>
    </row>
    <row r="413">
      <c r="A413" s="838"/>
      <c r="B413" s="838"/>
      <c r="C413" s="838"/>
    </row>
    <row r="414">
      <c r="A414" s="838"/>
      <c r="B414" s="838"/>
      <c r="C414" s="838"/>
    </row>
    <row r="415">
      <c r="A415" s="838"/>
      <c r="B415" s="838"/>
      <c r="C415" s="838"/>
    </row>
    <row r="416">
      <c r="A416" s="838"/>
      <c r="B416" s="838"/>
      <c r="C416" s="838"/>
    </row>
    <row r="417">
      <c r="A417" s="838"/>
      <c r="B417" s="838"/>
      <c r="C417" s="838"/>
    </row>
    <row r="418">
      <c r="A418" s="838"/>
      <c r="B418" s="838"/>
      <c r="C418" s="838"/>
    </row>
    <row r="419">
      <c r="A419" s="838"/>
      <c r="B419" s="838"/>
      <c r="C419" s="838"/>
    </row>
    <row r="420">
      <c r="A420" s="838"/>
      <c r="B420" s="838"/>
      <c r="C420" s="838"/>
    </row>
    <row r="421">
      <c r="A421" s="838"/>
      <c r="B421" s="838"/>
      <c r="C421" s="838"/>
    </row>
    <row r="422">
      <c r="A422" s="838"/>
      <c r="B422" s="838"/>
      <c r="C422" s="838"/>
    </row>
    <row r="423">
      <c r="A423" s="838"/>
      <c r="B423" s="838"/>
      <c r="C423" s="838"/>
    </row>
    <row r="424">
      <c r="A424" s="838"/>
      <c r="B424" s="838"/>
      <c r="C424" s="838"/>
    </row>
    <row r="425">
      <c r="A425" s="838"/>
      <c r="B425" s="838"/>
      <c r="C425" s="838"/>
    </row>
    <row r="426">
      <c r="A426" s="838"/>
      <c r="B426" s="838"/>
      <c r="C426" s="838"/>
    </row>
    <row r="427">
      <c r="A427" s="838"/>
      <c r="B427" s="838"/>
      <c r="C427" s="838"/>
    </row>
    <row r="428">
      <c r="A428" s="838"/>
      <c r="B428" s="838"/>
      <c r="C428" s="838"/>
    </row>
    <row r="429">
      <c r="A429" s="838"/>
      <c r="B429" s="838"/>
      <c r="C429" s="838"/>
    </row>
    <row r="430">
      <c r="A430" s="838"/>
      <c r="B430" s="838"/>
      <c r="C430" s="838"/>
    </row>
    <row r="431">
      <c r="A431" s="838"/>
      <c r="B431" s="838"/>
      <c r="C431" s="838"/>
    </row>
    <row r="432">
      <c r="A432" s="838"/>
      <c r="B432" s="838"/>
      <c r="C432" s="838"/>
    </row>
    <row r="433">
      <c r="A433" s="838"/>
      <c r="B433" s="838"/>
      <c r="C433" s="838"/>
    </row>
    <row r="434">
      <c r="A434" s="838"/>
      <c r="B434" s="838"/>
      <c r="C434" s="838"/>
    </row>
    <row r="435">
      <c r="A435" s="838"/>
      <c r="B435" s="838"/>
      <c r="C435" s="838"/>
    </row>
    <row r="436">
      <c r="A436" s="838"/>
      <c r="B436" s="838"/>
      <c r="C436" s="838"/>
    </row>
    <row r="437">
      <c r="A437" s="838"/>
      <c r="B437" s="838"/>
      <c r="C437" s="838"/>
    </row>
    <row r="438">
      <c r="A438" s="838"/>
      <c r="B438" s="838"/>
      <c r="C438" s="838"/>
    </row>
    <row r="439">
      <c r="A439" s="838"/>
      <c r="B439" s="838"/>
      <c r="C439" s="838"/>
    </row>
    <row r="440">
      <c r="A440" s="838"/>
      <c r="B440" s="838"/>
      <c r="C440" s="838"/>
    </row>
    <row r="441">
      <c r="A441" s="838"/>
      <c r="B441" s="838"/>
      <c r="C441" s="838"/>
    </row>
    <row r="442">
      <c r="A442" s="838"/>
      <c r="B442" s="838"/>
      <c r="C442" s="838"/>
    </row>
    <row r="443">
      <c r="A443" s="838"/>
      <c r="B443" s="838"/>
      <c r="C443" s="838"/>
    </row>
    <row r="444">
      <c r="A444" s="838"/>
      <c r="B444" s="838"/>
      <c r="C444" s="838"/>
    </row>
    <row r="445">
      <c r="A445" s="838"/>
      <c r="B445" s="838"/>
      <c r="C445" s="838"/>
    </row>
    <row r="446">
      <c r="A446" s="838"/>
      <c r="B446" s="838"/>
      <c r="C446" s="838"/>
    </row>
    <row r="447">
      <c r="A447" s="838"/>
      <c r="B447" s="838"/>
      <c r="C447" s="838"/>
    </row>
    <row r="448">
      <c r="A448" s="838"/>
      <c r="B448" s="838"/>
      <c r="C448" s="838"/>
    </row>
    <row r="449">
      <c r="A449" s="838"/>
      <c r="B449" s="838"/>
      <c r="C449" s="838"/>
    </row>
    <row r="450">
      <c r="A450" s="838"/>
      <c r="B450" s="838"/>
      <c r="C450" s="838"/>
    </row>
    <row r="451">
      <c r="A451" s="838"/>
      <c r="B451" s="838"/>
      <c r="C451" s="838"/>
    </row>
    <row r="452">
      <c r="A452" s="838"/>
      <c r="B452" s="838"/>
      <c r="C452" s="838"/>
    </row>
    <row r="453">
      <c r="A453" s="838"/>
      <c r="B453" s="838"/>
      <c r="C453" s="838"/>
    </row>
    <row r="454">
      <c r="A454" s="838"/>
      <c r="B454" s="838"/>
      <c r="C454" s="838"/>
    </row>
    <row r="455">
      <c r="A455" s="838"/>
      <c r="B455" s="838"/>
      <c r="C455" s="838"/>
    </row>
    <row r="456">
      <c r="A456" s="838"/>
      <c r="B456" s="838"/>
      <c r="C456" s="838"/>
    </row>
    <row r="457">
      <c r="A457" s="838"/>
      <c r="B457" s="838"/>
      <c r="C457" s="838"/>
    </row>
    <row r="458">
      <c r="A458" s="838"/>
      <c r="B458" s="838"/>
      <c r="C458" s="838"/>
    </row>
    <row r="459">
      <c r="A459" s="838"/>
      <c r="B459" s="838"/>
      <c r="C459" s="838"/>
    </row>
    <row r="460">
      <c r="A460" s="838"/>
      <c r="B460" s="838"/>
      <c r="C460" s="838"/>
    </row>
    <row r="461">
      <c r="A461" s="838"/>
      <c r="B461" s="838"/>
      <c r="C461" s="838"/>
    </row>
    <row r="462">
      <c r="A462" s="838"/>
      <c r="B462" s="838"/>
      <c r="C462" s="838"/>
    </row>
    <row r="463">
      <c r="A463" s="838"/>
      <c r="B463" s="838"/>
      <c r="C463" s="838"/>
    </row>
    <row r="464">
      <c r="A464" s="838"/>
      <c r="B464" s="838"/>
      <c r="C464" s="838"/>
    </row>
    <row r="465">
      <c r="A465" s="838"/>
      <c r="B465" s="838"/>
      <c r="C465" s="838"/>
    </row>
    <row r="466">
      <c r="A466" s="838"/>
      <c r="B466" s="838"/>
      <c r="C466" s="838"/>
    </row>
    <row r="467">
      <c r="A467" s="838"/>
      <c r="B467" s="838"/>
      <c r="C467" s="838"/>
    </row>
    <row r="468">
      <c r="A468" s="838"/>
      <c r="B468" s="838"/>
      <c r="C468" s="838"/>
    </row>
    <row r="469">
      <c r="A469" s="838"/>
      <c r="B469" s="838"/>
      <c r="C469" s="838"/>
    </row>
    <row r="470">
      <c r="A470" s="838"/>
      <c r="B470" s="838"/>
      <c r="C470" s="838"/>
    </row>
    <row r="471">
      <c r="A471" s="838"/>
      <c r="B471" s="838"/>
      <c r="C471" s="838"/>
    </row>
    <row r="472">
      <c r="A472" s="838"/>
      <c r="B472" s="838"/>
      <c r="C472" s="838"/>
    </row>
    <row r="473">
      <c r="A473" s="838"/>
      <c r="B473" s="838"/>
      <c r="C473" s="838"/>
    </row>
    <row r="474">
      <c r="A474" s="838"/>
      <c r="B474" s="838"/>
      <c r="C474" s="838"/>
    </row>
    <row r="475">
      <c r="A475" s="838"/>
      <c r="B475" s="838"/>
      <c r="C475" s="838"/>
    </row>
    <row r="476">
      <c r="A476" s="838"/>
      <c r="B476" s="838"/>
      <c r="C476" s="838"/>
    </row>
    <row r="477">
      <c r="A477" s="838"/>
      <c r="B477" s="838"/>
      <c r="C477" s="838"/>
    </row>
    <row r="478">
      <c r="A478" s="838"/>
      <c r="B478" s="838"/>
      <c r="C478" s="838"/>
    </row>
    <row r="479">
      <c r="A479" s="838"/>
      <c r="B479" s="838"/>
      <c r="C479" s="838"/>
    </row>
    <row r="480">
      <c r="A480" s="838"/>
      <c r="B480" s="838"/>
      <c r="C480" s="838"/>
    </row>
    <row r="481">
      <c r="A481" s="838"/>
      <c r="B481" s="838"/>
      <c r="C481" s="838"/>
    </row>
    <row r="482">
      <c r="A482" s="838"/>
      <c r="B482" s="838"/>
      <c r="C482" s="838"/>
    </row>
    <row r="483">
      <c r="A483" s="838"/>
      <c r="B483" s="838"/>
      <c r="C483" s="838"/>
    </row>
    <row r="484">
      <c r="A484" s="838"/>
      <c r="B484" s="838"/>
      <c r="C484" s="838"/>
    </row>
    <row r="485">
      <c r="A485" s="838"/>
      <c r="B485" s="838"/>
      <c r="C485" s="838"/>
    </row>
    <row r="486">
      <c r="A486" s="838"/>
      <c r="B486" s="838"/>
      <c r="C486" s="838"/>
    </row>
    <row r="487">
      <c r="A487" s="838"/>
      <c r="B487" s="838"/>
      <c r="C487" s="838"/>
    </row>
    <row r="488">
      <c r="A488" s="838"/>
      <c r="B488" s="838"/>
      <c r="C488" s="838"/>
    </row>
    <row r="489">
      <c r="A489" s="838"/>
      <c r="B489" s="838"/>
      <c r="C489" s="838"/>
    </row>
    <row r="490">
      <c r="A490" s="838"/>
      <c r="B490" s="838"/>
      <c r="C490" s="838"/>
    </row>
    <row r="491">
      <c r="A491" s="838"/>
      <c r="B491" s="838"/>
      <c r="C491" s="838"/>
    </row>
    <row r="492">
      <c r="A492" s="838"/>
      <c r="B492" s="838"/>
      <c r="C492" s="838"/>
    </row>
    <row r="493">
      <c r="A493" s="838"/>
      <c r="B493" s="838"/>
      <c r="C493" s="838"/>
    </row>
    <row r="494">
      <c r="A494" s="838"/>
      <c r="B494" s="838"/>
      <c r="C494" s="838"/>
    </row>
    <row r="495">
      <c r="A495" s="838"/>
      <c r="B495" s="838"/>
      <c r="C495" s="838"/>
    </row>
    <row r="496">
      <c r="A496" s="838"/>
      <c r="B496" s="838"/>
      <c r="C496" s="838"/>
    </row>
    <row r="497">
      <c r="A497" s="838"/>
      <c r="B497" s="838"/>
      <c r="C497" s="838"/>
    </row>
    <row r="498">
      <c r="A498" s="838"/>
      <c r="B498" s="838"/>
      <c r="C498" s="838"/>
    </row>
    <row r="499">
      <c r="A499" s="838"/>
      <c r="B499" s="838"/>
      <c r="C499" s="838"/>
    </row>
    <row r="500">
      <c r="A500" s="838"/>
      <c r="B500" s="838"/>
      <c r="C500" s="838"/>
    </row>
    <row r="501">
      <c r="A501" s="838"/>
      <c r="B501" s="838"/>
      <c r="C501" s="838"/>
    </row>
    <row r="502">
      <c r="A502" s="838"/>
      <c r="B502" s="838"/>
      <c r="C502" s="838"/>
    </row>
    <row r="503">
      <c r="A503" s="838"/>
      <c r="B503" s="838"/>
      <c r="C503" s="838"/>
    </row>
    <row r="504">
      <c r="A504" s="838"/>
      <c r="B504" s="838"/>
      <c r="C504" s="838"/>
    </row>
    <row r="505">
      <c r="A505" s="838"/>
      <c r="B505" s="838"/>
      <c r="C505" s="838"/>
    </row>
    <row r="506">
      <c r="A506" s="838"/>
      <c r="B506" s="838"/>
      <c r="C506" s="838"/>
    </row>
    <row r="507">
      <c r="A507" s="838"/>
      <c r="B507" s="838"/>
      <c r="C507" s="838"/>
    </row>
    <row r="508">
      <c r="A508" s="838"/>
      <c r="B508" s="838"/>
      <c r="C508" s="838"/>
    </row>
    <row r="509">
      <c r="A509" s="838"/>
      <c r="B509" s="838"/>
      <c r="C509" s="838"/>
    </row>
    <row r="510">
      <c r="A510" s="838"/>
      <c r="B510" s="838"/>
      <c r="C510" s="838"/>
    </row>
    <row r="511">
      <c r="A511" s="838"/>
      <c r="B511" s="838"/>
      <c r="C511" s="838"/>
    </row>
    <row r="512">
      <c r="A512" s="838"/>
      <c r="B512" s="838"/>
      <c r="C512" s="838"/>
    </row>
    <row r="513">
      <c r="A513" s="838"/>
      <c r="B513" s="838"/>
      <c r="C513" s="838"/>
    </row>
    <row r="514">
      <c r="A514" s="838"/>
      <c r="B514" s="838"/>
      <c r="C514" s="838"/>
    </row>
    <row r="515">
      <c r="A515" s="838"/>
      <c r="B515" s="838"/>
      <c r="C515" s="838"/>
    </row>
    <row r="516">
      <c r="A516" s="838"/>
      <c r="B516" s="838"/>
      <c r="C516" s="838"/>
    </row>
    <row r="517">
      <c r="A517" s="838"/>
      <c r="B517" s="838"/>
      <c r="C517" s="838"/>
    </row>
    <row r="518">
      <c r="A518" s="838"/>
      <c r="B518" s="838"/>
      <c r="C518" s="838"/>
    </row>
    <row r="519">
      <c r="A519" s="838"/>
      <c r="B519" s="838"/>
      <c r="C519" s="838"/>
    </row>
    <row r="520">
      <c r="A520" s="838"/>
      <c r="B520" s="838"/>
      <c r="C520" s="838"/>
    </row>
    <row r="521">
      <c r="A521" s="838"/>
      <c r="B521" s="838"/>
      <c r="C521" s="838"/>
    </row>
    <row r="522">
      <c r="A522" s="838"/>
      <c r="B522" s="838"/>
      <c r="C522" s="838"/>
    </row>
    <row r="523">
      <c r="A523" s="838"/>
      <c r="B523" s="838"/>
      <c r="C523" s="838"/>
    </row>
    <row r="524">
      <c r="A524" s="838"/>
      <c r="B524" s="838"/>
      <c r="C524" s="838"/>
    </row>
    <row r="525">
      <c r="A525" s="838"/>
      <c r="B525" s="838"/>
      <c r="C525" s="838"/>
    </row>
    <row r="526">
      <c r="A526" s="838"/>
      <c r="B526" s="838"/>
      <c r="C526" s="838"/>
    </row>
    <row r="527">
      <c r="A527" s="838"/>
      <c r="B527" s="838"/>
      <c r="C527" s="838"/>
    </row>
    <row r="528">
      <c r="A528" s="838"/>
      <c r="B528" s="838"/>
      <c r="C528" s="838"/>
    </row>
    <row r="529">
      <c r="A529" s="838"/>
      <c r="B529" s="838"/>
      <c r="C529" s="838"/>
    </row>
    <row r="530">
      <c r="A530" s="838"/>
      <c r="B530" s="838"/>
      <c r="C530" s="838"/>
    </row>
    <row r="531">
      <c r="A531" s="838"/>
      <c r="B531" s="838"/>
      <c r="C531" s="838"/>
    </row>
    <row r="532">
      <c r="A532" s="838"/>
      <c r="B532" s="838"/>
      <c r="C532" s="838"/>
    </row>
    <row r="533">
      <c r="A533" s="838"/>
      <c r="B533" s="838"/>
      <c r="C533" s="838"/>
    </row>
    <row r="534">
      <c r="A534" s="838"/>
      <c r="B534" s="838"/>
      <c r="C534" s="838"/>
    </row>
    <row r="535">
      <c r="A535" s="838"/>
      <c r="B535" s="838"/>
      <c r="C535" s="838"/>
    </row>
    <row r="536">
      <c r="A536" s="838"/>
      <c r="B536" s="838"/>
      <c r="C536" s="838"/>
    </row>
    <row r="537">
      <c r="A537" s="838"/>
      <c r="B537" s="838"/>
      <c r="C537" s="838"/>
    </row>
    <row r="538">
      <c r="A538" s="838"/>
      <c r="B538" s="838"/>
      <c r="C538" s="838"/>
    </row>
    <row r="539">
      <c r="A539" s="838"/>
      <c r="B539" s="838"/>
      <c r="C539" s="838"/>
    </row>
    <row r="540">
      <c r="A540" s="838"/>
      <c r="B540" s="838"/>
      <c r="C540" s="838"/>
    </row>
    <row r="541">
      <c r="A541" s="838"/>
      <c r="B541" s="838"/>
      <c r="C541" s="838"/>
    </row>
    <row r="542">
      <c r="A542" s="838"/>
      <c r="B542" s="838"/>
      <c r="C542" s="838"/>
    </row>
    <row r="543">
      <c r="A543" s="838"/>
      <c r="B543" s="838"/>
      <c r="C543" s="838"/>
    </row>
    <row r="544">
      <c r="A544" s="838"/>
      <c r="B544" s="838"/>
      <c r="C544" s="838"/>
    </row>
    <row r="545">
      <c r="A545" s="838"/>
      <c r="B545" s="838"/>
      <c r="C545" s="838"/>
    </row>
    <row r="546">
      <c r="A546" s="838"/>
      <c r="B546" s="838"/>
      <c r="C546" s="838"/>
    </row>
    <row r="547">
      <c r="A547" s="838"/>
      <c r="B547" s="838"/>
      <c r="C547" s="838"/>
    </row>
    <row r="548">
      <c r="A548" s="838"/>
      <c r="B548" s="838"/>
      <c r="C548" s="838"/>
    </row>
    <row r="549">
      <c r="A549" s="838"/>
      <c r="B549" s="838"/>
      <c r="C549" s="838"/>
    </row>
    <row r="550">
      <c r="A550" s="838"/>
      <c r="B550" s="838"/>
      <c r="C550" s="838"/>
    </row>
    <row r="551">
      <c r="A551" s="838"/>
      <c r="B551" s="838"/>
      <c r="C551" s="838"/>
    </row>
    <row r="552">
      <c r="A552" s="838"/>
      <c r="B552" s="838"/>
      <c r="C552" s="838"/>
    </row>
    <row r="553">
      <c r="A553" s="838"/>
      <c r="B553" s="838"/>
      <c r="C553" s="838"/>
    </row>
    <row r="554">
      <c r="A554" s="838"/>
      <c r="B554" s="838"/>
      <c r="C554" s="838"/>
    </row>
    <row r="555">
      <c r="A555" s="838"/>
      <c r="B555" s="838"/>
      <c r="C555" s="838"/>
    </row>
    <row r="556">
      <c r="A556" s="838"/>
      <c r="B556" s="838"/>
      <c r="C556" s="838"/>
    </row>
    <row r="557">
      <c r="A557" s="838"/>
      <c r="B557" s="838"/>
      <c r="C557" s="838"/>
    </row>
    <row r="558">
      <c r="A558" s="838"/>
      <c r="B558" s="838"/>
      <c r="C558" s="838"/>
    </row>
    <row r="559">
      <c r="A559" s="838"/>
      <c r="B559" s="838"/>
      <c r="C559" s="838"/>
    </row>
    <row r="560">
      <c r="A560" s="838"/>
      <c r="B560" s="838"/>
      <c r="C560" s="838"/>
    </row>
    <row r="561">
      <c r="A561" s="838"/>
      <c r="B561" s="838"/>
      <c r="C561" s="838"/>
    </row>
    <row r="562">
      <c r="A562" s="838"/>
      <c r="B562" s="838"/>
      <c r="C562" s="838"/>
    </row>
    <row r="563">
      <c r="A563" s="838"/>
      <c r="B563" s="838"/>
      <c r="C563" s="838"/>
    </row>
    <row r="564">
      <c r="A564" s="838"/>
      <c r="B564" s="838"/>
      <c r="C564" s="838"/>
    </row>
    <row r="565">
      <c r="A565" s="838"/>
      <c r="B565" s="838"/>
      <c r="C565" s="838"/>
    </row>
    <row r="566">
      <c r="A566" s="838"/>
      <c r="B566" s="838"/>
      <c r="C566" s="838"/>
    </row>
    <row r="567">
      <c r="A567" s="838"/>
      <c r="B567" s="838"/>
      <c r="C567" s="838"/>
    </row>
    <row r="568">
      <c r="A568" s="838"/>
      <c r="B568" s="838"/>
      <c r="C568" s="838"/>
    </row>
    <row r="569">
      <c r="A569" s="838"/>
      <c r="B569" s="838"/>
      <c r="C569" s="838"/>
    </row>
    <row r="570">
      <c r="A570" s="838"/>
      <c r="B570" s="838"/>
      <c r="C570" s="838"/>
    </row>
    <row r="571">
      <c r="A571" s="838"/>
      <c r="B571" s="838"/>
      <c r="C571" s="838"/>
    </row>
    <row r="572">
      <c r="A572" s="838"/>
      <c r="B572" s="838"/>
      <c r="C572" s="838"/>
    </row>
    <row r="573">
      <c r="A573" s="838"/>
      <c r="B573" s="838"/>
      <c r="C573" s="838"/>
    </row>
    <row r="574">
      <c r="A574" s="838"/>
      <c r="B574" s="838"/>
      <c r="C574" s="838"/>
    </row>
    <row r="575">
      <c r="A575" s="838"/>
      <c r="B575" s="838"/>
      <c r="C575" s="838"/>
    </row>
    <row r="576">
      <c r="A576" s="838"/>
      <c r="B576" s="838"/>
      <c r="C576" s="838"/>
    </row>
    <row r="577">
      <c r="A577" s="838"/>
      <c r="B577" s="838"/>
      <c r="C577" s="838"/>
    </row>
    <row r="578">
      <c r="A578" s="838"/>
      <c r="B578" s="838"/>
      <c r="C578" s="838"/>
    </row>
    <row r="579">
      <c r="A579" s="838"/>
      <c r="B579" s="838"/>
      <c r="C579" s="838"/>
    </row>
    <row r="580">
      <c r="A580" s="838"/>
      <c r="B580" s="838"/>
      <c r="C580" s="838"/>
    </row>
    <row r="581">
      <c r="A581" s="838"/>
      <c r="B581" s="838"/>
      <c r="C581" s="838"/>
    </row>
    <row r="582">
      <c r="A582" s="838"/>
      <c r="B582" s="838"/>
      <c r="C582" s="838"/>
    </row>
    <row r="583">
      <c r="A583" s="838"/>
      <c r="B583" s="838"/>
      <c r="C583" s="838"/>
    </row>
    <row r="584">
      <c r="A584" s="838"/>
      <c r="B584" s="838"/>
      <c r="C584" s="838"/>
    </row>
    <row r="585">
      <c r="A585" s="838"/>
      <c r="B585" s="838"/>
      <c r="C585" s="838"/>
    </row>
    <row r="586">
      <c r="A586" s="838"/>
      <c r="B586" s="838"/>
      <c r="C586" s="838"/>
    </row>
    <row r="587">
      <c r="A587" s="838"/>
      <c r="B587" s="838"/>
      <c r="C587" s="838"/>
    </row>
    <row r="588">
      <c r="A588" s="838"/>
      <c r="B588" s="838"/>
      <c r="C588" s="838"/>
    </row>
    <row r="589">
      <c r="A589" s="838"/>
      <c r="B589" s="838"/>
      <c r="C589" s="838"/>
    </row>
    <row r="590">
      <c r="A590" s="838"/>
      <c r="B590" s="838"/>
      <c r="C590" s="838"/>
    </row>
    <row r="591">
      <c r="A591" s="838"/>
      <c r="B591" s="838"/>
      <c r="C591" s="838"/>
    </row>
    <row r="592">
      <c r="A592" s="838"/>
      <c r="B592" s="838"/>
      <c r="C592" s="838"/>
    </row>
    <row r="593">
      <c r="A593" s="838"/>
      <c r="B593" s="838"/>
      <c r="C593" s="838"/>
    </row>
    <row r="594">
      <c r="A594" s="838"/>
      <c r="B594" s="838"/>
      <c r="C594" s="838"/>
    </row>
    <row r="595">
      <c r="A595" s="838"/>
      <c r="B595" s="838"/>
      <c r="C595" s="838"/>
    </row>
    <row r="596">
      <c r="A596" s="838"/>
      <c r="B596" s="838"/>
      <c r="C596" s="838"/>
    </row>
    <row r="597">
      <c r="A597" s="838"/>
      <c r="B597" s="838"/>
      <c r="C597" s="838"/>
    </row>
    <row r="598">
      <c r="A598" s="838"/>
      <c r="B598" s="838"/>
      <c r="C598" s="838"/>
    </row>
    <row r="599">
      <c r="A599" s="838"/>
      <c r="B599" s="838"/>
      <c r="C599" s="838"/>
    </row>
    <row r="600">
      <c r="A600" s="838"/>
      <c r="B600" s="838"/>
      <c r="C600" s="838"/>
    </row>
    <row r="601">
      <c r="A601" s="838"/>
      <c r="B601" s="838"/>
      <c r="C601" s="838"/>
    </row>
    <row r="602">
      <c r="A602" s="838"/>
      <c r="B602" s="838"/>
      <c r="C602" s="838"/>
    </row>
    <row r="603">
      <c r="A603" s="838"/>
      <c r="B603" s="838"/>
      <c r="C603" s="838"/>
    </row>
    <row r="604">
      <c r="A604" s="838"/>
      <c r="B604" s="838"/>
      <c r="C604" s="838"/>
    </row>
    <row r="605">
      <c r="A605" s="838"/>
      <c r="B605" s="838"/>
      <c r="C605" s="838"/>
    </row>
    <row r="606">
      <c r="A606" s="838"/>
      <c r="B606" s="838"/>
      <c r="C606" s="838"/>
    </row>
    <row r="607">
      <c r="A607" s="838"/>
      <c r="B607" s="838"/>
      <c r="C607" s="838"/>
    </row>
    <row r="608">
      <c r="A608" s="838"/>
      <c r="B608" s="838"/>
      <c r="C608" s="838"/>
    </row>
    <row r="609">
      <c r="A609" s="838"/>
      <c r="B609" s="838"/>
      <c r="C609" s="838"/>
    </row>
    <row r="610">
      <c r="A610" s="838"/>
      <c r="B610" s="838"/>
      <c r="C610" s="838"/>
    </row>
    <row r="611">
      <c r="A611" s="838"/>
      <c r="B611" s="838"/>
      <c r="C611" s="838"/>
    </row>
    <row r="612">
      <c r="A612" s="838"/>
      <c r="B612" s="838"/>
      <c r="C612" s="838"/>
    </row>
    <row r="613">
      <c r="A613" s="838"/>
      <c r="B613" s="838"/>
      <c r="C613" s="838"/>
    </row>
    <row r="614">
      <c r="A614" s="838"/>
      <c r="B614" s="838"/>
      <c r="C614" s="838"/>
    </row>
    <row r="615">
      <c r="A615" s="838"/>
      <c r="B615" s="838"/>
      <c r="C615" s="838"/>
    </row>
    <row r="616">
      <c r="A616" s="838"/>
      <c r="B616" s="838"/>
      <c r="C616" s="838"/>
    </row>
    <row r="617">
      <c r="A617" s="838"/>
      <c r="B617" s="838"/>
      <c r="C617" s="838"/>
    </row>
    <row r="618">
      <c r="A618" s="838"/>
      <c r="B618" s="838"/>
      <c r="C618" s="838"/>
    </row>
    <row r="619">
      <c r="A619" s="838"/>
      <c r="B619" s="838"/>
      <c r="C619" s="838"/>
    </row>
    <row r="620">
      <c r="A620" s="838"/>
      <c r="B620" s="838"/>
      <c r="C620" s="838"/>
    </row>
    <row r="621">
      <c r="A621" s="838"/>
      <c r="B621" s="838"/>
      <c r="C621" s="838"/>
    </row>
    <row r="622">
      <c r="A622" s="838"/>
      <c r="B622" s="838"/>
      <c r="C622" s="838"/>
    </row>
    <row r="623">
      <c r="A623" s="838"/>
      <c r="B623" s="838"/>
      <c r="C623" s="838"/>
    </row>
    <row r="624">
      <c r="A624" s="838"/>
      <c r="B624" s="838"/>
      <c r="C624" s="838"/>
    </row>
    <row r="625">
      <c r="A625" s="838"/>
      <c r="B625" s="838"/>
      <c r="C625" s="838"/>
    </row>
    <row r="626">
      <c r="A626" s="838"/>
      <c r="B626" s="838"/>
      <c r="C626" s="838"/>
    </row>
    <row r="627">
      <c r="A627" s="838"/>
      <c r="B627" s="838"/>
      <c r="C627" s="838"/>
    </row>
    <row r="628">
      <c r="A628" s="838"/>
      <c r="B628" s="838"/>
      <c r="C628" s="838"/>
    </row>
    <row r="629">
      <c r="A629" s="838"/>
      <c r="B629" s="838"/>
      <c r="C629" s="838"/>
    </row>
    <row r="630">
      <c r="A630" s="838"/>
      <c r="B630" s="838"/>
      <c r="C630" s="838"/>
    </row>
    <row r="631">
      <c r="A631" s="838"/>
      <c r="B631" s="838"/>
      <c r="C631" s="838"/>
    </row>
    <row r="632">
      <c r="A632" s="838"/>
      <c r="B632" s="838"/>
      <c r="C632" s="838"/>
    </row>
    <row r="633">
      <c r="A633" s="838"/>
      <c r="B633" s="838"/>
      <c r="C633" s="838"/>
    </row>
    <row r="634">
      <c r="A634" s="838"/>
      <c r="B634" s="838"/>
      <c r="C634" s="838"/>
    </row>
    <row r="635">
      <c r="A635" s="838"/>
      <c r="B635" s="838"/>
      <c r="C635" s="838"/>
    </row>
    <row r="636">
      <c r="A636" s="838"/>
      <c r="B636" s="838"/>
      <c r="C636" s="838"/>
    </row>
    <row r="637">
      <c r="A637" s="838"/>
      <c r="B637" s="838"/>
      <c r="C637" s="838"/>
    </row>
    <row r="638">
      <c r="A638" s="838"/>
      <c r="B638" s="838"/>
      <c r="C638" s="838"/>
    </row>
    <row r="639">
      <c r="A639" s="838"/>
      <c r="B639" s="838"/>
      <c r="C639" s="838"/>
    </row>
    <row r="640">
      <c r="A640" s="838"/>
      <c r="B640" s="838"/>
      <c r="C640" s="838"/>
    </row>
    <row r="641">
      <c r="A641" s="838"/>
      <c r="B641" s="838"/>
      <c r="C641" s="838"/>
    </row>
    <row r="642">
      <c r="A642" s="838"/>
      <c r="B642" s="838"/>
      <c r="C642" s="838"/>
    </row>
    <row r="643">
      <c r="A643" s="838"/>
      <c r="B643" s="838"/>
      <c r="C643" s="838"/>
    </row>
    <row r="644">
      <c r="A644" s="838"/>
      <c r="B644" s="838"/>
      <c r="C644" s="838"/>
    </row>
    <row r="645">
      <c r="A645" s="838"/>
      <c r="B645" s="838"/>
      <c r="C645" s="838"/>
    </row>
    <row r="646">
      <c r="A646" s="838"/>
      <c r="B646" s="838"/>
      <c r="C646" s="838"/>
    </row>
    <row r="647">
      <c r="A647" s="838"/>
      <c r="B647" s="838"/>
      <c r="C647" s="838"/>
    </row>
    <row r="648">
      <c r="A648" s="838"/>
      <c r="B648" s="838"/>
      <c r="C648" s="838"/>
    </row>
    <row r="649">
      <c r="A649" s="838"/>
      <c r="B649" s="838"/>
      <c r="C649" s="838"/>
    </row>
    <row r="650">
      <c r="A650" s="838"/>
      <c r="B650" s="838"/>
      <c r="C650" s="838"/>
    </row>
    <row r="651">
      <c r="A651" s="838"/>
      <c r="B651" s="838"/>
      <c r="C651" s="838"/>
    </row>
    <row r="652">
      <c r="A652" s="838"/>
      <c r="B652" s="838"/>
      <c r="C652" s="838"/>
    </row>
    <row r="653">
      <c r="A653" s="838"/>
      <c r="B653" s="838"/>
      <c r="C653" s="838"/>
    </row>
    <row r="654">
      <c r="A654" s="838"/>
      <c r="B654" s="838"/>
      <c r="C654" s="838"/>
    </row>
    <row r="655">
      <c r="A655" s="838"/>
      <c r="B655" s="838"/>
      <c r="C655" s="838"/>
    </row>
    <row r="656">
      <c r="A656" s="838"/>
      <c r="B656" s="838"/>
      <c r="C656" s="838"/>
    </row>
    <row r="657">
      <c r="A657" s="838"/>
      <c r="B657" s="838"/>
      <c r="C657" s="838"/>
    </row>
    <row r="658">
      <c r="A658" s="838"/>
      <c r="B658" s="838"/>
      <c r="C658" s="838"/>
    </row>
    <row r="659">
      <c r="A659" s="838"/>
      <c r="B659" s="838"/>
      <c r="C659" s="838"/>
    </row>
    <row r="660">
      <c r="A660" s="838"/>
      <c r="B660" s="838"/>
      <c r="C660" s="838"/>
    </row>
    <row r="661">
      <c r="A661" s="838"/>
      <c r="B661" s="838"/>
      <c r="C661" s="838"/>
    </row>
    <row r="662">
      <c r="A662" s="838"/>
      <c r="B662" s="838"/>
      <c r="C662" s="838"/>
    </row>
    <row r="663">
      <c r="A663" s="838"/>
      <c r="B663" s="838"/>
      <c r="C663" s="838"/>
    </row>
    <row r="664">
      <c r="A664" s="838"/>
      <c r="B664" s="838"/>
      <c r="C664" s="838"/>
    </row>
    <row r="665">
      <c r="A665" s="838"/>
      <c r="B665" s="838"/>
      <c r="C665" s="838"/>
    </row>
    <row r="666">
      <c r="A666" s="838"/>
      <c r="B666" s="838"/>
      <c r="C666" s="838"/>
    </row>
    <row r="667">
      <c r="A667" s="838"/>
      <c r="B667" s="838"/>
      <c r="C667" s="838"/>
    </row>
    <row r="668">
      <c r="A668" s="838"/>
      <c r="B668" s="838"/>
      <c r="C668" s="838"/>
    </row>
    <row r="669">
      <c r="A669" s="838"/>
      <c r="B669" s="838"/>
      <c r="C669" s="838"/>
    </row>
    <row r="670">
      <c r="A670" s="838"/>
      <c r="B670" s="838"/>
      <c r="C670" s="838"/>
    </row>
    <row r="671">
      <c r="A671" s="838"/>
      <c r="B671" s="838"/>
      <c r="C671" s="838"/>
    </row>
    <row r="672">
      <c r="A672" s="838"/>
      <c r="B672" s="838"/>
      <c r="C672" s="838"/>
    </row>
    <row r="673">
      <c r="A673" s="838"/>
      <c r="B673" s="838"/>
      <c r="C673" s="838"/>
    </row>
    <row r="674">
      <c r="A674" s="838"/>
      <c r="B674" s="838"/>
      <c r="C674" s="838"/>
    </row>
    <row r="675">
      <c r="A675" s="838"/>
      <c r="B675" s="838"/>
      <c r="C675" s="838"/>
    </row>
    <row r="676">
      <c r="A676" s="838"/>
      <c r="B676" s="838"/>
      <c r="C676" s="838"/>
    </row>
    <row r="677">
      <c r="A677" s="838"/>
      <c r="B677" s="838"/>
      <c r="C677" s="838"/>
    </row>
    <row r="678">
      <c r="A678" s="838"/>
      <c r="B678" s="838"/>
      <c r="C678" s="838"/>
    </row>
    <row r="679">
      <c r="A679" s="838"/>
      <c r="B679" s="838"/>
      <c r="C679" s="838"/>
    </row>
    <row r="680">
      <c r="A680" s="838"/>
      <c r="B680" s="838"/>
      <c r="C680" s="838"/>
    </row>
    <row r="681">
      <c r="A681" s="838"/>
      <c r="B681" s="838"/>
      <c r="C681" s="838"/>
    </row>
    <row r="682">
      <c r="A682" s="838"/>
      <c r="B682" s="838"/>
      <c r="C682" s="838"/>
    </row>
    <row r="683">
      <c r="A683" s="838"/>
      <c r="B683" s="838"/>
      <c r="C683" s="838"/>
    </row>
    <row r="684">
      <c r="A684" s="838"/>
      <c r="B684" s="838"/>
      <c r="C684" s="838"/>
    </row>
    <row r="685">
      <c r="A685" s="838"/>
      <c r="B685" s="838"/>
      <c r="C685" s="838"/>
    </row>
    <row r="686">
      <c r="A686" s="838"/>
      <c r="B686" s="838"/>
      <c r="C686" s="838"/>
    </row>
    <row r="687">
      <c r="A687" s="838"/>
      <c r="B687" s="838"/>
      <c r="C687" s="838"/>
    </row>
    <row r="688">
      <c r="A688" s="838"/>
      <c r="B688" s="838"/>
      <c r="C688" s="838"/>
    </row>
    <row r="689">
      <c r="A689" s="838"/>
      <c r="B689" s="838"/>
      <c r="C689" s="838"/>
    </row>
    <row r="690">
      <c r="A690" s="838"/>
      <c r="B690" s="838"/>
      <c r="C690" s="838"/>
    </row>
    <row r="691">
      <c r="A691" s="838"/>
      <c r="B691" s="838"/>
      <c r="C691" s="838"/>
    </row>
    <row r="692">
      <c r="A692" s="838"/>
      <c r="B692" s="838"/>
      <c r="C692" s="838"/>
    </row>
    <row r="693">
      <c r="A693" s="838"/>
      <c r="B693" s="838"/>
      <c r="C693" s="838"/>
    </row>
    <row r="694">
      <c r="A694" s="838"/>
      <c r="B694" s="838"/>
      <c r="C694" s="838"/>
    </row>
    <row r="695">
      <c r="A695" s="838"/>
      <c r="B695" s="838"/>
      <c r="C695" s="838"/>
    </row>
    <row r="696">
      <c r="A696" s="838"/>
      <c r="B696" s="838"/>
      <c r="C696" s="838"/>
    </row>
    <row r="697">
      <c r="A697" s="838"/>
      <c r="B697" s="838"/>
      <c r="C697" s="838"/>
    </row>
    <row r="698">
      <c r="A698" s="838"/>
      <c r="B698" s="838"/>
      <c r="C698" s="838"/>
    </row>
    <row r="699">
      <c r="A699" s="838"/>
      <c r="B699" s="838"/>
      <c r="C699" s="838"/>
    </row>
    <row r="700">
      <c r="A700" s="838"/>
      <c r="B700" s="838"/>
      <c r="C700" s="838"/>
    </row>
    <row r="701">
      <c r="A701" s="838"/>
      <c r="B701" s="838"/>
      <c r="C701" s="838"/>
    </row>
    <row r="702">
      <c r="A702" s="838"/>
      <c r="B702" s="838"/>
      <c r="C702" s="838"/>
    </row>
    <row r="703">
      <c r="A703" s="838"/>
      <c r="B703" s="838"/>
      <c r="C703" s="838"/>
    </row>
    <row r="704">
      <c r="A704" s="838"/>
      <c r="B704" s="838"/>
      <c r="C704" s="838"/>
    </row>
    <row r="705">
      <c r="A705" s="838"/>
      <c r="B705" s="838"/>
      <c r="C705" s="838"/>
    </row>
    <row r="706">
      <c r="A706" s="838"/>
      <c r="B706" s="838"/>
      <c r="C706" s="838"/>
    </row>
    <row r="707">
      <c r="A707" s="838"/>
      <c r="B707" s="838"/>
      <c r="C707" s="838"/>
    </row>
    <row r="708">
      <c r="A708" s="838"/>
      <c r="B708" s="838"/>
      <c r="C708" s="838"/>
    </row>
    <row r="709">
      <c r="A709" s="838"/>
      <c r="B709" s="838"/>
      <c r="C709" s="838"/>
    </row>
    <row r="710">
      <c r="A710" s="838"/>
      <c r="B710" s="838"/>
      <c r="C710" s="838"/>
    </row>
    <row r="711">
      <c r="A711" s="838"/>
      <c r="B711" s="838"/>
      <c r="C711" s="838"/>
    </row>
    <row r="712">
      <c r="A712" s="838"/>
      <c r="B712" s="838"/>
      <c r="C712" s="838"/>
    </row>
    <row r="713">
      <c r="A713" s="838"/>
      <c r="B713" s="838"/>
      <c r="C713" s="838"/>
    </row>
    <row r="714">
      <c r="A714" s="838"/>
      <c r="B714" s="838"/>
      <c r="C714" s="838"/>
    </row>
    <row r="715">
      <c r="A715" s="838"/>
      <c r="B715" s="838"/>
      <c r="C715" s="838"/>
    </row>
    <row r="716">
      <c r="A716" s="838"/>
      <c r="B716" s="838"/>
      <c r="C716" s="838"/>
    </row>
    <row r="717">
      <c r="A717" s="838"/>
      <c r="B717" s="838"/>
      <c r="C717" s="838"/>
    </row>
    <row r="718">
      <c r="A718" s="838"/>
      <c r="B718" s="838"/>
      <c r="C718" s="838"/>
    </row>
    <row r="719">
      <c r="A719" s="838"/>
      <c r="B719" s="838"/>
      <c r="C719" s="838"/>
    </row>
    <row r="720">
      <c r="A720" s="838"/>
      <c r="B720" s="838"/>
      <c r="C720" s="838"/>
    </row>
    <row r="721">
      <c r="A721" s="838"/>
      <c r="B721" s="838"/>
      <c r="C721" s="838"/>
    </row>
    <row r="722">
      <c r="A722" s="838"/>
      <c r="B722" s="838"/>
      <c r="C722" s="838"/>
    </row>
    <row r="723">
      <c r="A723" s="838"/>
      <c r="B723" s="838"/>
      <c r="C723" s="838"/>
    </row>
    <row r="724">
      <c r="A724" s="838"/>
      <c r="B724" s="838"/>
      <c r="C724" s="838"/>
    </row>
    <row r="725">
      <c r="A725" s="838"/>
      <c r="B725" s="838"/>
      <c r="C725" s="838"/>
    </row>
    <row r="726">
      <c r="A726" s="838"/>
      <c r="B726" s="838"/>
      <c r="C726" s="838"/>
    </row>
    <row r="727">
      <c r="A727" s="838"/>
      <c r="B727" s="838"/>
      <c r="C727" s="838"/>
    </row>
    <row r="728">
      <c r="A728" s="838"/>
      <c r="B728" s="838"/>
      <c r="C728" s="838"/>
    </row>
    <row r="729">
      <c r="A729" s="838"/>
      <c r="B729" s="838"/>
      <c r="C729" s="838"/>
    </row>
    <row r="730">
      <c r="A730" s="838"/>
      <c r="B730" s="838"/>
      <c r="C730" s="838"/>
    </row>
    <row r="731">
      <c r="A731" s="838"/>
      <c r="B731" s="838"/>
      <c r="C731" s="838"/>
    </row>
    <row r="732">
      <c r="A732" s="838"/>
      <c r="B732" s="838"/>
      <c r="C732" s="838"/>
    </row>
    <row r="733">
      <c r="A733" s="838"/>
      <c r="B733" s="838"/>
      <c r="C733" s="838"/>
    </row>
    <row r="734">
      <c r="A734" s="838"/>
      <c r="B734" s="838"/>
      <c r="C734" s="838"/>
    </row>
    <row r="735">
      <c r="A735" s="838"/>
      <c r="B735" s="838"/>
      <c r="C735" s="838"/>
    </row>
    <row r="736">
      <c r="A736" s="838"/>
      <c r="B736" s="838"/>
      <c r="C736" s="838"/>
    </row>
    <row r="737">
      <c r="A737" s="838"/>
      <c r="B737" s="838"/>
      <c r="C737" s="838"/>
    </row>
    <row r="738">
      <c r="A738" s="838"/>
      <c r="B738" s="838"/>
      <c r="C738" s="838"/>
    </row>
    <row r="739">
      <c r="A739" s="838"/>
      <c r="B739" s="838"/>
      <c r="C739" s="838"/>
    </row>
    <row r="740">
      <c r="A740" s="838"/>
      <c r="B740" s="838"/>
      <c r="C740" s="838"/>
    </row>
    <row r="741">
      <c r="A741" s="838"/>
      <c r="B741" s="838"/>
      <c r="C741" s="838"/>
    </row>
    <row r="742">
      <c r="A742" s="838"/>
      <c r="B742" s="838"/>
      <c r="C742" s="838"/>
    </row>
    <row r="743">
      <c r="A743" s="838"/>
      <c r="B743" s="838"/>
      <c r="C743" s="838"/>
    </row>
    <row r="744">
      <c r="A744" s="838"/>
      <c r="B744" s="838"/>
      <c r="C744" s="838"/>
    </row>
    <row r="745">
      <c r="A745" s="838"/>
      <c r="B745" s="838"/>
      <c r="C745" s="838"/>
    </row>
    <row r="746">
      <c r="A746" s="838"/>
      <c r="B746" s="838"/>
      <c r="C746" s="838"/>
    </row>
    <row r="747">
      <c r="A747" s="838"/>
      <c r="B747" s="838"/>
      <c r="C747" s="838"/>
    </row>
    <row r="748">
      <c r="A748" s="838"/>
      <c r="B748" s="838"/>
      <c r="C748" s="838"/>
    </row>
    <row r="749">
      <c r="A749" s="838"/>
      <c r="B749" s="838"/>
      <c r="C749" s="838"/>
    </row>
    <row r="750">
      <c r="A750" s="838"/>
      <c r="B750" s="838"/>
      <c r="C750" s="838"/>
    </row>
    <row r="751">
      <c r="A751" s="838"/>
      <c r="B751" s="838"/>
      <c r="C751" s="838"/>
    </row>
    <row r="752">
      <c r="A752" s="838"/>
      <c r="B752" s="838"/>
      <c r="C752" s="838"/>
    </row>
    <row r="753">
      <c r="A753" s="838"/>
      <c r="B753" s="838"/>
      <c r="C753" s="838"/>
    </row>
    <row r="754">
      <c r="A754" s="838"/>
      <c r="B754" s="838"/>
      <c r="C754" s="838"/>
    </row>
    <row r="755">
      <c r="A755" s="838"/>
      <c r="B755" s="838"/>
      <c r="C755" s="838"/>
    </row>
    <row r="756">
      <c r="A756" s="838"/>
      <c r="B756" s="838"/>
      <c r="C756" s="838"/>
    </row>
    <row r="757">
      <c r="A757" s="838"/>
      <c r="B757" s="838"/>
      <c r="C757" s="838"/>
    </row>
    <row r="758">
      <c r="A758" s="838"/>
      <c r="B758" s="838"/>
      <c r="C758" s="838"/>
    </row>
    <row r="759">
      <c r="A759" s="838"/>
      <c r="B759" s="838"/>
      <c r="C759" s="838"/>
    </row>
    <row r="760">
      <c r="A760" s="838"/>
      <c r="B760" s="838"/>
      <c r="C760" s="838"/>
    </row>
    <row r="761">
      <c r="A761" s="838"/>
      <c r="B761" s="838"/>
      <c r="C761" s="838"/>
    </row>
    <row r="762">
      <c r="A762" s="838"/>
      <c r="B762" s="838"/>
      <c r="C762" s="838"/>
    </row>
    <row r="763">
      <c r="A763" s="838"/>
      <c r="B763" s="838"/>
      <c r="C763" s="838"/>
    </row>
    <row r="764">
      <c r="A764" s="838"/>
      <c r="B764" s="838"/>
      <c r="C764" s="838"/>
    </row>
    <row r="765">
      <c r="A765" s="838"/>
      <c r="B765" s="838"/>
      <c r="C765" s="838"/>
    </row>
    <row r="766">
      <c r="A766" s="838"/>
      <c r="B766" s="838"/>
      <c r="C766" s="838"/>
    </row>
    <row r="767">
      <c r="A767" s="838"/>
      <c r="B767" s="838"/>
      <c r="C767" s="838"/>
    </row>
    <row r="768">
      <c r="A768" s="838"/>
      <c r="B768" s="838"/>
      <c r="C768" s="838"/>
    </row>
    <row r="769">
      <c r="A769" s="838"/>
      <c r="B769" s="838"/>
      <c r="C769" s="838"/>
    </row>
    <row r="770">
      <c r="A770" s="838"/>
      <c r="B770" s="838"/>
      <c r="C770" s="838"/>
    </row>
    <row r="771">
      <c r="A771" s="838"/>
      <c r="B771" s="838"/>
      <c r="C771" s="838"/>
    </row>
    <row r="772">
      <c r="A772" s="838"/>
      <c r="B772" s="838"/>
      <c r="C772" s="838"/>
    </row>
    <row r="773">
      <c r="A773" s="838"/>
      <c r="B773" s="838"/>
      <c r="C773" s="838"/>
    </row>
    <row r="774">
      <c r="A774" s="838"/>
      <c r="B774" s="838"/>
      <c r="C774" s="838"/>
    </row>
    <row r="775">
      <c r="A775" s="838"/>
      <c r="B775" s="838"/>
      <c r="C775" s="838"/>
    </row>
    <row r="776">
      <c r="A776" s="838"/>
      <c r="B776" s="838"/>
      <c r="C776" s="838"/>
    </row>
    <row r="777">
      <c r="A777" s="838"/>
      <c r="B777" s="838"/>
      <c r="C777" s="838"/>
    </row>
    <row r="778">
      <c r="A778" s="838"/>
      <c r="B778" s="838"/>
      <c r="C778" s="838"/>
    </row>
    <row r="779">
      <c r="A779" s="838"/>
      <c r="B779" s="838"/>
      <c r="C779" s="838"/>
    </row>
    <row r="780">
      <c r="A780" s="838"/>
      <c r="B780" s="838"/>
      <c r="C780" s="838"/>
    </row>
    <row r="781">
      <c r="A781" s="838"/>
      <c r="B781" s="838"/>
      <c r="C781" s="838"/>
    </row>
    <row r="782">
      <c r="A782" s="838"/>
      <c r="B782" s="838"/>
      <c r="C782" s="838"/>
    </row>
    <row r="783">
      <c r="A783" s="838"/>
      <c r="B783" s="838"/>
      <c r="C783" s="838"/>
    </row>
    <row r="784">
      <c r="A784" s="838"/>
      <c r="B784" s="838"/>
      <c r="C784" s="838"/>
    </row>
    <row r="785">
      <c r="A785" s="838"/>
      <c r="B785" s="838"/>
      <c r="C785" s="838"/>
    </row>
    <row r="786">
      <c r="A786" s="838"/>
      <c r="B786" s="838"/>
      <c r="C786" s="838"/>
    </row>
    <row r="787">
      <c r="A787" s="838"/>
      <c r="B787" s="838"/>
      <c r="C787" s="838"/>
    </row>
    <row r="788">
      <c r="A788" s="838"/>
      <c r="B788" s="838"/>
      <c r="C788" s="838"/>
    </row>
    <row r="789">
      <c r="A789" s="838"/>
      <c r="B789" s="838"/>
      <c r="C789" s="838"/>
    </row>
    <row r="790">
      <c r="A790" s="838"/>
      <c r="B790" s="838"/>
      <c r="C790" s="838"/>
    </row>
    <row r="791">
      <c r="A791" s="838"/>
      <c r="B791" s="838"/>
      <c r="C791" s="838"/>
    </row>
    <row r="792">
      <c r="A792" s="838"/>
      <c r="B792" s="838"/>
      <c r="C792" s="838"/>
    </row>
    <row r="793">
      <c r="A793" s="838"/>
      <c r="B793" s="838"/>
      <c r="C793" s="838"/>
    </row>
    <row r="794">
      <c r="A794" s="838"/>
      <c r="B794" s="838"/>
      <c r="C794" s="838"/>
    </row>
    <row r="795">
      <c r="A795" s="838"/>
      <c r="B795" s="838"/>
      <c r="C795" s="838"/>
    </row>
    <row r="796">
      <c r="A796" s="838"/>
      <c r="B796" s="838"/>
      <c r="C796" s="838"/>
    </row>
    <row r="797">
      <c r="A797" s="838"/>
      <c r="B797" s="838"/>
      <c r="C797" s="838"/>
    </row>
    <row r="798">
      <c r="A798" s="838"/>
      <c r="B798" s="838"/>
      <c r="C798" s="838"/>
    </row>
    <row r="799">
      <c r="A799" s="838"/>
      <c r="B799" s="838"/>
      <c r="C799" s="838"/>
    </row>
    <row r="800">
      <c r="A800" s="838"/>
      <c r="B800" s="838"/>
      <c r="C800" s="838"/>
    </row>
    <row r="801">
      <c r="A801" s="838"/>
      <c r="B801" s="838"/>
      <c r="C801" s="838"/>
    </row>
    <row r="802">
      <c r="A802" s="838"/>
      <c r="B802" s="838"/>
      <c r="C802" s="838"/>
    </row>
    <row r="803">
      <c r="A803" s="838"/>
      <c r="B803" s="838"/>
      <c r="C803" s="838"/>
    </row>
    <row r="804">
      <c r="A804" s="838"/>
      <c r="B804" s="838"/>
      <c r="C804" s="838"/>
    </row>
    <row r="805">
      <c r="A805" s="838"/>
      <c r="B805" s="838"/>
      <c r="C805" s="838"/>
    </row>
    <row r="806">
      <c r="A806" s="838"/>
      <c r="B806" s="838"/>
      <c r="C806" s="838"/>
    </row>
    <row r="807">
      <c r="A807" s="838"/>
      <c r="B807" s="838"/>
      <c r="C807" s="838"/>
    </row>
    <row r="808">
      <c r="A808" s="838"/>
      <c r="B808" s="838"/>
      <c r="C808" s="838"/>
    </row>
    <row r="809">
      <c r="A809" s="838"/>
      <c r="B809" s="838"/>
      <c r="C809" s="838"/>
    </row>
    <row r="810">
      <c r="A810" s="838"/>
      <c r="B810" s="838"/>
      <c r="C810" s="838"/>
    </row>
    <row r="811">
      <c r="A811" s="838"/>
      <c r="B811" s="838"/>
      <c r="C811" s="838"/>
    </row>
    <row r="812">
      <c r="A812" s="838"/>
      <c r="B812" s="838"/>
      <c r="C812" s="838"/>
    </row>
    <row r="813">
      <c r="A813" s="838"/>
      <c r="B813" s="838"/>
      <c r="C813" s="838"/>
    </row>
    <row r="814">
      <c r="A814" s="838"/>
      <c r="B814" s="838"/>
      <c r="C814" s="838"/>
    </row>
    <row r="815">
      <c r="A815" s="838"/>
      <c r="B815" s="838"/>
      <c r="C815" s="838"/>
    </row>
    <row r="816">
      <c r="A816" s="838"/>
      <c r="B816" s="838"/>
      <c r="C816" s="838"/>
    </row>
    <row r="817">
      <c r="A817" s="838"/>
      <c r="B817" s="838"/>
      <c r="C817" s="838"/>
    </row>
    <row r="818">
      <c r="A818" s="838"/>
      <c r="B818" s="838"/>
      <c r="C818" s="838"/>
    </row>
    <row r="819">
      <c r="A819" s="838"/>
      <c r="B819" s="838"/>
      <c r="C819" s="838"/>
    </row>
    <row r="820">
      <c r="A820" s="838"/>
      <c r="B820" s="838"/>
      <c r="C820" s="838"/>
    </row>
    <row r="821">
      <c r="A821" s="838"/>
      <c r="B821" s="838"/>
      <c r="C821" s="838"/>
    </row>
    <row r="822">
      <c r="A822" s="838"/>
      <c r="B822" s="838"/>
      <c r="C822" s="838"/>
    </row>
    <row r="823">
      <c r="A823" s="838"/>
      <c r="B823" s="838"/>
      <c r="C823" s="838"/>
    </row>
    <row r="824">
      <c r="A824" s="838"/>
      <c r="B824" s="838"/>
      <c r="C824" s="838"/>
    </row>
    <row r="825">
      <c r="A825" s="838"/>
      <c r="B825" s="838"/>
      <c r="C825" s="838"/>
    </row>
    <row r="826">
      <c r="A826" s="838"/>
      <c r="B826" s="838"/>
      <c r="C826" s="838"/>
    </row>
    <row r="827">
      <c r="A827" s="838"/>
      <c r="B827" s="838"/>
      <c r="C827" s="838"/>
    </row>
    <row r="828">
      <c r="A828" s="838"/>
      <c r="B828" s="838"/>
      <c r="C828" s="838"/>
    </row>
    <row r="829">
      <c r="A829" s="838"/>
      <c r="B829" s="838"/>
      <c r="C829" s="838"/>
    </row>
    <row r="830">
      <c r="A830" s="838"/>
      <c r="B830" s="838"/>
      <c r="C830" s="838"/>
    </row>
    <row r="831">
      <c r="A831" s="838"/>
      <c r="B831" s="838"/>
      <c r="C831" s="838"/>
    </row>
    <row r="832">
      <c r="A832" s="838"/>
      <c r="B832" s="838"/>
      <c r="C832" s="838"/>
    </row>
    <row r="833">
      <c r="A833" s="838"/>
      <c r="B833" s="838"/>
      <c r="C833" s="838"/>
    </row>
    <row r="834">
      <c r="A834" s="838"/>
      <c r="B834" s="838"/>
      <c r="C834" s="838"/>
    </row>
    <row r="835">
      <c r="A835" s="838"/>
      <c r="B835" s="838"/>
      <c r="C835" s="838"/>
    </row>
    <row r="836">
      <c r="A836" s="838"/>
      <c r="B836" s="838"/>
      <c r="C836" s="838"/>
    </row>
    <row r="837">
      <c r="A837" s="838"/>
      <c r="B837" s="838"/>
      <c r="C837" s="838"/>
    </row>
    <row r="838">
      <c r="A838" s="838"/>
      <c r="B838" s="838"/>
      <c r="C838" s="838"/>
    </row>
    <row r="839">
      <c r="A839" s="838"/>
      <c r="B839" s="838"/>
      <c r="C839" s="838"/>
    </row>
    <row r="840">
      <c r="A840" s="838"/>
      <c r="B840" s="838"/>
      <c r="C840" s="838"/>
    </row>
    <row r="841">
      <c r="A841" s="838"/>
      <c r="B841" s="838"/>
      <c r="C841" s="838"/>
    </row>
    <row r="842">
      <c r="A842" s="838"/>
      <c r="B842" s="838"/>
      <c r="C842" s="838"/>
    </row>
    <row r="843">
      <c r="A843" s="838"/>
      <c r="B843" s="838"/>
      <c r="C843" s="838"/>
    </row>
    <row r="844">
      <c r="A844" s="838"/>
      <c r="B844" s="838"/>
      <c r="C844" s="838"/>
    </row>
    <row r="845">
      <c r="A845" s="838"/>
      <c r="B845" s="838"/>
      <c r="C845" s="838"/>
    </row>
    <row r="846">
      <c r="A846" s="838"/>
      <c r="B846" s="838"/>
      <c r="C846" s="838"/>
    </row>
    <row r="847">
      <c r="A847" s="838"/>
      <c r="B847" s="838"/>
      <c r="C847" s="838"/>
    </row>
    <row r="848">
      <c r="A848" s="838"/>
      <c r="B848" s="838"/>
      <c r="C848" s="838"/>
    </row>
    <row r="849">
      <c r="A849" s="838"/>
      <c r="B849" s="838"/>
      <c r="C849" s="838"/>
    </row>
    <row r="850">
      <c r="A850" s="838"/>
      <c r="B850" s="838"/>
      <c r="C850" s="838"/>
    </row>
    <row r="851">
      <c r="A851" s="838"/>
      <c r="B851" s="838"/>
      <c r="C851" s="838"/>
    </row>
    <row r="852">
      <c r="A852" s="838"/>
      <c r="B852" s="838"/>
      <c r="C852" s="838"/>
    </row>
    <row r="853">
      <c r="A853" s="838"/>
      <c r="B853" s="838"/>
      <c r="C853" s="838"/>
    </row>
    <row r="854">
      <c r="A854" s="838"/>
      <c r="B854" s="838"/>
      <c r="C854" s="838"/>
    </row>
    <row r="855">
      <c r="A855" s="838"/>
      <c r="B855" s="838"/>
      <c r="C855" s="838"/>
    </row>
    <row r="856">
      <c r="A856" s="838"/>
      <c r="B856" s="838"/>
      <c r="C856" s="838"/>
    </row>
    <row r="857">
      <c r="A857" s="838"/>
      <c r="B857" s="838"/>
      <c r="C857" s="838"/>
    </row>
    <row r="858">
      <c r="A858" s="838"/>
      <c r="B858" s="838"/>
      <c r="C858" s="838"/>
    </row>
    <row r="859">
      <c r="A859" s="838"/>
      <c r="B859" s="838"/>
      <c r="C859" s="838"/>
    </row>
    <row r="860">
      <c r="A860" s="838"/>
      <c r="B860" s="838"/>
      <c r="C860" s="838"/>
    </row>
    <row r="861">
      <c r="A861" s="838"/>
      <c r="B861" s="838"/>
      <c r="C861" s="838"/>
    </row>
    <row r="862">
      <c r="A862" s="838"/>
      <c r="B862" s="838"/>
      <c r="C862" s="838"/>
    </row>
    <row r="863">
      <c r="A863" s="838"/>
      <c r="B863" s="838"/>
      <c r="C863" s="838"/>
    </row>
    <row r="864">
      <c r="A864" s="838"/>
      <c r="B864" s="838"/>
      <c r="C864" s="838"/>
    </row>
    <row r="865">
      <c r="A865" s="838"/>
      <c r="B865" s="838"/>
      <c r="C865" s="838"/>
    </row>
    <row r="866">
      <c r="A866" s="838"/>
      <c r="B866" s="838"/>
      <c r="C866" s="838"/>
    </row>
    <row r="867">
      <c r="A867" s="838"/>
      <c r="B867" s="838"/>
      <c r="C867" s="838"/>
    </row>
    <row r="868">
      <c r="A868" s="838"/>
      <c r="B868" s="838"/>
      <c r="C868" s="838"/>
    </row>
    <row r="869">
      <c r="A869" s="838"/>
      <c r="B869" s="838"/>
      <c r="C869" s="838"/>
    </row>
    <row r="870">
      <c r="A870" s="838"/>
      <c r="B870" s="838"/>
      <c r="C870" s="838"/>
    </row>
    <row r="871">
      <c r="A871" s="838"/>
      <c r="B871" s="838"/>
      <c r="C871" s="838"/>
    </row>
    <row r="872">
      <c r="A872" s="838"/>
      <c r="B872" s="838"/>
      <c r="C872" s="838"/>
    </row>
    <row r="873">
      <c r="A873" s="838"/>
      <c r="B873" s="838"/>
      <c r="C873" s="838"/>
    </row>
    <row r="874">
      <c r="A874" s="838"/>
      <c r="B874" s="838"/>
      <c r="C874" s="838"/>
    </row>
    <row r="875">
      <c r="A875" s="838"/>
      <c r="B875" s="838"/>
      <c r="C875" s="838"/>
    </row>
    <row r="876">
      <c r="A876" s="838"/>
      <c r="B876" s="838"/>
      <c r="C876" s="838"/>
    </row>
    <row r="877">
      <c r="A877" s="838"/>
      <c r="B877" s="838"/>
      <c r="C877" s="838"/>
    </row>
    <row r="878">
      <c r="A878" s="838"/>
      <c r="B878" s="838"/>
      <c r="C878" s="838"/>
    </row>
    <row r="879">
      <c r="A879" s="838"/>
      <c r="B879" s="838"/>
      <c r="C879" s="838"/>
    </row>
    <row r="880">
      <c r="A880" s="838"/>
      <c r="B880" s="838"/>
      <c r="C880" s="838"/>
    </row>
    <row r="881">
      <c r="A881" s="838"/>
      <c r="B881" s="838"/>
      <c r="C881" s="838"/>
    </row>
    <row r="882">
      <c r="A882" s="838"/>
      <c r="B882" s="838"/>
      <c r="C882" s="838"/>
    </row>
    <row r="883">
      <c r="A883" s="838"/>
      <c r="B883" s="838"/>
      <c r="C883" s="838"/>
    </row>
    <row r="884">
      <c r="A884" s="838"/>
      <c r="B884" s="838"/>
      <c r="C884" s="838"/>
    </row>
    <row r="885">
      <c r="A885" s="838"/>
      <c r="B885" s="838"/>
      <c r="C885" s="838"/>
    </row>
    <row r="886">
      <c r="A886" s="838"/>
      <c r="B886" s="838"/>
      <c r="C886" s="838"/>
    </row>
    <row r="887">
      <c r="A887" s="838"/>
      <c r="B887" s="838"/>
      <c r="C887" s="838"/>
    </row>
    <row r="888">
      <c r="A888" s="838"/>
      <c r="B888" s="838"/>
      <c r="C888" s="838"/>
    </row>
    <row r="889">
      <c r="A889" s="838"/>
      <c r="B889" s="838"/>
      <c r="C889" s="838"/>
    </row>
    <row r="890">
      <c r="A890" s="838"/>
      <c r="B890" s="838"/>
      <c r="C890" s="838"/>
    </row>
    <row r="891">
      <c r="A891" s="838"/>
      <c r="B891" s="838"/>
      <c r="C891" s="838"/>
    </row>
    <row r="892">
      <c r="A892" s="838"/>
      <c r="B892" s="838"/>
      <c r="C892" s="838"/>
    </row>
    <row r="893">
      <c r="A893" s="838"/>
      <c r="B893" s="838"/>
      <c r="C893" s="838"/>
    </row>
    <row r="894">
      <c r="A894" s="838"/>
      <c r="B894" s="838"/>
      <c r="C894" s="838"/>
    </row>
    <row r="895">
      <c r="A895" s="838"/>
      <c r="B895" s="838"/>
      <c r="C895" s="838"/>
    </row>
    <row r="896">
      <c r="A896" s="838"/>
      <c r="B896" s="838"/>
      <c r="C896" s="838"/>
    </row>
    <row r="897">
      <c r="A897" s="838"/>
      <c r="B897" s="838"/>
      <c r="C897" s="838"/>
    </row>
    <row r="898">
      <c r="A898" s="838"/>
      <c r="B898" s="838"/>
      <c r="C898" s="838"/>
    </row>
    <row r="899">
      <c r="A899" s="838"/>
      <c r="B899" s="838"/>
      <c r="C899" s="838"/>
    </row>
    <row r="900">
      <c r="A900" s="838"/>
      <c r="B900" s="838"/>
      <c r="C900" s="838"/>
    </row>
    <row r="901">
      <c r="A901" s="838"/>
      <c r="B901" s="838"/>
      <c r="C901" s="838"/>
    </row>
    <row r="902">
      <c r="A902" s="838"/>
      <c r="B902" s="838"/>
      <c r="C902" s="838"/>
    </row>
    <row r="903">
      <c r="A903" s="838"/>
      <c r="B903" s="838"/>
      <c r="C903" s="838"/>
    </row>
    <row r="904">
      <c r="A904" s="838"/>
      <c r="B904" s="838"/>
      <c r="C904" s="838"/>
    </row>
    <row r="905">
      <c r="A905" s="838"/>
      <c r="B905" s="838"/>
      <c r="C905" s="838"/>
    </row>
    <row r="906">
      <c r="A906" s="838"/>
      <c r="B906" s="838"/>
      <c r="C906" s="838"/>
    </row>
    <row r="907">
      <c r="A907" s="838"/>
      <c r="B907" s="838"/>
      <c r="C907" s="838"/>
    </row>
    <row r="908">
      <c r="A908" s="838"/>
      <c r="B908" s="838"/>
      <c r="C908" s="838"/>
    </row>
    <row r="909">
      <c r="A909" s="838"/>
      <c r="B909" s="838"/>
      <c r="C909" s="838"/>
    </row>
    <row r="910">
      <c r="A910" s="838"/>
      <c r="B910" s="838"/>
      <c r="C910" s="838"/>
    </row>
    <row r="911">
      <c r="A911" s="838"/>
      <c r="B911" s="838"/>
      <c r="C911" s="838"/>
    </row>
    <row r="912">
      <c r="A912" s="838"/>
      <c r="B912" s="838"/>
      <c r="C912" s="838"/>
    </row>
    <row r="913">
      <c r="A913" s="838"/>
      <c r="B913" s="838"/>
      <c r="C913" s="838"/>
    </row>
    <row r="914">
      <c r="A914" s="838"/>
      <c r="B914" s="838"/>
      <c r="C914" s="838"/>
    </row>
    <row r="915">
      <c r="A915" s="838"/>
      <c r="B915" s="838"/>
      <c r="C915" s="838"/>
    </row>
    <row r="916">
      <c r="A916" s="838"/>
      <c r="B916" s="838"/>
      <c r="C916" s="838"/>
    </row>
    <row r="917">
      <c r="A917" s="838"/>
      <c r="B917" s="838"/>
      <c r="C917" s="838"/>
    </row>
    <row r="918">
      <c r="A918" s="838"/>
      <c r="B918" s="838"/>
      <c r="C918" s="838"/>
    </row>
    <row r="919">
      <c r="A919" s="838"/>
      <c r="B919" s="838"/>
      <c r="C919" s="838"/>
    </row>
    <row r="920">
      <c r="A920" s="838"/>
      <c r="B920" s="838"/>
      <c r="C920" s="838"/>
    </row>
    <row r="921">
      <c r="A921" s="838"/>
      <c r="B921" s="838"/>
      <c r="C921" s="838"/>
    </row>
    <row r="922">
      <c r="A922" s="838"/>
      <c r="B922" s="838"/>
      <c r="C922" s="838"/>
    </row>
    <row r="923">
      <c r="A923" s="838"/>
      <c r="B923" s="838"/>
      <c r="C923" s="838"/>
    </row>
    <row r="924">
      <c r="A924" s="838"/>
      <c r="B924" s="838"/>
      <c r="C924" s="838"/>
    </row>
    <row r="925">
      <c r="A925" s="838"/>
      <c r="B925" s="838"/>
      <c r="C925" s="838"/>
    </row>
    <row r="926">
      <c r="A926" s="838"/>
      <c r="B926" s="838"/>
      <c r="C926" s="838"/>
    </row>
    <row r="927">
      <c r="A927" s="838"/>
      <c r="B927" s="838"/>
      <c r="C927" s="838"/>
    </row>
    <row r="928">
      <c r="A928" s="838"/>
      <c r="B928" s="838"/>
      <c r="C928" s="838"/>
    </row>
    <row r="929">
      <c r="A929" s="838"/>
      <c r="B929" s="838"/>
      <c r="C929" s="838"/>
    </row>
    <row r="930">
      <c r="A930" s="838"/>
      <c r="B930" s="838"/>
      <c r="C930" s="838"/>
    </row>
    <row r="931">
      <c r="A931" s="838"/>
      <c r="B931" s="838"/>
      <c r="C931" s="838"/>
    </row>
    <row r="932">
      <c r="A932" s="838"/>
      <c r="B932" s="838"/>
      <c r="C932" s="838"/>
    </row>
    <row r="933">
      <c r="A933" s="838"/>
      <c r="B933" s="838"/>
      <c r="C933" s="838"/>
    </row>
    <row r="934">
      <c r="A934" s="838"/>
      <c r="B934" s="838"/>
      <c r="C934" s="838"/>
    </row>
    <row r="935">
      <c r="A935" s="838"/>
      <c r="B935" s="838"/>
      <c r="C935" s="838"/>
    </row>
    <row r="936">
      <c r="A936" s="838"/>
      <c r="B936" s="838"/>
      <c r="C936" s="838"/>
    </row>
    <row r="937">
      <c r="A937" s="838"/>
      <c r="B937" s="838"/>
      <c r="C937" s="838"/>
    </row>
    <row r="938">
      <c r="A938" s="838"/>
      <c r="B938" s="838"/>
      <c r="C938" s="838"/>
    </row>
    <row r="939">
      <c r="A939" s="838"/>
      <c r="B939" s="838"/>
      <c r="C939" s="838"/>
    </row>
    <row r="940">
      <c r="A940" s="838"/>
      <c r="B940" s="838"/>
      <c r="C940" s="838"/>
    </row>
    <row r="941">
      <c r="A941" s="838"/>
      <c r="B941" s="838"/>
      <c r="C941" s="838"/>
    </row>
    <row r="942">
      <c r="A942" s="838"/>
      <c r="B942" s="838"/>
      <c r="C942" s="838"/>
    </row>
    <row r="943">
      <c r="A943" s="838"/>
      <c r="B943" s="838"/>
      <c r="C943" s="838"/>
    </row>
    <row r="944">
      <c r="A944" s="838"/>
      <c r="B944" s="838"/>
      <c r="C944" s="838"/>
    </row>
    <row r="945">
      <c r="A945" s="838"/>
      <c r="B945" s="838"/>
      <c r="C945" s="838"/>
    </row>
    <row r="946">
      <c r="A946" s="838"/>
      <c r="B946" s="838"/>
      <c r="C946" s="838"/>
    </row>
    <row r="947">
      <c r="A947" s="838"/>
      <c r="B947" s="838"/>
      <c r="C947" s="838"/>
    </row>
    <row r="948">
      <c r="A948" s="838"/>
      <c r="B948" s="838"/>
      <c r="C948" s="838"/>
    </row>
    <row r="949">
      <c r="A949" s="838"/>
      <c r="B949" s="838"/>
      <c r="C949" s="838"/>
    </row>
    <row r="950">
      <c r="A950" s="838"/>
      <c r="B950" s="838"/>
      <c r="C950" s="838"/>
    </row>
    <row r="951">
      <c r="A951" s="838"/>
      <c r="B951" s="838"/>
      <c r="C951" s="838"/>
    </row>
    <row r="952">
      <c r="A952" s="838"/>
      <c r="B952" s="838"/>
      <c r="C952" s="838"/>
    </row>
    <row r="953">
      <c r="A953" s="838"/>
      <c r="B953" s="838"/>
      <c r="C953" s="838"/>
    </row>
    <row r="954">
      <c r="A954" s="838"/>
      <c r="B954" s="838"/>
      <c r="C954" s="838"/>
    </row>
    <row r="955">
      <c r="A955" s="838"/>
      <c r="B955" s="838"/>
      <c r="C955" s="838"/>
    </row>
    <row r="956">
      <c r="A956" s="838"/>
      <c r="B956" s="838"/>
      <c r="C956" s="838"/>
    </row>
    <row r="957">
      <c r="A957" s="838"/>
      <c r="B957" s="838"/>
      <c r="C957" s="838"/>
    </row>
    <row r="958">
      <c r="A958" s="838"/>
      <c r="B958" s="838"/>
      <c r="C958" s="838"/>
    </row>
    <row r="959">
      <c r="A959" s="838"/>
      <c r="B959" s="838"/>
      <c r="C959" s="838"/>
    </row>
    <row r="960">
      <c r="A960" s="838"/>
      <c r="B960" s="838"/>
      <c r="C960" s="838"/>
    </row>
    <row r="961">
      <c r="A961" s="838"/>
      <c r="B961" s="838"/>
      <c r="C961" s="838"/>
    </row>
    <row r="962">
      <c r="A962" s="838"/>
      <c r="B962" s="838"/>
      <c r="C962" s="838"/>
    </row>
    <row r="963">
      <c r="A963" s="838"/>
      <c r="B963" s="838"/>
      <c r="C963" s="838"/>
    </row>
    <row r="964">
      <c r="A964" s="838"/>
      <c r="B964" s="838"/>
      <c r="C964" s="838"/>
    </row>
    <row r="965">
      <c r="A965" s="838"/>
      <c r="B965" s="838"/>
      <c r="C965" s="838"/>
    </row>
    <row r="966">
      <c r="A966" s="838"/>
      <c r="B966" s="838"/>
      <c r="C966" s="838"/>
    </row>
    <row r="967">
      <c r="A967" s="838"/>
      <c r="B967" s="838"/>
      <c r="C967" s="838"/>
    </row>
    <row r="968">
      <c r="A968" s="838"/>
      <c r="B968" s="838"/>
      <c r="C968" s="838"/>
    </row>
    <row r="969">
      <c r="A969" s="838"/>
      <c r="B969" s="838"/>
      <c r="C969" s="838"/>
    </row>
    <row r="970">
      <c r="A970" s="838"/>
      <c r="B970" s="838"/>
      <c r="C970" s="838"/>
    </row>
    <row r="971">
      <c r="A971" s="838"/>
      <c r="B971" s="838"/>
      <c r="C971" s="838"/>
    </row>
    <row r="972">
      <c r="A972" s="838"/>
      <c r="B972" s="838"/>
      <c r="C972" s="838"/>
    </row>
    <row r="973">
      <c r="A973" s="838"/>
      <c r="B973" s="838"/>
      <c r="C973" s="838"/>
    </row>
    <row r="974">
      <c r="A974" s="838"/>
      <c r="B974" s="838"/>
      <c r="C974" s="838"/>
    </row>
    <row r="975">
      <c r="A975" s="838"/>
      <c r="B975" s="838"/>
      <c r="C975" s="838"/>
    </row>
    <row r="976">
      <c r="A976" s="838"/>
      <c r="B976" s="838"/>
      <c r="C976" s="838"/>
    </row>
    <row r="977">
      <c r="A977" s="838"/>
      <c r="B977" s="838"/>
      <c r="C977" s="838"/>
    </row>
    <row r="978">
      <c r="A978" s="838"/>
      <c r="B978" s="838"/>
      <c r="C978" s="838"/>
    </row>
    <row r="979">
      <c r="A979" s="838"/>
      <c r="B979" s="838"/>
      <c r="C979" s="838"/>
    </row>
    <row r="980">
      <c r="A980" s="838"/>
      <c r="B980" s="838"/>
      <c r="C980" s="838"/>
    </row>
    <row r="981">
      <c r="A981" s="838"/>
      <c r="B981" s="838"/>
      <c r="C981" s="838"/>
    </row>
    <row r="982">
      <c r="A982" s="838"/>
      <c r="B982" s="838"/>
      <c r="C982" s="838"/>
    </row>
    <row r="983">
      <c r="A983" s="838"/>
      <c r="B983" s="838"/>
      <c r="C983" s="838"/>
    </row>
    <row r="984">
      <c r="A984" s="838"/>
      <c r="B984" s="838"/>
      <c r="C984" s="838"/>
    </row>
    <row r="985">
      <c r="A985" s="838"/>
      <c r="B985" s="838"/>
      <c r="C985" s="838"/>
    </row>
    <row r="986">
      <c r="A986" s="838"/>
      <c r="B986" s="838"/>
      <c r="C986" s="838"/>
    </row>
    <row r="987">
      <c r="A987" s="838"/>
      <c r="B987" s="838"/>
      <c r="C987" s="838"/>
    </row>
    <row r="988">
      <c r="A988" s="838"/>
      <c r="B988" s="838"/>
      <c r="C988" s="838"/>
    </row>
    <row r="989">
      <c r="A989" s="838"/>
      <c r="B989" s="838"/>
      <c r="C989" s="838"/>
    </row>
    <row r="990">
      <c r="A990" s="838"/>
      <c r="B990" s="838"/>
      <c r="C990" s="838"/>
    </row>
    <row r="991">
      <c r="A991" s="838"/>
      <c r="B991" s="838"/>
      <c r="C991" s="838"/>
    </row>
    <row r="992">
      <c r="A992" s="838"/>
      <c r="B992" s="838"/>
      <c r="C992" s="838"/>
    </row>
    <row r="993">
      <c r="A993" s="838"/>
      <c r="B993" s="838"/>
      <c r="C993" s="838"/>
    </row>
    <row r="994">
      <c r="A994" s="838"/>
      <c r="B994" s="838"/>
      <c r="C994" s="838"/>
    </row>
    <row r="995">
      <c r="A995" s="838"/>
      <c r="B995" s="838"/>
      <c r="C995" s="838"/>
    </row>
    <row r="996">
      <c r="A996" s="838"/>
      <c r="B996" s="838"/>
      <c r="C996" s="838"/>
    </row>
    <row r="997">
      <c r="A997" s="838"/>
      <c r="B997" s="838"/>
      <c r="C997" s="838"/>
    </row>
    <row r="998">
      <c r="A998" s="838"/>
      <c r="B998" s="838"/>
      <c r="C998" s="838"/>
    </row>
    <row r="999">
      <c r="A999" s="838"/>
      <c r="B999" s="838"/>
      <c r="C999" s="838"/>
    </row>
    <row r="1000">
      <c r="A1000" s="838"/>
      <c r="B1000" s="838"/>
      <c r="C1000" s="838"/>
    </row>
    <row r="1001">
      <c r="A1001" s="838"/>
      <c r="B1001" s="838"/>
      <c r="C1001" s="838"/>
    </row>
  </sheetData>
  <hyperlinks>
    <hyperlink r:id="rId1" ref="B46"/>
  </hyperlinks>
  <drawing r:id="rId2"/>
</worksheet>
</file>