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aas " sheetId="1" r:id="rId4"/>
    <sheet state="visible" name="Sheet46" sheetId="2" r:id="rId5"/>
    <sheet state="visible" name="NETHERLANDS" sheetId="3" r:id="rId6"/>
    <sheet state="visible" name="Sheet47" sheetId="4" r:id="rId7"/>
    <sheet state="visible" name="ISLANDS" sheetId="5" r:id="rId8"/>
    <sheet state="visible" name="LEBANON" sheetId="6" r:id="rId9"/>
    <sheet state="visible" name="BALKAN Countries" sheetId="7" r:id="rId10"/>
    <sheet state="visible" name="THE AMERICAS" sheetId="8" r:id="rId11"/>
    <sheet state="visible" name="FRANCE" sheetId="9" r:id="rId12"/>
    <sheet state="visible" name="CANADA" sheetId="10" r:id="rId13"/>
    <sheet state="visible" name="AUSTRALIA" sheetId="11" r:id="rId14"/>
    <sheet state="visible" name="EU Countries Random" sheetId="12" r:id="rId15"/>
    <sheet state="visible" name="kiosks Leads" sheetId="13" r:id="rId16"/>
    <sheet state="visible" name="BOATSHOW 2019" sheetId="14" r:id="rId17"/>
    <sheet state="visible" name="Refreshed Daily" sheetId="15" r:id="rId18"/>
    <sheet state="visible" name="Sheet45" sheetId="16" r:id="rId19"/>
    <sheet state="visible" name="Central AsiaEAST" sheetId="17" r:id="rId20"/>
    <sheet state="visible" name="AFRICA" sheetId="18" r:id="rId21"/>
    <sheet state="visible" name="IRAN" sheetId="19" r:id="rId22"/>
    <sheet state="visible" name="JORDAN" sheetId="20" r:id="rId23"/>
    <sheet state="visible" name="SPAIN" sheetId="21" r:id="rId24"/>
    <sheet state="visible" name="KUWAIT" sheetId="22" r:id="rId25"/>
    <sheet state="visible" name="TURKEY" sheetId="23" r:id="rId26"/>
    <sheet state="visible" name="ITALY" sheetId="24" r:id="rId27"/>
    <sheet state="visible" name="RUSSIA" sheetId="25" r:id="rId28"/>
    <sheet state="visible" name="GERMANY" sheetId="26" r:id="rId29"/>
    <sheet state="visible" name="SAUDI ARABIA" sheetId="27" r:id="rId30"/>
    <sheet state="visible" name="Sheet43" sheetId="28" r:id="rId31"/>
    <sheet state="visible" name="Sheet44" sheetId="29" r:id="rId32"/>
    <sheet state="visible" name="UK" sheetId="30" r:id="rId33"/>
    <sheet state="visible" name="INDIA" sheetId="31" r:id="rId34"/>
    <sheet state="visible" name="UAE" sheetId="32" r:id="rId35"/>
    <sheet state="visible" name="China" sheetId="33" r:id="rId36"/>
    <sheet state="visible" name="United States" sheetId="34" r:id="rId37"/>
  </sheets>
  <definedNames>
    <definedName hidden="1" localSheetId="12" name="_xlnm._FilterDatabase">'kiosks Leads'!$A$321:$G$1919</definedName>
    <definedName hidden="1" localSheetId="16" name="_xlnm._FilterDatabase">'Central AsiaEAST'!$D$1:$D$71</definedName>
    <definedName hidden="1" localSheetId="29" name="_xlnm._FilterDatabase">UK!$A$1:$E$119</definedName>
    <definedName hidden="1" localSheetId="31" name="_xlnm._FilterDatabase">UAE!$E$1:$E$340</definedName>
    <definedName hidden="1" localSheetId="12" name="Z_8329BC56_2B4F_48D9_B5D7_105C4BB9F263_.wvu.FilterData">'kiosks Leads'!$A$1:$A$2018</definedName>
  </definedNames>
  <calcPr/>
  <customWorkbookViews>
    <customWorkbookView activeSheetId="0" maximized="1" tabRatio="600" windowHeight="0" windowWidth="0" guid="{8329BC56-2B4F-48D9-B5D7-105C4BB9F263}" name="Filter 1"/>
  </customWorkbookViews>
</workbook>
</file>

<file path=xl/sharedStrings.xml><?xml version="1.0" encoding="utf-8"?>
<sst xmlns="http://schemas.openxmlformats.org/spreadsheetml/2006/main" count="15707" uniqueCount="5701">
  <si>
    <t>MERAAS - Kiosk LEADS</t>
  </si>
  <si>
    <t>\</t>
  </si>
  <si>
    <t>hanan</t>
  </si>
  <si>
    <t>Email: hanan94@hotmail.com</t>
  </si>
  <si>
    <t>studio or 1 bed room</t>
  </si>
  <si>
    <t>Comments: studio or 1 bed room</t>
  </si>
  <si>
    <t>Samana Hills</t>
  </si>
  <si>
    <t>Patrick Poetzsch</t>
  </si>
  <si>
    <t>patrickpoetzsch@gmail.com</t>
  </si>
  <si>
    <t>1_bedroom</t>
  </si>
  <si>
    <t>Masood Alam</t>
  </si>
  <si>
    <t>masoodalam20@yahoo.com</t>
  </si>
  <si>
    <t>studio</t>
  </si>
  <si>
    <t>Thilini Senevirathna</t>
  </si>
  <si>
    <t>ireshas2@gmail.com</t>
  </si>
  <si>
    <t>Milind Morajkar</t>
  </si>
  <si>
    <t>mmmorajkar@gmail.com</t>
  </si>
  <si>
    <t>Adeel Memon</t>
  </si>
  <si>
    <t>adeelmemon99@hotmail.com</t>
  </si>
  <si>
    <t>Farrah Kadom</t>
  </si>
  <si>
    <t>farrahkadom@hotmail.com</t>
  </si>
  <si>
    <t>Comments: I want to know more about the payment plan and when it will be ready</t>
  </si>
  <si>
    <t>Sandra Oehmigen</t>
  </si>
  <si>
    <t>SandraOehmigen@hotmail.de</t>
  </si>
  <si>
    <t>Comments: Can you send me documents as pdf by mail</t>
  </si>
  <si>
    <t>Saeed Alghamdi</t>
  </si>
  <si>
    <t>sa4179y@yahoo.com</t>
  </si>
  <si>
    <t>Quaid Joher</t>
  </si>
  <si>
    <t>quaid52@gmail.com</t>
  </si>
  <si>
    <t>Salman Aflatoon</t>
  </si>
  <si>
    <t>Salman@aflatoon.ae</t>
  </si>
  <si>
    <t>Anjum Rehman</t>
  </si>
  <si>
    <t>phulpoto.rehman1@gmail.com</t>
  </si>
  <si>
    <t>Seyed Mohamed</t>
  </si>
  <si>
    <t>haja@eeeco.co.uk</t>
  </si>
  <si>
    <t>Kumar Ramchandani</t>
  </si>
  <si>
    <t>sonu_rmchndn@yahoo.com</t>
  </si>
  <si>
    <t>Mohammad Nidal Makki</t>
  </si>
  <si>
    <t>nidalmmm@gmail.com</t>
  </si>
  <si>
    <t>Syed Abu Faateh</t>
  </si>
  <si>
    <t>tushbih@hotmail.com</t>
  </si>
  <si>
    <t>Vera R. Kassab</t>
  </si>
  <si>
    <t>verakassabhage@hotmail.com</t>
  </si>
  <si>
    <t>Pradeep Sharma</t>
  </si>
  <si>
    <t>pksms09@gmail.com</t>
  </si>
  <si>
    <t>Mahesh Sajnani</t>
  </si>
  <si>
    <t>mahesh_sajnani@hotmail.com</t>
  </si>
  <si>
    <t>Chun Bao</t>
  </si>
  <si>
    <t>626406222@qq.com</t>
  </si>
  <si>
    <t>Victoria</t>
  </si>
  <si>
    <t>Mohammed Nadeem</t>
  </si>
  <si>
    <t>mnads@yahoo.com</t>
  </si>
  <si>
    <t>Ashjan Abdulghani</t>
  </si>
  <si>
    <t>ashjan.abdulghani@gmail.com</t>
  </si>
  <si>
    <t>Abdulrahman Binaftan</t>
  </si>
  <si>
    <t>a.binaftan@gmail.com</t>
  </si>
  <si>
    <t>Nitin Modi</t>
  </si>
  <si>
    <t>nitinrmodi27@gmail.com</t>
  </si>
  <si>
    <t>Munir Ul Haq</t>
  </si>
  <si>
    <t>munir.realty@gmail.com</t>
  </si>
  <si>
    <t>Sara Ahmed Hamed</t>
  </si>
  <si>
    <t>sarorahmd@hotmail.com</t>
  </si>
  <si>
    <t>Farhan Ahmed</t>
  </si>
  <si>
    <t>farhan.ahmed.mansoor@gmail.com</t>
  </si>
  <si>
    <t>Ahmed Alajmi</t>
  </si>
  <si>
    <t>alajmianr@hotmail.com</t>
  </si>
  <si>
    <t>Anil Pahwa</t>
  </si>
  <si>
    <t>anipahwa@hotmail.com</t>
  </si>
  <si>
    <t>Gunaseelan Leo</t>
  </si>
  <si>
    <t>jpguna@live.com</t>
  </si>
  <si>
    <t>Ramandeep Sharma</t>
  </si>
  <si>
    <t>rds_raman@rediffmail.com</t>
  </si>
  <si>
    <t>Zohra Siraj Dange</t>
  </si>
  <si>
    <t>surajdange@hotmail.com</t>
  </si>
  <si>
    <t>Ali Shah</t>
  </si>
  <si>
    <t>cleanfix.solution@yahoo.com</t>
  </si>
  <si>
    <t>Mansour Almuhanna</t>
  </si>
  <si>
    <t>abubasel1977@gmail.com</t>
  </si>
  <si>
    <t>Jaber Alnajar</t>
  </si>
  <si>
    <t>jaberalnajar@gmail.com</t>
  </si>
  <si>
    <t>Louisa Talbi</t>
  </si>
  <si>
    <t>liloulounou@hotmail.fr</t>
  </si>
  <si>
    <t>Dina Kenawy</t>
  </si>
  <si>
    <t>dinaelmlegy@yahoo.com</t>
  </si>
  <si>
    <t>Noor Cheema</t>
  </si>
  <si>
    <t>missnoorcheema@yahoo.com</t>
  </si>
  <si>
    <t>Ahmed Nawaz</t>
  </si>
  <si>
    <t>nawaz.pseinfo@gmail.com</t>
  </si>
  <si>
    <t>Mohammed Baseer</t>
  </si>
  <si>
    <t>baseer_tsb@yahoo.com</t>
  </si>
  <si>
    <t>Ahmad Aljairoudi</t>
  </si>
  <si>
    <t>a.jerudi@gmail.com</t>
  </si>
  <si>
    <t>Tolulope AriyibiOke</t>
  </si>
  <si>
    <t>olivebranche@gmail.com</t>
  </si>
  <si>
    <t>victoria</t>
  </si>
  <si>
    <t>Nithin Nat</t>
  </si>
  <si>
    <t>Nithinksurendran@gmail.com</t>
  </si>
  <si>
    <t>Rahil S Behlim</t>
  </si>
  <si>
    <t>rahilbehlim@hotmail.com</t>
  </si>
  <si>
    <t>Kamil Nahhas</t>
  </si>
  <si>
    <t>redmen91@hotmail.com</t>
  </si>
  <si>
    <t>Fahad Malik</t>
  </si>
  <si>
    <t>thepiousboy@gmail.com</t>
  </si>
  <si>
    <t>Nesrine Hammoud</t>
  </si>
  <si>
    <t>nasnous77@hotmail.com</t>
  </si>
  <si>
    <t>Ramilya Alekperova</t>
  </si>
  <si>
    <t>musechka29@mail.ru</t>
  </si>
  <si>
    <t>Ragu Raman</t>
  </si>
  <si>
    <t>ragurmn@gmail.com</t>
  </si>
  <si>
    <t>UAE</t>
  </si>
  <si>
    <t>NAME</t>
  </si>
  <si>
    <t>EMAIL</t>
  </si>
  <si>
    <t>MOBILE #</t>
  </si>
  <si>
    <t>Pieter Van don Heuvel</t>
  </si>
  <si>
    <t>peitervdehuevel@live.nl</t>
  </si>
  <si>
    <t>+31651810452</t>
  </si>
  <si>
    <t>Mushtaq</t>
  </si>
  <si>
    <t>Peiyi Lei Alexander</t>
  </si>
  <si>
    <t>peiyilei@hotmail.com</t>
  </si>
  <si>
    <t>(050) 571·6045</t>
  </si>
  <si>
    <t>Angelo Van Schajik</t>
  </si>
  <si>
    <t>a.vanschaljk@prevenda.nl</t>
  </si>
  <si>
    <t>+31610908016</t>
  </si>
  <si>
    <t>Pieter Van Don Heuvel</t>
  </si>
  <si>
    <t>pietervdheuvel@live.nl</t>
  </si>
  <si>
    <t>Evert Hendrik De Zeeuw</t>
  </si>
  <si>
    <t>e.dezeeuw@dezeeuwbeheer.nl</t>
  </si>
  <si>
    <t>+31652307741</t>
  </si>
  <si>
    <t>Iulia</t>
  </si>
  <si>
    <t>Bulent Kotan</t>
  </si>
  <si>
    <t>bulent14354@gmail.com</t>
  </si>
  <si>
    <t>+37251985077</t>
  </si>
  <si>
    <t>William William</t>
  </si>
  <si>
    <t>spijkerw@hotmail.com</t>
  </si>
  <si>
    <t>+971503756870</t>
  </si>
  <si>
    <t>peiyllel@hotmail.com</t>
  </si>
  <si>
    <t>+971505716045</t>
  </si>
  <si>
    <t>a.vanschaijk@prevenda.nl</t>
  </si>
  <si>
    <t>Abdel A</t>
  </si>
  <si>
    <t>--</t>
  </si>
  <si>
    <t>+31649200601</t>
  </si>
  <si>
    <t>Annette Holzschuher</t>
  </si>
  <si>
    <t>+31651933998</t>
  </si>
  <si>
    <t>Jansen Jansen</t>
  </si>
  <si>
    <t>edgarjansen@live.nl</t>
  </si>
  <si>
    <t>+31653564608</t>
  </si>
  <si>
    <t>Joost Luiten</t>
  </si>
  <si>
    <t>+31611364036</t>
  </si>
  <si>
    <t>Chella A</t>
  </si>
  <si>
    <t>chella_zack@hotmail.com</t>
  </si>
  <si>
    <t>Johanna Gerestein</t>
  </si>
  <si>
    <t>agerestein@gmail.com</t>
  </si>
  <si>
    <t>+971568643095</t>
  </si>
  <si>
    <t>Victoria 3/31/19</t>
  </si>
  <si>
    <t>Paul Poot</t>
  </si>
  <si>
    <t>info@paulpoot.nl</t>
  </si>
  <si>
    <t>+31620003064</t>
  </si>
  <si>
    <t>Martin Loonen</t>
  </si>
  <si>
    <t>mloonen@yahoo.com</t>
  </si>
  <si>
    <t>+97154304135</t>
  </si>
  <si>
    <t>Olga Slot</t>
  </si>
  <si>
    <t>kotix555@gmail.com</t>
  </si>
  <si>
    <t>+971504697121</t>
  </si>
  <si>
    <t>Ruurd Boersma</t>
  </si>
  <si>
    <t>r.boersma@actamarine.c</t>
  </si>
  <si>
    <t>+971506653239</t>
  </si>
  <si>
    <t>Kevin Wezer</t>
  </si>
  <si>
    <t>kevin.wezer@klm.com</t>
  </si>
  <si>
    <t>+31620869673</t>
  </si>
  <si>
    <t>Jos Jacobs</t>
  </si>
  <si>
    <t>josjacobs@home.nl</t>
  </si>
  <si>
    <t>+31653147053</t>
  </si>
  <si>
    <t>Otto De voogd</t>
  </si>
  <si>
    <t>otto@de-voogd.com</t>
  </si>
  <si>
    <t>+971503241125</t>
  </si>
  <si>
    <t>IULIA</t>
  </si>
  <si>
    <t>Nizar Lachkar</t>
  </si>
  <si>
    <t>nizar.lachkar@hotmail.com</t>
  </si>
  <si>
    <t>+3146898087</t>
  </si>
  <si>
    <t>Michael Goedegebuure</t>
  </si>
  <si>
    <t>michael.goedegebuure@gmail.com</t>
  </si>
  <si>
    <t>+31621871857</t>
  </si>
  <si>
    <t>Demy De Zeeuw</t>
  </si>
  <si>
    <t>demy@demydezeeuw.nl</t>
  </si>
  <si>
    <t>+31657110954</t>
  </si>
  <si>
    <t>NATIONALITY</t>
  </si>
  <si>
    <t>AGENT</t>
  </si>
  <si>
    <t>Yernar Mamin</t>
  </si>
  <si>
    <t>ym.mamin@mail.ru</t>
  </si>
  <si>
    <t>+447807890140</t>
  </si>
  <si>
    <t>Saint Kitts and Nevis</t>
  </si>
  <si>
    <t>waqas</t>
  </si>
  <si>
    <t>Test faiz chinese burj al arab</t>
  </si>
  <si>
    <t>d@d.com</t>
  </si>
  <si>
    <t>+88967698687</t>
  </si>
  <si>
    <t>Aland Islands</t>
  </si>
  <si>
    <t>G Y</t>
  </si>
  <si>
    <t>kik@y.eg</t>
  </si>
  <si>
    <t>---</t>
  </si>
  <si>
    <t>Petri Mattila</t>
  </si>
  <si>
    <t>pma1969@mail.ru</t>
  </si>
  <si>
    <t>+358408447136</t>
  </si>
  <si>
    <t>COUNTRY</t>
  </si>
  <si>
    <t xml:space="preserve">Akl Al  dhakash </t>
  </si>
  <si>
    <t>akl@afac-interious.com</t>
  </si>
  <si>
    <t>Lebanon</t>
  </si>
  <si>
    <t xml:space="preserve">mohannad Mu </t>
  </si>
  <si>
    <t>mohammad.mu@hotmail.com</t>
  </si>
  <si>
    <t xml:space="preserve">Alain Saade </t>
  </si>
  <si>
    <t>lllllllllll@gmail.ru</t>
  </si>
  <si>
    <t>+971566594535</t>
  </si>
  <si>
    <t>tommy</t>
  </si>
  <si>
    <t>jon J</t>
  </si>
  <si>
    <t>+0096145522777</t>
  </si>
  <si>
    <t>hadi hadi</t>
  </si>
  <si>
    <t>bgvb@y.eg</t>
  </si>
  <si>
    <t>+00962795755515</t>
  </si>
  <si>
    <t>Hassan H Zeaiter</t>
  </si>
  <si>
    <t>zeaiter-hassan@hotmail.com</t>
  </si>
  <si>
    <t>+971555565667</t>
  </si>
  <si>
    <t xml:space="preserve">Samer R </t>
  </si>
  <si>
    <t>samer@rambler.ru</t>
  </si>
  <si>
    <t>Marwan Jaber</t>
  </si>
  <si>
    <t>marwan.jaber@hotmail.com</t>
  </si>
  <si>
    <t>+971509064689</t>
  </si>
  <si>
    <t>Wael Hosny</t>
  </si>
  <si>
    <t>wael.hosny@valuesys.com</t>
  </si>
  <si>
    <t>Abdelrahman magdy</t>
  </si>
  <si>
    <t>abdelrahman Magdy</t>
  </si>
  <si>
    <t>Yahia Yahia</t>
  </si>
  <si>
    <t>uaefkm@gmail.com</t>
  </si>
  <si>
    <t>+971505195858</t>
  </si>
  <si>
    <t>IULIIA</t>
  </si>
  <si>
    <t>Mohammed Melhem</t>
  </si>
  <si>
    <t>miyt@hotmail.com</t>
  </si>
  <si>
    <t>+971506529170</t>
  </si>
  <si>
    <t>Firas Kaakour</t>
  </si>
  <si>
    <t>firaskakaakour@gmail.com</t>
  </si>
  <si>
    <t>+971507640772</t>
  </si>
  <si>
    <t>Ali Safa</t>
  </si>
  <si>
    <t>aaaa@aaa.com</t>
  </si>
  <si>
    <t>+9715195858</t>
  </si>
  <si>
    <t>Feras A</t>
  </si>
  <si>
    <t>f_kourki@yahoo.com</t>
  </si>
  <si>
    <t>+971557766369</t>
  </si>
  <si>
    <t>Charbel Chamoun</t>
  </si>
  <si>
    <t>charbelchamoun54@hotmail.com</t>
  </si>
  <si>
    <t>+971505287712</t>
  </si>
  <si>
    <t>Ragei A</t>
  </si>
  <si>
    <t>bgfvh@mnj.eg</t>
  </si>
  <si>
    <t>+971505335858</t>
  </si>
  <si>
    <t>Katia Fakhry</t>
  </si>
  <si>
    <t>katiafakhry@gmail.com</t>
  </si>
  <si>
    <t>Farod A</t>
  </si>
  <si>
    <t>faridnajjar@hotmail.com</t>
  </si>
  <si>
    <t>+971589704660</t>
  </si>
  <si>
    <t>Ayat Ballout</t>
  </si>
  <si>
    <t>aballout@alyousuf.com</t>
  </si>
  <si>
    <t>+971504823093</t>
  </si>
  <si>
    <t>Hassan Hassan</t>
  </si>
  <si>
    <t>+971561772683</t>
  </si>
  <si>
    <t>Lubna</t>
  </si>
  <si>
    <t>Taha Dimassi</t>
  </si>
  <si>
    <t>dimasitaha@gmail.com</t>
  </si>
  <si>
    <t>+971528448573</t>
  </si>
  <si>
    <t>Antoine Lamas</t>
  </si>
  <si>
    <t>antoine.lamaa@gmail.com</t>
  </si>
  <si>
    <t>+971502610444</t>
  </si>
  <si>
    <t>Majdi Mr</t>
  </si>
  <si>
    <t>+971552801833</t>
  </si>
  <si>
    <t>Rachid takla Takla</t>
  </si>
  <si>
    <t>+971504815619</t>
  </si>
  <si>
    <t>Elias Bou khalil</t>
  </si>
  <si>
    <t>elias_boukhalil@hotmail.com</t>
  </si>
  <si>
    <t>Yousef Mustafa</t>
  </si>
  <si>
    <t>+96598009928</t>
  </si>
  <si>
    <t>Wael Mr</t>
  </si>
  <si>
    <t>wn99@hotmail.com</t>
  </si>
  <si>
    <t>Jihad Haddad</t>
  </si>
  <si>
    <t>jihad.haddad@gmail.com</t>
  </si>
  <si>
    <t>+971559204769</t>
  </si>
  <si>
    <t>Mr Zeidan</t>
  </si>
  <si>
    <t>+971556031617</t>
  </si>
  <si>
    <t>Walid Massaad</t>
  </si>
  <si>
    <t>bgnh@ty.eg</t>
  </si>
  <si>
    <t>+9613721933</t>
  </si>
  <si>
    <t>+971551772683</t>
  </si>
  <si>
    <t>Emin E</t>
  </si>
  <si>
    <t>ninsker@nj.eg</t>
  </si>
  <si>
    <t>+905333644878</t>
  </si>
  <si>
    <t>Aki AL Dhakash</t>
  </si>
  <si>
    <t>Mohannad Mu</t>
  </si>
  <si>
    <t>Bassam Bou Karim</t>
  </si>
  <si>
    <t>b.boukarim@hotmail.com</t>
  </si>
  <si>
    <t>+96176408866</t>
  </si>
  <si>
    <t>Hafid Alilouch</t>
  </si>
  <si>
    <t>hafidalilouch@hotmail.com</t>
  </si>
  <si>
    <t>Tony Azzi</t>
  </si>
  <si>
    <t>tony _azzi@mindware.ae</t>
  </si>
  <si>
    <t>Adham Ghandour</t>
  </si>
  <si>
    <t>adhamghandour@hotmail.com</t>
  </si>
  <si>
    <t>+971554552377</t>
  </si>
  <si>
    <t>Naiem Aiyed</t>
  </si>
  <si>
    <t>naiem.aiyed@softedit.tv</t>
  </si>
  <si>
    <t>+971506449336</t>
  </si>
  <si>
    <t>Tommy</t>
  </si>
  <si>
    <t>Chadi Khachbe</t>
  </si>
  <si>
    <t>chadi.khachbe@gmail.com</t>
  </si>
  <si>
    <t>Fatima Ar R</t>
  </si>
  <si>
    <t>elarurifatimah@hotmail.com</t>
  </si>
  <si>
    <t>+971559978784</t>
  </si>
  <si>
    <t>Feras AAbuhatab</t>
  </si>
  <si>
    <t>fhatab@yahoo.com</t>
  </si>
  <si>
    <t>+971502073381</t>
  </si>
  <si>
    <t xml:space="preserve">Muon Adeeli </t>
  </si>
  <si>
    <t>moshta2_78@yahoo.com</t>
  </si>
  <si>
    <t>+971559691456</t>
  </si>
  <si>
    <t>Nur Nur</t>
  </si>
  <si>
    <t>notgiven@dubaiproperty</t>
  </si>
  <si>
    <t>+9714547883</t>
  </si>
  <si>
    <t>MOBILE#</t>
  </si>
  <si>
    <t>Agent</t>
  </si>
  <si>
    <t>Spas Videv</t>
  </si>
  <si>
    <t>videvspas@gmail.com</t>
  </si>
  <si>
    <t>+35988450223</t>
  </si>
  <si>
    <t>Bulgaria</t>
  </si>
  <si>
    <t>Rohit</t>
  </si>
  <si>
    <t>Antoan Bonev</t>
  </si>
  <si>
    <t>antoan1967@yahoo.com</t>
  </si>
  <si>
    <t>+359887918123</t>
  </si>
  <si>
    <t>Alex A</t>
  </si>
  <si>
    <t>mnjh@yh.eg</t>
  </si>
  <si>
    <t>+48885446606</t>
  </si>
  <si>
    <t>Montenegro</t>
  </si>
  <si>
    <t>Albert Mehaj</t>
  </si>
  <si>
    <t>melbden_@hotmail.com</t>
  </si>
  <si>
    <t>Albania</t>
  </si>
  <si>
    <t>Bob Bob</t>
  </si>
  <si>
    <t>Renata Renata</t>
  </si>
  <si>
    <t>+9710501037483</t>
  </si>
  <si>
    <t>rohit</t>
  </si>
  <si>
    <t>Tygg Tygg</t>
  </si>
  <si>
    <t>tyhg@mail.ru</t>
  </si>
  <si>
    <t>Sveto Mihajilovski</t>
  </si>
  <si>
    <t>sveto91@hotmail.com</t>
  </si>
  <si>
    <t>Serbia</t>
  </si>
  <si>
    <t>Bratislav Spica</t>
  </si>
  <si>
    <t>bratislav.spica@gmail.com</t>
  </si>
  <si>
    <t>+971528382958</t>
  </si>
  <si>
    <t>Suvi</t>
  </si>
  <si>
    <t>Sebastian Vonica</t>
  </si>
  <si>
    <t>vonica.sebastian@gmail.com</t>
  </si>
  <si>
    <t>+40723545205</t>
  </si>
  <si>
    <t>Romania</t>
  </si>
  <si>
    <t>Sorin Sorin</t>
  </si>
  <si>
    <t>+40722525937</t>
  </si>
  <si>
    <t>Andrei Ivan</t>
  </si>
  <si>
    <t>ivan.andreimircea@gmail.com</t>
  </si>
  <si>
    <t>+971562185586</t>
  </si>
  <si>
    <t>Diana Rotaru</t>
  </si>
  <si>
    <t>diana.rotaru@depozittunari.ro</t>
  </si>
  <si>
    <t>+40755132219</t>
  </si>
  <si>
    <t>Mr. Daniel</t>
  </si>
  <si>
    <t>simacontact@yahoo.com</t>
  </si>
  <si>
    <t>Dobrescu Radu Robert</t>
  </si>
  <si>
    <t>robert_astra@yahoo.com</t>
  </si>
  <si>
    <t>+40722436288</t>
  </si>
  <si>
    <t>Khusro</t>
  </si>
  <si>
    <t>Methew A</t>
  </si>
  <si>
    <t>mtx-31@yahoo.com</t>
  </si>
  <si>
    <t>Tiberiu Curt</t>
  </si>
  <si>
    <t>tibicurt@gmail.com</t>
  </si>
  <si>
    <t>+971507257872</t>
  </si>
  <si>
    <t>Gabriel O</t>
  </si>
  <si>
    <t>gabrielafoltea@yahoo.com</t>
  </si>
  <si>
    <t>+40722208641</t>
  </si>
  <si>
    <t>Joanna Pierchala</t>
  </si>
  <si>
    <t>gaiselka@mail.ru</t>
  </si>
  <si>
    <t>+96897145210</t>
  </si>
  <si>
    <t>Tansel Culcu</t>
  </si>
  <si>
    <t>+971504592908</t>
  </si>
  <si>
    <t>Argentina</t>
  </si>
  <si>
    <t>Khuzro</t>
  </si>
  <si>
    <t>Hambra Mr</t>
  </si>
  <si>
    <t>topimportacion@hotmail.com</t>
  </si>
  <si>
    <t>+549113256879</t>
  </si>
  <si>
    <t>Alex Alex</t>
  </si>
  <si>
    <t>noemail@gmall.com</t>
  </si>
  <si>
    <t>+971504642976</t>
  </si>
  <si>
    <t>Gustavo Sabatini</t>
  </si>
  <si>
    <t>gusabatini@yahoo.com</t>
  </si>
  <si>
    <t>+541151833388</t>
  </si>
  <si>
    <t>Hanadi Kabour</t>
  </si>
  <si>
    <t>hkabour@hotmail.com</t>
  </si>
  <si>
    <t>+971565532743</t>
  </si>
  <si>
    <t>Karina Monti</t>
  </si>
  <si>
    <t>karinamonti@hotmuil.com</t>
  </si>
  <si>
    <t>+971504751879</t>
  </si>
  <si>
    <t>Hany A</t>
  </si>
  <si>
    <t>ihangari@hotmail.com</t>
  </si>
  <si>
    <t>+9712892955</t>
  </si>
  <si>
    <t>Brazil</t>
  </si>
  <si>
    <t>Serhem No</t>
  </si>
  <si>
    <t>gaisinelka@mail.ru</t>
  </si>
  <si>
    <t>+971509181226</t>
  </si>
  <si>
    <t>Ary Mazzi</t>
  </si>
  <si>
    <t>mazzineto@yahoo.com</t>
  </si>
  <si>
    <t>+971569617905</t>
  </si>
  <si>
    <t>Fabiano Passos</t>
  </si>
  <si>
    <t>fabiano.passos@gmail.com</t>
  </si>
  <si>
    <t>+971505620711</t>
  </si>
  <si>
    <t>Marcos Delorenzo</t>
  </si>
  <si>
    <t>marcos.delorezo@searco.com.br</t>
  </si>
  <si>
    <t>+971524777781</t>
  </si>
  <si>
    <t>Guztavo Amim</t>
  </si>
  <si>
    <t>gustavoamim@gmail.com</t>
  </si>
  <si>
    <t>+5521985811040</t>
  </si>
  <si>
    <t>Lubna 04-22-2019</t>
  </si>
  <si>
    <t>Mark Jab</t>
  </si>
  <si>
    <t>marjpharm@hotmail.com</t>
  </si>
  <si>
    <t>+61425560066</t>
  </si>
  <si>
    <t>Aruba</t>
  </si>
  <si>
    <t>Waqas</t>
  </si>
  <si>
    <t>Sheila Fernandez</t>
  </si>
  <si>
    <t>sheli_vanessa@hotmail.com</t>
  </si>
  <si>
    <t>Mexico</t>
  </si>
  <si>
    <t>Roberto  Baltazar</t>
  </si>
  <si>
    <t>robertobaltazar7@gmail.com</t>
  </si>
  <si>
    <t>+5255145534855</t>
  </si>
  <si>
    <t xml:space="preserve">NAME </t>
  </si>
  <si>
    <t xml:space="preserve">EMAIL </t>
  </si>
  <si>
    <t>Petri Jarvinen</t>
  </si>
  <si>
    <t>petri.myynti@gmail.com</t>
  </si>
  <si>
    <t>Gentillini Christophe</t>
  </si>
  <si>
    <t>Christophegentillini@yahoo.com</t>
  </si>
  <si>
    <t>+33610540346</t>
  </si>
  <si>
    <t>Amaury Burel</t>
  </si>
  <si>
    <t>amauryburel@msn.com</t>
  </si>
  <si>
    <t>Mouna Diabi</t>
  </si>
  <si>
    <t>moon_1609@hotmail.com</t>
  </si>
  <si>
    <t>Boulem G</t>
  </si>
  <si>
    <t>mnan@edn.eg</t>
  </si>
  <si>
    <t>+33611111892</t>
  </si>
  <si>
    <t>Slim Becharef</t>
  </si>
  <si>
    <t>greg.greg8@aol.fr</t>
  </si>
  <si>
    <t>+971554195192</t>
  </si>
  <si>
    <t>Thierry Toupin</t>
  </si>
  <si>
    <t>theirry.toupin@gmx.ch</t>
  </si>
  <si>
    <t>+491732910955</t>
  </si>
  <si>
    <t>Paul A</t>
  </si>
  <si>
    <t>paul_981@hotmail.com</t>
  </si>
  <si>
    <t>Marc Fernet</t>
  </si>
  <si>
    <t>marcantoine.fernet@savoye.com</t>
  </si>
  <si>
    <t>+3366646424377</t>
  </si>
  <si>
    <t>Wael Mokbat</t>
  </si>
  <si>
    <t>noemail@hotmail.com</t>
  </si>
  <si>
    <t>+3300660483147</t>
  </si>
  <si>
    <t>Mokhbat Wail</t>
  </si>
  <si>
    <t>mokhbat.w@gmail.com</t>
  </si>
  <si>
    <t>+33660483147</t>
  </si>
  <si>
    <t>taken</t>
  </si>
  <si>
    <t>Dania Asadan</t>
  </si>
  <si>
    <t>noemail77@mail.ru</t>
  </si>
  <si>
    <t>+33681691779</t>
  </si>
  <si>
    <t>aysel</t>
  </si>
  <si>
    <t>Eidem Lorier</t>
  </si>
  <si>
    <t>eidenlorierboreh@gmail.com</t>
  </si>
  <si>
    <t>+971558962303</t>
  </si>
  <si>
    <t>Abimbola Badejo</t>
  </si>
  <si>
    <t>abimbolabadejo@aol.com</t>
  </si>
  <si>
    <t>+337956100964</t>
  </si>
  <si>
    <t>Ahmed Ahmed</t>
  </si>
  <si>
    <t>nhbb@t.eg</t>
  </si>
  <si>
    <t>+33651020853</t>
  </si>
  <si>
    <t>Ghadi Ghadi</t>
  </si>
  <si>
    <t>lllllll@mail.ru</t>
  </si>
  <si>
    <t>+33674984092</t>
  </si>
  <si>
    <t>Lead Lead</t>
  </si>
  <si>
    <t>noemail@mail.com</t>
  </si>
  <si>
    <t>+97150421950</t>
  </si>
  <si>
    <t>Therriy Mr.</t>
  </si>
  <si>
    <t>+971545881810</t>
  </si>
  <si>
    <t>Roxy</t>
  </si>
  <si>
    <t>Rahal Raho</t>
  </si>
  <si>
    <t>rahal.raho@orange.com</t>
  </si>
  <si>
    <t>+971563695547</t>
  </si>
  <si>
    <t>Romain Lutinier</t>
  </si>
  <si>
    <t>stampers14@hotmail.com</t>
  </si>
  <si>
    <t>+33686805283</t>
  </si>
  <si>
    <t>Arnaud Mogras</t>
  </si>
  <si>
    <t>+33662703294</t>
  </si>
  <si>
    <t>Mimoun A</t>
  </si>
  <si>
    <t>+33674452535</t>
  </si>
  <si>
    <t>Tatiana Bobkova</t>
  </si>
  <si>
    <t>tatiana.bobkova20@gmail.com</t>
  </si>
  <si>
    <t>+352621297817</t>
  </si>
  <si>
    <t xml:space="preserve"> </t>
  </si>
  <si>
    <t>Wittig Franck</t>
  </si>
  <si>
    <t>f.wittig@rotisol.com</t>
  </si>
  <si>
    <t>Adjovi Johan</t>
  </si>
  <si>
    <t>johan.adjovi@gmail.com</t>
  </si>
  <si>
    <t>+971567487115</t>
  </si>
  <si>
    <t>IULIA 3-28-19</t>
  </si>
  <si>
    <t>Hamdi Hotel</t>
  </si>
  <si>
    <t>+971545810892</t>
  </si>
  <si>
    <t>Olivier Messer</t>
  </si>
  <si>
    <t>o.messer21@gmail.com</t>
  </si>
  <si>
    <t>+33610653508</t>
  </si>
  <si>
    <t>Farhant A</t>
  </si>
  <si>
    <t>ghyyg@gtt.eg</t>
  </si>
  <si>
    <t>+971566217431</t>
  </si>
  <si>
    <t>Eric</t>
  </si>
  <si>
    <t>+33609841589</t>
  </si>
  <si>
    <t>Baptiste Corre</t>
  </si>
  <si>
    <t>baptistecorre@gmail.com</t>
  </si>
  <si>
    <t>+971522444496</t>
  </si>
  <si>
    <t>Samir Rekaya</t>
  </si>
  <si>
    <t>rekayasamir@yahoo.fr</t>
  </si>
  <si>
    <t>Bruno Houn</t>
  </si>
  <si>
    <t>brunohoun@gmail.com</t>
  </si>
  <si>
    <t>Ymene Aissa</t>
  </si>
  <si>
    <t>mn92@msn.com</t>
  </si>
  <si>
    <t>+971524960138</t>
  </si>
  <si>
    <t>Jeremy Hodara</t>
  </si>
  <si>
    <t>jeremyhodara@gmail.com</t>
  </si>
  <si>
    <t>+971544949431</t>
  </si>
  <si>
    <t>Touzet Sege</t>
  </si>
  <si>
    <t>serge.touzet@free.fr</t>
  </si>
  <si>
    <t>Belkhir Hicham</t>
  </si>
  <si>
    <t>hichemc@hotmail.fr</t>
  </si>
  <si>
    <t>+33768415669</t>
  </si>
  <si>
    <t>mustaq</t>
  </si>
  <si>
    <t>Orhan A</t>
  </si>
  <si>
    <t>hbgg@j.eg</t>
  </si>
  <si>
    <t>+905425998559</t>
  </si>
  <si>
    <t>mushtaq</t>
  </si>
  <si>
    <t xml:space="preserve"> MOBILE #</t>
  </si>
  <si>
    <t>Cameron Mott</t>
  </si>
  <si>
    <t>cmott@futradvisors.com</t>
  </si>
  <si>
    <t>Bassel Abdul</t>
  </si>
  <si>
    <t>basselcanada@yahoo.com</t>
  </si>
  <si>
    <t>+971503158289</t>
  </si>
  <si>
    <t>James Marczak</t>
  </si>
  <si>
    <t>james.marczak@gmail.com</t>
  </si>
  <si>
    <t>Wassay Mr</t>
  </si>
  <si>
    <t>+2262180736</t>
  </si>
  <si>
    <t>saira</t>
  </si>
  <si>
    <t>Mostafa El basyoum</t>
  </si>
  <si>
    <t>lucashananya233@gmail.com</t>
  </si>
  <si>
    <t>+971582684185</t>
  </si>
  <si>
    <t>Amin Ali</t>
  </si>
  <si>
    <t>aminali99@gmail.ru</t>
  </si>
  <si>
    <t>Asap Mr</t>
  </si>
  <si>
    <t>+16044014697</t>
  </si>
  <si>
    <t>Budd Budd</t>
  </si>
  <si>
    <t>budd007@outlook.com</t>
  </si>
  <si>
    <t>Sarah</t>
  </si>
  <si>
    <t>khalid.ghadie@sympathico.ca</t>
  </si>
  <si>
    <t>+16138596059</t>
  </si>
  <si>
    <t>Almira Cuizon</t>
  </si>
  <si>
    <t>almiracuizon@yahoo.com</t>
  </si>
  <si>
    <t>+14169048324</t>
  </si>
  <si>
    <t>Lila Rajabion</t>
  </si>
  <si>
    <t>rajabio@hotmail.com</t>
  </si>
  <si>
    <t>+12027019710</t>
  </si>
  <si>
    <t>roxy</t>
  </si>
  <si>
    <t>Simak Shabahang</t>
  </si>
  <si>
    <t>siamak.shabahang@sobeys.com</t>
  </si>
  <si>
    <t>+4165183756</t>
  </si>
  <si>
    <t>Adeel Agha</t>
  </si>
  <si>
    <t>adeel_a5@hotmail.com</t>
  </si>
  <si>
    <t>+16475005844</t>
  </si>
  <si>
    <t>Mustafa M</t>
  </si>
  <si>
    <t>+971504143783</t>
  </si>
  <si>
    <t>Dany Aoun</t>
  </si>
  <si>
    <t>dany.aoun@gmail.com</t>
  </si>
  <si>
    <t>+971504592745</t>
  </si>
  <si>
    <t>Alain Belanger</t>
  </si>
  <si>
    <t>alainb@corruven.com</t>
  </si>
  <si>
    <t>George Allen</t>
  </si>
  <si>
    <t>george.allen@instinctif.com</t>
  </si>
  <si>
    <t>+97143699535</t>
  </si>
  <si>
    <t>Naseer Adeel</t>
  </si>
  <si>
    <t>naseercalgary@gmail.com</t>
  </si>
  <si>
    <t>+14035547575</t>
  </si>
  <si>
    <t>Frachesco F</t>
  </si>
  <si>
    <t>ghamari@gmail.com</t>
  </si>
  <si>
    <t>+7788833729</t>
  </si>
  <si>
    <t>Zaid Ghattas</t>
  </si>
  <si>
    <t>zaid.ghattas@gmail.com</t>
  </si>
  <si>
    <t>Hesham Anwar</t>
  </si>
  <si>
    <t>hanwar2012@gmail.com</t>
  </si>
  <si>
    <t>+971501240084</t>
  </si>
  <si>
    <t>Sabih Ahmed</t>
  </si>
  <si>
    <t>sabih@teamgmc.ca</t>
  </si>
  <si>
    <t>+14169154120</t>
  </si>
  <si>
    <t>Sandy Lam</t>
  </si>
  <si>
    <t>iamsandy12@gmail.com</t>
  </si>
  <si>
    <t>Aadel Wali</t>
  </si>
  <si>
    <t>aadelwali@gmail.com</t>
  </si>
  <si>
    <t>+971528014849</t>
  </si>
  <si>
    <t>Cem Karaduman</t>
  </si>
  <si>
    <t>cemkaramduman@kaininsaat.com.tr</t>
  </si>
  <si>
    <t>Megan Leach</t>
  </si>
  <si>
    <t>megan.leach.22@gmail.com</t>
  </si>
  <si>
    <t>+971505664629</t>
  </si>
  <si>
    <t>Rabier R</t>
  </si>
  <si>
    <t>+61416850490</t>
  </si>
  <si>
    <t>Shane 3-24-2019</t>
  </si>
  <si>
    <t>Ryan Cliffe</t>
  </si>
  <si>
    <t>rynclff@yahoo.com</t>
  </si>
  <si>
    <t>Armen Chehily</t>
  </si>
  <si>
    <t>achelily@gmail.com</t>
  </si>
  <si>
    <t>Mohammad Mohammad</t>
  </si>
  <si>
    <t>+61426878797</t>
  </si>
  <si>
    <t>Faisa Faisa</t>
  </si>
  <si>
    <t>+971431585889</t>
  </si>
  <si>
    <t>Nick Ahmed</t>
  </si>
  <si>
    <t>nicks114@hotmail.com</t>
  </si>
  <si>
    <t>Ali Cheema</t>
  </si>
  <si>
    <t>Steve Brown</t>
  </si>
  <si>
    <t>tassietrash@hotmail.com</t>
  </si>
  <si>
    <t>+255785351720</t>
  </si>
  <si>
    <t>Analaura Luna</t>
  </si>
  <si>
    <t>analauraluna@me.com</t>
  </si>
  <si>
    <t>+971545454831</t>
  </si>
  <si>
    <t>Jacob Saddik</t>
  </si>
  <si>
    <t>jacob-mfis@hotmail.com</t>
  </si>
  <si>
    <t>+61424808080</t>
  </si>
  <si>
    <t>Gaby Hadcihiti</t>
  </si>
  <si>
    <t>ccccholdings@hotmail.com</t>
  </si>
  <si>
    <t>+971406424484</t>
  </si>
  <si>
    <t>Sameh Lando</t>
  </si>
  <si>
    <t>sameh.lando@gmail.com</t>
  </si>
  <si>
    <t>Khaled ---</t>
  </si>
  <si>
    <t>jneidkhaled@gmail.com</t>
  </si>
  <si>
    <t>Ihsan Kashlan</t>
  </si>
  <si>
    <t>drkaslan@yahoo.de</t>
  </si>
  <si>
    <t>Yana A</t>
  </si>
  <si>
    <t>yanashakland@gmail.com</t>
  </si>
  <si>
    <t>+971527283897</t>
  </si>
  <si>
    <t>K K</t>
  </si>
  <si>
    <t>klug-marcus@yahoo.de</t>
  </si>
  <si>
    <t>Oscar Larach</t>
  </si>
  <si>
    <t>oscar@ecorainamerica.com</t>
  </si>
  <si>
    <t>+617049106199</t>
  </si>
  <si>
    <t>Christian Mader</t>
  </si>
  <si>
    <t>christian@redam.at</t>
  </si>
  <si>
    <t>+436643154186</t>
  </si>
  <si>
    <t>Ville Vaatainen</t>
  </si>
  <si>
    <t>ville.vaatainen@gmail.com</t>
  </si>
  <si>
    <t>+358415063234</t>
  </si>
  <si>
    <t>Finland</t>
  </si>
  <si>
    <t>Marja Loimaranta</t>
  </si>
  <si>
    <t>marja.loimaranta@saunalahti.fi</t>
  </si>
  <si>
    <t>Timo Helle</t>
  </si>
  <si>
    <t>mrhillo.th@gmail.com</t>
  </si>
  <si>
    <t>+358400528308</t>
  </si>
  <si>
    <t>Kristian Karimo</t>
  </si>
  <si>
    <t>kristian.karimo.karimo@ourcnc.com</t>
  </si>
  <si>
    <t>+358405501415</t>
  </si>
  <si>
    <t>Mj Mj</t>
  </si>
  <si>
    <t>mjjarrinen@hotmail.com</t>
  </si>
  <si>
    <t>Eva Trutzova</t>
  </si>
  <si>
    <t>eva.trutzova@zoznam.sk</t>
  </si>
  <si>
    <t>+421907089720</t>
  </si>
  <si>
    <t>Slovakia</t>
  </si>
  <si>
    <t>Ali M</t>
  </si>
  <si>
    <t>Roman Mitruk</t>
  </si>
  <si>
    <t>marada@marada.sk</t>
  </si>
  <si>
    <t>+421911128355</t>
  </si>
  <si>
    <t>Mohammed Mohammed</t>
  </si>
  <si>
    <t>bamaroof1@hotmail.com</t>
  </si>
  <si>
    <t>+966555535780</t>
  </si>
  <si>
    <t>Pavel Borsig</t>
  </si>
  <si>
    <t>borsigp@gmail.com</t>
  </si>
  <si>
    <t>Grega Skofic</t>
  </si>
  <si>
    <t>grega.skofic@gmail.com</t>
  </si>
  <si>
    <t>+971525100670</t>
  </si>
  <si>
    <t>Slovenia</t>
  </si>
  <si>
    <t>Marko  Lalic</t>
  </si>
  <si>
    <t>lalicmark@hotmail.com</t>
  </si>
  <si>
    <t>Krslak Krslak</t>
  </si>
  <si>
    <t>krslak_emil@hotmail.com</t>
  </si>
  <si>
    <t>+46722503964</t>
  </si>
  <si>
    <t>Sweden</t>
  </si>
  <si>
    <t>Niklas Walin</t>
  </si>
  <si>
    <t>niklas@thewallins.se</t>
  </si>
  <si>
    <t>+46701459873</t>
  </si>
  <si>
    <t>Sargon Yan</t>
  </si>
  <si>
    <t>sargonyan11@gmail.com</t>
  </si>
  <si>
    <t>+46707124583</t>
  </si>
  <si>
    <t>Christian Johanson</t>
  </si>
  <si>
    <t>+46793337824</t>
  </si>
  <si>
    <t>Toni Song</t>
  </si>
  <si>
    <t>+46708765748</t>
  </si>
  <si>
    <t>Richard Albertson</t>
  </si>
  <si>
    <t>ralb@ownit.nu</t>
  </si>
  <si>
    <t>Selina Parvin</t>
  </si>
  <si>
    <t>parvin10@gmail.com</t>
  </si>
  <si>
    <t>+46707490250</t>
  </si>
  <si>
    <t>Ravin Ravin</t>
  </si>
  <si>
    <t>+46736502528</t>
  </si>
  <si>
    <t>Aldiana Sikiric</t>
  </si>
  <si>
    <t>aldianasikiric@hotmail.com</t>
  </si>
  <si>
    <t>+46730661256</t>
  </si>
  <si>
    <t>Svevade A</t>
  </si>
  <si>
    <t>slobo51@hotmail.com</t>
  </si>
  <si>
    <t>+46704503646</t>
  </si>
  <si>
    <t>Yi Jun Troedsson</t>
  </si>
  <si>
    <t>jun.troedsson@gmail.com</t>
  </si>
  <si>
    <t>+971585134280</t>
  </si>
  <si>
    <t>Anil Cherian</t>
  </si>
  <si>
    <t>anil@alc.cloud</t>
  </si>
  <si>
    <t>+46723706139</t>
  </si>
  <si>
    <t>+46721454861</t>
  </si>
  <si>
    <t>Robert</t>
  </si>
  <si>
    <t>----</t>
  </si>
  <si>
    <t>+46704264015</t>
  </si>
  <si>
    <t>Mayur</t>
  </si>
  <si>
    <t>Kristina Halef</t>
  </si>
  <si>
    <t>kristinahalef@live.se</t>
  </si>
  <si>
    <t>+46704664706</t>
  </si>
  <si>
    <t>MIlan Petrovic</t>
  </si>
  <si>
    <t>milan@ioqb.se</t>
  </si>
  <si>
    <t>+971568602502</t>
  </si>
  <si>
    <t>August A</t>
  </si>
  <si>
    <t>august@goleaf.se</t>
  </si>
  <si>
    <t>Danny Haddad</t>
  </si>
  <si>
    <t>mdanny855@gmail.com</t>
  </si>
  <si>
    <t>+971529491118</t>
  </si>
  <si>
    <t>Jonathan Mar</t>
  </si>
  <si>
    <t>mjonathan50@yahoo.com</t>
  </si>
  <si>
    <t>Switzerland</t>
  </si>
  <si>
    <t xml:space="preserve">Philip Meier </t>
  </si>
  <si>
    <t>phil.meier@bluewin.ch</t>
  </si>
  <si>
    <t>+41797436340</t>
  </si>
  <si>
    <t>Vivian Mr</t>
  </si>
  <si>
    <t>Rezembrang Rezembrang</t>
  </si>
  <si>
    <t>rezbrang@gmail.com</t>
  </si>
  <si>
    <t>+41794077362</t>
  </si>
  <si>
    <t>Adrian Schweiger</t>
  </si>
  <si>
    <t>adrian.d.schwelger@hotmail.com</t>
  </si>
  <si>
    <t>Elena Vogel</t>
  </si>
  <si>
    <t>akula@gmx.ch</t>
  </si>
  <si>
    <t>+41764425346</t>
  </si>
  <si>
    <t>Chantal Rosenberger</t>
  </si>
  <si>
    <t>chantalrosenberger@gmail.com</t>
  </si>
  <si>
    <t>+41798178549</t>
  </si>
  <si>
    <t>mayur</t>
  </si>
  <si>
    <t>Marco--</t>
  </si>
  <si>
    <t>+971557723919</t>
  </si>
  <si>
    <t>Roland Imholz</t>
  </si>
  <si>
    <t>roliimholz@gmail.com</t>
  </si>
  <si>
    <t>+41786309020</t>
  </si>
  <si>
    <t>ROxy</t>
  </si>
  <si>
    <t>Walter Pauzengruber</t>
  </si>
  <si>
    <t>+6643905585/ sheraton jbr rm # 735</t>
  </si>
  <si>
    <t>B A</t>
  </si>
  <si>
    <t>bruhost1@gmail.com</t>
  </si>
  <si>
    <t>Lorenza Cremonini</t>
  </si>
  <si>
    <t>lorenza.cremonini@gmail.com</t>
  </si>
  <si>
    <t>+41799009096</t>
  </si>
  <si>
    <t>Bana</t>
  </si>
  <si>
    <t>+33695332053</t>
  </si>
  <si>
    <t>Luxembourg</t>
  </si>
  <si>
    <t>George George</t>
  </si>
  <si>
    <t>noemail123@mail.ru</t>
  </si>
  <si>
    <t>+420602640597</t>
  </si>
  <si>
    <t>Austria</t>
  </si>
  <si>
    <t>Sven Lefeber</t>
  </si>
  <si>
    <t>+4332496575300</t>
  </si>
  <si>
    <t>Saira</t>
  </si>
  <si>
    <t>Mato Petruslc</t>
  </si>
  <si>
    <t>adeolumen@gmail.com</t>
  </si>
  <si>
    <t>+4915115036400</t>
  </si>
  <si>
    <t>W Punzbngrusber</t>
  </si>
  <si>
    <t>vgffg5@bhg.eg</t>
  </si>
  <si>
    <t>+436643905585</t>
  </si>
  <si>
    <t>Talal El-Chichakll</t>
  </si>
  <si>
    <t>toetzi-info@yahoo.com</t>
  </si>
  <si>
    <t>+971555570123</t>
  </si>
  <si>
    <t>Richard-</t>
  </si>
  <si>
    <t>nomail@mail.com</t>
  </si>
  <si>
    <t>+436506504872</t>
  </si>
  <si>
    <t>Iuliia</t>
  </si>
  <si>
    <t>Sven Colman</t>
  </si>
  <si>
    <t>sven.colman@hotmail.com</t>
  </si>
  <si>
    <t>Belgium</t>
  </si>
  <si>
    <t>Edwin Gielis</t>
  </si>
  <si>
    <t>edwin.gielis@telenet.be</t>
  </si>
  <si>
    <t>+32473950289</t>
  </si>
  <si>
    <t>Michael Dautricourt</t>
  </si>
  <si>
    <t>michael.dautricourt@telenet.be</t>
  </si>
  <si>
    <t>+32477812144</t>
  </si>
  <si>
    <t>Wartique Isabelle</t>
  </si>
  <si>
    <t>isa.wartique@hotmail.com</t>
  </si>
  <si>
    <t>+32476900023</t>
  </si>
  <si>
    <t>Philip Van Neer</t>
  </si>
  <si>
    <t>philip.van.neer@gmail.com</t>
  </si>
  <si>
    <t>+971504587944</t>
  </si>
  <si>
    <t>Sharon Sharon</t>
  </si>
  <si>
    <t>sharoesgoes@gmail.com</t>
  </si>
  <si>
    <t>+32476641099</t>
  </si>
  <si>
    <t>Matzaf Aghz</t>
  </si>
  <si>
    <t>mettefaghz@live.com</t>
  </si>
  <si>
    <t>Sonya Sedej</t>
  </si>
  <si>
    <t>sonja.sedj@gmail.com</t>
  </si>
  <si>
    <t>Franco Franco</t>
  </si>
  <si>
    <t>hhhhhhu@mail.ru</t>
  </si>
  <si>
    <t>+971502451793</t>
  </si>
  <si>
    <t>Carls Schodts</t>
  </si>
  <si>
    <t>katja.cuyvers@skynet.com</t>
  </si>
  <si>
    <t>+32496590425</t>
  </si>
  <si>
    <t>MAYUR</t>
  </si>
  <si>
    <t>Frank D</t>
  </si>
  <si>
    <t>deckers.frank@skynet.be</t>
  </si>
  <si>
    <t>Karim Alhyane</t>
  </si>
  <si>
    <t>alhyane1981@gmail.com</t>
  </si>
  <si>
    <t>+32478520910</t>
  </si>
  <si>
    <t>Bladeren No</t>
  </si>
  <si>
    <t>bladeren@pi.net</t>
  </si>
  <si>
    <t>Jessie De Vries</t>
  </si>
  <si>
    <t>jessie_devries@hotmail.com</t>
  </si>
  <si>
    <t>+971561038506</t>
  </si>
  <si>
    <t>A A</t>
  </si>
  <si>
    <t>hgytdd@fgt.eg</t>
  </si>
  <si>
    <t>+32494242283</t>
  </si>
  <si>
    <t>Kristina C</t>
  </si>
  <si>
    <t>citereja@gmail.com</t>
  </si>
  <si>
    <t>+4746820324</t>
  </si>
  <si>
    <t>Lithuania</t>
  </si>
  <si>
    <t>Mihail M</t>
  </si>
  <si>
    <t>+380503416160</t>
  </si>
  <si>
    <t>Ukraine</t>
  </si>
  <si>
    <t>lryna Goryn</t>
  </si>
  <si>
    <t>globifydreamproperties@gmail.com</t>
  </si>
  <si>
    <t>+380636955775</t>
  </si>
  <si>
    <t>Roman Mykhalchuk</t>
  </si>
  <si>
    <t>mykhalchuk93@gmail.com</t>
  </si>
  <si>
    <t>+380932820251</t>
  </si>
  <si>
    <t>Vitalii Mr</t>
  </si>
  <si>
    <t>+380673258588</t>
  </si>
  <si>
    <t>Pavel Pavel</t>
  </si>
  <si>
    <t>+380664300863</t>
  </si>
  <si>
    <t>Andrey Mr</t>
  </si>
  <si>
    <t>+380674676566</t>
  </si>
  <si>
    <t>Oleksandr Balymov</t>
  </si>
  <si>
    <t>balymov26@gmail.com</t>
  </si>
  <si>
    <t>+380673233570</t>
  </si>
  <si>
    <t>Bimal Dakhal</t>
  </si>
  <si>
    <t>bdbiz2000@yahoo.com</t>
  </si>
  <si>
    <t>Alexandr A</t>
  </si>
  <si>
    <t>sanya000007@ukr.net</t>
  </si>
  <si>
    <t>+380504846358</t>
  </si>
  <si>
    <t>Sergey Sergey</t>
  </si>
  <si>
    <t>+380503377177</t>
  </si>
  <si>
    <t>Kenneth Pullicino</t>
  </si>
  <si>
    <t>kenneth@khsmalta.com</t>
  </si>
  <si>
    <t>+35699490541</t>
  </si>
  <si>
    <t>Malta</t>
  </si>
  <si>
    <t>Christian Granata</t>
  </si>
  <si>
    <t>info@sottozerofactory.com</t>
  </si>
  <si>
    <t>+35677770212</t>
  </si>
  <si>
    <t>iulia</t>
  </si>
  <si>
    <t>Nathalie Azhyppo</t>
  </si>
  <si>
    <t>+971553805702</t>
  </si>
  <si>
    <t>Latvia</t>
  </si>
  <si>
    <t>Martina Crisma</t>
  </si>
  <si>
    <t>+97150244-6901</t>
  </si>
  <si>
    <t>Norway</t>
  </si>
  <si>
    <t>Tomas Gerges</t>
  </si>
  <si>
    <t>tomas.gerges@shell.com</t>
  </si>
  <si>
    <t>+447533161676</t>
  </si>
  <si>
    <t>Greece</t>
  </si>
  <si>
    <t>Laura Berenguer</t>
  </si>
  <si>
    <t>lauraberenguer@hotmail.com</t>
  </si>
  <si>
    <t>+971504596138</t>
  </si>
  <si>
    <t>Andorra</t>
  </si>
  <si>
    <t>Mobile Number</t>
  </si>
  <si>
    <t>F</t>
  </si>
  <si>
    <t>No.</t>
  </si>
  <si>
    <t>Statistics</t>
  </si>
  <si>
    <t>Bader- L</t>
  </si>
  <si>
    <t>+966569949413</t>
  </si>
  <si>
    <t>Nationality</t>
  </si>
  <si>
    <t>Count</t>
  </si>
  <si>
    <t>Valid Entry w/ Mobile #</t>
  </si>
  <si>
    <t>Afghanistan</t>
  </si>
  <si>
    <t>Saleh L</t>
  </si>
  <si>
    <t>+97155686000</t>
  </si>
  <si>
    <t>Aland Ilands</t>
  </si>
  <si>
    <t>Ibrahim M</t>
  </si>
  <si>
    <t>imusalhi@gmail.com</t>
  </si>
  <si>
    <t>+96895095560</t>
  </si>
  <si>
    <t>Faruk Yildrim</t>
  </si>
  <si>
    <t>fkarabey@karabeyoglu.com.tr</t>
  </si>
  <si>
    <t>+971525137614</t>
  </si>
  <si>
    <t>Turkey</t>
  </si>
  <si>
    <t>Algeria</t>
  </si>
  <si>
    <t>Dez Zeeuw D</t>
  </si>
  <si>
    <t>Mohtasim Jawad</t>
  </si>
  <si>
    <t>mohtasim.jawed@gmail.com</t>
  </si>
  <si>
    <t>+46736202824</t>
  </si>
  <si>
    <t>Germany</t>
  </si>
  <si>
    <t>Angola</t>
  </si>
  <si>
    <t>Rej Rej</t>
  </si>
  <si>
    <t>gareppo@aol.com</t>
  </si>
  <si>
    <t>+447976916434</t>
  </si>
  <si>
    <t>United Kingdom</t>
  </si>
  <si>
    <t>Anguilla</t>
  </si>
  <si>
    <t>email only</t>
  </si>
  <si>
    <t>Riyad P</t>
  </si>
  <si>
    <t>+971508798970</t>
  </si>
  <si>
    <t>Nazreen N</t>
  </si>
  <si>
    <t>nh_asiawear@outlook.com</t>
  </si>
  <si>
    <t>+447729280455</t>
  </si>
  <si>
    <t>Armenia</t>
  </si>
  <si>
    <t>Mena Tariq</t>
  </si>
  <si>
    <t>tmakhtom@hotmail.com</t>
  </si>
  <si>
    <t>+966555686808</t>
  </si>
  <si>
    <t>Saudi Arabia</t>
  </si>
  <si>
    <t>yousefsmail@gmail.com</t>
  </si>
  <si>
    <t>Australia</t>
  </si>
  <si>
    <t>Dmitrii Dmitrii</t>
  </si>
  <si>
    <t>dima_pershin@list.ru</t>
  </si>
  <si>
    <t>+89048953137</t>
  </si>
  <si>
    <t>Italy</t>
  </si>
  <si>
    <t>Tony Mr</t>
  </si>
  <si>
    <t>+971566728888</t>
  </si>
  <si>
    <t>China</t>
  </si>
  <si>
    <t>Azerbaijan</t>
  </si>
  <si>
    <t>Giusippo Giusippo</t>
  </si>
  <si>
    <t>lagurdia_giusippo@faitwebnet.it</t>
  </si>
  <si>
    <t>Bahamas</t>
  </si>
  <si>
    <t>Netherlands</t>
  </si>
  <si>
    <t>Bahrain</t>
  </si>
  <si>
    <t>Razik Zaghlouli</t>
  </si>
  <si>
    <t>razikus@gmail.com</t>
  </si>
  <si>
    <t>(055) 819-8568</t>
  </si>
  <si>
    <t>Spain</t>
  </si>
  <si>
    <t xml:space="preserve">Bangladesh </t>
  </si>
  <si>
    <t>Fady Imam</t>
  </si>
  <si>
    <t>fadyimam@yahoo.com</t>
  </si>
  <si>
    <t>United States</t>
  </si>
  <si>
    <t>Barbados</t>
  </si>
  <si>
    <t>Ruslan Kospakhov</t>
  </si>
  <si>
    <t>rkopakshov@mail.ru</t>
  </si>
  <si>
    <t>+77019794117</t>
  </si>
  <si>
    <t>Kazakhstan</t>
  </si>
  <si>
    <t>Isbar Ali</t>
  </si>
  <si>
    <t>isbarali@hotmail.com</t>
  </si>
  <si>
    <t>Benin</t>
  </si>
  <si>
    <t>Khalifa Alboqaish</t>
  </si>
  <si>
    <t>wizuqaish@gmail.com</t>
  </si>
  <si>
    <t>United Arab Emirates</t>
  </si>
  <si>
    <t>Ahmed Almazrouei</t>
  </si>
  <si>
    <t>B.Indian Territory</t>
  </si>
  <si>
    <t>Khalid Mohammad</t>
  </si>
  <si>
    <t>khulud.muijieb@gmail.com</t>
  </si>
  <si>
    <t>Kuwait</t>
  </si>
  <si>
    <t>Mina Ghajar</t>
  </si>
  <si>
    <t>mina4141@gmail.com</t>
  </si>
  <si>
    <t>+14088870125</t>
  </si>
  <si>
    <t>Burikina Faso</t>
  </si>
  <si>
    <t>Sapna M</t>
  </si>
  <si>
    <t>sgm_meghlani@hotmail.com</t>
  </si>
  <si>
    <t>+971567364762</t>
  </si>
  <si>
    <t>India</t>
  </si>
  <si>
    <t>Canada</t>
  </si>
  <si>
    <t>Ute Kaiser</t>
  </si>
  <si>
    <t>+1714824915</t>
  </si>
  <si>
    <t xml:space="preserve">Saud Al qabl </t>
  </si>
  <si>
    <t>hgyy@hy.eg</t>
  </si>
  <si>
    <t>+971503305499</t>
  </si>
  <si>
    <t>Croatia</t>
  </si>
  <si>
    <t>Sahil Sahil</t>
  </si>
  <si>
    <t>sahil@gmail.com</t>
  </si>
  <si>
    <t>+971545810829</t>
  </si>
  <si>
    <t>Czech Republic</t>
  </si>
  <si>
    <t>RuiGuo</t>
  </si>
  <si>
    <t>guorui@gmail.com</t>
  </si>
  <si>
    <t>+971501379909</t>
  </si>
  <si>
    <t>Denmark</t>
  </si>
  <si>
    <t>Una Sun</t>
  </si>
  <si>
    <t xml:space="preserve">una-sun@onshorer.com </t>
  </si>
  <si>
    <t>+971528959678</t>
  </si>
  <si>
    <t>Dominican Republic</t>
  </si>
  <si>
    <t>Julia No</t>
  </si>
  <si>
    <t>mena.bassily@dp.ae</t>
  </si>
  <si>
    <t>+971924-6389</t>
  </si>
  <si>
    <t>Ecuador</t>
  </si>
  <si>
    <t>Jian Chan</t>
  </si>
  <si>
    <t>944266113@qq.com</t>
  </si>
  <si>
    <t>+971506764858</t>
  </si>
  <si>
    <t>Egypt</t>
  </si>
  <si>
    <t>Decco Decco</t>
  </si>
  <si>
    <t>+393473706020</t>
  </si>
  <si>
    <t>Estonia</t>
  </si>
  <si>
    <t>Xiufun Ma</t>
  </si>
  <si>
    <t>davaitch@hotmail.com</t>
  </si>
  <si>
    <t>+971505455252517</t>
  </si>
  <si>
    <t>Ethiopia</t>
  </si>
  <si>
    <t>Wei Guo</t>
  </si>
  <si>
    <t>wgwo006@wr.edu</t>
  </si>
  <si>
    <t>+8618502132638</t>
  </si>
  <si>
    <t>Yingzi Zhang</t>
  </si>
  <si>
    <t>93583731@qq.com</t>
  </si>
  <si>
    <t>+9715281204</t>
  </si>
  <si>
    <t>France</t>
  </si>
  <si>
    <t>Darren Guo</t>
  </si>
  <si>
    <t>wguo006@ucr.edu</t>
  </si>
  <si>
    <t>Chen Chen</t>
  </si>
  <si>
    <t>13761111305@sina.com</t>
  </si>
  <si>
    <t>+8613761111305</t>
  </si>
  <si>
    <t>Wang Lili</t>
  </si>
  <si>
    <t>13745698@qq.com</t>
  </si>
  <si>
    <t>+861891345305</t>
  </si>
  <si>
    <t>Hongkong</t>
  </si>
  <si>
    <t>Jillin Hu</t>
  </si>
  <si>
    <t>402825304@qq.com</t>
  </si>
  <si>
    <t>+8615665787878</t>
  </si>
  <si>
    <t>Hungary</t>
  </si>
  <si>
    <t>Yui Wang</t>
  </si>
  <si>
    <t>wangyuic@gmail.com</t>
  </si>
  <si>
    <t>+971504861851</t>
  </si>
  <si>
    <t>Iceland</t>
  </si>
  <si>
    <t>Summar Xiao</t>
  </si>
  <si>
    <t>xiaozhihua@hikvision.com</t>
  </si>
  <si>
    <t>+971529870812</t>
  </si>
  <si>
    <t>Damon Ma</t>
  </si>
  <si>
    <t>4992797@qq.com</t>
  </si>
  <si>
    <t>+971506600158</t>
  </si>
  <si>
    <t>Iraq</t>
  </si>
  <si>
    <t>Nadia Nadia</t>
  </si>
  <si>
    <t>nadia.muecke@gmail.com</t>
  </si>
  <si>
    <t>+971508483927</t>
  </si>
  <si>
    <t>Iran</t>
  </si>
  <si>
    <t>Amer sobhl Ali oallol</t>
  </si>
  <si>
    <t>141.22@hotmall.com</t>
  </si>
  <si>
    <t>+966555719336</t>
  </si>
  <si>
    <t xml:space="preserve">Italy </t>
  </si>
  <si>
    <t>Naoynki Kosaka</t>
  </si>
  <si>
    <t>msh.-100@ewob.ne.jp</t>
  </si>
  <si>
    <t>+9044544811</t>
  </si>
  <si>
    <t>Jamaica</t>
  </si>
  <si>
    <t>Dari Al Bader</t>
  </si>
  <si>
    <t>mona.basslly@dp.oe</t>
  </si>
  <si>
    <t>+96597389999</t>
  </si>
  <si>
    <t>Japan</t>
  </si>
  <si>
    <t>NunlngZhu</t>
  </si>
  <si>
    <t>zhu-nuning@slna.com</t>
  </si>
  <si>
    <t>+971501850193</t>
  </si>
  <si>
    <t>Jordan</t>
  </si>
  <si>
    <t>Gabriel Angel Monte</t>
  </si>
  <si>
    <t>montlgabrlel@gmall.com</t>
  </si>
  <si>
    <t>+966537131960</t>
  </si>
  <si>
    <t>Kazahkstan</t>
  </si>
  <si>
    <t>Mr Yin</t>
  </si>
  <si>
    <t>869653374@qq.com</t>
  </si>
  <si>
    <t>+971551319278</t>
  </si>
  <si>
    <t>Kenya</t>
  </si>
  <si>
    <t>Zheng Nan</t>
  </si>
  <si>
    <t>drzhengnan6@gmall.com</t>
  </si>
  <si>
    <t>+971506988637</t>
  </si>
  <si>
    <t>Gan Shaoping</t>
  </si>
  <si>
    <t>108450265@qq.com</t>
  </si>
  <si>
    <t>+8613580602222</t>
  </si>
  <si>
    <t>Antai Peng</t>
  </si>
  <si>
    <t>loy-peng@163.com</t>
  </si>
  <si>
    <t>(050) 903-9222</t>
  </si>
  <si>
    <t>XiaoMn Quan</t>
  </si>
  <si>
    <t>charry.xq@gmail.com</t>
  </si>
  <si>
    <t>+97150934-5565</t>
  </si>
  <si>
    <t>Kyrgyztan</t>
  </si>
  <si>
    <t>MG mg</t>
  </si>
  <si>
    <t>10840205@qq.com</t>
  </si>
  <si>
    <t>+861358060222</t>
  </si>
  <si>
    <t>Zoe Zhang</t>
  </si>
  <si>
    <t>zoele1yue@gmail.com</t>
  </si>
  <si>
    <t>+971553287767</t>
  </si>
  <si>
    <t xml:space="preserve">Fangping Wei </t>
  </si>
  <si>
    <t>36500153@qq.com</t>
  </si>
  <si>
    <t>+971567898365</t>
  </si>
  <si>
    <t>Lucky Liu</t>
  </si>
  <si>
    <t>anieslin@gmall corn</t>
  </si>
  <si>
    <t>+971563587099</t>
  </si>
  <si>
    <t>Sun Chunhua</t>
  </si>
  <si>
    <t>sch0629@qq.com</t>
  </si>
  <si>
    <t>+9715815522965</t>
  </si>
  <si>
    <t>Yan Xia</t>
  </si>
  <si>
    <t>583299266@qq.com</t>
  </si>
  <si>
    <t>+971527232188</t>
  </si>
  <si>
    <t>Syria</t>
  </si>
  <si>
    <t>ChunhuaSun</t>
  </si>
  <si>
    <t>scho629@qq com</t>
  </si>
  <si>
    <t>+8615815522965</t>
  </si>
  <si>
    <t>Russian Federation</t>
  </si>
  <si>
    <t>100 - Roxy</t>
  </si>
  <si>
    <t>Yuelln Chen</t>
  </si>
  <si>
    <t>980835S30@qQ com</t>
  </si>
  <si>
    <t>+971508532609</t>
  </si>
  <si>
    <t xml:space="preserve">Lebanon </t>
  </si>
  <si>
    <t>Tian Hongtao</t>
  </si>
  <si>
    <t>tianhongtao@sinochem.com</t>
  </si>
  <si>
    <t>+971566603686</t>
  </si>
  <si>
    <t>DanhongJin</t>
  </si>
  <si>
    <t>avajin@126 com</t>
  </si>
  <si>
    <t>+971507870594</t>
  </si>
  <si>
    <t>DannyHong</t>
  </si>
  <si>
    <t>dwong@speedClass.hk</t>
  </si>
  <si>
    <t>+971559820323</t>
  </si>
  <si>
    <t>Morocco</t>
  </si>
  <si>
    <t>Abdullah Abdullah</t>
  </si>
  <si>
    <t>ambhd888@gmail.com</t>
  </si>
  <si>
    <t>+971556060005</t>
  </si>
  <si>
    <t>Evgeniy Mr</t>
  </si>
  <si>
    <t>kamalika13@mail.ru</t>
  </si>
  <si>
    <t>+79037229632</t>
  </si>
  <si>
    <t>Jenny Zhou</t>
  </si>
  <si>
    <t>educationindubai@gmail.com</t>
  </si>
  <si>
    <t>+971507240980</t>
  </si>
  <si>
    <t>Lin JIang</t>
  </si>
  <si>
    <t>596S39305@qq.com</t>
  </si>
  <si>
    <t>+971565634888</t>
  </si>
  <si>
    <t>Fangfzng Wei</t>
  </si>
  <si>
    <t>Xiaonan Feng</t>
  </si>
  <si>
    <t>2517408001@qq.com</t>
  </si>
  <si>
    <t>+971567086916</t>
  </si>
  <si>
    <t>Jiang gi</t>
  </si>
  <si>
    <t>jiangchumei@gmail.com</t>
  </si>
  <si>
    <t>(055) 502·2166</t>
  </si>
  <si>
    <t>Tony Zhang</t>
  </si>
  <si>
    <t>tony.zhang@ae.pico.com</t>
  </si>
  <si>
    <t>+971528453731</t>
  </si>
  <si>
    <t>.Juan Zou</t>
  </si>
  <si>
    <t>zoujuan6@gmail.com</t>
  </si>
  <si>
    <t>+971508575219</t>
  </si>
  <si>
    <t>Herris Herrls</t>
  </si>
  <si>
    <t>bkw836@gmail.com</t>
  </si>
  <si>
    <t>+971581269888</t>
  </si>
  <si>
    <t>Chen Zhang</t>
  </si>
  <si>
    <t>57754221@qq.com</t>
  </si>
  <si>
    <t>+971503884827</t>
  </si>
  <si>
    <t>Madonna Serag</t>
  </si>
  <si>
    <t>madonna.serag@gmail.com</t>
  </si>
  <si>
    <t>+971561788451</t>
  </si>
  <si>
    <t>Zhao Wei</t>
  </si>
  <si>
    <t>zw1@zpec.com</t>
  </si>
  <si>
    <t>(055) 554-3217</t>
  </si>
  <si>
    <t>ZhaoJle</t>
  </si>
  <si>
    <t>1284538891@qq.com</t>
  </si>
  <si>
    <t>+971589907659</t>
  </si>
  <si>
    <t>Danhong Jin</t>
  </si>
  <si>
    <t>avajn@126.com</t>
  </si>
  <si>
    <t>Liu Yuanhua</t>
  </si>
  <si>
    <t>+971561809891</t>
  </si>
  <si>
    <t>Linda Hardy</t>
  </si>
  <si>
    <t>jinyandubai@gmail.com</t>
  </si>
  <si>
    <t>(055) 325-8116</t>
  </si>
  <si>
    <t>Xia Yan</t>
  </si>
  <si>
    <t>+971553258116</t>
  </si>
  <si>
    <t>Hu LI</t>
  </si>
  <si>
    <t>lihu2008@foxmail.com</t>
  </si>
  <si>
    <t>+971551907648</t>
  </si>
  <si>
    <t>Xiuznen Zheng</t>
  </si>
  <si>
    <t>xzkidd@hotmail.com</t>
  </si>
  <si>
    <t>+971529348456</t>
  </si>
  <si>
    <t>Plei</t>
  </si>
  <si>
    <t>Natasha Smart</t>
  </si>
  <si>
    <t>n_sollars@hotmail.com</t>
  </si>
  <si>
    <t>(056) 296-4150</t>
  </si>
  <si>
    <t>JIanxuan Gao</t>
  </si>
  <si>
    <t>gaojx@yntong.com</t>
  </si>
  <si>
    <t>+971552318756</t>
  </si>
  <si>
    <t>Yang Yang</t>
  </si>
  <si>
    <t>330788370@qq.com</t>
  </si>
  <si>
    <t>+971508565628</t>
  </si>
  <si>
    <t>Evlls Xu</t>
  </si>
  <si>
    <t>evitahui@gmall.com</t>
  </si>
  <si>
    <t>+971557334134</t>
  </si>
  <si>
    <t>.Jun lln</t>
  </si>
  <si>
    <t>oscartinjun@gmall.com</t>
  </si>
  <si>
    <t>+97152135-8228</t>
  </si>
  <si>
    <t>Ahmad EL Merchary</t>
  </si>
  <si>
    <t>a_mehelng@yahoo.com</t>
  </si>
  <si>
    <t>002-01001111119</t>
  </si>
  <si>
    <t>Shenghong Fu</t>
  </si>
  <si>
    <t>2523056433@qq.com</t>
  </si>
  <si>
    <t>+971503886762</t>
  </si>
  <si>
    <t>Tarcha Tarcha</t>
  </si>
  <si>
    <t>tacha@reacco.ae</t>
  </si>
  <si>
    <t>+971557577786</t>
  </si>
  <si>
    <t>Jianxun Gao</t>
  </si>
  <si>
    <t>gaojx@yutong.com</t>
  </si>
  <si>
    <t>Cheong Wong</t>
  </si>
  <si>
    <t>emiresource@gmail.com</t>
  </si>
  <si>
    <t>+971553232138</t>
  </si>
  <si>
    <t>Hao Li</t>
  </si>
  <si>
    <t>vicbrlihse@gmail.com</t>
  </si>
  <si>
    <t>+97I552711988</t>
  </si>
  <si>
    <t>Rento Larghi</t>
  </si>
  <si>
    <t>rlarghi@ticino.com</t>
  </si>
  <si>
    <t>+8641916482389</t>
  </si>
  <si>
    <t>Lu Feng</t>
  </si>
  <si>
    <t>lufeng58@hotmail.com</t>
  </si>
  <si>
    <t>+971506365598</t>
  </si>
  <si>
    <t>Rui Liang</t>
  </si>
  <si>
    <t>reneelr1989@gmall.com</t>
  </si>
  <si>
    <t>+971529408172</t>
  </si>
  <si>
    <t>Wilfredo Robles</t>
  </si>
  <si>
    <t>wllper1423@Yahoo.com</t>
  </si>
  <si>
    <t>+9175640214</t>
  </si>
  <si>
    <t>Philippines</t>
  </si>
  <si>
    <t>Alex Luo</t>
  </si>
  <si>
    <t>alexluohaibo@slna.com</t>
  </si>
  <si>
    <t>Ma wei</t>
  </si>
  <si>
    <t>398748838@qq.com</t>
  </si>
  <si>
    <t>+971555791411</t>
  </si>
  <si>
    <t>Kunfeng Guo</t>
  </si>
  <si>
    <t>guokunfeng1993@gmail.com</t>
  </si>
  <si>
    <t>+971529123390</t>
  </si>
  <si>
    <t>MA JIAXIN</t>
  </si>
  <si>
    <t>jason728613@gma1l.com</t>
  </si>
  <si>
    <t>+971579-2682</t>
  </si>
  <si>
    <t>Hazma Bisty</t>
  </si>
  <si>
    <t>sb.snigdhahristy@gmail.com</t>
  </si>
  <si>
    <t>+97152373060</t>
  </si>
  <si>
    <t>Nazma Bristy</t>
  </si>
  <si>
    <t>+97152373-3060</t>
  </si>
  <si>
    <t>Bangladesh</t>
  </si>
  <si>
    <t>Ali Kassab</t>
  </si>
  <si>
    <t>alikass675@gmail.com</t>
  </si>
  <si>
    <t>+971555597939</t>
  </si>
  <si>
    <t>Hongzhou Yang</t>
  </si>
  <si>
    <t>hongzhou_yang@hotmail.com</t>
  </si>
  <si>
    <t>+971523910652</t>
  </si>
  <si>
    <t>Zhu Chen</t>
  </si>
  <si>
    <t>510343591@qq.com</t>
  </si>
  <si>
    <t>+971551900311</t>
  </si>
  <si>
    <t>china</t>
  </si>
  <si>
    <t>Zou Runmo</t>
  </si>
  <si>
    <t>baileyzou@126.com</t>
  </si>
  <si>
    <t>+971557671033</t>
  </si>
  <si>
    <t>Lei Nie</t>
  </si>
  <si>
    <t>nl428@hotmail.com</t>
  </si>
  <si>
    <t>+971556466257</t>
  </si>
  <si>
    <t>lilanying Lilanying</t>
  </si>
  <si>
    <t>lanyin39919@gmail.com</t>
  </si>
  <si>
    <t>Guaxu Han</t>
  </si>
  <si>
    <t>duoai00002@gmail.com</t>
  </si>
  <si>
    <t>+97150941228</t>
  </si>
  <si>
    <t>songyin Liu</t>
  </si>
  <si>
    <t>3531578310@qq.com</t>
  </si>
  <si>
    <t>+971524623836</t>
  </si>
  <si>
    <t>Sally Sally</t>
  </si>
  <si>
    <t>lnvestdubal@163.com</t>
  </si>
  <si>
    <t>+971506328548</t>
  </si>
  <si>
    <t>Mingfeng Wang</t>
  </si>
  <si>
    <t>nancy678@gmail.com</t>
  </si>
  <si>
    <t>+971506444973</t>
  </si>
  <si>
    <t>Yum Liyun</t>
  </si>
  <si>
    <t>413265674@qq.com</t>
  </si>
  <si>
    <t>+971569350808</t>
  </si>
  <si>
    <t>Yolanda Chei</t>
  </si>
  <si>
    <t>yolanda@hotmail.com</t>
  </si>
  <si>
    <t>+97150695-4288</t>
  </si>
  <si>
    <t>Zhang zhonggang</t>
  </si>
  <si>
    <t>cathyliu@mailme.ae</t>
  </si>
  <si>
    <t>+971506568032</t>
  </si>
  <si>
    <t>Bill Bill</t>
  </si>
  <si>
    <t>ghgcb@hh.ua</t>
  </si>
  <si>
    <t>+589566-9283</t>
  </si>
  <si>
    <t>Wang Zhu</t>
  </si>
  <si>
    <t>cheneyzhu@9mail.com</t>
  </si>
  <si>
    <t>+4407454434656</t>
  </si>
  <si>
    <t>Yusaf Akyol</t>
  </si>
  <si>
    <t>vusurrahman@gmaiL.com</t>
  </si>
  <si>
    <t>+9005318951328</t>
  </si>
  <si>
    <t>Stephanie Zhang</t>
  </si>
  <si>
    <t>stephaniezhangunnc@gmail.com</t>
  </si>
  <si>
    <t>JiaMa</t>
  </si>
  <si>
    <t>juson728613@gmail.com</t>
  </si>
  <si>
    <t>+97156866258</t>
  </si>
  <si>
    <t>jenny.z@orientalwisedubai.com</t>
  </si>
  <si>
    <t>Xu Ming</t>
  </si>
  <si>
    <t>minglico@emirates.net.ae</t>
  </si>
  <si>
    <t>+971506524508</t>
  </si>
  <si>
    <t>+971569179628</t>
  </si>
  <si>
    <t>Ming Xu</t>
  </si>
  <si>
    <t>+971506524 508</t>
  </si>
  <si>
    <t>Oiuyue Wang</t>
  </si>
  <si>
    <t>407503289@qq.com</t>
  </si>
  <si>
    <t>+971566786594</t>
  </si>
  <si>
    <t>Lahoei Lahoei</t>
  </si>
  <si>
    <t>mmllcehon@gmail.com</t>
  </si>
  <si>
    <t>+971557455776</t>
  </si>
  <si>
    <t>Sunny Qui</t>
  </si>
  <si>
    <t>rlduba12018@gmaiLcom</t>
  </si>
  <si>
    <t>+971555654312</t>
  </si>
  <si>
    <t>Zhuchem Chen</t>
  </si>
  <si>
    <t>510343591@qq com</t>
  </si>
  <si>
    <t>Louisa Lan</t>
  </si>
  <si>
    <t>louisa741109@gmail.com</t>
  </si>
  <si>
    <t>+971504547380</t>
  </si>
  <si>
    <t>Yan Yan</t>
  </si>
  <si>
    <t>malicatocathy2006@gmail.com</t>
  </si>
  <si>
    <t>+9715018610000</t>
  </si>
  <si>
    <t>Hui wang</t>
  </si>
  <si>
    <t>wanghuiw@hotmail.com</t>
  </si>
  <si>
    <t>+8613829603539</t>
  </si>
  <si>
    <t>Luxing Chen</t>
  </si>
  <si>
    <t>changninglucy@163.com</t>
  </si>
  <si>
    <t>+971562546469</t>
  </si>
  <si>
    <t>Xiangrong Hua</t>
  </si>
  <si>
    <t>huax1angron9824@gmail.com</t>
  </si>
  <si>
    <t>+971502462888</t>
  </si>
  <si>
    <t>Angel Li</t>
  </si>
  <si>
    <t>angel@botongroup.com</t>
  </si>
  <si>
    <t>+8618165568147</t>
  </si>
  <si>
    <t xml:space="preserve">Wenhui Wan </t>
  </si>
  <si>
    <t>uaewan@gmail.com</t>
  </si>
  <si>
    <t>+971507158906</t>
  </si>
  <si>
    <t>Deng Zhaojun</t>
  </si>
  <si>
    <t>jess1caden92013@gmail.com</t>
  </si>
  <si>
    <t>+971528099098</t>
  </si>
  <si>
    <t>Anna Du</t>
  </si>
  <si>
    <t>duanna312@gmail.com</t>
  </si>
  <si>
    <t>+971564033709</t>
  </si>
  <si>
    <t>Li Hao</t>
  </si>
  <si>
    <t>elainelfk@gmail.com</t>
  </si>
  <si>
    <t>+971585886113</t>
  </si>
  <si>
    <t>Zhao Jinguang</t>
  </si>
  <si>
    <t>zhao1986abc@hotmail.com</t>
  </si>
  <si>
    <t>+971564084228</t>
  </si>
  <si>
    <t>QiangHao</t>
  </si>
  <si>
    <t>594362443@qq.com</t>
  </si>
  <si>
    <t>+971506781378</t>
  </si>
  <si>
    <t>Tommy Ye</t>
  </si>
  <si>
    <t>8891207@qq.com</t>
  </si>
  <si>
    <t>+971502866388</t>
  </si>
  <si>
    <t>Qlnxiao Ye</t>
  </si>
  <si>
    <t>yeqinxiao@gmail.com</t>
  </si>
  <si>
    <t>+971506281864</t>
  </si>
  <si>
    <t>Min Liu</t>
  </si>
  <si>
    <t>liumin3@cnpcint.com</t>
  </si>
  <si>
    <t>+971504692776</t>
  </si>
  <si>
    <t>Bo wang</t>
  </si>
  <si>
    <t>wb-bb@163.com</t>
  </si>
  <si>
    <t>+971555111890</t>
  </si>
  <si>
    <t>Angela Chen</t>
  </si>
  <si>
    <t>aftcs@hotma1l.com</t>
  </si>
  <si>
    <t>+971506765356</t>
  </si>
  <si>
    <t>Jinmei Hao</t>
  </si>
  <si>
    <t>hao11nmei@hotmall com</t>
  </si>
  <si>
    <t>+971506458949</t>
  </si>
  <si>
    <t>Jerry Wanodi</t>
  </si>
  <si>
    <t>jerry.wanodi@9ma1!.com</t>
  </si>
  <si>
    <t>+971586376719</t>
  </si>
  <si>
    <t>Zhiqiang Chen</t>
  </si>
  <si>
    <t>chenzhiqiang@zzy.cn</t>
  </si>
  <si>
    <t>+8613806033111</t>
  </si>
  <si>
    <t>Shanshan Su</t>
  </si>
  <si>
    <t>datanginternational.dubai@gmail.com</t>
  </si>
  <si>
    <t>+971506515540</t>
  </si>
  <si>
    <t>Yuchi Qin</t>
  </si>
  <si>
    <t>rachelyuch1@163.com</t>
  </si>
  <si>
    <t>+971502752879</t>
  </si>
  <si>
    <t>Dongmei Hou</t>
  </si>
  <si>
    <t>hdmboc@163 com</t>
  </si>
  <si>
    <t>+971551604078</t>
  </si>
  <si>
    <t>Xiaoping XIe</t>
  </si>
  <si>
    <t>feng4503@163 com</t>
  </si>
  <si>
    <t>+971508673696</t>
  </si>
  <si>
    <t>XIe Xiaoping</t>
  </si>
  <si>
    <t>81313396@qq.com</t>
  </si>
  <si>
    <t>Dongxia Li</t>
  </si>
  <si>
    <t>dongxialil8@hotmail.com</t>
  </si>
  <si>
    <t>+971508872218</t>
  </si>
  <si>
    <t>Weichao Wang</t>
  </si>
  <si>
    <t>1banking@126.com</t>
  </si>
  <si>
    <t>+971507769887</t>
  </si>
  <si>
    <t>Jiatong Sun</t>
  </si>
  <si>
    <t>Jiatongsun1013@gmail.com</t>
  </si>
  <si>
    <t>+971523171028</t>
  </si>
  <si>
    <t>Jiangtong Sun</t>
  </si>
  <si>
    <t>sunjiangtong101@gmall.com</t>
  </si>
  <si>
    <t>Yuandong Li</t>
  </si>
  <si>
    <t>flyder@live.cn</t>
  </si>
  <si>
    <t>+971561747818</t>
  </si>
  <si>
    <t>Peng Huang</t>
  </si>
  <si>
    <t>freehp@gmail.com</t>
  </si>
  <si>
    <t>+971508591698</t>
  </si>
  <si>
    <t>Jerry Li</t>
  </si>
  <si>
    <t>lymlee@gmail.com</t>
  </si>
  <si>
    <t>+971529973085</t>
  </si>
  <si>
    <t>Wedding Jiao</t>
  </si>
  <si>
    <t>+971528835168</t>
  </si>
  <si>
    <t>Yuandeng Li</t>
  </si>
  <si>
    <t>Liu Zhende</t>
  </si>
  <si>
    <t>snogulf@yahoo.com</t>
  </si>
  <si>
    <t>+971506588127</t>
  </si>
  <si>
    <t>Shuanglai Wei</t>
  </si>
  <si>
    <t>wsl0218@163.com</t>
  </si>
  <si>
    <t>+971528612641</t>
  </si>
  <si>
    <t>Vivian Zhang</t>
  </si>
  <si>
    <t>sanshenghuo@163.com</t>
  </si>
  <si>
    <t>+971506169665</t>
  </si>
  <si>
    <t>cao yingjie Cao</t>
  </si>
  <si>
    <t>S07769278@qq.com</t>
  </si>
  <si>
    <t>+971506285108</t>
  </si>
  <si>
    <t>Jiang Rui</t>
  </si>
  <si>
    <t>304386524@qq.com</t>
  </si>
  <si>
    <t>+8615810500668</t>
  </si>
  <si>
    <t>Wu Haijun</t>
  </si>
  <si>
    <t>ecosoftshoes@163.com</t>
  </si>
  <si>
    <t>+971556938398</t>
  </si>
  <si>
    <t>Weidong Jiao</t>
  </si>
  <si>
    <t>2523056433@qq com</t>
  </si>
  <si>
    <t>Haijun Wu</t>
  </si>
  <si>
    <t>+971507989709</t>
  </si>
  <si>
    <t>Junqi Li</t>
  </si>
  <si>
    <t>lijunqi@powerchinaintl.com</t>
  </si>
  <si>
    <t>+971589712996</t>
  </si>
  <si>
    <t>Huaheng Zhang</t>
  </si>
  <si>
    <t>greenvillage@126.com</t>
  </si>
  <si>
    <t>+971505445089</t>
  </si>
  <si>
    <t>Mazen Nahawl</t>
  </si>
  <si>
    <t>mazen.nahawi@carma.com</t>
  </si>
  <si>
    <t>+971506285275</t>
  </si>
  <si>
    <t>Shams Sun</t>
  </si>
  <si>
    <t>billsun_63@hotmail.com</t>
  </si>
  <si>
    <t>056) 263-0287</t>
  </si>
  <si>
    <t>Shaohong Lin</t>
  </si>
  <si>
    <t>1140878151@qq.com</t>
  </si>
  <si>
    <t>+863902235732</t>
  </si>
  <si>
    <t>Yingjie Cao</t>
  </si>
  <si>
    <t>807769278@qq.com</t>
  </si>
  <si>
    <t>Abdul Mr</t>
  </si>
  <si>
    <t>noemail@ma1l.com</t>
  </si>
  <si>
    <t>+971561797960</t>
  </si>
  <si>
    <t>Noura Nyassl</t>
  </si>
  <si>
    <t>nouraalyassi@gmail.com</t>
  </si>
  <si>
    <t>+9715413341433</t>
  </si>
  <si>
    <t>Islamic Republic of Iran</t>
  </si>
  <si>
    <t>Alaeddin Bahlawan</t>
  </si>
  <si>
    <t>aldn@bayt.net</t>
  </si>
  <si>
    <t>+971508851945</t>
  </si>
  <si>
    <t>Test Test</t>
  </si>
  <si>
    <t>Mr. Kamal</t>
  </si>
  <si>
    <t>+9114699996664</t>
  </si>
  <si>
    <t>Abu Ammar</t>
  </si>
  <si>
    <t>+966555710330</t>
  </si>
  <si>
    <t>Saif Shams</t>
  </si>
  <si>
    <t>saif.sham@gmail.com</t>
  </si>
  <si>
    <t>+17033008516</t>
  </si>
  <si>
    <t>Jabbar Padiyath</t>
  </si>
  <si>
    <t>jabbar.pm@hotmail.com</t>
  </si>
  <si>
    <t>+971506763713</t>
  </si>
  <si>
    <t>Karki Karki</t>
  </si>
  <si>
    <t>karki@gmail.com</t>
  </si>
  <si>
    <t>+977985020785</t>
  </si>
  <si>
    <t>Mostafa Soban</t>
  </si>
  <si>
    <t>info@dragonsweater.net</t>
  </si>
  <si>
    <t>Elvis Ashaljh</t>
  </si>
  <si>
    <t>ashajh21@naver.com</t>
  </si>
  <si>
    <t>+495774189</t>
  </si>
  <si>
    <t>Mohammed Pouataher</t>
  </si>
  <si>
    <t>+971564881593</t>
  </si>
  <si>
    <t>+97155508685</t>
  </si>
  <si>
    <t>Faten Awliaa</t>
  </si>
  <si>
    <t>fatenawliaa@hotmail.com</t>
  </si>
  <si>
    <t>Kevon Foster</t>
  </si>
  <si>
    <t>kevonfoster@Yahoo.com</t>
  </si>
  <si>
    <t>+14038905901</t>
  </si>
  <si>
    <t>Urited States</t>
  </si>
  <si>
    <t>Haleemudin Mohammad</t>
  </si>
  <si>
    <t>haleemuddin.mohammad@yahoo.com</t>
  </si>
  <si>
    <t>+971528754321</t>
  </si>
  <si>
    <t>Mohsin L</t>
  </si>
  <si>
    <t>+919849049496</t>
  </si>
  <si>
    <t>Mohammed Saeed</t>
  </si>
  <si>
    <t>info@etiquetteevent.com</t>
  </si>
  <si>
    <t>Atizhan Nurapin</t>
  </si>
  <si>
    <t>nurapin23@gmail.com</t>
  </si>
  <si>
    <t>+7702000230</t>
  </si>
  <si>
    <t>Rachid Takla Takla</t>
  </si>
  <si>
    <t>njhbg@</t>
  </si>
  <si>
    <t>Evgenia Ms</t>
  </si>
  <si>
    <t>+77470546046</t>
  </si>
  <si>
    <t>Ayman A</t>
  </si>
  <si>
    <t>vhfn@y.eg</t>
  </si>
  <si>
    <t>+966541575687</t>
  </si>
  <si>
    <t>Sj Smith</t>
  </si>
  <si>
    <t>sj_smith@live.co.uk</t>
  </si>
  <si>
    <t>Saber Al Ammari</t>
  </si>
  <si>
    <t>saber.alamari@hotmail.com</t>
  </si>
  <si>
    <t>+971504543321</t>
  </si>
  <si>
    <t>sUVI</t>
  </si>
  <si>
    <t>Zhang King Yao</t>
  </si>
  <si>
    <t>sweetzly@hotmail.com</t>
  </si>
  <si>
    <t>+971522307501</t>
  </si>
  <si>
    <t>Wang ChuanLing</t>
  </si>
  <si>
    <t>342879065@qq com</t>
  </si>
  <si>
    <t>+971527482666</t>
  </si>
  <si>
    <t>Chna</t>
  </si>
  <si>
    <t>Yusuf Rahman</t>
  </si>
  <si>
    <t>+9715318951328</t>
  </si>
  <si>
    <t>Kim Ley</t>
  </si>
  <si>
    <t>leyyune@gmall.com</t>
  </si>
  <si>
    <t>+971527118588</t>
  </si>
  <si>
    <t>Nasar Nasar</t>
  </si>
  <si>
    <t>nasar@gnhco.com</t>
  </si>
  <si>
    <t>+971522461966</t>
  </si>
  <si>
    <t>SUVI</t>
  </si>
  <si>
    <t>Shah Zambia</t>
  </si>
  <si>
    <t>zamin@barari.ae</t>
  </si>
  <si>
    <t>+971526422680</t>
  </si>
  <si>
    <t>Pakistan</t>
  </si>
  <si>
    <t>Nasir Ali</t>
  </si>
  <si>
    <t>naslrall@aup.edu.pk</t>
  </si>
  <si>
    <t>+97152642-2675</t>
  </si>
  <si>
    <t>Simin Song</t>
  </si>
  <si>
    <t>songsimin8120@gmail.com</t>
  </si>
  <si>
    <t>+971504641689</t>
  </si>
  <si>
    <t>Da Chen</t>
  </si>
  <si>
    <t>forever.cd@163.com</t>
  </si>
  <si>
    <t>+971504220788</t>
  </si>
  <si>
    <t>Du Jingtao</t>
  </si>
  <si>
    <t>379660907@qq.com</t>
  </si>
  <si>
    <t>+971568289872</t>
  </si>
  <si>
    <t>Tingting Lu</t>
  </si>
  <si>
    <t>64695035@qq.com</t>
  </si>
  <si>
    <t>+971556690929</t>
  </si>
  <si>
    <t>Emma Hua</t>
  </si>
  <si>
    <t>birdcolin@gmail.com</t>
  </si>
  <si>
    <t>+971561408888</t>
  </si>
  <si>
    <t>Dawei Gao</t>
  </si>
  <si>
    <t>979016653@qq.com</t>
  </si>
  <si>
    <t>Fahiz Mr</t>
  </si>
  <si>
    <t>+9717000111</t>
  </si>
  <si>
    <t>Aly</t>
  </si>
  <si>
    <t>Patrick P</t>
  </si>
  <si>
    <t>pkw228@nyu.edu</t>
  </si>
  <si>
    <t>+971567798283</t>
  </si>
  <si>
    <t>Janson Huang</t>
  </si>
  <si>
    <t>jason.huang@hotmail.com</t>
  </si>
  <si>
    <t>+255782222214</t>
  </si>
  <si>
    <t>BIsen G</t>
  </si>
  <si>
    <t>h@fj@com</t>
  </si>
  <si>
    <t>+971551532003</t>
  </si>
  <si>
    <t>Bella</t>
  </si>
  <si>
    <t>+971527182469</t>
  </si>
  <si>
    <t>Jasen Jasen</t>
  </si>
  <si>
    <t>notgiven@dubaiproperty.ae</t>
  </si>
  <si>
    <t>+971554186866</t>
  </si>
  <si>
    <t>Amtyaaz</t>
  </si>
  <si>
    <t>ggfhy@hyg.eg</t>
  </si>
  <si>
    <t>+971509408737</t>
  </si>
  <si>
    <t>E A</t>
  </si>
  <si>
    <t>tgh@bbg.eg</t>
  </si>
  <si>
    <t>+971585042052</t>
  </si>
  <si>
    <t>Wei Yan</t>
  </si>
  <si>
    <t>weiyan1@gmail.com</t>
  </si>
  <si>
    <t>Yang</t>
  </si>
  <si>
    <t>+971563145287</t>
  </si>
  <si>
    <t>Lilei L</t>
  </si>
  <si>
    <t>706970068@qq.com</t>
  </si>
  <si>
    <t>+8613428758809</t>
  </si>
  <si>
    <t>Hero A</t>
  </si>
  <si>
    <t>heromok@foxmail.com</t>
  </si>
  <si>
    <t>+971552340642</t>
  </si>
  <si>
    <t>Eric Hai</t>
  </si>
  <si>
    <t>wiscoshihai@163.com</t>
  </si>
  <si>
    <t>Yu XU</t>
  </si>
  <si>
    <t>senoan@mail.com</t>
  </si>
  <si>
    <t>+8679685218098</t>
  </si>
  <si>
    <t>David Ly</t>
  </si>
  <si>
    <t>lydavid@hotmail.com</t>
  </si>
  <si>
    <t>+971561216799</t>
  </si>
  <si>
    <t>szwi@zpec.com</t>
  </si>
  <si>
    <t>+971555543217</t>
  </si>
  <si>
    <t>Juan Zou</t>
  </si>
  <si>
    <t>Qinxiao Ye</t>
  </si>
  <si>
    <t>yeqinxia@gmail.com</t>
  </si>
  <si>
    <t>Summer Xiao</t>
  </si>
  <si>
    <t>Xiaochun Liu</t>
  </si>
  <si>
    <t>xiaochunliu@126.com</t>
  </si>
  <si>
    <t>+8613552569862</t>
  </si>
  <si>
    <t>James Harris</t>
  </si>
  <si>
    <t>jzharris69@gmail.com</t>
  </si>
  <si>
    <t>+17035096572</t>
  </si>
  <si>
    <t>Ahmed Albastaki</t>
  </si>
  <si>
    <t>a·albastakJ 86@outlook.com</t>
  </si>
  <si>
    <t>William Bendfeldt</t>
  </si>
  <si>
    <t>willy_bend@hotmail.com</t>
  </si>
  <si>
    <t>+971501190673</t>
  </si>
  <si>
    <t>OniOni</t>
  </si>
  <si>
    <t>llllll@mail.ru</t>
  </si>
  <si>
    <t>+4176867106</t>
  </si>
  <si>
    <t>Sara Al Abdulla</t>
  </si>
  <si>
    <t>+14045805185</t>
  </si>
  <si>
    <t>Bari Bari</t>
  </si>
  <si>
    <t>lllllllllll@mall.ru</t>
  </si>
  <si>
    <t>+971547418969</t>
  </si>
  <si>
    <t>Mohamed Shteawi</t>
  </si>
  <si>
    <t>shteawi@yahoo.com</t>
  </si>
  <si>
    <t>+971562542856</t>
  </si>
  <si>
    <t>Janexzhu Janexzhu</t>
  </si>
  <si>
    <t>janxzhu@gmall.com</t>
  </si>
  <si>
    <t>Darren Spindler</t>
  </si>
  <si>
    <t>business@familyfizz.tv</t>
  </si>
  <si>
    <t>+971585146048</t>
  </si>
  <si>
    <t>Halim Elsaad1</t>
  </si>
  <si>
    <t>helsaadi@gmail.com</t>
  </si>
  <si>
    <t>+12489822772</t>
  </si>
  <si>
    <t>Mohammed Mr</t>
  </si>
  <si>
    <t>noemall@mail.com</t>
  </si>
  <si>
    <t>+16513661874</t>
  </si>
  <si>
    <t>Navved Siddiqi</t>
  </si>
  <si>
    <t>+17277773837</t>
  </si>
  <si>
    <t>Nick ghajar ghajar</t>
  </si>
  <si>
    <t>n.ghajar@olayagroup.com</t>
  </si>
  <si>
    <t>+971548810487</t>
  </si>
  <si>
    <t>Karina Mohan</t>
  </si>
  <si>
    <t>gasineika@mail.ru</t>
  </si>
  <si>
    <t>+447988612239</t>
  </si>
  <si>
    <t>Hadie Rifai</t>
  </si>
  <si>
    <t>ameinainc@gmail.com</t>
  </si>
  <si>
    <t>+97152467167</t>
  </si>
  <si>
    <t>Samer Yakhlef</t>
  </si>
  <si>
    <t>jetsamer@yahoo.com</t>
  </si>
  <si>
    <t>+9552340500</t>
  </si>
  <si>
    <t>Bryan Gordon</t>
  </si>
  <si>
    <t>bbgordon10644@gmail.com</t>
  </si>
  <si>
    <t>+971508363434</t>
  </si>
  <si>
    <t>Mary Tannous</t>
  </si>
  <si>
    <t>marygtannous@gmail.com</t>
  </si>
  <si>
    <t>+971528940089</t>
  </si>
  <si>
    <t>Marc Rafeld</t>
  </si>
  <si>
    <t>marc.rafeld@gmail.com</t>
  </si>
  <si>
    <t>+17023718774</t>
  </si>
  <si>
    <t>Tony Stark</t>
  </si>
  <si>
    <t>badge700@hotmail.com</t>
  </si>
  <si>
    <t>salim Darwish</t>
  </si>
  <si>
    <t>salim.darwish@me.com</t>
  </si>
  <si>
    <t>+971567070881</t>
  </si>
  <si>
    <t>Marlam Ajala</t>
  </si>
  <si>
    <t>yetty82@aol.com</t>
  </si>
  <si>
    <t>+13475392309</t>
  </si>
  <si>
    <t>Franco Semeraro</t>
  </si>
  <si>
    <t>fsemeraro67@gmail.com</t>
  </si>
  <si>
    <t>Martin Spethman</t>
  </si>
  <si>
    <t>mspethman@globalizationpartners.com</t>
  </si>
  <si>
    <t>+17032862193</t>
  </si>
  <si>
    <t>Hasn Salem Alsakklaf</t>
  </si>
  <si>
    <t>+966555640765</t>
  </si>
  <si>
    <t>Ivan Popov</t>
  </si>
  <si>
    <t>blackconsul@tutamail.com</t>
  </si>
  <si>
    <t>+919755455786</t>
  </si>
  <si>
    <t>Abdullah Abdul</t>
  </si>
  <si>
    <t>abad3-054@hotmail.com</t>
  </si>
  <si>
    <t>Charchal K</t>
  </si>
  <si>
    <t>+919755155786</t>
  </si>
  <si>
    <t>Already jessica's client</t>
  </si>
  <si>
    <t>Christian Delva</t>
  </si>
  <si>
    <t>christian.delva@laposte.net</t>
  </si>
  <si>
    <t>Greg Napier</t>
  </si>
  <si>
    <t>+447455099012</t>
  </si>
  <si>
    <t>Ben Gonzelez</t>
  </si>
  <si>
    <t>bgonzals@hotmail.com</t>
  </si>
  <si>
    <t>+971502976313</t>
  </si>
  <si>
    <t>Noura Alyassi</t>
  </si>
  <si>
    <t>+971543341433</t>
  </si>
  <si>
    <t>Rasha Ammad</t>
  </si>
  <si>
    <t>rashaahmadd@gmail.com</t>
  </si>
  <si>
    <t>+971557173752</t>
  </si>
  <si>
    <t>Yaqoob Mr</t>
  </si>
  <si>
    <t>+971503113929</t>
  </si>
  <si>
    <t>Rashid Mr</t>
  </si>
  <si>
    <t>+971509331933</t>
  </si>
  <si>
    <t>Mohamed Mohammed</t>
  </si>
  <si>
    <t>menabassily@dp.ae</t>
  </si>
  <si>
    <t>+966556693935</t>
  </si>
  <si>
    <t>Abdul Aziz</t>
  </si>
  <si>
    <t>+96656890088</t>
  </si>
  <si>
    <t>abdullah non</t>
  </si>
  <si>
    <t>+971556666863</t>
  </si>
  <si>
    <t>Khaled Alhosani</t>
  </si>
  <si>
    <t>jaz.rawy6@gmail.com</t>
  </si>
  <si>
    <t>+971504440337</t>
  </si>
  <si>
    <t>Abdalla Alshamsi</t>
  </si>
  <si>
    <t>abdalla.a.alnorman@gmail.com</t>
  </si>
  <si>
    <t>+971506311166</t>
  </si>
  <si>
    <t>Abood Alayassi</t>
  </si>
  <si>
    <t>h00350179@hct.ac.ae</t>
  </si>
  <si>
    <t>+971509654400</t>
  </si>
  <si>
    <t>mhbb@em.eg</t>
  </si>
  <si>
    <t>+971564000524</t>
  </si>
  <si>
    <t>Yosef Yosef</t>
  </si>
  <si>
    <t>+971564008123</t>
  </si>
  <si>
    <t>Mohamed Alali</t>
  </si>
  <si>
    <t>bohazza04@gmail.com</t>
  </si>
  <si>
    <t>+971559462222</t>
  </si>
  <si>
    <t>+971558887574</t>
  </si>
  <si>
    <t>Habibi H</t>
  </si>
  <si>
    <t>manoj@skmetalgroup.com</t>
  </si>
  <si>
    <t>+971507211566</t>
  </si>
  <si>
    <t>Manoj Solanski</t>
  </si>
  <si>
    <t>+971529115757</t>
  </si>
  <si>
    <t>Khalid K</t>
  </si>
  <si>
    <t>+971505645444</t>
  </si>
  <si>
    <t>Abdullah Mr.</t>
  </si>
  <si>
    <t>asn.ksa@gmail.com</t>
  </si>
  <si>
    <t>Salah Al Kndi</t>
  </si>
  <si>
    <t>salah3390@hotmail.com</t>
  </si>
  <si>
    <t>+97150643-4244</t>
  </si>
  <si>
    <t>Ahmed A</t>
  </si>
  <si>
    <t>+97155244-5388</t>
  </si>
  <si>
    <t>Ahmed Mr</t>
  </si>
  <si>
    <t>noemail29@gmail.com</t>
  </si>
  <si>
    <t>Salem Al Kady</t>
  </si>
  <si>
    <t>mnnh@err.eg</t>
  </si>
  <si>
    <t>+97150643-0413</t>
  </si>
  <si>
    <t>Laith Al Janabi</t>
  </si>
  <si>
    <t>aljanabi.laith@gmail.com</t>
  </si>
  <si>
    <t>Um Zayed Um Zayed</t>
  </si>
  <si>
    <t>Sami Sami</t>
  </si>
  <si>
    <t>llllllllll@mail.ru</t>
  </si>
  <si>
    <t>+97150192-7394</t>
  </si>
  <si>
    <t>Self Seif</t>
  </si>
  <si>
    <t>saif1800@eim.ae</t>
  </si>
  <si>
    <t>+97150625-4581</t>
  </si>
  <si>
    <t>Waleed A</t>
  </si>
  <si>
    <t>Fahad Alameri</t>
  </si>
  <si>
    <t>Ibragim Ibragim</t>
  </si>
  <si>
    <t>+971556818555</t>
  </si>
  <si>
    <t>Badir Badir</t>
  </si>
  <si>
    <t>Mohamed Emarati</t>
  </si>
  <si>
    <t>+971509900492</t>
  </si>
  <si>
    <t>Aisha Aisha</t>
  </si>
  <si>
    <t>+971558519528</t>
  </si>
  <si>
    <t>Amira Amira</t>
  </si>
  <si>
    <t>+971507410033</t>
  </si>
  <si>
    <t>Saud Al qabi</t>
  </si>
  <si>
    <t>+97150330-5499</t>
  </si>
  <si>
    <t>Adel Mr</t>
  </si>
  <si>
    <t>+97155666-2254</t>
  </si>
  <si>
    <t>amaawwadi@hotmail.com</t>
  </si>
  <si>
    <t>+97155486-2628</t>
  </si>
  <si>
    <t>Khalifa Aboqaish</t>
  </si>
  <si>
    <t>wizbuqaish@gmail.com</t>
  </si>
  <si>
    <t>+97155211-1563</t>
  </si>
  <si>
    <t>ahmed@gmail.com</t>
  </si>
  <si>
    <t>+97155597-5795</t>
  </si>
  <si>
    <t>Raghubir batra</t>
  </si>
  <si>
    <t>raghubir@turnerridgeintl.com</t>
  </si>
  <si>
    <t>+97150284-4735</t>
  </si>
  <si>
    <t>Mana Al Maktoum</t>
  </si>
  <si>
    <t>Haytham Alamerf</t>
  </si>
  <si>
    <t>saaamire@hotmall.com</t>
  </si>
  <si>
    <t>+97156491-1140</t>
  </si>
  <si>
    <t>Abdullah Mr</t>
  </si>
  <si>
    <t>abdullah.uae@hotmail.com</t>
  </si>
  <si>
    <t>+97150000-0000</t>
  </si>
  <si>
    <t>Awad Bin karam</t>
  </si>
  <si>
    <t>notgiven@dubalproperty.ae</t>
  </si>
  <si>
    <t>+97150440-4080</t>
  </si>
  <si>
    <t>Rashid T</t>
  </si>
  <si>
    <t>+97150618-8788</t>
  </si>
  <si>
    <t>Jasim J</t>
  </si>
  <si>
    <t>jasim-191-@hotmalf.com</t>
  </si>
  <si>
    <t>+97150199-7672</t>
  </si>
  <si>
    <t>Musabbah AJ qaiz J</t>
  </si>
  <si>
    <t>musabbah@me.com</t>
  </si>
  <si>
    <t>Mariam abdulrahman</t>
  </si>
  <si>
    <t>mariam_alnuaimi@live.com</t>
  </si>
  <si>
    <t>Mubark A</t>
  </si>
  <si>
    <t>malkhyeli4262@gmail.com</t>
  </si>
  <si>
    <t>+97150830-4555</t>
  </si>
  <si>
    <t>Hanan Al Suwaidi</t>
  </si>
  <si>
    <t>hanan.alsuwaidi@gmail.com</t>
  </si>
  <si>
    <t>+97150652-2747</t>
  </si>
  <si>
    <t>Ali AIShaali</t>
  </si>
  <si>
    <t>alialshaali@yahoo.com</t>
  </si>
  <si>
    <t>+97150456-8858</t>
  </si>
  <si>
    <t>Suhail Arjomand</t>
  </si>
  <si>
    <t>suhail-89@llve.com</t>
  </si>
  <si>
    <t>+97150411-1808</t>
  </si>
  <si>
    <t>Mohamed Darwish</t>
  </si>
  <si>
    <t>mohamed9229@hotmail.com</t>
  </si>
  <si>
    <t>+97150247-7444</t>
  </si>
  <si>
    <t>Khallfa Almarzooql</t>
  </si>
  <si>
    <t>+97150666-4641</t>
  </si>
  <si>
    <t>Khalid Metwali</t>
  </si>
  <si>
    <t>khalid.metwalli@azhd.ae</t>
  </si>
  <si>
    <t>+97156567-0666</t>
  </si>
  <si>
    <t>Omar Mr</t>
  </si>
  <si>
    <t>noemail@gmail.com</t>
  </si>
  <si>
    <t>+97150788-0655</t>
  </si>
  <si>
    <t>Yahya Y</t>
  </si>
  <si>
    <t>hhtt@eg.com</t>
  </si>
  <si>
    <t>+9659744-4418</t>
  </si>
  <si>
    <t>Adam A</t>
  </si>
  <si>
    <t>aoam.mukhayer@gmail.com</t>
  </si>
  <si>
    <t>+97150442-0192</t>
  </si>
  <si>
    <t>Omar Alameri</t>
  </si>
  <si>
    <t>omaralameri@gmail.com</t>
  </si>
  <si>
    <t>+97150449-9896</t>
  </si>
  <si>
    <t>Abdurahman Karamastajl</t>
  </si>
  <si>
    <t>+97150622-9995</t>
  </si>
  <si>
    <t>Ali Alhosani</t>
  </si>
  <si>
    <t>+97150622-2821</t>
  </si>
  <si>
    <t>Abu Salam Salam</t>
  </si>
  <si>
    <t>abusalam@gmail.com</t>
  </si>
  <si>
    <t>+971509080807</t>
  </si>
  <si>
    <t>Abbas A</t>
  </si>
  <si>
    <t>shgdjd@e.eg</t>
  </si>
  <si>
    <t>+44792533-3587</t>
  </si>
  <si>
    <t>Abdulwahid Mohammad</t>
  </si>
  <si>
    <t>ashowany@gmail.com</t>
  </si>
  <si>
    <t>+44790969-6656</t>
  </si>
  <si>
    <t>Adam Dearden</t>
  </si>
  <si>
    <t>dearden_19593@hotmail.com</t>
  </si>
  <si>
    <t>+44779131-9849</t>
  </si>
  <si>
    <t>Adnan</t>
  </si>
  <si>
    <t>+97150366-4924</t>
  </si>
  <si>
    <t>Ahmed Ajina</t>
  </si>
  <si>
    <t>ahmed.ajina@seddons.co.uk</t>
  </si>
  <si>
    <t>+44796686-4109</t>
  </si>
  <si>
    <t>Alan Rutherford</t>
  </si>
  <si>
    <t>alanrutherford1974@gmail.com</t>
  </si>
  <si>
    <t>+440798497-6030</t>
  </si>
  <si>
    <t>Alban Fridenberg</t>
  </si>
  <si>
    <t>luxury@fridenbergs.be</t>
  </si>
  <si>
    <t>+3206565-3473</t>
  </si>
  <si>
    <t>Alex Williams</t>
  </si>
  <si>
    <t>youngtribez@hotmail.com</t>
  </si>
  <si>
    <t>+44775775-8328</t>
  </si>
  <si>
    <t>Ali Ramzi</t>
  </si>
  <si>
    <t>Aliramzi@gmail.com</t>
  </si>
  <si>
    <t>+44753003-3330</t>
  </si>
  <si>
    <t>Amir Amir</t>
  </si>
  <si>
    <t>+44781050-4994</t>
  </si>
  <si>
    <t>Amiz Zahra</t>
  </si>
  <si>
    <t>ikyzahra@gmail.com</t>
  </si>
  <si>
    <t>+44788695-9373</t>
  </si>
  <si>
    <t>Andy Pidgen</t>
  </si>
  <si>
    <t>rtrty@gmail.com</t>
  </si>
  <si>
    <t>+44795639-1171</t>
  </si>
  <si>
    <t>Anni A</t>
  </si>
  <si>
    <t>njh@r.eg</t>
  </si>
  <si>
    <t>+44777256-6574</t>
  </si>
  <si>
    <t>Dummy H</t>
  </si>
  <si>
    <t>dummy@d.ae</t>
  </si>
  <si>
    <t>+21360123446</t>
  </si>
  <si>
    <t>Abdelmoumene selloum</t>
  </si>
  <si>
    <t>abdou.selloum@yahoo.fr</t>
  </si>
  <si>
    <t>+213553381330</t>
  </si>
  <si>
    <t>Hamad Alaydaroos</t>
  </si>
  <si>
    <t>h-h-t-a-a@hotmall.com</t>
  </si>
  <si>
    <t>+97150884455</t>
  </si>
  <si>
    <t>Zeeno Zeeno</t>
  </si>
  <si>
    <t>+0528383440</t>
  </si>
  <si>
    <t>Yassin Mohamed Yaserq</t>
  </si>
  <si>
    <t>bnjb@mn.eg</t>
  </si>
  <si>
    <t>+212661362434</t>
  </si>
  <si>
    <t>Nasser O</t>
  </si>
  <si>
    <t>gaislnelka@mail.ru</t>
  </si>
  <si>
    <t>+971506623652</t>
  </si>
  <si>
    <t>Murad Kios</t>
  </si>
  <si>
    <t>+971552447724</t>
  </si>
  <si>
    <t>Moussa Dawoud</t>
  </si>
  <si>
    <t>yadaoud@gmall.com</t>
  </si>
  <si>
    <t>+213699678120</t>
  </si>
  <si>
    <t>Ousama Benamraoui</t>
  </si>
  <si>
    <t>oussama comun@Yahoo.com</t>
  </si>
  <si>
    <t>+971566091290</t>
  </si>
  <si>
    <t>Dodi No</t>
  </si>
  <si>
    <t>+14042002422</t>
  </si>
  <si>
    <t>Trgima Owens</t>
  </si>
  <si>
    <t>genie-1121@yahoo.com</t>
  </si>
  <si>
    <t>+16506311089</t>
  </si>
  <si>
    <t>Nizar No</t>
  </si>
  <si>
    <t>+971505061573</t>
  </si>
  <si>
    <t>Mariam N</t>
  </si>
  <si>
    <t>mrs.elbar@gmail.com</t>
  </si>
  <si>
    <t>Hayk Mkhitaryan</t>
  </si>
  <si>
    <t>info@mpwood.am</t>
  </si>
  <si>
    <t>+37496088000</t>
  </si>
  <si>
    <t>Garo Matossian</t>
  </si>
  <si>
    <t>gmatossian@groupebel.com</t>
  </si>
  <si>
    <t>+971554706500</t>
  </si>
  <si>
    <t>Gray Anait</t>
  </si>
  <si>
    <t>grayanait@yandex.ru</t>
  </si>
  <si>
    <t>+971509252589</t>
  </si>
  <si>
    <t>Rafi Rafi</t>
  </si>
  <si>
    <t>nbhg@ui.eg</t>
  </si>
  <si>
    <t>+971568366750</t>
  </si>
  <si>
    <t>Anzhellka Khachatryan</t>
  </si>
  <si>
    <t>info@acger.am</t>
  </si>
  <si>
    <t>+37498773030</t>
  </si>
  <si>
    <t>lrmako M</t>
  </si>
  <si>
    <t>irmako.777@mail.ru</t>
  </si>
  <si>
    <t>Henna Ism</t>
  </si>
  <si>
    <t>+971507089391</t>
  </si>
  <si>
    <t>Ross Rolle</t>
  </si>
  <si>
    <t>lucky2_ross@yahoo.com</t>
  </si>
  <si>
    <t>Anar Abbasov</t>
  </si>
  <si>
    <t>anarabb@hotmail.com</t>
  </si>
  <si>
    <t>+944503263400</t>
  </si>
  <si>
    <t>Khalid Khadem</t>
  </si>
  <si>
    <t>Khaled@mamgroup.ae</t>
  </si>
  <si>
    <t>+9719463636</t>
  </si>
  <si>
    <t>Yahia Mr</t>
  </si>
  <si>
    <t>+966503689001</t>
  </si>
  <si>
    <t>Nazieb Bies</t>
  </si>
  <si>
    <t>naziebubles@hotmail.com</t>
  </si>
  <si>
    <t>+971506508808</t>
  </si>
  <si>
    <t>Hadeel Aluwaywy</t>
  </si>
  <si>
    <t>hadeel.alu@gmail.com</t>
  </si>
  <si>
    <t>+971586340443</t>
  </si>
  <si>
    <t>Omar Hajsaleh</t>
  </si>
  <si>
    <t>ohhjsa@amazon.com</t>
  </si>
  <si>
    <t>+966548000099</t>
  </si>
  <si>
    <t>Amal Yousif</t>
  </si>
  <si>
    <t>blessi@ashrafs.com.bh</t>
  </si>
  <si>
    <t>+97339665553</t>
  </si>
  <si>
    <t>200 3-13-2019</t>
  </si>
  <si>
    <t>Ibrahim Nafea</t>
  </si>
  <si>
    <t>hemoo_10@hotmail.com</t>
  </si>
  <si>
    <t>Salman Alkhalifa</t>
  </si>
  <si>
    <t>salmanal.khalifa@hotmail.com</t>
  </si>
  <si>
    <t>+97333333797</t>
  </si>
  <si>
    <t xml:space="preserve">Basim B </t>
  </si>
  <si>
    <t>bas_5963@yahoo.com</t>
  </si>
  <si>
    <t>+97339911744</t>
  </si>
  <si>
    <t>Haytham Abdu</t>
  </si>
  <si>
    <t>haytham.abdulkhaleq@ikkgroup.com</t>
  </si>
  <si>
    <t xml:space="preserve">Megeshi Ni </t>
  </si>
  <si>
    <t>megeshi.archary@chep.com</t>
  </si>
  <si>
    <t>+971566443848</t>
  </si>
  <si>
    <t>Hamid Bolord</t>
  </si>
  <si>
    <t>no@no.com</t>
  </si>
  <si>
    <t>+447782318733</t>
  </si>
  <si>
    <t>Test Test 1</t>
  </si>
  <si>
    <t>+97155846931</t>
  </si>
  <si>
    <t>+1644014697</t>
  </si>
  <si>
    <t>Division A</t>
  </si>
  <si>
    <t>am.newdivision@gmail.com</t>
  </si>
  <si>
    <t>+971569304200</t>
  </si>
  <si>
    <t>Dominik Mr</t>
  </si>
  <si>
    <t>+420606082053</t>
  </si>
  <si>
    <t>Bano Vicnin</t>
  </si>
  <si>
    <t>banovicnina@gmail.com</t>
  </si>
  <si>
    <t>Mitja Bankovic</t>
  </si>
  <si>
    <t>mitja.bankovic@gmail.com</t>
  </si>
  <si>
    <t>+971521028164</t>
  </si>
  <si>
    <t>Alameldin Fawi Abdu</t>
  </si>
  <si>
    <t>bluenile@tdcadsl.dk</t>
  </si>
  <si>
    <t>Arnoud Griffoen</t>
  </si>
  <si>
    <t>arnoud.griffoen@gmail.com</t>
  </si>
  <si>
    <t>Micheal Micheal</t>
  </si>
  <si>
    <t>micheal@gmail.com</t>
  </si>
  <si>
    <t>+4527207808</t>
  </si>
  <si>
    <t>Thomas Rodenberg</t>
  </si>
  <si>
    <t>thomas@raoon.dk</t>
  </si>
  <si>
    <t>+4522249601</t>
  </si>
  <si>
    <t>Wael Kassem</t>
  </si>
  <si>
    <t>w-k@mail.com</t>
  </si>
  <si>
    <t>+4542800800</t>
  </si>
  <si>
    <t>Mads Winther</t>
  </si>
  <si>
    <t>mads@mwnet.dk</t>
  </si>
  <si>
    <t>+1585847171</t>
  </si>
  <si>
    <t>Javier Bonnet</t>
  </si>
  <si>
    <t>javier.bonnet@grupobonet.com</t>
  </si>
  <si>
    <t>+18098550101</t>
  </si>
  <si>
    <t>Marek Edris</t>
  </si>
  <si>
    <t>marek.edris@seznam.cz</t>
  </si>
  <si>
    <t>+77777799400</t>
  </si>
  <si>
    <t>Weiss Weiss</t>
  </si>
  <si>
    <t>gghh@lo.mo</t>
  </si>
  <si>
    <t>+420776802238</t>
  </si>
  <si>
    <t>Vlad V</t>
  </si>
  <si>
    <t>+380687777717</t>
  </si>
  <si>
    <t>Betina Moe</t>
  </si>
  <si>
    <t>betinalivmoe@gmail.com</t>
  </si>
  <si>
    <t>Tiga A</t>
  </si>
  <si>
    <t>tigistre@yahoo.com</t>
  </si>
  <si>
    <t>Ina Vallarino</t>
  </si>
  <si>
    <t>inavallarino@gmail.com</t>
  </si>
  <si>
    <t>+971502868632</t>
  </si>
  <si>
    <t>Ahmed Mohammad</t>
  </si>
  <si>
    <t>ahmed.asn68@gmail.com</t>
  </si>
  <si>
    <t>Abdelrahman Mr</t>
  </si>
  <si>
    <t>Noha Mr</t>
  </si>
  <si>
    <t>nkhater_md@yahoo.com</t>
  </si>
  <si>
    <t>Ahmed Refaat</t>
  </si>
  <si>
    <t>ahmed_refaat@savencia.com</t>
  </si>
  <si>
    <t>+2034630375</t>
  </si>
  <si>
    <t>Ahmed Effat</t>
  </si>
  <si>
    <t>emailahmed@yahoo.com</t>
  </si>
  <si>
    <t>Mosef You</t>
  </si>
  <si>
    <t>yousef@ramassidetours.com</t>
  </si>
  <si>
    <t>Ahmed Herzallah</t>
  </si>
  <si>
    <t>ahroshdy1@yahoo.com</t>
  </si>
  <si>
    <t>+966565686363</t>
  </si>
  <si>
    <t>Mohammed M</t>
  </si>
  <si>
    <t>noemail35@mail.ru</t>
  </si>
  <si>
    <t>+971567151804</t>
  </si>
  <si>
    <t>Moustafa Zaitaoun</t>
  </si>
  <si>
    <t>mostafazaitoun@gmail.com</t>
  </si>
  <si>
    <t>+201014001600</t>
  </si>
  <si>
    <t>Amr Almohamadi</t>
  </si>
  <si>
    <t>amr.almohamad@gmail.com</t>
  </si>
  <si>
    <t>+966541234580</t>
  </si>
  <si>
    <t>Ali Zohre Ali</t>
  </si>
  <si>
    <t>m.ali.zohary@gmail.com</t>
  </si>
  <si>
    <t>+971564444044</t>
  </si>
  <si>
    <t>Akram Saudi</t>
  </si>
  <si>
    <t>a.akram.soudi@yahoo.com</t>
  </si>
  <si>
    <t>Tareq Tareq</t>
  </si>
  <si>
    <t>+2021224504301</t>
  </si>
  <si>
    <t>Moataz Moataz</t>
  </si>
  <si>
    <t>+971506311410</t>
  </si>
  <si>
    <t>+971585822511</t>
  </si>
  <si>
    <t>Hussein Mounib</t>
  </si>
  <si>
    <t>hussein.mounib@gmail.com</t>
  </si>
  <si>
    <t>+971506687029</t>
  </si>
  <si>
    <t>Zakariya Zakariya</t>
  </si>
  <si>
    <t>made200572@yahoo.com</t>
  </si>
  <si>
    <t>+971553054377</t>
  </si>
  <si>
    <t>Shawkat Salama</t>
  </si>
  <si>
    <t>shawkatessa@hotmail.com</t>
  </si>
  <si>
    <t>+201002147339</t>
  </si>
  <si>
    <t>Mohamed Hassan Amin Attia</t>
  </si>
  <si>
    <t>ceo@elajgroup.com</t>
  </si>
  <si>
    <t>+966568750000</t>
  </si>
  <si>
    <t>Hegazy P</t>
  </si>
  <si>
    <t>hegazy@arabianfalcon.com</t>
  </si>
  <si>
    <t>Walid Hilaaly</t>
  </si>
  <si>
    <t>whilaaly@burgan.com</t>
  </si>
  <si>
    <t>+96560090779</t>
  </si>
  <si>
    <t>Ramses A</t>
  </si>
  <si>
    <t>Randraous@outlook.com</t>
  </si>
  <si>
    <t>+447740706163</t>
  </si>
  <si>
    <t>Azim A</t>
  </si>
  <si>
    <t>+20109490914</t>
  </si>
  <si>
    <t>Selm H</t>
  </si>
  <si>
    <t>selmadhi@microsoft.com</t>
  </si>
  <si>
    <t>+971523959992</t>
  </si>
  <si>
    <t>Tareq Youssef</t>
  </si>
  <si>
    <t>tarek.ibrahim@orascom.com</t>
  </si>
  <si>
    <t>Angelo Angelo</t>
  </si>
  <si>
    <t>tourismmina@yahoo.com</t>
  </si>
  <si>
    <t>+971529294544</t>
  </si>
  <si>
    <t xml:space="preserve">Usif Usif </t>
  </si>
  <si>
    <t>+971509670208</t>
  </si>
  <si>
    <t>Hisham Saleh</t>
  </si>
  <si>
    <t>+971505479892</t>
  </si>
  <si>
    <t>Maarja Sammel</t>
  </si>
  <si>
    <t>marjaa.sammel@gmail.com</t>
  </si>
  <si>
    <t>+37255624007</t>
  </si>
  <si>
    <t>Ramiro Stoyanov</t>
  </si>
  <si>
    <t>ramiro.stoyanov@gmail.com</t>
  </si>
  <si>
    <t>Mack Fered</t>
  </si>
  <si>
    <t>makushf2090@gmail.com</t>
  </si>
  <si>
    <t>+971556746922</t>
  </si>
  <si>
    <t>Ayresama A</t>
  </si>
  <si>
    <t>ayresama@yahoo.com</t>
  </si>
  <si>
    <t>+251911415996</t>
  </si>
  <si>
    <t>yad Jadalhaq</t>
  </si>
  <si>
    <t>iyadhaq2007@hotmail.com</t>
  </si>
  <si>
    <t>+97156563058</t>
  </si>
  <si>
    <t>Palestine</t>
  </si>
  <si>
    <t>Ahmed Mohana</t>
  </si>
  <si>
    <t>ahmed@zawaya.ae</t>
  </si>
  <si>
    <t>Jaba No</t>
  </si>
  <si>
    <t>j.bkanka@yahoo.com</t>
  </si>
  <si>
    <t>Georgia</t>
  </si>
  <si>
    <t>Alex Mr</t>
  </si>
  <si>
    <t>+43677188044</t>
  </si>
  <si>
    <t>Friedrich Vesco</t>
  </si>
  <si>
    <t>fredrich.vesco@injoyphysio.at</t>
  </si>
  <si>
    <t>Sheroz Javed</t>
  </si>
  <si>
    <t>shoroz.Javed@gmx.net</t>
  </si>
  <si>
    <t>+6643553801</t>
  </si>
  <si>
    <t>Goran Khisro</t>
  </si>
  <si>
    <t>goronk@web.de</t>
  </si>
  <si>
    <t>+490103869652</t>
  </si>
  <si>
    <t>Uwe Rathausky</t>
  </si>
  <si>
    <t>uwe.rathausky@web.de</t>
  </si>
  <si>
    <t>+1717429783</t>
  </si>
  <si>
    <t>Harron Mr</t>
  </si>
  <si>
    <t>+971526041980</t>
  </si>
  <si>
    <t>Sebastian Trapp</t>
  </si>
  <si>
    <t>sebtrapp@web.de</t>
  </si>
  <si>
    <t>+01717429783</t>
  </si>
  <si>
    <t>Marcel Berendsen</t>
  </si>
  <si>
    <t>mberendsen01@aol.com</t>
  </si>
  <si>
    <t>Stefan Gutohrte</t>
  </si>
  <si>
    <t>steffen.gutoehrie@redbull.com</t>
  </si>
  <si>
    <t>Mchael Kastel</t>
  </si>
  <si>
    <t>m.kastel@gmx.de</t>
  </si>
  <si>
    <t>+00491798888</t>
  </si>
  <si>
    <t>Oliver Mueller</t>
  </si>
  <si>
    <t>mueller.oliver.85@gmail.com</t>
  </si>
  <si>
    <t>+491749744434</t>
  </si>
  <si>
    <t>Filip F</t>
  </si>
  <si>
    <t>filip@vicco.se</t>
  </si>
  <si>
    <t>+393398622753</t>
  </si>
  <si>
    <t>Angela Bonizzi</t>
  </si>
  <si>
    <t>ab@bonizziconsulting.it</t>
  </si>
  <si>
    <t>Wolf Shselction</t>
  </si>
  <si>
    <t>wjsh@shsselection.de</t>
  </si>
  <si>
    <t>+971557242417</t>
  </si>
  <si>
    <t>Aliena G</t>
  </si>
  <si>
    <t>Frits Dauphin</t>
  </si>
  <si>
    <t>frtis_dauphin@hotmail.com</t>
  </si>
  <si>
    <t>Oleg Wegert</t>
  </si>
  <si>
    <t>wegole@gmx.de</t>
  </si>
  <si>
    <t>+971565 559991</t>
  </si>
  <si>
    <t>Waqaas A</t>
  </si>
  <si>
    <t>+971528870448</t>
  </si>
  <si>
    <t>Ahtam Ahtam</t>
  </si>
  <si>
    <t>Frank Wiessner</t>
  </si>
  <si>
    <t>frank.wiessner@gmx.de</t>
  </si>
  <si>
    <t>Adam Mr</t>
  </si>
  <si>
    <t>m.viqa@yahoo.de</t>
  </si>
  <si>
    <t>Daniel A</t>
  </si>
  <si>
    <t>daniel.sorensen86@gmail.com</t>
  </si>
  <si>
    <t>+25270620</t>
  </si>
  <si>
    <t>Gradi Hermann</t>
  </si>
  <si>
    <t>gradi.hermann@gmx.de</t>
  </si>
  <si>
    <t>Rohollah Rohparwar</t>
  </si>
  <si>
    <t>rohollah.rohparwar@gmx.de</t>
  </si>
  <si>
    <t>+00352 621274300</t>
  </si>
  <si>
    <t>Chns Von Roesgen</t>
  </si>
  <si>
    <t>contact@cvr.lu</t>
  </si>
  <si>
    <t>Heidje Ruethlein</t>
  </si>
  <si>
    <t>ruethlein@astelius.de</t>
  </si>
  <si>
    <t>+97444971111</t>
  </si>
  <si>
    <t>Britta Leick</t>
  </si>
  <si>
    <t>britta.leickmilde@hyatt.com</t>
  </si>
  <si>
    <t>+491786612290</t>
  </si>
  <si>
    <t>Ahmed Dawud</t>
  </si>
  <si>
    <t>kontakt@ahmeddawud.de</t>
  </si>
  <si>
    <t>+971505287961</t>
  </si>
  <si>
    <t>Salimi P</t>
  </si>
  <si>
    <t>o@o.com</t>
  </si>
  <si>
    <t>+971505827961</t>
  </si>
  <si>
    <t>Sohrab Salimi</t>
  </si>
  <si>
    <t>sohrab.salimi@agilar.com</t>
  </si>
  <si>
    <t>Joachim Blombach</t>
  </si>
  <si>
    <t>Joblom@tonline.de</t>
  </si>
  <si>
    <t>Ramy Nageb</t>
  </si>
  <si>
    <t>ramynagah58@gmail.com</t>
  </si>
  <si>
    <t>Vivien Christ</t>
  </si>
  <si>
    <t>info@keymomen-fzc.com</t>
  </si>
  <si>
    <t>+971563564964</t>
  </si>
  <si>
    <t>Dagmar No</t>
  </si>
  <si>
    <t>d-kmauf@hotmail.com</t>
  </si>
  <si>
    <t>+4915202820478</t>
  </si>
  <si>
    <t>Mgtaba Joya</t>
  </si>
  <si>
    <t>joya@joyaimmobilien.de</t>
  </si>
  <si>
    <t>+4903092217008</t>
  </si>
  <si>
    <t>Fritz Pohi</t>
  </si>
  <si>
    <t>fritzpohl@gmx.de</t>
  </si>
  <si>
    <t>+4916094494481</t>
  </si>
  <si>
    <t>Yunus Yuce</t>
  </si>
  <si>
    <t>yunus5353@hotmall.de</t>
  </si>
  <si>
    <t>+491715312678</t>
  </si>
  <si>
    <t>Gehard Posch</t>
  </si>
  <si>
    <t>gehardposch@outlook.de</t>
  </si>
  <si>
    <t>+4916092780020</t>
  </si>
  <si>
    <t>Rashed Abu Baker</t>
  </si>
  <si>
    <t>abubakr_r@msn.com</t>
  </si>
  <si>
    <t>+4917623246322</t>
  </si>
  <si>
    <t>John K</t>
  </si>
  <si>
    <t>+491783307208</t>
  </si>
  <si>
    <t>Siar Azami</t>
  </si>
  <si>
    <t>siarazarni@grnail.com</t>
  </si>
  <si>
    <t>+491742842222</t>
  </si>
  <si>
    <t>Thomas Obitz</t>
  </si>
  <si>
    <t>thornas.obitz@atlanticzeiser.com</t>
  </si>
  <si>
    <t>+491727403011</t>
  </si>
  <si>
    <t>Michael Hollenhorst</t>
  </si>
  <si>
    <t>m-hollenhorst@yahoo.de</t>
  </si>
  <si>
    <t>+491766097759</t>
  </si>
  <si>
    <t>Jcons T</t>
  </si>
  <si>
    <t>jconst1521@gmail.com</t>
  </si>
  <si>
    <t>Konrad Thoele</t>
  </si>
  <si>
    <t>konrad.thoele@gmail.com</t>
  </si>
  <si>
    <t>Armand Neshvad</t>
  </si>
  <si>
    <t>aneshvad@gmail.com</t>
  </si>
  <si>
    <t>+352691655443</t>
  </si>
  <si>
    <t>Guido Rovero</t>
  </si>
  <si>
    <t>guido.rovero@alice.it</t>
  </si>
  <si>
    <t>Georg Jung</t>
  </si>
  <si>
    <t>schorschjung@tonline.de</t>
  </si>
  <si>
    <t>Detlef Dalke</t>
  </si>
  <si>
    <t>dalkeconsulting@gmx.com</t>
  </si>
  <si>
    <t>+491724132121</t>
  </si>
  <si>
    <t>Per P</t>
  </si>
  <si>
    <t>057310229@swipnet.se</t>
  </si>
  <si>
    <t>Ali C.</t>
  </si>
  <si>
    <t>noemail@mail com</t>
  </si>
  <si>
    <t>+4917676864710</t>
  </si>
  <si>
    <t>Adala Akram</t>
  </si>
  <si>
    <t>ab.akram@live.fr</t>
  </si>
  <si>
    <t>Frank Diekel</t>
  </si>
  <si>
    <t>bluewaters@branchenpunkt.com</t>
  </si>
  <si>
    <t>Manfred Jansen</t>
  </si>
  <si>
    <t>jansen-manfred@t-online.de</t>
  </si>
  <si>
    <t>+491729461014</t>
  </si>
  <si>
    <t>Kadir Gureler</t>
  </si>
  <si>
    <t>katcom10@hotmail.com</t>
  </si>
  <si>
    <t>+491775016456</t>
  </si>
  <si>
    <t>Steven Van Avondt</t>
  </si>
  <si>
    <t>steven_van_avondt@yahoo.com</t>
  </si>
  <si>
    <t>+32498243409</t>
  </si>
  <si>
    <t>Marc Oppermann</t>
  </si>
  <si>
    <t>marcopermann@web.de</t>
  </si>
  <si>
    <t>Peter -</t>
  </si>
  <si>
    <t>info@prymos.com</t>
  </si>
  <si>
    <t>Diana Fehse</t>
  </si>
  <si>
    <t>diana.fehse01@gmail.com</t>
  </si>
  <si>
    <t>+9715081065212</t>
  </si>
  <si>
    <t>TemTem</t>
  </si>
  <si>
    <t>+971508023351</t>
  </si>
  <si>
    <t>Saeed Sistani</t>
  </si>
  <si>
    <t>sajasi9962@yahoo.de</t>
  </si>
  <si>
    <t>+4915154336225</t>
  </si>
  <si>
    <t>Sharam Gulzad</t>
  </si>
  <si>
    <t>sharam@gulzadgroup.com</t>
  </si>
  <si>
    <t>+971555582151</t>
  </si>
  <si>
    <t>SN</t>
  </si>
  <si>
    <t>s.nedamaldeen@gmail.com</t>
  </si>
  <si>
    <t>+4917681194942</t>
  </si>
  <si>
    <t>Josef Scheben</t>
  </si>
  <si>
    <t>j.scheben@gmx.net</t>
  </si>
  <si>
    <t>+4917692610351</t>
  </si>
  <si>
    <t>Sven Reckeweg</t>
  </si>
  <si>
    <t>reckeweg.pama@gmail.com</t>
  </si>
  <si>
    <t>+34681036836</t>
  </si>
  <si>
    <t>Martin Schumacher</t>
  </si>
  <si>
    <t>privat@martinschumacher-gt.de</t>
  </si>
  <si>
    <t>Serhatd Mr</t>
  </si>
  <si>
    <t>drserhatduman@gmail.com</t>
  </si>
  <si>
    <t>+905554690969</t>
  </si>
  <si>
    <t>Hassan Ahmed</t>
  </si>
  <si>
    <t>h.ahmed@energopiisi.gr</t>
  </si>
  <si>
    <t>+306985123048</t>
  </si>
  <si>
    <t>Tamas Katus</t>
  </si>
  <si>
    <t>tamaskatus@gmail.com</t>
  </si>
  <si>
    <t>+36703813105</t>
  </si>
  <si>
    <t>Jhon Jhon</t>
  </si>
  <si>
    <t>vehandi@yahoo.com</t>
  </si>
  <si>
    <t>Stella Andronikou</t>
  </si>
  <si>
    <t>stella@andronikou.co.uk</t>
  </si>
  <si>
    <t>+971528134820</t>
  </si>
  <si>
    <t>Ozgur Turguner</t>
  </si>
  <si>
    <t>ozgurtrx@gmail.com</t>
  </si>
  <si>
    <t>+97155897974</t>
  </si>
  <si>
    <t>Pantazis Therianos</t>
  </si>
  <si>
    <t>therianos.p@euroterracapital.com</t>
  </si>
  <si>
    <t>+7590830310</t>
  </si>
  <si>
    <t>Christos Pelekis</t>
  </si>
  <si>
    <t>pelekisch@gmail.com</t>
  </si>
  <si>
    <t>+971567051092</t>
  </si>
  <si>
    <t>Yannis Loannidis</t>
  </si>
  <si>
    <t>ioioanni@yahoo.com</t>
  </si>
  <si>
    <t>+971527051092</t>
  </si>
  <si>
    <t>Kyriakidis Therianos</t>
  </si>
  <si>
    <t>charilaos.kyriakidis@outlook.de</t>
  </si>
  <si>
    <t>+491621693333</t>
  </si>
  <si>
    <t>Stevenson Ang</t>
  </si>
  <si>
    <t>stevesjmnl@yahoo.com</t>
  </si>
  <si>
    <t>+639175348978</t>
  </si>
  <si>
    <t>Zubhurt Z</t>
  </si>
  <si>
    <t>zbhurtun@yahoo.com</t>
  </si>
  <si>
    <t>+85291271307</t>
  </si>
  <si>
    <t>Zsolt Meszarow</t>
  </si>
  <si>
    <t>meszaros.zsolt@gmail.com</t>
  </si>
  <si>
    <t>+254733937762</t>
  </si>
  <si>
    <t>George Kozmann</t>
  </si>
  <si>
    <t>g.kozmann@thehearbit.com</t>
  </si>
  <si>
    <t>+36306773970</t>
  </si>
  <si>
    <t>Andras Gero</t>
  </si>
  <si>
    <t>gero,andras@gestor.hu</t>
  </si>
  <si>
    <t>Gyula Peidl</t>
  </si>
  <si>
    <t>peidl_g11@mail.com</t>
  </si>
  <si>
    <t>+4366488322093</t>
  </si>
  <si>
    <t>Peter Moricz</t>
  </si>
  <si>
    <t>peter.moricz2@gmail.com</t>
  </si>
  <si>
    <t>Thomas Wylie</t>
  </si>
  <si>
    <t>wyliet@tcd.ie</t>
  </si>
  <si>
    <t>+971506626429</t>
  </si>
  <si>
    <t>Hussein Sameer</t>
  </si>
  <si>
    <t>husseinalabboudl@gmail.com</t>
  </si>
  <si>
    <t>+971564558145</t>
  </si>
  <si>
    <t>Serwa A</t>
  </si>
  <si>
    <t>hygt@gteg</t>
  </si>
  <si>
    <t>+9647504457884</t>
  </si>
  <si>
    <t>Khalid A</t>
  </si>
  <si>
    <t>+966503814648</t>
  </si>
  <si>
    <t xml:space="preserve">Salwan A </t>
  </si>
  <si>
    <t>salwanb1@hotmail.com</t>
  </si>
  <si>
    <t>+46723228948</t>
  </si>
  <si>
    <t>Munjid Salih</t>
  </si>
  <si>
    <t>munjjd.salh@gmail.com</t>
  </si>
  <si>
    <t>+971561138138</t>
  </si>
  <si>
    <t>Haydee Ibrahim</t>
  </si>
  <si>
    <t>hwisam@yahoo.com</t>
  </si>
  <si>
    <t>+971564133416</t>
  </si>
  <si>
    <t>Abbas Alshammary</t>
  </si>
  <si>
    <t>abbascivil2007@gmail.com</t>
  </si>
  <si>
    <t>+971564547780</t>
  </si>
  <si>
    <t>Muwafaq Alomar</t>
  </si>
  <si>
    <t>muwafaqs@eim.ae</t>
  </si>
  <si>
    <t>+971505599824</t>
  </si>
  <si>
    <t>Ayaz Farouk</t>
  </si>
  <si>
    <t>md@karachidarbargroup.com</t>
  </si>
  <si>
    <t>+97150422222 - '+97142679030</t>
  </si>
  <si>
    <t>Awad Hussein</t>
  </si>
  <si>
    <t>awad_dome@yahoo.com</t>
  </si>
  <si>
    <t>+77009966133 -'+70901311912</t>
  </si>
  <si>
    <t>Miran Jaff</t>
  </si>
  <si>
    <t>miranjaff1@gmail.com</t>
  </si>
  <si>
    <t>+9647702697777</t>
  </si>
  <si>
    <t>Rana Salman</t>
  </si>
  <si>
    <t>ranaryadh@yahoo.com</t>
  </si>
  <si>
    <t>Hussein A</t>
  </si>
  <si>
    <t>hussein@esbgroupiraq.com</t>
  </si>
  <si>
    <t>+96477003355555</t>
  </si>
  <si>
    <t>Tayan Ms</t>
  </si>
  <si>
    <t>+971558811967</t>
  </si>
  <si>
    <t>Gerry Johnston</t>
  </si>
  <si>
    <t>johnstonenterprisesltd@eircom.net</t>
  </si>
  <si>
    <t>+353872582906</t>
  </si>
  <si>
    <t>Ireland</t>
  </si>
  <si>
    <t>Martin Healy</t>
  </si>
  <si>
    <t>martin@martinhealy.ie</t>
  </si>
  <si>
    <t>+353872582871</t>
  </si>
  <si>
    <t>Simon Woods</t>
  </si>
  <si>
    <t>swoodspanzaru@gmail.com</t>
  </si>
  <si>
    <t>+35387676610</t>
  </si>
  <si>
    <t>Craig Kilmuray</t>
  </si>
  <si>
    <t>craigkilmuray@smbc.ae</t>
  </si>
  <si>
    <t>+353866099630</t>
  </si>
  <si>
    <t>Ronan Corrigan</t>
  </si>
  <si>
    <t>ronancorr10@gmail.com</t>
  </si>
  <si>
    <t>+353879182642</t>
  </si>
  <si>
    <t>Finbar Constant</t>
  </si>
  <si>
    <t>constantf@gmail.com</t>
  </si>
  <si>
    <t>Marcus Morgan</t>
  </si>
  <si>
    <t>marcus@derrymorgan.com</t>
  </si>
  <si>
    <t>+447748632253</t>
  </si>
  <si>
    <t>Roman Baluta</t>
  </si>
  <si>
    <t>roma999mail@gmail.com</t>
  </si>
  <si>
    <t>+353877811544</t>
  </si>
  <si>
    <t>Dean Henriquez</t>
  </si>
  <si>
    <t>llllllllllllllllll@mail.ru</t>
  </si>
  <si>
    <t>+97159950694</t>
  </si>
  <si>
    <t>De Sean Carter</t>
  </si>
  <si>
    <t>deseancarter45@gmail.com</t>
  </si>
  <si>
    <t>+971554878961</t>
  </si>
  <si>
    <t>Adrian Mccalla</t>
  </si>
  <si>
    <t>adr.mccalla@gmail.com</t>
  </si>
  <si>
    <t>+971506404389</t>
  </si>
  <si>
    <t>Mr. Joe</t>
  </si>
  <si>
    <t>+818035849366</t>
  </si>
  <si>
    <t xml:space="preserve">Mr. Tadatoshi </t>
  </si>
  <si>
    <t>+971503412722</t>
  </si>
  <si>
    <t>Masama Nakajima</t>
  </si>
  <si>
    <t>massamien@gmail.com</t>
  </si>
  <si>
    <t>+971561284522</t>
  </si>
  <si>
    <t>Mr. Yahoob</t>
  </si>
  <si>
    <t>atcjapan01@gmail.com</t>
  </si>
  <si>
    <t>+81904863760</t>
  </si>
  <si>
    <t>Aitzhan Nurapin</t>
  </si>
  <si>
    <t>+77010000001</t>
  </si>
  <si>
    <t>rkospakhov@mail.ru</t>
  </si>
  <si>
    <t>+77777772332</t>
  </si>
  <si>
    <t>Sirim Abishev</t>
  </si>
  <si>
    <t>noemail@inbox.com</t>
  </si>
  <si>
    <t>+87023391651</t>
  </si>
  <si>
    <t>Jambul Drevshanov</t>
  </si>
  <si>
    <t>drevshanov@gmail.com</t>
  </si>
  <si>
    <t>+77772978888</t>
  </si>
  <si>
    <t>Raushan</t>
  </si>
  <si>
    <t>+971526662694</t>
  </si>
  <si>
    <t>Kilambekov Darkhan</t>
  </si>
  <si>
    <t>kilambekov_d_s@mail.ru</t>
  </si>
  <si>
    <t>+971564661619</t>
  </si>
  <si>
    <t>Damir A</t>
  </si>
  <si>
    <t>Alibek Almabekov</t>
  </si>
  <si>
    <t>a.almabekov@gmail.com</t>
  </si>
  <si>
    <t>+77017296080</t>
  </si>
  <si>
    <t>Marat Dauletbayev</t>
  </si>
  <si>
    <t>dm_marat@mail.ru</t>
  </si>
  <si>
    <t>Narvuz Mr</t>
  </si>
  <si>
    <t>+79651677772</t>
  </si>
  <si>
    <t>Ekaterina E</t>
  </si>
  <si>
    <t>kk@vas.kz</t>
  </si>
  <si>
    <t>Marwan M</t>
  </si>
  <si>
    <t>+97152205249</t>
  </si>
  <si>
    <t xml:space="preserve">Mohamed Al harbinger </t>
  </si>
  <si>
    <t>+966544578175</t>
  </si>
  <si>
    <t>Hafs Hafs</t>
  </si>
  <si>
    <t>halejili@yahoo.com</t>
  </si>
  <si>
    <t>+971508855225</t>
  </si>
  <si>
    <t>Jad Halaby</t>
  </si>
  <si>
    <t>jadehalaby@hotmail.com</t>
  </si>
  <si>
    <t>+971561752926</t>
  </si>
  <si>
    <t>Mohammed Khalid</t>
  </si>
  <si>
    <t>m.khalid@harbordubai.com</t>
  </si>
  <si>
    <t>+971556095546</t>
  </si>
  <si>
    <t>Gopinath S</t>
  </si>
  <si>
    <t>s.gopinath@vpshealth.com</t>
  </si>
  <si>
    <t>+97143500600</t>
  </si>
  <si>
    <t>Paol o Di Franco</t>
  </si>
  <si>
    <t>simatradingkingkft@gmail.com</t>
  </si>
  <si>
    <t>+39342551285</t>
  </si>
  <si>
    <t>Mark Sokanovich</t>
  </si>
  <si>
    <t>marksokanovich@yahoo.com</t>
  </si>
  <si>
    <t>Adnan Khan</t>
  </si>
  <si>
    <t>akhan@tec-color.com</t>
  </si>
  <si>
    <t>+923028299130</t>
  </si>
  <si>
    <t>Mr. Lashep</t>
  </si>
  <si>
    <t>+971582502047</t>
  </si>
  <si>
    <t>Somya Sharma</t>
  </si>
  <si>
    <t>somya8618@gmail.com</t>
  </si>
  <si>
    <t>+971564034889</t>
  </si>
  <si>
    <t>Mr Pranav</t>
  </si>
  <si>
    <t>+919878791947</t>
  </si>
  <si>
    <t>Namit Goel</t>
  </si>
  <si>
    <t>namit.2202@gmail.com</t>
  </si>
  <si>
    <t>Narendra Shan</t>
  </si>
  <si>
    <t>mail@selmax.com</t>
  </si>
  <si>
    <t>+971569910650</t>
  </si>
  <si>
    <t>Mr Gonav</t>
  </si>
  <si>
    <t>+919850829963</t>
  </si>
  <si>
    <t>Mr Summet</t>
  </si>
  <si>
    <t>summet_c@hotmail.com</t>
  </si>
  <si>
    <t>+96569000891</t>
  </si>
  <si>
    <t>Mohit Metra</t>
  </si>
  <si>
    <t>info@cemigrationservices.com</t>
  </si>
  <si>
    <t>+97143683776</t>
  </si>
  <si>
    <t>Chanmorsaria Morsaria</t>
  </si>
  <si>
    <t>chan@bouncealong.com</t>
  </si>
  <si>
    <t>+447831412125</t>
  </si>
  <si>
    <t xml:space="preserve">Umair Balksh A </t>
  </si>
  <si>
    <t>ub_23@hotmail.com</t>
  </si>
  <si>
    <t>+971558735873</t>
  </si>
  <si>
    <t>Mihir Gupta</t>
  </si>
  <si>
    <t>mihirgpt@yahoo.co.in</t>
  </si>
  <si>
    <t>+919011494632</t>
  </si>
  <si>
    <t>Mr Amet</t>
  </si>
  <si>
    <t>+971522277777</t>
  </si>
  <si>
    <t>Dipankar Sanyal</t>
  </si>
  <si>
    <t>dip4sanyal@gmail.com</t>
  </si>
  <si>
    <t>+912042912956</t>
  </si>
  <si>
    <t>Jitesh Dave</t>
  </si>
  <si>
    <t>jitesh@systech.co.in</t>
  </si>
  <si>
    <t>Manish Advani</t>
  </si>
  <si>
    <t>manish.advanci@toshiba-teg.com</t>
  </si>
  <si>
    <t>Hussin A</t>
  </si>
  <si>
    <t>kjuh@u.eg</t>
  </si>
  <si>
    <t>+447950503838</t>
  </si>
  <si>
    <t>Anuj Bhargava</t>
  </si>
  <si>
    <t>anujbhargava@mac.com</t>
  </si>
  <si>
    <t>+971566658669</t>
  </si>
  <si>
    <t>Monday Rizwan Qureshi</t>
  </si>
  <si>
    <t>Rizwan.zb@gmail.com</t>
  </si>
  <si>
    <t>+919873401611</t>
  </si>
  <si>
    <t>Mr Shiraz</t>
  </si>
  <si>
    <t>+971557823587</t>
  </si>
  <si>
    <t>Mr Hameed</t>
  </si>
  <si>
    <t>+971504594050</t>
  </si>
  <si>
    <t>Baljiit Giil</t>
  </si>
  <si>
    <t>baljit_7@hotmail.com</t>
  </si>
  <si>
    <t>British Indian Ocean Territory</t>
  </si>
  <si>
    <t>Mr Julis</t>
  </si>
  <si>
    <t>+971504542143</t>
  </si>
  <si>
    <t>Faisal Faisal</t>
  </si>
  <si>
    <t>+9127837078624</t>
  </si>
  <si>
    <t>Caurav Caurav</t>
  </si>
  <si>
    <t>+971506210401</t>
  </si>
  <si>
    <t>Darkest Darmesh</t>
  </si>
  <si>
    <t>+919892710107</t>
  </si>
  <si>
    <t>Pashang Variava</t>
  </si>
  <si>
    <t>pashang@gmail.com</t>
  </si>
  <si>
    <t>+971559958832</t>
  </si>
  <si>
    <t>Rezwan Hassan</t>
  </si>
  <si>
    <t>rizwan.bsr@gmail.com</t>
  </si>
  <si>
    <t>+971562047611</t>
  </si>
  <si>
    <t>Girsh Balwar</t>
  </si>
  <si>
    <t>g.bhalwar@gmail.com</t>
  </si>
  <si>
    <t>+919868800747</t>
  </si>
  <si>
    <t>Sumit Singh</t>
  </si>
  <si>
    <t>sumit1699@gmail.com</t>
  </si>
  <si>
    <t>+919220044033</t>
  </si>
  <si>
    <t>Satish</t>
  </si>
  <si>
    <t>+919420015864</t>
  </si>
  <si>
    <t>Vipin--</t>
  </si>
  <si>
    <t>+971506313226</t>
  </si>
  <si>
    <t>Raghav Mohta</t>
  </si>
  <si>
    <t>raghavmohta.pec@gmail.com</t>
  </si>
  <si>
    <t>+917042130170</t>
  </si>
  <si>
    <t>Amin Ajami</t>
  </si>
  <si>
    <t>ok@o.com</t>
  </si>
  <si>
    <t>+913104635998</t>
  </si>
  <si>
    <t>Sanjay Sinha</t>
  </si>
  <si>
    <t>ssinha1965@gmail.com</t>
  </si>
  <si>
    <t>+919810038586</t>
  </si>
  <si>
    <t>Dilbagh A</t>
  </si>
  <si>
    <t>+971553392987</t>
  </si>
  <si>
    <t>Arun Bhandari</t>
  </si>
  <si>
    <t>apsara_uae@hilgus.com</t>
  </si>
  <si>
    <t>+971564210797</t>
  </si>
  <si>
    <t>Imteyaz No</t>
  </si>
  <si>
    <t>+971509014202</t>
  </si>
  <si>
    <t>Amit Aaaa</t>
  </si>
  <si>
    <t>amit-m221@rediffmail.com</t>
  </si>
  <si>
    <t>Dennis A</t>
  </si>
  <si>
    <t>dennis86jon@gmail.com</t>
  </si>
  <si>
    <t>Wassim Wassim</t>
  </si>
  <si>
    <t>wassimrocker@reddiff.com</t>
  </si>
  <si>
    <t>Mohamed Sayed</t>
  </si>
  <si>
    <t>+971554270089</t>
  </si>
  <si>
    <t>Avinach A</t>
  </si>
  <si>
    <t>en_avi29@yahoo.com</t>
  </si>
  <si>
    <t>+971564120457</t>
  </si>
  <si>
    <t>Aniket Miglani</t>
  </si>
  <si>
    <t>aniketmiglani@gmail.com</t>
  </si>
  <si>
    <t>+971552662476</t>
  </si>
  <si>
    <t>Mohammed Baig</t>
  </si>
  <si>
    <t>mdrahmanbaig@gmail.com</t>
  </si>
  <si>
    <t>+919845807255</t>
  </si>
  <si>
    <t>Mr Yogal</t>
  </si>
  <si>
    <t>+919419181660</t>
  </si>
  <si>
    <t>Mr Vipen</t>
  </si>
  <si>
    <t>+971559787574</t>
  </si>
  <si>
    <t>Mr Mitesh</t>
  </si>
  <si>
    <t>+971588089323</t>
  </si>
  <si>
    <t>Atul kedla</t>
  </si>
  <si>
    <t>nisidubai@gmail.com</t>
  </si>
  <si>
    <t>+971552876568</t>
  </si>
  <si>
    <t>Raja Raja</t>
  </si>
  <si>
    <t>+919876077667</t>
  </si>
  <si>
    <t>Varun Viswanath</t>
  </si>
  <si>
    <t>varunackal@yahoo.com</t>
  </si>
  <si>
    <t>+971504084820</t>
  </si>
  <si>
    <t>Kartik Satija</t>
  </si>
  <si>
    <t>kartikasatija@gmail.com</t>
  </si>
  <si>
    <t>Haresh Karamchandani</t>
  </si>
  <si>
    <t>haresh@hyfunfoods.com</t>
  </si>
  <si>
    <t>+917575007577</t>
  </si>
  <si>
    <t>Nadir Mohammadi</t>
  </si>
  <si>
    <t>nadir@atmcaps.ae</t>
  </si>
  <si>
    <t>+971504502520</t>
  </si>
  <si>
    <t>Kapil Lamba</t>
  </si>
  <si>
    <t>kdlamba1412@gmail.com</t>
  </si>
  <si>
    <t>+971502649633</t>
  </si>
  <si>
    <t>Muhammad Jeenah</t>
  </si>
  <si>
    <t>jeenahm@gmail.com</t>
  </si>
  <si>
    <t>+971564435004</t>
  </si>
  <si>
    <t>Varun Mishra</t>
  </si>
  <si>
    <t>varunmisha201@gmail.com</t>
  </si>
  <si>
    <t>+971566654961</t>
  </si>
  <si>
    <t xml:space="preserve">Jain Sandeep </t>
  </si>
  <si>
    <t>jainsandeep26@yahoo.com</t>
  </si>
  <si>
    <t>+971506582138</t>
  </si>
  <si>
    <t>Reena Desai</t>
  </si>
  <si>
    <t>reena.hemang@gmail.com</t>
  </si>
  <si>
    <t>+971501125787</t>
  </si>
  <si>
    <t>Tulika Vashishtha</t>
  </si>
  <si>
    <t>tulika.sharma67@yahoo.com</t>
  </si>
  <si>
    <t>+971567998276</t>
  </si>
  <si>
    <t>Milind Patwardhan</t>
  </si>
  <si>
    <t>pmlind@hotmail.com</t>
  </si>
  <si>
    <t>+966547237131</t>
  </si>
  <si>
    <t>Bee Sahni</t>
  </si>
  <si>
    <t>bhavneetkaursahni@gmail.com</t>
  </si>
  <si>
    <t>Ria Arora</t>
  </si>
  <si>
    <t>ar.ariarora@gmail.com</t>
  </si>
  <si>
    <t>+918448847575</t>
  </si>
  <si>
    <t>Parmeshwar Kumar</t>
  </si>
  <si>
    <t>parmeshwarkumar775@gmail.com</t>
  </si>
  <si>
    <t>+971545127026</t>
  </si>
  <si>
    <t>Zoheb Ansari</t>
  </si>
  <si>
    <t>zohebansari.mail@gmail.com</t>
  </si>
  <si>
    <t>+971563861982</t>
  </si>
  <si>
    <t>Wael Choukeir</t>
  </si>
  <si>
    <t>w.choukei@amangroup.com</t>
  </si>
  <si>
    <t>+971581717432</t>
  </si>
  <si>
    <t>Mohti A</t>
  </si>
  <si>
    <t>mohit7575@gmail.com</t>
  </si>
  <si>
    <t>Drives A</t>
  </si>
  <si>
    <t>drivesaymad@aol.com</t>
  </si>
  <si>
    <t>Vishnu Sankaran</t>
  </si>
  <si>
    <t>sankaran.vishnu@gmail.com</t>
  </si>
  <si>
    <t>+971506954695</t>
  </si>
  <si>
    <t>Ashit</t>
  </si>
  <si>
    <t>heroashit@yahoo.com</t>
  </si>
  <si>
    <t>+971525984411</t>
  </si>
  <si>
    <t>Husain Motiwala</t>
  </si>
  <si>
    <t>hussain_zs@hotmail.com</t>
  </si>
  <si>
    <t>+971527531444</t>
  </si>
  <si>
    <t>Prateek Dayal</t>
  </si>
  <si>
    <t>pd@globaldwc.com</t>
  </si>
  <si>
    <t>+971529937000</t>
  </si>
  <si>
    <t>Amit Jeswani</t>
  </si>
  <si>
    <t>ajeswani@gmail.com</t>
  </si>
  <si>
    <t>+919810794422</t>
  </si>
  <si>
    <t>Abhijit Chaterji</t>
  </si>
  <si>
    <t>abhijitchaterji9@gmail.com</t>
  </si>
  <si>
    <t>+971505549062</t>
  </si>
  <si>
    <t>Rohan Shah</t>
  </si>
  <si>
    <t>rohanpsha@yahoo.com.co.in</t>
  </si>
  <si>
    <t>+919892266266</t>
  </si>
  <si>
    <t>Shanker Vivek</t>
  </si>
  <si>
    <t>vivek@prosmartretail.com</t>
  </si>
  <si>
    <t>+9163832355363</t>
  </si>
  <si>
    <t>Sumi Karki</t>
  </si>
  <si>
    <t>sk@t20.com</t>
  </si>
  <si>
    <t>+971568095954</t>
  </si>
  <si>
    <t>Shakir Abdulla</t>
  </si>
  <si>
    <t>shakiraabdulla30@gmail.com</t>
  </si>
  <si>
    <t>+971555816786</t>
  </si>
  <si>
    <t>Harlan's singh Deep</t>
  </si>
  <si>
    <t>deepmann108@gmail.com</t>
  </si>
  <si>
    <t>+918872281009</t>
  </si>
  <si>
    <t>Mr Julius</t>
  </si>
  <si>
    <t>+971504542413</t>
  </si>
  <si>
    <t xml:space="preserve">Tony Philip </t>
  </si>
  <si>
    <t>sasco.tony@gmail.com</t>
  </si>
  <si>
    <t>+971555816124</t>
  </si>
  <si>
    <t>Manish Gupta</t>
  </si>
  <si>
    <t>mansur@globalservices.com</t>
  </si>
  <si>
    <t>+971558103990</t>
  </si>
  <si>
    <t>Sharukh Ahmed</t>
  </si>
  <si>
    <t>nefcoiindia@gmail.com</t>
  </si>
  <si>
    <t>+91959935039</t>
  </si>
  <si>
    <t>Okan Caglayan</t>
  </si>
  <si>
    <t>Okan.caglayan@uk.lockton.com</t>
  </si>
  <si>
    <t>Izzet Oz</t>
  </si>
  <si>
    <t>izzetoz@gmail.com</t>
  </si>
  <si>
    <t>+9715056009467</t>
  </si>
  <si>
    <t>Salem El-Omari</t>
  </si>
  <si>
    <t>Tawaheen.alhawa@gmail.com</t>
  </si>
  <si>
    <t>+994552777101</t>
  </si>
  <si>
    <t>Rafail Mr</t>
  </si>
  <si>
    <t>+971582864118</t>
  </si>
  <si>
    <t>Ehab Fayek</t>
  </si>
  <si>
    <t>ehabfayek@hotmail.com</t>
  </si>
  <si>
    <t>Mr. Sam</t>
  </si>
  <si>
    <t>+905321608608</t>
  </si>
  <si>
    <t>Aziz Koseni</t>
  </si>
  <si>
    <t>aziz.koseni@gmail.com</t>
  </si>
  <si>
    <t>+905415729904</t>
  </si>
  <si>
    <t>Nilay Kutman</t>
  </si>
  <si>
    <t>kutmannilay@gmail.com</t>
  </si>
  <si>
    <t>+97154494152</t>
  </si>
  <si>
    <t>Akif Sismanoglu</t>
  </si>
  <si>
    <t>akif@kaptanoglutrade.com</t>
  </si>
  <si>
    <t>+905322130066</t>
  </si>
  <si>
    <t>Yilmaz Kara</t>
  </si>
  <si>
    <t>y_big@ymail.com</t>
  </si>
  <si>
    <t>Okaty O</t>
  </si>
  <si>
    <t>+905326969204</t>
  </si>
  <si>
    <t>Mursel Tu</t>
  </si>
  <si>
    <t>+905357232242</t>
  </si>
  <si>
    <t>Ali No</t>
  </si>
  <si>
    <t>+491722753354</t>
  </si>
  <si>
    <t>Leila Erki</t>
  </si>
  <si>
    <t>l.erk@live.de</t>
  </si>
  <si>
    <t>+905332380794</t>
  </si>
  <si>
    <t>Kemal Sucak</t>
  </si>
  <si>
    <t>+971554782549</t>
  </si>
  <si>
    <t>Tolga Keser</t>
  </si>
  <si>
    <t>tolga.keser@microsoft.com</t>
  </si>
  <si>
    <t>+971504589661</t>
  </si>
  <si>
    <t>Ajan</t>
  </si>
  <si>
    <t>+905326124708</t>
  </si>
  <si>
    <t>Cinar Alis</t>
  </si>
  <si>
    <t>cinaralis@gmail.com</t>
  </si>
  <si>
    <t>+905334932710</t>
  </si>
  <si>
    <t>Omrum Varlik</t>
  </si>
  <si>
    <t>omrum@miragehotels.com</t>
  </si>
  <si>
    <t>+905337386383</t>
  </si>
  <si>
    <t>Gokhan Sinat</t>
  </si>
  <si>
    <t>gokhansinar@gmail.com</t>
  </si>
  <si>
    <t>+971505514246</t>
  </si>
  <si>
    <t>khulud.mujieb@gmail.com</t>
  </si>
  <si>
    <t>+96595558015</t>
  </si>
  <si>
    <t xml:space="preserve">Yavuz Yati </t>
  </si>
  <si>
    <t>yavuzyati@gmail.com</t>
  </si>
  <si>
    <t>+971567628720</t>
  </si>
  <si>
    <t>Samir samir</t>
  </si>
  <si>
    <t>samir_aleid@hotmail.com</t>
  </si>
  <si>
    <t>+96566000004</t>
  </si>
  <si>
    <t>Abu Fahad Fahad</t>
  </si>
  <si>
    <t>abuha@gmail.com</t>
  </si>
  <si>
    <t>+96566299689</t>
  </si>
  <si>
    <t>Ali Alzaid</t>
  </si>
  <si>
    <t>+96599100666</t>
  </si>
  <si>
    <t>Salah Khadra</t>
  </si>
  <si>
    <t>+96597272779</t>
  </si>
  <si>
    <t>Fouad Almansari</t>
  </si>
  <si>
    <t>fouadmz@life.com</t>
  </si>
  <si>
    <t>Abdella Abdella</t>
  </si>
  <si>
    <t>+96599023005</t>
  </si>
  <si>
    <t>Riham Alkhashti</t>
  </si>
  <si>
    <t>+96599650776</t>
  </si>
  <si>
    <t>Ahmed Albloushi</t>
  </si>
  <si>
    <t>q8pay2win@gmail.com</t>
  </si>
  <si>
    <t>+96597681447</t>
  </si>
  <si>
    <t>Ahmd Ismail</t>
  </si>
  <si>
    <t>kw1983@outlook.com</t>
  </si>
  <si>
    <t>+96566228022</t>
  </si>
  <si>
    <t>Amir Khansari</t>
  </si>
  <si>
    <t>khansarinejad@yahoo.com</t>
  </si>
  <si>
    <t>Fairy Azary</t>
  </si>
  <si>
    <t>polyurban3@gmail.com</t>
  </si>
  <si>
    <t>+989123597141</t>
  </si>
  <si>
    <t>Mahmood M</t>
  </si>
  <si>
    <t>+97155777600</t>
  </si>
  <si>
    <t>Mostafa Ziaratnia</t>
  </si>
  <si>
    <t>smostafaz@me.com</t>
  </si>
  <si>
    <t>+989155155700</t>
  </si>
  <si>
    <t>Mr Abdul</t>
  </si>
  <si>
    <t>Mohammed Pouartaher</t>
  </si>
  <si>
    <t>+971501568685</t>
  </si>
  <si>
    <t>A Mangal</t>
  </si>
  <si>
    <t>info@ilsmtc.com</t>
  </si>
  <si>
    <t>+971508874203</t>
  </si>
  <si>
    <t>Siamak S</t>
  </si>
  <si>
    <t>sharafi.barzan@gmail.com</t>
  </si>
  <si>
    <t>+989121235151</t>
  </si>
  <si>
    <t>Soheila Malhooz</t>
  </si>
  <si>
    <t>soheila_miz@hotmail.com</t>
  </si>
  <si>
    <t>+971504599648</t>
  </si>
  <si>
    <t>Mr Ahmed</t>
  </si>
  <si>
    <t>+989123713706</t>
  </si>
  <si>
    <t>Ghaleb A</t>
  </si>
  <si>
    <t>nhbn@ki.eg</t>
  </si>
  <si>
    <t>+96566665507</t>
  </si>
  <si>
    <t>Jessica</t>
  </si>
  <si>
    <t>Ahmad Snan</t>
  </si>
  <si>
    <t>snansnan@gmail.com</t>
  </si>
  <si>
    <t>+96598999894</t>
  </si>
  <si>
    <t>Mashael Alshammari</t>
  </si>
  <si>
    <t>+96594446678</t>
  </si>
  <si>
    <t>abdulaziz.hu@hotmail.com</t>
  </si>
  <si>
    <t>Hassan Amman</t>
  </si>
  <si>
    <t>+96566010111</t>
  </si>
  <si>
    <t>Faisal Almutairi Almutairi</t>
  </si>
  <si>
    <t>nhgbf@gt.eg</t>
  </si>
  <si>
    <t>+96560066021</t>
  </si>
  <si>
    <t>Ahmad Client</t>
  </si>
  <si>
    <t>eng_ysu@hotmail.com</t>
  </si>
  <si>
    <t>+96599086063</t>
  </si>
  <si>
    <t>Muhanad M</t>
  </si>
  <si>
    <t>+971501000290</t>
  </si>
  <si>
    <t>Anfal Almutairi</t>
  </si>
  <si>
    <t>nfnf85@hotmail.com</t>
  </si>
  <si>
    <t>+96599988339</t>
  </si>
  <si>
    <t>Mishari Altalihi</t>
  </si>
  <si>
    <t>arch_mishari@hotmail.com</t>
  </si>
  <si>
    <t>+96567070010</t>
  </si>
  <si>
    <t>Huda Awadh</t>
  </si>
  <si>
    <t>huda.awadh@icloud.com</t>
  </si>
  <si>
    <t>+965659977751</t>
  </si>
  <si>
    <t>Emadi</t>
  </si>
  <si>
    <t>q_emad@hotmail.com</t>
  </si>
  <si>
    <t>Abdulkarim Mohammad</t>
  </si>
  <si>
    <t>gitex45@hotmail.com</t>
  </si>
  <si>
    <t>+965996627755</t>
  </si>
  <si>
    <t xml:space="preserve">Ibrahim Ibrahim </t>
  </si>
  <si>
    <t>mjng@ui.eg</t>
  </si>
  <si>
    <t>+77028800020</t>
  </si>
  <si>
    <t>Ashok Sodha</t>
  </si>
  <si>
    <t>ashok@btcint.com</t>
  </si>
  <si>
    <t>+257836773906</t>
  </si>
  <si>
    <t>Jai</t>
  </si>
  <si>
    <t>+254733510321</t>
  </si>
  <si>
    <t>Naeem Balala</t>
  </si>
  <si>
    <t>balalanaeem@yahoo.com</t>
  </si>
  <si>
    <t>+971568340091</t>
  </si>
  <si>
    <t>Mohamed A</t>
  </si>
  <si>
    <t>bhagsgsju@bag.e</t>
  </si>
  <si>
    <t>+971526089221</t>
  </si>
  <si>
    <t>jordan</t>
  </si>
  <si>
    <t>Samar Aaaaaa</t>
  </si>
  <si>
    <t>aaaaa@aaaaa.com</t>
  </si>
  <si>
    <t>+971552340500</t>
  </si>
  <si>
    <t xml:space="preserve">Sameer Yousef </t>
  </si>
  <si>
    <t>sameeryousef80@gmail.com</t>
  </si>
  <si>
    <t>+00962799998825</t>
  </si>
  <si>
    <t xml:space="preserve">Ahmed majali </t>
  </si>
  <si>
    <t>ahmad_majali@gmail.com</t>
  </si>
  <si>
    <t>+971557107568</t>
  </si>
  <si>
    <t>Eyad A</t>
  </si>
  <si>
    <t>eyad19@gmail.com</t>
  </si>
  <si>
    <t>+971559565789</t>
  </si>
  <si>
    <t>Islam Naguib</t>
  </si>
  <si>
    <t>islamekhabaty@yahoo.com</t>
  </si>
  <si>
    <t>+971543866565</t>
  </si>
  <si>
    <t xml:space="preserve">Wail Wail </t>
  </si>
  <si>
    <t>deir_co@orange.go</t>
  </si>
  <si>
    <t>Sawsan S</t>
  </si>
  <si>
    <t>ihb@hy.eg</t>
  </si>
  <si>
    <t>+962798233273</t>
  </si>
  <si>
    <t>Ahmad Kabra</t>
  </si>
  <si>
    <t>ahmad@venturesme.com</t>
  </si>
  <si>
    <t>+97143659918</t>
  </si>
  <si>
    <t xml:space="preserve">Ameer Al Naoumi </t>
  </si>
  <si>
    <t>+96279999324</t>
  </si>
  <si>
    <t>Mohammad Al ashqari</t>
  </si>
  <si>
    <t>nona@kn</t>
  </si>
  <si>
    <t>+971557995432</t>
  </si>
  <si>
    <t>Adnan Al Afeef</t>
  </si>
  <si>
    <t>adnan_afeef@hotmail.com</t>
  </si>
  <si>
    <t>+97155551083</t>
  </si>
  <si>
    <t>Basem Bader</t>
  </si>
  <si>
    <t>doctorbassembadr@yahoo.com</t>
  </si>
  <si>
    <t>+971505537525</t>
  </si>
  <si>
    <t>Saif Mr</t>
  </si>
  <si>
    <t>+971556033386</t>
  </si>
  <si>
    <t>Hassan Mr</t>
  </si>
  <si>
    <t>+966551188738</t>
  </si>
  <si>
    <t>Mr Mr</t>
  </si>
  <si>
    <t>iiiiii@gmail.com</t>
  </si>
  <si>
    <t>+971569911839</t>
  </si>
  <si>
    <t xml:space="preserve">Nedal Nedal </t>
  </si>
  <si>
    <t>mmmmmmmmmm@gmail.com</t>
  </si>
  <si>
    <t>+971553724058</t>
  </si>
  <si>
    <t xml:space="preserve">Hamad Hamad </t>
  </si>
  <si>
    <t>hhhhhh@gmail.ru</t>
  </si>
  <si>
    <t>+971559567021</t>
  </si>
  <si>
    <t>Murtaza Electricwala</t>
  </si>
  <si>
    <t>fhtrading@hotmail.com</t>
  </si>
  <si>
    <t>+971550000000</t>
  </si>
  <si>
    <t xml:space="preserve">Amer Bushnaq </t>
  </si>
  <si>
    <t>+962795954888</t>
  </si>
  <si>
    <t>Hisham P</t>
  </si>
  <si>
    <t>ghneim@hotmail.com</t>
  </si>
  <si>
    <t>+96246707168035</t>
  </si>
  <si>
    <t>Yusef O</t>
  </si>
  <si>
    <t>ychahien@gmail.com</t>
  </si>
  <si>
    <t>Omar Aldarabkeh</t>
  </si>
  <si>
    <t>omarhonda2010@hotmail.com</t>
  </si>
  <si>
    <t>+971566655868</t>
  </si>
  <si>
    <t xml:space="preserve">Majid Mr </t>
  </si>
  <si>
    <t xml:space="preserve">yousef mustafa </t>
  </si>
  <si>
    <t>ypusefsmail@gmail.com</t>
  </si>
  <si>
    <t>+0096598009928</t>
  </si>
  <si>
    <t>wael mr</t>
  </si>
  <si>
    <t>+97150000000</t>
  </si>
  <si>
    <t>riza mr</t>
  </si>
  <si>
    <t>+971563485370</t>
  </si>
  <si>
    <t xml:space="preserve">emin e </t>
  </si>
  <si>
    <t>ninsnker@n.jeg</t>
  </si>
  <si>
    <t xml:space="preserve">quasi A </t>
  </si>
  <si>
    <t>nib@rf.eg</t>
  </si>
  <si>
    <t>+96278665938</t>
  </si>
  <si>
    <t xml:space="preserve">Ishaq Arabiyat </t>
  </si>
  <si>
    <t>jhuu@jy.eg</t>
  </si>
  <si>
    <t>+96264643799</t>
  </si>
  <si>
    <t>(050) 482-3093</t>
  </si>
  <si>
    <t>Naba</t>
  </si>
  <si>
    <t>n@k.v</t>
  </si>
  <si>
    <t>+60162019292</t>
  </si>
  <si>
    <t>malaysia</t>
  </si>
  <si>
    <t xml:space="preserve">Deshmond Goh </t>
  </si>
  <si>
    <t>desmondgcs@gmail.com</t>
  </si>
  <si>
    <t>+0123602266</t>
  </si>
  <si>
    <t>Malaysia</t>
  </si>
  <si>
    <t>rajeev</t>
  </si>
  <si>
    <t>rajeev@yahoo.com</t>
  </si>
  <si>
    <t>+60011330435533</t>
  </si>
  <si>
    <t>Daniel Stanchev</t>
  </si>
  <si>
    <t>daniel@digitalpoint.mk</t>
  </si>
  <si>
    <t>+38972245758</t>
  </si>
  <si>
    <t>Macedonia</t>
  </si>
  <si>
    <t>Bayas</t>
  </si>
  <si>
    <t>+97688114888</t>
  </si>
  <si>
    <t>Mongolia</t>
  </si>
  <si>
    <t>Mrs Asmaezoubiri</t>
  </si>
  <si>
    <t>+212661353573</t>
  </si>
  <si>
    <t>Morroco</t>
  </si>
  <si>
    <t>Elias A</t>
  </si>
  <si>
    <t>kmjj@aw.eg</t>
  </si>
  <si>
    <t>+212661058210</t>
  </si>
  <si>
    <t>Mr Sohair</t>
  </si>
  <si>
    <t>+971558390004</t>
  </si>
  <si>
    <t>Omar Omar</t>
  </si>
  <si>
    <t>hygg@h.eg</t>
  </si>
  <si>
    <t>+31652614368</t>
  </si>
  <si>
    <t>A a</t>
  </si>
  <si>
    <t>bassidibens@gmail.com</t>
  </si>
  <si>
    <t>Hassan Ajan</t>
  </si>
  <si>
    <t>hassanajan@gmail.com</t>
  </si>
  <si>
    <t>Nordin Boumdifi</t>
  </si>
  <si>
    <t>+32489541406</t>
  </si>
  <si>
    <t>Najib</t>
  </si>
  <si>
    <t>+971504503328</t>
  </si>
  <si>
    <t>Chakib Geussos</t>
  </si>
  <si>
    <t>chakib.geussous@gmail.com</t>
  </si>
  <si>
    <t>+212664166010</t>
  </si>
  <si>
    <t>Hind Borj</t>
  </si>
  <si>
    <t>borijihind@gmail.com.fr</t>
  </si>
  <si>
    <t>+971567201970</t>
  </si>
  <si>
    <t>Manal Alsaedi</t>
  </si>
  <si>
    <t>rachid.manel@yahoo.com.fr</t>
  </si>
  <si>
    <t>+2128081111</t>
  </si>
  <si>
    <t>Elhaddouti Fauzi</t>
  </si>
  <si>
    <t>fauzielhaddouti@gmail.com</t>
  </si>
  <si>
    <t>+32484431843</t>
  </si>
  <si>
    <t>Anita A</t>
  </si>
  <si>
    <t>nhggatg@hotmail.com</t>
  </si>
  <si>
    <t>+31610908330</t>
  </si>
  <si>
    <t>Netherlands Antilles</t>
  </si>
  <si>
    <t>Bari Samadi</t>
  </si>
  <si>
    <t>bari@wailife.co.nz</t>
  </si>
  <si>
    <t>+64212860882</t>
  </si>
  <si>
    <t>New Zealand</t>
  </si>
  <si>
    <t>Elizabeth Poppe</t>
  </si>
  <si>
    <t>elisabeth@poppe.com</t>
  </si>
  <si>
    <t>+647905928459</t>
  </si>
  <si>
    <t>Toibudeen Oduniyi</t>
  </si>
  <si>
    <t>muyiwa@oduniyi.com</t>
  </si>
  <si>
    <t>+2348092321344</t>
  </si>
  <si>
    <t>Nigeria</t>
  </si>
  <si>
    <t>Susn Oyemade</t>
  </si>
  <si>
    <t>susn@oyemade.com</t>
  </si>
  <si>
    <t>Ernest Sylvester</t>
  </si>
  <si>
    <t>netsylver@gmail.com</t>
  </si>
  <si>
    <t>+2348034469377</t>
  </si>
  <si>
    <t>Kenny Asumah</t>
  </si>
  <si>
    <t>kennyasumah@gmail.com</t>
  </si>
  <si>
    <t>+2348023212123</t>
  </si>
  <si>
    <t>Ian Ramasy</t>
  </si>
  <si>
    <t>ian_ramsay@me.com</t>
  </si>
  <si>
    <t xml:space="preserve">Alice Lidix </t>
  </si>
  <si>
    <t>alice@lidix.co.kr</t>
  </si>
  <si>
    <t>+971522446901</t>
  </si>
  <si>
    <t>North Korea</t>
  </si>
  <si>
    <t>Kimberly Edwards</t>
  </si>
  <si>
    <t>kimberlyedwards028@gmail.com</t>
  </si>
  <si>
    <t>Kolbjorn K</t>
  </si>
  <si>
    <t>Tarek Jarrar</t>
  </si>
  <si>
    <t>jarratek1@gmail.com</t>
  </si>
  <si>
    <t>+4795807479</t>
  </si>
  <si>
    <t>Omar Sadiq</t>
  </si>
  <si>
    <t>+4795180800</t>
  </si>
  <si>
    <t>Ms Huda</t>
  </si>
  <si>
    <t>+971585568342</t>
  </si>
  <si>
    <t>Oman</t>
  </si>
  <si>
    <t>Mohammed Alhamer</t>
  </si>
  <si>
    <t>mohammed hamer@gmail.com</t>
  </si>
  <si>
    <t>+96892441100</t>
  </si>
  <si>
    <t>Khalid Al busaidi</t>
  </si>
  <si>
    <t>khs_albu@hotmall.com</t>
  </si>
  <si>
    <t>+96898083397</t>
  </si>
  <si>
    <t>Nasser Al kindi</t>
  </si>
  <si>
    <t>alhajrasllwa@gmail.com</t>
  </si>
  <si>
    <t>+96898088310</t>
  </si>
  <si>
    <t>Ali A</t>
  </si>
  <si>
    <t>+96896481020</t>
  </si>
  <si>
    <t>khalid12077@gmail.com</t>
  </si>
  <si>
    <t>+96892817997</t>
  </si>
  <si>
    <t>Suleiman Al habsi</t>
  </si>
  <si>
    <t>sultansuleima73@gmail.com</t>
  </si>
  <si>
    <t>+98699793875</t>
  </si>
  <si>
    <t>Ahmed Abdul Atheem</t>
  </si>
  <si>
    <t>ahmednasser@gmail.com</t>
  </si>
  <si>
    <t>+96899440353</t>
  </si>
  <si>
    <t>albu-sady@hotmail.com</t>
  </si>
  <si>
    <t>Mr Yasser</t>
  </si>
  <si>
    <t>Sofia A</t>
  </si>
  <si>
    <t>hygt@k.eg</t>
  </si>
  <si>
    <t>+96899610302</t>
  </si>
  <si>
    <t>Ahmed Albusairi</t>
  </si>
  <si>
    <t>ahmed88879@gmail.com</t>
  </si>
  <si>
    <t>Ibrahim -</t>
  </si>
  <si>
    <t>Abdullah A</t>
  </si>
  <si>
    <t>+96897625706</t>
  </si>
  <si>
    <t>Abdullah-</t>
  </si>
  <si>
    <t>+96892013000</t>
  </si>
  <si>
    <t>Ahmed Al Gabri</t>
  </si>
  <si>
    <t>+971529449587</t>
  </si>
  <si>
    <t>Ali A l Lawati</t>
  </si>
  <si>
    <t>+96899470220</t>
  </si>
  <si>
    <t>Sami Amur</t>
  </si>
  <si>
    <t>sam-92@windowslive.com</t>
  </si>
  <si>
    <t>+96899710600</t>
  </si>
  <si>
    <t>Fahad Malik Malik</t>
  </si>
  <si>
    <t>+971559470786</t>
  </si>
  <si>
    <t>Fatma Ahmad</t>
  </si>
  <si>
    <t>fatimanagina@hotmail.com</t>
  </si>
  <si>
    <t>+971529440222</t>
  </si>
  <si>
    <t>Asad Ali Khawaja</t>
  </si>
  <si>
    <t>asad@cosmoyachts.com</t>
  </si>
  <si>
    <t>zamln@barari.ae</t>
  </si>
  <si>
    <t>nasirali@aup.edu.pk</t>
  </si>
  <si>
    <t>+971526422675</t>
  </si>
  <si>
    <t>Mushtaq Ahmad</t>
  </si>
  <si>
    <t>mushtaq@meraas.ae</t>
  </si>
  <si>
    <t>+971527095152</t>
  </si>
  <si>
    <t>Gayathri Jayaram</t>
  </si>
  <si>
    <t>nhbb@rt.eg</t>
  </si>
  <si>
    <t>+971544744559</t>
  </si>
  <si>
    <t>Ateluos A</t>
  </si>
  <si>
    <t>shahjee3@gmail.com</t>
  </si>
  <si>
    <t>Khurram Siddiqui</t>
  </si>
  <si>
    <t>+971501890699</t>
  </si>
  <si>
    <t>Zafar Ullah Alvi</t>
  </si>
  <si>
    <t>threeswr.spk@yahoo.com</t>
  </si>
  <si>
    <t>+924237353433</t>
  </si>
  <si>
    <t>Fahad Shaukat</t>
  </si>
  <si>
    <t>fahadsultan@nissangulf.com</t>
  </si>
  <si>
    <t>+971506009283</t>
  </si>
  <si>
    <t>Cjava A</t>
  </si>
  <si>
    <t>cjava22@yahoo.com</t>
  </si>
  <si>
    <t>+971508837853</t>
  </si>
  <si>
    <t>Artur K</t>
  </si>
  <si>
    <t>+79683888821</t>
  </si>
  <si>
    <t>ROXY</t>
  </si>
  <si>
    <t>Dmitry Chirkov</t>
  </si>
  <si>
    <t>dichirkov@yandex.ru</t>
  </si>
  <si>
    <t>Aleksandr A</t>
  </si>
  <si>
    <t>+79037262717</t>
  </si>
  <si>
    <t>Eminja E</t>
  </si>
  <si>
    <t>eminja_@hotmail.com</t>
  </si>
  <si>
    <t>Arthur Arthur</t>
  </si>
  <si>
    <t>arthur@mail.com</t>
  </si>
  <si>
    <t>+79852229230</t>
  </si>
  <si>
    <t>Dimitry Dimitry</t>
  </si>
  <si>
    <t>dimitry@gmail.com</t>
  </si>
  <si>
    <t>+97150208807</t>
  </si>
  <si>
    <t>Ms Khristina</t>
  </si>
  <si>
    <t>bkk43@llst.ru</t>
  </si>
  <si>
    <t>Elena Resh</t>
  </si>
  <si>
    <t>elenresh@yandex.ru</t>
  </si>
  <si>
    <t>Alexander Alexander</t>
  </si>
  <si>
    <t>nhbb@ku.eg</t>
  </si>
  <si>
    <t>+89384393490</t>
  </si>
  <si>
    <t>Andrei Sharov</t>
  </si>
  <si>
    <t>sha@abamet.ru</t>
  </si>
  <si>
    <t>+79873213137</t>
  </si>
  <si>
    <t>Dayana Dayana</t>
  </si>
  <si>
    <t>+7968008668</t>
  </si>
  <si>
    <t>19snsh62@mail.ru</t>
  </si>
  <si>
    <t>+79036154034</t>
  </si>
  <si>
    <t>Radan Khuseyn</t>
  </si>
  <si>
    <t>+971586382265</t>
  </si>
  <si>
    <t>Tim Tim</t>
  </si>
  <si>
    <t>+971585993169</t>
  </si>
  <si>
    <t>Aleksandr Tt</t>
  </si>
  <si>
    <t>1090049@mail.ru</t>
  </si>
  <si>
    <t>Lilia Asmakovzkaya</t>
  </si>
  <si>
    <t>1958zodiac@mail.ru</t>
  </si>
  <si>
    <t>+79163849208</t>
  </si>
  <si>
    <t>Georgii Mr</t>
  </si>
  <si>
    <t>+ 79187170000</t>
  </si>
  <si>
    <t>Gavril Stepanov</t>
  </si>
  <si>
    <t>gastep@yandex.ru</t>
  </si>
  <si>
    <t>+79241700036</t>
  </si>
  <si>
    <t>Pavel Zhukov</t>
  </si>
  <si>
    <t>p-zhukov@mail.ru</t>
  </si>
  <si>
    <t>Dantes Dantes</t>
  </si>
  <si>
    <t>+998973425757</t>
  </si>
  <si>
    <t>Evgeniy Kolesnikov</t>
  </si>
  <si>
    <t>89287678777@mail.ru</t>
  </si>
  <si>
    <t>+79287678777</t>
  </si>
  <si>
    <t>Smirlan S</t>
  </si>
  <si>
    <t>smirlan@rocketmail.com</t>
  </si>
  <si>
    <t>+12673446802</t>
  </si>
  <si>
    <t>Rashid Rashid</t>
  </si>
  <si>
    <t>+79250689988</t>
  </si>
  <si>
    <t>Alexander Kondratuk</t>
  </si>
  <si>
    <t>office45450@icloud.com</t>
  </si>
  <si>
    <t>ocean.unsorted@gmail.com</t>
  </si>
  <si>
    <t>Anna and Konstantin Mr</t>
  </si>
  <si>
    <t>moskovsk-23@yandex.ru</t>
  </si>
  <si>
    <t>+79202126533</t>
  </si>
  <si>
    <t>Dmitry Shubin</t>
  </si>
  <si>
    <t>amid1439@gmail.com</t>
  </si>
  <si>
    <t>+79265632960</t>
  </si>
  <si>
    <t>Pavel Kashirskiy</t>
  </si>
  <si>
    <t>9663084@gmail.com</t>
  </si>
  <si>
    <t>Yurii Yurii</t>
  </si>
  <si>
    <t>hhhhhhhy@mail.ru</t>
  </si>
  <si>
    <t>+971506405936</t>
  </si>
  <si>
    <t>Serik Kizat</t>
  </si>
  <si>
    <t>s.kizat@gmail.com</t>
  </si>
  <si>
    <t>+77017171040</t>
  </si>
  <si>
    <t>Denis Denis</t>
  </si>
  <si>
    <t>hhhhh@mail.ru</t>
  </si>
  <si>
    <t>+37125449667</t>
  </si>
  <si>
    <t>Denis A</t>
  </si>
  <si>
    <t>jdhhd@e.eg</t>
  </si>
  <si>
    <t>+4915214350363</t>
  </si>
  <si>
    <t>Linar Fattakhov</t>
  </si>
  <si>
    <t>lffattahov@gmail.com</t>
  </si>
  <si>
    <t>+79150031787</t>
  </si>
  <si>
    <t>llnur llnur</t>
  </si>
  <si>
    <t>hbhbbnhjjj@mail.ru</t>
  </si>
  <si>
    <t>+79053135965</t>
  </si>
  <si>
    <t>Maksim Maksim</t>
  </si>
  <si>
    <t>ffffff@mail.ru</t>
  </si>
  <si>
    <t>+ 79162121030</t>
  </si>
  <si>
    <t>Anna Dadasheva</t>
  </si>
  <si>
    <t>anna-artgk@yandex.ru</t>
  </si>
  <si>
    <t>Larisa Ms</t>
  </si>
  <si>
    <t>9923811@mail.ru</t>
  </si>
  <si>
    <t>Irina Ms</t>
  </si>
  <si>
    <t>+905331455148</t>
  </si>
  <si>
    <t>ffrfrr@gmail.com</t>
  </si>
  <si>
    <t>+ 79995498891</t>
  </si>
  <si>
    <t>Amin Amin</t>
  </si>
  <si>
    <t>jhhug@y.eg</t>
  </si>
  <si>
    <t>+79687397000</t>
  </si>
  <si>
    <t>Slava Zaporojetc</t>
  </si>
  <si>
    <t>vv.ziper@gmail.com</t>
  </si>
  <si>
    <t>+ 77712475949</t>
  </si>
  <si>
    <t>RekiA</t>
  </si>
  <si>
    <t>rskific@gmail.com</t>
  </si>
  <si>
    <t>Raman A</t>
  </si>
  <si>
    <t>jhuy@tf.eg</t>
  </si>
  <si>
    <t>+79045444443</t>
  </si>
  <si>
    <t>Aram A</t>
  </si>
  <si>
    <t>hyut@jkh.eg</t>
  </si>
  <si>
    <t>+380676593565</t>
  </si>
  <si>
    <t>Leonid A</t>
  </si>
  <si>
    <t>nhbg@mj.eg</t>
  </si>
  <si>
    <t>+ 7925 5002911</t>
  </si>
  <si>
    <t>jhdhud@rt.eg</t>
  </si>
  <si>
    <t>+971509963843</t>
  </si>
  <si>
    <t>Yuri Mkhitaryan</t>
  </si>
  <si>
    <t>mkhitaryan@mail.ru</t>
  </si>
  <si>
    <t>VladimirV</t>
  </si>
  <si>
    <t>+79885691403</t>
  </si>
  <si>
    <t>Nil Danilov</t>
  </si>
  <si>
    <t>n_danilov@mail.ru</t>
  </si>
  <si>
    <t>+79278916050</t>
  </si>
  <si>
    <t>Eldar R</t>
  </si>
  <si>
    <t>+79278056699</t>
  </si>
  <si>
    <t>Wale A</t>
  </si>
  <si>
    <t>gtgf@ju.eg</t>
  </si>
  <si>
    <t>+17622109612</t>
  </si>
  <si>
    <t>Anna Liazgina</t>
  </si>
  <si>
    <t>89055794850@mail.ru</t>
  </si>
  <si>
    <t>+79099455224</t>
  </si>
  <si>
    <t>Alexandr Avashev</t>
  </si>
  <si>
    <t>790aag@gmail.com</t>
  </si>
  <si>
    <t>+ 79037903351</t>
  </si>
  <si>
    <t>Dmitry Stoupin</t>
  </si>
  <si>
    <t>stoupin@mail.ru</t>
  </si>
  <si>
    <t>Maxim Samoylenko</t>
  </si>
  <si>
    <t>nahbim2@ya.ru</t>
  </si>
  <si>
    <t>+79054760935</t>
  </si>
  <si>
    <t>Mihail Sedov</t>
  </si>
  <si>
    <t>sedov5@yandex.ru</t>
  </si>
  <si>
    <t>Sofin Ravil</t>
  </si>
  <si>
    <t>sofinravilalekseevich@gmail.com</t>
  </si>
  <si>
    <t>+79055190515</t>
  </si>
  <si>
    <t>Pavel None</t>
  </si>
  <si>
    <t>+79857693266</t>
  </si>
  <si>
    <t>Anar Anar</t>
  </si>
  <si>
    <t>+79629153890</t>
  </si>
  <si>
    <t>Igor Aleksandr</t>
  </si>
  <si>
    <t>e.ponomarev@novotekhsurgut.ru</t>
  </si>
  <si>
    <t>+79037551101</t>
  </si>
  <si>
    <t>Ilia Tikhomirov</t>
  </si>
  <si>
    <t>goldendragonchina@gmail.ru</t>
  </si>
  <si>
    <t>+79128154060</t>
  </si>
  <si>
    <t>Natalya Mikhailovskaya</t>
  </si>
  <si>
    <t>natalia190765@mail.ru</t>
  </si>
  <si>
    <t>+79160379129</t>
  </si>
  <si>
    <t>Vic Dodevski</t>
  </si>
  <si>
    <t>v.dodevski@yahoo.com</t>
  </si>
  <si>
    <t>+79184751555</t>
  </si>
  <si>
    <t>Ahmed VIP kiosk</t>
  </si>
  <si>
    <t>bjgghy@ghg.eg</t>
  </si>
  <si>
    <t>+17734063676</t>
  </si>
  <si>
    <t>Elena Bystryakov</t>
  </si>
  <si>
    <t>bystriakova@mail.ru</t>
  </si>
  <si>
    <t>+971509099978</t>
  </si>
  <si>
    <t>Nues Shuikha</t>
  </si>
  <si>
    <t>nues.shuikha@gmail.com</t>
  </si>
  <si>
    <t>+79250854676</t>
  </si>
  <si>
    <t>Dmitry Kushkin</t>
  </si>
  <si>
    <t>581453@rambler.ru</t>
  </si>
  <si>
    <t>Adik A</t>
  </si>
  <si>
    <t>adik-sadykov63@mail.ru</t>
  </si>
  <si>
    <t>+77017111567</t>
  </si>
  <si>
    <t>Roman Yarovoy</t>
  </si>
  <si>
    <t>logistics999@yandex.ru</t>
  </si>
  <si>
    <t>+79205608878</t>
  </si>
  <si>
    <t>Egor Ovechkin</t>
  </si>
  <si>
    <t>stalinovi8@gmail.com</t>
  </si>
  <si>
    <t>+79636115599</t>
  </si>
  <si>
    <t>Eldar Azizov</t>
  </si>
  <si>
    <t>7776636@gmail.com</t>
  </si>
  <si>
    <t>Mariaa A</t>
  </si>
  <si>
    <t>gftredf@gf.eg</t>
  </si>
  <si>
    <t>+971554963517</t>
  </si>
  <si>
    <t>Renat Yalakov</t>
  </si>
  <si>
    <t>yalakov88@bk.ru</t>
  </si>
  <si>
    <t>+79872282898</t>
  </si>
  <si>
    <t>Steve Aaaaaa</t>
  </si>
  <si>
    <t>stevenjwilson@hotmail.com</t>
  </si>
  <si>
    <t>Aleksey Klinov</t>
  </si>
  <si>
    <t>krest85@yandex.ru</t>
  </si>
  <si>
    <t>Ostroukh Aleksandra</t>
  </si>
  <si>
    <t>shasha1991@yandex.ru</t>
  </si>
  <si>
    <t>wish_85@mail.ru</t>
  </si>
  <si>
    <t>+79167990159</t>
  </si>
  <si>
    <t>Nina Nina</t>
  </si>
  <si>
    <t>+971521463387</t>
  </si>
  <si>
    <t>Alexsandr Alexandr</t>
  </si>
  <si>
    <t>+ 79024725038</t>
  </si>
  <si>
    <t>Dmitrii Uzhinskii</t>
  </si>
  <si>
    <t>du@arric.ru</t>
  </si>
  <si>
    <t>+79517267846</t>
  </si>
  <si>
    <t>Anatoliy N</t>
  </si>
  <si>
    <t>+79826777444</t>
  </si>
  <si>
    <t>Stevie Mccua</t>
  </si>
  <si>
    <t>steviemccua_ 45@yahoo.com</t>
  </si>
  <si>
    <t>Pop Cristian</t>
  </si>
  <si>
    <t>cris_pop88@yahoo.com</t>
  </si>
  <si>
    <t>+40742659845</t>
  </si>
  <si>
    <t>Alla- No</t>
  </si>
  <si>
    <t>alla-golub@mail.ru</t>
  </si>
  <si>
    <t>Genii A</t>
  </si>
  <si>
    <t>knyaz.78@mail.ru</t>
  </si>
  <si>
    <t>+79166856620</t>
  </si>
  <si>
    <t>Artem Fedorov</t>
  </si>
  <si>
    <t>artfed02@mail.ru</t>
  </si>
  <si>
    <t>Maria M</t>
  </si>
  <si>
    <t>mariya.mkhomenko@gmail.com</t>
  </si>
  <si>
    <t>+971544001866</t>
  </si>
  <si>
    <t>Daria M</t>
  </si>
  <si>
    <t>dariamilaeva04@gmail.com</t>
  </si>
  <si>
    <t>llya Smirnov</t>
  </si>
  <si>
    <t>vasalexsmir@gmail.com</t>
  </si>
  <si>
    <t>+79626047788</t>
  </si>
  <si>
    <t>Pavel Logunov</t>
  </si>
  <si>
    <t>pl@grossauto.ru</t>
  </si>
  <si>
    <t>+79153512094</t>
  </si>
  <si>
    <t>Oleg Hhh</t>
  </si>
  <si>
    <t>fomenko34@mail.ru</t>
  </si>
  <si>
    <t>+79620419933</t>
  </si>
  <si>
    <t>+79038270233</t>
  </si>
  <si>
    <t>Anastacia Chertkova</t>
  </si>
  <si>
    <t>ms3798139@gmail.com</t>
  </si>
  <si>
    <t>+79771751560</t>
  </si>
  <si>
    <t>Sergeyy A</t>
  </si>
  <si>
    <t>bhgbsbs@bb.eg</t>
  </si>
  <si>
    <t>+79789577485</t>
  </si>
  <si>
    <t>Ayrat Makhmutov</t>
  </si>
  <si>
    <t>ava359@gmail.com</t>
  </si>
  <si>
    <t>Iren A</t>
  </si>
  <si>
    <t>cfccf@eg.com</t>
  </si>
  <si>
    <t>+971506270770</t>
  </si>
  <si>
    <t>Marina Gorbasheva</t>
  </si>
  <si>
    <t>marina_lugansk@mail.ru</t>
  </si>
  <si>
    <t>Ekaterina Kalinina</t>
  </si>
  <si>
    <t>candy77768@mail.ru</t>
  </si>
  <si>
    <t>+79148158347</t>
  </si>
  <si>
    <t>Irina Grafskaya</t>
  </si>
  <si>
    <t>grafira@list.ru</t>
  </si>
  <si>
    <t>Steve Alexander</t>
  </si>
  <si>
    <t>stevealexander@live.com</t>
  </si>
  <si>
    <t>+971558921345</t>
  </si>
  <si>
    <t>Pier No</t>
  </si>
  <si>
    <t>pier@kftv.com</t>
  </si>
  <si>
    <t xml:space="preserve">AA </t>
  </si>
  <si>
    <t>Alpesh6101@gmail.com</t>
  </si>
  <si>
    <t>+919825444476</t>
  </si>
  <si>
    <t>Ben Gonzalez</t>
  </si>
  <si>
    <t>bgonzalz@hotmail.com</t>
  </si>
  <si>
    <t>Dora Mathe</t>
  </si>
  <si>
    <t>dorimathe@gmail.com</t>
  </si>
  <si>
    <t>+363058619452</t>
  </si>
  <si>
    <t>Path P</t>
  </si>
  <si>
    <t>pclancy@clancy.ie</t>
  </si>
  <si>
    <t>+359876178487</t>
  </si>
  <si>
    <t>Tom Kudick</t>
  </si>
  <si>
    <t>tom@kudick.de</t>
  </si>
  <si>
    <t>+4917641501198</t>
  </si>
  <si>
    <t>A D</t>
  </si>
  <si>
    <t>gguahat@gmail.com</t>
  </si>
  <si>
    <t>+966540881008</t>
  </si>
  <si>
    <t>Mushael Alawad</t>
  </si>
  <si>
    <t>tootahmer@hotmail.com</t>
  </si>
  <si>
    <t>+966560-649462</t>
  </si>
  <si>
    <t>Nawal Nawal</t>
  </si>
  <si>
    <t>lllllllllllll@mail.ru</t>
  </si>
  <si>
    <t>+966553071362</t>
  </si>
  <si>
    <t>Turki Alshammari</t>
  </si>
  <si>
    <t>turkitt02@gmail.com</t>
  </si>
  <si>
    <t>+966544224494</t>
  </si>
  <si>
    <t>Mustafa Mustafa</t>
  </si>
  <si>
    <t>noemaill40@gmail.com</t>
  </si>
  <si>
    <t>+966542020229</t>
  </si>
  <si>
    <t>Bader Almutairi</t>
  </si>
  <si>
    <t>mutairiba@gmail.com</t>
  </si>
  <si>
    <t>+966504440954</t>
  </si>
  <si>
    <t>Hader Hader</t>
  </si>
  <si>
    <t>noemail@mail.ru</t>
  </si>
  <si>
    <t>+966562552506</t>
  </si>
  <si>
    <t>Mohammed Al</t>
  </si>
  <si>
    <t>bghy@kju.com</t>
  </si>
  <si>
    <t>+971503733881</t>
  </si>
  <si>
    <t>anahgsy@er.eg</t>
  </si>
  <si>
    <t>+966555232552</t>
  </si>
  <si>
    <t>Yaser Yaser</t>
  </si>
  <si>
    <t>mjhn@e.eg</t>
  </si>
  <si>
    <t>+971555340688</t>
  </si>
  <si>
    <t>Fasal Mr</t>
  </si>
  <si>
    <t>+966505146262</t>
  </si>
  <si>
    <t>·WaelA</t>
  </si>
  <si>
    <t>+966563332217</t>
  </si>
  <si>
    <t>Ibrahim Mr</t>
  </si>
  <si>
    <t>ib.ip77@yahoo.com ·</t>
  </si>
  <si>
    <t>+966568992077</t>
  </si>
  <si>
    <t>Ahmed Ali</t>
  </si>
  <si>
    <t>+966555441911</t>
  </si>
  <si>
    <t>Abdull Aziz Nhg</t>
  </si>
  <si>
    <t>kuh@h.eg</t>
  </si>
  <si>
    <t>+966554430013</t>
  </si>
  <si>
    <t>Abdulrahman Aldaghbasi</t>
  </si>
  <si>
    <t>+966551154493</t>
  </si>
  <si>
    <t>YaserQasem</t>
  </si>
  <si>
    <t>yh24122012@gmail.com</t>
  </si>
  <si>
    <t>+971504108961</t>
  </si>
  <si>
    <t>Tawfeeg Tnanjjar</t>
  </si>
  <si>
    <t>tnanjjar@ksu-edu.sa</t>
  </si>
  <si>
    <t>+971505235605</t>
  </si>
  <si>
    <t>Syed Iqbar</t>
  </si>
  <si>
    <t>ssyedblr@gmail.com</t>
  </si>
  <si>
    <t>+971554658400</t>
  </si>
  <si>
    <t>Ali Ali</t>
  </si>
  <si>
    <t>+966504404392</t>
  </si>
  <si>
    <t>Aziz Aziz</t>
  </si>
  <si>
    <t>+9660566656364</t>
  </si>
  <si>
    <t>Nabil Mr</t>
  </si>
  <si>
    <t>+971506178879</t>
  </si>
  <si>
    <t>Muath Alomary</t>
  </si>
  <si>
    <t>moathalomari@gmail.com</t>
  </si>
  <si>
    <t>+966563370027</t>
  </si>
  <si>
    <t>Suliman Aldossary</t>
  </si>
  <si>
    <t>suliman86@windowslive.com</t>
  </si>
  <si>
    <t>+966553302992</t>
  </si>
  <si>
    <t>Mohamed Turkey</t>
  </si>
  <si>
    <t>mo.turky@hotmail.com</t>
  </si>
  <si>
    <t>+96567901236</t>
  </si>
  <si>
    <t>Mohamed Mohamed</t>
  </si>
  <si>
    <t>+966548088860</t>
  </si>
  <si>
    <t>+966544488498</t>
  </si>
  <si>
    <t>Abel Aziz A</t>
  </si>
  <si>
    <t>+971505849540</t>
  </si>
  <si>
    <t>Abd AI Aziz A</t>
  </si>
  <si>
    <t>+971545556920</t>
  </si>
  <si>
    <t>Khalid Altamimi</t>
  </si>
  <si>
    <t>tamkz@hotmail.com</t>
  </si>
  <si>
    <t>+966555554503</t>
  </si>
  <si>
    <t>Fahad A</t>
  </si>
  <si>
    <t>nhfb@j.eg</t>
  </si>
  <si>
    <t>+966555141635</t>
  </si>
  <si>
    <t>Ibrahim Alshabanat</t>
  </si>
  <si>
    <t>mshdndm@h.eg</t>
  </si>
  <si>
    <t>Khlod  A</t>
  </si>
  <si>
    <t>hyo.16@hotmail.com</t>
  </si>
  <si>
    <t>+971505864594</t>
  </si>
  <si>
    <t>Ali Alsheibeli</t>
  </si>
  <si>
    <t>rfrf@gmail.com</t>
  </si>
  <si>
    <t>+971504506227</t>
  </si>
  <si>
    <t>Um raed Raed</t>
  </si>
  <si>
    <t>eded@gmail.com</t>
  </si>
  <si>
    <t>+96656555595</t>
  </si>
  <si>
    <t>Amjad Natto</t>
  </si>
  <si>
    <t>amjadnatto1995@hotmail.com</t>
  </si>
  <si>
    <t>+966544079082</t>
  </si>
  <si>
    <t>Tamer Tamer</t>
  </si>
  <si>
    <t>+966544551558</t>
  </si>
  <si>
    <t>Arkan Ms</t>
  </si>
  <si>
    <t>+971527499860</t>
  </si>
  <si>
    <t>Mufaq Mr</t>
  </si>
  <si>
    <t>+966504829754</t>
  </si>
  <si>
    <t>Saeed Alshair</t>
  </si>
  <si>
    <t>smsdvd22@gmail.com</t>
  </si>
  <si>
    <t>+971567837069</t>
  </si>
  <si>
    <t>Abo Mashal A</t>
  </si>
  <si>
    <t>qmnbd@er.eg</t>
  </si>
  <si>
    <t>+966550013130</t>
  </si>
  <si>
    <t>Ibtehaag A</t>
  </si>
  <si>
    <t>+971559046597</t>
  </si>
  <si>
    <t>Maha A</t>
  </si>
  <si>
    <t>+966590212920</t>
  </si>
  <si>
    <t>Ibrahim A</t>
  </si>
  <si>
    <t>+966555156014</t>
  </si>
  <si>
    <t>Majed Hamzah</t>
  </si>
  <si>
    <t>mag2ed@yahoo.com</t>
  </si>
  <si>
    <t>+966505608642</t>
  </si>
  <si>
    <t>Laha A</t>
  </si>
  <si>
    <t>lehai bmo@hotrnail.com</t>
  </si>
  <si>
    <t>Saaed A</t>
  </si>
  <si>
    <t>+971538866314</t>
  </si>
  <si>
    <t>Omme Fires</t>
  </si>
  <si>
    <t>+971503554160</t>
  </si>
  <si>
    <t>Ahmed</t>
  </si>
  <si>
    <t>+971585134073</t>
  </si>
  <si>
    <t>Wejdan A</t>
  </si>
  <si>
    <t>+966533121244</t>
  </si>
  <si>
    <t>Raad A</t>
  </si>
  <si>
    <t>+966503047558</t>
  </si>
  <si>
    <t>+966597556234</t>
  </si>
  <si>
    <t>Sara Sara</t>
  </si>
  <si>
    <t>+966553351964</t>
  </si>
  <si>
    <t>Sal3h S</t>
  </si>
  <si>
    <t>saleh.swe@gmail.com</t>
  </si>
  <si>
    <t>+971555314106</t>
  </si>
  <si>
    <t>Yousf Al Rashed</t>
  </si>
  <si>
    <t>+971553445766</t>
  </si>
  <si>
    <t>Amal A</t>
  </si>
  <si>
    <t>Zizo a</t>
  </si>
  <si>
    <t>zizoo_02@hotmail.com</t>
  </si>
  <si>
    <t>+971544474240</t>
  </si>
  <si>
    <t>Khaled Souood</t>
  </si>
  <si>
    <t>e6r5566@gmail.com</t>
  </si>
  <si>
    <t>+966505865855</t>
  </si>
  <si>
    <t>Abdullah Abdulaziz</t>
  </si>
  <si>
    <t>a.a.f1000@hotmail.com</t>
  </si>
  <si>
    <t>+966501267779</t>
  </si>
  <si>
    <t>Rehab</t>
  </si>
  <si>
    <t>+971554440969</t>
  </si>
  <si>
    <t>Om sultan A</t>
  </si>
  <si>
    <t>+971503498859</t>
  </si>
  <si>
    <t>Fawzy Al bashre</t>
  </si>
  <si>
    <t>nawaf2015@hotmail.com</t>
  </si>
  <si>
    <t>Abdulaziz</t>
  </si>
  <si>
    <t>+966503441216</t>
  </si>
  <si>
    <t>Mahmoud Assam</t>
  </si>
  <si>
    <t>maalbassam@hotmail.com</t>
  </si>
  <si>
    <t>+966553182773</t>
  </si>
  <si>
    <t>Rashed A</t>
  </si>
  <si>
    <t>njdbb@er.eg</t>
  </si>
  <si>
    <t>+966553182723</t>
  </si>
  <si>
    <t>Abdullah  Saudi</t>
  </si>
  <si>
    <t>050150180S@j.com</t>
  </si>
  <si>
    <t>+971501501808</t>
  </si>
  <si>
    <t>Waleed Mohd</t>
  </si>
  <si>
    <t>+966555209967</t>
  </si>
  <si>
    <t>Shaya Alqahtani</t>
  </si>
  <si>
    <t>+966534333376 / +16016999905</t>
  </si>
  <si>
    <t>Abdul Aziz A</t>
  </si>
  <si>
    <t>+966599844333</t>
  </si>
  <si>
    <t>Nizaar A</t>
  </si>
  <si>
    <t>Nasser hason</t>
  </si>
  <si>
    <t>nasser.hason@gmail.com</t>
  </si>
  <si>
    <t>+966504436043</t>
  </si>
  <si>
    <t>Badriya Alaarifi</t>
  </si>
  <si>
    <t>+96653283877</t>
  </si>
  <si>
    <t>Tareq -</t>
  </si>
  <si>
    <t>+966569083341</t>
  </si>
  <si>
    <t>Bender Al</t>
  </si>
  <si>
    <t>ga isinel ka@mail.ru</t>
  </si>
  <si>
    <t>+966555556305</t>
  </si>
  <si>
    <t>Kawtar No</t>
  </si>
  <si>
    <t>+96555007800</t>
  </si>
  <si>
    <t>Hassan</t>
  </si>
  <si>
    <t>+966504463528</t>
  </si>
  <si>
    <t>Khalid Assaaaaa</t>
  </si>
  <si>
    <t>ks half an@gmail.com</t>
  </si>
  <si>
    <t>+971504687100</t>
  </si>
  <si>
    <t>Abbas Zamzami</t>
  </si>
  <si>
    <t>az092412@gmail.com</t>
  </si>
  <si>
    <t>gaisinel ka@mail.ru</t>
  </si>
  <si>
    <t>+966500556141</t>
  </si>
  <si>
    <t>Tara B</t>
  </si>
  <si>
    <t>tara_bajalan@hotmail.com</t>
  </si>
  <si>
    <t>+971504883613</t>
  </si>
  <si>
    <t>Meshal Rahali</t>
  </si>
  <si>
    <t>alra7ali@hotmail.com</t>
  </si>
  <si>
    <t>+966541901111</t>
  </si>
  <si>
    <t>Malek Khan</t>
  </si>
  <si>
    <t>+966505616980</t>
  </si>
  <si>
    <t>Mr Saad</t>
  </si>
  <si>
    <t>+9665555244383</t>
  </si>
  <si>
    <t>Ahmed Baotob</t>
  </si>
  <si>
    <t>ahmedbaotob@gmail.com</t>
  </si>
  <si>
    <t>+971509398813</t>
  </si>
  <si>
    <t>Eyas S</t>
  </si>
  <si>
    <t>+966505483080</t>
  </si>
  <si>
    <t>Ibrahim Alsi</t>
  </si>
  <si>
    <t>nnn13404@gmail.com</t>
  </si>
  <si>
    <t>rrr55532@gmail.com</t>
  </si>
  <si>
    <t>Abdurahman Abdurahman</t>
  </si>
  <si>
    <t>+971505225505</t>
  </si>
  <si>
    <t>nhshdndkd@dndh.eg</t>
  </si>
  <si>
    <t>+971558958421</t>
  </si>
  <si>
    <t>Abdul Rahaman A</t>
  </si>
  <si>
    <t>aalhakbani@gmail.com</t>
  </si>
  <si>
    <t>+971506523332</t>
  </si>
  <si>
    <t>Abdulrahman Sendi</t>
  </si>
  <si>
    <t>abdulrahman_@hotmail.com</t>
  </si>
  <si>
    <t>Raed Khayyat</t>
  </si>
  <si>
    <t>raed.ok1987@hotmail.com</t>
  </si>
  <si>
    <t>+966540004346</t>
  </si>
  <si>
    <t>Ali Alnahdi</t>
  </si>
  <si>
    <t>ph.alii@hotmail.com</t>
  </si>
  <si>
    <t>+971508920214</t>
  </si>
  <si>
    <t>Eisa Eisa</t>
  </si>
  <si>
    <t>alholyan@hotmail.com</t>
  </si>
  <si>
    <t>+966505159696</t>
  </si>
  <si>
    <t>Yahya Alyousef</t>
  </si>
  <si>
    <t>engalyousef@gmail.com</t>
  </si>
  <si>
    <t>ssgnet@hotmail.com</t>
  </si>
  <si>
    <t>+9665633200203</t>
  </si>
  <si>
    <t>Hasan Yahya</t>
  </si>
  <si>
    <t>hasan.yahya@safewayxp.com</t>
  </si>
  <si>
    <t>+971507752588</t>
  </si>
  <si>
    <t>Mohamed</t>
  </si>
  <si>
    <t>cvhgf@hy.eg</t>
  </si>
  <si>
    <t>,+971506604510</t>
  </si>
  <si>
    <t>Atif Alhumaimeedi</t>
  </si>
  <si>
    <t>atif _sul@hotmail.com</t>
  </si>
  <si>
    <t>+966555222913</t>
  </si>
  <si>
    <t>Lornee A</t>
  </si>
  <si>
    <t>loomee2007@hotmail.com</t>
  </si>
  <si>
    <t>Abdulrazaq A!lhmood</t>
  </si>
  <si>
    <t>a.a.alhmood@hotmail.com</t>
  </si>
  <si>
    <t>+966595111999</t>
  </si>
  <si>
    <t>Husam Natto</t>
  </si>
  <si>
    <t>husam@gmail.com</t>
  </si>
  <si>
    <t>+96655548879</t>
  </si>
  <si>
    <t>Meshal lbin khan bin hathlan</t>
  </si>
  <si>
    <t>ddddd@aaaa.com</t>
  </si>
  <si>
    <t>+96650434443</t>
  </si>
  <si>
    <t>Muhammed Muhammed</t>
  </si>
  <si>
    <t>+971501549203</t>
  </si>
  <si>
    <t>RayanO</t>
  </si>
  <si>
    <t>r.r.9@live.com</t>
  </si>
  <si>
    <t>Majid Al Bawardi</t>
  </si>
  <si>
    <t>majed3@gm ii.com</t>
  </si>
  <si>
    <t>Saud Alfaisal</t>
  </si>
  <si>
    <t>saulfa@yahoo.com</t>
  </si>
  <si>
    <t>Afanan Almukaimy</t>
  </si>
  <si>
    <t>afnanalmukaimy@hotmail.com</t>
  </si>
  <si>
    <t>Jamal A</t>
  </si>
  <si>
    <t>seq~es@hge.eg</t>
  </si>
  <si>
    <t>+971503650052</t>
  </si>
  <si>
    <t>Salim S</t>
  </si>
  <si>
    <t>s.aljudayi@gmail.com</t>
  </si>
  <si>
    <t>+966597110190</t>
  </si>
  <si>
    <t>enm1o1@gmail.com</t>
  </si>
  <si>
    <t>+971553676012</t>
  </si>
  <si>
    <t>Turkey T</t>
  </si>
  <si>
    <t>+971554007006</t>
  </si>
  <si>
    <t>Abdulaziz Aljohani</t>
  </si>
  <si>
    <t>malalmadena@hotmail.com</t>
  </si>
  <si>
    <t>+966565553616</t>
  </si>
  <si>
    <t>Mohammed Al Ashamikh</t>
  </si>
  <si>
    <t>ashamikhmm@saharap.com</t>
  </si>
  <si>
    <t>+97150485200</t>
  </si>
  <si>
    <t>F H</t>
  </si>
  <si>
    <t>fh_7@hotmail.com</t>
  </si>
  <si>
    <t>Honey -</t>
  </si>
  <si>
    <t>+966569511481</t>
  </si>
  <si>
    <t>Abdul Aziz Al Nasyano</t>
  </si>
  <si>
    <t>azu9746@gmail.com</t>
  </si>
  <si>
    <t>+966555150981</t>
  </si>
  <si>
    <t>Abdullah Alammar</t>
  </si>
  <si>
    <t>abdullah_ 121@hotmail.com</t>
  </si>
  <si>
    <t>+97155409004</t>
  </si>
  <si>
    <t>Sultan Bin Mandil</t>
  </si>
  <si>
    <t>sultan.bin.mandil@hotmail.com</t>
  </si>
  <si>
    <t>Ahmed Mohamed</t>
  </si>
  <si>
    <t>mohamed_ym@yahoo.com</t>
  </si>
  <si>
    <t>Abdullah Ashehri</t>
  </si>
  <si>
    <t>alshihry93@icloud.com</t>
  </si>
  <si>
    <t>+966565772237</t>
  </si>
  <si>
    <t>Laila Almoghirah</t>
  </si>
  <si>
    <t>laila_almoghirah@yahoo.com</t>
  </si>
  <si>
    <t>+971506458542</t>
  </si>
  <si>
    <t>Redha Kamal</t>
  </si>
  <si>
    <t>rbk565@hotmail.com</t>
  </si>
  <si>
    <t>Fahad Al Otaibi</t>
  </si>
  <si>
    <t>f11f00@hotmail.com</t>
  </si>
  <si>
    <t>+971505250514</t>
  </si>
  <si>
    <t>Moosa Alherz</t>
  </si>
  <si>
    <t>moosa.alherz@hotmail.com</t>
  </si>
  <si>
    <t>+9665069666500</t>
  </si>
  <si>
    <t>Essam Ibrahim</t>
  </si>
  <si>
    <t>essamanb@hotmail.com</t>
  </si>
  <si>
    <t>+966551216005</t>
  </si>
  <si>
    <t>Faisal Alotaibi</t>
  </si>
  <si>
    <t>redstorew@hotmail.com</t>
  </si>
  <si>
    <t>Bassam Abbas</t>
  </si>
  <si>
    <t>benabba@kfshrc@edu.sa</t>
  </si>
  <si>
    <t>+966114647272</t>
  </si>
  <si>
    <t>Moh Alzair</t>
  </si>
  <si>
    <t>m-zuayr@hotmail.com</t>
  </si>
  <si>
    <t>Mohanad Alsohaibani</t>
  </si>
  <si>
    <t>maisohai@gmail.com</t>
  </si>
  <si>
    <t>+966597549954</t>
  </si>
  <si>
    <t>Fahad F</t>
  </si>
  <si>
    <t>lyth1407@gnlail.com</t>
  </si>
  <si>
    <t>+9660568779766</t>
  </si>
  <si>
    <t>Ardavan Ardavan</t>
  </si>
  <si>
    <t>+971504525620</t>
  </si>
  <si>
    <t>Ali Aldakhil</t>
  </si>
  <si>
    <t>aldakhilali@hotmail.com</t>
  </si>
  <si>
    <t>+967505272328</t>
  </si>
  <si>
    <t>Ci Saad Mr</t>
  </si>
  <si>
    <t>+966570653957</t>
  </si>
  <si>
    <t>Abu A</t>
  </si>
  <si>
    <t>+966505763013</t>
  </si>
  <si>
    <t>Firas Khaled</t>
  </si>
  <si>
    <t>firas.b.11@gmail.com</t>
  </si>
  <si>
    <t>+966546998877</t>
  </si>
  <si>
    <t>Bader Bader</t>
  </si>
  <si>
    <t>+9666086727</t>
  </si>
  <si>
    <t>Mahmud M</t>
  </si>
  <si>
    <t>+966505300356</t>
  </si>
  <si>
    <t>Abd D Alsalam Helayl Alharbi</t>
  </si>
  <si>
    <t>abdulsalam.harbi.28@hotmail.com</t>
  </si>
  <si>
    <t>+966500071539</t>
  </si>
  <si>
    <t>Faisal Enany</t>
  </si>
  <si>
    <t>faisal.enany@arabianfarms.com</t>
  </si>
  <si>
    <t>+966126906750</t>
  </si>
  <si>
    <t>Douaa A</t>
  </si>
  <si>
    <t>hghgg2@gmail.com</t>
  </si>
  <si>
    <t>+971566041256</t>
  </si>
  <si>
    <t>Waleed Alowa</t>
  </si>
  <si>
    <t>waleedjob1@gmail.com</t>
  </si>
  <si>
    <t>+966568322655</t>
  </si>
  <si>
    <t>Sara Asiri</t>
  </si>
  <si>
    <t>xoxossss@hotmail.com</t>
  </si>
  <si>
    <t>+966506753050</t>
  </si>
  <si>
    <t>Bilal Zubair</t>
  </si>
  <si>
    <t>bilal@alraee.com.sa</t>
  </si>
  <si>
    <t>+966562666656</t>
  </si>
  <si>
    <t>Maha Gh</t>
  </si>
  <si>
    <t>mahaart30@gmail.com</t>
  </si>
  <si>
    <t>+966506682122</t>
  </si>
  <si>
    <t>Abdulla BAminif</t>
  </si>
  <si>
    <t>abdulla.baminif@hotmail.com</t>
  </si>
  <si>
    <t>+971503685770</t>
  </si>
  <si>
    <t>Ghonim</t>
  </si>
  <si>
    <t>ghonaimsaleh@gmail.com</t>
  </si>
  <si>
    <t>+966555680119</t>
  </si>
  <si>
    <t>Thiam Pape Mamadou</t>
  </si>
  <si>
    <t>pmthian@planetevents.com</t>
  </si>
  <si>
    <t>+221775180121</t>
  </si>
  <si>
    <t>Senegal</t>
  </si>
  <si>
    <t>Mai Liu Liu</t>
  </si>
  <si>
    <t>+971581158128</t>
  </si>
  <si>
    <t>Singapore</t>
  </si>
  <si>
    <t>Riyad Twair</t>
  </si>
  <si>
    <t>rtwair@gmail.com</t>
  </si>
  <si>
    <t>+15142241794</t>
  </si>
  <si>
    <t>Enrique No</t>
  </si>
  <si>
    <t>+31618998653</t>
  </si>
  <si>
    <t>Rachael</t>
  </si>
  <si>
    <t>nhhdbd@edndn.eg</t>
  </si>
  <si>
    <t>+6596849272</t>
  </si>
  <si>
    <t>Yusuf Ysuf</t>
  </si>
  <si>
    <t>+27842910162</t>
  </si>
  <si>
    <t>South Africa</t>
  </si>
  <si>
    <t>Sulamaniyah Dock Rat</t>
  </si>
  <si>
    <t>emhilal@emirates.net.ae</t>
  </si>
  <si>
    <t>+971552243270</t>
  </si>
  <si>
    <t>Augustine Nworzor</t>
  </si>
  <si>
    <t>augi247@icloud.com</t>
  </si>
  <si>
    <t>+27713172286</t>
  </si>
  <si>
    <t>Madugu Shehu</t>
  </si>
  <si>
    <t>shehumadugu@yahoo.com</t>
  </si>
  <si>
    <t>+2348091112907</t>
  </si>
  <si>
    <t>Ahmad Timol</t>
  </si>
  <si>
    <t>ahmad@ahamra.co.za</t>
  </si>
  <si>
    <t>+270826570786</t>
  </si>
  <si>
    <t>Bonggani Mageba</t>
  </si>
  <si>
    <t>Pule Ramasimong</t>
  </si>
  <si>
    <t>pulesike@gmail.com</t>
  </si>
  <si>
    <t>+97150837458693</t>
  </si>
  <si>
    <t>Moosa Leher</t>
  </si>
  <si>
    <t>moosaleher@gmail.com</t>
  </si>
  <si>
    <t>+27718662289</t>
  </si>
  <si>
    <t>Yusuf Adams</t>
  </si>
  <si>
    <t>yusuf@smada.co.za</t>
  </si>
  <si>
    <t>+27827887786</t>
  </si>
  <si>
    <t>Jade Smith</t>
  </si>
  <si>
    <t>kylejadesmth@gmail.com</t>
  </si>
  <si>
    <t>+971503130375</t>
  </si>
  <si>
    <t>Faisal Rajah</t>
  </si>
  <si>
    <t>faizel@bys.co.za</t>
  </si>
  <si>
    <t>+27837862336</t>
  </si>
  <si>
    <t>Ricky A</t>
  </si>
  <si>
    <t>ricky@itlgroup.co.za</t>
  </si>
  <si>
    <t>+27822921148</t>
  </si>
  <si>
    <t>Jasper B</t>
  </si>
  <si>
    <t>jasper@bmg5.com</t>
  </si>
  <si>
    <t>Sungsoo Lim</t>
  </si>
  <si>
    <t>+971562412722</t>
  </si>
  <si>
    <t>+971558198568</t>
  </si>
  <si>
    <t>Julio Abad</t>
  </si>
  <si>
    <t>jabad@gmail.com</t>
  </si>
  <si>
    <t>+971501889764</t>
  </si>
  <si>
    <t>Marco Silva</t>
  </si>
  <si>
    <t>marcoleite380@gmail.com</t>
  </si>
  <si>
    <t>+971507354414</t>
  </si>
  <si>
    <t>Alex Civira</t>
  </si>
  <si>
    <t>alexcivira@gmail.com</t>
  </si>
  <si>
    <t>+971545827948</t>
  </si>
  <si>
    <t>Cristina Picon</t>
  </si>
  <si>
    <t>piconchagpar@gmail.com</t>
  </si>
  <si>
    <t>+971525642082</t>
  </si>
  <si>
    <t>Gauder G</t>
  </si>
  <si>
    <t>gaudernak@live.com</t>
  </si>
  <si>
    <t>Adel A</t>
  </si>
  <si>
    <t>mndh@r;eg</t>
  </si>
  <si>
    <t>+9715552493059</t>
  </si>
  <si>
    <t>Alina A</t>
  </si>
  <si>
    <t>gth@h.eg</t>
  </si>
  <si>
    <t>+40765281109</t>
  </si>
  <si>
    <t>Sergio Cuniglio</t>
  </si>
  <si>
    <t>scuniglio@gmail.com</t>
  </si>
  <si>
    <t>+549119803611</t>
  </si>
  <si>
    <t>Jasmine Cuellar Destre</t>
  </si>
  <si>
    <t>+41786856749</t>
  </si>
  <si>
    <t>Miguel  Lasprilla</t>
  </si>
  <si>
    <t>+971509239199</t>
  </si>
  <si>
    <t>Ricardo Allende</t>
  </si>
  <si>
    <t>ricalllende@yahoo.es</t>
  </si>
  <si>
    <t>+34667365357</t>
  </si>
  <si>
    <t>Anna Anna</t>
  </si>
  <si>
    <t>anaherreros80@hotmail.com</t>
  </si>
  <si>
    <t>Maria Flames</t>
  </si>
  <si>
    <t>+41796551947</t>
  </si>
  <si>
    <t>Karim--</t>
  </si>
  <si>
    <t>klaribi@aol.com</t>
  </si>
  <si>
    <t>+34670938326</t>
  </si>
  <si>
    <t>Jose Manuel Solla</t>
  </si>
  <si>
    <t>elcanosanxenxo@gmail.com</t>
  </si>
  <si>
    <t>---.</t>
  </si>
  <si>
    <t>Lenare Chmuth</t>
  </si>
  <si>
    <t>lenarechmuth@filmstills.at</t>
  </si>
  <si>
    <t>+436991270272</t>
  </si>
  <si>
    <t>Karin Graf</t>
  </si>
  <si>
    <t>karin.graf@ggaweb.ch</t>
  </si>
  <si>
    <t>+41764420570</t>
  </si>
  <si>
    <t>Patrice Monnin</t>
  </si>
  <si>
    <t>patrice.monnin@gmail.com</t>
  </si>
  <si>
    <t>+41782051000</t>
  </si>
  <si>
    <t>Sandile Gumbi</t>
  </si>
  <si>
    <t>sandilgmb@gmail.com</t>
  </si>
  <si>
    <t>+26876237866</t>
  </si>
  <si>
    <t>+971557519096</t>
  </si>
  <si>
    <t>Haytham Alasadi</t>
  </si>
  <si>
    <t>haytham.alasadi@samba.com</t>
  </si>
  <si>
    <t>+966117111200</t>
  </si>
  <si>
    <t>Murad Amin</t>
  </si>
  <si>
    <t>@)gma1l.com</t>
  </si>
  <si>
    <t>Ala Abeek</t>
  </si>
  <si>
    <t>alaabeek@hotmail.com</t>
  </si>
  <si>
    <t>Wassim O</t>
  </si>
  <si>
    <t>murad.amin89@hotmail.com</t>
  </si>
  <si>
    <t>+966555550919</t>
  </si>
  <si>
    <t>Amr -</t>
  </si>
  <si>
    <t>o@gmail.com</t>
  </si>
  <si>
    <t>+966500111953</t>
  </si>
  <si>
    <t>Shar Saloum</t>
  </si>
  <si>
    <t>nomail@rnall corn</t>
  </si>
  <si>
    <t>+971504412819</t>
  </si>
  <si>
    <t>Amjad AAaa</t>
  </si>
  <si>
    <t>bachar.salloum7@gmail.com</t>
  </si>
  <si>
    <t>+971507383877</t>
  </si>
  <si>
    <t>Ahmad Ozen</t>
  </si>
  <si>
    <t>aaaaa@aaaa.com</t>
  </si>
  <si>
    <t>+971564477694</t>
  </si>
  <si>
    <t>Jawdat Daher</t>
  </si>
  <si>
    <t>arch.ozone@hotmail.com</t>
  </si>
  <si>
    <t>+971506355542</t>
  </si>
  <si>
    <t>Yasser Ezzo</t>
  </si>
  <si>
    <t>yasser.ezzo@flydubai.com</t>
  </si>
  <si>
    <t>Tahsin Rifae</t>
  </si>
  <si>
    <t>tahsinrifae@gmail.com</t>
  </si>
  <si>
    <t>+971504551367</t>
  </si>
  <si>
    <t>Zeovisin Z</t>
  </si>
  <si>
    <t>+97152399666</t>
  </si>
  <si>
    <t>Uzbekistan</t>
  </si>
  <si>
    <t>Nod Karabaeva</t>
  </si>
  <si>
    <t>nodkarabaeva@gmail.com</t>
  </si>
  <si>
    <t>+971564749977</t>
  </si>
  <si>
    <t>Sirojiddin Kamaritdinov</t>
  </si>
  <si>
    <t>siroj_kam@mail.ru</t>
  </si>
  <si>
    <t>+998909970077</t>
  </si>
  <si>
    <t>Nasiba</t>
  </si>
  <si>
    <t>+998977063072</t>
  </si>
  <si>
    <t>Mr Yousuf</t>
  </si>
  <si>
    <t>+971507370129</t>
  </si>
  <si>
    <t>Ulugbek Mamatkulov</t>
  </si>
  <si>
    <t>ula_ 11_89@mail.ru</t>
  </si>
  <si>
    <t>+971502331707</t>
  </si>
  <si>
    <t>Timothy Senteza</t>
  </si>
  <si>
    <t>kanyetim@gmail.com</t>
  </si>
  <si>
    <t>Uganda</t>
  </si>
  <si>
    <t>Husan H</t>
  </si>
  <si>
    <t>+971503223062</t>
  </si>
  <si>
    <t>Yemen</t>
  </si>
  <si>
    <t>Yama Yama</t>
  </si>
  <si>
    <t>+93700000699</t>
  </si>
  <si>
    <t>Eeee Rrrr</t>
  </si>
  <si>
    <t>+971545480447</t>
  </si>
  <si>
    <t>Sanjy Sare</t>
  </si>
  <si>
    <t>+971553645440</t>
  </si>
  <si>
    <t>Mkhan Aaaa</t>
  </si>
  <si>
    <t>+971506319189</t>
  </si>
  <si>
    <t>Aa</t>
  </si>
  <si>
    <t>+966594600700</t>
  </si>
  <si>
    <t>A sud peerzada</t>
  </si>
  <si>
    <t>+971529999765</t>
  </si>
  <si>
    <t xml:space="preserve"> Yang</t>
  </si>
  <si>
    <t>Lu Zhang</t>
  </si>
  <si>
    <t>ludog6@yahoo.com</t>
  </si>
  <si>
    <t>+85291393063</t>
  </si>
  <si>
    <t>Huang Mike</t>
  </si>
  <si>
    <t>huangmike@gmail.com</t>
  </si>
  <si>
    <t xml:space="preserve">Zak </t>
  </si>
  <si>
    <t>+971552950040</t>
  </si>
  <si>
    <t>David Peng</t>
  </si>
  <si>
    <t>+971525425535</t>
  </si>
  <si>
    <t>Emily Emily</t>
  </si>
  <si>
    <t>+8613911306928</t>
  </si>
  <si>
    <t>Paoly Yang</t>
  </si>
  <si>
    <t>+86334369934</t>
  </si>
  <si>
    <t>Zheng Li Yao</t>
  </si>
  <si>
    <t>sweetzyl@hotmail.com</t>
  </si>
  <si>
    <t>Guangyao Zhu</t>
  </si>
  <si>
    <t>+971506615268</t>
  </si>
  <si>
    <t>Donglei zhang</t>
  </si>
  <si>
    <t>+971522109205</t>
  </si>
  <si>
    <t>Yang Tian</t>
  </si>
  <si>
    <t>sinobuddy@gmail.com</t>
  </si>
  <si>
    <t>+971554269081</t>
  </si>
  <si>
    <t>Jassica A</t>
  </si>
  <si>
    <t>+971524938298</t>
  </si>
  <si>
    <t>Guilan Yang</t>
  </si>
  <si>
    <t>+971552074050</t>
  </si>
  <si>
    <t>Lynn Zheng</t>
  </si>
  <si>
    <t>lyn@topmedoor.com</t>
  </si>
  <si>
    <t>+8615905701027</t>
  </si>
  <si>
    <t>Darren Tian</t>
  </si>
  <si>
    <t>tdj460@gmail.com</t>
  </si>
  <si>
    <t>+971568209177</t>
  </si>
  <si>
    <t>Akram Awadalla</t>
  </si>
  <si>
    <t>akram.awadalla@yahoo.com</t>
  </si>
  <si>
    <t>Mahmoud Haggah</t>
  </si>
  <si>
    <t>+971554029187</t>
  </si>
  <si>
    <t>Anas Hasan</t>
  </si>
  <si>
    <t xml:space="preserve">anas_arafa@yahoo.com </t>
  </si>
  <si>
    <t>+966553122010</t>
  </si>
  <si>
    <t>Faisal Mr</t>
  </si>
  <si>
    <t>midiooo2222faisal.love@gmail.com</t>
  </si>
  <si>
    <t>+971506605350</t>
  </si>
  <si>
    <t>Nader Elbariedy</t>
  </si>
  <si>
    <t>ebariedy@hotmail.com</t>
  </si>
  <si>
    <t>+971509313104</t>
  </si>
  <si>
    <t>Mohamed Ali</t>
  </si>
  <si>
    <t>mohamed.ali708@gmail.com</t>
  </si>
  <si>
    <t>+971585009005</t>
  </si>
  <si>
    <t xml:space="preserve">Ahmed Aya </t>
  </si>
  <si>
    <t>itsaya.7@gmail.com</t>
  </si>
  <si>
    <t>+971509594279</t>
  </si>
  <si>
    <t>Mohamed Fahmy</t>
  </si>
  <si>
    <t>fahmy@artechholdings.com</t>
  </si>
  <si>
    <t>Sarah --</t>
  </si>
  <si>
    <t>+20100087141</t>
  </si>
  <si>
    <t>Dalia M</t>
  </si>
  <si>
    <t>dalota@yahoo.com</t>
  </si>
  <si>
    <t>mjjarine@hotmail.com</t>
  </si>
  <si>
    <t>+971501527047</t>
  </si>
  <si>
    <t>Ali Salim</t>
  </si>
  <si>
    <t>ali.salim@zfod.eni.com</t>
  </si>
  <si>
    <t>Mohammad Albaqaal</t>
  </si>
  <si>
    <t>+96407704488609</t>
  </si>
  <si>
    <t>Mr Mohamed A</t>
  </si>
  <si>
    <t>mhdahmadian72@gmail.com</t>
  </si>
  <si>
    <t>Kourush Samimi</t>
  </si>
  <si>
    <t>Kuorosh_samimi@yahoo.com</t>
  </si>
  <si>
    <t>Sia Bakhtiari</t>
  </si>
  <si>
    <t>siabakhtiari@gmail.com</t>
  </si>
  <si>
    <t>Ali T</t>
  </si>
  <si>
    <t>Alitorab@live.com</t>
  </si>
  <si>
    <t>+971567564444</t>
  </si>
  <si>
    <t>Ahmad Ahmadi</t>
  </si>
  <si>
    <t>ahmad@aquadivingme.com</t>
  </si>
  <si>
    <t>+971554050503</t>
  </si>
  <si>
    <t>Hoosein Nabie</t>
  </si>
  <si>
    <t>omid_nabiipoor@yahoo.com</t>
  </si>
  <si>
    <t>+971508882629</t>
  </si>
  <si>
    <t>maha_milf@yahoo.com</t>
  </si>
  <si>
    <t>Farzin Sakarat</t>
  </si>
  <si>
    <t>sarkarat@hotmail.com</t>
  </si>
  <si>
    <t>+971567159569</t>
  </si>
  <si>
    <t>Ali Mostavi</t>
  </si>
  <si>
    <t>alimostafawi@gmail.com</t>
  </si>
  <si>
    <t>+971522139990</t>
  </si>
  <si>
    <t>Shoroq Meshari</t>
  </si>
  <si>
    <t>shoroq.gzl@gmail.com</t>
  </si>
  <si>
    <t>Alireza Vaseghi</t>
  </si>
  <si>
    <t>avaseghi@grundfos.com</t>
  </si>
  <si>
    <t>+971507703706</t>
  </si>
  <si>
    <t>Mariam A</t>
  </si>
  <si>
    <t>marzbab1098@yahoo.com</t>
  </si>
  <si>
    <t>+971557737199</t>
  </si>
  <si>
    <t>Farzad Sarghi</t>
  </si>
  <si>
    <t>f.zarghi@gmail.com</t>
  </si>
  <si>
    <t>+971567787484</t>
  </si>
  <si>
    <t>Mohammed Shahri</t>
  </si>
  <si>
    <t>+989121774780</t>
  </si>
  <si>
    <t>Patrick Siani</t>
  </si>
  <si>
    <t>pasian88@gma1l.com</t>
  </si>
  <si>
    <t>+97155899·6468</t>
  </si>
  <si>
    <t>Daniele Bonin</t>
  </si>
  <si>
    <t>danielebonini@isalsweepers.com</t>
  </si>
  <si>
    <t>+393441943044</t>
  </si>
  <si>
    <t>Sandro Lazzarin</t>
  </si>
  <si>
    <t>info@sandrolazzarini.com</t>
  </si>
  <si>
    <t>+393357021629</t>
  </si>
  <si>
    <t>Claudia A</t>
  </si>
  <si>
    <t>ioannuccimariaclaudia@gmail.com</t>
  </si>
  <si>
    <t>+971567438370/+393356140303</t>
  </si>
  <si>
    <t>Giorgio Aletti</t>
  </si>
  <si>
    <t>giorgio@aletti.org</t>
  </si>
  <si>
    <t>Valentina V</t>
  </si>
  <si>
    <t>-</t>
  </si>
  <si>
    <t>+393482590377</t>
  </si>
  <si>
    <t>Alessandro -</t>
  </si>
  <si>
    <t>alessando.opto@virgilio.it</t>
  </si>
  <si>
    <t>+393286996617</t>
  </si>
  <si>
    <t>Gioavanni Giardini</t>
  </si>
  <si>
    <t>giovannig78@gmail.com</t>
  </si>
  <si>
    <t>Fabio Rosal</t>
  </si>
  <si>
    <t>arch.fabiorossi@gmail.com</t>
  </si>
  <si>
    <t>+393206017989</t>
  </si>
  <si>
    <t>Manlio Micelli</t>
  </si>
  <si>
    <t>manlio75@gmail.com</t>
  </si>
  <si>
    <t>+393388947429</t>
  </si>
  <si>
    <t>Gianluca Mirano</t>
  </si>
  <si>
    <t>gianluca@astreamideast.ae</t>
  </si>
  <si>
    <t>Federica Ciriani</t>
  </si>
  <si>
    <t>cirianf@yahoo.it</t>
  </si>
  <si>
    <t>+393493548304</t>
  </si>
  <si>
    <t>Anna Grazia</t>
  </si>
  <si>
    <t>+971522624451</t>
  </si>
  <si>
    <t>Alessandro De Marco</t>
  </si>
  <si>
    <t>demarco@pt.lu</t>
  </si>
  <si>
    <t>+352691470467</t>
  </si>
  <si>
    <t>Enciso Alejandra</t>
  </si>
  <si>
    <t>enciso.alejandra@hotmail.com</t>
  </si>
  <si>
    <t>+35526644554</t>
  </si>
  <si>
    <t>Marina Spera</t>
  </si>
  <si>
    <t>marina.spera@gmail.com</t>
  </si>
  <si>
    <t>+393387942186</t>
  </si>
  <si>
    <t>Marco Palazzolo</t>
  </si>
  <si>
    <t>+971506794715</t>
  </si>
  <si>
    <t>Paolart A</t>
  </si>
  <si>
    <t>paolart17@gmail.com</t>
  </si>
  <si>
    <t>Terry A</t>
  </si>
  <si>
    <t>terry0593@hotmail.com</t>
  </si>
  <si>
    <t>Massimiliano M</t>
  </si>
  <si>
    <t>masslmiliano.micusci@tin.it</t>
  </si>
  <si>
    <t>Luca Galli</t>
  </si>
  <si>
    <t>luca.galli.gsp@gmail.com</t>
  </si>
  <si>
    <t>+393356148579</t>
  </si>
  <si>
    <t>Giorgio Miconi</t>
  </si>
  <si>
    <t>giorgiomiconi@hotmail.it</t>
  </si>
  <si>
    <t>Daniel Ponzu</t>
  </si>
  <si>
    <t>+966560236914</t>
  </si>
  <si>
    <t>+41916482389</t>
  </si>
  <si>
    <t>Alessandra Tomi</t>
  </si>
  <si>
    <t>ttttttt@gmail.com</t>
  </si>
  <si>
    <t>+971526628111</t>
  </si>
  <si>
    <t>Gianluca Papini</t>
  </si>
  <si>
    <t>gianluca@2gglobalmarkets.com</t>
  </si>
  <si>
    <t>+971509558708</t>
  </si>
  <si>
    <t>Fehmi Gegin</t>
  </si>
  <si>
    <t>fhmigergin@msn.com</t>
  </si>
  <si>
    <t>+47704568930</t>
  </si>
  <si>
    <t>Erwe Jyrki</t>
  </si>
  <si>
    <t>jyrki.erwe@icloud.com</t>
  </si>
  <si>
    <t>Gabriella Gregori</t>
  </si>
  <si>
    <t>gabrlellagregori@hotmail.com</t>
  </si>
  <si>
    <t>+393398157699</t>
  </si>
  <si>
    <t>Fabio Sgarabottolo</t>
  </si>
  <si>
    <t>fabio@eosbio.com</t>
  </si>
  <si>
    <t>+3934 86523125</t>
  </si>
  <si>
    <t>+971544170783</t>
  </si>
  <si>
    <t>Vito Mr</t>
  </si>
  <si>
    <t>+41786620668</t>
  </si>
  <si>
    <t>Marco Monti</t>
  </si>
  <si>
    <t>monti.marco@outlook.it</t>
  </si>
  <si>
    <t>+39335340930</t>
  </si>
  <si>
    <t>Andrea Tavanti</t>
  </si>
  <si>
    <t>andreatavanti@gmail.com</t>
  </si>
  <si>
    <t>+3929168765</t>
  </si>
  <si>
    <t>Lavinia Pellegrini</t>
  </si>
  <si>
    <t>+393383911801</t>
  </si>
  <si>
    <t>Karani K</t>
  </si>
  <si>
    <t>Walter Lead</t>
  </si>
  <si>
    <t>+971528778242</t>
  </si>
  <si>
    <t>Pavlidi Scostas</t>
  </si>
  <si>
    <t>pavlldiscostas@yahoo.com</t>
  </si>
  <si>
    <t>+971562123402</t>
  </si>
  <si>
    <t>Antonio Cibelli</t>
  </si>
  <si>
    <t>clbell iantonio66@gmall.com</t>
  </si>
  <si>
    <t>+393355225354</t>
  </si>
  <si>
    <t>Fulvio Annovazzi</t>
  </si>
  <si>
    <t>fulvio_annovazzi@libero.it</t>
  </si>
  <si>
    <t>+393396507895</t>
  </si>
  <si>
    <t>Simona Chiodi</t>
  </si>
  <si>
    <t>s.chiodi@pentagramma.com</t>
  </si>
  <si>
    <t>+40722695583</t>
  </si>
  <si>
    <t>Soava Bogdan</t>
  </si>
  <si>
    <t>soavabogdan@Yahoo.com</t>
  </si>
  <si>
    <t>+393934225088</t>
  </si>
  <si>
    <t>Lamberts Anzalone</t>
  </si>
  <si>
    <t>lambertoBnzalone@roelmire.com</t>
  </si>
  <si>
    <t>Edoardo Omodei</t>
  </si>
  <si>
    <t>omodei@hotmail.com</t>
  </si>
  <si>
    <t>+39335231978</t>
  </si>
  <si>
    <t>Klaus Mauder</t>
  </si>
  <si>
    <t>klausmauder@t.online.de</t>
  </si>
  <si>
    <t>Felix Aaaaaaaaa</t>
  </si>
  <si>
    <t>felpro@tiscali.it</t>
  </si>
  <si>
    <t>Paplo A</t>
  </si>
  <si>
    <t>nhbbg@rm.eg</t>
  </si>
  <si>
    <t>+393318254543</t>
  </si>
  <si>
    <t>Benedetto Matulli</t>
  </si>
  <si>
    <t>bennytrump@gmail.com</t>
  </si>
  <si>
    <t>Mario Bonardo</t>
  </si>
  <si>
    <t>bhgg@tg.eg</t>
  </si>
  <si>
    <t>+971564640225</t>
  </si>
  <si>
    <t>Alessandro Paloma</t>
  </si>
  <si>
    <t>ale.pal@inwind.it</t>
  </si>
  <si>
    <t>Myriam Benothman</t>
  </si>
  <si>
    <t>myrlam.benothman@bulgaru.com</t>
  </si>
  <si>
    <t>+390668810927</t>
  </si>
  <si>
    <t>santacolli@gmail.com</t>
  </si>
  <si>
    <t>Eraacesco.Antonjola</t>
  </si>
  <si>
    <t>francesco.antoniola@accenture.com</t>
  </si>
  <si>
    <t>+3336682169</t>
  </si>
  <si>
    <t>Varetto Davide</t>
  </si>
  <si>
    <t>davide@varettodesign.it</t>
  </si>
  <si>
    <t>+971564064941</t>
  </si>
  <si>
    <t>+77020002300</t>
  </si>
  <si>
    <t>+77714873231</t>
  </si>
  <si>
    <t>Raushan-</t>
  </si>
  <si>
    <t>a.almabei&lt;ov@gmail.com</t>
  </si>
  <si>
    <t>Navruz Mr</t>
  </si>
  <si>
    <t>Olesya Elcubano</t>
  </si>
  <si>
    <t>olesya elcubano@mail.ru</t>
  </si>
  <si>
    <t>+77052773027</t>
  </si>
  <si>
    <t>Assel Zhumabayeva</t>
  </si>
  <si>
    <t>zhumabaeva@aselmail.ru</t>
  </si>
  <si>
    <t>+971524740693</t>
  </si>
  <si>
    <t>Laura O</t>
  </si>
  <si>
    <t>laudau777@icloud.com</t>
  </si>
  <si>
    <t>lrjan I</t>
  </si>
  <si>
    <t>as_ f cc@ma1l.ru</t>
  </si>
  <si>
    <t>Viktor Yelisseyev</t>
  </si>
  <si>
    <t>y</t>
  </si>
  <si>
    <t>+77052300030</t>
  </si>
  <si>
    <t>Gabiden G</t>
  </si>
  <si>
    <t>sparky8262@gmail.com</t>
  </si>
  <si>
    <t>Ahmad Aldamkhi</t>
  </si>
  <si>
    <t>a7md.1978@gmail.com</t>
  </si>
  <si>
    <t>+96566699559</t>
  </si>
  <si>
    <t>Salavat Khyramnin</t>
  </si>
  <si>
    <t>salavat-bul@mail.ru</t>
  </si>
  <si>
    <t>Igor Igor</t>
  </si>
  <si>
    <t>itashkinov@me.com</t>
  </si>
  <si>
    <t>+79122412202</t>
  </si>
  <si>
    <t>ZaurT</t>
  </si>
  <si>
    <t>parfumum@mail.ru</t>
  </si>
  <si>
    <t>+89257126110</t>
  </si>
  <si>
    <t>Evgenii Mr</t>
  </si>
  <si>
    <t>+79157976285</t>
  </si>
  <si>
    <t>Ruslan Gasymov</t>
  </si>
  <si>
    <t>Marina Zhuravkova</t>
  </si>
  <si>
    <t>marin1303@yandex.ru</t>
  </si>
  <si>
    <t>+79119271037</t>
  </si>
  <si>
    <t>Victor Mironov</t>
  </si>
  <si>
    <t>amgdesign@inbox.ru</t>
  </si>
  <si>
    <t>+79647777375</t>
  </si>
  <si>
    <t>Anastasia Chertkova</t>
  </si>
  <si>
    <t>+79771751060</t>
  </si>
  <si>
    <t>+789577485</t>
  </si>
  <si>
    <t>Aryat Makhmutov</t>
  </si>
  <si>
    <t>Ramazano Ahmed</t>
  </si>
  <si>
    <t>ramazanov.ahmad</t>
  </si>
  <si>
    <t>Mr Fahiz</t>
  </si>
  <si>
    <t>+971567000111</t>
  </si>
  <si>
    <t>Waleed Altamimi</t>
  </si>
  <si>
    <t>waleedomar3@hotmail.com</t>
  </si>
  <si>
    <t>+971503222028</t>
  </si>
  <si>
    <t>Hessa Hessa</t>
  </si>
  <si>
    <t>hessa@mail.com</t>
  </si>
  <si>
    <t>+971502334003</t>
  </si>
  <si>
    <t>Saeed Saeed</t>
  </si>
  <si>
    <t>saeed@mail.co</t>
  </si>
  <si>
    <t>+971503232345</t>
  </si>
  <si>
    <t>Mr Adel</t>
  </si>
  <si>
    <t>+971556662254</t>
  </si>
  <si>
    <t>+971554862628</t>
  </si>
  <si>
    <t>+971552111563</t>
  </si>
  <si>
    <t>Ahmed Almazrouie</t>
  </si>
  <si>
    <t>+971507117173</t>
  </si>
  <si>
    <t>+971555975795</t>
  </si>
  <si>
    <t>Saif Al Matsuri</t>
  </si>
  <si>
    <t>ad-320@hotmail.com</t>
  </si>
  <si>
    <t>+971506600220</t>
  </si>
  <si>
    <t>Ahmed Alameri</t>
  </si>
  <si>
    <t>khalifas.k@gmail.com</t>
  </si>
  <si>
    <t>+971555442255</t>
  </si>
  <si>
    <t>Khadim Al remeithi</t>
  </si>
  <si>
    <t>khadim81@gmail.com</t>
  </si>
  <si>
    <t>+971504433320</t>
  </si>
  <si>
    <t>Mohammad Almahaddi</t>
  </si>
  <si>
    <t>x--k@hotmail.com</t>
  </si>
  <si>
    <t>+971504244459</t>
  </si>
  <si>
    <t>Juma Juma</t>
  </si>
  <si>
    <t>+971505405453</t>
  </si>
  <si>
    <t>mohammadbadrii@hotmail.com</t>
  </si>
  <si>
    <t>+971505004444</t>
  </si>
  <si>
    <t>Salem Salem</t>
  </si>
  <si>
    <t>+971555008309</t>
  </si>
  <si>
    <t>Maryam Turki</t>
  </si>
  <si>
    <t>maryamturki@hotmail.com</t>
  </si>
  <si>
    <t>+971505543354</t>
  </si>
  <si>
    <t>+971564767131</t>
  </si>
  <si>
    <t>Milad Abdaah</t>
  </si>
  <si>
    <t>milo.gg@hotmail.com</t>
  </si>
  <si>
    <t>+971506467573</t>
  </si>
  <si>
    <t>Faisal Ali Mousa</t>
  </si>
  <si>
    <t>dr.faisal@famholding.com</t>
  </si>
  <si>
    <t>+97143517250</t>
  </si>
  <si>
    <t>Ismail Alkas</t>
  </si>
  <si>
    <t>+971509893479</t>
  </si>
  <si>
    <t>Nawaf Nawaf</t>
  </si>
  <si>
    <t>+966555991759</t>
  </si>
  <si>
    <t>Mohamed Aref</t>
  </si>
  <si>
    <t>+971521419998</t>
  </si>
  <si>
    <t>Rasha Ahmad</t>
  </si>
  <si>
    <t>Khaled K</t>
  </si>
  <si>
    <t>+971506490599</t>
  </si>
  <si>
    <t>+971505252254</t>
  </si>
  <si>
    <t>Mr Omar</t>
  </si>
  <si>
    <t>+9717880655</t>
  </si>
  <si>
    <t xml:space="preserve">Khalid Metwali </t>
  </si>
  <si>
    <t>khali.metwali@azhd.ae</t>
  </si>
  <si>
    <t>+971565670666</t>
  </si>
  <si>
    <t xml:space="preserve">Mohamed Darwsish </t>
  </si>
  <si>
    <t>+971502477444</t>
  </si>
  <si>
    <t>Khalifa Almarzooqi</t>
  </si>
  <si>
    <t>+971506664641</t>
  </si>
  <si>
    <t>Ali Ashaali</t>
  </si>
  <si>
    <t>+971504568858</t>
  </si>
  <si>
    <t>+971506522747</t>
  </si>
  <si>
    <t>+971508304555</t>
  </si>
  <si>
    <t>Khosrow  Hilmer</t>
  </si>
  <si>
    <t>hilmerk@gmx.de</t>
  </si>
  <si>
    <t>+971509732798</t>
  </si>
  <si>
    <t>Harib Al Shamsi</t>
  </si>
  <si>
    <t>uae.vip@live.co.uk</t>
  </si>
  <si>
    <t>+971502212256</t>
  </si>
  <si>
    <t>Fatma Lanjawi</t>
  </si>
  <si>
    <t>fatmalanjawi-92@hotmail.com</t>
  </si>
  <si>
    <t>+9717150558</t>
  </si>
  <si>
    <t>Fatima A</t>
  </si>
  <si>
    <t>nbshnseb@hsbh.eg</t>
  </si>
  <si>
    <t>+971503311248</t>
  </si>
  <si>
    <t>Sultan S</t>
  </si>
  <si>
    <t>+971552116165</t>
  </si>
  <si>
    <t>Zainab Alzaabi</t>
  </si>
  <si>
    <t>zazuae@hotmail.com</t>
  </si>
  <si>
    <t>+971506363323</t>
  </si>
  <si>
    <t>Abdul Qader Al Awadhi</t>
  </si>
  <si>
    <t>ab.ramkooni@gmail.com</t>
  </si>
  <si>
    <t>+971501578787</t>
  </si>
  <si>
    <t>Nadeem Anwar</t>
  </si>
  <si>
    <t>nadeembloom@hotmail.com</t>
  </si>
  <si>
    <t>+971502831341</t>
  </si>
  <si>
    <t>Shurooq M</t>
  </si>
  <si>
    <t>ll75ll@hotmail.com</t>
  </si>
  <si>
    <t>Hadil -</t>
  </si>
  <si>
    <t>+971507323004</t>
  </si>
  <si>
    <t>Najla Alowais</t>
  </si>
  <si>
    <t>alowais2@yahoo.com</t>
  </si>
  <si>
    <t>+971502002007</t>
  </si>
  <si>
    <t>Andree Groegler</t>
  </si>
  <si>
    <t>+97152484369</t>
  </si>
  <si>
    <t>Mahfoodha A</t>
  </si>
  <si>
    <t>jasim-191-@hotmail.com</t>
  </si>
  <si>
    <t>+971501997672</t>
  </si>
  <si>
    <t>dodi</t>
  </si>
  <si>
    <t>+16178516816</t>
  </si>
  <si>
    <t>Mussabah Alqaizi</t>
  </si>
  <si>
    <t>mussaba@me.com</t>
  </si>
  <si>
    <t>Mansoor Mr</t>
  </si>
  <si>
    <t>+971507622223</t>
  </si>
  <si>
    <t>Saleh Al ٍSaleh</t>
  </si>
  <si>
    <t>+971501462409</t>
  </si>
  <si>
    <t>Sultan Alsuwaidi</t>
  </si>
  <si>
    <t>sultan-alsuwaidi-23@hotmail.com</t>
  </si>
  <si>
    <t>+971553333823</t>
  </si>
  <si>
    <t>Rufina Uzykhanova</t>
  </si>
  <si>
    <t>ruku@mail.ru</t>
  </si>
  <si>
    <t>+77071257352</t>
  </si>
  <si>
    <t>Mohamed No</t>
  </si>
  <si>
    <t>mena.bassilya@dp.ae</t>
  </si>
  <si>
    <t>+96654988381</t>
  </si>
  <si>
    <t>Sami No</t>
  </si>
  <si>
    <t>+971547739977</t>
  </si>
  <si>
    <t>Yusuf Mr</t>
  </si>
  <si>
    <t>ydashkooni@tamkeen.bh</t>
  </si>
  <si>
    <t>Amir Bu</t>
  </si>
  <si>
    <t>amir@missancomputer.com</t>
  </si>
  <si>
    <t>Farhad Turkan</t>
  </si>
  <si>
    <t>turkaninsaat61@gmail.com</t>
  </si>
  <si>
    <t>Robert Teisanu</t>
  </si>
  <si>
    <t>robert.teisanu@protonmail.com</t>
  </si>
  <si>
    <t>Abulaziz Noor</t>
  </si>
  <si>
    <t>z66c66@yahoo.com</t>
  </si>
  <si>
    <t>+966550509732</t>
  </si>
  <si>
    <t>Qais Alkhalili</t>
  </si>
  <si>
    <t>qais@aklhalili.com</t>
  </si>
  <si>
    <t>+96899337020</t>
  </si>
  <si>
    <t>Othman Tasahel</t>
  </si>
  <si>
    <t>othman@tsaheel.sa</t>
  </si>
  <si>
    <t>+9665540046543</t>
  </si>
  <si>
    <t>Hasser Mr</t>
  </si>
  <si>
    <t>+971565939731</t>
  </si>
  <si>
    <t>Albena Yanakieva</t>
  </si>
  <si>
    <t>ayanakieva@yahoo.com</t>
  </si>
  <si>
    <t>alsakkaf2@hotmail.com</t>
  </si>
  <si>
    <t>+79523529004</t>
  </si>
  <si>
    <t>Barshan Sharafi</t>
  </si>
  <si>
    <t>sharafi@barzan@gmail.com</t>
  </si>
  <si>
    <t>+97507082652</t>
  </si>
  <si>
    <t xml:space="preserve">Iman I </t>
  </si>
  <si>
    <t>itpmarket@gmail.com</t>
  </si>
  <si>
    <t>+97155580761</t>
  </si>
  <si>
    <t>a@a.com</t>
  </si>
  <si>
    <t>+966556241222</t>
  </si>
  <si>
    <t>+966500006527</t>
  </si>
  <si>
    <t>Majid Majid</t>
  </si>
  <si>
    <t>+97150260215</t>
  </si>
  <si>
    <t>Sattam Mallah</t>
  </si>
  <si>
    <t>sattamm@gmail.com</t>
  </si>
  <si>
    <t>+9665488665553</t>
  </si>
  <si>
    <t>Wsa Sal</t>
  </si>
  <si>
    <t>+905393552308</t>
  </si>
  <si>
    <t>Shabib A</t>
  </si>
  <si>
    <t>shabib6611@gmail.com</t>
  </si>
  <si>
    <t>+966503824824</t>
  </si>
  <si>
    <t>Abdulrahman Alarifi</t>
  </si>
  <si>
    <t>+966566775530</t>
  </si>
  <si>
    <t>Terad Telal Mousa</t>
  </si>
  <si>
    <t>tiger6150@hotmail.com</t>
  </si>
  <si>
    <t>+966506696666</t>
  </si>
  <si>
    <t>Rakan A</t>
  </si>
  <si>
    <t>+966556080001</t>
  </si>
  <si>
    <t>Khlod A</t>
  </si>
  <si>
    <t>+966556635464</t>
  </si>
  <si>
    <t>Mansoor Mansoor</t>
  </si>
  <si>
    <t>+966558255309</t>
  </si>
  <si>
    <t>Faisal Salem Al Mukhileb</t>
  </si>
  <si>
    <t>faisal@sayerrental.com</t>
  </si>
  <si>
    <t>+27837078624</t>
  </si>
  <si>
    <t>Sheikh Hessa</t>
  </si>
  <si>
    <t>+966501969987</t>
  </si>
  <si>
    <t>Rakan Rakan</t>
  </si>
  <si>
    <t>+971556080001</t>
  </si>
  <si>
    <t>Salim Salim</t>
  </si>
  <si>
    <t>shal333@hotmail.com</t>
  </si>
  <si>
    <t>+966545356665</t>
  </si>
  <si>
    <t>ma.ghamdi83@gmail.com</t>
  </si>
  <si>
    <t>Mohamed El Adele</t>
  </si>
  <si>
    <t>+9660558365111</t>
  </si>
  <si>
    <t>A Harbi</t>
  </si>
  <si>
    <t>a.harbi@esmartd.com</t>
  </si>
  <si>
    <t>+966505551132</t>
  </si>
  <si>
    <t>attam470@hotmail.com</t>
  </si>
  <si>
    <t>+966547596666</t>
  </si>
  <si>
    <t>Mr Nabil</t>
  </si>
  <si>
    <t>+97150617889</t>
  </si>
  <si>
    <t>+966543926544</t>
  </si>
  <si>
    <t xml:space="preserve">Saleh </t>
  </si>
  <si>
    <t>+97155155524</t>
  </si>
  <si>
    <t>+966560649462</t>
  </si>
  <si>
    <t>Yaser A</t>
  </si>
  <si>
    <t>+966555340688</t>
  </si>
  <si>
    <t>+971551529352</t>
  </si>
  <si>
    <t>Bander Alshadi</t>
  </si>
  <si>
    <t>+966555412236</t>
  </si>
  <si>
    <t>Abdulrahman Alkhateeb</t>
  </si>
  <si>
    <t>a.l.alkhateeb@hotmail.com</t>
  </si>
  <si>
    <t>+966540990445</t>
  </si>
  <si>
    <t>Samer Attar</t>
  </si>
  <si>
    <t>samer.attar@gmail.com</t>
  </si>
  <si>
    <t>+966505672960</t>
  </si>
  <si>
    <t>Haidar H</t>
  </si>
  <si>
    <t>nhbm@ki.eg</t>
  </si>
  <si>
    <t>+971502122013</t>
  </si>
  <si>
    <t>Ihab Ihab</t>
  </si>
  <si>
    <t>hjuy@y.eg</t>
  </si>
  <si>
    <t>+966505526765</t>
  </si>
  <si>
    <t>Khaled Alnosnan</t>
  </si>
  <si>
    <t>khaled-n-7@hotmail.com</t>
  </si>
  <si>
    <t>+966501313007</t>
  </si>
  <si>
    <t>Madji Al Naser</t>
  </si>
  <si>
    <t>m.alnaser@pcphoto.net</t>
  </si>
  <si>
    <t>+966560006001</t>
  </si>
  <si>
    <t>Abdul Aziz Almasoud</t>
  </si>
  <si>
    <t>azizalmasoud@hotmail.com</t>
  </si>
  <si>
    <t>+966553578221</t>
  </si>
  <si>
    <t>Nalef Amry</t>
  </si>
  <si>
    <t>vgf@ki.eg</t>
  </si>
  <si>
    <t>+971555677424</t>
  </si>
  <si>
    <t>Abdul El G</t>
  </si>
  <si>
    <t>+966557040030</t>
  </si>
  <si>
    <t>Osama Osama</t>
  </si>
  <si>
    <t>mih@ju.eg</t>
  </si>
  <si>
    <t>+966558466011</t>
  </si>
  <si>
    <t>Ahmed Hasaan</t>
  </si>
  <si>
    <t>+966505609624</t>
  </si>
  <si>
    <t>Majed Alsayari</t>
  </si>
  <si>
    <t>alarsenal@hotmail.com</t>
  </si>
  <si>
    <t>+96657620337</t>
  </si>
  <si>
    <t>Zhazi Z</t>
  </si>
  <si>
    <t>+966505608589</t>
  </si>
  <si>
    <t>Mrs Tamimi Al Tamimi</t>
  </si>
  <si>
    <t>majnan@e.eg</t>
  </si>
  <si>
    <t>+966548882266</t>
  </si>
  <si>
    <t>+966500228032</t>
  </si>
  <si>
    <t>Muhammed Mr</t>
  </si>
  <si>
    <t>+966554580808</t>
  </si>
  <si>
    <t>Rashed Aloqaily</t>
  </si>
  <si>
    <t>+966555041082</t>
  </si>
  <si>
    <t>+966566964560</t>
  </si>
  <si>
    <t>Mahmoud Boqammaz</t>
  </si>
  <si>
    <t>m.bq@live.com</t>
  </si>
  <si>
    <t>Adnan Amin</t>
  </si>
  <si>
    <t>adnamn@gmail.com</t>
  </si>
  <si>
    <t>+966555705640</t>
  </si>
  <si>
    <t>Salman Salman</t>
  </si>
  <si>
    <t>+966505169211</t>
  </si>
  <si>
    <t>Faten Awilaa</t>
  </si>
  <si>
    <t>fateawilaa@hotmail.com</t>
  </si>
  <si>
    <t>+966530029293</t>
  </si>
  <si>
    <t>Rahema Hugaa</t>
  </si>
  <si>
    <t>bhgg@bh.eg</t>
  </si>
  <si>
    <t>+966590109770</t>
  </si>
  <si>
    <t>Shaheen Alhammadi</t>
  </si>
  <si>
    <t>shaheen-Alhammadi</t>
  </si>
  <si>
    <t>+971506148088</t>
  </si>
  <si>
    <t>Ibrahim Saud Almohaimeed</t>
  </si>
  <si>
    <t>ibrahim@saudgroup.sa</t>
  </si>
  <si>
    <t>+966569111211</t>
  </si>
  <si>
    <t>Fahad Mr</t>
  </si>
  <si>
    <t>hhkkq11233@hotmail.com</t>
  </si>
  <si>
    <t>+966566211239</t>
  </si>
  <si>
    <t>Shaima Mrs</t>
  </si>
  <si>
    <t>shimakarimi2020@gmail.com</t>
  </si>
  <si>
    <t>+971503828412</t>
  </si>
  <si>
    <t>Ahmed Abdullah</t>
  </si>
  <si>
    <t>almotz@almotzgroup.com</t>
  </si>
  <si>
    <t>Aboul Nasia</t>
  </si>
  <si>
    <t>+966555606366</t>
  </si>
  <si>
    <t>+966544800544</t>
  </si>
  <si>
    <t>Ahmed Alharkan</t>
  </si>
  <si>
    <t>+966557500205</t>
  </si>
  <si>
    <t>Amar Mr</t>
  </si>
  <si>
    <t>+966505607515</t>
  </si>
  <si>
    <t>Fares Alabdeli</t>
  </si>
  <si>
    <t>fares@gmail.com</t>
  </si>
  <si>
    <t>+966540044231</t>
  </si>
  <si>
    <t>mnbh@uy.eg</t>
  </si>
  <si>
    <t>+966536477218</t>
  </si>
  <si>
    <t>Mamdoh Fadi</t>
  </si>
  <si>
    <t>mfadl1978@gmail.com</t>
  </si>
  <si>
    <t>Bandar Altoaimi</t>
  </si>
  <si>
    <t>btoaimi@gmail.com</t>
  </si>
  <si>
    <t>+966500150333</t>
  </si>
  <si>
    <t>Abdullah Amarzouqi</t>
  </si>
  <si>
    <t>amarzouqi74@hotmail.com</t>
  </si>
  <si>
    <t>+96566411100</t>
  </si>
  <si>
    <t>Abdulrahman Alenezei</t>
  </si>
  <si>
    <t>c.i.s_q8@hotmail.com</t>
  </si>
  <si>
    <t>+96566077829</t>
  </si>
  <si>
    <t>Asaad Asaad</t>
  </si>
  <si>
    <t>+96655585559</t>
  </si>
  <si>
    <t>Hossam Goneem</t>
  </si>
  <si>
    <t>aksns@iul.eg</t>
  </si>
  <si>
    <t>+966504500909</t>
  </si>
  <si>
    <t>Abdullah E</t>
  </si>
  <si>
    <t>abd29@hotmail.com</t>
  </si>
  <si>
    <t>Amr Sager</t>
  </si>
  <si>
    <t>info@sagerir.com</t>
  </si>
  <si>
    <t>+966567778507</t>
  </si>
  <si>
    <t>Hamed Mr</t>
  </si>
  <si>
    <t>+966503463636</t>
  </si>
  <si>
    <t>Muath Alomair</t>
  </si>
  <si>
    <t>mr_muaath@hotmail.com</t>
  </si>
  <si>
    <t>+966580855838</t>
  </si>
  <si>
    <t>Fahad Fahad</t>
  </si>
  <si>
    <t>+966505923300</t>
  </si>
  <si>
    <t>Ahmed Alhashmi</t>
  </si>
  <si>
    <t>ahmad.alhashmi.com</t>
  </si>
  <si>
    <t>+966530785363</t>
  </si>
  <si>
    <t>Mujeeb Madkoor</t>
  </si>
  <si>
    <t>mujeeb7s7@hotmail.com</t>
  </si>
  <si>
    <t>+966580078889</t>
  </si>
  <si>
    <t>Oathman Tasahel</t>
  </si>
  <si>
    <t>+966505239721</t>
  </si>
  <si>
    <t>Ibrahim Ibrahim</t>
  </si>
  <si>
    <t>+966536313448</t>
  </si>
  <si>
    <t>Abdalih Hazaa</t>
  </si>
  <si>
    <t>Aaldweesh.c@stc.com</t>
  </si>
  <si>
    <t>+966500340004</t>
  </si>
  <si>
    <t>Jamaan J</t>
  </si>
  <si>
    <t>jamaan-881@hotmail.com</t>
  </si>
  <si>
    <t>+966557733622</t>
  </si>
  <si>
    <t>Ali Al Tamni</t>
  </si>
  <si>
    <t>+966501090036</t>
  </si>
  <si>
    <t>Faysel Mr</t>
  </si>
  <si>
    <t>+966541415697</t>
  </si>
  <si>
    <t>Sayed Mr</t>
  </si>
  <si>
    <t>+971555578973</t>
  </si>
  <si>
    <t>Anwar Abdalih Abdalih</t>
  </si>
  <si>
    <t>+966541113337</t>
  </si>
  <si>
    <t>Nasser Nasser</t>
  </si>
  <si>
    <t>+971506336885</t>
  </si>
  <si>
    <t>Louia Aaaaa</t>
  </si>
  <si>
    <t>+9715033233301</t>
  </si>
  <si>
    <t>Mohammed Al Jari</t>
  </si>
  <si>
    <t>+971501187677</t>
  </si>
  <si>
    <t>Youssef Ward</t>
  </si>
  <si>
    <t>yward@ejada.com</t>
  </si>
  <si>
    <t>Salem Alhalayam</t>
  </si>
  <si>
    <t>+971505886664</t>
  </si>
  <si>
    <t>+971555555934</t>
  </si>
  <si>
    <t>Harib Alshamsi</t>
  </si>
  <si>
    <t>uae.vip@live.com</t>
  </si>
  <si>
    <t>Adel Adel</t>
  </si>
  <si>
    <t>ajunaibii@gmail.com</t>
  </si>
  <si>
    <t>+971506666684</t>
  </si>
  <si>
    <t>Mohamed Rashed</t>
  </si>
  <si>
    <t>haggshsysh@shhdg.eg</t>
  </si>
  <si>
    <t>+971506260606</t>
  </si>
  <si>
    <t>Fatma A</t>
  </si>
  <si>
    <t>+971503336531</t>
  </si>
  <si>
    <t>m_alijufri@live.com</t>
  </si>
  <si>
    <t>+971502266601</t>
  </si>
  <si>
    <t>Haytham Alameria</t>
  </si>
  <si>
    <t>saaamire@hotmail.com</t>
  </si>
  <si>
    <t>+971564911140</t>
  </si>
  <si>
    <t>Mohammed Almansoori</t>
  </si>
  <si>
    <t>wonia@yahoo.com</t>
  </si>
  <si>
    <t>+971589340000</t>
  </si>
  <si>
    <t>Tim Walmsley</t>
  </si>
  <si>
    <t>twalmers@gmail.com</t>
  </si>
  <si>
    <t>+971588746020</t>
  </si>
  <si>
    <t>Khairy Shahin</t>
  </si>
  <si>
    <t>khairyshahingf@yahoo.com</t>
  </si>
  <si>
    <t>+00201222144328</t>
  </si>
  <si>
    <t>Mohamed Al Hammadi</t>
  </si>
  <si>
    <t>mhm.alhammadi@gmail.com</t>
  </si>
  <si>
    <t>+971529991113</t>
  </si>
  <si>
    <t>Mohamed Abdalih</t>
  </si>
  <si>
    <t>mub@t.eg</t>
  </si>
  <si>
    <t>+971508162711</t>
  </si>
  <si>
    <t>Mohamed Malala Abdelrahman</t>
  </si>
  <si>
    <t>mohamedm@dewa.gov.a</t>
  </si>
  <si>
    <t>+971503366336</t>
  </si>
  <si>
    <t>Khadija</t>
  </si>
  <si>
    <t>k.j.aldarwis@gmail.com</t>
  </si>
  <si>
    <t>Khalfan A</t>
  </si>
  <si>
    <t>+971507837374</t>
  </si>
  <si>
    <t>+971507444494</t>
  </si>
  <si>
    <t>+9715051128888</t>
  </si>
  <si>
    <t>Dema Halodan</t>
  </si>
  <si>
    <t>deemahalodan@gmail.com</t>
  </si>
  <si>
    <t>Mohamed Said</t>
  </si>
  <si>
    <t>+971509334404</t>
  </si>
  <si>
    <t>Amne Khalifa</t>
  </si>
  <si>
    <t>+971555255554</t>
  </si>
  <si>
    <t>Umur Kurkcu</t>
  </si>
  <si>
    <t>umit.kurkcu@wmlinternational.com</t>
  </si>
  <si>
    <t>+971557050469</t>
  </si>
  <si>
    <t>Farshad Zanjani</t>
  </si>
  <si>
    <t>fashzanjani1@gmail.com</t>
  </si>
  <si>
    <t>+971562163149</t>
  </si>
  <si>
    <t>Joy Rainey</t>
  </si>
  <si>
    <t>joy.rainey@outlook.com</t>
  </si>
  <si>
    <t>+</t>
  </si>
  <si>
    <t>Godfried de voc F</t>
  </si>
  <si>
    <t>+31624401818</t>
  </si>
  <si>
    <t>Sona Sona</t>
  </si>
  <si>
    <t>sona.h@live.com</t>
  </si>
  <si>
    <t>Ray Matthews</t>
  </si>
  <si>
    <t>ray@cnmrestorationltd.com</t>
  </si>
  <si>
    <t>+447976175881</t>
  </si>
  <si>
    <t>Chadwick H</t>
  </si>
  <si>
    <t>chadwickhome@aol.com</t>
  </si>
  <si>
    <t>Baha Sayiner</t>
  </si>
  <si>
    <t>bahasayiner@hotmail.com</t>
  </si>
  <si>
    <t>+971554713081</t>
  </si>
  <si>
    <t>Aqib Naqaz</t>
  </si>
  <si>
    <t>info@goalsarena.co.uk</t>
  </si>
  <si>
    <t>+971050370727</t>
  </si>
  <si>
    <t>Simmonds S</t>
  </si>
  <si>
    <t>simmoncoldguiness@yahoo.co.uk</t>
  </si>
  <si>
    <t>Rudolf Rudolf</t>
  </si>
  <si>
    <t>mr@geuther.com</t>
  </si>
  <si>
    <t>Anthony Forester</t>
  </si>
  <si>
    <t>afb@trakkassystems.com</t>
  </si>
  <si>
    <t>+971505519284</t>
  </si>
  <si>
    <t>Shamma Raza</t>
  </si>
  <si>
    <t>shamma.raza@outlook.com</t>
  </si>
  <si>
    <t>+7415193862</t>
  </si>
  <si>
    <t>Saeb Mahmoud</t>
  </si>
  <si>
    <t>+971543441445</t>
  </si>
  <si>
    <t>+447925333587</t>
  </si>
  <si>
    <t>Darren Moore</t>
  </si>
  <si>
    <t>dcm.vom@btinternet.com</t>
  </si>
  <si>
    <t>+971585772028</t>
  </si>
  <si>
    <t>Diana Wilde</t>
  </si>
  <si>
    <t>+971503942768</t>
  </si>
  <si>
    <t>Terry Jones</t>
  </si>
  <si>
    <t>mjhsbs@en.eg</t>
  </si>
  <si>
    <t>+447970980326</t>
  </si>
  <si>
    <t>Asad Irshad</t>
  </si>
  <si>
    <t>mohammadasad@gmail.com</t>
  </si>
  <si>
    <t>+971569888752</t>
  </si>
  <si>
    <t>Michael John Rolfe</t>
  </si>
  <si>
    <t>mike.rolfe@btconnect.</t>
  </si>
  <si>
    <t>Elham Dento-carder</t>
  </si>
  <si>
    <t>+971568818558</t>
  </si>
  <si>
    <t>Obeid Aa</t>
  </si>
  <si>
    <t>+447722556808</t>
  </si>
  <si>
    <t>Bashir</t>
  </si>
  <si>
    <t>+44793000330</t>
  </si>
  <si>
    <t>Nic Tahmasebi</t>
  </si>
  <si>
    <t>nic.in.dubai@gmail.com</t>
  </si>
  <si>
    <t>Bradley Stewart</t>
  </si>
  <si>
    <t>wizkidstew@gmail.com</t>
  </si>
  <si>
    <t>Faridon Maroufi</t>
  </si>
  <si>
    <t>fmaroofi174@gmail.com</t>
  </si>
  <si>
    <t>+971555824804</t>
  </si>
  <si>
    <t>Ashok Sharma</t>
  </si>
  <si>
    <t>ashok.sharma@btsgb.com</t>
  </si>
  <si>
    <t>+447801417345</t>
  </si>
  <si>
    <t>+447757758328</t>
  </si>
  <si>
    <t>Philip Rhods</t>
  </si>
  <si>
    <t>philips.rhods@aol.co.uk</t>
  </si>
  <si>
    <t>Victoria Lynch</t>
  </si>
  <si>
    <t>mikeandvickylynch@me.com</t>
  </si>
  <si>
    <t>+971585640501</t>
  </si>
  <si>
    <t>Maria Bassily</t>
  </si>
  <si>
    <t>marya-olejnik@mail.ru</t>
  </si>
  <si>
    <t xml:space="preserve">Nathalie Natalie </t>
  </si>
  <si>
    <t>+447809368455</t>
  </si>
  <si>
    <t>Lain Macgregor</t>
  </si>
  <si>
    <t>im@gegroup.com</t>
  </si>
  <si>
    <t>+971565204703</t>
  </si>
  <si>
    <t>Zara Camenzuli</t>
  </si>
  <si>
    <t>zara.cam@outlook.com</t>
  </si>
  <si>
    <t>+447834176241</t>
  </si>
  <si>
    <t>Samir Suliman</t>
  </si>
  <si>
    <t>samirsuliman@gmai.com</t>
  </si>
  <si>
    <t>+447809205124</t>
  </si>
  <si>
    <t>+447909696656</t>
  </si>
  <si>
    <t>Omer Yousuf</t>
  </si>
  <si>
    <t>masssimom@gmail.com</t>
  </si>
  <si>
    <t>Omar Ali</t>
  </si>
  <si>
    <t>omarqb@icloud.com</t>
  </si>
  <si>
    <t>+447809278988</t>
  </si>
  <si>
    <t>Mohammad Iqbal</t>
  </si>
  <si>
    <t>spgltd@hotmail.com</t>
  </si>
  <si>
    <t>+447973533462</t>
  </si>
  <si>
    <t>Tim Joyner</t>
  </si>
  <si>
    <t>tim.joynner51@icloud.com</t>
  </si>
  <si>
    <t>+447816494466</t>
  </si>
  <si>
    <t>Tanweer Khan</t>
  </si>
  <si>
    <t>info@gemsdubai.com</t>
  </si>
  <si>
    <t>+971566426826</t>
  </si>
  <si>
    <t>Krau A</t>
  </si>
  <si>
    <t>krausg@gmx.net</t>
  </si>
  <si>
    <t>Kal Smith</t>
  </si>
  <si>
    <t>kdahl@yahoo.co.uk</t>
  </si>
  <si>
    <t>+996533228295</t>
  </si>
  <si>
    <t>Boba Khaitam</t>
  </si>
  <si>
    <t>jabed4@hotmail.com</t>
  </si>
  <si>
    <t>+447415745219</t>
  </si>
  <si>
    <t>Qureishi</t>
  </si>
  <si>
    <t>mananq@hotmail.com</t>
  </si>
  <si>
    <t>+971529903300</t>
  </si>
  <si>
    <t>Vanessa Brock</t>
  </si>
  <si>
    <t>vanessa9@msn.com</t>
  </si>
  <si>
    <t>+4407958043013</t>
  </si>
  <si>
    <t>Feroz Mansuri</t>
  </si>
  <si>
    <t>ferozmansuri@hotmail.com</t>
  </si>
  <si>
    <t>+447769410093</t>
  </si>
  <si>
    <t>Sunny Gill</t>
  </si>
  <si>
    <t>sunnygill101@hotmail.com</t>
  </si>
  <si>
    <t>+447845649112</t>
  </si>
  <si>
    <t>Irfan Ahmed</t>
  </si>
  <si>
    <t>sharib17@hotmail.co.uk</t>
  </si>
  <si>
    <t>+447588759975</t>
  </si>
  <si>
    <t>August Morzynski</t>
  </si>
  <si>
    <t>morzynski@msn.com</t>
  </si>
  <si>
    <t>+447711995119</t>
  </si>
  <si>
    <t>Jasor Mr</t>
  </si>
  <si>
    <t>+447832258447</t>
  </si>
  <si>
    <t xml:space="preserve">Adnan </t>
  </si>
  <si>
    <t>Gurjinder Kandola</t>
  </si>
  <si>
    <t>kandola1954@aol.com</t>
  </si>
  <si>
    <t>+447790052737</t>
  </si>
  <si>
    <t>Ruby Masood</t>
  </si>
  <si>
    <t>robaih_masood5@hotmail.com</t>
  </si>
  <si>
    <t>Kevin Devine</t>
  </si>
  <si>
    <t>kevindevine55@hotmail.com</t>
  </si>
  <si>
    <t>+4479850441118</t>
  </si>
  <si>
    <t>Levon Antonian</t>
  </si>
  <si>
    <t>antonian@halian.com</t>
  </si>
  <si>
    <t>Poul Pedersen</t>
  </si>
  <si>
    <t>poul.pedersen@pedersendpartners.com</t>
  </si>
  <si>
    <t>+971529028584</t>
  </si>
  <si>
    <t>Lain Macfarlane</t>
  </si>
  <si>
    <t>iain.macfarlane@express.co.uk</t>
  </si>
  <si>
    <t>+447768446513</t>
  </si>
  <si>
    <t>David Orr</t>
  </si>
  <si>
    <t>david@morganharvey.co.uk</t>
  </si>
  <si>
    <t>+447788178285</t>
  </si>
  <si>
    <t>Wael W</t>
  </si>
  <si>
    <t>+447711892252</t>
  </si>
  <si>
    <t>Eunus  Ahmed</t>
  </si>
  <si>
    <t>euus_95@outlook.com</t>
  </si>
  <si>
    <t>+447932091679</t>
  </si>
  <si>
    <t>Manj Ka</t>
  </si>
  <si>
    <t>manjitkaur790@gmail.com</t>
  </si>
  <si>
    <t>Ash S</t>
  </si>
  <si>
    <t>ash3s@hotmail.com</t>
  </si>
  <si>
    <t>+447917862148</t>
  </si>
  <si>
    <t>Mandip Bhogal</t>
  </si>
  <si>
    <t>bhogal_mandip@yahoo.com</t>
  </si>
  <si>
    <t>+447951810590</t>
  </si>
  <si>
    <t>Mike Hadjipa</t>
  </si>
  <si>
    <t>mikehadjipa@hotmail.com</t>
  </si>
  <si>
    <t>+447951682566</t>
  </si>
  <si>
    <t>+44791319849</t>
  </si>
  <si>
    <t>Keith K</t>
  </si>
  <si>
    <t>+447786502941</t>
  </si>
  <si>
    <t>Richard Blair</t>
  </si>
  <si>
    <t>+971529399783</t>
  </si>
  <si>
    <t>Joshua J</t>
  </si>
  <si>
    <t>+447706318628</t>
  </si>
  <si>
    <t>Keith Waters</t>
  </si>
  <si>
    <t>kwaters@europeantour.com</t>
  </si>
  <si>
    <t>Colin Colin</t>
  </si>
  <si>
    <t>+447788496796</t>
  </si>
  <si>
    <t>Nick Tomas</t>
  </si>
  <si>
    <t>+447796554107 whatsapp//971501026047</t>
  </si>
  <si>
    <t>Simon Perry</t>
  </si>
  <si>
    <t>+447977670205</t>
  </si>
  <si>
    <t>Cihan Oktem</t>
  </si>
  <si>
    <t>cihan_oktem@hotmail.com</t>
  </si>
  <si>
    <t>+447736741791</t>
  </si>
  <si>
    <t>aliramzi0@gmail.com</t>
  </si>
  <si>
    <t>+447530033330</t>
  </si>
  <si>
    <t>+447810504994</t>
  </si>
  <si>
    <t>Tarik Mr</t>
  </si>
  <si>
    <t>+447475733357</t>
  </si>
  <si>
    <t>Anthony Bignall</t>
  </si>
  <si>
    <t>anthonybignall@hotmail.com</t>
  </si>
  <si>
    <t>Farhan Golkar</t>
  </si>
  <si>
    <t>farhan@emperorlondon.com</t>
  </si>
  <si>
    <t>+971505566091</t>
  </si>
  <si>
    <t>Sultan Mk</t>
  </si>
  <si>
    <t>mkwsultan@gmail.com</t>
  </si>
  <si>
    <t>+971558565818</t>
  </si>
  <si>
    <t>Stiven Nosowski</t>
  </si>
  <si>
    <t>stephen.nosowski@emirates.com</t>
  </si>
  <si>
    <t>+447841494041</t>
  </si>
  <si>
    <t>AA</t>
  </si>
  <si>
    <t>+447453325381</t>
  </si>
  <si>
    <t>Barab Barabantz</t>
  </si>
  <si>
    <t>barabantz@yahoo.com</t>
  </si>
  <si>
    <t>Dario Bano</t>
  </si>
  <si>
    <t>+447453323681</t>
  </si>
  <si>
    <t>Bill False</t>
  </si>
  <si>
    <t>bill_shanker@hotmail,com</t>
  </si>
  <si>
    <t>+447973797695</t>
  </si>
  <si>
    <t>Charlotte A</t>
  </si>
  <si>
    <t>Townsend.charlotte@yahoo.com</t>
  </si>
  <si>
    <t>Elnaz Lahooty</t>
  </si>
  <si>
    <t>tilinazcolelction@gmail.com</t>
  </si>
  <si>
    <t>+447449194919</t>
  </si>
  <si>
    <t>Mazen Nahawi</t>
  </si>
  <si>
    <t>Waqar Rashid</t>
  </si>
  <si>
    <t>mrmllhill@yahoo.com.uk</t>
  </si>
  <si>
    <t>+447704139123</t>
  </si>
  <si>
    <t>Mohammed Mahroof</t>
  </si>
  <si>
    <t>mahroof786@live.co.uk</t>
  </si>
  <si>
    <t>+447838125273</t>
  </si>
  <si>
    <t>Safina S</t>
  </si>
  <si>
    <t>zehirarif@outlook.com</t>
  </si>
  <si>
    <t>+447868436550</t>
  </si>
  <si>
    <t>John John</t>
  </si>
  <si>
    <t>john@gmail.com</t>
  </si>
  <si>
    <t>+447811438113</t>
  </si>
  <si>
    <t>Ahmed Jina</t>
  </si>
  <si>
    <t>ahmed.ajina@seddons.com</t>
  </si>
  <si>
    <t>+447966864109</t>
  </si>
  <si>
    <t>Zohoro Al Jabbar</t>
  </si>
  <si>
    <t>zohora@hotmail.com</t>
  </si>
  <si>
    <t>+447534408442</t>
  </si>
  <si>
    <t>sj_smith@ive.co.uk</t>
  </si>
  <si>
    <t xml:space="preserve">Rej Rej </t>
  </si>
  <si>
    <t>gareppol@aol.com</t>
  </si>
  <si>
    <t>nh_asianwear@outlook.com</t>
  </si>
  <si>
    <t>israbali@hotmail.com</t>
  </si>
  <si>
    <t>Ziad Daker</t>
  </si>
  <si>
    <t>ziaddaker@yahoo.com</t>
  </si>
  <si>
    <t>+196393325519</t>
  </si>
  <si>
    <t>Richard Deighton</t>
  </si>
  <si>
    <t>rdeighton@hotmail.com</t>
  </si>
  <si>
    <t>+447788962941</t>
  </si>
  <si>
    <t>+446736202824</t>
  </si>
  <si>
    <t>Hany H</t>
  </si>
  <si>
    <t>Gary Vicary</t>
  </si>
  <si>
    <t>garyvicary@gmail.com</t>
  </si>
  <si>
    <t>+447884316580</t>
  </si>
  <si>
    <t>Shehzad Hassam</t>
  </si>
  <si>
    <t>shehzadhassam@icloud.com</t>
  </si>
  <si>
    <t>+85264627210</t>
  </si>
  <si>
    <t>Shella Mansourian</t>
  </si>
  <si>
    <t>shella1347@yahoo.co.uk</t>
  </si>
  <si>
    <t>+9715502208535</t>
  </si>
  <si>
    <t>Oyedele Oyepeju</t>
  </si>
  <si>
    <t>oyedeleopeju2014@gmail.com</t>
  </si>
  <si>
    <t>+447873989916</t>
  </si>
  <si>
    <t>Susan Carter</t>
  </si>
  <si>
    <t>monsta007@icloud.com</t>
  </si>
  <si>
    <t>+447272716847</t>
  </si>
  <si>
    <t>+447772566574</t>
  </si>
  <si>
    <t>Mike Mike</t>
  </si>
  <si>
    <t>nhyuj@.m.eg</t>
  </si>
  <si>
    <t>+447968070184</t>
  </si>
  <si>
    <t>Harder H</t>
  </si>
  <si>
    <t>+447709597218</t>
  </si>
  <si>
    <t>Paul Bunyan</t>
  </si>
  <si>
    <t>paul@paul-bunyan.co.uk</t>
  </si>
  <si>
    <t>+447966241980</t>
  </si>
  <si>
    <t>Ayman Salim ZIbak</t>
  </si>
  <si>
    <t>ayman.zeibak@admc.com</t>
  </si>
  <si>
    <t>+966505451455</t>
  </si>
  <si>
    <t>Mark Mark</t>
  </si>
  <si>
    <t>+19255777805</t>
  </si>
  <si>
    <t>Lauren Webster</t>
  </si>
  <si>
    <t>laurenwebster@yahoo.com</t>
  </si>
  <si>
    <t>+971561099763</t>
  </si>
  <si>
    <t>Josette Zeilah</t>
  </si>
  <si>
    <t>josettezeilah@hotmail.com</t>
  </si>
  <si>
    <t>+13014125598</t>
  </si>
  <si>
    <t>Joshua Ramdehol</t>
  </si>
  <si>
    <t>herocarribean@yahoo.com</t>
  </si>
  <si>
    <t>+15926093650</t>
  </si>
  <si>
    <t>Pawel Kolacz</t>
  </si>
  <si>
    <t>pkolacz@gmail.com</t>
  </si>
  <si>
    <t>+14155458262</t>
  </si>
  <si>
    <t>John Quill</t>
  </si>
  <si>
    <t>jquill@cofibers.com</t>
  </si>
  <si>
    <t>+19788078584</t>
  </si>
  <si>
    <t>Olga Kipin</t>
  </si>
  <si>
    <t>olgakipin@gmail.com</t>
  </si>
  <si>
    <t>+4917684858767</t>
  </si>
  <si>
    <t>Ismail I</t>
  </si>
  <si>
    <t>+9945530550005</t>
  </si>
  <si>
    <t>Mohammed No</t>
  </si>
  <si>
    <t>+97150613553</t>
  </si>
  <si>
    <t>Emily Smith</t>
  </si>
  <si>
    <t>emily-10@hotmail.com</t>
  </si>
  <si>
    <t>+971503697469</t>
  </si>
  <si>
    <t>Reda No</t>
  </si>
  <si>
    <t>+971581185110</t>
  </si>
  <si>
    <t>Carlo A</t>
  </si>
  <si>
    <t>+4369910901166</t>
  </si>
  <si>
    <t>Bader  Helal</t>
  </si>
  <si>
    <t>hazz12365@hotmail.com</t>
  </si>
  <si>
    <t>+96892821915</t>
  </si>
  <si>
    <t>Marco Mattocia</t>
  </si>
  <si>
    <t>marco.attoccia@b2firms.com</t>
  </si>
  <si>
    <t>+971501376744</t>
  </si>
  <si>
    <t>Paolo P</t>
  </si>
  <si>
    <t>+971566539834</t>
  </si>
  <si>
    <t>Termilan T</t>
  </si>
  <si>
    <t>ceo-27@mail.ru</t>
  </si>
  <si>
    <t>+996777777900</t>
  </si>
  <si>
    <t>Badir Bader</t>
  </si>
  <si>
    <t>baderbbhm@hotmail.com</t>
  </si>
  <si>
    <t>+966505945306</t>
  </si>
  <si>
    <t>M Badou</t>
  </si>
  <si>
    <t>m.baddou86@hotmail.com</t>
  </si>
  <si>
    <t>+966539000772</t>
  </si>
  <si>
    <t>Gianlunca Moscarda</t>
  </si>
  <si>
    <t>gmoscarda3@gmail.com</t>
  </si>
  <si>
    <t>+995599545543</t>
  </si>
  <si>
    <t>Olga Vozynyak</t>
  </si>
  <si>
    <t>olha.storozko@gmail.com</t>
  </si>
  <si>
    <t>+380636474911</t>
  </si>
  <si>
    <t xml:space="preserve">Arif L </t>
  </si>
  <si>
    <t>ollaarif@eim.ar</t>
  </si>
  <si>
    <t>Amir Abu</t>
  </si>
  <si>
    <t>Raad K</t>
  </si>
  <si>
    <t>+4540725518</t>
  </si>
  <si>
    <t xml:space="preserve">Darren No </t>
  </si>
  <si>
    <t>+9715146048</t>
  </si>
  <si>
    <t>Farhad No</t>
  </si>
  <si>
    <t>+971508496266</t>
  </si>
  <si>
    <t>Mohammed Al Sa</t>
  </si>
  <si>
    <t>+971506474120</t>
  </si>
  <si>
    <t>Om Rashed Rashed</t>
  </si>
  <si>
    <t>+971507301115</t>
  </si>
  <si>
    <t>+447977005822</t>
  </si>
  <si>
    <t>Darren False</t>
  </si>
  <si>
    <t>+971585146049</t>
  </si>
  <si>
    <t>Constantin Con</t>
  </si>
  <si>
    <t>+79213103388</t>
  </si>
  <si>
    <t>Fatiman Fatima</t>
  </si>
  <si>
    <t>+1850272332</t>
  </si>
  <si>
    <t>K Kiven</t>
  </si>
  <si>
    <t>+4915171111177</t>
  </si>
  <si>
    <t>Oleg N</t>
  </si>
  <si>
    <t>+79139407639</t>
  </si>
  <si>
    <t xml:space="preserve">Faisy </t>
  </si>
  <si>
    <t>+971504733605</t>
  </si>
  <si>
    <t>Ali S</t>
  </si>
  <si>
    <t>+9234522001557</t>
  </si>
  <si>
    <t>Mohamed K</t>
  </si>
  <si>
    <t>ta2275sa@yahoo.com</t>
  </si>
  <si>
    <t>Sidique</t>
  </si>
  <si>
    <t>+97155231906</t>
  </si>
  <si>
    <t>Shadi No</t>
  </si>
  <si>
    <t>+962795817777</t>
  </si>
  <si>
    <t>Christos Prekas</t>
  </si>
  <si>
    <t>xprekas@gmail.com</t>
  </si>
  <si>
    <t>Mohamed Alsherif</t>
  </si>
  <si>
    <t>+213670001633</t>
  </si>
  <si>
    <t>Askar A</t>
  </si>
  <si>
    <t>+77017180077</t>
  </si>
  <si>
    <t>KAZAKHSTAN</t>
  </si>
  <si>
    <t>added</t>
  </si>
  <si>
    <t>Allan A</t>
  </si>
  <si>
    <t>+12132550111</t>
  </si>
  <si>
    <t>UNITED STATES</t>
  </si>
  <si>
    <t>Abzal</t>
  </si>
  <si>
    <t>abzaltama@gmail.com</t>
  </si>
  <si>
    <t>Hesham</t>
  </si>
  <si>
    <t>+201001604223</t>
  </si>
  <si>
    <t>EGYPT</t>
  </si>
  <si>
    <t>Mohamed M</t>
  </si>
  <si>
    <t>+971501449915</t>
  </si>
  <si>
    <t>added shane</t>
  </si>
  <si>
    <t>Zahra z</t>
  </si>
  <si>
    <t>+994502220082</t>
  </si>
  <si>
    <t>Fatima Fatima</t>
  </si>
  <si>
    <t>+971553100360</t>
  </si>
  <si>
    <t>IRAQ</t>
  </si>
  <si>
    <t>Mansour mansour</t>
  </si>
  <si>
    <t>+971501493838</t>
  </si>
  <si>
    <t>Sergey Smirnov</t>
  </si>
  <si>
    <t>+7926020168</t>
  </si>
  <si>
    <t>Kickye K</t>
  </si>
  <si>
    <t>kickiye@gmail.com</t>
  </si>
  <si>
    <t>Osman O</t>
  </si>
  <si>
    <t>+27823653786</t>
  </si>
  <si>
    <t>Jaweed J</t>
  </si>
  <si>
    <t>+971508596001</t>
  </si>
  <si>
    <t>Mrs. Guldina</t>
  </si>
  <si>
    <t>Anna K</t>
  </si>
  <si>
    <t>anna1maleysheva@mail.ru</t>
  </si>
  <si>
    <t>Bu Bakhrom</t>
  </si>
  <si>
    <t>Slava K</t>
  </si>
  <si>
    <t>box_73@mail.com</t>
  </si>
  <si>
    <t>Mr Vashim</t>
  </si>
  <si>
    <t>Mr Yahya</t>
  </si>
  <si>
    <t>Mr Saeed</t>
  </si>
  <si>
    <t>saeednet1@hotmail.com</t>
  </si>
  <si>
    <t>Ulbossyn L</t>
  </si>
  <si>
    <t>Ahmed Al ma</t>
  </si>
  <si>
    <t>Mr. Dareen</t>
  </si>
  <si>
    <t>Macel No</t>
  </si>
  <si>
    <t>Abdul Khadi</t>
  </si>
  <si>
    <t>Khalid Alhomailli</t>
  </si>
  <si>
    <t>kh633@hotmail.com</t>
  </si>
  <si>
    <t>Sultan Almutairi</t>
  </si>
  <si>
    <t>almutairisg@gmail.com</t>
  </si>
  <si>
    <t>Abdulameed Alkhoori</t>
  </si>
  <si>
    <t>sanaamarble@gmai.com</t>
  </si>
  <si>
    <t>Mr Waheed</t>
  </si>
  <si>
    <t>Faisal Al Nsour</t>
  </si>
  <si>
    <t>alfaisal.legaconsultancy@yahoo.com</t>
  </si>
  <si>
    <t>Fram L</t>
  </si>
  <si>
    <t>Mr Hammad</t>
  </si>
  <si>
    <t>Igor N</t>
  </si>
  <si>
    <t>Usama N</t>
  </si>
  <si>
    <t>Turar N</t>
  </si>
  <si>
    <t>Kazakhztan</t>
  </si>
  <si>
    <t>Juanid Zaidi</t>
  </si>
  <si>
    <t>ed1@comsats.org</t>
  </si>
  <si>
    <t>Alesandro M</t>
  </si>
  <si>
    <t>Harzal Hassan</t>
  </si>
  <si>
    <t>harzal_hassan@hotmail.com</t>
  </si>
  <si>
    <t>Alia Jumaily</t>
  </si>
  <si>
    <t>Alia.aljumaily@gmail.com</t>
  </si>
  <si>
    <t>Rishat Agzomov</t>
  </si>
  <si>
    <t>rinag@inbox.ru</t>
  </si>
  <si>
    <t>Katja Heckelman</t>
  </si>
  <si>
    <t>Zak No</t>
  </si>
  <si>
    <t>Vivek Mheta</t>
  </si>
  <si>
    <t>Mr Stefano</t>
  </si>
  <si>
    <t>viarosestefano@katamail.com</t>
  </si>
  <si>
    <t>Klavdi Es</t>
  </si>
  <si>
    <t>mail@klavdi.es</t>
  </si>
  <si>
    <t>Mohammed Amin</t>
  </si>
  <si>
    <t>Mr Ali</t>
  </si>
  <si>
    <t>Mohammed Brinji</t>
  </si>
  <si>
    <t>Fares Mohammed</t>
  </si>
  <si>
    <t>faresalhassri@gmail.com</t>
  </si>
  <si>
    <t>Khalaf Khalaf</t>
  </si>
  <si>
    <t>khalaf@gmai.com</t>
  </si>
  <si>
    <t>Mr Martin</t>
  </si>
  <si>
    <t>Amir Yousri</t>
  </si>
  <si>
    <t>Marco No</t>
  </si>
  <si>
    <t>Maty Maty</t>
  </si>
  <si>
    <t>Arda Obuz</t>
  </si>
  <si>
    <t>arda@turesta.com</t>
  </si>
  <si>
    <t>Iyzal No</t>
  </si>
  <si>
    <t>Sanzhar Kenekhanov</t>
  </si>
  <si>
    <t>Hesham H</t>
  </si>
  <si>
    <t>Arif Arif</t>
  </si>
  <si>
    <t>Thomas No</t>
  </si>
  <si>
    <t>Vladimir Russiam</t>
  </si>
  <si>
    <t>Jan No</t>
  </si>
  <si>
    <t>Labou Samir</t>
  </si>
  <si>
    <t>Ahmed Elias</t>
  </si>
  <si>
    <t>Ilias No</t>
  </si>
  <si>
    <t>Clem No</t>
  </si>
  <si>
    <t>Sera Pceu</t>
  </si>
  <si>
    <t>MOBILE</t>
  </si>
  <si>
    <t>Abdul Rahman Al Saeedi-3/2/2019</t>
  </si>
  <si>
    <t>abdurahman48144@gmail.com</t>
  </si>
  <si>
    <t>97150 481-4405</t>
  </si>
  <si>
    <t>Not Given</t>
  </si>
  <si>
    <t>Adnan Al afeef-3/2/2019</t>
  </si>
  <si>
    <t>97155 551-1083</t>
  </si>
  <si>
    <t>Aysel</t>
  </si>
  <si>
    <t>Ahmad Aldamkhi-3/1/2019</t>
  </si>
  <si>
    <t>Ahmad Kabra-3/2/2019</t>
  </si>
  <si>
    <t>Ahmed Alshehhi-2/28/2019</t>
  </si>
  <si>
    <t>presti_gee@hotmail.com</t>
  </si>
  <si>
    <t>(050) 909-9978</t>
  </si>
  <si>
    <t>Anatolii Jaricov-3/2/2019</t>
  </si>
  <si>
    <t>jaricov3@gamail.com</t>
  </si>
  <si>
    <t>(056) 754-5922</t>
  </si>
  <si>
    <t>Russia</t>
  </si>
  <si>
    <t>Asad Ali Khawaja-2/28/2019</t>
  </si>
  <si>
    <t>Ayat Ballout-2/26/2019</t>
  </si>
  <si>
    <t>Basel Karasneh-3/1/2019</t>
  </si>
  <si>
    <t>Cameron Mott-3/1/2019</t>
  </si>
  <si>
    <t>Catalin Buzatu-2/28/2019</t>
  </si>
  <si>
    <t>Denny Boscolo-2/28/2019</t>
  </si>
  <si>
    <t>Dummy H-3/2/2019</t>
  </si>
  <si>
    <t>Faisal Ali mousa-2/26/2019</t>
  </si>
  <si>
    <t>Khalisi, Fatima</t>
  </si>
  <si>
    <t>Fatma Ahmad-3/2/2019</t>
  </si>
  <si>
    <t>Franco Gianni-2/26/2019</t>
  </si>
  <si>
    <t>Gray Anait-2/26/2019</t>
  </si>
  <si>
    <t>Hadi Alkhatib-2/26/2019</t>
  </si>
  <si>
    <t>Hassan Hassan-2/28/2019</t>
  </si>
  <si>
    <t>Hattan Arab-2/28/2019</t>
  </si>
  <si>
    <t>India India-3/1/2019</t>
  </si>
  <si>
    <t>Iryna Goryn-2/26/2019</t>
  </si>
  <si>
    <t>ismail Alkas-2/26/2019</t>
  </si>
  <si>
    <t>Izzet Oz-3/2/2019</t>
  </si>
  <si>
    <t>Julia Pupkina-3/2/2019</t>
  </si>
  <si>
    <t>Julio Abad-3/1/2019</t>
  </si>
  <si>
    <t>Ahmad, Fatma</t>
  </si>
  <si>
    <t>Khadim Al remeithi-3/1/2019</t>
  </si>
  <si>
    <t>Khalid Khadem-2/27/2019</t>
  </si>
  <si>
    <t>Lauren Webster-2/26/2019</t>
  </si>
  <si>
    <t>Maarja Sammel-2/27/2019</t>
  </si>
  <si>
    <t>Mana Al maktoum-2/28/2019</t>
  </si>
  <si>
    <t>Marc Fernet-2/27/2019</t>
  </si>
  <si>
    <t>Marco Silva-2/28/2019</t>
  </si>
  <si>
    <t>Maryam Turki-2/27/2019</t>
  </si>
  <si>
    <t>Matthew Matthew-2/28/2019</t>
  </si>
  <si>
    <t>Michael Kastel-2/26/2019</t>
  </si>
  <si>
    <t>Milad Abdaah-2/26/2019</t>
  </si>
  <si>
    <t>Mohamed Mohammed-2/26/2019</t>
  </si>
  <si>
    <t>Mohammad Alhammadi-3/1/2019</t>
  </si>
  <si>
    <t>Mohammed Kunhi-3/1/2019</t>
  </si>
  <si>
    <t>Mohammed Saeed-3/2/2019</t>
  </si>
  <si>
    <t>Mokhbat Wail-2/26/2019</t>
  </si>
  <si>
    <t>Ozet Oz-3/1/2019</t>
  </si>
  <si>
    <t>Pietro Lorenzetti-2/28/2019</t>
  </si>
  <si>
    <t>Raghubir Batra-3/2/2019</t>
  </si>
  <si>
    <t>S Gopinath-3/1/2019</t>
  </si>
  <si>
    <t>Saif Al matsuri-3/2/2019</t>
  </si>
  <si>
    <t>Salem Salem-2/28/2019</t>
  </si>
  <si>
    <t>Stefan Gutohrle-3/2/2019</t>
  </si>
  <si>
    <t>Stiven Nosowski-2/28/2019</t>
  </si>
  <si>
    <t>Tansel Culcu-2/28/2019</t>
  </si>
  <si>
    <t>Tarik Omer-2/26/2019</t>
  </si>
  <si>
    <t>test boatshow1 to hns jbr2-2/26/2019</t>
  </si>
  <si>
    <t>Tim Walmsley-3/2/2019</t>
  </si>
  <si>
    <t>Vitaliy Govorov-3/2/2019</t>
  </si>
  <si>
    <t>Wael Mokbat-2/26/2019</t>
  </si>
  <si>
    <t>William William-2/28/2019</t>
  </si>
  <si>
    <t>Date updated</t>
  </si>
  <si>
    <t>Name</t>
  </si>
  <si>
    <t>Email</t>
  </si>
  <si>
    <t>Mobile</t>
  </si>
  <si>
    <t>Saba</t>
  </si>
  <si>
    <t>iuila</t>
  </si>
  <si>
    <t>uilia</t>
  </si>
  <si>
    <t>khusro</t>
  </si>
  <si>
    <t>sama</t>
  </si>
  <si>
    <t>Nelly</t>
  </si>
  <si>
    <t>nelly</t>
  </si>
  <si>
    <t>Saurabh Seivasta</t>
  </si>
  <si>
    <t>saurabh1605@gmail.com</t>
  </si>
  <si>
    <t>Raymon Habib</t>
  </si>
  <si>
    <t>(056)3864142</t>
  </si>
  <si>
    <t>Saeed Pourghadiri</t>
  </si>
  <si>
    <t>saeed_pourghadiri@yahoo.com</t>
  </si>
  <si>
    <t>Vitaliy kozhin</t>
  </si>
  <si>
    <t>kozhin@cityprofit.ru</t>
  </si>
  <si>
    <t>Majed N</t>
  </si>
  <si>
    <t>Jamil</t>
  </si>
  <si>
    <t>Mr. Tag</t>
  </si>
  <si>
    <t>Chris Jordinson</t>
  </si>
  <si>
    <t>chrisjordinson628@gmail.com</t>
  </si>
  <si>
    <t>Mr Mogen</t>
  </si>
  <si>
    <t>Zafer Zafer</t>
  </si>
  <si>
    <t>Urs Roth</t>
  </si>
  <si>
    <t>Jeehan Jeehan</t>
  </si>
  <si>
    <t>Evgeniya</t>
  </si>
  <si>
    <t>UILIA</t>
  </si>
  <si>
    <t>9715239-9666</t>
  </si>
  <si>
    <t>97156474-9977</t>
  </si>
  <si>
    <t>99890997-0077</t>
  </si>
  <si>
    <t>99897706-3072</t>
  </si>
  <si>
    <t>97150737-0129</t>
  </si>
  <si>
    <t>97150264-9633</t>
  </si>
  <si>
    <t>Khusro April 20, 2019</t>
  </si>
  <si>
    <t>97156443-5004</t>
  </si>
  <si>
    <t>97156665-4961</t>
  </si>
  <si>
    <t>Jain Sandeep</t>
  </si>
  <si>
    <t>.</t>
  </si>
  <si>
    <t>97150658-2138</t>
  </si>
  <si>
    <t>97150112-5787</t>
  </si>
  <si>
    <t>91985082-9963</t>
  </si>
  <si>
    <t>971505112-8888</t>
  </si>
  <si>
    <t>97150336-6336</t>
  </si>
  <si>
    <t>97150631-3226</t>
  </si>
  <si>
    <t>97156412-0457</t>
  </si>
  <si>
    <t>Erich, Erich</t>
  </si>
  <si>
    <t>mena@gmail.com</t>
  </si>
  <si>
    <t>Shane</t>
  </si>
  <si>
    <t>iULIA</t>
  </si>
  <si>
    <t>Melanieeee, Mélanie</t>
  </si>
  <si>
    <t>nomail.nomail@m.com</t>
  </si>
  <si>
    <t>Fahad, Fahad</t>
  </si>
  <si>
    <t>fmogel@yahoo.com</t>
  </si>
  <si>
    <t>Wasill, Wasil</t>
  </si>
  <si>
    <t>nomail@nomail.com</t>
  </si>
  <si>
    <t>Almsaaed, Saleh</t>
  </si>
  <si>
    <t>saleh@gmail.com</t>
  </si>
  <si>
    <t>Christophe, Boquillon</t>
  </si>
  <si>
    <t>boquillon.medicatl@gmail.com</t>
  </si>
  <si>
    <t>(058) 135-9564</t>
  </si>
  <si>
    <t>Chiaramonte, Emma</t>
  </si>
  <si>
    <t>info@gmail.com</t>
  </si>
  <si>
    <t>William, William</t>
  </si>
  <si>
    <t>nmomail@nomail.com</t>
  </si>
  <si>
    <t>2bed Euro Price</t>
  </si>
  <si>
    <t>Drelischek, Harald</t>
  </si>
  <si>
    <t>Ospina, Julio</t>
  </si>
  <si>
    <t>juceo2020@hotmail.com</t>
  </si>
  <si>
    <t>(050) 721-9306</t>
  </si>
  <si>
    <t>Agustin, Antuna</t>
  </si>
  <si>
    <t>1985x@gmx.com</t>
  </si>
  <si>
    <t>3 Bedroom</t>
  </si>
  <si>
    <t>Jones, Russell</t>
  </si>
  <si>
    <t>russell.jones@ideal-recruit.com</t>
  </si>
  <si>
    <t>2 Bedroom</t>
  </si>
  <si>
    <t>Birkii, Birki</t>
  </si>
  <si>
    <t>nmail@nomail.com</t>
  </si>
  <si>
    <t>(055) 639-9956</t>
  </si>
  <si>
    <t>Ali</t>
  </si>
  <si>
    <t>La Mer 1BR</t>
  </si>
  <si>
    <t>Ahmed, Ahmed</t>
  </si>
  <si>
    <t>adnan_ahmed@outlook.com</t>
  </si>
  <si>
    <t>Dilafruz</t>
  </si>
  <si>
    <t>Barakzai, Farid</t>
  </si>
  <si>
    <t>1 BR</t>
  </si>
  <si>
    <t>Vartamn, Vartan</t>
  </si>
  <si>
    <t>1 BR investment</t>
  </si>
  <si>
    <t>Ndachndach, Nidach</t>
  </si>
  <si>
    <t>Asif</t>
  </si>
  <si>
    <t xml:space="preserve"> BR La Mer</t>
  </si>
  <si>
    <t>Ahmad, Ahmed</t>
  </si>
  <si>
    <t xml:space="preserve">Ali </t>
  </si>
  <si>
    <t>1BR Bluewaters</t>
  </si>
  <si>
    <t>George, Peter</t>
  </si>
  <si>
    <t>niomail@nomail.com</t>
  </si>
  <si>
    <t>No Entry</t>
  </si>
  <si>
    <t>1BR La Mer</t>
  </si>
  <si>
    <t>N, Suntan</t>
  </si>
  <si>
    <t>Fatima</t>
  </si>
  <si>
    <t>Apartment</t>
  </si>
  <si>
    <t>Al Sultan, Abdulla</t>
  </si>
  <si>
    <t>965 69037773</t>
  </si>
  <si>
    <t>1br Port de La mer</t>
  </si>
  <si>
    <t>Edith, Edith</t>
  </si>
  <si>
    <t>nomail@nmail.com</t>
  </si>
  <si>
    <t xml:space="preserve">2b/ blue water </t>
  </si>
  <si>
    <t>Mohan, Ravi</t>
  </si>
  <si>
    <t>(050) 653-2183</t>
  </si>
  <si>
    <t>General informations about blue Waters</t>
  </si>
  <si>
    <t>Nocnoy, Pavel</t>
  </si>
  <si>
    <t>night_omsk@mail.ru</t>
  </si>
  <si>
    <t>Port de La mer 1bdr Bluewaters</t>
  </si>
  <si>
    <t>Ahmecdd, Ahmed</t>
  </si>
  <si>
    <t>(050) 710-5557</t>
  </si>
  <si>
    <t>Monya</t>
  </si>
  <si>
    <t xml:space="preserve">2 b / blu water </t>
  </si>
  <si>
    <t>Khan, Niaz</t>
  </si>
  <si>
    <t>nmsil@nomail.com</t>
  </si>
  <si>
    <t>Bluewaters</t>
  </si>
  <si>
    <t>Saoudi, Alaa</t>
  </si>
  <si>
    <t>alaa.saosudi@yahoo.com</t>
  </si>
  <si>
    <t>Mohamed, Mohamed</t>
  </si>
  <si>
    <t>Alshawi, Nada</t>
  </si>
  <si>
    <t>om_joody_1@hotmail.com</t>
  </si>
  <si>
    <t>Anwar, Ali</t>
  </si>
  <si>
    <t>(055) 908-0901</t>
  </si>
  <si>
    <t>Fahad</t>
  </si>
  <si>
    <t>B</t>
  </si>
  <si>
    <t>Alshamsi, Sultan</t>
  </si>
  <si>
    <t>Esmail, Mariam</t>
  </si>
  <si>
    <t>Tadros, Michael</t>
  </si>
  <si>
    <t>Labuschagne, Bart</t>
  </si>
  <si>
    <t>Cart, Carmen</t>
  </si>
  <si>
    <t>L, Tolga</t>
  </si>
  <si>
    <t>J, Hayaa</t>
  </si>
  <si>
    <t>Mhammed, Mohamed</t>
  </si>
  <si>
    <t>Aiello, Daniela</t>
  </si>
  <si>
    <t>Andul, Abdul</t>
  </si>
  <si>
    <t>Alarjani, Mosleh</t>
  </si>
  <si>
    <t>Ifrahim, Ifti</t>
  </si>
  <si>
    <t>Amin, Sahibzada Syed Murtaza</t>
  </si>
  <si>
    <t>Rashid, Kashif</t>
  </si>
  <si>
    <t>Haroun, Haroun</t>
  </si>
  <si>
    <t>Joly, Yann</t>
  </si>
  <si>
    <t>Vnuchkova, Ekaterina</t>
  </si>
  <si>
    <t>N, Sultan</t>
  </si>
  <si>
    <t>I, Mohammed</t>
  </si>
  <si>
    <t>Mr, Goal</t>
  </si>
  <si>
    <t>U, Muneer</t>
  </si>
  <si>
    <t>Abu Ghazalah, Hala</t>
  </si>
  <si>
    <t>alkendi, dahi</t>
  </si>
  <si>
    <t>Tuoo, Salman</t>
  </si>
  <si>
    <t>Tim, Tim</t>
  </si>
  <si>
    <t>Saleem, Muhammad</t>
  </si>
  <si>
    <t>S, Safina</t>
  </si>
  <si>
    <t>A, Elias</t>
  </si>
  <si>
    <t>Ksenia</t>
  </si>
  <si>
    <t>lubna</t>
  </si>
  <si>
    <t>Jessica's client</t>
  </si>
  <si>
    <t>Ulia</t>
  </si>
  <si>
    <t>Swaziland</t>
  </si>
  <si>
    <t>+971528383440</t>
  </si>
  <si>
    <t>SHANE</t>
  </si>
  <si>
    <t xml:space="preserve">Sidique            </t>
  </si>
  <si>
    <t>(083) 745-8693</t>
  </si>
  <si>
    <t>Aly Sayeed</t>
  </si>
  <si>
    <t>Shahrzad 3-25-19</t>
  </si>
  <si>
    <t>SABA</t>
  </si>
  <si>
    <t>TO BE CHECKED</t>
  </si>
  <si>
    <t>Shahrzad</t>
  </si>
  <si>
    <t>SHAHRZAD</t>
  </si>
  <si>
    <t>(055) 580-0761</t>
  </si>
  <si>
    <t>Aysel 3/27/19</t>
  </si>
  <si>
    <t>Aysel 3/27/20</t>
  </si>
  <si>
    <t>Aysel 3/27/21</t>
  </si>
  <si>
    <t>Aysel 3/27/22</t>
  </si>
  <si>
    <t>Aysel 3/27/23</t>
  </si>
  <si>
    <t>Shahrzad 3-30-19</t>
  </si>
  <si>
    <t>Ali c</t>
  </si>
  <si>
    <t>Hediyeh</t>
  </si>
  <si>
    <t>uila</t>
  </si>
  <si>
    <t>ITALY</t>
  </si>
  <si>
    <t>Victoria 3-27-19</t>
  </si>
  <si>
    <t>Victoria 3-28-19</t>
  </si>
  <si>
    <t>kazakhstan</t>
  </si>
  <si>
    <t>NELLY 3/28/19</t>
  </si>
  <si>
    <t>Aylar</t>
  </si>
  <si>
    <t>RUSSIA</t>
  </si>
  <si>
    <t>vilash@mail.ru</t>
  </si>
  <si>
    <t>SAIRA</t>
  </si>
  <si>
    <t>GERMANY</t>
  </si>
  <si>
    <t>Uilia</t>
  </si>
  <si>
    <t>966 54 759 6666</t>
  </si>
  <si>
    <t>MAyur</t>
  </si>
  <si>
    <t>(050) 617-8879</t>
  </si>
  <si>
    <t>Aly s</t>
  </si>
  <si>
    <t>RIYAM</t>
  </si>
  <si>
    <t>shane</t>
  </si>
  <si>
    <t>ilhem</t>
  </si>
  <si>
    <t>Riyam</t>
  </si>
  <si>
    <t>mushtaq 3-27</t>
  </si>
  <si>
    <t>NELLY</t>
  </si>
  <si>
    <t>Lubna 4/28/19</t>
  </si>
  <si>
    <t>Aly Sayed</t>
  </si>
  <si>
    <t>Lubna 4-25-19</t>
  </si>
  <si>
    <t>mushtaq 4/28</t>
  </si>
  <si>
    <t>mushtaq 4/29</t>
  </si>
  <si>
    <t>mushtaq 4/30</t>
  </si>
  <si>
    <t>Ulia 4/28</t>
  </si>
  <si>
    <t>Roxy 4/28</t>
  </si>
  <si>
    <t>Roxy4/28</t>
  </si>
  <si>
    <t>Ali z</t>
  </si>
  <si>
    <t>Ali Z</t>
  </si>
  <si>
    <t>Yousuf</t>
  </si>
  <si>
    <t>97155570-0336</t>
  </si>
  <si>
    <t>yousuf336@gmail.com</t>
  </si>
  <si>
    <t>Nelly/ Fahad M</t>
  </si>
  <si>
    <t>never pick up</t>
  </si>
  <si>
    <t>Sultan</t>
  </si>
  <si>
    <t>97150572-5311</t>
  </si>
  <si>
    <t>Suly_4_sum@hotmail.co.uk</t>
  </si>
  <si>
    <t>Send Details</t>
  </si>
  <si>
    <t>50461-7161</t>
  </si>
  <si>
    <t>almegbali@gmail.com</t>
  </si>
  <si>
    <t>Called him few times, different days and he did not pick up the call</t>
  </si>
  <si>
    <t>Sahar altayeb</t>
  </si>
  <si>
    <t>96655248-9689</t>
  </si>
  <si>
    <t>saharaltayebalfaki@hotmail.com</t>
  </si>
  <si>
    <t>No update/ Followed up Number is working but not picking up</t>
  </si>
  <si>
    <t>Ben</t>
  </si>
  <si>
    <t>50652-5673</t>
  </si>
  <si>
    <t>Ben.e.mclean@dhl.com</t>
  </si>
  <si>
    <t>Contacted</t>
  </si>
  <si>
    <t>Milutin Stojanac</t>
  </si>
  <si>
    <t>971506577-8639</t>
  </si>
  <si>
    <t>stojanac.milutin018@gmail.com</t>
  </si>
  <si>
    <t>sent whatsapp as no answer will follow up</t>
  </si>
  <si>
    <t>Upendar Yadav</t>
  </si>
  <si>
    <t>887412-7466</t>
  </si>
  <si>
    <t>upendrayadav28143@gmail.com</t>
  </si>
  <si>
    <t>Wrong number</t>
  </si>
  <si>
    <t>Karthik KN</t>
  </si>
  <si>
    <t>843858-9716</t>
  </si>
  <si>
    <t>navakarthik0@gmail.com</t>
  </si>
  <si>
    <t>Forhad Ahamed</t>
  </si>
  <si>
    <t>97152251-1491</t>
  </si>
  <si>
    <t>farhanbaba2014@gmail.com</t>
  </si>
  <si>
    <t>Akaash</t>
  </si>
  <si>
    <t>No answer message sent on WhatsApp</t>
  </si>
  <si>
    <t>Mohammed Josim</t>
  </si>
  <si>
    <t>97152459-2012</t>
  </si>
  <si>
    <t>mj6128407@gmail.com</t>
  </si>
  <si>
    <t>He speaks language I've never heard in my entire life</t>
  </si>
  <si>
    <t>karl</t>
  </si>
  <si>
    <t>97150466-8792</t>
  </si>
  <si>
    <t>pen68@live.com</t>
  </si>
  <si>
    <t>Number depicts a busy tone</t>
  </si>
  <si>
    <t>DR . Shwetha Amin</t>
  </si>
  <si>
    <t>96654987-2929</t>
  </si>
  <si>
    <t>shwethaharii@gmail.com</t>
  </si>
  <si>
    <t>Follow up no answer Shwetha tomorrow morning call</t>
  </si>
  <si>
    <t>Abdullah Alhabib</t>
  </si>
  <si>
    <t>96650391-2695</t>
  </si>
  <si>
    <t>Hab695@gmail.com</t>
  </si>
  <si>
    <t>spoke and sent email will follow up</t>
  </si>
  <si>
    <t>Pragna Vijay H.</t>
  </si>
  <si>
    <t>97155989-8418</t>
  </si>
  <si>
    <t>pragnavs@gmail.com</t>
  </si>
  <si>
    <t>Offered her Villanova as she wants early handover, will keep following up</t>
  </si>
  <si>
    <t>K S Priyan</t>
  </si>
  <si>
    <t>52101-0415</t>
  </si>
  <si>
    <t>springs1139@gmail.com</t>
  </si>
  <si>
    <t>Interested in 3 beds only, will be sharing details with him</t>
  </si>
  <si>
    <t>Ibrahim</t>
  </si>
  <si>
    <t>97155903-6460</t>
  </si>
  <si>
    <t>ibrahimshaikh031@gmail.com</t>
  </si>
  <si>
    <t>Jafor Ali</t>
  </si>
  <si>
    <t>97155422-7161</t>
  </si>
  <si>
    <t>jaforali4757@gmail.com</t>
  </si>
  <si>
    <t>Shaji Salahudeen</t>
  </si>
  <si>
    <t>50650-5083</t>
  </si>
  <si>
    <t>shaji56@gmail.com</t>
  </si>
  <si>
    <t>Tamara</t>
  </si>
  <si>
    <t>followed by admin/ on voicemail</t>
  </si>
  <si>
    <t>DaphnÃ© VULLIEZ</t>
  </si>
  <si>
    <t>52238-8441</t>
  </si>
  <si>
    <t>aymeevulliez@gmail.com</t>
  </si>
  <si>
    <t>Called and sent details - interested in MJL, 2 or 3 Bedrooms. Will go through it and get back to me.</t>
  </si>
  <si>
    <t>Beenish Malik</t>
  </si>
  <si>
    <t>97156481-0783</t>
  </si>
  <si>
    <t>beenish_malikpkk@yahoo.com.au</t>
  </si>
  <si>
    <t>banker /looking for kick back on referalls</t>
  </si>
  <si>
    <t>Shatha Alghamdi</t>
  </si>
  <si>
    <t>96655175-1075</t>
  </si>
  <si>
    <t>coast2sand@hotmail.com</t>
  </si>
  <si>
    <t>send her email on ranches</t>
  </si>
  <si>
    <t>TAMï¸_x008f_ï¸_x008f_ï¸_x008f_</t>
  </si>
  <si>
    <t>97152849-4430</t>
  </si>
  <si>
    <t>tamalameri89@gmail.com</t>
  </si>
  <si>
    <t>Followed up by admin/ number working</t>
  </si>
  <si>
    <t>Atif Osman</t>
  </si>
  <si>
    <t>97156271-3611</t>
  </si>
  <si>
    <t>atifosman2000@yahoo.com</t>
  </si>
  <si>
    <t>kaya</t>
  </si>
  <si>
    <t>96654327-7392</t>
  </si>
  <si>
    <t>xianzicuimc@gmail.com</t>
  </si>
  <si>
    <t>no answer</t>
  </si>
  <si>
    <t>Thomas Keith</t>
  </si>
  <si>
    <t>703819-9005</t>
  </si>
  <si>
    <t>keith42kt@aol.com</t>
  </si>
  <si>
    <t>Haidi</t>
  </si>
  <si>
    <t>Number unreachable and not on what’s app</t>
  </si>
  <si>
    <t>Ridwaan Jhetam</t>
  </si>
  <si>
    <t>97156682-6258</t>
  </si>
  <si>
    <t>rjhetam@gmail.com</t>
  </si>
  <si>
    <t>Ahmed khan</t>
  </si>
  <si>
    <t>57695-7310</t>
  </si>
  <si>
    <t>raheemkhan77759@gmail.com</t>
  </si>
  <si>
    <t>Haide</t>
  </si>
  <si>
    <t>Unreachable and not on what’s app</t>
  </si>
  <si>
    <t>Ateeq R Mogal</t>
  </si>
  <si>
    <t>96654422-4556</t>
  </si>
  <si>
    <t>ateeqrmogal@yahoo.co.in</t>
  </si>
  <si>
    <t>Mohamed Merad</t>
  </si>
  <si>
    <t>55752-7810</t>
  </si>
  <si>
    <t>mmerad11@yahoo.com</t>
  </si>
  <si>
    <t>What’s app sent and we are in touch</t>
  </si>
  <si>
    <t>ANR KRISHNAN</t>
  </si>
  <si>
    <t>96650475-4033</t>
  </si>
  <si>
    <t>anr5047@hotmail.com</t>
  </si>
  <si>
    <t>Munawar</t>
  </si>
  <si>
    <t>97156911-9605</t>
  </si>
  <si>
    <t>Mpasha@adnoc.ae</t>
  </si>
  <si>
    <t>Muhammad Hanif</t>
  </si>
  <si>
    <t>1150624-6110</t>
  </si>
  <si>
    <t>mhhanif@hotmail.com</t>
  </si>
  <si>
    <t>Will be meeting with the client during this week</t>
  </si>
  <si>
    <t>Neo</t>
  </si>
  <si>
    <t>97152516-6619</t>
  </si>
  <si>
    <t>neal.serra@gmail.com</t>
  </si>
  <si>
    <t>Altaf Abdull Khadar</t>
  </si>
  <si>
    <t>96655764-3336</t>
  </si>
  <si>
    <t>aak@aprecopower.com</t>
  </si>
  <si>
    <t>Every time keeps asking to call back 🙂 doesn’t want any messages before discussing.</t>
  </si>
  <si>
    <t>Ken alli</t>
  </si>
  <si>
    <t>96650122-5188</t>
  </si>
  <si>
    <t>Ken.alli512@gmail.com</t>
  </si>
  <si>
    <t>Followed up by admin/ rang once but hanged up</t>
  </si>
  <si>
    <t>Ricardo Roda</t>
  </si>
  <si>
    <t>96653391-2723</t>
  </si>
  <si>
    <t>reykardoso@gmail.com</t>
  </si>
  <si>
    <t>Picked up now, searching but still in the beginning, will share info about different projects with him</t>
  </si>
  <si>
    <t>nasim fakih</t>
  </si>
  <si>
    <t>25470834-3282</t>
  </si>
  <si>
    <t>firdos_faki@hotmail.com</t>
  </si>
  <si>
    <t>TOmmy</t>
  </si>
  <si>
    <t>Yes I spoke with her yesterday and she said she received the information that I sent her and she would get back to me later.</t>
  </si>
  <si>
    <t>Samira</t>
  </si>
  <si>
    <t>00050-5598</t>
  </si>
  <si>
    <t>Sam01charkaoui@gmail.com</t>
  </si>
  <si>
    <t>Not working number</t>
  </si>
  <si>
    <t>Ageel fageehi</t>
  </si>
  <si>
    <t>96650316-7699</t>
  </si>
  <si>
    <t>Ageel0309@gmail.com</t>
  </si>
  <si>
    <t>Jayalekha K.</t>
  </si>
  <si>
    <t>50297-9752</t>
  </si>
  <si>
    <t>ajlkkl@yahoo.co.uk</t>
  </si>
  <si>
    <t>contacted</t>
  </si>
  <si>
    <t>Khalid Alangari</t>
  </si>
  <si>
    <t>96656666-8090</t>
  </si>
  <si>
    <t>khalid@alangari.ws</t>
  </si>
  <si>
    <t>Called twice no answer, will continue trying</t>
  </si>
  <si>
    <t>Daniel Varghese</t>
  </si>
  <si>
    <t>96650245-9230</t>
  </si>
  <si>
    <t>vargh232@gmail.com</t>
  </si>
  <si>
    <t>The number is working. I have called him and sent details</t>
  </si>
  <si>
    <t>Rashid Amin</t>
  </si>
  <si>
    <t>96654508-6987</t>
  </si>
  <si>
    <t>rashidamin1@yahoo.com</t>
  </si>
  <si>
    <t>Number is working but no answer, as per WhatsApp timings he was in 6am in the morning online, will call him in an hour and will update you after</t>
  </si>
  <si>
    <t>Amir Khan</t>
  </si>
  <si>
    <t>96650348-0416</t>
  </si>
  <si>
    <t>akhan@steelcase.com</t>
  </si>
  <si>
    <t>No answer till now will call him again and text is sent</t>
  </si>
  <si>
    <t>Abdulla</t>
  </si>
  <si>
    <t>522071-3595</t>
  </si>
  <si>
    <t>abdulla_alsamarrai@hotmail.com</t>
  </si>
  <si>
    <t>Never Pick Up</t>
  </si>
  <si>
    <t>Apropos</t>
  </si>
  <si>
    <t>DATE</t>
  </si>
  <si>
    <t>PROJECT</t>
  </si>
  <si>
    <t>Comments</t>
  </si>
  <si>
    <t>Arabian Ranches3 Joy</t>
  </si>
  <si>
    <t>SAVITRI</t>
  </si>
  <si>
    <t>56674-4513</t>
  </si>
  <si>
    <t>savitrimenon@yahoo.com</t>
  </si>
  <si>
    <t>Not Working</t>
  </si>
  <si>
    <t>Jagrit</t>
  </si>
  <si>
    <t>437989-3519</t>
  </si>
  <si>
    <t>jagrit19@gmail.com</t>
  </si>
  <si>
    <t>Hitihopiya Horomiyaa Jimaa</t>
  </si>
  <si>
    <t>96658237-5789</t>
  </si>
  <si>
    <t>ioper7268@gmail.com</t>
  </si>
  <si>
    <t>cannot connect</t>
  </si>
  <si>
    <t>Abdul khaliq</t>
  </si>
  <si>
    <t>935328-9263</t>
  </si>
  <si>
    <t>abdulkhaliq9535@gmail.com</t>
  </si>
  <si>
    <t>Wrong Number</t>
  </si>
  <si>
    <t>Raziuddin Khan</t>
  </si>
  <si>
    <t>808054-9886</t>
  </si>
  <si>
    <t>raziuddink1234@gmail.com</t>
  </si>
  <si>
    <t>Nailya</t>
  </si>
  <si>
    <t>Vivek</t>
  </si>
  <si>
    <t>05061-7246</t>
  </si>
  <si>
    <t>Vivek@abvsolutionsltd.com</t>
  </si>
  <si>
    <t>Not working</t>
  </si>
  <si>
    <t>Ashadul Molla</t>
  </si>
  <si>
    <t>704574-4756</t>
  </si>
  <si>
    <t>mdashadul937@gmail.com</t>
  </si>
  <si>
    <t>Wrong number can u make sure</t>
  </si>
  <si>
    <t>Raj</t>
  </si>
  <si>
    <t>91879240-5561</t>
  </si>
  <si>
    <t>nrreddy8@yahoo.co.in</t>
  </si>
  <si>
    <t>can't contact him</t>
  </si>
  <si>
    <t>Pablo</t>
  </si>
  <si>
    <t>722616-9986</t>
  </si>
  <si>
    <t>pablomxgp@hotmail.com</t>
  </si>
  <si>
    <t>sultan</t>
  </si>
  <si>
    <t>54085-0359</t>
  </si>
  <si>
    <t>sultan012@gmail.com</t>
  </si>
  <si>
    <t>This number doesn’t connect - pls recheck the numbers</t>
  </si>
  <si>
    <t>Mariam</t>
  </si>
  <si>
    <t>96659995-9017</t>
  </si>
  <si>
    <t>Mariam99@gmail.com</t>
  </si>
  <si>
    <t>This was unreachable</t>
  </si>
  <si>
    <t>Main Uddin</t>
  </si>
  <si>
    <t>97155431-4172</t>
  </si>
  <si>
    <t>mdmainuddin636@gmail.com</t>
  </si>
  <si>
    <t>Number is not working</t>
  </si>
  <si>
    <t>Denis D'Monte</t>
  </si>
  <si>
    <t>888860-0041</t>
  </si>
  <si>
    <t>denis.dmonte1972@gmail.com</t>
  </si>
  <si>
    <t>Incorrect Number</t>
  </si>
  <si>
    <t>ALI AL GHITTA</t>
  </si>
  <si>
    <t>9733509-7203</t>
  </si>
  <si>
    <t>alghitta@mailme.ae</t>
  </si>
  <si>
    <t>Asayel - MJL</t>
  </si>
  <si>
    <t>Not Attending call</t>
  </si>
  <si>
    <t>Emaar GolfVille</t>
  </si>
  <si>
    <t>SHAKIR AHMED</t>
  </si>
  <si>
    <t>954934-4760</t>
  </si>
  <si>
    <t>shahrahi@hotmail.com</t>
  </si>
  <si>
    <t>Sahana</t>
  </si>
  <si>
    <t>96657638-7625</t>
  </si>
  <si>
    <t>sahana625@gmail.com</t>
  </si>
  <si>
    <t>Suvidha</t>
  </si>
  <si>
    <t>Number Incorrect</t>
  </si>
  <si>
    <t>Hashmat Khan</t>
  </si>
  <si>
    <t>7150494-6968</t>
  </si>
  <si>
    <t>satdubai2400@gmail.com</t>
  </si>
  <si>
    <t>This number is unreachable I tried 4 times</t>
  </si>
  <si>
    <t>Not a working number. Wrong number.</t>
  </si>
  <si>
    <t>UK KIOSK LEADS</t>
  </si>
  <si>
    <t>MUSHTAQ</t>
  </si>
  <si>
    <t>suvi</t>
  </si>
  <si>
    <t>zohaib</t>
  </si>
  <si>
    <t>ZOHAIB</t>
  </si>
  <si>
    <t>INDIA</t>
  </si>
  <si>
    <t>AMAN 3-25-19</t>
  </si>
  <si>
    <t>97150452-4419</t>
  </si>
  <si>
    <t>mushtaq 3-28-19</t>
  </si>
  <si>
    <t>Vicktora</t>
  </si>
  <si>
    <t>dilafruz</t>
  </si>
  <si>
    <t>haidi</t>
  </si>
  <si>
    <t>Agne</t>
  </si>
  <si>
    <t xml:space="preserve">/ </t>
  </si>
  <si>
    <t>Mushtaq 3/24/19</t>
  </si>
  <si>
    <t>KSENIA</t>
  </si>
  <si>
    <t>Aly Cheema 3/25/19</t>
  </si>
  <si>
    <t>+971055717372</t>
  </si>
  <si>
    <t>Rohit 3/25/19</t>
  </si>
  <si>
    <t>Agne 3/25/19</t>
  </si>
  <si>
    <t>Lubna 3/25/19</t>
  </si>
  <si>
    <t>Nelly 3/25/19</t>
  </si>
  <si>
    <t>97155666-2254</t>
  </si>
  <si>
    <t>97155486-2628</t>
  </si>
  <si>
    <t>97155211-1563</t>
  </si>
  <si>
    <t>97155597-5795</t>
  </si>
  <si>
    <t>97150284-4735</t>
  </si>
  <si>
    <t>ALY SAYEED</t>
  </si>
  <si>
    <t>Vikas</t>
  </si>
  <si>
    <t>Ali Z Cheema 3-27</t>
  </si>
  <si>
    <t>Riyam 4-1-19</t>
  </si>
  <si>
    <t>Lubna 3-27-2019</t>
  </si>
  <si>
    <t>GARY</t>
  </si>
  <si>
    <t>Ali Z Cheema 4-1-19</t>
  </si>
  <si>
    <t>Mushtaq 4/1/19</t>
  </si>
  <si>
    <t>UILIIA</t>
  </si>
  <si>
    <t>Roxy\</t>
  </si>
  <si>
    <t>ali z</t>
  </si>
  <si>
    <t xml:space="preserve">aliz </t>
  </si>
  <si>
    <t>victria</t>
  </si>
  <si>
    <t>EMILY</t>
  </si>
  <si>
    <t>Ilhem</t>
  </si>
  <si>
    <t>CHINA</t>
  </si>
  <si>
    <t>97156672-8888</t>
  </si>
  <si>
    <t>Mary</t>
  </si>
  <si>
    <t>97150137-9909</t>
  </si>
  <si>
    <t>97155924-6389</t>
  </si>
  <si>
    <t>39347370-6020</t>
  </si>
  <si>
    <t>97150545525-2517</t>
  </si>
  <si>
    <t>861850213-2638</t>
  </si>
  <si>
    <t>971528-1204</t>
  </si>
  <si>
    <t>861376111-1305</t>
  </si>
  <si>
    <t>86189134-5305</t>
  </si>
  <si>
    <t>861566578-7878</t>
  </si>
  <si>
    <t>97150486-1851</t>
  </si>
  <si>
    <t>97152987-0812</t>
  </si>
  <si>
    <t>96655571-9336</t>
  </si>
  <si>
    <t>9659738-9999</t>
  </si>
  <si>
    <t>96653713-1960</t>
  </si>
  <si>
    <t>97155131-9278</t>
  </si>
  <si>
    <t>97150698-8637</t>
  </si>
  <si>
    <t>861358060-2222</t>
  </si>
  <si>
    <t>Xiaolian Quan</t>
  </si>
  <si>
    <t>97150934-5565</t>
  </si>
  <si>
    <t>86135806-0222</t>
  </si>
  <si>
    <t>97155328-7767</t>
  </si>
  <si>
    <t>Fangping Wei</t>
  </si>
  <si>
    <t>97156789-8365</t>
  </si>
  <si>
    <t>97156358-7099</t>
  </si>
  <si>
    <t>971581552-2965</t>
  </si>
  <si>
    <t>97152723-2188</t>
  </si>
  <si>
    <t>861581552-2965</t>
  </si>
  <si>
    <t>97150853-2609</t>
  </si>
  <si>
    <t>97156660-3686</t>
  </si>
  <si>
    <t>97150787-0594</t>
  </si>
  <si>
    <t>97150724-0980</t>
  </si>
  <si>
    <t>97156563-4888</t>
  </si>
  <si>
    <t>97156708-6916</t>
  </si>
  <si>
    <t>97152845-3731</t>
  </si>
  <si>
    <t>TONGS</t>
  </si>
  <si>
    <t>97150857-5219</t>
  </si>
  <si>
    <t>97158126-9888</t>
  </si>
  <si>
    <t>97150388-4827</t>
  </si>
  <si>
    <t>97156178-8451</t>
  </si>
  <si>
    <t>97158990-7659</t>
  </si>
  <si>
    <t>97156180-9891</t>
  </si>
  <si>
    <t>97155325-8116</t>
  </si>
  <si>
    <t>97155190-7648</t>
  </si>
  <si>
    <t>97152934-8456</t>
  </si>
  <si>
    <t>97155231-8756</t>
  </si>
  <si>
    <t>97150856-5628</t>
  </si>
  <si>
    <t>97155733-4134</t>
  </si>
  <si>
    <t>97150388-6762</t>
  </si>
  <si>
    <t>97155323-2138</t>
  </si>
  <si>
    <t>97I552711988</t>
  </si>
  <si>
    <t>864191648-2389</t>
  </si>
  <si>
    <t>97150636-5598</t>
  </si>
  <si>
    <t>97152940-8172</t>
  </si>
  <si>
    <t>97155579-1411</t>
  </si>
  <si>
    <t>97152912-3390</t>
  </si>
  <si>
    <t>97155190-0311</t>
  </si>
  <si>
    <t>97155767-1033</t>
  </si>
  <si>
    <t>97155646-6257</t>
  </si>
  <si>
    <t>9715094-1228</t>
  </si>
  <si>
    <t>97152462-3836</t>
  </si>
  <si>
    <t>97150632-8548</t>
  </si>
  <si>
    <t>97150644-4973</t>
  </si>
  <si>
    <t>97156935-0808</t>
  </si>
  <si>
    <t>97150656-8032</t>
  </si>
  <si>
    <t>440745443-4656</t>
  </si>
  <si>
    <t>900531895-1328</t>
  </si>
  <si>
    <t>9715686-6258</t>
  </si>
  <si>
    <t>97150652-4508</t>
  </si>
  <si>
    <t>97156917-9628</t>
  </si>
  <si>
    <t>971506524 508</t>
  </si>
  <si>
    <t>97156678-6594</t>
  </si>
  <si>
    <t>97155745-5776</t>
  </si>
  <si>
    <t>97155565-4312</t>
  </si>
  <si>
    <t>97150454-7380</t>
  </si>
  <si>
    <t>971501861-0000</t>
  </si>
  <si>
    <t>861382960-3539</t>
  </si>
  <si>
    <t>97156254-6469</t>
  </si>
  <si>
    <t>97150246-2888</t>
  </si>
  <si>
    <t>861816556-8147</t>
  </si>
  <si>
    <t>Wenhui Wan</t>
  </si>
  <si>
    <t>97150715-8906</t>
  </si>
  <si>
    <t>97152809-9098</t>
  </si>
  <si>
    <t>97156403-3709</t>
  </si>
  <si>
    <t>97158588-6113</t>
  </si>
  <si>
    <t>97156408-4228</t>
  </si>
  <si>
    <t>97150678-1378</t>
  </si>
  <si>
    <t>97150286-6388</t>
  </si>
  <si>
    <t>97150628-1864</t>
  </si>
  <si>
    <t>97150469-2776</t>
  </si>
  <si>
    <t>97155511-1890</t>
  </si>
  <si>
    <t>97150676-5356</t>
  </si>
  <si>
    <t>97150645-8949</t>
  </si>
  <si>
    <t>97158637-6719</t>
  </si>
  <si>
    <t>861380603-3111</t>
  </si>
  <si>
    <t>97150651-5540</t>
  </si>
  <si>
    <t>97150275-2879</t>
  </si>
  <si>
    <t>97155160-4078</t>
  </si>
  <si>
    <t>97150867-3696</t>
  </si>
  <si>
    <t>97150887-2218</t>
  </si>
  <si>
    <t>97150776-9887</t>
  </si>
  <si>
    <t>97152317-1028</t>
  </si>
  <si>
    <t>97156174-7818</t>
  </si>
  <si>
    <t>97150859-1698</t>
  </si>
  <si>
    <t>97152997-3085</t>
  </si>
  <si>
    <t>97152883-5168</t>
  </si>
  <si>
    <t>97150658-8127</t>
  </si>
  <si>
    <t>97152861-2641</t>
  </si>
  <si>
    <t>97150616-9665</t>
  </si>
  <si>
    <t>97150628-5108</t>
  </si>
  <si>
    <t>861581050-0668</t>
  </si>
  <si>
    <t>97155693-8398</t>
  </si>
  <si>
    <t>97150798-9709</t>
  </si>
  <si>
    <t>97158971-2996</t>
  </si>
  <si>
    <t>97150544-5089</t>
  </si>
  <si>
    <t>97150628-5275</t>
  </si>
  <si>
    <t>86390223-5732</t>
  </si>
  <si>
    <t>97156179-7960</t>
  </si>
  <si>
    <t>97152711-8588</t>
  </si>
  <si>
    <t>97150422-0788</t>
  </si>
  <si>
    <t>97156828-9872</t>
  </si>
  <si>
    <t>97155669-0929</t>
  </si>
  <si>
    <t>97156140-8888</t>
  </si>
  <si>
    <t>97156779-8283</t>
  </si>
  <si>
    <t>25578222-2214</t>
  </si>
  <si>
    <t>97155153-2003</t>
  </si>
  <si>
    <t>97152718-2469</t>
  </si>
  <si>
    <t>97155418-6866</t>
  </si>
  <si>
    <t>97150940-8737</t>
  </si>
  <si>
    <t>97158504-2052</t>
  </si>
  <si>
    <t>97156314-5287</t>
  </si>
  <si>
    <t>861342875-8809</t>
  </si>
  <si>
    <t>97155234-0642</t>
  </si>
  <si>
    <t>867968521-8098</t>
  </si>
  <si>
    <t>97156121-6799</t>
  </si>
  <si>
    <t>97155554-3217</t>
  </si>
  <si>
    <t>861355256-9862</t>
  </si>
  <si>
    <t>8529139-3063</t>
  </si>
  <si>
    <t>Zak</t>
  </si>
  <si>
    <t>97155295-0040</t>
  </si>
  <si>
    <t>97152542-5535</t>
  </si>
  <si>
    <t>861391130-6928</t>
  </si>
  <si>
    <t>8633436-9934</t>
  </si>
  <si>
    <t>97152230-7501</t>
  </si>
  <si>
    <t>97150661-5268</t>
  </si>
  <si>
    <t>97152210-9205</t>
  </si>
  <si>
    <t>97155426-9081</t>
  </si>
  <si>
    <t>97152493-8298</t>
  </si>
  <si>
    <t>97155207-4050</t>
  </si>
  <si>
    <t>861590570-1027</t>
  </si>
  <si>
    <t>97156820-9177</t>
  </si>
  <si>
    <t>Miglin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</si>
</sst>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mmm d yyyy"/>
    <numFmt numFmtId="166" formatCode="m/d/yyyy"/>
    <numFmt numFmtId="167" formatCode="d-mmm-yyyy"/>
    <numFmt numFmtId="168" formatCode="m/d/yy"/>
  </numFmts>
  <fonts count="34">
    <font>
      <sz val="10.0"/>
      <color rgb="FF000000"/>
      <name val="Arial"/>
    </font>
    <font>
      <color theme="1"/>
      <name val="Calibri"/>
    </font>
    <font/>
    <font>
      <b/>
      <sz val="47.0"/>
      <color theme="1"/>
      <name val="Impact"/>
    </font>
    <font>
      <b/>
      <sz val="18.0"/>
      <color theme="1"/>
      <name val="Calibri"/>
    </font>
    <font>
      <b/>
      <color theme="1"/>
      <name val="Calibri"/>
    </font>
    <font>
      <b/>
      <i/>
      <color theme="1"/>
      <name val="Calibri"/>
    </font>
    <font>
      <i/>
      <color theme="1"/>
      <name val="Calibri"/>
    </font>
    <font>
      <sz val="11.0"/>
      <color rgb="FF000000"/>
      <name val="Calibri"/>
    </font>
    <font>
      <color theme="1"/>
      <name val="Arial"/>
    </font>
    <font>
      <b/>
      <color rgb="FFFFFFFF"/>
      <name val="Calibri"/>
    </font>
    <font>
      <color rgb="FF000000"/>
      <name val="Arial"/>
    </font>
    <font>
      <color rgb="FFFFFFFF"/>
      <name val="Calibri"/>
    </font>
    <font>
      <b/>
      <color rgb="FF000000"/>
      <name val="Arial"/>
    </font>
    <font>
      <sz val="9.0"/>
      <color rgb="FF000000"/>
      <name val="Arial"/>
    </font>
    <font>
      <color rgb="FF000000"/>
      <name val="Roboto"/>
    </font>
    <font>
      <b/>
      <color rgb="FFFF0000"/>
      <name val="Calibri"/>
    </font>
    <font>
      <u/>
      <sz val="9.0"/>
      <color rgb="FF015BA7"/>
      <name val="Arial"/>
    </font>
    <font>
      <u/>
      <color rgb="FF0000FF"/>
    </font>
    <font>
      <u/>
      <sz val="9.0"/>
      <color rgb="FF000000"/>
      <name val="Arial"/>
    </font>
    <font>
      <u/>
      <sz val="9.0"/>
      <color rgb="FF333435"/>
      <name val="Arial"/>
    </font>
    <font>
      <u/>
      <sz val="9.0"/>
      <color rgb="FF000000"/>
      <name val="Arial"/>
    </font>
    <font>
      <b/>
      <sz val="8.0"/>
      <color rgb="FF4A4A56"/>
      <name val="Arial"/>
    </font>
    <font>
      <u/>
      <sz val="9.0"/>
      <color rgb="FF000000"/>
      <name val="Arial"/>
    </font>
    <font>
      <u/>
      <sz val="9.0"/>
      <color rgb="FF333435"/>
      <name val="Arial"/>
    </font>
    <font>
      <sz val="9.0"/>
      <color rgb="FF222222"/>
      <name val="Arial"/>
    </font>
    <font>
      <sz val="9.0"/>
      <color rgb="FF333435"/>
      <name val="Arial"/>
    </font>
    <font>
      <u/>
      <sz val="9.0"/>
      <color rgb="FF333435"/>
      <name val="Arial"/>
    </font>
    <font>
      <u/>
      <sz val="9.0"/>
      <color rgb="FF015BA7"/>
      <name val="Arial"/>
    </font>
    <font>
      <u/>
      <sz val="9.0"/>
      <color rgb="FF333435"/>
      <name val="Arial"/>
    </font>
    <font>
      <u/>
      <sz val="9.0"/>
      <color rgb="FF015BA7"/>
      <name val="Arial"/>
    </font>
    <font>
      <u/>
      <color rgb="FF0000FF"/>
    </font>
    <font>
      <b/>
      <sz val="11.0"/>
      <color rgb="FF000000"/>
      <name val="Calibri"/>
    </font>
    <font>
      <color rgb="FF222222"/>
      <name val="Verdana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9900FF"/>
        <bgColor rgb="FF9900FF"/>
      </patternFill>
    </fill>
    <fill>
      <patternFill patternType="solid">
        <fgColor rgb="FF76A5AF"/>
        <bgColor rgb="FF76A5A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3F3FF"/>
        <bgColor rgb="FFE3F3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</fills>
  <borders count="23">
    <border/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2" fillId="4" fontId="1" numFmtId="0" xfId="0" applyBorder="1" applyFill="1" applyFont="1"/>
    <xf borderId="2" fillId="0" fontId="2" numFmtId="0" xfId="0" applyBorder="1" applyFont="1"/>
    <xf borderId="3" fillId="3" fontId="1" numFmtId="0" xfId="0" applyBorder="1" applyFont="1"/>
    <xf borderId="4" fillId="5" fontId="1" numFmtId="0" xfId="0" applyBorder="1" applyFill="1" applyFont="1"/>
    <xf borderId="0" fillId="6" fontId="3" numFmtId="0" xfId="0" applyAlignment="1" applyFill="1" applyFont="1">
      <alignment horizontal="center" vertical="center"/>
    </xf>
    <xf borderId="5" fillId="5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4" numFmtId="0" xfId="0" applyAlignment="1" applyBorder="1" applyFont="1">
      <alignment horizontal="center"/>
    </xf>
    <xf borderId="7" fillId="4" fontId="4" numFmtId="0" xfId="0" applyAlignment="1" applyBorder="1" applyFont="1">
      <alignment horizontal="center"/>
    </xf>
    <xf borderId="7" fillId="0" fontId="2" numFmtId="0" xfId="0" applyBorder="1" applyFont="1"/>
    <xf borderId="8" fillId="3" fontId="1" numFmtId="0" xfId="0" applyBorder="1" applyFont="1"/>
    <xf borderId="0" fillId="0" fontId="4" numFmtId="0" xfId="0" applyAlignment="1" applyFont="1">
      <alignment horizontal="center"/>
    </xf>
    <xf borderId="9" fillId="7" fontId="5" numFmtId="0" xfId="0" applyAlignment="1" applyBorder="1" applyFill="1" applyFont="1">
      <alignment horizontal="center"/>
    </xf>
    <xf borderId="9" fillId="5" fontId="5" numFmtId="0" xfId="0" applyAlignment="1" applyBorder="1" applyFont="1">
      <alignment horizontal="center"/>
    </xf>
    <xf borderId="9" fillId="6" fontId="5" numFmtId="0" xfId="0" applyAlignment="1" applyBorder="1" applyFont="1">
      <alignment horizontal="center"/>
    </xf>
    <xf borderId="0" fillId="8" fontId="6" numFmtId="0" xfId="0" applyAlignment="1" applyFill="1" applyFont="1">
      <alignment horizontal="center"/>
    </xf>
    <xf borderId="9" fillId="4" fontId="5" numFmtId="0" xfId="0" applyAlignment="1" applyBorder="1" applyFont="1">
      <alignment horizontal="left"/>
    </xf>
    <xf borderId="0" fillId="0" fontId="5" numFmtId="0" xfId="0" applyFont="1"/>
    <xf borderId="0" fillId="0" fontId="7" numFmtId="0" xfId="0" applyAlignment="1" applyFont="1">
      <alignment horizontal="center"/>
    </xf>
    <xf borderId="0" fillId="0" fontId="1" numFmtId="0" xfId="0" applyAlignment="1" applyFont="1">
      <alignment horizontal="left"/>
    </xf>
    <xf borderId="10" fillId="0" fontId="8" numFmtId="0" xfId="0" applyAlignment="1" applyBorder="1" applyFont="1">
      <alignment horizontal="right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shrinkToFit="0" vertical="bottom" wrapText="1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6" fontId="1" numFmtId="0" xfId="0" applyFont="1"/>
    <xf quotePrefix="1" borderId="0" fillId="6" fontId="1" numFmtId="0" xfId="0" applyFont="1"/>
    <xf borderId="0" fillId="6" fontId="1" numFmtId="1" xfId="0" applyFont="1" applyNumberFormat="1"/>
    <xf borderId="9" fillId="6" fontId="1" numFmtId="0" xfId="0" applyBorder="1" applyFont="1"/>
    <xf quotePrefix="1" borderId="9" fillId="6" fontId="1" numFmtId="0" xfId="0" applyBorder="1" applyFont="1"/>
    <xf borderId="0" fillId="0" fontId="1" numFmtId="0" xfId="0" applyFont="1"/>
    <xf borderId="0" fillId="0" fontId="1" numFmtId="1" xfId="0" applyFont="1" applyNumberFormat="1"/>
    <xf borderId="0" fillId="4" fontId="1" numFmtId="0" xfId="0" applyFont="1"/>
    <xf quotePrefix="1" borderId="0" fillId="0" fontId="1" numFmtId="0" xfId="0" applyFont="1"/>
    <xf borderId="0" fillId="9" fontId="1" numFmtId="0" xfId="0" applyFill="1" applyFont="1"/>
    <xf quotePrefix="1" borderId="0" fillId="9" fontId="1" numFmtId="0" xfId="0" applyFont="1"/>
    <xf borderId="0" fillId="0" fontId="1" numFmtId="0" xfId="0" applyFont="1"/>
    <xf quotePrefix="1" borderId="0" fillId="6" fontId="1" numFmtId="1" xfId="0" applyFont="1" applyNumberFormat="1"/>
    <xf quotePrefix="1" borderId="0" fillId="9" fontId="1" numFmtId="1" xfId="0" applyFont="1" applyNumberFormat="1"/>
    <xf borderId="0" fillId="10" fontId="1" numFmtId="0" xfId="0" applyFill="1" applyFont="1"/>
    <xf quotePrefix="1" borderId="0" fillId="10" fontId="1" numFmtId="1" xfId="0" applyFont="1" applyNumberFormat="1"/>
    <xf borderId="0" fillId="0" fontId="9" numFmtId="1" xfId="0" applyAlignment="1" applyFont="1" applyNumberFormat="1">
      <alignment vertical="bottom"/>
    </xf>
    <xf borderId="9" fillId="0" fontId="1" numFmtId="0" xfId="0" applyBorder="1" applyFont="1"/>
    <xf borderId="0" fillId="5" fontId="10" numFmtId="0" xfId="0" applyFont="1"/>
    <xf borderId="9" fillId="5" fontId="10" numFmtId="0" xfId="0" applyBorder="1" applyFont="1"/>
    <xf borderId="9" fillId="0" fontId="5" numFmtId="0" xfId="0" applyBorder="1" applyFont="1"/>
    <xf borderId="9" fillId="2" fontId="1" numFmtId="0" xfId="0" applyBorder="1" applyFont="1"/>
    <xf quotePrefix="1" borderId="9" fillId="2" fontId="1" numFmtId="0" xfId="0" applyBorder="1" applyFont="1"/>
    <xf borderId="9" fillId="2" fontId="1" numFmtId="0" xfId="0" applyAlignment="1" applyBorder="1" applyFont="1">
      <alignment horizontal="right"/>
    </xf>
    <xf borderId="0" fillId="0" fontId="11" numFmtId="0" xfId="0" applyAlignment="1" applyFont="1">
      <alignment vertical="bottom"/>
    </xf>
    <xf borderId="9" fillId="2" fontId="1" numFmtId="1" xfId="0" applyBorder="1" applyFont="1" applyNumberFormat="1"/>
    <xf borderId="0" fillId="0" fontId="1" numFmtId="0" xfId="0" applyAlignment="1" applyFont="1">
      <alignment horizontal="right"/>
    </xf>
    <xf borderId="9" fillId="2" fontId="11" numFmtId="1" xfId="0" applyAlignment="1" applyBorder="1" applyFont="1" applyNumberFormat="1">
      <alignment vertical="bottom"/>
    </xf>
    <xf quotePrefix="1" borderId="9" fillId="2" fontId="11" numFmtId="0" xfId="0" applyAlignment="1" applyBorder="1" applyFont="1">
      <alignment vertical="bottom"/>
    </xf>
    <xf borderId="0" fillId="11" fontId="1" numFmtId="0" xfId="0" applyFill="1" applyFont="1"/>
    <xf borderId="0" fillId="11" fontId="1" numFmtId="1" xfId="0" applyFont="1" applyNumberFormat="1"/>
    <xf quotePrefix="1" borderId="9" fillId="0" fontId="1" numFmtId="0" xfId="0" applyBorder="1" applyFont="1"/>
    <xf borderId="9" fillId="0" fontId="1" numFmtId="1" xfId="0" applyBorder="1" applyFont="1" applyNumberFormat="1"/>
    <xf borderId="9" fillId="9" fontId="1" numFmtId="0" xfId="0" applyBorder="1" applyFont="1"/>
    <xf quotePrefix="1" borderId="9" fillId="9" fontId="1" numFmtId="0" xfId="0" applyBorder="1" applyFont="1"/>
    <xf borderId="9" fillId="9" fontId="1" numFmtId="1" xfId="0" applyBorder="1" applyFont="1" applyNumberFormat="1"/>
    <xf borderId="9" fillId="5" fontId="12" numFmtId="0" xfId="0" applyBorder="1" applyFont="1"/>
    <xf borderId="9" fillId="2" fontId="11" numFmtId="0" xfId="0" applyAlignment="1" applyBorder="1" applyFont="1">
      <alignment horizontal="left"/>
    </xf>
    <xf borderId="9" fillId="2" fontId="5" numFmtId="0" xfId="0" applyBorder="1" applyFont="1"/>
    <xf borderId="9" fillId="0" fontId="1" numFmtId="0" xfId="0" applyAlignment="1" applyBorder="1" applyFont="1">
      <alignment horizontal="left"/>
    </xf>
    <xf borderId="9" fillId="12" fontId="13" numFmtId="1" xfId="0" applyAlignment="1" applyBorder="1" applyFill="1" applyFont="1" applyNumberFormat="1">
      <alignment horizontal="center" vertical="bottom"/>
    </xf>
    <xf borderId="9" fillId="4" fontId="5" numFmtId="0" xfId="0" applyAlignment="1" applyBorder="1" applyFont="1">
      <alignment horizontal="right"/>
    </xf>
    <xf borderId="9" fillId="13" fontId="1" numFmtId="0" xfId="0" applyAlignment="1" applyBorder="1" applyFill="1" applyFont="1">
      <alignment horizontal="center" vertical="center"/>
    </xf>
    <xf borderId="9" fillId="6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9" fillId="0" fontId="6" numFmtId="0" xfId="0" applyAlignment="1" applyBorder="1" applyFont="1">
      <alignment horizontal="right"/>
    </xf>
    <xf quotePrefix="1" borderId="9" fillId="0" fontId="1" numFmtId="0" xfId="0" applyAlignment="1" applyBorder="1" applyFont="1">
      <alignment horizontal="right"/>
    </xf>
    <xf borderId="9" fillId="0" fontId="5" numFmtId="0" xfId="0" applyAlignment="1" applyBorder="1" applyFont="1">
      <alignment horizontal="center"/>
    </xf>
    <xf borderId="9" fillId="9" fontId="5" numFmtId="0" xfId="0" applyAlignment="1" applyBorder="1" applyFont="1">
      <alignment horizontal="center"/>
    </xf>
    <xf borderId="9" fillId="14" fontId="5" numFmtId="0" xfId="0" applyAlignment="1" applyBorder="1" applyFill="1" applyFont="1">
      <alignment horizontal="center"/>
    </xf>
    <xf borderId="9" fillId="0" fontId="1" numFmtId="0" xfId="0" applyAlignment="1" applyBorder="1" applyFont="1">
      <alignment horizontal="right"/>
    </xf>
    <xf borderId="9" fillId="0" fontId="5" numFmtId="0" xfId="0" applyAlignment="1" applyBorder="1" applyFont="1">
      <alignment horizontal="center" vertical="center"/>
    </xf>
    <xf borderId="9" fillId="0" fontId="7" numFmtId="0" xfId="0" applyBorder="1" applyFont="1"/>
    <xf borderId="9" fillId="0" fontId="6" numFmtId="1" xfId="0" applyAlignment="1" applyBorder="1" applyFont="1" applyNumberFormat="1">
      <alignment horizontal="right"/>
    </xf>
    <xf borderId="9" fillId="0" fontId="5" numFmtId="0" xfId="0" applyAlignment="1" applyBorder="1" applyFont="1">
      <alignment horizontal="right"/>
    </xf>
    <xf borderId="9" fillId="0" fontId="1" numFmtId="1" xfId="0" applyAlignment="1" applyBorder="1" applyFont="1" applyNumberFormat="1">
      <alignment horizontal="right"/>
    </xf>
    <xf borderId="9" fillId="0" fontId="5" numFmtId="1" xfId="0" applyAlignment="1" applyBorder="1" applyFont="1" applyNumberFormat="1">
      <alignment horizontal="right"/>
    </xf>
    <xf borderId="9" fillId="12" fontId="11" numFmtId="1" xfId="0" applyAlignment="1" applyBorder="1" applyFont="1" applyNumberFormat="1">
      <alignment horizontal="right" vertical="bottom"/>
    </xf>
    <xf borderId="9" fillId="0" fontId="9" numFmtId="0" xfId="0" applyAlignment="1" applyBorder="1" applyFont="1">
      <alignment vertical="bottom"/>
    </xf>
    <xf quotePrefix="1" borderId="9" fillId="12" fontId="11" numFmtId="0" xfId="0" applyAlignment="1" applyBorder="1" applyFont="1">
      <alignment horizontal="right" vertical="bottom"/>
    </xf>
    <xf borderId="9" fillId="4" fontId="1" numFmtId="0" xfId="0" applyBorder="1" applyFont="1"/>
    <xf borderId="9" fillId="6" fontId="1" numFmtId="0" xfId="0" applyAlignment="1" applyBorder="1" applyFont="1">
      <alignment horizontal="right"/>
    </xf>
    <xf borderId="9" fillId="3" fontId="1" numFmtId="0" xfId="0" applyBorder="1" applyFont="1"/>
    <xf borderId="9" fillId="6" fontId="1" numFmtId="1" xfId="0" applyBorder="1" applyFont="1" applyNumberFormat="1"/>
    <xf borderId="9" fillId="6" fontId="1" numFmtId="164" xfId="0" applyBorder="1" applyFont="1" applyNumberFormat="1"/>
    <xf quotePrefix="1" borderId="9" fillId="4" fontId="1" numFmtId="0" xfId="0" applyBorder="1" applyFont="1"/>
    <xf borderId="9" fillId="4" fontId="1" numFmtId="0" xfId="0" applyAlignment="1" applyBorder="1" applyFont="1">
      <alignment horizontal="right"/>
    </xf>
    <xf borderId="9" fillId="4" fontId="5" numFmtId="0" xfId="0" applyAlignment="1" applyBorder="1" applyFont="1">
      <alignment horizontal="center" vertical="center"/>
    </xf>
    <xf borderId="9" fillId="0" fontId="11" numFmtId="1" xfId="0" applyAlignment="1" applyBorder="1" applyFont="1" applyNumberFormat="1">
      <alignment vertical="bottom"/>
    </xf>
    <xf quotePrefix="1" borderId="9" fillId="0" fontId="11" numFmtId="0" xfId="0" applyAlignment="1" applyBorder="1" applyFont="1">
      <alignment horizontal="right" vertical="bottom"/>
    </xf>
    <xf borderId="9" fillId="6" fontId="1" numFmtId="165" xfId="0" applyBorder="1" applyFont="1" applyNumberFormat="1"/>
    <xf quotePrefix="1" borderId="9" fillId="0" fontId="11" numFmtId="0" xfId="0" applyAlignment="1" applyBorder="1" applyFont="1">
      <alignment vertical="bottom"/>
    </xf>
    <xf quotePrefix="1" borderId="9" fillId="0" fontId="11" numFmtId="1" xfId="0" applyAlignment="1" applyBorder="1" applyFont="1" applyNumberFormat="1">
      <alignment vertical="bottom"/>
    </xf>
    <xf borderId="9" fillId="0" fontId="11" numFmtId="0" xfId="0" applyAlignment="1" applyBorder="1" applyFont="1">
      <alignment vertical="bottom"/>
    </xf>
    <xf borderId="9" fillId="0" fontId="14" numFmtId="0" xfId="0" applyAlignment="1" applyBorder="1" applyFont="1">
      <alignment horizontal="left" vertical="top"/>
    </xf>
    <xf borderId="9" fillId="2" fontId="15" numFmtId="0" xfId="0" applyBorder="1" applyFont="1"/>
    <xf borderId="0" fillId="2" fontId="11" numFmtId="0" xfId="0" applyAlignment="1" applyFont="1">
      <alignment horizontal="right"/>
    </xf>
    <xf quotePrefix="1" borderId="9" fillId="6" fontId="11" numFmtId="0" xfId="0" applyAlignment="1" applyBorder="1" applyFont="1">
      <alignment vertical="bottom"/>
    </xf>
    <xf borderId="9" fillId="6" fontId="16" numFmtId="0" xfId="0" applyBorder="1" applyFont="1"/>
    <xf borderId="0" fillId="6" fontId="17" numFmtId="0" xfId="0" applyAlignment="1" applyFont="1">
      <alignment horizontal="left"/>
    </xf>
    <xf borderId="9" fillId="6" fontId="11" numFmtId="1" xfId="0" applyAlignment="1" applyBorder="1" applyFont="1" applyNumberFormat="1">
      <alignment vertical="bottom"/>
    </xf>
    <xf borderId="9" fillId="15" fontId="1" numFmtId="0" xfId="0" applyBorder="1" applyFill="1" applyFont="1"/>
    <xf quotePrefix="1" borderId="9" fillId="15" fontId="11" numFmtId="0" xfId="0" applyAlignment="1" applyBorder="1" applyFont="1">
      <alignment vertical="bottom"/>
    </xf>
    <xf borderId="0" fillId="15" fontId="1" numFmtId="0" xfId="0" applyFont="1"/>
    <xf borderId="9" fillId="15" fontId="11" numFmtId="1" xfId="0" applyAlignment="1" applyBorder="1" applyFont="1" applyNumberFormat="1">
      <alignment vertical="bottom"/>
    </xf>
    <xf quotePrefix="1" borderId="0" fillId="15" fontId="1" numFmtId="0" xfId="0" applyFont="1"/>
    <xf borderId="9" fillId="15" fontId="11" numFmtId="0" xfId="0" applyAlignment="1" applyBorder="1" applyFont="1">
      <alignment horizontal="right"/>
    </xf>
    <xf quotePrefix="1" borderId="0" fillId="15" fontId="11" numFmtId="0" xfId="0" applyAlignment="1" applyFont="1">
      <alignment horizontal="left"/>
    </xf>
    <xf borderId="9" fillId="16" fontId="1" numFmtId="0" xfId="0" applyBorder="1" applyFill="1" applyFont="1"/>
    <xf borderId="9" fillId="16" fontId="14" numFmtId="0" xfId="0" applyAlignment="1" applyBorder="1" applyFont="1">
      <alignment horizontal="left"/>
    </xf>
    <xf borderId="0" fillId="16" fontId="1" numFmtId="0" xfId="0" applyFont="1"/>
    <xf borderId="0" fillId="16" fontId="14" numFmtId="0" xfId="0" applyAlignment="1" applyFont="1">
      <alignment horizontal="left"/>
    </xf>
    <xf quotePrefix="1" borderId="9" fillId="16" fontId="1" numFmtId="0" xfId="0" applyBorder="1" applyFont="1"/>
    <xf borderId="14" fillId="0" fontId="11" numFmtId="0" xfId="0" applyAlignment="1" applyBorder="1" applyFont="1">
      <alignment vertical="bottom"/>
    </xf>
    <xf quotePrefix="1" borderId="9" fillId="15" fontId="1" numFmtId="0" xfId="0" applyBorder="1" applyFont="1"/>
    <xf borderId="9" fillId="17" fontId="1" numFmtId="0" xfId="0" applyBorder="1" applyFill="1" applyFont="1"/>
    <xf quotePrefix="1" borderId="9" fillId="17" fontId="1" numFmtId="0" xfId="0" applyBorder="1" applyFont="1"/>
    <xf borderId="0" fillId="17" fontId="1" numFmtId="0" xfId="0" applyFont="1"/>
    <xf quotePrefix="1" borderId="0" fillId="17" fontId="1" numFmtId="0" xfId="0" applyFont="1"/>
    <xf borderId="9" fillId="17" fontId="9" numFmtId="0" xfId="0" applyAlignment="1" applyBorder="1" applyFont="1">
      <alignment vertical="bottom"/>
    </xf>
    <xf borderId="15" fillId="17" fontId="9" numFmtId="0" xfId="0" applyAlignment="1" applyBorder="1" applyFont="1">
      <alignment vertical="bottom"/>
    </xf>
    <xf quotePrefix="1" borderId="9" fillId="17" fontId="11" numFmtId="0" xfId="0" applyAlignment="1" applyBorder="1" applyFont="1">
      <alignment vertical="bottom"/>
    </xf>
    <xf borderId="9" fillId="17" fontId="11" numFmtId="0" xfId="0" applyAlignment="1" applyBorder="1" applyFont="1">
      <alignment vertical="bottom"/>
    </xf>
    <xf borderId="9" fillId="17" fontId="11" numFmtId="1" xfId="0" applyAlignment="1" applyBorder="1" applyFont="1" applyNumberFormat="1">
      <alignment vertical="bottom"/>
    </xf>
    <xf borderId="9" fillId="17" fontId="18" numFmtId="0" xfId="0" applyBorder="1" applyFont="1"/>
    <xf borderId="0" fillId="12" fontId="1" numFmtId="0" xfId="0" applyAlignment="1" applyFont="1">
      <alignment horizontal="right"/>
    </xf>
    <xf quotePrefix="1" borderId="9" fillId="4" fontId="11" numFmtId="0" xfId="0" applyAlignment="1" applyBorder="1" applyFont="1">
      <alignment vertical="bottom"/>
    </xf>
    <xf borderId="0" fillId="0" fontId="1" numFmtId="164" xfId="0" applyFont="1" applyNumberFormat="1"/>
    <xf borderId="9" fillId="4" fontId="11" numFmtId="1" xfId="0" applyAlignment="1" applyBorder="1" applyFont="1" applyNumberFormat="1">
      <alignment vertical="bottom"/>
    </xf>
    <xf borderId="9" fillId="0" fontId="11" numFmtId="1" xfId="0" applyAlignment="1" applyBorder="1" applyFont="1" applyNumberFormat="1">
      <alignment horizontal="left" vertical="bottom"/>
    </xf>
    <xf borderId="9" fillId="0" fontId="14" numFmtId="1" xfId="0" applyAlignment="1" applyBorder="1" applyFont="1" applyNumberFormat="1">
      <alignment horizontal="left" vertical="top"/>
    </xf>
    <xf borderId="9" fillId="0" fontId="14" numFmtId="1" xfId="0" applyAlignment="1" applyBorder="1" applyFont="1" applyNumberFormat="1">
      <alignment horizontal="left"/>
    </xf>
    <xf borderId="9" fillId="3" fontId="11" numFmtId="1" xfId="0" applyAlignment="1" applyBorder="1" applyFont="1" applyNumberFormat="1">
      <alignment vertical="bottom"/>
    </xf>
    <xf borderId="9" fillId="18" fontId="1" numFmtId="0" xfId="0" applyBorder="1" applyFill="1" applyFont="1"/>
    <xf borderId="16" fillId="0" fontId="11" numFmtId="1" xfId="0" applyAlignment="1" applyBorder="1" applyFont="1" applyNumberFormat="1">
      <alignment vertical="bottom"/>
    </xf>
    <xf borderId="14" fillId="0" fontId="11" numFmtId="1" xfId="0" applyAlignment="1" applyBorder="1" applyFont="1" applyNumberFormat="1">
      <alignment vertical="bottom"/>
    </xf>
    <xf borderId="0" fillId="0" fontId="14" numFmtId="0" xfId="0" applyAlignment="1" applyFont="1">
      <alignment horizontal="left"/>
    </xf>
    <xf borderId="9" fillId="0" fontId="19" numFmtId="0" xfId="0" applyAlignment="1" applyBorder="1" applyFont="1">
      <alignment horizontal="left"/>
    </xf>
    <xf borderId="9" fillId="0" fontId="14" numFmtId="0" xfId="0" applyAlignment="1" applyBorder="1" applyFont="1">
      <alignment horizontal="left"/>
    </xf>
    <xf borderId="0" fillId="0" fontId="20" numFmtId="0" xfId="0" applyAlignment="1" applyFont="1">
      <alignment shrinkToFit="0" wrapText="0"/>
    </xf>
    <xf borderId="0" fillId="0" fontId="0" numFmtId="0" xfId="0" applyAlignment="1" applyFont="1">
      <alignment horizontal="left" vertical="top"/>
    </xf>
    <xf borderId="0" fillId="2" fontId="14" numFmtId="0" xfId="0" applyAlignment="1" applyFont="1">
      <alignment horizontal="left" vertical="top"/>
    </xf>
    <xf borderId="9" fillId="0" fontId="21" numFmtId="0" xfId="0" applyAlignment="1" applyBorder="1" applyFont="1">
      <alignment horizontal="left" vertical="top"/>
    </xf>
    <xf borderId="9" fillId="0" fontId="22" numFmtId="0" xfId="0" applyAlignment="1" applyBorder="1" applyFont="1">
      <alignment horizontal="right" vertical="top"/>
    </xf>
    <xf borderId="9" fillId="2" fontId="23" numFmtId="0" xfId="0" applyAlignment="1" applyBorder="1" applyFont="1">
      <alignment horizontal="left" vertical="top"/>
    </xf>
    <xf borderId="9" fillId="2" fontId="0" numFmtId="0" xfId="0" applyAlignment="1" applyBorder="1" applyFont="1">
      <alignment horizontal="left" vertical="top"/>
    </xf>
    <xf borderId="0" fillId="2" fontId="24" numFmtId="0" xfId="0" applyAlignment="1" applyFont="1">
      <alignment shrinkToFit="0" vertical="top" wrapText="0"/>
    </xf>
    <xf borderId="0" fillId="2" fontId="25" numFmtId="0" xfId="0" applyAlignment="1" applyFont="1">
      <alignment vertical="top"/>
    </xf>
    <xf borderId="0" fillId="2" fontId="25" numFmtId="166" xfId="0" applyAlignment="1" applyFont="1" applyNumberFormat="1">
      <alignment shrinkToFit="0" vertical="top" wrapText="0"/>
    </xf>
    <xf borderId="0" fillId="2" fontId="25" numFmtId="0" xfId="0" applyAlignment="1" applyFont="1">
      <alignment shrinkToFit="0" vertical="top" wrapText="0"/>
    </xf>
    <xf borderId="0" fillId="2" fontId="26" numFmtId="0" xfId="0" applyAlignment="1" applyFont="1">
      <alignment shrinkToFit="0" vertical="top" wrapText="0"/>
    </xf>
    <xf borderId="0" fillId="19" fontId="27" numFmtId="0" xfId="0" applyAlignment="1" applyFill="1" applyFont="1">
      <alignment shrinkToFit="0" vertical="top" wrapText="0"/>
    </xf>
    <xf borderId="0" fillId="19" fontId="28" numFmtId="0" xfId="0" applyAlignment="1" applyFont="1">
      <alignment shrinkToFit="0" vertical="top" wrapText="0"/>
    </xf>
    <xf borderId="0" fillId="0" fontId="1" numFmtId="167" xfId="0" applyFont="1" applyNumberFormat="1"/>
    <xf borderId="0" fillId="0" fontId="11" numFmtId="1" xfId="0" applyAlignment="1" applyFont="1" applyNumberFormat="1">
      <alignment horizontal="left" vertical="bottom"/>
    </xf>
    <xf borderId="0" fillId="6" fontId="1" numFmtId="167" xfId="0" applyFont="1" applyNumberFormat="1"/>
    <xf borderId="0" fillId="20" fontId="1" numFmtId="0" xfId="0" applyFill="1" applyFont="1"/>
    <xf borderId="9" fillId="0" fontId="8" numFmtId="0" xfId="0" applyAlignment="1" applyBorder="1" applyFont="1">
      <alignment vertical="bottom"/>
    </xf>
    <xf borderId="9" fillId="0" fontId="8" numFmtId="0" xfId="0" applyAlignment="1" applyBorder="1" applyFont="1">
      <alignment horizontal="left" vertical="bottom"/>
    </xf>
    <xf borderId="9" fillId="0" fontId="9" numFmtId="0" xfId="0" applyAlignment="1" applyBorder="1" applyFont="1">
      <alignment shrinkToFit="0" vertical="bottom" wrapText="0"/>
    </xf>
    <xf borderId="9" fillId="0" fontId="11" numFmtId="0" xfId="0" applyAlignment="1" applyBorder="1" applyFont="1">
      <alignment horizontal="left" vertical="bottom"/>
    </xf>
    <xf borderId="9" fillId="0" fontId="29" numFmtId="0" xfId="0" applyAlignment="1" applyBorder="1" applyFont="1">
      <alignment shrinkToFit="0" vertical="top" wrapText="0"/>
    </xf>
    <xf borderId="9" fillId="0" fontId="25" numFmtId="0" xfId="0" applyAlignment="1" applyBorder="1" applyFont="1">
      <alignment shrinkToFit="0" vertical="top" wrapText="0"/>
    </xf>
    <xf borderId="9" fillId="0" fontId="26" numFmtId="0" xfId="0" applyAlignment="1" applyBorder="1" applyFont="1">
      <alignment shrinkToFit="0" vertical="top" wrapText="0"/>
    </xf>
    <xf borderId="9" fillId="0" fontId="25" numFmtId="0" xfId="0" applyAlignment="1" applyBorder="1" applyFont="1">
      <alignment vertical="top"/>
    </xf>
    <xf borderId="9" fillId="0" fontId="30" numFmtId="0" xfId="0" applyAlignment="1" applyBorder="1" applyFont="1">
      <alignment horizontal="left" vertical="top"/>
    </xf>
    <xf borderId="0" fillId="0" fontId="26" numFmtId="0" xfId="0" applyAlignment="1" applyFont="1">
      <alignment shrinkToFit="0" vertical="top" wrapText="0"/>
    </xf>
    <xf borderId="0" fillId="0" fontId="22" numFmtId="0" xfId="0" applyAlignment="1" applyFont="1">
      <alignment horizontal="right" vertical="top"/>
    </xf>
    <xf borderId="0" fillId="0" fontId="25" numFmtId="0" xfId="0" applyAlignment="1" applyFont="1">
      <alignment vertical="top"/>
    </xf>
    <xf borderId="0" fillId="0" fontId="25" numFmtId="0" xfId="0" applyAlignment="1" applyFont="1">
      <alignment shrinkToFit="0" vertical="top" wrapText="0"/>
    </xf>
    <xf borderId="0" fillId="0" fontId="26" numFmtId="0" xfId="0" applyAlignment="1" applyFont="1">
      <alignment horizontal="left" shrinkToFit="0" vertical="top" wrapText="0"/>
    </xf>
    <xf borderId="0" fillId="19" fontId="26" numFmtId="0" xfId="0" applyAlignment="1" applyFont="1">
      <alignment shrinkToFit="0" vertical="top" wrapText="0"/>
    </xf>
    <xf borderId="0" fillId="19" fontId="25" numFmtId="0" xfId="0" applyAlignment="1" applyFont="1">
      <alignment vertical="top"/>
    </xf>
    <xf borderId="0" fillId="19" fontId="25" numFmtId="166" xfId="0" applyAlignment="1" applyFont="1" applyNumberFormat="1">
      <alignment shrinkToFit="0" vertical="top" wrapText="0"/>
    </xf>
    <xf quotePrefix="1" borderId="0" fillId="0" fontId="11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0" fillId="0" fontId="11" numFmtId="0" xfId="0" applyAlignment="1" applyFont="1">
      <alignment horizontal="right" vertical="bottom"/>
    </xf>
    <xf borderId="16" fillId="0" fontId="11" numFmtId="0" xfId="0" applyAlignment="1" applyBorder="1" applyFont="1">
      <alignment horizontal="left" vertical="bottom"/>
    </xf>
    <xf borderId="16" fillId="0" fontId="11" numFmtId="0" xfId="0" applyAlignment="1" applyBorder="1" applyFont="1">
      <alignment horizontal="right" vertical="bottom"/>
    </xf>
    <xf borderId="0" fillId="4" fontId="5" numFmtId="0" xfId="0" applyFont="1"/>
    <xf quotePrefix="1" borderId="0" fillId="16" fontId="1" numFmtId="0" xfId="0" applyFont="1"/>
    <xf borderId="9" fillId="6" fontId="5" numFmtId="0" xfId="0" applyBorder="1" applyFont="1"/>
    <xf quotePrefix="1" borderId="9" fillId="6" fontId="1" numFmtId="1" xfId="0" applyBorder="1" applyFont="1" applyNumberFormat="1"/>
    <xf quotePrefix="1" borderId="0" fillId="0" fontId="1" numFmtId="1" xfId="0" applyFont="1" applyNumberFormat="1"/>
    <xf borderId="9" fillId="0" fontId="5" numFmtId="1" xfId="0" applyBorder="1" applyFont="1" applyNumberFormat="1"/>
    <xf borderId="9" fillId="6" fontId="1" numFmtId="0" xfId="0" applyAlignment="1" applyBorder="1" applyFont="1">
      <alignment horizontal="left"/>
    </xf>
    <xf borderId="11" fillId="0" fontId="5" numFmtId="0" xfId="0" applyAlignment="1" applyBorder="1" applyFont="1">
      <alignment horizontal="center" vertical="top"/>
    </xf>
    <xf borderId="9" fillId="6" fontId="9" numFmtId="0" xfId="0" applyAlignment="1" applyBorder="1" applyFont="1">
      <alignment vertical="bottom"/>
    </xf>
    <xf borderId="9" fillId="21" fontId="1" numFmtId="0" xfId="0" applyBorder="1" applyFill="1" applyFont="1"/>
    <xf quotePrefix="1" borderId="9" fillId="21" fontId="1" numFmtId="0" xfId="0" applyBorder="1" applyFont="1"/>
    <xf borderId="11" fillId="0" fontId="5" numFmtId="0" xfId="0" applyAlignment="1" applyBorder="1" applyFont="1">
      <alignment horizontal="center" vertical="center"/>
    </xf>
    <xf borderId="0" fillId="22" fontId="1" numFmtId="0" xfId="0" applyAlignment="1" applyFill="1" applyFont="1">
      <alignment horizontal="center"/>
    </xf>
    <xf quotePrefix="1" borderId="0" fillId="4" fontId="1" numFmtId="0" xfId="0" applyFont="1"/>
    <xf quotePrefix="1" borderId="9" fillId="6" fontId="1" numFmtId="0" xfId="0" applyAlignment="1" applyBorder="1" applyFont="1">
      <alignment horizontal="left"/>
    </xf>
    <xf borderId="0" fillId="6" fontId="1" numFmtId="0" xfId="0" applyAlignment="1" applyFont="1">
      <alignment horizontal="left"/>
    </xf>
    <xf quotePrefix="1" borderId="0" fillId="6" fontId="1" numFmtId="0" xfId="0" applyAlignment="1" applyFont="1">
      <alignment horizontal="left"/>
    </xf>
    <xf quotePrefix="1" borderId="0" fillId="0" fontId="1" numFmtId="0" xfId="0" applyAlignment="1" applyFont="1">
      <alignment horizontal="left"/>
    </xf>
    <xf borderId="0" fillId="9" fontId="1" numFmtId="0" xfId="0" applyAlignment="1" applyFont="1">
      <alignment horizontal="left"/>
    </xf>
    <xf quotePrefix="1" borderId="0" fillId="9" fontId="1" numFmtId="0" xfId="0" applyAlignment="1" applyFont="1">
      <alignment horizontal="left"/>
    </xf>
    <xf borderId="0" fillId="0" fontId="8" numFmtId="0" xfId="0" applyAlignment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horizontal="right" shrinkToFit="0" vertical="bottom" wrapText="0"/>
    </xf>
    <xf borderId="0" fillId="6" fontId="8" numFmtId="0" xfId="0" applyAlignment="1" applyFont="1">
      <alignment shrinkToFit="0" vertical="bottom" wrapText="0"/>
    </xf>
    <xf borderId="9" fillId="0" fontId="13" numFmtId="0" xfId="0" applyAlignment="1" applyBorder="1" applyFont="1">
      <alignment horizontal="center" vertical="bottom"/>
    </xf>
    <xf borderId="9" fillId="0" fontId="13" numFmtId="0" xfId="0" applyAlignment="1" applyBorder="1" applyFont="1">
      <alignment vertical="bottom"/>
    </xf>
    <xf borderId="9" fillId="0" fontId="11" numFmtId="0" xfId="0" applyAlignment="1" applyBorder="1" applyFont="1">
      <alignment horizontal="right" vertical="bottom"/>
    </xf>
    <xf borderId="9" fillId="0" fontId="11" numFmtId="168" xfId="0" applyAlignment="1" applyBorder="1" applyFont="1" applyNumberFormat="1">
      <alignment horizontal="center" vertical="bottom"/>
    </xf>
    <xf borderId="9" fillId="0" fontId="11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/>
    </xf>
    <xf borderId="9" fillId="0" fontId="11" numFmtId="168" xfId="0" applyAlignment="1" applyBorder="1" applyFont="1" applyNumberFormat="1">
      <alignment horizontal="center"/>
    </xf>
    <xf borderId="9" fillId="0" fontId="11" numFmtId="0" xfId="0" applyBorder="1" applyFont="1"/>
    <xf borderId="9" fillId="0" fontId="11" numFmtId="0" xfId="0" applyAlignment="1" applyBorder="1" applyFont="1">
      <alignment horizontal="right"/>
    </xf>
    <xf borderId="0" fillId="6" fontId="5" numFmtId="0" xfId="0" applyAlignment="1" applyFont="1">
      <alignment horizontal="center"/>
    </xf>
    <xf borderId="0" fillId="8" fontId="1" numFmtId="0" xfId="0" applyFont="1"/>
    <xf borderId="0" fillId="23" fontId="1" numFmtId="0" xfId="0" applyFill="1" applyFont="1"/>
    <xf borderId="0" fillId="7" fontId="1" numFmtId="0" xfId="0" applyFont="1"/>
    <xf quotePrefix="1" borderId="0" fillId="7" fontId="1" numFmtId="0" xfId="0" applyFont="1"/>
    <xf borderId="0" fillId="7" fontId="9" numFmtId="0" xfId="0" applyAlignment="1" applyFont="1">
      <alignment vertical="bottom"/>
    </xf>
    <xf quotePrefix="1" borderId="0" fillId="7" fontId="9" numFmtId="0" xfId="0" applyAlignment="1" applyFont="1">
      <alignment vertical="bottom"/>
    </xf>
    <xf borderId="0" fillId="24" fontId="1" numFmtId="0" xfId="0" applyFill="1" applyFont="1"/>
    <xf quotePrefix="1" borderId="0" fillId="24" fontId="1" numFmtId="0" xfId="0" applyFont="1"/>
    <xf borderId="0" fillId="3" fontId="1" numFmtId="0" xfId="0" applyFont="1"/>
    <xf quotePrefix="1" borderId="0" fillId="3" fontId="1" numFmtId="0" xfId="0" applyFont="1"/>
    <xf borderId="0" fillId="3" fontId="9" numFmtId="0" xfId="0" applyAlignment="1" applyFont="1">
      <alignment vertical="bottom"/>
    </xf>
    <xf quotePrefix="1" borderId="0" fillId="3" fontId="9" numFmtId="0" xfId="0" applyAlignment="1" applyFont="1">
      <alignment vertical="bottom"/>
    </xf>
    <xf quotePrefix="1" borderId="0" fillId="10" fontId="1" numFmtId="0" xfId="0" applyFont="1"/>
    <xf borderId="0" fillId="0" fontId="5" numFmtId="0" xfId="0" applyAlignment="1" applyFont="1">
      <alignment horizontal="center"/>
    </xf>
    <xf borderId="9" fillId="6" fontId="11" numFmtId="0" xfId="0" applyAlignment="1" applyBorder="1" applyFont="1">
      <alignment horizontal="right" vertical="bottom"/>
    </xf>
    <xf borderId="17" fillId="6" fontId="1" numFmtId="0" xfId="0" applyBorder="1" applyFont="1"/>
    <xf quotePrefix="1" borderId="17" fillId="6" fontId="1" numFmtId="0" xfId="0" applyBorder="1" applyFont="1"/>
    <xf borderId="15" fillId="6" fontId="1" numFmtId="0" xfId="0" applyBorder="1" applyFont="1"/>
    <xf quotePrefix="1" borderId="15" fillId="6" fontId="1" numFmtId="0" xfId="0" applyBorder="1" applyFont="1"/>
    <xf borderId="15" fillId="0" fontId="9" numFmtId="0" xfId="0" applyAlignment="1" applyBorder="1" applyFont="1">
      <alignment vertical="bottom"/>
    </xf>
    <xf borderId="9" fillId="0" fontId="31" numFmtId="0" xfId="0" applyBorder="1" applyFont="1"/>
    <xf borderId="0" fillId="0" fontId="5" numFmtId="0" xfId="0" applyAlignment="1" applyFont="1">
      <alignment horizontal="center" vertical="center"/>
    </xf>
    <xf borderId="11" fillId="4" fontId="5" numFmtId="0" xfId="0" applyBorder="1" applyFont="1"/>
    <xf borderId="9" fillId="0" fontId="32" numFmtId="0" xfId="0" applyAlignment="1" applyBorder="1" applyFont="1">
      <alignment shrinkToFit="0" vertical="bottom" wrapText="0"/>
    </xf>
    <xf borderId="9" fillId="0" fontId="32" numFmtId="0" xfId="0" applyAlignment="1" applyBorder="1" applyFont="1">
      <alignment horizontal="right" shrinkToFit="0" vertical="bottom" wrapText="0"/>
    </xf>
    <xf borderId="0" fillId="0" fontId="33" numFmtId="0" xfId="0" applyAlignment="1" applyFont="1">
      <alignment vertical="bottom"/>
    </xf>
    <xf borderId="9" fillId="8" fontId="8" numFmtId="0" xfId="0" applyAlignment="1" applyBorder="1" applyFont="1">
      <alignment shrinkToFit="0" vertical="bottom" wrapText="0"/>
    </xf>
    <xf borderId="9" fillId="8" fontId="8" numFmtId="0" xfId="0" applyAlignment="1" applyBorder="1" applyFont="1">
      <alignment horizontal="right" shrinkToFit="0" vertical="bottom" wrapText="0"/>
    </xf>
    <xf borderId="9" fillId="6" fontId="8" numFmtId="0" xfId="0" applyAlignment="1" applyBorder="1" applyFont="1">
      <alignment shrinkToFit="0" vertical="bottom" wrapText="0"/>
    </xf>
    <xf borderId="9" fillId="6" fontId="8" numFmtId="0" xfId="0" applyAlignment="1" applyBorder="1" applyFont="1">
      <alignment horizontal="right" shrinkToFit="0" vertical="bottom" wrapText="0"/>
    </xf>
    <xf borderId="0" fillId="0" fontId="14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15" fillId="0" fontId="1" numFmtId="0" xfId="0" applyBorder="1" applyFont="1"/>
    <xf borderId="18" fillId="0" fontId="5" numFmtId="0" xfId="0" applyBorder="1" applyFont="1"/>
    <xf borderId="10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dichirkov@yandex.ru" TargetMode="External"/><Relationship Id="rId2" Type="http://schemas.openxmlformats.org/officeDocument/2006/relationships/hyperlink" Target="http://ahmad.alhashmi.com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meraas.my.salesforce.com/0060N00000bAV5T" TargetMode="External"/><Relationship Id="rId42" Type="http://schemas.openxmlformats.org/officeDocument/2006/relationships/hyperlink" Target="https://meraas.my.salesforce.com/0060N00000bAUpC" TargetMode="External"/><Relationship Id="rId41" Type="http://schemas.openxmlformats.org/officeDocument/2006/relationships/hyperlink" Target="https://meraas.my.salesforce.com/0060N00000bAGIf" TargetMode="External"/><Relationship Id="rId44" Type="http://schemas.openxmlformats.org/officeDocument/2006/relationships/hyperlink" Target="https://meraas.my.salesforce.com/0060N00000bAG1b" TargetMode="External"/><Relationship Id="rId43" Type="http://schemas.openxmlformats.org/officeDocument/2006/relationships/hyperlink" Target="https://meraas.my.salesforce.com/0060N00000bAGZC" TargetMode="External"/><Relationship Id="rId46" Type="http://schemas.openxmlformats.org/officeDocument/2006/relationships/hyperlink" Target="https://meraas.my.salesforce.com/0060N00000b9wGK" TargetMode="External"/><Relationship Id="rId45" Type="http://schemas.openxmlformats.org/officeDocument/2006/relationships/hyperlink" Target="https://meraas.my.salesforce.com/0060N00000b9xXY" TargetMode="External"/><Relationship Id="rId1" Type="http://schemas.openxmlformats.org/officeDocument/2006/relationships/hyperlink" Target="mailto:abdurahman48144@gmail.com" TargetMode="External"/><Relationship Id="rId2" Type="http://schemas.openxmlformats.org/officeDocument/2006/relationships/hyperlink" Target="https://meraas.my.salesforce.com/0060N00000bAUpR" TargetMode="External"/><Relationship Id="rId3" Type="http://schemas.openxmlformats.org/officeDocument/2006/relationships/hyperlink" Target="mailto:adnan_afeef@hotmail.com" TargetMode="External"/><Relationship Id="rId4" Type="http://schemas.openxmlformats.org/officeDocument/2006/relationships/hyperlink" Target="mailto:a7md.1978@gmail.com" TargetMode="External"/><Relationship Id="rId9" Type="http://schemas.openxmlformats.org/officeDocument/2006/relationships/hyperlink" Target="https://meraas.my.salesforce.com/0060N00000b9xgh" TargetMode="External"/><Relationship Id="rId48" Type="http://schemas.openxmlformats.org/officeDocument/2006/relationships/hyperlink" Target="https://meraas.my.salesforce.com/0060N00000bAT5m" TargetMode="External"/><Relationship Id="rId47" Type="http://schemas.openxmlformats.org/officeDocument/2006/relationships/hyperlink" Target="https://meraas.my.salesforce.com/0060N00000bAV0y" TargetMode="External"/><Relationship Id="rId49" Type="http://schemas.openxmlformats.org/officeDocument/2006/relationships/hyperlink" Target="https://meraas.my.salesforce.com/0060N00000b9yIG" TargetMode="External"/><Relationship Id="rId5" Type="http://schemas.openxmlformats.org/officeDocument/2006/relationships/hyperlink" Target="mailto:presti_gee@hotmail.com" TargetMode="External"/><Relationship Id="rId6" Type="http://schemas.openxmlformats.org/officeDocument/2006/relationships/hyperlink" Target="https://meraas.my.salesforce.com/0010N00004pvSaY" TargetMode="External"/><Relationship Id="rId7" Type="http://schemas.openxmlformats.org/officeDocument/2006/relationships/hyperlink" Target="https://meraas.my.salesforce.com/0060N00000bAWkg" TargetMode="External"/><Relationship Id="rId8" Type="http://schemas.openxmlformats.org/officeDocument/2006/relationships/hyperlink" Target="https://meraas.my.salesforce.com/0060N00000b9zKY" TargetMode="External"/><Relationship Id="rId31" Type="http://schemas.openxmlformats.org/officeDocument/2006/relationships/hyperlink" Target="https://meraas.my.salesforce.com/0060N00000b9zDX" TargetMode="External"/><Relationship Id="rId30" Type="http://schemas.openxmlformats.org/officeDocument/2006/relationships/hyperlink" Target="https://meraas.my.salesforce.com/0060N00000b9yR0" TargetMode="External"/><Relationship Id="rId33" Type="http://schemas.openxmlformats.org/officeDocument/2006/relationships/hyperlink" Target="https://meraas.my.salesforce.com/0060N00000bAPne" TargetMode="External"/><Relationship Id="rId32" Type="http://schemas.openxmlformats.org/officeDocument/2006/relationships/hyperlink" Target="https://meraas.my.salesforce.com/0060N00000bAOug" TargetMode="External"/><Relationship Id="rId35" Type="http://schemas.openxmlformats.org/officeDocument/2006/relationships/hyperlink" Target="https://meraas.my.salesforce.com/0060N00000b9yGo" TargetMode="External"/><Relationship Id="rId34" Type="http://schemas.openxmlformats.org/officeDocument/2006/relationships/hyperlink" Target="https://meraas.my.salesforce.com/0060N00000bAWlA" TargetMode="External"/><Relationship Id="rId37" Type="http://schemas.openxmlformats.org/officeDocument/2006/relationships/hyperlink" Target="https://meraas.my.salesforce.com/0060N00000bAGGe" TargetMode="External"/><Relationship Id="rId36" Type="http://schemas.openxmlformats.org/officeDocument/2006/relationships/hyperlink" Target="https://meraas.my.salesforce.com/0060N00000bAOo9" TargetMode="External"/><Relationship Id="rId39" Type="http://schemas.openxmlformats.org/officeDocument/2006/relationships/hyperlink" Target="https://meraas.my.salesforce.com/0060N00000bAOkZ" TargetMode="External"/><Relationship Id="rId38" Type="http://schemas.openxmlformats.org/officeDocument/2006/relationships/hyperlink" Target="https://meraas.my.salesforce.com/0060N00000bAWm8" TargetMode="External"/><Relationship Id="rId20" Type="http://schemas.openxmlformats.org/officeDocument/2006/relationships/hyperlink" Target="https://meraas.my.salesforce.com/0060N00000bAOwb" TargetMode="External"/><Relationship Id="rId22" Type="http://schemas.openxmlformats.org/officeDocument/2006/relationships/hyperlink" Target="https://meraas.my.salesforce.com/0060N00000b9xPB" TargetMode="External"/><Relationship Id="rId21" Type="http://schemas.openxmlformats.org/officeDocument/2006/relationships/hyperlink" Target="https://meraas.my.salesforce.com/0060N00000bA59m" TargetMode="External"/><Relationship Id="rId24" Type="http://schemas.openxmlformats.org/officeDocument/2006/relationships/hyperlink" Target="https://meraas.my.salesforce.com/0060N00000bAHKD" TargetMode="External"/><Relationship Id="rId23" Type="http://schemas.openxmlformats.org/officeDocument/2006/relationships/hyperlink" Target="https://meraas.my.salesforce.com/0060N00000bA5Dz" TargetMode="External"/><Relationship Id="rId26" Type="http://schemas.openxmlformats.org/officeDocument/2006/relationships/hyperlink" Target="https://meraas.my.salesforce.com/0060N00000bAFor" TargetMode="External"/><Relationship Id="rId25" Type="http://schemas.openxmlformats.org/officeDocument/2006/relationships/hyperlink" Target="https://meraas.my.salesforce.com/0060N00000bA6S8" TargetMode="External"/><Relationship Id="rId28" Type="http://schemas.openxmlformats.org/officeDocument/2006/relationships/hyperlink" Target="https://meraas.my.salesforce.com/0060N00000bAG5Z" TargetMode="External"/><Relationship Id="rId27" Type="http://schemas.openxmlformats.org/officeDocument/2006/relationships/hyperlink" Target="https://meraas.my.salesforce.com/0060N00000bA5ZU" TargetMode="External"/><Relationship Id="rId29" Type="http://schemas.openxmlformats.org/officeDocument/2006/relationships/hyperlink" Target="https://meraas.my.salesforce.com/0060N00000b9xAN" TargetMode="External"/><Relationship Id="rId51" Type="http://schemas.openxmlformats.org/officeDocument/2006/relationships/drawing" Target="../drawings/drawing14.xml"/><Relationship Id="rId50" Type="http://schemas.openxmlformats.org/officeDocument/2006/relationships/hyperlink" Target="https://meraas.my.salesforce.com/0060N00000bAGIB" TargetMode="External"/><Relationship Id="rId11" Type="http://schemas.openxmlformats.org/officeDocument/2006/relationships/hyperlink" Target="https://meraas.my.salesforce.com/0060N00000bAGe6" TargetMode="External"/><Relationship Id="rId10" Type="http://schemas.openxmlformats.org/officeDocument/2006/relationships/hyperlink" Target="https://meraas.my.salesforce.com/0060N00000b9x0H" TargetMode="External"/><Relationship Id="rId13" Type="http://schemas.openxmlformats.org/officeDocument/2006/relationships/hyperlink" Target="https://meraas.my.salesforce.com/0060N00000bAONf" TargetMode="External"/><Relationship Id="rId12" Type="http://schemas.openxmlformats.org/officeDocument/2006/relationships/hyperlink" Target="https://meraas.my.salesforce.com/0060N00000bAGkU" TargetMode="External"/><Relationship Id="rId15" Type="http://schemas.openxmlformats.org/officeDocument/2006/relationships/hyperlink" Target="https://meraas.my.salesforce.com/0060N00000b9xOh" TargetMode="External"/><Relationship Id="rId14" Type="http://schemas.openxmlformats.org/officeDocument/2006/relationships/hyperlink" Target="https://meraas.my.salesforce.com/0060N00000b9zKs" TargetMode="External"/><Relationship Id="rId17" Type="http://schemas.openxmlformats.org/officeDocument/2006/relationships/hyperlink" Target="https://meraas.my.salesforce.com/0060N00000bAVFh" TargetMode="External"/><Relationship Id="rId16" Type="http://schemas.openxmlformats.org/officeDocument/2006/relationships/hyperlink" Target="https://meraas.my.salesforce.com/0060N00000bAVAD" TargetMode="External"/><Relationship Id="rId19" Type="http://schemas.openxmlformats.org/officeDocument/2006/relationships/hyperlink" Target="https://meraas.my.salesforce.com/0060N00000bAON6" TargetMode="External"/><Relationship Id="rId18" Type="http://schemas.openxmlformats.org/officeDocument/2006/relationships/hyperlink" Target="https://meraas.my.salesforce.com/0060N00000bAON6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mailto:gaisinelka@mail.ru" TargetMode="External"/><Relationship Id="rId42" Type="http://schemas.openxmlformats.org/officeDocument/2006/relationships/hyperlink" Target="mailto:mena.bassily@dp.ae" TargetMode="External"/><Relationship Id="rId41" Type="http://schemas.openxmlformats.org/officeDocument/2006/relationships/hyperlink" Target="https://meraas.my.salesforce.com/0010N00004yoFZ5" TargetMode="External"/><Relationship Id="rId44" Type="http://schemas.openxmlformats.org/officeDocument/2006/relationships/hyperlink" Target="mailto:nomail@nmail.com" TargetMode="External"/><Relationship Id="rId43" Type="http://schemas.openxmlformats.org/officeDocument/2006/relationships/hyperlink" Target="https://meraas.my.salesforce.com/0010N00004xyf34" TargetMode="External"/><Relationship Id="rId46" Type="http://schemas.openxmlformats.org/officeDocument/2006/relationships/hyperlink" Target="mailto:mena.bassily@dp.ae" TargetMode="External"/><Relationship Id="rId45" Type="http://schemas.openxmlformats.org/officeDocument/2006/relationships/hyperlink" Target="https://meraas.my.salesforce.com/0010N00004yakd7" TargetMode="External"/><Relationship Id="rId1" Type="http://schemas.openxmlformats.org/officeDocument/2006/relationships/hyperlink" Target="https://meraas.my.salesforce.com/0010N00004yyi1x" TargetMode="External"/><Relationship Id="rId2" Type="http://schemas.openxmlformats.org/officeDocument/2006/relationships/hyperlink" Target="mailto:mena@gmail.com" TargetMode="External"/><Relationship Id="rId3" Type="http://schemas.openxmlformats.org/officeDocument/2006/relationships/hyperlink" Target="https://meraas.my.salesforce.com/0010N00004yyhbO" TargetMode="External"/><Relationship Id="rId4" Type="http://schemas.openxmlformats.org/officeDocument/2006/relationships/hyperlink" Target="mailto:nomail.nomail@m.com" TargetMode="External"/><Relationship Id="rId9" Type="http://schemas.openxmlformats.org/officeDocument/2006/relationships/hyperlink" Target="https://meraas.my.salesforce.com/0010N00004yygbo" TargetMode="External"/><Relationship Id="rId48" Type="http://schemas.openxmlformats.org/officeDocument/2006/relationships/hyperlink" Target="mailto:night_omsk@mail.ru" TargetMode="External"/><Relationship Id="rId47" Type="http://schemas.openxmlformats.org/officeDocument/2006/relationships/hyperlink" Target="https://meraas.my.salesforce.com/0010N00004yaVYO" TargetMode="External"/><Relationship Id="rId49" Type="http://schemas.openxmlformats.org/officeDocument/2006/relationships/hyperlink" Target="https://meraas.my.salesforce.com/0010N00004yQ2R0" TargetMode="External"/><Relationship Id="rId5" Type="http://schemas.openxmlformats.org/officeDocument/2006/relationships/hyperlink" Target="https://meraas.my.salesforce.com/0010N00004yyh0G" TargetMode="External"/><Relationship Id="rId6" Type="http://schemas.openxmlformats.org/officeDocument/2006/relationships/hyperlink" Target="mailto:fmogel@yahoo.com" TargetMode="External"/><Relationship Id="rId7" Type="http://schemas.openxmlformats.org/officeDocument/2006/relationships/hyperlink" Target="https://meraas.my.salesforce.com/0010N00004yygts" TargetMode="External"/><Relationship Id="rId8" Type="http://schemas.openxmlformats.org/officeDocument/2006/relationships/hyperlink" Target="mailto:nomail@nomail.com" TargetMode="External"/><Relationship Id="rId31" Type="http://schemas.openxmlformats.org/officeDocument/2006/relationships/hyperlink" Target="https://meraas.my.salesforce.com/0010N00004yy4qS" TargetMode="External"/><Relationship Id="rId30" Type="http://schemas.openxmlformats.org/officeDocument/2006/relationships/hyperlink" Target="mailto:gaisinelka@mail.ru" TargetMode="External"/><Relationship Id="rId33" Type="http://schemas.openxmlformats.org/officeDocument/2006/relationships/hyperlink" Target="https://meraas.my.salesforce.com/0010N00004yy2yv" TargetMode="External"/><Relationship Id="rId32" Type="http://schemas.openxmlformats.org/officeDocument/2006/relationships/hyperlink" Target="mailto:nomail@nomail.com" TargetMode="External"/><Relationship Id="rId35" Type="http://schemas.openxmlformats.org/officeDocument/2006/relationships/hyperlink" Target="https://meraas.my.salesforce.com/0010N00004yy12E" TargetMode="External"/><Relationship Id="rId34" Type="http://schemas.openxmlformats.org/officeDocument/2006/relationships/hyperlink" Target="mailto:nomail@nomail.com" TargetMode="External"/><Relationship Id="rId37" Type="http://schemas.openxmlformats.org/officeDocument/2006/relationships/hyperlink" Target="https://meraas.my.salesforce.com/0010N00004yxZpA" TargetMode="External"/><Relationship Id="rId36" Type="http://schemas.openxmlformats.org/officeDocument/2006/relationships/hyperlink" Target="mailto:nmail@nomail.com" TargetMode="External"/><Relationship Id="rId39" Type="http://schemas.openxmlformats.org/officeDocument/2006/relationships/hyperlink" Target="https://meraas.my.salesforce.com/0010N00004yoFhq" TargetMode="External"/><Relationship Id="rId38" Type="http://schemas.openxmlformats.org/officeDocument/2006/relationships/hyperlink" Target="mailto:niomail@nomail.com" TargetMode="External"/><Relationship Id="rId61" Type="http://schemas.openxmlformats.org/officeDocument/2006/relationships/drawing" Target="../drawings/drawing15.xml"/><Relationship Id="rId20" Type="http://schemas.openxmlformats.org/officeDocument/2006/relationships/hyperlink" Target="mailto:juceo2020@hotmail.com" TargetMode="External"/><Relationship Id="rId22" Type="http://schemas.openxmlformats.org/officeDocument/2006/relationships/hyperlink" Target="mailto:1985x@gmx.com" TargetMode="External"/><Relationship Id="rId21" Type="http://schemas.openxmlformats.org/officeDocument/2006/relationships/hyperlink" Target="https://meraas.my.salesforce.com/0010N00004yyXTV" TargetMode="External"/><Relationship Id="rId24" Type="http://schemas.openxmlformats.org/officeDocument/2006/relationships/hyperlink" Target="mailto:russell.jones@ideal-recruit.com" TargetMode="External"/><Relationship Id="rId23" Type="http://schemas.openxmlformats.org/officeDocument/2006/relationships/hyperlink" Target="https://meraas.my.salesforce.com/0010N00004yyVmN" TargetMode="External"/><Relationship Id="rId60" Type="http://schemas.openxmlformats.org/officeDocument/2006/relationships/hyperlink" Target="mailto:eded@gmail.com" TargetMode="External"/><Relationship Id="rId26" Type="http://schemas.openxmlformats.org/officeDocument/2006/relationships/hyperlink" Target="mailto:nmail@nomail.com" TargetMode="External"/><Relationship Id="rId25" Type="http://schemas.openxmlformats.org/officeDocument/2006/relationships/hyperlink" Target="https://meraas.my.salesforce.com/0010N00004yy7gO" TargetMode="External"/><Relationship Id="rId28" Type="http://schemas.openxmlformats.org/officeDocument/2006/relationships/hyperlink" Target="mailto:adnan_ahmed@outlook.com" TargetMode="External"/><Relationship Id="rId27" Type="http://schemas.openxmlformats.org/officeDocument/2006/relationships/hyperlink" Target="https://meraas.my.salesforce.com/0010N00004yy7WT" TargetMode="External"/><Relationship Id="rId29" Type="http://schemas.openxmlformats.org/officeDocument/2006/relationships/hyperlink" Target="https://meraas.my.salesforce.com/0010N00004yy7Ty" TargetMode="External"/><Relationship Id="rId51" Type="http://schemas.openxmlformats.org/officeDocument/2006/relationships/hyperlink" Target="https://meraas.my.salesforce.com/0010N00004yQ2Kn" TargetMode="External"/><Relationship Id="rId50" Type="http://schemas.openxmlformats.org/officeDocument/2006/relationships/hyperlink" Target="mailto:nomail@nomail.com" TargetMode="External"/><Relationship Id="rId53" Type="http://schemas.openxmlformats.org/officeDocument/2006/relationships/hyperlink" Target="https://meraas.my.salesforce.com/0010N00004yQ1uo" TargetMode="External"/><Relationship Id="rId52" Type="http://schemas.openxmlformats.org/officeDocument/2006/relationships/hyperlink" Target="mailto:nmsil@nomail.com" TargetMode="External"/><Relationship Id="rId11" Type="http://schemas.openxmlformats.org/officeDocument/2006/relationships/hyperlink" Target="https://meraas.my.salesforce.com/0010N00004yygbF" TargetMode="External"/><Relationship Id="rId55" Type="http://schemas.openxmlformats.org/officeDocument/2006/relationships/hyperlink" Target="https://meraas.my.salesforce.com/0010N00004yQ1IK" TargetMode="External"/><Relationship Id="rId10" Type="http://schemas.openxmlformats.org/officeDocument/2006/relationships/hyperlink" Target="mailto:saleh@gmail.com" TargetMode="External"/><Relationship Id="rId54" Type="http://schemas.openxmlformats.org/officeDocument/2006/relationships/hyperlink" Target="mailto:alaa.saosudi@yahoo.com" TargetMode="External"/><Relationship Id="rId13" Type="http://schemas.openxmlformats.org/officeDocument/2006/relationships/hyperlink" Target="https://meraas.my.salesforce.com/0010N00004yych6" TargetMode="External"/><Relationship Id="rId57" Type="http://schemas.openxmlformats.org/officeDocument/2006/relationships/hyperlink" Target="https://meraas.my.salesforce.com/0010N00004yQ1GY" TargetMode="External"/><Relationship Id="rId12" Type="http://schemas.openxmlformats.org/officeDocument/2006/relationships/hyperlink" Target="mailto:boquillon.medicatl@gmail.com" TargetMode="External"/><Relationship Id="rId56" Type="http://schemas.openxmlformats.org/officeDocument/2006/relationships/hyperlink" Target="mailto:nomail@nomail.com" TargetMode="External"/><Relationship Id="rId15" Type="http://schemas.openxmlformats.org/officeDocument/2006/relationships/hyperlink" Target="https://meraas.my.salesforce.com/0010N00004yycES" TargetMode="External"/><Relationship Id="rId59" Type="http://schemas.openxmlformats.org/officeDocument/2006/relationships/hyperlink" Target="https://meraas.my.salesforce.com/0010N00004yQ0pH" TargetMode="External"/><Relationship Id="rId14" Type="http://schemas.openxmlformats.org/officeDocument/2006/relationships/hyperlink" Target="mailto:info@gmail.com" TargetMode="External"/><Relationship Id="rId58" Type="http://schemas.openxmlformats.org/officeDocument/2006/relationships/hyperlink" Target="mailto:om_joody_1@hotmail.com" TargetMode="External"/><Relationship Id="rId17" Type="http://schemas.openxmlformats.org/officeDocument/2006/relationships/hyperlink" Target="https://meraas.my.salesforce.com/0010N00004yybD8" TargetMode="External"/><Relationship Id="rId16" Type="http://schemas.openxmlformats.org/officeDocument/2006/relationships/hyperlink" Target="mailto:nmomail@nomail.com" TargetMode="External"/><Relationship Id="rId19" Type="http://schemas.openxmlformats.org/officeDocument/2006/relationships/hyperlink" Target="https://meraas.my.salesforce.com/0010N00004yyZL3" TargetMode="External"/><Relationship Id="rId18" Type="http://schemas.openxmlformats.org/officeDocument/2006/relationships/hyperlink" Target="mailto:gaisinelka@mail.ru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meraas.my.salesforce.com/0010N00004xykYR" TargetMode="External"/><Relationship Id="rId42" Type="http://schemas.openxmlformats.org/officeDocument/2006/relationships/hyperlink" Target="https://meraas.my.salesforce.com/0010N00004xyj3z" TargetMode="External"/><Relationship Id="rId41" Type="http://schemas.openxmlformats.org/officeDocument/2006/relationships/hyperlink" Target="https://meraas.my.salesforce.com/0010N00004xyjea" TargetMode="External"/><Relationship Id="rId44" Type="http://schemas.openxmlformats.org/officeDocument/2006/relationships/hyperlink" Target="https://meraas.my.salesforce.com/0010N00004xygab" TargetMode="External"/><Relationship Id="rId43" Type="http://schemas.openxmlformats.org/officeDocument/2006/relationships/hyperlink" Target="https://meraas.my.salesforce.com/0010N00004xyhoK" TargetMode="External"/><Relationship Id="rId46" Type="http://schemas.openxmlformats.org/officeDocument/2006/relationships/hyperlink" Target="https://meraas.my.salesforce.com/0010N00004xyfaf" TargetMode="External"/><Relationship Id="rId45" Type="http://schemas.openxmlformats.org/officeDocument/2006/relationships/hyperlink" Target="https://meraas.my.salesforce.com/0010N00004xyfu1" TargetMode="External"/><Relationship Id="rId1" Type="http://schemas.openxmlformats.org/officeDocument/2006/relationships/hyperlink" Target="https://meraas.my.salesforce.com/0010N00004yyhbO" TargetMode="External"/><Relationship Id="rId2" Type="http://schemas.openxmlformats.org/officeDocument/2006/relationships/hyperlink" Target="https://meraas.my.salesforce.com/0010N00004yyh0G" TargetMode="External"/><Relationship Id="rId3" Type="http://schemas.openxmlformats.org/officeDocument/2006/relationships/hyperlink" Target="https://meraas.my.salesforce.com/0010N00004yygts" TargetMode="External"/><Relationship Id="rId4" Type="http://schemas.openxmlformats.org/officeDocument/2006/relationships/hyperlink" Target="https://meraas.my.salesforce.com/0010N00004yygbo" TargetMode="External"/><Relationship Id="rId9" Type="http://schemas.openxmlformats.org/officeDocument/2006/relationships/hyperlink" Target="https://meraas.my.salesforce.com/0010N00004yyZL3" TargetMode="External"/><Relationship Id="rId48" Type="http://schemas.openxmlformats.org/officeDocument/2006/relationships/hyperlink" Target="https://meraas.my.salesforce.com/0010N00004xy5Gx" TargetMode="External"/><Relationship Id="rId47" Type="http://schemas.openxmlformats.org/officeDocument/2006/relationships/hyperlink" Target="https://meraas.my.salesforce.com/0010N00004xydGv" TargetMode="External"/><Relationship Id="rId49" Type="http://schemas.openxmlformats.org/officeDocument/2006/relationships/hyperlink" Target="https://meraas.my.salesforce.com/0010N00004xy2mN" TargetMode="External"/><Relationship Id="rId5" Type="http://schemas.openxmlformats.org/officeDocument/2006/relationships/hyperlink" Target="https://meraas.my.salesforce.com/0010N00004yygbF" TargetMode="External"/><Relationship Id="rId6" Type="http://schemas.openxmlformats.org/officeDocument/2006/relationships/hyperlink" Target="https://meraas.my.salesforce.com/0010N00004yych6" TargetMode="External"/><Relationship Id="rId7" Type="http://schemas.openxmlformats.org/officeDocument/2006/relationships/hyperlink" Target="https://meraas.my.salesforce.com/0010N00004yycES" TargetMode="External"/><Relationship Id="rId8" Type="http://schemas.openxmlformats.org/officeDocument/2006/relationships/hyperlink" Target="https://meraas.my.salesforce.com/0010N00004yybD8" TargetMode="External"/><Relationship Id="rId31" Type="http://schemas.openxmlformats.org/officeDocument/2006/relationships/hyperlink" Target="https://meraas.my.salesforce.com/0010N00004yQ0bt" TargetMode="External"/><Relationship Id="rId30" Type="http://schemas.openxmlformats.org/officeDocument/2006/relationships/hyperlink" Target="https://meraas.my.salesforce.com/0010N00004yQ0pH" TargetMode="External"/><Relationship Id="rId33" Type="http://schemas.openxmlformats.org/officeDocument/2006/relationships/hyperlink" Target="https://meraas.my.salesforce.com/0010N00004WR6y1" TargetMode="External"/><Relationship Id="rId32" Type="http://schemas.openxmlformats.org/officeDocument/2006/relationships/hyperlink" Target="https://meraas.my.salesforce.com/0010N00004yQ0WF" TargetMode="External"/><Relationship Id="rId35" Type="http://schemas.openxmlformats.org/officeDocument/2006/relationships/hyperlink" Target="https://meraas.my.salesforce.com/0010N00004yMYd2" TargetMode="External"/><Relationship Id="rId34" Type="http://schemas.openxmlformats.org/officeDocument/2006/relationships/hyperlink" Target="https://meraas.my.salesforce.com/0010N00004yPxcH" TargetMode="External"/><Relationship Id="rId37" Type="http://schemas.openxmlformats.org/officeDocument/2006/relationships/hyperlink" Target="https://meraas.my.salesforce.com/0010N00004xRMrr" TargetMode="External"/><Relationship Id="rId36" Type="http://schemas.openxmlformats.org/officeDocument/2006/relationships/hyperlink" Target="https://meraas.my.salesforce.com/0010N00004x4nK5" TargetMode="External"/><Relationship Id="rId39" Type="http://schemas.openxmlformats.org/officeDocument/2006/relationships/hyperlink" Target="https://meraas.my.salesforce.com/0010N00004xylE9" TargetMode="External"/><Relationship Id="rId38" Type="http://schemas.openxmlformats.org/officeDocument/2006/relationships/hyperlink" Target="https://meraas.my.salesforce.com/0010N00004xylPW" TargetMode="External"/><Relationship Id="rId20" Type="http://schemas.openxmlformats.org/officeDocument/2006/relationships/hyperlink" Target="https://meraas.my.salesforce.com/0010N00004yoFZ5" TargetMode="External"/><Relationship Id="rId22" Type="http://schemas.openxmlformats.org/officeDocument/2006/relationships/hyperlink" Target="https://meraas.my.salesforce.com/0010N00004yakd7" TargetMode="External"/><Relationship Id="rId21" Type="http://schemas.openxmlformats.org/officeDocument/2006/relationships/hyperlink" Target="https://meraas.my.salesforce.com/0010N00004xyf34" TargetMode="External"/><Relationship Id="rId24" Type="http://schemas.openxmlformats.org/officeDocument/2006/relationships/hyperlink" Target="https://meraas.my.salesforce.com/0010N00004yQ2R0" TargetMode="External"/><Relationship Id="rId23" Type="http://schemas.openxmlformats.org/officeDocument/2006/relationships/hyperlink" Target="https://meraas.my.salesforce.com/0010N00004yaVYO" TargetMode="External"/><Relationship Id="rId26" Type="http://schemas.openxmlformats.org/officeDocument/2006/relationships/hyperlink" Target="https://meraas.my.salesforce.com/0010N00004yQ1uo" TargetMode="External"/><Relationship Id="rId25" Type="http://schemas.openxmlformats.org/officeDocument/2006/relationships/hyperlink" Target="https://meraas.my.salesforce.com/0010N00004yQ2Kn" TargetMode="External"/><Relationship Id="rId28" Type="http://schemas.openxmlformats.org/officeDocument/2006/relationships/hyperlink" Target="https://meraas.my.salesforce.com/0010N00004yQ1GY" TargetMode="External"/><Relationship Id="rId27" Type="http://schemas.openxmlformats.org/officeDocument/2006/relationships/hyperlink" Target="https://meraas.my.salesforce.com/0010N00004yQ1IK" TargetMode="External"/><Relationship Id="rId29" Type="http://schemas.openxmlformats.org/officeDocument/2006/relationships/hyperlink" Target="https://meraas.my.salesforce.com/0010N00004yQ1GY" TargetMode="External"/><Relationship Id="rId51" Type="http://schemas.openxmlformats.org/officeDocument/2006/relationships/hyperlink" Target="https://meraas.my.salesforce.com/0010N00004xxxKF" TargetMode="External"/><Relationship Id="rId50" Type="http://schemas.openxmlformats.org/officeDocument/2006/relationships/hyperlink" Target="https://meraas.my.salesforce.com/0010N00004xy21h" TargetMode="External"/><Relationship Id="rId53" Type="http://schemas.openxmlformats.org/officeDocument/2006/relationships/hyperlink" Target="https://meraas.my.salesforce.com/0010N00004lzLy2" TargetMode="External"/><Relationship Id="rId52" Type="http://schemas.openxmlformats.org/officeDocument/2006/relationships/hyperlink" Target="https://meraas.my.salesforce.com/0010N00004kEgvp" TargetMode="External"/><Relationship Id="rId11" Type="http://schemas.openxmlformats.org/officeDocument/2006/relationships/hyperlink" Target="https://meraas.my.salesforce.com/0010N00004yyVmN" TargetMode="External"/><Relationship Id="rId55" Type="http://schemas.openxmlformats.org/officeDocument/2006/relationships/hyperlink" Target="https://meraas.my.salesforce.com/0010N00004nmyAm" TargetMode="External"/><Relationship Id="rId10" Type="http://schemas.openxmlformats.org/officeDocument/2006/relationships/hyperlink" Target="https://meraas.my.salesforce.com/0010N00004yyXTV" TargetMode="External"/><Relationship Id="rId54" Type="http://schemas.openxmlformats.org/officeDocument/2006/relationships/hyperlink" Target="https://meraas.my.salesforce.com/0010N00004n5yUy" TargetMode="External"/><Relationship Id="rId13" Type="http://schemas.openxmlformats.org/officeDocument/2006/relationships/hyperlink" Target="https://meraas.my.salesforce.com/0010N00004yy7WT" TargetMode="External"/><Relationship Id="rId57" Type="http://schemas.openxmlformats.org/officeDocument/2006/relationships/hyperlink" Target="https://meraas.my.salesforce.com/0010N00004opRYQ" TargetMode="External"/><Relationship Id="rId12" Type="http://schemas.openxmlformats.org/officeDocument/2006/relationships/hyperlink" Target="https://meraas.my.salesforce.com/0010N00004yy7gO" TargetMode="External"/><Relationship Id="rId56" Type="http://schemas.openxmlformats.org/officeDocument/2006/relationships/hyperlink" Target="https://meraas.my.salesforce.com/0010N00004oocTW" TargetMode="External"/><Relationship Id="rId15" Type="http://schemas.openxmlformats.org/officeDocument/2006/relationships/hyperlink" Target="https://meraas.my.salesforce.com/0010N00004yy4qS" TargetMode="External"/><Relationship Id="rId59" Type="http://schemas.openxmlformats.org/officeDocument/2006/relationships/drawing" Target="../drawings/drawing16.xml"/><Relationship Id="rId14" Type="http://schemas.openxmlformats.org/officeDocument/2006/relationships/hyperlink" Target="https://meraas.my.salesforce.com/0010N00004yy7Ty" TargetMode="External"/><Relationship Id="rId58" Type="http://schemas.openxmlformats.org/officeDocument/2006/relationships/hyperlink" Target="https://meraas.my.salesforce.com/0010N00004oqAzo" TargetMode="External"/><Relationship Id="rId17" Type="http://schemas.openxmlformats.org/officeDocument/2006/relationships/hyperlink" Target="https://meraas.my.salesforce.com/0010N00004yy12E" TargetMode="External"/><Relationship Id="rId16" Type="http://schemas.openxmlformats.org/officeDocument/2006/relationships/hyperlink" Target="https://meraas.my.salesforce.com/0010N00004yy2yv" TargetMode="External"/><Relationship Id="rId19" Type="http://schemas.openxmlformats.org/officeDocument/2006/relationships/hyperlink" Target="https://meraas.my.salesforce.com/0010N00004yoFhq" TargetMode="External"/><Relationship Id="rId18" Type="http://schemas.openxmlformats.org/officeDocument/2006/relationships/hyperlink" Target="https://meraas.my.salesforce.com/0010N00004yxZpA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ahmad.alhashmi.com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71"/>
    <col customWidth="1" min="3" max="3" width="27.43"/>
    <col customWidth="1" min="4" max="4" width="28.71"/>
    <col customWidth="1" min="5" max="5" width="29.0"/>
    <col customWidth="1" min="6" max="6" width="25.29"/>
  </cols>
  <sheetData>
    <row r="1" ht="15.75" customHeight="1"/>
    <row r="2" ht="15.75" customHeight="1"/>
    <row r="3" ht="15.75" customHeight="1"/>
    <row r="4" ht="15.75" customHeight="1"/>
    <row r="5" ht="15.75" customHeight="1">
      <c r="B5" s="1"/>
    </row>
    <row r="6" ht="15.75" customHeight="1"/>
    <row r="7" ht="15.75" customHeight="1"/>
    <row r="8" ht="15.75" customHeight="1"/>
    <row r="9" ht="15.75" customHeight="1"/>
    <row r="10" ht="15.75" customHeight="1">
      <c r="A10" s="2"/>
      <c r="B10" s="3"/>
      <c r="C10" s="4"/>
      <c r="D10" s="4"/>
      <c r="E10" s="5"/>
    </row>
    <row r="11" ht="15.75" customHeight="1">
      <c r="A11" s="6"/>
      <c r="B11" s="7" t="s">
        <v>0</v>
      </c>
      <c r="E11" s="8"/>
    </row>
    <row r="12" ht="15.75" customHeight="1">
      <c r="A12" s="9"/>
      <c r="E12" s="10"/>
    </row>
    <row r="13" ht="15.75" customHeight="1">
      <c r="A13" s="9"/>
      <c r="E13" s="10"/>
    </row>
    <row r="14" ht="15.75" customHeight="1">
      <c r="A14" s="9"/>
      <c r="E14" s="10"/>
    </row>
    <row r="15" ht="15.75" customHeight="1">
      <c r="A15" s="9"/>
      <c r="E15" s="10"/>
    </row>
    <row r="16" ht="15.75" customHeight="1">
      <c r="A16" s="11"/>
      <c r="B16" s="12"/>
      <c r="C16" s="13"/>
      <c r="D16" s="13"/>
      <c r="E16" s="14"/>
    </row>
    <row r="17" ht="15.75" customHeight="1">
      <c r="A17" s="15"/>
      <c r="B17" s="15"/>
      <c r="C17" s="15"/>
      <c r="D17" s="15"/>
      <c r="E17" s="15"/>
    </row>
    <row r="18" ht="15.75" customHeight="1">
      <c r="A18" s="15"/>
      <c r="B18" s="15"/>
      <c r="C18" s="15"/>
      <c r="D18" s="15"/>
      <c r="E18" s="15"/>
    </row>
    <row r="19" ht="15.75" customHeight="1">
      <c r="A19" s="15"/>
      <c r="B19" s="15"/>
      <c r="C19" s="15"/>
      <c r="D19" s="15"/>
      <c r="E19" s="15"/>
    </row>
    <row r="20" ht="15.75" customHeight="1">
      <c r="A20" s="15"/>
      <c r="B20" s="15"/>
      <c r="C20" s="15"/>
      <c r="D20" s="15"/>
      <c r="E20" s="15"/>
    </row>
    <row r="21" ht="15.75" customHeight="1">
      <c r="A21" s="15"/>
      <c r="B21" s="15"/>
      <c r="C21" s="15"/>
      <c r="D21" s="15"/>
      <c r="E21" s="15"/>
    </row>
    <row r="22" ht="15.75" customHeight="1">
      <c r="A22" s="15"/>
      <c r="B22" s="15"/>
      <c r="C22" s="15"/>
      <c r="D22" s="15"/>
      <c r="E22" s="15"/>
    </row>
    <row r="23" ht="15.75" customHeight="1">
      <c r="A23" s="15"/>
      <c r="B23" s="15"/>
      <c r="C23" s="15"/>
      <c r="D23" s="15"/>
      <c r="E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16"/>
      <c r="B52" s="17"/>
      <c r="C52" s="18"/>
      <c r="D52" s="19"/>
      <c r="E52" s="20"/>
    </row>
    <row r="53" ht="15.75" customHeight="1">
      <c r="A53" s="16"/>
      <c r="B53" s="17"/>
      <c r="C53" s="18"/>
      <c r="D53" s="19"/>
      <c r="E53" s="20"/>
    </row>
    <row r="54" ht="15.75" customHeight="1">
      <c r="A54" s="16"/>
      <c r="B54" s="17"/>
      <c r="C54" s="18"/>
      <c r="D54" s="19"/>
      <c r="E54" s="20"/>
    </row>
    <row r="55" ht="15.75" customHeight="1">
      <c r="A55" s="16"/>
      <c r="B55" s="17"/>
      <c r="C55" s="18"/>
      <c r="D55" s="19"/>
      <c r="E55" s="20"/>
    </row>
    <row r="56" ht="15.75" customHeight="1">
      <c r="A56" s="16"/>
      <c r="B56" s="17"/>
      <c r="C56" s="18"/>
      <c r="D56" s="19"/>
      <c r="E56" s="20"/>
    </row>
    <row r="57" ht="15.75" customHeight="1">
      <c r="A57" s="16"/>
      <c r="B57" s="17"/>
      <c r="C57" s="18"/>
      <c r="D57" s="19"/>
      <c r="E57" s="20"/>
    </row>
    <row r="58" ht="15.75" customHeight="1">
      <c r="A58" s="16"/>
      <c r="B58" s="17"/>
      <c r="C58" s="18"/>
      <c r="D58" s="19"/>
      <c r="E58" s="20"/>
    </row>
    <row r="59" ht="15.75" customHeight="1">
      <c r="A59" s="16"/>
      <c r="B59" s="17"/>
      <c r="C59" s="18"/>
      <c r="D59" s="19"/>
      <c r="E59" s="20"/>
    </row>
    <row r="60" ht="15.75" customHeight="1">
      <c r="A60" s="16"/>
      <c r="B60" s="17"/>
      <c r="C60" s="18"/>
      <c r="D60" s="19"/>
      <c r="E60" s="20"/>
    </row>
    <row r="61" ht="15.75" customHeight="1">
      <c r="A61" s="16"/>
      <c r="B61" s="17"/>
      <c r="C61" s="18"/>
      <c r="D61" s="19"/>
      <c r="E61" s="20"/>
    </row>
    <row r="62" ht="15.75" customHeight="1">
      <c r="A62" s="16"/>
      <c r="B62" s="17"/>
      <c r="C62" s="18"/>
      <c r="D62" s="19"/>
      <c r="E62" s="20"/>
    </row>
    <row r="63" ht="15.75" customHeight="1">
      <c r="A63" s="16"/>
      <c r="B63" s="17"/>
      <c r="C63" s="18"/>
      <c r="D63" s="19"/>
      <c r="E63" s="20"/>
    </row>
    <row r="64" ht="15.75" customHeight="1">
      <c r="A64" s="16"/>
      <c r="B64" s="17"/>
      <c r="C64" s="18"/>
      <c r="D64" s="19"/>
      <c r="E64" s="20"/>
    </row>
    <row r="65" ht="15.75" customHeight="1">
      <c r="A65" s="16"/>
      <c r="B65" s="17"/>
      <c r="C65" s="18"/>
      <c r="D65" s="19"/>
      <c r="E65" s="20"/>
    </row>
    <row r="66" ht="15.75" customHeight="1">
      <c r="A66" s="16"/>
      <c r="B66" s="17"/>
      <c r="C66" s="18"/>
      <c r="D66" s="19"/>
      <c r="E66" s="20"/>
    </row>
    <row r="67" ht="15.75" customHeight="1">
      <c r="A67" s="16"/>
      <c r="B67" s="17"/>
      <c r="C67" s="18"/>
      <c r="D67" s="19"/>
      <c r="E67" s="20"/>
    </row>
    <row r="68" ht="15.75" customHeight="1">
      <c r="A68" s="16"/>
      <c r="B68" s="17"/>
      <c r="C68" s="18"/>
      <c r="D68" s="19"/>
      <c r="E68" s="20"/>
    </row>
    <row r="69" ht="15.75" customHeight="1">
      <c r="A69" s="16"/>
      <c r="B69" s="17"/>
      <c r="C69" s="18"/>
      <c r="D69" s="19"/>
      <c r="E69" s="20"/>
    </row>
    <row r="70" ht="15.75" customHeight="1">
      <c r="A70" s="16"/>
      <c r="B70" s="17"/>
      <c r="C70" s="18"/>
      <c r="D70" s="19"/>
      <c r="E70" s="20"/>
    </row>
    <row r="71" ht="15.75" customHeight="1">
      <c r="A71" s="16"/>
      <c r="B71" s="17"/>
      <c r="C71" s="18"/>
      <c r="D71" s="19"/>
      <c r="E71" s="20"/>
    </row>
    <row r="72" ht="15.75" customHeight="1">
      <c r="A72" s="16"/>
      <c r="B72" s="17"/>
      <c r="C72" s="18"/>
      <c r="D72" s="19"/>
      <c r="E72" s="20"/>
    </row>
    <row r="73" ht="15.75" customHeight="1">
      <c r="A73" s="16"/>
      <c r="B73" s="17"/>
      <c r="C73" s="18"/>
      <c r="D73" s="19"/>
      <c r="E73" s="20"/>
    </row>
    <row r="74" ht="15.75" customHeight="1">
      <c r="A74" s="16"/>
      <c r="B74" s="17"/>
      <c r="C74" s="18"/>
      <c r="D74" s="19"/>
      <c r="E74" s="20"/>
    </row>
    <row r="75" ht="15.75" customHeight="1">
      <c r="A75" s="16"/>
      <c r="B75" s="17"/>
      <c r="C75" s="18"/>
      <c r="D75" s="19"/>
      <c r="E75" s="20"/>
    </row>
    <row r="76" ht="15.75" customHeight="1">
      <c r="A76" s="16"/>
      <c r="B76" s="17"/>
      <c r="C76" s="18"/>
      <c r="D76" s="19"/>
      <c r="E76" s="20"/>
    </row>
    <row r="77" ht="15.75" customHeight="1">
      <c r="A77" s="16"/>
      <c r="B77" s="17"/>
      <c r="C77" s="18"/>
      <c r="D77" s="19"/>
      <c r="E77" s="20"/>
    </row>
    <row r="78" ht="15.75" customHeight="1">
      <c r="A78" s="16"/>
      <c r="B78" s="17"/>
      <c r="C78" s="18"/>
      <c r="D78" s="19"/>
      <c r="E78" s="20"/>
    </row>
    <row r="79" ht="15.75" customHeight="1">
      <c r="A79" s="16"/>
      <c r="B79" s="17"/>
      <c r="C79" s="18"/>
      <c r="D79" s="19"/>
      <c r="E79" s="20"/>
    </row>
    <row r="80" ht="15.75" customHeight="1">
      <c r="A80" s="16"/>
      <c r="B80" s="17"/>
      <c r="C80" s="18"/>
      <c r="D80" s="19"/>
      <c r="E80" s="20"/>
    </row>
    <row r="81" ht="15.75" customHeight="1">
      <c r="A81" s="16"/>
      <c r="B81" s="17"/>
      <c r="C81" s="18"/>
      <c r="D81" s="19"/>
      <c r="E81" s="20"/>
    </row>
    <row r="82" ht="15.75" customHeight="1">
      <c r="A82" s="16"/>
      <c r="B82" s="17"/>
      <c r="C82" s="18"/>
      <c r="D82" s="19"/>
      <c r="E82" s="20"/>
    </row>
    <row r="83" ht="15.75" customHeight="1">
      <c r="A83" s="16"/>
      <c r="B83" s="17"/>
      <c r="C83" s="18"/>
      <c r="D83" s="19"/>
      <c r="E83" s="20"/>
    </row>
    <row r="84" ht="15.75" customHeight="1">
      <c r="A84" s="16"/>
      <c r="B84" s="17"/>
      <c r="C84" s="18"/>
      <c r="D84" s="19"/>
      <c r="E84" s="20"/>
    </row>
    <row r="85" ht="15.75" customHeight="1">
      <c r="A85" s="16"/>
      <c r="B85" s="17"/>
      <c r="C85" s="18"/>
      <c r="D85" s="19"/>
      <c r="E85" s="20"/>
    </row>
    <row r="86" ht="15.75" customHeight="1">
      <c r="A86" s="16"/>
      <c r="B86" s="17"/>
      <c r="C86" s="18"/>
      <c r="D86" s="19"/>
      <c r="E86" s="20"/>
    </row>
    <row r="87" ht="15.75" customHeight="1">
      <c r="A87" s="16"/>
      <c r="B87" s="17"/>
      <c r="C87" s="18"/>
      <c r="D87" s="19"/>
      <c r="E87" s="20"/>
    </row>
    <row r="88" ht="15.75" customHeight="1">
      <c r="A88" s="16"/>
      <c r="B88" s="17"/>
      <c r="C88" s="18"/>
      <c r="D88" s="19"/>
      <c r="E88" s="20"/>
    </row>
    <row r="89" ht="15.75" customHeight="1">
      <c r="A89" s="16"/>
      <c r="B89" s="17"/>
      <c r="C89" s="18"/>
      <c r="D89" s="19"/>
      <c r="E89" s="20"/>
    </row>
    <row r="90" ht="15.75" customHeight="1">
      <c r="A90" s="16"/>
      <c r="B90" s="17"/>
      <c r="C90" s="18"/>
      <c r="D90" s="19"/>
      <c r="E90" s="20"/>
    </row>
    <row r="91" ht="15.75" customHeight="1">
      <c r="A91" s="16"/>
      <c r="B91" s="17"/>
      <c r="C91" s="18"/>
      <c r="D91" s="19"/>
      <c r="E91" s="20"/>
    </row>
    <row r="92" ht="15.75" customHeight="1">
      <c r="A92" s="16"/>
      <c r="B92" s="17"/>
      <c r="C92" s="18"/>
      <c r="D92" s="19"/>
      <c r="E92" s="20"/>
    </row>
    <row r="93" ht="15.75" customHeight="1">
      <c r="A93" s="16"/>
      <c r="B93" s="17"/>
      <c r="C93" s="18"/>
      <c r="D93" s="19"/>
      <c r="E93" s="20"/>
    </row>
    <row r="94" ht="15.75" customHeight="1">
      <c r="A94" s="16"/>
      <c r="B94" s="17"/>
      <c r="C94" s="18"/>
      <c r="D94" s="19"/>
      <c r="E94" s="20"/>
    </row>
    <row r="95" ht="15.75" customHeight="1">
      <c r="A95" s="16"/>
      <c r="B95" s="17"/>
      <c r="C95" s="18"/>
      <c r="D95" s="19"/>
      <c r="E95" s="20"/>
    </row>
    <row r="96" ht="15.75" customHeight="1">
      <c r="A96" s="16"/>
      <c r="B96" s="17"/>
      <c r="C96" s="18"/>
      <c r="D96" s="19"/>
      <c r="E96" s="20"/>
    </row>
    <row r="97" ht="15.75" customHeight="1">
      <c r="A97" s="16"/>
      <c r="B97" s="17"/>
      <c r="C97" s="18"/>
      <c r="D97" s="19"/>
      <c r="E97" s="20"/>
    </row>
    <row r="98" ht="15.75" customHeight="1">
      <c r="A98" s="16"/>
      <c r="B98" s="17"/>
      <c r="C98" s="18"/>
      <c r="D98" s="19"/>
      <c r="E98" s="20"/>
    </row>
    <row r="99" ht="15.75" customHeight="1">
      <c r="A99" s="16"/>
      <c r="B99" s="17"/>
      <c r="C99" s="18"/>
      <c r="D99" s="19"/>
      <c r="E99" s="20"/>
    </row>
    <row r="100" ht="15.75" customHeight="1">
      <c r="A100" s="16"/>
      <c r="B100" s="17"/>
      <c r="C100" s="18"/>
      <c r="D100" s="19"/>
      <c r="E100" s="20"/>
    </row>
    <row r="101" ht="15.75" customHeight="1">
      <c r="A101" s="16"/>
      <c r="B101" s="17"/>
      <c r="C101" s="18"/>
      <c r="D101" s="19"/>
      <c r="E101" s="20"/>
    </row>
    <row r="102" ht="15.75" customHeight="1">
      <c r="A102" s="16"/>
      <c r="B102" s="17"/>
      <c r="C102" s="18"/>
      <c r="D102" s="19"/>
      <c r="E102" s="20"/>
    </row>
    <row r="103" ht="15.75" customHeight="1">
      <c r="A103" s="16"/>
      <c r="B103" s="17"/>
      <c r="C103" s="18"/>
      <c r="D103" s="19"/>
      <c r="E103" s="20"/>
    </row>
    <row r="104" ht="15.75" customHeight="1">
      <c r="A104" s="16"/>
      <c r="B104" s="17"/>
      <c r="C104" s="18"/>
      <c r="D104" s="19"/>
      <c r="E104" s="20"/>
    </row>
    <row r="105" ht="15.75" customHeight="1">
      <c r="A105" s="16"/>
      <c r="B105" s="17"/>
      <c r="C105" s="18"/>
      <c r="D105" s="19"/>
      <c r="E105" s="20"/>
    </row>
    <row r="106" ht="15.75" customHeight="1">
      <c r="A106" s="16"/>
      <c r="B106" s="17"/>
      <c r="C106" s="18"/>
      <c r="D106" s="19"/>
      <c r="E106" s="20"/>
    </row>
    <row r="107" ht="15.75" customHeight="1">
      <c r="A107" s="16"/>
      <c r="B107" s="17"/>
      <c r="C107" s="18"/>
      <c r="D107" s="19"/>
      <c r="E107" s="20"/>
    </row>
    <row r="108" ht="15.75" customHeight="1">
      <c r="A108" s="16"/>
      <c r="B108" s="17"/>
      <c r="C108" s="18"/>
      <c r="D108" s="19"/>
      <c r="E108" s="20"/>
    </row>
    <row r="109" ht="15.75" customHeight="1">
      <c r="A109" s="16"/>
      <c r="B109" s="17"/>
      <c r="C109" s="18"/>
      <c r="D109" s="19"/>
      <c r="E109" s="20"/>
    </row>
    <row r="110" ht="15.75" customHeight="1">
      <c r="A110" s="16"/>
      <c r="B110" s="17"/>
      <c r="C110" s="18"/>
      <c r="D110" s="19"/>
      <c r="E110" s="20"/>
    </row>
    <row r="111" ht="15.75" customHeight="1">
      <c r="A111" s="16"/>
      <c r="B111" s="17"/>
      <c r="C111" s="18"/>
      <c r="D111" s="19"/>
      <c r="E111" s="20"/>
    </row>
    <row r="112" ht="15.75" customHeight="1">
      <c r="A112" s="16"/>
      <c r="B112" s="17"/>
      <c r="C112" s="18"/>
      <c r="D112" s="19"/>
      <c r="E112" s="20"/>
    </row>
    <row r="113" ht="15.75" customHeight="1">
      <c r="A113" s="16"/>
      <c r="B113" s="17"/>
      <c r="C113" s="18"/>
      <c r="D113" s="19"/>
      <c r="E113" s="20"/>
    </row>
    <row r="114" ht="15.75" customHeight="1">
      <c r="A114" s="16"/>
      <c r="B114" s="17"/>
      <c r="C114" s="18"/>
      <c r="D114" s="19"/>
      <c r="E114" s="20"/>
    </row>
    <row r="115" ht="15.75" customHeight="1">
      <c r="A115" s="16"/>
      <c r="B115" s="17"/>
      <c r="C115" s="18"/>
      <c r="D115" s="19"/>
      <c r="E115" s="20"/>
    </row>
    <row r="116" ht="15.75" customHeight="1">
      <c r="A116" s="16"/>
      <c r="B116" s="17"/>
      <c r="C116" s="18"/>
      <c r="D116" s="19"/>
      <c r="E116" s="20"/>
    </row>
    <row r="117" ht="15.75" customHeight="1">
      <c r="A117" s="16"/>
      <c r="B117" s="17"/>
      <c r="C117" s="18"/>
      <c r="D117" s="19"/>
      <c r="E117" s="20"/>
    </row>
    <row r="118" ht="15.75" customHeight="1">
      <c r="A118" s="16"/>
      <c r="B118" s="17"/>
      <c r="C118" s="18"/>
      <c r="D118" s="19"/>
      <c r="E118" s="20"/>
    </row>
    <row r="119" ht="15.75" customHeight="1">
      <c r="A119" s="16"/>
      <c r="B119" s="17"/>
      <c r="C119" s="18"/>
      <c r="D119" s="19"/>
      <c r="E119" s="20"/>
    </row>
    <row r="120" ht="15.75" customHeight="1">
      <c r="A120" s="16"/>
      <c r="B120" s="17"/>
      <c r="C120" s="18"/>
      <c r="D120" s="19"/>
      <c r="E120" s="20"/>
    </row>
    <row r="121" ht="15.75" customHeight="1">
      <c r="A121" s="16"/>
      <c r="B121" s="17"/>
      <c r="C121" s="18"/>
      <c r="D121" s="19"/>
      <c r="E121" s="20"/>
    </row>
    <row r="122" ht="15.75" customHeight="1">
      <c r="A122" s="16"/>
      <c r="B122" s="17"/>
      <c r="C122" s="18"/>
      <c r="D122" s="19"/>
      <c r="E122" s="20"/>
    </row>
    <row r="123" ht="15.75" customHeight="1">
      <c r="A123" s="16"/>
      <c r="B123" s="17"/>
      <c r="C123" s="18"/>
      <c r="D123" s="19"/>
      <c r="E123" s="20"/>
    </row>
    <row r="124" ht="15.75" customHeight="1">
      <c r="A124" s="16"/>
      <c r="B124" s="17"/>
      <c r="C124" s="18"/>
      <c r="D124" s="19"/>
      <c r="E124" s="20"/>
    </row>
    <row r="125" ht="15.75" customHeight="1">
      <c r="A125" s="16"/>
      <c r="B125" s="17"/>
      <c r="C125" s="18"/>
      <c r="D125" s="19"/>
      <c r="E125" s="20"/>
    </row>
    <row r="126" ht="15.75" customHeight="1">
      <c r="A126" s="16"/>
      <c r="B126" s="17"/>
      <c r="C126" s="18"/>
      <c r="D126" s="19"/>
      <c r="E126" s="20"/>
    </row>
    <row r="127" ht="15.75" customHeight="1">
      <c r="A127" s="16"/>
      <c r="B127" s="17"/>
      <c r="C127" s="18"/>
      <c r="D127" s="19"/>
      <c r="E127" s="20"/>
    </row>
    <row r="128" ht="15.75" customHeight="1">
      <c r="A128" s="16"/>
      <c r="B128" s="17"/>
      <c r="C128" s="18"/>
      <c r="D128" s="19"/>
      <c r="E128" s="20"/>
    </row>
    <row r="129" ht="15.75" customHeight="1">
      <c r="A129" s="16"/>
      <c r="B129" s="17"/>
      <c r="C129" s="18"/>
      <c r="D129" s="19"/>
      <c r="E129" s="20"/>
    </row>
    <row r="130" ht="15.75" customHeight="1">
      <c r="A130" s="16"/>
      <c r="B130" s="17"/>
      <c r="C130" s="18"/>
      <c r="D130" s="19"/>
      <c r="E130" s="20"/>
    </row>
    <row r="131" ht="15.75" customHeight="1">
      <c r="A131" s="16"/>
      <c r="B131" s="17"/>
      <c r="C131" s="18"/>
      <c r="D131" s="19"/>
      <c r="E131" s="20"/>
    </row>
    <row r="132" ht="15.75" customHeight="1">
      <c r="A132" s="16"/>
      <c r="B132" s="17"/>
      <c r="C132" s="18"/>
      <c r="D132" s="19"/>
      <c r="E132" s="20"/>
    </row>
    <row r="133" ht="15.75" customHeight="1">
      <c r="A133" s="16"/>
      <c r="B133" s="17"/>
      <c r="C133" s="18"/>
      <c r="D133" s="19"/>
      <c r="E133" s="20"/>
    </row>
    <row r="134" ht="15.75" customHeight="1">
      <c r="A134" s="16"/>
      <c r="B134" s="17"/>
      <c r="C134" s="18"/>
      <c r="D134" s="19"/>
      <c r="E134" s="20"/>
    </row>
    <row r="135" ht="15.75" customHeight="1">
      <c r="A135" s="16"/>
      <c r="B135" s="17"/>
      <c r="C135" s="18"/>
      <c r="D135" s="19"/>
      <c r="E135" s="20"/>
    </row>
    <row r="136" ht="15.75" customHeight="1">
      <c r="A136" s="16"/>
      <c r="B136" s="17"/>
      <c r="C136" s="18"/>
      <c r="D136" s="19"/>
      <c r="E136" s="20"/>
    </row>
    <row r="137" ht="15.75" customHeight="1">
      <c r="A137" s="16"/>
      <c r="B137" s="17"/>
      <c r="C137" s="18"/>
      <c r="D137" s="19"/>
      <c r="E137" s="20"/>
    </row>
    <row r="138" ht="15.75" customHeight="1">
      <c r="A138" s="16"/>
      <c r="B138" s="17"/>
      <c r="C138" s="18"/>
      <c r="D138" s="19"/>
      <c r="E138" s="20"/>
    </row>
    <row r="139" ht="15.75" customHeight="1">
      <c r="A139" s="16"/>
      <c r="B139" s="17"/>
      <c r="C139" s="18"/>
      <c r="D139" s="19"/>
      <c r="E139" s="20"/>
    </row>
    <row r="140" ht="15.75" customHeight="1">
      <c r="A140" s="16"/>
      <c r="B140" s="17"/>
      <c r="C140" s="18"/>
      <c r="D140" s="19"/>
      <c r="E140" s="20"/>
    </row>
    <row r="141" ht="15.75" customHeight="1">
      <c r="A141" s="16"/>
      <c r="B141" s="17"/>
      <c r="C141" s="18"/>
      <c r="D141" s="19"/>
      <c r="E141" s="20"/>
    </row>
    <row r="142" ht="15.75" customHeight="1">
      <c r="A142" s="16"/>
      <c r="B142" s="17"/>
      <c r="C142" s="18"/>
      <c r="D142" s="19"/>
      <c r="E142" s="20"/>
    </row>
    <row r="143" ht="15.75" customHeight="1">
      <c r="A143" s="16"/>
      <c r="B143" s="17"/>
      <c r="C143" s="18"/>
      <c r="D143" s="19"/>
      <c r="E143" s="20"/>
    </row>
    <row r="144" ht="15.75" customHeight="1">
      <c r="A144" s="16"/>
      <c r="B144" s="17"/>
      <c r="C144" s="18"/>
      <c r="D144" s="19"/>
      <c r="E144" s="20"/>
    </row>
    <row r="145" ht="15.75" customHeight="1">
      <c r="A145" s="16"/>
      <c r="B145" s="17"/>
      <c r="C145" s="18"/>
      <c r="D145" s="19"/>
      <c r="E145" s="20"/>
    </row>
    <row r="146" ht="15.75" customHeight="1">
      <c r="A146" s="16"/>
      <c r="B146" s="17"/>
      <c r="C146" s="18"/>
      <c r="D146" s="19"/>
      <c r="E146" s="20"/>
    </row>
    <row r="147" ht="15.75" customHeight="1">
      <c r="A147" s="16"/>
      <c r="B147" s="17"/>
      <c r="C147" s="18"/>
      <c r="D147" s="19"/>
      <c r="E147" s="20"/>
    </row>
    <row r="148" ht="15.75" customHeight="1">
      <c r="A148" s="16"/>
      <c r="B148" s="17"/>
      <c r="C148" s="18"/>
      <c r="D148" s="19"/>
      <c r="E148" s="20"/>
    </row>
    <row r="149" ht="15.75" customHeight="1">
      <c r="A149" s="16"/>
      <c r="B149" s="17"/>
      <c r="C149" s="18"/>
      <c r="D149" s="19"/>
      <c r="E149" s="20"/>
    </row>
    <row r="150" ht="15.75" customHeight="1">
      <c r="A150" s="16"/>
      <c r="B150" s="17"/>
      <c r="C150" s="18"/>
      <c r="D150" s="19"/>
      <c r="E150" s="20"/>
    </row>
    <row r="151" ht="15.75" customHeight="1">
      <c r="A151" s="16"/>
      <c r="B151" s="17"/>
      <c r="C151" s="18"/>
      <c r="D151" s="19"/>
      <c r="E151" s="20"/>
    </row>
    <row r="152" ht="15.75" customHeight="1">
      <c r="A152" s="16"/>
      <c r="B152" s="17"/>
      <c r="C152" s="18"/>
      <c r="D152" s="19"/>
      <c r="E152" s="20"/>
    </row>
    <row r="153" ht="15.75" customHeight="1">
      <c r="A153" s="16"/>
      <c r="B153" s="17"/>
      <c r="C153" s="18"/>
      <c r="D153" s="19"/>
      <c r="E153" s="20"/>
    </row>
    <row r="154" ht="15.75" customHeight="1">
      <c r="A154" s="16"/>
      <c r="B154" s="17"/>
      <c r="C154" s="18"/>
      <c r="D154" s="19"/>
      <c r="E154" s="20"/>
    </row>
    <row r="155" ht="15.75" customHeight="1">
      <c r="A155" s="16"/>
      <c r="B155" s="17"/>
      <c r="C155" s="18"/>
      <c r="D155" s="19"/>
      <c r="E155" s="20"/>
    </row>
    <row r="156" ht="15.75" customHeight="1">
      <c r="A156" s="16"/>
      <c r="B156" s="17"/>
      <c r="C156" s="18"/>
      <c r="D156" s="19"/>
      <c r="E156" s="20"/>
    </row>
    <row r="157" ht="15.75" customHeight="1">
      <c r="A157" s="16"/>
      <c r="B157" s="17"/>
      <c r="C157" s="18"/>
      <c r="D157" s="19"/>
      <c r="E157" s="20"/>
    </row>
    <row r="158" ht="15.75" customHeight="1">
      <c r="A158" s="16"/>
      <c r="B158" s="17"/>
      <c r="C158" s="18"/>
      <c r="D158" s="19"/>
      <c r="E158" s="20"/>
    </row>
    <row r="159" ht="15.75" customHeight="1">
      <c r="A159" s="16"/>
      <c r="B159" s="17"/>
      <c r="C159" s="18"/>
      <c r="D159" s="19"/>
      <c r="E159" s="20"/>
    </row>
    <row r="160" ht="15.75" customHeight="1">
      <c r="A160" s="16"/>
      <c r="B160" s="17"/>
      <c r="C160" s="18"/>
      <c r="D160" s="19"/>
      <c r="E160" s="20"/>
    </row>
    <row r="161" ht="15.75" customHeight="1">
      <c r="A161" s="16"/>
      <c r="B161" s="17"/>
      <c r="C161" s="18"/>
      <c r="D161" s="19"/>
      <c r="E161" s="20"/>
    </row>
    <row r="162" ht="15.75" customHeight="1">
      <c r="A162" s="16"/>
      <c r="B162" s="17"/>
      <c r="C162" s="18"/>
      <c r="D162" s="19"/>
      <c r="E162" s="20"/>
    </row>
    <row r="163" ht="15.75" customHeight="1">
      <c r="A163" s="16"/>
      <c r="B163" s="17"/>
      <c r="C163" s="18"/>
      <c r="D163" s="19"/>
      <c r="E163" s="20"/>
    </row>
    <row r="164" ht="15.75" customHeight="1">
      <c r="A164" s="16"/>
      <c r="B164" s="17"/>
      <c r="C164" s="18"/>
      <c r="D164" s="19"/>
      <c r="E164" s="20"/>
    </row>
    <row r="165" ht="15.75" customHeight="1">
      <c r="A165" s="16"/>
      <c r="B165" s="17"/>
      <c r="C165" s="18"/>
      <c r="D165" s="19"/>
      <c r="E165" s="20"/>
    </row>
    <row r="166" ht="15.75" customHeight="1">
      <c r="A166" s="16"/>
      <c r="B166" s="17"/>
      <c r="C166" s="18"/>
      <c r="D166" s="19"/>
      <c r="E166" s="20"/>
    </row>
    <row r="167" ht="15.75" customHeight="1">
      <c r="A167" s="16"/>
      <c r="B167" s="17"/>
      <c r="C167" s="18"/>
      <c r="D167" s="19"/>
      <c r="E167" s="20"/>
    </row>
    <row r="168" ht="15.75" customHeight="1">
      <c r="A168" s="16"/>
      <c r="B168" s="17"/>
      <c r="C168" s="18"/>
      <c r="D168" s="19"/>
      <c r="E168" s="20"/>
    </row>
    <row r="169" ht="15.75" customHeight="1">
      <c r="A169" s="16"/>
      <c r="B169" s="17"/>
      <c r="C169" s="18"/>
      <c r="D169" s="19"/>
      <c r="E169" s="20"/>
    </row>
    <row r="170" ht="15.75" customHeight="1">
      <c r="A170" s="16"/>
      <c r="B170" s="17"/>
      <c r="C170" s="18"/>
      <c r="D170" s="19"/>
      <c r="E170" s="20"/>
    </row>
    <row r="171" ht="15.75" customHeight="1">
      <c r="A171" s="16"/>
      <c r="B171" s="17"/>
      <c r="C171" s="18"/>
      <c r="D171" s="19"/>
      <c r="E171" s="20"/>
    </row>
    <row r="172" ht="15.75" customHeight="1">
      <c r="A172" s="16"/>
      <c r="B172" s="17"/>
      <c r="C172" s="18"/>
      <c r="D172" s="19"/>
      <c r="E172" s="20"/>
    </row>
    <row r="173" ht="15.75" customHeight="1">
      <c r="A173" s="16"/>
      <c r="B173" s="17"/>
      <c r="C173" s="18"/>
      <c r="D173" s="19"/>
      <c r="E173" s="20"/>
    </row>
    <row r="174" ht="15.75" customHeight="1">
      <c r="A174" s="16"/>
      <c r="B174" s="17"/>
      <c r="C174" s="18"/>
      <c r="D174" s="19"/>
      <c r="E174" s="20"/>
    </row>
    <row r="175" ht="15.75" customHeight="1">
      <c r="A175" s="16"/>
      <c r="B175" s="17"/>
      <c r="C175" s="18"/>
      <c r="D175" s="19"/>
      <c r="E175" s="20"/>
    </row>
    <row r="176" ht="15.75" customHeight="1">
      <c r="A176" s="16" t="s">
        <v>1</v>
      </c>
      <c r="B176" s="17"/>
      <c r="C176" s="18"/>
      <c r="D176" s="19"/>
      <c r="E176" s="20"/>
    </row>
    <row r="177" ht="15.75" customHeight="1">
      <c r="A177" s="16"/>
      <c r="B177" s="17"/>
      <c r="C177" s="18"/>
      <c r="D177" s="19"/>
      <c r="E177" s="20"/>
    </row>
    <row r="178" ht="15.75" customHeight="1">
      <c r="A178" s="16"/>
      <c r="B178" s="17"/>
      <c r="C178" s="18"/>
      <c r="D178" s="19"/>
      <c r="E178" s="20"/>
    </row>
    <row r="179" ht="15.75" customHeight="1">
      <c r="A179" s="16"/>
      <c r="B179" s="17"/>
      <c r="C179" s="18"/>
      <c r="D179" s="19"/>
      <c r="E179" s="20"/>
    </row>
    <row r="180" ht="15.75" customHeight="1">
      <c r="A180" s="16"/>
      <c r="B180" s="17"/>
      <c r="C180" s="18"/>
      <c r="D180" s="19"/>
      <c r="E180" s="20"/>
    </row>
    <row r="181" ht="15.75" customHeight="1">
      <c r="A181" s="16"/>
      <c r="B181" s="17"/>
      <c r="C181" s="18"/>
      <c r="D181" s="19"/>
      <c r="E181" s="20"/>
    </row>
    <row r="182" ht="15.75" customHeight="1">
      <c r="A182" s="16"/>
      <c r="B182" s="17"/>
      <c r="C182" s="18"/>
      <c r="D182" s="19"/>
      <c r="E182" s="20"/>
    </row>
    <row r="183" ht="15.75" customHeight="1">
      <c r="A183" s="16"/>
      <c r="B183" s="17"/>
      <c r="C183" s="18"/>
      <c r="D183" s="19"/>
      <c r="E183" s="20"/>
    </row>
    <row r="184" ht="15.75" customHeight="1">
      <c r="A184" s="16"/>
      <c r="B184" s="17"/>
      <c r="C184" s="18"/>
      <c r="D184" s="19"/>
      <c r="E184" s="20"/>
    </row>
    <row r="185" ht="15.75" customHeight="1">
      <c r="A185" s="16"/>
      <c r="B185" s="17"/>
      <c r="C185" s="18"/>
      <c r="D185" s="19"/>
      <c r="E185" s="20"/>
    </row>
    <row r="186" ht="15.75" customHeight="1">
      <c r="A186" s="16"/>
      <c r="B186" s="17"/>
      <c r="C186" s="18"/>
      <c r="D186" s="19"/>
      <c r="E186" s="20"/>
    </row>
    <row r="187" ht="15.75" customHeight="1">
      <c r="A187" s="16"/>
      <c r="B187" s="17"/>
      <c r="C187" s="18"/>
      <c r="D187" s="19"/>
      <c r="E187" s="20"/>
    </row>
    <row r="188" ht="15.75" customHeight="1">
      <c r="A188" s="16"/>
      <c r="B188" s="17"/>
      <c r="C188" s="18"/>
      <c r="D188" s="19"/>
      <c r="E188" s="20"/>
    </row>
    <row r="189" ht="15.75" customHeight="1">
      <c r="A189" s="16"/>
      <c r="B189" s="17"/>
      <c r="C189" s="18"/>
      <c r="D189" s="19"/>
      <c r="E189" s="20"/>
    </row>
    <row r="190" ht="15.75" customHeight="1">
      <c r="A190" s="16"/>
      <c r="B190" s="17"/>
      <c r="C190" s="18"/>
      <c r="D190" s="19"/>
      <c r="E190" s="20"/>
    </row>
    <row r="191" ht="15.75" customHeight="1">
      <c r="A191" s="16"/>
      <c r="B191" s="17"/>
      <c r="C191" s="18"/>
      <c r="D191" s="19"/>
      <c r="E191" s="20"/>
    </row>
    <row r="192" ht="15.75" customHeight="1">
      <c r="A192" s="16"/>
      <c r="B192" s="17"/>
      <c r="C192" s="18"/>
      <c r="D192" s="19"/>
      <c r="E192" s="20"/>
    </row>
    <row r="193" ht="15.75" customHeight="1">
      <c r="A193" s="16"/>
      <c r="B193" s="17"/>
      <c r="C193" s="18"/>
      <c r="D193" s="19"/>
      <c r="E193" s="20"/>
    </row>
    <row r="194" ht="15.75" customHeight="1">
      <c r="A194" s="16"/>
      <c r="B194" s="17"/>
      <c r="C194" s="18"/>
      <c r="D194" s="19"/>
      <c r="E194" s="20"/>
    </row>
    <row r="195" ht="15.75" customHeight="1">
      <c r="A195" s="16"/>
      <c r="B195" s="17"/>
      <c r="C195" s="18"/>
      <c r="D195" s="19"/>
      <c r="E195" s="20"/>
    </row>
    <row r="196" ht="15.75" customHeight="1">
      <c r="A196" s="16"/>
      <c r="B196" s="17"/>
      <c r="C196" s="18"/>
      <c r="D196" s="19"/>
      <c r="E196" s="20"/>
    </row>
    <row r="197" ht="15.75" customHeight="1">
      <c r="A197" s="16"/>
      <c r="B197" s="17"/>
      <c r="C197" s="18"/>
      <c r="D197" s="19"/>
      <c r="E197" s="20"/>
    </row>
    <row r="198" ht="15.75" customHeight="1">
      <c r="A198" s="16"/>
      <c r="B198" s="17"/>
      <c r="C198" s="18"/>
      <c r="D198" s="19"/>
      <c r="E198" s="20"/>
    </row>
    <row r="199" ht="15.75" customHeight="1">
      <c r="A199" s="16"/>
      <c r="B199" s="17"/>
      <c r="C199" s="18"/>
      <c r="D199" s="19"/>
      <c r="E199" s="20"/>
    </row>
    <row r="200" ht="15.75" customHeight="1">
      <c r="A200" s="16"/>
      <c r="B200" s="17"/>
      <c r="C200" s="18"/>
      <c r="D200" s="19"/>
      <c r="E200" s="20"/>
    </row>
    <row r="201" ht="15.75" customHeight="1">
      <c r="A201" s="16"/>
      <c r="B201" s="17"/>
      <c r="C201" s="18"/>
      <c r="D201" s="19"/>
      <c r="E201" s="20"/>
    </row>
    <row r="202" ht="15.75" customHeight="1">
      <c r="A202" s="16"/>
      <c r="B202" s="17"/>
      <c r="C202" s="18"/>
      <c r="D202" s="19"/>
      <c r="E202" s="20"/>
    </row>
    <row r="203" ht="15.75" customHeight="1">
      <c r="A203" s="16"/>
      <c r="B203" s="17"/>
      <c r="C203" s="18"/>
      <c r="D203" s="19"/>
      <c r="E203" s="20"/>
    </row>
    <row r="204" ht="15.75" customHeight="1">
      <c r="A204" s="16"/>
      <c r="B204" s="17"/>
      <c r="C204" s="18"/>
      <c r="D204" s="19"/>
      <c r="E204" s="20"/>
    </row>
    <row r="205" ht="15.75" customHeight="1">
      <c r="A205" s="16"/>
      <c r="B205" s="17"/>
      <c r="C205" s="18"/>
      <c r="D205" s="19"/>
      <c r="E205" s="20"/>
    </row>
    <row r="206" ht="15.75" customHeight="1">
      <c r="A206" s="16"/>
      <c r="B206" s="17"/>
      <c r="C206" s="18"/>
      <c r="D206" s="19"/>
      <c r="E206" s="20"/>
    </row>
    <row r="207" ht="15.75" customHeight="1">
      <c r="A207" s="16"/>
      <c r="B207" s="17"/>
      <c r="C207" s="18"/>
      <c r="D207" s="19"/>
      <c r="E207" s="20"/>
    </row>
    <row r="208" ht="15.75" customHeight="1">
      <c r="A208" s="16"/>
      <c r="B208" s="17"/>
      <c r="C208" s="18"/>
      <c r="D208" s="19"/>
      <c r="E208" s="20"/>
    </row>
    <row r="209" ht="15.75" customHeight="1">
      <c r="A209" s="16"/>
      <c r="B209" s="17"/>
      <c r="C209" s="18"/>
      <c r="D209" s="19"/>
      <c r="E209" s="20"/>
    </row>
    <row r="210" ht="15.75" customHeight="1">
      <c r="A210" s="16"/>
      <c r="B210" s="17"/>
      <c r="C210" s="18"/>
      <c r="D210" s="19"/>
      <c r="E210" s="20"/>
    </row>
    <row r="211" ht="15.75" customHeight="1">
      <c r="A211" s="16"/>
      <c r="B211" s="17"/>
      <c r="C211" s="18"/>
      <c r="D211" s="19"/>
      <c r="E211" s="20"/>
    </row>
    <row r="212" ht="15.75" customHeight="1">
      <c r="A212" s="16"/>
      <c r="B212" s="17"/>
      <c r="C212" s="18"/>
      <c r="D212" s="19"/>
      <c r="E212" s="20"/>
    </row>
    <row r="213" ht="15.75" customHeight="1">
      <c r="A213" s="16"/>
      <c r="B213" s="17"/>
      <c r="C213" s="18"/>
      <c r="D213" s="19"/>
      <c r="E213" s="20"/>
    </row>
    <row r="214" ht="15.75" customHeight="1">
      <c r="A214" s="16"/>
      <c r="B214" s="17"/>
      <c r="C214" s="18"/>
      <c r="D214" s="19"/>
      <c r="E214" s="20"/>
    </row>
    <row r="215" ht="15.75" customHeight="1">
      <c r="A215" s="16"/>
      <c r="B215" s="17"/>
      <c r="C215" s="18"/>
      <c r="D215" s="19"/>
      <c r="E215" s="20"/>
    </row>
    <row r="216" ht="15.75" customHeight="1">
      <c r="A216" s="16"/>
      <c r="B216" s="17"/>
      <c r="C216" s="18"/>
      <c r="D216" s="19"/>
      <c r="E216" s="20"/>
    </row>
    <row r="217" ht="15.75" customHeight="1">
      <c r="A217" s="16"/>
      <c r="B217" s="17"/>
      <c r="C217" s="18"/>
      <c r="D217" s="19"/>
      <c r="E217" s="20"/>
    </row>
    <row r="218" ht="15.75" customHeight="1">
      <c r="A218" s="16"/>
      <c r="B218" s="17"/>
      <c r="C218" s="18"/>
      <c r="D218" s="19"/>
      <c r="E218" s="20"/>
    </row>
    <row r="219" ht="15.75" customHeight="1">
      <c r="A219" s="16"/>
      <c r="B219" s="17"/>
      <c r="C219" s="18"/>
      <c r="D219" s="19"/>
      <c r="E219" s="20"/>
    </row>
    <row r="220" ht="15.75" customHeight="1">
      <c r="A220" s="16"/>
      <c r="B220" s="17"/>
      <c r="C220" s="18"/>
      <c r="D220" s="19"/>
      <c r="E220" s="20"/>
    </row>
    <row r="221" ht="15.75" customHeight="1">
      <c r="A221" s="16"/>
      <c r="B221" s="17"/>
      <c r="C221" s="18"/>
      <c r="D221" s="19"/>
      <c r="E221" s="20"/>
    </row>
    <row r="222" ht="15.75" customHeight="1">
      <c r="A222" s="16"/>
      <c r="B222" s="17"/>
      <c r="C222" s="18"/>
      <c r="D222" s="19"/>
      <c r="E222" s="20"/>
    </row>
    <row r="223" ht="15.75" customHeight="1">
      <c r="A223" s="16"/>
      <c r="B223" s="17"/>
      <c r="C223" s="18"/>
      <c r="D223" s="19"/>
      <c r="E223" s="20"/>
    </row>
    <row r="224" ht="15.75" customHeight="1">
      <c r="A224" s="16"/>
      <c r="B224" s="17"/>
      <c r="C224" s="18"/>
      <c r="D224" s="19"/>
      <c r="E224" s="20"/>
    </row>
    <row r="225" ht="15.75" customHeight="1">
      <c r="A225" s="16"/>
      <c r="B225" s="17"/>
      <c r="C225" s="18"/>
      <c r="D225" s="19"/>
      <c r="E225" s="20"/>
    </row>
    <row r="226" ht="15.75" customHeight="1">
      <c r="A226" s="16"/>
      <c r="B226" s="17"/>
      <c r="C226" s="18"/>
      <c r="D226" s="19"/>
      <c r="E226" s="20"/>
    </row>
    <row r="227" ht="15.75" customHeight="1">
      <c r="A227" s="16"/>
      <c r="B227" s="17"/>
      <c r="C227" s="18"/>
      <c r="D227" s="19"/>
      <c r="E227" s="20"/>
    </row>
    <row r="228" ht="15.75" customHeight="1">
      <c r="A228" s="16"/>
      <c r="B228" s="17"/>
      <c r="C228" s="18"/>
      <c r="D228" s="19"/>
      <c r="E228" s="20"/>
    </row>
    <row r="229" ht="15.75" customHeight="1">
      <c r="A229" s="16"/>
      <c r="B229" s="17"/>
      <c r="C229" s="18"/>
      <c r="D229" s="19"/>
      <c r="E229" s="20"/>
    </row>
    <row r="230" ht="15.75" customHeight="1">
      <c r="A230" s="16"/>
      <c r="B230" s="17"/>
      <c r="C230" s="18"/>
      <c r="D230" s="19"/>
      <c r="E230" s="20"/>
    </row>
    <row r="231" ht="15.75" customHeight="1">
      <c r="A231" s="16"/>
      <c r="B231" s="17"/>
      <c r="C231" s="18"/>
      <c r="D231" s="19"/>
      <c r="E231" s="20"/>
    </row>
    <row r="232" ht="15.75" customHeight="1">
      <c r="A232" s="16"/>
      <c r="B232" s="17"/>
      <c r="C232" s="18"/>
      <c r="D232" s="19"/>
      <c r="E232" s="20"/>
    </row>
    <row r="233" ht="15.75" customHeight="1">
      <c r="A233" s="16"/>
      <c r="B233" s="17"/>
      <c r="C233" s="18"/>
      <c r="D233" s="19"/>
      <c r="E233" s="20"/>
    </row>
    <row r="234" ht="15.75" customHeight="1">
      <c r="A234" s="16"/>
      <c r="B234" s="17"/>
      <c r="C234" s="18"/>
      <c r="D234" s="19"/>
      <c r="E234" s="20"/>
    </row>
    <row r="235" ht="15.75" customHeight="1">
      <c r="A235" s="16"/>
      <c r="B235" s="17"/>
      <c r="C235" s="18"/>
      <c r="D235" s="19"/>
      <c r="E235" s="20"/>
    </row>
    <row r="236" ht="15.75" customHeight="1">
      <c r="A236" s="16"/>
      <c r="B236" s="17"/>
      <c r="C236" s="18"/>
      <c r="D236" s="19"/>
      <c r="E236" s="20"/>
    </row>
    <row r="237" ht="15.75" customHeight="1">
      <c r="A237" s="16"/>
      <c r="B237" s="17"/>
      <c r="C237" s="18"/>
      <c r="D237" s="19"/>
      <c r="E237" s="20"/>
    </row>
    <row r="238" ht="15.75" customHeight="1">
      <c r="A238" s="16"/>
      <c r="B238" s="17"/>
      <c r="C238" s="18"/>
      <c r="D238" s="19"/>
      <c r="E238" s="20"/>
    </row>
    <row r="239" ht="15.75" customHeight="1">
      <c r="A239" s="16"/>
      <c r="B239" s="17"/>
      <c r="C239" s="18"/>
      <c r="D239" s="19"/>
      <c r="E239" s="20"/>
    </row>
    <row r="240" ht="15.75" customHeight="1">
      <c r="A240" s="16"/>
      <c r="B240" s="17"/>
      <c r="C240" s="18"/>
      <c r="D240" s="19"/>
      <c r="E240" s="20"/>
    </row>
    <row r="241" ht="15.75" customHeight="1">
      <c r="A241" s="16"/>
      <c r="B241" s="17"/>
      <c r="C241" s="18"/>
      <c r="D241" s="19"/>
      <c r="E241" s="20"/>
    </row>
    <row r="242" ht="15.75" customHeight="1">
      <c r="A242" s="16"/>
      <c r="B242" s="17"/>
      <c r="C242" s="18"/>
      <c r="D242" s="19"/>
      <c r="E242" s="20"/>
    </row>
    <row r="243" ht="15.75" customHeight="1">
      <c r="A243" s="16"/>
      <c r="B243" s="17"/>
      <c r="C243" s="18"/>
      <c r="D243" s="19"/>
      <c r="E243" s="20"/>
    </row>
    <row r="244" ht="15.75" customHeight="1">
      <c r="A244" s="16"/>
      <c r="B244" s="17"/>
      <c r="C244" s="18"/>
      <c r="D244" s="19"/>
      <c r="E244" s="20"/>
    </row>
    <row r="245" ht="15.75" customHeight="1">
      <c r="A245" s="16"/>
      <c r="B245" s="17"/>
      <c r="C245" s="18"/>
      <c r="D245" s="19"/>
      <c r="E245" s="20"/>
    </row>
    <row r="246" ht="15.75" customHeight="1">
      <c r="A246" s="16"/>
      <c r="B246" s="17"/>
      <c r="C246" s="18"/>
      <c r="D246" s="19"/>
      <c r="E246" s="20"/>
    </row>
    <row r="247" ht="15.75" customHeight="1">
      <c r="A247" s="16"/>
      <c r="B247" s="17"/>
      <c r="C247" s="18"/>
      <c r="D247" s="19"/>
      <c r="E247" s="20"/>
    </row>
    <row r="248" ht="15.75" customHeight="1">
      <c r="A248" s="16"/>
      <c r="B248" s="17"/>
      <c r="C248" s="18"/>
      <c r="D248" s="19"/>
      <c r="E248" s="20"/>
    </row>
    <row r="249" ht="15.75" customHeight="1">
      <c r="A249" s="16"/>
      <c r="B249" s="17"/>
      <c r="C249" s="18"/>
      <c r="D249" s="19"/>
      <c r="E249" s="20"/>
    </row>
    <row r="250" ht="15.75" customHeight="1">
      <c r="A250" s="16"/>
      <c r="B250" s="17"/>
      <c r="C250" s="18"/>
      <c r="D250" s="19"/>
      <c r="E250" s="20"/>
    </row>
    <row r="251" ht="15.75" customHeight="1">
      <c r="A251" s="16"/>
      <c r="B251" s="17"/>
      <c r="C251" s="18"/>
      <c r="D251" s="19"/>
      <c r="E251" s="20"/>
    </row>
    <row r="252" ht="15.75" customHeight="1">
      <c r="A252" s="16"/>
      <c r="B252" s="17"/>
      <c r="C252" s="18"/>
      <c r="D252" s="19"/>
      <c r="E252" s="20"/>
    </row>
    <row r="253" ht="15.75" customHeight="1">
      <c r="A253" s="16"/>
      <c r="B253" s="17"/>
      <c r="C253" s="18"/>
      <c r="D253" s="19"/>
      <c r="E253" s="20"/>
    </row>
    <row r="254" ht="15.75" customHeight="1">
      <c r="A254" s="16"/>
      <c r="B254" s="17"/>
      <c r="C254" s="18"/>
      <c r="D254" s="19"/>
      <c r="E254" s="20"/>
    </row>
    <row r="255" ht="15.75" customHeight="1">
      <c r="A255" s="16"/>
      <c r="B255" s="17"/>
      <c r="C255" s="18"/>
      <c r="D255" s="19"/>
      <c r="E255" s="20"/>
    </row>
    <row r="256" ht="15.75" customHeight="1">
      <c r="A256" s="16"/>
      <c r="B256" s="17"/>
      <c r="C256" s="18"/>
      <c r="D256" s="19"/>
      <c r="E256" s="20"/>
    </row>
    <row r="257" ht="15.75" customHeight="1">
      <c r="A257" s="16"/>
      <c r="B257" s="17"/>
      <c r="C257" s="18"/>
      <c r="D257" s="19"/>
      <c r="E257" s="20"/>
    </row>
    <row r="258" ht="15.75" customHeight="1">
      <c r="A258" s="16"/>
      <c r="B258" s="17"/>
      <c r="C258" s="18"/>
      <c r="D258" s="19"/>
      <c r="E258" s="20"/>
    </row>
    <row r="259" ht="15.75" customHeight="1">
      <c r="A259" s="16"/>
      <c r="B259" s="17"/>
      <c r="C259" s="18"/>
      <c r="D259" s="19"/>
      <c r="E259" s="20"/>
    </row>
    <row r="260" ht="15.75" customHeight="1">
      <c r="A260" s="21"/>
      <c r="D260" s="22"/>
      <c r="E260" s="23"/>
    </row>
    <row r="261" ht="15.75" customHeight="1">
      <c r="A261" s="21"/>
      <c r="D261" s="22"/>
      <c r="E261" s="23"/>
    </row>
    <row r="262" ht="15.75" customHeight="1">
      <c r="A262" s="21"/>
      <c r="D262" s="22"/>
      <c r="E262" s="23"/>
    </row>
    <row r="263" ht="15.75" customHeight="1">
      <c r="A263" s="21"/>
      <c r="D263" s="22"/>
      <c r="E263" s="23"/>
    </row>
    <row r="264" ht="15.75" customHeight="1">
      <c r="A264" s="21"/>
      <c r="D264" s="22"/>
      <c r="E264" s="23"/>
    </row>
    <row r="265" ht="15.75" customHeight="1">
      <c r="A265" s="21"/>
      <c r="D265" s="22"/>
      <c r="E265" s="23"/>
    </row>
    <row r="266" ht="15.75" customHeight="1">
      <c r="A266" s="21"/>
      <c r="D266" s="22"/>
      <c r="E266" s="23"/>
    </row>
    <row r="267" ht="15.75" customHeight="1">
      <c r="A267" s="21"/>
      <c r="D267" s="22"/>
      <c r="E267" s="23"/>
    </row>
    <row r="268" ht="15.75" customHeight="1">
      <c r="A268" s="21"/>
      <c r="D268" s="22"/>
      <c r="E268" s="23"/>
    </row>
    <row r="269" ht="15.75" customHeight="1">
      <c r="A269" s="21"/>
      <c r="D269" s="22"/>
      <c r="E269" s="23"/>
    </row>
    <row r="270" ht="15.75" customHeight="1">
      <c r="A270" s="21"/>
      <c r="D270" s="22"/>
      <c r="E270" s="23"/>
    </row>
    <row r="271" ht="15.75" customHeight="1">
      <c r="A271" s="21"/>
      <c r="D271" s="22"/>
      <c r="E271" s="23"/>
    </row>
    <row r="272" ht="15.75" customHeight="1">
      <c r="A272" s="21"/>
      <c r="D272" s="22"/>
      <c r="E272" s="23"/>
    </row>
    <row r="273" ht="15.75" customHeight="1">
      <c r="A273" s="21"/>
      <c r="D273" s="22"/>
      <c r="E273" s="23"/>
    </row>
    <row r="274" ht="15.75" customHeight="1">
      <c r="A274" s="21"/>
      <c r="D274" s="22"/>
      <c r="E274" s="23"/>
    </row>
    <row r="275" ht="15.75" customHeight="1">
      <c r="A275" s="21"/>
      <c r="D275" s="22"/>
      <c r="E275" s="23"/>
    </row>
    <row r="276" ht="15.75" customHeight="1">
      <c r="A276" s="21"/>
      <c r="D276" s="22"/>
      <c r="E276" s="23"/>
    </row>
    <row r="277" ht="15.75" customHeight="1">
      <c r="A277" s="21"/>
      <c r="D277" s="22"/>
      <c r="E277" s="23"/>
    </row>
    <row r="278" ht="15.75" customHeight="1">
      <c r="A278" s="21"/>
      <c r="D278" s="22"/>
      <c r="E278" s="23"/>
    </row>
    <row r="279" ht="15.75" customHeight="1">
      <c r="A279" s="21"/>
      <c r="D279" s="22"/>
      <c r="E279" s="23"/>
    </row>
    <row r="280" ht="15.75" customHeight="1">
      <c r="A280" s="21"/>
      <c r="D280" s="22"/>
      <c r="E280" s="23"/>
    </row>
    <row r="281" ht="15.75" customHeight="1">
      <c r="A281" s="21"/>
      <c r="D281" s="22"/>
      <c r="E281" s="23"/>
    </row>
    <row r="282" ht="15.75" customHeight="1">
      <c r="A282" s="21"/>
      <c r="D282" s="22"/>
      <c r="E282" s="23"/>
    </row>
    <row r="283" ht="15.75" customHeight="1">
      <c r="A283" s="21"/>
      <c r="D283" s="22"/>
      <c r="E283" s="23"/>
    </row>
    <row r="284" ht="15.75" customHeight="1">
      <c r="A284" s="21"/>
      <c r="D284" s="22"/>
      <c r="E284" s="23"/>
    </row>
    <row r="285" ht="15.75" customHeight="1">
      <c r="A285" s="21"/>
      <c r="D285" s="22"/>
      <c r="E285" s="23"/>
    </row>
    <row r="286" ht="15.75" customHeight="1">
      <c r="A286" s="21"/>
      <c r="D286" s="22"/>
      <c r="E286" s="23"/>
    </row>
    <row r="287" ht="15.75" customHeight="1">
      <c r="A287" s="21"/>
      <c r="D287" s="22"/>
      <c r="E287" s="23"/>
    </row>
    <row r="288" ht="15.75" customHeight="1">
      <c r="A288" s="21"/>
      <c r="D288" s="22"/>
      <c r="E288" s="23"/>
    </row>
    <row r="289" ht="15.75" customHeight="1">
      <c r="A289" s="21"/>
      <c r="D289" s="22"/>
      <c r="E289" s="23"/>
    </row>
    <row r="290" ht="15.75" customHeight="1">
      <c r="A290" s="21"/>
      <c r="D290" s="22"/>
      <c r="E290" s="23"/>
    </row>
    <row r="291" ht="15.75" customHeight="1">
      <c r="A291" s="21"/>
      <c r="D291" s="22"/>
      <c r="E291" s="23"/>
    </row>
    <row r="292" ht="15.75" customHeight="1">
      <c r="A292" s="21"/>
      <c r="D292" s="22"/>
      <c r="E292" s="23"/>
    </row>
    <row r="293" ht="15.75" customHeight="1">
      <c r="A293" s="21"/>
      <c r="D293" s="22"/>
      <c r="E293" s="23"/>
    </row>
    <row r="294" ht="15.75" customHeight="1">
      <c r="A294" s="21"/>
      <c r="D294" s="22"/>
      <c r="E294" s="23"/>
    </row>
    <row r="295" ht="15.75" customHeight="1">
      <c r="A295" s="21"/>
      <c r="D295" s="22"/>
      <c r="E295" s="23"/>
    </row>
    <row r="296" ht="15.75" customHeight="1">
      <c r="A296" s="21"/>
      <c r="D296" s="22"/>
      <c r="E296" s="23"/>
    </row>
    <row r="297" ht="15.75" customHeight="1">
      <c r="A297" s="21"/>
      <c r="D297" s="22"/>
      <c r="E297" s="23"/>
    </row>
    <row r="298" ht="15.75" customHeight="1">
      <c r="A298" s="21"/>
      <c r="D298" s="22"/>
      <c r="E298" s="23"/>
    </row>
    <row r="299" ht="15.75" customHeight="1">
      <c r="A299" s="21"/>
      <c r="D299" s="22"/>
      <c r="E299" s="23"/>
    </row>
    <row r="300" ht="15.75" customHeight="1">
      <c r="A300" s="21"/>
      <c r="D300" s="22"/>
      <c r="E300" s="23"/>
    </row>
    <row r="301" ht="15.75" customHeight="1">
      <c r="A301" s="21"/>
      <c r="D301" s="22"/>
      <c r="E301" s="23"/>
    </row>
    <row r="302" ht="15.75" customHeight="1">
      <c r="A302" s="21"/>
      <c r="D302" s="22"/>
      <c r="E302" s="23"/>
    </row>
    <row r="303" ht="15.75" customHeight="1">
      <c r="A303" s="21"/>
      <c r="D303" s="22"/>
      <c r="E303" s="23"/>
    </row>
    <row r="304" ht="15.75" customHeight="1">
      <c r="A304" s="21"/>
      <c r="D304" s="22"/>
      <c r="E304" s="23"/>
    </row>
    <row r="305" ht="15.75" customHeight="1">
      <c r="A305" s="21"/>
      <c r="D305" s="22"/>
      <c r="E305" s="23"/>
    </row>
    <row r="306" ht="15.75" customHeight="1">
      <c r="A306" s="21"/>
      <c r="D306" s="22"/>
      <c r="E306" s="23"/>
    </row>
    <row r="307" ht="15.75" customHeight="1">
      <c r="A307" s="21"/>
      <c r="D307" s="22"/>
      <c r="E307" s="23"/>
    </row>
    <row r="308" ht="15.75" customHeight="1">
      <c r="A308" s="21"/>
      <c r="D308" s="22"/>
      <c r="E308" s="23"/>
    </row>
    <row r="309" ht="15.75" customHeight="1">
      <c r="A309" s="21"/>
      <c r="D309" s="22"/>
      <c r="E309" s="23"/>
    </row>
    <row r="310" ht="15.75" customHeight="1">
      <c r="A310" s="21"/>
      <c r="D310" s="22"/>
      <c r="E310" s="23"/>
    </row>
    <row r="311" ht="15.75" customHeight="1">
      <c r="A311" s="21"/>
      <c r="D311" s="22"/>
      <c r="E311" s="23"/>
    </row>
    <row r="312" ht="15.75" customHeight="1">
      <c r="A312" s="21"/>
      <c r="D312" s="22"/>
      <c r="E312" s="23"/>
    </row>
    <row r="313" ht="15.75" customHeight="1">
      <c r="A313" s="21"/>
      <c r="D313" s="22"/>
      <c r="E313" s="23"/>
    </row>
    <row r="314" ht="15.75" customHeight="1">
      <c r="A314" s="21"/>
      <c r="D314" s="22"/>
      <c r="E314" s="23"/>
    </row>
    <row r="315" ht="15.75" customHeight="1">
      <c r="A315" s="21"/>
      <c r="D315" s="22"/>
      <c r="E315" s="23"/>
    </row>
    <row r="316" ht="15.75" customHeight="1">
      <c r="A316" s="21"/>
      <c r="D316" s="22"/>
      <c r="E316" s="23"/>
    </row>
    <row r="317" ht="15.75" customHeight="1">
      <c r="A317" s="21"/>
      <c r="D317" s="22"/>
      <c r="E317" s="23"/>
    </row>
    <row r="318" ht="15.75" customHeight="1">
      <c r="A318" s="21"/>
      <c r="D318" s="22"/>
      <c r="E318" s="23"/>
    </row>
    <row r="319" ht="15.75" customHeight="1">
      <c r="A319" s="21"/>
      <c r="D319" s="22"/>
      <c r="E319" s="23"/>
    </row>
    <row r="320" ht="15.75" customHeight="1">
      <c r="A320" s="21"/>
      <c r="D320" s="22"/>
      <c r="E320" s="23"/>
    </row>
    <row r="321" ht="15.75" customHeight="1">
      <c r="A321" s="21"/>
      <c r="D321" s="22"/>
      <c r="E321" s="23"/>
    </row>
    <row r="322" ht="15.75" customHeight="1">
      <c r="A322" s="21"/>
      <c r="D322" s="22"/>
      <c r="E322" s="23"/>
    </row>
    <row r="323" ht="15.75" customHeight="1">
      <c r="A323" s="21"/>
      <c r="D323" s="22"/>
      <c r="E323" s="23"/>
    </row>
    <row r="324" ht="15.75" customHeight="1">
      <c r="A324" s="21"/>
      <c r="D324" s="22"/>
      <c r="E324" s="23"/>
    </row>
    <row r="325" ht="15.75" customHeight="1">
      <c r="A325" s="21"/>
      <c r="D325" s="22"/>
      <c r="E325" s="23"/>
    </row>
    <row r="326" ht="15.75" customHeight="1">
      <c r="A326" s="21"/>
      <c r="D326" s="22"/>
      <c r="E326" s="23"/>
    </row>
    <row r="327" ht="15.75" customHeight="1">
      <c r="A327" s="21"/>
      <c r="D327" s="22"/>
      <c r="E327" s="23"/>
    </row>
    <row r="328" ht="15.75" customHeight="1">
      <c r="A328" s="21"/>
      <c r="D328" s="22"/>
      <c r="E328" s="23"/>
    </row>
    <row r="329" ht="15.75" customHeight="1">
      <c r="A329" s="21"/>
      <c r="D329" s="22"/>
      <c r="E329" s="23"/>
    </row>
    <row r="330" ht="15.75" customHeight="1">
      <c r="A330" s="21"/>
      <c r="D330" s="22"/>
      <c r="E330" s="23"/>
    </row>
    <row r="331" ht="15.75" customHeight="1">
      <c r="A331" s="21"/>
      <c r="D331" s="22"/>
      <c r="E331" s="23"/>
    </row>
    <row r="332" ht="15.75" customHeight="1">
      <c r="A332" s="21"/>
      <c r="D332" s="22"/>
      <c r="E332" s="23"/>
    </row>
    <row r="333" ht="15.75" customHeight="1">
      <c r="A333" s="21"/>
      <c r="D333" s="22"/>
      <c r="E333" s="23"/>
    </row>
    <row r="334" ht="15.75" customHeight="1">
      <c r="A334" s="21"/>
      <c r="D334" s="22"/>
      <c r="E334" s="23"/>
    </row>
    <row r="335" ht="15.75" customHeight="1">
      <c r="A335" s="21"/>
      <c r="D335" s="22"/>
      <c r="E335" s="23"/>
    </row>
    <row r="336" ht="15.75" customHeight="1">
      <c r="A336" s="21"/>
      <c r="D336" s="22"/>
      <c r="E336" s="23"/>
    </row>
    <row r="337" ht="15.75" customHeight="1">
      <c r="A337" s="21"/>
      <c r="D337" s="22"/>
      <c r="E337" s="23"/>
    </row>
    <row r="338" ht="15.75" customHeight="1">
      <c r="A338" s="21"/>
      <c r="D338" s="22"/>
      <c r="E338" s="23"/>
    </row>
    <row r="339" ht="15.75" customHeight="1">
      <c r="A339" s="21"/>
      <c r="D339" s="22"/>
      <c r="E339" s="23"/>
    </row>
    <row r="340" ht="15.75" customHeight="1">
      <c r="A340" s="21"/>
      <c r="D340" s="22"/>
      <c r="E340" s="23"/>
    </row>
    <row r="341" ht="15.75" customHeight="1">
      <c r="A341" s="21"/>
      <c r="D341" s="22"/>
      <c r="E341" s="23"/>
    </row>
    <row r="342" ht="15.75" customHeight="1">
      <c r="A342" s="21"/>
      <c r="D342" s="22"/>
      <c r="E342" s="23"/>
    </row>
    <row r="343" ht="15.75" customHeight="1">
      <c r="A343" s="21"/>
      <c r="D343" s="22"/>
      <c r="E343" s="23"/>
    </row>
    <row r="344" ht="15.75" customHeight="1">
      <c r="A344" s="21"/>
      <c r="D344" s="22"/>
      <c r="E344" s="23"/>
    </row>
    <row r="345" ht="15.75" customHeight="1">
      <c r="A345" s="21"/>
      <c r="D345" s="22"/>
      <c r="E345" s="23"/>
    </row>
    <row r="346" ht="15.75" customHeight="1">
      <c r="A346" s="21"/>
      <c r="D346" s="22"/>
      <c r="E346" s="23"/>
    </row>
    <row r="347" ht="15.75" customHeight="1">
      <c r="A347" s="21"/>
      <c r="D347" s="22"/>
      <c r="E347" s="23"/>
    </row>
    <row r="348" ht="15.75" customHeight="1">
      <c r="A348" s="21"/>
      <c r="D348" s="22"/>
      <c r="E348" s="23"/>
    </row>
    <row r="349" ht="15.75" customHeight="1">
      <c r="A349" s="21"/>
      <c r="D349" s="22"/>
      <c r="E349" s="23"/>
    </row>
    <row r="350" ht="15.75" customHeight="1">
      <c r="A350" s="21"/>
      <c r="D350" s="22"/>
      <c r="E350" s="23"/>
    </row>
    <row r="351" ht="15.75" customHeight="1">
      <c r="A351" s="21"/>
      <c r="D351" s="22"/>
      <c r="E351" s="23"/>
    </row>
    <row r="352" ht="15.75" customHeight="1">
      <c r="A352" s="21"/>
      <c r="D352" s="22"/>
      <c r="E352" s="23"/>
    </row>
    <row r="353" ht="15.75" customHeight="1">
      <c r="A353" s="21"/>
      <c r="D353" s="22"/>
      <c r="E353" s="23"/>
    </row>
    <row r="354" ht="15.75" customHeight="1">
      <c r="A354" s="21"/>
      <c r="D354" s="22"/>
      <c r="E354" s="23"/>
    </row>
    <row r="355" ht="15.75" customHeight="1">
      <c r="A355" s="21"/>
      <c r="D355" s="22"/>
      <c r="E355" s="23"/>
    </row>
    <row r="356" ht="15.75" customHeight="1">
      <c r="A356" s="21"/>
      <c r="D356" s="22"/>
      <c r="E356" s="23"/>
    </row>
    <row r="357" ht="15.75" customHeight="1">
      <c r="A357" s="21"/>
      <c r="D357" s="22"/>
      <c r="E357" s="23"/>
    </row>
    <row r="358" ht="15.75" customHeight="1">
      <c r="A358" s="21"/>
      <c r="D358" s="22"/>
      <c r="E358" s="23"/>
    </row>
    <row r="359" ht="15.75" customHeight="1">
      <c r="A359" s="21"/>
      <c r="D359" s="22"/>
      <c r="E359" s="23"/>
    </row>
    <row r="360" ht="15.75" customHeight="1">
      <c r="A360" s="21"/>
      <c r="D360" s="22"/>
      <c r="E360" s="23"/>
    </row>
    <row r="361" ht="15.75" customHeight="1">
      <c r="A361" s="21"/>
      <c r="D361" s="22"/>
      <c r="E361" s="23"/>
    </row>
    <row r="362" ht="15.75" customHeight="1">
      <c r="A362" s="21"/>
      <c r="D362" s="22"/>
      <c r="E362" s="23"/>
    </row>
    <row r="363" ht="15.75" customHeight="1">
      <c r="A363" s="21"/>
      <c r="D363" s="22"/>
      <c r="E363" s="23"/>
    </row>
    <row r="364" ht="15.75" customHeight="1">
      <c r="A364" s="21"/>
      <c r="D364" s="22"/>
      <c r="E364" s="23"/>
    </row>
    <row r="365" ht="15.75" customHeight="1">
      <c r="A365" s="21"/>
      <c r="D365" s="22"/>
      <c r="E365" s="23"/>
    </row>
    <row r="366" ht="15.75" customHeight="1">
      <c r="A366" s="21"/>
      <c r="D366" s="22"/>
      <c r="E366" s="23"/>
    </row>
    <row r="367" ht="15.75" customHeight="1">
      <c r="A367" s="21"/>
      <c r="D367" s="22"/>
      <c r="E367" s="23"/>
    </row>
    <row r="368" ht="15.75" customHeight="1">
      <c r="A368" s="21"/>
      <c r="D368" s="22"/>
      <c r="E368" s="23"/>
    </row>
    <row r="369" ht="15.75" customHeight="1">
      <c r="A369" s="21"/>
      <c r="D369" s="22"/>
      <c r="E369" s="23"/>
    </row>
    <row r="370" ht="15.75" customHeight="1">
      <c r="A370" s="21"/>
      <c r="D370" s="22"/>
      <c r="E370" s="23"/>
    </row>
    <row r="371" ht="15.75" customHeight="1">
      <c r="A371" s="21"/>
      <c r="D371" s="22"/>
      <c r="E371" s="23"/>
    </row>
    <row r="372" ht="15.75" customHeight="1">
      <c r="A372" s="21"/>
      <c r="D372" s="22"/>
      <c r="E372" s="23"/>
    </row>
    <row r="373" ht="15.75" customHeight="1">
      <c r="A373" s="21"/>
      <c r="D373" s="22"/>
      <c r="E373" s="23"/>
    </row>
    <row r="374" ht="15.75" customHeight="1">
      <c r="A374" s="21"/>
      <c r="D374" s="22"/>
      <c r="E374" s="23"/>
    </row>
    <row r="375" ht="15.75" customHeight="1">
      <c r="A375" s="21"/>
      <c r="D375" s="22"/>
      <c r="E375" s="23"/>
    </row>
    <row r="376" ht="15.75" customHeight="1">
      <c r="A376" s="21"/>
      <c r="D376" s="22"/>
      <c r="E376" s="23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0:D10"/>
    <mergeCell ref="A11:A15"/>
    <mergeCell ref="B11:D15"/>
    <mergeCell ref="E11:E15"/>
    <mergeCell ref="B16:D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4"/>
      <c r="B1" s="25" t="s">
        <v>2</v>
      </c>
      <c r="C1" s="25" t="s">
        <v>3</v>
      </c>
      <c r="D1" s="25">
        <f>+971506570595</f>
        <v>971506570595</v>
      </c>
      <c r="E1" s="25" t="s">
        <v>4</v>
      </c>
      <c r="F1" s="26" t="s">
        <v>5</v>
      </c>
      <c r="G1" s="25" t="s">
        <v>6</v>
      </c>
      <c r="H1" s="25" t="s">
        <v>6</v>
      </c>
    </row>
    <row r="2" ht="15.75" customHeight="1">
      <c r="A2" s="27"/>
      <c r="B2" s="28" t="s">
        <v>7</v>
      </c>
      <c r="C2" s="28" t="s">
        <v>8</v>
      </c>
      <c r="D2" s="28">
        <f>+4915158920368</f>
        <v>4915158920368</v>
      </c>
      <c r="E2" s="28" t="s">
        <v>9</v>
      </c>
      <c r="F2" s="29" t="s">
        <v>9</v>
      </c>
      <c r="G2" s="28" t="s">
        <v>6</v>
      </c>
      <c r="H2" s="28" t="s">
        <v>6</v>
      </c>
    </row>
    <row r="3" ht="15.75" customHeight="1">
      <c r="A3" s="27"/>
      <c r="B3" s="28" t="s">
        <v>10</v>
      </c>
      <c r="C3" s="28" t="s">
        <v>11</v>
      </c>
      <c r="D3" s="28">
        <f>+9710506800295</f>
        <v>9710506800295</v>
      </c>
      <c r="E3" s="28" t="s">
        <v>12</v>
      </c>
      <c r="F3" s="30"/>
      <c r="G3" s="28" t="s">
        <v>6</v>
      </c>
      <c r="H3" s="30"/>
    </row>
    <row r="4" ht="15.75" customHeight="1">
      <c r="A4" s="27"/>
      <c r="B4" s="28" t="s">
        <v>13</v>
      </c>
      <c r="C4" s="28" t="s">
        <v>14</v>
      </c>
      <c r="D4" s="28">
        <f>+971503834121</f>
        <v>971503834121</v>
      </c>
      <c r="E4" s="28" t="s">
        <v>9</v>
      </c>
      <c r="F4" s="30"/>
      <c r="G4" s="28" t="s">
        <v>6</v>
      </c>
      <c r="H4" s="30"/>
    </row>
    <row r="5" ht="15.75" customHeight="1">
      <c r="A5" s="27"/>
      <c r="B5" s="28" t="s">
        <v>15</v>
      </c>
      <c r="C5" s="28" t="s">
        <v>16</v>
      </c>
      <c r="D5" s="28">
        <f>+971505546186</f>
        <v>971505546186</v>
      </c>
      <c r="E5" s="28" t="s">
        <v>12</v>
      </c>
      <c r="F5" s="30"/>
      <c r="G5" s="28" t="s">
        <v>6</v>
      </c>
      <c r="H5" s="30"/>
    </row>
    <row r="6" ht="15.75" customHeight="1">
      <c r="A6" s="27"/>
      <c r="B6" s="28" t="s">
        <v>17</v>
      </c>
      <c r="C6" s="28" t="s">
        <v>18</v>
      </c>
      <c r="D6" s="28">
        <f>+966504896713</f>
        <v>966504896713</v>
      </c>
      <c r="E6" s="28" t="s">
        <v>12</v>
      </c>
      <c r="F6" s="30"/>
      <c r="G6" s="28" t="s">
        <v>6</v>
      </c>
      <c r="H6" s="30"/>
    </row>
    <row r="7" ht="15.75" customHeight="1">
      <c r="A7" s="27"/>
      <c r="B7" s="28" t="s">
        <v>19</v>
      </c>
      <c r="C7" s="28" t="s">
        <v>20</v>
      </c>
      <c r="D7" s="28">
        <f>+971521053550</f>
        <v>971521053550</v>
      </c>
      <c r="E7" s="30"/>
      <c r="F7" s="29" t="s">
        <v>21</v>
      </c>
      <c r="G7" s="28" t="s">
        <v>6</v>
      </c>
      <c r="H7" s="30"/>
    </row>
    <row r="8" ht="15.75" customHeight="1">
      <c r="A8" s="27"/>
      <c r="B8" s="28" t="s">
        <v>22</v>
      </c>
      <c r="C8" s="28" t="s">
        <v>23</v>
      </c>
      <c r="D8" s="28">
        <f>+491743533633</f>
        <v>491743533633</v>
      </c>
      <c r="E8" s="30"/>
      <c r="F8" s="29" t="s">
        <v>24</v>
      </c>
      <c r="G8" s="28" t="s">
        <v>6</v>
      </c>
      <c r="H8" s="30"/>
    </row>
    <row r="9" ht="15.75" customHeight="1">
      <c r="A9" s="27"/>
      <c r="B9" s="28" t="s">
        <v>25</v>
      </c>
      <c r="C9" s="28" t="s">
        <v>26</v>
      </c>
      <c r="D9" s="28">
        <f>+966555655305</f>
        <v>966555655305</v>
      </c>
      <c r="E9" s="28" t="s">
        <v>12</v>
      </c>
      <c r="F9" s="30"/>
      <c r="G9" s="28" t="s">
        <v>6</v>
      </c>
      <c r="H9" s="28" t="s">
        <v>6</v>
      </c>
    </row>
    <row r="10" ht="15.75" customHeight="1">
      <c r="A10" s="27"/>
      <c r="B10" s="28" t="s">
        <v>27</v>
      </c>
      <c r="C10" s="28" t="s">
        <v>28</v>
      </c>
      <c r="D10" s="28">
        <f>+923212555253</f>
        <v>923212555253</v>
      </c>
      <c r="E10" s="28" t="s">
        <v>12</v>
      </c>
      <c r="F10" s="30"/>
      <c r="G10" s="28" t="s">
        <v>6</v>
      </c>
      <c r="H10" s="28" t="s">
        <v>6</v>
      </c>
    </row>
    <row r="11" ht="15.75" customHeight="1">
      <c r="A11" s="27"/>
      <c r="B11" s="28" t="s">
        <v>29</v>
      </c>
      <c r="C11" s="28" t="s">
        <v>30</v>
      </c>
      <c r="D11" s="28">
        <f>+971504210077</f>
        <v>971504210077</v>
      </c>
      <c r="E11" s="30"/>
      <c r="F11" s="30"/>
      <c r="G11" s="28" t="s">
        <v>6</v>
      </c>
      <c r="H11" s="28" t="s">
        <v>6</v>
      </c>
    </row>
    <row r="12" ht="15.75" customHeight="1">
      <c r="A12" s="27"/>
      <c r="B12" s="28" t="s">
        <v>31</v>
      </c>
      <c r="C12" s="28" t="s">
        <v>32</v>
      </c>
      <c r="D12" s="28">
        <f>+971528949995</f>
        <v>971528949995</v>
      </c>
      <c r="E12" s="28" t="s">
        <v>9</v>
      </c>
      <c r="F12" s="30"/>
      <c r="G12" s="28" t="s">
        <v>6</v>
      </c>
      <c r="H12" s="28" t="s">
        <v>6</v>
      </c>
    </row>
    <row r="13" ht="15.75" customHeight="1">
      <c r="A13" s="27"/>
      <c r="B13" s="28" t="s">
        <v>33</v>
      </c>
      <c r="C13" s="28" t="s">
        <v>34</v>
      </c>
      <c r="D13" s="28">
        <f>+971552276699</f>
        <v>971552276699</v>
      </c>
      <c r="E13" s="28" t="s">
        <v>9</v>
      </c>
      <c r="F13" s="30"/>
      <c r="G13" s="28" t="s">
        <v>6</v>
      </c>
      <c r="H13" s="28" t="s">
        <v>6</v>
      </c>
    </row>
    <row r="14" ht="15.75" customHeight="1">
      <c r="A14" s="27"/>
      <c r="B14" s="28" t="s">
        <v>35</v>
      </c>
      <c r="C14" s="28" t="s">
        <v>36</v>
      </c>
      <c r="D14" s="28">
        <f>+971506567144</f>
        <v>971506567144</v>
      </c>
      <c r="E14" s="28" t="s">
        <v>9</v>
      </c>
      <c r="F14" s="30"/>
      <c r="G14" s="28" t="s">
        <v>6</v>
      </c>
      <c r="H14" s="28" t="s">
        <v>6</v>
      </c>
    </row>
    <row r="15" ht="15.75" customHeight="1">
      <c r="A15" s="27"/>
      <c r="B15" s="28" t="s">
        <v>37</v>
      </c>
      <c r="C15" s="28" t="s">
        <v>38</v>
      </c>
      <c r="D15" s="28">
        <f>+971503511453</f>
        <v>971503511453</v>
      </c>
      <c r="E15" s="28" t="s">
        <v>9</v>
      </c>
      <c r="F15" s="30"/>
      <c r="G15" s="28" t="s">
        <v>6</v>
      </c>
      <c r="H15" s="28" t="s">
        <v>6</v>
      </c>
    </row>
    <row r="16" ht="15.75" customHeight="1">
      <c r="A16" s="27"/>
      <c r="B16" s="28" t="s">
        <v>39</v>
      </c>
      <c r="C16" s="28" t="s">
        <v>40</v>
      </c>
      <c r="D16" s="28">
        <f>+966599999999</f>
        <v>966599999999</v>
      </c>
      <c r="E16" s="28" t="s">
        <v>12</v>
      </c>
      <c r="F16" s="30"/>
      <c r="G16" s="28" t="s">
        <v>6</v>
      </c>
      <c r="H16" s="28" t="s">
        <v>6</v>
      </c>
    </row>
    <row r="17" ht="15.75" customHeight="1">
      <c r="A17" s="27"/>
      <c r="B17" s="28" t="s">
        <v>41</v>
      </c>
      <c r="C17" s="28" t="s">
        <v>42</v>
      </c>
      <c r="D17" s="28">
        <f>+966532975481</f>
        <v>966532975481</v>
      </c>
      <c r="E17" s="28" t="s">
        <v>12</v>
      </c>
      <c r="F17" s="30"/>
      <c r="G17" s="28" t="s">
        <v>6</v>
      </c>
      <c r="H17" s="28" t="s">
        <v>6</v>
      </c>
    </row>
    <row r="18" ht="15.75" customHeight="1">
      <c r="A18" s="27"/>
      <c r="B18" s="28" t="s">
        <v>43</v>
      </c>
      <c r="C18" s="28" t="s">
        <v>44</v>
      </c>
      <c r="D18" s="28">
        <f>+971556303385</f>
        <v>971556303385</v>
      </c>
      <c r="E18" s="28" t="s">
        <v>9</v>
      </c>
      <c r="F18" s="30"/>
      <c r="G18" s="28" t="s">
        <v>6</v>
      </c>
      <c r="H18" s="28" t="s">
        <v>6</v>
      </c>
    </row>
    <row r="19" ht="15.75" customHeight="1">
      <c r="A19" s="27"/>
      <c r="B19" s="28" t="s">
        <v>45</v>
      </c>
      <c r="C19" s="28" t="s">
        <v>46</v>
      </c>
      <c r="D19" s="28">
        <f>+971553890949</f>
        <v>971553890949</v>
      </c>
      <c r="E19" s="28" t="s">
        <v>9</v>
      </c>
      <c r="F19" s="30"/>
      <c r="G19" s="28" t="s">
        <v>6</v>
      </c>
      <c r="H19" s="28" t="s">
        <v>6</v>
      </c>
    </row>
    <row r="20" ht="15.75" customHeight="1">
      <c r="A20" s="27"/>
      <c r="B20" s="28" t="s">
        <v>47</v>
      </c>
      <c r="C20" s="28" t="s">
        <v>48</v>
      </c>
      <c r="D20" s="28">
        <f>+8618917937363</f>
        <v>8618917937363</v>
      </c>
      <c r="E20" s="28" t="s">
        <v>9</v>
      </c>
      <c r="F20" s="30"/>
      <c r="G20" s="28" t="s">
        <v>6</v>
      </c>
      <c r="H20" s="28" t="s">
        <v>49</v>
      </c>
    </row>
    <row r="21" ht="15.75" customHeight="1">
      <c r="A21" s="27"/>
      <c r="B21" s="28" t="s">
        <v>50</v>
      </c>
      <c r="C21" s="28" t="s">
        <v>51</v>
      </c>
      <c r="D21" s="28">
        <f>+966503421369</f>
        <v>966503421369</v>
      </c>
      <c r="E21" s="28" t="s">
        <v>12</v>
      </c>
      <c r="F21" s="30"/>
      <c r="G21" s="28" t="s">
        <v>6</v>
      </c>
      <c r="H21" s="28" t="s">
        <v>6</v>
      </c>
    </row>
    <row r="22" ht="15.75" customHeight="1">
      <c r="A22" s="27"/>
      <c r="B22" s="28" t="s">
        <v>52</v>
      </c>
      <c r="C22" s="28" t="s">
        <v>53</v>
      </c>
      <c r="D22" s="28">
        <f>+966544400980</f>
        <v>966544400980</v>
      </c>
      <c r="E22" s="28" t="s">
        <v>12</v>
      </c>
      <c r="F22" s="30"/>
      <c r="G22" s="28" t="s">
        <v>6</v>
      </c>
      <c r="H22" s="28" t="s">
        <v>6</v>
      </c>
    </row>
    <row r="23" ht="15.75" customHeight="1">
      <c r="A23" s="27"/>
      <c r="B23" s="28" t="s">
        <v>54</v>
      </c>
      <c r="C23" s="28" t="s">
        <v>55</v>
      </c>
      <c r="D23" s="28">
        <f>+966504486500</f>
        <v>966504486500</v>
      </c>
      <c r="E23" s="28" t="s">
        <v>9</v>
      </c>
      <c r="F23" s="30"/>
      <c r="G23" s="28" t="s">
        <v>6</v>
      </c>
      <c r="H23" s="28" t="s">
        <v>6</v>
      </c>
    </row>
    <row r="24" ht="15.75" customHeight="1">
      <c r="A24" s="27"/>
      <c r="B24" s="28" t="s">
        <v>56</v>
      </c>
      <c r="C24" s="28" t="s">
        <v>57</v>
      </c>
      <c r="D24" s="28">
        <f>+6588214909</f>
        <v>6588214909</v>
      </c>
      <c r="E24" s="28" t="s">
        <v>9</v>
      </c>
      <c r="F24" s="30"/>
      <c r="G24" s="28" t="s">
        <v>6</v>
      </c>
      <c r="H24" s="28" t="s">
        <v>6</v>
      </c>
    </row>
    <row r="25" ht="15.75" customHeight="1">
      <c r="A25" s="27"/>
      <c r="B25" s="28" t="s">
        <v>58</v>
      </c>
      <c r="C25" s="28" t="s">
        <v>59</v>
      </c>
      <c r="D25" s="28">
        <f>+9710556269025</f>
        <v>9710556269025</v>
      </c>
      <c r="E25" s="28" t="s">
        <v>9</v>
      </c>
      <c r="F25" s="30"/>
      <c r="G25" s="28" t="s">
        <v>6</v>
      </c>
      <c r="H25" s="28" t="s">
        <v>6</v>
      </c>
    </row>
    <row r="26" ht="15.75" customHeight="1">
      <c r="A26" s="27"/>
      <c r="B26" s="28" t="s">
        <v>60</v>
      </c>
      <c r="C26" s="28" t="s">
        <v>61</v>
      </c>
      <c r="D26" s="28">
        <f>+971562125208</f>
        <v>971562125208</v>
      </c>
      <c r="E26" s="28" t="s">
        <v>9</v>
      </c>
      <c r="F26" s="30"/>
      <c r="G26" s="28" t="s">
        <v>6</v>
      </c>
      <c r="H26" s="28" t="s">
        <v>6</v>
      </c>
    </row>
    <row r="27" ht="15.75" customHeight="1">
      <c r="A27" s="27"/>
      <c r="B27" s="28" t="s">
        <v>62</v>
      </c>
      <c r="C27" s="28" t="s">
        <v>63</v>
      </c>
      <c r="D27" s="28">
        <f>+971557701621</f>
        <v>971557701621</v>
      </c>
      <c r="E27" s="28" t="s">
        <v>9</v>
      </c>
      <c r="F27" s="30"/>
      <c r="G27" s="28" t="s">
        <v>6</v>
      </c>
      <c r="H27" s="28" t="s">
        <v>6</v>
      </c>
    </row>
    <row r="28" ht="15.75" customHeight="1">
      <c r="A28" s="27"/>
      <c r="B28" s="28" t="s">
        <v>64</v>
      </c>
      <c r="C28" s="28" t="s">
        <v>65</v>
      </c>
      <c r="D28" s="28">
        <f>+96892921091</f>
        <v>96892921091</v>
      </c>
      <c r="E28" s="28" t="s">
        <v>9</v>
      </c>
      <c r="F28" s="30"/>
      <c r="G28" s="28" t="s">
        <v>6</v>
      </c>
      <c r="H28" s="28" t="s">
        <v>6</v>
      </c>
    </row>
    <row r="29" ht="15.75" customHeight="1">
      <c r="A29" s="27"/>
      <c r="B29" s="28" t="s">
        <v>66</v>
      </c>
      <c r="C29" s="28" t="s">
        <v>67</v>
      </c>
      <c r="D29" s="28">
        <f>+971502147419</f>
        <v>971502147419</v>
      </c>
      <c r="E29" s="28" t="s">
        <v>9</v>
      </c>
      <c r="F29" s="30"/>
      <c r="G29" s="28" t="s">
        <v>6</v>
      </c>
      <c r="H29" s="28" t="s">
        <v>6</v>
      </c>
    </row>
    <row r="30" ht="15.75" customHeight="1">
      <c r="A30" s="27"/>
      <c r="B30" s="28" t="s">
        <v>68</v>
      </c>
      <c r="C30" s="28" t="s">
        <v>69</v>
      </c>
      <c r="D30" s="28">
        <f>+9710528482911</f>
        <v>9710528482911</v>
      </c>
      <c r="E30" s="28" t="s">
        <v>12</v>
      </c>
      <c r="F30" s="30"/>
      <c r="G30" s="28" t="s">
        <v>6</v>
      </c>
      <c r="H30" s="28" t="s">
        <v>6</v>
      </c>
    </row>
    <row r="31" ht="15.75" customHeight="1">
      <c r="A31" s="27"/>
      <c r="B31" s="28" t="s">
        <v>70</v>
      </c>
      <c r="C31" s="28" t="s">
        <v>71</v>
      </c>
      <c r="D31" s="28">
        <f>+971528490019</f>
        <v>971528490019</v>
      </c>
      <c r="E31" s="28" t="s">
        <v>9</v>
      </c>
      <c r="F31" s="30"/>
      <c r="G31" s="28" t="s">
        <v>6</v>
      </c>
      <c r="H31" s="28" t="s">
        <v>6</v>
      </c>
    </row>
    <row r="32" ht="15.75" customHeight="1">
      <c r="A32" s="27"/>
      <c r="B32" s="28" t="s">
        <v>72</v>
      </c>
      <c r="C32" s="28" t="s">
        <v>73</v>
      </c>
      <c r="D32" s="28">
        <f>+971553931122</f>
        <v>971553931122</v>
      </c>
      <c r="E32" s="28" t="s">
        <v>9</v>
      </c>
      <c r="F32" s="30"/>
      <c r="G32" s="28" t="s">
        <v>6</v>
      </c>
      <c r="H32" s="28" t="s">
        <v>6</v>
      </c>
    </row>
    <row r="33" ht="15.75" customHeight="1">
      <c r="A33" s="27"/>
      <c r="B33" s="28" t="s">
        <v>74</v>
      </c>
      <c r="C33" s="28" t="s">
        <v>75</v>
      </c>
      <c r="D33" s="28">
        <f>+966502382644</f>
        <v>966502382644</v>
      </c>
      <c r="E33" s="28" t="s">
        <v>9</v>
      </c>
      <c r="F33" s="30"/>
      <c r="G33" s="28" t="s">
        <v>6</v>
      </c>
      <c r="H33" s="28" t="s">
        <v>6</v>
      </c>
    </row>
    <row r="34" ht="15.75" customHeight="1">
      <c r="A34" s="27"/>
      <c r="B34" s="28" t="s">
        <v>76</v>
      </c>
      <c r="C34" s="28" t="s">
        <v>77</v>
      </c>
      <c r="D34" s="28">
        <f>+966590010010</f>
        <v>966590010010</v>
      </c>
      <c r="E34" s="28" t="s">
        <v>9</v>
      </c>
      <c r="F34" s="30"/>
      <c r="G34" s="28" t="s">
        <v>6</v>
      </c>
      <c r="H34" s="28" t="s">
        <v>6</v>
      </c>
    </row>
    <row r="35" ht="15.75" customHeight="1">
      <c r="A35" s="27"/>
      <c r="B35" s="28" t="s">
        <v>78</v>
      </c>
      <c r="C35" s="28" t="s">
        <v>79</v>
      </c>
      <c r="D35" s="28">
        <f>+971505270705</f>
        <v>971505270705</v>
      </c>
      <c r="E35" s="28" t="s">
        <v>9</v>
      </c>
      <c r="F35" s="30"/>
      <c r="G35" s="28" t="s">
        <v>6</v>
      </c>
      <c r="H35" s="28" t="s">
        <v>6</v>
      </c>
    </row>
    <row r="36" ht="15.75" customHeight="1">
      <c r="A36" s="27"/>
      <c r="B36" s="28" t="s">
        <v>80</v>
      </c>
      <c r="C36" s="28" t="s">
        <v>81</v>
      </c>
      <c r="D36" s="28">
        <f>+971528113128</f>
        <v>971528113128</v>
      </c>
      <c r="E36" s="28" t="s">
        <v>9</v>
      </c>
      <c r="F36" s="30"/>
      <c r="G36" s="28" t="s">
        <v>6</v>
      </c>
      <c r="H36" s="28" t="s">
        <v>6</v>
      </c>
    </row>
    <row r="37" ht="15.75" customHeight="1">
      <c r="A37" s="27"/>
      <c r="B37" s="28" t="s">
        <v>82</v>
      </c>
      <c r="C37" s="28" t="s">
        <v>83</v>
      </c>
      <c r="D37" s="28">
        <f>+971507625003</f>
        <v>971507625003</v>
      </c>
      <c r="E37" s="30"/>
      <c r="F37" s="30"/>
      <c r="G37" s="28" t="s">
        <v>6</v>
      </c>
      <c r="H37" s="28" t="s">
        <v>6</v>
      </c>
    </row>
    <row r="38" ht="15.75" customHeight="1">
      <c r="A38" s="27"/>
      <c r="B38" s="28" t="s">
        <v>84</v>
      </c>
      <c r="C38" s="28" t="s">
        <v>85</v>
      </c>
      <c r="D38" s="28">
        <f>+966534627948</f>
        <v>966534627948</v>
      </c>
      <c r="E38" s="28" t="s">
        <v>9</v>
      </c>
      <c r="F38" s="30"/>
      <c r="G38" s="28" t="s">
        <v>6</v>
      </c>
      <c r="H38" s="28" t="s">
        <v>6</v>
      </c>
    </row>
    <row r="39" ht="15.75" customHeight="1">
      <c r="A39" s="27"/>
      <c r="B39" s="28" t="s">
        <v>86</v>
      </c>
      <c r="C39" s="28" t="s">
        <v>87</v>
      </c>
      <c r="D39" s="28">
        <f>+9660505891397</f>
        <v>9660505891397</v>
      </c>
      <c r="E39" s="28" t="s">
        <v>9</v>
      </c>
      <c r="F39" s="30"/>
      <c r="G39" s="28" t="s">
        <v>6</v>
      </c>
      <c r="H39" s="28" t="s">
        <v>6</v>
      </c>
    </row>
    <row r="40" ht="15.75" customHeight="1">
      <c r="A40" s="27"/>
      <c r="B40" s="28" t="s">
        <v>88</v>
      </c>
      <c r="C40" s="28" t="s">
        <v>89</v>
      </c>
      <c r="D40" s="28">
        <f>+966565964033</f>
        <v>966565964033</v>
      </c>
      <c r="E40" s="28" t="s">
        <v>9</v>
      </c>
      <c r="F40" s="30"/>
      <c r="G40" s="28" t="s">
        <v>6</v>
      </c>
      <c r="H40" s="30"/>
    </row>
    <row r="41" ht="15.75" customHeight="1">
      <c r="A41" s="27"/>
      <c r="B41" s="28" t="s">
        <v>90</v>
      </c>
      <c r="C41" s="28" t="s">
        <v>91</v>
      </c>
      <c r="D41" s="28">
        <f>+9710502114224</f>
        <v>9710502114224</v>
      </c>
      <c r="E41" s="28" t="s">
        <v>12</v>
      </c>
      <c r="F41" s="30"/>
      <c r="G41" s="28" t="s">
        <v>6</v>
      </c>
      <c r="H41" s="30"/>
    </row>
    <row r="42" ht="15.75" customHeight="1">
      <c r="A42" s="27"/>
      <c r="B42" s="28" t="s">
        <v>92</v>
      </c>
      <c r="C42" s="28" t="s">
        <v>93</v>
      </c>
      <c r="D42" s="28">
        <f>+971527968777</f>
        <v>971527968777</v>
      </c>
      <c r="E42" s="28" t="s">
        <v>9</v>
      </c>
      <c r="F42" s="30"/>
      <c r="G42" s="28" t="s">
        <v>6</v>
      </c>
      <c r="H42" s="28" t="s">
        <v>94</v>
      </c>
    </row>
    <row r="43" ht="15.75" customHeight="1">
      <c r="A43" s="27"/>
      <c r="B43" s="28" t="s">
        <v>95</v>
      </c>
      <c r="C43" s="28" t="s">
        <v>96</v>
      </c>
      <c r="D43" s="28">
        <f>+971556591105</f>
        <v>971556591105</v>
      </c>
      <c r="E43" s="28" t="s">
        <v>9</v>
      </c>
      <c r="F43" s="30"/>
      <c r="G43" s="28" t="s">
        <v>6</v>
      </c>
      <c r="H43" s="30"/>
    </row>
    <row r="44" ht="15.75" customHeight="1">
      <c r="A44" s="27"/>
      <c r="B44" s="28" t="s">
        <v>97</v>
      </c>
      <c r="C44" s="28" t="s">
        <v>98</v>
      </c>
      <c r="D44" s="28">
        <f>+97155441379</f>
        <v>97155441379</v>
      </c>
      <c r="E44" s="28" t="s">
        <v>12</v>
      </c>
      <c r="F44" s="30"/>
      <c r="G44" s="28" t="s">
        <v>6</v>
      </c>
      <c r="H44" s="30"/>
    </row>
    <row r="45" ht="15.75" customHeight="1">
      <c r="A45" s="27"/>
      <c r="B45" s="28" t="s">
        <v>99</v>
      </c>
      <c r="C45" s="28" t="s">
        <v>100</v>
      </c>
      <c r="D45" s="28">
        <f>+9710551369388</f>
        <v>9710551369388</v>
      </c>
      <c r="E45" s="28" t="s">
        <v>9</v>
      </c>
      <c r="F45" s="30"/>
      <c r="G45" s="28" t="s">
        <v>6</v>
      </c>
      <c r="H45" s="30"/>
    </row>
    <row r="46" ht="15.75" customHeight="1">
      <c r="A46" s="27"/>
      <c r="B46" s="28" t="s">
        <v>101</v>
      </c>
      <c r="C46" s="28" t="s">
        <v>102</v>
      </c>
      <c r="D46" s="28">
        <f t="shared" ref="D46:D47" si="1">+966592440728</f>
        <v>966592440728</v>
      </c>
      <c r="E46" s="28" t="s">
        <v>12</v>
      </c>
      <c r="F46" s="30"/>
      <c r="G46" s="28" t="s">
        <v>6</v>
      </c>
      <c r="H46" s="30"/>
    </row>
    <row r="47" ht="15.75" customHeight="1">
      <c r="A47" s="27"/>
      <c r="B47" s="28" t="s">
        <v>101</v>
      </c>
      <c r="C47" s="28" t="s">
        <v>102</v>
      </c>
      <c r="D47" s="28">
        <f t="shared" si="1"/>
        <v>966592440728</v>
      </c>
      <c r="E47" s="28" t="s">
        <v>12</v>
      </c>
      <c r="F47" s="30"/>
      <c r="G47" s="28" t="s">
        <v>6</v>
      </c>
      <c r="H47" s="30"/>
    </row>
    <row r="48" ht="15.75" customHeight="1">
      <c r="A48" s="27"/>
      <c r="B48" s="28" t="s">
        <v>103</v>
      </c>
      <c r="C48" s="28" t="s">
        <v>104</v>
      </c>
      <c r="D48" s="28">
        <f>+971566449242</f>
        <v>971566449242</v>
      </c>
      <c r="E48" s="28" t="s">
        <v>9</v>
      </c>
      <c r="F48" s="30"/>
      <c r="G48" s="28" t="s">
        <v>6</v>
      </c>
      <c r="H48" s="30"/>
    </row>
    <row r="49" ht="15.75" customHeight="1">
      <c r="A49" s="27"/>
      <c r="B49" s="28" t="s">
        <v>105</v>
      </c>
      <c r="C49" s="28" t="s">
        <v>106</v>
      </c>
      <c r="D49" s="28">
        <f>+971505001272</f>
        <v>971505001272</v>
      </c>
      <c r="E49" s="28" t="s">
        <v>9</v>
      </c>
      <c r="F49" s="30"/>
      <c r="G49" s="28" t="s">
        <v>6</v>
      </c>
      <c r="H49" s="30"/>
    </row>
    <row r="50" ht="15.75" customHeight="1">
      <c r="A50" s="27"/>
      <c r="B50" s="28" t="s">
        <v>107</v>
      </c>
      <c r="C50" s="28" t="s">
        <v>108</v>
      </c>
      <c r="D50" s="28">
        <f>+9710528005601</f>
        <v>9710528005601</v>
      </c>
      <c r="E50" s="28" t="s">
        <v>109</v>
      </c>
      <c r="F50" s="30"/>
      <c r="G50" s="28" t="s">
        <v>6</v>
      </c>
      <c r="H50" s="3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31.57"/>
    <col customWidth="1" min="3" max="3" width="28.86"/>
    <col customWidth="1" min="4" max="6" width="14.43"/>
  </cols>
  <sheetData>
    <row r="1" ht="15.75" customHeight="1">
      <c r="A1" s="21" t="s">
        <v>110</v>
      </c>
      <c r="B1" s="21" t="s">
        <v>111</v>
      </c>
      <c r="C1" s="21" t="s">
        <v>112</v>
      </c>
    </row>
    <row r="2" ht="15.75" customHeight="1">
      <c r="A2" s="31" t="s">
        <v>113</v>
      </c>
      <c r="B2" s="31" t="s">
        <v>114</v>
      </c>
      <c r="C2" s="32" t="s">
        <v>115</v>
      </c>
      <c r="D2" s="31">
        <v>1.0</v>
      </c>
      <c r="E2" s="31" t="s">
        <v>116</v>
      </c>
    </row>
    <row r="3" ht="15.75" customHeight="1">
      <c r="A3" s="31" t="s">
        <v>117</v>
      </c>
      <c r="B3" s="31" t="s">
        <v>118</v>
      </c>
      <c r="C3" s="33" t="s">
        <v>119</v>
      </c>
      <c r="D3" s="31">
        <v>2.0</v>
      </c>
      <c r="E3" s="31" t="s">
        <v>116</v>
      </c>
    </row>
    <row r="4" ht="15.75" customHeight="1">
      <c r="A4" s="31" t="s">
        <v>120</v>
      </c>
      <c r="B4" s="31" t="s">
        <v>121</v>
      </c>
      <c r="C4" s="32" t="s">
        <v>122</v>
      </c>
      <c r="D4" s="31">
        <v>3.0</v>
      </c>
      <c r="E4" s="31" t="s">
        <v>116</v>
      </c>
    </row>
    <row r="5" ht="15.75" customHeight="1">
      <c r="A5" s="31" t="s">
        <v>123</v>
      </c>
      <c r="B5" s="31" t="s">
        <v>124</v>
      </c>
      <c r="C5" s="32" t="s">
        <v>115</v>
      </c>
      <c r="D5" s="31">
        <v>4.0</v>
      </c>
      <c r="E5" s="31" t="s">
        <v>116</v>
      </c>
    </row>
    <row r="6" ht="15.75" customHeight="1">
      <c r="A6" s="34" t="s">
        <v>125</v>
      </c>
      <c r="B6" s="34" t="s">
        <v>126</v>
      </c>
      <c r="C6" s="35" t="s">
        <v>127</v>
      </c>
      <c r="D6" s="34">
        <v>5.0</v>
      </c>
      <c r="E6" s="34" t="s">
        <v>128</v>
      </c>
    </row>
    <row r="7" ht="15.75" customHeight="1">
      <c r="A7" s="34" t="s">
        <v>129</v>
      </c>
      <c r="B7" s="34" t="s">
        <v>130</v>
      </c>
      <c r="C7" s="35" t="s">
        <v>131</v>
      </c>
      <c r="D7" s="34">
        <v>6.0</v>
      </c>
      <c r="E7" s="34" t="s">
        <v>128</v>
      </c>
    </row>
    <row r="8" ht="15.75" customHeight="1">
      <c r="A8" s="34" t="s">
        <v>132</v>
      </c>
      <c r="B8" s="34" t="s">
        <v>133</v>
      </c>
      <c r="C8" s="35" t="s">
        <v>134</v>
      </c>
      <c r="D8" s="34">
        <v>7.0</v>
      </c>
      <c r="E8" s="34" t="s">
        <v>128</v>
      </c>
    </row>
    <row r="9" ht="15.75" customHeight="1">
      <c r="A9" s="34" t="s">
        <v>117</v>
      </c>
      <c r="B9" s="34" t="s">
        <v>135</v>
      </c>
      <c r="C9" s="35" t="s">
        <v>136</v>
      </c>
      <c r="D9" s="34">
        <v>8.0</v>
      </c>
      <c r="E9" s="34" t="s">
        <v>128</v>
      </c>
    </row>
    <row r="10" ht="15.75" customHeight="1">
      <c r="A10" s="34" t="s">
        <v>120</v>
      </c>
      <c r="B10" s="34" t="s">
        <v>137</v>
      </c>
      <c r="C10" s="35" t="s">
        <v>122</v>
      </c>
      <c r="D10" s="34">
        <v>9.0</v>
      </c>
      <c r="E10" s="34" t="s">
        <v>128</v>
      </c>
    </row>
    <row r="11" ht="15.75" customHeight="1">
      <c r="A11" s="31" t="s">
        <v>138</v>
      </c>
      <c r="B11" s="31" t="s">
        <v>139</v>
      </c>
      <c r="C11" s="32" t="s">
        <v>140</v>
      </c>
      <c r="D11" s="31">
        <v>10.0</v>
      </c>
      <c r="E11" s="31" t="s">
        <v>116</v>
      </c>
    </row>
    <row r="12" ht="15.75" customHeight="1">
      <c r="A12" s="31" t="s">
        <v>141</v>
      </c>
      <c r="B12" s="31" t="s">
        <v>139</v>
      </c>
      <c r="C12" s="32" t="s">
        <v>142</v>
      </c>
      <c r="D12" s="31">
        <v>11.0</v>
      </c>
      <c r="E12" s="31" t="s">
        <v>116</v>
      </c>
    </row>
    <row r="13" ht="15.75" customHeight="1">
      <c r="A13" s="31" t="s">
        <v>143</v>
      </c>
      <c r="B13" s="31" t="s">
        <v>144</v>
      </c>
      <c r="C13" s="32" t="s">
        <v>145</v>
      </c>
      <c r="D13" s="31">
        <v>12.0</v>
      </c>
      <c r="E13" s="31" t="s">
        <v>116</v>
      </c>
    </row>
    <row r="14" ht="15.75" customHeight="1">
      <c r="A14" s="31" t="s">
        <v>146</v>
      </c>
      <c r="B14" s="31" t="s">
        <v>139</v>
      </c>
      <c r="C14" s="32" t="s">
        <v>147</v>
      </c>
      <c r="D14" s="31">
        <v>13.0</v>
      </c>
      <c r="E14" s="31" t="s">
        <v>116</v>
      </c>
    </row>
    <row r="15" ht="15.75" customHeight="1">
      <c r="A15" s="36" t="s">
        <v>148</v>
      </c>
      <c r="B15" s="36" t="s">
        <v>149</v>
      </c>
      <c r="C15" s="37" t="s">
        <v>139</v>
      </c>
      <c r="D15" s="36">
        <v>14.0</v>
      </c>
    </row>
    <row r="16" ht="15.75" customHeight="1">
      <c r="A16" s="34" t="s">
        <v>150</v>
      </c>
      <c r="B16" s="34" t="s">
        <v>151</v>
      </c>
      <c r="C16" s="35" t="s">
        <v>152</v>
      </c>
      <c r="D16" s="34">
        <v>15.0</v>
      </c>
      <c r="E16" s="34" t="s">
        <v>153</v>
      </c>
    </row>
    <row r="17" ht="15.75" customHeight="1">
      <c r="A17" s="34" t="s">
        <v>154</v>
      </c>
      <c r="B17" s="34" t="s">
        <v>155</v>
      </c>
      <c r="C17" s="35" t="s">
        <v>156</v>
      </c>
      <c r="D17" s="34">
        <v>16.0</v>
      </c>
      <c r="E17" s="34" t="s">
        <v>153</v>
      </c>
    </row>
    <row r="18" ht="15.75" customHeight="1">
      <c r="A18" s="34" t="s">
        <v>157</v>
      </c>
      <c r="B18" s="34" t="s">
        <v>158</v>
      </c>
      <c r="C18" s="35" t="s">
        <v>159</v>
      </c>
      <c r="D18" s="34">
        <v>17.0</v>
      </c>
      <c r="E18" s="34" t="s">
        <v>153</v>
      </c>
    </row>
    <row r="19" ht="15.75" customHeight="1">
      <c r="A19" s="34" t="s">
        <v>160</v>
      </c>
      <c r="B19" s="34" t="s">
        <v>161</v>
      </c>
      <c r="C19" s="35" t="s">
        <v>162</v>
      </c>
      <c r="D19" s="34">
        <v>18.0</v>
      </c>
      <c r="E19" s="34" t="s">
        <v>153</v>
      </c>
    </row>
    <row r="20" ht="15.75" customHeight="1">
      <c r="A20" s="34" t="s">
        <v>163</v>
      </c>
      <c r="B20" s="34" t="s">
        <v>164</v>
      </c>
      <c r="C20" s="35" t="s">
        <v>165</v>
      </c>
      <c r="D20" s="34">
        <v>19.0</v>
      </c>
      <c r="E20" s="34" t="s">
        <v>153</v>
      </c>
    </row>
    <row r="21" ht="15.75" customHeight="1">
      <c r="A21" s="34" t="s">
        <v>166</v>
      </c>
      <c r="B21" s="34" t="s">
        <v>167</v>
      </c>
      <c r="C21" s="35" t="s">
        <v>168</v>
      </c>
      <c r="D21" s="34">
        <v>20.0</v>
      </c>
      <c r="E21" s="34" t="s">
        <v>153</v>
      </c>
      <c r="G21" s="38"/>
    </row>
    <row r="22" ht="15.75" customHeight="1">
      <c r="A22" s="36" t="s">
        <v>169</v>
      </c>
      <c r="B22" s="36" t="s">
        <v>170</v>
      </c>
      <c r="C22" s="39" t="s">
        <v>171</v>
      </c>
      <c r="D22" s="36">
        <v>21.0</v>
      </c>
      <c r="G22" s="36" t="s">
        <v>169</v>
      </c>
      <c r="H22" s="36" t="s">
        <v>170</v>
      </c>
      <c r="I22" s="39" t="s">
        <v>171</v>
      </c>
    </row>
    <row r="23" ht="15.75" customHeight="1">
      <c r="A23" s="31" t="s">
        <v>172</v>
      </c>
      <c r="B23" s="31" t="s">
        <v>173</v>
      </c>
      <c r="C23" s="32" t="s">
        <v>174</v>
      </c>
      <c r="D23" s="31">
        <v>22.0</v>
      </c>
      <c r="E23" s="31" t="s">
        <v>175</v>
      </c>
      <c r="G23" s="36" t="s">
        <v>176</v>
      </c>
      <c r="H23" s="36" t="s">
        <v>177</v>
      </c>
      <c r="I23" s="39" t="s">
        <v>178</v>
      </c>
    </row>
    <row r="24" ht="15.75" customHeight="1">
      <c r="A24" s="36" t="s">
        <v>176</v>
      </c>
      <c r="B24" s="36" t="s">
        <v>177</v>
      </c>
      <c r="C24" s="39" t="s">
        <v>178</v>
      </c>
      <c r="D24" s="36">
        <v>23.0</v>
      </c>
      <c r="G24" s="36" t="s">
        <v>179</v>
      </c>
      <c r="H24" s="36" t="s">
        <v>180</v>
      </c>
      <c r="I24" s="39" t="s">
        <v>181</v>
      </c>
    </row>
    <row r="25" ht="15.75" customHeight="1">
      <c r="A25" s="36" t="s">
        <v>179</v>
      </c>
      <c r="B25" s="36" t="s">
        <v>180</v>
      </c>
      <c r="C25" s="39" t="s">
        <v>181</v>
      </c>
      <c r="D25" s="36">
        <v>24.0</v>
      </c>
    </row>
    <row r="26" ht="15.75" customHeight="1">
      <c r="A26" s="31" t="s">
        <v>182</v>
      </c>
      <c r="B26" s="31" t="s">
        <v>183</v>
      </c>
      <c r="C26" s="32" t="s">
        <v>184</v>
      </c>
      <c r="D26" s="31">
        <v>25.0</v>
      </c>
      <c r="E26" s="31" t="s">
        <v>116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21:I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5.0"/>
    <col customWidth="1" min="3" max="3" width="24.43"/>
    <col customWidth="1" min="4" max="4" width="29.43"/>
    <col customWidth="1" min="5" max="6" width="14.43"/>
  </cols>
  <sheetData>
    <row r="1" ht="15.75" customHeight="1">
      <c r="A1" s="21" t="s">
        <v>110</v>
      </c>
      <c r="B1" s="21" t="s">
        <v>111</v>
      </c>
      <c r="C1" s="21" t="s">
        <v>112</v>
      </c>
      <c r="D1" s="21" t="s">
        <v>185</v>
      </c>
      <c r="E1" s="21" t="s">
        <v>186</v>
      </c>
    </row>
    <row r="2" ht="15.75" customHeight="1">
      <c r="A2" s="40" t="s">
        <v>187</v>
      </c>
      <c r="B2" s="40" t="s">
        <v>188</v>
      </c>
      <c r="C2" s="41" t="s">
        <v>189</v>
      </c>
      <c r="D2" s="40" t="s">
        <v>190</v>
      </c>
      <c r="E2" s="40" t="s">
        <v>191</v>
      </c>
    </row>
    <row r="3" ht="15.75" customHeight="1">
      <c r="A3" s="40" t="s">
        <v>192</v>
      </c>
      <c r="B3" s="40" t="s">
        <v>193</v>
      </c>
      <c r="C3" s="41" t="s">
        <v>194</v>
      </c>
      <c r="D3" s="40" t="s">
        <v>195</v>
      </c>
      <c r="E3" s="40" t="s">
        <v>191</v>
      </c>
    </row>
    <row r="4" ht="15.75" customHeight="1">
      <c r="A4" s="40" t="s">
        <v>196</v>
      </c>
      <c r="B4" s="40" t="s">
        <v>197</v>
      </c>
      <c r="C4" s="40" t="s">
        <v>198</v>
      </c>
      <c r="D4" s="40" t="s">
        <v>195</v>
      </c>
      <c r="E4" s="40" t="s">
        <v>191</v>
      </c>
    </row>
    <row r="5" ht="15.75" customHeight="1">
      <c r="A5" s="40" t="s">
        <v>199</v>
      </c>
      <c r="B5" s="40" t="s">
        <v>200</v>
      </c>
      <c r="C5" s="41" t="s">
        <v>201</v>
      </c>
      <c r="D5" s="40" t="s">
        <v>195</v>
      </c>
      <c r="E5" s="40" t="s">
        <v>191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34.86"/>
    <col customWidth="1" min="3" max="3" width="28.43"/>
    <col customWidth="1" min="4" max="4" width="28.29"/>
    <col customWidth="1" min="5" max="6" width="14.43"/>
    <col customWidth="1" min="9" max="9" width="17.0"/>
  </cols>
  <sheetData>
    <row r="1" ht="15.75" customHeight="1">
      <c r="A1" s="21" t="s">
        <v>110</v>
      </c>
      <c r="B1" s="21" t="s">
        <v>111</v>
      </c>
      <c r="C1" s="21" t="s">
        <v>112</v>
      </c>
      <c r="D1" s="21" t="s">
        <v>202</v>
      </c>
    </row>
    <row r="2" ht="15.75" customHeight="1">
      <c r="A2" s="42" t="s">
        <v>203</v>
      </c>
      <c r="B2" s="42" t="s">
        <v>204</v>
      </c>
      <c r="C2" s="37"/>
      <c r="D2" s="36" t="s">
        <v>205</v>
      </c>
    </row>
    <row r="3" ht="15.75" customHeight="1">
      <c r="A3" s="42" t="s">
        <v>206</v>
      </c>
      <c r="B3" s="42" t="s">
        <v>207</v>
      </c>
      <c r="C3" s="37"/>
      <c r="D3" s="36" t="s">
        <v>205</v>
      </c>
    </row>
    <row r="4" ht="15.75" customHeight="1">
      <c r="A4" s="31" t="s">
        <v>208</v>
      </c>
      <c r="B4" s="31" t="s">
        <v>209</v>
      </c>
      <c r="C4" s="43" t="s">
        <v>210</v>
      </c>
      <c r="D4" s="31" t="s">
        <v>205</v>
      </c>
      <c r="E4" s="31" t="s">
        <v>211</v>
      </c>
    </row>
    <row r="5" ht="15.75" customHeight="1">
      <c r="A5" s="40" t="s">
        <v>212</v>
      </c>
      <c r="B5" s="40"/>
      <c r="C5" s="44" t="s">
        <v>213</v>
      </c>
      <c r="D5" s="40" t="s">
        <v>205</v>
      </c>
      <c r="E5" s="40"/>
    </row>
    <row r="6" ht="15.75" customHeight="1">
      <c r="A6" s="40" t="s">
        <v>214</v>
      </c>
      <c r="B6" s="40" t="s">
        <v>215</v>
      </c>
      <c r="C6" s="44" t="s">
        <v>216</v>
      </c>
      <c r="D6" s="40" t="s">
        <v>205</v>
      </c>
      <c r="E6" s="40"/>
    </row>
    <row r="7" ht="15.75" customHeight="1">
      <c r="A7" s="45" t="s">
        <v>217</v>
      </c>
      <c r="B7" s="45" t="s">
        <v>218</v>
      </c>
      <c r="C7" s="46" t="s">
        <v>219</v>
      </c>
      <c r="D7" s="45" t="s">
        <v>205</v>
      </c>
      <c r="E7" s="45"/>
    </row>
    <row r="8" ht="15.75" customHeight="1">
      <c r="A8" s="42" t="s">
        <v>220</v>
      </c>
      <c r="B8" s="42" t="s">
        <v>221</v>
      </c>
      <c r="C8" s="37"/>
      <c r="D8" s="36" t="s">
        <v>205</v>
      </c>
    </row>
    <row r="9" ht="15.75" customHeight="1">
      <c r="A9" s="31" t="s">
        <v>222</v>
      </c>
      <c r="B9" s="31" t="s">
        <v>223</v>
      </c>
      <c r="C9" s="32" t="s">
        <v>224</v>
      </c>
      <c r="D9" s="31" t="s">
        <v>205</v>
      </c>
      <c r="E9" s="31" t="s">
        <v>211</v>
      </c>
    </row>
    <row r="10" ht="15.75" customHeight="1">
      <c r="A10" s="36" t="s">
        <v>225</v>
      </c>
      <c r="B10" s="36" t="s">
        <v>226</v>
      </c>
      <c r="C10" s="36"/>
      <c r="D10" s="36" t="s">
        <v>205</v>
      </c>
    </row>
    <row r="11" ht="15.75" customHeight="1">
      <c r="A11" s="36" t="s">
        <v>227</v>
      </c>
      <c r="B11" s="36" t="s">
        <v>228</v>
      </c>
      <c r="C11" s="36"/>
      <c r="D11" s="36" t="s">
        <v>205</v>
      </c>
    </row>
    <row r="12" ht="15.75" customHeight="1">
      <c r="A12" s="34" t="s">
        <v>229</v>
      </c>
      <c r="B12" s="34" t="s">
        <v>230</v>
      </c>
      <c r="C12" s="35" t="s">
        <v>231</v>
      </c>
      <c r="D12" s="34" t="s">
        <v>205</v>
      </c>
      <c r="E12" s="34" t="s">
        <v>232</v>
      </c>
    </row>
    <row r="13" ht="15.75" customHeight="1">
      <c r="A13" s="34" t="s">
        <v>233</v>
      </c>
      <c r="B13" s="34" t="s">
        <v>234</v>
      </c>
      <c r="C13" s="35" t="s">
        <v>235</v>
      </c>
      <c r="D13" s="34" t="s">
        <v>205</v>
      </c>
      <c r="E13" s="34" t="s">
        <v>232</v>
      </c>
    </row>
    <row r="14" ht="15.75" customHeight="1">
      <c r="A14" s="34" t="s">
        <v>236</v>
      </c>
      <c r="B14" s="34" t="s">
        <v>237</v>
      </c>
      <c r="C14" s="35" t="s">
        <v>238</v>
      </c>
      <c r="D14" s="34" t="s">
        <v>205</v>
      </c>
      <c r="E14" s="34" t="s">
        <v>232</v>
      </c>
    </row>
    <row r="15" ht="15.75" customHeight="1">
      <c r="A15" s="34" t="s">
        <v>239</v>
      </c>
      <c r="B15" s="34" t="s">
        <v>240</v>
      </c>
      <c r="C15" s="35" t="s">
        <v>241</v>
      </c>
      <c r="D15" s="34" t="s">
        <v>205</v>
      </c>
      <c r="E15" s="34" t="s">
        <v>232</v>
      </c>
    </row>
    <row r="16" ht="15.75" customHeight="1">
      <c r="A16" s="34" t="s">
        <v>242</v>
      </c>
      <c r="B16" s="34" t="s">
        <v>243</v>
      </c>
      <c r="C16" s="35" t="s">
        <v>244</v>
      </c>
      <c r="D16" s="34" t="s">
        <v>205</v>
      </c>
      <c r="E16" s="34" t="s">
        <v>232</v>
      </c>
    </row>
    <row r="17" ht="15.75" customHeight="1">
      <c r="A17" s="34" t="s">
        <v>245</v>
      </c>
      <c r="B17" s="34" t="s">
        <v>246</v>
      </c>
      <c r="C17" s="35" t="s">
        <v>247</v>
      </c>
      <c r="D17" s="34" t="s">
        <v>205</v>
      </c>
      <c r="E17" s="34" t="s">
        <v>116</v>
      </c>
    </row>
    <row r="18" ht="15.75" customHeight="1">
      <c r="A18" s="34" t="s">
        <v>248</v>
      </c>
      <c r="B18" s="34" t="s">
        <v>249</v>
      </c>
      <c r="C18" s="35" t="s">
        <v>250</v>
      </c>
      <c r="D18" s="34" t="s">
        <v>205</v>
      </c>
      <c r="E18" s="34" t="s">
        <v>116</v>
      </c>
    </row>
    <row r="19" ht="15.75" customHeight="1">
      <c r="A19" s="34" t="s">
        <v>251</v>
      </c>
      <c r="B19" s="34" t="s">
        <v>252</v>
      </c>
      <c r="C19" s="35" t="s">
        <v>244</v>
      </c>
      <c r="D19" s="34" t="s">
        <v>205</v>
      </c>
      <c r="E19" s="34" t="s">
        <v>116</v>
      </c>
    </row>
    <row r="20" ht="15.75" customHeight="1">
      <c r="A20" s="34" t="s">
        <v>253</v>
      </c>
      <c r="B20" s="34" t="s">
        <v>254</v>
      </c>
      <c r="C20" s="35" t="s">
        <v>255</v>
      </c>
      <c r="D20" s="34" t="s">
        <v>205</v>
      </c>
      <c r="E20" s="34" t="s">
        <v>116</v>
      </c>
    </row>
    <row r="21" ht="15.75" customHeight="1">
      <c r="A21" s="34" t="s">
        <v>256</v>
      </c>
      <c r="B21" s="34" t="s">
        <v>257</v>
      </c>
      <c r="C21" s="35" t="s">
        <v>258</v>
      </c>
      <c r="D21" s="34" t="s">
        <v>205</v>
      </c>
      <c r="E21" s="34" t="s">
        <v>116</v>
      </c>
    </row>
    <row r="22" ht="15.75" customHeight="1">
      <c r="A22" s="34" t="s">
        <v>259</v>
      </c>
      <c r="B22" s="34"/>
      <c r="C22" s="35" t="s">
        <v>260</v>
      </c>
      <c r="D22" s="34" t="s">
        <v>205</v>
      </c>
      <c r="E22" s="34" t="s">
        <v>261</v>
      </c>
    </row>
    <row r="23" ht="15.75" customHeight="1">
      <c r="A23" s="34" t="s">
        <v>262</v>
      </c>
      <c r="B23" s="34" t="s">
        <v>263</v>
      </c>
      <c r="C23" s="35" t="s">
        <v>264</v>
      </c>
      <c r="D23" s="34" t="s">
        <v>205</v>
      </c>
      <c r="E23" s="34" t="s">
        <v>261</v>
      </c>
    </row>
    <row r="24" ht="15.75" customHeight="1">
      <c r="A24" s="34" t="s">
        <v>265</v>
      </c>
      <c r="B24" s="34" t="s">
        <v>266</v>
      </c>
      <c r="C24" s="35" t="s">
        <v>267</v>
      </c>
      <c r="D24" s="34" t="s">
        <v>205</v>
      </c>
      <c r="E24" s="34" t="s">
        <v>261</v>
      </c>
      <c r="I24" s="37"/>
    </row>
    <row r="25" ht="15.75" customHeight="1">
      <c r="A25" s="34" t="s">
        <v>268</v>
      </c>
      <c r="B25" s="34"/>
      <c r="C25" s="35" t="s">
        <v>269</v>
      </c>
      <c r="D25" s="34" t="s">
        <v>205</v>
      </c>
      <c r="E25" s="34" t="s">
        <v>261</v>
      </c>
      <c r="K25" s="37"/>
      <c r="L25" s="36"/>
      <c r="M25" s="36"/>
    </row>
    <row r="26" ht="15.75" customHeight="1">
      <c r="A26" s="34" t="s">
        <v>270</v>
      </c>
      <c r="B26" s="34"/>
      <c r="C26" s="35" t="s">
        <v>271</v>
      </c>
      <c r="D26" s="34" t="s">
        <v>205</v>
      </c>
      <c r="E26" s="34" t="s">
        <v>261</v>
      </c>
    </row>
    <row r="27" ht="15.75" customHeight="1">
      <c r="A27" s="36" t="s">
        <v>272</v>
      </c>
      <c r="B27" s="36" t="s">
        <v>273</v>
      </c>
      <c r="C27" s="36" t="s">
        <v>198</v>
      </c>
      <c r="D27" s="36" t="s">
        <v>205</v>
      </c>
    </row>
    <row r="28" ht="15.75" customHeight="1">
      <c r="A28" s="40" t="s">
        <v>274</v>
      </c>
      <c r="B28" s="40"/>
      <c r="C28" s="41" t="s">
        <v>275</v>
      </c>
      <c r="D28" s="40" t="s">
        <v>205</v>
      </c>
      <c r="E28" s="40"/>
      <c r="G28" s="30"/>
      <c r="H28" s="30"/>
      <c r="I28" s="47"/>
      <c r="J28" s="30"/>
    </row>
    <row r="29" ht="15.75" customHeight="1">
      <c r="A29" s="36" t="s">
        <v>276</v>
      </c>
      <c r="B29" s="36" t="s">
        <v>277</v>
      </c>
      <c r="C29" s="36" t="s">
        <v>198</v>
      </c>
      <c r="D29" s="36" t="s">
        <v>205</v>
      </c>
    </row>
    <row r="30" ht="15.75" customHeight="1">
      <c r="A30" s="34" t="s">
        <v>278</v>
      </c>
      <c r="B30" s="34" t="s">
        <v>279</v>
      </c>
      <c r="C30" s="35" t="s">
        <v>280</v>
      </c>
      <c r="D30" s="34" t="s">
        <v>205</v>
      </c>
      <c r="E30" s="34" t="s">
        <v>261</v>
      </c>
    </row>
    <row r="31" ht="15.75" customHeight="1">
      <c r="A31" s="34" t="s">
        <v>281</v>
      </c>
      <c r="B31" s="34" t="s">
        <v>198</v>
      </c>
      <c r="C31" s="35" t="s">
        <v>282</v>
      </c>
      <c r="D31" s="34" t="s">
        <v>205</v>
      </c>
      <c r="E31" s="34" t="s">
        <v>261</v>
      </c>
    </row>
    <row r="32" ht="15.75" customHeight="1">
      <c r="A32" s="34" t="s">
        <v>283</v>
      </c>
      <c r="B32" s="34" t="s">
        <v>284</v>
      </c>
      <c r="C32" s="35" t="s">
        <v>285</v>
      </c>
      <c r="D32" s="34" t="s">
        <v>205</v>
      </c>
      <c r="E32" s="34" t="s">
        <v>261</v>
      </c>
    </row>
    <row r="33" ht="15.75" customHeight="1">
      <c r="A33" s="34" t="s">
        <v>217</v>
      </c>
      <c r="B33" s="34"/>
      <c r="C33" s="35" t="s">
        <v>286</v>
      </c>
      <c r="D33" s="34" t="s">
        <v>205</v>
      </c>
      <c r="E33" s="34" t="s">
        <v>261</v>
      </c>
    </row>
    <row r="34" ht="15.75" customHeight="1">
      <c r="A34" s="34" t="s">
        <v>287</v>
      </c>
      <c r="B34" s="34" t="s">
        <v>288</v>
      </c>
      <c r="C34" s="35" t="s">
        <v>289</v>
      </c>
      <c r="D34" s="34" t="s">
        <v>205</v>
      </c>
      <c r="E34" s="34" t="s">
        <v>261</v>
      </c>
    </row>
    <row r="35" ht="15.75" customHeight="1">
      <c r="A35" s="36" t="s">
        <v>290</v>
      </c>
      <c r="C35" s="36" t="s">
        <v>198</v>
      </c>
      <c r="D35" s="36" t="s">
        <v>205</v>
      </c>
    </row>
    <row r="36" ht="15.75" customHeight="1">
      <c r="A36" s="36" t="s">
        <v>291</v>
      </c>
      <c r="C36" s="36" t="s">
        <v>198</v>
      </c>
      <c r="D36" s="36" t="s">
        <v>205</v>
      </c>
    </row>
    <row r="37" ht="15.75" customHeight="1">
      <c r="A37" s="40" t="s">
        <v>292</v>
      </c>
      <c r="B37" s="40" t="s">
        <v>293</v>
      </c>
      <c r="C37" s="41" t="s">
        <v>294</v>
      </c>
      <c r="D37" s="40" t="s">
        <v>205</v>
      </c>
      <c r="E37" s="40"/>
    </row>
    <row r="38" ht="15.75" customHeight="1">
      <c r="A38" s="36" t="s">
        <v>295</v>
      </c>
      <c r="B38" s="36" t="s">
        <v>296</v>
      </c>
      <c r="C38" s="36" t="s">
        <v>198</v>
      </c>
      <c r="D38" s="36" t="s">
        <v>205</v>
      </c>
    </row>
    <row r="39" ht="15.75" customHeight="1">
      <c r="A39" s="36" t="s">
        <v>297</v>
      </c>
      <c r="B39" s="36" t="s">
        <v>298</v>
      </c>
      <c r="C39" s="36" t="s">
        <v>198</v>
      </c>
      <c r="D39" s="36" t="s">
        <v>205</v>
      </c>
    </row>
    <row r="40" ht="15.75" customHeight="1">
      <c r="A40" s="31" t="s">
        <v>299</v>
      </c>
      <c r="B40" s="31" t="s">
        <v>300</v>
      </c>
      <c r="C40" s="32" t="s">
        <v>301</v>
      </c>
      <c r="D40" s="31" t="s">
        <v>205</v>
      </c>
      <c r="E40" s="31"/>
    </row>
    <row r="41" ht="15.75" customHeight="1">
      <c r="A41" s="34" t="s">
        <v>302</v>
      </c>
      <c r="B41" s="34" t="s">
        <v>303</v>
      </c>
      <c r="C41" s="35" t="s">
        <v>304</v>
      </c>
      <c r="D41" s="34" t="s">
        <v>205</v>
      </c>
      <c r="E41" s="34" t="s">
        <v>305</v>
      </c>
    </row>
    <row r="42" ht="15.75" customHeight="1">
      <c r="A42" s="48" t="s">
        <v>306</v>
      </c>
      <c r="B42" s="48" t="s">
        <v>307</v>
      </c>
      <c r="C42" s="48" t="s">
        <v>198</v>
      </c>
      <c r="D42" s="48" t="s">
        <v>205</v>
      </c>
      <c r="E42" s="48"/>
    </row>
    <row r="43" ht="15.75" customHeight="1">
      <c r="A43" s="34" t="s">
        <v>308</v>
      </c>
      <c r="B43" s="34" t="s">
        <v>309</v>
      </c>
      <c r="C43" s="35" t="s">
        <v>310</v>
      </c>
      <c r="D43" s="34" t="s">
        <v>205</v>
      </c>
      <c r="E43" s="34" t="s">
        <v>305</v>
      </c>
    </row>
    <row r="44" ht="15.75" customHeight="1">
      <c r="A44" s="34" t="s">
        <v>311</v>
      </c>
      <c r="B44" s="34" t="s">
        <v>312</v>
      </c>
      <c r="C44" s="35" t="s">
        <v>313</v>
      </c>
      <c r="D44" s="34" t="s">
        <v>205</v>
      </c>
      <c r="E44" s="34" t="s">
        <v>305</v>
      </c>
    </row>
    <row r="45" ht="15.75" customHeight="1">
      <c r="A45" s="34" t="s">
        <v>314</v>
      </c>
      <c r="B45" s="34" t="s">
        <v>315</v>
      </c>
      <c r="C45" s="35" t="s">
        <v>316</v>
      </c>
      <c r="D45" s="34" t="s">
        <v>205</v>
      </c>
      <c r="E45" s="34" t="s">
        <v>305</v>
      </c>
    </row>
    <row r="46" ht="15.75" customHeight="1">
      <c r="A46" s="34" t="s">
        <v>317</v>
      </c>
      <c r="B46" s="34" t="s">
        <v>318</v>
      </c>
      <c r="C46" s="35" t="s">
        <v>319</v>
      </c>
      <c r="D46" s="34" t="s">
        <v>205</v>
      </c>
      <c r="E46" s="34" t="s">
        <v>305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1.71"/>
    <col customWidth="1" min="3" max="3" width="23.57"/>
    <col customWidth="1" min="4" max="4" width="22.57"/>
    <col customWidth="1" min="5" max="5" width="29.29"/>
    <col customWidth="1" min="6" max="6" width="14.43"/>
  </cols>
  <sheetData>
    <row r="1" ht="15.75" customHeight="1">
      <c r="A1" s="48"/>
      <c r="B1" s="49" t="s">
        <v>110</v>
      </c>
      <c r="C1" s="49" t="s">
        <v>111</v>
      </c>
      <c r="D1" s="49" t="s">
        <v>320</v>
      </c>
      <c r="E1" s="49" t="s">
        <v>202</v>
      </c>
      <c r="F1" s="50" t="s">
        <v>321</v>
      </c>
    </row>
    <row r="2" ht="15.75" customHeight="1">
      <c r="A2" s="51">
        <v>1.0</v>
      </c>
      <c r="B2" s="52" t="s">
        <v>322</v>
      </c>
      <c r="C2" s="52" t="s">
        <v>323</v>
      </c>
      <c r="D2" s="53" t="s">
        <v>324</v>
      </c>
      <c r="E2" s="54" t="s">
        <v>325</v>
      </c>
      <c r="F2" s="52" t="s">
        <v>326</v>
      </c>
      <c r="I2" s="36"/>
      <c r="J2" s="36"/>
      <c r="K2" s="55"/>
    </row>
    <row r="3" ht="15.75" customHeight="1">
      <c r="A3" s="48">
        <v>2.0</v>
      </c>
      <c r="B3" s="52" t="s">
        <v>327</v>
      </c>
      <c r="C3" s="52" t="s">
        <v>328</v>
      </c>
      <c r="D3" s="53" t="s">
        <v>329</v>
      </c>
      <c r="E3" s="54" t="s">
        <v>325</v>
      </c>
      <c r="F3" s="52" t="s">
        <v>326</v>
      </c>
      <c r="I3" s="36"/>
      <c r="J3" s="36"/>
      <c r="K3" s="55"/>
    </row>
    <row r="4" ht="15.75" customHeight="1">
      <c r="A4" s="51">
        <v>3.0</v>
      </c>
      <c r="B4" s="52" t="s">
        <v>330</v>
      </c>
      <c r="C4" s="52" t="s">
        <v>331</v>
      </c>
      <c r="D4" s="53" t="s">
        <v>332</v>
      </c>
      <c r="E4" s="54" t="s">
        <v>333</v>
      </c>
      <c r="F4" s="52" t="s">
        <v>326</v>
      </c>
      <c r="H4" s="36"/>
      <c r="I4" s="36"/>
      <c r="J4" s="36"/>
      <c r="K4" s="55"/>
    </row>
    <row r="5" ht="15.75" customHeight="1">
      <c r="A5" s="48">
        <v>4.0</v>
      </c>
      <c r="B5" s="52" t="s">
        <v>334</v>
      </c>
      <c r="C5" s="52" t="s">
        <v>335</v>
      </c>
      <c r="D5" s="56" t="s">
        <v>198</v>
      </c>
      <c r="E5" s="54" t="s">
        <v>336</v>
      </c>
      <c r="F5" s="52"/>
      <c r="H5" s="36"/>
      <c r="I5" s="36"/>
      <c r="J5" s="36"/>
      <c r="K5" s="57"/>
    </row>
    <row r="6" ht="15.75" customHeight="1">
      <c r="A6" s="51">
        <v>5.0</v>
      </c>
      <c r="B6" s="52" t="s">
        <v>337</v>
      </c>
      <c r="C6" s="52" t="s">
        <v>198</v>
      </c>
      <c r="D6" s="56" t="s">
        <v>198</v>
      </c>
      <c r="E6" s="54" t="s">
        <v>336</v>
      </c>
      <c r="F6" s="52"/>
      <c r="H6" s="36"/>
      <c r="I6" s="36"/>
      <c r="J6" s="36"/>
      <c r="K6" s="57"/>
    </row>
    <row r="7" ht="15.75" customHeight="1">
      <c r="A7" s="48">
        <v>6.0</v>
      </c>
      <c r="B7" s="52" t="s">
        <v>338</v>
      </c>
      <c r="C7" s="52" t="s">
        <v>198</v>
      </c>
      <c r="D7" s="53" t="s">
        <v>339</v>
      </c>
      <c r="E7" s="54" t="s">
        <v>336</v>
      </c>
      <c r="F7" s="52" t="s">
        <v>340</v>
      </c>
      <c r="H7" s="36"/>
      <c r="I7" s="36"/>
      <c r="J7" s="36"/>
      <c r="K7" s="57"/>
    </row>
    <row r="8" ht="15.75" customHeight="1">
      <c r="A8" s="51">
        <v>7.0</v>
      </c>
      <c r="B8" s="52" t="s">
        <v>341</v>
      </c>
      <c r="C8" s="52" t="s">
        <v>342</v>
      </c>
      <c r="D8" s="56" t="s">
        <v>198</v>
      </c>
      <c r="E8" s="54" t="s">
        <v>336</v>
      </c>
      <c r="F8" s="52"/>
      <c r="H8" s="36"/>
      <c r="I8" s="36"/>
      <c r="J8" s="55"/>
      <c r="K8" s="57"/>
    </row>
    <row r="9" ht="15.75" customHeight="1">
      <c r="A9" s="48">
        <v>8.0</v>
      </c>
      <c r="B9" s="52" t="s">
        <v>343</v>
      </c>
      <c r="C9" s="52" t="s">
        <v>344</v>
      </c>
      <c r="D9" s="58" t="s">
        <v>198</v>
      </c>
      <c r="E9" s="54" t="s">
        <v>345</v>
      </c>
      <c r="F9" s="52"/>
    </row>
    <row r="10" ht="15.75" customHeight="1">
      <c r="A10" s="51">
        <v>9.0</v>
      </c>
      <c r="B10" s="52" t="s">
        <v>346</v>
      </c>
      <c r="C10" s="52" t="s">
        <v>347</v>
      </c>
      <c r="D10" s="59" t="s">
        <v>348</v>
      </c>
      <c r="E10" s="54" t="s">
        <v>345</v>
      </c>
      <c r="F10" s="52" t="s">
        <v>349</v>
      </c>
    </row>
    <row r="11" ht="15.75" customHeight="1">
      <c r="A11" s="48">
        <v>10.0</v>
      </c>
      <c r="B11" s="52" t="s">
        <v>350</v>
      </c>
      <c r="C11" s="1" t="s">
        <v>351</v>
      </c>
      <c r="D11" s="59" t="s">
        <v>352</v>
      </c>
      <c r="E11" s="54" t="s">
        <v>353</v>
      </c>
      <c r="F11" s="52" t="s">
        <v>349</v>
      </c>
    </row>
    <row r="12" ht="15.75" customHeight="1">
      <c r="A12" s="51">
        <v>11.0</v>
      </c>
      <c r="B12" s="52" t="s">
        <v>354</v>
      </c>
      <c r="C12" s="52" t="s">
        <v>139</v>
      </c>
      <c r="D12" s="59" t="s">
        <v>355</v>
      </c>
      <c r="E12" s="54" t="s">
        <v>353</v>
      </c>
      <c r="F12" s="52" t="s">
        <v>349</v>
      </c>
    </row>
    <row r="13" ht="15.75" customHeight="1">
      <c r="A13" s="48">
        <v>12.0</v>
      </c>
      <c r="B13" s="52" t="s">
        <v>356</v>
      </c>
      <c r="C13" s="52" t="s">
        <v>357</v>
      </c>
      <c r="D13" s="59" t="s">
        <v>358</v>
      </c>
      <c r="E13" s="54" t="s">
        <v>353</v>
      </c>
      <c r="F13" s="52" t="s">
        <v>349</v>
      </c>
    </row>
    <row r="14" ht="15.75" customHeight="1">
      <c r="A14" s="51">
        <v>13.0</v>
      </c>
      <c r="B14" s="52" t="s">
        <v>359</v>
      </c>
      <c r="C14" s="52" t="s">
        <v>360</v>
      </c>
      <c r="D14" s="59" t="s">
        <v>361</v>
      </c>
      <c r="E14" s="54" t="s">
        <v>353</v>
      </c>
      <c r="F14" s="52" t="s">
        <v>349</v>
      </c>
    </row>
    <row r="15" ht="15.75" customHeight="1">
      <c r="A15" s="48">
        <v>14.0</v>
      </c>
      <c r="B15" s="52" t="s">
        <v>362</v>
      </c>
      <c r="C15" s="52" t="s">
        <v>363</v>
      </c>
      <c r="D15" s="58" t="s">
        <v>198</v>
      </c>
      <c r="E15" s="54" t="s">
        <v>353</v>
      </c>
      <c r="F15" s="52"/>
    </row>
    <row r="16" ht="15.75" customHeight="1">
      <c r="A16" s="51">
        <v>15.0</v>
      </c>
      <c r="B16" s="52" t="s">
        <v>364</v>
      </c>
      <c r="C16" s="52" t="s">
        <v>365</v>
      </c>
      <c r="D16" s="59" t="s">
        <v>366</v>
      </c>
      <c r="E16" s="54" t="s">
        <v>353</v>
      </c>
      <c r="F16" s="52" t="s">
        <v>367</v>
      </c>
    </row>
    <row r="17" ht="15.75" customHeight="1">
      <c r="A17" s="48">
        <v>16.0</v>
      </c>
      <c r="B17" s="52" t="s">
        <v>368</v>
      </c>
      <c r="C17" s="52" t="s">
        <v>369</v>
      </c>
      <c r="D17" s="58" t="s">
        <v>139</v>
      </c>
      <c r="E17" s="54" t="s">
        <v>353</v>
      </c>
      <c r="F17" s="52" t="s">
        <v>340</v>
      </c>
    </row>
    <row r="18" ht="15.75" customHeight="1">
      <c r="A18" s="51">
        <v>17.0</v>
      </c>
      <c r="B18" s="52" t="s">
        <v>370</v>
      </c>
      <c r="C18" s="52" t="s">
        <v>371</v>
      </c>
      <c r="D18" s="59" t="s">
        <v>372</v>
      </c>
      <c r="E18" s="54" t="s">
        <v>353</v>
      </c>
      <c r="F18" s="52" t="s">
        <v>116</v>
      </c>
    </row>
    <row r="19" ht="15.75" customHeight="1">
      <c r="A19" s="48">
        <v>18.0</v>
      </c>
      <c r="B19" s="52" t="s">
        <v>373</v>
      </c>
      <c r="C19" s="52" t="s">
        <v>374</v>
      </c>
      <c r="D19" s="59" t="s">
        <v>375</v>
      </c>
      <c r="E19" s="54" t="s">
        <v>353</v>
      </c>
      <c r="F19" s="52" t="s">
        <v>367</v>
      </c>
    </row>
    <row r="20" ht="15.75" customHeight="1">
      <c r="A20" s="51">
        <v>19.0</v>
      </c>
      <c r="B20" s="52" t="s">
        <v>376</v>
      </c>
      <c r="C20" s="52" t="s">
        <v>377</v>
      </c>
      <c r="D20" s="59" t="s">
        <v>378</v>
      </c>
      <c r="E20" s="54" t="s">
        <v>353</v>
      </c>
      <c r="F20" s="52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3 K2:K5 J4 D5:D20 J8">
    <cfRule type="notContainsBlanks" dxfId="0" priority="1">
      <formula>LEN(TRIM(E2))&gt;0</formula>
    </cfRule>
  </conditionalFormatting>
  <conditionalFormatting sqref="D2:D3 J5:J6">
    <cfRule type="notContainsBlanks" dxfId="0" priority="2">
      <formula>LEN(TRIM(D2))&gt;0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0"/>
    <col customWidth="1" min="3" max="3" width="25.43"/>
    <col customWidth="1" min="4" max="4" width="28.57"/>
    <col customWidth="1" min="5" max="5" width="14.43"/>
    <col customWidth="1" min="6" max="6" width="18.86"/>
    <col customWidth="1" min="10" max="10" width="16.57"/>
  </cols>
  <sheetData>
    <row r="1" ht="15.75" customHeight="1">
      <c r="A1" s="51" t="s">
        <v>110</v>
      </c>
      <c r="B1" s="51" t="s">
        <v>111</v>
      </c>
      <c r="C1" s="51" t="s">
        <v>112</v>
      </c>
      <c r="D1" s="51" t="s">
        <v>202</v>
      </c>
      <c r="E1" s="48"/>
      <c r="F1" s="48" t="s">
        <v>321</v>
      </c>
    </row>
    <row r="2" ht="15.75" customHeight="1">
      <c r="A2" s="34" t="s">
        <v>379</v>
      </c>
      <c r="B2" s="34"/>
      <c r="C2" s="35" t="s">
        <v>380</v>
      </c>
      <c r="D2" s="34" t="s">
        <v>381</v>
      </c>
      <c r="E2" s="34">
        <v>1.0</v>
      </c>
      <c r="F2" s="34" t="s">
        <v>382</v>
      </c>
    </row>
    <row r="3" ht="15.75" customHeight="1">
      <c r="A3" s="34" t="s">
        <v>383</v>
      </c>
      <c r="B3" s="34" t="s">
        <v>384</v>
      </c>
      <c r="C3" s="35" t="s">
        <v>385</v>
      </c>
      <c r="D3" s="34" t="s">
        <v>381</v>
      </c>
      <c r="E3" s="34">
        <v>2.0</v>
      </c>
      <c r="F3" s="34" t="s">
        <v>382</v>
      </c>
    </row>
    <row r="4" ht="15.75" customHeight="1">
      <c r="A4" s="34" t="s">
        <v>386</v>
      </c>
      <c r="B4" s="34" t="s">
        <v>387</v>
      </c>
      <c r="C4" s="35" t="s">
        <v>388</v>
      </c>
      <c r="D4" s="34" t="s">
        <v>381</v>
      </c>
      <c r="E4" s="34">
        <v>3.0</v>
      </c>
      <c r="F4" s="34" t="s">
        <v>382</v>
      </c>
    </row>
    <row r="5" ht="15.75" customHeight="1">
      <c r="A5" s="34" t="s">
        <v>389</v>
      </c>
      <c r="B5" s="34" t="s">
        <v>390</v>
      </c>
      <c r="C5" s="35" t="s">
        <v>391</v>
      </c>
      <c r="D5" s="34" t="s">
        <v>381</v>
      </c>
      <c r="E5" s="34">
        <v>4.0</v>
      </c>
      <c r="F5" s="34" t="s">
        <v>382</v>
      </c>
      <c r="I5" s="60"/>
      <c r="J5" s="60"/>
      <c r="K5" s="60"/>
    </row>
    <row r="6" ht="15.75" customHeight="1">
      <c r="A6" s="34" t="s">
        <v>392</v>
      </c>
      <c r="B6" s="34" t="s">
        <v>393</v>
      </c>
      <c r="C6" s="35" t="s">
        <v>394</v>
      </c>
      <c r="D6" s="34" t="s">
        <v>381</v>
      </c>
      <c r="E6" s="34">
        <v>5.0</v>
      </c>
      <c r="F6" s="34" t="s">
        <v>382</v>
      </c>
      <c r="I6" s="60"/>
      <c r="J6" s="60"/>
      <c r="K6" s="61"/>
    </row>
    <row r="7" ht="15.75" customHeight="1">
      <c r="A7" s="34" t="s">
        <v>395</v>
      </c>
      <c r="B7" s="34" t="s">
        <v>396</v>
      </c>
      <c r="C7" s="35" t="s">
        <v>397</v>
      </c>
      <c r="D7" s="34" t="s">
        <v>381</v>
      </c>
      <c r="E7" s="34">
        <v>6.0</v>
      </c>
      <c r="F7" s="34" t="s">
        <v>382</v>
      </c>
    </row>
    <row r="8" ht="15.75" customHeight="1">
      <c r="A8" s="34" t="s">
        <v>398</v>
      </c>
      <c r="B8" s="34" t="s">
        <v>399</v>
      </c>
      <c r="C8" s="35" t="s">
        <v>400</v>
      </c>
      <c r="D8" s="34" t="s">
        <v>401</v>
      </c>
      <c r="E8" s="34">
        <v>7.0</v>
      </c>
      <c r="F8" s="34" t="s">
        <v>382</v>
      </c>
    </row>
    <row r="9" ht="15.75" customHeight="1">
      <c r="A9" s="34" t="s">
        <v>402</v>
      </c>
      <c r="B9" s="34" t="s">
        <v>403</v>
      </c>
      <c r="C9" s="35" t="s">
        <v>404</v>
      </c>
      <c r="D9" s="34" t="s">
        <v>401</v>
      </c>
      <c r="E9" s="34">
        <v>8.0</v>
      </c>
      <c r="F9" s="34" t="s">
        <v>382</v>
      </c>
    </row>
    <row r="10" ht="15.75" customHeight="1">
      <c r="A10" s="34" t="s">
        <v>405</v>
      </c>
      <c r="B10" s="34" t="s">
        <v>406</v>
      </c>
      <c r="C10" s="35" t="s">
        <v>407</v>
      </c>
      <c r="D10" s="34" t="s">
        <v>401</v>
      </c>
      <c r="E10" s="34">
        <v>9.0</v>
      </c>
      <c r="F10" s="34" t="s">
        <v>382</v>
      </c>
    </row>
    <row r="11" ht="15.75" customHeight="1">
      <c r="A11" s="34" t="s">
        <v>408</v>
      </c>
      <c r="B11" s="34" t="s">
        <v>409</v>
      </c>
      <c r="C11" s="35" t="s">
        <v>410</v>
      </c>
      <c r="D11" s="34" t="s">
        <v>401</v>
      </c>
      <c r="E11" s="34">
        <v>10.0</v>
      </c>
      <c r="F11" s="34" t="s">
        <v>382</v>
      </c>
    </row>
    <row r="12" ht="15.75" customHeight="1">
      <c r="A12" s="48" t="s">
        <v>411</v>
      </c>
      <c r="B12" s="48" t="s">
        <v>412</v>
      </c>
      <c r="C12" s="62" t="s">
        <v>413</v>
      </c>
      <c r="D12" s="48" t="s">
        <v>401</v>
      </c>
      <c r="E12" s="48">
        <v>11.0</v>
      </c>
      <c r="F12" s="48" t="s">
        <v>305</v>
      </c>
    </row>
    <row r="13" ht="15.75" customHeight="1">
      <c r="A13" s="48" t="s">
        <v>414</v>
      </c>
      <c r="B13" s="48" t="s">
        <v>415</v>
      </c>
      <c r="C13" s="62" t="s">
        <v>416</v>
      </c>
      <c r="D13" s="48" t="s">
        <v>401</v>
      </c>
      <c r="E13" s="48">
        <v>12.0</v>
      </c>
      <c r="F13" s="48" t="s">
        <v>417</v>
      </c>
    </row>
    <row r="14" ht="15.75" customHeight="1">
      <c r="A14" s="48" t="s">
        <v>418</v>
      </c>
      <c r="B14" s="48" t="s">
        <v>419</v>
      </c>
      <c r="C14" s="62" t="s">
        <v>420</v>
      </c>
      <c r="D14" s="48" t="s">
        <v>421</v>
      </c>
      <c r="E14" s="48">
        <v>13.0</v>
      </c>
      <c r="F14" s="48" t="s">
        <v>422</v>
      </c>
    </row>
    <row r="15" ht="15.75" customHeight="1">
      <c r="A15" s="48" t="s">
        <v>423</v>
      </c>
      <c r="B15" s="48" t="s">
        <v>424</v>
      </c>
      <c r="C15" s="48" t="s">
        <v>198</v>
      </c>
      <c r="D15" s="48" t="s">
        <v>425</v>
      </c>
      <c r="E15" s="48">
        <v>14.0</v>
      </c>
      <c r="F15" s="48" t="s">
        <v>417</v>
      </c>
    </row>
    <row r="16" ht="15.75" customHeight="1">
      <c r="A16" s="48" t="s">
        <v>426</v>
      </c>
      <c r="B16" s="48" t="s">
        <v>427</v>
      </c>
      <c r="C16" s="62" t="s">
        <v>428</v>
      </c>
      <c r="D16" s="48" t="s">
        <v>425</v>
      </c>
      <c r="E16" s="48">
        <v>15.0</v>
      </c>
      <c r="F16" s="48" t="s">
        <v>417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33.29"/>
    <col customWidth="1" min="3" max="3" width="28.57"/>
    <col customWidth="1" min="4" max="6" width="14.43"/>
  </cols>
  <sheetData>
    <row r="1" ht="15.75" customHeight="1">
      <c r="A1" s="51" t="s">
        <v>429</v>
      </c>
      <c r="B1" s="51" t="s">
        <v>430</v>
      </c>
      <c r="C1" s="51" t="s">
        <v>112</v>
      </c>
      <c r="D1" s="48" t="s">
        <v>321</v>
      </c>
      <c r="E1" s="48" t="s">
        <v>321</v>
      </c>
    </row>
    <row r="2" ht="15.75" customHeight="1">
      <c r="A2" s="48" t="s">
        <v>431</v>
      </c>
      <c r="B2" s="48" t="s">
        <v>432</v>
      </c>
      <c r="C2" s="63" t="s">
        <v>198</v>
      </c>
      <c r="D2" s="48"/>
      <c r="E2" s="48" t="s">
        <v>116</v>
      </c>
    </row>
    <row r="3" ht="15.75" customHeight="1">
      <c r="A3" s="64" t="s">
        <v>433</v>
      </c>
      <c r="B3" s="64" t="s">
        <v>434</v>
      </c>
      <c r="C3" s="65" t="s">
        <v>435</v>
      </c>
      <c r="D3" s="64" t="s">
        <v>261</v>
      </c>
      <c r="E3" s="48" t="s">
        <v>116</v>
      </c>
    </row>
    <row r="4" ht="15.75" customHeight="1">
      <c r="A4" s="64" t="s">
        <v>436</v>
      </c>
      <c r="B4" s="64" t="s">
        <v>437</v>
      </c>
      <c r="C4" s="66" t="s">
        <v>198</v>
      </c>
      <c r="D4" s="64" t="s">
        <v>261</v>
      </c>
      <c r="E4" s="48" t="s">
        <v>116</v>
      </c>
    </row>
    <row r="5" ht="15.75" customHeight="1">
      <c r="A5" s="48" t="s">
        <v>438</v>
      </c>
      <c r="B5" s="48" t="s">
        <v>439</v>
      </c>
      <c r="C5" s="63" t="s">
        <v>198</v>
      </c>
      <c r="D5" s="48"/>
      <c r="E5" s="48" t="s">
        <v>116</v>
      </c>
    </row>
    <row r="6" ht="15.75" customHeight="1">
      <c r="A6" s="48" t="s">
        <v>440</v>
      </c>
      <c r="B6" s="48" t="s">
        <v>441</v>
      </c>
      <c r="C6" s="62" t="s">
        <v>442</v>
      </c>
      <c r="D6" s="48"/>
      <c r="E6" s="48" t="s">
        <v>116</v>
      </c>
    </row>
    <row r="7" ht="15.75" customHeight="1">
      <c r="A7" s="34" t="s">
        <v>443</v>
      </c>
      <c r="B7" s="34" t="s">
        <v>444</v>
      </c>
      <c r="C7" s="35" t="s">
        <v>445</v>
      </c>
      <c r="D7" s="34" t="s">
        <v>261</v>
      </c>
      <c r="E7" s="48" t="s">
        <v>116</v>
      </c>
    </row>
    <row r="8" ht="15.75" customHeight="1">
      <c r="A8" s="34" t="s">
        <v>446</v>
      </c>
      <c r="B8" s="34" t="s">
        <v>447</v>
      </c>
      <c r="C8" s="35" t="s">
        <v>448</v>
      </c>
      <c r="D8" s="34" t="s">
        <v>261</v>
      </c>
      <c r="E8" s="48" t="s">
        <v>116</v>
      </c>
    </row>
    <row r="9" ht="15.75" customHeight="1">
      <c r="A9" s="48" t="s">
        <v>449</v>
      </c>
      <c r="B9" s="48" t="s">
        <v>450</v>
      </c>
      <c r="C9" s="63" t="s">
        <v>198</v>
      </c>
      <c r="D9" s="48"/>
      <c r="E9" s="48" t="s">
        <v>116</v>
      </c>
    </row>
    <row r="10" ht="15.75" customHeight="1">
      <c r="A10" s="48" t="s">
        <v>451</v>
      </c>
      <c r="B10" s="48" t="s">
        <v>452</v>
      </c>
      <c r="C10" s="62" t="s">
        <v>453</v>
      </c>
      <c r="D10" s="48"/>
      <c r="E10" s="48" t="s">
        <v>116</v>
      </c>
    </row>
    <row r="11" ht="15.75" customHeight="1">
      <c r="A11" s="34" t="s">
        <v>454</v>
      </c>
      <c r="B11" s="34" t="s">
        <v>455</v>
      </c>
      <c r="C11" s="35" t="s">
        <v>456</v>
      </c>
      <c r="D11" s="34"/>
      <c r="E11" s="48" t="s">
        <v>116</v>
      </c>
    </row>
    <row r="12" ht="15.75" customHeight="1">
      <c r="A12" s="34" t="s">
        <v>457</v>
      </c>
      <c r="B12" s="34" t="s">
        <v>458</v>
      </c>
      <c r="C12" s="35" t="s">
        <v>459</v>
      </c>
      <c r="D12" s="34" t="s">
        <v>460</v>
      </c>
      <c r="E12" s="48" t="s">
        <v>116</v>
      </c>
    </row>
    <row r="13" ht="15.75" customHeight="1">
      <c r="A13" s="34" t="s">
        <v>461</v>
      </c>
      <c r="B13" s="34" t="s">
        <v>462</v>
      </c>
      <c r="C13" s="35" t="s">
        <v>463</v>
      </c>
      <c r="D13" s="34" t="s">
        <v>464</v>
      </c>
      <c r="E13" s="48" t="s">
        <v>116</v>
      </c>
    </row>
    <row r="14" ht="15.75" customHeight="1">
      <c r="A14" s="34" t="s">
        <v>465</v>
      </c>
      <c r="B14" s="34" t="s">
        <v>466</v>
      </c>
      <c r="C14" s="35" t="s">
        <v>467</v>
      </c>
      <c r="D14" s="34" t="s">
        <v>464</v>
      </c>
      <c r="E14" s="48" t="s">
        <v>116</v>
      </c>
    </row>
    <row r="15" ht="15.75" customHeight="1">
      <c r="A15" s="34" t="s">
        <v>468</v>
      </c>
      <c r="B15" s="34" t="s">
        <v>469</v>
      </c>
      <c r="C15" s="35" t="s">
        <v>470</v>
      </c>
      <c r="D15" s="34" t="s">
        <v>464</v>
      </c>
      <c r="E15" s="48" t="s">
        <v>116</v>
      </c>
    </row>
    <row r="16" ht="15.75" customHeight="1">
      <c r="A16" s="34" t="s">
        <v>471</v>
      </c>
      <c r="B16" s="34" t="s">
        <v>472</v>
      </c>
      <c r="C16" s="35" t="s">
        <v>473</v>
      </c>
      <c r="D16" s="34" t="s">
        <v>464</v>
      </c>
      <c r="E16" s="48" t="s">
        <v>116</v>
      </c>
      <c r="H16" s="37"/>
    </row>
    <row r="17" ht="15.75" customHeight="1">
      <c r="A17" s="34" t="s">
        <v>474</v>
      </c>
      <c r="B17" s="34" t="s">
        <v>475</v>
      </c>
      <c r="C17" s="35" t="s">
        <v>476</v>
      </c>
      <c r="D17" s="34" t="s">
        <v>464</v>
      </c>
      <c r="E17" s="48" t="s">
        <v>116</v>
      </c>
    </row>
    <row r="18" ht="15.75" customHeight="1">
      <c r="A18" s="48" t="s">
        <v>477</v>
      </c>
      <c r="B18" s="48" t="s">
        <v>478</v>
      </c>
      <c r="C18" s="62" t="s">
        <v>479</v>
      </c>
      <c r="D18" s="48"/>
      <c r="E18" s="48" t="s">
        <v>116</v>
      </c>
    </row>
    <row r="19" ht="15.75" customHeight="1">
      <c r="A19" s="34" t="s">
        <v>480</v>
      </c>
      <c r="B19" s="34" t="s">
        <v>478</v>
      </c>
      <c r="C19" s="35" t="s">
        <v>481</v>
      </c>
      <c r="D19" s="34" t="s">
        <v>482</v>
      </c>
      <c r="E19" s="48" t="s">
        <v>116</v>
      </c>
      <c r="F19" s="36"/>
      <c r="G19" s="36"/>
    </row>
    <row r="20" ht="15.75" customHeight="1">
      <c r="A20" s="34" t="s">
        <v>483</v>
      </c>
      <c r="B20" s="34" t="s">
        <v>484</v>
      </c>
      <c r="C20" s="35" t="s">
        <v>485</v>
      </c>
      <c r="D20" s="34" t="s">
        <v>482</v>
      </c>
      <c r="E20" s="48" t="s">
        <v>116</v>
      </c>
    </row>
    <row r="21" ht="15.75" customHeight="1">
      <c r="A21" s="34" t="s">
        <v>486</v>
      </c>
      <c r="B21" s="34" t="s">
        <v>487</v>
      </c>
      <c r="C21" s="35" t="s">
        <v>488</v>
      </c>
      <c r="D21" s="34" t="s">
        <v>482</v>
      </c>
      <c r="E21" s="48" t="s">
        <v>116</v>
      </c>
    </row>
    <row r="22" ht="15.75" customHeight="1">
      <c r="A22" s="34" t="s">
        <v>489</v>
      </c>
      <c r="B22" s="34" t="s">
        <v>475</v>
      </c>
      <c r="C22" s="35" t="s">
        <v>490</v>
      </c>
      <c r="D22" s="34" t="s">
        <v>482</v>
      </c>
      <c r="E22" s="48" t="s">
        <v>116</v>
      </c>
    </row>
    <row r="23" ht="15.75" customHeight="1">
      <c r="A23" s="34" t="s">
        <v>491</v>
      </c>
      <c r="B23" s="34" t="s">
        <v>139</v>
      </c>
      <c r="C23" s="35" t="s">
        <v>492</v>
      </c>
      <c r="D23" s="34" t="s">
        <v>482</v>
      </c>
      <c r="E23" s="48" t="s">
        <v>116</v>
      </c>
    </row>
    <row r="24" ht="15.75" customHeight="1">
      <c r="A24" s="48" t="s">
        <v>493</v>
      </c>
      <c r="B24" s="48" t="s">
        <v>494</v>
      </c>
      <c r="C24" s="62" t="s">
        <v>495</v>
      </c>
      <c r="D24" s="48" t="s">
        <v>116</v>
      </c>
      <c r="E24" s="48"/>
      <c r="G24" s="36" t="s">
        <v>496</v>
      </c>
    </row>
    <row r="25" ht="15.75" customHeight="1">
      <c r="A25" s="48" t="s">
        <v>497</v>
      </c>
      <c r="B25" s="48" t="s">
        <v>498</v>
      </c>
      <c r="C25" s="63" t="s">
        <v>198</v>
      </c>
      <c r="D25" s="48" t="s">
        <v>116</v>
      </c>
      <c r="E25" s="48"/>
    </row>
    <row r="26" ht="15.75" customHeight="1">
      <c r="A26" s="34" t="s">
        <v>499</v>
      </c>
      <c r="B26" s="34" t="s">
        <v>500</v>
      </c>
      <c r="C26" s="35" t="s">
        <v>501</v>
      </c>
      <c r="D26" s="34" t="s">
        <v>502</v>
      </c>
      <c r="E26" s="48"/>
    </row>
    <row r="27" ht="15.75" customHeight="1">
      <c r="A27" s="34" t="s">
        <v>503</v>
      </c>
      <c r="B27" s="34" t="s">
        <v>198</v>
      </c>
      <c r="C27" s="35" t="s">
        <v>504</v>
      </c>
      <c r="D27" s="34" t="s">
        <v>502</v>
      </c>
      <c r="E27" s="48"/>
    </row>
    <row r="28" ht="15.75" customHeight="1">
      <c r="A28" s="34" t="s">
        <v>505</v>
      </c>
      <c r="B28" s="34" t="s">
        <v>506</v>
      </c>
      <c r="C28" s="35" t="s">
        <v>507</v>
      </c>
      <c r="D28" s="34" t="s">
        <v>502</v>
      </c>
      <c r="E28" s="48"/>
    </row>
    <row r="29" ht="15.75" customHeight="1">
      <c r="A29" s="34" t="s">
        <v>508</v>
      </c>
      <c r="B29" s="34" t="s">
        <v>509</v>
      </c>
      <c r="C29" s="35" t="s">
        <v>510</v>
      </c>
      <c r="D29" s="34" t="s">
        <v>502</v>
      </c>
      <c r="E29" s="48"/>
    </row>
    <row r="30" ht="15.75" customHeight="1">
      <c r="A30" s="34" t="s">
        <v>511</v>
      </c>
      <c r="B30" s="34" t="s">
        <v>198</v>
      </c>
      <c r="C30" s="35" t="s">
        <v>512</v>
      </c>
      <c r="D30" s="34" t="s">
        <v>502</v>
      </c>
      <c r="E30" s="48"/>
    </row>
    <row r="31" ht="15.75" customHeight="1">
      <c r="A31" s="34" t="s">
        <v>513</v>
      </c>
      <c r="B31" s="34" t="s">
        <v>514</v>
      </c>
      <c r="C31" s="35" t="s">
        <v>515</v>
      </c>
      <c r="D31" s="34" t="s">
        <v>261</v>
      </c>
      <c r="E31" s="48"/>
    </row>
    <row r="32" ht="15.75" customHeight="1">
      <c r="A32" s="48" t="s">
        <v>516</v>
      </c>
      <c r="B32" s="48" t="s">
        <v>517</v>
      </c>
      <c r="C32" s="63" t="s">
        <v>198</v>
      </c>
      <c r="D32" s="48"/>
      <c r="E32" s="48"/>
    </row>
    <row r="33" ht="15.75" customHeight="1">
      <c r="A33" s="48" t="s">
        <v>518</v>
      </c>
      <c r="B33" s="48" t="s">
        <v>519</v>
      </c>
      <c r="C33" s="63" t="s">
        <v>198</v>
      </c>
      <c r="D33" s="48" t="s">
        <v>116</v>
      </c>
      <c r="E33" s="48"/>
    </row>
    <row r="34" ht="15.75" customHeight="1">
      <c r="A34" s="34" t="s">
        <v>520</v>
      </c>
      <c r="B34" s="34" t="s">
        <v>521</v>
      </c>
      <c r="C34" s="35" t="s">
        <v>522</v>
      </c>
      <c r="D34" s="34" t="s">
        <v>261</v>
      </c>
      <c r="E34" s="48"/>
    </row>
    <row r="35" ht="15.75" customHeight="1">
      <c r="A35" s="34" t="s">
        <v>523</v>
      </c>
      <c r="B35" s="34" t="s">
        <v>524</v>
      </c>
      <c r="C35" s="35" t="s">
        <v>525</v>
      </c>
      <c r="D35" s="34" t="s">
        <v>261</v>
      </c>
      <c r="E35" s="48"/>
    </row>
    <row r="36" ht="15.75" customHeight="1">
      <c r="A36" s="48" t="s">
        <v>526</v>
      </c>
      <c r="B36" s="48" t="s">
        <v>527</v>
      </c>
      <c r="C36" s="63"/>
      <c r="D36" s="48"/>
      <c r="E36" s="48"/>
    </row>
    <row r="37" ht="15.75" customHeight="1">
      <c r="A37" s="48" t="s">
        <v>528</v>
      </c>
      <c r="B37" s="48" t="s">
        <v>529</v>
      </c>
      <c r="C37" s="62" t="s">
        <v>530</v>
      </c>
      <c r="D37" s="48" t="s">
        <v>531</v>
      </c>
      <c r="E37" s="48"/>
    </row>
    <row r="38" ht="15.75" customHeight="1">
      <c r="A38" s="48" t="s">
        <v>532</v>
      </c>
      <c r="B38" s="48" t="s">
        <v>533</v>
      </c>
      <c r="C38" s="62" t="s">
        <v>534</v>
      </c>
      <c r="D38" s="48" t="s">
        <v>535</v>
      </c>
      <c r="E38" s="4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27.86"/>
    <col customWidth="1" min="3" max="3" width="28.14"/>
    <col customWidth="1" min="4" max="6" width="14.43"/>
  </cols>
  <sheetData>
    <row r="1" ht="15.75" customHeight="1">
      <c r="A1" s="50" t="s">
        <v>110</v>
      </c>
      <c r="B1" s="50" t="s">
        <v>111</v>
      </c>
      <c r="C1" s="50" t="s">
        <v>536</v>
      </c>
      <c r="D1" s="67"/>
      <c r="E1" s="67" t="s">
        <v>321</v>
      </c>
    </row>
    <row r="2" ht="15.75" customHeight="1">
      <c r="A2" s="52" t="s">
        <v>537</v>
      </c>
      <c r="B2" s="52" t="s">
        <v>538</v>
      </c>
      <c r="C2" s="56" t="s">
        <v>198</v>
      </c>
      <c r="D2" s="52">
        <v>1.0</v>
      </c>
      <c r="E2" s="52"/>
    </row>
    <row r="3" ht="15.75" customHeight="1">
      <c r="A3" s="52" t="s">
        <v>539</v>
      </c>
      <c r="B3" s="52" t="s">
        <v>540</v>
      </c>
      <c r="C3" s="53" t="s">
        <v>541</v>
      </c>
      <c r="D3" s="52">
        <v>2.0</v>
      </c>
      <c r="E3" s="52" t="s">
        <v>367</v>
      </c>
    </row>
    <row r="4" ht="15.75" customHeight="1">
      <c r="A4" s="52" t="s">
        <v>542</v>
      </c>
      <c r="B4" s="52" t="s">
        <v>543</v>
      </c>
      <c r="C4" s="56" t="s">
        <v>198</v>
      </c>
      <c r="D4" s="52">
        <v>3.0</v>
      </c>
      <c r="E4" s="52" t="s">
        <v>232</v>
      </c>
    </row>
    <row r="5" ht="15.75" customHeight="1">
      <c r="A5" s="52" t="s">
        <v>544</v>
      </c>
      <c r="B5" s="52" t="s">
        <v>139</v>
      </c>
      <c r="C5" s="53" t="s">
        <v>545</v>
      </c>
      <c r="D5" s="52">
        <v>4.0</v>
      </c>
      <c r="E5" s="52" t="s">
        <v>546</v>
      </c>
    </row>
    <row r="6" ht="15.75" customHeight="1">
      <c r="A6" s="52" t="s">
        <v>547</v>
      </c>
      <c r="B6" s="52" t="s">
        <v>548</v>
      </c>
      <c r="C6" s="53" t="s">
        <v>549</v>
      </c>
      <c r="D6" s="52">
        <v>5.0</v>
      </c>
      <c r="E6" s="52" t="s">
        <v>367</v>
      </c>
    </row>
    <row r="7" ht="15.75" customHeight="1">
      <c r="A7" s="52" t="s">
        <v>550</v>
      </c>
      <c r="B7" s="52" t="s">
        <v>551</v>
      </c>
      <c r="C7" s="56" t="s">
        <v>198</v>
      </c>
      <c r="D7" s="52">
        <v>6.0</v>
      </c>
      <c r="E7" s="52"/>
    </row>
    <row r="8" ht="15.75" customHeight="1">
      <c r="A8" s="52" t="s">
        <v>552</v>
      </c>
      <c r="B8" s="52" t="s">
        <v>139</v>
      </c>
      <c r="C8" s="53" t="s">
        <v>553</v>
      </c>
      <c r="D8" s="52">
        <v>7.0</v>
      </c>
      <c r="E8" s="52" t="s">
        <v>232</v>
      </c>
    </row>
    <row r="9" ht="15.75" customHeight="1">
      <c r="A9" s="52" t="s">
        <v>554</v>
      </c>
      <c r="B9" s="52" t="s">
        <v>555</v>
      </c>
      <c r="C9" s="56" t="s">
        <v>198</v>
      </c>
      <c r="D9" s="52">
        <v>8.0</v>
      </c>
      <c r="E9" s="52"/>
    </row>
    <row r="10" ht="15.75" customHeight="1">
      <c r="A10" s="52" t="s">
        <v>556</v>
      </c>
      <c r="B10" s="52" t="s">
        <v>557</v>
      </c>
      <c r="C10" s="53" t="s">
        <v>558</v>
      </c>
      <c r="D10" s="52">
        <v>9.0</v>
      </c>
      <c r="E10" s="52" t="s">
        <v>367</v>
      </c>
    </row>
    <row r="11" ht="15.75" customHeight="1">
      <c r="A11" s="52" t="s">
        <v>559</v>
      </c>
      <c r="B11" s="52" t="s">
        <v>560</v>
      </c>
      <c r="C11" s="53" t="s">
        <v>561</v>
      </c>
      <c r="D11" s="52">
        <v>10.0</v>
      </c>
      <c r="E11" s="52" t="s">
        <v>367</v>
      </c>
    </row>
    <row r="12" ht="15.75" customHeight="1">
      <c r="A12" s="52" t="s">
        <v>562</v>
      </c>
      <c r="B12" s="52" t="s">
        <v>563</v>
      </c>
      <c r="C12" s="53" t="s">
        <v>564</v>
      </c>
      <c r="D12" s="52">
        <v>11.0</v>
      </c>
      <c r="E12" s="52" t="s">
        <v>565</v>
      </c>
    </row>
    <row r="13" ht="15.75" customHeight="1">
      <c r="A13" s="52" t="s">
        <v>566</v>
      </c>
      <c r="B13" s="52" t="s">
        <v>567</v>
      </c>
      <c r="C13" s="53" t="s">
        <v>568</v>
      </c>
      <c r="D13" s="52">
        <v>12.0</v>
      </c>
      <c r="E13" s="52" t="s">
        <v>565</v>
      </c>
    </row>
    <row r="14" ht="15.75" customHeight="1">
      <c r="A14" s="52" t="s">
        <v>569</v>
      </c>
      <c r="B14" s="52" t="s">
        <v>570</v>
      </c>
      <c r="C14" s="53" t="s">
        <v>571</v>
      </c>
      <c r="D14" s="52">
        <v>13.0</v>
      </c>
      <c r="E14" s="52" t="s">
        <v>565</v>
      </c>
    </row>
    <row r="15" ht="15.75" customHeight="1">
      <c r="A15" s="52" t="s">
        <v>572</v>
      </c>
      <c r="B15" s="52" t="s">
        <v>198</v>
      </c>
      <c r="C15" s="53" t="s">
        <v>573</v>
      </c>
      <c r="D15" s="52">
        <v>14.0</v>
      </c>
      <c r="E15" s="52" t="s">
        <v>565</v>
      </c>
    </row>
    <row r="16" ht="15.75" customHeight="1">
      <c r="A16" s="52" t="s">
        <v>574</v>
      </c>
      <c r="B16" s="52" t="s">
        <v>575</v>
      </c>
      <c r="C16" s="53" t="s">
        <v>576</v>
      </c>
      <c r="D16" s="52">
        <v>15.0</v>
      </c>
      <c r="E16" s="52" t="s">
        <v>565</v>
      </c>
    </row>
    <row r="17" ht="15.75" customHeight="1">
      <c r="A17" s="52" t="s">
        <v>577</v>
      </c>
      <c r="B17" s="52" t="s">
        <v>578</v>
      </c>
      <c r="C17" s="56" t="s">
        <v>198</v>
      </c>
      <c r="D17" s="52">
        <v>16.0</v>
      </c>
      <c r="E17" s="52"/>
    </row>
    <row r="18" ht="15.75" customHeight="1">
      <c r="A18" s="52" t="s">
        <v>579</v>
      </c>
      <c r="B18" s="52" t="s">
        <v>580</v>
      </c>
      <c r="C18" s="53" t="s">
        <v>581</v>
      </c>
      <c r="D18" s="52">
        <v>17.0</v>
      </c>
      <c r="E18" s="52" t="s">
        <v>535</v>
      </c>
    </row>
    <row r="19" ht="15.75" customHeight="1">
      <c r="A19" s="52" t="s">
        <v>582</v>
      </c>
      <c r="B19" s="52" t="s">
        <v>583</v>
      </c>
      <c r="C19" s="53" t="s">
        <v>584</v>
      </c>
      <c r="D19" s="52">
        <v>18.0</v>
      </c>
      <c r="E19" s="52" t="s">
        <v>535</v>
      </c>
    </row>
    <row r="20" ht="15.75" customHeight="1">
      <c r="A20" s="52" t="s">
        <v>585</v>
      </c>
      <c r="B20" s="52" t="s">
        <v>586</v>
      </c>
      <c r="C20" s="53" t="s">
        <v>587</v>
      </c>
      <c r="D20" s="52">
        <v>19.0</v>
      </c>
      <c r="E20" s="52" t="s">
        <v>232</v>
      </c>
    </row>
    <row r="21" ht="15.75" customHeight="1">
      <c r="A21" s="52" t="s">
        <v>588</v>
      </c>
      <c r="B21" s="52" t="s">
        <v>589</v>
      </c>
      <c r="C21" s="56" t="s">
        <v>198</v>
      </c>
      <c r="D21" s="52">
        <v>20.0</v>
      </c>
      <c r="E21" s="52"/>
    </row>
    <row r="22" ht="15.75" customHeight="1">
      <c r="A22" s="52" t="s">
        <v>590</v>
      </c>
      <c r="B22" s="52" t="s">
        <v>591</v>
      </c>
      <c r="C22" s="53" t="s">
        <v>592</v>
      </c>
      <c r="D22" s="52">
        <v>21.0</v>
      </c>
      <c r="E22" s="52" t="s">
        <v>535</v>
      </c>
    </row>
    <row r="23" ht="15.75" customHeight="1">
      <c r="A23" s="52" t="s">
        <v>593</v>
      </c>
      <c r="B23" s="52" t="s">
        <v>594</v>
      </c>
      <c r="C23" s="53" t="s">
        <v>595</v>
      </c>
      <c r="D23" s="52">
        <v>22.0</v>
      </c>
      <c r="E23" s="52" t="s">
        <v>535</v>
      </c>
    </row>
    <row r="24" ht="15.75" customHeight="1">
      <c r="A24" s="52" t="s">
        <v>596</v>
      </c>
      <c r="B24" s="52" t="s">
        <v>597</v>
      </c>
      <c r="C24" s="68">
        <v>1.4166183311E10</v>
      </c>
      <c r="D24" s="52">
        <v>23.0</v>
      </c>
      <c r="E24" s="52" t="s">
        <v>535</v>
      </c>
    </row>
    <row r="25" ht="15.75" customHeight="1">
      <c r="A25" s="52" t="s">
        <v>598</v>
      </c>
      <c r="B25" s="52" t="s">
        <v>599</v>
      </c>
      <c r="C25" s="53" t="s">
        <v>600</v>
      </c>
      <c r="D25" s="52">
        <v>24.0</v>
      </c>
      <c r="E25" s="52" t="s">
        <v>535</v>
      </c>
    </row>
    <row r="26" ht="15.75" customHeight="1">
      <c r="A26" s="52" t="s">
        <v>601</v>
      </c>
      <c r="B26" s="52" t="s">
        <v>602</v>
      </c>
      <c r="C26" s="56" t="s">
        <v>198</v>
      </c>
      <c r="D26" s="52">
        <v>25.0</v>
      </c>
      <c r="E26" s="52" t="s">
        <v>232</v>
      </c>
    </row>
    <row r="27" ht="15.75" customHeight="1">
      <c r="A27" s="52" t="s">
        <v>603</v>
      </c>
      <c r="B27" s="52" t="s">
        <v>604</v>
      </c>
      <c r="C27" s="53" t="s">
        <v>605</v>
      </c>
      <c r="D27" s="52">
        <v>26.0</v>
      </c>
      <c r="E27" s="52" t="s">
        <v>535</v>
      </c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6.86"/>
    <col customWidth="1" min="3" max="3" width="28.86"/>
    <col customWidth="1" min="4" max="4" width="14.43"/>
    <col customWidth="1" min="5" max="5" width="21.0"/>
    <col customWidth="1" min="6" max="6" width="14.43"/>
  </cols>
  <sheetData>
    <row r="1" ht="15.75" customHeight="1">
      <c r="A1" s="69" t="s">
        <v>110</v>
      </c>
      <c r="B1" s="69" t="s">
        <v>111</v>
      </c>
      <c r="C1" s="69" t="s">
        <v>112</v>
      </c>
      <c r="D1" s="52"/>
      <c r="E1" s="52" t="s">
        <v>321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52" t="s">
        <v>606</v>
      </c>
      <c r="B2" s="52" t="s">
        <v>139</v>
      </c>
      <c r="C2" s="53" t="s">
        <v>607</v>
      </c>
      <c r="D2" s="52">
        <v>1.0</v>
      </c>
      <c r="E2" s="52" t="s">
        <v>608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52" t="s">
        <v>609</v>
      </c>
      <c r="B3" s="52" t="s">
        <v>610</v>
      </c>
      <c r="C3" s="53" t="s">
        <v>607</v>
      </c>
      <c r="D3" s="52">
        <v>2.0</v>
      </c>
      <c r="E3" s="52" t="s">
        <v>608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52" t="s">
        <v>611</v>
      </c>
      <c r="B4" s="52" t="s">
        <v>612</v>
      </c>
      <c r="C4" s="56" t="s">
        <v>198</v>
      </c>
      <c r="D4" s="52">
        <v>3.0</v>
      </c>
      <c r="E4" s="52" t="s">
        <v>608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52" t="s">
        <v>613</v>
      </c>
      <c r="B5" s="52" t="s">
        <v>198</v>
      </c>
      <c r="C5" s="53" t="s">
        <v>614</v>
      </c>
      <c r="D5" s="52">
        <v>4.0</v>
      </c>
      <c r="E5" s="52" t="s">
        <v>608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52" t="s">
        <v>615</v>
      </c>
      <c r="B6" s="52" t="s">
        <v>198</v>
      </c>
      <c r="C6" s="53" t="s">
        <v>616</v>
      </c>
      <c r="D6" s="52">
        <v>5.0</v>
      </c>
      <c r="E6" s="52" t="s">
        <v>608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52" t="s">
        <v>617</v>
      </c>
      <c r="B7" s="52" t="s">
        <v>618</v>
      </c>
      <c r="C7" s="53" t="s">
        <v>616</v>
      </c>
      <c r="D7" s="52">
        <v>6.0</v>
      </c>
      <c r="E7" s="52" t="s">
        <v>619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52" t="s">
        <v>620</v>
      </c>
      <c r="B8" s="52" t="s">
        <v>621</v>
      </c>
      <c r="C8" s="53" t="s">
        <v>622</v>
      </c>
      <c r="D8" s="52">
        <v>7.0</v>
      </c>
      <c r="E8" s="52" t="s">
        <v>619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52" t="s">
        <v>623</v>
      </c>
      <c r="B9" s="52" t="s">
        <v>624</v>
      </c>
      <c r="C9" s="53" t="s">
        <v>625</v>
      </c>
      <c r="D9" s="52">
        <v>8.0</v>
      </c>
      <c r="E9" s="52" t="s">
        <v>619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52" t="s">
        <v>626</v>
      </c>
      <c r="B10" s="52" t="s">
        <v>627</v>
      </c>
      <c r="C10" s="53" t="s">
        <v>628</v>
      </c>
      <c r="D10" s="52">
        <v>9.0</v>
      </c>
      <c r="E10" s="52" t="s">
        <v>128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52" t="s">
        <v>629</v>
      </c>
      <c r="B11" s="52" t="s">
        <v>630</v>
      </c>
      <c r="C11" s="53" t="s">
        <v>631</v>
      </c>
      <c r="D11" s="52">
        <v>10.0</v>
      </c>
      <c r="E11" s="52" t="s">
        <v>128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52" t="s">
        <v>632</v>
      </c>
      <c r="B12" s="52" t="s">
        <v>633</v>
      </c>
      <c r="C12" s="56" t="s">
        <v>198</v>
      </c>
      <c r="D12" s="52">
        <v>11.0</v>
      </c>
      <c r="E12" s="5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52" t="s">
        <v>634</v>
      </c>
      <c r="B13" s="52" t="s">
        <v>635</v>
      </c>
      <c r="C13" s="56" t="s">
        <v>198</v>
      </c>
      <c r="D13" s="52">
        <v>12.0</v>
      </c>
      <c r="E13" s="5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52" t="s">
        <v>636</v>
      </c>
      <c r="B14" s="52" t="s">
        <v>637</v>
      </c>
      <c r="C14" s="53" t="s">
        <v>631</v>
      </c>
      <c r="D14" s="52">
        <v>13.0</v>
      </c>
      <c r="E14" s="52" t="s">
        <v>619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52" t="s">
        <v>638</v>
      </c>
      <c r="B15" s="52" t="s">
        <v>639</v>
      </c>
      <c r="C15" s="53" t="s">
        <v>640</v>
      </c>
      <c r="D15" s="52">
        <v>14.0</v>
      </c>
      <c r="E15" s="52" t="s">
        <v>619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52" t="s">
        <v>641</v>
      </c>
      <c r="B16" s="52" t="s">
        <v>642</v>
      </c>
      <c r="C16" s="56" t="s">
        <v>198</v>
      </c>
      <c r="D16" s="52">
        <v>15.0</v>
      </c>
      <c r="E16" s="5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52" t="s">
        <v>643</v>
      </c>
      <c r="B17" s="52" t="s">
        <v>644</v>
      </c>
      <c r="C17" s="53" t="s">
        <v>645</v>
      </c>
      <c r="D17" s="52">
        <v>16.0</v>
      </c>
      <c r="E17" s="52" t="s">
        <v>128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52" t="s">
        <v>646</v>
      </c>
      <c r="B18" s="52" t="s">
        <v>647</v>
      </c>
      <c r="C18" s="53" t="s">
        <v>648</v>
      </c>
      <c r="D18" s="52">
        <v>17.0</v>
      </c>
      <c r="E18" s="52" t="s">
        <v>128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38.71"/>
    <col customWidth="1" min="3" max="3" width="31.14"/>
    <col customWidth="1" min="4" max="6" width="14.43"/>
  </cols>
  <sheetData>
    <row r="1" ht="15.75" customHeight="1">
      <c r="A1" s="48" t="s">
        <v>110</v>
      </c>
      <c r="B1" s="48" t="s">
        <v>111</v>
      </c>
      <c r="C1" s="48" t="s">
        <v>112</v>
      </c>
      <c r="D1" s="48" t="s">
        <v>202</v>
      </c>
      <c r="E1" s="48" t="s">
        <v>186</v>
      </c>
      <c r="F1" s="48"/>
    </row>
    <row r="2" ht="15.75" customHeight="1">
      <c r="A2" s="48" t="s">
        <v>649</v>
      </c>
      <c r="B2" s="48" t="s">
        <v>650</v>
      </c>
      <c r="C2" s="62" t="s">
        <v>651</v>
      </c>
      <c r="D2" s="48" t="s">
        <v>652</v>
      </c>
      <c r="E2" s="48" t="s">
        <v>367</v>
      </c>
      <c r="F2" s="48">
        <v>1.0</v>
      </c>
    </row>
    <row r="3" ht="15.75" customHeight="1">
      <c r="A3" s="48" t="s">
        <v>653</v>
      </c>
      <c r="B3" s="48" t="s">
        <v>654</v>
      </c>
      <c r="C3" s="48" t="s">
        <v>198</v>
      </c>
      <c r="D3" s="48" t="s">
        <v>652</v>
      </c>
      <c r="E3" s="48" t="s">
        <v>367</v>
      </c>
      <c r="F3" s="48">
        <v>2.0</v>
      </c>
    </row>
    <row r="4" ht="15.75" customHeight="1">
      <c r="A4" s="48" t="s">
        <v>655</v>
      </c>
      <c r="B4" s="48" t="s">
        <v>656</v>
      </c>
      <c r="C4" s="62" t="s">
        <v>657</v>
      </c>
      <c r="D4" s="48" t="s">
        <v>652</v>
      </c>
      <c r="E4" s="48" t="s">
        <v>367</v>
      </c>
      <c r="F4" s="48">
        <v>3.0</v>
      </c>
    </row>
    <row r="5" ht="15.75" customHeight="1">
      <c r="A5" s="48" t="s">
        <v>658</v>
      </c>
      <c r="B5" s="48" t="s">
        <v>659</v>
      </c>
      <c r="C5" s="62" t="s">
        <v>660</v>
      </c>
      <c r="D5" s="48" t="s">
        <v>652</v>
      </c>
      <c r="E5" s="48" t="s">
        <v>367</v>
      </c>
      <c r="F5" s="48">
        <v>4.0</v>
      </c>
    </row>
    <row r="6" ht="15.75" customHeight="1">
      <c r="A6" s="48" t="s">
        <v>431</v>
      </c>
      <c r="B6" s="48" t="s">
        <v>432</v>
      </c>
      <c r="C6" s="48" t="s">
        <v>198</v>
      </c>
      <c r="D6" s="48" t="s">
        <v>652</v>
      </c>
      <c r="E6" s="48" t="s">
        <v>367</v>
      </c>
      <c r="F6" s="48">
        <v>5.0</v>
      </c>
    </row>
    <row r="7" ht="15.75" customHeight="1">
      <c r="A7" s="48" t="s">
        <v>661</v>
      </c>
      <c r="B7" s="48" t="s">
        <v>662</v>
      </c>
      <c r="C7" s="48"/>
      <c r="D7" s="48" t="s">
        <v>652</v>
      </c>
      <c r="E7" s="48"/>
      <c r="F7" s="48">
        <v>6.0</v>
      </c>
    </row>
    <row r="8" ht="15.75" customHeight="1">
      <c r="A8" s="48" t="s">
        <v>663</v>
      </c>
      <c r="B8" s="48" t="s">
        <v>664</v>
      </c>
      <c r="C8" s="62" t="s">
        <v>665</v>
      </c>
      <c r="D8" s="48" t="s">
        <v>666</v>
      </c>
      <c r="E8" s="48" t="s">
        <v>667</v>
      </c>
      <c r="F8" s="48">
        <v>7.0</v>
      </c>
    </row>
    <row r="9" ht="15.75" customHeight="1">
      <c r="A9" s="48" t="s">
        <v>668</v>
      </c>
      <c r="B9" s="48" t="s">
        <v>669</v>
      </c>
      <c r="C9" s="62" t="s">
        <v>670</v>
      </c>
      <c r="D9" s="48" t="s">
        <v>666</v>
      </c>
      <c r="E9" s="48" t="s">
        <v>667</v>
      </c>
      <c r="F9" s="48">
        <v>8.0</v>
      </c>
    </row>
    <row r="10" ht="15.75" customHeight="1">
      <c r="A10" s="48" t="s">
        <v>671</v>
      </c>
      <c r="B10" s="48" t="s">
        <v>672</v>
      </c>
      <c r="C10" s="62" t="s">
        <v>673</v>
      </c>
      <c r="D10" s="48" t="s">
        <v>666</v>
      </c>
      <c r="E10" s="48" t="s">
        <v>667</v>
      </c>
      <c r="F10" s="48">
        <v>9.0</v>
      </c>
      <c r="H10" s="36"/>
      <c r="I10" s="36"/>
      <c r="J10" s="36"/>
    </row>
    <row r="11" ht="15.75" customHeight="1">
      <c r="A11" s="48" t="s">
        <v>674</v>
      </c>
      <c r="B11" s="48" t="s">
        <v>675</v>
      </c>
      <c r="C11" s="48" t="s">
        <v>198</v>
      </c>
      <c r="D11" s="48" t="s">
        <v>666</v>
      </c>
      <c r="E11" s="48"/>
      <c r="F11" s="48">
        <v>10.0</v>
      </c>
      <c r="H11" s="36"/>
      <c r="I11" s="36"/>
      <c r="J11" s="36"/>
    </row>
    <row r="12" ht="15.75" customHeight="1">
      <c r="A12" s="48" t="s">
        <v>676</v>
      </c>
      <c r="B12" s="48" t="s">
        <v>677</v>
      </c>
      <c r="C12" s="62" t="s">
        <v>678</v>
      </c>
      <c r="D12" s="48" t="s">
        <v>679</v>
      </c>
      <c r="E12" s="48" t="s">
        <v>667</v>
      </c>
      <c r="F12" s="48">
        <v>11.0</v>
      </c>
      <c r="H12" s="36"/>
      <c r="I12" s="36"/>
      <c r="J12" s="36"/>
    </row>
    <row r="13" ht="15.75" customHeight="1">
      <c r="A13" s="48" t="s">
        <v>680</v>
      </c>
      <c r="B13" s="48" t="s">
        <v>681</v>
      </c>
      <c r="C13" s="48" t="s">
        <v>198</v>
      </c>
      <c r="D13" s="48" t="s">
        <v>679</v>
      </c>
      <c r="E13" s="48"/>
      <c r="F13" s="48">
        <v>12.0</v>
      </c>
      <c r="H13" s="36"/>
      <c r="I13" s="36"/>
      <c r="J13" s="36"/>
    </row>
    <row r="14" ht="15.75" customHeight="1">
      <c r="A14" s="48" t="s">
        <v>682</v>
      </c>
      <c r="B14" s="48" t="s">
        <v>683</v>
      </c>
      <c r="C14" s="62" t="s">
        <v>684</v>
      </c>
      <c r="D14" s="48" t="s">
        <v>685</v>
      </c>
      <c r="E14" s="48" t="s">
        <v>261</v>
      </c>
      <c r="F14" s="48">
        <v>13.0</v>
      </c>
      <c r="H14" s="36"/>
      <c r="I14" s="36"/>
      <c r="J14" s="36"/>
    </row>
    <row r="15" ht="15.75" customHeight="1">
      <c r="A15" s="48" t="s">
        <v>686</v>
      </c>
      <c r="B15" s="48" t="s">
        <v>687</v>
      </c>
      <c r="C15" s="62" t="s">
        <v>688</v>
      </c>
      <c r="D15" s="48" t="s">
        <v>685</v>
      </c>
      <c r="E15" s="48" t="s">
        <v>261</v>
      </c>
      <c r="F15" s="48">
        <v>14.0</v>
      </c>
    </row>
    <row r="16" ht="15.75" customHeight="1">
      <c r="A16" s="48" t="s">
        <v>689</v>
      </c>
      <c r="B16" s="48" t="s">
        <v>690</v>
      </c>
      <c r="C16" s="62" t="s">
        <v>691</v>
      </c>
      <c r="D16" s="48" t="s">
        <v>685</v>
      </c>
      <c r="E16" s="48" t="s">
        <v>261</v>
      </c>
      <c r="F16" s="48">
        <v>15.0</v>
      </c>
    </row>
    <row r="17" ht="15.75" customHeight="1">
      <c r="A17" s="48" t="s">
        <v>692</v>
      </c>
      <c r="B17" s="48" t="s">
        <v>198</v>
      </c>
      <c r="C17" s="62" t="s">
        <v>693</v>
      </c>
      <c r="D17" s="48" t="s">
        <v>685</v>
      </c>
      <c r="E17" s="48" t="s">
        <v>261</v>
      </c>
      <c r="F17" s="48">
        <v>16.0</v>
      </c>
    </row>
    <row r="18" ht="15.75" customHeight="1">
      <c r="A18" s="48" t="s">
        <v>694</v>
      </c>
      <c r="B18" s="48" t="s">
        <v>198</v>
      </c>
      <c r="C18" s="62" t="s">
        <v>695</v>
      </c>
      <c r="D18" s="48" t="s">
        <v>685</v>
      </c>
      <c r="E18" s="48" t="s">
        <v>261</v>
      </c>
      <c r="F18" s="48">
        <v>17.0</v>
      </c>
    </row>
    <row r="19" ht="15.75" customHeight="1">
      <c r="A19" s="48" t="s">
        <v>696</v>
      </c>
      <c r="B19" s="48" t="s">
        <v>697</v>
      </c>
      <c r="C19" s="63" t="s">
        <v>198</v>
      </c>
      <c r="D19" s="48" t="s">
        <v>685</v>
      </c>
      <c r="E19" s="48"/>
      <c r="F19" s="48">
        <v>18.0</v>
      </c>
    </row>
    <row r="20" ht="15.75" customHeight="1">
      <c r="A20" s="48" t="s">
        <v>698</v>
      </c>
      <c r="B20" s="48" t="s">
        <v>699</v>
      </c>
      <c r="C20" s="62" t="s">
        <v>700</v>
      </c>
      <c r="D20" s="48" t="s">
        <v>685</v>
      </c>
      <c r="E20" s="48" t="s">
        <v>128</v>
      </c>
      <c r="F20" s="48">
        <v>19.0</v>
      </c>
    </row>
    <row r="21" ht="15.75" customHeight="1">
      <c r="A21" s="48" t="s">
        <v>701</v>
      </c>
      <c r="B21" s="48" t="s">
        <v>198</v>
      </c>
      <c r="C21" s="62" t="s">
        <v>702</v>
      </c>
      <c r="D21" s="48" t="s">
        <v>685</v>
      </c>
      <c r="E21" s="48" t="s">
        <v>128</v>
      </c>
      <c r="F21" s="48">
        <v>20.0</v>
      </c>
    </row>
    <row r="22" ht="15.75" customHeight="1">
      <c r="A22" s="48" t="s">
        <v>703</v>
      </c>
      <c r="B22" s="48" t="s">
        <v>704</v>
      </c>
      <c r="C22" s="62" t="s">
        <v>705</v>
      </c>
      <c r="D22" s="48" t="s">
        <v>685</v>
      </c>
      <c r="E22" s="48" t="s">
        <v>128</v>
      </c>
      <c r="F22" s="48">
        <v>21.0</v>
      </c>
    </row>
    <row r="23" ht="15.75" customHeight="1">
      <c r="A23" s="48" t="s">
        <v>706</v>
      </c>
      <c r="B23" s="48" t="s">
        <v>707</v>
      </c>
      <c r="C23" s="62" t="s">
        <v>708</v>
      </c>
      <c r="D23" s="48" t="s">
        <v>685</v>
      </c>
      <c r="E23" s="48" t="s">
        <v>128</v>
      </c>
      <c r="F23" s="48">
        <v>22.0</v>
      </c>
    </row>
    <row r="24" ht="15.75" customHeight="1">
      <c r="A24" s="48" t="s">
        <v>709</v>
      </c>
      <c r="B24" s="48" t="s">
        <v>710</v>
      </c>
      <c r="C24" s="62" t="s">
        <v>711</v>
      </c>
      <c r="D24" s="48" t="s">
        <v>685</v>
      </c>
      <c r="E24" s="48" t="s">
        <v>261</v>
      </c>
      <c r="F24" s="48">
        <v>23.0</v>
      </c>
    </row>
    <row r="25" ht="15.75" customHeight="1">
      <c r="A25" s="48" t="s">
        <v>712</v>
      </c>
      <c r="B25" s="48" t="s">
        <v>713</v>
      </c>
      <c r="C25" s="62" t="s">
        <v>714</v>
      </c>
      <c r="D25" s="48" t="s">
        <v>685</v>
      </c>
      <c r="E25" s="48"/>
      <c r="F25" s="48">
        <v>24.0</v>
      </c>
    </row>
    <row r="26" ht="15.75" customHeight="1">
      <c r="A26" s="48" t="s">
        <v>139</v>
      </c>
      <c r="B26" s="48"/>
      <c r="C26" s="62" t="s">
        <v>715</v>
      </c>
      <c r="D26" s="48" t="s">
        <v>685</v>
      </c>
      <c r="E26" s="48"/>
      <c r="F26" s="48">
        <v>25.0</v>
      </c>
    </row>
    <row r="27" ht="15.75" customHeight="1">
      <c r="A27" s="48" t="s">
        <v>716</v>
      </c>
      <c r="B27" s="48" t="s">
        <v>717</v>
      </c>
      <c r="C27" s="62" t="s">
        <v>718</v>
      </c>
      <c r="D27" s="48" t="s">
        <v>685</v>
      </c>
      <c r="E27" s="48" t="s">
        <v>719</v>
      </c>
      <c r="F27" s="48">
        <v>26.0</v>
      </c>
    </row>
    <row r="28" ht="15.75" customHeight="1">
      <c r="A28" s="48" t="s">
        <v>720</v>
      </c>
      <c r="B28" s="48" t="s">
        <v>721</v>
      </c>
      <c r="C28" s="62" t="s">
        <v>722</v>
      </c>
      <c r="D28" s="48" t="s">
        <v>685</v>
      </c>
      <c r="E28" s="48" t="s">
        <v>719</v>
      </c>
      <c r="F28" s="48">
        <v>27.0</v>
      </c>
    </row>
    <row r="29" ht="15.75" customHeight="1">
      <c r="A29" s="48" t="s">
        <v>723</v>
      </c>
      <c r="B29" s="48" t="s">
        <v>724</v>
      </c>
      <c r="C29" s="62" t="s">
        <v>725</v>
      </c>
      <c r="D29" s="48" t="s">
        <v>685</v>
      </c>
      <c r="E29" s="48" t="s">
        <v>535</v>
      </c>
      <c r="F29" s="48">
        <v>28.0</v>
      </c>
    </row>
    <row r="30" ht="15.75" customHeight="1">
      <c r="A30" s="48" t="s">
        <v>726</v>
      </c>
      <c r="B30" s="48" t="s">
        <v>727</v>
      </c>
      <c r="C30" s="63" t="s">
        <v>198</v>
      </c>
      <c r="D30" s="48" t="s">
        <v>685</v>
      </c>
      <c r="E30" s="48" t="s">
        <v>535</v>
      </c>
      <c r="F30" s="48">
        <v>29.0</v>
      </c>
    </row>
    <row r="31" ht="15.75" customHeight="1">
      <c r="A31" s="48" t="s">
        <v>728</v>
      </c>
      <c r="B31" s="48" t="s">
        <v>729</v>
      </c>
      <c r="C31" s="62" t="s">
        <v>730</v>
      </c>
      <c r="D31" s="48" t="s">
        <v>685</v>
      </c>
      <c r="E31" s="48" t="s">
        <v>535</v>
      </c>
      <c r="F31" s="48">
        <v>30.0</v>
      </c>
    </row>
    <row r="32" ht="15.75" customHeight="1">
      <c r="A32" s="48" t="s">
        <v>728</v>
      </c>
      <c r="B32" s="48" t="s">
        <v>729</v>
      </c>
      <c r="C32" s="62" t="s">
        <v>730</v>
      </c>
      <c r="D32" s="48" t="s">
        <v>685</v>
      </c>
      <c r="E32" s="48" t="s">
        <v>535</v>
      </c>
      <c r="F32" s="48">
        <v>31.0</v>
      </c>
    </row>
    <row r="33" ht="15.75" customHeight="1">
      <c r="A33" s="48" t="s">
        <v>731</v>
      </c>
      <c r="B33" s="48" t="s">
        <v>732</v>
      </c>
      <c r="C33" s="48" t="s">
        <v>198</v>
      </c>
      <c r="D33" s="48" t="s">
        <v>733</v>
      </c>
      <c r="E33" s="48" t="s">
        <v>719</v>
      </c>
      <c r="F33" s="48">
        <v>32.0</v>
      </c>
    </row>
    <row r="34" ht="15.75" customHeight="1">
      <c r="A34" s="48" t="s">
        <v>734</v>
      </c>
      <c r="B34" s="48" t="s">
        <v>735</v>
      </c>
      <c r="C34" s="62" t="s">
        <v>736</v>
      </c>
      <c r="D34" s="48" t="s">
        <v>733</v>
      </c>
      <c r="E34" s="48"/>
      <c r="F34" s="48">
        <v>33.0</v>
      </c>
    </row>
    <row r="35" ht="15.75" customHeight="1">
      <c r="A35" s="48" t="s">
        <v>737</v>
      </c>
      <c r="B35" s="48" t="s">
        <v>717</v>
      </c>
      <c r="C35" s="62" t="s">
        <v>736</v>
      </c>
      <c r="D35" s="48" t="s">
        <v>733</v>
      </c>
      <c r="E35" s="48"/>
      <c r="F35" s="48">
        <v>34.0</v>
      </c>
    </row>
    <row r="36" ht="15.75" customHeight="1">
      <c r="A36" s="48" t="s">
        <v>738</v>
      </c>
      <c r="B36" s="48" t="s">
        <v>739</v>
      </c>
      <c r="C36" s="62" t="s">
        <v>740</v>
      </c>
      <c r="D36" s="48" t="s">
        <v>733</v>
      </c>
      <c r="E36" s="48"/>
      <c r="F36" s="48">
        <v>35.0</v>
      </c>
    </row>
    <row r="37" ht="15.75" customHeight="1">
      <c r="A37" s="48" t="s">
        <v>741</v>
      </c>
      <c r="B37" s="48" t="s">
        <v>742</v>
      </c>
      <c r="C37" s="48" t="s">
        <v>198</v>
      </c>
      <c r="D37" s="48" t="s">
        <v>733</v>
      </c>
      <c r="E37" s="48"/>
      <c r="F37" s="48">
        <v>36.0</v>
      </c>
    </row>
    <row r="38" ht="15.75" customHeight="1">
      <c r="A38" s="48" t="s">
        <v>743</v>
      </c>
      <c r="B38" s="48" t="s">
        <v>744</v>
      </c>
      <c r="C38" s="62" t="s">
        <v>745</v>
      </c>
      <c r="D38" s="48" t="s">
        <v>733</v>
      </c>
      <c r="E38" s="48"/>
      <c r="F38" s="48">
        <v>37.0</v>
      </c>
    </row>
    <row r="39" ht="15.75" customHeight="1">
      <c r="A39" s="48" t="s">
        <v>746</v>
      </c>
      <c r="B39" s="48" t="s">
        <v>747</v>
      </c>
      <c r="C39" s="62" t="s">
        <v>748</v>
      </c>
      <c r="D39" s="48" t="s">
        <v>733</v>
      </c>
      <c r="E39" s="48" t="s">
        <v>749</v>
      </c>
      <c r="F39" s="48">
        <v>38.0</v>
      </c>
    </row>
    <row r="40" ht="15.75" customHeight="1">
      <c r="A40" s="48" t="s">
        <v>750</v>
      </c>
      <c r="B40" s="48" t="s">
        <v>198</v>
      </c>
      <c r="C40" s="62" t="s">
        <v>751</v>
      </c>
      <c r="D40" s="48" t="s">
        <v>733</v>
      </c>
      <c r="E40" s="48" t="s">
        <v>261</v>
      </c>
      <c r="F40" s="48">
        <v>39.0</v>
      </c>
    </row>
    <row r="41" ht="15.75" customHeight="1">
      <c r="A41" s="48" t="s">
        <v>752</v>
      </c>
      <c r="B41" s="48" t="s">
        <v>753</v>
      </c>
      <c r="C41" s="62" t="s">
        <v>754</v>
      </c>
      <c r="D41" s="48" t="s">
        <v>733</v>
      </c>
      <c r="E41" s="48" t="s">
        <v>755</v>
      </c>
      <c r="F41" s="48">
        <v>40.0</v>
      </c>
    </row>
    <row r="42" ht="15.75" customHeight="1">
      <c r="A42" s="48" t="s">
        <v>756</v>
      </c>
      <c r="B42" s="48" t="s">
        <v>139</v>
      </c>
      <c r="C42" s="62" t="s">
        <v>757</v>
      </c>
      <c r="D42" s="48" t="s">
        <v>733</v>
      </c>
      <c r="E42" s="48" t="s">
        <v>755</v>
      </c>
      <c r="F42" s="48">
        <v>41.0</v>
      </c>
    </row>
    <row r="43" ht="15.75" customHeight="1">
      <c r="A43" s="48" t="s">
        <v>758</v>
      </c>
      <c r="B43" s="48" t="s">
        <v>759</v>
      </c>
      <c r="C43" s="48" t="s">
        <v>198</v>
      </c>
      <c r="D43" s="48" t="s">
        <v>733</v>
      </c>
      <c r="E43" s="48" t="s">
        <v>755</v>
      </c>
      <c r="F43" s="48">
        <v>42.0</v>
      </c>
    </row>
    <row r="44" ht="15.75" customHeight="1">
      <c r="A44" s="48" t="s">
        <v>760</v>
      </c>
      <c r="B44" s="48" t="s">
        <v>761</v>
      </c>
      <c r="C44" s="62" t="s">
        <v>762</v>
      </c>
      <c r="D44" s="48" t="s">
        <v>733</v>
      </c>
      <c r="E44" s="48" t="s">
        <v>755</v>
      </c>
      <c r="F44" s="48">
        <v>43.0</v>
      </c>
    </row>
    <row r="45" ht="15.75" customHeight="1">
      <c r="A45" s="48" t="s">
        <v>763</v>
      </c>
      <c r="B45" s="48" t="s">
        <v>198</v>
      </c>
      <c r="C45" s="62" t="s">
        <v>764</v>
      </c>
      <c r="D45" s="48" t="s">
        <v>765</v>
      </c>
      <c r="E45" s="48" t="s">
        <v>755</v>
      </c>
      <c r="F45" s="48">
        <v>44.0</v>
      </c>
    </row>
    <row r="46" ht="15.75" customHeight="1">
      <c r="A46" s="48" t="s">
        <v>766</v>
      </c>
      <c r="B46" s="48" t="s">
        <v>767</v>
      </c>
      <c r="C46" s="62" t="s">
        <v>768</v>
      </c>
      <c r="D46" s="48" t="s">
        <v>769</v>
      </c>
      <c r="E46" s="48"/>
      <c r="F46" s="48">
        <v>45.0</v>
      </c>
    </row>
    <row r="47" ht="15.75" customHeight="1">
      <c r="A47" s="48" t="s">
        <v>770</v>
      </c>
      <c r="B47" s="48" t="s">
        <v>475</v>
      </c>
      <c r="C47" s="62" t="s">
        <v>771</v>
      </c>
      <c r="D47" s="48" t="s">
        <v>769</v>
      </c>
      <c r="E47" s="48" t="s">
        <v>772</v>
      </c>
      <c r="F47" s="48">
        <v>46.0</v>
      </c>
    </row>
    <row r="48" ht="15.75" customHeight="1">
      <c r="A48" s="48" t="s">
        <v>773</v>
      </c>
      <c r="B48" s="48" t="s">
        <v>774</v>
      </c>
      <c r="C48" s="62" t="s">
        <v>775</v>
      </c>
      <c r="D48" s="48" t="s">
        <v>769</v>
      </c>
      <c r="E48" s="48" t="s">
        <v>719</v>
      </c>
      <c r="F48" s="48">
        <v>47.0</v>
      </c>
    </row>
    <row r="49" ht="15.75" customHeight="1">
      <c r="A49" s="48" t="s">
        <v>776</v>
      </c>
      <c r="B49" s="48" t="s">
        <v>777</v>
      </c>
      <c r="C49" s="62" t="s">
        <v>778</v>
      </c>
      <c r="D49" s="48" t="s">
        <v>769</v>
      </c>
      <c r="E49" s="48"/>
      <c r="F49" s="48">
        <v>48.0</v>
      </c>
    </row>
    <row r="50" ht="15.75" customHeight="1">
      <c r="A50" s="48" t="s">
        <v>779</v>
      </c>
      <c r="B50" s="48" t="s">
        <v>780</v>
      </c>
      <c r="C50" s="62" t="s">
        <v>781</v>
      </c>
      <c r="D50" s="48" t="s">
        <v>769</v>
      </c>
      <c r="E50" s="48" t="s">
        <v>261</v>
      </c>
      <c r="F50" s="48">
        <v>49.0</v>
      </c>
    </row>
    <row r="51" ht="15.75" customHeight="1">
      <c r="A51" s="48" t="s">
        <v>782</v>
      </c>
      <c r="B51" s="48" t="s">
        <v>783</v>
      </c>
      <c r="C51" s="62" t="s">
        <v>784</v>
      </c>
      <c r="D51" s="48" t="s">
        <v>769</v>
      </c>
      <c r="E51" s="48" t="s">
        <v>785</v>
      </c>
      <c r="F51" s="48">
        <v>50.0</v>
      </c>
    </row>
    <row r="52" ht="15.75" customHeight="1">
      <c r="A52" s="48" t="s">
        <v>786</v>
      </c>
      <c r="B52" s="48" t="s">
        <v>787</v>
      </c>
      <c r="C52" s="48" t="s">
        <v>198</v>
      </c>
      <c r="D52" s="48" t="s">
        <v>788</v>
      </c>
      <c r="E52" s="48" t="s">
        <v>785</v>
      </c>
      <c r="F52" s="48">
        <v>51.0</v>
      </c>
    </row>
    <row r="53" ht="15.75" customHeight="1">
      <c r="A53" s="48" t="s">
        <v>789</v>
      </c>
      <c r="B53" s="48" t="s">
        <v>790</v>
      </c>
      <c r="C53" s="62" t="s">
        <v>791</v>
      </c>
      <c r="D53" s="48" t="s">
        <v>788</v>
      </c>
      <c r="E53" s="48" t="s">
        <v>785</v>
      </c>
      <c r="F53" s="48">
        <v>52.0</v>
      </c>
    </row>
    <row r="54" ht="15.75" customHeight="1">
      <c r="A54" s="48" t="s">
        <v>792</v>
      </c>
      <c r="B54" s="48" t="s">
        <v>793</v>
      </c>
      <c r="C54" s="62" t="s">
        <v>794</v>
      </c>
      <c r="D54" s="48" t="s">
        <v>788</v>
      </c>
      <c r="E54" s="48" t="s">
        <v>785</v>
      </c>
      <c r="F54" s="48">
        <v>53.0</v>
      </c>
    </row>
    <row r="55" ht="15.75" customHeight="1">
      <c r="A55" s="48" t="s">
        <v>795</v>
      </c>
      <c r="B55" s="48" t="s">
        <v>796</v>
      </c>
      <c r="C55" s="62" t="s">
        <v>797</v>
      </c>
      <c r="D55" s="48" t="s">
        <v>788</v>
      </c>
      <c r="E55" s="48" t="s">
        <v>785</v>
      </c>
      <c r="F55" s="48">
        <v>54.0</v>
      </c>
    </row>
    <row r="56" ht="15.75" customHeight="1">
      <c r="A56" s="48" t="s">
        <v>798</v>
      </c>
      <c r="B56" s="48" t="s">
        <v>799</v>
      </c>
      <c r="C56" s="62" t="s">
        <v>800</v>
      </c>
      <c r="D56" s="48" t="s">
        <v>788</v>
      </c>
      <c r="E56" s="48" t="s">
        <v>261</v>
      </c>
      <c r="F56" s="48">
        <v>55.0</v>
      </c>
    </row>
    <row r="57" ht="15.75" customHeight="1">
      <c r="A57" s="48" t="s">
        <v>801</v>
      </c>
      <c r="B57" s="48" t="s">
        <v>802</v>
      </c>
      <c r="C57" s="62" t="s">
        <v>803</v>
      </c>
      <c r="D57" s="48" t="s">
        <v>788</v>
      </c>
      <c r="E57" s="48"/>
      <c r="F57" s="48">
        <v>56.0</v>
      </c>
    </row>
    <row r="58" ht="15.75" customHeight="1">
      <c r="A58" s="48" t="s">
        <v>804</v>
      </c>
      <c r="B58" s="48" t="s">
        <v>805</v>
      </c>
      <c r="C58" s="63" t="s">
        <v>198</v>
      </c>
      <c r="D58" s="48" t="s">
        <v>788</v>
      </c>
      <c r="E58" s="48"/>
      <c r="F58" s="48">
        <v>57.0</v>
      </c>
    </row>
    <row r="59" ht="15.75" customHeight="1">
      <c r="A59" s="48" t="s">
        <v>806</v>
      </c>
      <c r="B59" s="48" t="s">
        <v>807</v>
      </c>
      <c r="C59" s="63" t="s">
        <v>198</v>
      </c>
      <c r="D59" s="48" t="s">
        <v>788</v>
      </c>
      <c r="E59" s="48"/>
      <c r="F59" s="48">
        <v>58.0</v>
      </c>
    </row>
    <row r="60" ht="15.75" customHeight="1">
      <c r="A60" s="48" t="s">
        <v>808</v>
      </c>
      <c r="B60" s="48" t="s">
        <v>809</v>
      </c>
      <c r="C60" s="62" t="s">
        <v>810</v>
      </c>
      <c r="D60" s="48" t="s">
        <v>788</v>
      </c>
      <c r="E60" s="48" t="s">
        <v>116</v>
      </c>
      <c r="F60" s="48">
        <v>59.0</v>
      </c>
    </row>
    <row r="61" ht="15.75" customHeight="1">
      <c r="A61" s="48" t="s">
        <v>811</v>
      </c>
      <c r="B61" s="48" t="s">
        <v>812</v>
      </c>
      <c r="C61" s="62" t="s">
        <v>813</v>
      </c>
      <c r="D61" s="48" t="s">
        <v>788</v>
      </c>
      <c r="E61" s="48" t="s">
        <v>814</v>
      </c>
      <c r="F61" s="48">
        <v>60.0</v>
      </c>
    </row>
    <row r="62" ht="15.75" customHeight="1">
      <c r="A62" s="48" t="s">
        <v>815</v>
      </c>
      <c r="B62" s="48" t="s">
        <v>816</v>
      </c>
      <c r="C62" s="63" t="s">
        <v>198</v>
      </c>
      <c r="D62" s="48" t="s">
        <v>788</v>
      </c>
      <c r="E62" s="48"/>
      <c r="F62" s="48">
        <v>61.0</v>
      </c>
    </row>
    <row r="63" ht="15.75" customHeight="1">
      <c r="A63" s="48" t="s">
        <v>817</v>
      </c>
      <c r="B63" s="48" t="s">
        <v>818</v>
      </c>
      <c r="C63" s="62" t="s">
        <v>819</v>
      </c>
      <c r="D63" s="48" t="s">
        <v>788</v>
      </c>
      <c r="E63" s="48"/>
      <c r="F63" s="48">
        <v>62.0</v>
      </c>
    </row>
    <row r="64" ht="15.75" customHeight="1">
      <c r="A64" s="48" t="s">
        <v>820</v>
      </c>
      <c r="B64" s="48" t="s">
        <v>821</v>
      </c>
      <c r="C64" s="63" t="s">
        <v>198</v>
      </c>
      <c r="D64" s="48" t="s">
        <v>788</v>
      </c>
      <c r="E64" s="48"/>
      <c r="F64" s="48">
        <v>63.0</v>
      </c>
    </row>
    <row r="65" ht="15.75" customHeight="1">
      <c r="A65" s="48" t="s">
        <v>822</v>
      </c>
      <c r="B65" s="48" t="s">
        <v>823</v>
      </c>
      <c r="C65" s="62" t="s">
        <v>824</v>
      </c>
      <c r="D65" s="48" t="s">
        <v>788</v>
      </c>
      <c r="E65" s="48" t="s">
        <v>261</v>
      </c>
      <c r="F65" s="48">
        <v>64.0</v>
      </c>
    </row>
    <row r="66" ht="15.75" customHeight="1">
      <c r="A66" s="48" t="s">
        <v>825</v>
      </c>
      <c r="B66" s="48" t="s">
        <v>826</v>
      </c>
      <c r="C66" s="62" t="s">
        <v>827</v>
      </c>
      <c r="D66" s="48" t="s">
        <v>788</v>
      </c>
      <c r="E66" s="48" t="s">
        <v>261</v>
      </c>
      <c r="F66" s="48">
        <v>65.0</v>
      </c>
    </row>
    <row r="67" ht="15.75" customHeight="1">
      <c r="A67" s="70" t="s">
        <v>828</v>
      </c>
      <c r="B67" s="70" t="s">
        <v>829</v>
      </c>
      <c r="C67" s="62" t="s">
        <v>830</v>
      </c>
      <c r="D67" s="48" t="s">
        <v>831</v>
      </c>
      <c r="E67" s="48" t="s">
        <v>261</v>
      </c>
      <c r="F67" s="48">
        <v>66.0</v>
      </c>
    </row>
    <row r="68" ht="15.75" customHeight="1">
      <c r="A68" s="48" t="s">
        <v>832</v>
      </c>
      <c r="B68" s="48" t="s">
        <v>198</v>
      </c>
      <c r="C68" s="62" t="s">
        <v>833</v>
      </c>
      <c r="D68" s="48" t="s">
        <v>834</v>
      </c>
      <c r="E68" s="48" t="s">
        <v>261</v>
      </c>
      <c r="F68" s="48">
        <v>67.0</v>
      </c>
    </row>
    <row r="69" ht="15.75" customHeight="1">
      <c r="A69" s="48" t="s">
        <v>835</v>
      </c>
      <c r="B69" s="48" t="s">
        <v>836</v>
      </c>
      <c r="C69" s="62" t="s">
        <v>837</v>
      </c>
      <c r="D69" s="48" t="s">
        <v>834</v>
      </c>
      <c r="E69" s="48"/>
      <c r="F69" s="48">
        <v>68.0</v>
      </c>
      <c r="I69" s="23"/>
      <c r="J69" s="23"/>
    </row>
    <row r="70" ht="15.75" customHeight="1">
      <c r="A70" s="48" t="s">
        <v>838</v>
      </c>
      <c r="B70" s="48" t="s">
        <v>839</v>
      </c>
      <c r="C70" s="62" t="s">
        <v>840</v>
      </c>
      <c r="D70" s="48" t="s">
        <v>834</v>
      </c>
      <c r="E70" s="48"/>
      <c r="F70" s="48">
        <v>69.0</v>
      </c>
    </row>
    <row r="71" ht="15.75" customHeight="1">
      <c r="A71" s="48" t="s">
        <v>841</v>
      </c>
      <c r="B71" s="48" t="s">
        <v>198</v>
      </c>
      <c r="C71" s="62" t="s">
        <v>842</v>
      </c>
      <c r="D71" s="48" t="s">
        <v>834</v>
      </c>
      <c r="E71" s="48"/>
      <c r="F71" s="48">
        <v>70.0</v>
      </c>
    </row>
    <row r="72" ht="15.75" customHeight="1">
      <c r="A72" s="48" t="s">
        <v>843</v>
      </c>
      <c r="B72" s="48" t="s">
        <v>198</v>
      </c>
      <c r="C72" s="62" t="s">
        <v>844</v>
      </c>
      <c r="D72" s="48" t="s">
        <v>834</v>
      </c>
      <c r="E72" s="48"/>
      <c r="F72" s="48">
        <v>71.0</v>
      </c>
    </row>
    <row r="73" ht="15.75" customHeight="1">
      <c r="A73" s="48" t="s">
        <v>845</v>
      </c>
      <c r="B73" s="48" t="s">
        <v>198</v>
      </c>
      <c r="C73" s="62" t="s">
        <v>846</v>
      </c>
      <c r="D73" s="48" t="s">
        <v>834</v>
      </c>
      <c r="E73" s="48"/>
      <c r="F73" s="48">
        <v>72.0</v>
      </c>
    </row>
    <row r="74" ht="15.75" customHeight="1">
      <c r="A74" s="48" t="s">
        <v>847</v>
      </c>
      <c r="B74" s="48" t="s">
        <v>848</v>
      </c>
      <c r="C74" s="62" t="s">
        <v>849</v>
      </c>
      <c r="D74" s="48" t="s">
        <v>834</v>
      </c>
      <c r="E74" s="48"/>
      <c r="F74" s="48">
        <v>73.0</v>
      </c>
    </row>
    <row r="75" ht="15.75" customHeight="1">
      <c r="A75" s="48" t="s">
        <v>850</v>
      </c>
      <c r="B75" s="48" t="s">
        <v>851</v>
      </c>
      <c r="C75" s="48" t="s">
        <v>198</v>
      </c>
      <c r="D75" s="48" t="s">
        <v>834</v>
      </c>
      <c r="E75" s="48"/>
      <c r="F75" s="48">
        <v>74.0</v>
      </c>
    </row>
    <row r="76" ht="15.75" customHeight="1">
      <c r="A76" s="48" t="s">
        <v>852</v>
      </c>
      <c r="B76" s="48" t="s">
        <v>853</v>
      </c>
      <c r="C76" s="62" t="s">
        <v>854</v>
      </c>
      <c r="D76" s="48" t="s">
        <v>834</v>
      </c>
      <c r="E76" s="48"/>
      <c r="F76" s="48">
        <v>75.0</v>
      </c>
    </row>
    <row r="77" ht="15.75" customHeight="1">
      <c r="A77" s="48" t="s">
        <v>855</v>
      </c>
      <c r="B77" s="48" t="s">
        <v>198</v>
      </c>
      <c r="C77" s="62" t="s">
        <v>856</v>
      </c>
      <c r="D77" s="48" t="s">
        <v>834</v>
      </c>
      <c r="E77" s="48" t="s">
        <v>261</v>
      </c>
      <c r="F77" s="48">
        <v>76.0</v>
      </c>
    </row>
    <row r="78" ht="15.75" customHeight="1">
      <c r="A78" s="48" t="s">
        <v>857</v>
      </c>
      <c r="B78" s="48" t="s">
        <v>858</v>
      </c>
      <c r="C78" s="62" t="s">
        <v>859</v>
      </c>
      <c r="D78" s="48" t="s">
        <v>860</v>
      </c>
      <c r="E78" s="48" t="s">
        <v>261</v>
      </c>
      <c r="F78" s="48">
        <v>77.0</v>
      </c>
    </row>
    <row r="79" ht="15.75" customHeight="1">
      <c r="A79" s="48" t="s">
        <v>861</v>
      </c>
      <c r="B79" s="48" t="s">
        <v>862</v>
      </c>
      <c r="C79" s="62" t="s">
        <v>863</v>
      </c>
      <c r="D79" s="48" t="s">
        <v>860</v>
      </c>
      <c r="E79" s="48" t="s">
        <v>864</v>
      </c>
      <c r="F79" s="48">
        <v>78.0</v>
      </c>
    </row>
    <row r="80" ht="15.75" customHeight="1">
      <c r="A80" s="48" t="s">
        <v>865</v>
      </c>
      <c r="B80" s="48" t="s">
        <v>198</v>
      </c>
      <c r="C80" s="62" t="s">
        <v>866</v>
      </c>
      <c r="D80" s="48" t="s">
        <v>867</v>
      </c>
      <c r="E80" s="48" t="s">
        <v>864</v>
      </c>
      <c r="F80" s="48">
        <v>79.0</v>
      </c>
    </row>
    <row r="81" ht="15.75" customHeight="1">
      <c r="A81" s="48" t="s">
        <v>868</v>
      </c>
      <c r="B81" s="48" t="s">
        <v>478</v>
      </c>
      <c r="C81" s="62" t="s">
        <v>869</v>
      </c>
      <c r="D81" s="48" t="s">
        <v>870</v>
      </c>
      <c r="E81" s="48" t="s">
        <v>864</v>
      </c>
      <c r="F81" s="48">
        <v>81.0</v>
      </c>
    </row>
    <row r="82" ht="15.75" customHeight="1">
      <c r="A82" s="48" t="s">
        <v>871</v>
      </c>
      <c r="B82" s="48" t="s">
        <v>872</v>
      </c>
      <c r="C82" s="62" t="s">
        <v>873</v>
      </c>
      <c r="D82" s="48" t="s">
        <v>874</v>
      </c>
      <c r="E82" s="48" t="s">
        <v>864</v>
      </c>
      <c r="F82" s="48">
        <v>82.0</v>
      </c>
    </row>
    <row r="83" ht="15.75" customHeight="1">
      <c r="A83" s="48" t="s">
        <v>875</v>
      </c>
      <c r="B83" s="48" t="s">
        <v>876</v>
      </c>
      <c r="C83" s="62" t="s">
        <v>877</v>
      </c>
      <c r="D83" s="48" t="s">
        <v>878</v>
      </c>
      <c r="E83" s="48" t="s">
        <v>864</v>
      </c>
      <c r="F83" s="48">
        <v>83.0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33.86"/>
    <col customWidth="1" min="3" max="3" width="31.43"/>
    <col customWidth="1" min="4" max="4" width="25.43"/>
    <col customWidth="1" min="5" max="6" width="14.43"/>
    <col customWidth="1" min="8" max="8" width="17.86"/>
    <col customWidth="1" min="10" max="10" width="26.71"/>
  </cols>
  <sheetData>
    <row r="1" ht="15.75" customHeight="1">
      <c r="A1" s="16" t="s">
        <v>110</v>
      </c>
      <c r="B1" s="17" t="s">
        <v>111</v>
      </c>
      <c r="C1" s="71" t="s">
        <v>879</v>
      </c>
      <c r="D1" s="72" t="s">
        <v>880</v>
      </c>
      <c r="E1" s="73" t="s">
        <v>881</v>
      </c>
      <c r="F1" s="74" t="s">
        <v>321</v>
      </c>
      <c r="H1" s="75" t="s">
        <v>882</v>
      </c>
      <c r="I1" s="76"/>
      <c r="J1" s="77"/>
    </row>
    <row r="2" ht="15.75" customHeight="1">
      <c r="A2" s="51" t="s">
        <v>883</v>
      </c>
      <c r="B2" s="78"/>
      <c r="C2" s="79" t="s">
        <v>884</v>
      </c>
      <c r="D2" s="78"/>
      <c r="E2" s="80">
        <v>1.0</v>
      </c>
      <c r="F2" s="48"/>
      <c r="H2" s="81" t="s">
        <v>885</v>
      </c>
      <c r="I2" s="16" t="s">
        <v>886</v>
      </c>
      <c r="J2" s="82" t="s">
        <v>887</v>
      </c>
      <c r="K2" s="48"/>
    </row>
    <row r="3" ht="15.75" customHeight="1">
      <c r="A3" s="51" t="s">
        <v>832</v>
      </c>
      <c r="B3" s="78"/>
      <c r="C3" s="79" t="s">
        <v>833</v>
      </c>
      <c r="D3" s="83" t="s">
        <v>834</v>
      </c>
      <c r="E3" s="84">
        <v>2.0</v>
      </c>
      <c r="F3" s="48"/>
      <c r="H3" s="70" t="s">
        <v>888</v>
      </c>
      <c r="I3" s="83">
        <v>14.0</v>
      </c>
      <c r="J3" s="48">
        <v>6.0</v>
      </c>
      <c r="K3" s="48"/>
    </row>
    <row r="4" ht="15.75" customHeight="1">
      <c r="A4" s="51" t="s">
        <v>889</v>
      </c>
      <c r="B4" s="78"/>
      <c r="C4" s="79" t="s">
        <v>890</v>
      </c>
      <c r="D4" s="78"/>
      <c r="E4" s="80">
        <v>3.0</v>
      </c>
      <c r="F4" s="48"/>
      <c r="H4" s="48" t="s">
        <v>891</v>
      </c>
      <c r="I4" s="48">
        <v>3.0</v>
      </c>
      <c r="J4" s="48">
        <v>2.0</v>
      </c>
      <c r="K4" s="48"/>
    </row>
    <row r="5" ht="15.75" customHeight="1">
      <c r="A5" s="51" t="s">
        <v>892</v>
      </c>
      <c r="B5" s="85" t="s">
        <v>893</v>
      </c>
      <c r="C5" s="79" t="s">
        <v>894</v>
      </c>
      <c r="D5" s="83"/>
      <c r="E5" s="84">
        <v>4.0</v>
      </c>
      <c r="F5" s="48"/>
      <c r="H5" s="48" t="s">
        <v>336</v>
      </c>
      <c r="I5" s="48">
        <v>5.0</v>
      </c>
      <c r="J5" s="48">
        <v>2.0</v>
      </c>
      <c r="K5" s="48"/>
    </row>
    <row r="6" ht="15.75" customHeight="1">
      <c r="A6" s="51" t="s">
        <v>895</v>
      </c>
      <c r="B6" s="85" t="s">
        <v>896</v>
      </c>
      <c r="C6" s="79" t="s">
        <v>897</v>
      </c>
      <c r="D6" s="83" t="s">
        <v>898</v>
      </c>
      <c r="E6" s="80">
        <v>5.0</v>
      </c>
      <c r="F6" s="48"/>
      <c r="H6" s="48" t="s">
        <v>899</v>
      </c>
      <c r="I6" s="48">
        <v>11.0</v>
      </c>
      <c r="J6" s="48">
        <v>11.0</v>
      </c>
      <c r="K6" s="48"/>
    </row>
    <row r="7" ht="15.75" customHeight="1">
      <c r="A7" s="51" t="s">
        <v>900</v>
      </c>
      <c r="B7" s="85" t="s">
        <v>126</v>
      </c>
      <c r="C7" s="86" t="s">
        <v>198</v>
      </c>
      <c r="D7" s="78"/>
      <c r="E7" s="84">
        <v>6.0</v>
      </c>
      <c r="F7" s="48"/>
      <c r="H7" s="48" t="s">
        <v>878</v>
      </c>
      <c r="I7" s="48">
        <v>2.0</v>
      </c>
      <c r="J7" s="48">
        <v>1.0</v>
      </c>
      <c r="K7" s="48"/>
    </row>
    <row r="8" ht="15.75" customHeight="1">
      <c r="A8" s="51" t="s">
        <v>901</v>
      </c>
      <c r="B8" s="85" t="s">
        <v>902</v>
      </c>
      <c r="C8" s="79" t="s">
        <v>903</v>
      </c>
      <c r="D8" s="83" t="s">
        <v>904</v>
      </c>
      <c r="E8" s="80">
        <v>7.0</v>
      </c>
      <c r="F8" s="48"/>
      <c r="H8" s="48" t="s">
        <v>905</v>
      </c>
      <c r="I8" s="48">
        <v>1.0</v>
      </c>
      <c r="J8" s="48">
        <v>1.0</v>
      </c>
      <c r="K8" s="48"/>
    </row>
    <row r="9" ht="15.75" customHeight="1">
      <c r="A9" s="51" t="s">
        <v>906</v>
      </c>
      <c r="B9" s="85" t="s">
        <v>907</v>
      </c>
      <c r="C9" s="79" t="s">
        <v>908</v>
      </c>
      <c r="D9" s="83" t="s">
        <v>909</v>
      </c>
      <c r="E9" s="84">
        <v>8.0</v>
      </c>
      <c r="F9" s="48"/>
      <c r="H9" s="48" t="s">
        <v>910</v>
      </c>
      <c r="I9" s="48">
        <v>1.0</v>
      </c>
      <c r="J9" s="48" t="s">
        <v>911</v>
      </c>
      <c r="K9" s="48"/>
    </row>
    <row r="10" ht="15.75" customHeight="1">
      <c r="A10" s="51" t="s">
        <v>912</v>
      </c>
      <c r="B10" s="78"/>
      <c r="C10" s="79" t="s">
        <v>913</v>
      </c>
      <c r="D10" s="87"/>
      <c r="E10" s="80">
        <v>9.0</v>
      </c>
      <c r="F10" s="48"/>
      <c r="H10" s="48" t="s">
        <v>381</v>
      </c>
      <c r="I10" s="48">
        <v>6.0</v>
      </c>
      <c r="J10" s="48">
        <v>6.0</v>
      </c>
      <c r="K10" s="48"/>
    </row>
    <row r="11" ht="15.75" customHeight="1">
      <c r="A11" s="51" t="s">
        <v>914</v>
      </c>
      <c r="B11" s="85" t="s">
        <v>915</v>
      </c>
      <c r="C11" s="79" t="s">
        <v>916</v>
      </c>
      <c r="D11" s="83" t="s">
        <v>909</v>
      </c>
      <c r="E11" s="84">
        <v>10.0</v>
      </c>
      <c r="F11" s="48"/>
      <c r="H11" s="48" t="s">
        <v>917</v>
      </c>
      <c r="I11" s="48">
        <v>6.0</v>
      </c>
      <c r="J11" s="48">
        <v>5.0</v>
      </c>
      <c r="K11" s="48"/>
    </row>
    <row r="12" ht="15.75" customHeight="1">
      <c r="A12" s="51" t="s">
        <v>918</v>
      </c>
      <c r="B12" s="85" t="s">
        <v>919</v>
      </c>
      <c r="C12" s="79" t="s">
        <v>920</v>
      </c>
      <c r="D12" s="83" t="s">
        <v>921</v>
      </c>
      <c r="E12" s="80">
        <v>11.0</v>
      </c>
      <c r="F12" s="48"/>
      <c r="H12" s="48" t="s">
        <v>421</v>
      </c>
      <c r="I12" s="48">
        <v>1.0</v>
      </c>
      <c r="J12" s="48">
        <v>1.0</v>
      </c>
      <c r="K12" s="48"/>
    </row>
    <row r="13" ht="15.75" customHeight="1">
      <c r="A13" s="51" t="s">
        <v>274</v>
      </c>
      <c r="B13" s="85" t="s">
        <v>922</v>
      </c>
      <c r="C13" s="88">
        <v>9.6598009928E10</v>
      </c>
      <c r="D13" s="83" t="s">
        <v>205</v>
      </c>
      <c r="E13" s="84">
        <v>12.0</v>
      </c>
      <c r="F13" s="48"/>
      <c r="H13" s="48" t="s">
        <v>923</v>
      </c>
      <c r="I13" s="48">
        <v>20.0</v>
      </c>
      <c r="J13" s="48">
        <v>18.0</v>
      </c>
      <c r="K13" s="48"/>
    </row>
    <row r="14" ht="15.75" customHeight="1">
      <c r="A14" s="51" t="s">
        <v>924</v>
      </c>
      <c r="B14" s="85" t="s">
        <v>925</v>
      </c>
      <c r="C14" s="79" t="s">
        <v>926</v>
      </c>
      <c r="D14" s="83" t="s">
        <v>927</v>
      </c>
      <c r="E14" s="80">
        <v>13.0</v>
      </c>
      <c r="F14" s="48"/>
      <c r="H14" s="48" t="s">
        <v>769</v>
      </c>
      <c r="I14" s="48">
        <v>6.0</v>
      </c>
      <c r="J14" s="48">
        <v>6.0</v>
      </c>
      <c r="K14" s="48"/>
    </row>
    <row r="15" ht="15.75" customHeight="1">
      <c r="A15" s="51" t="s">
        <v>928</v>
      </c>
      <c r="B15" s="78"/>
      <c r="C15" s="79" t="s">
        <v>929</v>
      </c>
      <c r="D15" s="83" t="s">
        <v>930</v>
      </c>
      <c r="E15" s="84">
        <v>14.0</v>
      </c>
      <c r="F15" s="48"/>
      <c r="H15" s="48" t="s">
        <v>931</v>
      </c>
      <c r="I15" s="48">
        <v>2.0</v>
      </c>
      <c r="J15" s="48">
        <v>1.0</v>
      </c>
      <c r="K15" s="48"/>
    </row>
    <row r="16" ht="15.75" customHeight="1">
      <c r="A16" s="51" t="s">
        <v>932</v>
      </c>
      <c r="B16" s="85" t="s">
        <v>933</v>
      </c>
      <c r="C16" s="86"/>
      <c r="D16" s="83" t="s">
        <v>927</v>
      </c>
      <c r="E16" s="80">
        <v>15.0</v>
      </c>
      <c r="F16" s="48"/>
      <c r="H16" s="48" t="s">
        <v>934</v>
      </c>
      <c r="I16" s="48">
        <v>1.0</v>
      </c>
      <c r="J16" s="48" t="s">
        <v>911</v>
      </c>
      <c r="K16" s="48"/>
    </row>
    <row r="17" ht="15.75" customHeight="1">
      <c r="A17" s="51" t="s">
        <v>113</v>
      </c>
      <c r="B17" s="85" t="s">
        <v>114</v>
      </c>
      <c r="C17" s="79" t="s">
        <v>115</v>
      </c>
      <c r="D17" s="83" t="s">
        <v>935</v>
      </c>
      <c r="E17" s="84">
        <v>16.0</v>
      </c>
      <c r="F17" s="48"/>
      <c r="H17" s="48" t="s">
        <v>936</v>
      </c>
      <c r="I17" s="48">
        <v>10.0</v>
      </c>
      <c r="J17" s="48">
        <v>8.0</v>
      </c>
      <c r="K17" s="48"/>
    </row>
    <row r="18" ht="15.75" customHeight="1">
      <c r="A18" s="51" t="s">
        <v>937</v>
      </c>
      <c r="B18" s="85" t="s">
        <v>938</v>
      </c>
      <c r="C18" s="88" t="s">
        <v>939</v>
      </c>
      <c r="D18" s="83" t="s">
        <v>940</v>
      </c>
      <c r="E18" s="80">
        <v>17.0</v>
      </c>
      <c r="F18" s="48"/>
      <c r="H18" s="48" t="s">
        <v>941</v>
      </c>
      <c r="I18" s="48">
        <v>2.0</v>
      </c>
      <c r="J18" s="48">
        <v>2.0</v>
      </c>
      <c r="K18" s="48"/>
    </row>
    <row r="19" ht="15.75" customHeight="1">
      <c r="A19" s="51" t="s">
        <v>942</v>
      </c>
      <c r="B19" s="85" t="s">
        <v>943</v>
      </c>
      <c r="C19" s="83"/>
      <c r="D19" s="83" t="s">
        <v>944</v>
      </c>
      <c r="E19" s="84">
        <v>18.0</v>
      </c>
      <c r="F19" s="48"/>
      <c r="H19" s="48" t="s">
        <v>945</v>
      </c>
      <c r="I19" s="48">
        <v>1.0</v>
      </c>
      <c r="J19" s="48">
        <v>1.0</v>
      </c>
      <c r="K19" s="48"/>
    </row>
    <row r="20" ht="15.75" customHeight="1">
      <c r="A20" s="51" t="s">
        <v>946</v>
      </c>
      <c r="B20" s="85" t="s">
        <v>947</v>
      </c>
      <c r="C20" s="79" t="s">
        <v>948</v>
      </c>
      <c r="D20" s="83" t="s">
        <v>949</v>
      </c>
      <c r="E20" s="80">
        <v>19.0</v>
      </c>
      <c r="F20" s="48"/>
      <c r="H20" s="48" t="s">
        <v>788</v>
      </c>
      <c r="I20" s="48">
        <v>15.0</v>
      </c>
      <c r="J20" s="48">
        <v>10.0</v>
      </c>
      <c r="K20" s="48"/>
    </row>
    <row r="21" ht="15.75" customHeight="1">
      <c r="A21" s="51" t="s">
        <v>950</v>
      </c>
      <c r="B21" s="85" t="s">
        <v>951</v>
      </c>
      <c r="C21" s="89"/>
      <c r="D21" s="83" t="s">
        <v>909</v>
      </c>
      <c r="E21" s="84">
        <v>20.0</v>
      </c>
      <c r="F21" s="48"/>
      <c r="H21" s="48" t="s">
        <v>952</v>
      </c>
      <c r="I21" s="48">
        <v>1.0</v>
      </c>
      <c r="J21" s="48">
        <v>1.0</v>
      </c>
      <c r="K21" s="48"/>
    </row>
    <row r="22" ht="15.75" customHeight="1">
      <c r="A22" s="51" t="s">
        <v>953</v>
      </c>
      <c r="B22" s="85" t="s">
        <v>954</v>
      </c>
      <c r="C22" s="90">
        <v>9.71552111563E11</v>
      </c>
      <c r="D22" s="83" t="s">
        <v>955</v>
      </c>
      <c r="E22" s="80">
        <v>21.0</v>
      </c>
      <c r="F22" s="48" t="s">
        <v>116</v>
      </c>
      <c r="H22" s="48" t="s">
        <v>401</v>
      </c>
      <c r="I22" s="48">
        <v>6.0</v>
      </c>
      <c r="J22" s="48">
        <v>6.0</v>
      </c>
      <c r="K22" s="48"/>
    </row>
    <row r="23" ht="15.75" customHeight="1">
      <c r="A23" s="51" t="s">
        <v>956</v>
      </c>
      <c r="B23" s="78"/>
      <c r="C23" s="90">
        <v>9.71507117173E11</v>
      </c>
      <c r="D23" s="83" t="s">
        <v>955</v>
      </c>
      <c r="E23" s="84">
        <v>22.0</v>
      </c>
      <c r="F23" s="48" t="s">
        <v>116</v>
      </c>
      <c r="H23" s="48" t="s">
        <v>957</v>
      </c>
      <c r="I23" s="48">
        <v>1.0</v>
      </c>
      <c r="J23" s="48" t="s">
        <v>911</v>
      </c>
      <c r="K23" s="48"/>
    </row>
    <row r="24" ht="15.75" customHeight="1">
      <c r="A24" s="51" t="s">
        <v>958</v>
      </c>
      <c r="B24" s="85" t="s">
        <v>959</v>
      </c>
      <c r="C24" s="88">
        <v>9.6595558015E10</v>
      </c>
      <c r="D24" s="83" t="s">
        <v>960</v>
      </c>
      <c r="E24" s="80">
        <v>23.0</v>
      </c>
      <c r="F24" s="48"/>
      <c r="H24" s="48" t="s">
        <v>325</v>
      </c>
      <c r="I24" s="48">
        <v>3.0</v>
      </c>
      <c r="J24" s="48">
        <v>2.0</v>
      </c>
      <c r="K24" s="48"/>
    </row>
    <row r="25" ht="15.75" customHeight="1">
      <c r="A25" s="51" t="s">
        <v>961</v>
      </c>
      <c r="B25" s="85" t="s">
        <v>962</v>
      </c>
      <c r="C25" s="79" t="s">
        <v>963</v>
      </c>
      <c r="D25" s="83" t="s">
        <v>944</v>
      </c>
      <c r="E25" s="84">
        <v>24.0</v>
      </c>
      <c r="F25" s="48"/>
      <c r="H25" s="48" t="s">
        <v>964</v>
      </c>
      <c r="I25" s="48">
        <v>1.0</v>
      </c>
      <c r="J25" s="48">
        <v>1.0</v>
      </c>
      <c r="K25" s="48"/>
    </row>
    <row r="26" ht="15.75" customHeight="1">
      <c r="A26" s="51" t="s">
        <v>965</v>
      </c>
      <c r="B26" s="85" t="s">
        <v>966</v>
      </c>
      <c r="C26" s="79" t="s">
        <v>967</v>
      </c>
      <c r="D26" s="83" t="s">
        <v>968</v>
      </c>
      <c r="E26" s="80">
        <v>25.0</v>
      </c>
      <c r="F26" s="48"/>
      <c r="H26" s="48" t="s">
        <v>969</v>
      </c>
      <c r="I26" s="48">
        <v>30.0</v>
      </c>
      <c r="J26" s="48">
        <v>22.0</v>
      </c>
      <c r="K26" s="48"/>
    </row>
    <row r="27" ht="15.75" customHeight="1">
      <c r="A27" s="48" t="s">
        <v>970</v>
      </c>
      <c r="B27" s="48"/>
      <c r="C27" s="62" t="s">
        <v>971</v>
      </c>
      <c r="D27" s="83" t="s">
        <v>904</v>
      </c>
      <c r="E27" s="84">
        <v>26.0</v>
      </c>
      <c r="F27" s="48"/>
      <c r="H27" s="48" t="s">
        <v>930</v>
      </c>
      <c r="I27" s="48">
        <v>169.0</v>
      </c>
      <c r="J27" s="48"/>
      <c r="K27" s="48"/>
    </row>
    <row r="28" ht="15.75" customHeight="1">
      <c r="A28" s="48" t="s">
        <v>972</v>
      </c>
      <c r="B28" s="91" t="s">
        <v>973</v>
      </c>
      <c r="C28" s="92" t="s">
        <v>974</v>
      </c>
      <c r="D28" s="83" t="s">
        <v>955</v>
      </c>
      <c r="E28" s="80">
        <v>27.0</v>
      </c>
      <c r="F28" s="48" t="s">
        <v>116</v>
      </c>
      <c r="H28" s="48" t="s">
        <v>975</v>
      </c>
      <c r="I28" s="48">
        <v>4.0</v>
      </c>
      <c r="J28" s="48">
        <v>3.0</v>
      </c>
      <c r="K28" s="48"/>
    </row>
    <row r="29" ht="15.75" customHeight="1">
      <c r="A29" s="48" t="s">
        <v>976</v>
      </c>
      <c r="B29" s="48" t="s">
        <v>977</v>
      </c>
      <c r="C29" s="62" t="s">
        <v>978</v>
      </c>
      <c r="D29" s="83"/>
      <c r="E29" s="84">
        <v>28.0</v>
      </c>
      <c r="F29" s="48"/>
      <c r="H29" s="48" t="s">
        <v>979</v>
      </c>
      <c r="I29" s="48">
        <v>3.0</v>
      </c>
      <c r="J29" s="48">
        <v>3.0</v>
      </c>
      <c r="K29" s="48"/>
    </row>
    <row r="30" ht="15.75" customHeight="1">
      <c r="A30" s="48" t="s">
        <v>980</v>
      </c>
      <c r="B30" s="48" t="s">
        <v>981</v>
      </c>
      <c r="C30" s="62" t="s">
        <v>982</v>
      </c>
      <c r="D30" s="83" t="s">
        <v>930</v>
      </c>
      <c r="E30" s="80">
        <v>29.0</v>
      </c>
      <c r="F30" s="48"/>
      <c r="H30" s="48" t="s">
        <v>983</v>
      </c>
      <c r="I30" s="48">
        <v>7.0</v>
      </c>
      <c r="J30" s="48">
        <v>4.0</v>
      </c>
      <c r="K30" s="48"/>
    </row>
    <row r="31" ht="15.75" customHeight="1">
      <c r="A31" s="48" t="s">
        <v>984</v>
      </c>
      <c r="B31" s="48" t="s">
        <v>985</v>
      </c>
      <c r="C31" s="62" t="s">
        <v>986</v>
      </c>
      <c r="D31" s="83"/>
      <c r="E31" s="84">
        <v>30.0</v>
      </c>
      <c r="F31" s="48"/>
      <c r="H31" s="48" t="s">
        <v>987</v>
      </c>
      <c r="I31" s="48">
        <v>1.0</v>
      </c>
      <c r="J31" s="48">
        <v>1.0</v>
      </c>
      <c r="K31" s="48"/>
    </row>
    <row r="32" ht="15.75" customHeight="1">
      <c r="A32" s="48" t="s">
        <v>988</v>
      </c>
      <c r="B32" s="48" t="s">
        <v>989</v>
      </c>
      <c r="C32" s="62" t="s">
        <v>990</v>
      </c>
      <c r="D32" s="83" t="s">
        <v>930</v>
      </c>
      <c r="E32" s="80">
        <v>31.0</v>
      </c>
      <c r="F32" s="48"/>
      <c r="H32" s="48" t="s">
        <v>991</v>
      </c>
      <c r="I32" s="48">
        <v>2.0</v>
      </c>
      <c r="J32" s="48">
        <v>1.0</v>
      </c>
      <c r="K32" s="48"/>
    </row>
    <row r="33" ht="15.75" customHeight="1">
      <c r="A33" s="48" t="s">
        <v>992</v>
      </c>
      <c r="B33" s="48" t="s">
        <v>993</v>
      </c>
      <c r="C33" s="62" t="s">
        <v>994</v>
      </c>
      <c r="D33" s="83"/>
      <c r="E33" s="84">
        <v>32.0</v>
      </c>
      <c r="F33" s="48"/>
      <c r="H33" s="48" t="s">
        <v>995</v>
      </c>
      <c r="I33" s="48">
        <v>52.0</v>
      </c>
      <c r="J33" s="48">
        <v>43.0</v>
      </c>
      <c r="K33" s="48"/>
    </row>
    <row r="34" ht="15.75" customHeight="1">
      <c r="A34" s="48" t="s">
        <v>996</v>
      </c>
      <c r="B34" s="48" t="s">
        <v>198</v>
      </c>
      <c r="C34" s="62" t="s">
        <v>997</v>
      </c>
      <c r="D34" s="83" t="s">
        <v>930</v>
      </c>
      <c r="E34" s="80">
        <v>33.0</v>
      </c>
      <c r="F34" s="48"/>
      <c r="H34" s="48" t="s">
        <v>998</v>
      </c>
      <c r="I34" s="48">
        <v>2.0</v>
      </c>
      <c r="J34" s="48">
        <v>1.0</v>
      </c>
      <c r="K34" s="48"/>
    </row>
    <row r="35" ht="15.75" customHeight="1">
      <c r="A35" s="48" t="s">
        <v>999</v>
      </c>
      <c r="B35" s="48" t="s">
        <v>1000</v>
      </c>
      <c r="C35" s="62" t="s">
        <v>1001</v>
      </c>
      <c r="D35" s="83" t="s">
        <v>930</v>
      </c>
      <c r="E35" s="84">
        <v>34.0</v>
      </c>
      <c r="F35" s="48"/>
      <c r="H35" s="48" t="s">
        <v>1002</v>
      </c>
      <c r="I35" s="48">
        <v>2.0</v>
      </c>
      <c r="J35" s="48">
        <v>2.0</v>
      </c>
      <c r="K35" s="48"/>
    </row>
    <row r="36" ht="15.75" customHeight="1">
      <c r="A36" s="48" t="s">
        <v>1003</v>
      </c>
      <c r="B36" s="48" t="s">
        <v>1004</v>
      </c>
      <c r="C36" s="62" t="s">
        <v>1005</v>
      </c>
      <c r="D36" s="83" t="s">
        <v>930</v>
      </c>
      <c r="E36" s="80">
        <v>35.0</v>
      </c>
      <c r="F36" s="48"/>
      <c r="H36" s="48" t="s">
        <v>652</v>
      </c>
      <c r="I36" s="48">
        <v>6.0</v>
      </c>
      <c r="J36" s="48">
        <v>4.0</v>
      </c>
      <c r="K36" s="48"/>
    </row>
    <row r="37" ht="15.75" customHeight="1">
      <c r="A37" s="48" t="s">
        <v>1006</v>
      </c>
      <c r="B37" s="48" t="s">
        <v>1007</v>
      </c>
      <c r="C37" s="62" t="s">
        <v>1008</v>
      </c>
      <c r="D37" s="83" t="s">
        <v>930</v>
      </c>
      <c r="E37" s="84">
        <v>36.0</v>
      </c>
      <c r="F37" s="48"/>
      <c r="H37" s="48" t="s">
        <v>1009</v>
      </c>
      <c r="I37" s="48">
        <v>44.0</v>
      </c>
      <c r="J37" s="48">
        <v>35.0</v>
      </c>
      <c r="K37" s="48"/>
    </row>
    <row r="38" ht="15.75" customHeight="1">
      <c r="A38" s="48" t="s">
        <v>1010</v>
      </c>
      <c r="B38" s="48" t="s">
        <v>1011</v>
      </c>
      <c r="C38" s="62" t="s">
        <v>1005</v>
      </c>
      <c r="D38" s="83" t="s">
        <v>930</v>
      </c>
      <c r="E38" s="80">
        <v>37.0</v>
      </c>
      <c r="F38" s="48"/>
      <c r="H38" s="48" t="s">
        <v>904</v>
      </c>
      <c r="I38" s="48">
        <v>67.0</v>
      </c>
      <c r="J38" s="48">
        <v>46.0</v>
      </c>
      <c r="K38" s="48"/>
    </row>
    <row r="39" ht="15.75" customHeight="1">
      <c r="A39" s="48" t="s">
        <v>1012</v>
      </c>
      <c r="B39" s="48" t="s">
        <v>1013</v>
      </c>
      <c r="C39" s="62" t="s">
        <v>1014</v>
      </c>
      <c r="D39" s="83" t="s">
        <v>930</v>
      </c>
      <c r="E39" s="84">
        <v>38.0</v>
      </c>
      <c r="F39" s="48"/>
      <c r="H39" s="48" t="s">
        <v>874</v>
      </c>
      <c r="I39" s="48">
        <v>11.0</v>
      </c>
      <c r="J39" s="48">
        <v>10.0</v>
      </c>
      <c r="K39" s="48"/>
    </row>
    <row r="40" ht="15.75" customHeight="1">
      <c r="A40" s="48" t="s">
        <v>1015</v>
      </c>
      <c r="B40" s="48" t="s">
        <v>1016</v>
      </c>
      <c r="C40" s="62" t="s">
        <v>1017</v>
      </c>
      <c r="D40" s="83" t="s">
        <v>930</v>
      </c>
      <c r="E40" s="80">
        <v>39.0</v>
      </c>
      <c r="F40" s="48"/>
      <c r="H40" s="48" t="s">
        <v>1018</v>
      </c>
      <c r="I40" s="48">
        <v>2.0</v>
      </c>
      <c r="J40" s="48">
        <v>2.0</v>
      </c>
      <c r="K40" s="48"/>
    </row>
    <row r="41" ht="15.75" customHeight="1">
      <c r="A41" s="48" t="s">
        <v>1019</v>
      </c>
      <c r="B41" s="48" t="s">
        <v>1020</v>
      </c>
      <c r="C41" s="62" t="s">
        <v>1021</v>
      </c>
      <c r="D41" s="83" t="s">
        <v>930</v>
      </c>
      <c r="E41" s="84">
        <v>40.0</v>
      </c>
      <c r="F41" s="48"/>
      <c r="H41" s="48" t="s">
        <v>1022</v>
      </c>
      <c r="I41" s="48">
        <v>5.0</v>
      </c>
      <c r="J41" s="48">
        <v>4.0</v>
      </c>
      <c r="K41" s="48"/>
    </row>
    <row r="42" ht="15.75" customHeight="1">
      <c r="A42" s="48" t="s">
        <v>1023</v>
      </c>
      <c r="B42" s="48" t="s">
        <v>1024</v>
      </c>
      <c r="C42" s="62" t="s">
        <v>1025</v>
      </c>
      <c r="D42" s="83" t="s">
        <v>930</v>
      </c>
      <c r="E42" s="80">
        <v>41.0</v>
      </c>
      <c r="F42" s="48"/>
      <c r="H42" s="48" t="s">
        <v>1026</v>
      </c>
      <c r="I42" s="48">
        <v>1.0</v>
      </c>
      <c r="J42" s="48">
        <v>1.0</v>
      </c>
      <c r="K42" s="48"/>
    </row>
    <row r="43" ht="15.75" customHeight="1">
      <c r="A43" s="48" t="s">
        <v>1027</v>
      </c>
      <c r="B43" s="48" t="s">
        <v>1028</v>
      </c>
      <c r="C43" s="62" t="s">
        <v>1029</v>
      </c>
      <c r="D43" s="83" t="s">
        <v>930</v>
      </c>
      <c r="E43" s="84">
        <v>42.0</v>
      </c>
      <c r="F43" s="48"/>
      <c r="H43" s="48" t="s">
        <v>968</v>
      </c>
      <c r="I43" s="48">
        <v>102.0</v>
      </c>
      <c r="J43" s="48">
        <v>84.0</v>
      </c>
      <c r="K43" s="48"/>
    </row>
    <row r="44" ht="15.75" customHeight="1">
      <c r="A44" s="48" t="s">
        <v>1030</v>
      </c>
      <c r="B44" s="48" t="s">
        <v>1031</v>
      </c>
      <c r="C44" s="62" t="s">
        <v>1032</v>
      </c>
      <c r="D44" s="83"/>
      <c r="E44" s="80">
        <v>43.0</v>
      </c>
      <c r="F44" s="48"/>
      <c r="H44" s="48" t="s">
        <v>1033</v>
      </c>
      <c r="I44" s="48">
        <v>17.0</v>
      </c>
      <c r="J44" s="48">
        <v>15.0</v>
      </c>
      <c r="K44" s="48"/>
    </row>
    <row r="45" ht="15.75" customHeight="1">
      <c r="A45" s="48" t="s">
        <v>1034</v>
      </c>
      <c r="B45" s="48" t="s">
        <v>1035</v>
      </c>
      <c r="C45" s="62" t="s">
        <v>1036</v>
      </c>
      <c r="D45" s="83"/>
      <c r="E45" s="84">
        <v>44.0</v>
      </c>
      <c r="F45" s="48"/>
      <c r="H45" s="48" t="s">
        <v>1037</v>
      </c>
      <c r="I45" s="48">
        <v>29.0</v>
      </c>
      <c r="J45" s="48">
        <v>22.0</v>
      </c>
      <c r="K45" s="48"/>
    </row>
    <row r="46" ht="15.75" customHeight="1">
      <c r="A46" s="48" t="s">
        <v>1038</v>
      </c>
      <c r="B46" s="48" t="s">
        <v>1039</v>
      </c>
      <c r="C46" s="62" t="s">
        <v>1040</v>
      </c>
      <c r="D46" s="83" t="s">
        <v>930</v>
      </c>
      <c r="E46" s="80">
        <v>45.0</v>
      </c>
      <c r="F46" s="48"/>
      <c r="H46" s="48" t="s">
        <v>1041</v>
      </c>
      <c r="I46" s="48">
        <v>67.0</v>
      </c>
      <c r="J46" s="48">
        <v>54.0</v>
      </c>
      <c r="K46" s="48"/>
    </row>
    <row r="47" ht="15.75" customHeight="1">
      <c r="A47" s="48" t="s">
        <v>1042</v>
      </c>
      <c r="B47" s="48" t="s">
        <v>1043</v>
      </c>
      <c r="C47" s="62" t="s">
        <v>1044</v>
      </c>
      <c r="D47" s="83"/>
      <c r="E47" s="84">
        <v>46.0</v>
      </c>
      <c r="F47" s="48"/>
      <c r="H47" s="48" t="s">
        <v>1045</v>
      </c>
      <c r="I47" s="48">
        <v>4.0</v>
      </c>
      <c r="J47" s="48">
        <v>3.0</v>
      </c>
      <c r="K47" s="48"/>
    </row>
    <row r="48" ht="15.75" customHeight="1">
      <c r="A48" s="48" t="s">
        <v>1046</v>
      </c>
      <c r="B48" s="48" t="s">
        <v>1047</v>
      </c>
      <c r="C48" s="62" t="s">
        <v>1048</v>
      </c>
      <c r="D48" s="83" t="s">
        <v>930</v>
      </c>
      <c r="E48" s="80">
        <v>47.0</v>
      </c>
      <c r="F48" s="48"/>
      <c r="H48" s="48" t="s">
        <v>1049</v>
      </c>
      <c r="I48" s="48">
        <v>4.0</v>
      </c>
      <c r="J48" s="48">
        <v>4.0</v>
      </c>
      <c r="K48" s="48"/>
    </row>
    <row r="49" ht="15.75" customHeight="1">
      <c r="A49" s="48" t="s">
        <v>1050</v>
      </c>
      <c r="B49" s="48" t="s">
        <v>1051</v>
      </c>
      <c r="C49" s="62" t="s">
        <v>1052</v>
      </c>
      <c r="D49" s="83"/>
      <c r="E49" s="84">
        <v>48.0</v>
      </c>
      <c r="F49" s="48"/>
      <c r="H49" s="48" t="s">
        <v>1053</v>
      </c>
      <c r="I49" s="48">
        <v>29.0</v>
      </c>
      <c r="J49" s="48">
        <v>27.0</v>
      </c>
      <c r="K49" s="48"/>
    </row>
    <row r="50" ht="15.75" customHeight="1">
      <c r="A50" s="48" t="s">
        <v>1054</v>
      </c>
      <c r="B50" s="48" t="s">
        <v>1055</v>
      </c>
      <c r="C50" s="62" t="s">
        <v>1056</v>
      </c>
      <c r="D50" s="83" t="s">
        <v>930</v>
      </c>
      <c r="E50" s="80">
        <v>49.0</v>
      </c>
      <c r="F50" s="48"/>
      <c r="H50" s="48" t="s">
        <v>1057</v>
      </c>
      <c r="I50" s="48">
        <v>17.0</v>
      </c>
      <c r="J50" s="48">
        <v>14.0</v>
      </c>
      <c r="K50" s="48"/>
    </row>
    <row r="51" ht="15.75" customHeight="1">
      <c r="A51" s="48" t="s">
        <v>1058</v>
      </c>
      <c r="B51" s="48" t="s">
        <v>1059</v>
      </c>
      <c r="C51" s="62" t="s">
        <v>1060</v>
      </c>
      <c r="D51" s="83" t="s">
        <v>930</v>
      </c>
      <c r="E51" s="84">
        <v>50.0</v>
      </c>
      <c r="F51" s="48"/>
      <c r="H51" s="48" t="s">
        <v>1061</v>
      </c>
      <c r="I51" s="48">
        <v>3.0</v>
      </c>
      <c r="J51" s="48">
        <v>3.0</v>
      </c>
      <c r="K51" s="48"/>
    </row>
    <row r="52" ht="15.75" customHeight="1">
      <c r="A52" s="48" t="s">
        <v>1062</v>
      </c>
      <c r="B52" s="48" t="s">
        <v>1063</v>
      </c>
      <c r="C52" s="62" t="s">
        <v>1064</v>
      </c>
      <c r="D52" s="83" t="s">
        <v>930</v>
      </c>
      <c r="E52" s="80">
        <v>51.0</v>
      </c>
      <c r="F52" s="48"/>
      <c r="H52" s="48" t="s">
        <v>960</v>
      </c>
      <c r="I52" s="48">
        <v>25.0</v>
      </c>
      <c r="J52" s="48">
        <v>22.0</v>
      </c>
      <c r="K52" s="48"/>
    </row>
    <row r="53" ht="15.75" customHeight="1">
      <c r="A53" s="48" t="s">
        <v>1065</v>
      </c>
      <c r="B53" s="48" t="s">
        <v>1066</v>
      </c>
      <c r="C53" s="62" t="s">
        <v>1067</v>
      </c>
      <c r="D53" s="83" t="s">
        <v>930</v>
      </c>
      <c r="E53" s="84">
        <v>52.0</v>
      </c>
      <c r="F53" s="48"/>
      <c r="H53" s="48" t="s">
        <v>930</v>
      </c>
      <c r="I53" s="48">
        <v>169.0</v>
      </c>
      <c r="J53" s="48"/>
      <c r="K53" s="48"/>
    </row>
    <row r="54" ht="15.75" customHeight="1">
      <c r="A54" s="48" t="s">
        <v>1068</v>
      </c>
      <c r="B54" s="48" t="s">
        <v>1069</v>
      </c>
      <c r="C54" s="63" t="s">
        <v>1070</v>
      </c>
      <c r="D54" s="83"/>
      <c r="E54" s="80">
        <v>53.0</v>
      </c>
      <c r="F54" s="48"/>
      <c r="H54" s="48" t="s">
        <v>898</v>
      </c>
      <c r="I54" s="48">
        <v>30.0</v>
      </c>
      <c r="J54" s="48"/>
      <c r="K54" s="48"/>
    </row>
    <row r="55" ht="15.75" customHeight="1">
      <c r="A55" s="48" t="s">
        <v>1071</v>
      </c>
      <c r="B55" s="48" t="s">
        <v>1072</v>
      </c>
      <c r="C55" s="62" t="s">
        <v>1073</v>
      </c>
      <c r="D55" s="83" t="s">
        <v>930</v>
      </c>
      <c r="E55" s="84">
        <v>54.0</v>
      </c>
      <c r="F55" s="48"/>
      <c r="H55" s="48" t="s">
        <v>1074</v>
      </c>
      <c r="I55" s="48">
        <v>1.0</v>
      </c>
      <c r="J55" s="48">
        <v>1.0</v>
      </c>
      <c r="K55" s="48"/>
    </row>
    <row r="56" ht="15.75" customHeight="1">
      <c r="A56" s="48" t="s">
        <v>1075</v>
      </c>
      <c r="B56" s="48" t="s">
        <v>1076</v>
      </c>
      <c r="C56" s="62" t="s">
        <v>1077</v>
      </c>
      <c r="D56" s="83" t="s">
        <v>930</v>
      </c>
      <c r="E56" s="80">
        <v>55.0</v>
      </c>
      <c r="F56" s="48"/>
      <c r="H56" s="48" t="s">
        <v>1061</v>
      </c>
      <c r="I56" s="48">
        <v>3.0</v>
      </c>
      <c r="J56" s="48">
        <v>3.0</v>
      </c>
      <c r="K56" s="48"/>
    </row>
    <row r="57" ht="15.75" customHeight="1">
      <c r="A57" s="48" t="s">
        <v>1078</v>
      </c>
      <c r="B57" s="48" t="s">
        <v>1079</v>
      </c>
      <c r="C57" s="62" t="s">
        <v>1080</v>
      </c>
      <c r="D57" s="83" t="s">
        <v>930</v>
      </c>
      <c r="E57" s="84">
        <v>56.0</v>
      </c>
      <c r="F57" s="48"/>
      <c r="H57" s="48" t="s">
        <v>834</v>
      </c>
      <c r="I57" s="48">
        <v>10.0</v>
      </c>
      <c r="J57" s="48">
        <v>8.0</v>
      </c>
      <c r="K57" s="48"/>
    </row>
    <row r="58" ht="15.75" customHeight="1">
      <c r="A58" s="48" t="s">
        <v>1081</v>
      </c>
      <c r="B58" s="48" t="s">
        <v>1082</v>
      </c>
      <c r="C58" s="62" t="s">
        <v>1083</v>
      </c>
      <c r="D58" s="83" t="s">
        <v>930</v>
      </c>
      <c r="E58" s="80">
        <v>57.0</v>
      </c>
      <c r="F58" s="48"/>
      <c r="H58" s="70" t="s">
        <v>944</v>
      </c>
      <c r="I58" s="48">
        <v>39.0</v>
      </c>
      <c r="J58" s="48">
        <v>33.0</v>
      </c>
      <c r="K58" s="48"/>
    </row>
    <row r="59" ht="15.75" customHeight="1">
      <c r="A59" s="48" t="s">
        <v>1084</v>
      </c>
      <c r="B59" s="48" t="s">
        <v>1085</v>
      </c>
      <c r="C59" s="62" t="s">
        <v>1086</v>
      </c>
      <c r="D59" s="83" t="s">
        <v>930</v>
      </c>
      <c r="E59" s="84">
        <v>58.0</v>
      </c>
      <c r="F59" s="48"/>
      <c r="H59" s="70" t="s">
        <v>935</v>
      </c>
      <c r="I59" s="48">
        <v>25.0</v>
      </c>
      <c r="J59" s="48">
        <v>1.0</v>
      </c>
      <c r="K59" s="48"/>
    </row>
    <row r="60" ht="15.75" customHeight="1">
      <c r="A60" s="48" t="s">
        <v>1087</v>
      </c>
      <c r="B60" s="48" t="s">
        <v>1088</v>
      </c>
      <c r="C60" s="62" t="s">
        <v>1089</v>
      </c>
      <c r="D60" s="83" t="s">
        <v>930</v>
      </c>
      <c r="E60" s="80">
        <v>59.0</v>
      </c>
      <c r="F60" s="48"/>
      <c r="H60" s="70" t="s">
        <v>909</v>
      </c>
      <c r="I60" s="48">
        <v>146.0</v>
      </c>
      <c r="J60" s="48">
        <v>111.0</v>
      </c>
      <c r="K60" s="48"/>
    </row>
    <row r="61" ht="15.75" customHeight="1">
      <c r="A61" s="48" t="s">
        <v>1090</v>
      </c>
      <c r="B61" s="48" t="s">
        <v>1091</v>
      </c>
      <c r="C61" s="62" t="s">
        <v>1092</v>
      </c>
      <c r="D61" s="83" t="s">
        <v>930</v>
      </c>
      <c r="E61" s="84">
        <v>60.0</v>
      </c>
      <c r="F61" s="48"/>
      <c r="H61" s="48" t="s">
        <v>1093</v>
      </c>
      <c r="I61" s="48">
        <v>13.0</v>
      </c>
      <c r="J61" s="48">
        <v>10.0</v>
      </c>
      <c r="K61" s="48"/>
    </row>
    <row r="62" ht="15.75" customHeight="1">
      <c r="A62" s="48" t="s">
        <v>1094</v>
      </c>
      <c r="B62" s="48" t="s">
        <v>1095</v>
      </c>
      <c r="C62" s="62" t="s">
        <v>1096</v>
      </c>
      <c r="D62" s="83" t="s">
        <v>930</v>
      </c>
      <c r="E62" s="80">
        <v>61.0</v>
      </c>
      <c r="F62" s="48"/>
      <c r="H62" s="48" t="s">
        <v>1097</v>
      </c>
      <c r="I62" s="36">
        <v>138.0</v>
      </c>
      <c r="J62" s="48">
        <v>114.0</v>
      </c>
      <c r="K62" s="93" t="s">
        <v>1098</v>
      </c>
    </row>
    <row r="63" ht="15.75" customHeight="1">
      <c r="A63" s="48" t="s">
        <v>1099</v>
      </c>
      <c r="B63" s="48" t="s">
        <v>1100</v>
      </c>
      <c r="C63" s="62" t="s">
        <v>1101</v>
      </c>
      <c r="D63" s="83" t="s">
        <v>930</v>
      </c>
      <c r="E63" s="84">
        <v>62.0</v>
      </c>
      <c r="F63" s="48"/>
      <c r="H63" s="48" t="s">
        <v>1102</v>
      </c>
      <c r="I63" s="48">
        <v>47.0</v>
      </c>
      <c r="J63" s="48">
        <v>35.0</v>
      </c>
      <c r="K63" s="48"/>
    </row>
    <row r="64" ht="15.75" customHeight="1">
      <c r="A64" s="48" t="s">
        <v>1103</v>
      </c>
      <c r="B64" s="48" t="s">
        <v>1104</v>
      </c>
      <c r="C64" s="62" t="s">
        <v>1105</v>
      </c>
      <c r="D64" s="83" t="s">
        <v>930</v>
      </c>
      <c r="E64" s="80">
        <v>63.0</v>
      </c>
      <c r="F64" s="48"/>
      <c r="H64" s="48" t="s">
        <v>765</v>
      </c>
      <c r="I64" s="48">
        <v>1.0</v>
      </c>
      <c r="J64" s="48">
        <v>1.0</v>
      </c>
      <c r="K64" s="48"/>
    </row>
    <row r="65" ht="15.75" customHeight="1">
      <c r="A65" s="48" t="s">
        <v>1106</v>
      </c>
      <c r="B65" s="48" t="s">
        <v>1107</v>
      </c>
      <c r="C65" s="62" t="s">
        <v>1108</v>
      </c>
      <c r="D65" s="83" t="s">
        <v>930</v>
      </c>
      <c r="E65" s="84">
        <v>64.0</v>
      </c>
      <c r="F65" s="48"/>
      <c r="H65" s="48" t="s">
        <v>109</v>
      </c>
      <c r="I65" s="48">
        <v>136.0</v>
      </c>
      <c r="J65" s="48">
        <v>128.0</v>
      </c>
      <c r="K65" s="48"/>
    </row>
    <row r="66" ht="15.75" customHeight="1">
      <c r="A66" s="48" t="s">
        <v>1109</v>
      </c>
      <c r="B66" s="48" t="s">
        <v>1110</v>
      </c>
      <c r="C66" s="62" t="s">
        <v>1111</v>
      </c>
      <c r="D66" s="83"/>
      <c r="E66" s="80">
        <v>65.0</v>
      </c>
      <c r="F66" s="48"/>
      <c r="H66" s="48" t="s">
        <v>1112</v>
      </c>
      <c r="I66" s="48">
        <v>12.0</v>
      </c>
      <c r="J66" s="48">
        <v>10.0</v>
      </c>
      <c r="K66" s="48"/>
    </row>
    <row r="67" ht="15.75" customHeight="1">
      <c r="A67" s="48" t="s">
        <v>1113</v>
      </c>
      <c r="B67" s="48" t="s">
        <v>1114</v>
      </c>
      <c r="C67" s="62" t="s">
        <v>1115</v>
      </c>
      <c r="D67" s="83"/>
      <c r="E67" s="84">
        <v>66.0</v>
      </c>
      <c r="F67" s="48"/>
      <c r="H67" s="48"/>
      <c r="I67" s="48"/>
      <c r="J67" s="48"/>
      <c r="K67" s="48"/>
    </row>
    <row r="68" ht="15.75" customHeight="1">
      <c r="A68" s="48" t="s">
        <v>1116</v>
      </c>
      <c r="B68" s="48" t="s">
        <v>1117</v>
      </c>
      <c r="C68" s="62" t="s">
        <v>1118</v>
      </c>
      <c r="D68" s="83" t="s">
        <v>1097</v>
      </c>
      <c r="E68" s="80">
        <v>67.0</v>
      </c>
      <c r="F68" s="48"/>
      <c r="H68" s="48"/>
      <c r="I68" s="48"/>
      <c r="J68" s="48"/>
      <c r="K68" s="48"/>
    </row>
    <row r="69" ht="15.75" customHeight="1">
      <c r="A69" s="48" t="s">
        <v>1119</v>
      </c>
      <c r="B69" s="48" t="s">
        <v>1120</v>
      </c>
      <c r="C69" s="62" t="s">
        <v>1121</v>
      </c>
      <c r="D69" s="83" t="s">
        <v>930</v>
      </c>
      <c r="E69" s="84">
        <v>68.0</v>
      </c>
      <c r="F69" s="48"/>
      <c r="H69" s="48"/>
      <c r="I69" s="48"/>
      <c r="J69" s="48"/>
      <c r="K69" s="48"/>
    </row>
    <row r="70" ht="15.75" customHeight="1">
      <c r="A70" s="48" t="s">
        <v>1122</v>
      </c>
      <c r="B70" s="48" t="s">
        <v>1123</v>
      </c>
      <c r="C70" s="62" t="s">
        <v>1124</v>
      </c>
      <c r="D70" s="83" t="s">
        <v>930</v>
      </c>
      <c r="E70" s="80">
        <v>69.0</v>
      </c>
      <c r="F70" s="48"/>
      <c r="H70" s="48"/>
      <c r="I70" s="48"/>
      <c r="J70" s="48"/>
      <c r="K70" s="48"/>
    </row>
    <row r="71" ht="15.75" customHeight="1">
      <c r="A71" s="48" t="s">
        <v>1125</v>
      </c>
      <c r="B71" s="48" t="s">
        <v>1082</v>
      </c>
      <c r="C71" s="62" t="s">
        <v>1083</v>
      </c>
      <c r="D71" s="83" t="s">
        <v>930</v>
      </c>
      <c r="E71" s="84">
        <v>70.0</v>
      </c>
      <c r="F71" s="48"/>
      <c r="H71" s="48"/>
      <c r="I71" s="48"/>
      <c r="J71" s="48"/>
      <c r="K71" s="48"/>
    </row>
    <row r="72" ht="15.75" customHeight="1">
      <c r="A72" s="48" t="s">
        <v>1126</v>
      </c>
      <c r="B72" s="48" t="s">
        <v>1127</v>
      </c>
      <c r="C72" s="62" t="s">
        <v>1128</v>
      </c>
      <c r="D72" s="83" t="s">
        <v>930</v>
      </c>
      <c r="E72" s="80">
        <v>71.0</v>
      </c>
      <c r="F72" s="48"/>
      <c r="H72" s="48"/>
      <c r="I72" s="48"/>
      <c r="J72" s="48"/>
      <c r="K72" s="48"/>
    </row>
    <row r="73" ht="15.75" customHeight="1">
      <c r="A73" s="48" t="s">
        <v>1129</v>
      </c>
      <c r="B73" s="48" t="s">
        <v>1130</v>
      </c>
      <c r="C73" s="63" t="s">
        <v>1131</v>
      </c>
      <c r="D73" s="83"/>
      <c r="E73" s="84">
        <v>72.0</v>
      </c>
      <c r="F73" s="48"/>
      <c r="H73" s="48"/>
      <c r="I73" s="48"/>
      <c r="J73" s="48"/>
      <c r="K73" s="48"/>
    </row>
    <row r="74" ht="15.75" customHeight="1">
      <c r="A74" s="48" t="s">
        <v>1132</v>
      </c>
      <c r="B74" s="48" t="s">
        <v>1133</v>
      </c>
      <c r="C74" s="62" t="s">
        <v>1134</v>
      </c>
      <c r="D74" s="83" t="s">
        <v>930</v>
      </c>
      <c r="E74" s="80">
        <v>73.0</v>
      </c>
      <c r="F74" s="48"/>
      <c r="H74" s="48"/>
      <c r="I74" s="48"/>
      <c r="J74" s="48"/>
      <c r="K74" s="48"/>
    </row>
    <row r="75" ht="15.75" customHeight="1">
      <c r="A75" s="48" t="s">
        <v>1135</v>
      </c>
      <c r="B75" s="48" t="s">
        <v>1136</v>
      </c>
      <c r="C75" s="62" t="s">
        <v>1137</v>
      </c>
      <c r="D75" s="83" t="s">
        <v>930</v>
      </c>
      <c r="E75" s="84">
        <v>74.0</v>
      </c>
      <c r="F75" s="48"/>
      <c r="H75" s="48"/>
      <c r="I75" s="48"/>
      <c r="J75" s="48"/>
      <c r="K75" s="48"/>
    </row>
    <row r="76" ht="15.75" customHeight="1">
      <c r="A76" s="48" t="s">
        <v>1138</v>
      </c>
      <c r="B76" s="48" t="s">
        <v>1139</v>
      </c>
      <c r="C76" s="62" t="s">
        <v>1140</v>
      </c>
      <c r="D76" s="83" t="s">
        <v>930</v>
      </c>
      <c r="E76" s="80">
        <v>75.0</v>
      </c>
      <c r="F76" s="48"/>
    </row>
    <row r="77" ht="15.75" customHeight="1">
      <c r="A77" s="48" t="s">
        <v>1141</v>
      </c>
      <c r="B77" s="48" t="s">
        <v>1142</v>
      </c>
      <c r="C77" s="62" t="s">
        <v>1143</v>
      </c>
      <c r="D77" s="83" t="s">
        <v>930</v>
      </c>
      <c r="E77" s="84">
        <v>76.0</v>
      </c>
      <c r="F77" s="48"/>
    </row>
    <row r="78" ht="15.75" customHeight="1">
      <c r="A78" s="48" t="s">
        <v>1144</v>
      </c>
      <c r="B78" s="48" t="s">
        <v>1145</v>
      </c>
      <c r="C78" s="62" t="s">
        <v>1146</v>
      </c>
      <c r="D78" s="83" t="s">
        <v>930</v>
      </c>
      <c r="E78" s="80">
        <v>77.0</v>
      </c>
      <c r="F78" s="48"/>
    </row>
    <row r="79" ht="15.75" customHeight="1">
      <c r="A79" s="48" t="s">
        <v>1147</v>
      </c>
      <c r="B79" s="48" t="s">
        <v>1148</v>
      </c>
      <c r="C79" s="63" t="s">
        <v>1149</v>
      </c>
      <c r="D79" s="83"/>
      <c r="E79" s="84">
        <v>78.0</v>
      </c>
      <c r="F79" s="48"/>
    </row>
    <row r="80" ht="15.75" customHeight="1">
      <c r="A80" s="48" t="s">
        <v>1150</v>
      </c>
      <c r="B80" s="48" t="s">
        <v>1151</v>
      </c>
      <c r="C80" s="62" t="s">
        <v>1152</v>
      </c>
      <c r="D80" s="83" t="s">
        <v>930</v>
      </c>
      <c r="E80" s="80">
        <v>79.0</v>
      </c>
      <c r="F80" s="48"/>
    </row>
    <row r="81" ht="15.75" customHeight="1">
      <c r="A81" s="48" t="s">
        <v>1153</v>
      </c>
      <c r="B81" s="48" t="s">
        <v>1154</v>
      </c>
      <c r="C81" s="62" t="s">
        <v>1108</v>
      </c>
      <c r="D81" s="83" t="s">
        <v>930</v>
      </c>
      <c r="E81" s="84">
        <v>80.0</v>
      </c>
      <c r="F81" s="48"/>
    </row>
    <row r="82" ht="15.75" customHeight="1">
      <c r="A82" s="48" t="s">
        <v>1155</v>
      </c>
      <c r="B82" s="48" t="s">
        <v>1151</v>
      </c>
      <c r="C82" s="62" t="s">
        <v>1156</v>
      </c>
      <c r="D82" s="83" t="s">
        <v>930</v>
      </c>
      <c r="E82" s="80">
        <v>81.0</v>
      </c>
      <c r="F82" s="48"/>
    </row>
    <row r="83" ht="15.75" customHeight="1">
      <c r="A83" s="48" t="s">
        <v>1157</v>
      </c>
      <c r="B83" s="48" t="s">
        <v>1158</v>
      </c>
      <c r="C83" s="63" t="s">
        <v>1159</v>
      </c>
      <c r="D83" s="83"/>
      <c r="E83" s="84">
        <v>82.0</v>
      </c>
      <c r="F83" s="48"/>
    </row>
    <row r="84" ht="15.75" customHeight="1">
      <c r="A84" s="48" t="s">
        <v>1160</v>
      </c>
      <c r="B84" s="48" t="s">
        <v>1091</v>
      </c>
      <c r="C84" s="62" t="s">
        <v>1161</v>
      </c>
      <c r="D84" s="83" t="s">
        <v>930</v>
      </c>
      <c r="E84" s="80">
        <v>83.0</v>
      </c>
      <c r="F84" s="48"/>
    </row>
    <row r="85" ht="15.75" customHeight="1">
      <c r="A85" s="48" t="s">
        <v>1162</v>
      </c>
      <c r="B85" s="48" t="s">
        <v>1163</v>
      </c>
      <c r="C85" s="62" t="s">
        <v>1164</v>
      </c>
      <c r="D85" s="83" t="s">
        <v>930</v>
      </c>
      <c r="E85" s="84">
        <v>84.0</v>
      </c>
      <c r="F85" s="48"/>
    </row>
    <row r="86" ht="15.75" customHeight="1">
      <c r="A86" s="48" t="s">
        <v>1165</v>
      </c>
      <c r="B86" s="48" t="s">
        <v>1166</v>
      </c>
      <c r="C86" s="62" t="s">
        <v>1167</v>
      </c>
      <c r="D86" s="83" t="s">
        <v>930</v>
      </c>
      <c r="E86" s="80">
        <v>85.0</v>
      </c>
      <c r="F86" s="48"/>
    </row>
    <row r="87" ht="15.75" customHeight="1">
      <c r="A87" s="48" t="s">
        <v>1168</v>
      </c>
      <c r="B87" s="48" t="s">
        <v>118</v>
      </c>
      <c r="C87" s="62" t="s">
        <v>136</v>
      </c>
      <c r="D87" s="83"/>
      <c r="E87" s="84">
        <v>86.0</v>
      </c>
      <c r="F87" s="48"/>
    </row>
    <row r="88" ht="15.75" customHeight="1">
      <c r="A88" s="48" t="s">
        <v>1169</v>
      </c>
      <c r="B88" s="48" t="s">
        <v>1170</v>
      </c>
      <c r="C88" s="63" t="s">
        <v>1171</v>
      </c>
      <c r="D88" s="83"/>
      <c r="E88" s="80">
        <v>87.0</v>
      </c>
      <c r="F88" s="48"/>
    </row>
    <row r="89" ht="15.75" customHeight="1">
      <c r="A89" s="48" t="s">
        <v>117</v>
      </c>
      <c r="B89" s="48" t="s">
        <v>118</v>
      </c>
      <c r="C89" s="63" t="s">
        <v>119</v>
      </c>
      <c r="D89" s="83" t="s">
        <v>935</v>
      </c>
      <c r="E89" s="84">
        <v>88.0</v>
      </c>
      <c r="F89" s="48"/>
    </row>
    <row r="90" ht="15.75" customHeight="1">
      <c r="A90" s="48" t="s">
        <v>1172</v>
      </c>
      <c r="B90" s="48" t="s">
        <v>1173</v>
      </c>
      <c r="C90" s="62" t="s">
        <v>1174</v>
      </c>
      <c r="D90" s="83" t="s">
        <v>930</v>
      </c>
      <c r="E90" s="80">
        <v>89.0</v>
      </c>
      <c r="F90" s="48"/>
    </row>
    <row r="91" ht="15.75" customHeight="1">
      <c r="A91" s="48" t="s">
        <v>1175</v>
      </c>
      <c r="B91" s="48" t="s">
        <v>1176</v>
      </c>
      <c r="C91" s="62" t="s">
        <v>1177</v>
      </c>
      <c r="D91" s="83" t="s">
        <v>930</v>
      </c>
      <c r="E91" s="84">
        <v>90.0</v>
      </c>
      <c r="F91" s="48"/>
    </row>
    <row r="92" ht="15.75" customHeight="1">
      <c r="A92" s="48" t="s">
        <v>1178</v>
      </c>
      <c r="B92" s="48" t="s">
        <v>1179</v>
      </c>
      <c r="C92" s="62" t="s">
        <v>1180</v>
      </c>
      <c r="D92" s="83" t="s">
        <v>930</v>
      </c>
      <c r="E92" s="80">
        <v>91.0</v>
      </c>
      <c r="F92" s="48"/>
    </row>
    <row r="93" ht="15.75" customHeight="1">
      <c r="A93" s="48" t="s">
        <v>1181</v>
      </c>
      <c r="B93" s="48" t="s">
        <v>1182</v>
      </c>
      <c r="C93" s="62" t="s">
        <v>1183</v>
      </c>
      <c r="D93" s="83"/>
      <c r="E93" s="84">
        <v>92.0</v>
      </c>
      <c r="F93" s="48"/>
    </row>
    <row r="94" ht="15.75" customHeight="1">
      <c r="A94" s="48" t="s">
        <v>1184</v>
      </c>
      <c r="B94" s="48" t="s">
        <v>1185</v>
      </c>
      <c r="C94" s="63" t="s">
        <v>1186</v>
      </c>
      <c r="D94" s="83"/>
      <c r="E94" s="80">
        <v>93.0</v>
      </c>
      <c r="F94" s="48"/>
    </row>
    <row r="95" ht="15.75" customHeight="1">
      <c r="A95" s="48" t="s">
        <v>1187</v>
      </c>
      <c r="B95" s="48" t="s">
        <v>1188</v>
      </c>
      <c r="C95" s="62" t="s">
        <v>1189</v>
      </c>
      <c r="D95" s="83" t="s">
        <v>930</v>
      </c>
      <c r="E95" s="84">
        <v>94.0</v>
      </c>
      <c r="F95" s="48"/>
    </row>
    <row r="96" ht="15.75" customHeight="1">
      <c r="A96" s="48" t="s">
        <v>1190</v>
      </c>
      <c r="B96" s="48" t="s">
        <v>1191</v>
      </c>
      <c r="C96" s="62" t="s">
        <v>1192</v>
      </c>
      <c r="D96" s="83"/>
      <c r="E96" s="80">
        <v>95.0</v>
      </c>
      <c r="F96" s="48"/>
    </row>
    <row r="97" ht="15.75" customHeight="1">
      <c r="A97" s="48" t="s">
        <v>1193</v>
      </c>
      <c r="B97" s="48" t="s">
        <v>1194</v>
      </c>
      <c r="C97" s="62" t="s">
        <v>1174</v>
      </c>
      <c r="D97" s="83" t="s">
        <v>930</v>
      </c>
      <c r="E97" s="84">
        <v>96.0</v>
      </c>
      <c r="F97" s="48"/>
    </row>
    <row r="98" ht="15.75" customHeight="1">
      <c r="A98" s="48" t="s">
        <v>1195</v>
      </c>
      <c r="B98" s="48" t="s">
        <v>1196</v>
      </c>
      <c r="C98" s="62" t="s">
        <v>1197</v>
      </c>
      <c r="D98" s="83" t="s">
        <v>930</v>
      </c>
      <c r="E98" s="80">
        <v>97.0</v>
      </c>
      <c r="F98" s="48"/>
    </row>
    <row r="99" ht="15.75" customHeight="1">
      <c r="A99" s="48" t="s">
        <v>1198</v>
      </c>
      <c r="B99" s="48" t="s">
        <v>1199</v>
      </c>
      <c r="C99" s="62" t="s">
        <v>1200</v>
      </c>
      <c r="D99" s="83" t="s">
        <v>930</v>
      </c>
      <c r="E99" s="84">
        <v>98.0</v>
      </c>
      <c r="F99" s="48"/>
    </row>
    <row r="100" ht="15.75" customHeight="1">
      <c r="A100" s="48" t="s">
        <v>1201</v>
      </c>
      <c r="B100" s="48" t="s">
        <v>1202</v>
      </c>
      <c r="C100" s="62" t="s">
        <v>1203</v>
      </c>
      <c r="D100" s="83" t="s">
        <v>930</v>
      </c>
      <c r="E100" s="80">
        <v>99.0</v>
      </c>
      <c r="F100" s="48"/>
    </row>
    <row r="101" ht="15.75" customHeight="1">
      <c r="A101" s="48" t="s">
        <v>1204</v>
      </c>
      <c r="B101" s="48" t="s">
        <v>1205</v>
      </c>
      <c r="C101" s="62" t="s">
        <v>1206</v>
      </c>
      <c r="D101" s="83" t="s">
        <v>930</v>
      </c>
      <c r="E101" s="84">
        <v>100.0</v>
      </c>
      <c r="F101" s="48"/>
    </row>
    <row r="102" ht="15.75" customHeight="1">
      <c r="A102" s="48" t="s">
        <v>1207</v>
      </c>
      <c r="B102" s="48" t="s">
        <v>1208</v>
      </c>
      <c r="C102" s="62" t="s">
        <v>1209</v>
      </c>
      <c r="D102" s="83"/>
      <c r="E102" s="80">
        <v>101.0</v>
      </c>
      <c r="F102" s="48"/>
    </row>
    <row r="103" ht="15.75" customHeight="1">
      <c r="A103" s="48" t="s">
        <v>1210</v>
      </c>
      <c r="B103" s="48" t="s">
        <v>1211</v>
      </c>
      <c r="C103" s="62" t="s">
        <v>1212</v>
      </c>
      <c r="D103" s="83" t="s">
        <v>1213</v>
      </c>
      <c r="E103" s="84">
        <v>102.0</v>
      </c>
      <c r="F103" s="48"/>
    </row>
    <row r="104" ht="15.75" customHeight="1">
      <c r="A104" s="48" t="s">
        <v>1214</v>
      </c>
      <c r="B104" s="48" t="s">
        <v>1215</v>
      </c>
      <c r="C104" s="62" t="s">
        <v>1209</v>
      </c>
      <c r="D104" s="83" t="s">
        <v>930</v>
      </c>
      <c r="E104" s="80">
        <v>103.0</v>
      </c>
      <c r="F104" s="48"/>
    </row>
    <row r="105" ht="15.75" customHeight="1">
      <c r="A105" s="48" t="s">
        <v>1216</v>
      </c>
      <c r="B105" s="48" t="s">
        <v>1217</v>
      </c>
      <c r="C105" s="62" t="s">
        <v>1218</v>
      </c>
      <c r="D105" s="83" t="s">
        <v>930</v>
      </c>
      <c r="E105" s="84">
        <v>104.0</v>
      </c>
      <c r="F105" s="48"/>
    </row>
    <row r="106" ht="15.75" customHeight="1">
      <c r="A106" s="48" t="s">
        <v>1219</v>
      </c>
      <c r="B106" s="48" t="s">
        <v>1220</v>
      </c>
      <c r="C106" s="62" t="s">
        <v>1221</v>
      </c>
      <c r="D106" s="83" t="s">
        <v>930</v>
      </c>
      <c r="E106" s="80">
        <v>105.0</v>
      </c>
      <c r="F106" s="48"/>
    </row>
    <row r="107" ht="15.75" customHeight="1">
      <c r="A107" s="48" t="s">
        <v>1222</v>
      </c>
      <c r="B107" s="48" t="s">
        <v>1223</v>
      </c>
      <c r="C107" s="62" t="s">
        <v>1224</v>
      </c>
      <c r="D107" s="83"/>
      <c r="E107" s="84">
        <v>106.0</v>
      </c>
      <c r="F107" s="48"/>
    </row>
    <row r="108" ht="15.75" customHeight="1">
      <c r="A108" s="48" t="s">
        <v>1225</v>
      </c>
      <c r="B108" s="48" t="s">
        <v>1226</v>
      </c>
      <c r="C108" s="62" t="s">
        <v>1227</v>
      </c>
      <c r="D108" s="83"/>
      <c r="E108" s="80">
        <v>107.0</v>
      </c>
      <c r="F108" s="48"/>
    </row>
    <row r="109" ht="15.75" customHeight="1">
      <c r="A109" s="48" t="s">
        <v>1228</v>
      </c>
      <c r="B109" s="48" t="s">
        <v>1226</v>
      </c>
      <c r="C109" s="62" t="s">
        <v>1229</v>
      </c>
      <c r="D109" s="83" t="s">
        <v>1230</v>
      </c>
      <c r="E109" s="84">
        <v>108.0</v>
      </c>
      <c r="F109" s="48"/>
    </row>
    <row r="110" ht="15.75" customHeight="1">
      <c r="A110" s="48" t="s">
        <v>1231</v>
      </c>
      <c r="B110" s="48" t="s">
        <v>1232</v>
      </c>
      <c r="C110" s="62" t="s">
        <v>1233</v>
      </c>
      <c r="D110" s="83"/>
      <c r="E110" s="80">
        <v>109.0</v>
      </c>
      <c r="F110" s="48"/>
    </row>
    <row r="111" ht="15.75" customHeight="1">
      <c r="A111" s="48" t="s">
        <v>1234</v>
      </c>
      <c r="B111" s="48" t="s">
        <v>1235</v>
      </c>
      <c r="C111" s="62" t="s">
        <v>1236</v>
      </c>
      <c r="D111" s="83"/>
      <c r="E111" s="84">
        <v>110.0</v>
      </c>
      <c r="F111" s="48"/>
    </row>
    <row r="112" ht="15.75" customHeight="1">
      <c r="A112" s="48" t="s">
        <v>1237</v>
      </c>
      <c r="B112" s="48" t="s">
        <v>1238</v>
      </c>
      <c r="C112" s="62" t="s">
        <v>1239</v>
      </c>
      <c r="D112" s="83" t="s">
        <v>1240</v>
      </c>
      <c r="E112" s="80">
        <v>111.0</v>
      </c>
      <c r="F112" s="48"/>
    </row>
    <row r="113" ht="15.75" customHeight="1">
      <c r="A113" s="48" t="s">
        <v>1241</v>
      </c>
      <c r="B113" s="48" t="s">
        <v>1242</v>
      </c>
      <c r="C113" s="62" t="s">
        <v>1243</v>
      </c>
      <c r="D113" s="83" t="s">
        <v>1240</v>
      </c>
      <c r="E113" s="84">
        <v>112.0</v>
      </c>
      <c r="F113" s="48"/>
    </row>
    <row r="114" ht="15.75" customHeight="1">
      <c r="A114" s="48" t="s">
        <v>1244</v>
      </c>
      <c r="B114" s="48" t="s">
        <v>1245</v>
      </c>
      <c r="C114" s="62" t="s">
        <v>1246</v>
      </c>
      <c r="D114" s="83" t="s">
        <v>1240</v>
      </c>
      <c r="E114" s="80">
        <v>113.0</v>
      </c>
      <c r="F114" s="48"/>
    </row>
    <row r="115" ht="15.75" customHeight="1">
      <c r="A115" s="48" t="s">
        <v>1247</v>
      </c>
      <c r="B115" s="48" t="s">
        <v>1248</v>
      </c>
      <c r="C115" s="62" t="s">
        <v>1243</v>
      </c>
      <c r="D115" s="83" t="s">
        <v>1240</v>
      </c>
      <c r="E115" s="84">
        <v>114.0</v>
      </c>
      <c r="F115" s="48"/>
    </row>
    <row r="116" ht="15.75" customHeight="1">
      <c r="A116" s="48" t="s">
        <v>1249</v>
      </c>
      <c r="B116" s="48" t="s">
        <v>1250</v>
      </c>
      <c r="C116" s="62" t="s">
        <v>1251</v>
      </c>
      <c r="D116" s="83" t="s">
        <v>1240</v>
      </c>
      <c r="E116" s="80">
        <v>115.0</v>
      </c>
      <c r="F116" s="48"/>
    </row>
    <row r="117" ht="15.75" customHeight="1">
      <c r="A117" s="48" t="s">
        <v>1252</v>
      </c>
      <c r="B117" s="48" t="s">
        <v>1253</v>
      </c>
      <c r="C117" s="62" t="s">
        <v>1254</v>
      </c>
      <c r="D117" s="83" t="s">
        <v>1240</v>
      </c>
      <c r="E117" s="84">
        <v>116.0</v>
      </c>
      <c r="F117" s="48"/>
    </row>
    <row r="118" ht="15.75" customHeight="1">
      <c r="A118" s="48" t="s">
        <v>1255</v>
      </c>
      <c r="B118" s="48" t="s">
        <v>1256</v>
      </c>
      <c r="C118" s="62" t="s">
        <v>1257</v>
      </c>
      <c r="D118" s="83" t="s">
        <v>1240</v>
      </c>
      <c r="E118" s="80">
        <v>117.0</v>
      </c>
      <c r="F118" s="48"/>
    </row>
    <row r="119" ht="15.75" customHeight="1">
      <c r="A119" s="48" t="s">
        <v>1258</v>
      </c>
      <c r="B119" s="48" t="s">
        <v>1259</v>
      </c>
      <c r="C119" s="62" t="s">
        <v>1260</v>
      </c>
      <c r="D119" s="83" t="s">
        <v>1240</v>
      </c>
      <c r="E119" s="84">
        <v>118.0</v>
      </c>
      <c r="F119" s="48"/>
    </row>
    <row r="120" ht="15.75" customHeight="1">
      <c r="A120" s="48" t="s">
        <v>1261</v>
      </c>
      <c r="B120" s="48" t="s">
        <v>1262</v>
      </c>
      <c r="C120" s="62" t="s">
        <v>1263</v>
      </c>
      <c r="D120" s="83" t="s">
        <v>1240</v>
      </c>
      <c r="E120" s="80">
        <v>119.0</v>
      </c>
      <c r="F120" s="48"/>
    </row>
    <row r="121" ht="15.75" customHeight="1">
      <c r="A121" s="48" t="s">
        <v>1264</v>
      </c>
      <c r="B121" s="48" t="s">
        <v>1265</v>
      </c>
      <c r="C121" s="62" t="s">
        <v>1266</v>
      </c>
      <c r="D121" s="83"/>
      <c r="E121" s="84">
        <v>120.0</v>
      </c>
      <c r="F121" s="48"/>
    </row>
    <row r="122" ht="15.75" customHeight="1">
      <c r="A122" s="48" t="s">
        <v>1267</v>
      </c>
      <c r="B122" s="48" t="s">
        <v>1268</v>
      </c>
      <c r="C122" s="62" t="s">
        <v>1269</v>
      </c>
      <c r="D122" s="83" t="s">
        <v>1240</v>
      </c>
      <c r="E122" s="80">
        <v>121.0</v>
      </c>
      <c r="F122" s="48"/>
    </row>
    <row r="123" ht="15.75" customHeight="1">
      <c r="A123" s="48" t="s">
        <v>1270</v>
      </c>
      <c r="B123" s="48" t="s">
        <v>1271</v>
      </c>
      <c r="C123" s="62" t="s">
        <v>1272</v>
      </c>
      <c r="D123" s="83"/>
      <c r="E123" s="84">
        <v>122.0</v>
      </c>
      <c r="F123" s="48"/>
    </row>
    <row r="124" ht="15.75" customHeight="1">
      <c r="A124" s="48" t="s">
        <v>1273</v>
      </c>
      <c r="B124" s="48" t="s">
        <v>1274</v>
      </c>
      <c r="C124" s="62" t="s">
        <v>1275</v>
      </c>
      <c r="D124" s="83" t="s">
        <v>1240</v>
      </c>
      <c r="E124" s="80">
        <v>123.0</v>
      </c>
      <c r="F124" s="48"/>
    </row>
    <row r="125" ht="15.75" customHeight="1">
      <c r="A125" s="48" t="s">
        <v>1276</v>
      </c>
      <c r="B125" s="48" t="s">
        <v>1277</v>
      </c>
      <c r="C125" s="62" t="s">
        <v>1278</v>
      </c>
      <c r="D125" s="83" t="s">
        <v>1240</v>
      </c>
      <c r="E125" s="84">
        <v>124.0</v>
      </c>
      <c r="F125" s="48"/>
    </row>
    <row r="126" ht="15.75" customHeight="1">
      <c r="A126" s="48" t="s">
        <v>1279</v>
      </c>
      <c r="B126" s="48" t="s">
        <v>1280</v>
      </c>
      <c r="C126" s="62" t="s">
        <v>1278</v>
      </c>
      <c r="D126" s="83" t="s">
        <v>1240</v>
      </c>
      <c r="E126" s="80">
        <v>125.0</v>
      </c>
      <c r="F126" s="48"/>
    </row>
    <row r="127" ht="15.75" customHeight="1">
      <c r="A127" s="48" t="s">
        <v>1281</v>
      </c>
      <c r="B127" s="48" t="s">
        <v>1282</v>
      </c>
      <c r="C127" s="62" t="s">
        <v>1283</v>
      </c>
      <c r="D127" s="83" t="s">
        <v>1240</v>
      </c>
      <c r="E127" s="84">
        <v>126.0</v>
      </c>
      <c r="F127" s="48"/>
    </row>
    <row r="128" ht="15.75" customHeight="1">
      <c r="A128" s="48" t="s">
        <v>1119</v>
      </c>
      <c r="B128" s="48" t="s">
        <v>1284</v>
      </c>
      <c r="C128" s="62" t="s">
        <v>1121</v>
      </c>
      <c r="D128" s="83" t="s">
        <v>1240</v>
      </c>
      <c r="E128" s="80">
        <v>127.0</v>
      </c>
      <c r="F128" s="48"/>
    </row>
    <row r="129" ht="15.75" customHeight="1">
      <c r="A129" s="48" t="s">
        <v>1285</v>
      </c>
      <c r="B129" s="48" t="s">
        <v>1286</v>
      </c>
      <c r="C129" s="62" t="s">
        <v>1287</v>
      </c>
      <c r="D129" s="83" t="s">
        <v>1240</v>
      </c>
      <c r="E129" s="84">
        <v>128.0</v>
      </c>
      <c r="F129" s="48"/>
    </row>
    <row r="130" ht="15.75" customHeight="1">
      <c r="A130" s="48" t="s">
        <v>1119</v>
      </c>
      <c r="B130" s="48" t="s">
        <v>1282</v>
      </c>
      <c r="C130" s="62" t="s">
        <v>1288</v>
      </c>
      <c r="D130" s="83" t="s">
        <v>1240</v>
      </c>
      <c r="E130" s="80">
        <v>129.0</v>
      </c>
      <c r="F130" s="48"/>
    </row>
    <row r="131" ht="15.75" customHeight="1">
      <c r="A131" s="48" t="s">
        <v>1289</v>
      </c>
      <c r="B131" s="48" t="s">
        <v>1286</v>
      </c>
      <c r="C131" s="62" t="s">
        <v>1290</v>
      </c>
      <c r="D131" s="83" t="s">
        <v>1240</v>
      </c>
      <c r="E131" s="84">
        <v>130.0</v>
      </c>
      <c r="F131" s="48"/>
    </row>
    <row r="132" ht="15.75" customHeight="1">
      <c r="A132" s="48" t="s">
        <v>1291</v>
      </c>
      <c r="B132" s="48" t="s">
        <v>1292</v>
      </c>
      <c r="C132" s="62" t="s">
        <v>1293</v>
      </c>
      <c r="D132" s="83" t="s">
        <v>1240</v>
      </c>
      <c r="E132" s="80">
        <v>131.0</v>
      </c>
      <c r="F132" s="48"/>
    </row>
    <row r="133" ht="15.75" customHeight="1">
      <c r="A133" s="48" t="s">
        <v>1294</v>
      </c>
      <c r="B133" s="48" t="s">
        <v>1295</v>
      </c>
      <c r="C133" s="62" t="s">
        <v>1296</v>
      </c>
      <c r="D133" s="83" t="s">
        <v>1240</v>
      </c>
      <c r="E133" s="84">
        <v>132.0</v>
      </c>
      <c r="F133" s="48"/>
    </row>
    <row r="134" ht="15.75" customHeight="1">
      <c r="A134" s="48" t="s">
        <v>1297</v>
      </c>
      <c r="B134" s="48" t="s">
        <v>1298</v>
      </c>
      <c r="C134" s="62" t="s">
        <v>1299</v>
      </c>
      <c r="D134" s="83" t="s">
        <v>1240</v>
      </c>
      <c r="E134" s="80">
        <v>133.0</v>
      </c>
      <c r="F134" s="48"/>
    </row>
    <row r="135" ht="15.75" customHeight="1">
      <c r="A135" s="48" t="s">
        <v>1300</v>
      </c>
      <c r="B135" s="48" t="s">
        <v>1301</v>
      </c>
      <c r="C135" s="62" t="s">
        <v>1239</v>
      </c>
      <c r="D135" s="83" t="s">
        <v>1240</v>
      </c>
      <c r="E135" s="84">
        <v>134.0</v>
      </c>
      <c r="F135" s="48"/>
    </row>
    <row r="136" ht="15.75" customHeight="1">
      <c r="A136" s="48" t="s">
        <v>1302</v>
      </c>
      <c r="B136" s="48" t="s">
        <v>1303</v>
      </c>
      <c r="C136" s="62" t="s">
        <v>1304</v>
      </c>
      <c r="D136" s="83" t="s">
        <v>1240</v>
      </c>
      <c r="E136" s="80">
        <v>135.0</v>
      </c>
      <c r="F136" s="48"/>
    </row>
    <row r="137" ht="15.75" customHeight="1">
      <c r="A137" s="48" t="s">
        <v>1305</v>
      </c>
      <c r="B137" s="48" t="s">
        <v>1306</v>
      </c>
      <c r="C137" s="62" t="s">
        <v>1307</v>
      </c>
      <c r="D137" s="83" t="s">
        <v>1240</v>
      </c>
      <c r="E137" s="84">
        <v>136.0</v>
      </c>
      <c r="F137" s="48"/>
    </row>
    <row r="138" ht="15.75" customHeight="1">
      <c r="A138" s="48" t="s">
        <v>1308</v>
      </c>
      <c r="B138" s="48" t="s">
        <v>1309</v>
      </c>
      <c r="C138" s="62" t="s">
        <v>1310</v>
      </c>
      <c r="D138" s="83" t="s">
        <v>1240</v>
      </c>
      <c r="E138" s="80">
        <v>137.0</v>
      </c>
      <c r="F138" s="48"/>
    </row>
    <row r="139" ht="15.75" customHeight="1">
      <c r="A139" s="48" t="s">
        <v>1311</v>
      </c>
      <c r="B139" s="48" t="s">
        <v>1312</v>
      </c>
      <c r="C139" s="62" t="s">
        <v>1313</v>
      </c>
      <c r="D139" s="83" t="s">
        <v>1240</v>
      </c>
      <c r="E139" s="84">
        <v>138.0</v>
      </c>
      <c r="F139" s="48"/>
    </row>
    <row r="140" ht="15.75" customHeight="1">
      <c r="A140" s="48" t="s">
        <v>1314</v>
      </c>
      <c r="B140" s="48" t="s">
        <v>1315</v>
      </c>
      <c r="C140" s="62" t="s">
        <v>1316</v>
      </c>
      <c r="D140" s="83" t="s">
        <v>1240</v>
      </c>
      <c r="E140" s="80">
        <v>139.0</v>
      </c>
      <c r="F140" s="48"/>
    </row>
    <row r="141" ht="15.75" customHeight="1">
      <c r="A141" s="48" t="s">
        <v>1317</v>
      </c>
      <c r="B141" s="48" t="s">
        <v>1318</v>
      </c>
      <c r="C141" s="62" t="s">
        <v>1319</v>
      </c>
      <c r="D141" s="83" t="s">
        <v>1240</v>
      </c>
      <c r="E141" s="84">
        <v>140.0</v>
      </c>
      <c r="F141" s="48"/>
    </row>
    <row r="142" ht="15.75" customHeight="1">
      <c r="A142" s="48" t="s">
        <v>1320</v>
      </c>
      <c r="B142" s="48" t="s">
        <v>1321</v>
      </c>
      <c r="C142" s="62" t="s">
        <v>1322</v>
      </c>
      <c r="D142" s="83" t="s">
        <v>1240</v>
      </c>
      <c r="E142" s="80">
        <v>141.0</v>
      </c>
      <c r="F142" s="48"/>
    </row>
    <row r="143" ht="15.75" customHeight="1">
      <c r="A143" s="48" t="s">
        <v>1323</v>
      </c>
      <c r="B143" s="48" t="s">
        <v>1324</v>
      </c>
      <c r="C143" s="62" t="s">
        <v>1325</v>
      </c>
      <c r="D143" s="83" t="s">
        <v>1240</v>
      </c>
      <c r="E143" s="84">
        <v>142.0</v>
      </c>
      <c r="F143" s="48"/>
    </row>
    <row r="144" ht="15.75" customHeight="1">
      <c r="A144" s="48" t="s">
        <v>1326</v>
      </c>
      <c r="B144" s="48" t="s">
        <v>1327</v>
      </c>
      <c r="C144" s="62" t="s">
        <v>1328</v>
      </c>
      <c r="D144" s="83" t="s">
        <v>1240</v>
      </c>
      <c r="E144" s="80">
        <v>143.0</v>
      </c>
      <c r="F144" s="48"/>
    </row>
    <row r="145" ht="15.75" customHeight="1">
      <c r="A145" s="48" t="s">
        <v>1329</v>
      </c>
      <c r="B145" s="48" t="s">
        <v>1330</v>
      </c>
      <c r="C145" s="62" t="s">
        <v>1331</v>
      </c>
      <c r="D145" s="83" t="s">
        <v>1240</v>
      </c>
      <c r="E145" s="84">
        <v>144.0</v>
      </c>
      <c r="F145" s="48"/>
    </row>
    <row r="146" ht="15.75" customHeight="1">
      <c r="A146" s="48" t="s">
        <v>1332</v>
      </c>
      <c r="B146" s="48" t="s">
        <v>1333</v>
      </c>
      <c r="C146" s="62" t="s">
        <v>1334</v>
      </c>
      <c r="D146" s="83" t="s">
        <v>1240</v>
      </c>
      <c r="E146" s="80">
        <v>145.0</v>
      </c>
      <c r="F146" s="48"/>
    </row>
    <row r="147" ht="15.75" customHeight="1">
      <c r="A147" s="48" t="s">
        <v>1335</v>
      </c>
      <c r="B147" s="48" t="s">
        <v>1336</v>
      </c>
      <c r="C147" s="62" t="s">
        <v>1337</v>
      </c>
      <c r="D147" s="83" t="s">
        <v>1240</v>
      </c>
      <c r="E147" s="84">
        <v>146.0</v>
      </c>
      <c r="F147" s="48"/>
    </row>
    <row r="148" ht="15.75" customHeight="1">
      <c r="A148" s="48" t="s">
        <v>1338</v>
      </c>
      <c r="B148" s="48" t="s">
        <v>1339</v>
      </c>
      <c r="C148" s="62" t="s">
        <v>1340</v>
      </c>
      <c r="D148" s="83" t="s">
        <v>1240</v>
      </c>
      <c r="E148" s="80">
        <v>147.0</v>
      </c>
      <c r="F148" s="48"/>
    </row>
    <row r="149" ht="15.75" customHeight="1">
      <c r="A149" s="48" t="s">
        <v>1341</v>
      </c>
      <c r="B149" s="48" t="s">
        <v>1342</v>
      </c>
      <c r="C149" s="62" t="s">
        <v>1343</v>
      </c>
      <c r="D149" s="83" t="s">
        <v>1240</v>
      </c>
      <c r="E149" s="84">
        <v>148.0</v>
      </c>
      <c r="F149" s="48"/>
    </row>
    <row r="150" ht="15.75" customHeight="1">
      <c r="A150" s="48" t="s">
        <v>1344</v>
      </c>
      <c r="B150" s="48" t="s">
        <v>1345</v>
      </c>
      <c r="C150" s="62" t="s">
        <v>1346</v>
      </c>
      <c r="D150" s="83" t="s">
        <v>1240</v>
      </c>
      <c r="E150" s="80">
        <v>149.0</v>
      </c>
      <c r="F150" s="48"/>
    </row>
    <row r="151" ht="15.75" customHeight="1">
      <c r="A151" s="48" t="s">
        <v>1347</v>
      </c>
      <c r="B151" s="48" t="s">
        <v>1348</v>
      </c>
      <c r="C151" s="62" t="s">
        <v>1349</v>
      </c>
      <c r="D151" s="83" t="s">
        <v>1240</v>
      </c>
      <c r="E151" s="84">
        <v>150.0</v>
      </c>
      <c r="F151" s="48"/>
    </row>
    <row r="152" ht="15.75" customHeight="1">
      <c r="A152" s="48" t="s">
        <v>871</v>
      </c>
      <c r="B152" s="48" t="s">
        <v>872</v>
      </c>
      <c r="C152" s="62" t="s">
        <v>873</v>
      </c>
      <c r="D152" s="83" t="s">
        <v>874</v>
      </c>
      <c r="E152" s="80">
        <v>151.0</v>
      </c>
      <c r="F152" s="48"/>
    </row>
    <row r="153" ht="15.75" customHeight="1">
      <c r="A153" s="48" t="s">
        <v>1350</v>
      </c>
      <c r="B153" s="48" t="s">
        <v>1351</v>
      </c>
      <c r="C153" s="62" t="s">
        <v>1352</v>
      </c>
      <c r="D153" s="83" t="s">
        <v>930</v>
      </c>
      <c r="E153" s="84">
        <v>152.0</v>
      </c>
      <c r="F153" s="48"/>
    </row>
    <row r="154" ht="15.75" customHeight="1">
      <c r="A154" s="48" t="s">
        <v>1353</v>
      </c>
      <c r="B154" s="48" t="s">
        <v>1354</v>
      </c>
      <c r="C154" s="62" t="s">
        <v>1355</v>
      </c>
      <c r="D154" s="83" t="s">
        <v>930</v>
      </c>
      <c r="E154" s="80">
        <v>153.0</v>
      </c>
      <c r="F154" s="48"/>
    </row>
    <row r="155" ht="15.75" customHeight="1">
      <c r="A155" s="48" t="s">
        <v>1356</v>
      </c>
      <c r="B155" s="48" t="s">
        <v>1357</v>
      </c>
      <c r="C155" s="62" t="s">
        <v>1358</v>
      </c>
      <c r="D155" s="83" t="s">
        <v>930</v>
      </c>
      <c r="E155" s="84">
        <v>154.0</v>
      </c>
      <c r="F155" s="48"/>
    </row>
    <row r="156" ht="15.75" customHeight="1">
      <c r="A156" s="48" t="s">
        <v>1359</v>
      </c>
      <c r="B156" s="48" t="s">
        <v>1360</v>
      </c>
      <c r="C156" s="62" t="s">
        <v>1361</v>
      </c>
      <c r="D156" s="83" t="s">
        <v>930</v>
      </c>
      <c r="E156" s="80">
        <v>155.0</v>
      </c>
      <c r="F156" s="48"/>
    </row>
    <row r="157" ht="15.75" customHeight="1">
      <c r="A157" s="48" t="s">
        <v>1362</v>
      </c>
      <c r="B157" s="48" t="s">
        <v>1363</v>
      </c>
      <c r="C157" s="62" t="s">
        <v>1364</v>
      </c>
      <c r="D157" s="83" t="s">
        <v>930</v>
      </c>
      <c r="E157" s="84">
        <v>156.0</v>
      </c>
      <c r="F157" s="48"/>
    </row>
    <row r="158" ht="15.75" customHeight="1">
      <c r="A158" s="48" t="s">
        <v>1365</v>
      </c>
      <c r="B158" s="48" t="s">
        <v>1366</v>
      </c>
      <c r="C158" s="62" t="s">
        <v>1367</v>
      </c>
      <c r="D158" s="83" t="s">
        <v>930</v>
      </c>
      <c r="E158" s="80">
        <v>157.0</v>
      </c>
      <c r="F158" s="48"/>
    </row>
    <row r="159" ht="15.75" customHeight="1">
      <c r="A159" s="48" t="s">
        <v>1368</v>
      </c>
      <c r="B159" s="48" t="s">
        <v>1369</v>
      </c>
      <c r="C159" s="62" t="s">
        <v>1370</v>
      </c>
      <c r="D159" s="83" t="s">
        <v>930</v>
      </c>
      <c r="E159" s="84">
        <v>158.0</v>
      </c>
      <c r="F159" s="48"/>
    </row>
    <row r="160" ht="15.75" customHeight="1">
      <c r="A160" s="48" t="s">
        <v>1371</v>
      </c>
      <c r="B160" s="48" t="s">
        <v>1372</v>
      </c>
      <c r="C160" s="62" t="s">
        <v>1373</v>
      </c>
      <c r="D160" s="83" t="s">
        <v>930</v>
      </c>
      <c r="E160" s="80">
        <v>159.0</v>
      </c>
      <c r="F160" s="48"/>
    </row>
    <row r="161" ht="15.75" customHeight="1">
      <c r="A161" s="48" t="s">
        <v>1374</v>
      </c>
      <c r="B161" s="48" t="s">
        <v>1375</v>
      </c>
      <c r="C161" s="62" t="s">
        <v>1367</v>
      </c>
      <c r="D161" s="83" t="s">
        <v>930</v>
      </c>
      <c r="E161" s="84">
        <v>160.0</v>
      </c>
      <c r="F161" s="48"/>
    </row>
    <row r="162" ht="15.75" customHeight="1">
      <c r="A162" s="48" t="s">
        <v>1376</v>
      </c>
      <c r="B162" s="48" t="s">
        <v>1377</v>
      </c>
      <c r="C162" s="62" t="s">
        <v>1378</v>
      </c>
      <c r="D162" s="83" t="s">
        <v>930</v>
      </c>
      <c r="E162" s="80">
        <v>161.0</v>
      </c>
      <c r="F162" s="48"/>
    </row>
    <row r="163" ht="15.75" customHeight="1">
      <c r="A163" s="48" t="s">
        <v>1379</v>
      </c>
      <c r="B163" s="48" t="s">
        <v>1380</v>
      </c>
      <c r="C163" s="62" t="s">
        <v>1381</v>
      </c>
      <c r="D163" s="83" t="s">
        <v>930</v>
      </c>
      <c r="E163" s="84">
        <v>162.0</v>
      </c>
      <c r="F163" s="48"/>
    </row>
    <row r="164" ht="15.75" customHeight="1">
      <c r="A164" s="48" t="s">
        <v>1382</v>
      </c>
      <c r="B164" s="48" t="s">
        <v>1383</v>
      </c>
      <c r="C164" s="62" t="s">
        <v>1384</v>
      </c>
      <c r="D164" s="83" t="s">
        <v>930</v>
      </c>
      <c r="E164" s="80">
        <v>163.0</v>
      </c>
      <c r="F164" s="48"/>
    </row>
    <row r="165" ht="15.75" customHeight="1">
      <c r="A165" s="48" t="s">
        <v>1385</v>
      </c>
      <c r="B165" s="48" t="s">
        <v>1386</v>
      </c>
      <c r="C165" s="62" t="s">
        <v>1384</v>
      </c>
      <c r="D165" s="83" t="s">
        <v>930</v>
      </c>
      <c r="E165" s="84">
        <v>164.0</v>
      </c>
      <c r="F165" s="48"/>
    </row>
    <row r="166" ht="15.75" customHeight="1">
      <c r="A166" s="48" t="s">
        <v>1387</v>
      </c>
      <c r="B166" s="48" t="s">
        <v>1388</v>
      </c>
      <c r="C166" s="62" t="s">
        <v>1389</v>
      </c>
      <c r="D166" s="83" t="s">
        <v>930</v>
      </c>
      <c r="E166" s="80">
        <v>165.0</v>
      </c>
      <c r="F166" s="48"/>
    </row>
    <row r="167" ht="15.75" customHeight="1">
      <c r="A167" s="48" t="s">
        <v>1390</v>
      </c>
      <c r="B167" s="48" t="s">
        <v>1391</v>
      </c>
      <c r="C167" s="62" t="s">
        <v>1392</v>
      </c>
      <c r="D167" s="83" t="s">
        <v>930</v>
      </c>
      <c r="E167" s="84">
        <v>166.0</v>
      </c>
      <c r="F167" s="48"/>
    </row>
    <row r="168" ht="15.75" customHeight="1">
      <c r="A168" s="48" t="s">
        <v>1393</v>
      </c>
      <c r="B168" s="48" t="s">
        <v>1394</v>
      </c>
      <c r="C168" s="62" t="s">
        <v>1395</v>
      </c>
      <c r="D168" s="83" t="s">
        <v>930</v>
      </c>
      <c r="E168" s="80">
        <v>167.0</v>
      </c>
      <c r="F168" s="48"/>
    </row>
    <row r="169" ht="15.75" customHeight="1">
      <c r="A169" s="48" t="s">
        <v>1396</v>
      </c>
      <c r="B169" s="48" t="s">
        <v>1188</v>
      </c>
      <c r="C169" s="62" t="s">
        <v>1397</v>
      </c>
      <c r="D169" s="83" t="s">
        <v>930</v>
      </c>
      <c r="E169" s="84">
        <v>168.0</v>
      </c>
      <c r="F169" s="48"/>
    </row>
    <row r="170" ht="15.75" customHeight="1">
      <c r="A170" s="48" t="s">
        <v>1398</v>
      </c>
      <c r="B170" s="48" t="s">
        <v>1388</v>
      </c>
      <c r="C170" s="62" t="s">
        <v>1389</v>
      </c>
      <c r="D170" s="83" t="s">
        <v>930</v>
      </c>
      <c r="E170" s="80">
        <v>169.0</v>
      </c>
      <c r="F170" s="48"/>
    </row>
    <row r="171" ht="15.75" customHeight="1">
      <c r="A171" s="48" t="s">
        <v>1399</v>
      </c>
      <c r="B171" s="48" t="s">
        <v>1400</v>
      </c>
      <c r="C171" s="62" t="s">
        <v>1401</v>
      </c>
      <c r="D171" s="83" t="s">
        <v>930</v>
      </c>
      <c r="E171" s="84">
        <v>170.0</v>
      </c>
      <c r="F171" s="48"/>
    </row>
    <row r="172" ht="15.75" customHeight="1">
      <c r="A172" s="48" t="s">
        <v>1402</v>
      </c>
      <c r="B172" s="48" t="s">
        <v>1403</v>
      </c>
      <c r="C172" s="62" t="s">
        <v>1404</v>
      </c>
      <c r="D172" s="83" t="s">
        <v>930</v>
      </c>
      <c r="E172" s="80">
        <v>171.0</v>
      </c>
      <c r="F172" s="48"/>
    </row>
    <row r="173" ht="15.75" customHeight="1">
      <c r="A173" s="48" t="s">
        <v>1405</v>
      </c>
      <c r="B173" s="48" t="s">
        <v>1406</v>
      </c>
      <c r="C173" s="62" t="s">
        <v>1407</v>
      </c>
      <c r="D173" s="83" t="s">
        <v>930</v>
      </c>
      <c r="E173" s="84">
        <v>172.0</v>
      </c>
      <c r="F173" s="48"/>
    </row>
    <row r="174" ht="15.75" customHeight="1">
      <c r="A174" s="48" t="s">
        <v>1408</v>
      </c>
      <c r="B174" s="48" t="s">
        <v>1409</v>
      </c>
      <c r="C174" s="62" t="s">
        <v>1410</v>
      </c>
      <c r="D174" s="83" t="s">
        <v>930</v>
      </c>
      <c r="E174" s="80">
        <v>173.0</v>
      </c>
      <c r="F174" s="48"/>
    </row>
    <row r="175" ht="15.75" customHeight="1">
      <c r="A175" s="48" t="s">
        <v>1411</v>
      </c>
      <c r="B175" s="48" t="s">
        <v>1412</v>
      </c>
      <c r="C175" s="62" t="s">
        <v>1413</v>
      </c>
      <c r="D175" s="83" t="s">
        <v>930</v>
      </c>
      <c r="E175" s="84">
        <v>174.0</v>
      </c>
      <c r="F175" s="48"/>
    </row>
    <row r="176" ht="15.75" customHeight="1">
      <c r="A176" s="48" t="s">
        <v>1414</v>
      </c>
      <c r="B176" s="48" t="s">
        <v>1415</v>
      </c>
      <c r="C176" s="62" t="s">
        <v>1416</v>
      </c>
      <c r="D176" s="83" t="s">
        <v>930</v>
      </c>
      <c r="E176" s="80">
        <v>175.0</v>
      </c>
      <c r="F176" s="48"/>
    </row>
    <row r="177" ht="15.75" customHeight="1">
      <c r="A177" s="48" t="s">
        <v>1417</v>
      </c>
      <c r="B177" s="48" t="s">
        <v>1418</v>
      </c>
      <c r="C177" s="62" t="s">
        <v>1397</v>
      </c>
      <c r="D177" s="83" t="s">
        <v>930</v>
      </c>
      <c r="E177" s="84">
        <v>176.0</v>
      </c>
      <c r="F177" s="48"/>
    </row>
    <row r="178" ht="15.75" customHeight="1">
      <c r="A178" s="34" t="s">
        <v>1419</v>
      </c>
      <c r="B178" s="34" t="s">
        <v>1415</v>
      </c>
      <c r="C178" s="35" t="s">
        <v>1420</v>
      </c>
      <c r="D178" s="94" t="s">
        <v>930</v>
      </c>
      <c r="E178" s="80">
        <v>177.0</v>
      </c>
      <c r="F178" s="48"/>
    </row>
    <row r="179" ht="15.75" customHeight="1">
      <c r="A179" s="48" t="s">
        <v>1421</v>
      </c>
      <c r="B179" s="48" t="s">
        <v>1422</v>
      </c>
      <c r="C179" s="62" t="s">
        <v>1423</v>
      </c>
      <c r="D179" s="83" t="s">
        <v>1240</v>
      </c>
      <c r="E179" s="84">
        <v>178.0</v>
      </c>
      <c r="F179" s="48"/>
    </row>
    <row r="180" ht="15.75" customHeight="1">
      <c r="A180" s="48" t="s">
        <v>1424</v>
      </c>
      <c r="B180" s="48" t="s">
        <v>1425</v>
      </c>
      <c r="C180" s="62" t="s">
        <v>1426</v>
      </c>
      <c r="D180" s="83" t="s">
        <v>930</v>
      </c>
      <c r="E180" s="80">
        <v>179.0</v>
      </c>
      <c r="F180" s="48"/>
    </row>
    <row r="181" ht="15.75" customHeight="1">
      <c r="A181" s="48" t="s">
        <v>1427</v>
      </c>
      <c r="B181" s="48" t="s">
        <v>1428</v>
      </c>
      <c r="C181" s="62" t="s">
        <v>1429</v>
      </c>
      <c r="D181" s="83" t="s">
        <v>1240</v>
      </c>
      <c r="E181" s="84">
        <v>180.0</v>
      </c>
      <c r="F181" s="48"/>
    </row>
    <row r="182" ht="15.75" customHeight="1">
      <c r="A182" s="51" t="s">
        <v>1430</v>
      </c>
      <c r="B182" s="48" t="s">
        <v>1431</v>
      </c>
      <c r="C182" s="63" t="s">
        <v>1432</v>
      </c>
      <c r="D182" s="83" t="s">
        <v>909</v>
      </c>
      <c r="E182" s="80">
        <v>181.0</v>
      </c>
      <c r="F182" s="48"/>
    </row>
    <row r="183" ht="15.75" customHeight="1">
      <c r="A183" s="48" t="s">
        <v>1433</v>
      </c>
      <c r="B183" s="48" t="s">
        <v>1434</v>
      </c>
      <c r="C183" s="62" t="s">
        <v>1435</v>
      </c>
      <c r="D183" s="83" t="s">
        <v>930</v>
      </c>
      <c r="E183" s="84">
        <v>182.0</v>
      </c>
      <c r="F183" s="48"/>
    </row>
    <row r="184" ht="15.75" customHeight="1">
      <c r="A184" s="48" t="s">
        <v>1436</v>
      </c>
      <c r="B184" s="48" t="s">
        <v>1437</v>
      </c>
      <c r="C184" s="62" t="s">
        <v>1410</v>
      </c>
      <c r="D184" s="83" t="s">
        <v>930</v>
      </c>
      <c r="E184" s="80">
        <v>183.0</v>
      </c>
      <c r="F184" s="48"/>
    </row>
    <row r="185" ht="15.75" customHeight="1">
      <c r="A185" s="48" t="s">
        <v>1438</v>
      </c>
      <c r="B185" s="48" t="s">
        <v>1439</v>
      </c>
      <c r="C185" s="62" t="s">
        <v>1440</v>
      </c>
      <c r="D185" s="83" t="s">
        <v>930</v>
      </c>
      <c r="E185" s="84">
        <v>184.0</v>
      </c>
      <c r="F185" s="48"/>
    </row>
    <row r="186" ht="15.75" customHeight="1">
      <c r="A186" s="48" t="s">
        <v>1441</v>
      </c>
      <c r="B186" s="48" t="s">
        <v>1442</v>
      </c>
      <c r="C186" s="62" t="s">
        <v>1443</v>
      </c>
      <c r="D186" s="83" t="s">
        <v>1444</v>
      </c>
      <c r="E186" s="80">
        <v>185.0</v>
      </c>
      <c r="F186" s="48"/>
    </row>
    <row r="187" ht="15.75" customHeight="1">
      <c r="A187" s="48" t="s">
        <v>1445</v>
      </c>
      <c r="B187" s="48" t="s">
        <v>1446</v>
      </c>
      <c r="C187" s="92" t="s">
        <v>1447</v>
      </c>
      <c r="D187" s="83" t="s">
        <v>955</v>
      </c>
      <c r="E187" s="84">
        <v>186.0</v>
      </c>
      <c r="F187" s="48" t="s">
        <v>116</v>
      </c>
    </row>
    <row r="188" ht="15.75" customHeight="1">
      <c r="A188" s="48" t="s">
        <v>1448</v>
      </c>
      <c r="B188" s="48" t="s">
        <v>783</v>
      </c>
      <c r="C188" s="63"/>
      <c r="D188" s="83" t="s">
        <v>336</v>
      </c>
      <c r="E188" s="80">
        <v>187.0</v>
      </c>
      <c r="F188" s="48"/>
    </row>
    <row r="189" ht="15.75" customHeight="1">
      <c r="A189" s="48" t="s">
        <v>1449</v>
      </c>
      <c r="B189" s="48" t="s">
        <v>198</v>
      </c>
      <c r="C189" s="62" t="s">
        <v>1450</v>
      </c>
      <c r="D189" s="83" t="s">
        <v>968</v>
      </c>
      <c r="E189" s="84">
        <v>188.0</v>
      </c>
      <c r="F189" s="48"/>
    </row>
    <row r="190" ht="15.75" customHeight="1">
      <c r="A190" s="48" t="s">
        <v>1451</v>
      </c>
      <c r="B190" s="48" t="s">
        <v>989</v>
      </c>
      <c r="C190" s="62" t="s">
        <v>1452</v>
      </c>
      <c r="D190" s="83"/>
      <c r="E190" s="80">
        <v>189.0</v>
      </c>
      <c r="F190" s="48"/>
    </row>
    <row r="191" ht="15.75" customHeight="1">
      <c r="A191" s="48" t="s">
        <v>1453</v>
      </c>
      <c r="B191" s="48" t="s">
        <v>1454</v>
      </c>
      <c r="C191" s="62" t="s">
        <v>1455</v>
      </c>
      <c r="D191" s="83" t="s">
        <v>944</v>
      </c>
      <c r="E191" s="84">
        <v>190.0</v>
      </c>
      <c r="F191" s="48"/>
    </row>
    <row r="192" ht="15.75" customHeight="1">
      <c r="A192" s="48" t="s">
        <v>1456</v>
      </c>
      <c r="B192" s="48" t="s">
        <v>1457</v>
      </c>
      <c r="C192" s="62" t="s">
        <v>1458</v>
      </c>
      <c r="D192" s="83" t="s">
        <v>968</v>
      </c>
      <c r="E192" s="80">
        <v>191.0</v>
      </c>
      <c r="F192" s="48"/>
    </row>
    <row r="193" ht="15.75" customHeight="1">
      <c r="A193" s="48" t="s">
        <v>1459</v>
      </c>
      <c r="B193" s="48" t="s">
        <v>1460</v>
      </c>
      <c r="C193" s="62" t="s">
        <v>1461</v>
      </c>
      <c r="D193" s="83" t="s">
        <v>968</v>
      </c>
      <c r="E193" s="84">
        <v>192.0</v>
      </c>
      <c r="F193" s="48"/>
    </row>
    <row r="194" ht="15.75" customHeight="1">
      <c r="A194" s="48" t="s">
        <v>1462</v>
      </c>
      <c r="B194" s="48" t="s">
        <v>1463</v>
      </c>
      <c r="C194" s="63" t="s">
        <v>198</v>
      </c>
      <c r="D194" s="83" t="s">
        <v>968</v>
      </c>
      <c r="E194" s="80">
        <v>193.0</v>
      </c>
      <c r="F194" s="48"/>
    </row>
    <row r="195" ht="15.75" customHeight="1">
      <c r="A195" s="48" t="s">
        <v>1464</v>
      </c>
      <c r="B195" s="48" t="s">
        <v>1465</v>
      </c>
      <c r="C195" s="62" t="s">
        <v>1466</v>
      </c>
      <c r="D195" s="83"/>
      <c r="E195" s="84">
        <v>194.0</v>
      </c>
      <c r="F195" s="48"/>
    </row>
    <row r="196" ht="15.75" customHeight="1">
      <c r="A196" s="48" t="s">
        <v>1467</v>
      </c>
      <c r="B196" s="48" t="s">
        <v>478</v>
      </c>
      <c r="C196" s="62" t="s">
        <v>1468</v>
      </c>
      <c r="D196" s="83" t="s">
        <v>1444</v>
      </c>
      <c r="E196" s="80">
        <v>195.0</v>
      </c>
      <c r="F196" s="48"/>
    </row>
    <row r="197" ht="15.75" customHeight="1">
      <c r="A197" s="48" t="s">
        <v>465</v>
      </c>
      <c r="B197" s="48" t="s">
        <v>466</v>
      </c>
      <c r="C197" s="62" t="s">
        <v>1469</v>
      </c>
      <c r="D197" s="83" t="s">
        <v>1009</v>
      </c>
      <c r="E197" s="84">
        <v>196.0</v>
      </c>
      <c r="F197" s="48"/>
    </row>
    <row r="198" ht="15.75" customHeight="1">
      <c r="A198" s="48" t="s">
        <v>539</v>
      </c>
      <c r="B198" s="48" t="s">
        <v>540</v>
      </c>
      <c r="C198" s="62" t="s">
        <v>467</v>
      </c>
      <c r="D198" s="83" t="s">
        <v>969</v>
      </c>
      <c r="E198" s="80">
        <v>197.0</v>
      </c>
      <c r="F198" s="48"/>
    </row>
    <row r="199" ht="15.75" customHeight="1">
      <c r="A199" s="48" t="s">
        <v>1470</v>
      </c>
      <c r="B199" s="48" t="s">
        <v>1471</v>
      </c>
      <c r="C199" s="62" t="s">
        <v>541</v>
      </c>
      <c r="D199" s="83" t="s">
        <v>921</v>
      </c>
      <c r="E199" s="84">
        <v>198.0</v>
      </c>
      <c r="F199" s="48"/>
    </row>
    <row r="200" ht="15.75" customHeight="1">
      <c r="A200" s="48" t="s">
        <v>1472</v>
      </c>
      <c r="B200" s="48" t="s">
        <v>1473</v>
      </c>
      <c r="C200" s="62" t="s">
        <v>1474</v>
      </c>
      <c r="D200" s="83" t="s">
        <v>1475</v>
      </c>
      <c r="E200" s="80">
        <v>199.0</v>
      </c>
      <c r="F200" s="48"/>
    </row>
    <row r="201" ht="15.75" customHeight="1">
      <c r="A201" s="48" t="s">
        <v>1476</v>
      </c>
      <c r="B201" s="48" t="s">
        <v>1477</v>
      </c>
      <c r="C201" s="62" t="s">
        <v>1478</v>
      </c>
      <c r="D201" s="83" t="s">
        <v>968</v>
      </c>
      <c r="E201" s="84">
        <v>200.0</v>
      </c>
      <c r="F201" s="48"/>
    </row>
    <row r="202" ht="15.75" customHeight="1">
      <c r="A202" s="48" t="s">
        <v>1479</v>
      </c>
      <c r="B202" s="48" t="s">
        <v>198</v>
      </c>
      <c r="C202" s="62" t="s">
        <v>1480</v>
      </c>
      <c r="D202" s="83" t="s">
        <v>968</v>
      </c>
      <c r="E202" s="80">
        <v>201.0</v>
      </c>
      <c r="F202" s="48"/>
    </row>
    <row r="203" ht="15.75" customHeight="1">
      <c r="A203" s="48" t="s">
        <v>1481</v>
      </c>
      <c r="B203" s="48" t="s">
        <v>1482</v>
      </c>
      <c r="C203" s="62" t="s">
        <v>1478</v>
      </c>
      <c r="D203" s="83" t="s">
        <v>968</v>
      </c>
      <c r="E203" s="84">
        <v>202.0</v>
      </c>
      <c r="F203" s="48"/>
    </row>
    <row r="204" ht="15.75" customHeight="1">
      <c r="A204" s="48" t="s">
        <v>1483</v>
      </c>
      <c r="B204" s="48" t="s">
        <v>1484</v>
      </c>
      <c r="C204" s="62" t="s">
        <v>1485</v>
      </c>
      <c r="D204" s="83" t="s">
        <v>949</v>
      </c>
      <c r="E204" s="80">
        <v>203.0</v>
      </c>
      <c r="F204" s="48"/>
    </row>
    <row r="205" ht="15.75" customHeight="1">
      <c r="A205" s="48" t="s">
        <v>1486</v>
      </c>
      <c r="B205" s="48" t="s">
        <v>1487</v>
      </c>
      <c r="C205" s="63"/>
      <c r="D205" s="83"/>
      <c r="E205" s="84">
        <v>204.0</v>
      </c>
      <c r="F205" s="48"/>
    </row>
    <row r="206" ht="15.75" customHeight="1">
      <c r="A206" s="48" t="s">
        <v>1488</v>
      </c>
      <c r="B206" s="48" t="s">
        <v>478</v>
      </c>
      <c r="C206" s="62" t="s">
        <v>1489</v>
      </c>
      <c r="D206" s="83" t="s">
        <v>1097</v>
      </c>
      <c r="E206" s="80">
        <v>205.0</v>
      </c>
      <c r="F206" s="48"/>
    </row>
    <row r="207" ht="15.75" customHeight="1">
      <c r="A207" s="48" t="s">
        <v>1490</v>
      </c>
      <c r="B207" s="48" t="s">
        <v>1491</v>
      </c>
      <c r="C207" s="62" t="s">
        <v>1492</v>
      </c>
      <c r="D207" s="83" t="s">
        <v>995</v>
      </c>
      <c r="E207" s="84">
        <v>206.0</v>
      </c>
      <c r="F207" s="48"/>
    </row>
    <row r="208" ht="15.75" customHeight="1">
      <c r="A208" s="51" t="s">
        <v>1493</v>
      </c>
      <c r="B208" s="48" t="s">
        <v>1494</v>
      </c>
      <c r="C208" s="63"/>
      <c r="D208" s="83" t="s">
        <v>909</v>
      </c>
      <c r="E208" s="80">
        <v>207.0</v>
      </c>
      <c r="F208" s="48"/>
    </row>
    <row r="209" ht="15.75" customHeight="1">
      <c r="A209" s="48" t="s">
        <v>1495</v>
      </c>
      <c r="B209" s="48" t="s">
        <v>1496</v>
      </c>
      <c r="C209" s="92" t="s">
        <v>1497</v>
      </c>
      <c r="D209" s="83" t="s">
        <v>955</v>
      </c>
      <c r="E209" s="74">
        <v>208.0</v>
      </c>
      <c r="F209" s="48" t="s">
        <v>116</v>
      </c>
    </row>
    <row r="210" ht="15.75" customHeight="1">
      <c r="A210" s="48"/>
      <c r="B210" s="48"/>
      <c r="C210" s="63"/>
      <c r="D210" s="83"/>
      <c r="E210" s="80">
        <v>209.0</v>
      </c>
      <c r="F210" s="48"/>
    </row>
    <row r="211" ht="15.75" customHeight="1">
      <c r="A211" s="95" t="s">
        <v>868</v>
      </c>
      <c r="B211" s="95" t="s">
        <v>478</v>
      </c>
      <c r="C211" s="62" t="s">
        <v>869</v>
      </c>
      <c r="D211" s="83" t="s">
        <v>870</v>
      </c>
      <c r="E211" s="84">
        <v>210.0</v>
      </c>
      <c r="F211" s="34" t="s">
        <v>1498</v>
      </c>
    </row>
    <row r="212" ht="15.75" customHeight="1">
      <c r="A212" s="48" t="s">
        <v>1499</v>
      </c>
      <c r="B212" s="48" t="s">
        <v>1500</v>
      </c>
      <c r="C212" s="62" t="s">
        <v>1501</v>
      </c>
      <c r="D212" s="83"/>
      <c r="E212" s="80">
        <v>211.0</v>
      </c>
      <c r="F212" s="48"/>
    </row>
    <row r="213" ht="15.75" customHeight="1">
      <c r="A213" s="48" t="s">
        <v>1502</v>
      </c>
      <c r="B213" s="48" t="s">
        <v>1503</v>
      </c>
      <c r="C213" s="62" t="s">
        <v>1504</v>
      </c>
      <c r="D213" s="83" t="s">
        <v>1505</v>
      </c>
      <c r="E213" s="84">
        <v>212.0</v>
      </c>
      <c r="F213" s="48"/>
    </row>
    <row r="214" ht="15.75" customHeight="1">
      <c r="A214" s="48" t="s">
        <v>1506</v>
      </c>
      <c r="B214" s="48" t="s">
        <v>478</v>
      </c>
      <c r="C214" s="62" t="s">
        <v>1507</v>
      </c>
      <c r="D214" s="83" t="s">
        <v>898</v>
      </c>
      <c r="E214" s="80">
        <v>213.0</v>
      </c>
      <c r="F214" s="48"/>
    </row>
    <row r="215" ht="15.75" customHeight="1">
      <c r="A215" s="48" t="s">
        <v>1508</v>
      </c>
      <c r="B215" s="48" t="s">
        <v>1509</v>
      </c>
      <c r="C215" s="62" t="s">
        <v>1510</v>
      </c>
      <c r="D215" s="83" t="s">
        <v>930</v>
      </c>
      <c r="E215" s="84">
        <v>214.0</v>
      </c>
      <c r="F215" s="48"/>
    </row>
    <row r="216" ht="15.75" customHeight="1">
      <c r="A216" s="34" t="s">
        <v>1511</v>
      </c>
      <c r="B216" s="34" t="s">
        <v>1512</v>
      </c>
      <c r="C216" s="62" t="s">
        <v>1513</v>
      </c>
      <c r="D216" s="83"/>
      <c r="E216" s="80">
        <v>215.0</v>
      </c>
      <c r="F216" s="34" t="s">
        <v>1514</v>
      </c>
    </row>
    <row r="217" ht="15.75" customHeight="1">
      <c r="A217" s="34" t="s">
        <v>1515</v>
      </c>
      <c r="B217" s="34" t="s">
        <v>1516</v>
      </c>
      <c r="C217" s="35" t="s">
        <v>1517</v>
      </c>
      <c r="D217" s="83" t="s">
        <v>1518</v>
      </c>
      <c r="E217" s="84">
        <v>216.0</v>
      </c>
      <c r="F217" s="34" t="s">
        <v>1514</v>
      </c>
    </row>
    <row r="218" ht="15.75" customHeight="1">
      <c r="A218" s="34" t="s">
        <v>1519</v>
      </c>
      <c r="B218" s="34" t="s">
        <v>1520</v>
      </c>
      <c r="C218" s="35" t="s">
        <v>1521</v>
      </c>
      <c r="D218" s="83" t="s">
        <v>1518</v>
      </c>
      <c r="E218" s="80">
        <v>217.0</v>
      </c>
      <c r="F218" s="34" t="s">
        <v>1514</v>
      </c>
    </row>
    <row r="219" ht="15.75" customHeight="1">
      <c r="A219" s="34" t="s">
        <v>1522</v>
      </c>
      <c r="B219" s="34" t="s">
        <v>1523</v>
      </c>
      <c r="C219" s="62" t="s">
        <v>1524</v>
      </c>
      <c r="D219" s="83"/>
      <c r="E219" s="84">
        <v>218.0</v>
      </c>
      <c r="F219" s="34" t="s">
        <v>1514</v>
      </c>
    </row>
    <row r="220" ht="15.75" customHeight="1">
      <c r="A220" s="48" t="s">
        <v>120</v>
      </c>
      <c r="B220" s="48" t="s">
        <v>121</v>
      </c>
      <c r="C220" s="62" t="s">
        <v>122</v>
      </c>
      <c r="D220" s="83" t="s">
        <v>935</v>
      </c>
      <c r="E220" s="80">
        <v>219.0</v>
      </c>
      <c r="F220" s="48"/>
    </row>
    <row r="221" ht="15.75" customHeight="1">
      <c r="A221" s="48" t="s">
        <v>1525</v>
      </c>
      <c r="B221" s="48" t="s">
        <v>1526</v>
      </c>
      <c r="C221" s="62" t="s">
        <v>1527</v>
      </c>
      <c r="D221" s="83" t="s">
        <v>930</v>
      </c>
      <c r="E221" s="84">
        <v>220.0</v>
      </c>
      <c r="F221" s="48"/>
    </row>
    <row r="222" ht="15.75" customHeight="1">
      <c r="A222" s="48" t="s">
        <v>1528</v>
      </c>
      <c r="B222" s="48" t="s">
        <v>1529</v>
      </c>
      <c r="C222" s="62" t="s">
        <v>1530</v>
      </c>
      <c r="D222" s="83" t="s">
        <v>930</v>
      </c>
      <c r="E222" s="80">
        <v>221.0</v>
      </c>
      <c r="F222" s="48"/>
    </row>
    <row r="223" ht="15.75" customHeight="1">
      <c r="A223" s="48" t="s">
        <v>1531</v>
      </c>
      <c r="B223" s="48" t="s">
        <v>1532</v>
      </c>
      <c r="C223" s="62" t="s">
        <v>1533</v>
      </c>
      <c r="D223" s="83" t="s">
        <v>930</v>
      </c>
      <c r="E223" s="84">
        <v>222.0</v>
      </c>
      <c r="F223" s="48"/>
    </row>
    <row r="224" ht="15.75" customHeight="1">
      <c r="A224" s="48" t="s">
        <v>1534</v>
      </c>
      <c r="B224" s="48" t="s">
        <v>1535</v>
      </c>
      <c r="C224" s="62" t="s">
        <v>1536</v>
      </c>
      <c r="D224" s="83" t="s">
        <v>930</v>
      </c>
      <c r="E224" s="80">
        <v>223.0</v>
      </c>
      <c r="F224" s="48"/>
    </row>
    <row r="225" ht="15.75" customHeight="1">
      <c r="A225" s="34" t="s">
        <v>1537</v>
      </c>
      <c r="B225" s="34" t="s">
        <v>1538</v>
      </c>
      <c r="C225" s="96"/>
      <c r="D225" s="94" t="s">
        <v>930</v>
      </c>
      <c r="E225" s="84">
        <v>224.0</v>
      </c>
      <c r="F225" s="48"/>
      <c r="G225" s="97">
        <v>43536.0</v>
      </c>
    </row>
    <row r="226" ht="15.75" customHeight="1">
      <c r="A226" s="48"/>
      <c r="B226" s="48"/>
      <c r="C226" s="63"/>
      <c r="D226" s="83"/>
      <c r="E226" s="80">
        <v>225.0</v>
      </c>
      <c r="F226" s="48"/>
    </row>
    <row r="227" ht="15.75" customHeight="1">
      <c r="A227" s="48" t="s">
        <v>1539</v>
      </c>
      <c r="B227" s="48"/>
      <c r="C227" s="62" t="s">
        <v>1540</v>
      </c>
      <c r="D227" s="83" t="s">
        <v>955</v>
      </c>
      <c r="E227" s="84">
        <v>226.0</v>
      </c>
      <c r="F227" s="48" t="s">
        <v>1541</v>
      </c>
    </row>
    <row r="228" ht="15.75" customHeight="1">
      <c r="A228" s="48" t="s">
        <v>1542</v>
      </c>
      <c r="B228" s="48" t="s">
        <v>1543</v>
      </c>
      <c r="C228" s="62" t="s">
        <v>1544</v>
      </c>
      <c r="D228" s="94" t="s">
        <v>930</v>
      </c>
      <c r="E228" s="80">
        <v>227.0</v>
      </c>
      <c r="F228" s="48"/>
    </row>
    <row r="229" ht="15.75" customHeight="1">
      <c r="A229" s="48" t="s">
        <v>1545</v>
      </c>
      <c r="B229" s="48" t="s">
        <v>1546</v>
      </c>
      <c r="C229" s="62" t="s">
        <v>1547</v>
      </c>
      <c r="D229" s="94" t="s">
        <v>930</v>
      </c>
      <c r="E229" s="84">
        <v>228.0</v>
      </c>
      <c r="F229" s="48"/>
    </row>
    <row r="230" ht="15.75" customHeight="1">
      <c r="A230" s="48" t="s">
        <v>1548</v>
      </c>
      <c r="B230" s="48" t="s">
        <v>1549</v>
      </c>
      <c r="C230" s="62" t="s">
        <v>1550</v>
      </c>
      <c r="D230" s="94" t="s">
        <v>930</v>
      </c>
      <c r="E230" s="80">
        <v>229.0</v>
      </c>
      <c r="F230" s="48"/>
    </row>
    <row r="231" ht="15.75" customHeight="1">
      <c r="A231" s="48" t="s">
        <v>1551</v>
      </c>
      <c r="B231" s="48"/>
      <c r="C231" s="62" t="s">
        <v>1552</v>
      </c>
      <c r="D231" s="94" t="s">
        <v>930</v>
      </c>
      <c r="E231" s="84">
        <v>230.0</v>
      </c>
      <c r="F231" s="48"/>
    </row>
    <row r="232" ht="15.75" customHeight="1">
      <c r="A232" s="48" t="s">
        <v>1553</v>
      </c>
      <c r="B232" s="48" t="s">
        <v>1554</v>
      </c>
      <c r="C232" s="62" t="s">
        <v>1555</v>
      </c>
      <c r="D232" s="94" t="s">
        <v>930</v>
      </c>
      <c r="E232" s="80">
        <v>231.0</v>
      </c>
      <c r="F232" s="48"/>
    </row>
    <row r="233" ht="15.75" customHeight="1">
      <c r="A233" s="48" t="s">
        <v>1556</v>
      </c>
      <c r="B233" s="48" t="s">
        <v>1557</v>
      </c>
      <c r="C233" s="62" t="s">
        <v>1558</v>
      </c>
      <c r="D233" s="94" t="s">
        <v>930</v>
      </c>
      <c r="E233" s="84">
        <v>232.0</v>
      </c>
      <c r="F233" s="48"/>
    </row>
    <row r="234" ht="15.75" customHeight="1">
      <c r="A234" s="48" t="s">
        <v>1559</v>
      </c>
      <c r="B234" s="48" t="s">
        <v>1560</v>
      </c>
      <c r="C234" s="62" t="s">
        <v>1561</v>
      </c>
      <c r="D234" s="94" t="s">
        <v>930</v>
      </c>
      <c r="E234" s="80">
        <v>233.0</v>
      </c>
      <c r="F234" s="48"/>
    </row>
    <row r="235" ht="15.75" customHeight="1">
      <c r="A235" s="48" t="s">
        <v>1562</v>
      </c>
      <c r="B235" s="48" t="s">
        <v>1563</v>
      </c>
      <c r="C235" s="63"/>
      <c r="D235" s="94" t="s">
        <v>930</v>
      </c>
      <c r="E235" s="84">
        <v>234.0</v>
      </c>
      <c r="F235" s="48"/>
    </row>
    <row r="236" ht="15.75" customHeight="1">
      <c r="A236" s="48" t="s">
        <v>1564</v>
      </c>
      <c r="B236" s="48"/>
      <c r="C236" s="62" t="s">
        <v>1565</v>
      </c>
      <c r="D236" s="94" t="s">
        <v>930</v>
      </c>
      <c r="E236" s="80">
        <v>235.0</v>
      </c>
      <c r="F236" s="48"/>
    </row>
    <row r="237" ht="15.75" customHeight="1">
      <c r="A237" s="48" t="s">
        <v>1566</v>
      </c>
      <c r="B237" s="48" t="s">
        <v>1567</v>
      </c>
      <c r="C237" s="62" t="s">
        <v>1568</v>
      </c>
      <c r="D237" s="94" t="s">
        <v>930</v>
      </c>
      <c r="E237" s="84">
        <v>236.0</v>
      </c>
      <c r="F237" s="48"/>
    </row>
    <row r="238" ht="15.75" customHeight="1">
      <c r="A238" s="48" t="s">
        <v>1569</v>
      </c>
      <c r="B238" s="48" t="s">
        <v>1570</v>
      </c>
      <c r="C238" s="62" t="s">
        <v>1571</v>
      </c>
      <c r="D238" s="94" t="s">
        <v>930</v>
      </c>
      <c r="E238" s="80">
        <v>237.0</v>
      </c>
      <c r="F238" s="48"/>
    </row>
    <row r="239" ht="15.75" customHeight="1">
      <c r="A239" s="48" t="s">
        <v>1572</v>
      </c>
      <c r="B239" s="48" t="s">
        <v>1573</v>
      </c>
      <c r="C239" s="63" t="s">
        <v>198</v>
      </c>
      <c r="D239" s="94" t="s">
        <v>930</v>
      </c>
      <c r="E239" s="84">
        <v>238.0</v>
      </c>
      <c r="F239" s="48"/>
    </row>
    <row r="240" ht="15.75" customHeight="1">
      <c r="A240" s="48" t="s">
        <v>1574</v>
      </c>
      <c r="B240" s="48" t="s">
        <v>1575</v>
      </c>
      <c r="C240" s="62" t="s">
        <v>1576</v>
      </c>
      <c r="D240" s="94" t="s">
        <v>930</v>
      </c>
      <c r="E240" s="80">
        <v>239.0</v>
      </c>
      <c r="F240" s="48"/>
    </row>
    <row r="241" ht="15.75" customHeight="1">
      <c r="A241" s="48" t="s">
        <v>1577</v>
      </c>
      <c r="B241" s="48" t="s">
        <v>1578</v>
      </c>
      <c r="C241" s="62" t="s">
        <v>1579</v>
      </c>
      <c r="D241" s="94" t="s">
        <v>930</v>
      </c>
      <c r="E241" s="84">
        <v>240.0</v>
      </c>
      <c r="F241" s="48"/>
    </row>
    <row r="242" ht="15.75" customHeight="1">
      <c r="A242" s="48" t="s">
        <v>1147</v>
      </c>
      <c r="B242" s="48" t="s">
        <v>1580</v>
      </c>
      <c r="C242" s="62" t="s">
        <v>1581</v>
      </c>
      <c r="D242" s="94" t="s">
        <v>930</v>
      </c>
      <c r="E242" s="80">
        <v>241.0</v>
      </c>
      <c r="F242" s="48"/>
    </row>
    <row r="243" ht="15.75" customHeight="1">
      <c r="A243" s="48" t="s">
        <v>1582</v>
      </c>
      <c r="B243" s="48" t="s">
        <v>1136</v>
      </c>
      <c r="C243" s="62" t="s">
        <v>1137</v>
      </c>
      <c r="D243" s="94" t="s">
        <v>930</v>
      </c>
      <c r="E243" s="84">
        <v>242.0</v>
      </c>
      <c r="F243" s="48"/>
    </row>
    <row r="244" ht="15.75" customHeight="1">
      <c r="A244" s="48" t="s">
        <v>1583</v>
      </c>
      <c r="B244" s="48" t="s">
        <v>1584</v>
      </c>
      <c r="C244" s="62" t="s">
        <v>1343</v>
      </c>
      <c r="D244" s="94" t="s">
        <v>930</v>
      </c>
      <c r="E244" s="80">
        <v>243.0</v>
      </c>
      <c r="F244" s="48"/>
    </row>
    <row r="245" ht="15.75" customHeight="1">
      <c r="A245" s="48" t="s">
        <v>1585</v>
      </c>
      <c r="B245" s="48" t="s">
        <v>1028</v>
      </c>
      <c r="C245" s="62" t="s">
        <v>1029</v>
      </c>
      <c r="D245" s="94" t="s">
        <v>930</v>
      </c>
      <c r="E245" s="84">
        <v>244.0</v>
      </c>
      <c r="F245" s="48"/>
    </row>
    <row r="246" ht="15.75" customHeight="1">
      <c r="A246" s="48" t="s">
        <v>1586</v>
      </c>
      <c r="B246" s="48" t="s">
        <v>1587</v>
      </c>
      <c r="C246" s="62" t="s">
        <v>1588</v>
      </c>
      <c r="D246" s="94" t="s">
        <v>930</v>
      </c>
      <c r="E246" s="80">
        <v>245.0</v>
      </c>
      <c r="F246" s="48"/>
    </row>
    <row r="247" ht="15.75" customHeight="1">
      <c r="A247" s="48" t="s">
        <v>1539</v>
      </c>
      <c r="B247" s="48"/>
      <c r="C247" s="48"/>
      <c r="D247" s="83"/>
      <c r="E247" s="84">
        <v>246.0</v>
      </c>
      <c r="F247" s="48"/>
    </row>
    <row r="248" ht="15.75" customHeight="1">
      <c r="A248" s="48" t="s">
        <v>1589</v>
      </c>
      <c r="B248" s="48" t="s">
        <v>1590</v>
      </c>
      <c r="C248" s="62" t="s">
        <v>1591</v>
      </c>
      <c r="D248" s="83" t="s">
        <v>944</v>
      </c>
      <c r="E248" s="80">
        <v>247.0</v>
      </c>
      <c r="F248" s="48"/>
    </row>
    <row r="249" ht="15.75" customHeight="1">
      <c r="A249" s="48" t="s">
        <v>1592</v>
      </c>
      <c r="B249" s="48" t="s">
        <v>1593</v>
      </c>
      <c r="C249" s="63"/>
      <c r="D249" s="83" t="s">
        <v>944</v>
      </c>
      <c r="E249" s="84">
        <v>248.0</v>
      </c>
      <c r="F249" s="48"/>
    </row>
    <row r="250" ht="15.75" customHeight="1">
      <c r="A250" s="48" t="s">
        <v>1594</v>
      </c>
      <c r="B250" s="48" t="s">
        <v>1595</v>
      </c>
      <c r="C250" s="62" t="s">
        <v>1596</v>
      </c>
      <c r="D250" s="83" t="s">
        <v>944</v>
      </c>
      <c r="E250" s="80">
        <v>249.0</v>
      </c>
      <c r="F250" s="48"/>
    </row>
    <row r="251" ht="15.75" customHeight="1">
      <c r="A251" s="48" t="s">
        <v>1597</v>
      </c>
      <c r="B251" s="48" t="s">
        <v>1598</v>
      </c>
      <c r="C251" s="62" t="s">
        <v>1599</v>
      </c>
      <c r="D251" s="83" t="s">
        <v>944</v>
      </c>
      <c r="E251" s="84">
        <v>250.0</v>
      </c>
      <c r="F251" s="48"/>
    </row>
    <row r="252" ht="15.75" customHeight="1">
      <c r="A252" s="48" t="s">
        <v>1600</v>
      </c>
      <c r="B252" s="48" t="s">
        <v>478</v>
      </c>
      <c r="C252" s="62" t="s">
        <v>1601</v>
      </c>
      <c r="D252" s="83" t="s">
        <v>944</v>
      </c>
      <c r="E252" s="80">
        <v>251.0</v>
      </c>
      <c r="F252" s="48"/>
    </row>
    <row r="253" ht="15.75" customHeight="1">
      <c r="A253" s="48" t="s">
        <v>1602</v>
      </c>
      <c r="B253" s="48" t="s">
        <v>1603</v>
      </c>
      <c r="C253" s="62" t="s">
        <v>1604</v>
      </c>
      <c r="D253" s="83" t="s">
        <v>944</v>
      </c>
      <c r="E253" s="84">
        <v>252.0</v>
      </c>
      <c r="F253" s="48"/>
    </row>
    <row r="254" ht="15.75" customHeight="1">
      <c r="A254" s="48" t="s">
        <v>1605</v>
      </c>
      <c r="B254" s="48" t="s">
        <v>1606</v>
      </c>
      <c r="C254" s="62" t="s">
        <v>1607</v>
      </c>
      <c r="D254" s="83" t="s">
        <v>944</v>
      </c>
      <c r="E254" s="80">
        <v>253.0</v>
      </c>
      <c r="F254" s="48"/>
    </row>
    <row r="255" ht="15.75" customHeight="1">
      <c r="A255" s="48" t="s">
        <v>1608</v>
      </c>
      <c r="B255" s="48" t="s">
        <v>1609</v>
      </c>
      <c r="C255" s="63">
        <v>0.0</v>
      </c>
      <c r="D255" s="83" t="s">
        <v>944</v>
      </c>
      <c r="E255" s="84">
        <v>254.0</v>
      </c>
      <c r="F255" s="48"/>
    </row>
    <row r="256" ht="15.75" customHeight="1">
      <c r="A256" s="48" t="s">
        <v>1610</v>
      </c>
      <c r="B256" s="48" t="s">
        <v>1611</v>
      </c>
      <c r="C256" s="62" t="s">
        <v>1612</v>
      </c>
      <c r="D256" s="83" t="s">
        <v>944</v>
      </c>
      <c r="E256" s="80">
        <v>255.0</v>
      </c>
      <c r="F256" s="48"/>
    </row>
    <row r="257" ht="15.75" customHeight="1">
      <c r="A257" s="48" t="s">
        <v>1613</v>
      </c>
      <c r="B257" s="48" t="s">
        <v>1614</v>
      </c>
      <c r="C257" s="62" t="s">
        <v>1615</v>
      </c>
      <c r="D257" s="83" t="s">
        <v>944</v>
      </c>
      <c r="E257" s="84">
        <v>256.0</v>
      </c>
      <c r="F257" s="48"/>
    </row>
    <row r="258" ht="15.75" customHeight="1">
      <c r="A258" s="48" t="s">
        <v>1616</v>
      </c>
      <c r="B258" s="48" t="s">
        <v>1617</v>
      </c>
      <c r="C258" s="62" t="s">
        <v>1618</v>
      </c>
      <c r="D258" s="83" t="s">
        <v>944</v>
      </c>
      <c r="E258" s="80">
        <v>257.0</v>
      </c>
      <c r="F258" s="48"/>
    </row>
    <row r="259" ht="15.75" customHeight="1">
      <c r="A259" s="48" t="s">
        <v>1619</v>
      </c>
      <c r="B259" s="48"/>
      <c r="C259" s="62" t="s">
        <v>1620</v>
      </c>
      <c r="D259" s="83" t="s">
        <v>944</v>
      </c>
      <c r="E259" s="84">
        <v>258.0</v>
      </c>
      <c r="F259" s="48"/>
    </row>
    <row r="260" ht="15.75" customHeight="1">
      <c r="A260" s="48" t="s">
        <v>1621</v>
      </c>
      <c r="B260" s="48" t="s">
        <v>1622</v>
      </c>
      <c r="C260" s="62" t="s">
        <v>1623</v>
      </c>
      <c r="D260" s="83" t="s">
        <v>944</v>
      </c>
      <c r="E260" s="80">
        <v>259.0</v>
      </c>
      <c r="F260" s="48"/>
    </row>
    <row r="261" ht="15.75" customHeight="1">
      <c r="A261" s="48" t="s">
        <v>1624</v>
      </c>
      <c r="B261" s="48" t="s">
        <v>1625</v>
      </c>
      <c r="C261" s="62" t="s">
        <v>1626</v>
      </c>
      <c r="D261" s="83" t="s">
        <v>944</v>
      </c>
      <c r="E261" s="84">
        <v>260.0</v>
      </c>
      <c r="F261" s="48"/>
    </row>
    <row r="262" ht="15.75" customHeight="1">
      <c r="A262" s="48" t="s">
        <v>1627</v>
      </c>
      <c r="B262" s="48" t="s">
        <v>1628</v>
      </c>
      <c r="C262" s="62" t="s">
        <v>1629</v>
      </c>
      <c r="D262" s="83" t="s">
        <v>944</v>
      </c>
      <c r="E262" s="80">
        <v>261.0</v>
      </c>
      <c r="F262" s="48"/>
    </row>
    <row r="263" ht="15.75" customHeight="1">
      <c r="A263" s="48" t="s">
        <v>1630</v>
      </c>
      <c r="B263" s="48" t="s">
        <v>1631</v>
      </c>
      <c r="C263" s="62" t="s">
        <v>1632</v>
      </c>
      <c r="D263" s="83" t="s">
        <v>944</v>
      </c>
      <c r="E263" s="84">
        <v>262.0</v>
      </c>
      <c r="F263" s="48"/>
    </row>
    <row r="264" ht="15.75" customHeight="1">
      <c r="A264" s="48" t="s">
        <v>1633</v>
      </c>
      <c r="B264" s="48" t="s">
        <v>1634</v>
      </c>
      <c r="C264" s="62" t="s">
        <v>1635</v>
      </c>
      <c r="D264" s="83" t="s">
        <v>944</v>
      </c>
      <c r="E264" s="80">
        <v>263.0</v>
      </c>
      <c r="F264" s="48"/>
    </row>
    <row r="265" ht="15.75" customHeight="1">
      <c r="A265" s="48" t="s">
        <v>1636</v>
      </c>
      <c r="B265" s="48" t="s">
        <v>1637</v>
      </c>
      <c r="C265" s="62" t="s">
        <v>1638</v>
      </c>
      <c r="D265" s="83" t="s">
        <v>944</v>
      </c>
      <c r="E265" s="84">
        <v>264.0</v>
      </c>
      <c r="F265" s="48"/>
    </row>
    <row r="266" ht="15.75" customHeight="1">
      <c r="A266" s="48" t="s">
        <v>1639</v>
      </c>
      <c r="B266" s="48" t="s">
        <v>1640</v>
      </c>
      <c r="C266" s="62" t="s">
        <v>1641</v>
      </c>
      <c r="D266" s="83" t="s">
        <v>944</v>
      </c>
      <c r="E266" s="80">
        <v>265.0</v>
      </c>
      <c r="F266" s="48"/>
    </row>
    <row r="267" ht="15.75" customHeight="1">
      <c r="A267" s="48" t="s">
        <v>1642</v>
      </c>
      <c r="B267" s="48" t="s">
        <v>1643</v>
      </c>
      <c r="C267" s="63"/>
      <c r="D267" s="83" t="s">
        <v>944</v>
      </c>
      <c r="E267" s="84">
        <v>266.0</v>
      </c>
      <c r="F267" s="48"/>
    </row>
    <row r="268" ht="15.75" customHeight="1">
      <c r="A268" s="48" t="s">
        <v>1644</v>
      </c>
      <c r="B268" s="48" t="s">
        <v>1645</v>
      </c>
      <c r="C268" s="62" t="s">
        <v>1646</v>
      </c>
      <c r="D268" s="83" t="s">
        <v>944</v>
      </c>
      <c r="E268" s="80">
        <v>267.0</v>
      </c>
      <c r="F268" s="48"/>
    </row>
    <row r="269" ht="15.75" customHeight="1">
      <c r="A269" s="48" t="s">
        <v>1647</v>
      </c>
      <c r="B269" s="48" t="s">
        <v>1648</v>
      </c>
      <c r="C269" s="62" t="s">
        <v>1649</v>
      </c>
      <c r="D269" s="83" t="s">
        <v>944</v>
      </c>
      <c r="E269" s="84">
        <v>268.0</v>
      </c>
      <c r="F269" s="48"/>
    </row>
    <row r="270" ht="15.75" customHeight="1">
      <c r="A270" s="48" t="s">
        <v>1650</v>
      </c>
      <c r="B270" s="48" t="s">
        <v>1651</v>
      </c>
      <c r="C270" s="63"/>
      <c r="D270" s="83" t="s">
        <v>944</v>
      </c>
      <c r="E270" s="80">
        <v>269.0</v>
      </c>
      <c r="F270" s="48"/>
    </row>
    <row r="271" ht="15.75" customHeight="1">
      <c r="A271" s="48" t="s">
        <v>1652</v>
      </c>
      <c r="B271" s="48" t="s">
        <v>1653</v>
      </c>
      <c r="C271" s="62" t="s">
        <v>1654</v>
      </c>
      <c r="D271" s="83" t="s">
        <v>944</v>
      </c>
      <c r="E271" s="84">
        <v>270.0</v>
      </c>
      <c r="F271" s="48"/>
    </row>
    <row r="272" ht="15.75" customHeight="1">
      <c r="A272" s="48" t="s">
        <v>1655</v>
      </c>
      <c r="B272" s="48"/>
      <c r="C272" s="62" t="s">
        <v>1656</v>
      </c>
      <c r="D272" s="83"/>
      <c r="E272" s="80">
        <v>271.0</v>
      </c>
      <c r="F272" s="48"/>
    </row>
    <row r="273" ht="15.75" customHeight="1">
      <c r="A273" s="48" t="s">
        <v>1657</v>
      </c>
      <c r="B273" s="48" t="s">
        <v>1658</v>
      </c>
      <c r="C273" s="62" t="s">
        <v>1659</v>
      </c>
      <c r="D273" s="83"/>
      <c r="E273" s="84">
        <v>272.0</v>
      </c>
      <c r="F273" s="48"/>
    </row>
    <row r="274" ht="15.75" customHeight="1">
      <c r="A274" s="48" t="s">
        <v>1660</v>
      </c>
      <c r="B274" s="48" t="s">
        <v>1661</v>
      </c>
      <c r="C274" s="63" t="s">
        <v>139</v>
      </c>
      <c r="D274" s="83"/>
      <c r="E274" s="80">
        <v>273.0</v>
      </c>
      <c r="F274" s="48"/>
    </row>
    <row r="275" ht="15.75" customHeight="1">
      <c r="A275" s="93" t="s">
        <v>1662</v>
      </c>
      <c r="B275" s="93"/>
      <c r="C275" s="98" t="s">
        <v>1663</v>
      </c>
      <c r="D275" s="99"/>
      <c r="E275" s="100">
        <v>274.0</v>
      </c>
      <c r="F275" s="93" t="s">
        <v>1664</v>
      </c>
      <c r="G275" s="38"/>
    </row>
    <row r="276" ht="15.75" customHeight="1">
      <c r="A276" s="48" t="s">
        <v>1665</v>
      </c>
      <c r="B276" s="48" t="s">
        <v>1666</v>
      </c>
      <c r="C276" s="63" t="s">
        <v>139</v>
      </c>
      <c r="D276" s="83" t="s">
        <v>940</v>
      </c>
      <c r="E276" s="80">
        <v>275.0</v>
      </c>
      <c r="F276" s="48"/>
    </row>
    <row r="277" ht="15.75" customHeight="1">
      <c r="A277" s="48" t="s">
        <v>1667</v>
      </c>
      <c r="B277" s="48"/>
      <c r="C277" s="62" t="s">
        <v>1668</v>
      </c>
      <c r="D277" s="83" t="s">
        <v>909</v>
      </c>
      <c r="E277" s="84">
        <v>276.0</v>
      </c>
      <c r="F277" s="48"/>
    </row>
    <row r="278" ht="15.75" customHeight="1">
      <c r="A278" s="48"/>
      <c r="B278" s="48"/>
      <c r="C278" s="63"/>
      <c r="D278" s="83"/>
      <c r="E278" s="80">
        <v>277.0</v>
      </c>
      <c r="F278" s="48"/>
    </row>
    <row r="279" ht="15.75" customHeight="1">
      <c r="A279" s="48" t="s">
        <v>1669</v>
      </c>
      <c r="B279" s="48" t="s">
        <v>1670</v>
      </c>
      <c r="C279" s="62" t="s">
        <v>1671</v>
      </c>
      <c r="D279" s="83"/>
      <c r="E279" s="84">
        <v>278.0</v>
      </c>
      <c r="F279" s="48"/>
    </row>
    <row r="280" ht="15.75" customHeight="1">
      <c r="B280" s="48"/>
      <c r="D280" s="57"/>
      <c r="E280" s="80">
        <v>279.0</v>
      </c>
      <c r="F280" s="48"/>
    </row>
    <row r="281" ht="15.75" customHeight="1">
      <c r="A281" s="48"/>
      <c r="B281" s="48"/>
      <c r="C281" s="63"/>
      <c r="D281" s="83"/>
      <c r="E281" s="84">
        <v>280.0</v>
      </c>
      <c r="F281" s="48"/>
    </row>
    <row r="282" ht="15.75" customHeight="1">
      <c r="A282" s="48" t="s">
        <v>1672</v>
      </c>
      <c r="B282" s="48" t="s">
        <v>1442</v>
      </c>
      <c r="C282" s="92" t="s">
        <v>1673</v>
      </c>
      <c r="D282" s="83" t="s">
        <v>955</v>
      </c>
      <c r="E282" s="80">
        <v>281.0</v>
      </c>
      <c r="F282" s="48" t="s">
        <v>1541</v>
      </c>
    </row>
    <row r="283" ht="15.75" customHeight="1">
      <c r="A283" s="48" t="s">
        <v>1674</v>
      </c>
      <c r="B283" s="48" t="s">
        <v>1675</v>
      </c>
      <c r="C283" s="92" t="s">
        <v>1676</v>
      </c>
      <c r="D283" s="83" t="s">
        <v>955</v>
      </c>
      <c r="E283" s="84">
        <v>282.0</v>
      </c>
      <c r="F283" s="48" t="s">
        <v>1541</v>
      </c>
    </row>
    <row r="284" ht="15.75" customHeight="1">
      <c r="A284" s="48" t="s">
        <v>1677</v>
      </c>
      <c r="B284" s="48" t="s">
        <v>478</v>
      </c>
      <c r="C284" s="92" t="s">
        <v>1678</v>
      </c>
      <c r="D284" s="83" t="s">
        <v>955</v>
      </c>
      <c r="E284" s="80">
        <v>283.0</v>
      </c>
      <c r="F284" s="48" t="s">
        <v>1541</v>
      </c>
    </row>
    <row r="285" ht="15.75" customHeight="1">
      <c r="A285" s="48" t="s">
        <v>1679</v>
      </c>
      <c r="B285" s="48" t="s">
        <v>478</v>
      </c>
      <c r="C285" s="92" t="s">
        <v>1680</v>
      </c>
      <c r="D285" s="83" t="s">
        <v>955</v>
      </c>
      <c r="E285" s="84">
        <v>284.0</v>
      </c>
      <c r="F285" s="48" t="s">
        <v>1541</v>
      </c>
    </row>
    <row r="286" ht="15.75" customHeight="1">
      <c r="A286" s="48" t="s">
        <v>1681</v>
      </c>
      <c r="B286" s="48" t="s">
        <v>1682</v>
      </c>
      <c r="C286" s="92" t="s">
        <v>1683</v>
      </c>
      <c r="D286" s="83" t="s">
        <v>921</v>
      </c>
      <c r="E286" s="80">
        <v>285.0</v>
      </c>
      <c r="F286" s="48"/>
    </row>
    <row r="287" ht="15.75" customHeight="1">
      <c r="A287" s="48" t="s">
        <v>1684</v>
      </c>
      <c r="B287" s="48" t="s">
        <v>1682</v>
      </c>
      <c r="C287" s="92" t="s">
        <v>1685</v>
      </c>
      <c r="D287" s="83" t="s">
        <v>921</v>
      </c>
      <c r="E287" s="84">
        <v>286.0</v>
      </c>
      <c r="F287" s="48"/>
    </row>
    <row r="288" ht="15.75" customHeight="1">
      <c r="A288" s="48" t="s">
        <v>1686</v>
      </c>
      <c r="B288" s="48"/>
      <c r="C288" s="92" t="s">
        <v>1687</v>
      </c>
      <c r="D288" s="83" t="s">
        <v>955</v>
      </c>
      <c r="E288" s="80">
        <v>287.0</v>
      </c>
      <c r="F288" s="48"/>
    </row>
    <row r="289" ht="15.75" customHeight="1">
      <c r="A289" s="48" t="s">
        <v>1688</v>
      </c>
      <c r="B289" s="48" t="s">
        <v>1689</v>
      </c>
      <c r="C289" s="92" t="s">
        <v>1690</v>
      </c>
      <c r="D289" s="83" t="s">
        <v>955</v>
      </c>
      <c r="E289" s="84">
        <v>288.0</v>
      </c>
      <c r="F289" s="48"/>
    </row>
    <row r="290" ht="15.75" customHeight="1">
      <c r="A290" s="48" t="s">
        <v>1691</v>
      </c>
      <c r="B290" s="48" t="s">
        <v>1692</v>
      </c>
      <c r="C290" s="92" t="s">
        <v>1693</v>
      </c>
      <c r="D290" s="83" t="s">
        <v>955</v>
      </c>
      <c r="E290" s="80">
        <v>289.0</v>
      </c>
      <c r="F290" s="48"/>
    </row>
    <row r="291" ht="15.75" customHeight="1">
      <c r="A291" s="48" t="s">
        <v>1694</v>
      </c>
      <c r="B291" s="48" t="s">
        <v>1695</v>
      </c>
      <c r="C291" s="92" t="s">
        <v>1696</v>
      </c>
      <c r="D291" s="83" t="s">
        <v>955</v>
      </c>
      <c r="E291" s="84">
        <v>290.0</v>
      </c>
      <c r="F291" s="48"/>
    </row>
    <row r="292" ht="15.75" customHeight="1">
      <c r="A292" s="48" t="s">
        <v>1681</v>
      </c>
      <c r="B292" s="48" t="s">
        <v>1697</v>
      </c>
      <c r="C292" s="92" t="s">
        <v>1698</v>
      </c>
      <c r="D292" s="83" t="s">
        <v>955</v>
      </c>
      <c r="E292" s="80">
        <v>291.0</v>
      </c>
      <c r="F292" s="48"/>
    </row>
    <row r="293" ht="15.75" customHeight="1">
      <c r="A293" s="48" t="s">
        <v>1699</v>
      </c>
      <c r="B293" s="48"/>
      <c r="C293" s="92" t="s">
        <v>1700</v>
      </c>
      <c r="D293" s="83" t="s">
        <v>955</v>
      </c>
      <c r="E293" s="84">
        <v>292.0</v>
      </c>
      <c r="F293" s="48"/>
    </row>
    <row r="294" ht="15.75" customHeight="1">
      <c r="A294" s="48" t="s">
        <v>1701</v>
      </c>
      <c r="B294" s="48" t="s">
        <v>1702</v>
      </c>
      <c r="C294" s="92" t="s">
        <v>1703</v>
      </c>
      <c r="D294" s="83" t="s">
        <v>955</v>
      </c>
      <c r="E294" s="80">
        <v>293.0</v>
      </c>
      <c r="F294" s="48"/>
    </row>
    <row r="295" ht="15.75" customHeight="1">
      <c r="A295" s="48" t="s">
        <v>572</v>
      </c>
      <c r="B295" s="48"/>
      <c r="C295" s="92" t="s">
        <v>1704</v>
      </c>
      <c r="D295" s="83" t="s">
        <v>955</v>
      </c>
      <c r="E295" s="84">
        <v>294.0</v>
      </c>
      <c r="F295" s="48"/>
    </row>
    <row r="296" ht="15.75" customHeight="1">
      <c r="A296" s="48" t="s">
        <v>1705</v>
      </c>
      <c r="B296" s="48" t="s">
        <v>1706</v>
      </c>
      <c r="C296" s="92" t="s">
        <v>1707</v>
      </c>
      <c r="D296" s="83" t="s">
        <v>955</v>
      </c>
      <c r="E296" s="80">
        <v>295.0</v>
      </c>
      <c r="F296" s="48"/>
    </row>
    <row r="297" ht="15.75" customHeight="1">
      <c r="A297" s="48" t="s">
        <v>1708</v>
      </c>
      <c r="B297" s="48"/>
      <c r="C297" s="92" t="s">
        <v>1709</v>
      </c>
      <c r="D297" s="83" t="s">
        <v>955</v>
      </c>
      <c r="E297" s="84">
        <v>296.0</v>
      </c>
      <c r="F297" s="48"/>
    </row>
    <row r="298" ht="15.75" customHeight="1">
      <c r="A298" s="48" t="s">
        <v>1710</v>
      </c>
      <c r="B298" s="48"/>
      <c r="C298" s="92" t="s">
        <v>1711</v>
      </c>
      <c r="D298" s="83" t="s">
        <v>955</v>
      </c>
      <c r="E298" s="80">
        <v>297.0</v>
      </c>
      <c r="F298" s="48"/>
    </row>
    <row r="299" ht="15.75" customHeight="1">
      <c r="A299" s="48" t="s">
        <v>1712</v>
      </c>
      <c r="B299" s="48" t="s">
        <v>1713</v>
      </c>
      <c r="C299" s="90"/>
      <c r="D299" s="83" t="s">
        <v>955</v>
      </c>
      <c r="E299" s="84">
        <v>298.0</v>
      </c>
      <c r="F299" s="48"/>
    </row>
    <row r="300" ht="15.75" customHeight="1">
      <c r="A300" s="48" t="s">
        <v>1714</v>
      </c>
      <c r="B300" s="48" t="s">
        <v>1715</v>
      </c>
      <c r="C300" s="92" t="s">
        <v>1716</v>
      </c>
      <c r="D300" s="83" t="s">
        <v>955</v>
      </c>
      <c r="E300" s="80">
        <v>299.0</v>
      </c>
      <c r="F300" s="48"/>
    </row>
    <row r="301" ht="15.75" customHeight="1">
      <c r="A301" s="48" t="s">
        <v>1717</v>
      </c>
      <c r="B301" s="48"/>
      <c r="C301" s="92" t="s">
        <v>1718</v>
      </c>
      <c r="D301" s="83" t="s">
        <v>955</v>
      </c>
      <c r="E301" s="84">
        <v>300.0</v>
      </c>
      <c r="F301" s="48"/>
    </row>
    <row r="302" ht="15.75" customHeight="1">
      <c r="A302" s="48" t="s">
        <v>1719</v>
      </c>
      <c r="B302" s="48" t="s">
        <v>1720</v>
      </c>
      <c r="C302" s="101"/>
      <c r="D302" s="83" t="s">
        <v>955</v>
      </c>
      <c r="E302" s="80">
        <v>301.0</v>
      </c>
      <c r="F302" s="48"/>
    </row>
    <row r="303" ht="15.75" customHeight="1">
      <c r="A303" s="48" t="s">
        <v>1721</v>
      </c>
      <c r="B303" s="48" t="s">
        <v>1722</v>
      </c>
      <c r="C303" s="92" t="s">
        <v>1723</v>
      </c>
      <c r="D303" s="83" t="s">
        <v>955</v>
      </c>
      <c r="E303" s="84">
        <v>302.0</v>
      </c>
      <c r="F303" s="48"/>
    </row>
    <row r="304" ht="15.75" customHeight="1">
      <c r="A304" s="48" t="s">
        <v>1724</v>
      </c>
      <c r="B304" s="48" t="s">
        <v>1725</v>
      </c>
      <c r="C304" s="101"/>
      <c r="D304" s="83" t="s">
        <v>955</v>
      </c>
      <c r="E304" s="80">
        <v>303.0</v>
      </c>
      <c r="F304" s="48"/>
    </row>
    <row r="305" ht="15.75" customHeight="1">
      <c r="A305" s="48" t="s">
        <v>1726</v>
      </c>
      <c r="B305" s="48"/>
      <c r="C305" s="101"/>
      <c r="D305" s="83" t="s">
        <v>955</v>
      </c>
      <c r="E305" s="84">
        <v>304.0</v>
      </c>
      <c r="F305" s="48"/>
    </row>
    <row r="306" ht="15.75" customHeight="1">
      <c r="A306" s="48" t="s">
        <v>1727</v>
      </c>
      <c r="B306" s="48" t="s">
        <v>1728</v>
      </c>
      <c r="C306" s="92" t="s">
        <v>1729</v>
      </c>
      <c r="D306" s="83" t="s">
        <v>955</v>
      </c>
      <c r="E306" s="80">
        <v>305.0</v>
      </c>
      <c r="F306" s="48"/>
    </row>
    <row r="307" ht="15.75" customHeight="1">
      <c r="A307" s="48" t="s">
        <v>1730</v>
      </c>
      <c r="B307" s="48" t="s">
        <v>1731</v>
      </c>
      <c r="C307" s="92" t="s">
        <v>1732</v>
      </c>
      <c r="D307" s="83" t="s">
        <v>955</v>
      </c>
      <c r="E307" s="84">
        <v>306.0</v>
      </c>
      <c r="F307" s="48"/>
    </row>
    <row r="308" ht="15.75" customHeight="1">
      <c r="A308" s="48" t="s">
        <v>1733</v>
      </c>
      <c r="B308" s="48"/>
      <c r="C308" s="101"/>
      <c r="D308" s="83" t="s">
        <v>955</v>
      </c>
      <c r="E308" s="80">
        <v>307.0</v>
      </c>
      <c r="F308" s="48"/>
    </row>
    <row r="309" ht="15.75" customHeight="1">
      <c r="A309" s="48" t="s">
        <v>1734</v>
      </c>
      <c r="B309" s="48" t="s">
        <v>478</v>
      </c>
      <c r="C309" s="101"/>
      <c r="D309" s="83" t="s">
        <v>955</v>
      </c>
      <c r="E309" s="84">
        <v>308.0</v>
      </c>
      <c r="F309" s="48"/>
    </row>
    <row r="310" ht="15.75" customHeight="1">
      <c r="A310" s="48" t="s">
        <v>1735</v>
      </c>
      <c r="B310" s="48" t="s">
        <v>1728</v>
      </c>
      <c r="C310" s="102" t="s">
        <v>1736</v>
      </c>
      <c r="D310" s="83" t="s">
        <v>955</v>
      </c>
      <c r="E310" s="80">
        <v>309.0</v>
      </c>
      <c r="F310" s="48"/>
    </row>
    <row r="311" ht="15.75" customHeight="1">
      <c r="A311" s="48" t="s">
        <v>1737</v>
      </c>
      <c r="B311" s="48"/>
      <c r="C311" s="101"/>
      <c r="D311" s="83" t="s">
        <v>955</v>
      </c>
      <c r="E311" s="84">
        <v>310.0</v>
      </c>
      <c r="F311" s="48"/>
    </row>
    <row r="312" ht="15.75" customHeight="1">
      <c r="A312" s="48" t="s">
        <v>1738</v>
      </c>
      <c r="B312" s="48"/>
      <c r="C312" s="102" t="s">
        <v>1739</v>
      </c>
      <c r="D312" s="83" t="s">
        <v>955</v>
      </c>
      <c r="E312" s="80">
        <v>311.0</v>
      </c>
      <c r="F312" s="48"/>
    </row>
    <row r="313" ht="15.75" customHeight="1">
      <c r="A313" s="48" t="s">
        <v>1740</v>
      </c>
      <c r="B313" s="48"/>
      <c r="C313" s="102" t="s">
        <v>1741</v>
      </c>
      <c r="D313" s="83" t="s">
        <v>955</v>
      </c>
      <c r="E313" s="84">
        <v>312.0</v>
      </c>
      <c r="F313" s="48"/>
    </row>
    <row r="314" ht="15.75" customHeight="1">
      <c r="A314" s="48" t="s">
        <v>1742</v>
      </c>
      <c r="B314" s="48"/>
      <c r="C314" s="102" t="s">
        <v>1743</v>
      </c>
      <c r="D314" s="83" t="s">
        <v>955</v>
      </c>
      <c r="E314" s="80">
        <v>313.0</v>
      </c>
      <c r="F314" s="48"/>
    </row>
    <row r="315" ht="15.75" customHeight="1">
      <c r="A315" s="48" t="s">
        <v>1744</v>
      </c>
      <c r="B315" s="48" t="s">
        <v>973</v>
      </c>
      <c r="C315" s="92" t="s">
        <v>1745</v>
      </c>
      <c r="D315" s="83" t="s">
        <v>955</v>
      </c>
      <c r="E315" s="84">
        <v>314.0</v>
      </c>
      <c r="F315" s="48"/>
    </row>
    <row r="316" ht="15.75" customHeight="1">
      <c r="A316" s="48" t="s">
        <v>1746</v>
      </c>
      <c r="B316" s="48"/>
      <c r="C316" s="92" t="s">
        <v>1747</v>
      </c>
      <c r="D316" s="83" t="s">
        <v>955</v>
      </c>
      <c r="E316" s="80">
        <v>315.0</v>
      </c>
      <c r="F316" s="48"/>
    </row>
    <row r="317" ht="15.75" customHeight="1">
      <c r="A317" s="48" t="s">
        <v>471</v>
      </c>
      <c r="B317" s="48" t="s">
        <v>1748</v>
      </c>
      <c r="C317" s="92" t="s">
        <v>1749</v>
      </c>
      <c r="D317" s="83" t="s">
        <v>955</v>
      </c>
      <c r="E317" s="84">
        <v>316.0</v>
      </c>
      <c r="F317" s="48"/>
    </row>
    <row r="318" ht="15.75" customHeight="1">
      <c r="A318" s="48" t="s">
        <v>1750</v>
      </c>
      <c r="B318" s="48" t="s">
        <v>1751</v>
      </c>
      <c r="C318" s="92" t="s">
        <v>1752</v>
      </c>
      <c r="D318" s="83" t="s">
        <v>955</v>
      </c>
      <c r="E318" s="80">
        <v>317.0</v>
      </c>
      <c r="F318" s="48"/>
    </row>
    <row r="319" ht="15.75" customHeight="1">
      <c r="A319" s="48" t="s">
        <v>956</v>
      </c>
      <c r="B319" s="48" t="s">
        <v>1753</v>
      </c>
      <c r="C319" s="92" t="s">
        <v>1754</v>
      </c>
      <c r="D319" s="83" t="s">
        <v>955</v>
      </c>
      <c r="E319" s="84">
        <v>318.0</v>
      </c>
      <c r="F319" s="48"/>
    </row>
    <row r="320" ht="15.75" customHeight="1">
      <c r="A320" s="48"/>
      <c r="B320" s="48"/>
      <c r="C320" s="101"/>
      <c r="D320" s="83"/>
      <c r="E320" s="80"/>
      <c r="F320" s="48"/>
    </row>
    <row r="321" ht="15.75" customHeight="1">
      <c r="A321" s="48" t="s">
        <v>1755</v>
      </c>
      <c r="B321" s="48" t="s">
        <v>1756</v>
      </c>
      <c r="C321" s="92" t="s">
        <v>1757</v>
      </c>
      <c r="D321" s="83" t="s">
        <v>955</v>
      </c>
      <c r="E321" s="84">
        <v>320.0</v>
      </c>
      <c r="F321" s="48"/>
    </row>
    <row r="322" ht="15.75" customHeight="1">
      <c r="A322" s="48" t="s">
        <v>1758</v>
      </c>
      <c r="B322" s="48"/>
      <c r="C322" s="101"/>
      <c r="D322" s="83" t="s">
        <v>955</v>
      </c>
      <c r="E322" s="80">
        <v>321.0</v>
      </c>
      <c r="F322" s="48"/>
    </row>
    <row r="323" ht="15.75" customHeight="1">
      <c r="A323" s="48" t="s">
        <v>1759</v>
      </c>
      <c r="B323" s="48" t="s">
        <v>1760</v>
      </c>
      <c r="C323" s="92" t="s">
        <v>1761</v>
      </c>
      <c r="D323" s="83" t="s">
        <v>955</v>
      </c>
      <c r="E323" s="84">
        <v>322.0</v>
      </c>
      <c r="F323" s="48"/>
    </row>
    <row r="324" ht="15.75" customHeight="1">
      <c r="A324" s="48" t="s">
        <v>1762</v>
      </c>
      <c r="B324" s="48" t="s">
        <v>1763</v>
      </c>
      <c r="C324" s="92" t="s">
        <v>1764</v>
      </c>
      <c r="D324" s="83" t="s">
        <v>955</v>
      </c>
      <c r="E324" s="80">
        <v>323.0</v>
      </c>
      <c r="F324" s="48"/>
    </row>
    <row r="325" ht="15.75" customHeight="1">
      <c r="A325" s="48" t="s">
        <v>1765</v>
      </c>
      <c r="B325" s="48" t="s">
        <v>1766</v>
      </c>
      <c r="C325" s="92" t="s">
        <v>1767</v>
      </c>
      <c r="D325" s="83" t="s">
        <v>955</v>
      </c>
      <c r="E325" s="84">
        <v>324.0</v>
      </c>
      <c r="F325" s="48"/>
    </row>
    <row r="326" ht="15.75" customHeight="1">
      <c r="A326" s="48" t="s">
        <v>1768</v>
      </c>
      <c r="B326" s="48" t="s">
        <v>1766</v>
      </c>
      <c r="C326" s="92" t="s">
        <v>1769</v>
      </c>
      <c r="D326" s="83" t="s">
        <v>955</v>
      </c>
      <c r="E326" s="80">
        <v>325.0</v>
      </c>
      <c r="F326" s="48"/>
    </row>
    <row r="327" ht="15.75" customHeight="1">
      <c r="A327" s="48" t="s">
        <v>1770</v>
      </c>
      <c r="B327" s="48" t="s">
        <v>1771</v>
      </c>
      <c r="C327" s="92" t="s">
        <v>1772</v>
      </c>
      <c r="D327" s="83" t="s">
        <v>955</v>
      </c>
      <c r="E327" s="84">
        <v>326.0</v>
      </c>
      <c r="F327" s="48"/>
    </row>
    <row r="328" ht="15.75" customHeight="1">
      <c r="A328" s="48"/>
      <c r="B328" s="48"/>
      <c r="C328" s="101"/>
      <c r="D328" s="83"/>
      <c r="E328" s="80">
        <v>327.0</v>
      </c>
      <c r="F328" s="48"/>
    </row>
    <row r="329" ht="15.75" customHeight="1">
      <c r="A329" s="48" t="s">
        <v>1773</v>
      </c>
      <c r="B329" s="48" t="s">
        <v>1774</v>
      </c>
      <c r="C329" s="92" t="s">
        <v>1764</v>
      </c>
      <c r="D329" s="83" t="s">
        <v>955</v>
      </c>
      <c r="E329" s="84">
        <v>328.0</v>
      </c>
      <c r="F329" s="48"/>
    </row>
    <row r="330" ht="15.75" customHeight="1">
      <c r="A330" s="48" t="s">
        <v>1775</v>
      </c>
      <c r="B330" s="48" t="s">
        <v>1776</v>
      </c>
      <c r="C330" s="101"/>
      <c r="D330" s="83"/>
      <c r="E330" s="80">
        <v>329.0</v>
      </c>
      <c r="F330" s="48"/>
    </row>
    <row r="331" ht="15.75" customHeight="1">
      <c r="A331" s="48" t="s">
        <v>1777</v>
      </c>
      <c r="B331" s="48" t="s">
        <v>1778</v>
      </c>
      <c r="C331" s="92" t="s">
        <v>1779</v>
      </c>
      <c r="D331" s="83" t="s">
        <v>955</v>
      </c>
      <c r="E331" s="84">
        <v>330.0</v>
      </c>
      <c r="F331" s="48"/>
    </row>
    <row r="332" ht="15.75" customHeight="1">
      <c r="A332" s="48" t="s">
        <v>1780</v>
      </c>
      <c r="B332" s="48" t="s">
        <v>1781</v>
      </c>
      <c r="C332" s="92" t="s">
        <v>1782</v>
      </c>
      <c r="D332" s="83" t="s">
        <v>955</v>
      </c>
      <c r="E332" s="80">
        <v>331.0</v>
      </c>
      <c r="F332" s="48"/>
    </row>
    <row r="333" ht="15.75" customHeight="1">
      <c r="A333" s="48" t="s">
        <v>1783</v>
      </c>
      <c r="B333" s="48" t="s">
        <v>1784</v>
      </c>
      <c r="C333" s="92" t="s">
        <v>1785</v>
      </c>
      <c r="D333" s="83" t="s">
        <v>955</v>
      </c>
      <c r="E333" s="84">
        <v>332.0</v>
      </c>
      <c r="F333" s="48"/>
    </row>
    <row r="334" ht="15.75" customHeight="1">
      <c r="A334" s="48" t="s">
        <v>1786</v>
      </c>
      <c r="B334" s="48" t="s">
        <v>1787</v>
      </c>
      <c r="C334" s="92" t="s">
        <v>1788</v>
      </c>
      <c r="D334" s="83" t="s">
        <v>955</v>
      </c>
      <c r="E334" s="80">
        <v>333.0</v>
      </c>
      <c r="F334" s="48"/>
    </row>
    <row r="335" ht="15.75" customHeight="1">
      <c r="A335" s="48" t="s">
        <v>1789</v>
      </c>
      <c r="B335" s="48" t="s">
        <v>1790</v>
      </c>
      <c r="C335" s="92" t="s">
        <v>1791</v>
      </c>
      <c r="D335" s="83" t="s">
        <v>955</v>
      </c>
      <c r="E335" s="84">
        <v>334.0</v>
      </c>
      <c r="F335" s="48"/>
    </row>
    <row r="336" ht="15.75" customHeight="1">
      <c r="A336" s="48" t="s">
        <v>1792</v>
      </c>
      <c r="B336" s="48" t="s">
        <v>139</v>
      </c>
      <c r="C336" s="92" t="s">
        <v>1793</v>
      </c>
      <c r="D336" s="83" t="s">
        <v>955</v>
      </c>
      <c r="E336" s="80">
        <v>335.0</v>
      </c>
      <c r="F336" s="48"/>
    </row>
    <row r="337" ht="15.75" customHeight="1">
      <c r="A337" s="48" t="s">
        <v>1794</v>
      </c>
      <c r="B337" s="48" t="s">
        <v>1795</v>
      </c>
      <c r="C337" s="92" t="s">
        <v>1796</v>
      </c>
      <c r="D337" s="83" t="s">
        <v>955</v>
      </c>
      <c r="E337" s="84">
        <v>336.0</v>
      </c>
      <c r="F337" s="48"/>
    </row>
    <row r="338" ht="15.75" customHeight="1">
      <c r="A338" s="48" t="s">
        <v>1797</v>
      </c>
      <c r="B338" s="48" t="s">
        <v>1798</v>
      </c>
      <c r="C338" s="92" t="s">
        <v>1799</v>
      </c>
      <c r="D338" s="83" t="s">
        <v>955</v>
      </c>
      <c r="E338" s="80">
        <v>337.0</v>
      </c>
      <c r="F338" s="48"/>
    </row>
    <row r="339" ht="15.75" customHeight="1">
      <c r="A339" s="48" t="s">
        <v>1800</v>
      </c>
      <c r="B339" s="48" t="s">
        <v>1801</v>
      </c>
      <c r="C339" s="92" t="s">
        <v>1802</v>
      </c>
      <c r="D339" s="83" t="s">
        <v>955</v>
      </c>
      <c r="E339" s="84">
        <v>338.0</v>
      </c>
      <c r="F339" s="48"/>
    </row>
    <row r="340" ht="15.75" customHeight="1">
      <c r="A340" s="48" t="s">
        <v>1803</v>
      </c>
      <c r="B340" s="48" t="s">
        <v>1804</v>
      </c>
      <c r="C340" s="92" t="s">
        <v>1805</v>
      </c>
      <c r="D340" s="83" t="s">
        <v>955</v>
      </c>
      <c r="E340" s="80">
        <v>339.0</v>
      </c>
      <c r="F340" s="48"/>
    </row>
    <row r="341" ht="15.75" customHeight="1">
      <c r="A341" s="48" t="s">
        <v>1806</v>
      </c>
      <c r="B341" s="48" t="s">
        <v>1807</v>
      </c>
      <c r="C341" s="92" t="s">
        <v>1808</v>
      </c>
      <c r="D341" s="83" t="s">
        <v>955</v>
      </c>
      <c r="E341" s="84">
        <v>340.0</v>
      </c>
      <c r="F341" s="48"/>
    </row>
    <row r="342" ht="15.75" customHeight="1">
      <c r="A342" s="48" t="s">
        <v>1809</v>
      </c>
      <c r="B342" s="48" t="s">
        <v>139</v>
      </c>
      <c r="C342" s="92" t="s">
        <v>1810</v>
      </c>
      <c r="D342" s="83" t="s">
        <v>955</v>
      </c>
      <c r="E342" s="80">
        <v>341.0</v>
      </c>
      <c r="F342" s="48"/>
    </row>
    <row r="343" ht="15.75" customHeight="1">
      <c r="A343" s="48" t="s">
        <v>1811</v>
      </c>
      <c r="B343" s="48" t="s">
        <v>139</v>
      </c>
      <c r="C343" s="92" t="s">
        <v>1812</v>
      </c>
      <c r="D343" s="83" t="s">
        <v>955</v>
      </c>
      <c r="E343" s="84">
        <v>342.0</v>
      </c>
      <c r="F343" s="48"/>
    </row>
    <row r="344" ht="15.75" customHeight="1">
      <c r="A344" s="48" t="s">
        <v>1813</v>
      </c>
      <c r="B344" s="48" t="s">
        <v>1814</v>
      </c>
      <c r="C344" s="102" t="s">
        <v>1815</v>
      </c>
      <c r="D344" s="83"/>
      <c r="E344" s="80">
        <v>343.0</v>
      </c>
      <c r="F344" s="48"/>
    </row>
    <row r="345" ht="15.75" customHeight="1">
      <c r="A345" s="48" t="s">
        <v>1816</v>
      </c>
      <c r="B345" s="48" t="s">
        <v>1817</v>
      </c>
      <c r="C345" s="92" t="s">
        <v>1818</v>
      </c>
      <c r="D345" s="83" t="s">
        <v>909</v>
      </c>
      <c r="E345" s="84">
        <v>344.0</v>
      </c>
      <c r="F345" s="48"/>
    </row>
    <row r="346" ht="15.75" customHeight="1">
      <c r="A346" s="48" t="s">
        <v>1819</v>
      </c>
      <c r="B346" s="48" t="s">
        <v>1820</v>
      </c>
      <c r="C346" s="92" t="s">
        <v>1821</v>
      </c>
      <c r="D346" s="83" t="s">
        <v>909</v>
      </c>
      <c r="E346" s="80">
        <v>345.0</v>
      </c>
      <c r="F346" s="48"/>
    </row>
    <row r="347" ht="15.75" customHeight="1">
      <c r="A347" s="48" t="s">
        <v>1822</v>
      </c>
      <c r="B347" s="48" t="s">
        <v>1823</v>
      </c>
      <c r="C347" s="92" t="s">
        <v>1824</v>
      </c>
      <c r="D347" s="83" t="s">
        <v>909</v>
      </c>
      <c r="E347" s="84">
        <v>346.0</v>
      </c>
      <c r="F347" s="48"/>
    </row>
    <row r="348" ht="15.75" customHeight="1">
      <c r="A348" s="48" t="s">
        <v>1825</v>
      </c>
      <c r="B348" s="48"/>
      <c r="C348" s="92" t="s">
        <v>1826</v>
      </c>
      <c r="D348" s="83" t="s">
        <v>909</v>
      </c>
      <c r="E348" s="80">
        <v>347.0</v>
      </c>
      <c r="F348" s="48"/>
    </row>
    <row r="349" ht="15.75" customHeight="1">
      <c r="A349" s="48" t="s">
        <v>1827</v>
      </c>
      <c r="B349" s="48" t="s">
        <v>1828</v>
      </c>
      <c r="C349" s="92" t="s">
        <v>1829</v>
      </c>
      <c r="D349" s="83" t="s">
        <v>955</v>
      </c>
      <c r="E349" s="84">
        <v>348.0</v>
      </c>
      <c r="F349" s="48"/>
    </row>
    <row r="350" ht="15.75" customHeight="1">
      <c r="A350" s="48" t="s">
        <v>1830</v>
      </c>
      <c r="B350" s="48" t="s">
        <v>1831</v>
      </c>
      <c r="C350" s="92" t="s">
        <v>1832</v>
      </c>
      <c r="D350" s="83" t="s">
        <v>909</v>
      </c>
      <c r="E350" s="80">
        <v>349.0</v>
      </c>
      <c r="F350" s="48"/>
    </row>
    <row r="351" ht="15.75" customHeight="1">
      <c r="A351" s="48" t="s">
        <v>1833</v>
      </c>
      <c r="B351" s="48" t="s">
        <v>1834</v>
      </c>
      <c r="C351" s="92" t="s">
        <v>1835</v>
      </c>
      <c r="D351" s="83" t="s">
        <v>909</v>
      </c>
      <c r="E351" s="84">
        <v>350.0</v>
      </c>
      <c r="F351" s="48"/>
    </row>
    <row r="352" ht="15.75" customHeight="1">
      <c r="A352" s="48" t="s">
        <v>1836</v>
      </c>
      <c r="B352" s="48" t="s">
        <v>1837</v>
      </c>
      <c r="C352" s="92" t="s">
        <v>1838</v>
      </c>
      <c r="D352" s="83" t="s">
        <v>909</v>
      </c>
      <c r="E352" s="80">
        <v>351.0</v>
      </c>
      <c r="F352" s="48"/>
    </row>
    <row r="353" ht="15.75" customHeight="1">
      <c r="A353" s="48" t="s">
        <v>1839</v>
      </c>
      <c r="B353" s="48" t="s">
        <v>1840</v>
      </c>
      <c r="C353" s="92" t="s">
        <v>1841</v>
      </c>
      <c r="D353" s="83" t="s">
        <v>909</v>
      </c>
      <c r="E353" s="84">
        <v>352.0</v>
      </c>
      <c r="F353" s="48"/>
    </row>
    <row r="354" ht="15.75" customHeight="1">
      <c r="A354" s="48" t="s">
        <v>1842</v>
      </c>
      <c r="B354" s="48"/>
      <c r="C354" s="92" t="s">
        <v>1843</v>
      </c>
      <c r="D354" s="83" t="s">
        <v>909</v>
      </c>
      <c r="E354" s="80">
        <v>353.0</v>
      </c>
      <c r="F354" s="48"/>
    </row>
    <row r="355" ht="15.75" customHeight="1">
      <c r="A355" s="48" t="s">
        <v>1844</v>
      </c>
      <c r="B355" s="48" t="s">
        <v>1845</v>
      </c>
      <c r="C355" s="92" t="s">
        <v>1846</v>
      </c>
      <c r="D355" s="83" t="s">
        <v>909</v>
      </c>
      <c r="E355" s="84">
        <v>354.0</v>
      </c>
      <c r="F355" s="48"/>
    </row>
    <row r="356" ht="15.75" customHeight="1">
      <c r="A356" s="48" t="s">
        <v>1847</v>
      </c>
      <c r="B356" s="48" t="s">
        <v>1848</v>
      </c>
      <c r="C356" s="92" t="s">
        <v>1849</v>
      </c>
      <c r="D356" s="83" t="s">
        <v>909</v>
      </c>
      <c r="E356" s="80">
        <v>355.0</v>
      </c>
      <c r="F356" s="48"/>
    </row>
    <row r="357" ht="15.75" customHeight="1">
      <c r="A357" s="48" t="s">
        <v>1850</v>
      </c>
      <c r="B357" s="48" t="s">
        <v>1851</v>
      </c>
      <c r="C357" s="92" t="s">
        <v>1852</v>
      </c>
      <c r="D357" s="83" t="s">
        <v>909</v>
      </c>
      <c r="E357" s="84">
        <v>356.0</v>
      </c>
      <c r="F357" s="48"/>
    </row>
    <row r="358" ht="15.75" customHeight="1">
      <c r="A358" s="48" t="s">
        <v>334</v>
      </c>
      <c r="B358" s="48" t="s">
        <v>335</v>
      </c>
      <c r="C358" s="63" t="s">
        <v>198</v>
      </c>
      <c r="D358" s="83" t="s">
        <v>336</v>
      </c>
      <c r="E358" s="80">
        <v>357.0</v>
      </c>
      <c r="F358" s="48"/>
    </row>
    <row r="359" ht="15.75" customHeight="1">
      <c r="A359" s="48" t="s">
        <v>337</v>
      </c>
      <c r="B359" s="48" t="s">
        <v>198</v>
      </c>
      <c r="C359" s="63" t="s">
        <v>198</v>
      </c>
      <c r="D359" s="83" t="s">
        <v>336</v>
      </c>
      <c r="E359" s="84">
        <v>358.0</v>
      </c>
      <c r="F359" s="48"/>
    </row>
    <row r="360" ht="15.75" customHeight="1">
      <c r="A360" s="48" t="s">
        <v>338</v>
      </c>
      <c r="B360" s="48" t="s">
        <v>198</v>
      </c>
      <c r="C360" s="62" t="s">
        <v>339</v>
      </c>
      <c r="D360" s="83" t="s">
        <v>336</v>
      </c>
      <c r="E360" s="80">
        <v>359.0</v>
      </c>
      <c r="F360" s="48"/>
    </row>
    <row r="361" ht="15.75" customHeight="1">
      <c r="A361" s="48" t="s">
        <v>341</v>
      </c>
      <c r="B361" s="48" t="s">
        <v>342</v>
      </c>
      <c r="C361" s="63" t="s">
        <v>198</v>
      </c>
      <c r="D361" s="83" t="s">
        <v>336</v>
      </c>
      <c r="E361" s="84">
        <v>360.0</v>
      </c>
      <c r="F361" s="48"/>
    </row>
    <row r="362" ht="15.75" customHeight="1">
      <c r="A362" s="48" t="s">
        <v>192</v>
      </c>
      <c r="B362" s="48" t="s">
        <v>193</v>
      </c>
      <c r="C362" s="62" t="s">
        <v>194</v>
      </c>
      <c r="D362" s="83" t="s">
        <v>195</v>
      </c>
      <c r="E362" s="80">
        <v>361.0</v>
      </c>
      <c r="F362" s="48"/>
    </row>
    <row r="363" ht="15.75" customHeight="1">
      <c r="A363" s="48" t="s">
        <v>196</v>
      </c>
      <c r="B363" s="48" t="s">
        <v>197</v>
      </c>
      <c r="C363" s="48" t="s">
        <v>198</v>
      </c>
      <c r="D363" s="83" t="s">
        <v>195</v>
      </c>
      <c r="E363" s="84">
        <v>362.0</v>
      </c>
      <c r="F363" s="48"/>
    </row>
    <row r="364" ht="15.75" customHeight="1">
      <c r="A364" s="48" t="s">
        <v>199</v>
      </c>
      <c r="B364" s="48" t="s">
        <v>200</v>
      </c>
      <c r="C364" s="62" t="s">
        <v>201</v>
      </c>
      <c r="D364" s="83" t="s">
        <v>195</v>
      </c>
      <c r="E364" s="80">
        <v>363.0</v>
      </c>
      <c r="F364" s="48"/>
    </row>
    <row r="365" ht="15.75" customHeight="1">
      <c r="A365" s="48" t="s">
        <v>1853</v>
      </c>
      <c r="B365" s="48" t="s">
        <v>1854</v>
      </c>
      <c r="C365" s="62" t="s">
        <v>1855</v>
      </c>
      <c r="D365" s="83" t="s">
        <v>899</v>
      </c>
      <c r="E365" s="84">
        <v>364.0</v>
      </c>
      <c r="F365" s="48"/>
    </row>
    <row r="366" ht="15.75" customHeight="1">
      <c r="A366" s="48" t="s">
        <v>1856</v>
      </c>
      <c r="B366" s="48" t="s">
        <v>1857</v>
      </c>
      <c r="C366" s="62" t="s">
        <v>1858</v>
      </c>
      <c r="D366" s="83" t="s">
        <v>899</v>
      </c>
      <c r="E366" s="80">
        <v>365.0</v>
      </c>
      <c r="F366" s="48"/>
    </row>
    <row r="367" ht="15.75" customHeight="1">
      <c r="A367" s="48" t="s">
        <v>1859</v>
      </c>
      <c r="B367" s="48" t="s">
        <v>1860</v>
      </c>
      <c r="C367" s="62" t="s">
        <v>1861</v>
      </c>
      <c r="D367" s="83" t="s">
        <v>899</v>
      </c>
      <c r="E367" s="84">
        <v>366.0</v>
      </c>
      <c r="F367" s="48"/>
    </row>
    <row r="368" ht="15.75" customHeight="1">
      <c r="A368" s="48" t="s">
        <v>1862</v>
      </c>
      <c r="B368" s="48"/>
      <c r="C368" s="62" t="s">
        <v>1863</v>
      </c>
      <c r="D368" s="83" t="s">
        <v>899</v>
      </c>
      <c r="E368" s="80">
        <v>367.0</v>
      </c>
      <c r="F368" s="48"/>
    </row>
    <row r="369" ht="15.75" customHeight="1">
      <c r="A369" s="48" t="s">
        <v>1864</v>
      </c>
      <c r="B369" s="48" t="s">
        <v>1865</v>
      </c>
      <c r="C369" s="62" t="s">
        <v>1866</v>
      </c>
      <c r="D369" s="83" t="s">
        <v>899</v>
      </c>
      <c r="E369" s="84">
        <v>368.0</v>
      </c>
      <c r="F369" s="48"/>
    </row>
    <row r="370" ht="15.75" customHeight="1">
      <c r="A370" s="48" t="s">
        <v>1867</v>
      </c>
      <c r="B370" s="48" t="s">
        <v>1868</v>
      </c>
      <c r="C370" s="62" t="s">
        <v>1869</v>
      </c>
      <c r="D370" s="83" t="s">
        <v>899</v>
      </c>
      <c r="E370" s="80">
        <v>369.0</v>
      </c>
      <c r="F370" s="48"/>
    </row>
    <row r="371" ht="15.75" customHeight="1">
      <c r="A371" s="48" t="s">
        <v>1870</v>
      </c>
      <c r="B371" s="48" t="s">
        <v>403</v>
      </c>
      <c r="C371" s="62" t="s">
        <v>1871</v>
      </c>
      <c r="D371" s="83" t="s">
        <v>899</v>
      </c>
      <c r="E371" s="84">
        <v>370.0</v>
      </c>
      <c r="F371" s="48"/>
    </row>
    <row r="372" ht="15.75" customHeight="1">
      <c r="A372" s="48" t="s">
        <v>1872</v>
      </c>
      <c r="B372" s="48" t="s">
        <v>1873</v>
      </c>
      <c r="C372" s="62" t="s">
        <v>1874</v>
      </c>
      <c r="D372" s="83" t="s">
        <v>899</v>
      </c>
      <c r="E372" s="80">
        <v>371.0</v>
      </c>
      <c r="F372" s="48"/>
    </row>
    <row r="373" ht="15.75" customHeight="1">
      <c r="A373" s="48" t="s">
        <v>1875</v>
      </c>
      <c r="B373" s="48" t="s">
        <v>1876</v>
      </c>
      <c r="C373" s="62" t="s">
        <v>1877</v>
      </c>
      <c r="D373" s="83" t="s">
        <v>899</v>
      </c>
      <c r="E373" s="84">
        <v>372.0</v>
      </c>
      <c r="F373" s="48"/>
    </row>
    <row r="374" ht="15.75" customHeight="1">
      <c r="A374" s="48" t="s">
        <v>1878</v>
      </c>
      <c r="B374" s="48"/>
      <c r="C374" s="62" t="s">
        <v>1879</v>
      </c>
      <c r="D374" s="83"/>
      <c r="E374" s="80">
        <v>373.0</v>
      </c>
      <c r="F374" s="48"/>
    </row>
    <row r="375" ht="15.75" customHeight="1">
      <c r="A375" s="48" t="s">
        <v>1880</v>
      </c>
      <c r="B375" s="48" t="s">
        <v>1881</v>
      </c>
      <c r="C375" s="62" t="s">
        <v>1882</v>
      </c>
      <c r="D375" s="83"/>
      <c r="E375" s="84">
        <v>374.0</v>
      </c>
      <c r="F375" s="48"/>
    </row>
    <row r="376" ht="15.75" customHeight="1">
      <c r="A376" s="48" t="s">
        <v>1883</v>
      </c>
      <c r="B376" s="48" t="s">
        <v>403</v>
      </c>
      <c r="C376" s="62" t="s">
        <v>1884</v>
      </c>
      <c r="D376" s="83" t="s">
        <v>905</v>
      </c>
      <c r="E376" s="80">
        <v>375.0</v>
      </c>
      <c r="F376" s="48"/>
    </row>
    <row r="377" ht="15.75" customHeight="1">
      <c r="A377" s="48" t="s">
        <v>1885</v>
      </c>
      <c r="B377" s="48" t="s">
        <v>1886</v>
      </c>
      <c r="C377" s="48" t="s">
        <v>198</v>
      </c>
      <c r="D377" s="83" t="s">
        <v>910</v>
      </c>
      <c r="E377" s="84">
        <v>376.0</v>
      </c>
      <c r="F377" s="48"/>
    </row>
    <row r="378" ht="15.75" customHeight="1">
      <c r="A378" s="48" t="s">
        <v>875</v>
      </c>
      <c r="B378" s="48" t="s">
        <v>876</v>
      </c>
      <c r="C378" s="62" t="s">
        <v>877</v>
      </c>
      <c r="D378" s="83" t="s">
        <v>878</v>
      </c>
      <c r="E378" s="80">
        <v>377.0</v>
      </c>
      <c r="F378" s="48"/>
    </row>
    <row r="379" ht="15.75" customHeight="1">
      <c r="A379" s="48" t="s">
        <v>1887</v>
      </c>
      <c r="B379" s="48" t="s">
        <v>1888</v>
      </c>
      <c r="C379" s="62" t="s">
        <v>1889</v>
      </c>
      <c r="D379" s="83" t="s">
        <v>917</v>
      </c>
      <c r="E379" s="84">
        <v>378.0</v>
      </c>
      <c r="F379" s="48"/>
    </row>
    <row r="380" ht="15.75" customHeight="1">
      <c r="A380" s="48" t="s">
        <v>1890</v>
      </c>
      <c r="B380" s="48" t="s">
        <v>1891</v>
      </c>
      <c r="C380" s="62" t="s">
        <v>1892</v>
      </c>
      <c r="D380" s="83" t="s">
        <v>917</v>
      </c>
      <c r="E380" s="80">
        <v>379.0</v>
      </c>
      <c r="F380" s="48"/>
    </row>
    <row r="381" ht="15.75" customHeight="1">
      <c r="A381" s="48" t="s">
        <v>1893</v>
      </c>
      <c r="B381" s="48" t="s">
        <v>1894</v>
      </c>
      <c r="C381" s="62" t="s">
        <v>1895</v>
      </c>
      <c r="D381" s="83" t="s">
        <v>917</v>
      </c>
      <c r="E381" s="84">
        <v>380.0</v>
      </c>
      <c r="F381" s="48"/>
    </row>
    <row r="382" ht="15.75" customHeight="1">
      <c r="A382" s="48" t="s">
        <v>1896</v>
      </c>
      <c r="B382" s="48" t="s">
        <v>1897</v>
      </c>
      <c r="C382" s="62" t="s">
        <v>1898</v>
      </c>
      <c r="D382" s="83" t="s">
        <v>917</v>
      </c>
      <c r="E382" s="80">
        <v>381.0</v>
      </c>
      <c r="F382" s="48"/>
    </row>
    <row r="383" ht="15.75" customHeight="1">
      <c r="A383" s="48" t="s">
        <v>1899</v>
      </c>
      <c r="B383" s="48" t="s">
        <v>1900</v>
      </c>
      <c r="C383" s="62" t="s">
        <v>1901</v>
      </c>
      <c r="D383" s="83" t="s">
        <v>917</v>
      </c>
      <c r="E383" s="84">
        <v>382.0</v>
      </c>
      <c r="F383" s="48"/>
    </row>
    <row r="384" ht="15.75" customHeight="1">
      <c r="A384" s="48" t="s">
        <v>1902</v>
      </c>
      <c r="B384" s="48" t="s">
        <v>1903</v>
      </c>
      <c r="C384" s="63" t="s">
        <v>198</v>
      </c>
      <c r="D384" s="83" t="s">
        <v>917</v>
      </c>
      <c r="E384" s="80">
        <v>383.0</v>
      </c>
      <c r="F384" s="48"/>
    </row>
    <row r="385" ht="15.75" customHeight="1">
      <c r="A385" s="48" t="s">
        <v>1904</v>
      </c>
      <c r="B385" s="48" t="s">
        <v>403</v>
      </c>
      <c r="C385" s="62" t="s">
        <v>1905</v>
      </c>
      <c r="D385" s="83" t="s">
        <v>421</v>
      </c>
      <c r="E385" s="84">
        <v>384.0</v>
      </c>
      <c r="F385" s="48"/>
    </row>
    <row r="386" ht="15.75" customHeight="1">
      <c r="A386" s="48" t="s">
        <v>766</v>
      </c>
      <c r="B386" s="48" t="s">
        <v>767</v>
      </c>
      <c r="C386" s="62" t="s">
        <v>768</v>
      </c>
      <c r="D386" s="83" t="s">
        <v>769</v>
      </c>
      <c r="E386" s="80">
        <v>385.0</v>
      </c>
      <c r="F386" s="48"/>
    </row>
    <row r="387" ht="15.75" customHeight="1">
      <c r="A387" s="48" t="s">
        <v>770</v>
      </c>
      <c r="B387" s="48" t="s">
        <v>475</v>
      </c>
      <c r="C387" s="62" t="s">
        <v>771</v>
      </c>
      <c r="D387" s="83" t="s">
        <v>769</v>
      </c>
      <c r="E387" s="84">
        <v>386.0</v>
      </c>
      <c r="F387" s="48"/>
    </row>
    <row r="388" ht="15.75" customHeight="1">
      <c r="A388" s="48" t="s">
        <v>773</v>
      </c>
      <c r="B388" s="48" t="s">
        <v>774</v>
      </c>
      <c r="C388" s="62" t="s">
        <v>775</v>
      </c>
      <c r="D388" s="83" t="s">
        <v>769</v>
      </c>
      <c r="E388" s="80">
        <v>387.0</v>
      </c>
      <c r="F388" s="48"/>
    </row>
    <row r="389" ht="15.75" customHeight="1">
      <c r="A389" s="48" t="s">
        <v>776</v>
      </c>
      <c r="B389" s="48" t="s">
        <v>777</v>
      </c>
      <c r="C389" s="62" t="s">
        <v>778</v>
      </c>
      <c r="D389" s="83" t="s">
        <v>769</v>
      </c>
      <c r="E389" s="84">
        <v>388.0</v>
      </c>
      <c r="F389" s="48"/>
    </row>
    <row r="390" ht="15.75" customHeight="1">
      <c r="A390" s="48" t="s">
        <v>779</v>
      </c>
      <c r="B390" s="48" t="s">
        <v>780</v>
      </c>
      <c r="C390" s="62" t="s">
        <v>781</v>
      </c>
      <c r="D390" s="83" t="s">
        <v>769</v>
      </c>
      <c r="E390" s="80">
        <v>389.0</v>
      </c>
      <c r="F390" s="48"/>
    </row>
    <row r="391" ht="15.75" customHeight="1">
      <c r="A391" s="48" t="s">
        <v>782</v>
      </c>
      <c r="B391" s="48" t="s">
        <v>783</v>
      </c>
      <c r="C391" s="62" t="s">
        <v>784</v>
      </c>
      <c r="D391" s="83" t="s">
        <v>769</v>
      </c>
      <c r="E391" s="84">
        <v>390.0</v>
      </c>
      <c r="F391" s="48"/>
    </row>
    <row r="392" ht="15.75" customHeight="1">
      <c r="A392" s="48" t="s">
        <v>379</v>
      </c>
      <c r="B392" s="48"/>
      <c r="C392" s="62" t="s">
        <v>380</v>
      </c>
      <c r="D392" s="83" t="s">
        <v>381</v>
      </c>
      <c r="E392" s="80">
        <v>391.0</v>
      </c>
      <c r="F392" s="48"/>
    </row>
    <row r="393" ht="15.75" customHeight="1">
      <c r="A393" s="48" t="s">
        <v>383</v>
      </c>
      <c r="B393" s="48" t="s">
        <v>384</v>
      </c>
      <c r="C393" s="62" t="s">
        <v>385</v>
      </c>
      <c r="D393" s="83" t="s">
        <v>381</v>
      </c>
      <c r="E393" s="84">
        <v>392.0</v>
      </c>
      <c r="F393" s="48"/>
    </row>
    <row r="394" ht="15.75" customHeight="1">
      <c r="A394" s="48" t="s">
        <v>386</v>
      </c>
      <c r="B394" s="48" t="s">
        <v>387</v>
      </c>
      <c r="C394" s="62" t="s">
        <v>388</v>
      </c>
      <c r="D394" s="83" t="s">
        <v>381</v>
      </c>
      <c r="E394" s="80">
        <v>393.0</v>
      </c>
      <c r="F394" s="48"/>
    </row>
    <row r="395" ht="15.75" customHeight="1">
      <c r="A395" s="48" t="s">
        <v>389</v>
      </c>
      <c r="B395" s="48" t="s">
        <v>390</v>
      </c>
      <c r="C395" s="62" t="s">
        <v>391</v>
      </c>
      <c r="D395" s="83" t="s">
        <v>381</v>
      </c>
      <c r="E395" s="84">
        <v>394.0</v>
      </c>
      <c r="F395" s="48"/>
    </row>
    <row r="396" ht="15.75" customHeight="1">
      <c r="A396" s="48" t="s">
        <v>392</v>
      </c>
      <c r="B396" s="48" t="s">
        <v>393</v>
      </c>
      <c r="C396" s="62" t="s">
        <v>394</v>
      </c>
      <c r="D396" s="83" t="s">
        <v>381</v>
      </c>
      <c r="E396" s="80">
        <v>395.0</v>
      </c>
      <c r="F396" s="48"/>
    </row>
    <row r="397" ht="15.75" customHeight="1">
      <c r="A397" s="48" t="s">
        <v>395</v>
      </c>
      <c r="B397" s="48" t="s">
        <v>396</v>
      </c>
      <c r="C397" s="62" t="s">
        <v>397</v>
      </c>
      <c r="D397" s="83" t="s">
        <v>381</v>
      </c>
      <c r="E397" s="84">
        <v>396.0</v>
      </c>
      <c r="F397" s="48"/>
    </row>
    <row r="398" ht="15.75" customHeight="1">
      <c r="A398" s="48" t="s">
        <v>1906</v>
      </c>
      <c r="B398" s="48" t="s">
        <v>1907</v>
      </c>
      <c r="C398" s="63" t="s">
        <v>198</v>
      </c>
      <c r="D398" s="83" t="s">
        <v>934</v>
      </c>
      <c r="E398" s="80">
        <v>397.0</v>
      </c>
      <c r="F398" s="48"/>
    </row>
    <row r="399" ht="15.75" customHeight="1">
      <c r="A399" s="48" t="s">
        <v>1908</v>
      </c>
      <c r="B399" s="48" t="s">
        <v>1909</v>
      </c>
      <c r="C399" s="62" t="s">
        <v>1910</v>
      </c>
      <c r="D399" s="83" t="s">
        <v>931</v>
      </c>
      <c r="E399" s="84">
        <v>398.0</v>
      </c>
      <c r="F399" s="48"/>
    </row>
    <row r="400" ht="15.75" customHeight="1">
      <c r="A400" s="48" t="s">
        <v>1911</v>
      </c>
      <c r="B400" s="48" t="s">
        <v>1912</v>
      </c>
      <c r="C400" s="62" t="s">
        <v>1913</v>
      </c>
      <c r="D400" s="83" t="s">
        <v>936</v>
      </c>
      <c r="E400" s="80">
        <v>399.0</v>
      </c>
      <c r="F400" s="48"/>
    </row>
    <row r="401" ht="15.75" customHeight="1">
      <c r="A401" s="48" t="s">
        <v>1914</v>
      </c>
      <c r="B401" s="48" t="s">
        <v>387</v>
      </c>
      <c r="C401" s="62" t="s">
        <v>1915</v>
      </c>
      <c r="D401" s="83" t="s">
        <v>936</v>
      </c>
      <c r="E401" s="84">
        <v>400.0</v>
      </c>
      <c r="F401" s="48"/>
    </row>
    <row r="402" ht="15.75" customHeight="1">
      <c r="A402" s="48" t="s">
        <v>1916</v>
      </c>
      <c r="B402" s="48" t="s">
        <v>1917</v>
      </c>
      <c r="C402" s="62" t="s">
        <v>1918</v>
      </c>
      <c r="D402" s="83" t="s">
        <v>936</v>
      </c>
      <c r="E402" s="80">
        <v>401.0</v>
      </c>
      <c r="F402" s="48"/>
    </row>
    <row r="403" ht="15.75" customHeight="1">
      <c r="A403" s="48" t="s">
        <v>1919</v>
      </c>
      <c r="B403" s="48" t="s">
        <v>1920</v>
      </c>
      <c r="C403" s="62" t="s">
        <v>1921</v>
      </c>
      <c r="D403" s="83" t="s">
        <v>936</v>
      </c>
      <c r="E403" s="84">
        <v>402.0</v>
      </c>
      <c r="F403" s="48"/>
    </row>
    <row r="404" ht="15.75" customHeight="1">
      <c r="A404" s="48" t="s">
        <v>1922</v>
      </c>
      <c r="B404" s="48" t="s">
        <v>1923</v>
      </c>
      <c r="C404" s="62" t="s">
        <v>1924</v>
      </c>
      <c r="D404" s="83" t="s">
        <v>936</v>
      </c>
      <c r="E404" s="80">
        <v>403.0</v>
      </c>
      <c r="F404" s="48"/>
    </row>
    <row r="405" ht="15.75" customHeight="1">
      <c r="A405" s="48" t="s">
        <v>1925</v>
      </c>
      <c r="B405" s="48" t="s">
        <v>1926</v>
      </c>
      <c r="C405" s="62" t="s">
        <v>1927</v>
      </c>
      <c r="D405" s="83" t="s">
        <v>936</v>
      </c>
      <c r="E405" s="74">
        <v>404.0</v>
      </c>
      <c r="F405" s="95" t="s">
        <v>1928</v>
      </c>
    </row>
    <row r="406" ht="15.75" customHeight="1">
      <c r="A406" s="48" t="s">
        <v>1929</v>
      </c>
      <c r="B406" s="48" t="s">
        <v>1930</v>
      </c>
      <c r="C406" s="63" t="s">
        <v>198</v>
      </c>
      <c r="D406" s="83" t="s">
        <v>936</v>
      </c>
      <c r="E406" s="80">
        <v>405.0</v>
      </c>
      <c r="F406" s="48"/>
    </row>
    <row r="407" ht="15.75" customHeight="1">
      <c r="A407" s="48" t="s">
        <v>1931</v>
      </c>
      <c r="B407" s="48" t="s">
        <v>1932</v>
      </c>
      <c r="C407" s="62" t="s">
        <v>1933</v>
      </c>
      <c r="D407" s="83" t="s">
        <v>936</v>
      </c>
      <c r="E407" s="84">
        <v>406.0</v>
      </c>
      <c r="F407" s="48"/>
    </row>
    <row r="408" ht="15.75" customHeight="1">
      <c r="A408" s="48" t="s">
        <v>1934</v>
      </c>
      <c r="B408" s="48" t="s">
        <v>1935</v>
      </c>
      <c r="C408" s="62" t="s">
        <v>1936</v>
      </c>
      <c r="D408" s="83" t="s">
        <v>936</v>
      </c>
      <c r="E408" s="80">
        <v>407.0</v>
      </c>
      <c r="F408" s="48"/>
    </row>
    <row r="409" ht="15.75" customHeight="1">
      <c r="A409" s="48" t="s">
        <v>1937</v>
      </c>
      <c r="B409" s="48" t="s">
        <v>1938</v>
      </c>
      <c r="C409" s="63" t="s">
        <v>198</v>
      </c>
      <c r="D409" s="83" t="s">
        <v>936</v>
      </c>
      <c r="E409" s="84">
        <v>408.0</v>
      </c>
      <c r="F409" s="48"/>
    </row>
    <row r="410" ht="15.75" customHeight="1">
      <c r="A410" s="48" t="s">
        <v>1939</v>
      </c>
      <c r="B410" s="48" t="s">
        <v>1940</v>
      </c>
      <c r="C410" s="62" t="s">
        <v>1941</v>
      </c>
      <c r="D410" s="83" t="s">
        <v>1230</v>
      </c>
      <c r="E410" s="80">
        <v>409.0</v>
      </c>
      <c r="F410" s="48"/>
    </row>
    <row r="411" ht="15.75" customHeight="1">
      <c r="A411" s="48" t="s">
        <v>1942</v>
      </c>
      <c r="B411" s="48" t="s">
        <v>1943</v>
      </c>
      <c r="C411" s="62" t="s">
        <v>1944</v>
      </c>
      <c r="D411" s="83" t="s">
        <v>945</v>
      </c>
      <c r="E411" s="84">
        <v>410.0</v>
      </c>
      <c r="F411" s="48"/>
    </row>
    <row r="412" ht="15.75" customHeight="1">
      <c r="A412" s="48" t="s">
        <v>786</v>
      </c>
      <c r="B412" s="48" t="s">
        <v>787</v>
      </c>
      <c r="C412" s="48" t="s">
        <v>198</v>
      </c>
      <c r="D412" s="83" t="s">
        <v>788</v>
      </c>
      <c r="E412" s="80">
        <v>411.0</v>
      </c>
      <c r="F412" s="48"/>
    </row>
    <row r="413" ht="15.75" customHeight="1">
      <c r="A413" s="48" t="s">
        <v>789</v>
      </c>
      <c r="B413" s="48" t="s">
        <v>790</v>
      </c>
      <c r="C413" s="62" t="s">
        <v>791</v>
      </c>
      <c r="D413" s="83" t="s">
        <v>788</v>
      </c>
      <c r="E413" s="84">
        <v>412.0</v>
      </c>
      <c r="F413" s="48"/>
    </row>
    <row r="414" ht="15.75" customHeight="1">
      <c r="A414" s="48" t="s">
        <v>792</v>
      </c>
      <c r="B414" s="48" t="s">
        <v>793</v>
      </c>
      <c r="C414" s="62" t="s">
        <v>794</v>
      </c>
      <c r="D414" s="83" t="s">
        <v>788</v>
      </c>
      <c r="E414" s="80">
        <v>413.0</v>
      </c>
      <c r="F414" s="48"/>
    </row>
    <row r="415" ht="15.75" customHeight="1">
      <c r="A415" s="48" t="s">
        <v>795</v>
      </c>
      <c r="B415" s="48" t="s">
        <v>796</v>
      </c>
      <c r="C415" s="62" t="s">
        <v>797</v>
      </c>
      <c r="D415" s="83" t="s">
        <v>788</v>
      </c>
      <c r="E415" s="84">
        <v>414.0</v>
      </c>
      <c r="F415" s="48"/>
    </row>
    <row r="416" ht="15.75" customHeight="1">
      <c r="A416" s="48" t="s">
        <v>798</v>
      </c>
      <c r="B416" s="48" t="s">
        <v>799</v>
      </c>
      <c r="C416" s="62" t="s">
        <v>800</v>
      </c>
      <c r="D416" s="83" t="s">
        <v>788</v>
      </c>
      <c r="E416" s="80">
        <v>415.0</v>
      </c>
      <c r="F416" s="48"/>
    </row>
    <row r="417" ht="15.75" customHeight="1">
      <c r="A417" s="48" t="s">
        <v>801</v>
      </c>
      <c r="B417" s="48" t="s">
        <v>802</v>
      </c>
      <c r="C417" s="62" t="s">
        <v>803</v>
      </c>
      <c r="D417" s="83" t="s">
        <v>788</v>
      </c>
      <c r="E417" s="84">
        <v>416.0</v>
      </c>
      <c r="F417" s="48"/>
    </row>
    <row r="418" ht="15.75" customHeight="1">
      <c r="A418" s="48" t="s">
        <v>804</v>
      </c>
      <c r="B418" s="48" t="s">
        <v>805</v>
      </c>
      <c r="C418" s="63" t="s">
        <v>198</v>
      </c>
      <c r="D418" s="83" t="s">
        <v>788</v>
      </c>
      <c r="E418" s="80">
        <v>417.0</v>
      </c>
      <c r="F418" s="48"/>
    </row>
    <row r="419" ht="15.75" customHeight="1">
      <c r="A419" s="48" t="s">
        <v>806</v>
      </c>
      <c r="B419" s="48" t="s">
        <v>807</v>
      </c>
      <c r="C419" s="63" t="s">
        <v>198</v>
      </c>
      <c r="D419" s="83" t="s">
        <v>788</v>
      </c>
      <c r="E419" s="84">
        <v>418.0</v>
      </c>
      <c r="F419" s="48"/>
    </row>
    <row r="420" ht="15.75" customHeight="1">
      <c r="A420" s="48" t="s">
        <v>808</v>
      </c>
      <c r="B420" s="48" t="s">
        <v>809</v>
      </c>
      <c r="C420" s="62" t="s">
        <v>810</v>
      </c>
      <c r="D420" s="83" t="s">
        <v>788</v>
      </c>
      <c r="E420" s="80">
        <v>419.0</v>
      </c>
      <c r="F420" s="48"/>
    </row>
    <row r="421" ht="15.75" customHeight="1">
      <c r="A421" s="48" t="s">
        <v>811</v>
      </c>
      <c r="B421" s="48" t="s">
        <v>812</v>
      </c>
      <c r="C421" s="62" t="s">
        <v>813</v>
      </c>
      <c r="D421" s="83" t="s">
        <v>788</v>
      </c>
      <c r="E421" s="84">
        <v>420.0</v>
      </c>
      <c r="F421" s="48"/>
    </row>
    <row r="422" ht="15.75" customHeight="1">
      <c r="A422" s="48" t="s">
        <v>815</v>
      </c>
      <c r="B422" s="48" t="s">
        <v>816</v>
      </c>
      <c r="C422" s="63" t="s">
        <v>198</v>
      </c>
      <c r="D422" s="83" t="s">
        <v>788</v>
      </c>
      <c r="E422" s="80">
        <v>421.0</v>
      </c>
      <c r="F422" s="48"/>
    </row>
    <row r="423" ht="15.75" customHeight="1">
      <c r="A423" s="48" t="s">
        <v>817</v>
      </c>
      <c r="B423" s="48" t="s">
        <v>818</v>
      </c>
      <c r="C423" s="62" t="s">
        <v>819</v>
      </c>
      <c r="D423" s="83" t="s">
        <v>788</v>
      </c>
      <c r="E423" s="84">
        <v>422.0</v>
      </c>
      <c r="F423" s="48"/>
    </row>
    <row r="424" ht="15.75" customHeight="1">
      <c r="A424" s="48" t="s">
        <v>820</v>
      </c>
      <c r="B424" s="48" t="s">
        <v>821</v>
      </c>
      <c r="C424" s="63" t="s">
        <v>198</v>
      </c>
      <c r="D424" s="83" t="s">
        <v>788</v>
      </c>
      <c r="E424" s="80">
        <v>423.0</v>
      </c>
      <c r="F424" s="48"/>
    </row>
    <row r="425" ht="15.75" customHeight="1">
      <c r="A425" s="48" t="s">
        <v>822</v>
      </c>
      <c r="B425" s="48" t="s">
        <v>823</v>
      </c>
      <c r="C425" s="62" t="s">
        <v>824</v>
      </c>
      <c r="D425" s="83" t="s">
        <v>788</v>
      </c>
      <c r="E425" s="84">
        <v>424.0</v>
      </c>
      <c r="F425" s="48"/>
    </row>
    <row r="426" ht="15.75" customHeight="1">
      <c r="A426" s="48" t="s">
        <v>825</v>
      </c>
      <c r="B426" s="48" t="s">
        <v>826</v>
      </c>
      <c r="C426" s="62" t="s">
        <v>827</v>
      </c>
      <c r="D426" s="83" t="s">
        <v>788</v>
      </c>
      <c r="E426" s="80">
        <v>425.0</v>
      </c>
      <c r="F426" s="48"/>
    </row>
    <row r="427" ht="15.75" customHeight="1">
      <c r="A427" s="48" t="s">
        <v>398</v>
      </c>
      <c r="B427" s="48" t="s">
        <v>399</v>
      </c>
      <c r="C427" s="62" t="s">
        <v>400</v>
      </c>
      <c r="D427" s="83" t="s">
        <v>401</v>
      </c>
      <c r="E427" s="84">
        <v>426.0</v>
      </c>
      <c r="F427" s="48"/>
    </row>
    <row r="428" ht="15.75" customHeight="1">
      <c r="A428" s="48" t="s">
        <v>402</v>
      </c>
      <c r="B428" s="48" t="s">
        <v>403</v>
      </c>
      <c r="C428" s="62" t="s">
        <v>404</v>
      </c>
      <c r="D428" s="83" t="s">
        <v>401</v>
      </c>
      <c r="E428" s="18">
        <v>427.0</v>
      </c>
      <c r="F428" s="48"/>
    </row>
    <row r="429" ht="15.75" customHeight="1">
      <c r="A429" s="48" t="s">
        <v>405</v>
      </c>
      <c r="B429" s="48" t="s">
        <v>406</v>
      </c>
      <c r="C429" s="62" t="s">
        <v>407</v>
      </c>
      <c r="D429" s="83" t="s">
        <v>401</v>
      </c>
      <c r="E429" s="84">
        <v>428.0</v>
      </c>
      <c r="F429" s="48"/>
    </row>
    <row r="430" ht="15.75" customHeight="1">
      <c r="A430" s="48" t="s">
        <v>408</v>
      </c>
      <c r="B430" s="48" t="s">
        <v>409</v>
      </c>
      <c r="C430" s="62" t="s">
        <v>410</v>
      </c>
      <c r="D430" s="83" t="s">
        <v>401</v>
      </c>
      <c r="E430" s="80">
        <v>429.0</v>
      </c>
      <c r="F430" s="48"/>
    </row>
    <row r="431" ht="15.75" customHeight="1">
      <c r="A431" s="48" t="s">
        <v>411</v>
      </c>
      <c r="B431" s="48" t="s">
        <v>412</v>
      </c>
      <c r="C431" s="62" t="s">
        <v>413</v>
      </c>
      <c r="D431" s="83" t="s">
        <v>401</v>
      </c>
      <c r="E431" s="84">
        <v>430.0</v>
      </c>
      <c r="F431" s="48"/>
    </row>
    <row r="432" ht="15.75" customHeight="1">
      <c r="A432" s="48" t="s">
        <v>414</v>
      </c>
      <c r="B432" s="48" t="s">
        <v>415</v>
      </c>
      <c r="C432" s="62" t="s">
        <v>416</v>
      </c>
      <c r="D432" s="83" t="s">
        <v>401</v>
      </c>
      <c r="E432" s="80">
        <v>431.0</v>
      </c>
      <c r="F432" s="48"/>
    </row>
    <row r="433" ht="15.75" customHeight="1">
      <c r="A433" s="48" t="s">
        <v>322</v>
      </c>
      <c r="B433" s="48" t="s">
        <v>323</v>
      </c>
      <c r="C433" s="62" t="s">
        <v>324</v>
      </c>
      <c r="D433" s="83" t="s">
        <v>325</v>
      </c>
      <c r="E433" s="84">
        <v>432.0</v>
      </c>
      <c r="F433" s="48"/>
    </row>
    <row r="434" ht="15.75" customHeight="1">
      <c r="A434" s="48" t="s">
        <v>327</v>
      </c>
      <c r="B434" s="48" t="s">
        <v>328</v>
      </c>
      <c r="C434" s="62" t="s">
        <v>329</v>
      </c>
      <c r="D434" s="83" t="s">
        <v>325</v>
      </c>
      <c r="E434" s="80">
        <v>433.0</v>
      </c>
      <c r="F434" s="48"/>
    </row>
    <row r="435" ht="15.75" customHeight="1">
      <c r="A435" s="48" t="s">
        <v>1945</v>
      </c>
      <c r="B435" s="48"/>
      <c r="C435" s="62" t="s">
        <v>1946</v>
      </c>
      <c r="D435" s="83" t="s">
        <v>964</v>
      </c>
      <c r="E435" s="84">
        <v>434.0</v>
      </c>
      <c r="F435" s="48"/>
    </row>
    <row r="436" ht="15.75" customHeight="1">
      <c r="A436" s="48" t="s">
        <v>537</v>
      </c>
      <c r="B436" s="48" t="s">
        <v>538</v>
      </c>
      <c r="C436" s="63" t="s">
        <v>198</v>
      </c>
      <c r="D436" s="83" t="s">
        <v>969</v>
      </c>
      <c r="E436" s="80">
        <v>435.0</v>
      </c>
      <c r="F436" s="48"/>
    </row>
    <row r="437" ht="15.75" customHeight="1">
      <c r="A437" s="48" t="s">
        <v>539</v>
      </c>
      <c r="B437" s="48" t="s">
        <v>540</v>
      </c>
      <c r="C437" s="62" t="s">
        <v>541</v>
      </c>
      <c r="D437" s="83" t="s">
        <v>969</v>
      </c>
      <c r="E437" s="84">
        <v>436.0</v>
      </c>
      <c r="F437" s="48"/>
    </row>
    <row r="438" ht="15.75" customHeight="1">
      <c r="A438" s="48" t="s">
        <v>542</v>
      </c>
      <c r="B438" s="48" t="s">
        <v>543</v>
      </c>
      <c r="C438" s="63" t="s">
        <v>198</v>
      </c>
      <c r="D438" s="83" t="s">
        <v>969</v>
      </c>
      <c r="E438" s="80">
        <v>437.0</v>
      </c>
      <c r="F438" s="48"/>
    </row>
    <row r="439" ht="15.75" customHeight="1">
      <c r="A439" s="48" t="s">
        <v>544</v>
      </c>
      <c r="B439" s="48" t="s">
        <v>139</v>
      </c>
      <c r="C439" s="62" t="s">
        <v>545</v>
      </c>
      <c r="D439" s="83" t="s">
        <v>969</v>
      </c>
      <c r="E439" s="84">
        <v>438.0</v>
      </c>
      <c r="F439" s="48"/>
    </row>
    <row r="440" ht="15.75" customHeight="1">
      <c r="A440" s="48" t="s">
        <v>547</v>
      </c>
      <c r="B440" s="48" t="s">
        <v>548</v>
      </c>
      <c r="C440" s="62" t="s">
        <v>549</v>
      </c>
      <c r="D440" s="83" t="s">
        <v>969</v>
      </c>
      <c r="E440" s="80">
        <v>439.0</v>
      </c>
      <c r="F440" s="48"/>
    </row>
    <row r="441" ht="15.75" customHeight="1">
      <c r="A441" s="48" t="s">
        <v>550</v>
      </c>
      <c r="B441" s="48" t="s">
        <v>551</v>
      </c>
      <c r="C441" s="63" t="s">
        <v>198</v>
      </c>
      <c r="D441" s="83" t="s">
        <v>969</v>
      </c>
      <c r="E441" s="84">
        <v>440.0</v>
      </c>
      <c r="F441" s="48"/>
    </row>
    <row r="442" ht="15.75" customHeight="1">
      <c r="A442" s="48" t="s">
        <v>552</v>
      </c>
      <c r="B442" s="48" t="s">
        <v>139</v>
      </c>
      <c r="C442" s="62" t="s">
        <v>1947</v>
      </c>
      <c r="D442" s="83" t="s">
        <v>969</v>
      </c>
      <c r="E442" s="80">
        <v>441.0</v>
      </c>
      <c r="F442" s="48"/>
    </row>
    <row r="443" ht="15.75" customHeight="1">
      <c r="A443" s="48" t="s">
        <v>554</v>
      </c>
      <c r="B443" s="48" t="s">
        <v>555</v>
      </c>
      <c r="C443" s="63" t="s">
        <v>198</v>
      </c>
      <c r="D443" s="83" t="s">
        <v>969</v>
      </c>
      <c r="E443" s="84">
        <v>442.0</v>
      </c>
      <c r="F443" s="48"/>
    </row>
    <row r="444" ht="15.75" customHeight="1">
      <c r="A444" s="48" t="s">
        <v>556</v>
      </c>
      <c r="B444" s="48" t="s">
        <v>557</v>
      </c>
      <c r="C444" s="62" t="s">
        <v>558</v>
      </c>
      <c r="D444" s="83" t="s">
        <v>969</v>
      </c>
      <c r="E444" s="80">
        <v>443.0</v>
      </c>
      <c r="F444" s="48"/>
    </row>
    <row r="445" ht="15.75" customHeight="1">
      <c r="A445" s="48" t="s">
        <v>559</v>
      </c>
      <c r="B445" s="48" t="s">
        <v>560</v>
      </c>
      <c r="C445" s="62" t="s">
        <v>561</v>
      </c>
      <c r="D445" s="83" t="s">
        <v>969</v>
      </c>
      <c r="E445" s="84">
        <v>444.0</v>
      </c>
      <c r="F445" s="48"/>
    </row>
    <row r="446" ht="15.75" customHeight="1">
      <c r="A446" s="48" t="s">
        <v>562</v>
      </c>
      <c r="B446" s="48" t="s">
        <v>563</v>
      </c>
      <c r="C446" s="62" t="s">
        <v>564</v>
      </c>
      <c r="D446" s="83" t="s">
        <v>969</v>
      </c>
      <c r="E446" s="80">
        <v>445.0</v>
      </c>
      <c r="F446" s="48"/>
    </row>
    <row r="447" ht="15.75" customHeight="1">
      <c r="A447" s="48" t="s">
        <v>566</v>
      </c>
      <c r="B447" s="48" t="s">
        <v>567</v>
      </c>
      <c r="C447" s="62" t="s">
        <v>568</v>
      </c>
      <c r="D447" s="83" t="s">
        <v>969</v>
      </c>
      <c r="E447" s="84">
        <v>446.0</v>
      </c>
      <c r="F447" s="48"/>
    </row>
    <row r="448" ht="15.75" customHeight="1">
      <c r="A448" s="48" t="s">
        <v>569</v>
      </c>
      <c r="B448" s="48" t="s">
        <v>570</v>
      </c>
      <c r="C448" s="62" t="s">
        <v>571</v>
      </c>
      <c r="D448" s="83" t="s">
        <v>969</v>
      </c>
      <c r="E448" s="80">
        <v>447.0</v>
      </c>
      <c r="F448" s="48"/>
    </row>
    <row r="449" ht="15.75" customHeight="1">
      <c r="A449" s="48" t="s">
        <v>572</v>
      </c>
      <c r="B449" s="48" t="s">
        <v>198</v>
      </c>
      <c r="C449" s="62" t="s">
        <v>573</v>
      </c>
      <c r="D449" s="83" t="s">
        <v>969</v>
      </c>
      <c r="E449" s="84">
        <v>448.0</v>
      </c>
      <c r="F449" s="48"/>
    </row>
    <row r="450" ht="15.75" customHeight="1">
      <c r="A450" s="48" t="s">
        <v>574</v>
      </c>
      <c r="B450" s="48" t="s">
        <v>575</v>
      </c>
      <c r="C450" s="62" t="s">
        <v>576</v>
      </c>
      <c r="D450" s="83" t="s">
        <v>969</v>
      </c>
      <c r="E450" s="80">
        <v>449.0</v>
      </c>
      <c r="F450" s="48"/>
    </row>
    <row r="451" ht="15.75" customHeight="1">
      <c r="A451" s="48" t="s">
        <v>577</v>
      </c>
      <c r="B451" s="48" t="s">
        <v>578</v>
      </c>
      <c r="C451" s="63" t="s">
        <v>198</v>
      </c>
      <c r="D451" s="83" t="s">
        <v>969</v>
      </c>
      <c r="E451" s="84">
        <v>450.0</v>
      </c>
      <c r="F451" s="48"/>
    </row>
    <row r="452" ht="15.75" customHeight="1">
      <c r="A452" s="48" t="s">
        <v>579</v>
      </c>
      <c r="B452" s="48" t="s">
        <v>580</v>
      </c>
      <c r="C452" s="62" t="s">
        <v>581</v>
      </c>
      <c r="D452" s="83" t="s">
        <v>969</v>
      </c>
      <c r="E452" s="80">
        <v>451.0</v>
      </c>
      <c r="F452" s="48"/>
    </row>
    <row r="453" ht="15.75" customHeight="1">
      <c r="A453" s="48" t="s">
        <v>582</v>
      </c>
      <c r="B453" s="48" t="s">
        <v>583</v>
      </c>
      <c r="C453" s="62" t="s">
        <v>584</v>
      </c>
      <c r="D453" s="83" t="s">
        <v>969</v>
      </c>
      <c r="E453" s="84">
        <v>452.0</v>
      </c>
      <c r="F453" s="48"/>
    </row>
    <row r="454" ht="15.75" customHeight="1">
      <c r="A454" s="48" t="s">
        <v>585</v>
      </c>
      <c r="B454" s="48" t="s">
        <v>586</v>
      </c>
      <c r="C454" s="62" t="s">
        <v>587</v>
      </c>
      <c r="D454" s="83" t="s">
        <v>969</v>
      </c>
      <c r="E454" s="80">
        <v>453.0</v>
      </c>
      <c r="F454" s="48"/>
    </row>
    <row r="455" ht="15.75" customHeight="1">
      <c r="A455" s="48" t="s">
        <v>588</v>
      </c>
      <c r="B455" s="48" t="s">
        <v>589</v>
      </c>
      <c r="C455" s="63" t="s">
        <v>198</v>
      </c>
      <c r="D455" s="83" t="s">
        <v>969</v>
      </c>
      <c r="E455" s="84">
        <v>454.0</v>
      </c>
      <c r="F455" s="48"/>
    </row>
    <row r="456" ht="15.75" customHeight="1">
      <c r="A456" s="48" t="s">
        <v>590</v>
      </c>
      <c r="B456" s="48" t="s">
        <v>591</v>
      </c>
      <c r="C456" s="62" t="s">
        <v>592</v>
      </c>
      <c r="D456" s="83" t="s">
        <v>969</v>
      </c>
      <c r="E456" s="80">
        <v>455.0</v>
      </c>
      <c r="F456" s="48"/>
    </row>
    <row r="457" ht="15.75" customHeight="1">
      <c r="A457" s="48" t="s">
        <v>593</v>
      </c>
      <c r="B457" s="48" t="s">
        <v>594</v>
      </c>
      <c r="C457" s="62" t="s">
        <v>595</v>
      </c>
      <c r="D457" s="83" t="s">
        <v>969</v>
      </c>
      <c r="E457" s="84">
        <v>456.0</v>
      </c>
      <c r="F457" s="48"/>
    </row>
    <row r="458" ht="15.75" customHeight="1">
      <c r="A458" s="48" t="s">
        <v>596</v>
      </c>
      <c r="B458" s="48" t="s">
        <v>597</v>
      </c>
      <c r="C458" s="62" t="s">
        <v>600</v>
      </c>
      <c r="D458" s="83" t="s">
        <v>969</v>
      </c>
      <c r="E458" s="80">
        <v>457.0</v>
      </c>
      <c r="F458" s="48"/>
    </row>
    <row r="459" ht="15.75" customHeight="1">
      <c r="A459" s="48" t="s">
        <v>598</v>
      </c>
      <c r="B459" s="48" t="s">
        <v>599</v>
      </c>
      <c r="C459" s="62" t="s">
        <v>600</v>
      </c>
      <c r="D459" s="83" t="s">
        <v>969</v>
      </c>
      <c r="E459" s="84">
        <v>458.0</v>
      </c>
      <c r="F459" s="48"/>
    </row>
    <row r="460" ht="15.75" customHeight="1">
      <c r="A460" s="48" t="s">
        <v>601</v>
      </c>
      <c r="B460" s="48" t="s">
        <v>602</v>
      </c>
      <c r="C460" s="63" t="s">
        <v>198</v>
      </c>
      <c r="D460" s="83" t="s">
        <v>969</v>
      </c>
      <c r="E460" s="80">
        <v>459.0</v>
      </c>
      <c r="F460" s="48"/>
    </row>
    <row r="461" ht="15.75" customHeight="1">
      <c r="A461" s="48" t="s">
        <v>603</v>
      </c>
      <c r="B461" s="48" t="s">
        <v>604</v>
      </c>
      <c r="C461" s="62" t="s">
        <v>605</v>
      </c>
      <c r="D461" s="83" t="s">
        <v>969</v>
      </c>
      <c r="E461" s="84">
        <v>460.0</v>
      </c>
      <c r="F461" s="48"/>
    </row>
    <row r="462" ht="15.75" customHeight="1">
      <c r="A462" s="48" t="s">
        <v>1948</v>
      </c>
      <c r="B462" s="48" t="s">
        <v>1949</v>
      </c>
      <c r="C462" s="62" t="s">
        <v>1950</v>
      </c>
      <c r="D462" s="83" t="s">
        <v>975</v>
      </c>
      <c r="E462" s="80">
        <v>461.0</v>
      </c>
      <c r="F462" s="48"/>
    </row>
    <row r="463" ht="15.75" customHeight="1">
      <c r="A463" s="48" t="s">
        <v>1951</v>
      </c>
      <c r="B463" s="48" t="s">
        <v>198</v>
      </c>
      <c r="C463" s="62" t="s">
        <v>1952</v>
      </c>
      <c r="D463" s="83" t="s">
        <v>975</v>
      </c>
      <c r="E463" s="84">
        <v>462.0</v>
      </c>
      <c r="F463" s="48"/>
    </row>
    <row r="464" ht="15.75" customHeight="1">
      <c r="A464" s="48" t="s">
        <v>1953</v>
      </c>
      <c r="B464" s="48" t="s">
        <v>1954</v>
      </c>
      <c r="C464" s="63" t="s">
        <v>198</v>
      </c>
      <c r="D464" s="83" t="s">
        <v>975</v>
      </c>
      <c r="E464" s="80">
        <v>463.0</v>
      </c>
      <c r="F464" s="48"/>
    </row>
    <row r="465" ht="15.75" customHeight="1">
      <c r="A465" s="48" t="s">
        <v>1955</v>
      </c>
      <c r="B465" s="48" t="s">
        <v>1956</v>
      </c>
      <c r="C465" s="62" t="s">
        <v>1957</v>
      </c>
      <c r="D465" s="83" t="s">
        <v>975</v>
      </c>
      <c r="E465" s="84">
        <v>464.0</v>
      </c>
      <c r="F465" s="48"/>
    </row>
    <row r="466" ht="15.75" customHeight="1">
      <c r="A466" s="48" t="s">
        <v>1958</v>
      </c>
      <c r="B466" s="48" t="s">
        <v>1959</v>
      </c>
      <c r="C466" s="63" t="s">
        <v>198</v>
      </c>
      <c r="D466" s="83" t="s">
        <v>983</v>
      </c>
      <c r="E466" s="80">
        <v>465.0</v>
      </c>
      <c r="F466" s="48"/>
    </row>
    <row r="467" ht="15.75" customHeight="1">
      <c r="A467" s="48" t="s">
        <v>1960</v>
      </c>
      <c r="B467" s="48" t="s">
        <v>1961</v>
      </c>
      <c r="C467" s="63" t="s">
        <v>198</v>
      </c>
      <c r="D467" s="83" t="s">
        <v>983</v>
      </c>
      <c r="E467" s="84">
        <v>466.0</v>
      </c>
      <c r="F467" s="48"/>
    </row>
    <row r="468" ht="15.75" customHeight="1">
      <c r="A468" s="48" t="s">
        <v>1962</v>
      </c>
      <c r="B468" s="48" t="s">
        <v>1963</v>
      </c>
      <c r="C468" s="62" t="s">
        <v>1964</v>
      </c>
      <c r="D468" s="83" t="s">
        <v>983</v>
      </c>
      <c r="E468" s="80">
        <v>467.0</v>
      </c>
      <c r="F468" s="48"/>
    </row>
    <row r="469" ht="15.75" customHeight="1">
      <c r="A469" s="48" t="s">
        <v>1965</v>
      </c>
      <c r="B469" s="48" t="s">
        <v>1966</v>
      </c>
      <c r="C469" s="62" t="s">
        <v>1967</v>
      </c>
      <c r="D469" s="83" t="s">
        <v>983</v>
      </c>
      <c r="E469" s="84">
        <v>468.0</v>
      </c>
      <c r="F469" s="48"/>
    </row>
    <row r="470" ht="15.75" customHeight="1">
      <c r="A470" s="48" t="s">
        <v>1968</v>
      </c>
      <c r="B470" s="48" t="s">
        <v>1969</v>
      </c>
      <c r="C470" s="62" t="s">
        <v>1970</v>
      </c>
      <c r="D470" s="83" t="s">
        <v>983</v>
      </c>
      <c r="E470" s="80">
        <v>469.0</v>
      </c>
      <c r="F470" s="48"/>
    </row>
    <row r="471" ht="15.75" customHeight="1">
      <c r="A471" s="48" t="s">
        <v>1971</v>
      </c>
      <c r="B471" s="48" t="s">
        <v>1972</v>
      </c>
      <c r="C471" s="62" t="s">
        <v>1973</v>
      </c>
      <c r="D471" s="83" t="s">
        <v>983</v>
      </c>
      <c r="E471" s="84">
        <v>470.0</v>
      </c>
      <c r="F471" s="48"/>
    </row>
    <row r="472" ht="15.75" customHeight="1">
      <c r="A472" s="48" t="s">
        <v>1974</v>
      </c>
      <c r="B472" s="48" t="s">
        <v>1975</v>
      </c>
      <c r="C472" s="62" t="s">
        <v>1976</v>
      </c>
      <c r="D472" s="83" t="s">
        <v>987</v>
      </c>
      <c r="E472" s="80">
        <v>471.0</v>
      </c>
      <c r="F472" s="48"/>
    </row>
    <row r="473" ht="15.75" customHeight="1">
      <c r="A473" s="48" t="s">
        <v>1977</v>
      </c>
      <c r="B473" s="48" t="s">
        <v>1978</v>
      </c>
      <c r="C473" s="62" t="s">
        <v>1979</v>
      </c>
      <c r="D473" s="83" t="s">
        <v>979</v>
      </c>
      <c r="E473" s="84">
        <v>472.0</v>
      </c>
      <c r="F473" s="48"/>
    </row>
    <row r="474" ht="15.75" customHeight="1">
      <c r="A474" s="48" t="s">
        <v>1980</v>
      </c>
      <c r="B474" s="48" t="s">
        <v>1981</v>
      </c>
      <c r="C474" s="62" t="s">
        <v>1982</v>
      </c>
      <c r="D474" s="83" t="s">
        <v>979</v>
      </c>
      <c r="E474" s="80">
        <v>473.0</v>
      </c>
      <c r="F474" s="48"/>
    </row>
    <row r="475" ht="15.75" customHeight="1">
      <c r="A475" s="48" t="s">
        <v>1983</v>
      </c>
      <c r="B475" s="48" t="s">
        <v>198</v>
      </c>
      <c r="C475" s="62" t="s">
        <v>1984</v>
      </c>
      <c r="D475" s="83" t="s">
        <v>979</v>
      </c>
      <c r="E475" s="84">
        <v>474.0</v>
      </c>
      <c r="F475" s="48"/>
    </row>
    <row r="476" ht="15.75" customHeight="1">
      <c r="A476" s="48" t="s">
        <v>1985</v>
      </c>
      <c r="B476" s="48" t="s">
        <v>1986</v>
      </c>
      <c r="C476" s="63" t="s">
        <v>198</v>
      </c>
      <c r="D476" s="83" t="s">
        <v>983</v>
      </c>
      <c r="E476" s="80">
        <v>475.0</v>
      </c>
      <c r="F476" s="48"/>
    </row>
    <row r="477" ht="15.75" customHeight="1">
      <c r="A477" s="48" t="s">
        <v>1987</v>
      </c>
      <c r="B477" s="48" t="s">
        <v>1988</v>
      </c>
      <c r="C477" s="63"/>
      <c r="D477" s="83" t="s">
        <v>991</v>
      </c>
      <c r="E477" s="84">
        <v>476.0</v>
      </c>
      <c r="F477" s="48"/>
    </row>
    <row r="478" ht="15.75" customHeight="1">
      <c r="A478" s="48" t="s">
        <v>1989</v>
      </c>
      <c r="B478" s="48" t="s">
        <v>1990</v>
      </c>
      <c r="C478" s="62" t="s">
        <v>1991</v>
      </c>
      <c r="D478" s="83" t="s">
        <v>991</v>
      </c>
      <c r="E478" s="80">
        <v>477.0</v>
      </c>
      <c r="F478" s="48"/>
    </row>
    <row r="479" ht="15.75" customHeight="1">
      <c r="A479" s="48" t="s">
        <v>1992</v>
      </c>
      <c r="B479" s="48" t="s">
        <v>1993</v>
      </c>
      <c r="C479" s="62" t="s">
        <v>1991</v>
      </c>
      <c r="D479" s="83" t="s">
        <v>995</v>
      </c>
      <c r="E479" s="84">
        <v>478.0</v>
      </c>
      <c r="F479" s="48"/>
    </row>
    <row r="480" ht="15.75" customHeight="1">
      <c r="A480" s="48" t="s">
        <v>1490</v>
      </c>
      <c r="B480" s="48" t="s">
        <v>1491</v>
      </c>
      <c r="C480" s="62" t="s">
        <v>1991</v>
      </c>
      <c r="D480" s="83" t="s">
        <v>995</v>
      </c>
      <c r="E480" s="80">
        <v>479.0</v>
      </c>
      <c r="F480" s="48"/>
    </row>
    <row r="481" ht="15.75" customHeight="1">
      <c r="A481" s="48" t="s">
        <v>1994</v>
      </c>
      <c r="B481" s="48" t="s">
        <v>198</v>
      </c>
      <c r="C481" s="62" t="s">
        <v>1991</v>
      </c>
      <c r="D481" s="83" t="s">
        <v>995</v>
      </c>
      <c r="E481" s="84">
        <v>480.0</v>
      </c>
      <c r="F481" s="48"/>
    </row>
    <row r="482" ht="15.75" customHeight="1">
      <c r="A482" s="48" t="s">
        <v>1995</v>
      </c>
      <c r="B482" s="48" t="s">
        <v>1996</v>
      </c>
      <c r="C482" s="63" t="s">
        <v>198</v>
      </c>
      <c r="D482" s="83" t="s">
        <v>995</v>
      </c>
      <c r="E482" s="80">
        <v>481.0</v>
      </c>
      <c r="F482" s="48"/>
    </row>
    <row r="483" ht="15.75" customHeight="1">
      <c r="A483" s="48" t="s">
        <v>1997</v>
      </c>
      <c r="B483" s="48" t="s">
        <v>1998</v>
      </c>
      <c r="C483" s="62" t="s">
        <v>1999</v>
      </c>
      <c r="D483" s="83" t="s">
        <v>995</v>
      </c>
      <c r="E483" s="84">
        <v>482.0</v>
      </c>
      <c r="F483" s="48"/>
    </row>
    <row r="484" ht="15.75" customHeight="1">
      <c r="A484" s="48" t="s">
        <v>2000</v>
      </c>
      <c r="B484" s="48" t="s">
        <v>2001</v>
      </c>
      <c r="C484" s="63" t="s">
        <v>198</v>
      </c>
      <c r="D484" s="83" t="s">
        <v>995</v>
      </c>
      <c r="E484" s="80">
        <v>483.0</v>
      </c>
      <c r="F484" s="48"/>
    </row>
    <row r="485" ht="15.75" customHeight="1">
      <c r="A485" s="48" t="s">
        <v>2002</v>
      </c>
      <c r="B485" s="48" t="s">
        <v>2003</v>
      </c>
      <c r="C485" s="63" t="s">
        <v>198</v>
      </c>
      <c r="D485" s="83" t="s">
        <v>995</v>
      </c>
      <c r="E485" s="84">
        <v>484.0</v>
      </c>
      <c r="F485" s="48"/>
    </row>
    <row r="486" ht="15.75" customHeight="1">
      <c r="A486" s="48" t="s">
        <v>2004</v>
      </c>
      <c r="B486" s="48" t="s">
        <v>2005</v>
      </c>
      <c r="C486" s="62" t="s">
        <v>2006</v>
      </c>
      <c r="D486" s="83" t="s">
        <v>995</v>
      </c>
      <c r="E486" s="80">
        <v>485.0</v>
      </c>
      <c r="F486" s="48"/>
    </row>
    <row r="487" ht="15.75" customHeight="1">
      <c r="A487" s="48" t="s">
        <v>2007</v>
      </c>
      <c r="B487" s="48" t="s">
        <v>2008</v>
      </c>
      <c r="C487" s="62" t="s">
        <v>2009</v>
      </c>
      <c r="D487" s="83" t="s">
        <v>995</v>
      </c>
      <c r="E487" s="84">
        <v>486.0</v>
      </c>
      <c r="F487" s="48"/>
    </row>
    <row r="488" ht="15.75" customHeight="1">
      <c r="A488" s="48" t="s">
        <v>2010</v>
      </c>
      <c r="B488" s="48" t="s">
        <v>2011</v>
      </c>
      <c r="C488" s="62" t="s">
        <v>2012</v>
      </c>
      <c r="D488" s="83" t="s">
        <v>995</v>
      </c>
      <c r="E488" s="80">
        <v>487.0</v>
      </c>
      <c r="F488" s="48"/>
    </row>
    <row r="489" ht="15.75" customHeight="1">
      <c r="A489" s="48" t="s">
        <v>2013</v>
      </c>
      <c r="B489" s="48" t="s">
        <v>2014</v>
      </c>
      <c r="C489" s="62" t="s">
        <v>2015</v>
      </c>
      <c r="D489" s="83" t="s">
        <v>995</v>
      </c>
      <c r="E489" s="84">
        <v>488.0</v>
      </c>
      <c r="F489" s="48"/>
    </row>
    <row r="490" ht="15.75" customHeight="1">
      <c r="A490" s="48" t="s">
        <v>2016</v>
      </c>
      <c r="B490" s="48" t="s">
        <v>2017</v>
      </c>
      <c r="C490" s="62" t="s">
        <v>2018</v>
      </c>
      <c r="D490" s="83" t="s">
        <v>995</v>
      </c>
      <c r="E490" s="80">
        <v>489.0</v>
      </c>
      <c r="F490" s="48"/>
    </row>
    <row r="491" ht="15.75" customHeight="1">
      <c r="A491" s="48" t="s">
        <v>2019</v>
      </c>
      <c r="B491" s="48" t="s">
        <v>2020</v>
      </c>
      <c r="C491" s="63" t="s">
        <v>198</v>
      </c>
      <c r="D491" s="83" t="s">
        <v>995</v>
      </c>
      <c r="E491" s="84">
        <v>490.0</v>
      </c>
      <c r="F491" s="48"/>
    </row>
    <row r="492" ht="15.75" customHeight="1">
      <c r="A492" s="48" t="s">
        <v>2021</v>
      </c>
      <c r="B492" s="48" t="s">
        <v>198</v>
      </c>
      <c r="C492" s="62" t="s">
        <v>2022</v>
      </c>
      <c r="D492" s="83" t="s">
        <v>995</v>
      </c>
      <c r="E492" s="80">
        <v>491.0</v>
      </c>
      <c r="F492" s="48"/>
    </row>
    <row r="493" ht="15.75" customHeight="1">
      <c r="A493" s="48" t="s">
        <v>2023</v>
      </c>
      <c r="B493" s="48" t="s">
        <v>198</v>
      </c>
      <c r="C493" s="62" t="s">
        <v>2024</v>
      </c>
      <c r="D493" s="83" t="s">
        <v>995</v>
      </c>
      <c r="E493" s="84">
        <v>492.0</v>
      </c>
      <c r="F493" s="48"/>
    </row>
    <row r="494" ht="15.75" customHeight="1">
      <c r="A494" s="48" t="s">
        <v>1717</v>
      </c>
      <c r="B494" s="48" t="s">
        <v>198</v>
      </c>
      <c r="C494" s="62" t="s">
        <v>2025</v>
      </c>
      <c r="D494" s="83" t="s">
        <v>995</v>
      </c>
      <c r="E494" s="80">
        <v>493.0</v>
      </c>
      <c r="F494" s="48"/>
    </row>
    <row r="495" ht="15.75" customHeight="1">
      <c r="A495" s="48" t="s">
        <v>2026</v>
      </c>
      <c r="B495" s="48" t="s">
        <v>2027</v>
      </c>
      <c r="C495" s="62" t="s">
        <v>2028</v>
      </c>
      <c r="D495" s="83" t="s">
        <v>995</v>
      </c>
      <c r="E495" s="84">
        <v>494.0</v>
      </c>
      <c r="F495" s="48"/>
    </row>
    <row r="496" ht="15.75" customHeight="1">
      <c r="A496" s="48" t="s">
        <v>2029</v>
      </c>
      <c r="B496" s="48" t="s">
        <v>2030</v>
      </c>
      <c r="C496" s="62" t="s">
        <v>2031</v>
      </c>
      <c r="D496" s="83" t="s">
        <v>995</v>
      </c>
      <c r="E496" s="80">
        <v>495.0</v>
      </c>
      <c r="F496" s="48"/>
    </row>
    <row r="497" ht="15.75" customHeight="1">
      <c r="A497" s="48" t="s">
        <v>2032</v>
      </c>
      <c r="B497" s="48" t="s">
        <v>2033</v>
      </c>
      <c r="C497" s="62" t="s">
        <v>2034</v>
      </c>
      <c r="D497" s="83" t="s">
        <v>995</v>
      </c>
      <c r="E497" s="84">
        <v>496.0</v>
      </c>
      <c r="F497" s="48"/>
    </row>
    <row r="498" ht="15.75" customHeight="1">
      <c r="A498" s="48" t="s">
        <v>2035</v>
      </c>
      <c r="B498" s="48" t="s">
        <v>2036</v>
      </c>
      <c r="C498" s="62" t="s">
        <v>2037</v>
      </c>
      <c r="D498" s="83" t="s">
        <v>995</v>
      </c>
      <c r="E498" s="80">
        <v>497.0</v>
      </c>
      <c r="F498" s="48"/>
    </row>
    <row r="499" ht="15.75" customHeight="1">
      <c r="A499" s="48" t="s">
        <v>2038</v>
      </c>
      <c r="B499" s="48" t="s">
        <v>2039</v>
      </c>
      <c r="C499" s="63" t="s">
        <v>198</v>
      </c>
      <c r="D499" s="83" t="s">
        <v>995</v>
      </c>
      <c r="E499" s="84">
        <v>498.0</v>
      </c>
      <c r="F499" s="48"/>
    </row>
    <row r="500" ht="15.75" customHeight="1">
      <c r="A500" s="48" t="s">
        <v>2040</v>
      </c>
      <c r="B500" s="48" t="s">
        <v>2041</v>
      </c>
      <c r="C500" s="62" t="s">
        <v>2042</v>
      </c>
      <c r="D500" s="83" t="s">
        <v>995</v>
      </c>
      <c r="E500" s="80">
        <v>499.0</v>
      </c>
      <c r="F500" s="48"/>
    </row>
    <row r="501" ht="15.75" customHeight="1">
      <c r="A501" s="48" t="s">
        <v>2043</v>
      </c>
      <c r="B501" s="48" t="s">
        <v>2044</v>
      </c>
      <c r="C501" s="62" t="s">
        <v>2045</v>
      </c>
      <c r="D501" s="83" t="s">
        <v>995</v>
      </c>
      <c r="E501" s="84">
        <v>500.0</v>
      </c>
      <c r="F501" s="48"/>
    </row>
    <row r="502" ht="15.75" customHeight="1">
      <c r="A502" s="48" t="s">
        <v>2046</v>
      </c>
      <c r="B502" s="48" t="s">
        <v>198</v>
      </c>
      <c r="C502" s="62" t="s">
        <v>2047</v>
      </c>
      <c r="D502" s="83" t="s">
        <v>995</v>
      </c>
      <c r="E502" s="80">
        <v>501.0</v>
      </c>
      <c r="F502" s="48"/>
    </row>
    <row r="503" ht="15.75" customHeight="1">
      <c r="A503" s="48" t="s">
        <v>2048</v>
      </c>
      <c r="B503" s="48" t="s">
        <v>2049</v>
      </c>
      <c r="C503" s="62" t="s">
        <v>2050</v>
      </c>
      <c r="D503" s="83" t="s">
        <v>995</v>
      </c>
      <c r="E503" s="84">
        <v>502.0</v>
      </c>
      <c r="F503" s="48"/>
    </row>
    <row r="504" ht="15.75" customHeight="1">
      <c r="A504" s="48" t="s">
        <v>2051</v>
      </c>
      <c r="B504" s="48" t="s">
        <v>2052</v>
      </c>
      <c r="C504" s="62" t="s">
        <v>2034</v>
      </c>
      <c r="D504" s="83" t="s">
        <v>995</v>
      </c>
      <c r="E504" s="80">
        <v>503.0</v>
      </c>
      <c r="F504" s="48"/>
    </row>
    <row r="505" ht="15.75" customHeight="1">
      <c r="A505" s="48" t="s">
        <v>2053</v>
      </c>
      <c r="B505" s="48" t="s">
        <v>2054</v>
      </c>
      <c r="C505" s="62" t="s">
        <v>2055</v>
      </c>
      <c r="D505" s="83" t="s">
        <v>995</v>
      </c>
      <c r="E505" s="84">
        <v>504.0</v>
      </c>
      <c r="F505" s="48"/>
    </row>
    <row r="506" ht="15.75" customHeight="1">
      <c r="A506" s="48" t="s">
        <v>2056</v>
      </c>
      <c r="B506" s="48" t="s">
        <v>198</v>
      </c>
      <c r="C506" s="62" t="s">
        <v>2057</v>
      </c>
      <c r="D506" s="83" t="s">
        <v>995</v>
      </c>
      <c r="E506" s="80">
        <v>505.0</v>
      </c>
      <c r="F506" s="48"/>
    </row>
    <row r="507" ht="15.75" customHeight="1">
      <c r="A507" s="48" t="s">
        <v>2058</v>
      </c>
      <c r="B507" s="48" t="s">
        <v>198</v>
      </c>
      <c r="C507" s="62" t="s">
        <v>2059</v>
      </c>
      <c r="D507" s="83" t="s">
        <v>995</v>
      </c>
      <c r="E507" s="84">
        <v>506.0</v>
      </c>
      <c r="F507" s="48"/>
    </row>
    <row r="508" ht="15.75" customHeight="1">
      <c r="A508" s="48" t="s">
        <v>2060</v>
      </c>
      <c r="B508" s="48" t="s">
        <v>2061</v>
      </c>
      <c r="C508" s="62" t="s">
        <v>2062</v>
      </c>
      <c r="D508" s="83" t="s">
        <v>998</v>
      </c>
      <c r="E508" s="80">
        <v>507.0</v>
      </c>
      <c r="F508" s="48"/>
    </row>
    <row r="509" ht="15.75" customHeight="1">
      <c r="A509" s="48" t="s">
        <v>2063</v>
      </c>
      <c r="B509" s="48" t="s">
        <v>2064</v>
      </c>
      <c r="C509" s="63" t="s">
        <v>198</v>
      </c>
      <c r="D509" s="83" t="s">
        <v>998</v>
      </c>
      <c r="E509" s="84">
        <v>508.0</v>
      </c>
      <c r="F509" s="48"/>
    </row>
    <row r="510" ht="15.75" customHeight="1">
      <c r="A510" s="48" t="s">
        <v>2065</v>
      </c>
      <c r="B510" s="48" t="s">
        <v>2066</v>
      </c>
      <c r="C510" s="62" t="s">
        <v>2067</v>
      </c>
      <c r="D510" s="83" t="s">
        <v>1002</v>
      </c>
      <c r="E510" s="80">
        <v>509.0</v>
      </c>
      <c r="F510" s="48"/>
    </row>
    <row r="511" ht="15.75" customHeight="1">
      <c r="A511" s="48" t="s">
        <v>2068</v>
      </c>
      <c r="B511" s="48" t="s">
        <v>2069</v>
      </c>
      <c r="C511" s="62" t="s">
        <v>2070</v>
      </c>
      <c r="D511" s="83" t="s">
        <v>1002</v>
      </c>
      <c r="E511" s="84">
        <v>510.0</v>
      </c>
      <c r="F511" s="48"/>
    </row>
    <row r="512" ht="15.75" customHeight="1">
      <c r="A512" s="48" t="s">
        <v>2071</v>
      </c>
      <c r="B512" s="48" t="s">
        <v>2072</v>
      </c>
      <c r="C512" s="62" t="s">
        <v>2073</v>
      </c>
      <c r="D512" s="83" t="s">
        <v>2074</v>
      </c>
      <c r="E512" s="80">
        <v>511.0</v>
      </c>
      <c r="F512" s="48"/>
    </row>
    <row r="513" ht="15.75" customHeight="1">
      <c r="A513" s="48" t="s">
        <v>2075</v>
      </c>
      <c r="B513" s="48" t="s">
        <v>2076</v>
      </c>
      <c r="C513" s="63">
        <v>0.0</v>
      </c>
      <c r="D513" s="83" t="s">
        <v>2074</v>
      </c>
      <c r="E513" s="84">
        <v>512.0</v>
      </c>
      <c r="F513" s="48"/>
    </row>
    <row r="514" ht="15.75" customHeight="1">
      <c r="A514" s="48" t="s">
        <v>649</v>
      </c>
      <c r="B514" s="48" t="s">
        <v>650</v>
      </c>
      <c r="C514" s="62" t="s">
        <v>651</v>
      </c>
      <c r="D514" s="83" t="s">
        <v>652</v>
      </c>
      <c r="E514" s="80">
        <v>513.0</v>
      </c>
      <c r="F514" s="48"/>
    </row>
    <row r="515" ht="15.75" customHeight="1">
      <c r="A515" s="48" t="s">
        <v>653</v>
      </c>
      <c r="B515" s="48" t="s">
        <v>654</v>
      </c>
      <c r="C515" s="63" t="s">
        <v>198</v>
      </c>
      <c r="D515" s="83" t="s">
        <v>652</v>
      </c>
      <c r="E515" s="84">
        <v>514.0</v>
      </c>
      <c r="F515" s="48"/>
    </row>
    <row r="516" ht="15.75" customHeight="1">
      <c r="A516" s="48" t="s">
        <v>655</v>
      </c>
      <c r="B516" s="48" t="s">
        <v>656</v>
      </c>
      <c r="C516" s="62" t="s">
        <v>657</v>
      </c>
      <c r="D516" s="83" t="s">
        <v>652</v>
      </c>
      <c r="E516" s="80">
        <v>515.0</v>
      </c>
      <c r="F516" s="48"/>
    </row>
    <row r="517" ht="15.75" customHeight="1">
      <c r="A517" s="48" t="s">
        <v>658</v>
      </c>
      <c r="B517" s="48" t="s">
        <v>659</v>
      </c>
      <c r="C517" s="62" t="s">
        <v>660</v>
      </c>
      <c r="D517" s="83" t="s">
        <v>652</v>
      </c>
      <c r="E517" s="84">
        <v>516.0</v>
      </c>
      <c r="F517" s="48"/>
    </row>
    <row r="518" ht="15.75" customHeight="1">
      <c r="A518" s="48" t="s">
        <v>431</v>
      </c>
      <c r="B518" s="48" t="s">
        <v>432</v>
      </c>
      <c r="C518" s="63" t="s">
        <v>198</v>
      </c>
      <c r="D518" s="83" t="s">
        <v>652</v>
      </c>
      <c r="E518" s="80">
        <v>517.0</v>
      </c>
      <c r="F518" s="48"/>
    </row>
    <row r="519" ht="15.75" customHeight="1">
      <c r="A519" s="48" t="s">
        <v>433</v>
      </c>
      <c r="B519" s="48" t="s">
        <v>434</v>
      </c>
      <c r="C519" s="62" t="s">
        <v>435</v>
      </c>
      <c r="D519" s="83" t="s">
        <v>1009</v>
      </c>
      <c r="E519" s="84">
        <v>518.0</v>
      </c>
      <c r="F519" s="48"/>
    </row>
    <row r="520" ht="15.75" customHeight="1">
      <c r="A520" s="48" t="s">
        <v>436</v>
      </c>
      <c r="B520" s="48" t="s">
        <v>437</v>
      </c>
      <c r="C520" s="63" t="s">
        <v>198</v>
      </c>
      <c r="D520" s="83" t="s">
        <v>1009</v>
      </c>
      <c r="E520" s="80">
        <v>519.0</v>
      </c>
      <c r="F520" s="48"/>
    </row>
    <row r="521" ht="15.75" customHeight="1">
      <c r="A521" s="48" t="s">
        <v>438</v>
      </c>
      <c r="B521" s="48" t="s">
        <v>439</v>
      </c>
      <c r="C521" s="63" t="s">
        <v>198</v>
      </c>
      <c r="D521" s="83" t="s">
        <v>1009</v>
      </c>
      <c r="E521" s="84">
        <v>520.0</v>
      </c>
      <c r="F521" s="48"/>
    </row>
    <row r="522" ht="15.75" customHeight="1">
      <c r="A522" s="48" t="s">
        <v>440</v>
      </c>
      <c r="B522" s="48" t="s">
        <v>441</v>
      </c>
      <c r="C522" s="62" t="s">
        <v>442</v>
      </c>
      <c r="D522" s="83" t="s">
        <v>1009</v>
      </c>
      <c r="E522" s="80">
        <v>521.0</v>
      </c>
      <c r="F522" s="48"/>
    </row>
    <row r="523" ht="15.75" customHeight="1">
      <c r="A523" s="48" t="s">
        <v>443</v>
      </c>
      <c r="B523" s="48" t="s">
        <v>444</v>
      </c>
      <c r="C523" s="62" t="s">
        <v>445</v>
      </c>
      <c r="D523" s="83" t="s">
        <v>1009</v>
      </c>
      <c r="E523" s="84">
        <v>522.0</v>
      </c>
      <c r="F523" s="48"/>
    </row>
    <row r="524" ht="15.75" customHeight="1">
      <c r="A524" s="48" t="s">
        <v>446</v>
      </c>
      <c r="B524" s="48" t="s">
        <v>447</v>
      </c>
      <c r="C524" s="62" t="s">
        <v>448</v>
      </c>
      <c r="D524" s="83" t="s">
        <v>1009</v>
      </c>
      <c r="E524" s="80">
        <v>523.0</v>
      </c>
      <c r="F524" s="48"/>
    </row>
    <row r="525" ht="15.75" customHeight="1">
      <c r="A525" s="48" t="s">
        <v>449</v>
      </c>
      <c r="B525" s="48" t="s">
        <v>450</v>
      </c>
      <c r="C525" s="63" t="s">
        <v>198</v>
      </c>
      <c r="D525" s="83" t="s">
        <v>1009</v>
      </c>
      <c r="E525" s="84">
        <v>524.0</v>
      </c>
      <c r="F525" s="48"/>
    </row>
    <row r="526" ht="15.75" customHeight="1">
      <c r="A526" s="48" t="s">
        <v>451</v>
      </c>
      <c r="B526" s="48" t="s">
        <v>452</v>
      </c>
      <c r="C526" s="62" t="s">
        <v>453</v>
      </c>
      <c r="D526" s="83" t="s">
        <v>1009</v>
      </c>
      <c r="E526" s="80">
        <v>525.0</v>
      </c>
      <c r="F526" s="48"/>
    </row>
    <row r="527" ht="15.75" customHeight="1">
      <c r="A527" s="48" t="s">
        <v>454</v>
      </c>
      <c r="B527" s="48" t="s">
        <v>455</v>
      </c>
      <c r="C527" s="62" t="s">
        <v>456</v>
      </c>
      <c r="D527" s="83" t="s">
        <v>1009</v>
      </c>
      <c r="E527" s="84">
        <v>526.0</v>
      </c>
      <c r="F527" s="48"/>
    </row>
    <row r="528" ht="15.75" customHeight="1">
      <c r="A528" s="48" t="s">
        <v>457</v>
      </c>
      <c r="B528" s="48" t="s">
        <v>458</v>
      </c>
      <c r="C528" s="62" t="s">
        <v>459</v>
      </c>
      <c r="D528" s="83" t="s">
        <v>1009</v>
      </c>
      <c r="E528" s="80">
        <v>527.0</v>
      </c>
      <c r="F528" s="48"/>
    </row>
    <row r="529" ht="15.75" customHeight="1">
      <c r="A529" s="48" t="s">
        <v>461</v>
      </c>
      <c r="B529" s="48" t="s">
        <v>462</v>
      </c>
      <c r="C529" s="62" t="s">
        <v>463</v>
      </c>
      <c r="D529" s="83" t="s">
        <v>1009</v>
      </c>
      <c r="E529" s="84">
        <v>528.0</v>
      </c>
      <c r="F529" s="48"/>
    </row>
    <row r="530" ht="15.75" customHeight="1">
      <c r="A530" s="48" t="s">
        <v>465</v>
      </c>
      <c r="B530" s="48" t="s">
        <v>466</v>
      </c>
      <c r="C530" s="62" t="s">
        <v>467</v>
      </c>
      <c r="D530" s="83" t="s">
        <v>1009</v>
      </c>
      <c r="E530" s="80">
        <v>529.0</v>
      </c>
      <c r="F530" s="48"/>
    </row>
    <row r="531" ht="15.75" customHeight="1">
      <c r="A531" s="48" t="s">
        <v>468</v>
      </c>
      <c r="B531" s="48" t="s">
        <v>469</v>
      </c>
      <c r="C531" s="62" t="s">
        <v>470</v>
      </c>
      <c r="D531" s="83" t="s">
        <v>1009</v>
      </c>
      <c r="E531" s="84">
        <v>530.0</v>
      </c>
      <c r="F531" s="48"/>
    </row>
    <row r="532" ht="15.75" customHeight="1">
      <c r="A532" s="48" t="s">
        <v>471</v>
      </c>
      <c r="B532" s="48" t="s">
        <v>472</v>
      </c>
      <c r="C532" s="62" t="s">
        <v>473</v>
      </c>
      <c r="D532" s="83" t="s">
        <v>1009</v>
      </c>
      <c r="E532" s="80">
        <v>531.0</v>
      </c>
      <c r="F532" s="48"/>
    </row>
    <row r="533" ht="15.75" customHeight="1">
      <c r="A533" s="48" t="s">
        <v>474</v>
      </c>
      <c r="B533" s="48" t="s">
        <v>475</v>
      </c>
      <c r="C533" s="62" t="s">
        <v>476</v>
      </c>
      <c r="D533" s="83" t="s">
        <v>1009</v>
      </c>
      <c r="E533" s="84">
        <v>532.0</v>
      </c>
      <c r="F533" s="48"/>
    </row>
    <row r="534" ht="15.75" customHeight="1">
      <c r="A534" s="48" t="s">
        <v>477</v>
      </c>
      <c r="B534" s="48" t="s">
        <v>478</v>
      </c>
      <c r="C534" s="62" t="s">
        <v>479</v>
      </c>
      <c r="D534" s="83" t="s">
        <v>1009</v>
      </c>
      <c r="E534" s="80">
        <v>533.0</v>
      </c>
      <c r="F534" s="48"/>
    </row>
    <row r="535" ht="15.75" customHeight="1">
      <c r="A535" s="48" t="s">
        <v>480</v>
      </c>
      <c r="B535" s="48" t="s">
        <v>478</v>
      </c>
      <c r="C535" s="62" t="s">
        <v>481</v>
      </c>
      <c r="D535" s="83" t="s">
        <v>1009</v>
      </c>
      <c r="E535" s="84">
        <v>534.0</v>
      </c>
      <c r="F535" s="48"/>
    </row>
    <row r="536" ht="15.75" customHeight="1">
      <c r="A536" s="48" t="s">
        <v>483</v>
      </c>
      <c r="B536" s="48" t="s">
        <v>484</v>
      </c>
      <c r="C536" s="62" t="s">
        <v>485</v>
      </c>
      <c r="D536" s="83" t="s">
        <v>1009</v>
      </c>
      <c r="E536" s="80">
        <v>535.0</v>
      </c>
      <c r="F536" s="48"/>
    </row>
    <row r="537" ht="15.75" customHeight="1">
      <c r="A537" s="48" t="s">
        <v>486</v>
      </c>
      <c r="B537" s="48" t="s">
        <v>487</v>
      </c>
      <c r="C537" s="62" t="s">
        <v>488</v>
      </c>
      <c r="D537" s="83" t="s">
        <v>1009</v>
      </c>
      <c r="E537" s="84">
        <v>536.0</v>
      </c>
      <c r="F537" s="48"/>
    </row>
    <row r="538" ht="15.75" customHeight="1">
      <c r="A538" s="48" t="s">
        <v>489</v>
      </c>
      <c r="B538" s="48" t="s">
        <v>475</v>
      </c>
      <c r="C538" s="62" t="s">
        <v>490</v>
      </c>
      <c r="D538" s="83" t="s">
        <v>1009</v>
      </c>
      <c r="E538" s="80">
        <v>537.0</v>
      </c>
      <c r="F538" s="48"/>
    </row>
    <row r="539" ht="15.75" customHeight="1">
      <c r="A539" s="48" t="s">
        <v>491</v>
      </c>
      <c r="B539" s="48" t="s">
        <v>139</v>
      </c>
      <c r="C539" s="62" t="s">
        <v>492</v>
      </c>
      <c r="D539" s="83" t="s">
        <v>1009</v>
      </c>
      <c r="E539" s="84">
        <v>538.0</v>
      </c>
      <c r="F539" s="48"/>
    </row>
    <row r="540" ht="15.75" customHeight="1">
      <c r="A540" s="48" t="s">
        <v>493</v>
      </c>
      <c r="B540" s="48" t="s">
        <v>494</v>
      </c>
      <c r="C540" s="62" t="s">
        <v>495</v>
      </c>
      <c r="D540" s="83" t="s">
        <v>1009</v>
      </c>
      <c r="E540" s="80">
        <v>539.0</v>
      </c>
      <c r="F540" s="48"/>
    </row>
    <row r="541" ht="15.75" customHeight="1">
      <c r="A541" s="48" t="s">
        <v>497</v>
      </c>
      <c r="B541" s="48" t="s">
        <v>498</v>
      </c>
      <c r="C541" s="63" t="s">
        <v>198</v>
      </c>
      <c r="D541" s="83" t="s">
        <v>1009</v>
      </c>
      <c r="E541" s="84">
        <v>540.0</v>
      </c>
      <c r="F541" s="48"/>
    </row>
    <row r="542" ht="15.75" customHeight="1">
      <c r="A542" s="48" t="s">
        <v>499</v>
      </c>
      <c r="B542" s="48" t="s">
        <v>500</v>
      </c>
      <c r="C542" s="62" t="s">
        <v>501</v>
      </c>
      <c r="D542" s="83" t="s">
        <v>1009</v>
      </c>
      <c r="E542" s="80">
        <v>541.0</v>
      </c>
      <c r="F542" s="48"/>
    </row>
    <row r="543" ht="15.75" customHeight="1">
      <c r="A543" s="48" t="s">
        <v>503</v>
      </c>
      <c r="B543" s="48" t="s">
        <v>198</v>
      </c>
      <c r="C543" s="62" t="s">
        <v>504</v>
      </c>
      <c r="D543" s="83" t="s">
        <v>1009</v>
      </c>
      <c r="E543" s="84">
        <v>542.0</v>
      </c>
      <c r="F543" s="48"/>
    </row>
    <row r="544" ht="15.75" customHeight="1">
      <c r="A544" s="48" t="s">
        <v>505</v>
      </c>
      <c r="B544" s="48" t="s">
        <v>506</v>
      </c>
      <c r="C544" s="62" t="s">
        <v>507</v>
      </c>
      <c r="D544" s="83" t="s">
        <v>1009</v>
      </c>
      <c r="E544" s="80">
        <v>543.0</v>
      </c>
      <c r="F544" s="48"/>
    </row>
    <row r="545" ht="15.75" customHeight="1">
      <c r="A545" s="48" t="s">
        <v>508</v>
      </c>
      <c r="B545" s="48" t="s">
        <v>509</v>
      </c>
      <c r="C545" s="62" t="s">
        <v>510</v>
      </c>
      <c r="D545" s="83" t="s">
        <v>1009</v>
      </c>
      <c r="E545" s="84">
        <v>544.0</v>
      </c>
      <c r="F545" s="48"/>
    </row>
    <row r="546" ht="15.75" customHeight="1">
      <c r="A546" s="48" t="s">
        <v>511</v>
      </c>
      <c r="B546" s="48" t="s">
        <v>198</v>
      </c>
      <c r="C546" s="62" t="s">
        <v>512</v>
      </c>
      <c r="D546" s="83" t="s">
        <v>1009</v>
      </c>
      <c r="E546" s="80">
        <v>545.0</v>
      </c>
      <c r="F546" s="48"/>
    </row>
    <row r="547" ht="15.75" customHeight="1">
      <c r="A547" s="48" t="s">
        <v>513</v>
      </c>
      <c r="B547" s="48" t="s">
        <v>514</v>
      </c>
      <c r="C547" s="62" t="s">
        <v>515</v>
      </c>
      <c r="D547" s="83" t="s">
        <v>1009</v>
      </c>
      <c r="E547" s="84">
        <v>546.0</v>
      </c>
      <c r="F547" s="48"/>
    </row>
    <row r="548" ht="15.75" customHeight="1">
      <c r="A548" s="48" t="s">
        <v>516</v>
      </c>
      <c r="B548" s="48" t="s">
        <v>517</v>
      </c>
      <c r="C548" s="63" t="s">
        <v>198</v>
      </c>
      <c r="D548" s="83" t="s">
        <v>1009</v>
      </c>
      <c r="E548" s="80">
        <v>547.0</v>
      </c>
      <c r="F548" s="48"/>
    </row>
    <row r="549" ht="15.75" customHeight="1">
      <c r="A549" s="48" t="s">
        <v>518</v>
      </c>
      <c r="B549" s="48" t="s">
        <v>519</v>
      </c>
      <c r="C549" s="63" t="s">
        <v>198</v>
      </c>
      <c r="D549" s="83" t="s">
        <v>1009</v>
      </c>
      <c r="E549" s="84">
        <v>548.0</v>
      </c>
      <c r="F549" s="48"/>
    </row>
    <row r="550" ht="15.75" customHeight="1">
      <c r="A550" s="48" t="s">
        <v>520</v>
      </c>
      <c r="B550" s="48" t="s">
        <v>521</v>
      </c>
      <c r="C550" s="62" t="s">
        <v>522</v>
      </c>
      <c r="D550" s="83" t="s">
        <v>1009</v>
      </c>
      <c r="E550" s="80">
        <v>549.0</v>
      </c>
      <c r="F550" s="48"/>
    </row>
    <row r="551" ht="15.75" customHeight="1">
      <c r="A551" s="48" t="s">
        <v>523</v>
      </c>
      <c r="B551" s="48" t="s">
        <v>524</v>
      </c>
      <c r="C551" s="62" t="s">
        <v>525</v>
      </c>
      <c r="D551" s="83" t="s">
        <v>1009</v>
      </c>
      <c r="E551" s="84">
        <v>550.0</v>
      </c>
      <c r="F551" s="48"/>
    </row>
    <row r="552" ht="15.75" customHeight="1">
      <c r="A552" s="48" t="s">
        <v>526</v>
      </c>
      <c r="B552" s="48" t="s">
        <v>527</v>
      </c>
      <c r="C552" s="63"/>
      <c r="D552" s="83" t="s">
        <v>1009</v>
      </c>
      <c r="E552" s="80">
        <v>551.0</v>
      </c>
      <c r="F552" s="48"/>
    </row>
    <row r="553" ht="15.75" customHeight="1">
      <c r="A553" s="48" t="s">
        <v>528</v>
      </c>
      <c r="B553" s="48" t="s">
        <v>529</v>
      </c>
      <c r="C553" s="62" t="s">
        <v>530</v>
      </c>
      <c r="D553" s="83" t="s">
        <v>1009</v>
      </c>
      <c r="E553" s="84">
        <v>552.0</v>
      </c>
      <c r="F553" s="48"/>
    </row>
    <row r="554" ht="15.75" customHeight="1">
      <c r="A554" s="48" t="s">
        <v>532</v>
      </c>
      <c r="B554" s="48" t="s">
        <v>533</v>
      </c>
      <c r="C554" s="62" t="s">
        <v>534</v>
      </c>
      <c r="D554" s="83" t="s">
        <v>1009</v>
      </c>
      <c r="E554" s="80">
        <v>553.0</v>
      </c>
      <c r="F554" s="48"/>
    </row>
    <row r="555" ht="15.75" customHeight="1">
      <c r="A555" s="48" t="s">
        <v>2077</v>
      </c>
      <c r="B555" s="48" t="s">
        <v>2078</v>
      </c>
      <c r="C555" s="63" t="s">
        <v>198</v>
      </c>
      <c r="D555" s="83" t="s">
        <v>2079</v>
      </c>
      <c r="E555" s="84">
        <v>554.0</v>
      </c>
      <c r="F555" s="48"/>
    </row>
    <row r="556" ht="15.75" customHeight="1">
      <c r="A556" s="48" t="s">
        <v>2080</v>
      </c>
      <c r="B556" s="48" t="s">
        <v>1798</v>
      </c>
      <c r="C556" s="62" t="s">
        <v>2081</v>
      </c>
      <c r="D556" s="83" t="s">
        <v>904</v>
      </c>
      <c r="E556" s="80">
        <v>555.0</v>
      </c>
      <c r="F556" s="48"/>
    </row>
    <row r="557" ht="15.75" customHeight="1">
      <c r="A557" s="48" t="s">
        <v>2082</v>
      </c>
      <c r="B557" s="48" t="s">
        <v>2083</v>
      </c>
      <c r="C557" s="62" t="s">
        <v>971</v>
      </c>
      <c r="D557" s="83" t="s">
        <v>904</v>
      </c>
      <c r="E557" s="84">
        <v>556.0</v>
      </c>
      <c r="F557" s="48"/>
    </row>
    <row r="558" ht="15.75" customHeight="1">
      <c r="A558" s="48" t="s">
        <v>2084</v>
      </c>
      <c r="B558" s="48" t="s">
        <v>2085</v>
      </c>
      <c r="C558" s="62" t="s">
        <v>2086</v>
      </c>
      <c r="D558" s="83" t="s">
        <v>904</v>
      </c>
      <c r="E558" s="80">
        <v>557.0</v>
      </c>
      <c r="F558" s="48"/>
    </row>
    <row r="559" ht="15.75" customHeight="1">
      <c r="A559" s="48" t="s">
        <v>2087</v>
      </c>
      <c r="B559" s="48" t="s">
        <v>2088</v>
      </c>
      <c r="C559" s="62" t="s">
        <v>2089</v>
      </c>
      <c r="D559" s="83" t="s">
        <v>904</v>
      </c>
      <c r="E559" s="84">
        <v>558.0</v>
      </c>
      <c r="F559" s="48"/>
    </row>
    <row r="560" ht="15.75" customHeight="1">
      <c r="A560" s="48" t="s">
        <v>2090</v>
      </c>
      <c r="B560" s="48" t="s">
        <v>2091</v>
      </c>
      <c r="C560" s="62" t="s">
        <v>2092</v>
      </c>
      <c r="D560" s="83" t="s">
        <v>904</v>
      </c>
      <c r="E560" s="80">
        <v>559.0</v>
      </c>
      <c r="F560" s="48"/>
    </row>
    <row r="561" ht="15.75" customHeight="1">
      <c r="A561" s="48" t="s">
        <v>2093</v>
      </c>
      <c r="B561" s="48" t="s">
        <v>1798</v>
      </c>
      <c r="C561" s="62" t="s">
        <v>2094</v>
      </c>
      <c r="D561" s="83" t="s">
        <v>904</v>
      </c>
      <c r="E561" s="84">
        <v>560.0</v>
      </c>
      <c r="F561" s="48"/>
    </row>
    <row r="562" ht="15.75" customHeight="1">
      <c r="A562" s="48" t="s">
        <v>2095</v>
      </c>
      <c r="B562" s="48" t="s">
        <v>2096</v>
      </c>
      <c r="C562" s="62" t="s">
        <v>2097</v>
      </c>
      <c r="D562" s="83" t="s">
        <v>904</v>
      </c>
      <c r="E562" s="80">
        <v>561.0</v>
      </c>
      <c r="F562" s="48"/>
    </row>
    <row r="563" ht="15.75" customHeight="1">
      <c r="A563" s="48" t="s">
        <v>2098</v>
      </c>
      <c r="B563" s="48" t="s">
        <v>2099</v>
      </c>
      <c r="C563" s="48" t="s">
        <v>198</v>
      </c>
      <c r="D563" s="83" t="s">
        <v>904</v>
      </c>
      <c r="E563" s="84">
        <v>562.0</v>
      </c>
      <c r="F563" s="48"/>
    </row>
    <row r="564" ht="15.75" customHeight="1">
      <c r="A564" s="48" t="s">
        <v>2100</v>
      </c>
      <c r="B564" s="48" t="s">
        <v>2101</v>
      </c>
      <c r="C564" s="62" t="s">
        <v>2094</v>
      </c>
      <c r="D564" s="83" t="s">
        <v>904</v>
      </c>
      <c r="E564" s="80">
        <v>563.0</v>
      </c>
      <c r="F564" s="48"/>
    </row>
    <row r="565" ht="15.75" customHeight="1">
      <c r="A565" s="48" t="s">
        <v>2102</v>
      </c>
      <c r="B565" s="48" t="s">
        <v>2103</v>
      </c>
      <c r="C565" s="62" t="s">
        <v>2104</v>
      </c>
      <c r="D565" s="83" t="s">
        <v>904</v>
      </c>
      <c r="E565" s="84">
        <v>564.0</v>
      </c>
      <c r="F565" s="48"/>
    </row>
    <row r="566" ht="15.75" customHeight="1">
      <c r="A566" s="48" t="s">
        <v>2105</v>
      </c>
      <c r="B566" s="48" t="s">
        <v>2106</v>
      </c>
      <c r="C566" s="62" t="s">
        <v>2107</v>
      </c>
      <c r="D566" s="83" t="s">
        <v>904</v>
      </c>
      <c r="E566" s="80">
        <v>565.0</v>
      </c>
      <c r="F566" s="48"/>
    </row>
    <row r="567" ht="15.75" customHeight="1">
      <c r="A567" s="48" t="s">
        <v>2108</v>
      </c>
      <c r="B567" s="48" t="s">
        <v>2109</v>
      </c>
      <c r="C567" s="62" t="s">
        <v>2110</v>
      </c>
      <c r="D567" s="83" t="s">
        <v>904</v>
      </c>
      <c r="E567" s="84">
        <v>566.0</v>
      </c>
      <c r="F567" s="48"/>
    </row>
    <row r="568" ht="15.75" customHeight="1">
      <c r="A568" s="48" t="s">
        <v>2111</v>
      </c>
      <c r="B568" s="48" t="s">
        <v>2112</v>
      </c>
      <c r="C568" s="63" t="s">
        <v>198</v>
      </c>
      <c r="D568" s="83" t="s">
        <v>904</v>
      </c>
      <c r="E568" s="80">
        <v>567.0</v>
      </c>
      <c r="F568" s="48"/>
    </row>
    <row r="569" ht="15.75" customHeight="1">
      <c r="A569" s="48" t="s">
        <v>2113</v>
      </c>
      <c r="B569" s="48" t="s">
        <v>2114</v>
      </c>
      <c r="C569" s="62" t="s">
        <v>2115</v>
      </c>
      <c r="D569" s="83" t="s">
        <v>904</v>
      </c>
      <c r="E569" s="84">
        <v>568.0</v>
      </c>
      <c r="F569" s="48"/>
    </row>
    <row r="570" ht="15.75" customHeight="1">
      <c r="A570" s="48" t="s">
        <v>2116</v>
      </c>
      <c r="B570" s="48" t="s">
        <v>198</v>
      </c>
      <c r="C570" s="63" t="s">
        <v>198</v>
      </c>
      <c r="D570" s="83" t="s">
        <v>904</v>
      </c>
      <c r="E570" s="80">
        <v>569.0</v>
      </c>
      <c r="F570" s="48"/>
    </row>
    <row r="571" ht="15.75" customHeight="1">
      <c r="A571" s="48" t="s">
        <v>2117</v>
      </c>
      <c r="B571" s="48" t="s">
        <v>2118</v>
      </c>
      <c r="C571" s="63" t="s">
        <v>198</v>
      </c>
      <c r="D571" s="83" t="s">
        <v>904</v>
      </c>
      <c r="E571" s="84">
        <v>570.0</v>
      </c>
      <c r="F571" s="48"/>
    </row>
    <row r="572" ht="15.75" customHeight="1">
      <c r="A572" s="48" t="s">
        <v>2119</v>
      </c>
      <c r="B572" s="48" t="s">
        <v>2120</v>
      </c>
      <c r="C572" s="62" t="s">
        <v>2121</v>
      </c>
      <c r="D572" s="83" t="s">
        <v>904</v>
      </c>
      <c r="E572" s="80">
        <v>571.0</v>
      </c>
      <c r="F572" s="48"/>
    </row>
    <row r="573" ht="15.75" customHeight="1">
      <c r="A573" s="48" t="s">
        <v>2122</v>
      </c>
      <c r="B573" s="48" t="s">
        <v>198</v>
      </c>
      <c r="C573" s="62" t="s">
        <v>2123</v>
      </c>
      <c r="D573" s="83" t="s">
        <v>904</v>
      </c>
      <c r="E573" s="84">
        <v>572.0</v>
      </c>
      <c r="F573" s="48"/>
    </row>
    <row r="574" ht="15.75" customHeight="1">
      <c r="A574" s="48" t="s">
        <v>2124</v>
      </c>
      <c r="B574" s="48" t="s">
        <v>198</v>
      </c>
      <c r="C574" s="63" t="s">
        <v>198</v>
      </c>
      <c r="D574" s="83" t="s">
        <v>904</v>
      </c>
      <c r="E574" s="80">
        <v>573.0</v>
      </c>
      <c r="F574" s="48"/>
    </row>
    <row r="575" ht="15.75" customHeight="1">
      <c r="A575" s="48" t="s">
        <v>2125</v>
      </c>
      <c r="B575" s="48" t="s">
        <v>2126</v>
      </c>
      <c r="C575" s="63" t="s">
        <v>198</v>
      </c>
      <c r="D575" s="83" t="s">
        <v>904</v>
      </c>
      <c r="E575" s="84">
        <v>574.0</v>
      </c>
      <c r="F575" s="48"/>
    </row>
    <row r="576" ht="15.75" customHeight="1">
      <c r="A576" s="48" t="s">
        <v>2127</v>
      </c>
      <c r="B576" s="48" t="s">
        <v>2128</v>
      </c>
      <c r="C576" s="48" t="s">
        <v>198</v>
      </c>
      <c r="D576" s="83" t="s">
        <v>904</v>
      </c>
      <c r="E576" s="80">
        <v>575.0</v>
      </c>
      <c r="F576" s="48"/>
    </row>
    <row r="577" ht="15.75" customHeight="1">
      <c r="A577" s="48" t="s">
        <v>2129</v>
      </c>
      <c r="B577" s="48" t="s">
        <v>2130</v>
      </c>
      <c r="C577" s="62" t="s">
        <v>2131</v>
      </c>
      <c r="D577" s="83" t="s">
        <v>904</v>
      </c>
      <c r="E577" s="84">
        <v>576.0</v>
      </c>
      <c r="F577" s="48"/>
    </row>
    <row r="578" ht="15.75" customHeight="1">
      <c r="A578" s="48" t="s">
        <v>2132</v>
      </c>
      <c r="B578" s="48" t="s">
        <v>2133</v>
      </c>
      <c r="C578" s="63" t="s">
        <v>198</v>
      </c>
      <c r="D578" s="83" t="s">
        <v>904</v>
      </c>
      <c r="E578" s="80">
        <v>577.0</v>
      </c>
      <c r="F578" s="48"/>
    </row>
    <row r="579" ht="15.75" customHeight="1">
      <c r="A579" s="48" t="s">
        <v>2134</v>
      </c>
      <c r="B579" s="48" t="s">
        <v>2135</v>
      </c>
      <c r="C579" s="62" t="s">
        <v>2136</v>
      </c>
      <c r="D579" s="83" t="s">
        <v>904</v>
      </c>
      <c r="E579" s="84">
        <v>578.0</v>
      </c>
      <c r="F579" s="48"/>
    </row>
    <row r="580" ht="15.75" customHeight="1">
      <c r="A580" s="48" t="s">
        <v>2137</v>
      </c>
      <c r="B580" s="48" t="s">
        <v>2138</v>
      </c>
      <c r="C580" s="63" t="s">
        <v>198</v>
      </c>
      <c r="D580" s="83" t="s">
        <v>904</v>
      </c>
      <c r="E580" s="80">
        <v>579.0</v>
      </c>
      <c r="F580" s="48"/>
    </row>
    <row r="581" ht="15.75" customHeight="1">
      <c r="A581" s="48" t="s">
        <v>2139</v>
      </c>
      <c r="B581" s="48" t="s">
        <v>2140</v>
      </c>
      <c r="C581" s="62" t="s">
        <v>2141</v>
      </c>
      <c r="D581" s="83" t="s">
        <v>904</v>
      </c>
      <c r="E581" s="84">
        <v>580.0</v>
      </c>
      <c r="F581" s="48"/>
    </row>
    <row r="582" ht="15.75" customHeight="1">
      <c r="A582" s="48" t="s">
        <v>2142</v>
      </c>
      <c r="B582" s="48" t="s">
        <v>2143</v>
      </c>
      <c r="C582" s="62" t="s">
        <v>2144</v>
      </c>
      <c r="D582" s="83" t="s">
        <v>904</v>
      </c>
      <c r="E582" s="80">
        <v>581.0</v>
      </c>
      <c r="F582" s="48"/>
    </row>
    <row r="583" ht="15.75" customHeight="1">
      <c r="A583" s="48" t="s">
        <v>2145</v>
      </c>
      <c r="B583" s="48" t="s">
        <v>2146</v>
      </c>
      <c r="C583" s="62" t="s">
        <v>2147</v>
      </c>
      <c r="D583" s="83" t="s">
        <v>904</v>
      </c>
      <c r="E583" s="84">
        <v>582.0</v>
      </c>
      <c r="F583" s="48"/>
    </row>
    <row r="584" ht="15.75" customHeight="1">
      <c r="A584" s="48" t="s">
        <v>2148</v>
      </c>
      <c r="B584" s="48" t="s">
        <v>2149</v>
      </c>
      <c r="C584" s="62" t="s">
        <v>2150</v>
      </c>
      <c r="D584" s="83" t="s">
        <v>904</v>
      </c>
      <c r="E584" s="80">
        <v>583.0</v>
      </c>
      <c r="F584" s="48"/>
    </row>
    <row r="585" ht="15.75" customHeight="1">
      <c r="A585" s="48" t="s">
        <v>2151</v>
      </c>
      <c r="B585" s="48" t="s">
        <v>2152</v>
      </c>
      <c r="C585" s="63"/>
      <c r="D585" s="83" t="s">
        <v>904</v>
      </c>
      <c r="E585" s="84">
        <v>584.0</v>
      </c>
      <c r="F585" s="48"/>
    </row>
    <row r="586" ht="15.75" customHeight="1">
      <c r="A586" s="48" t="s">
        <v>2153</v>
      </c>
      <c r="B586" s="48" t="s">
        <v>2154</v>
      </c>
      <c r="C586" s="63"/>
      <c r="D586" s="83" t="s">
        <v>904</v>
      </c>
      <c r="E586" s="80">
        <v>585.0</v>
      </c>
      <c r="F586" s="48"/>
    </row>
    <row r="587" ht="15.75" customHeight="1">
      <c r="A587" s="48" t="s">
        <v>2155</v>
      </c>
      <c r="B587" s="48" t="s">
        <v>2156</v>
      </c>
      <c r="C587" s="63"/>
      <c r="D587" s="83" t="s">
        <v>904</v>
      </c>
      <c r="E587" s="84">
        <v>586.0</v>
      </c>
      <c r="F587" s="48"/>
    </row>
    <row r="588" ht="15.75" customHeight="1">
      <c r="A588" s="48" t="s">
        <v>2157</v>
      </c>
      <c r="B588" s="48" t="s">
        <v>2158</v>
      </c>
      <c r="C588" s="62" t="s">
        <v>2159</v>
      </c>
      <c r="D588" s="83" t="s">
        <v>904</v>
      </c>
      <c r="E588" s="80">
        <v>587.0</v>
      </c>
      <c r="F588" s="48"/>
    </row>
    <row r="589" ht="15.75" customHeight="1">
      <c r="A589" s="48" t="s">
        <v>2160</v>
      </c>
      <c r="B589" s="48" t="s">
        <v>2161</v>
      </c>
      <c r="C589" s="62" t="s">
        <v>2162</v>
      </c>
      <c r="D589" s="83" t="s">
        <v>904</v>
      </c>
      <c r="E589" s="84">
        <v>588.0</v>
      </c>
      <c r="F589" s="48"/>
    </row>
    <row r="590" ht="15.75" customHeight="1">
      <c r="A590" s="48" t="s">
        <v>2163</v>
      </c>
      <c r="B590" s="48" t="s">
        <v>2164</v>
      </c>
      <c r="C590" s="62" t="s">
        <v>2165</v>
      </c>
      <c r="D590" s="83" t="s">
        <v>904</v>
      </c>
      <c r="E590" s="80">
        <v>589.0</v>
      </c>
      <c r="F590" s="48"/>
    </row>
    <row r="591" ht="15.75" customHeight="1">
      <c r="A591" s="48" t="s">
        <v>2166</v>
      </c>
      <c r="B591" s="48" t="s">
        <v>2167</v>
      </c>
      <c r="C591" s="62" t="s">
        <v>2168</v>
      </c>
      <c r="D591" s="83" t="s">
        <v>904</v>
      </c>
      <c r="E591" s="84">
        <v>590.0</v>
      </c>
      <c r="F591" s="48"/>
    </row>
    <row r="592" ht="15.75" customHeight="1">
      <c r="A592" s="48" t="s">
        <v>2169</v>
      </c>
      <c r="B592" s="48" t="s">
        <v>2170</v>
      </c>
      <c r="C592" s="62" t="s">
        <v>2171</v>
      </c>
      <c r="D592" s="83" t="s">
        <v>904</v>
      </c>
      <c r="E592" s="80">
        <v>591.0</v>
      </c>
      <c r="F592" s="48"/>
    </row>
    <row r="593" ht="15.75" customHeight="1">
      <c r="A593" s="48" t="s">
        <v>2172</v>
      </c>
      <c r="B593" s="48" t="s">
        <v>2173</v>
      </c>
      <c r="C593" s="62" t="s">
        <v>2174</v>
      </c>
      <c r="D593" s="83" t="s">
        <v>904</v>
      </c>
      <c r="E593" s="84">
        <v>592.0</v>
      </c>
      <c r="F593" s="48"/>
    </row>
    <row r="594" ht="15.75" customHeight="1">
      <c r="A594" s="48" t="s">
        <v>2175</v>
      </c>
      <c r="B594" s="48" t="s">
        <v>2176</v>
      </c>
      <c r="C594" s="62" t="s">
        <v>2177</v>
      </c>
      <c r="D594" s="83" t="s">
        <v>904</v>
      </c>
      <c r="E594" s="80">
        <v>593.0</v>
      </c>
      <c r="F594" s="48"/>
    </row>
    <row r="595" ht="15.75" customHeight="1">
      <c r="A595" s="48" t="s">
        <v>2178</v>
      </c>
      <c r="B595" s="48" t="s">
        <v>198</v>
      </c>
      <c r="C595" s="62" t="s">
        <v>2179</v>
      </c>
      <c r="D595" s="83" t="s">
        <v>904</v>
      </c>
      <c r="E595" s="84">
        <v>594.0</v>
      </c>
      <c r="F595" s="48"/>
    </row>
    <row r="596" ht="15.75" customHeight="1">
      <c r="A596" s="48" t="s">
        <v>2180</v>
      </c>
      <c r="B596" s="48" t="s">
        <v>2181</v>
      </c>
      <c r="C596" s="62" t="s">
        <v>2182</v>
      </c>
      <c r="D596" s="83" t="s">
        <v>904</v>
      </c>
      <c r="E596" s="80">
        <v>595.0</v>
      </c>
      <c r="F596" s="48"/>
    </row>
    <row r="597" ht="15.75" customHeight="1">
      <c r="A597" s="48" t="s">
        <v>2183</v>
      </c>
      <c r="B597" s="48" t="s">
        <v>2184</v>
      </c>
      <c r="C597" s="62" t="s">
        <v>2185</v>
      </c>
      <c r="D597" s="83" t="s">
        <v>904</v>
      </c>
      <c r="E597" s="84">
        <v>596.0</v>
      </c>
      <c r="F597" s="48"/>
    </row>
    <row r="598" ht="15.75" customHeight="1">
      <c r="A598" s="48" t="s">
        <v>2186</v>
      </c>
      <c r="B598" s="48" t="s">
        <v>2187</v>
      </c>
      <c r="C598" s="62" t="s">
        <v>2188</v>
      </c>
      <c r="D598" s="83" t="s">
        <v>904</v>
      </c>
      <c r="E598" s="80">
        <v>597.0</v>
      </c>
      <c r="F598" s="48"/>
    </row>
    <row r="599" ht="15.75" customHeight="1">
      <c r="A599" s="48" t="s">
        <v>2189</v>
      </c>
      <c r="B599" s="48" t="s">
        <v>2190</v>
      </c>
      <c r="C599" s="63" t="s">
        <v>198</v>
      </c>
      <c r="D599" s="83" t="s">
        <v>904</v>
      </c>
      <c r="E599" s="84">
        <v>598.0</v>
      </c>
      <c r="F599" s="48"/>
    </row>
    <row r="600" ht="15.75" customHeight="1">
      <c r="A600" s="48" t="s">
        <v>2191</v>
      </c>
      <c r="B600" s="48" t="s">
        <v>2192</v>
      </c>
      <c r="C600" s="63" t="s">
        <v>198</v>
      </c>
      <c r="D600" s="83" t="s">
        <v>904</v>
      </c>
      <c r="E600" s="80">
        <v>599.0</v>
      </c>
      <c r="F600" s="48"/>
    </row>
    <row r="601" ht="15.75" customHeight="1">
      <c r="A601" s="48" t="s">
        <v>2193</v>
      </c>
      <c r="B601" s="48" t="s">
        <v>2194</v>
      </c>
      <c r="C601" s="62" t="s">
        <v>2195</v>
      </c>
      <c r="D601" s="83" t="s">
        <v>904</v>
      </c>
      <c r="E601" s="84">
        <v>600.0</v>
      </c>
      <c r="F601" s="48"/>
    </row>
    <row r="602" ht="15.75" customHeight="1">
      <c r="A602" s="48" t="s">
        <v>2196</v>
      </c>
      <c r="B602" s="48" t="s">
        <v>2197</v>
      </c>
      <c r="C602" s="63" t="s">
        <v>198</v>
      </c>
      <c r="D602" s="83" t="s">
        <v>904</v>
      </c>
      <c r="E602" s="80">
        <v>601.0</v>
      </c>
      <c r="F602" s="48"/>
    </row>
    <row r="603" ht="15.75" customHeight="1">
      <c r="A603" s="48" t="s">
        <v>2198</v>
      </c>
      <c r="B603" s="48" t="s">
        <v>2199</v>
      </c>
      <c r="C603" s="63" t="s">
        <v>198</v>
      </c>
      <c r="D603" s="83" t="s">
        <v>904</v>
      </c>
      <c r="E603" s="84">
        <v>602.0</v>
      </c>
      <c r="F603" s="48"/>
    </row>
    <row r="604" ht="15.75" customHeight="1">
      <c r="A604" s="48" t="s">
        <v>2200</v>
      </c>
      <c r="B604" s="48" t="s">
        <v>2201</v>
      </c>
      <c r="C604" s="62" t="s">
        <v>2202</v>
      </c>
      <c r="D604" s="83" t="s">
        <v>904</v>
      </c>
      <c r="E604" s="80">
        <v>603.0</v>
      </c>
      <c r="F604" s="48"/>
    </row>
    <row r="605" ht="15.75" customHeight="1">
      <c r="A605" s="48" t="s">
        <v>2203</v>
      </c>
      <c r="B605" s="48" t="s">
        <v>2204</v>
      </c>
      <c r="C605" s="63" t="s">
        <v>198</v>
      </c>
      <c r="D605" s="83" t="s">
        <v>904</v>
      </c>
      <c r="E605" s="84">
        <v>604.0</v>
      </c>
      <c r="F605" s="48"/>
    </row>
    <row r="606" ht="15.75" customHeight="1">
      <c r="A606" s="48" t="s">
        <v>2205</v>
      </c>
      <c r="B606" s="48" t="s">
        <v>2206</v>
      </c>
      <c r="C606" s="62" t="s">
        <v>2207</v>
      </c>
      <c r="D606" s="83" t="s">
        <v>904</v>
      </c>
      <c r="E606" s="80">
        <v>605.0</v>
      </c>
      <c r="F606" s="48"/>
    </row>
    <row r="607" ht="15.75" customHeight="1">
      <c r="A607" s="48" t="s">
        <v>2208</v>
      </c>
      <c r="B607" s="48" t="s">
        <v>2209</v>
      </c>
      <c r="C607" s="62" t="s">
        <v>473</v>
      </c>
      <c r="D607" s="83" t="s">
        <v>904</v>
      </c>
      <c r="E607" s="84">
        <v>606.0</v>
      </c>
      <c r="F607" s="48"/>
    </row>
    <row r="608" ht="15.75" customHeight="1">
      <c r="A608" s="48" t="s">
        <v>2210</v>
      </c>
      <c r="B608" s="48" t="s">
        <v>2211</v>
      </c>
      <c r="C608" s="63" t="s">
        <v>198</v>
      </c>
      <c r="D608" s="83" t="s">
        <v>904</v>
      </c>
      <c r="E608" s="80">
        <v>607.0</v>
      </c>
      <c r="F608" s="48"/>
    </row>
    <row r="609" ht="15.75" customHeight="1">
      <c r="A609" s="48" t="s">
        <v>2212</v>
      </c>
      <c r="B609" s="48" t="s">
        <v>2213</v>
      </c>
      <c r="C609" s="62" t="s">
        <v>2214</v>
      </c>
      <c r="D609" s="83" t="s">
        <v>904</v>
      </c>
      <c r="E609" s="84">
        <v>608.0</v>
      </c>
      <c r="F609" s="48"/>
    </row>
    <row r="610" ht="15.75" customHeight="1">
      <c r="A610" s="48" t="s">
        <v>2215</v>
      </c>
      <c r="B610" s="48" t="s">
        <v>2216</v>
      </c>
      <c r="C610" s="62" t="s">
        <v>2217</v>
      </c>
      <c r="D610" s="83" t="s">
        <v>904</v>
      </c>
      <c r="E610" s="80">
        <v>609.0</v>
      </c>
      <c r="F610" s="48"/>
    </row>
    <row r="611" ht="15.75" customHeight="1">
      <c r="A611" s="48" t="s">
        <v>2218</v>
      </c>
      <c r="B611" s="48" t="s">
        <v>2219</v>
      </c>
      <c r="C611" s="62" t="s">
        <v>2220</v>
      </c>
      <c r="D611" s="83" t="s">
        <v>904</v>
      </c>
      <c r="E611" s="84">
        <v>610.0</v>
      </c>
      <c r="F611" s="48"/>
    </row>
    <row r="612" ht="15.75" customHeight="1">
      <c r="A612" s="48" t="s">
        <v>2221</v>
      </c>
      <c r="B612" s="48" t="s">
        <v>2222</v>
      </c>
      <c r="C612" s="63" t="s">
        <v>198</v>
      </c>
      <c r="D612" s="83" t="s">
        <v>904</v>
      </c>
      <c r="E612" s="80">
        <v>611.0</v>
      </c>
      <c r="F612" s="48"/>
    </row>
    <row r="613" ht="15.75" customHeight="1">
      <c r="A613" s="48" t="s">
        <v>2223</v>
      </c>
      <c r="B613" s="48" t="s">
        <v>2224</v>
      </c>
      <c r="C613" s="63" t="s">
        <v>198</v>
      </c>
      <c r="D613" s="83" t="s">
        <v>904</v>
      </c>
      <c r="E613" s="84">
        <v>612.0</v>
      </c>
      <c r="F613" s="48"/>
    </row>
    <row r="614" ht="15.75" customHeight="1">
      <c r="A614" s="48" t="s">
        <v>2225</v>
      </c>
      <c r="B614" s="48" t="s">
        <v>2226</v>
      </c>
      <c r="C614" s="62" t="s">
        <v>2227</v>
      </c>
      <c r="D614" s="83" t="s">
        <v>904</v>
      </c>
      <c r="E614" s="80">
        <v>613.0</v>
      </c>
      <c r="F614" s="48"/>
    </row>
    <row r="615" ht="15.75" customHeight="1">
      <c r="A615" s="48" t="s">
        <v>2228</v>
      </c>
      <c r="B615" s="48" t="s">
        <v>198</v>
      </c>
      <c r="C615" s="62" t="s">
        <v>2229</v>
      </c>
      <c r="D615" s="83" t="s">
        <v>904</v>
      </c>
      <c r="E615" s="84">
        <v>614.0</v>
      </c>
      <c r="F615" s="48"/>
    </row>
    <row r="616" ht="15.75" customHeight="1">
      <c r="A616" s="48" t="s">
        <v>2230</v>
      </c>
      <c r="B616" s="48" t="s">
        <v>2231</v>
      </c>
      <c r="C616" s="62" t="s">
        <v>2232</v>
      </c>
      <c r="D616" s="83" t="s">
        <v>904</v>
      </c>
      <c r="E616" s="80">
        <v>615.0</v>
      </c>
      <c r="F616" s="48"/>
    </row>
    <row r="617" ht="15.75" customHeight="1">
      <c r="A617" s="48" t="s">
        <v>2233</v>
      </c>
      <c r="B617" s="48" t="s">
        <v>2234</v>
      </c>
      <c r="C617" s="62" t="s">
        <v>2235</v>
      </c>
      <c r="D617" s="83" t="s">
        <v>904</v>
      </c>
      <c r="E617" s="84">
        <v>616.0</v>
      </c>
      <c r="F617" s="48"/>
    </row>
    <row r="618" ht="15.75" customHeight="1">
      <c r="A618" s="48" t="s">
        <v>2236</v>
      </c>
      <c r="B618" s="48" t="s">
        <v>2237</v>
      </c>
      <c r="C618" s="62" t="s">
        <v>2238</v>
      </c>
      <c r="D618" s="83" t="s">
        <v>904</v>
      </c>
      <c r="E618" s="80">
        <v>617.0</v>
      </c>
      <c r="F618" s="48"/>
    </row>
    <row r="619" ht="15.75" customHeight="1">
      <c r="A619" s="48" t="s">
        <v>2239</v>
      </c>
      <c r="B619" s="48" t="s">
        <v>2240</v>
      </c>
      <c r="C619" s="62" t="s">
        <v>2241</v>
      </c>
      <c r="D619" s="83" t="s">
        <v>904</v>
      </c>
      <c r="E619" s="84">
        <v>618.0</v>
      </c>
      <c r="F619" s="48"/>
    </row>
    <row r="620" ht="15.75" customHeight="1">
      <c r="A620" s="48" t="s">
        <v>2242</v>
      </c>
      <c r="B620" s="48" t="s">
        <v>2243</v>
      </c>
      <c r="C620" s="62" t="s">
        <v>2244</v>
      </c>
      <c r="D620" s="83" t="s">
        <v>904</v>
      </c>
      <c r="E620" s="80">
        <v>619.0</v>
      </c>
      <c r="F620" s="48"/>
    </row>
    <row r="621" ht="15.75" customHeight="1">
      <c r="A621" s="48" t="s">
        <v>2245</v>
      </c>
      <c r="B621" s="48" t="s">
        <v>2246</v>
      </c>
      <c r="C621" s="63" t="s">
        <v>198</v>
      </c>
      <c r="D621" s="83" t="s">
        <v>904</v>
      </c>
      <c r="E621" s="84">
        <v>620.0</v>
      </c>
      <c r="F621" s="48"/>
    </row>
    <row r="622" ht="15.75" customHeight="1">
      <c r="A622" s="48" t="s">
        <v>2247</v>
      </c>
      <c r="B622" s="48" t="s">
        <v>2248</v>
      </c>
      <c r="C622" s="62" t="s">
        <v>2249</v>
      </c>
      <c r="D622" s="83" t="s">
        <v>874</v>
      </c>
      <c r="E622" s="80">
        <v>621.0</v>
      </c>
      <c r="F622" s="48"/>
    </row>
    <row r="623" ht="15.75" customHeight="1">
      <c r="A623" s="48" t="s">
        <v>2250</v>
      </c>
      <c r="B623" s="48" t="s">
        <v>2251</v>
      </c>
      <c r="C623" s="62" t="s">
        <v>2252</v>
      </c>
      <c r="D623" s="83" t="s">
        <v>874</v>
      </c>
      <c r="E623" s="84">
        <v>622.0</v>
      </c>
      <c r="F623" s="48"/>
    </row>
    <row r="624" ht="15.75" customHeight="1">
      <c r="A624" s="48" t="s">
        <v>2253</v>
      </c>
      <c r="B624" s="48" t="s">
        <v>2254</v>
      </c>
      <c r="C624" s="62" t="s">
        <v>2255</v>
      </c>
      <c r="D624" s="83" t="s">
        <v>874</v>
      </c>
      <c r="E624" s="80">
        <v>623.0</v>
      </c>
      <c r="F624" s="48"/>
    </row>
    <row r="625" ht="15.75" customHeight="1">
      <c r="A625" s="48" t="s">
        <v>2256</v>
      </c>
      <c r="B625" s="48" t="s">
        <v>2257</v>
      </c>
      <c r="C625" s="63" t="s">
        <v>198</v>
      </c>
      <c r="D625" s="83" t="s">
        <v>874</v>
      </c>
      <c r="E625" s="84">
        <v>624.0</v>
      </c>
      <c r="F625" s="48"/>
    </row>
    <row r="626" ht="15.75" customHeight="1">
      <c r="A626" s="48" t="s">
        <v>2258</v>
      </c>
      <c r="B626" s="48" t="s">
        <v>2259</v>
      </c>
      <c r="C626" s="62" t="s">
        <v>2260</v>
      </c>
      <c r="D626" s="83" t="s">
        <v>874</v>
      </c>
      <c r="E626" s="80">
        <v>625.0</v>
      </c>
      <c r="F626" s="48"/>
    </row>
    <row r="627" ht="15.75" customHeight="1">
      <c r="A627" s="48" t="s">
        <v>2261</v>
      </c>
      <c r="B627" s="48" t="s">
        <v>2262</v>
      </c>
      <c r="C627" s="62" t="s">
        <v>2263</v>
      </c>
      <c r="D627" s="83" t="s">
        <v>874</v>
      </c>
      <c r="E627" s="84">
        <v>626.0</v>
      </c>
      <c r="F627" s="48"/>
    </row>
    <row r="628" ht="15.75" customHeight="1">
      <c r="A628" s="48" t="s">
        <v>2264</v>
      </c>
      <c r="B628" s="48" t="s">
        <v>2265</v>
      </c>
      <c r="C628" s="62" t="s">
        <v>2266</v>
      </c>
      <c r="D628" s="83" t="s">
        <v>874</v>
      </c>
      <c r="E628" s="80">
        <v>627.0</v>
      </c>
      <c r="F628" s="48"/>
    </row>
    <row r="629" ht="15.75" customHeight="1">
      <c r="A629" s="48" t="s">
        <v>2267</v>
      </c>
      <c r="B629" s="48" t="s">
        <v>2268</v>
      </c>
      <c r="C629" s="62" t="s">
        <v>2269</v>
      </c>
      <c r="D629" s="83" t="s">
        <v>874</v>
      </c>
      <c r="E629" s="84">
        <v>628.0</v>
      </c>
      <c r="F629" s="48"/>
    </row>
    <row r="630" ht="15.75" customHeight="1">
      <c r="A630" s="48" t="s">
        <v>2270</v>
      </c>
      <c r="B630" s="48" t="s">
        <v>2271</v>
      </c>
      <c r="C630" s="62" t="s">
        <v>2272</v>
      </c>
      <c r="D630" s="83" t="s">
        <v>874</v>
      </c>
      <c r="E630" s="80">
        <v>629.0</v>
      </c>
      <c r="F630" s="48"/>
    </row>
    <row r="631" ht="15.75" customHeight="1">
      <c r="A631" s="48" t="s">
        <v>2273</v>
      </c>
      <c r="B631" s="48" t="s">
        <v>2274</v>
      </c>
      <c r="C631" s="62" t="s">
        <v>2275</v>
      </c>
      <c r="D631" s="83" t="s">
        <v>874</v>
      </c>
      <c r="E631" s="84">
        <v>630.0</v>
      </c>
      <c r="F631" s="48"/>
    </row>
    <row r="632" ht="15.75" customHeight="1">
      <c r="A632" s="48" t="s">
        <v>2276</v>
      </c>
      <c r="B632" s="48" t="s">
        <v>2277</v>
      </c>
      <c r="C632" s="62" t="s">
        <v>2278</v>
      </c>
      <c r="D632" s="83" t="s">
        <v>1018</v>
      </c>
      <c r="E632" s="80">
        <v>631.0</v>
      </c>
      <c r="F632" s="48"/>
    </row>
    <row r="633" ht="15.75" customHeight="1">
      <c r="A633" s="48" t="s">
        <v>2279</v>
      </c>
      <c r="B633" s="48" t="s">
        <v>2280</v>
      </c>
      <c r="C633" s="62" t="s">
        <v>2281</v>
      </c>
      <c r="D633" s="83" t="s">
        <v>1018</v>
      </c>
      <c r="E633" s="84">
        <v>632.0</v>
      </c>
      <c r="F633" s="48"/>
    </row>
    <row r="634" ht="15.75" customHeight="1">
      <c r="A634" s="48" t="s">
        <v>2282</v>
      </c>
      <c r="B634" s="48" t="s">
        <v>2283</v>
      </c>
      <c r="C634" s="62" t="s">
        <v>2284</v>
      </c>
      <c r="D634" s="83" t="s">
        <v>1022</v>
      </c>
      <c r="E634" s="80">
        <v>633.0</v>
      </c>
      <c r="F634" s="48"/>
    </row>
    <row r="635" ht="15.75" customHeight="1">
      <c r="A635" s="48" t="s">
        <v>2285</v>
      </c>
      <c r="B635" s="48" t="s">
        <v>2286</v>
      </c>
      <c r="C635" s="62" t="s">
        <v>2287</v>
      </c>
      <c r="D635" s="83" t="s">
        <v>1022</v>
      </c>
      <c r="E635" s="84">
        <v>634.0</v>
      </c>
      <c r="F635" s="48"/>
    </row>
    <row r="636" ht="15.75" customHeight="1">
      <c r="A636" s="48" t="s">
        <v>2288</v>
      </c>
      <c r="B636" s="48" t="s">
        <v>2289</v>
      </c>
      <c r="C636" s="62" t="s">
        <v>2287</v>
      </c>
      <c r="D636" s="83" t="s">
        <v>1022</v>
      </c>
      <c r="E636" s="80">
        <v>635.0</v>
      </c>
      <c r="F636" s="48"/>
    </row>
    <row r="637" ht="15.75" customHeight="1">
      <c r="A637" s="48" t="s">
        <v>2290</v>
      </c>
      <c r="B637" s="48" t="s">
        <v>2291</v>
      </c>
      <c r="C637" s="62" t="s">
        <v>2292</v>
      </c>
      <c r="D637" s="83" t="s">
        <v>1022</v>
      </c>
      <c r="E637" s="84">
        <v>636.0</v>
      </c>
      <c r="F637" s="48"/>
    </row>
    <row r="638" ht="15.75" customHeight="1">
      <c r="A638" s="48" t="s">
        <v>2293</v>
      </c>
      <c r="B638" s="48" t="s">
        <v>2294</v>
      </c>
      <c r="C638" s="63" t="s">
        <v>198</v>
      </c>
      <c r="D638" s="83" t="s">
        <v>1022</v>
      </c>
      <c r="E638" s="80">
        <v>637.0</v>
      </c>
      <c r="F638" s="48"/>
    </row>
    <row r="639" ht="15.75" customHeight="1">
      <c r="A639" s="34" t="s">
        <v>2295</v>
      </c>
      <c r="B639" s="34" t="s">
        <v>2296</v>
      </c>
      <c r="C639" s="35" t="s">
        <v>2297</v>
      </c>
      <c r="D639" s="94" t="s">
        <v>1026</v>
      </c>
      <c r="E639" s="84">
        <v>638.0</v>
      </c>
      <c r="F639" s="48"/>
    </row>
    <row r="640" ht="15.75" customHeight="1">
      <c r="A640" s="48" t="s">
        <v>2298</v>
      </c>
      <c r="B640" s="48" t="s">
        <v>2299</v>
      </c>
      <c r="C640" s="62" t="s">
        <v>2300</v>
      </c>
      <c r="D640" s="83" t="s">
        <v>1033</v>
      </c>
      <c r="E640" s="80">
        <v>639.0</v>
      </c>
      <c r="F640" s="48"/>
    </row>
    <row r="641" ht="15.75" customHeight="1">
      <c r="A641" s="48" t="s">
        <v>2301</v>
      </c>
      <c r="B641" s="48" t="s">
        <v>2302</v>
      </c>
      <c r="C641" s="62" t="s">
        <v>2303</v>
      </c>
      <c r="D641" s="83" t="s">
        <v>1033</v>
      </c>
      <c r="E641" s="84">
        <v>640.0</v>
      </c>
      <c r="F641" s="48"/>
    </row>
    <row r="642" ht="15.75" customHeight="1">
      <c r="A642" s="48" t="s">
        <v>2304</v>
      </c>
      <c r="B642" s="48" t="s">
        <v>2302</v>
      </c>
      <c r="C642" s="62" t="s">
        <v>2305</v>
      </c>
      <c r="D642" s="83" t="s">
        <v>1033</v>
      </c>
      <c r="E642" s="80">
        <v>641.0</v>
      </c>
      <c r="F642" s="48"/>
    </row>
    <row r="643" ht="15.75" customHeight="1">
      <c r="A643" s="48" t="s">
        <v>2306</v>
      </c>
      <c r="B643" s="48" t="s">
        <v>2307</v>
      </c>
      <c r="C643" s="62" t="s">
        <v>2308</v>
      </c>
      <c r="D643" s="83" t="s">
        <v>1033</v>
      </c>
      <c r="E643" s="84">
        <v>642.0</v>
      </c>
      <c r="F643" s="48"/>
    </row>
    <row r="644" ht="15.75" customHeight="1">
      <c r="A644" s="48" t="s">
        <v>2309</v>
      </c>
      <c r="B644" s="48" t="s">
        <v>2310</v>
      </c>
      <c r="C644" s="62" t="s">
        <v>2311</v>
      </c>
      <c r="D644" s="83" t="s">
        <v>1033</v>
      </c>
      <c r="E644" s="80">
        <v>643.0</v>
      </c>
      <c r="F644" s="48"/>
    </row>
    <row r="645" ht="15.75" customHeight="1">
      <c r="A645" s="48" t="s">
        <v>2312</v>
      </c>
      <c r="B645" s="48" t="s">
        <v>2313</v>
      </c>
      <c r="C645" s="62" t="s">
        <v>2314</v>
      </c>
      <c r="D645" s="83" t="s">
        <v>1033</v>
      </c>
      <c r="E645" s="84">
        <v>644.0</v>
      </c>
      <c r="F645" s="48"/>
    </row>
    <row r="646" ht="15.75" customHeight="1">
      <c r="A646" s="48" t="s">
        <v>2315</v>
      </c>
      <c r="B646" s="48" t="s">
        <v>2316</v>
      </c>
      <c r="C646" s="62" t="s">
        <v>2317</v>
      </c>
      <c r="D646" s="83" t="s">
        <v>1033</v>
      </c>
      <c r="E646" s="80">
        <v>645.0</v>
      </c>
      <c r="F646" s="48"/>
    </row>
    <row r="647" ht="15.75" customHeight="1">
      <c r="A647" s="48" t="s">
        <v>2318</v>
      </c>
      <c r="B647" s="48" t="s">
        <v>2319</v>
      </c>
      <c r="C647" s="62" t="s">
        <v>2320</v>
      </c>
      <c r="D647" s="83" t="s">
        <v>1033</v>
      </c>
      <c r="E647" s="84">
        <v>646.0</v>
      </c>
      <c r="F647" s="48"/>
    </row>
    <row r="648" ht="15.75" customHeight="1">
      <c r="A648" s="48" t="s">
        <v>2321</v>
      </c>
      <c r="B648" s="48" t="s">
        <v>2322</v>
      </c>
      <c r="C648" s="62" t="s">
        <v>2323</v>
      </c>
      <c r="D648" s="83" t="s">
        <v>1033</v>
      </c>
      <c r="E648" s="80">
        <v>647.0</v>
      </c>
      <c r="F648" s="48"/>
    </row>
    <row r="649" ht="15.75" customHeight="1">
      <c r="A649" s="48" t="s">
        <v>2324</v>
      </c>
      <c r="B649" s="48" t="s">
        <v>2325</v>
      </c>
      <c r="C649" s="62" t="s">
        <v>2326</v>
      </c>
      <c r="D649" s="83" t="s">
        <v>1033</v>
      </c>
      <c r="E649" s="84">
        <v>648.0</v>
      </c>
      <c r="F649" s="48"/>
    </row>
    <row r="650" ht="15.75" customHeight="1">
      <c r="A650" s="48" t="s">
        <v>2327</v>
      </c>
      <c r="B650" s="48" t="s">
        <v>2328</v>
      </c>
      <c r="C650" s="62" t="s">
        <v>2329</v>
      </c>
      <c r="D650" s="83" t="s">
        <v>1033</v>
      </c>
      <c r="E650" s="80">
        <v>649.0</v>
      </c>
      <c r="F650" s="48"/>
    </row>
    <row r="651" ht="15.75" customHeight="1">
      <c r="A651" s="48" t="s">
        <v>2330</v>
      </c>
      <c r="B651" s="48" t="s">
        <v>2331</v>
      </c>
      <c r="C651" s="63" t="s">
        <v>198</v>
      </c>
      <c r="D651" s="83" t="s">
        <v>1033</v>
      </c>
      <c r="E651" s="84">
        <v>650.0</v>
      </c>
      <c r="F651" s="48"/>
    </row>
    <row r="652" ht="15.75" customHeight="1">
      <c r="A652" s="48" t="s">
        <v>2332</v>
      </c>
      <c r="B652" s="48" t="s">
        <v>2333</v>
      </c>
      <c r="C652" s="62" t="s">
        <v>2334</v>
      </c>
      <c r="D652" s="83" t="s">
        <v>1033</v>
      </c>
      <c r="E652" s="80">
        <v>651.0</v>
      </c>
      <c r="F652" s="48"/>
    </row>
    <row r="653" ht="15.75" customHeight="1">
      <c r="A653" s="48" t="s">
        <v>2335</v>
      </c>
      <c r="B653" s="48" t="s">
        <v>198</v>
      </c>
      <c r="C653" s="62" t="s">
        <v>2336</v>
      </c>
      <c r="D653" s="83" t="s">
        <v>1033</v>
      </c>
      <c r="E653" s="84">
        <v>652.0</v>
      </c>
      <c r="F653" s="48"/>
    </row>
    <row r="654" ht="15.75" customHeight="1">
      <c r="A654" s="48" t="s">
        <v>2337</v>
      </c>
      <c r="B654" s="48" t="s">
        <v>2338</v>
      </c>
      <c r="C654" s="62" t="s">
        <v>2339</v>
      </c>
      <c r="D654" s="83" t="s">
        <v>2340</v>
      </c>
      <c r="E654" s="80">
        <v>653.0</v>
      </c>
      <c r="F654" s="48"/>
    </row>
    <row r="655" ht="15.75" customHeight="1">
      <c r="A655" s="48" t="s">
        <v>2341</v>
      </c>
      <c r="B655" s="48" t="s">
        <v>2342</v>
      </c>
      <c r="C655" s="62" t="s">
        <v>2343</v>
      </c>
      <c r="D655" s="83" t="s">
        <v>2340</v>
      </c>
      <c r="E655" s="84">
        <v>654.0</v>
      </c>
      <c r="F655" s="48"/>
    </row>
    <row r="656" ht="15.75" customHeight="1">
      <c r="A656" s="48" t="s">
        <v>2344</v>
      </c>
      <c r="B656" s="48" t="s">
        <v>2345</v>
      </c>
      <c r="C656" s="62" t="s">
        <v>2346</v>
      </c>
      <c r="D656" s="83" t="s">
        <v>2340</v>
      </c>
      <c r="E656" s="80">
        <v>655.0</v>
      </c>
      <c r="F656" s="48"/>
    </row>
    <row r="657" ht="15.75" customHeight="1">
      <c r="A657" s="48" t="s">
        <v>2347</v>
      </c>
      <c r="B657" s="48" t="s">
        <v>2348</v>
      </c>
      <c r="C657" s="62" t="s">
        <v>2349</v>
      </c>
      <c r="D657" s="83" t="s">
        <v>2340</v>
      </c>
      <c r="E657" s="84">
        <v>656.0</v>
      </c>
      <c r="F657" s="48"/>
    </row>
    <row r="658" ht="15.75" customHeight="1">
      <c r="A658" s="48" t="s">
        <v>2350</v>
      </c>
      <c r="B658" s="48" t="s">
        <v>2351</v>
      </c>
      <c r="C658" s="62" t="s">
        <v>2352</v>
      </c>
      <c r="D658" s="83" t="s">
        <v>2340</v>
      </c>
      <c r="E658" s="80">
        <v>657.0</v>
      </c>
      <c r="F658" s="48"/>
    </row>
    <row r="659" ht="15.75" customHeight="1">
      <c r="A659" s="48" t="s">
        <v>2353</v>
      </c>
      <c r="B659" s="48" t="s">
        <v>2354</v>
      </c>
      <c r="C659" s="48" t="s">
        <v>198</v>
      </c>
      <c r="D659" s="83" t="s">
        <v>2340</v>
      </c>
      <c r="E659" s="84">
        <v>658.0</v>
      </c>
      <c r="F659" s="48"/>
    </row>
    <row r="660" ht="15.75" customHeight="1">
      <c r="A660" s="48" t="s">
        <v>2355</v>
      </c>
      <c r="B660" s="48" t="s">
        <v>2356</v>
      </c>
      <c r="C660" s="62" t="s">
        <v>2357</v>
      </c>
      <c r="D660" s="83" t="s">
        <v>2340</v>
      </c>
      <c r="E660" s="80">
        <v>659.0</v>
      </c>
      <c r="F660" s="48"/>
    </row>
    <row r="661" ht="15.75" customHeight="1">
      <c r="A661" s="48" t="s">
        <v>2358</v>
      </c>
      <c r="B661" s="48" t="s">
        <v>2359</v>
      </c>
      <c r="C661" s="62" t="s">
        <v>2360</v>
      </c>
      <c r="D661" s="83" t="s">
        <v>2340</v>
      </c>
      <c r="E661" s="84">
        <v>660.0</v>
      </c>
      <c r="F661" s="48"/>
    </row>
    <row r="662" ht="15.75" customHeight="1">
      <c r="A662" s="48" t="s">
        <v>2361</v>
      </c>
      <c r="B662" s="48" t="s">
        <v>2362</v>
      </c>
      <c r="C662" s="62" t="s">
        <v>2363</v>
      </c>
      <c r="D662" s="83" t="s">
        <v>1045</v>
      </c>
      <c r="E662" s="80">
        <v>661.0</v>
      </c>
      <c r="F662" s="48"/>
    </row>
    <row r="663" ht="15.75" customHeight="1">
      <c r="A663" s="48" t="s">
        <v>2364</v>
      </c>
      <c r="B663" s="48" t="s">
        <v>2365</v>
      </c>
      <c r="C663" s="62" t="s">
        <v>2366</v>
      </c>
      <c r="D663" s="83" t="s">
        <v>1045</v>
      </c>
      <c r="E663" s="84">
        <v>662.0</v>
      </c>
      <c r="F663" s="48"/>
    </row>
    <row r="664" ht="15.75" customHeight="1">
      <c r="A664" s="48" t="s">
        <v>2367</v>
      </c>
      <c r="B664" s="48" t="s">
        <v>2368</v>
      </c>
      <c r="C664" s="62" t="s">
        <v>2369</v>
      </c>
      <c r="D664" s="83" t="s">
        <v>1045</v>
      </c>
      <c r="E664" s="80">
        <v>663.0</v>
      </c>
      <c r="F664" s="48"/>
    </row>
    <row r="665" ht="15.75" customHeight="1">
      <c r="A665" s="48" t="s">
        <v>2370</v>
      </c>
      <c r="B665" s="48" t="s">
        <v>198</v>
      </c>
      <c r="C665" s="62" t="s">
        <v>2371</v>
      </c>
      <c r="D665" s="83" t="s">
        <v>1049</v>
      </c>
      <c r="E665" s="84">
        <v>664.0</v>
      </c>
      <c r="F665" s="48"/>
    </row>
    <row r="666" ht="15.75" customHeight="1">
      <c r="A666" s="48" t="s">
        <v>2372</v>
      </c>
      <c r="B666" s="48" t="s">
        <v>198</v>
      </c>
      <c r="C666" s="62" t="s">
        <v>2373</v>
      </c>
      <c r="D666" s="83" t="s">
        <v>1049</v>
      </c>
      <c r="E666" s="80">
        <v>665.0</v>
      </c>
      <c r="F666" s="48"/>
    </row>
    <row r="667" ht="15.75" customHeight="1">
      <c r="A667" s="48" t="s">
        <v>2374</v>
      </c>
      <c r="B667" s="48" t="s">
        <v>2375</v>
      </c>
      <c r="C667" s="62" t="s">
        <v>2376</v>
      </c>
      <c r="D667" s="83" t="s">
        <v>1049</v>
      </c>
      <c r="E667" s="84">
        <v>666.0</v>
      </c>
      <c r="F667" s="48"/>
    </row>
    <row r="668" ht="15.75" customHeight="1">
      <c r="A668" s="48" t="s">
        <v>2377</v>
      </c>
      <c r="B668" s="48" t="s">
        <v>2378</v>
      </c>
      <c r="C668" s="62" t="s">
        <v>2379</v>
      </c>
      <c r="D668" s="83" t="s">
        <v>1049</v>
      </c>
      <c r="E668" s="80">
        <v>667.0</v>
      </c>
      <c r="F668" s="48"/>
    </row>
    <row r="669" ht="15.75" customHeight="1">
      <c r="A669" s="48"/>
      <c r="B669" s="48"/>
      <c r="C669" s="48"/>
      <c r="D669" s="83"/>
      <c r="E669" s="84">
        <v>668.0</v>
      </c>
      <c r="F669" s="48"/>
    </row>
    <row r="670" ht="15.75" customHeight="1">
      <c r="A670" s="48"/>
      <c r="B670" s="48"/>
      <c r="C670" s="48"/>
      <c r="D670" s="83"/>
      <c r="E670" s="80">
        <v>669.0</v>
      </c>
      <c r="F670" s="48"/>
    </row>
    <row r="671" ht="15.75" customHeight="1">
      <c r="A671" s="48"/>
      <c r="B671" s="48"/>
      <c r="C671" s="48"/>
      <c r="D671" s="83"/>
      <c r="E671" s="84">
        <v>670.0</v>
      </c>
      <c r="F671" s="48"/>
    </row>
    <row r="672" ht="15.75" customHeight="1">
      <c r="A672" s="48" t="s">
        <v>2380</v>
      </c>
      <c r="B672" s="48" t="s">
        <v>1484</v>
      </c>
      <c r="C672" s="62" t="s">
        <v>2381</v>
      </c>
      <c r="D672" s="83" t="s">
        <v>927</v>
      </c>
      <c r="E672" s="80">
        <v>671.0</v>
      </c>
      <c r="F672" s="48"/>
    </row>
    <row r="673" ht="15.75" customHeight="1">
      <c r="A673" s="48" t="s">
        <v>946</v>
      </c>
      <c r="B673" s="48" t="s">
        <v>2382</v>
      </c>
      <c r="C673" s="62" t="s">
        <v>2383</v>
      </c>
      <c r="D673" s="83" t="s">
        <v>927</v>
      </c>
      <c r="E673" s="84">
        <v>672.0</v>
      </c>
      <c r="F673" s="48"/>
    </row>
    <row r="674" ht="15.75" customHeight="1">
      <c r="A674" s="48" t="s">
        <v>2384</v>
      </c>
      <c r="B674" s="48" t="s">
        <v>2385</v>
      </c>
      <c r="C674" s="62" t="s">
        <v>2386</v>
      </c>
      <c r="D674" s="83" t="s">
        <v>927</v>
      </c>
      <c r="E674" s="80">
        <v>673.0</v>
      </c>
      <c r="F674" s="48"/>
    </row>
    <row r="675" ht="15.75" customHeight="1">
      <c r="A675" s="48" t="s">
        <v>2387</v>
      </c>
      <c r="B675" s="48" t="s">
        <v>2388</v>
      </c>
      <c r="C675" s="62" t="s">
        <v>2389</v>
      </c>
      <c r="D675" s="83" t="s">
        <v>927</v>
      </c>
      <c r="E675" s="84">
        <v>674.0</v>
      </c>
      <c r="F675" s="48"/>
    </row>
    <row r="676" ht="15.75" customHeight="1">
      <c r="A676" s="48" t="s">
        <v>2390</v>
      </c>
      <c r="B676" s="48" t="s">
        <v>139</v>
      </c>
      <c r="C676" s="62" t="s">
        <v>2391</v>
      </c>
      <c r="D676" s="83" t="s">
        <v>927</v>
      </c>
      <c r="E676" s="80">
        <v>675.0</v>
      </c>
      <c r="F676" s="48"/>
    </row>
    <row r="677" ht="15.75" customHeight="1">
      <c r="A677" s="48" t="s">
        <v>2392</v>
      </c>
      <c r="B677" s="48" t="s">
        <v>2393</v>
      </c>
      <c r="C677" s="62" t="s">
        <v>2394</v>
      </c>
      <c r="D677" s="83" t="s">
        <v>927</v>
      </c>
      <c r="E677" s="84">
        <v>676.0</v>
      </c>
      <c r="F677" s="48"/>
    </row>
    <row r="678" ht="15.75" customHeight="1">
      <c r="A678" s="48" t="s">
        <v>2395</v>
      </c>
      <c r="B678" s="48"/>
      <c r="C678" s="62" t="s">
        <v>2394</v>
      </c>
      <c r="D678" s="83" t="s">
        <v>927</v>
      </c>
      <c r="E678" s="84">
        <v>677.0</v>
      </c>
      <c r="F678" s="48"/>
    </row>
    <row r="679" ht="15.75" customHeight="1">
      <c r="A679" s="48" t="s">
        <v>2396</v>
      </c>
      <c r="B679" s="48" t="s">
        <v>2397</v>
      </c>
      <c r="C679" s="62" t="s">
        <v>2398</v>
      </c>
      <c r="D679" s="83" t="s">
        <v>927</v>
      </c>
      <c r="E679" s="80">
        <v>678.0</v>
      </c>
      <c r="F679" s="48"/>
    </row>
    <row r="680" ht="15.75" customHeight="1">
      <c r="A680" s="48" t="s">
        <v>2399</v>
      </c>
      <c r="B680" s="48" t="s">
        <v>2400</v>
      </c>
      <c r="C680" s="62" t="s">
        <v>2398</v>
      </c>
      <c r="D680" s="83" t="s">
        <v>927</v>
      </c>
      <c r="E680" s="84">
        <v>679.0</v>
      </c>
      <c r="F680" s="48"/>
    </row>
    <row r="681" ht="15.75" customHeight="1">
      <c r="A681" s="48" t="s">
        <v>2401</v>
      </c>
      <c r="B681" s="48" t="s">
        <v>198</v>
      </c>
      <c r="C681" s="62" t="s">
        <v>2402</v>
      </c>
      <c r="D681" s="83" t="s">
        <v>927</v>
      </c>
      <c r="E681" s="80">
        <v>680.0</v>
      </c>
      <c r="F681" s="48"/>
    </row>
    <row r="682" ht="15.75" customHeight="1">
      <c r="A682" s="48" t="s">
        <v>2403</v>
      </c>
      <c r="B682" s="48" t="s">
        <v>2404</v>
      </c>
      <c r="C682" s="62" t="s">
        <v>2383</v>
      </c>
      <c r="D682" s="83" t="s">
        <v>927</v>
      </c>
      <c r="E682" s="84">
        <v>681.0</v>
      </c>
      <c r="F682" s="48"/>
    </row>
    <row r="683" ht="15.75" customHeight="1">
      <c r="A683" s="48" t="s">
        <v>2405</v>
      </c>
      <c r="B683" s="48" t="s">
        <v>198</v>
      </c>
      <c r="C683" s="62" t="s">
        <v>2406</v>
      </c>
      <c r="D683" s="83"/>
      <c r="E683" s="80">
        <v>682.0</v>
      </c>
      <c r="F683" s="48"/>
    </row>
    <row r="684" ht="15.75" customHeight="1">
      <c r="A684" s="48" t="s">
        <v>2407</v>
      </c>
      <c r="B684" s="48" t="s">
        <v>198</v>
      </c>
      <c r="C684" s="62" t="s">
        <v>2408</v>
      </c>
      <c r="D684" s="83" t="s">
        <v>921</v>
      </c>
      <c r="E684" s="84">
        <v>683.0</v>
      </c>
      <c r="F684" s="48"/>
    </row>
    <row r="685" ht="15.75" customHeight="1">
      <c r="A685" s="48" t="s">
        <v>731</v>
      </c>
      <c r="B685" s="48" t="s">
        <v>732</v>
      </c>
      <c r="C685" s="63" t="s">
        <v>198</v>
      </c>
      <c r="D685" s="83" t="s">
        <v>733</v>
      </c>
      <c r="E685" s="80">
        <v>684.0</v>
      </c>
      <c r="F685" s="48"/>
    </row>
    <row r="686" ht="15.75" customHeight="1">
      <c r="A686" s="48" t="s">
        <v>2409</v>
      </c>
      <c r="B686" s="48" t="s">
        <v>2410</v>
      </c>
      <c r="C686" s="62" t="s">
        <v>2411</v>
      </c>
      <c r="D686" s="83"/>
      <c r="E686" s="84">
        <v>685.0</v>
      </c>
      <c r="F686" s="48"/>
    </row>
    <row r="687" ht="15.75" customHeight="1">
      <c r="A687" s="48" t="s">
        <v>2412</v>
      </c>
      <c r="B687" s="48" t="s">
        <v>2413</v>
      </c>
      <c r="C687" s="62" t="s">
        <v>2414</v>
      </c>
      <c r="D687" s="83"/>
      <c r="E687" s="80">
        <v>686.0</v>
      </c>
      <c r="F687" s="48"/>
    </row>
    <row r="688" ht="15.75" customHeight="1">
      <c r="A688" s="48" t="s">
        <v>2415</v>
      </c>
      <c r="B688" s="48" t="s">
        <v>2416</v>
      </c>
      <c r="C688" s="62" t="s">
        <v>2417</v>
      </c>
      <c r="D688" s="83"/>
      <c r="E688" s="84">
        <v>687.0</v>
      </c>
      <c r="F688" s="48"/>
    </row>
    <row r="689" ht="15.75" customHeight="1">
      <c r="A689" s="48" t="s">
        <v>2418</v>
      </c>
      <c r="B689" s="48" t="s">
        <v>2419</v>
      </c>
      <c r="C689" s="62" t="s">
        <v>2420</v>
      </c>
      <c r="D689" s="83" t="s">
        <v>968</v>
      </c>
      <c r="E689" s="80">
        <v>688.0</v>
      </c>
      <c r="F689" s="48"/>
    </row>
    <row r="690" ht="15.75" customHeight="1">
      <c r="A690" s="48" t="s">
        <v>2421</v>
      </c>
      <c r="B690" s="48" t="s">
        <v>2422</v>
      </c>
      <c r="C690" s="62" t="s">
        <v>2423</v>
      </c>
      <c r="D690" s="83"/>
      <c r="E690" s="84">
        <v>689.0</v>
      </c>
      <c r="F690" s="48"/>
    </row>
    <row r="691" ht="15.75" customHeight="1">
      <c r="A691" s="48" t="s">
        <v>2424</v>
      </c>
      <c r="B691" s="48" t="s">
        <v>2425</v>
      </c>
      <c r="C691" s="63" t="s">
        <v>198</v>
      </c>
      <c r="D691" s="83" t="s">
        <v>353</v>
      </c>
      <c r="E691" s="80">
        <v>690.0</v>
      </c>
      <c r="F691" s="48"/>
    </row>
    <row r="692" ht="15.75" customHeight="1">
      <c r="A692" s="48" t="s">
        <v>2426</v>
      </c>
      <c r="B692" s="48" t="s">
        <v>2427</v>
      </c>
      <c r="C692" s="62" t="s">
        <v>2428</v>
      </c>
      <c r="D692" s="83" t="s">
        <v>968</v>
      </c>
      <c r="E692" s="84">
        <v>691.0</v>
      </c>
      <c r="F692" s="48"/>
    </row>
    <row r="693" ht="15.75" customHeight="1">
      <c r="A693" s="48" t="s">
        <v>2429</v>
      </c>
      <c r="B693" s="48"/>
      <c r="C693" s="62" t="s">
        <v>2430</v>
      </c>
      <c r="D693" s="83" t="s">
        <v>968</v>
      </c>
      <c r="E693" s="80">
        <v>692.0</v>
      </c>
      <c r="F693" s="48"/>
    </row>
    <row r="694" ht="15.75" customHeight="1">
      <c r="A694" s="48" t="s">
        <v>2431</v>
      </c>
      <c r="B694" s="48" t="s">
        <v>2432</v>
      </c>
      <c r="C694" s="62" t="s">
        <v>2433</v>
      </c>
      <c r="D694" s="83" t="s">
        <v>968</v>
      </c>
      <c r="E694" s="84">
        <v>693.0</v>
      </c>
      <c r="F694" s="48"/>
    </row>
    <row r="695" ht="15.75" customHeight="1">
      <c r="A695" s="48" t="s">
        <v>2434</v>
      </c>
      <c r="B695" s="48"/>
      <c r="C695" s="62" t="s">
        <v>2435</v>
      </c>
      <c r="D695" s="83" t="s">
        <v>968</v>
      </c>
      <c r="E695" s="80">
        <v>694.0</v>
      </c>
      <c r="F695" s="48"/>
    </row>
    <row r="696" ht="15.75" customHeight="1">
      <c r="A696" s="48" t="s">
        <v>2436</v>
      </c>
      <c r="B696" s="48" t="s">
        <v>2437</v>
      </c>
      <c r="C696" s="63" t="s">
        <v>198</v>
      </c>
      <c r="D696" s="83" t="s">
        <v>968</v>
      </c>
      <c r="E696" s="84">
        <v>695.0</v>
      </c>
      <c r="F696" s="48"/>
    </row>
    <row r="697" ht="15.75" customHeight="1">
      <c r="A697" s="48" t="s">
        <v>2438</v>
      </c>
      <c r="B697" s="48" t="s">
        <v>2439</v>
      </c>
      <c r="C697" s="62" t="s">
        <v>2440</v>
      </c>
      <c r="D697" s="83" t="s">
        <v>968</v>
      </c>
      <c r="E697" s="80">
        <v>696.0</v>
      </c>
      <c r="F697" s="48"/>
    </row>
    <row r="698" ht="15.75" customHeight="1">
      <c r="A698" s="48" t="s">
        <v>2441</v>
      </c>
      <c r="B698" s="48"/>
      <c r="C698" s="62" t="s">
        <v>2442</v>
      </c>
      <c r="D698" s="83" t="s">
        <v>968</v>
      </c>
      <c r="E698" s="84">
        <v>697.0</v>
      </c>
      <c r="F698" s="48"/>
    </row>
    <row r="699" ht="15.75" customHeight="1">
      <c r="A699" s="48" t="s">
        <v>2443</v>
      </c>
      <c r="B699" s="48" t="s">
        <v>2444</v>
      </c>
      <c r="C699" s="62" t="s">
        <v>2445</v>
      </c>
      <c r="D699" s="83" t="s">
        <v>968</v>
      </c>
      <c r="E699" s="80">
        <v>698.0</v>
      </c>
      <c r="F699" s="48"/>
    </row>
    <row r="700" ht="15.75" customHeight="1">
      <c r="A700" s="48" t="s">
        <v>2446</v>
      </c>
      <c r="B700" s="48" t="s">
        <v>2447</v>
      </c>
      <c r="C700" s="62" t="s">
        <v>2448</v>
      </c>
      <c r="D700" s="83" t="s">
        <v>968</v>
      </c>
      <c r="E700" s="84">
        <v>699.0</v>
      </c>
      <c r="F700" s="48"/>
    </row>
    <row r="701" ht="15.75" customHeight="1">
      <c r="A701" s="48" t="s">
        <v>2449</v>
      </c>
      <c r="B701" s="48" t="s">
        <v>2450</v>
      </c>
      <c r="C701" s="62" t="s">
        <v>2451</v>
      </c>
      <c r="D701" s="83" t="s">
        <v>968</v>
      </c>
      <c r="E701" s="80">
        <v>700.0</v>
      </c>
      <c r="F701" s="48"/>
    </row>
    <row r="702" ht="15.75" customHeight="1">
      <c r="A702" s="48" t="s">
        <v>2452</v>
      </c>
      <c r="B702" s="48" t="s">
        <v>2453</v>
      </c>
      <c r="C702" s="62" t="s">
        <v>2454</v>
      </c>
      <c r="D702" s="83" t="s">
        <v>968</v>
      </c>
      <c r="E702" s="84">
        <v>701.0</v>
      </c>
      <c r="F702" s="48"/>
    </row>
    <row r="703" ht="15.75" customHeight="1">
      <c r="A703" s="48" t="s">
        <v>2455</v>
      </c>
      <c r="B703" s="48" t="s">
        <v>2456</v>
      </c>
      <c r="C703" s="62" t="s">
        <v>2457</v>
      </c>
      <c r="D703" s="83" t="s">
        <v>968</v>
      </c>
      <c r="E703" s="80">
        <v>702.0</v>
      </c>
      <c r="F703" s="48"/>
    </row>
    <row r="704" ht="15.75" customHeight="1">
      <c r="A704" s="48" t="s">
        <v>2458</v>
      </c>
      <c r="B704" s="48"/>
      <c r="C704" s="62" t="s">
        <v>2459</v>
      </c>
      <c r="D704" s="83" t="s">
        <v>968</v>
      </c>
      <c r="E704" s="84">
        <v>703.0</v>
      </c>
      <c r="F704" s="48"/>
    </row>
    <row r="705" ht="15.75" customHeight="1">
      <c r="A705" s="48" t="s">
        <v>2460</v>
      </c>
      <c r="B705" s="48" t="s">
        <v>2461</v>
      </c>
      <c r="C705" s="62" t="s">
        <v>2462</v>
      </c>
      <c r="D705" s="83" t="s">
        <v>968</v>
      </c>
      <c r="E705" s="80">
        <v>704.0</v>
      </c>
      <c r="F705" s="48"/>
    </row>
    <row r="706" ht="15.75" customHeight="1">
      <c r="A706" s="48" t="s">
        <v>2463</v>
      </c>
      <c r="B706" s="48" t="s">
        <v>2464</v>
      </c>
      <c r="C706" s="63" t="s">
        <v>198</v>
      </c>
      <c r="D706" s="83" t="s">
        <v>968</v>
      </c>
      <c r="E706" s="84">
        <v>705.0</v>
      </c>
      <c r="F706" s="48"/>
    </row>
    <row r="707" ht="15.75" customHeight="1">
      <c r="A707" s="48" t="s">
        <v>2465</v>
      </c>
      <c r="B707" s="48" t="s">
        <v>2466</v>
      </c>
      <c r="C707" s="63"/>
      <c r="D707" s="83" t="s">
        <v>968</v>
      </c>
      <c r="E707" s="80">
        <v>706.0</v>
      </c>
      <c r="F707" s="48"/>
    </row>
    <row r="708" ht="15.75" customHeight="1">
      <c r="A708" s="48" t="s">
        <v>2467</v>
      </c>
      <c r="B708" s="48" t="s">
        <v>2468</v>
      </c>
      <c r="C708" s="62" t="s">
        <v>2469</v>
      </c>
      <c r="D708" s="83" t="s">
        <v>968</v>
      </c>
      <c r="E708" s="84">
        <v>707.0</v>
      </c>
      <c r="F708" s="48"/>
    </row>
    <row r="709" ht="15.75" customHeight="1">
      <c r="A709" s="48" t="s">
        <v>2470</v>
      </c>
      <c r="B709" s="48" t="s">
        <v>2471</v>
      </c>
      <c r="C709" s="62" t="s">
        <v>2472</v>
      </c>
      <c r="D709" s="83" t="s">
        <v>968</v>
      </c>
      <c r="E709" s="80">
        <v>708.0</v>
      </c>
      <c r="F709" s="48"/>
    </row>
    <row r="710" ht="15.75" customHeight="1">
      <c r="A710" s="48" t="s">
        <v>2473</v>
      </c>
      <c r="B710" s="48" t="s">
        <v>2474</v>
      </c>
      <c r="C710" s="62" t="s">
        <v>2475</v>
      </c>
      <c r="D710" s="83" t="s">
        <v>968</v>
      </c>
      <c r="E710" s="84">
        <v>709.0</v>
      </c>
      <c r="F710" s="48"/>
    </row>
    <row r="711" ht="15.75" customHeight="1">
      <c r="A711" s="48" t="s">
        <v>2476</v>
      </c>
      <c r="B711" s="48"/>
      <c r="C711" s="62" t="s">
        <v>2477</v>
      </c>
      <c r="D711" s="83" t="s">
        <v>968</v>
      </c>
      <c r="E711" s="80">
        <v>710.0</v>
      </c>
      <c r="F711" s="48"/>
    </row>
    <row r="712" ht="15.75" customHeight="1">
      <c r="A712" s="48" t="s">
        <v>2478</v>
      </c>
      <c r="B712" s="48"/>
      <c r="C712" s="62" t="s">
        <v>2479</v>
      </c>
      <c r="D712" s="83" t="s">
        <v>968</v>
      </c>
      <c r="E712" s="84">
        <v>711.0</v>
      </c>
      <c r="F712" s="48"/>
    </row>
    <row r="713" ht="15.75" customHeight="1">
      <c r="A713" s="48" t="s">
        <v>2480</v>
      </c>
      <c r="B713" s="48" t="s">
        <v>2481</v>
      </c>
      <c r="C713" s="63"/>
      <c r="D713" s="83" t="s">
        <v>2482</v>
      </c>
      <c r="E713" s="80">
        <v>712.0</v>
      </c>
      <c r="F713" s="48"/>
    </row>
    <row r="714" ht="15.75" customHeight="1">
      <c r="A714" s="48" t="s">
        <v>2483</v>
      </c>
      <c r="B714" s="48"/>
      <c r="C714" s="62" t="s">
        <v>2484</v>
      </c>
      <c r="D714" s="83" t="s">
        <v>968</v>
      </c>
      <c r="E714" s="84">
        <v>713.0</v>
      </c>
      <c r="F714" s="48"/>
    </row>
    <row r="715" ht="15.75" customHeight="1">
      <c r="A715" s="48" t="s">
        <v>2485</v>
      </c>
      <c r="B715" s="48"/>
      <c r="C715" s="62" t="s">
        <v>2486</v>
      </c>
      <c r="D715" s="83" t="s">
        <v>968</v>
      </c>
      <c r="E715" s="80">
        <v>714.0</v>
      </c>
      <c r="F715" s="48"/>
    </row>
    <row r="716" ht="15.75" customHeight="1">
      <c r="A716" s="48" t="s">
        <v>2487</v>
      </c>
      <c r="B716" s="48"/>
      <c r="C716" s="62" t="s">
        <v>2488</v>
      </c>
      <c r="D716" s="83" t="s">
        <v>968</v>
      </c>
      <c r="E716" s="84">
        <v>715.0</v>
      </c>
      <c r="F716" s="48"/>
    </row>
    <row r="717" ht="15.75" customHeight="1">
      <c r="A717" s="48" t="s">
        <v>2489</v>
      </c>
      <c r="B717" s="48"/>
      <c r="C717" s="62" t="s">
        <v>2490</v>
      </c>
      <c r="D717" s="83" t="s">
        <v>968</v>
      </c>
      <c r="E717" s="80">
        <v>716.0</v>
      </c>
      <c r="F717" s="48"/>
    </row>
    <row r="718" ht="15.75" customHeight="1">
      <c r="A718" s="48" t="s">
        <v>2491</v>
      </c>
      <c r="B718" s="48" t="s">
        <v>2492</v>
      </c>
      <c r="C718" s="62" t="s">
        <v>2493</v>
      </c>
      <c r="D718" s="83" t="s">
        <v>968</v>
      </c>
      <c r="E718" s="84">
        <v>717.0</v>
      </c>
      <c r="F718" s="48"/>
    </row>
    <row r="719" ht="15.75" customHeight="1">
      <c r="A719" s="48" t="s">
        <v>2494</v>
      </c>
      <c r="B719" s="48" t="s">
        <v>2495</v>
      </c>
      <c r="C719" s="62" t="s">
        <v>2496</v>
      </c>
      <c r="D719" s="83" t="s">
        <v>968</v>
      </c>
      <c r="E719" s="80">
        <v>718.0</v>
      </c>
      <c r="F719" s="48"/>
    </row>
    <row r="720" ht="15.75" customHeight="1">
      <c r="A720" s="48" t="s">
        <v>2497</v>
      </c>
      <c r="B720" s="48" t="s">
        <v>2498</v>
      </c>
      <c r="C720" s="62" t="s">
        <v>2499</v>
      </c>
      <c r="D720" s="83" t="s">
        <v>968</v>
      </c>
      <c r="E720" s="84">
        <v>719.0</v>
      </c>
      <c r="F720" s="48"/>
    </row>
    <row r="721" ht="15.75" customHeight="1">
      <c r="A721" s="48" t="s">
        <v>2500</v>
      </c>
      <c r="B721" s="48" t="s">
        <v>2501</v>
      </c>
      <c r="C721" s="62" t="s">
        <v>2502</v>
      </c>
      <c r="D721" s="83" t="s">
        <v>968</v>
      </c>
      <c r="E721" s="80">
        <v>720.0</v>
      </c>
      <c r="F721" s="48"/>
    </row>
    <row r="722" ht="15.75" customHeight="1">
      <c r="A722" s="48" t="s">
        <v>2503</v>
      </c>
      <c r="B722" s="48"/>
      <c r="C722" s="62" t="s">
        <v>2504</v>
      </c>
      <c r="D722" s="83" t="s">
        <v>968</v>
      </c>
      <c r="E722" s="84">
        <v>721.0</v>
      </c>
      <c r="F722" s="48"/>
    </row>
    <row r="723" ht="15.75" customHeight="1">
      <c r="A723" s="48" t="s">
        <v>2505</v>
      </c>
      <c r="B723" s="48"/>
      <c r="C723" s="62" t="s">
        <v>2506</v>
      </c>
      <c r="D723" s="83" t="s">
        <v>968</v>
      </c>
      <c r="E723" s="80">
        <v>722.0</v>
      </c>
      <c r="F723" s="48"/>
    </row>
    <row r="724" ht="15.75" customHeight="1">
      <c r="A724" s="48" t="s">
        <v>2507</v>
      </c>
      <c r="B724" s="48" t="s">
        <v>2508</v>
      </c>
      <c r="C724" s="62" t="s">
        <v>2509</v>
      </c>
      <c r="D724" s="83" t="s">
        <v>968</v>
      </c>
      <c r="E724" s="84">
        <v>723.0</v>
      </c>
      <c r="F724" s="48"/>
    </row>
    <row r="725" ht="15.75" customHeight="1">
      <c r="A725" s="48" t="s">
        <v>2510</v>
      </c>
      <c r="B725" s="48" t="s">
        <v>2511</v>
      </c>
      <c r="C725" s="62" t="s">
        <v>2512</v>
      </c>
      <c r="D725" s="83" t="s">
        <v>968</v>
      </c>
      <c r="E725" s="80">
        <v>724.0</v>
      </c>
      <c r="F725" s="48"/>
    </row>
    <row r="726" ht="15.75" customHeight="1">
      <c r="A726" s="48" t="s">
        <v>2513</v>
      </c>
      <c r="B726" s="48" t="s">
        <v>2514</v>
      </c>
      <c r="C726" s="62" t="s">
        <v>2515</v>
      </c>
      <c r="D726" s="83" t="s">
        <v>968</v>
      </c>
      <c r="E726" s="84">
        <v>725.0</v>
      </c>
      <c r="F726" s="48"/>
    </row>
    <row r="727" ht="15.75" customHeight="1">
      <c r="A727" s="48" t="s">
        <v>2516</v>
      </c>
      <c r="B727" s="48"/>
      <c r="C727" s="62" t="s">
        <v>2517</v>
      </c>
      <c r="D727" s="83" t="s">
        <v>968</v>
      </c>
      <c r="E727" s="80">
        <v>726.0</v>
      </c>
      <c r="F727" s="48"/>
    </row>
    <row r="728" ht="15.75" customHeight="1">
      <c r="A728" s="48" t="s">
        <v>2518</v>
      </c>
      <c r="B728" s="48" t="s">
        <v>2519</v>
      </c>
      <c r="C728" s="62" t="s">
        <v>2520</v>
      </c>
      <c r="D728" s="83" t="s">
        <v>968</v>
      </c>
      <c r="E728" s="84">
        <v>727.0</v>
      </c>
      <c r="F728" s="48"/>
    </row>
    <row r="729" ht="15.75" customHeight="1">
      <c r="A729" s="48" t="s">
        <v>2521</v>
      </c>
      <c r="B729" s="48"/>
      <c r="C729" s="62" t="s">
        <v>2522</v>
      </c>
      <c r="D729" s="83" t="s">
        <v>968</v>
      </c>
      <c r="E729" s="80">
        <v>728.0</v>
      </c>
      <c r="F729" s="48"/>
    </row>
    <row r="730" ht="15.75" customHeight="1">
      <c r="A730" s="48" t="s">
        <v>2523</v>
      </c>
      <c r="B730" s="48" t="s">
        <v>2524</v>
      </c>
      <c r="C730" s="63" t="s">
        <v>198</v>
      </c>
      <c r="D730" s="83" t="s">
        <v>968</v>
      </c>
      <c r="E730" s="84">
        <v>729.0</v>
      </c>
      <c r="F730" s="48"/>
    </row>
    <row r="731" ht="15.75" customHeight="1">
      <c r="A731" s="48" t="s">
        <v>2525</v>
      </c>
      <c r="B731" s="48" t="s">
        <v>2526</v>
      </c>
      <c r="C731" s="63" t="s">
        <v>198</v>
      </c>
      <c r="D731" s="83" t="s">
        <v>968</v>
      </c>
      <c r="E731" s="80">
        <v>730.0</v>
      </c>
      <c r="F731" s="48"/>
    </row>
    <row r="732" ht="15.75" customHeight="1">
      <c r="A732" s="48" t="s">
        <v>2527</v>
      </c>
      <c r="B732" s="48" t="s">
        <v>2528</v>
      </c>
      <c r="C732" s="63" t="s">
        <v>198</v>
      </c>
      <c r="D732" s="83" t="s">
        <v>968</v>
      </c>
      <c r="E732" s="84">
        <v>731.0</v>
      </c>
      <c r="F732" s="48"/>
    </row>
    <row r="733" ht="15.75" customHeight="1">
      <c r="A733" s="48" t="s">
        <v>2529</v>
      </c>
      <c r="B733" s="48" t="s">
        <v>198</v>
      </c>
      <c r="C733" s="62" t="s">
        <v>2530</v>
      </c>
      <c r="D733" s="83" t="s">
        <v>968</v>
      </c>
      <c r="E733" s="80">
        <v>732.0</v>
      </c>
      <c r="F733" s="48"/>
    </row>
    <row r="734" ht="15.75" customHeight="1">
      <c r="A734" s="48" t="s">
        <v>2531</v>
      </c>
      <c r="B734" s="48" t="s">
        <v>2532</v>
      </c>
      <c r="C734" s="62" t="s">
        <v>2533</v>
      </c>
      <c r="D734" s="83" t="s">
        <v>968</v>
      </c>
      <c r="E734" s="84">
        <v>733.0</v>
      </c>
      <c r="F734" s="48"/>
    </row>
    <row r="735" ht="15.75" customHeight="1">
      <c r="A735" s="48" t="s">
        <v>2534</v>
      </c>
      <c r="B735" s="48" t="s">
        <v>2535</v>
      </c>
      <c r="C735" s="62" t="s">
        <v>2536</v>
      </c>
      <c r="D735" s="83" t="s">
        <v>968</v>
      </c>
      <c r="E735" s="80">
        <v>734.0</v>
      </c>
      <c r="F735" s="48"/>
    </row>
    <row r="736" ht="15.75" customHeight="1">
      <c r="A736" s="48" t="s">
        <v>2537</v>
      </c>
      <c r="B736" s="48" t="s">
        <v>2538</v>
      </c>
      <c r="C736" s="62" t="s">
        <v>2539</v>
      </c>
      <c r="D736" s="83" t="s">
        <v>968</v>
      </c>
      <c r="E736" s="84">
        <v>735.0</v>
      </c>
      <c r="F736" s="48"/>
    </row>
    <row r="737" ht="15.75" customHeight="1">
      <c r="A737" s="48" t="s">
        <v>2540</v>
      </c>
      <c r="B737" s="48"/>
      <c r="C737" s="62" t="s">
        <v>2541</v>
      </c>
      <c r="D737" s="83" t="s">
        <v>968</v>
      </c>
      <c r="E737" s="80">
        <v>736.0</v>
      </c>
      <c r="F737" s="48"/>
    </row>
    <row r="738" ht="15.75" customHeight="1">
      <c r="A738" s="48" t="s">
        <v>2542</v>
      </c>
      <c r="B738" s="48"/>
      <c r="C738" s="62" t="s">
        <v>2543</v>
      </c>
      <c r="D738" s="83" t="s">
        <v>968</v>
      </c>
      <c r="E738" s="84">
        <v>737.0</v>
      </c>
      <c r="F738" s="48"/>
    </row>
    <row r="739" ht="15.75" customHeight="1">
      <c r="A739" s="48" t="s">
        <v>2544</v>
      </c>
      <c r="B739" s="48"/>
      <c r="C739" s="62" t="s">
        <v>2545</v>
      </c>
      <c r="D739" s="83" t="s">
        <v>968</v>
      </c>
      <c r="E739" s="80">
        <v>738.0</v>
      </c>
      <c r="F739" s="48"/>
    </row>
    <row r="740" ht="15.75" customHeight="1">
      <c r="A740" s="48" t="s">
        <v>2546</v>
      </c>
      <c r="B740" s="48" t="s">
        <v>2547</v>
      </c>
      <c r="C740" s="62" t="s">
        <v>2548</v>
      </c>
      <c r="D740" s="83" t="s">
        <v>968</v>
      </c>
      <c r="E740" s="84">
        <v>739.0</v>
      </c>
      <c r="F740" s="48"/>
    </row>
    <row r="741" ht="15.75" customHeight="1">
      <c r="A741" s="48" t="s">
        <v>2549</v>
      </c>
      <c r="B741" s="48"/>
      <c r="C741" s="62" t="s">
        <v>2550</v>
      </c>
      <c r="D741" s="83" t="s">
        <v>968</v>
      </c>
      <c r="E741" s="80">
        <v>740.0</v>
      </c>
      <c r="F741" s="48"/>
    </row>
    <row r="742" ht="15.75" customHeight="1">
      <c r="A742" s="48" t="s">
        <v>2551</v>
      </c>
      <c r="B742" s="48" t="s">
        <v>2552</v>
      </c>
      <c r="C742" s="62" t="s">
        <v>2553</v>
      </c>
      <c r="D742" s="83" t="s">
        <v>968</v>
      </c>
      <c r="E742" s="84">
        <v>741.0</v>
      </c>
      <c r="F742" s="48"/>
    </row>
    <row r="743" ht="15.75" customHeight="1">
      <c r="A743" s="48" t="s">
        <v>2554</v>
      </c>
      <c r="B743" s="48" t="s">
        <v>2555</v>
      </c>
      <c r="C743" s="63" t="s">
        <v>198</v>
      </c>
      <c r="D743" s="83" t="s">
        <v>968</v>
      </c>
      <c r="E743" s="80">
        <v>742.0</v>
      </c>
      <c r="F743" s="48"/>
    </row>
    <row r="744" ht="15.75" customHeight="1">
      <c r="A744" s="48" t="s">
        <v>2556</v>
      </c>
      <c r="B744" s="48" t="s">
        <v>2557</v>
      </c>
      <c r="C744" s="62" t="s">
        <v>2558</v>
      </c>
      <c r="D744" s="83" t="s">
        <v>968</v>
      </c>
      <c r="E744" s="84">
        <v>743.0</v>
      </c>
      <c r="F744" s="48"/>
    </row>
    <row r="745" ht="15.75" customHeight="1">
      <c r="A745" s="48" t="s">
        <v>2559</v>
      </c>
      <c r="B745" s="48" t="s">
        <v>2560</v>
      </c>
      <c r="C745" s="62" t="s">
        <v>2561</v>
      </c>
      <c r="D745" s="83" t="s">
        <v>968</v>
      </c>
      <c r="E745" s="80">
        <v>744.0</v>
      </c>
      <c r="F745" s="48"/>
    </row>
    <row r="746" ht="15.75" customHeight="1">
      <c r="A746" s="48" t="s">
        <v>2562</v>
      </c>
      <c r="B746" s="48" t="s">
        <v>2563</v>
      </c>
      <c r="C746" s="62" t="s">
        <v>2564</v>
      </c>
      <c r="D746" s="83" t="s">
        <v>968</v>
      </c>
      <c r="E746" s="84">
        <v>745.0</v>
      </c>
      <c r="F746" s="48"/>
    </row>
    <row r="747" ht="15.75" customHeight="1">
      <c r="A747" s="48" t="s">
        <v>2565</v>
      </c>
      <c r="B747" s="48" t="s">
        <v>2566</v>
      </c>
      <c r="C747" s="62" t="s">
        <v>2567</v>
      </c>
      <c r="D747" s="83" t="s">
        <v>968</v>
      </c>
      <c r="E747" s="80">
        <v>746.0</v>
      </c>
      <c r="F747" s="48"/>
    </row>
    <row r="748" ht="15.75" customHeight="1">
      <c r="A748" s="48" t="s">
        <v>2568</v>
      </c>
      <c r="B748" s="48" t="s">
        <v>2569</v>
      </c>
      <c r="C748" s="62" t="s">
        <v>2570</v>
      </c>
      <c r="D748" s="83" t="s">
        <v>968</v>
      </c>
      <c r="E748" s="84">
        <v>747.0</v>
      </c>
      <c r="F748" s="48"/>
    </row>
    <row r="749" ht="15.75" customHeight="1">
      <c r="A749" s="48" t="s">
        <v>2571</v>
      </c>
      <c r="B749" s="48" t="s">
        <v>2572</v>
      </c>
      <c r="C749" s="62" t="s">
        <v>2573</v>
      </c>
      <c r="D749" s="83" t="s">
        <v>968</v>
      </c>
      <c r="E749" s="80">
        <v>748.0</v>
      </c>
      <c r="F749" s="48"/>
    </row>
    <row r="750" ht="15.75" customHeight="1">
      <c r="A750" s="48" t="s">
        <v>2574</v>
      </c>
      <c r="B750" s="48" t="s">
        <v>2575</v>
      </c>
      <c r="C750" s="62" t="s">
        <v>2576</v>
      </c>
      <c r="D750" s="83" t="s">
        <v>968</v>
      </c>
      <c r="E750" s="84">
        <v>749.0</v>
      </c>
      <c r="F750" s="48"/>
    </row>
    <row r="751" ht="15.75" customHeight="1">
      <c r="A751" s="48" t="s">
        <v>2577</v>
      </c>
      <c r="B751" s="48" t="s">
        <v>2578</v>
      </c>
      <c r="C751" s="62" t="s">
        <v>2579</v>
      </c>
      <c r="D751" s="83" t="s">
        <v>968</v>
      </c>
      <c r="E751" s="80">
        <v>750.0</v>
      </c>
      <c r="F751" s="48"/>
    </row>
    <row r="752" ht="15.75" customHeight="1">
      <c r="A752" s="48" t="s">
        <v>2580</v>
      </c>
      <c r="B752" s="48" t="s">
        <v>2581</v>
      </c>
      <c r="C752" s="62" t="s">
        <v>2582</v>
      </c>
      <c r="D752" s="83" t="s">
        <v>968</v>
      </c>
      <c r="E752" s="84">
        <v>751.0</v>
      </c>
      <c r="F752" s="48"/>
    </row>
    <row r="753" ht="15.75" customHeight="1">
      <c r="A753" s="48" t="s">
        <v>2583</v>
      </c>
      <c r="B753" s="48" t="s">
        <v>2584</v>
      </c>
      <c r="C753" s="63" t="s">
        <v>198</v>
      </c>
      <c r="D753" s="83" t="s">
        <v>968</v>
      </c>
      <c r="E753" s="80">
        <v>752.0</v>
      </c>
      <c r="F753" s="48"/>
    </row>
    <row r="754" ht="15.75" customHeight="1">
      <c r="A754" s="48" t="s">
        <v>2585</v>
      </c>
      <c r="B754" s="48" t="s">
        <v>2586</v>
      </c>
      <c r="C754" s="62" t="s">
        <v>2587</v>
      </c>
      <c r="D754" s="83" t="s">
        <v>968</v>
      </c>
      <c r="E754" s="84">
        <v>753.0</v>
      </c>
      <c r="F754" s="48"/>
    </row>
    <row r="755" ht="15.75" customHeight="1">
      <c r="A755" s="48" t="s">
        <v>2588</v>
      </c>
      <c r="B755" s="48" t="s">
        <v>2589</v>
      </c>
      <c r="C755" s="62" t="s">
        <v>2590</v>
      </c>
      <c r="D755" s="83" t="s">
        <v>968</v>
      </c>
      <c r="E755" s="80">
        <v>754.0</v>
      </c>
      <c r="F755" s="48"/>
    </row>
    <row r="756" ht="15.75" customHeight="1">
      <c r="A756" s="48" t="s">
        <v>2591</v>
      </c>
      <c r="B756" s="48" t="s">
        <v>2592</v>
      </c>
      <c r="C756" s="62" t="s">
        <v>2593</v>
      </c>
      <c r="D756" s="83" t="s">
        <v>968</v>
      </c>
      <c r="E756" s="84">
        <v>755.0</v>
      </c>
      <c r="F756" s="48"/>
    </row>
    <row r="757" ht="15.75" customHeight="1">
      <c r="A757" s="48" t="s">
        <v>2594</v>
      </c>
      <c r="B757" s="48" t="s">
        <v>2595</v>
      </c>
      <c r="C757" s="62" t="s">
        <v>2596</v>
      </c>
      <c r="D757" s="83" t="s">
        <v>968</v>
      </c>
      <c r="E757" s="80">
        <v>756.0</v>
      </c>
      <c r="F757" s="48"/>
    </row>
    <row r="758" ht="15.75" customHeight="1">
      <c r="A758" s="48" t="s">
        <v>2597</v>
      </c>
      <c r="B758" s="48" t="s">
        <v>2598</v>
      </c>
      <c r="C758" s="63" t="s">
        <v>198</v>
      </c>
      <c r="D758" s="83" t="s">
        <v>968</v>
      </c>
      <c r="E758" s="84">
        <v>757.0</v>
      </c>
      <c r="F758" s="48"/>
    </row>
    <row r="759" ht="15.75" customHeight="1">
      <c r="A759" s="48" t="s">
        <v>2599</v>
      </c>
      <c r="B759" s="48" t="s">
        <v>2600</v>
      </c>
      <c r="C759" s="63" t="s">
        <v>198</v>
      </c>
      <c r="D759" s="83" t="s">
        <v>968</v>
      </c>
      <c r="E759" s="80">
        <v>758.0</v>
      </c>
      <c r="F759" s="48"/>
    </row>
    <row r="760" ht="15.75" customHeight="1">
      <c r="A760" s="48" t="s">
        <v>2601</v>
      </c>
      <c r="B760" s="48" t="s">
        <v>2602</v>
      </c>
      <c r="C760" s="62" t="s">
        <v>2603</v>
      </c>
      <c r="D760" s="83" t="s">
        <v>968</v>
      </c>
      <c r="E760" s="84">
        <v>759.0</v>
      </c>
      <c r="F760" s="48"/>
    </row>
    <row r="761" ht="15.75" customHeight="1">
      <c r="A761" s="48" t="s">
        <v>2604</v>
      </c>
      <c r="B761" s="48" t="s">
        <v>2605</v>
      </c>
      <c r="C761" s="62" t="s">
        <v>2606</v>
      </c>
      <c r="D761" s="83" t="s">
        <v>968</v>
      </c>
      <c r="E761" s="80">
        <v>760.0</v>
      </c>
      <c r="F761" s="48"/>
    </row>
    <row r="762" ht="15.75" customHeight="1">
      <c r="A762" s="48" t="s">
        <v>2607</v>
      </c>
      <c r="B762" s="48" t="s">
        <v>2608</v>
      </c>
      <c r="C762" s="62" t="s">
        <v>2609</v>
      </c>
      <c r="D762" s="83" t="s">
        <v>968</v>
      </c>
      <c r="E762" s="84">
        <v>761.0</v>
      </c>
      <c r="F762" s="48"/>
    </row>
    <row r="763" ht="15.75" customHeight="1">
      <c r="A763" s="48" t="s">
        <v>2610</v>
      </c>
      <c r="B763" s="48" t="s">
        <v>2611</v>
      </c>
      <c r="C763" s="62" t="s">
        <v>2612</v>
      </c>
      <c r="D763" s="83" t="s">
        <v>968</v>
      </c>
      <c r="E763" s="80">
        <v>762.0</v>
      </c>
      <c r="F763" s="48"/>
    </row>
    <row r="764" ht="15.75" customHeight="1">
      <c r="A764" s="48" t="s">
        <v>2613</v>
      </c>
      <c r="B764" s="48" t="s">
        <v>2614</v>
      </c>
      <c r="C764" s="62" t="s">
        <v>2615</v>
      </c>
      <c r="D764" s="83" t="s">
        <v>968</v>
      </c>
      <c r="E764" s="84">
        <v>763.0</v>
      </c>
      <c r="F764" s="48"/>
    </row>
    <row r="765" ht="15.75" customHeight="1">
      <c r="A765" s="48" t="s">
        <v>2616</v>
      </c>
      <c r="B765" s="48" t="s">
        <v>2617</v>
      </c>
      <c r="C765" s="62" t="s">
        <v>2618</v>
      </c>
      <c r="D765" s="83" t="s">
        <v>968</v>
      </c>
      <c r="E765" s="80">
        <v>764.0</v>
      </c>
      <c r="F765" s="48"/>
    </row>
    <row r="766" ht="15.75" customHeight="1">
      <c r="A766" s="48" t="s">
        <v>2619</v>
      </c>
      <c r="B766" s="48" t="s">
        <v>2620</v>
      </c>
      <c r="C766" s="62" t="s">
        <v>2621</v>
      </c>
      <c r="D766" s="83" t="s">
        <v>968</v>
      </c>
      <c r="E766" s="84">
        <v>765.0</v>
      </c>
      <c r="F766" s="48"/>
    </row>
    <row r="767" ht="15.75" customHeight="1">
      <c r="A767" s="48" t="s">
        <v>2622</v>
      </c>
      <c r="B767" s="48" t="s">
        <v>2623</v>
      </c>
      <c r="C767" s="62" t="s">
        <v>2624</v>
      </c>
      <c r="D767" s="83" t="s">
        <v>968</v>
      </c>
      <c r="E767" s="80">
        <v>766.0</v>
      </c>
      <c r="F767" s="48"/>
    </row>
    <row r="768" ht="15.75" customHeight="1">
      <c r="A768" s="48" t="s">
        <v>2625</v>
      </c>
      <c r="B768" s="48" t="s">
        <v>2626</v>
      </c>
      <c r="C768" s="62" t="s">
        <v>2627</v>
      </c>
      <c r="D768" s="83" t="s">
        <v>968</v>
      </c>
      <c r="E768" s="84">
        <v>767.0</v>
      </c>
      <c r="F768" s="48"/>
    </row>
    <row r="769" ht="15.75" customHeight="1">
      <c r="A769" s="48" t="s">
        <v>2628</v>
      </c>
      <c r="B769" s="48" t="s">
        <v>2629</v>
      </c>
      <c r="C769" s="62" t="s">
        <v>2630</v>
      </c>
      <c r="D769" s="83" t="s">
        <v>968</v>
      </c>
      <c r="E769" s="80">
        <v>768.0</v>
      </c>
      <c r="F769" s="48"/>
    </row>
    <row r="770" ht="15.75" customHeight="1">
      <c r="A770" s="48" t="s">
        <v>2631</v>
      </c>
      <c r="B770" s="48" t="s">
        <v>2632</v>
      </c>
      <c r="C770" s="62" t="s">
        <v>2633</v>
      </c>
      <c r="D770" s="83" t="s">
        <v>968</v>
      </c>
      <c r="E770" s="84">
        <v>769.0</v>
      </c>
      <c r="F770" s="48"/>
    </row>
    <row r="771" ht="15.75" customHeight="1">
      <c r="A771" s="48" t="s">
        <v>2634</v>
      </c>
      <c r="B771" s="48"/>
      <c r="C771" s="62" t="s">
        <v>2635</v>
      </c>
      <c r="D771" s="83" t="s">
        <v>968</v>
      </c>
      <c r="E771" s="80">
        <v>770.0</v>
      </c>
      <c r="F771" s="48"/>
    </row>
    <row r="772" ht="15.75" customHeight="1">
      <c r="A772" s="48" t="s">
        <v>2636</v>
      </c>
      <c r="B772" s="48" t="s">
        <v>2637</v>
      </c>
      <c r="C772" s="62" t="s">
        <v>2638</v>
      </c>
      <c r="D772" s="83" t="s">
        <v>968</v>
      </c>
      <c r="E772" s="84">
        <v>771.0</v>
      </c>
      <c r="F772" s="48"/>
    </row>
    <row r="773" ht="15.75" customHeight="1">
      <c r="A773" s="48" t="s">
        <v>2639</v>
      </c>
      <c r="B773" s="48" t="s">
        <v>2640</v>
      </c>
      <c r="C773" s="62" t="s">
        <v>2641</v>
      </c>
      <c r="D773" s="83" t="s">
        <v>968</v>
      </c>
      <c r="E773" s="80">
        <v>772.0</v>
      </c>
      <c r="F773" s="48"/>
    </row>
    <row r="774" ht="15.75" customHeight="1">
      <c r="A774" s="48" t="s">
        <v>2642</v>
      </c>
      <c r="B774" s="48" t="s">
        <v>2643</v>
      </c>
      <c r="C774" s="62" t="s">
        <v>2644</v>
      </c>
      <c r="D774" s="83" t="s">
        <v>968</v>
      </c>
      <c r="E774" s="84">
        <v>773.0</v>
      </c>
      <c r="F774" s="48"/>
    </row>
    <row r="775" ht="15.75" customHeight="1">
      <c r="A775" s="48" t="s">
        <v>2645</v>
      </c>
      <c r="B775" s="48" t="s">
        <v>2646</v>
      </c>
      <c r="C775" s="48" t="s">
        <v>198</v>
      </c>
      <c r="D775" s="83" t="s">
        <v>898</v>
      </c>
      <c r="E775" s="80">
        <v>774.0</v>
      </c>
      <c r="F775" s="48"/>
    </row>
    <row r="776" ht="15.75" customHeight="1">
      <c r="A776" s="48" t="s">
        <v>2647</v>
      </c>
      <c r="B776" s="48" t="s">
        <v>2648</v>
      </c>
      <c r="C776" s="62" t="s">
        <v>2649</v>
      </c>
      <c r="D776" s="83" t="s">
        <v>898</v>
      </c>
      <c r="E776" s="84">
        <v>775.0</v>
      </c>
      <c r="F776" s="48"/>
    </row>
    <row r="777" ht="15.75" customHeight="1">
      <c r="A777" s="48" t="s">
        <v>2650</v>
      </c>
      <c r="B777" s="48" t="s">
        <v>2651</v>
      </c>
      <c r="C777" s="62" t="s">
        <v>2652</v>
      </c>
      <c r="D777" s="83" t="s">
        <v>898</v>
      </c>
      <c r="E777" s="80">
        <v>776.0</v>
      </c>
      <c r="F777" s="48"/>
    </row>
    <row r="778" ht="15.75" customHeight="1">
      <c r="A778" s="48" t="s">
        <v>2653</v>
      </c>
      <c r="B778" s="48"/>
      <c r="C778" s="62" t="s">
        <v>2654</v>
      </c>
      <c r="D778" s="83" t="s">
        <v>898</v>
      </c>
      <c r="E778" s="84">
        <v>777.0</v>
      </c>
      <c r="F778" s="48"/>
    </row>
    <row r="779" ht="15.75" customHeight="1">
      <c r="A779" s="48" t="s">
        <v>2655</v>
      </c>
      <c r="B779" s="48" t="s">
        <v>2656</v>
      </c>
      <c r="C779" s="48" t="s">
        <v>198</v>
      </c>
      <c r="D779" s="83" t="s">
        <v>898</v>
      </c>
      <c r="E779" s="80">
        <v>778.0</v>
      </c>
      <c r="F779" s="48"/>
    </row>
    <row r="780" ht="15.75" customHeight="1">
      <c r="A780" s="48" t="s">
        <v>2657</v>
      </c>
      <c r="B780" s="48"/>
      <c r="C780" s="62" t="s">
        <v>2658</v>
      </c>
      <c r="D780" s="83" t="s">
        <v>898</v>
      </c>
      <c r="E780" s="84">
        <v>779.0</v>
      </c>
      <c r="F780" s="48"/>
    </row>
    <row r="781" ht="15.75" customHeight="1">
      <c r="A781" s="48" t="s">
        <v>2659</v>
      </c>
      <c r="B781" s="48" t="s">
        <v>2660</v>
      </c>
      <c r="C781" s="62" t="s">
        <v>2661</v>
      </c>
      <c r="D781" s="83" t="s">
        <v>898</v>
      </c>
      <c r="E781" s="80">
        <v>780.0</v>
      </c>
      <c r="F781" s="48"/>
    </row>
    <row r="782" ht="15.75" customHeight="1">
      <c r="A782" s="48" t="s">
        <v>2662</v>
      </c>
      <c r="B782" s="48" t="s">
        <v>2663</v>
      </c>
      <c r="C782" s="62" t="s">
        <v>2664</v>
      </c>
      <c r="D782" s="83" t="s">
        <v>898</v>
      </c>
      <c r="E782" s="84">
        <v>781.0</v>
      </c>
      <c r="F782" s="48"/>
    </row>
    <row r="783" ht="15.75" customHeight="1">
      <c r="A783" s="48" t="s">
        <v>2665</v>
      </c>
      <c r="B783" s="48" t="s">
        <v>2666</v>
      </c>
      <c r="C783" s="62" t="s">
        <v>2667</v>
      </c>
      <c r="D783" s="83" t="s">
        <v>898</v>
      </c>
      <c r="E783" s="80">
        <v>782.0</v>
      </c>
      <c r="F783" s="48"/>
    </row>
    <row r="784" ht="15.75" customHeight="1">
      <c r="A784" s="48" t="s">
        <v>2668</v>
      </c>
      <c r="B784" s="48" t="s">
        <v>2669</v>
      </c>
      <c r="C784" s="63" t="s">
        <v>198</v>
      </c>
      <c r="D784" s="83" t="s">
        <v>898</v>
      </c>
      <c r="E784" s="84">
        <v>783.0</v>
      </c>
      <c r="F784" s="48"/>
    </row>
    <row r="785" ht="15.75" customHeight="1">
      <c r="A785" s="48" t="s">
        <v>2670</v>
      </c>
      <c r="B785" s="48"/>
      <c r="C785" s="62" t="s">
        <v>2671</v>
      </c>
      <c r="D785" s="83" t="s">
        <v>898</v>
      </c>
      <c r="E785" s="80">
        <v>784.0</v>
      </c>
      <c r="F785" s="48"/>
    </row>
    <row r="786" ht="15.75" customHeight="1">
      <c r="A786" s="48" t="s">
        <v>2672</v>
      </c>
      <c r="B786" s="48"/>
      <c r="C786" s="62" t="s">
        <v>2673</v>
      </c>
      <c r="D786" s="83" t="s">
        <v>898</v>
      </c>
      <c r="E786" s="84">
        <v>785.0</v>
      </c>
      <c r="F786" s="48"/>
    </row>
    <row r="787" ht="15.75" customHeight="1">
      <c r="A787" s="48" t="s">
        <v>2674</v>
      </c>
      <c r="B787" s="48" t="s">
        <v>989</v>
      </c>
      <c r="C787" s="62" t="s">
        <v>2675</v>
      </c>
      <c r="D787" s="83" t="s">
        <v>898</v>
      </c>
      <c r="E787" s="80">
        <v>786.0</v>
      </c>
      <c r="F787" s="48"/>
    </row>
    <row r="788" ht="15.75" customHeight="1">
      <c r="A788" s="48" t="s">
        <v>2676</v>
      </c>
      <c r="B788" s="48" t="s">
        <v>2677</v>
      </c>
      <c r="C788" s="62" t="s">
        <v>2678</v>
      </c>
      <c r="D788" s="83" t="s">
        <v>898</v>
      </c>
      <c r="E788" s="84">
        <v>787.0</v>
      </c>
      <c r="F788" s="48"/>
    </row>
    <row r="789" ht="15.75" customHeight="1">
      <c r="A789" s="48" t="s">
        <v>2679</v>
      </c>
      <c r="B789" s="48" t="s">
        <v>403</v>
      </c>
      <c r="C789" s="62" t="s">
        <v>2680</v>
      </c>
      <c r="D789" s="83" t="s">
        <v>898</v>
      </c>
      <c r="E789" s="80">
        <v>788.0</v>
      </c>
      <c r="F789" s="48"/>
    </row>
    <row r="790" ht="15.75" customHeight="1">
      <c r="A790" s="48" t="s">
        <v>2681</v>
      </c>
      <c r="B790" s="48" t="s">
        <v>2682</v>
      </c>
      <c r="C790" s="62" t="s">
        <v>2683</v>
      </c>
      <c r="D790" s="83" t="s">
        <v>898</v>
      </c>
      <c r="E790" s="84">
        <v>789.0</v>
      </c>
      <c r="F790" s="48"/>
    </row>
    <row r="791" ht="15.75" customHeight="1">
      <c r="A791" s="48" t="s">
        <v>2684</v>
      </c>
      <c r="B791" s="48" t="s">
        <v>198</v>
      </c>
      <c r="C791" s="62" t="s">
        <v>2685</v>
      </c>
      <c r="D791" s="83" t="s">
        <v>898</v>
      </c>
      <c r="E791" s="80">
        <v>790.0</v>
      </c>
      <c r="F791" s="48"/>
    </row>
    <row r="792" ht="15.75" customHeight="1">
      <c r="A792" s="48" t="s">
        <v>2686</v>
      </c>
      <c r="B792" s="48" t="s">
        <v>2687</v>
      </c>
      <c r="C792" s="62" t="s">
        <v>2688</v>
      </c>
      <c r="D792" s="83" t="s">
        <v>898</v>
      </c>
      <c r="E792" s="84">
        <v>791.0</v>
      </c>
      <c r="F792" s="48"/>
    </row>
    <row r="793" ht="15.75" customHeight="1">
      <c r="A793" s="48" t="s">
        <v>2689</v>
      </c>
      <c r="B793" s="48" t="s">
        <v>2690</v>
      </c>
      <c r="C793" s="62" t="s">
        <v>2691</v>
      </c>
      <c r="D793" s="83" t="s">
        <v>898</v>
      </c>
      <c r="E793" s="80">
        <v>792.0</v>
      </c>
      <c r="F793" s="48"/>
    </row>
    <row r="794" ht="15.75" customHeight="1">
      <c r="A794" s="48" t="s">
        <v>2692</v>
      </c>
      <c r="B794" s="48" t="s">
        <v>2693</v>
      </c>
      <c r="C794" s="62" t="s">
        <v>2694</v>
      </c>
      <c r="D794" s="83" t="s">
        <v>898</v>
      </c>
      <c r="E794" s="84">
        <v>793.0</v>
      </c>
      <c r="F794" s="48"/>
    </row>
    <row r="795" ht="15.75" customHeight="1">
      <c r="A795" s="48" t="s">
        <v>958</v>
      </c>
      <c r="B795" s="48" t="s">
        <v>2695</v>
      </c>
      <c r="C795" s="62" t="s">
        <v>2696</v>
      </c>
      <c r="D795" s="83" t="s">
        <v>898</v>
      </c>
      <c r="E795" s="80">
        <v>794.0</v>
      </c>
      <c r="F795" s="48"/>
    </row>
    <row r="796" ht="15.75" customHeight="1">
      <c r="A796" s="48" t="s">
        <v>2697</v>
      </c>
      <c r="B796" s="48" t="s">
        <v>2698</v>
      </c>
      <c r="C796" s="62" t="s">
        <v>2699</v>
      </c>
      <c r="D796" s="83" t="s">
        <v>898</v>
      </c>
      <c r="E796" s="84">
        <v>795.0</v>
      </c>
      <c r="F796" s="48"/>
    </row>
    <row r="797" ht="15.75" customHeight="1">
      <c r="A797" s="48" t="s">
        <v>2700</v>
      </c>
      <c r="B797" s="48" t="s">
        <v>2701</v>
      </c>
      <c r="C797" s="62" t="s">
        <v>2702</v>
      </c>
      <c r="D797" s="83" t="s">
        <v>960</v>
      </c>
      <c r="E797" s="80">
        <v>796.0</v>
      </c>
      <c r="F797" s="48"/>
    </row>
    <row r="798" ht="15.75" customHeight="1">
      <c r="A798" s="48" t="s">
        <v>2703</v>
      </c>
      <c r="B798" s="48" t="s">
        <v>2704</v>
      </c>
      <c r="C798" s="62" t="s">
        <v>2705</v>
      </c>
      <c r="D798" s="83" t="s">
        <v>960</v>
      </c>
      <c r="E798" s="84">
        <v>797.0</v>
      </c>
      <c r="F798" s="48"/>
    </row>
    <row r="799" ht="15.75" customHeight="1">
      <c r="A799" s="48" t="s">
        <v>2706</v>
      </c>
      <c r="B799" s="48" t="s">
        <v>198</v>
      </c>
      <c r="C799" s="62" t="s">
        <v>2707</v>
      </c>
      <c r="D799" s="83" t="s">
        <v>960</v>
      </c>
      <c r="E799" s="80">
        <v>798.0</v>
      </c>
      <c r="F799" s="48"/>
    </row>
    <row r="800" ht="15.75" customHeight="1">
      <c r="A800" s="48" t="s">
        <v>2708</v>
      </c>
      <c r="B800" s="48" t="s">
        <v>198</v>
      </c>
      <c r="C800" s="62" t="s">
        <v>2709</v>
      </c>
      <c r="D800" s="83" t="s">
        <v>960</v>
      </c>
      <c r="E800" s="84">
        <v>799.0</v>
      </c>
      <c r="F800" s="48"/>
    </row>
    <row r="801" ht="15.75" customHeight="1">
      <c r="A801" s="48" t="s">
        <v>2710</v>
      </c>
      <c r="B801" s="48" t="s">
        <v>2711</v>
      </c>
      <c r="C801" s="48" t="s">
        <v>198</v>
      </c>
      <c r="D801" s="83" t="s">
        <v>960</v>
      </c>
      <c r="E801" s="80">
        <v>800.0</v>
      </c>
      <c r="F801" s="48"/>
    </row>
    <row r="802" ht="15.75" customHeight="1">
      <c r="A802" s="48" t="s">
        <v>2712</v>
      </c>
      <c r="B802" s="48" t="s">
        <v>198</v>
      </c>
      <c r="C802" s="62" t="s">
        <v>2713</v>
      </c>
      <c r="D802" s="83" t="s">
        <v>960</v>
      </c>
      <c r="E802" s="84">
        <v>801.0</v>
      </c>
      <c r="F802" s="48"/>
    </row>
    <row r="803" ht="15.75" customHeight="1">
      <c r="A803" s="48" t="s">
        <v>2714</v>
      </c>
      <c r="B803" s="48" t="s">
        <v>198</v>
      </c>
      <c r="C803" s="62" t="s">
        <v>2715</v>
      </c>
      <c r="D803" s="83" t="s">
        <v>960</v>
      </c>
      <c r="E803" s="84">
        <v>802.0</v>
      </c>
      <c r="F803" s="48"/>
    </row>
    <row r="804" ht="15.75" customHeight="1">
      <c r="A804" s="48" t="s">
        <v>2716</v>
      </c>
      <c r="B804" s="48" t="s">
        <v>2717</v>
      </c>
      <c r="C804" s="62" t="s">
        <v>2718</v>
      </c>
      <c r="D804" s="83" t="s">
        <v>960</v>
      </c>
      <c r="E804" s="84">
        <v>803.0</v>
      </c>
      <c r="F804" s="48"/>
    </row>
    <row r="805" ht="15.75" customHeight="1">
      <c r="A805" s="48" t="s">
        <v>2719</v>
      </c>
      <c r="B805" s="48" t="s">
        <v>2720</v>
      </c>
      <c r="C805" s="62" t="s">
        <v>2721</v>
      </c>
      <c r="D805" s="83" t="s">
        <v>960</v>
      </c>
      <c r="E805" s="84">
        <v>804.0</v>
      </c>
      <c r="F805" s="48"/>
    </row>
    <row r="806" ht="15.75" customHeight="1">
      <c r="A806" s="48" t="s">
        <v>2722</v>
      </c>
      <c r="B806" s="48" t="s">
        <v>2723</v>
      </c>
      <c r="C806" s="48" t="s">
        <v>198</v>
      </c>
      <c r="D806" s="83" t="s">
        <v>1444</v>
      </c>
      <c r="E806" s="84">
        <v>805.0</v>
      </c>
      <c r="F806" s="48"/>
    </row>
    <row r="807" ht="15.75" customHeight="1">
      <c r="A807" s="48" t="s">
        <v>2724</v>
      </c>
      <c r="B807" s="48" t="s">
        <v>2725</v>
      </c>
      <c r="C807" s="62" t="s">
        <v>2726</v>
      </c>
      <c r="D807" s="83" t="s">
        <v>1444</v>
      </c>
      <c r="E807" s="84">
        <v>806.0</v>
      </c>
      <c r="F807" s="48"/>
    </row>
    <row r="808" ht="15.75" customHeight="1">
      <c r="A808" s="48" t="s">
        <v>2727</v>
      </c>
      <c r="B808" s="48"/>
      <c r="C808" s="62" t="s">
        <v>2728</v>
      </c>
      <c r="D808" s="83" t="s">
        <v>1444</v>
      </c>
      <c r="E808" s="84">
        <v>807.0</v>
      </c>
      <c r="F808" s="48"/>
    </row>
    <row r="809" ht="15.75" customHeight="1">
      <c r="A809" s="48" t="s">
        <v>2729</v>
      </c>
      <c r="B809" s="48" t="s">
        <v>2730</v>
      </c>
      <c r="C809" s="62" t="s">
        <v>2731</v>
      </c>
      <c r="D809" s="83" t="s">
        <v>1444</v>
      </c>
      <c r="E809" s="84">
        <v>808.0</v>
      </c>
      <c r="F809" s="48"/>
    </row>
    <row r="810" ht="15.75" customHeight="1">
      <c r="A810" s="48" t="s">
        <v>2732</v>
      </c>
      <c r="B810" s="48"/>
      <c r="C810" s="62" t="s">
        <v>2731</v>
      </c>
      <c r="D810" s="83" t="s">
        <v>1444</v>
      </c>
      <c r="E810" s="84">
        <v>809.0</v>
      </c>
      <c r="F810" s="48"/>
    </row>
    <row r="811" ht="15.75" customHeight="1">
      <c r="A811" s="48" t="s">
        <v>2733</v>
      </c>
      <c r="B811" s="48"/>
      <c r="C811" s="62" t="s">
        <v>2734</v>
      </c>
      <c r="D811" s="83" t="s">
        <v>1444</v>
      </c>
      <c r="E811" s="84">
        <v>810.0</v>
      </c>
      <c r="F811" s="48"/>
    </row>
    <row r="812" ht="15.75" customHeight="1">
      <c r="A812" s="48" t="s">
        <v>2735</v>
      </c>
      <c r="B812" s="48" t="s">
        <v>2736</v>
      </c>
      <c r="C812" s="62" t="s">
        <v>2737</v>
      </c>
      <c r="D812" s="83" t="s">
        <v>1444</v>
      </c>
      <c r="E812" s="84">
        <v>811.0</v>
      </c>
      <c r="F812" s="48"/>
    </row>
    <row r="813" ht="15.75" customHeight="1">
      <c r="A813" s="48" t="s">
        <v>2738</v>
      </c>
      <c r="B813" s="48" t="s">
        <v>2739</v>
      </c>
      <c r="C813" s="62" t="s">
        <v>2740</v>
      </c>
      <c r="D813" s="83" t="s">
        <v>1444</v>
      </c>
      <c r="E813" s="84">
        <v>812.0</v>
      </c>
      <c r="F813" s="48"/>
    </row>
    <row r="814" ht="15.75" customHeight="1">
      <c r="A814" s="48" t="s">
        <v>2741</v>
      </c>
      <c r="B814" s="48" t="s">
        <v>2742</v>
      </c>
      <c r="C814" s="62" t="s">
        <v>2743</v>
      </c>
      <c r="D814" s="83" t="s">
        <v>1444</v>
      </c>
      <c r="E814" s="84">
        <v>813.0</v>
      </c>
      <c r="F814" s="48"/>
    </row>
    <row r="815" ht="15.75" customHeight="1">
      <c r="A815" s="48" t="s">
        <v>2744</v>
      </c>
      <c r="B815" s="48"/>
      <c r="C815" s="62" t="s">
        <v>2745</v>
      </c>
      <c r="D815" s="83" t="s">
        <v>1444</v>
      </c>
      <c r="E815" s="84">
        <v>814.0</v>
      </c>
      <c r="F815" s="48"/>
    </row>
    <row r="816" ht="15.75" customHeight="1">
      <c r="A816" s="93" t="s">
        <v>2746</v>
      </c>
      <c r="B816" s="93" t="s">
        <v>2747</v>
      </c>
      <c r="C816" s="98" t="s">
        <v>2748</v>
      </c>
      <c r="D816" s="83" t="s">
        <v>960</v>
      </c>
      <c r="E816" s="84">
        <v>815.0</v>
      </c>
      <c r="F816" s="48" t="s">
        <v>2749</v>
      </c>
    </row>
    <row r="817" ht="15.75" customHeight="1">
      <c r="A817" s="48" t="s">
        <v>2750</v>
      </c>
      <c r="B817" s="48" t="s">
        <v>2751</v>
      </c>
      <c r="C817" s="62" t="s">
        <v>2752</v>
      </c>
      <c r="D817" s="83" t="s">
        <v>960</v>
      </c>
      <c r="E817" s="84">
        <v>816.0</v>
      </c>
      <c r="F817" s="48"/>
    </row>
    <row r="818" ht="15.75" customHeight="1">
      <c r="A818" s="48" t="s">
        <v>2753</v>
      </c>
      <c r="B818" s="48"/>
      <c r="C818" s="62" t="s">
        <v>2754</v>
      </c>
      <c r="D818" s="83" t="s">
        <v>960</v>
      </c>
      <c r="E818" s="84">
        <v>817.0</v>
      </c>
      <c r="F818" s="48"/>
    </row>
    <row r="819" ht="15.75" customHeight="1">
      <c r="A819" s="48" t="s">
        <v>1684</v>
      </c>
      <c r="B819" s="48" t="s">
        <v>2755</v>
      </c>
      <c r="C819" s="48" t="s">
        <v>198</v>
      </c>
      <c r="D819" s="83" t="s">
        <v>960</v>
      </c>
      <c r="E819" s="84">
        <v>818.0</v>
      </c>
      <c r="F819" s="48"/>
    </row>
    <row r="820" ht="15.75" customHeight="1">
      <c r="A820" s="48" t="s">
        <v>2756</v>
      </c>
      <c r="B820" s="48" t="s">
        <v>403</v>
      </c>
      <c r="C820" s="62" t="s">
        <v>2757</v>
      </c>
      <c r="D820" s="83" t="s">
        <v>960</v>
      </c>
      <c r="E820" s="84">
        <v>819.0</v>
      </c>
      <c r="F820" s="48"/>
    </row>
    <row r="821" ht="15.75" customHeight="1">
      <c r="A821" s="48" t="s">
        <v>2758</v>
      </c>
      <c r="B821" s="48" t="s">
        <v>2759</v>
      </c>
      <c r="C821" s="62" t="s">
        <v>2760</v>
      </c>
      <c r="D821" s="83" t="s">
        <v>960</v>
      </c>
      <c r="E821" s="84">
        <v>820.0</v>
      </c>
      <c r="F821" s="48"/>
    </row>
    <row r="822" ht="15.75" customHeight="1">
      <c r="A822" s="48" t="s">
        <v>2761</v>
      </c>
      <c r="B822" s="48" t="s">
        <v>2762</v>
      </c>
      <c r="C822" s="62" t="s">
        <v>2763</v>
      </c>
      <c r="D822" s="83" t="s">
        <v>960</v>
      </c>
      <c r="E822" s="84">
        <v>821.0</v>
      </c>
      <c r="F822" s="48"/>
    </row>
    <row r="823" ht="15.75" customHeight="1">
      <c r="A823" s="48" t="s">
        <v>2764</v>
      </c>
      <c r="B823" s="48" t="s">
        <v>139</v>
      </c>
      <c r="C823" s="62" t="s">
        <v>2765</v>
      </c>
      <c r="D823" s="83" t="s">
        <v>960</v>
      </c>
      <c r="E823" s="84">
        <v>822.0</v>
      </c>
      <c r="F823" s="48"/>
    </row>
    <row r="824" ht="15.75" customHeight="1">
      <c r="A824" s="48" t="s">
        <v>2766</v>
      </c>
      <c r="B824" s="48" t="s">
        <v>2767</v>
      </c>
      <c r="C824" s="62" t="s">
        <v>2768</v>
      </c>
      <c r="D824" s="83" t="s">
        <v>960</v>
      </c>
      <c r="E824" s="84">
        <v>823.0</v>
      </c>
      <c r="F824" s="48"/>
    </row>
    <row r="825" ht="15.75" customHeight="1">
      <c r="A825" s="48" t="s">
        <v>2769</v>
      </c>
      <c r="B825" s="48" t="s">
        <v>2770</v>
      </c>
      <c r="C825" s="62" t="s">
        <v>2771</v>
      </c>
      <c r="D825" s="83" t="s">
        <v>960</v>
      </c>
      <c r="E825" s="84">
        <v>824.0</v>
      </c>
      <c r="F825" s="48"/>
    </row>
    <row r="826" ht="15.75" customHeight="1">
      <c r="A826" s="48" t="s">
        <v>2772</v>
      </c>
      <c r="B826" s="48" t="s">
        <v>2773</v>
      </c>
      <c r="C826" s="62" t="s">
        <v>2774</v>
      </c>
      <c r="D826" s="83" t="s">
        <v>960</v>
      </c>
      <c r="E826" s="84">
        <v>825.0</v>
      </c>
      <c r="F826" s="48"/>
    </row>
    <row r="827" ht="15.75" customHeight="1">
      <c r="A827" s="48" t="s">
        <v>2775</v>
      </c>
      <c r="B827" s="48" t="s">
        <v>2776</v>
      </c>
      <c r="C827" s="48" t="s">
        <v>198</v>
      </c>
      <c r="D827" s="83" t="s">
        <v>960</v>
      </c>
      <c r="E827" s="84">
        <v>826.0</v>
      </c>
      <c r="F827" s="48"/>
    </row>
    <row r="828" ht="15.75" customHeight="1">
      <c r="A828" s="48" t="s">
        <v>2777</v>
      </c>
      <c r="B828" s="48" t="s">
        <v>2778</v>
      </c>
      <c r="C828" s="62" t="s">
        <v>2779</v>
      </c>
      <c r="D828" s="83" t="s">
        <v>960</v>
      </c>
      <c r="E828" s="84">
        <v>827.0</v>
      </c>
      <c r="F828" s="48"/>
    </row>
    <row r="829" ht="15.75" customHeight="1">
      <c r="A829" s="48" t="s">
        <v>2780</v>
      </c>
      <c r="B829" s="48" t="s">
        <v>2781</v>
      </c>
      <c r="C829" s="62" t="s">
        <v>2782</v>
      </c>
      <c r="D829" s="83" t="s">
        <v>1074</v>
      </c>
      <c r="E829" s="84">
        <v>828.0</v>
      </c>
      <c r="F829" s="48"/>
    </row>
    <row r="830" ht="15.75" customHeight="1">
      <c r="A830" s="48" t="s">
        <v>2783</v>
      </c>
      <c r="B830" s="48" t="s">
        <v>2784</v>
      </c>
      <c r="C830" s="62" t="s">
        <v>2785</v>
      </c>
      <c r="D830" s="83" t="s">
        <v>1061</v>
      </c>
      <c r="E830" s="84">
        <v>829.0</v>
      </c>
      <c r="F830" s="48"/>
    </row>
    <row r="831" ht="15.75" customHeight="1">
      <c r="A831" s="48" t="s">
        <v>2786</v>
      </c>
      <c r="B831" s="48" t="s">
        <v>198</v>
      </c>
      <c r="C831" s="62" t="s">
        <v>2787</v>
      </c>
      <c r="D831" s="83" t="s">
        <v>1061</v>
      </c>
      <c r="E831" s="84">
        <v>830.0</v>
      </c>
      <c r="F831" s="48"/>
    </row>
    <row r="832" ht="15.75" customHeight="1">
      <c r="A832" s="48" t="s">
        <v>2788</v>
      </c>
      <c r="B832" s="48" t="s">
        <v>2789</v>
      </c>
      <c r="C832" s="62" t="s">
        <v>2790</v>
      </c>
      <c r="D832" s="83" t="s">
        <v>1061</v>
      </c>
      <c r="E832" s="84">
        <v>831.0</v>
      </c>
      <c r="F832" s="48"/>
    </row>
    <row r="833" ht="15.75" customHeight="1">
      <c r="A833" s="48" t="s">
        <v>865</v>
      </c>
      <c r="B833" s="48" t="s">
        <v>198</v>
      </c>
      <c r="C833" s="62" t="s">
        <v>866</v>
      </c>
      <c r="D833" s="83" t="s">
        <v>867</v>
      </c>
      <c r="E833" s="84">
        <v>832.0</v>
      </c>
      <c r="F833" s="48"/>
    </row>
    <row r="834" ht="15.75" customHeight="1">
      <c r="A834" s="48" t="s">
        <v>268</v>
      </c>
      <c r="B834" s="48"/>
      <c r="C834" s="62" t="s">
        <v>269</v>
      </c>
      <c r="D834" s="83" t="s">
        <v>205</v>
      </c>
      <c r="E834" s="84">
        <v>833.0</v>
      </c>
      <c r="F834" s="48"/>
    </row>
    <row r="835" ht="15.75" customHeight="1">
      <c r="A835" s="48" t="s">
        <v>270</v>
      </c>
      <c r="B835" s="48"/>
      <c r="C835" s="62" t="s">
        <v>271</v>
      </c>
      <c r="D835" s="83" t="s">
        <v>205</v>
      </c>
      <c r="E835" s="84">
        <v>834.0</v>
      </c>
      <c r="F835" s="48"/>
    </row>
    <row r="836" ht="15.75" customHeight="1">
      <c r="A836" s="48" t="s">
        <v>272</v>
      </c>
      <c r="B836" s="48" t="s">
        <v>273</v>
      </c>
      <c r="C836" s="48" t="s">
        <v>198</v>
      </c>
      <c r="D836" s="83" t="s">
        <v>205</v>
      </c>
      <c r="E836" s="84">
        <v>835.0</v>
      </c>
      <c r="F836" s="48"/>
    </row>
    <row r="837" ht="15.75" customHeight="1">
      <c r="A837" s="48" t="s">
        <v>274</v>
      </c>
      <c r="B837" s="48"/>
      <c r="C837" s="62" t="s">
        <v>275</v>
      </c>
      <c r="D837" s="83" t="s">
        <v>205</v>
      </c>
      <c r="E837" s="84">
        <v>836.0</v>
      </c>
      <c r="F837" s="48"/>
    </row>
    <row r="838" ht="15.75" customHeight="1">
      <c r="A838" s="48" t="s">
        <v>276</v>
      </c>
      <c r="B838" s="48" t="s">
        <v>277</v>
      </c>
      <c r="C838" s="48" t="s">
        <v>198</v>
      </c>
      <c r="D838" s="83" t="s">
        <v>205</v>
      </c>
      <c r="E838" s="84">
        <v>837.0</v>
      </c>
      <c r="F838" s="48"/>
    </row>
    <row r="839" ht="15.75" customHeight="1">
      <c r="A839" s="48" t="s">
        <v>278</v>
      </c>
      <c r="B839" s="48" t="s">
        <v>279</v>
      </c>
      <c r="C839" s="62" t="s">
        <v>280</v>
      </c>
      <c r="D839" s="83" t="s">
        <v>205</v>
      </c>
      <c r="E839" s="84">
        <v>838.0</v>
      </c>
      <c r="F839" s="48"/>
    </row>
    <row r="840" ht="15.75" customHeight="1">
      <c r="A840" s="48" t="s">
        <v>281</v>
      </c>
      <c r="B840" s="48" t="s">
        <v>198</v>
      </c>
      <c r="C840" s="62" t="s">
        <v>282</v>
      </c>
      <c r="D840" s="83" t="s">
        <v>205</v>
      </c>
      <c r="E840" s="84">
        <v>839.0</v>
      </c>
      <c r="F840" s="48"/>
    </row>
    <row r="841" ht="15.75" customHeight="1">
      <c r="A841" s="48" t="s">
        <v>283</v>
      </c>
      <c r="B841" s="48" t="s">
        <v>284</v>
      </c>
      <c r="C841" s="62" t="s">
        <v>285</v>
      </c>
      <c r="D841" s="83" t="s">
        <v>205</v>
      </c>
      <c r="E841" s="84">
        <v>840.0</v>
      </c>
      <c r="F841" s="48"/>
    </row>
    <row r="842" ht="15.75" customHeight="1">
      <c r="A842" s="48" t="s">
        <v>217</v>
      </c>
      <c r="B842" s="48"/>
      <c r="C842" s="62" t="s">
        <v>286</v>
      </c>
      <c r="D842" s="83" t="s">
        <v>205</v>
      </c>
      <c r="E842" s="84">
        <v>841.0</v>
      </c>
      <c r="F842" s="103">
        <v>43540.0</v>
      </c>
    </row>
    <row r="843" ht="15.75" customHeight="1">
      <c r="A843" s="48" t="s">
        <v>287</v>
      </c>
      <c r="B843" s="48" t="s">
        <v>288</v>
      </c>
      <c r="C843" s="62" t="s">
        <v>289</v>
      </c>
      <c r="D843" s="83" t="s">
        <v>205</v>
      </c>
      <c r="E843" s="84">
        <v>842.0</v>
      </c>
      <c r="F843" s="48"/>
    </row>
    <row r="844" ht="15.75" customHeight="1">
      <c r="A844" s="48" t="s">
        <v>290</v>
      </c>
      <c r="B844" s="48"/>
      <c r="C844" s="48" t="s">
        <v>198</v>
      </c>
      <c r="D844" s="83" t="s">
        <v>205</v>
      </c>
      <c r="E844" s="84">
        <v>843.0</v>
      </c>
      <c r="F844" s="48"/>
    </row>
    <row r="845" ht="15.75" customHeight="1">
      <c r="A845" s="48" t="s">
        <v>291</v>
      </c>
      <c r="B845" s="48"/>
      <c r="C845" s="48" t="s">
        <v>198</v>
      </c>
      <c r="D845" s="83" t="s">
        <v>205</v>
      </c>
      <c r="E845" s="84">
        <v>844.0</v>
      </c>
      <c r="F845" s="48"/>
    </row>
    <row r="846" ht="15.75" customHeight="1">
      <c r="A846" s="48" t="s">
        <v>292</v>
      </c>
      <c r="B846" s="48" t="s">
        <v>293</v>
      </c>
      <c r="C846" s="62" t="s">
        <v>294</v>
      </c>
      <c r="D846" s="83" t="s">
        <v>205</v>
      </c>
      <c r="E846" s="84">
        <v>845.0</v>
      </c>
      <c r="F846" s="48"/>
    </row>
    <row r="847" ht="15.75" customHeight="1">
      <c r="A847" s="48" t="s">
        <v>295</v>
      </c>
      <c r="B847" s="48" t="s">
        <v>296</v>
      </c>
      <c r="C847" s="48" t="s">
        <v>198</v>
      </c>
      <c r="D847" s="83" t="s">
        <v>205</v>
      </c>
      <c r="E847" s="84">
        <v>846.0</v>
      </c>
      <c r="F847" s="48"/>
    </row>
    <row r="848" ht="15.75" customHeight="1">
      <c r="A848" s="48" t="s">
        <v>297</v>
      </c>
      <c r="B848" s="48" t="s">
        <v>298</v>
      </c>
      <c r="C848" s="48" t="s">
        <v>198</v>
      </c>
      <c r="D848" s="83" t="s">
        <v>205</v>
      </c>
      <c r="E848" s="84">
        <v>847.0</v>
      </c>
      <c r="F848" s="48"/>
    </row>
    <row r="849" ht="15.75" customHeight="1">
      <c r="A849" s="48" t="s">
        <v>299</v>
      </c>
      <c r="B849" s="48" t="s">
        <v>300</v>
      </c>
      <c r="C849" s="62" t="s">
        <v>301</v>
      </c>
      <c r="D849" s="83" t="s">
        <v>205</v>
      </c>
      <c r="E849" s="84">
        <v>848.0</v>
      </c>
      <c r="F849" s="48"/>
    </row>
    <row r="850" ht="15.75" customHeight="1">
      <c r="A850" s="48" t="s">
        <v>302</v>
      </c>
      <c r="B850" s="48" t="s">
        <v>303</v>
      </c>
      <c r="C850" s="62" t="s">
        <v>304</v>
      </c>
      <c r="D850" s="83" t="s">
        <v>205</v>
      </c>
      <c r="E850" s="84">
        <v>849.0</v>
      </c>
      <c r="F850" s="48"/>
    </row>
    <row r="851" ht="15.75" customHeight="1">
      <c r="A851" s="48" t="s">
        <v>306</v>
      </c>
      <c r="B851" s="48" t="s">
        <v>307</v>
      </c>
      <c r="C851" s="48" t="s">
        <v>198</v>
      </c>
      <c r="D851" s="83" t="s">
        <v>205</v>
      </c>
      <c r="E851" s="84">
        <v>850.0</v>
      </c>
      <c r="F851" s="48"/>
    </row>
    <row r="852" ht="15.75" customHeight="1">
      <c r="A852" s="48" t="s">
        <v>308</v>
      </c>
      <c r="B852" s="48" t="s">
        <v>309</v>
      </c>
      <c r="C852" s="62" t="s">
        <v>310</v>
      </c>
      <c r="D852" s="83" t="s">
        <v>205</v>
      </c>
      <c r="E852" s="84">
        <v>851.0</v>
      </c>
      <c r="F852" s="48"/>
    </row>
    <row r="853" ht="15.75" customHeight="1">
      <c r="A853" s="48" t="s">
        <v>311</v>
      </c>
      <c r="B853" s="48" t="s">
        <v>312</v>
      </c>
      <c r="C853" s="62" t="s">
        <v>313</v>
      </c>
      <c r="D853" s="83" t="s">
        <v>205</v>
      </c>
      <c r="E853" s="84">
        <v>852.0</v>
      </c>
      <c r="F853" s="48"/>
    </row>
    <row r="854" ht="15.75" customHeight="1">
      <c r="A854" s="48" t="s">
        <v>314</v>
      </c>
      <c r="B854" s="48" t="s">
        <v>315</v>
      </c>
      <c r="C854" s="62" t="s">
        <v>316</v>
      </c>
      <c r="D854" s="83" t="s">
        <v>205</v>
      </c>
      <c r="E854" s="84">
        <v>853.0</v>
      </c>
      <c r="F854" s="48"/>
    </row>
    <row r="855" ht="15.75" customHeight="1">
      <c r="A855" s="48" t="s">
        <v>317</v>
      </c>
      <c r="B855" s="48" t="s">
        <v>318</v>
      </c>
      <c r="C855" s="62" t="s">
        <v>319</v>
      </c>
      <c r="D855" s="83" t="s">
        <v>205</v>
      </c>
      <c r="E855" s="84">
        <v>854.0</v>
      </c>
      <c r="F855" s="48"/>
    </row>
    <row r="856" ht="15.75" customHeight="1">
      <c r="A856" s="48" t="s">
        <v>2791</v>
      </c>
      <c r="B856" s="48" t="s">
        <v>2792</v>
      </c>
      <c r="C856" s="62" t="s">
        <v>2793</v>
      </c>
      <c r="D856" s="83" t="s">
        <v>2794</v>
      </c>
      <c r="E856" s="84">
        <v>855.0</v>
      </c>
      <c r="F856" s="48"/>
    </row>
    <row r="857" ht="15.75" customHeight="1">
      <c r="A857" s="48" t="s">
        <v>2795</v>
      </c>
      <c r="B857" s="48" t="s">
        <v>2796</v>
      </c>
      <c r="C857" s="62" t="s">
        <v>2797</v>
      </c>
      <c r="D857" s="83" t="s">
        <v>2794</v>
      </c>
      <c r="E857" s="84">
        <v>856.0</v>
      </c>
      <c r="F857" s="48"/>
    </row>
    <row r="858" ht="15.75" customHeight="1">
      <c r="A858" s="48" t="s">
        <v>2798</v>
      </c>
      <c r="B858" s="48" t="s">
        <v>2799</v>
      </c>
      <c r="C858" s="62" t="s">
        <v>2800</v>
      </c>
      <c r="D858" s="83" t="s">
        <v>2794</v>
      </c>
      <c r="E858" s="84">
        <v>857.0</v>
      </c>
      <c r="F858" s="48"/>
    </row>
    <row r="859" ht="15.75" customHeight="1">
      <c r="A859" s="48" t="s">
        <v>2801</v>
      </c>
      <c r="B859" s="48" t="s">
        <v>2802</v>
      </c>
      <c r="C859" s="62" t="s">
        <v>2803</v>
      </c>
      <c r="D859" s="83" t="s">
        <v>2794</v>
      </c>
      <c r="E859" s="84">
        <v>858.0</v>
      </c>
      <c r="F859" s="48"/>
    </row>
    <row r="860" ht="15.75" customHeight="1">
      <c r="A860" s="48" t="s">
        <v>2804</v>
      </c>
      <c r="B860" s="48" t="s">
        <v>2805</v>
      </c>
      <c r="C860" s="62" t="s">
        <v>2806</v>
      </c>
      <c r="D860" s="83" t="s">
        <v>2794</v>
      </c>
      <c r="E860" s="84">
        <v>859.0</v>
      </c>
      <c r="F860" s="48"/>
    </row>
    <row r="861" ht="15.75" customHeight="1">
      <c r="A861" s="48" t="s">
        <v>2807</v>
      </c>
      <c r="B861" s="48" t="s">
        <v>2808</v>
      </c>
      <c r="C861" s="62" t="s">
        <v>2809</v>
      </c>
      <c r="D861" s="83" t="s">
        <v>2794</v>
      </c>
      <c r="E861" s="84">
        <v>860.0</v>
      </c>
      <c r="F861" s="48"/>
    </row>
    <row r="862" ht="15.75" customHeight="1">
      <c r="A862" s="48" t="s">
        <v>2810</v>
      </c>
      <c r="B862" s="48" t="s">
        <v>2811</v>
      </c>
      <c r="C862" s="48"/>
      <c r="D862" s="83" t="s">
        <v>2794</v>
      </c>
      <c r="E862" s="84">
        <v>861.0</v>
      </c>
      <c r="F862" s="48"/>
    </row>
    <row r="863" ht="15.75" customHeight="1">
      <c r="A863" s="48" t="s">
        <v>2812</v>
      </c>
      <c r="B863" s="48" t="s">
        <v>2813</v>
      </c>
      <c r="C863" s="62" t="s">
        <v>2814</v>
      </c>
      <c r="D863" s="83" t="s">
        <v>2794</v>
      </c>
      <c r="E863" s="84">
        <v>862.0</v>
      </c>
      <c r="F863" s="48"/>
    </row>
    <row r="864" ht="15.75" customHeight="1">
      <c r="A864" s="48" t="s">
        <v>2815</v>
      </c>
      <c r="B864" s="48" t="s">
        <v>2816</v>
      </c>
      <c r="C864" s="62" t="s">
        <v>2817</v>
      </c>
      <c r="D864" s="83" t="s">
        <v>2794</v>
      </c>
      <c r="E864" s="84">
        <v>863.0</v>
      </c>
      <c r="F864" s="48"/>
    </row>
    <row r="865" ht="15.75" customHeight="1">
      <c r="A865" s="48" t="s">
        <v>2818</v>
      </c>
      <c r="B865" s="48"/>
      <c r="C865" s="62" t="s">
        <v>2819</v>
      </c>
      <c r="D865" s="83" t="s">
        <v>2794</v>
      </c>
      <c r="E865" s="84">
        <v>864.0</v>
      </c>
      <c r="F865" s="48"/>
    </row>
    <row r="866" ht="15.75" customHeight="1">
      <c r="A866" s="48" t="s">
        <v>2820</v>
      </c>
      <c r="B866" s="48" t="s">
        <v>2821</v>
      </c>
      <c r="C866" s="62" t="s">
        <v>2822</v>
      </c>
      <c r="D866" s="83" t="s">
        <v>2794</v>
      </c>
      <c r="E866" s="84">
        <v>865.0</v>
      </c>
      <c r="F866" s="48"/>
    </row>
    <row r="867" ht="15.75" customHeight="1">
      <c r="A867" s="48" t="s">
        <v>2823</v>
      </c>
      <c r="B867" s="48" t="s">
        <v>2824</v>
      </c>
      <c r="C867" s="104" t="s">
        <v>2825</v>
      </c>
      <c r="D867" s="83" t="s">
        <v>2794</v>
      </c>
      <c r="E867" s="84">
        <v>866.0</v>
      </c>
      <c r="F867" s="48"/>
    </row>
    <row r="868" ht="15.75" customHeight="1">
      <c r="A868" s="48" t="s">
        <v>2826</v>
      </c>
      <c r="B868" s="48" t="s">
        <v>2827</v>
      </c>
      <c r="C868" s="105" t="s">
        <v>2828</v>
      </c>
      <c r="D868" s="83" t="s">
        <v>2794</v>
      </c>
      <c r="E868" s="84">
        <v>867.0</v>
      </c>
      <c r="F868" s="48"/>
    </row>
    <row r="869" ht="15.75" customHeight="1">
      <c r="A869" s="48" t="s">
        <v>2829</v>
      </c>
      <c r="B869" s="48"/>
      <c r="C869" s="105" t="s">
        <v>2830</v>
      </c>
      <c r="D869" s="83" t="s">
        <v>2794</v>
      </c>
      <c r="E869" s="84">
        <v>868.0</v>
      </c>
      <c r="F869" s="48"/>
    </row>
    <row r="870" ht="15.75" customHeight="1">
      <c r="A870" s="48" t="s">
        <v>2831</v>
      </c>
      <c r="B870" s="48"/>
      <c r="C870" s="105" t="s">
        <v>2832</v>
      </c>
      <c r="D870" s="83" t="s">
        <v>2794</v>
      </c>
      <c r="E870" s="84">
        <v>869.0</v>
      </c>
      <c r="F870" s="48"/>
    </row>
    <row r="871" ht="15.75" customHeight="1">
      <c r="A871" s="48" t="s">
        <v>2833</v>
      </c>
      <c r="B871" s="48" t="s">
        <v>2834</v>
      </c>
      <c r="C871" s="105" t="s">
        <v>2835</v>
      </c>
      <c r="D871" s="83" t="s">
        <v>2794</v>
      </c>
      <c r="E871" s="84">
        <v>870.0</v>
      </c>
      <c r="F871" s="48"/>
    </row>
    <row r="872" ht="15.75" customHeight="1">
      <c r="A872" s="48" t="s">
        <v>2836</v>
      </c>
      <c r="B872" s="48" t="s">
        <v>2837</v>
      </c>
      <c r="C872" s="105" t="s">
        <v>2838</v>
      </c>
      <c r="D872" s="83" t="s">
        <v>2794</v>
      </c>
      <c r="E872" s="84">
        <v>871.0</v>
      </c>
      <c r="F872" s="48"/>
    </row>
    <row r="873" ht="15.75" customHeight="1">
      <c r="A873" s="48" t="s">
        <v>2839</v>
      </c>
      <c r="B873" s="48" t="s">
        <v>2840</v>
      </c>
      <c r="C873" s="105" t="s">
        <v>2841</v>
      </c>
      <c r="D873" s="83" t="s">
        <v>2794</v>
      </c>
      <c r="E873" s="84">
        <v>872.0</v>
      </c>
      <c r="F873" s="48"/>
    </row>
    <row r="874" ht="15.75" customHeight="1">
      <c r="A874" s="48" t="s">
        <v>2842</v>
      </c>
      <c r="B874" s="48" t="s">
        <v>2843</v>
      </c>
      <c r="C874" s="105" t="s">
        <v>2844</v>
      </c>
      <c r="D874" s="83" t="s">
        <v>2794</v>
      </c>
      <c r="E874" s="84">
        <v>873.0</v>
      </c>
      <c r="F874" s="48"/>
    </row>
    <row r="875" ht="15.75" customHeight="1">
      <c r="A875" s="48" t="s">
        <v>2845</v>
      </c>
      <c r="B875" s="48"/>
      <c r="C875" s="105" t="s">
        <v>2846</v>
      </c>
      <c r="D875" s="83" t="s">
        <v>2794</v>
      </c>
      <c r="E875" s="84">
        <v>874.0</v>
      </c>
      <c r="F875" s="48"/>
    </row>
    <row r="876" ht="15.75" customHeight="1">
      <c r="A876" s="48" t="s">
        <v>2847</v>
      </c>
      <c r="B876" s="48" t="s">
        <v>2848</v>
      </c>
      <c r="C876" s="105" t="s">
        <v>2849</v>
      </c>
      <c r="D876" s="83" t="s">
        <v>2794</v>
      </c>
      <c r="E876" s="84">
        <v>875.0</v>
      </c>
      <c r="F876" s="48"/>
    </row>
    <row r="877" ht="15.75" customHeight="1">
      <c r="A877" s="48" t="s">
        <v>2850</v>
      </c>
      <c r="B877" s="48" t="s">
        <v>2851</v>
      </c>
      <c r="C877" s="101"/>
      <c r="D877" s="83" t="s">
        <v>2794</v>
      </c>
      <c r="E877" s="84">
        <v>876.0</v>
      </c>
      <c r="F877" s="48"/>
    </row>
    <row r="878" ht="15.75" customHeight="1">
      <c r="A878" s="48" t="s">
        <v>2852</v>
      </c>
      <c r="B878" s="48" t="s">
        <v>2853</v>
      </c>
      <c r="C878" s="105" t="s">
        <v>2854</v>
      </c>
      <c r="D878" s="83" t="s">
        <v>2794</v>
      </c>
      <c r="E878" s="84">
        <v>877.0</v>
      </c>
      <c r="F878" s="48"/>
    </row>
    <row r="879" ht="15.75" customHeight="1">
      <c r="A879" s="48" t="s">
        <v>2855</v>
      </c>
      <c r="B879" s="48"/>
      <c r="C879" s="105" t="s">
        <v>269</v>
      </c>
      <c r="D879" s="83" t="s">
        <v>2794</v>
      </c>
      <c r="E879" s="84">
        <v>878.0</v>
      </c>
      <c r="F879" s="48"/>
    </row>
    <row r="880" ht="15.75" customHeight="1">
      <c r="A880" s="48" t="s">
        <v>2856</v>
      </c>
      <c r="B880" s="48" t="s">
        <v>2857</v>
      </c>
      <c r="C880" s="105" t="s">
        <v>2858</v>
      </c>
      <c r="D880" s="83" t="s">
        <v>2794</v>
      </c>
      <c r="E880" s="84">
        <v>879.0</v>
      </c>
      <c r="F880" s="48"/>
    </row>
    <row r="881" ht="15.75" customHeight="1">
      <c r="A881" s="48" t="s">
        <v>2859</v>
      </c>
      <c r="B881" s="48" t="s">
        <v>277</v>
      </c>
      <c r="C881" s="105" t="s">
        <v>2860</v>
      </c>
      <c r="D881" s="83" t="s">
        <v>2794</v>
      </c>
      <c r="E881" s="84">
        <v>880.0</v>
      </c>
      <c r="F881" s="48"/>
    </row>
    <row r="882" ht="15.75" customHeight="1">
      <c r="A882" s="48" t="s">
        <v>2861</v>
      </c>
      <c r="B882" s="48"/>
      <c r="C882" s="105" t="s">
        <v>2862</v>
      </c>
      <c r="D882" s="83" t="s">
        <v>2794</v>
      </c>
      <c r="E882" s="84">
        <v>881.0</v>
      </c>
      <c r="F882" s="48"/>
    </row>
    <row r="883" ht="15.75" customHeight="1">
      <c r="A883" s="48" t="s">
        <v>2863</v>
      </c>
      <c r="B883" s="48" t="s">
        <v>2864</v>
      </c>
      <c r="C883" s="104" t="s">
        <v>289</v>
      </c>
      <c r="D883" s="83" t="s">
        <v>2794</v>
      </c>
      <c r="E883" s="84">
        <v>882.0</v>
      </c>
      <c r="F883" s="48"/>
    </row>
    <row r="884" ht="15.75" customHeight="1">
      <c r="A884" s="48" t="s">
        <v>2865</v>
      </c>
      <c r="B884" s="48" t="s">
        <v>2866</v>
      </c>
      <c r="C884" s="105" t="s">
        <v>2867</v>
      </c>
      <c r="D884" s="83" t="s">
        <v>2794</v>
      </c>
      <c r="E884" s="84">
        <v>883.0</v>
      </c>
      <c r="F884" s="48"/>
    </row>
    <row r="885" ht="15.75" customHeight="1">
      <c r="A885" s="48" t="s">
        <v>2868</v>
      </c>
      <c r="B885" s="48" t="s">
        <v>2869</v>
      </c>
      <c r="C885" s="105" t="s">
        <v>2870</v>
      </c>
      <c r="D885" s="83" t="s">
        <v>2794</v>
      </c>
      <c r="E885" s="84">
        <v>884.0</v>
      </c>
      <c r="F885" s="48"/>
    </row>
    <row r="886" ht="15.75" customHeight="1">
      <c r="A886" s="48" t="s">
        <v>203</v>
      </c>
      <c r="B886" s="48" t="s">
        <v>204</v>
      </c>
      <c r="C886" s="101"/>
      <c r="D886" s="83" t="s">
        <v>205</v>
      </c>
      <c r="E886" s="84">
        <v>885.0</v>
      </c>
      <c r="F886" s="48"/>
    </row>
    <row r="887" ht="15.75" customHeight="1">
      <c r="A887" s="48" t="s">
        <v>206</v>
      </c>
      <c r="B887" s="48" t="s">
        <v>207</v>
      </c>
      <c r="C887" s="101"/>
      <c r="D887" s="83" t="s">
        <v>205</v>
      </c>
      <c r="E887" s="84">
        <v>886.0</v>
      </c>
      <c r="F887" s="48"/>
    </row>
    <row r="888" ht="15.75" customHeight="1">
      <c r="A888" s="48" t="s">
        <v>208</v>
      </c>
      <c r="B888" s="48" t="s">
        <v>209</v>
      </c>
      <c r="C888" s="105" t="s">
        <v>210</v>
      </c>
      <c r="D888" s="83" t="s">
        <v>205</v>
      </c>
      <c r="E888" s="84">
        <v>887.0</v>
      </c>
      <c r="F888" s="48"/>
    </row>
    <row r="889" ht="15.75" customHeight="1">
      <c r="A889" s="48" t="s">
        <v>212</v>
      </c>
      <c r="B889" s="48"/>
      <c r="C889" s="105" t="s">
        <v>213</v>
      </c>
      <c r="D889" s="83" t="s">
        <v>205</v>
      </c>
      <c r="E889" s="84">
        <v>888.0</v>
      </c>
      <c r="F889" s="48"/>
    </row>
    <row r="890" ht="15.75" customHeight="1">
      <c r="A890" s="48" t="s">
        <v>214</v>
      </c>
      <c r="B890" s="48" t="s">
        <v>215</v>
      </c>
      <c r="C890" s="105" t="s">
        <v>216</v>
      </c>
      <c r="D890" s="83" t="s">
        <v>205</v>
      </c>
      <c r="E890" s="84">
        <v>889.0</v>
      </c>
      <c r="F890" s="48"/>
    </row>
    <row r="891" ht="15.75" customHeight="1">
      <c r="A891" s="48" t="s">
        <v>217</v>
      </c>
      <c r="B891" s="48" t="s">
        <v>218</v>
      </c>
      <c r="C891" s="105" t="s">
        <v>219</v>
      </c>
      <c r="D891" s="83" t="s">
        <v>205</v>
      </c>
      <c r="E891" s="84">
        <v>890.0</v>
      </c>
      <c r="F891" s="48"/>
    </row>
    <row r="892" ht="15.75" customHeight="1">
      <c r="A892" s="48" t="s">
        <v>220</v>
      </c>
      <c r="B892" s="48" t="s">
        <v>221</v>
      </c>
      <c r="C892" s="101"/>
      <c r="D892" s="83" t="s">
        <v>205</v>
      </c>
      <c r="E892" s="84">
        <v>891.0</v>
      </c>
      <c r="F892" s="48"/>
    </row>
    <row r="893" ht="15.75" customHeight="1">
      <c r="A893" s="48" t="s">
        <v>222</v>
      </c>
      <c r="B893" s="48" t="s">
        <v>223</v>
      </c>
      <c r="C893" s="104" t="s">
        <v>224</v>
      </c>
      <c r="D893" s="83" t="s">
        <v>205</v>
      </c>
      <c r="E893" s="84">
        <v>892.0</v>
      </c>
      <c r="F893" s="48"/>
    </row>
    <row r="894" ht="15.75" customHeight="1">
      <c r="A894" s="48" t="s">
        <v>225</v>
      </c>
      <c r="B894" s="48" t="s">
        <v>226</v>
      </c>
      <c r="C894" s="106"/>
      <c r="D894" s="83" t="s">
        <v>205</v>
      </c>
      <c r="E894" s="84">
        <v>893.0</v>
      </c>
      <c r="F894" s="48"/>
    </row>
    <row r="895" ht="15.75" customHeight="1">
      <c r="A895" s="48" t="s">
        <v>227</v>
      </c>
      <c r="B895" s="48" t="s">
        <v>228</v>
      </c>
      <c r="C895" s="106"/>
      <c r="D895" s="83" t="s">
        <v>205</v>
      </c>
      <c r="E895" s="84">
        <v>894.0</v>
      </c>
      <c r="F895" s="48"/>
    </row>
    <row r="896" ht="15.75" customHeight="1">
      <c r="A896" s="48" t="s">
        <v>229</v>
      </c>
      <c r="B896" s="48" t="s">
        <v>230</v>
      </c>
      <c r="C896" s="104" t="s">
        <v>231</v>
      </c>
      <c r="D896" s="83" t="s">
        <v>205</v>
      </c>
      <c r="E896" s="84">
        <v>895.0</v>
      </c>
      <c r="F896" s="48"/>
    </row>
    <row r="897" ht="15.75" customHeight="1">
      <c r="A897" s="48" t="s">
        <v>233</v>
      </c>
      <c r="B897" s="48" t="s">
        <v>234</v>
      </c>
      <c r="C897" s="104" t="s">
        <v>235</v>
      </c>
      <c r="D897" s="83" t="s">
        <v>205</v>
      </c>
      <c r="E897" s="84">
        <v>896.0</v>
      </c>
      <c r="F897" s="48"/>
    </row>
    <row r="898" ht="15.75" customHeight="1">
      <c r="A898" s="48" t="s">
        <v>236</v>
      </c>
      <c r="B898" s="48" t="s">
        <v>237</v>
      </c>
      <c r="C898" s="104" t="s">
        <v>238</v>
      </c>
      <c r="D898" s="83" t="s">
        <v>205</v>
      </c>
      <c r="E898" s="84">
        <v>897.0</v>
      </c>
      <c r="F898" s="48"/>
    </row>
    <row r="899" ht="15.75" customHeight="1">
      <c r="A899" s="48" t="s">
        <v>239</v>
      </c>
      <c r="B899" s="48" t="s">
        <v>240</v>
      </c>
      <c r="C899" s="104" t="s">
        <v>241</v>
      </c>
      <c r="D899" s="83" t="s">
        <v>205</v>
      </c>
      <c r="E899" s="84">
        <v>898.0</v>
      </c>
      <c r="F899" s="48"/>
    </row>
    <row r="900" ht="15.75" customHeight="1">
      <c r="A900" s="48" t="s">
        <v>242</v>
      </c>
      <c r="B900" s="48" t="s">
        <v>243</v>
      </c>
      <c r="C900" s="104" t="s">
        <v>244</v>
      </c>
      <c r="D900" s="83" t="s">
        <v>205</v>
      </c>
      <c r="E900" s="84">
        <v>899.0</v>
      </c>
      <c r="F900" s="48"/>
    </row>
    <row r="901" ht="15.75" customHeight="1">
      <c r="A901" s="48" t="s">
        <v>245</v>
      </c>
      <c r="B901" s="48" t="s">
        <v>246</v>
      </c>
      <c r="C901" s="104" t="s">
        <v>247</v>
      </c>
      <c r="D901" s="83" t="s">
        <v>205</v>
      </c>
      <c r="E901" s="84">
        <v>900.0</v>
      </c>
      <c r="F901" s="48"/>
    </row>
    <row r="902" ht="15.75" customHeight="1">
      <c r="A902" s="48" t="s">
        <v>248</v>
      </c>
      <c r="B902" s="48" t="s">
        <v>249</v>
      </c>
      <c r="C902" s="104" t="s">
        <v>250</v>
      </c>
      <c r="D902" s="83" t="s">
        <v>205</v>
      </c>
      <c r="E902" s="84">
        <v>901.0</v>
      </c>
      <c r="F902" s="48"/>
    </row>
    <row r="903" ht="15.75" customHeight="1">
      <c r="A903" s="48" t="s">
        <v>251</v>
      </c>
      <c r="B903" s="48" t="s">
        <v>252</v>
      </c>
      <c r="C903" s="104" t="s">
        <v>244</v>
      </c>
      <c r="D903" s="83" t="s">
        <v>205</v>
      </c>
      <c r="E903" s="84">
        <v>902.0</v>
      </c>
      <c r="F903" s="48"/>
    </row>
    <row r="904" ht="15.75" customHeight="1">
      <c r="A904" s="48" t="s">
        <v>253</v>
      </c>
      <c r="B904" s="48" t="s">
        <v>254</v>
      </c>
      <c r="C904" s="104" t="s">
        <v>255</v>
      </c>
      <c r="D904" s="83" t="s">
        <v>205</v>
      </c>
      <c r="E904" s="84">
        <v>903.0</v>
      </c>
      <c r="F904" s="48"/>
    </row>
    <row r="905" ht="15.75" customHeight="1">
      <c r="A905" s="48" t="s">
        <v>256</v>
      </c>
      <c r="B905" s="48" t="s">
        <v>257</v>
      </c>
      <c r="C905" s="104" t="s">
        <v>258</v>
      </c>
      <c r="D905" s="83" t="s">
        <v>205</v>
      </c>
      <c r="E905" s="84">
        <v>904.0</v>
      </c>
      <c r="F905" s="107" t="s">
        <v>2871</v>
      </c>
    </row>
    <row r="906" ht="15.75" customHeight="1">
      <c r="A906" s="48" t="s">
        <v>259</v>
      </c>
      <c r="B906" s="48"/>
      <c r="C906" s="104" t="s">
        <v>260</v>
      </c>
      <c r="D906" s="83" t="s">
        <v>205</v>
      </c>
      <c r="E906" s="84">
        <v>905.0</v>
      </c>
      <c r="F906" s="48"/>
    </row>
    <row r="907" ht="15.75" customHeight="1">
      <c r="A907" s="48" t="s">
        <v>262</v>
      </c>
      <c r="B907" s="48" t="s">
        <v>263</v>
      </c>
      <c r="C907" s="104" t="s">
        <v>264</v>
      </c>
      <c r="D907" s="83" t="s">
        <v>205</v>
      </c>
      <c r="E907" s="84">
        <v>906.0</v>
      </c>
      <c r="F907" s="48"/>
    </row>
    <row r="908" ht="15.75" customHeight="1">
      <c r="A908" s="48" t="s">
        <v>265</v>
      </c>
      <c r="B908" s="48" t="s">
        <v>266</v>
      </c>
      <c r="C908" s="104" t="s">
        <v>267</v>
      </c>
      <c r="D908" s="83" t="s">
        <v>205</v>
      </c>
      <c r="E908" s="84">
        <v>907.0</v>
      </c>
      <c r="F908" s="48"/>
    </row>
    <row r="909" ht="15.75" customHeight="1">
      <c r="A909" s="48" t="s">
        <v>2872</v>
      </c>
      <c r="B909" s="48" t="s">
        <v>2873</v>
      </c>
      <c r="C909" s="104" t="s">
        <v>2874</v>
      </c>
      <c r="D909" s="83" t="s">
        <v>2875</v>
      </c>
      <c r="E909" s="84">
        <v>908.0</v>
      </c>
      <c r="F909" s="48"/>
    </row>
    <row r="910" ht="15.75" customHeight="1">
      <c r="A910" s="48" t="s">
        <v>2876</v>
      </c>
      <c r="B910" s="48" t="s">
        <v>2877</v>
      </c>
      <c r="C910" s="104" t="s">
        <v>2878</v>
      </c>
      <c r="D910" s="83" t="s">
        <v>2879</v>
      </c>
      <c r="E910" s="84">
        <v>909.0</v>
      </c>
      <c r="F910" s="48"/>
    </row>
    <row r="911" ht="15.75" customHeight="1">
      <c r="A911" s="48" t="s">
        <v>2880</v>
      </c>
      <c r="B911" s="48" t="s">
        <v>2881</v>
      </c>
      <c r="C911" s="104" t="s">
        <v>2882</v>
      </c>
      <c r="D911" s="83" t="s">
        <v>2875</v>
      </c>
      <c r="E911" s="84">
        <v>910.0</v>
      </c>
      <c r="F911" s="48"/>
    </row>
    <row r="912" ht="15.75" customHeight="1">
      <c r="A912" s="48" t="s">
        <v>2883</v>
      </c>
      <c r="B912" s="108" t="s">
        <v>2884</v>
      </c>
      <c r="C912" s="104" t="s">
        <v>2885</v>
      </c>
      <c r="D912" s="83" t="s">
        <v>2886</v>
      </c>
      <c r="E912" s="84">
        <v>911.0</v>
      </c>
      <c r="F912" s="48"/>
    </row>
    <row r="913" ht="15.75" customHeight="1">
      <c r="A913" s="48" t="s">
        <v>857</v>
      </c>
      <c r="B913" s="48" t="s">
        <v>858</v>
      </c>
      <c r="C913" s="39" t="s">
        <v>859</v>
      </c>
      <c r="D913" s="109" t="s">
        <v>860</v>
      </c>
      <c r="E913" s="84">
        <v>912.0</v>
      </c>
      <c r="F913" s="48"/>
    </row>
    <row r="914" ht="15.75" customHeight="1">
      <c r="A914" s="48" t="s">
        <v>861</v>
      </c>
      <c r="B914" s="48" t="s">
        <v>862</v>
      </c>
      <c r="C914" s="62" t="s">
        <v>863</v>
      </c>
      <c r="D914" s="83" t="s">
        <v>860</v>
      </c>
      <c r="E914" s="84">
        <v>913.0</v>
      </c>
      <c r="F914" s="48"/>
    </row>
    <row r="915" ht="15.75" customHeight="1">
      <c r="A915" s="48" t="s">
        <v>423</v>
      </c>
      <c r="B915" s="48" t="s">
        <v>424</v>
      </c>
      <c r="C915" s="48" t="s">
        <v>198</v>
      </c>
      <c r="D915" s="83" t="s">
        <v>425</v>
      </c>
      <c r="E915" s="84">
        <v>914.0</v>
      </c>
      <c r="F915" s="48"/>
    </row>
    <row r="916" ht="15.75" customHeight="1">
      <c r="A916" s="48" t="s">
        <v>426</v>
      </c>
      <c r="B916" s="48" t="s">
        <v>427</v>
      </c>
      <c r="C916" s="62" t="s">
        <v>428</v>
      </c>
      <c r="D916" s="83" t="s">
        <v>425</v>
      </c>
      <c r="E916" s="84">
        <v>915.0</v>
      </c>
      <c r="F916" s="48"/>
    </row>
    <row r="917" ht="15.75" customHeight="1">
      <c r="A917" s="48" t="s">
        <v>2887</v>
      </c>
      <c r="B917" s="48" t="s">
        <v>139</v>
      </c>
      <c r="C917" s="62" t="s">
        <v>2888</v>
      </c>
      <c r="D917" s="83" t="s">
        <v>2889</v>
      </c>
      <c r="E917" s="84">
        <v>916.0</v>
      </c>
      <c r="F917" s="48"/>
    </row>
    <row r="918" ht="15.75" customHeight="1">
      <c r="A918" s="48" t="s">
        <v>330</v>
      </c>
      <c r="B918" s="48" t="s">
        <v>331</v>
      </c>
      <c r="C918" s="62" t="s">
        <v>332</v>
      </c>
      <c r="D918" s="83" t="s">
        <v>333</v>
      </c>
      <c r="E918" s="84">
        <v>917.0</v>
      </c>
      <c r="F918" s="48"/>
    </row>
    <row r="919" ht="15.75" customHeight="1">
      <c r="A919" s="48" t="s">
        <v>2890</v>
      </c>
      <c r="B919" s="48"/>
      <c r="C919" s="62" t="s">
        <v>2891</v>
      </c>
      <c r="D919" s="83" t="s">
        <v>2892</v>
      </c>
      <c r="E919" s="84">
        <v>918.0</v>
      </c>
      <c r="F919" s="48"/>
    </row>
    <row r="920" ht="15.75" customHeight="1">
      <c r="A920" s="48" t="s">
        <v>2893</v>
      </c>
      <c r="B920" s="48" t="s">
        <v>2894</v>
      </c>
      <c r="C920" s="62" t="s">
        <v>2895</v>
      </c>
      <c r="D920" s="83" t="s">
        <v>2892</v>
      </c>
      <c r="E920" s="84">
        <v>919.0</v>
      </c>
      <c r="F920" s="48"/>
    </row>
    <row r="921" ht="15.75" customHeight="1">
      <c r="A921" s="48" t="s">
        <v>2896</v>
      </c>
      <c r="B921" s="48" t="s">
        <v>139</v>
      </c>
      <c r="C921" s="62" t="s">
        <v>2897</v>
      </c>
      <c r="D921" s="83" t="s">
        <v>2892</v>
      </c>
      <c r="E921" s="84">
        <v>920.0</v>
      </c>
      <c r="F921" s="48"/>
    </row>
    <row r="922" ht="15.75" customHeight="1">
      <c r="A922" s="48" t="s">
        <v>2898</v>
      </c>
      <c r="B922" s="48" t="s">
        <v>2899</v>
      </c>
      <c r="C922" s="62" t="s">
        <v>2900</v>
      </c>
      <c r="D922" s="83" t="s">
        <v>2892</v>
      </c>
      <c r="E922" s="84">
        <v>921.0</v>
      </c>
      <c r="F922" s="48"/>
    </row>
    <row r="923" ht="15.75" customHeight="1">
      <c r="A923" s="48" t="s">
        <v>2901</v>
      </c>
      <c r="B923" s="48" t="s">
        <v>2902</v>
      </c>
      <c r="C923" s="48" t="s">
        <v>139</v>
      </c>
      <c r="D923" s="83" t="s">
        <v>2892</v>
      </c>
      <c r="E923" s="84">
        <v>922.0</v>
      </c>
      <c r="F923" s="48"/>
    </row>
    <row r="924" ht="15.75" customHeight="1">
      <c r="A924" s="48" t="s">
        <v>2903</v>
      </c>
      <c r="B924" s="48" t="s">
        <v>2904</v>
      </c>
      <c r="C924" s="48" t="s">
        <v>139</v>
      </c>
      <c r="D924" s="83" t="s">
        <v>2892</v>
      </c>
      <c r="E924" s="84">
        <v>923.0</v>
      </c>
      <c r="F924" s="48"/>
    </row>
    <row r="925" ht="15.75" customHeight="1">
      <c r="A925" s="48" t="s">
        <v>2905</v>
      </c>
      <c r="B925" s="48" t="s">
        <v>139</v>
      </c>
      <c r="C925" s="62" t="s">
        <v>2906</v>
      </c>
      <c r="D925" s="83" t="s">
        <v>2892</v>
      </c>
      <c r="E925" s="84">
        <v>924.0</v>
      </c>
      <c r="F925" s="48"/>
    </row>
    <row r="926" ht="15.75" customHeight="1">
      <c r="A926" s="48" t="s">
        <v>2907</v>
      </c>
      <c r="B926" s="36" t="s">
        <v>139</v>
      </c>
      <c r="C926" s="62" t="s">
        <v>2908</v>
      </c>
      <c r="D926" s="83" t="s">
        <v>2892</v>
      </c>
      <c r="E926" s="84">
        <v>925.0</v>
      </c>
      <c r="F926" s="48"/>
    </row>
    <row r="927" ht="15.75" customHeight="1">
      <c r="A927" s="48" t="s">
        <v>2909</v>
      </c>
      <c r="B927" s="48" t="s">
        <v>2910</v>
      </c>
      <c r="C927" s="62" t="s">
        <v>2911</v>
      </c>
      <c r="D927" s="83" t="s">
        <v>2892</v>
      </c>
      <c r="E927" s="84">
        <v>926.0</v>
      </c>
      <c r="F927" s="48"/>
    </row>
    <row r="928" ht="15.75" customHeight="1">
      <c r="A928" s="48" t="s">
        <v>2912</v>
      </c>
      <c r="B928" s="48" t="s">
        <v>2913</v>
      </c>
      <c r="C928" s="62" t="s">
        <v>2914</v>
      </c>
      <c r="D928" s="83" t="s">
        <v>2892</v>
      </c>
      <c r="E928" s="84">
        <v>927.0</v>
      </c>
      <c r="F928" s="48"/>
    </row>
    <row r="929" ht="15.75" customHeight="1">
      <c r="A929" s="48" t="s">
        <v>2915</v>
      </c>
      <c r="B929" s="48" t="s">
        <v>2916</v>
      </c>
      <c r="C929" s="62" t="s">
        <v>2917</v>
      </c>
      <c r="D929" s="83" t="s">
        <v>2892</v>
      </c>
      <c r="E929" s="84">
        <v>928.0</v>
      </c>
      <c r="F929" s="48"/>
    </row>
    <row r="930" ht="15.75" customHeight="1">
      <c r="A930" s="48" t="s">
        <v>2918</v>
      </c>
      <c r="B930" s="48" t="s">
        <v>2919</v>
      </c>
      <c r="C930" s="104" t="s">
        <v>2920</v>
      </c>
      <c r="D930" s="83" t="s">
        <v>1112</v>
      </c>
      <c r="E930" s="84">
        <v>929.0</v>
      </c>
      <c r="F930" s="48"/>
    </row>
    <row r="931" ht="15.75" customHeight="1">
      <c r="A931" s="48" t="s">
        <v>123</v>
      </c>
      <c r="B931" s="48" t="s">
        <v>124</v>
      </c>
      <c r="C931" s="104" t="s">
        <v>115</v>
      </c>
      <c r="D931" s="83" t="s">
        <v>935</v>
      </c>
      <c r="E931" s="84">
        <v>930.0</v>
      </c>
      <c r="F931" s="48"/>
    </row>
    <row r="932" ht="15.75" customHeight="1">
      <c r="A932" s="48" t="s">
        <v>125</v>
      </c>
      <c r="B932" s="48" t="s">
        <v>126</v>
      </c>
      <c r="C932" s="104" t="s">
        <v>127</v>
      </c>
      <c r="D932" s="83" t="s">
        <v>935</v>
      </c>
      <c r="E932" s="84">
        <v>931.0</v>
      </c>
      <c r="F932" s="48"/>
    </row>
    <row r="933" ht="15.75" customHeight="1">
      <c r="A933" s="48" t="s">
        <v>129</v>
      </c>
      <c r="B933" s="48" t="s">
        <v>130</v>
      </c>
      <c r="C933" s="104" t="s">
        <v>131</v>
      </c>
      <c r="D933" s="83" t="s">
        <v>935</v>
      </c>
      <c r="E933" s="84">
        <v>932.0</v>
      </c>
      <c r="F933" s="48"/>
    </row>
    <row r="934" ht="15.75" customHeight="1">
      <c r="A934" s="48" t="s">
        <v>132</v>
      </c>
      <c r="B934" s="48" t="s">
        <v>133</v>
      </c>
      <c r="C934" s="104" t="s">
        <v>134</v>
      </c>
      <c r="D934" s="83" t="s">
        <v>935</v>
      </c>
      <c r="E934" s="84">
        <v>933.0</v>
      </c>
      <c r="F934" s="48"/>
    </row>
    <row r="935" ht="15.75" customHeight="1">
      <c r="A935" s="48" t="s">
        <v>117</v>
      </c>
      <c r="B935" s="48" t="s">
        <v>135</v>
      </c>
      <c r="C935" s="39" t="s">
        <v>136</v>
      </c>
      <c r="D935" s="83" t="s">
        <v>935</v>
      </c>
      <c r="E935" s="84">
        <v>934.0</v>
      </c>
      <c r="F935" s="48"/>
    </row>
    <row r="936" ht="15.75" customHeight="1">
      <c r="A936" s="48" t="s">
        <v>120</v>
      </c>
      <c r="B936" s="48" t="s">
        <v>137</v>
      </c>
      <c r="C936" s="104" t="s">
        <v>122</v>
      </c>
      <c r="D936" s="83" t="s">
        <v>935</v>
      </c>
      <c r="E936" s="84">
        <v>935.0</v>
      </c>
      <c r="F936" s="48"/>
    </row>
    <row r="937" ht="15.75" customHeight="1">
      <c r="A937" s="48" t="s">
        <v>138</v>
      </c>
      <c r="B937" s="48" t="s">
        <v>139</v>
      </c>
      <c r="C937" s="104" t="s">
        <v>140</v>
      </c>
      <c r="D937" s="83" t="s">
        <v>935</v>
      </c>
      <c r="E937" s="84">
        <v>936.0</v>
      </c>
      <c r="F937" s="48"/>
    </row>
    <row r="938" ht="15.75" customHeight="1">
      <c r="A938" s="48" t="s">
        <v>141</v>
      </c>
      <c r="B938" s="48" t="s">
        <v>139</v>
      </c>
      <c r="C938" s="104" t="s">
        <v>142</v>
      </c>
      <c r="D938" s="83" t="s">
        <v>935</v>
      </c>
      <c r="E938" s="84">
        <v>937.0</v>
      </c>
      <c r="F938" s="48"/>
    </row>
    <row r="939" ht="15.75" customHeight="1">
      <c r="A939" s="48" t="s">
        <v>143</v>
      </c>
      <c r="B939" s="48" t="s">
        <v>144</v>
      </c>
      <c r="C939" s="104" t="s">
        <v>145</v>
      </c>
      <c r="D939" s="83" t="s">
        <v>935</v>
      </c>
      <c r="E939" s="84">
        <v>938.0</v>
      </c>
      <c r="F939" s="48"/>
    </row>
    <row r="940" ht="15.75" customHeight="1">
      <c r="A940" s="48" t="s">
        <v>146</v>
      </c>
      <c r="B940" s="48" t="s">
        <v>139</v>
      </c>
      <c r="C940" s="104" t="s">
        <v>147</v>
      </c>
      <c r="D940" s="83" t="s">
        <v>935</v>
      </c>
      <c r="E940" s="84">
        <v>939.0</v>
      </c>
      <c r="F940" s="48"/>
    </row>
    <row r="941" ht="15.75" customHeight="1">
      <c r="A941" s="48" t="s">
        <v>148</v>
      </c>
      <c r="B941" s="48" t="s">
        <v>149</v>
      </c>
      <c r="C941" s="101" t="s">
        <v>139</v>
      </c>
      <c r="D941" s="83" t="s">
        <v>935</v>
      </c>
      <c r="E941" s="84">
        <v>940.0</v>
      </c>
      <c r="F941" s="48"/>
    </row>
    <row r="942" ht="15.75" customHeight="1">
      <c r="A942" s="48" t="s">
        <v>2921</v>
      </c>
      <c r="B942" s="48" t="s">
        <v>2922</v>
      </c>
      <c r="C942" s="104" t="s">
        <v>2923</v>
      </c>
      <c r="D942" s="83" t="s">
        <v>2924</v>
      </c>
      <c r="E942" s="84">
        <v>941.0</v>
      </c>
      <c r="F942" s="48"/>
    </row>
    <row r="943" ht="15.75" customHeight="1">
      <c r="A943" s="48" t="s">
        <v>2925</v>
      </c>
      <c r="B943" s="48" t="s">
        <v>2926</v>
      </c>
      <c r="C943" s="104" t="s">
        <v>2927</v>
      </c>
      <c r="D943" s="83" t="s">
        <v>2928</v>
      </c>
      <c r="E943" s="84">
        <v>942.0</v>
      </c>
      <c r="F943" s="48"/>
    </row>
    <row r="944" ht="15.75" customHeight="1">
      <c r="A944" s="48" t="s">
        <v>2929</v>
      </c>
      <c r="B944" s="48" t="s">
        <v>2930</v>
      </c>
      <c r="C944" s="104" t="s">
        <v>2931</v>
      </c>
      <c r="D944" s="83" t="s">
        <v>2928</v>
      </c>
      <c r="E944" s="84">
        <v>943.0</v>
      </c>
      <c r="F944" s="48"/>
    </row>
    <row r="945" ht="15.75" customHeight="1">
      <c r="A945" s="48" t="s">
        <v>2932</v>
      </c>
      <c r="B945" s="48" t="s">
        <v>2933</v>
      </c>
      <c r="C945" s="104" t="s">
        <v>2934</v>
      </c>
      <c r="D945" s="83" t="s">
        <v>2935</v>
      </c>
      <c r="E945" s="84">
        <v>944.0</v>
      </c>
      <c r="F945" s="48"/>
    </row>
    <row r="946" ht="15.75" customHeight="1">
      <c r="A946" s="48" t="s">
        <v>2936</v>
      </c>
      <c r="B946" s="48" t="s">
        <v>2937</v>
      </c>
      <c r="C946" s="101" t="s">
        <v>139</v>
      </c>
      <c r="D946" s="83" t="s">
        <v>2935</v>
      </c>
      <c r="E946" s="84">
        <v>945.0</v>
      </c>
      <c r="F946" s="48"/>
    </row>
    <row r="947" ht="15.75" customHeight="1">
      <c r="A947" s="48" t="s">
        <v>2938</v>
      </c>
      <c r="B947" s="48" t="s">
        <v>2939</v>
      </c>
      <c r="C947" s="39" t="s">
        <v>2940</v>
      </c>
      <c r="D947" s="83" t="s">
        <v>2935</v>
      </c>
      <c r="E947" s="84">
        <v>946.0</v>
      </c>
      <c r="F947" s="48"/>
    </row>
    <row r="948" ht="15.75" customHeight="1">
      <c r="A948" s="48" t="s">
        <v>2941</v>
      </c>
      <c r="B948" s="48" t="s">
        <v>2942</v>
      </c>
      <c r="C948" s="104" t="s">
        <v>2943</v>
      </c>
      <c r="D948" s="83" t="s">
        <v>2935</v>
      </c>
      <c r="E948" s="84">
        <v>947.0</v>
      </c>
      <c r="F948" s="48"/>
    </row>
    <row r="949" ht="15.75" customHeight="1">
      <c r="A949" s="48" t="s">
        <v>2944</v>
      </c>
      <c r="B949" s="48" t="s">
        <v>2945</v>
      </c>
      <c r="C949" s="101" t="s">
        <v>198</v>
      </c>
      <c r="D949" s="83" t="s">
        <v>2935</v>
      </c>
      <c r="E949" s="84">
        <v>948.0</v>
      </c>
      <c r="F949" s="48"/>
    </row>
    <row r="950" ht="15.75" customHeight="1">
      <c r="A950" s="48" t="s">
        <v>2946</v>
      </c>
      <c r="B950" s="101" t="s">
        <v>2947</v>
      </c>
      <c r="C950" s="39" t="s">
        <v>2948</v>
      </c>
      <c r="D950" s="83" t="s">
        <v>2949</v>
      </c>
      <c r="E950" s="84">
        <v>949.0</v>
      </c>
      <c r="F950" s="48"/>
    </row>
    <row r="951" ht="15.75" customHeight="1">
      <c r="A951" s="48" t="s">
        <v>2950</v>
      </c>
      <c r="B951" s="101" t="s">
        <v>2951</v>
      </c>
      <c r="C951" s="36" t="s">
        <v>198</v>
      </c>
      <c r="D951" s="83" t="s">
        <v>870</v>
      </c>
      <c r="E951" s="84">
        <v>950.0</v>
      </c>
      <c r="F951" s="48"/>
    </row>
    <row r="952" ht="15.75" customHeight="1">
      <c r="A952" s="48" t="s">
        <v>2952</v>
      </c>
      <c r="B952" s="36" t="s">
        <v>198</v>
      </c>
      <c r="C952" s="101" t="s">
        <v>198</v>
      </c>
      <c r="D952" s="83" t="s">
        <v>870</v>
      </c>
      <c r="E952" s="84">
        <v>951.0</v>
      </c>
      <c r="F952" s="48"/>
    </row>
    <row r="953" ht="15.75" customHeight="1">
      <c r="A953" s="48" t="s">
        <v>2953</v>
      </c>
      <c r="B953" s="48" t="s">
        <v>2954</v>
      </c>
      <c r="C953" s="104" t="s">
        <v>2955</v>
      </c>
      <c r="D953" s="83" t="s">
        <v>870</v>
      </c>
      <c r="E953" s="84">
        <v>952.0</v>
      </c>
      <c r="F953" s="48"/>
    </row>
    <row r="954" ht="15.75" customHeight="1">
      <c r="A954" s="48" t="s">
        <v>2956</v>
      </c>
      <c r="B954" s="48" t="s">
        <v>2149</v>
      </c>
      <c r="C954" s="104" t="s">
        <v>2957</v>
      </c>
      <c r="D954" s="83" t="s">
        <v>870</v>
      </c>
      <c r="E954" s="84">
        <v>953.0</v>
      </c>
      <c r="F954" s="48"/>
    </row>
    <row r="955" ht="15.75" customHeight="1">
      <c r="A955" s="48" t="s">
        <v>350</v>
      </c>
      <c r="B955" s="36" t="s">
        <v>351</v>
      </c>
      <c r="C955" s="104" t="s">
        <v>352</v>
      </c>
      <c r="D955" s="83" t="s">
        <v>353</v>
      </c>
      <c r="E955" s="84">
        <v>954.0</v>
      </c>
      <c r="F955" s="48"/>
    </row>
    <row r="956" ht="15.75" customHeight="1">
      <c r="A956" s="48" t="s">
        <v>150</v>
      </c>
      <c r="B956" s="48" t="s">
        <v>151</v>
      </c>
      <c r="C956" s="104" t="s">
        <v>152</v>
      </c>
      <c r="D956" s="83" t="s">
        <v>935</v>
      </c>
      <c r="E956" s="84">
        <v>955.0</v>
      </c>
      <c r="F956" s="48"/>
    </row>
    <row r="957" ht="15.75" customHeight="1">
      <c r="A957" s="48" t="s">
        <v>154</v>
      </c>
      <c r="B957" s="48" t="s">
        <v>155</v>
      </c>
      <c r="C957" s="104" t="s">
        <v>156</v>
      </c>
      <c r="D957" s="83" t="s">
        <v>935</v>
      </c>
      <c r="E957" s="84">
        <v>956.0</v>
      </c>
      <c r="F957" s="48"/>
    </row>
    <row r="958" ht="15.75" customHeight="1">
      <c r="A958" s="48" t="s">
        <v>157</v>
      </c>
      <c r="B958" s="48" t="s">
        <v>158</v>
      </c>
      <c r="C958" s="104" t="s">
        <v>159</v>
      </c>
      <c r="D958" s="83" t="s">
        <v>935</v>
      </c>
      <c r="E958" s="84">
        <v>957.0</v>
      </c>
      <c r="F958" s="48"/>
    </row>
    <row r="959" ht="15.75" customHeight="1">
      <c r="A959" s="48" t="s">
        <v>160</v>
      </c>
      <c r="B959" s="48" t="s">
        <v>161</v>
      </c>
      <c r="C959" s="39" t="s">
        <v>162</v>
      </c>
      <c r="D959" s="83" t="s">
        <v>935</v>
      </c>
      <c r="E959" s="84">
        <v>958.0</v>
      </c>
      <c r="F959" s="48"/>
    </row>
    <row r="960" ht="15.75" customHeight="1">
      <c r="A960" s="48" t="s">
        <v>163</v>
      </c>
      <c r="B960" s="48" t="s">
        <v>164</v>
      </c>
      <c r="C960" s="104" t="s">
        <v>165</v>
      </c>
      <c r="D960" s="83" t="s">
        <v>935</v>
      </c>
      <c r="E960" s="84">
        <v>959.0</v>
      </c>
      <c r="F960" s="48"/>
    </row>
    <row r="961" ht="15.75" customHeight="1">
      <c r="A961" s="48" t="s">
        <v>166</v>
      </c>
      <c r="B961" s="48" t="s">
        <v>167</v>
      </c>
      <c r="C961" s="104" t="s">
        <v>168</v>
      </c>
      <c r="D961" s="83" t="s">
        <v>935</v>
      </c>
      <c r="E961" s="84">
        <v>960.0</v>
      </c>
      <c r="F961" s="48"/>
    </row>
    <row r="962" ht="15.75" customHeight="1">
      <c r="A962" s="48" t="s">
        <v>169</v>
      </c>
      <c r="B962" s="48" t="s">
        <v>170</v>
      </c>
      <c r="C962" s="104" t="s">
        <v>171</v>
      </c>
      <c r="D962" s="83" t="s">
        <v>935</v>
      </c>
      <c r="E962" s="84">
        <v>961.0</v>
      </c>
      <c r="F962" s="48"/>
    </row>
    <row r="963" ht="15.75" customHeight="1">
      <c r="A963" s="48" t="s">
        <v>172</v>
      </c>
      <c r="B963" s="48" t="s">
        <v>173</v>
      </c>
      <c r="C963" s="104" t="s">
        <v>174</v>
      </c>
      <c r="D963" s="83" t="s">
        <v>935</v>
      </c>
      <c r="E963" s="84">
        <v>962.0</v>
      </c>
      <c r="F963" s="48"/>
    </row>
    <row r="964" ht="15.75" customHeight="1">
      <c r="A964" s="48" t="s">
        <v>176</v>
      </c>
      <c r="B964" s="48" t="s">
        <v>177</v>
      </c>
      <c r="C964" s="104" t="s">
        <v>178</v>
      </c>
      <c r="D964" s="83" t="s">
        <v>935</v>
      </c>
      <c r="E964" s="84">
        <v>963.0</v>
      </c>
      <c r="F964" s="48"/>
    </row>
    <row r="965" ht="15.75" customHeight="1">
      <c r="A965" s="48" t="s">
        <v>179</v>
      </c>
      <c r="B965" s="48" t="s">
        <v>180</v>
      </c>
      <c r="C965" s="104" t="s">
        <v>181</v>
      </c>
      <c r="D965" s="83" t="s">
        <v>935</v>
      </c>
      <c r="E965" s="84">
        <v>964.0</v>
      </c>
      <c r="F965" s="48"/>
    </row>
    <row r="966" ht="15.75" customHeight="1">
      <c r="A966" s="48" t="s">
        <v>182</v>
      </c>
      <c r="B966" s="48" t="s">
        <v>183</v>
      </c>
      <c r="C966" s="104" t="s">
        <v>184</v>
      </c>
      <c r="D966" s="83" t="s">
        <v>935</v>
      </c>
      <c r="E966" s="84">
        <v>965.0</v>
      </c>
      <c r="F966" s="48"/>
    </row>
    <row r="967" ht="15.75" customHeight="1">
      <c r="A967" s="48" t="s">
        <v>2958</v>
      </c>
      <c r="B967" s="48" t="s">
        <v>139</v>
      </c>
      <c r="C967" s="104" t="s">
        <v>2959</v>
      </c>
      <c r="D967" s="83" t="s">
        <v>2960</v>
      </c>
      <c r="E967" s="84">
        <v>966.0</v>
      </c>
      <c r="F967" s="48"/>
    </row>
    <row r="968" ht="15.75" customHeight="1">
      <c r="A968" s="48" t="s">
        <v>2961</v>
      </c>
      <c r="B968" s="48" t="s">
        <v>2962</v>
      </c>
      <c r="C968" s="104" t="s">
        <v>2963</v>
      </c>
      <c r="D968" s="83" t="s">
        <v>2960</v>
      </c>
      <c r="E968" s="84">
        <v>967.0</v>
      </c>
      <c r="F968" s="48"/>
    </row>
    <row r="969" ht="15.75" customHeight="1">
      <c r="A969" s="48" t="s">
        <v>354</v>
      </c>
      <c r="B969" s="48" t="s">
        <v>139</v>
      </c>
      <c r="C969" s="104" t="s">
        <v>355</v>
      </c>
      <c r="D969" s="83" t="s">
        <v>353</v>
      </c>
      <c r="E969" s="84">
        <v>968.0</v>
      </c>
      <c r="F969" s="48"/>
    </row>
    <row r="970" ht="15.75" customHeight="1">
      <c r="A970" s="48" t="s">
        <v>2964</v>
      </c>
      <c r="B970" s="48" t="s">
        <v>2965</v>
      </c>
      <c r="C970" s="104" t="s">
        <v>2966</v>
      </c>
      <c r="D970" s="83" t="s">
        <v>2960</v>
      </c>
      <c r="E970" s="84">
        <v>969.0</v>
      </c>
      <c r="F970" s="48"/>
    </row>
    <row r="971" ht="15.75" customHeight="1">
      <c r="A971" s="48" t="s">
        <v>356</v>
      </c>
      <c r="B971" s="48" t="s">
        <v>357</v>
      </c>
      <c r="C971" s="104" t="s">
        <v>358</v>
      </c>
      <c r="D971" s="83" t="s">
        <v>353</v>
      </c>
      <c r="E971" s="84">
        <v>970.0</v>
      </c>
      <c r="F971" s="48"/>
    </row>
    <row r="972" ht="15.75" customHeight="1">
      <c r="A972" s="48" t="s">
        <v>2967</v>
      </c>
      <c r="B972" s="48" t="s">
        <v>2968</v>
      </c>
      <c r="C972" s="104" t="s">
        <v>2969</v>
      </c>
      <c r="D972" s="57" t="s">
        <v>2960</v>
      </c>
      <c r="E972" s="84">
        <v>971.0</v>
      </c>
      <c r="F972" s="48"/>
    </row>
    <row r="973" ht="15.75" customHeight="1">
      <c r="A973" s="48" t="s">
        <v>2970</v>
      </c>
      <c r="B973" s="48" t="s">
        <v>139</v>
      </c>
      <c r="C973" s="104" t="s">
        <v>2971</v>
      </c>
      <c r="D973" s="83" t="s">
        <v>2960</v>
      </c>
      <c r="E973" s="84">
        <v>972.0</v>
      </c>
      <c r="F973" s="48"/>
    </row>
    <row r="974" ht="15.75" customHeight="1">
      <c r="A974" s="48" t="s">
        <v>359</v>
      </c>
      <c r="B974" s="48" t="s">
        <v>360</v>
      </c>
      <c r="C974" s="104" t="s">
        <v>361</v>
      </c>
      <c r="D974" s="83" t="s">
        <v>353</v>
      </c>
      <c r="E974" s="84">
        <v>973.0</v>
      </c>
      <c r="F974" s="48"/>
    </row>
    <row r="975" ht="15.75" customHeight="1">
      <c r="A975" s="48" t="s">
        <v>362</v>
      </c>
      <c r="B975" s="48" t="s">
        <v>363</v>
      </c>
      <c r="C975" s="101" t="s">
        <v>198</v>
      </c>
      <c r="D975" s="83" t="s">
        <v>353</v>
      </c>
      <c r="E975" s="84">
        <v>974.0</v>
      </c>
      <c r="F975" s="48"/>
    </row>
    <row r="976" ht="15.75" customHeight="1">
      <c r="A976" s="48" t="s">
        <v>1710</v>
      </c>
      <c r="B976" s="48" t="s">
        <v>2972</v>
      </c>
      <c r="C976" s="104" t="s">
        <v>2973</v>
      </c>
      <c r="D976" s="83" t="s">
        <v>2960</v>
      </c>
      <c r="E976" s="84">
        <v>975.0</v>
      </c>
      <c r="F976" s="48"/>
    </row>
    <row r="977" ht="15.75" customHeight="1">
      <c r="A977" s="48" t="s">
        <v>364</v>
      </c>
      <c r="B977" s="48" t="s">
        <v>365</v>
      </c>
      <c r="C977" s="104" t="s">
        <v>366</v>
      </c>
      <c r="D977" s="83" t="s">
        <v>353</v>
      </c>
      <c r="E977" s="84">
        <v>976.0</v>
      </c>
      <c r="F977" s="48"/>
    </row>
    <row r="978" ht="15.75" customHeight="1">
      <c r="A978" s="48" t="s">
        <v>2974</v>
      </c>
      <c r="B978" s="48" t="s">
        <v>2975</v>
      </c>
      <c r="C978" s="104" t="s">
        <v>2976</v>
      </c>
      <c r="D978" s="83" t="s">
        <v>2960</v>
      </c>
      <c r="E978" s="84">
        <v>977.0</v>
      </c>
      <c r="F978" s="48"/>
    </row>
    <row r="979" ht="15.75" customHeight="1">
      <c r="A979" s="48" t="s">
        <v>368</v>
      </c>
      <c r="B979" s="48" t="s">
        <v>369</v>
      </c>
      <c r="C979" s="101" t="s">
        <v>139</v>
      </c>
      <c r="D979" s="83" t="s">
        <v>353</v>
      </c>
      <c r="E979" s="84">
        <v>978.0</v>
      </c>
      <c r="F979" s="48"/>
    </row>
    <row r="980" ht="15.75" customHeight="1">
      <c r="A980" s="48" t="s">
        <v>2977</v>
      </c>
      <c r="B980" s="48" t="s">
        <v>2978</v>
      </c>
      <c r="C980" s="104" t="s">
        <v>2979</v>
      </c>
      <c r="D980" s="83" t="s">
        <v>2960</v>
      </c>
      <c r="E980" s="84">
        <v>979.0</v>
      </c>
      <c r="F980" s="48"/>
    </row>
    <row r="981" ht="15.75" customHeight="1">
      <c r="A981" s="48" t="s">
        <v>825</v>
      </c>
      <c r="B981" s="48" t="s">
        <v>2980</v>
      </c>
      <c r="C981" s="101" t="s">
        <v>139</v>
      </c>
      <c r="D981" s="83" t="s">
        <v>2960</v>
      </c>
      <c r="E981" s="84">
        <v>980.0</v>
      </c>
      <c r="F981" s="48"/>
    </row>
    <row r="982" ht="15.75" customHeight="1">
      <c r="A982" s="48" t="s">
        <v>2981</v>
      </c>
      <c r="B982" s="48" t="s">
        <v>139</v>
      </c>
      <c r="C982" s="101" t="s">
        <v>139</v>
      </c>
      <c r="D982" s="83" t="s">
        <v>2960</v>
      </c>
      <c r="E982" s="84">
        <v>981.0</v>
      </c>
      <c r="F982" s="48"/>
    </row>
    <row r="983" ht="15.75" customHeight="1">
      <c r="A983" s="48" t="s">
        <v>2982</v>
      </c>
      <c r="B983" s="48" t="s">
        <v>2983</v>
      </c>
      <c r="C983" s="104" t="s">
        <v>2984</v>
      </c>
      <c r="D983" s="83" t="s">
        <v>2960</v>
      </c>
      <c r="E983" s="84">
        <v>982.0</v>
      </c>
      <c r="F983" s="48"/>
    </row>
    <row r="984" ht="15.75" customHeight="1">
      <c r="A984" s="48" t="s">
        <v>370</v>
      </c>
      <c r="B984" s="48" t="s">
        <v>371</v>
      </c>
      <c r="C984" s="104" t="s">
        <v>372</v>
      </c>
      <c r="D984" s="83" t="s">
        <v>353</v>
      </c>
      <c r="E984" s="84">
        <v>983.0</v>
      </c>
      <c r="F984" s="48"/>
    </row>
    <row r="985" ht="15.75" customHeight="1">
      <c r="A985" s="48" t="s">
        <v>373</v>
      </c>
      <c r="B985" s="48" t="s">
        <v>374</v>
      </c>
      <c r="C985" s="104" t="s">
        <v>375</v>
      </c>
      <c r="D985" s="83" t="s">
        <v>353</v>
      </c>
      <c r="E985" s="84">
        <v>984.0</v>
      </c>
      <c r="F985" s="48"/>
    </row>
    <row r="986" ht="15.75" customHeight="1">
      <c r="A986" s="48" t="s">
        <v>2985</v>
      </c>
      <c r="B986" s="48" t="s">
        <v>2986</v>
      </c>
      <c r="C986" s="101" t="s">
        <v>139</v>
      </c>
      <c r="D986" s="83" t="s">
        <v>2960</v>
      </c>
      <c r="E986" s="84">
        <v>985.0</v>
      </c>
      <c r="F986" s="48"/>
    </row>
    <row r="987" ht="15.75" customHeight="1">
      <c r="A987" s="48" t="s">
        <v>2987</v>
      </c>
      <c r="B987" s="48" t="s">
        <v>139</v>
      </c>
      <c r="C987" s="101" t="s">
        <v>139</v>
      </c>
      <c r="D987" s="83" t="s">
        <v>2960</v>
      </c>
      <c r="E987" s="84">
        <v>986.0</v>
      </c>
      <c r="F987" s="48"/>
    </row>
    <row r="988" ht="15.75" customHeight="1">
      <c r="A988" s="48" t="s">
        <v>2988</v>
      </c>
      <c r="B988" s="48" t="s">
        <v>139</v>
      </c>
      <c r="C988" s="104" t="s">
        <v>2989</v>
      </c>
      <c r="D988" s="83" t="s">
        <v>2960</v>
      </c>
      <c r="E988" s="84">
        <v>987.0</v>
      </c>
      <c r="F988" s="48"/>
    </row>
    <row r="989" ht="15.75" customHeight="1">
      <c r="A989" s="48" t="s">
        <v>2990</v>
      </c>
      <c r="B989" s="48" t="s">
        <v>139</v>
      </c>
      <c r="C989" s="104" t="s">
        <v>2991</v>
      </c>
      <c r="D989" s="83" t="s">
        <v>2960</v>
      </c>
      <c r="E989" s="84">
        <v>988.0</v>
      </c>
      <c r="F989" s="48"/>
    </row>
    <row r="990" ht="15.75" customHeight="1">
      <c r="A990" s="48" t="s">
        <v>376</v>
      </c>
      <c r="B990" s="48" t="s">
        <v>377</v>
      </c>
      <c r="C990" s="104" t="s">
        <v>378</v>
      </c>
      <c r="D990" s="83" t="s">
        <v>353</v>
      </c>
      <c r="E990" s="84">
        <v>989.0</v>
      </c>
      <c r="F990" s="48"/>
    </row>
    <row r="991" ht="15.75" customHeight="1">
      <c r="A991" s="48" t="s">
        <v>2992</v>
      </c>
      <c r="B991" s="48" t="s">
        <v>139</v>
      </c>
      <c r="C991" s="104" t="s">
        <v>2993</v>
      </c>
      <c r="D991" s="83" t="s">
        <v>2960</v>
      </c>
      <c r="E991" s="84">
        <v>990.0</v>
      </c>
      <c r="F991" s="48"/>
    </row>
    <row r="992" ht="15.75" customHeight="1">
      <c r="A992" s="48" t="s">
        <v>2994</v>
      </c>
      <c r="B992" s="48" t="s">
        <v>139</v>
      </c>
      <c r="C992" s="104" t="s">
        <v>2995</v>
      </c>
      <c r="D992" s="83" t="s">
        <v>2960</v>
      </c>
      <c r="E992" s="84">
        <v>991.0</v>
      </c>
      <c r="F992" s="48"/>
    </row>
    <row r="993" ht="15.75" customHeight="1">
      <c r="A993" s="48" t="s">
        <v>2996</v>
      </c>
      <c r="B993" s="48" t="s">
        <v>2997</v>
      </c>
      <c r="C993" s="104" t="s">
        <v>2998</v>
      </c>
      <c r="D993" s="83" t="s">
        <v>2960</v>
      </c>
      <c r="E993" s="84">
        <v>992.0</v>
      </c>
      <c r="F993" s="48"/>
    </row>
    <row r="994" ht="15.75" customHeight="1">
      <c r="A994" s="48" t="s">
        <v>2999</v>
      </c>
      <c r="B994" s="48" t="s">
        <v>139</v>
      </c>
      <c r="C994" s="104" t="s">
        <v>3000</v>
      </c>
      <c r="D994" s="83" t="s">
        <v>1518</v>
      </c>
      <c r="E994" s="84">
        <v>993.0</v>
      </c>
      <c r="F994" s="48"/>
    </row>
    <row r="995" ht="15.75" customHeight="1">
      <c r="A995" s="48" t="s">
        <v>3001</v>
      </c>
      <c r="B995" s="48" t="s">
        <v>3002</v>
      </c>
      <c r="C995" s="104" t="s">
        <v>3003</v>
      </c>
      <c r="D995" s="83" t="s">
        <v>1518</v>
      </c>
      <c r="E995" s="84">
        <v>994.0</v>
      </c>
      <c r="F995" s="48"/>
    </row>
    <row r="996" ht="15.75" customHeight="1">
      <c r="A996" s="48" t="s">
        <v>3004</v>
      </c>
      <c r="B996" s="48" t="s">
        <v>3005</v>
      </c>
      <c r="C996" s="104" t="s">
        <v>3003</v>
      </c>
      <c r="D996" s="83" t="s">
        <v>1518</v>
      </c>
      <c r="E996" s="84">
        <v>995.0</v>
      </c>
      <c r="F996" s="48"/>
    </row>
    <row r="997" ht="15.75" customHeight="1">
      <c r="A997" s="48" t="s">
        <v>1515</v>
      </c>
      <c r="B997" s="48" t="s">
        <v>3006</v>
      </c>
      <c r="C997" s="104" t="s">
        <v>1517</v>
      </c>
      <c r="D997" s="83" t="s">
        <v>1518</v>
      </c>
      <c r="E997" s="84">
        <v>996.0</v>
      </c>
      <c r="F997" s="48"/>
    </row>
    <row r="998" ht="15.75" customHeight="1">
      <c r="A998" s="48" t="s">
        <v>1519</v>
      </c>
      <c r="B998" s="48" t="s">
        <v>3007</v>
      </c>
      <c r="C998" s="104" t="s">
        <v>3008</v>
      </c>
      <c r="D998" s="83" t="s">
        <v>1518</v>
      </c>
      <c r="E998" s="84">
        <v>997.0</v>
      </c>
      <c r="F998" s="48"/>
    </row>
    <row r="999" ht="15.75" customHeight="1">
      <c r="A999" s="48" t="s">
        <v>3009</v>
      </c>
      <c r="B999" s="48" t="s">
        <v>3010</v>
      </c>
      <c r="C999" s="39" t="s">
        <v>3011</v>
      </c>
      <c r="D999" s="83" t="s">
        <v>1518</v>
      </c>
      <c r="E999" s="84">
        <v>998.0</v>
      </c>
      <c r="F999" s="48"/>
    </row>
    <row r="1000" ht="15.75" customHeight="1">
      <c r="A1000" s="48" t="s">
        <v>3012</v>
      </c>
      <c r="B1000" s="48" t="s">
        <v>3013</v>
      </c>
      <c r="C1000" s="104" t="s">
        <v>3014</v>
      </c>
      <c r="D1000" s="83" t="s">
        <v>1518</v>
      </c>
      <c r="E1000" s="84">
        <v>999.0</v>
      </c>
      <c r="F1000" s="48"/>
    </row>
    <row r="1001" ht="15.75" customHeight="1">
      <c r="A1001" s="48" t="s">
        <v>3015</v>
      </c>
      <c r="B1001" s="48" t="s">
        <v>3016</v>
      </c>
      <c r="C1001" s="101" t="s">
        <v>139</v>
      </c>
      <c r="D1001" s="83" t="s">
        <v>1518</v>
      </c>
      <c r="E1001" s="84">
        <v>1000.0</v>
      </c>
      <c r="F1001" s="48"/>
    </row>
    <row r="1002" ht="15.75" customHeight="1">
      <c r="A1002" s="48" t="s">
        <v>3017</v>
      </c>
      <c r="B1002" s="48" t="s">
        <v>139</v>
      </c>
      <c r="C1002" s="104" t="s">
        <v>3018</v>
      </c>
      <c r="D1002" s="83" t="s">
        <v>1518</v>
      </c>
      <c r="E1002" s="84">
        <v>1001.0</v>
      </c>
      <c r="F1002" s="48"/>
    </row>
    <row r="1003" ht="15.75" customHeight="1">
      <c r="A1003" s="48" t="s">
        <v>3019</v>
      </c>
      <c r="B1003" s="48" t="s">
        <v>3020</v>
      </c>
      <c r="C1003" s="104" t="s">
        <v>3021</v>
      </c>
      <c r="D1003" s="83" t="s">
        <v>1518</v>
      </c>
      <c r="E1003" s="84">
        <v>1002.0</v>
      </c>
      <c r="F1003" s="48"/>
    </row>
    <row r="1004" ht="15.75" customHeight="1">
      <c r="A1004" s="48" t="s">
        <v>3022</v>
      </c>
      <c r="B1004" s="48" t="s">
        <v>3023</v>
      </c>
      <c r="C1004" s="104" t="s">
        <v>3024</v>
      </c>
      <c r="D1004" s="83" t="s">
        <v>1518</v>
      </c>
      <c r="E1004" s="84">
        <v>1003.0</v>
      </c>
      <c r="F1004" s="48"/>
    </row>
    <row r="1005" ht="15.75" customHeight="1">
      <c r="A1005" s="48" t="s">
        <v>3025</v>
      </c>
      <c r="B1005" s="48" t="s">
        <v>3026</v>
      </c>
      <c r="C1005" s="104" t="s">
        <v>3027</v>
      </c>
      <c r="D1005" s="83" t="s">
        <v>1213</v>
      </c>
      <c r="E1005" s="84">
        <v>1004.0</v>
      </c>
      <c r="F1005" s="48"/>
    </row>
    <row r="1006" ht="15.75" customHeight="1">
      <c r="A1006" s="31" t="s">
        <v>3028</v>
      </c>
      <c r="B1006" s="34" t="s">
        <v>198</v>
      </c>
      <c r="C1006" s="110" t="s">
        <v>3029</v>
      </c>
      <c r="D1006" s="94" t="s">
        <v>1097</v>
      </c>
      <c r="E1006" s="84">
        <v>1005.0</v>
      </c>
      <c r="F1006" s="111" t="s">
        <v>3030</v>
      </c>
    </row>
    <row r="1007" ht="15.75" customHeight="1">
      <c r="A1007" s="34" t="s">
        <v>3031</v>
      </c>
      <c r="B1007" s="112" t="s">
        <v>3032</v>
      </c>
      <c r="C1007" s="113" t="s">
        <v>717</v>
      </c>
      <c r="D1007" s="94" t="s">
        <v>1097</v>
      </c>
      <c r="E1007" s="84">
        <v>1006.0</v>
      </c>
      <c r="F1007" s="111" t="s">
        <v>3030</v>
      </c>
    </row>
    <row r="1008" ht="15.75" customHeight="1">
      <c r="A1008" s="34" t="s">
        <v>3033</v>
      </c>
      <c r="B1008" s="34" t="s">
        <v>198</v>
      </c>
      <c r="C1008" s="110" t="s">
        <v>3034</v>
      </c>
      <c r="D1008" s="94" t="s">
        <v>1097</v>
      </c>
      <c r="E1008" s="84">
        <v>1007.0</v>
      </c>
      <c r="F1008" s="111" t="s">
        <v>3030</v>
      </c>
    </row>
    <row r="1009" ht="15.75" customHeight="1">
      <c r="A1009" s="31" t="s">
        <v>3035</v>
      </c>
      <c r="B1009" s="34" t="s">
        <v>3036</v>
      </c>
      <c r="C1009" s="113"/>
      <c r="D1009" s="94" t="s">
        <v>1097</v>
      </c>
      <c r="E1009" s="84">
        <v>1008.0</v>
      </c>
      <c r="F1009" s="111" t="s">
        <v>3030</v>
      </c>
    </row>
    <row r="1010" ht="15.75" customHeight="1">
      <c r="A1010" s="34" t="s">
        <v>3037</v>
      </c>
      <c r="B1010" s="34" t="s">
        <v>3038</v>
      </c>
      <c r="C1010" s="110" t="s">
        <v>3039</v>
      </c>
      <c r="D1010" s="94" t="s">
        <v>1097</v>
      </c>
      <c r="E1010" s="84">
        <v>1009.0</v>
      </c>
      <c r="F1010" s="111" t="s">
        <v>3030</v>
      </c>
    </row>
    <row r="1011" ht="15.75" customHeight="1">
      <c r="A1011" s="34" t="s">
        <v>3040</v>
      </c>
      <c r="B1011" s="34" t="s">
        <v>3041</v>
      </c>
      <c r="C1011" s="110" t="s">
        <v>3042</v>
      </c>
      <c r="D1011" s="94" t="s">
        <v>1097</v>
      </c>
      <c r="E1011" s="84">
        <v>1010.0</v>
      </c>
      <c r="F1011" s="111" t="s">
        <v>3030</v>
      </c>
    </row>
    <row r="1012" ht="15.75" customHeight="1">
      <c r="A1012" s="34" t="s">
        <v>3043</v>
      </c>
      <c r="B1012" s="34" t="s">
        <v>3044</v>
      </c>
      <c r="C1012" s="113" t="s">
        <v>198</v>
      </c>
      <c r="D1012" s="94" t="s">
        <v>1097</v>
      </c>
      <c r="E1012" s="84">
        <v>1011.0</v>
      </c>
      <c r="F1012" s="111" t="s">
        <v>3030</v>
      </c>
    </row>
    <row r="1013" ht="15.75" customHeight="1">
      <c r="A1013" s="34" t="s">
        <v>3045</v>
      </c>
      <c r="B1013" s="34" t="s">
        <v>3046</v>
      </c>
      <c r="C1013" s="113" t="s">
        <v>198</v>
      </c>
      <c r="D1013" s="94" t="s">
        <v>1097</v>
      </c>
      <c r="E1013" s="84">
        <v>1012.0</v>
      </c>
      <c r="F1013" s="111" t="s">
        <v>3030</v>
      </c>
    </row>
    <row r="1014" ht="15.75" customHeight="1">
      <c r="A1014" s="34" t="s">
        <v>3047</v>
      </c>
      <c r="B1014" s="34" t="s">
        <v>3048</v>
      </c>
      <c r="C1014" s="110" t="s">
        <v>3049</v>
      </c>
      <c r="D1014" s="94" t="s">
        <v>1097</v>
      </c>
      <c r="E1014" s="84">
        <v>1013.0</v>
      </c>
      <c r="F1014" s="111" t="s">
        <v>3030</v>
      </c>
    </row>
    <row r="1015" ht="15.75" customHeight="1">
      <c r="A1015" s="34" t="s">
        <v>3050</v>
      </c>
      <c r="B1015" s="34" t="s">
        <v>3051</v>
      </c>
      <c r="C1015" s="110" t="s">
        <v>3052</v>
      </c>
      <c r="D1015" s="94" t="s">
        <v>1097</v>
      </c>
      <c r="E1015" s="84">
        <v>1014.0</v>
      </c>
      <c r="F1015" s="111" t="s">
        <v>3030</v>
      </c>
    </row>
    <row r="1016" ht="15.75" customHeight="1">
      <c r="A1016" s="34" t="s">
        <v>3053</v>
      </c>
      <c r="B1016" s="34" t="s">
        <v>198</v>
      </c>
      <c r="C1016" s="110" t="s">
        <v>3054</v>
      </c>
      <c r="D1016" s="94" t="s">
        <v>1097</v>
      </c>
      <c r="E1016" s="84">
        <v>1015.0</v>
      </c>
      <c r="F1016" s="111" t="s">
        <v>3030</v>
      </c>
    </row>
    <row r="1017" ht="15.75" customHeight="1">
      <c r="A1017" s="34" t="s">
        <v>855</v>
      </c>
      <c r="B1017" s="34" t="s">
        <v>3055</v>
      </c>
      <c r="C1017" s="110" t="s">
        <v>3056</v>
      </c>
      <c r="D1017" s="94" t="s">
        <v>1097</v>
      </c>
      <c r="E1017" s="84">
        <v>1016.0</v>
      </c>
      <c r="F1017" s="111" t="s">
        <v>3030</v>
      </c>
    </row>
    <row r="1018" ht="15.75" customHeight="1">
      <c r="A1018" s="31" t="s">
        <v>3057</v>
      </c>
      <c r="B1018" s="34" t="s">
        <v>198</v>
      </c>
      <c r="C1018" s="110" t="s">
        <v>3058</v>
      </c>
      <c r="D1018" s="94" t="s">
        <v>1097</v>
      </c>
      <c r="E1018" s="84">
        <v>1017.0</v>
      </c>
      <c r="F1018" s="111" t="s">
        <v>3030</v>
      </c>
    </row>
    <row r="1019" ht="15.75" customHeight="1">
      <c r="A1019" s="34" t="s">
        <v>3059</v>
      </c>
      <c r="B1019" s="34" t="s">
        <v>198</v>
      </c>
      <c r="C1019" s="110" t="s">
        <v>3060</v>
      </c>
      <c r="D1019" s="94" t="s">
        <v>1097</v>
      </c>
      <c r="E1019" s="84">
        <v>1018.0</v>
      </c>
      <c r="F1019" s="111" t="s">
        <v>3030</v>
      </c>
    </row>
    <row r="1020" ht="15.75" customHeight="1">
      <c r="A1020" s="34" t="s">
        <v>3061</v>
      </c>
      <c r="B1020" s="34" t="s">
        <v>3062</v>
      </c>
      <c r="C1020" s="113" t="s">
        <v>198</v>
      </c>
      <c r="D1020" s="94" t="s">
        <v>1097</v>
      </c>
      <c r="E1020" s="84">
        <v>1019.0</v>
      </c>
      <c r="F1020" s="111" t="s">
        <v>3030</v>
      </c>
    </row>
    <row r="1021" ht="15.75" customHeight="1">
      <c r="A1021" s="34" t="s">
        <v>3063</v>
      </c>
      <c r="B1021" s="34" t="s">
        <v>3064</v>
      </c>
      <c r="C1021" s="110" t="s">
        <v>3065</v>
      </c>
      <c r="D1021" s="94" t="s">
        <v>1097</v>
      </c>
      <c r="E1021" s="84">
        <v>1020.0</v>
      </c>
      <c r="F1021" s="111" t="s">
        <v>3030</v>
      </c>
    </row>
    <row r="1022" ht="15.75" customHeight="1">
      <c r="A1022" s="31" t="s">
        <v>3066</v>
      </c>
      <c r="B1022" s="34"/>
      <c r="C1022" s="110" t="s">
        <v>3067</v>
      </c>
      <c r="D1022" s="94" t="s">
        <v>1097</v>
      </c>
      <c r="E1022" s="84">
        <v>1021.0</v>
      </c>
      <c r="F1022" s="111" t="s">
        <v>3030</v>
      </c>
    </row>
    <row r="1023" ht="15.75" customHeight="1">
      <c r="A1023" s="34" t="s">
        <v>3068</v>
      </c>
      <c r="B1023" s="34" t="s">
        <v>3069</v>
      </c>
      <c r="C1023" s="110" t="s">
        <v>3070</v>
      </c>
      <c r="D1023" s="94" t="s">
        <v>1097</v>
      </c>
      <c r="E1023" s="84">
        <v>1022.0</v>
      </c>
      <c r="F1023" s="111" t="s">
        <v>3030</v>
      </c>
    </row>
    <row r="1024" ht="15.75" customHeight="1">
      <c r="A1024" s="34" t="s">
        <v>3071</v>
      </c>
      <c r="B1024" s="34" t="s">
        <v>3072</v>
      </c>
      <c r="C1024" s="113" t="s">
        <v>198</v>
      </c>
      <c r="D1024" s="94" t="s">
        <v>1097</v>
      </c>
      <c r="E1024" s="84">
        <v>1023.0</v>
      </c>
      <c r="F1024" s="111" t="s">
        <v>3030</v>
      </c>
    </row>
    <row r="1025" ht="15.75" customHeight="1">
      <c r="A1025" s="34" t="s">
        <v>3073</v>
      </c>
      <c r="B1025" s="34" t="s">
        <v>198</v>
      </c>
      <c r="C1025" s="110" t="s">
        <v>3074</v>
      </c>
      <c r="D1025" s="94" t="s">
        <v>1097</v>
      </c>
      <c r="E1025" s="84">
        <v>1024.0</v>
      </c>
      <c r="F1025" s="111" t="s">
        <v>3030</v>
      </c>
    </row>
    <row r="1026" ht="15.75" customHeight="1">
      <c r="A1026" s="34" t="s">
        <v>3075</v>
      </c>
      <c r="B1026" s="34" t="s">
        <v>3076</v>
      </c>
      <c r="C1026" s="110" t="s">
        <v>3077</v>
      </c>
      <c r="D1026" s="94" t="s">
        <v>1097</v>
      </c>
      <c r="E1026" s="84">
        <v>1025.0</v>
      </c>
      <c r="F1026" s="111" t="s">
        <v>3030</v>
      </c>
    </row>
    <row r="1027" ht="15.75" customHeight="1">
      <c r="A1027" s="34" t="s">
        <v>3078</v>
      </c>
      <c r="B1027" s="34" t="s">
        <v>3079</v>
      </c>
      <c r="C1027" s="110" t="s">
        <v>3080</v>
      </c>
      <c r="D1027" s="94" t="s">
        <v>1097</v>
      </c>
      <c r="E1027" s="84">
        <v>1026.0</v>
      </c>
      <c r="F1027" s="111" t="s">
        <v>3030</v>
      </c>
    </row>
    <row r="1028" ht="15.75" customHeight="1">
      <c r="A1028" s="34" t="s">
        <v>3081</v>
      </c>
      <c r="B1028" s="34" t="s">
        <v>198</v>
      </c>
      <c r="C1028" s="110" t="s">
        <v>3082</v>
      </c>
      <c r="D1028" s="94" t="s">
        <v>1097</v>
      </c>
      <c r="E1028" s="84">
        <v>1027.0</v>
      </c>
      <c r="F1028" s="111" t="s">
        <v>3030</v>
      </c>
    </row>
    <row r="1029" ht="15.75" customHeight="1">
      <c r="A1029" s="34" t="s">
        <v>3083</v>
      </c>
      <c r="B1029" s="34" t="s">
        <v>3084</v>
      </c>
      <c r="C1029" s="113" t="s">
        <v>198</v>
      </c>
      <c r="D1029" s="94" t="s">
        <v>1097</v>
      </c>
      <c r="E1029" s="84">
        <v>1028.0</v>
      </c>
      <c r="F1029" s="111" t="s">
        <v>3030</v>
      </c>
    </row>
    <row r="1030" ht="15.75" customHeight="1">
      <c r="A1030" s="34" t="s">
        <v>845</v>
      </c>
      <c r="B1030" s="34" t="s">
        <v>3085</v>
      </c>
      <c r="C1030" s="113" t="s">
        <v>198</v>
      </c>
      <c r="D1030" s="94" t="s">
        <v>1097</v>
      </c>
      <c r="E1030" s="84">
        <v>1029.0</v>
      </c>
      <c r="F1030" s="111" t="s">
        <v>3030</v>
      </c>
    </row>
    <row r="1031" ht="15.75" customHeight="1">
      <c r="A1031" s="34" t="s">
        <v>3086</v>
      </c>
      <c r="B1031" s="34" t="s">
        <v>3087</v>
      </c>
      <c r="C1031" s="110" t="s">
        <v>3088</v>
      </c>
      <c r="D1031" s="94" t="s">
        <v>1097</v>
      </c>
      <c r="E1031" s="84">
        <v>1030.0</v>
      </c>
      <c r="F1031" s="111" t="s">
        <v>3030</v>
      </c>
    </row>
    <row r="1032" ht="15.75" customHeight="1">
      <c r="A1032" s="34" t="s">
        <v>3089</v>
      </c>
      <c r="B1032" s="34" t="s">
        <v>3090</v>
      </c>
      <c r="C1032" s="110" t="s">
        <v>3091</v>
      </c>
      <c r="D1032" s="94" t="s">
        <v>1097</v>
      </c>
      <c r="E1032" s="84">
        <v>1031.0</v>
      </c>
      <c r="F1032" s="111" t="s">
        <v>3030</v>
      </c>
    </row>
    <row r="1033" ht="15.75" customHeight="1">
      <c r="A1033" s="34" t="s">
        <v>3092</v>
      </c>
      <c r="B1033" s="34" t="s">
        <v>3093</v>
      </c>
      <c r="C1033" s="113" t="s">
        <v>198</v>
      </c>
      <c r="D1033" s="94" t="s">
        <v>1097</v>
      </c>
      <c r="E1033" s="84">
        <v>1032.0</v>
      </c>
      <c r="F1033" s="111" t="s">
        <v>3030</v>
      </c>
    </row>
    <row r="1034" ht="15.75" customHeight="1">
      <c r="A1034" s="34" t="s">
        <v>3094</v>
      </c>
      <c r="B1034" s="34" t="s">
        <v>3095</v>
      </c>
      <c r="C1034" s="110" t="s">
        <v>3096</v>
      </c>
      <c r="D1034" s="94" t="s">
        <v>1097</v>
      </c>
      <c r="E1034" s="84">
        <v>1033.0</v>
      </c>
      <c r="F1034" s="111" t="s">
        <v>3030</v>
      </c>
    </row>
    <row r="1035" ht="15.75" customHeight="1">
      <c r="A1035" s="34" t="s">
        <v>3097</v>
      </c>
      <c r="B1035" s="34" t="s">
        <v>3098</v>
      </c>
      <c r="C1035" s="110" t="s">
        <v>3099</v>
      </c>
      <c r="D1035" s="94" t="s">
        <v>1097</v>
      </c>
      <c r="E1035" s="84">
        <v>1034.0</v>
      </c>
      <c r="F1035" s="111" t="s">
        <v>3030</v>
      </c>
    </row>
    <row r="1036" ht="15.75" customHeight="1">
      <c r="A1036" s="34" t="s">
        <v>3100</v>
      </c>
      <c r="B1036" s="34" t="s">
        <v>3101</v>
      </c>
      <c r="C1036" s="110" t="s">
        <v>3102</v>
      </c>
      <c r="D1036" s="94" t="s">
        <v>1097</v>
      </c>
      <c r="E1036" s="84">
        <v>1035.0</v>
      </c>
      <c r="F1036" s="111" t="s">
        <v>3030</v>
      </c>
    </row>
    <row r="1037" ht="15.75" customHeight="1">
      <c r="A1037" s="34" t="s">
        <v>3103</v>
      </c>
      <c r="B1037" s="34" t="s">
        <v>3104</v>
      </c>
      <c r="C1037" s="110" t="s">
        <v>3105</v>
      </c>
      <c r="D1037" s="94" t="s">
        <v>1097</v>
      </c>
      <c r="E1037" s="84">
        <v>1036.0</v>
      </c>
      <c r="F1037" s="111" t="s">
        <v>3030</v>
      </c>
    </row>
    <row r="1038" ht="15.75" customHeight="1">
      <c r="A1038" s="34" t="s">
        <v>3106</v>
      </c>
      <c r="B1038" s="34" t="s">
        <v>3107</v>
      </c>
      <c r="C1038" s="110" t="s">
        <v>3108</v>
      </c>
      <c r="D1038" s="94" t="s">
        <v>1097</v>
      </c>
      <c r="E1038" s="84">
        <v>1037.0</v>
      </c>
      <c r="F1038" s="111" t="s">
        <v>3030</v>
      </c>
    </row>
    <row r="1039" ht="15.75" customHeight="1">
      <c r="A1039" s="34" t="s">
        <v>3109</v>
      </c>
      <c r="B1039" s="34" t="s">
        <v>3110</v>
      </c>
      <c r="C1039" s="110" t="s">
        <v>3111</v>
      </c>
      <c r="D1039" s="94" t="s">
        <v>1097</v>
      </c>
      <c r="E1039" s="84">
        <v>1038.0</v>
      </c>
      <c r="F1039" s="111" t="s">
        <v>3030</v>
      </c>
    </row>
    <row r="1040" ht="15.75" customHeight="1">
      <c r="A1040" s="34" t="s">
        <v>3112</v>
      </c>
      <c r="B1040" s="34" t="s">
        <v>3113</v>
      </c>
      <c r="C1040" s="110" t="s">
        <v>3114</v>
      </c>
      <c r="D1040" s="94" t="s">
        <v>1097</v>
      </c>
      <c r="E1040" s="84">
        <v>1039.0</v>
      </c>
      <c r="F1040" s="111" t="s">
        <v>3030</v>
      </c>
    </row>
    <row r="1041" ht="15.75" customHeight="1">
      <c r="A1041" s="34" t="s">
        <v>3115</v>
      </c>
      <c r="B1041" s="34" t="s">
        <v>3116</v>
      </c>
      <c r="C1041" s="113" t="s">
        <v>198</v>
      </c>
      <c r="D1041" s="94" t="s">
        <v>1097</v>
      </c>
      <c r="E1041" s="84">
        <v>1040.0</v>
      </c>
      <c r="F1041" s="111" t="s">
        <v>3030</v>
      </c>
    </row>
    <row r="1042" ht="15.75" customHeight="1">
      <c r="A1042" s="34" t="s">
        <v>3117</v>
      </c>
      <c r="B1042" s="34" t="s">
        <v>3118</v>
      </c>
      <c r="C1042" s="31" t="s">
        <v>198</v>
      </c>
      <c r="D1042" s="94" t="s">
        <v>1097</v>
      </c>
      <c r="E1042" s="84">
        <v>1041.0</v>
      </c>
      <c r="F1042" s="111" t="s">
        <v>3030</v>
      </c>
    </row>
    <row r="1043" ht="15.75" customHeight="1">
      <c r="A1043" s="34" t="s">
        <v>3119</v>
      </c>
      <c r="B1043" s="34" t="s">
        <v>198</v>
      </c>
      <c r="C1043" s="110" t="s">
        <v>3120</v>
      </c>
      <c r="D1043" s="94" t="s">
        <v>1097</v>
      </c>
      <c r="E1043" s="84">
        <v>1042.0</v>
      </c>
      <c r="F1043" s="111" t="s">
        <v>3030</v>
      </c>
    </row>
    <row r="1044" ht="15.75" customHeight="1">
      <c r="A1044" s="34" t="s">
        <v>843</v>
      </c>
      <c r="B1044" s="34" t="s">
        <v>3121</v>
      </c>
      <c r="C1044" s="110" t="s">
        <v>3122</v>
      </c>
      <c r="D1044" s="94" t="s">
        <v>1097</v>
      </c>
      <c r="E1044" s="84">
        <v>1043.0</v>
      </c>
      <c r="F1044" s="111" t="s">
        <v>3030</v>
      </c>
    </row>
    <row r="1045" ht="15.75" customHeight="1">
      <c r="A1045" s="31" t="s">
        <v>3123</v>
      </c>
      <c r="B1045" s="34" t="s">
        <v>3124</v>
      </c>
      <c r="C1045" s="110" t="s">
        <v>3125</v>
      </c>
      <c r="D1045" s="94" t="s">
        <v>1097</v>
      </c>
      <c r="E1045" s="84">
        <v>1044.0</v>
      </c>
      <c r="F1045" s="111" t="s">
        <v>3030</v>
      </c>
    </row>
    <row r="1046" ht="15.75" customHeight="1">
      <c r="A1046" s="34" t="s">
        <v>3126</v>
      </c>
      <c r="B1046" s="34" t="s">
        <v>3127</v>
      </c>
      <c r="C1046" s="110" t="s">
        <v>3128</v>
      </c>
      <c r="D1046" s="94" t="s">
        <v>1097</v>
      </c>
      <c r="E1046" s="84">
        <v>1045.0</v>
      </c>
      <c r="F1046" s="111" t="s">
        <v>3030</v>
      </c>
    </row>
    <row r="1047" ht="15.75" customHeight="1">
      <c r="A1047" s="34" t="s">
        <v>3129</v>
      </c>
      <c r="B1047" s="34" t="s">
        <v>3130</v>
      </c>
      <c r="C1047" s="113" t="s">
        <v>198</v>
      </c>
      <c r="D1047" s="94" t="s">
        <v>1097</v>
      </c>
      <c r="E1047" s="84">
        <v>1046.0</v>
      </c>
      <c r="F1047" s="111" t="s">
        <v>3030</v>
      </c>
    </row>
    <row r="1048" ht="15.75" customHeight="1">
      <c r="A1048" s="34" t="s">
        <v>3131</v>
      </c>
      <c r="B1048" s="34" t="s">
        <v>3132</v>
      </c>
      <c r="C1048" s="110" t="s">
        <v>3133</v>
      </c>
      <c r="D1048" s="94" t="s">
        <v>1097</v>
      </c>
      <c r="E1048" s="84">
        <v>1047.0</v>
      </c>
      <c r="F1048" s="111" t="s">
        <v>3030</v>
      </c>
    </row>
    <row r="1049" ht="15.75" customHeight="1">
      <c r="A1049" s="34" t="s">
        <v>3134</v>
      </c>
      <c r="B1049" s="34" t="s">
        <v>3135</v>
      </c>
      <c r="C1049" s="110" t="s">
        <v>3136</v>
      </c>
      <c r="D1049" s="94" t="s">
        <v>1097</v>
      </c>
      <c r="E1049" s="84">
        <v>1048.0</v>
      </c>
      <c r="F1049" s="111" t="s">
        <v>3030</v>
      </c>
    </row>
    <row r="1050" ht="15.75" customHeight="1">
      <c r="A1050" s="34" t="s">
        <v>3137</v>
      </c>
      <c r="B1050" s="34" t="s">
        <v>3138</v>
      </c>
      <c r="C1050" s="110" t="s">
        <v>3139</v>
      </c>
      <c r="D1050" s="94" t="s">
        <v>1097</v>
      </c>
      <c r="E1050" s="84">
        <v>1049.0</v>
      </c>
      <c r="F1050" s="111" t="s">
        <v>3030</v>
      </c>
    </row>
    <row r="1051" ht="15.75" customHeight="1">
      <c r="A1051" s="34" t="s">
        <v>386</v>
      </c>
      <c r="B1051" s="34" t="s">
        <v>3140</v>
      </c>
      <c r="C1051" s="110" t="s">
        <v>3141</v>
      </c>
      <c r="D1051" s="94" t="s">
        <v>1097</v>
      </c>
      <c r="E1051" s="84">
        <v>1050.0</v>
      </c>
      <c r="F1051" s="111" t="s">
        <v>3030</v>
      </c>
    </row>
    <row r="1052" ht="15.75" customHeight="1">
      <c r="A1052" s="34" t="s">
        <v>3142</v>
      </c>
      <c r="B1052" s="34" t="s">
        <v>3143</v>
      </c>
      <c r="C1052" s="113"/>
      <c r="D1052" s="94" t="s">
        <v>1097</v>
      </c>
      <c r="E1052" s="84">
        <v>1051.0</v>
      </c>
      <c r="F1052" s="111" t="s">
        <v>3030</v>
      </c>
    </row>
    <row r="1053" ht="15.75" customHeight="1">
      <c r="A1053" s="34" t="s">
        <v>3144</v>
      </c>
      <c r="B1053" s="34" t="s">
        <v>1554</v>
      </c>
      <c r="C1053" s="110" t="s">
        <v>3145</v>
      </c>
      <c r="D1053" s="94" t="s">
        <v>1097</v>
      </c>
      <c r="E1053" s="84">
        <v>1052.0</v>
      </c>
      <c r="F1053" s="111" t="s">
        <v>3030</v>
      </c>
    </row>
    <row r="1054" ht="15.75" customHeight="1">
      <c r="A1054" s="34" t="s">
        <v>3146</v>
      </c>
      <c r="B1054" s="34" t="s">
        <v>3147</v>
      </c>
      <c r="C1054" s="110" t="s">
        <v>3148</v>
      </c>
      <c r="D1054" s="94" t="s">
        <v>1097</v>
      </c>
      <c r="E1054" s="84">
        <v>1053.0</v>
      </c>
      <c r="F1054" s="111" t="s">
        <v>3030</v>
      </c>
    </row>
    <row r="1055" ht="15.75" customHeight="1">
      <c r="A1055" s="34" t="s">
        <v>3149</v>
      </c>
      <c r="B1055" s="34" t="s">
        <v>1554</v>
      </c>
      <c r="C1055" s="110" t="s">
        <v>3150</v>
      </c>
      <c r="D1055" s="94" t="s">
        <v>1097</v>
      </c>
      <c r="E1055" s="84">
        <v>1054.0</v>
      </c>
      <c r="F1055" s="111" t="s">
        <v>3030</v>
      </c>
    </row>
    <row r="1056" ht="15.75" customHeight="1">
      <c r="A1056" s="34" t="s">
        <v>3151</v>
      </c>
      <c r="B1056" s="34" t="s">
        <v>3152</v>
      </c>
      <c r="C1056" s="110" t="s">
        <v>3153</v>
      </c>
      <c r="D1056" s="94" t="s">
        <v>1097</v>
      </c>
      <c r="E1056" s="84">
        <v>1055.0</v>
      </c>
      <c r="F1056" s="111" t="s">
        <v>3030</v>
      </c>
    </row>
    <row r="1057" ht="15.75" customHeight="1">
      <c r="A1057" s="34" t="s">
        <v>3154</v>
      </c>
      <c r="B1057" s="34" t="s">
        <v>3155</v>
      </c>
      <c r="C1057" s="110" t="s">
        <v>3156</v>
      </c>
      <c r="D1057" s="94" t="s">
        <v>1097</v>
      </c>
      <c r="E1057" s="84">
        <v>1056.0</v>
      </c>
      <c r="F1057" s="111" t="s">
        <v>3030</v>
      </c>
    </row>
    <row r="1058" ht="15.75" customHeight="1">
      <c r="A1058" s="34" t="s">
        <v>3157</v>
      </c>
      <c r="B1058" s="34" t="s">
        <v>3158</v>
      </c>
      <c r="C1058" s="110" t="s">
        <v>3159</v>
      </c>
      <c r="D1058" s="94" t="s">
        <v>1097</v>
      </c>
      <c r="E1058" s="84">
        <v>1057.0</v>
      </c>
      <c r="F1058" s="111" t="s">
        <v>3030</v>
      </c>
    </row>
    <row r="1059" ht="15.75" customHeight="1">
      <c r="A1059" s="34" t="s">
        <v>3160</v>
      </c>
      <c r="B1059" s="31" t="s">
        <v>3161</v>
      </c>
      <c r="C1059" s="31" t="s">
        <v>198</v>
      </c>
      <c r="D1059" s="94" t="s">
        <v>1097</v>
      </c>
      <c r="E1059" s="84">
        <v>1058.0</v>
      </c>
      <c r="F1059" s="111" t="s">
        <v>3030</v>
      </c>
    </row>
    <row r="1060" ht="15.75" customHeight="1">
      <c r="A1060" s="34" t="s">
        <v>3162</v>
      </c>
      <c r="B1060" s="34" t="s">
        <v>3163</v>
      </c>
      <c r="C1060" s="110" t="s">
        <v>3164</v>
      </c>
      <c r="D1060" s="94" t="s">
        <v>1097</v>
      </c>
      <c r="E1060" s="84">
        <v>1059.0</v>
      </c>
      <c r="F1060" s="111" t="s">
        <v>3030</v>
      </c>
    </row>
    <row r="1061" ht="15.75" customHeight="1">
      <c r="A1061" s="34" t="s">
        <v>3165</v>
      </c>
      <c r="B1061" s="34" t="s">
        <v>3166</v>
      </c>
      <c r="C1061" s="110" t="s">
        <v>3164</v>
      </c>
      <c r="D1061" s="94" t="s">
        <v>1097</v>
      </c>
      <c r="E1061" s="84">
        <v>1060.0</v>
      </c>
      <c r="F1061" s="111" t="s">
        <v>3030</v>
      </c>
    </row>
    <row r="1062" ht="15.75" customHeight="1">
      <c r="A1062" s="34" t="s">
        <v>3167</v>
      </c>
      <c r="B1062" s="34" t="s">
        <v>3168</v>
      </c>
      <c r="C1062" s="110" t="s">
        <v>3169</v>
      </c>
      <c r="D1062" s="94" t="s">
        <v>1097</v>
      </c>
      <c r="E1062" s="84">
        <v>1061.0</v>
      </c>
      <c r="F1062" s="111" t="s">
        <v>3030</v>
      </c>
    </row>
    <row r="1063" ht="15.75" customHeight="1">
      <c r="A1063" s="34" t="s">
        <v>3170</v>
      </c>
      <c r="B1063" s="34" t="s">
        <v>198</v>
      </c>
      <c r="C1063" s="110" t="s">
        <v>3171</v>
      </c>
      <c r="D1063" s="94" t="s">
        <v>1097</v>
      </c>
      <c r="E1063" s="84">
        <v>1062.0</v>
      </c>
      <c r="F1063" s="111" t="s">
        <v>3030</v>
      </c>
    </row>
    <row r="1064" ht="15.75" customHeight="1">
      <c r="A1064" s="34" t="s">
        <v>3172</v>
      </c>
      <c r="B1064" s="34" t="s">
        <v>198</v>
      </c>
      <c r="C1064" s="110" t="s">
        <v>3173</v>
      </c>
      <c r="D1064" s="94" t="s">
        <v>1097</v>
      </c>
      <c r="E1064" s="84">
        <v>1063.0</v>
      </c>
      <c r="F1064" s="111" t="s">
        <v>3030</v>
      </c>
    </row>
    <row r="1065" ht="15.75" customHeight="1">
      <c r="A1065" s="34" t="s">
        <v>3174</v>
      </c>
      <c r="B1065" s="34" t="s">
        <v>3175</v>
      </c>
      <c r="C1065" s="110" t="s">
        <v>3176</v>
      </c>
      <c r="D1065" s="94" t="s">
        <v>1097</v>
      </c>
      <c r="E1065" s="84">
        <v>1064.0</v>
      </c>
      <c r="F1065" s="111" t="s">
        <v>3030</v>
      </c>
    </row>
    <row r="1066" ht="15.75" customHeight="1">
      <c r="A1066" s="34" t="s">
        <v>3177</v>
      </c>
      <c r="B1066" s="34" t="s">
        <v>3178</v>
      </c>
      <c r="C1066" s="110" t="s">
        <v>3179</v>
      </c>
      <c r="D1066" s="94" t="s">
        <v>1097</v>
      </c>
      <c r="E1066" s="84">
        <v>1065.0</v>
      </c>
      <c r="F1066" s="111" t="s">
        <v>3030</v>
      </c>
    </row>
    <row r="1067" ht="15.75" customHeight="1">
      <c r="A1067" s="34" t="s">
        <v>3180</v>
      </c>
      <c r="B1067" s="34" t="s">
        <v>3181</v>
      </c>
      <c r="C1067" s="110" t="s">
        <v>3182</v>
      </c>
      <c r="D1067" s="94" t="s">
        <v>1097</v>
      </c>
      <c r="E1067" s="84">
        <v>1066.0</v>
      </c>
      <c r="F1067" s="111" t="s">
        <v>3030</v>
      </c>
    </row>
    <row r="1068" ht="15.75" customHeight="1">
      <c r="A1068" s="34" t="s">
        <v>3183</v>
      </c>
      <c r="B1068" s="34" t="s">
        <v>3184</v>
      </c>
      <c r="C1068" s="110" t="s">
        <v>3185</v>
      </c>
      <c r="D1068" s="94" t="s">
        <v>1097</v>
      </c>
      <c r="E1068" s="84">
        <v>1067.0</v>
      </c>
      <c r="F1068" s="111" t="s">
        <v>3030</v>
      </c>
    </row>
    <row r="1069" ht="15.75" customHeight="1">
      <c r="A1069" s="34" t="s">
        <v>3186</v>
      </c>
      <c r="B1069" s="34" t="s">
        <v>3187</v>
      </c>
      <c r="C1069" s="110" t="s">
        <v>3188</v>
      </c>
      <c r="D1069" s="94" t="s">
        <v>1097</v>
      </c>
      <c r="E1069" s="84">
        <v>1068.0</v>
      </c>
      <c r="F1069" s="111" t="s">
        <v>3030</v>
      </c>
    </row>
    <row r="1070" ht="15.75" customHeight="1">
      <c r="A1070" s="34" t="s">
        <v>3189</v>
      </c>
      <c r="B1070" s="34" t="s">
        <v>3190</v>
      </c>
      <c r="C1070" s="110" t="s">
        <v>3191</v>
      </c>
      <c r="D1070" s="94" t="s">
        <v>1097</v>
      </c>
      <c r="E1070" s="84">
        <v>1069.0</v>
      </c>
      <c r="F1070" s="111" t="s">
        <v>3030</v>
      </c>
    </row>
    <row r="1071" ht="15.75" customHeight="1">
      <c r="A1071" s="34" t="s">
        <v>3192</v>
      </c>
      <c r="B1071" s="34" t="s">
        <v>3193</v>
      </c>
      <c r="C1071" s="110" t="s">
        <v>3194</v>
      </c>
      <c r="D1071" s="94" t="s">
        <v>1097</v>
      </c>
      <c r="E1071" s="84">
        <v>1070.0</v>
      </c>
      <c r="F1071" s="111" t="s">
        <v>3030</v>
      </c>
    </row>
    <row r="1072" ht="15.75" customHeight="1">
      <c r="A1072" s="34" t="s">
        <v>3195</v>
      </c>
      <c r="B1072" s="34" t="s">
        <v>3196</v>
      </c>
      <c r="C1072" s="113" t="s">
        <v>717</v>
      </c>
      <c r="D1072" s="94" t="s">
        <v>1097</v>
      </c>
      <c r="E1072" s="84">
        <v>1071.0</v>
      </c>
      <c r="F1072" s="111" t="s">
        <v>3030</v>
      </c>
    </row>
    <row r="1073" ht="15.75" customHeight="1">
      <c r="A1073" s="34" t="s">
        <v>3197</v>
      </c>
      <c r="B1073" s="34" t="s">
        <v>3198</v>
      </c>
      <c r="C1073" s="110" t="s">
        <v>3199</v>
      </c>
      <c r="D1073" s="94" t="s">
        <v>1097</v>
      </c>
      <c r="E1073" s="84">
        <v>1072.0</v>
      </c>
      <c r="F1073" s="111" t="s">
        <v>3030</v>
      </c>
    </row>
    <row r="1074" ht="15.75" customHeight="1">
      <c r="A1074" s="34" t="s">
        <v>3200</v>
      </c>
      <c r="B1074" s="34" t="s">
        <v>3201</v>
      </c>
      <c r="C1074" s="110" t="s">
        <v>3202</v>
      </c>
      <c r="D1074" s="94" t="s">
        <v>1097</v>
      </c>
      <c r="E1074" s="84">
        <v>1073.0</v>
      </c>
      <c r="F1074" s="111" t="s">
        <v>3030</v>
      </c>
    </row>
    <row r="1075" ht="15.75" customHeight="1">
      <c r="A1075" s="34" t="s">
        <v>3203</v>
      </c>
      <c r="B1075" s="34" t="s">
        <v>3204</v>
      </c>
      <c r="C1075" s="110" t="s">
        <v>3205</v>
      </c>
      <c r="D1075" s="94" t="s">
        <v>1097</v>
      </c>
      <c r="E1075" s="84">
        <v>1074.0</v>
      </c>
      <c r="F1075" s="111" t="s">
        <v>3030</v>
      </c>
    </row>
    <row r="1076" ht="15.0" customHeight="1">
      <c r="A1076" s="34" t="s">
        <v>3206</v>
      </c>
      <c r="B1076" s="34" t="s">
        <v>3207</v>
      </c>
      <c r="C1076" s="113" t="s">
        <v>198</v>
      </c>
      <c r="D1076" s="94" t="s">
        <v>1097</v>
      </c>
      <c r="E1076" s="84">
        <v>1075.0</v>
      </c>
      <c r="F1076" s="111" t="s">
        <v>3030</v>
      </c>
    </row>
    <row r="1077" ht="15.75" customHeight="1">
      <c r="A1077" s="34" t="s">
        <v>3208</v>
      </c>
      <c r="B1077" s="34" t="s">
        <v>3209</v>
      </c>
      <c r="C1077" s="110" t="s">
        <v>3210</v>
      </c>
      <c r="D1077" s="94" t="s">
        <v>1097</v>
      </c>
      <c r="E1077" s="84">
        <v>1076.0</v>
      </c>
      <c r="F1077" s="111" t="s">
        <v>3030</v>
      </c>
    </row>
    <row r="1078" ht="15.75" customHeight="1">
      <c r="A1078" s="34" t="s">
        <v>3211</v>
      </c>
      <c r="B1078" s="34" t="s">
        <v>3212</v>
      </c>
      <c r="C1078" s="110" t="s">
        <v>3213</v>
      </c>
      <c r="D1078" s="94" t="s">
        <v>1097</v>
      </c>
      <c r="E1078" s="84">
        <v>1077.0</v>
      </c>
      <c r="F1078" s="111" t="s">
        <v>3030</v>
      </c>
    </row>
    <row r="1079" ht="15.75" customHeight="1">
      <c r="A1079" s="34" t="s">
        <v>3214</v>
      </c>
      <c r="B1079" s="34" t="s">
        <v>3215</v>
      </c>
      <c r="C1079" s="113" t="s">
        <v>198</v>
      </c>
      <c r="D1079" s="94" t="s">
        <v>1097</v>
      </c>
      <c r="E1079" s="84">
        <v>1078.0</v>
      </c>
      <c r="F1079" s="111" t="s">
        <v>3030</v>
      </c>
    </row>
    <row r="1080" ht="15.75" customHeight="1">
      <c r="A1080" s="34" t="s">
        <v>3216</v>
      </c>
      <c r="B1080" s="34" t="s">
        <v>3217</v>
      </c>
      <c r="C1080" s="113" t="s">
        <v>198</v>
      </c>
      <c r="D1080" s="94" t="s">
        <v>1097</v>
      </c>
      <c r="E1080" s="84">
        <v>1079.0</v>
      </c>
      <c r="F1080" s="111" t="s">
        <v>3030</v>
      </c>
    </row>
    <row r="1081" ht="15.75" customHeight="1">
      <c r="A1081" s="34" t="s">
        <v>3218</v>
      </c>
      <c r="B1081" s="34" t="s">
        <v>3219</v>
      </c>
      <c r="C1081" s="113"/>
      <c r="D1081" s="94" t="s">
        <v>1097</v>
      </c>
      <c r="E1081" s="84">
        <v>1080.0</v>
      </c>
      <c r="F1081" s="111" t="s">
        <v>3030</v>
      </c>
    </row>
    <row r="1082" ht="15.75" customHeight="1">
      <c r="A1082" s="34" t="s">
        <v>3220</v>
      </c>
      <c r="B1082" s="34" t="s">
        <v>3220</v>
      </c>
      <c r="C1082" s="110" t="s">
        <v>3221</v>
      </c>
      <c r="D1082" s="94" t="s">
        <v>1097</v>
      </c>
      <c r="E1082" s="84">
        <v>1081.0</v>
      </c>
      <c r="F1082" s="111" t="s">
        <v>3030</v>
      </c>
    </row>
    <row r="1083" ht="15.75" customHeight="1">
      <c r="A1083" s="34" t="s">
        <v>3222</v>
      </c>
      <c r="B1083" s="34" t="s">
        <v>198</v>
      </c>
      <c r="C1083" s="110" t="s">
        <v>3223</v>
      </c>
      <c r="D1083" s="94" t="s">
        <v>1097</v>
      </c>
      <c r="E1083" s="84">
        <v>1082.0</v>
      </c>
      <c r="F1083" s="111" t="s">
        <v>3030</v>
      </c>
    </row>
    <row r="1084" ht="15.75" customHeight="1">
      <c r="A1084" s="34" t="s">
        <v>3224</v>
      </c>
      <c r="B1084" s="34" t="s">
        <v>198</v>
      </c>
      <c r="C1084" s="32" t="s">
        <v>3225</v>
      </c>
      <c r="D1084" s="94" t="s">
        <v>1097</v>
      </c>
      <c r="E1084" s="84">
        <v>1083.0</v>
      </c>
      <c r="F1084" s="111" t="s">
        <v>3030</v>
      </c>
    </row>
    <row r="1085" ht="15.75" customHeight="1">
      <c r="A1085" s="34" t="s">
        <v>3226</v>
      </c>
      <c r="B1085" s="34" t="s">
        <v>3227</v>
      </c>
      <c r="C1085" s="110" t="s">
        <v>3228</v>
      </c>
      <c r="D1085" s="94" t="s">
        <v>1097</v>
      </c>
      <c r="E1085" s="84">
        <v>1084.0</v>
      </c>
      <c r="F1085" s="111" t="s">
        <v>3030</v>
      </c>
    </row>
    <row r="1086" ht="15.75" customHeight="1">
      <c r="A1086" s="34" t="s">
        <v>3229</v>
      </c>
      <c r="B1086" s="34" t="s">
        <v>717</v>
      </c>
      <c r="C1086" s="110" t="s">
        <v>3230</v>
      </c>
      <c r="D1086" s="94" t="s">
        <v>1097</v>
      </c>
      <c r="E1086" s="84">
        <v>1085.0</v>
      </c>
      <c r="F1086" s="111" t="s">
        <v>3030</v>
      </c>
    </row>
    <row r="1087" ht="15.75" customHeight="1">
      <c r="A1087" s="34" t="s">
        <v>3231</v>
      </c>
      <c r="B1087" s="31" t="s">
        <v>3232</v>
      </c>
      <c r="C1087" s="113" t="s">
        <v>198</v>
      </c>
      <c r="D1087" s="94" t="s">
        <v>1097</v>
      </c>
      <c r="E1087" s="84">
        <v>1086.0</v>
      </c>
      <c r="F1087" s="111" t="s">
        <v>3030</v>
      </c>
    </row>
    <row r="1088" ht="15.75" customHeight="1">
      <c r="A1088" s="34" t="s">
        <v>3233</v>
      </c>
      <c r="B1088" s="34" t="s">
        <v>3234</v>
      </c>
      <c r="C1088" s="32" t="s">
        <v>3235</v>
      </c>
      <c r="D1088" s="94" t="s">
        <v>1097</v>
      </c>
      <c r="E1088" s="84">
        <v>1087.0</v>
      </c>
      <c r="F1088" s="111" t="s">
        <v>3030</v>
      </c>
    </row>
    <row r="1089" ht="15.75" customHeight="1">
      <c r="A1089" s="34" t="s">
        <v>3236</v>
      </c>
      <c r="B1089" s="34" t="s">
        <v>3237</v>
      </c>
      <c r="C1089" s="113"/>
      <c r="D1089" s="94" t="s">
        <v>1097</v>
      </c>
      <c r="E1089" s="84">
        <v>1088.0</v>
      </c>
      <c r="F1089" s="111" t="s">
        <v>3030</v>
      </c>
    </row>
    <row r="1090" ht="15.75" customHeight="1">
      <c r="A1090" s="34" t="s">
        <v>3236</v>
      </c>
      <c r="B1090" s="34" t="s">
        <v>3237</v>
      </c>
      <c r="C1090" s="113"/>
      <c r="D1090" s="94" t="s">
        <v>1097</v>
      </c>
      <c r="E1090" s="84">
        <v>1089.0</v>
      </c>
      <c r="F1090" s="111" t="s">
        <v>3030</v>
      </c>
    </row>
    <row r="1091" ht="15.75" customHeight="1">
      <c r="A1091" s="34" t="s">
        <v>3238</v>
      </c>
      <c r="B1091" s="34" t="s">
        <v>3239</v>
      </c>
      <c r="C1091" s="110" t="s">
        <v>3240</v>
      </c>
      <c r="D1091" s="94" t="s">
        <v>1097</v>
      </c>
      <c r="E1091" s="84">
        <v>1090.0</v>
      </c>
      <c r="F1091" s="111" t="s">
        <v>3030</v>
      </c>
    </row>
    <row r="1092" ht="15.75" customHeight="1">
      <c r="A1092" s="34" t="s">
        <v>3241</v>
      </c>
      <c r="B1092" s="34" t="s">
        <v>3242</v>
      </c>
      <c r="C1092" s="113" t="s">
        <v>198</v>
      </c>
      <c r="D1092" s="94" t="s">
        <v>1097</v>
      </c>
      <c r="E1092" s="84">
        <v>1091.0</v>
      </c>
      <c r="F1092" s="111" t="s">
        <v>3030</v>
      </c>
    </row>
    <row r="1093" ht="15.75" customHeight="1">
      <c r="A1093" s="34" t="s">
        <v>3243</v>
      </c>
      <c r="B1093" s="34" t="s">
        <v>3244</v>
      </c>
      <c r="C1093" s="110" t="s">
        <v>3245</v>
      </c>
      <c r="D1093" s="94" t="s">
        <v>1097</v>
      </c>
      <c r="E1093" s="84">
        <v>1092.0</v>
      </c>
      <c r="F1093" s="111" t="s">
        <v>3030</v>
      </c>
    </row>
    <row r="1094" ht="15.75" customHeight="1">
      <c r="A1094" s="34" t="s">
        <v>3246</v>
      </c>
      <c r="B1094" s="34" t="s">
        <v>3247</v>
      </c>
      <c r="C1094" s="113" t="s">
        <v>198</v>
      </c>
      <c r="D1094" s="94" t="s">
        <v>1097</v>
      </c>
      <c r="E1094" s="84">
        <v>1093.0</v>
      </c>
      <c r="F1094" s="111" t="s">
        <v>3030</v>
      </c>
    </row>
    <row r="1095" ht="15.75" customHeight="1">
      <c r="A1095" s="34" t="s">
        <v>3248</v>
      </c>
      <c r="B1095" s="34" t="s">
        <v>3249</v>
      </c>
      <c r="C1095" s="110" t="s">
        <v>3250</v>
      </c>
      <c r="D1095" s="94" t="s">
        <v>1097</v>
      </c>
      <c r="E1095" s="84">
        <v>1094.0</v>
      </c>
      <c r="F1095" s="111" t="s">
        <v>3030</v>
      </c>
    </row>
    <row r="1096" ht="15.75" customHeight="1">
      <c r="A1096" s="34" t="s">
        <v>3251</v>
      </c>
      <c r="B1096" s="34" t="s">
        <v>3252</v>
      </c>
      <c r="C1096" s="110" t="s">
        <v>3253</v>
      </c>
      <c r="D1096" s="94" t="s">
        <v>1097</v>
      </c>
      <c r="E1096" s="84">
        <v>1095.0</v>
      </c>
      <c r="F1096" s="111" t="s">
        <v>3030</v>
      </c>
    </row>
    <row r="1097" ht="15.75" customHeight="1">
      <c r="A1097" s="34" t="s">
        <v>3254</v>
      </c>
      <c r="B1097" s="34" t="s">
        <v>3255</v>
      </c>
      <c r="C1097" s="110" t="s">
        <v>3256</v>
      </c>
      <c r="D1097" s="94" t="s">
        <v>1097</v>
      </c>
      <c r="E1097" s="84">
        <v>1096.0</v>
      </c>
      <c r="F1097" s="111" t="s">
        <v>3030</v>
      </c>
    </row>
    <row r="1098" ht="15.75" customHeight="1">
      <c r="A1098" s="34" t="s">
        <v>2982</v>
      </c>
      <c r="B1098" s="34" t="s">
        <v>198</v>
      </c>
      <c r="C1098" s="110" t="s">
        <v>3257</v>
      </c>
      <c r="D1098" s="94" t="s">
        <v>1097</v>
      </c>
      <c r="E1098" s="84">
        <v>1097.0</v>
      </c>
      <c r="F1098" s="111" t="s">
        <v>3030</v>
      </c>
    </row>
    <row r="1099" ht="15.75" customHeight="1">
      <c r="A1099" s="31" t="s">
        <v>3258</v>
      </c>
      <c r="B1099" s="34" t="s">
        <v>3259</v>
      </c>
      <c r="C1099" s="110" t="s">
        <v>3260</v>
      </c>
      <c r="D1099" s="94" t="s">
        <v>1097</v>
      </c>
      <c r="E1099" s="84">
        <v>1098.0</v>
      </c>
      <c r="F1099" s="111" t="s">
        <v>3030</v>
      </c>
    </row>
    <row r="1100" ht="15.75" customHeight="1">
      <c r="A1100" s="34" t="s">
        <v>3261</v>
      </c>
      <c r="B1100" s="34" t="s">
        <v>3262</v>
      </c>
      <c r="C1100" s="110" t="s">
        <v>3263</v>
      </c>
      <c r="D1100" s="94" t="s">
        <v>1097</v>
      </c>
      <c r="E1100" s="84">
        <v>1099.0</v>
      </c>
      <c r="F1100" s="111" t="s">
        <v>3030</v>
      </c>
    </row>
    <row r="1101" ht="15.75" customHeight="1">
      <c r="A1101" s="34" t="s">
        <v>3264</v>
      </c>
      <c r="B1101" s="34" t="s">
        <v>3265</v>
      </c>
      <c r="C1101" s="113" t="s">
        <v>717</v>
      </c>
      <c r="D1101" s="94" t="s">
        <v>1097</v>
      </c>
      <c r="E1101" s="84">
        <v>1100.0</v>
      </c>
      <c r="F1101" s="111" t="s">
        <v>3030</v>
      </c>
    </row>
    <row r="1102" ht="15.75" customHeight="1">
      <c r="A1102" s="34" t="s">
        <v>3266</v>
      </c>
      <c r="B1102" s="34" t="s">
        <v>3267</v>
      </c>
      <c r="C1102" s="110" t="s">
        <v>3268</v>
      </c>
      <c r="D1102" s="94" t="s">
        <v>1097</v>
      </c>
      <c r="E1102" s="84">
        <v>1101.0</v>
      </c>
      <c r="F1102" s="111" t="s">
        <v>3030</v>
      </c>
    </row>
    <row r="1103" ht="15.75" customHeight="1">
      <c r="A1103" s="34" t="s">
        <v>3269</v>
      </c>
      <c r="B1103" s="34" t="s">
        <v>3270</v>
      </c>
      <c r="C1103" s="113" t="s">
        <v>198</v>
      </c>
      <c r="D1103" s="94" t="s">
        <v>1097</v>
      </c>
      <c r="E1103" s="84">
        <v>1102.0</v>
      </c>
      <c r="F1103" s="111" t="s">
        <v>3030</v>
      </c>
    </row>
    <row r="1104" ht="15.75" customHeight="1">
      <c r="A1104" s="34" t="s">
        <v>3271</v>
      </c>
      <c r="B1104" s="34" t="s">
        <v>3272</v>
      </c>
      <c r="C1104" s="110" t="s">
        <v>3273</v>
      </c>
      <c r="D1104" s="94" t="s">
        <v>1097</v>
      </c>
      <c r="E1104" s="84">
        <v>1103.0</v>
      </c>
      <c r="F1104" s="111" t="s">
        <v>3030</v>
      </c>
    </row>
    <row r="1105" ht="15.75" customHeight="1">
      <c r="A1105" s="34" t="s">
        <v>3274</v>
      </c>
      <c r="B1105" s="31" t="s">
        <v>3275</v>
      </c>
      <c r="C1105" s="113" t="s">
        <v>198</v>
      </c>
      <c r="D1105" s="94" t="s">
        <v>1097</v>
      </c>
      <c r="E1105" s="84">
        <v>1104.0</v>
      </c>
      <c r="F1105" s="111" t="s">
        <v>3030</v>
      </c>
    </row>
    <row r="1106" ht="15.75" customHeight="1">
      <c r="A1106" s="48" t="s">
        <v>3276</v>
      </c>
      <c r="B1106" s="48" t="s">
        <v>3277</v>
      </c>
      <c r="C1106" s="104" t="s">
        <v>3278</v>
      </c>
      <c r="D1106" s="83" t="s">
        <v>909</v>
      </c>
      <c r="E1106" s="84">
        <v>1105.0</v>
      </c>
      <c r="F1106" s="48"/>
    </row>
    <row r="1107" ht="15.75" customHeight="1">
      <c r="A1107" s="48" t="s">
        <v>3279</v>
      </c>
      <c r="B1107" s="48" t="s">
        <v>3280</v>
      </c>
      <c r="C1107" s="101"/>
      <c r="D1107" s="83" t="s">
        <v>1097</v>
      </c>
      <c r="E1107" s="84">
        <v>1106.0</v>
      </c>
      <c r="F1107" s="48"/>
    </row>
    <row r="1108" ht="15.75" customHeight="1">
      <c r="A1108" s="48" t="s">
        <v>3281</v>
      </c>
      <c r="B1108" s="48" t="s">
        <v>3282</v>
      </c>
      <c r="C1108" s="104" t="s">
        <v>3283</v>
      </c>
      <c r="D1108" s="83" t="s">
        <v>968</v>
      </c>
      <c r="E1108" s="84">
        <v>1107.0</v>
      </c>
      <c r="F1108" s="48"/>
    </row>
    <row r="1109" ht="15.75" customHeight="1">
      <c r="A1109" s="48" t="s">
        <v>3284</v>
      </c>
      <c r="B1109" s="48" t="s">
        <v>3285</v>
      </c>
      <c r="C1109" s="104" t="s">
        <v>1671</v>
      </c>
      <c r="D1109" s="83"/>
      <c r="E1109" s="84">
        <v>1108.0</v>
      </c>
      <c r="F1109" s="48"/>
    </row>
    <row r="1110" ht="15.75" customHeight="1">
      <c r="A1110" s="48" t="s">
        <v>3286</v>
      </c>
      <c r="B1110" s="48" t="s">
        <v>3287</v>
      </c>
      <c r="C1110" s="104" t="s">
        <v>3288</v>
      </c>
      <c r="D1110" s="83"/>
      <c r="E1110" s="84">
        <v>1109.0</v>
      </c>
      <c r="F1110" s="48"/>
    </row>
    <row r="1111" ht="15.75" customHeight="1">
      <c r="A1111" s="48" t="s">
        <v>3289</v>
      </c>
      <c r="B1111" s="48" t="s">
        <v>3290</v>
      </c>
      <c r="C1111" s="104" t="s">
        <v>3291</v>
      </c>
      <c r="D1111" s="83"/>
      <c r="E1111" s="84">
        <v>1110.0</v>
      </c>
      <c r="F1111" s="48"/>
    </row>
    <row r="1112" ht="15.75" customHeight="1">
      <c r="A1112" s="48" t="s">
        <v>3292</v>
      </c>
      <c r="B1112" s="48" t="s">
        <v>3293</v>
      </c>
      <c r="C1112" s="104" t="s">
        <v>3294</v>
      </c>
      <c r="D1112" s="83" t="s">
        <v>904</v>
      </c>
      <c r="E1112" s="84">
        <v>1111.0</v>
      </c>
      <c r="F1112" s="48"/>
    </row>
    <row r="1113" ht="15.75" customHeight="1">
      <c r="A1113" s="48" t="s">
        <v>187</v>
      </c>
      <c r="B1113" s="48" t="s">
        <v>188</v>
      </c>
      <c r="C1113" s="104" t="s">
        <v>189</v>
      </c>
      <c r="D1113" s="83" t="s">
        <v>190</v>
      </c>
      <c r="E1113" s="84">
        <v>1112.0</v>
      </c>
      <c r="F1113" s="48"/>
    </row>
    <row r="1114" ht="15.75" customHeight="1">
      <c r="A1114" s="114" t="s">
        <v>3295</v>
      </c>
      <c r="B1114" s="114" t="s">
        <v>3296</v>
      </c>
      <c r="C1114" s="115" t="s">
        <v>3297</v>
      </c>
      <c r="D1114" s="83" t="s">
        <v>921</v>
      </c>
      <c r="E1114" s="84">
        <v>1113.0</v>
      </c>
      <c r="F1114" s="48"/>
    </row>
    <row r="1115" ht="15.75" customHeight="1">
      <c r="A1115" s="114" t="s">
        <v>3298</v>
      </c>
      <c r="B1115" s="114" t="s">
        <v>3299</v>
      </c>
      <c r="C1115" s="115" t="s">
        <v>3300</v>
      </c>
      <c r="D1115" s="83" t="s">
        <v>921</v>
      </c>
      <c r="E1115" s="84">
        <v>1114.0</v>
      </c>
      <c r="F1115" s="48"/>
    </row>
    <row r="1116" ht="15.75" customHeight="1">
      <c r="A1116" s="114" t="s">
        <v>3301</v>
      </c>
      <c r="B1116" s="114" t="s">
        <v>3302</v>
      </c>
      <c r="C1116" s="115" t="s">
        <v>3303</v>
      </c>
      <c r="D1116" s="83" t="s">
        <v>921</v>
      </c>
      <c r="E1116" s="84">
        <v>1115.0</v>
      </c>
      <c r="F1116" s="48"/>
    </row>
    <row r="1117" ht="15.75" customHeight="1">
      <c r="A1117" s="114" t="s">
        <v>3304</v>
      </c>
      <c r="B1117" s="114" t="s">
        <v>3305</v>
      </c>
      <c r="C1117" s="115" t="s">
        <v>3306</v>
      </c>
      <c r="D1117" s="83" t="s">
        <v>921</v>
      </c>
      <c r="E1117" s="84">
        <v>1116.0</v>
      </c>
      <c r="F1117" s="48"/>
    </row>
    <row r="1118" ht="15.75" customHeight="1">
      <c r="A1118" s="114" t="s">
        <v>3307</v>
      </c>
      <c r="B1118" s="114" t="s">
        <v>3308</v>
      </c>
      <c r="C1118" s="115" t="s">
        <v>3309</v>
      </c>
      <c r="D1118" s="83" t="s">
        <v>921</v>
      </c>
      <c r="E1118" s="84">
        <v>1117.0</v>
      </c>
      <c r="F1118" s="48"/>
    </row>
    <row r="1119" ht="15.75" customHeight="1">
      <c r="A1119" s="114" t="s">
        <v>3310</v>
      </c>
      <c r="B1119" s="114" t="s">
        <v>3311</v>
      </c>
      <c r="C1119" s="115" t="s">
        <v>3312</v>
      </c>
      <c r="D1119" s="83" t="s">
        <v>921</v>
      </c>
      <c r="E1119" s="84">
        <v>1118.0</v>
      </c>
      <c r="F1119" s="48"/>
    </row>
    <row r="1120" ht="15.75" customHeight="1">
      <c r="A1120" s="114" t="s">
        <v>3313</v>
      </c>
      <c r="B1120" s="114" t="s">
        <v>3314</v>
      </c>
      <c r="C1120" s="115" t="s">
        <v>3315</v>
      </c>
      <c r="D1120" s="83" t="s">
        <v>921</v>
      </c>
      <c r="E1120" s="84">
        <v>1119.0</v>
      </c>
      <c r="F1120" s="48"/>
    </row>
    <row r="1121" ht="15.75" customHeight="1">
      <c r="A1121" s="114" t="s">
        <v>3316</v>
      </c>
      <c r="B1121" s="114" t="s">
        <v>3317</v>
      </c>
      <c r="C1121" s="115" t="s">
        <v>3318</v>
      </c>
      <c r="D1121" s="83" t="s">
        <v>921</v>
      </c>
      <c r="E1121" s="84">
        <v>1120.0</v>
      </c>
      <c r="F1121" s="48"/>
    </row>
    <row r="1122" ht="15.75" customHeight="1">
      <c r="A1122" s="114" t="s">
        <v>2791</v>
      </c>
      <c r="B1122" s="114" t="s">
        <v>3319</v>
      </c>
      <c r="C1122" s="115" t="s">
        <v>3320</v>
      </c>
      <c r="D1122" s="83" t="s">
        <v>921</v>
      </c>
      <c r="E1122" s="84">
        <v>1121.0</v>
      </c>
      <c r="F1122" s="48"/>
    </row>
    <row r="1123" ht="15.75" customHeight="1">
      <c r="A1123" s="114" t="s">
        <v>3321</v>
      </c>
      <c r="B1123" s="114" t="s">
        <v>3322</v>
      </c>
      <c r="C1123" s="115" t="s">
        <v>3323</v>
      </c>
      <c r="D1123" s="83" t="s">
        <v>921</v>
      </c>
      <c r="E1123" s="84">
        <v>1122.0</v>
      </c>
      <c r="F1123" s="48"/>
    </row>
    <row r="1124" ht="15.75" customHeight="1">
      <c r="A1124" s="114" t="s">
        <v>3324</v>
      </c>
      <c r="B1124" s="114" t="s">
        <v>478</v>
      </c>
      <c r="C1124" s="115" t="s">
        <v>3325</v>
      </c>
      <c r="D1124" s="83" t="s">
        <v>921</v>
      </c>
      <c r="E1124" s="84">
        <v>1123.0</v>
      </c>
      <c r="F1124" s="48"/>
    </row>
    <row r="1125" ht="15.75" customHeight="1">
      <c r="A1125" s="114" t="s">
        <v>3326</v>
      </c>
      <c r="B1125" s="114" t="s">
        <v>403</v>
      </c>
      <c r="C1125" s="115" t="s">
        <v>3327</v>
      </c>
      <c r="D1125" s="83" t="s">
        <v>921</v>
      </c>
      <c r="E1125" s="84">
        <v>1124.0</v>
      </c>
      <c r="F1125" s="48"/>
    </row>
    <row r="1126" ht="15.75" customHeight="1">
      <c r="A1126" s="114" t="s">
        <v>3328</v>
      </c>
      <c r="B1126" s="114" t="s">
        <v>3329</v>
      </c>
      <c r="C1126" s="115" t="s">
        <v>3330</v>
      </c>
      <c r="D1126" s="83" t="s">
        <v>921</v>
      </c>
      <c r="E1126" s="84">
        <v>1125.0</v>
      </c>
      <c r="F1126" s="48"/>
    </row>
    <row r="1127" ht="15.75" customHeight="1">
      <c r="A1127" s="114" t="s">
        <v>3331</v>
      </c>
      <c r="B1127" s="114" t="s">
        <v>478</v>
      </c>
      <c r="C1127" s="115" t="s">
        <v>3332</v>
      </c>
      <c r="D1127" s="83" t="s">
        <v>921</v>
      </c>
      <c r="E1127" s="84">
        <v>1126.0</v>
      </c>
      <c r="F1127" s="48"/>
    </row>
    <row r="1128" ht="15.75" customHeight="1">
      <c r="A1128" s="114"/>
      <c r="B1128" s="116"/>
      <c r="C1128" s="114"/>
      <c r="D1128" s="83"/>
      <c r="E1128" s="84">
        <v>1127.0</v>
      </c>
      <c r="F1128" s="48"/>
    </row>
    <row r="1129" ht="15.75" customHeight="1">
      <c r="A1129" s="114" t="s">
        <v>3333</v>
      </c>
      <c r="B1129" s="114" t="s">
        <v>3334</v>
      </c>
      <c r="C1129" s="115" t="s">
        <v>3335</v>
      </c>
      <c r="D1129" s="83" t="s">
        <v>921</v>
      </c>
      <c r="E1129" s="84">
        <v>1128.0</v>
      </c>
      <c r="F1129" s="48"/>
    </row>
    <row r="1130" ht="15.75" customHeight="1">
      <c r="A1130" s="114" t="s">
        <v>3336</v>
      </c>
      <c r="B1130" s="114" t="s">
        <v>198</v>
      </c>
      <c r="C1130" s="115" t="s">
        <v>3337</v>
      </c>
      <c r="D1130" s="83" t="s">
        <v>921</v>
      </c>
      <c r="E1130" s="84">
        <v>1129.0</v>
      </c>
      <c r="F1130" s="48"/>
    </row>
    <row r="1131" ht="15.75" customHeight="1">
      <c r="A1131" s="114" t="s">
        <v>3338</v>
      </c>
      <c r="B1131" s="114" t="s">
        <v>3339</v>
      </c>
      <c r="C1131" s="115" t="s">
        <v>3340</v>
      </c>
      <c r="D1131" s="83" t="s">
        <v>921</v>
      </c>
      <c r="E1131" s="84">
        <v>1130.0</v>
      </c>
      <c r="F1131" s="48"/>
    </row>
    <row r="1132" ht="15.75" customHeight="1">
      <c r="A1132" s="114" t="s">
        <v>3341</v>
      </c>
      <c r="B1132" s="114" t="s">
        <v>3342</v>
      </c>
      <c r="C1132" s="115" t="s">
        <v>3343</v>
      </c>
      <c r="D1132" s="83" t="s">
        <v>921</v>
      </c>
      <c r="E1132" s="84">
        <v>1131.0</v>
      </c>
      <c r="F1132" s="48"/>
    </row>
    <row r="1133" ht="15.75" customHeight="1">
      <c r="A1133" s="114" t="s">
        <v>3344</v>
      </c>
      <c r="B1133" s="114" t="s">
        <v>3345</v>
      </c>
      <c r="C1133" s="115" t="s">
        <v>3346</v>
      </c>
      <c r="D1133" s="83" t="s">
        <v>921</v>
      </c>
      <c r="E1133" s="84">
        <v>1132.0</v>
      </c>
      <c r="F1133" s="48"/>
    </row>
    <row r="1134" ht="15.75" customHeight="1">
      <c r="A1134" s="114" t="s">
        <v>3347</v>
      </c>
      <c r="B1134" s="114" t="s">
        <v>198</v>
      </c>
      <c r="C1134" s="115" t="s">
        <v>3348</v>
      </c>
      <c r="D1134" s="83" t="s">
        <v>921</v>
      </c>
      <c r="E1134" s="84">
        <v>1133.0</v>
      </c>
      <c r="F1134" s="48"/>
    </row>
    <row r="1135" ht="15.75" customHeight="1">
      <c r="A1135" s="114" t="s">
        <v>3349</v>
      </c>
      <c r="B1135" s="114" t="s">
        <v>198</v>
      </c>
      <c r="C1135" s="115" t="s">
        <v>3350</v>
      </c>
      <c r="D1135" s="83" t="s">
        <v>921</v>
      </c>
      <c r="E1135" s="84">
        <v>1134.0</v>
      </c>
      <c r="F1135" s="48"/>
    </row>
    <row r="1136" ht="15.75" customHeight="1">
      <c r="A1136" s="114" t="s">
        <v>3351</v>
      </c>
      <c r="B1136" s="114" t="s">
        <v>198</v>
      </c>
      <c r="C1136" s="115" t="s">
        <v>3352</v>
      </c>
      <c r="D1136" s="83" t="s">
        <v>921</v>
      </c>
      <c r="E1136" s="84">
        <v>1135.0</v>
      </c>
      <c r="F1136" s="48"/>
    </row>
    <row r="1137" ht="15.75" customHeight="1">
      <c r="A1137" s="114" t="s">
        <v>3353</v>
      </c>
      <c r="B1137" s="114" t="s">
        <v>3354</v>
      </c>
      <c r="C1137" s="115" t="s">
        <v>3355</v>
      </c>
      <c r="D1137" s="83" t="s">
        <v>921</v>
      </c>
      <c r="E1137" s="84">
        <v>1136.0</v>
      </c>
      <c r="F1137" s="48"/>
    </row>
    <row r="1138" ht="15.75" customHeight="1">
      <c r="A1138" s="114" t="s">
        <v>3356</v>
      </c>
      <c r="B1138" s="114" t="s">
        <v>3357</v>
      </c>
      <c r="C1138" s="115" t="s">
        <v>3358</v>
      </c>
      <c r="D1138" s="83" t="s">
        <v>921</v>
      </c>
      <c r="E1138" s="84">
        <v>1137.0</v>
      </c>
      <c r="F1138" s="48"/>
    </row>
    <row r="1139" ht="15.75" customHeight="1">
      <c r="A1139" s="114" t="s">
        <v>3359</v>
      </c>
      <c r="B1139" s="114" t="s">
        <v>3360</v>
      </c>
      <c r="C1139" s="115" t="s">
        <v>3361</v>
      </c>
      <c r="D1139" s="83" t="s">
        <v>921</v>
      </c>
      <c r="E1139" s="84">
        <v>1138.0</v>
      </c>
      <c r="F1139" s="48"/>
    </row>
    <row r="1140" ht="15.75" customHeight="1">
      <c r="A1140" s="114" t="s">
        <v>3362</v>
      </c>
      <c r="B1140" s="114" t="s">
        <v>198</v>
      </c>
      <c r="C1140" s="115" t="s">
        <v>3363</v>
      </c>
      <c r="D1140" s="83" t="s">
        <v>921</v>
      </c>
      <c r="E1140" s="84">
        <v>1139.0</v>
      </c>
      <c r="F1140" s="48"/>
    </row>
    <row r="1141" ht="15.75" customHeight="1">
      <c r="A1141" s="114" t="s">
        <v>3349</v>
      </c>
      <c r="B1141" s="114" t="s">
        <v>198</v>
      </c>
      <c r="C1141" s="115" t="s">
        <v>3364</v>
      </c>
      <c r="D1141" s="83" t="s">
        <v>921</v>
      </c>
      <c r="E1141" s="84">
        <v>1140.0</v>
      </c>
      <c r="F1141" s="48"/>
    </row>
    <row r="1142" ht="15.75" customHeight="1">
      <c r="A1142" s="114" t="s">
        <v>3365</v>
      </c>
      <c r="B1142" s="114" t="s">
        <v>198</v>
      </c>
      <c r="C1142" s="115" t="s">
        <v>3366</v>
      </c>
      <c r="D1142" s="83" t="s">
        <v>921</v>
      </c>
      <c r="E1142" s="84">
        <v>1141.0</v>
      </c>
      <c r="F1142" s="48"/>
    </row>
    <row r="1143" ht="15.75" customHeight="1">
      <c r="A1143" s="114" t="s">
        <v>3367</v>
      </c>
      <c r="B1143" s="114" t="s">
        <v>198</v>
      </c>
      <c r="C1143" s="115" t="s">
        <v>3368</v>
      </c>
      <c r="D1143" s="83" t="s">
        <v>921</v>
      </c>
      <c r="E1143" s="84">
        <v>1142.0</v>
      </c>
      <c r="F1143" s="48"/>
    </row>
    <row r="1144" ht="15.75" customHeight="1">
      <c r="A1144" s="114" t="s">
        <v>3369</v>
      </c>
      <c r="B1144" s="114" t="s">
        <v>3370</v>
      </c>
      <c r="C1144" s="115" t="s">
        <v>3371</v>
      </c>
      <c r="D1144" s="83" t="s">
        <v>921</v>
      </c>
      <c r="E1144" s="84">
        <v>1143.0</v>
      </c>
      <c r="F1144" s="48"/>
    </row>
    <row r="1145" ht="15.75" customHeight="1">
      <c r="A1145" s="116" t="s">
        <v>3372</v>
      </c>
      <c r="B1145" s="114" t="s">
        <v>3373</v>
      </c>
      <c r="C1145" s="115" t="s">
        <v>3374</v>
      </c>
      <c r="D1145" s="83" t="s">
        <v>921</v>
      </c>
      <c r="E1145" s="84">
        <v>1144.0</v>
      </c>
      <c r="F1145" s="48"/>
    </row>
    <row r="1146" ht="15.75" customHeight="1">
      <c r="A1146" s="114" t="s">
        <v>3375</v>
      </c>
      <c r="B1146" s="114" t="s">
        <v>3376</v>
      </c>
      <c r="C1146" s="117" t="s">
        <v>139</v>
      </c>
      <c r="D1146" s="83" t="s">
        <v>921</v>
      </c>
      <c r="E1146" s="84">
        <v>1145.0</v>
      </c>
      <c r="F1146" s="48"/>
    </row>
    <row r="1147" ht="15.75" customHeight="1">
      <c r="A1147" s="114" t="s">
        <v>3377</v>
      </c>
      <c r="B1147" s="114" t="s">
        <v>3378</v>
      </c>
      <c r="C1147" s="115" t="s">
        <v>3379</v>
      </c>
      <c r="D1147" s="83" t="s">
        <v>921</v>
      </c>
      <c r="E1147" s="84">
        <v>1146.0</v>
      </c>
      <c r="F1147" s="48"/>
    </row>
    <row r="1148" ht="15.75" customHeight="1">
      <c r="A1148" s="114" t="s">
        <v>3380</v>
      </c>
      <c r="B1148" s="114" t="s">
        <v>3381</v>
      </c>
      <c r="C1148" s="115" t="s">
        <v>3382</v>
      </c>
      <c r="D1148" s="83" t="s">
        <v>921</v>
      </c>
      <c r="E1148" s="84">
        <v>1147.0</v>
      </c>
      <c r="F1148" s="48"/>
    </row>
    <row r="1149" ht="15.75" customHeight="1">
      <c r="A1149" s="114" t="s">
        <v>3383</v>
      </c>
      <c r="B1149" s="114" t="s">
        <v>3384</v>
      </c>
      <c r="C1149" s="115" t="s">
        <v>3385</v>
      </c>
      <c r="D1149" s="83" t="s">
        <v>921</v>
      </c>
      <c r="E1149" s="84">
        <v>1148.0</v>
      </c>
      <c r="F1149" s="48"/>
    </row>
    <row r="1150" ht="15.75" customHeight="1">
      <c r="A1150" s="114" t="s">
        <v>3386</v>
      </c>
      <c r="B1150" s="114" t="s">
        <v>3387</v>
      </c>
      <c r="C1150" s="115" t="s">
        <v>3388</v>
      </c>
      <c r="D1150" s="83" t="s">
        <v>921</v>
      </c>
      <c r="E1150" s="84">
        <v>1149.0</v>
      </c>
      <c r="F1150" s="48"/>
    </row>
    <row r="1151" ht="15.75" customHeight="1">
      <c r="A1151" s="114" t="s">
        <v>3389</v>
      </c>
      <c r="B1151" s="114" t="s">
        <v>3384</v>
      </c>
      <c r="C1151" s="115" t="s">
        <v>3390</v>
      </c>
      <c r="D1151" s="83" t="s">
        <v>921</v>
      </c>
      <c r="E1151" s="84">
        <v>1150.0</v>
      </c>
      <c r="F1151" s="48"/>
    </row>
    <row r="1152" ht="15.75" customHeight="1">
      <c r="A1152" s="114" t="s">
        <v>3391</v>
      </c>
      <c r="B1152" s="116" t="s">
        <v>139</v>
      </c>
      <c r="C1152" s="115" t="s">
        <v>3392</v>
      </c>
      <c r="D1152" s="83" t="s">
        <v>921</v>
      </c>
      <c r="E1152" s="84">
        <v>1151.0</v>
      </c>
      <c r="F1152" s="48"/>
    </row>
    <row r="1153" ht="15.75" customHeight="1">
      <c r="A1153" s="114" t="s">
        <v>3393</v>
      </c>
      <c r="B1153" s="114" t="s">
        <v>139</v>
      </c>
      <c r="C1153" s="115" t="s">
        <v>3394</v>
      </c>
      <c r="D1153" s="83" t="s">
        <v>921</v>
      </c>
      <c r="E1153" s="84">
        <v>1152.0</v>
      </c>
      <c r="F1153" s="48"/>
    </row>
    <row r="1154" ht="15.75" customHeight="1">
      <c r="A1154" s="114" t="s">
        <v>3395</v>
      </c>
      <c r="B1154" s="114" t="s">
        <v>3396</v>
      </c>
      <c r="C1154" s="115" t="s">
        <v>3397</v>
      </c>
      <c r="D1154" s="83" t="s">
        <v>921</v>
      </c>
      <c r="E1154" s="84">
        <v>1153.0</v>
      </c>
      <c r="F1154" s="48"/>
    </row>
    <row r="1155" ht="15.75" customHeight="1">
      <c r="A1155" s="114" t="s">
        <v>3398</v>
      </c>
      <c r="B1155" s="114" t="s">
        <v>3399</v>
      </c>
      <c r="C1155" s="115" t="s">
        <v>3400</v>
      </c>
      <c r="D1155" s="83" t="s">
        <v>921</v>
      </c>
      <c r="E1155" s="84">
        <v>1154.0</v>
      </c>
      <c r="F1155" s="48"/>
    </row>
    <row r="1156" ht="15.75" customHeight="1">
      <c r="A1156" s="114" t="s">
        <v>3401</v>
      </c>
      <c r="B1156" s="114"/>
      <c r="C1156" s="115" t="s">
        <v>3402</v>
      </c>
      <c r="D1156" s="83" t="s">
        <v>921</v>
      </c>
      <c r="E1156" s="84">
        <v>1155.0</v>
      </c>
      <c r="F1156" s="48"/>
    </row>
    <row r="1157" ht="15.75" customHeight="1">
      <c r="A1157" s="114" t="s">
        <v>3403</v>
      </c>
      <c r="B1157" s="114"/>
      <c r="C1157" s="115" t="s">
        <v>3404</v>
      </c>
      <c r="D1157" s="83" t="s">
        <v>921</v>
      </c>
      <c r="E1157" s="84">
        <v>1156.0</v>
      </c>
      <c r="F1157" s="48"/>
    </row>
    <row r="1158" ht="15.75" customHeight="1">
      <c r="A1158" s="114" t="s">
        <v>3405</v>
      </c>
      <c r="B1158" s="114"/>
      <c r="C1158" s="115" t="s">
        <v>3406</v>
      </c>
      <c r="D1158" s="83" t="s">
        <v>921</v>
      </c>
      <c r="E1158" s="84">
        <v>1157.0</v>
      </c>
      <c r="F1158" s="48"/>
    </row>
    <row r="1159" ht="15.75" customHeight="1">
      <c r="A1159" s="114" t="s">
        <v>3407</v>
      </c>
      <c r="B1159" s="114" t="s">
        <v>3408</v>
      </c>
      <c r="C1159" s="115" t="s">
        <v>3409</v>
      </c>
      <c r="D1159" s="83" t="s">
        <v>921</v>
      </c>
      <c r="E1159" s="84">
        <v>1158.0</v>
      </c>
      <c r="F1159" s="48"/>
    </row>
    <row r="1160" ht="15.75" customHeight="1">
      <c r="A1160" s="114" t="s">
        <v>3410</v>
      </c>
      <c r="B1160" s="114" t="s">
        <v>3411</v>
      </c>
      <c r="C1160" s="117" t="s">
        <v>139</v>
      </c>
      <c r="D1160" s="83" t="s">
        <v>921</v>
      </c>
      <c r="E1160" s="84">
        <v>1159.0</v>
      </c>
      <c r="F1160" s="48"/>
    </row>
    <row r="1161" ht="15.75" customHeight="1">
      <c r="A1161" s="114" t="s">
        <v>3412</v>
      </c>
      <c r="B1161" s="114"/>
      <c r="C1161" s="115" t="s">
        <v>3413</v>
      </c>
      <c r="D1161" s="83" t="s">
        <v>921</v>
      </c>
      <c r="E1161" s="84">
        <v>1160.0</v>
      </c>
      <c r="F1161" s="48"/>
    </row>
    <row r="1162" ht="15.75" customHeight="1">
      <c r="A1162" s="114" t="s">
        <v>3414</v>
      </c>
      <c r="B1162" s="114"/>
      <c r="C1162" s="115" t="s">
        <v>3415</v>
      </c>
      <c r="D1162" s="83" t="s">
        <v>921</v>
      </c>
      <c r="E1162" s="84">
        <v>1161.0</v>
      </c>
      <c r="F1162" s="48"/>
    </row>
    <row r="1163" ht="15.75" customHeight="1">
      <c r="A1163" s="114" t="s">
        <v>3416</v>
      </c>
      <c r="B1163" s="114"/>
      <c r="C1163" s="118" t="s">
        <v>3417</v>
      </c>
      <c r="D1163" s="83" t="s">
        <v>921</v>
      </c>
      <c r="E1163" s="84">
        <v>1162.0</v>
      </c>
      <c r="F1163" s="48"/>
    </row>
    <row r="1164" ht="15.75" customHeight="1">
      <c r="A1164" s="114" t="s">
        <v>3418</v>
      </c>
      <c r="B1164" s="114"/>
      <c r="C1164" s="115" t="s">
        <v>3419</v>
      </c>
      <c r="D1164" s="83" t="s">
        <v>921</v>
      </c>
      <c r="E1164" s="84">
        <v>1163.0</v>
      </c>
      <c r="F1164" s="48"/>
    </row>
    <row r="1165" ht="15.75" customHeight="1">
      <c r="A1165" s="114" t="s">
        <v>3420</v>
      </c>
      <c r="B1165" s="114"/>
      <c r="C1165" s="115" t="s">
        <v>3421</v>
      </c>
      <c r="D1165" s="83" t="s">
        <v>921</v>
      </c>
      <c r="E1165" s="84">
        <v>1164.0</v>
      </c>
      <c r="F1165" s="48"/>
    </row>
    <row r="1166" ht="15.75" customHeight="1">
      <c r="A1166" s="114" t="s">
        <v>3362</v>
      </c>
      <c r="B1166" s="114"/>
      <c r="C1166" s="115" t="s">
        <v>3422</v>
      </c>
      <c r="D1166" s="83" t="s">
        <v>921</v>
      </c>
      <c r="E1166" s="84">
        <v>1165.0</v>
      </c>
      <c r="F1166" s="48"/>
    </row>
    <row r="1167" ht="15.75" customHeight="1">
      <c r="A1167" s="114" t="s">
        <v>3423</v>
      </c>
      <c r="B1167" s="114"/>
      <c r="C1167" s="115" t="s">
        <v>3424</v>
      </c>
      <c r="D1167" s="83" t="s">
        <v>921</v>
      </c>
      <c r="E1167" s="84">
        <v>1166.0</v>
      </c>
      <c r="F1167" s="48"/>
    </row>
    <row r="1168" ht="15.75" customHeight="1">
      <c r="A1168" s="114" t="s">
        <v>3425</v>
      </c>
      <c r="B1168" s="114" t="s">
        <v>3426</v>
      </c>
      <c r="C1168" s="115" t="s">
        <v>3427</v>
      </c>
      <c r="D1168" s="83" t="s">
        <v>921</v>
      </c>
      <c r="E1168" s="84">
        <v>1167.0</v>
      </c>
      <c r="F1168" s="48"/>
    </row>
    <row r="1169" ht="15.75" customHeight="1">
      <c r="A1169" s="114" t="s">
        <v>3428</v>
      </c>
      <c r="B1169" s="114" t="s">
        <v>717</v>
      </c>
      <c r="C1169" s="115" t="s">
        <v>3429</v>
      </c>
      <c r="D1169" s="83" t="s">
        <v>921</v>
      </c>
      <c r="E1169" s="84">
        <v>1168.0</v>
      </c>
      <c r="F1169" s="48"/>
    </row>
    <row r="1170" ht="15.75" customHeight="1">
      <c r="A1170" s="114" t="s">
        <v>3430</v>
      </c>
      <c r="B1170" s="114" t="s">
        <v>717</v>
      </c>
      <c r="C1170" s="117" t="s">
        <v>198</v>
      </c>
      <c r="D1170" s="83" t="s">
        <v>921</v>
      </c>
      <c r="E1170" s="84">
        <v>1169.0</v>
      </c>
      <c r="F1170" s="48"/>
    </row>
    <row r="1171" ht="15.75" customHeight="1">
      <c r="A1171" s="114" t="s">
        <v>3431</v>
      </c>
      <c r="B1171" s="114" t="s">
        <v>3432</v>
      </c>
      <c r="C1171" s="115" t="s">
        <v>3433</v>
      </c>
      <c r="D1171" s="83" t="s">
        <v>921</v>
      </c>
      <c r="E1171" s="84">
        <v>1170.0</v>
      </c>
      <c r="F1171" s="48"/>
    </row>
    <row r="1172" ht="15.75" customHeight="1">
      <c r="A1172" s="114" t="s">
        <v>3434</v>
      </c>
      <c r="B1172" s="114" t="s">
        <v>3435</v>
      </c>
      <c r="C1172" s="115" t="s">
        <v>3436</v>
      </c>
      <c r="D1172" s="83" t="s">
        <v>921</v>
      </c>
      <c r="E1172" s="84">
        <v>1171.0</v>
      </c>
      <c r="F1172" s="48"/>
    </row>
    <row r="1173" ht="15.75" customHeight="1">
      <c r="A1173" s="114" t="s">
        <v>3437</v>
      </c>
      <c r="B1173" s="114" t="s">
        <v>3438</v>
      </c>
      <c r="C1173" s="118" t="s">
        <v>3439</v>
      </c>
      <c r="D1173" s="83" t="s">
        <v>921</v>
      </c>
      <c r="E1173" s="84">
        <v>1172.0</v>
      </c>
      <c r="F1173" s="48"/>
    </row>
    <row r="1174" ht="15.75" customHeight="1">
      <c r="A1174" s="114" t="s">
        <v>3440</v>
      </c>
      <c r="B1174" s="114" t="s">
        <v>717</v>
      </c>
      <c r="C1174" s="115" t="s">
        <v>3441</v>
      </c>
      <c r="D1174" s="83" t="s">
        <v>921</v>
      </c>
      <c r="E1174" s="84">
        <v>1173.0</v>
      </c>
      <c r="F1174" s="48"/>
    </row>
    <row r="1175" ht="15.75" customHeight="1">
      <c r="A1175" s="114" t="s">
        <v>3442</v>
      </c>
      <c r="B1175" s="114" t="s">
        <v>717</v>
      </c>
      <c r="C1175" s="115" t="s">
        <v>3443</v>
      </c>
      <c r="D1175" s="83" t="s">
        <v>921</v>
      </c>
      <c r="E1175" s="84">
        <v>1174.0</v>
      </c>
      <c r="F1175" s="48"/>
    </row>
    <row r="1176" ht="15.75" customHeight="1">
      <c r="A1176" s="114" t="s">
        <v>3444</v>
      </c>
      <c r="B1176" s="114" t="s">
        <v>3445</v>
      </c>
      <c r="C1176" s="119" t="s">
        <v>198</v>
      </c>
      <c r="D1176" s="83" t="s">
        <v>921</v>
      </c>
      <c r="E1176" s="84">
        <v>1175.0</v>
      </c>
      <c r="F1176" s="48"/>
    </row>
    <row r="1177" ht="15.75" customHeight="1">
      <c r="A1177" s="114" t="s">
        <v>3446</v>
      </c>
      <c r="B1177" s="114" t="s">
        <v>783</v>
      </c>
      <c r="C1177" s="120" t="s">
        <v>3447</v>
      </c>
      <c r="D1177" s="83" t="s">
        <v>921</v>
      </c>
      <c r="E1177" s="84">
        <v>1176.0</v>
      </c>
      <c r="F1177" s="48"/>
    </row>
    <row r="1178" ht="15.75" customHeight="1">
      <c r="A1178" s="114" t="s">
        <v>3448</v>
      </c>
      <c r="B1178" s="114" t="s">
        <v>3449</v>
      </c>
      <c r="C1178" s="115" t="s">
        <v>3450</v>
      </c>
      <c r="D1178" s="83" t="s">
        <v>921</v>
      </c>
      <c r="E1178" s="84">
        <v>1177.0</v>
      </c>
      <c r="F1178" s="48"/>
    </row>
    <row r="1179" ht="15.75" customHeight="1">
      <c r="A1179" s="114" t="s">
        <v>3451</v>
      </c>
      <c r="B1179" s="114" t="s">
        <v>3452</v>
      </c>
      <c r="C1179" s="115" t="s">
        <v>3453</v>
      </c>
      <c r="D1179" s="83" t="s">
        <v>921</v>
      </c>
      <c r="E1179" s="84">
        <v>1178.0</v>
      </c>
      <c r="F1179" s="48"/>
    </row>
    <row r="1180" ht="15.75" customHeight="1">
      <c r="A1180" s="114" t="s">
        <v>3454</v>
      </c>
      <c r="B1180" s="114" t="s">
        <v>3455</v>
      </c>
      <c r="C1180" s="115" t="s">
        <v>3456</v>
      </c>
      <c r="D1180" s="83" t="s">
        <v>921</v>
      </c>
      <c r="E1180" s="84">
        <v>1179.0</v>
      </c>
      <c r="F1180" s="48"/>
    </row>
    <row r="1181" ht="15.75" customHeight="1">
      <c r="A1181" s="114" t="s">
        <v>3457</v>
      </c>
      <c r="B1181" s="114"/>
      <c r="C1181" s="115" t="s">
        <v>3458</v>
      </c>
      <c r="D1181" s="83" t="s">
        <v>921</v>
      </c>
      <c r="E1181" s="84">
        <v>1180.0</v>
      </c>
      <c r="F1181" s="48"/>
    </row>
    <row r="1182" ht="15.75" customHeight="1">
      <c r="A1182" s="114" t="s">
        <v>3459</v>
      </c>
      <c r="B1182" s="114"/>
      <c r="C1182" s="115" t="s">
        <v>3460</v>
      </c>
      <c r="D1182" s="83" t="s">
        <v>921</v>
      </c>
      <c r="E1182" s="84">
        <v>1181.0</v>
      </c>
      <c r="F1182" s="48"/>
    </row>
    <row r="1183" ht="15.75" customHeight="1">
      <c r="A1183" s="114" t="s">
        <v>3461</v>
      </c>
      <c r="B1183" s="116"/>
      <c r="C1183" s="115" t="s">
        <v>3462</v>
      </c>
      <c r="D1183" s="83" t="s">
        <v>921</v>
      </c>
      <c r="E1183" s="84">
        <v>1182.0</v>
      </c>
      <c r="F1183" s="48"/>
    </row>
    <row r="1184" ht="15.75" customHeight="1">
      <c r="A1184" s="114" t="s">
        <v>3463</v>
      </c>
      <c r="B1184" s="114" t="s">
        <v>198</v>
      </c>
      <c r="C1184" s="115" t="s">
        <v>1884</v>
      </c>
      <c r="D1184" s="83" t="s">
        <v>921</v>
      </c>
      <c r="E1184" s="84">
        <v>1183.0</v>
      </c>
      <c r="F1184" s="48"/>
    </row>
    <row r="1185" ht="15.75" customHeight="1">
      <c r="A1185" s="114" t="s">
        <v>3464</v>
      </c>
      <c r="B1185" s="114" t="s">
        <v>3465</v>
      </c>
      <c r="C1185" s="115" t="s">
        <v>3466</v>
      </c>
      <c r="D1185" s="83" t="s">
        <v>921</v>
      </c>
      <c r="E1185" s="84">
        <v>1184.0</v>
      </c>
      <c r="F1185" s="48"/>
    </row>
    <row r="1186" ht="15.75" customHeight="1">
      <c r="A1186" s="114" t="s">
        <v>3467</v>
      </c>
      <c r="B1186" s="114" t="s">
        <v>198</v>
      </c>
      <c r="C1186" s="115" t="s">
        <v>3468</v>
      </c>
      <c r="D1186" s="83" t="s">
        <v>921</v>
      </c>
      <c r="E1186" s="84">
        <v>1185.0</v>
      </c>
      <c r="F1186" s="48"/>
    </row>
    <row r="1187" ht="15.75" customHeight="1">
      <c r="A1187" s="114" t="s">
        <v>3469</v>
      </c>
      <c r="B1187" s="114" t="s">
        <v>198</v>
      </c>
      <c r="C1187" s="115" t="s">
        <v>3470</v>
      </c>
      <c r="D1187" s="83" t="s">
        <v>921</v>
      </c>
      <c r="E1187" s="84">
        <v>1186.0</v>
      </c>
      <c r="F1187" s="48"/>
    </row>
    <row r="1188" ht="15.75" customHeight="1">
      <c r="A1188" s="114" t="s">
        <v>3471</v>
      </c>
      <c r="B1188" s="114" t="s">
        <v>3472</v>
      </c>
      <c r="C1188" s="115" t="s">
        <v>3473</v>
      </c>
      <c r="D1188" s="83" t="s">
        <v>921</v>
      </c>
      <c r="E1188" s="84">
        <v>1187.0</v>
      </c>
      <c r="F1188" s="48"/>
    </row>
    <row r="1189" ht="15.75" customHeight="1">
      <c r="A1189" s="114" t="s">
        <v>3474</v>
      </c>
      <c r="B1189" s="114" t="s">
        <v>3472</v>
      </c>
      <c r="C1189" s="115" t="s">
        <v>3475</v>
      </c>
      <c r="D1189" s="83" t="s">
        <v>921</v>
      </c>
      <c r="E1189" s="84">
        <v>1188.0</v>
      </c>
      <c r="F1189" s="48"/>
    </row>
    <row r="1190" ht="15.75" customHeight="1">
      <c r="A1190" s="114" t="s">
        <v>3476</v>
      </c>
      <c r="B1190" s="114" t="s">
        <v>198</v>
      </c>
      <c r="C1190" s="115" t="s">
        <v>3477</v>
      </c>
      <c r="D1190" s="83" t="s">
        <v>921</v>
      </c>
      <c r="E1190" s="84">
        <v>1189.0</v>
      </c>
      <c r="F1190" s="48"/>
    </row>
    <row r="1191" ht="15.75" customHeight="1">
      <c r="A1191" s="114" t="s">
        <v>3478</v>
      </c>
      <c r="B1191" s="114" t="s">
        <v>3479</v>
      </c>
      <c r="C1191" s="115" t="s">
        <v>3480</v>
      </c>
      <c r="D1191" s="83" t="s">
        <v>921</v>
      </c>
      <c r="E1191" s="84">
        <v>1190.0</v>
      </c>
      <c r="F1191" s="48"/>
    </row>
    <row r="1192" ht="15.75" customHeight="1">
      <c r="A1192" s="114" t="s">
        <v>3481</v>
      </c>
      <c r="B1192" s="114" t="s">
        <v>3482</v>
      </c>
      <c r="C1192" s="117" t="s">
        <v>198</v>
      </c>
      <c r="D1192" s="83" t="s">
        <v>921</v>
      </c>
      <c r="E1192" s="84">
        <v>1191.0</v>
      </c>
      <c r="F1192" s="48"/>
    </row>
    <row r="1193" ht="15.75" customHeight="1">
      <c r="A1193" s="114" t="s">
        <v>2674</v>
      </c>
      <c r="B1193" s="114" t="s">
        <v>3483</v>
      </c>
      <c r="C1193" s="115" t="s">
        <v>3484</v>
      </c>
      <c r="D1193" s="83" t="s">
        <v>921</v>
      </c>
      <c r="E1193" s="84">
        <v>1192.0</v>
      </c>
      <c r="F1193" s="48"/>
    </row>
    <row r="1194" ht="15.75" customHeight="1">
      <c r="A1194" s="114" t="s">
        <v>3485</v>
      </c>
      <c r="B1194" s="114" t="s">
        <v>3486</v>
      </c>
      <c r="C1194" s="115" t="s">
        <v>3487</v>
      </c>
      <c r="D1194" s="83" t="s">
        <v>921</v>
      </c>
      <c r="E1194" s="84">
        <v>1193.0</v>
      </c>
      <c r="F1194" s="48"/>
    </row>
    <row r="1195" ht="15.75" customHeight="1">
      <c r="A1195" s="114" t="s">
        <v>3488</v>
      </c>
      <c r="B1195" s="114" t="s">
        <v>3489</v>
      </c>
      <c r="C1195" s="115" t="s">
        <v>3490</v>
      </c>
      <c r="D1195" s="83" t="s">
        <v>921</v>
      </c>
      <c r="E1195" s="84">
        <v>1194.0</v>
      </c>
      <c r="F1195" s="48"/>
    </row>
    <row r="1196" ht="15.75" customHeight="1">
      <c r="A1196" s="114" t="s">
        <v>3491</v>
      </c>
      <c r="B1196" s="114" t="s">
        <v>198</v>
      </c>
      <c r="C1196" s="115" t="s">
        <v>3492</v>
      </c>
      <c r="D1196" s="83" t="s">
        <v>921</v>
      </c>
      <c r="E1196" s="84">
        <v>1195.0</v>
      </c>
      <c r="F1196" s="48"/>
    </row>
    <row r="1197" ht="15.75" customHeight="1">
      <c r="A1197" s="114" t="s">
        <v>3493</v>
      </c>
      <c r="B1197" s="114" t="s">
        <v>198</v>
      </c>
      <c r="C1197" s="115" t="s">
        <v>3494</v>
      </c>
      <c r="D1197" s="83" t="s">
        <v>921</v>
      </c>
      <c r="E1197" s="84">
        <v>1196.0</v>
      </c>
      <c r="F1197" s="48"/>
    </row>
    <row r="1198" ht="15.75" customHeight="1">
      <c r="A1198" s="114" t="s">
        <v>3495</v>
      </c>
      <c r="B1198" s="114" t="s">
        <v>3496</v>
      </c>
      <c r="C1198" s="115" t="s">
        <v>3497</v>
      </c>
      <c r="D1198" s="83" t="s">
        <v>921</v>
      </c>
      <c r="E1198" s="84">
        <v>1197.0</v>
      </c>
      <c r="F1198" s="48"/>
    </row>
    <row r="1199" ht="15.75" customHeight="1">
      <c r="A1199" s="114" t="s">
        <v>3498</v>
      </c>
      <c r="B1199" s="114" t="s">
        <v>198</v>
      </c>
      <c r="C1199" s="115" t="s">
        <v>3499</v>
      </c>
      <c r="D1199" s="83" t="s">
        <v>921</v>
      </c>
      <c r="E1199" s="84">
        <v>1198.0</v>
      </c>
      <c r="F1199" s="48"/>
    </row>
    <row r="1200" ht="15.75" customHeight="1">
      <c r="A1200" s="114" t="s">
        <v>3500</v>
      </c>
      <c r="B1200" s="114" t="s">
        <v>3501</v>
      </c>
      <c r="C1200" s="117" t="s">
        <v>198</v>
      </c>
      <c r="D1200" s="83" t="s">
        <v>921</v>
      </c>
      <c r="E1200" s="84">
        <v>1199.0</v>
      </c>
      <c r="F1200" s="48"/>
    </row>
    <row r="1201" ht="15.75" customHeight="1">
      <c r="A1201" s="114" t="s">
        <v>2970</v>
      </c>
      <c r="B1201" s="114" t="s">
        <v>3502</v>
      </c>
      <c r="C1201" s="117" t="s">
        <v>198</v>
      </c>
      <c r="D1201" s="83" t="s">
        <v>921</v>
      </c>
      <c r="E1201" s="84">
        <v>1200.0</v>
      </c>
      <c r="F1201" s="48"/>
    </row>
    <row r="1202" ht="15.75" customHeight="1">
      <c r="A1202" s="114" t="s">
        <v>3503</v>
      </c>
      <c r="B1202" s="116" t="s">
        <v>198</v>
      </c>
      <c r="C1202" s="115" t="s">
        <v>3504</v>
      </c>
      <c r="D1202" s="83" t="s">
        <v>921</v>
      </c>
      <c r="E1202" s="84">
        <v>1201.0</v>
      </c>
      <c r="F1202" s="48"/>
    </row>
    <row r="1203" ht="15.75" customHeight="1">
      <c r="A1203" s="114" t="s">
        <v>2332</v>
      </c>
      <c r="B1203" s="114" t="s">
        <v>3505</v>
      </c>
      <c r="C1203" s="115" t="s">
        <v>3506</v>
      </c>
      <c r="D1203" s="83" t="s">
        <v>921</v>
      </c>
      <c r="E1203" s="84">
        <v>1202.0</v>
      </c>
      <c r="F1203" s="48"/>
    </row>
    <row r="1204" ht="15.75" customHeight="1">
      <c r="A1204" s="114" t="s">
        <v>3507</v>
      </c>
      <c r="B1204" s="114" t="s">
        <v>3508</v>
      </c>
      <c r="C1204" s="115" t="s">
        <v>3509</v>
      </c>
      <c r="D1204" s="83" t="s">
        <v>921</v>
      </c>
      <c r="E1204" s="84">
        <v>1203.0</v>
      </c>
      <c r="F1204" s="48"/>
    </row>
    <row r="1205" ht="15.75" customHeight="1">
      <c r="A1205" s="114" t="s">
        <v>3510</v>
      </c>
      <c r="B1205" s="114" t="s">
        <v>3511</v>
      </c>
      <c r="C1205" s="117" t="s">
        <v>198</v>
      </c>
      <c r="D1205" s="83" t="s">
        <v>921</v>
      </c>
      <c r="E1205" s="84">
        <v>1204.0</v>
      </c>
      <c r="F1205" s="48"/>
    </row>
    <row r="1206" ht="15.75" customHeight="1">
      <c r="A1206" s="114" t="s">
        <v>3512</v>
      </c>
      <c r="B1206" s="116" t="s">
        <v>3513</v>
      </c>
      <c r="C1206" s="115" t="s">
        <v>3514</v>
      </c>
      <c r="D1206" s="83" t="s">
        <v>921</v>
      </c>
      <c r="E1206" s="84">
        <v>1205.0</v>
      </c>
      <c r="F1206" s="48"/>
    </row>
    <row r="1207" ht="15.75" customHeight="1">
      <c r="A1207" s="114" t="s">
        <v>3515</v>
      </c>
      <c r="B1207" s="114" t="s">
        <v>3516</v>
      </c>
      <c r="C1207" s="115" t="s">
        <v>3517</v>
      </c>
      <c r="D1207" s="83" t="s">
        <v>921</v>
      </c>
      <c r="E1207" s="84">
        <v>1206.0</v>
      </c>
      <c r="F1207" s="48"/>
    </row>
    <row r="1208" ht="15.75" customHeight="1">
      <c r="A1208" s="114" t="s">
        <v>3518</v>
      </c>
      <c r="B1208" s="114" t="s">
        <v>3519</v>
      </c>
      <c r="C1208" s="115" t="s">
        <v>3520</v>
      </c>
      <c r="D1208" s="83" t="s">
        <v>921</v>
      </c>
      <c r="E1208" s="84">
        <v>1207.0</v>
      </c>
      <c r="F1208" s="48"/>
    </row>
    <row r="1209" ht="15.75" customHeight="1">
      <c r="A1209" s="114" t="s">
        <v>3521</v>
      </c>
      <c r="B1209" s="114" t="s">
        <v>3522</v>
      </c>
      <c r="C1209" s="117" t="s">
        <v>198</v>
      </c>
      <c r="D1209" s="83" t="s">
        <v>921</v>
      </c>
      <c r="E1209" s="84">
        <v>1208.0</v>
      </c>
      <c r="F1209" s="48"/>
    </row>
    <row r="1210" ht="15.75" customHeight="1">
      <c r="A1210" s="114" t="s">
        <v>25</v>
      </c>
      <c r="B1210" s="114" t="s">
        <v>3523</v>
      </c>
      <c r="C1210" s="115" t="s">
        <v>3524</v>
      </c>
      <c r="D1210" s="83" t="s">
        <v>921</v>
      </c>
      <c r="E1210" s="84">
        <v>1209.0</v>
      </c>
      <c r="F1210" s="48"/>
    </row>
    <row r="1211" ht="15.75" customHeight="1">
      <c r="A1211" s="114" t="s">
        <v>3525</v>
      </c>
      <c r="B1211" s="114" t="s">
        <v>3526</v>
      </c>
      <c r="C1211" s="115" t="s">
        <v>3527</v>
      </c>
      <c r="D1211" s="83" t="s">
        <v>921</v>
      </c>
      <c r="E1211" s="84">
        <v>1210.0</v>
      </c>
      <c r="F1211" s="48"/>
    </row>
    <row r="1212" ht="15.75" customHeight="1">
      <c r="A1212" s="114" t="s">
        <v>3528</v>
      </c>
      <c r="B1212" s="114" t="s">
        <v>3529</v>
      </c>
      <c r="C1212" s="117" t="s">
        <v>3530</v>
      </c>
      <c r="D1212" s="83" t="s">
        <v>921</v>
      </c>
      <c r="E1212" s="84">
        <v>1211.0</v>
      </c>
      <c r="F1212" s="48"/>
    </row>
    <row r="1213" ht="15.75" customHeight="1">
      <c r="A1213" s="114" t="s">
        <v>3531</v>
      </c>
      <c r="B1213" s="114" t="s">
        <v>3532</v>
      </c>
      <c r="C1213" s="115" t="s">
        <v>3533</v>
      </c>
      <c r="D1213" s="83" t="s">
        <v>921</v>
      </c>
      <c r="E1213" s="84">
        <v>1212.0</v>
      </c>
      <c r="F1213" s="48"/>
    </row>
    <row r="1214" ht="15.75" customHeight="1">
      <c r="A1214" s="114" t="s">
        <v>3534</v>
      </c>
      <c r="B1214" s="114" t="s">
        <v>3535</v>
      </c>
      <c r="C1214" s="117" t="s">
        <v>198</v>
      </c>
      <c r="D1214" s="83" t="s">
        <v>921</v>
      </c>
      <c r="E1214" s="84">
        <v>1213.0</v>
      </c>
      <c r="F1214" s="48"/>
    </row>
    <row r="1215" ht="15.75" customHeight="1">
      <c r="A1215" s="114" t="s">
        <v>3536</v>
      </c>
      <c r="B1215" s="114" t="s">
        <v>3537</v>
      </c>
      <c r="C1215" s="115" t="s">
        <v>3538</v>
      </c>
      <c r="D1215" s="83" t="s">
        <v>921</v>
      </c>
      <c r="E1215" s="84">
        <v>1214.0</v>
      </c>
      <c r="F1215" s="48"/>
    </row>
    <row r="1216" ht="15.75" customHeight="1">
      <c r="A1216" s="114" t="s">
        <v>3539</v>
      </c>
      <c r="B1216" s="116" t="s">
        <v>3540</v>
      </c>
      <c r="C1216" s="118" t="s">
        <v>3541</v>
      </c>
      <c r="D1216" s="83" t="s">
        <v>921</v>
      </c>
      <c r="E1216" s="84">
        <v>1215.0</v>
      </c>
      <c r="F1216" s="48"/>
    </row>
    <row r="1217" ht="15.75" customHeight="1">
      <c r="A1217" s="114" t="s">
        <v>3542</v>
      </c>
      <c r="B1217" s="114" t="s">
        <v>3543</v>
      </c>
      <c r="C1217" s="115" t="s">
        <v>3544</v>
      </c>
      <c r="D1217" s="83" t="s">
        <v>921</v>
      </c>
      <c r="E1217" s="84">
        <v>1216.0</v>
      </c>
      <c r="F1217" s="48"/>
    </row>
    <row r="1218" ht="15.75" customHeight="1">
      <c r="A1218" s="114" t="s">
        <v>3545</v>
      </c>
      <c r="B1218" s="114" t="s">
        <v>198</v>
      </c>
      <c r="C1218" s="115" t="s">
        <v>3546</v>
      </c>
      <c r="D1218" s="83" t="s">
        <v>921</v>
      </c>
      <c r="E1218" s="84">
        <v>1217.0</v>
      </c>
      <c r="F1218" s="48"/>
    </row>
    <row r="1219" ht="15.75" customHeight="1">
      <c r="A1219" s="116" t="s">
        <v>3547</v>
      </c>
      <c r="B1219" s="114" t="s">
        <v>3548</v>
      </c>
      <c r="C1219" s="114" t="s">
        <v>139</v>
      </c>
      <c r="D1219" s="83" t="s">
        <v>921</v>
      </c>
      <c r="E1219" s="84">
        <v>1218.0</v>
      </c>
      <c r="F1219" s="48"/>
    </row>
    <row r="1220" ht="15.75" customHeight="1">
      <c r="A1220" s="114" t="s">
        <v>3549</v>
      </c>
      <c r="B1220" s="114" t="s">
        <v>3550</v>
      </c>
      <c r="C1220" s="117" t="s">
        <v>139</v>
      </c>
      <c r="D1220" s="83" t="s">
        <v>921</v>
      </c>
      <c r="E1220" s="84">
        <v>1219.0</v>
      </c>
      <c r="F1220" s="48"/>
    </row>
    <row r="1221" ht="15.75" customHeight="1">
      <c r="A1221" s="114" t="s">
        <v>3551</v>
      </c>
      <c r="B1221" s="114" t="s">
        <v>3552</v>
      </c>
      <c r="C1221" s="117" t="s">
        <v>139</v>
      </c>
      <c r="D1221" s="83" t="s">
        <v>921</v>
      </c>
      <c r="E1221" s="84">
        <v>1220.0</v>
      </c>
      <c r="F1221" s="48"/>
    </row>
    <row r="1222" ht="15.75" customHeight="1">
      <c r="A1222" s="114" t="s">
        <v>3553</v>
      </c>
      <c r="B1222" s="114" t="s">
        <v>3554</v>
      </c>
      <c r="C1222" s="117" t="s">
        <v>139</v>
      </c>
      <c r="D1222" s="83" t="s">
        <v>921</v>
      </c>
      <c r="E1222" s="84">
        <v>1221.0</v>
      </c>
      <c r="F1222" s="48"/>
    </row>
    <row r="1223" ht="15.75" customHeight="1">
      <c r="A1223" s="114" t="s">
        <v>3555</v>
      </c>
      <c r="B1223" s="114" t="s">
        <v>3556</v>
      </c>
      <c r="C1223" s="115" t="s">
        <v>3557</v>
      </c>
      <c r="D1223" s="83" t="s">
        <v>921</v>
      </c>
      <c r="E1223" s="84">
        <v>1222.0</v>
      </c>
      <c r="F1223" s="48"/>
    </row>
    <row r="1224" ht="15.75" customHeight="1">
      <c r="A1224" s="114" t="s">
        <v>3558</v>
      </c>
      <c r="B1224" s="114" t="s">
        <v>3559</v>
      </c>
      <c r="C1224" s="115" t="s">
        <v>3560</v>
      </c>
      <c r="D1224" s="83" t="s">
        <v>921</v>
      </c>
      <c r="E1224" s="84">
        <v>1223.0</v>
      </c>
      <c r="F1224" s="48"/>
    </row>
    <row r="1225" ht="15.75" customHeight="1">
      <c r="A1225" s="114" t="s">
        <v>3331</v>
      </c>
      <c r="B1225" s="114" t="s">
        <v>3561</v>
      </c>
      <c r="C1225" s="115" t="s">
        <v>3562</v>
      </c>
      <c r="D1225" s="83" t="s">
        <v>921</v>
      </c>
      <c r="E1225" s="84">
        <v>1224.0</v>
      </c>
      <c r="F1225" s="48"/>
    </row>
    <row r="1226" ht="15.75" customHeight="1">
      <c r="A1226" s="114" t="s">
        <v>3563</v>
      </c>
      <c r="B1226" s="114" t="s">
        <v>198</v>
      </c>
      <c r="C1226" s="115" t="s">
        <v>3564</v>
      </c>
      <c r="D1226" s="83" t="s">
        <v>921</v>
      </c>
      <c r="E1226" s="84">
        <v>1225.0</v>
      </c>
      <c r="F1226" s="48"/>
    </row>
    <row r="1227" ht="15.75" customHeight="1">
      <c r="A1227" s="114" t="s">
        <v>3565</v>
      </c>
      <c r="B1227" s="114" t="s">
        <v>3566</v>
      </c>
      <c r="C1227" s="115" t="s">
        <v>3567</v>
      </c>
      <c r="D1227" s="83" t="s">
        <v>921</v>
      </c>
      <c r="E1227" s="84">
        <v>1226.0</v>
      </c>
      <c r="F1227" s="48"/>
    </row>
    <row r="1228" ht="15.75" customHeight="1">
      <c r="A1228" s="114" t="s">
        <v>3568</v>
      </c>
      <c r="B1228" s="114" t="s">
        <v>3569</v>
      </c>
      <c r="C1228" s="115" t="s">
        <v>3570</v>
      </c>
      <c r="D1228" s="83" t="s">
        <v>921</v>
      </c>
      <c r="E1228" s="84">
        <v>1227.0</v>
      </c>
      <c r="F1228" s="48"/>
    </row>
    <row r="1229" ht="15.75" customHeight="1">
      <c r="A1229" s="114" t="s">
        <v>3571</v>
      </c>
      <c r="B1229" s="114" t="s">
        <v>3572</v>
      </c>
      <c r="C1229" s="117" t="s">
        <v>198</v>
      </c>
      <c r="D1229" s="83" t="s">
        <v>921</v>
      </c>
      <c r="E1229" s="84">
        <v>1228.0</v>
      </c>
      <c r="F1229" s="48"/>
    </row>
    <row r="1230" ht="15.75" customHeight="1">
      <c r="A1230" s="114" t="s">
        <v>3573</v>
      </c>
      <c r="B1230" s="114" t="s">
        <v>198</v>
      </c>
      <c r="C1230" s="115" t="s">
        <v>3574</v>
      </c>
      <c r="D1230" s="83" t="s">
        <v>921</v>
      </c>
      <c r="E1230" s="84">
        <v>1229.0</v>
      </c>
      <c r="F1230" s="48"/>
    </row>
    <row r="1231" ht="15.75" customHeight="1">
      <c r="A1231" s="114" t="s">
        <v>3575</v>
      </c>
      <c r="B1231" s="114" t="s">
        <v>3576</v>
      </c>
      <c r="C1231" s="115" t="s">
        <v>3577</v>
      </c>
      <c r="D1231" s="83" t="s">
        <v>921</v>
      </c>
      <c r="E1231" s="84">
        <v>1230.0</v>
      </c>
      <c r="F1231" s="48"/>
    </row>
    <row r="1232" ht="15.75" customHeight="1">
      <c r="A1232" s="114" t="s">
        <v>3578</v>
      </c>
      <c r="B1232" s="114" t="s">
        <v>3579</v>
      </c>
      <c r="C1232" s="115" t="s">
        <v>3580</v>
      </c>
      <c r="D1232" s="83" t="s">
        <v>921</v>
      </c>
      <c r="E1232" s="84">
        <v>1231.0</v>
      </c>
      <c r="F1232" s="48"/>
    </row>
    <row r="1233" ht="15.75" customHeight="1">
      <c r="A1233" s="114" t="s">
        <v>3581</v>
      </c>
      <c r="B1233" s="114" t="s">
        <v>3582</v>
      </c>
      <c r="C1233" s="117" t="s">
        <v>139</v>
      </c>
      <c r="D1233" s="83" t="s">
        <v>921</v>
      </c>
      <c r="E1233" s="84">
        <v>1232.0</v>
      </c>
      <c r="F1233" s="48"/>
    </row>
    <row r="1234" ht="15.75" customHeight="1">
      <c r="A1234" s="114" t="s">
        <v>3583</v>
      </c>
      <c r="B1234" s="114" t="s">
        <v>3584</v>
      </c>
      <c r="C1234" s="117" t="s">
        <v>139</v>
      </c>
      <c r="D1234" s="83" t="s">
        <v>921</v>
      </c>
      <c r="E1234" s="84">
        <v>1233.0</v>
      </c>
      <c r="F1234" s="48"/>
    </row>
    <row r="1235" ht="15.75" customHeight="1">
      <c r="A1235" s="114" t="s">
        <v>3585</v>
      </c>
      <c r="B1235" s="114" t="s">
        <v>3586</v>
      </c>
      <c r="C1235" s="115" t="s">
        <v>3587</v>
      </c>
      <c r="D1235" s="83" t="s">
        <v>921</v>
      </c>
      <c r="E1235" s="84">
        <v>1234.0</v>
      </c>
      <c r="F1235" s="48"/>
    </row>
    <row r="1236" ht="15.75" customHeight="1">
      <c r="A1236" s="114" t="s">
        <v>3588</v>
      </c>
      <c r="B1236" s="114" t="s">
        <v>3589</v>
      </c>
      <c r="C1236" s="115" t="s">
        <v>3590</v>
      </c>
      <c r="D1236" s="83" t="s">
        <v>921</v>
      </c>
      <c r="E1236" s="84">
        <v>1235.0</v>
      </c>
      <c r="F1236" s="48"/>
    </row>
    <row r="1237" ht="15.75" customHeight="1">
      <c r="A1237" s="114" t="s">
        <v>3591</v>
      </c>
      <c r="B1237" s="114" t="s">
        <v>3592</v>
      </c>
      <c r="C1237" s="116" t="s">
        <v>198</v>
      </c>
      <c r="D1237" s="83" t="s">
        <v>921</v>
      </c>
      <c r="E1237" s="84">
        <v>1236.0</v>
      </c>
      <c r="F1237" s="48"/>
    </row>
    <row r="1238" ht="15.75" customHeight="1">
      <c r="A1238" s="114" t="s">
        <v>3593</v>
      </c>
      <c r="B1238" s="114" t="s">
        <v>3594</v>
      </c>
      <c r="C1238" s="115" t="s">
        <v>3595</v>
      </c>
      <c r="D1238" s="83" t="s">
        <v>921</v>
      </c>
      <c r="E1238" s="84">
        <v>1237.0</v>
      </c>
      <c r="F1238" s="48"/>
    </row>
    <row r="1239" ht="15.75" customHeight="1">
      <c r="A1239" s="114" t="s">
        <v>3596</v>
      </c>
      <c r="B1239" s="114" t="s">
        <v>3597</v>
      </c>
      <c r="C1239" s="115" t="s">
        <v>3598</v>
      </c>
      <c r="D1239" s="83" t="s">
        <v>921</v>
      </c>
      <c r="E1239" s="84">
        <v>1238.0</v>
      </c>
      <c r="F1239" s="48"/>
    </row>
    <row r="1240" ht="15.75" customHeight="1">
      <c r="A1240" s="114" t="s">
        <v>3599</v>
      </c>
      <c r="B1240" s="114" t="s">
        <v>3600</v>
      </c>
      <c r="C1240" s="115" t="s">
        <v>3601</v>
      </c>
      <c r="D1240" s="83" t="s">
        <v>921</v>
      </c>
      <c r="E1240" s="84">
        <v>1239.0</v>
      </c>
      <c r="F1240" s="48"/>
    </row>
    <row r="1241" ht="15.75" customHeight="1">
      <c r="A1241" s="114" t="s">
        <v>3602</v>
      </c>
      <c r="B1241" s="114" t="s">
        <v>3603</v>
      </c>
      <c r="C1241" s="117" t="s">
        <v>198</v>
      </c>
      <c r="D1241" s="83" t="s">
        <v>921</v>
      </c>
      <c r="E1241" s="84">
        <v>1240.0</v>
      </c>
      <c r="F1241" s="48"/>
    </row>
    <row r="1242" ht="15.75" customHeight="1">
      <c r="A1242" s="114" t="s">
        <v>3604</v>
      </c>
      <c r="B1242" s="114" t="s">
        <v>3605</v>
      </c>
      <c r="C1242" s="115" t="s">
        <v>3606</v>
      </c>
      <c r="D1242" s="83" t="s">
        <v>921</v>
      </c>
      <c r="E1242" s="84">
        <v>1241.0</v>
      </c>
      <c r="F1242" s="48"/>
    </row>
    <row r="1243" ht="15.75" customHeight="1">
      <c r="A1243" s="114" t="s">
        <v>3607</v>
      </c>
      <c r="B1243" s="114" t="s">
        <v>3608</v>
      </c>
      <c r="C1243" s="117" t="s">
        <v>198</v>
      </c>
      <c r="D1243" s="83" t="s">
        <v>921</v>
      </c>
      <c r="E1243" s="84">
        <v>1242.0</v>
      </c>
      <c r="F1243" s="48"/>
    </row>
    <row r="1244" ht="15.75" customHeight="1">
      <c r="A1244" s="114" t="s">
        <v>3609</v>
      </c>
      <c r="B1244" s="114" t="s">
        <v>3610</v>
      </c>
      <c r="C1244" s="115" t="s">
        <v>3611</v>
      </c>
      <c r="D1244" s="83" t="s">
        <v>921</v>
      </c>
      <c r="E1244" s="84">
        <v>1243.0</v>
      </c>
      <c r="F1244" s="48"/>
    </row>
    <row r="1245" ht="15.75" customHeight="1">
      <c r="A1245" s="114" t="s">
        <v>3612</v>
      </c>
      <c r="B1245" s="114" t="s">
        <v>3613</v>
      </c>
      <c r="C1245" s="115" t="s">
        <v>3614</v>
      </c>
      <c r="D1245" s="83" t="s">
        <v>921</v>
      </c>
      <c r="E1245" s="84">
        <v>1244.0</v>
      </c>
      <c r="F1245" s="48"/>
    </row>
    <row r="1246" ht="15.75" customHeight="1">
      <c r="A1246" s="114" t="s">
        <v>3615</v>
      </c>
      <c r="B1246" s="114" t="s">
        <v>198</v>
      </c>
      <c r="C1246" s="115" t="s">
        <v>3616</v>
      </c>
      <c r="D1246" s="83" t="s">
        <v>921</v>
      </c>
      <c r="E1246" s="84">
        <v>1245.0</v>
      </c>
      <c r="F1246" s="48"/>
    </row>
    <row r="1247" ht="15.75" customHeight="1">
      <c r="A1247" s="114" t="s">
        <v>3617</v>
      </c>
      <c r="B1247" s="114" t="s">
        <v>3618</v>
      </c>
      <c r="C1247" s="117" t="s">
        <v>198</v>
      </c>
      <c r="D1247" s="83" t="s">
        <v>921</v>
      </c>
      <c r="E1247" s="84">
        <v>1246.0</v>
      </c>
      <c r="F1247" s="48"/>
    </row>
    <row r="1248" ht="15.75" customHeight="1">
      <c r="A1248" s="114" t="s">
        <v>1719</v>
      </c>
      <c r="B1248" s="114" t="s">
        <v>198</v>
      </c>
      <c r="C1248" s="115" t="s">
        <v>3619</v>
      </c>
      <c r="D1248" s="83" t="s">
        <v>921</v>
      </c>
      <c r="E1248" s="84">
        <v>1247.0</v>
      </c>
      <c r="F1248" s="48"/>
    </row>
    <row r="1249" ht="15.75" customHeight="1">
      <c r="A1249" s="114" t="s">
        <v>3620</v>
      </c>
      <c r="B1249" s="114" t="s">
        <v>198</v>
      </c>
      <c r="C1249" s="115" t="s">
        <v>3621</v>
      </c>
      <c r="D1249" s="83" t="s">
        <v>921</v>
      </c>
      <c r="E1249" s="84">
        <v>1248.0</v>
      </c>
      <c r="F1249" s="48"/>
    </row>
    <row r="1250" ht="15.75" customHeight="1">
      <c r="A1250" s="114" t="s">
        <v>3622</v>
      </c>
      <c r="B1250" s="114" t="s">
        <v>198</v>
      </c>
      <c r="C1250" s="115" t="s">
        <v>3623</v>
      </c>
      <c r="D1250" s="83" t="s">
        <v>921</v>
      </c>
      <c r="E1250" s="84">
        <v>1249.0</v>
      </c>
      <c r="F1250" s="48"/>
    </row>
    <row r="1251" ht="15.75" customHeight="1">
      <c r="A1251" s="114" t="s">
        <v>3624</v>
      </c>
      <c r="B1251" s="114" t="s">
        <v>3625</v>
      </c>
      <c r="C1251" s="115" t="s">
        <v>3626</v>
      </c>
      <c r="D1251" s="83" t="s">
        <v>921</v>
      </c>
      <c r="E1251" s="84">
        <v>1250.0</v>
      </c>
      <c r="F1251" s="48"/>
    </row>
    <row r="1252" ht="15.75" customHeight="1">
      <c r="A1252" s="114" t="s">
        <v>3627</v>
      </c>
      <c r="B1252" s="114" t="s">
        <v>198</v>
      </c>
      <c r="C1252" s="115" t="s">
        <v>3628</v>
      </c>
      <c r="D1252" s="83" t="s">
        <v>921</v>
      </c>
      <c r="E1252" s="84">
        <v>1251.0</v>
      </c>
      <c r="F1252" s="48"/>
    </row>
    <row r="1253" ht="15.75" customHeight="1">
      <c r="A1253" s="114" t="s">
        <v>3629</v>
      </c>
      <c r="B1253" s="114" t="s">
        <v>198</v>
      </c>
      <c r="C1253" s="115" t="s">
        <v>3630</v>
      </c>
      <c r="D1253" s="83" t="s">
        <v>921</v>
      </c>
      <c r="E1253" s="84">
        <v>1252.0</v>
      </c>
      <c r="F1253" s="48"/>
    </row>
    <row r="1254" ht="15.75" customHeight="1">
      <c r="A1254" s="114" t="s">
        <v>3631</v>
      </c>
      <c r="B1254" s="114" t="s">
        <v>3632</v>
      </c>
      <c r="C1254" s="118" t="s">
        <v>3633</v>
      </c>
      <c r="D1254" s="83" t="s">
        <v>921</v>
      </c>
      <c r="E1254" s="84">
        <v>1253.0</v>
      </c>
      <c r="F1254" s="48"/>
    </row>
    <row r="1255" ht="15.75" customHeight="1">
      <c r="A1255" s="114" t="s">
        <v>3634</v>
      </c>
      <c r="B1255" s="114" t="s">
        <v>3635</v>
      </c>
      <c r="C1255" s="115" t="s">
        <v>3636</v>
      </c>
      <c r="D1255" s="83" t="s">
        <v>921</v>
      </c>
      <c r="E1255" s="84">
        <v>1254.0</v>
      </c>
      <c r="F1255" s="48"/>
    </row>
    <row r="1256" ht="15.75" customHeight="1">
      <c r="A1256" s="114" t="s">
        <v>3637</v>
      </c>
      <c r="B1256" s="114" t="s">
        <v>3638</v>
      </c>
      <c r="C1256" s="115" t="s">
        <v>3639</v>
      </c>
      <c r="D1256" s="83" t="s">
        <v>921</v>
      </c>
      <c r="E1256" s="84">
        <v>1255.0</v>
      </c>
      <c r="F1256" s="48"/>
    </row>
    <row r="1257" ht="15.75" customHeight="1">
      <c r="A1257" s="114" t="s">
        <v>3640</v>
      </c>
      <c r="B1257" s="114" t="s">
        <v>3641</v>
      </c>
      <c r="C1257" s="115" t="s">
        <v>3642</v>
      </c>
      <c r="D1257" s="83" t="s">
        <v>921</v>
      </c>
      <c r="E1257" s="84">
        <v>1256.0</v>
      </c>
      <c r="F1257" s="48"/>
    </row>
    <row r="1258" ht="15.75" customHeight="1">
      <c r="A1258" s="114" t="s">
        <v>3643</v>
      </c>
      <c r="B1258" s="114" t="s">
        <v>3644</v>
      </c>
      <c r="C1258" s="115" t="s">
        <v>3645</v>
      </c>
      <c r="D1258" s="83" t="s">
        <v>921</v>
      </c>
      <c r="E1258" s="84">
        <v>1257.0</v>
      </c>
      <c r="F1258" s="48"/>
    </row>
    <row r="1259" ht="15.75" customHeight="1">
      <c r="A1259" s="114" t="s">
        <v>3646</v>
      </c>
      <c r="B1259" s="114" t="s">
        <v>3647</v>
      </c>
      <c r="C1259" s="115" t="s">
        <v>3648</v>
      </c>
      <c r="D1259" s="83" t="s">
        <v>921</v>
      </c>
      <c r="E1259" s="84">
        <v>1258.0</v>
      </c>
      <c r="F1259" s="48"/>
    </row>
    <row r="1260" ht="15.75" customHeight="1">
      <c r="A1260" s="114" t="s">
        <v>3649</v>
      </c>
      <c r="B1260" s="114" t="s">
        <v>3650</v>
      </c>
      <c r="C1260" s="115" t="s">
        <v>3651</v>
      </c>
      <c r="D1260" s="83" t="s">
        <v>921</v>
      </c>
      <c r="E1260" s="84">
        <v>1259.0</v>
      </c>
      <c r="F1260" s="48"/>
    </row>
    <row r="1261" ht="15.75" customHeight="1">
      <c r="A1261" s="114" t="s">
        <v>3652</v>
      </c>
      <c r="B1261" s="114" t="s">
        <v>3653</v>
      </c>
      <c r="C1261" s="115" t="s">
        <v>3654</v>
      </c>
      <c r="D1261" s="83" t="s">
        <v>921</v>
      </c>
      <c r="E1261" s="84">
        <v>1260.0</v>
      </c>
      <c r="F1261" s="48"/>
    </row>
    <row r="1262" ht="15.75" customHeight="1">
      <c r="A1262" s="114" t="s">
        <v>3655</v>
      </c>
      <c r="B1262" s="114" t="s">
        <v>3656</v>
      </c>
      <c r="C1262" s="115" t="s">
        <v>3657</v>
      </c>
      <c r="D1262" s="83" t="s">
        <v>921</v>
      </c>
      <c r="E1262" s="84">
        <v>1261.0</v>
      </c>
      <c r="F1262" s="48"/>
    </row>
    <row r="1263" ht="15.75" customHeight="1">
      <c r="A1263" s="48" t="s">
        <v>3658</v>
      </c>
      <c r="B1263" s="48" t="s">
        <v>3659</v>
      </c>
      <c r="C1263" s="104" t="s">
        <v>3660</v>
      </c>
      <c r="D1263" s="83" t="s">
        <v>3661</v>
      </c>
      <c r="E1263" s="84">
        <v>1262.0</v>
      </c>
      <c r="F1263" s="48"/>
    </row>
    <row r="1264" ht="15.75" customHeight="1">
      <c r="A1264" s="48" t="s">
        <v>343</v>
      </c>
      <c r="B1264" s="48" t="s">
        <v>344</v>
      </c>
      <c r="C1264" s="101" t="s">
        <v>198</v>
      </c>
      <c r="D1264" s="83" t="s">
        <v>345</v>
      </c>
      <c r="E1264" s="84">
        <v>1263.0</v>
      </c>
      <c r="F1264" s="48"/>
    </row>
    <row r="1265" ht="15.75" customHeight="1">
      <c r="A1265" s="48" t="s">
        <v>346</v>
      </c>
      <c r="B1265" s="48" t="s">
        <v>347</v>
      </c>
      <c r="C1265" s="104" t="s">
        <v>348</v>
      </c>
      <c r="D1265" s="83" t="s">
        <v>345</v>
      </c>
      <c r="E1265" s="84">
        <v>1264.0</v>
      </c>
      <c r="F1265" s="48"/>
    </row>
    <row r="1266" ht="15.75" customHeight="1">
      <c r="A1266" s="48" t="s">
        <v>3662</v>
      </c>
      <c r="B1266" s="48" t="s">
        <v>198</v>
      </c>
      <c r="C1266" s="104" t="s">
        <v>3663</v>
      </c>
      <c r="D1266" s="83" t="s">
        <v>3664</v>
      </c>
      <c r="E1266" s="84">
        <v>1265.0</v>
      </c>
      <c r="F1266" s="48"/>
    </row>
    <row r="1267" ht="15.75" customHeight="1">
      <c r="A1267" s="48" t="s">
        <v>3665</v>
      </c>
      <c r="B1267" s="48" t="s">
        <v>3666</v>
      </c>
      <c r="C1267" s="104" t="s">
        <v>3667</v>
      </c>
      <c r="D1267" s="83" t="s">
        <v>3664</v>
      </c>
      <c r="E1267" s="84">
        <v>1266.0</v>
      </c>
      <c r="F1267" s="48"/>
    </row>
    <row r="1268" ht="15.75" customHeight="1">
      <c r="A1268" s="48" t="s">
        <v>3668</v>
      </c>
      <c r="B1268" s="48" t="s">
        <v>3483</v>
      </c>
      <c r="C1268" s="104" t="s">
        <v>3669</v>
      </c>
      <c r="D1268" s="83" t="s">
        <v>3664</v>
      </c>
      <c r="E1268" s="84">
        <v>1267.0</v>
      </c>
      <c r="F1268" s="48"/>
    </row>
    <row r="1269" ht="15.75" customHeight="1">
      <c r="A1269" s="48" t="s">
        <v>3670</v>
      </c>
      <c r="B1269" s="48" t="s">
        <v>3671</v>
      </c>
      <c r="C1269" s="104" t="s">
        <v>3672</v>
      </c>
      <c r="D1269" s="83" t="s">
        <v>3664</v>
      </c>
      <c r="E1269" s="84">
        <v>1268.0</v>
      </c>
      <c r="F1269" s="48"/>
    </row>
    <row r="1270" ht="15.75" customHeight="1">
      <c r="A1270" s="48" t="s">
        <v>663</v>
      </c>
      <c r="B1270" s="48" t="s">
        <v>664</v>
      </c>
      <c r="C1270" s="104" t="s">
        <v>665</v>
      </c>
      <c r="D1270" s="83" t="s">
        <v>666</v>
      </c>
      <c r="E1270" s="84">
        <v>1269.0</v>
      </c>
      <c r="F1270" s="48"/>
    </row>
    <row r="1271" ht="15.75" customHeight="1">
      <c r="A1271" s="48" t="s">
        <v>668</v>
      </c>
      <c r="B1271" s="48" t="s">
        <v>669</v>
      </c>
      <c r="C1271" s="104" t="s">
        <v>670</v>
      </c>
      <c r="D1271" s="83" t="s">
        <v>666</v>
      </c>
      <c r="E1271" s="84">
        <v>1270.0</v>
      </c>
      <c r="F1271" s="48"/>
    </row>
    <row r="1272" ht="15.75" customHeight="1">
      <c r="A1272" s="48" t="s">
        <v>671</v>
      </c>
      <c r="B1272" s="48" t="s">
        <v>672</v>
      </c>
      <c r="C1272" s="104" t="s">
        <v>673</v>
      </c>
      <c r="D1272" s="83" t="s">
        <v>666</v>
      </c>
      <c r="E1272" s="84">
        <v>1271.0</v>
      </c>
      <c r="F1272" s="48"/>
    </row>
    <row r="1273" ht="15.75" customHeight="1">
      <c r="A1273" s="48" t="s">
        <v>674</v>
      </c>
      <c r="B1273" s="48" t="s">
        <v>675</v>
      </c>
      <c r="C1273" s="101" t="s">
        <v>198</v>
      </c>
      <c r="D1273" s="83" t="s">
        <v>666</v>
      </c>
      <c r="E1273" s="84">
        <v>1272.0</v>
      </c>
      <c r="F1273" s="48"/>
    </row>
    <row r="1274" ht="15.75" customHeight="1">
      <c r="A1274" s="48" t="s">
        <v>676</v>
      </c>
      <c r="B1274" s="48" t="s">
        <v>677</v>
      </c>
      <c r="C1274" s="104" t="s">
        <v>678</v>
      </c>
      <c r="D1274" s="83" t="s">
        <v>679</v>
      </c>
      <c r="E1274" s="84">
        <v>1273.0</v>
      </c>
      <c r="F1274" s="48"/>
    </row>
    <row r="1275" ht="15.75" customHeight="1">
      <c r="A1275" s="48" t="s">
        <v>680</v>
      </c>
      <c r="B1275" s="48" t="s">
        <v>681</v>
      </c>
      <c r="C1275" s="101" t="s">
        <v>198</v>
      </c>
      <c r="D1275" s="83" t="s">
        <v>679</v>
      </c>
      <c r="E1275" s="84">
        <v>1274.0</v>
      </c>
      <c r="F1275" s="48"/>
    </row>
    <row r="1276" ht="15.75" customHeight="1">
      <c r="A1276" s="48" t="s">
        <v>3673</v>
      </c>
      <c r="B1276" s="48" t="s">
        <v>198</v>
      </c>
      <c r="C1276" s="104" t="s">
        <v>3674</v>
      </c>
      <c r="D1276" s="83" t="s">
        <v>3675</v>
      </c>
      <c r="E1276" s="84">
        <v>1275.0</v>
      </c>
      <c r="F1276" s="48"/>
    </row>
    <row r="1277" ht="15.75" customHeight="1">
      <c r="A1277" s="48" t="s">
        <v>3676</v>
      </c>
      <c r="B1277" s="48" t="s">
        <v>3677</v>
      </c>
      <c r="C1277" s="104" t="s">
        <v>3678</v>
      </c>
      <c r="D1277" s="83" t="s">
        <v>3675</v>
      </c>
      <c r="E1277" s="84">
        <v>1276.0</v>
      </c>
      <c r="F1277" s="48"/>
    </row>
    <row r="1278" ht="15.75" customHeight="1">
      <c r="A1278" s="48" t="s">
        <v>3679</v>
      </c>
      <c r="B1278" s="48" t="s">
        <v>3680</v>
      </c>
      <c r="C1278" s="104" t="s">
        <v>3681</v>
      </c>
      <c r="D1278" s="83" t="s">
        <v>3675</v>
      </c>
      <c r="E1278" s="84">
        <v>1277.0</v>
      </c>
      <c r="F1278" s="48"/>
    </row>
    <row r="1279" ht="15.75" customHeight="1">
      <c r="A1279" s="48" t="s">
        <v>3682</v>
      </c>
      <c r="B1279" s="48" t="s">
        <v>3683</v>
      </c>
      <c r="C1279" s="104" t="s">
        <v>3684</v>
      </c>
      <c r="D1279" s="83" t="s">
        <v>3675</v>
      </c>
      <c r="E1279" s="84">
        <v>1278.0</v>
      </c>
      <c r="F1279" s="48"/>
    </row>
    <row r="1280" ht="15.75" customHeight="1">
      <c r="A1280" s="48" t="s">
        <v>3685</v>
      </c>
      <c r="B1280" s="48" t="s">
        <v>3686</v>
      </c>
      <c r="C1280" s="104" t="s">
        <v>3687</v>
      </c>
      <c r="D1280" s="83" t="s">
        <v>3675</v>
      </c>
      <c r="E1280" s="84">
        <v>1279.0</v>
      </c>
      <c r="F1280" s="48"/>
    </row>
    <row r="1281" ht="15.75" customHeight="1">
      <c r="A1281" s="48" t="s">
        <v>3688</v>
      </c>
      <c r="B1281" s="48" t="s">
        <v>198</v>
      </c>
      <c r="C1281" s="101"/>
      <c r="D1281" s="83" t="s">
        <v>3675</v>
      </c>
      <c r="E1281" s="84">
        <v>1280.0</v>
      </c>
      <c r="F1281" s="48"/>
    </row>
    <row r="1282" ht="15.75" customHeight="1">
      <c r="A1282" s="48" t="s">
        <v>3689</v>
      </c>
      <c r="B1282" s="48" t="s">
        <v>3690</v>
      </c>
      <c r="C1282" s="104" t="s">
        <v>3691</v>
      </c>
      <c r="D1282" s="83" t="s">
        <v>3675</v>
      </c>
      <c r="E1282" s="84">
        <v>1281.0</v>
      </c>
      <c r="F1282" s="48"/>
    </row>
    <row r="1283" ht="15.75" customHeight="1">
      <c r="A1283" s="48" t="s">
        <v>3692</v>
      </c>
      <c r="B1283" s="48" t="s">
        <v>3693</v>
      </c>
      <c r="C1283" s="104" t="s">
        <v>3694</v>
      </c>
      <c r="D1283" s="83" t="s">
        <v>3675</v>
      </c>
      <c r="E1283" s="84">
        <v>1282.0</v>
      </c>
      <c r="F1283" s="48"/>
    </row>
    <row r="1284" ht="15.75" customHeight="1">
      <c r="A1284" s="48" t="s">
        <v>3695</v>
      </c>
      <c r="B1284" s="48" t="s">
        <v>3696</v>
      </c>
      <c r="C1284" s="104" t="s">
        <v>3697</v>
      </c>
      <c r="D1284" s="83" t="s">
        <v>3675</v>
      </c>
      <c r="E1284" s="84">
        <v>1283.0</v>
      </c>
      <c r="F1284" s="48"/>
    </row>
    <row r="1285" ht="15.75" customHeight="1">
      <c r="A1285" s="48" t="s">
        <v>3698</v>
      </c>
      <c r="B1285" s="48" t="s">
        <v>3699</v>
      </c>
      <c r="C1285" s="104" t="s">
        <v>3700</v>
      </c>
      <c r="D1285" s="83" t="s">
        <v>3675</v>
      </c>
      <c r="E1285" s="84">
        <v>1284.0</v>
      </c>
      <c r="F1285" s="48"/>
    </row>
    <row r="1286" ht="15.75" customHeight="1">
      <c r="A1286" s="36" t="s">
        <v>3701</v>
      </c>
      <c r="B1286" s="36" t="s">
        <v>3702</v>
      </c>
      <c r="C1286" s="39" t="s">
        <v>3703</v>
      </c>
      <c r="D1286" s="83" t="s">
        <v>3675</v>
      </c>
      <c r="E1286" s="84">
        <v>1285.0</v>
      </c>
      <c r="F1286" s="48"/>
    </row>
    <row r="1287" ht="15.75" customHeight="1">
      <c r="A1287" s="48" t="s">
        <v>3704</v>
      </c>
      <c r="B1287" s="48" t="s">
        <v>3705</v>
      </c>
      <c r="C1287" s="104" t="s">
        <v>3706</v>
      </c>
      <c r="D1287" s="83" t="s">
        <v>3675</v>
      </c>
      <c r="E1287" s="84">
        <v>1286.0</v>
      </c>
      <c r="F1287" s="48"/>
    </row>
    <row r="1288" ht="15.75" customHeight="1">
      <c r="A1288" s="48" t="s">
        <v>3707</v>
      </c>
      <c r="B1288" s="48" t="s">
        <v>3708</v>
      </c>
      <c r="C1288" s="101" t="s">
        <v>198</v>
      </c>
      <c r="D1288" s="83" t="s">
        <v>3675</v>
      </c>
      <c r="E1288" s="84">
        <v>1287.0</v>
      </c>
      <c r="F1288" s="48"/>
    </row>
    <row r="1289" ht="15.75" customHeight="1">
      <c r="A1289" s="48" t="s">
        <v>3709</v>
      </c>
      <c r="B1289" s="48" t="s">
        <v>198</v>
      </c>
      <c r="C1289" s="104" t="s">
        <v>3710</v>
      </c>
      <c r="D1289" s="83" t="s">
        <v>940</v>
      </c>
      <c r="E1289" s="84">
        <v>1288.0</v>
      </c>
      <c r="F1289" s="48"/>
    </row>
    <row r="1290" ht="15.75" customHeight="1">
      <c r="A1290" s="48" t="s">
        <v>937</v>
      </c>
      <c r="B1290" s="48" t="s">
        <v>938</v>
      </c>
      <c r="C1290" s="104" t="s">
        <v>3711</v>
      </c>
      <c r="D1290" s="83" t="s">
        <v>940</v>
      </c>
      <c r="E1290" s="84">
        <v>1289.0</v>
      </c>
      <c r="F1290" s="48"/>
    </row>
    <row r="1291" ht="15.75" customHeight="1">
      <c r="A1291" s="48" t="s">
        <v>3712</v>
      </c>
      <c r="B1291" s="48" t="s">
        <v>3713</v>
      </c>
      <c r="C1291" s="104" t="s">
        <v>3714</v>
      </c>
      <c r="D1291" s="83" t="s">
        <v>940</v>
      </c>
      <c r="E1291" s="84">
        <v>1290.0</v>
      </c>
      <c r="F1291" s="48"/>
    </row>
    <row r="1292" ht="15.75" customHeight="1">
      <c r="A1292" s="48" t="s">
        <v>3715</v>
      </c>
      <c r="B1292" s="48" t="s">
        <v>3716</v>
      </c>
      <c r="C1292" s="104" t="s">
        <v>3717</v>
      </c>
      <c r="D1292" s="83" t="s">
        <v>940</v>
      </c>
      <c r="E1292" s="84">
        <v>1291.0</v>
      </c>
      <c r="F1292" s="48"/>
    </row>
    <row r="1293" ht="15.75" customHeight="1">
      <c r="A1293" s="48" t="s">
        <v>3718</v>
      </c>
      <c r="B1293" s="48" t="s">
        <v>3719</v>
      </c>
      <c r="C1293" s="104" t="s">
        <v>3720</v>
      </c>
      <c r="D1293" s="83" t="s">
        <v>940</v>
      </c>
      <c r="E1293" s="84">
        <v>1292.0</v>
      </c>
      <c r="F1293" s="48"/>
    </row>
    <row r="1294" ht="15.75" customHeight="1">
      <c r="A1294" s="48" t="s">
        <v>3721</v>
      </c>
      <c r="B1294" s="48" t="s">
        <v>3722</v>
      </c>
      <c r="C1294" s="104" t="s">
        <v>3723</v>
      </c>
      <c r="D1294" s="83" t="s">
        <v>940</v>
      </c>
      <c r="E1294" s="84">
        <v>1293.0</v>
      </c>
      <c r="F1294" s="48"/>
    </row>
    <row r="1295" ht="15.75" customHeight="1">
      <c r="A1295" s="48" t="s">
        <v>3724</v>
      </c>
      <c r="B1295" s="48" t="s">
        <v>3725</v>
      </c>
      <c r="C1295" s="101" t="s">
        <v>198</v>
      </c>
      <c r="D1295" s="83" t="s">
        <v>940</v>
      </c>
      <c r="E1295" s="84">
        <v>1294.0</v>
      </c>
      <c r="F1295" s="48"/>
    </row>
    <row r="1296" ht="15.75" customHeight="1">
      <c r="A1296" s="48" t="s">
        <v>3726</v>
      </c>
      <c r="B1296" s="48" t="s">
        <v>3727</v>
      </c>
      <c r="C1296" s="104" t="s">
        <v>3728</v>
      </c>
      <c r="D1296" s="83" t="s">
        <v>940</v>
      </c>
      <c r="E1296" s="84">
        <v>1295.0</v>
      </c>
      <c r="F1296" s="48"/>
    </row>
    <row r="1297" ht="15.75" customHeight="1">
      <c r="A1297" s="48" t="s">
        <v>3729</v>
      </c>
      <c r="B1297" s="48" t="s">
        <v>3730</v>
      </c>
      <c r="C1297" s="104" t="s">
        <v>3731</v>
      </c>
      <c r="D1297" s="83" t="s">
        <v>940</v>
      </c>
      <c r="E1297" s="84">
        <v>1296.0</v>
      </c>
      <c r="F1297" s="48"/>
    </row>
    <row r="1298" ht="15.75" customHeight="1">
      <c r="A1298" s="48" t="s">
        <v>3732</v>
      </c>
      <c r="B1298" s="48" t="s">
        <v>3733</v>
      </c>
      <c r="C1298" s="104" t="s">
        <v>3734</v>
      </c>
      <c r="D1298" s="83" t="s">
        <v>940</v>
      </c>
      <c r="E1298" s="84">
        <v>1297.0</v>
      </c>
      <c r="F1298" s="48"/>
    </row>
    <row r="1299" ht="15.75" customHeight="1">
      <c r="A1299" s="48" t="s">
        <v>3735</v>
      </c>
      <c r="B1299" s="48" t="s">
        <v>198</v>
      </c>
      <c r="C1299" s="104" t="s">
        <v>3736</v>
      </c>
      <c r="D1299" s="83" t="s">
        <v>940</v>
      </c>
      <c r="E1299" s="84">
        <v>1298.0</v>
      </c>
      <c r="F1299" s="48"/>
    </row>
    <row r="1300" ht="15.75" customHeight="1">
      <c r="A1300" s="48" t="s">
        <v>3737</v>
      </c>
      <c r="B1300" s="48" t="s">
        <v>198</v>
      </c>
      <c r="C1300" s="104" t="s">
        <v>3738</v>
      </c>
      <c r="D1300" s="83" t="s">
        <v>940</v>
      </c>
      <c r="E1300" s="84">
        <v>1299.0</v>
      </c>
      <c r="F1300" s="48"/>
    </row>
    <row r="1301" ht="15.75" customHeight="1">
      <c r="A1301" s="48" t="s">
        <v>3739</v>
      </c>
      <c r="B1301" s="48" t="s">
        <v>3740</v>
      </c>
      <c r="C1301" s="104" t="s">
        <v>3741</v>
      </c>
      <c r="D1301" s="83" t="s">
        <v>940</v>
      </c>
      <c r="E1301" s="84">
        <v>1300.0</v>
      </c>
      <c r="F1301" s="48"/>
    </row>
    <row r="1302" ht="15.75" customHeight="1">
      <c r="A1302" s="48" t="s">
        <v>3742</v>
      </c>
      <c r="B1302" s="48" t="s">
        <v>3743</v>
      </c>
      <c r="C1302" s="36" t="s">
        <v>198</v>
      </c>
      <c r="D1302" s="83" t="s">
        <v>940</v>
      </c>
      <c r="E1302" s="84">
        <v>1301.0</v>
      </c>
      <c r="F1302" s="48"/>
    </row>
    <row r="1303" ht="15.75" customHeight="1">
      <c r="A1303" s="48" t="s">
        <v>3744</v>
      </c>
      <c r="B1303" s="48" t="s">
        <v>198</v>
      </c>
      <c r="C1303" s="104" t="s">
        <v>3745</v>
      </c>
      <c r="D1303" s="83" t="s">
        <v>940</v>
      </c>
      <c r="E1303" s="84">
        <v>1302.0</v>
      </c>
      <c r="F1303" s="48"/>
    </row>
    <row r="1304" ht="15.75" customHeight="1">
      <c r="A1304" s="48" t="s">
        <v>3746</v>
      </c>
      <c r="B1304" s="48" t="s">
        <v>3747</v>
      </c>
      <c r="C1304" s="104" t="s">
        <v>3748</v>
      </c>
      <c r="D1304" s="83" t="s">
        <v>940</v>
      </c>
      <c r="E1304" s="84">
        <v>1303.0</v>
      </c>
      <c r="F1304" s="48"/>
    </row>
    <row r="1305" ht="15.75" customHeight="1">
      <c r="A1305" s="48" t="s">
        <v>3749</v>
      </c>
      <c r="B1305" s="48" t="s">
        <v>3750</v>
      </c>
      <c r="C1305" s="101" t="s">
        <v>3751</v>
      </c>
      <c r="D1305" s="83" t="s">
        <v>940</v>
      </c>
      <c r="E1305" s="84">
        <v>1304.0</v>
      </c>
      <c r="F1305" s="48"/>
    </row>
    <row r="1306" ht="15.75" customHeight="1">
      <c r="A1306" s="48" t="s">
        <v>3752</v>
      </c>
      <c r="B1306" s="48" t="s">
        <v>3753</v>
      </c>
      <c r="C1306" s="104" t="s">
        <v>3754</v>
      </c>
      <c r="D1306" s="83" t="s">
        <v>940</v>
      </c>
      <c r="E1306" s="84">
        <v>1305.0</v>
      </c>
      <c r="F1306" s="48"/>
    </row>
    <row r="1307" ht="15.75" customHeight="1">
      <c r="A1307" s="48" t="s">
        <v>3755</v>
      </c>
      <c r="B1307" s="48" t="s">
        <v>3756</v>
      </c>
      <c r="C1307" s="104" t="s">
        <v>3757</v>
      </c>
      <c r="D1307" s="83" t="s">
        <v>940</v>
      </c>
      <c r="E1307" s="84">
        <v>1306.0</v>
      </c>
      <c r="F1307" s="48"/>
    </row>
    <row r="1308" ht="15.75" customHeight="1">
      <c r="A1308" s="48" t="s">
        <v>3758</v>
      </c>
      <c r="B1308" s="48" t="s">
        <v>3759</v>
      </c>
      <c r="C1308" s="104" t="s">
        <v>3760</v>
      </c>
      <c r="D1308" s="83" t="s">
        <v>940</v>
      </c>
      <c r="E1308" s="84">
        <v>1307.0</v>
      </c>
      <c r="F1308" s="48"/>
    </row>
    <row r="1309" ht="15.75" customHeight="1">
      <c r="A1309" s="48" t="s">
        <v>3761</v>
      </c>
      <c r="B1309" s="48" t="s">
        <v>3762</v>
      </c>
      <c r="C1309" s="104" t="s">
        <v>3763</v>
      </c>
      <c r="D1309" s="83" t="s">
        <v>940</v>
      </c>
      <c r="E1309" s="84">
        <v>1308.0</v>
      </c>
      <c r="F1309" s="48"/>
    </row>
    <row r="1310" ht="15.75" customHeight="1">
      <c r="A1310" s="48" t="s">
        <v>682</v>
      </c>
      <c r="B1310" s="48" t="s">
        <v>683</v>
      </c>
      <c r="C1310" s="104" t="s">
        <v>684</v>
      </c>
      <c r="D1310" s="83" t="s">
        <v>685</v>
      </c>
      <c r="E1310" s="84">
        <v>1309.0</v>
      </c>
      <c r="F1310" s="48"/>
    </row>
    <row r="1311" ht="15.75" customHeight="1">
      <c r="A1311" s="48" t="s">
        <v>686</v>
      </c>
      <c r="B1311" s="48" t="s">
        <v>687</v>
      </c>
      <c r="C1311" s="104" t="s">
        <v>688</v>
      </c>
      <c r="D1311" s="83" t="s">
        <v>685</v>
      </c>
      <c r="E1311" s="84">
        <v>1310.0</v>
      </c>
      <c r="F1311" s="48"/>
    </row>
    <row r="1312" ht="15.75" customHeight="1">
      <c r="A1312" s="48" t="s">
        <v>689</v>
      </c>
      <c r="B1312" s="48" t="s">
        <v>690</v>
      </c>
      <c r="C1312" s="104" t="s">
        <v>691</v>
      </c>
      <c r="D1312" s="83" t="s">
        <v>685</v>
      </c>
      <c r="E1312" s="84">
        <v>1311.0</v>
      </c>
      <c r="F1312" s="48"/>
    </row>
    <row r="1313" ht="15.75" customHeight="1">
      <c r="A1313" s="48" t="s">
        <v>692</v>
      </c>
      <c r="B1313" s="48" t="s">
        <v>198</v>
      </c>
      <c r="C1313" s="104" t="s">
        <v>693</v>
      </c>
      <c r="D1313" s="83" t="s">
        <v>685</v>
      </c>
      <c r="E1313" s="84">
        <v>1312.0</v>
      </c>
      <c r="F1313" s="48"/>
    </row>
    <row r="1314" ht="15.75" customHeight="1">
      <c r="A1314" s="48" t="s">
        <v>694</v>
      </c>
      <c r="B1314" s="48" t="s">
        <v>198</v>
      </c>
      <c r="C1314" s="104" t="s">
        <v>695</v>
      </c>
      <c r="D1314" s="83" t="s">
        <v>685</v>
      </c>
      <c r="E1314" s="84">
        <v>1313.0</v>
      </c>
      <c r="F1314" s="48"/>
    </row>
    <row r="1315" ht="15.75" customHeight="1">
      <c r="A1315" s="48" t="s">
        <v>696</v>
      </c>
      <c r="B1315" s="48" t="s">
        <v>697</v>
      </c>
      <c r="C1315" s="101" t="s">
        <v>198</v>
      </c>
      <c r="D1315" s="83" t="s">
        <v>685</v>
      </c>
      <c r="E1315" s="84">
        <v>1314.0</v>
      </c>
      <c r="F1315" s="48"/>
    </row>
    <row r="1316" ht="15.75" customHeight="1">
      <c r="A1316" s="48" t="s">
        <v>698</v>
      </c>
      <c r="B1316" s="48" t="s">
        <v>699</v>
      </c>
      <c r="C1316" s="104" t="s">
        <v>700</v>
      </c>
      <c r="D1316" s="83" t="s">
        <v>685</v>
      </c>
      <c r="E1316" s="84">
        <v>1315.0</v>
      </c>
      <c r="F1316" s="48"/>
    </row>
    <row r="1317" ht="15.75" customHeight="1">
      <c r="A1317" s="48" t="s">
        <v>701</v>
      </c>
      <c r="B1317" s="48" t="s">
        <v>198</v>
      </c>
      <c r="C1317" s="104" t="s">
        <v>702</v>
      </c>
      <c r="D1317" s="83" t="s">
        <v>685</v>
      </c>
      <c r="E1317" s="84">
        <v>1316.0</v>
      </c>
      <c r="F1317" s="48"/>
    </row>
    <row r="1318" ht="15.75" customHeight="1">
      <c r="A1318" s="48" t="s">
        <v>703</v>
      </c>
      <c r="B1318" s="48" t="s">
        <v>704</v>
      </c>
      <c r="C1318" s="104" t="s">
        <v>705</v>
      </c>
      <c r="D1318" s="83" t="s">
        <v>685</v>
      </c>
      <c r="E1318" s="84">
        <v>1317.0</v>
      </c>
      <c r="F1318" s="48"/>
    </row>
    <row r="1319" ht="15.75" customHeight="1">
      <c r="A1319" s="48" t="s">
        <v>706</v>
      </c>
      <c r="B1319" s="48" t="s">
        <v>707</v>
      </c>
      <c r="C1319" s="104" t="s">
        <v>708</v>
      </c>
      <c r="D1319" s="83" t="s">
        <v>685</v>
      </c>
      <c r="E1319" s="84">
        <v>1318.0</v>
      </c>
      <c r="F1319" s="48"/>
    </row>
    <row r="1320" ht="15.75" customHeight="1">
      <c r="A1320" s="48" t="s">
        <v>709</v>
      </c>
      <c r="B1320" s="48" t="s">
        <v>710</v>
      </c>
      <c r="C1320" s="104" t="s">
        <v>711</v>
      </c>
      <c r="D1320" s="83" t="s">
        <v>685</v>
      </c>
      <c r="E1320" s="84">
        <v>1319.0</v>
      </c>
      <c r="F1320" s="48"/>
    </row>
    <row r="1321" ht="15.75" customHeight="1">
      <c r="A1321" s="48" t="s">
        <v>712</v>
      </c>
      <c r="B1321" s="48" t="s">
        <v>713</v>
      </c>
      <c r="C1321" s="104" t="s">
        <v>714</v>
      </c>
      <c r="D1321" s="83" t="s">
        <v>685</v>
      </c>
      <c r="E1321" s="84">
        <v>1320.0</v>
      </c>
      <c r="F1321" s="48"/>
    </row>
    <row r="1322" ht="15.75" customHeight="1">
      <c r="A1322" s="48" t="s">
        <v>139</v>
      </c>
      <c r="B1322" s="48"/>
      <c r="C1322" s="104" t="s">
        <v>715</v>
      </c>
      <c r="D1322" s="83" t="s">
        <v>685</v>
      </c>
      <c r="E1322" s="84">
        <v>1321.0</v>
      </c>
      <c r="F1322" s="48"/>
    </row>
    <row r="1323" ht="15.75" customHeight="1">
      <c r="A1323" s="48" t="s">
        <v>716</v>
      </c>
      <c r="B1323" s="48" t="s">
        <v>717</v>
      </c>
      <c r="C1323" s="104" t="s">
        <v>718</v>
      </c>
      <c r="D1323" s="83" t="s">
        <v>685</v>
      </c>
      <c r="E1323" s="84">
        <v>1322.0</v>
      </c>
      <c r="F1323" s="48"/>
    </row>
    <row r="1324" ht="15.75" customHeight="1">
      <c r="A1324" s="48" t="s">
        <v>720</v>
      </c>
      <c r="B1324" s="48" t="s">
        <v>721</v>
      </c>
      <c r="C1324" s="39" t="s">
        <v>722</v>
      </c>
      <c r="D1324" s="83" t="s">
        <v>685</v>
      </c>
      <c r="E1324" s="84">
        <v>1323.0</v>
      </c>
      <c r="F1324" s="48"/>
    </row>
    <row r="1325" ht="15.75" customHeight="1">
      <c r="A1325" s="48" t="s">
        <v>723</v>
      </c>
      <c r="B1325" s="48" t="s">
        <v>724</v>
      </c>
      <c r="C1325" s="104" t="s">
        <v>725</v>
      </c>
      <c r="D1325" s="83" t="s">
        <v>685</v>
      </c>
      <c r="E1325" s="84">
        <v>1324.0</v>
      </c>
      <c r="F1325" s="48"/>
    </row>
    <row r="1326" ht="15.75" customHeight="1">
      <c r="A1326" s="48" t="s">
        <v>726</v>
      </c>
      <c r="B1326" s="48" t="s">
        <v>727</v>
      </c>
      <c r="C1326" s="101" t="s">
        <v>198</v>
      </c>
      <c r="D1326" s="83" t="s">
        <v>685</v>
      </c>
      <c r="E1326" s="84">
        <v>1325.0</v>
      </c>
      <c r="F1326" s="48"/>
    </row>
    <row r="1327" ht="15.75" customHeight="1">
      <c r="A1327" s="48" t="s">
        <v>728</v>
      </c>
      <c r="B1327" s="48" t="s">
        <v>729</v>
      </c>
      <c r="C1327" s="104" t="s">
        <v>730</v>
      </c>
      <c r="D1327" s="83" t="s">
        <v>685</v>
      </c>
      <c r="E1327" s="84">
        <v>1326.0</v>
      </c>
      <c r="F1327" s="48"/>
    </row>
    <row r="1328" ht="15.75" customHeight="1">
      <c r="A1328" s="48" t="s">
        <v>734</v>
      </c>
      <c r="B1328" s="48" t="s">
        <v>735</v>
      </c>
      <c r="C1328" s="104" t="s">
        <v>736</v>
      </c>
      <c r="D1328" s="83" t="s">
        <v>733</v>
      </c>
      <c r="E1328" s="84">
        <v>1327.0</v>
      </c>
      <c r="F1328" s="48"/>
    </row>
    <row r="1329" ht="15.75" customHeight="1">
      <c r="A1329" s="48" t="s">
        <v>737</v>
      </c>
      <c r="B1329" s="48" t="s">
        <v>717</v>
      </c>
      <c r="C1329" s="104" t="s">
        <v>736</v>
      </c>
      <c r="D1329" s="83" t="s">
        <v>733</v>
      </c>
      <c r="E1329" s="84">
        <v>1328.0</v>
      </c>
      <c r="F1329" s="48"/>
    </row>
    <row r="1330" ht="15.75" customHeight="1">
      <c r="A1330" s="48" t="s">
        <v>738</v>
      </c>
      <c r="B1330" s="48" t="s">
        <v>739</v>
      </c>
      <c r="C1330" s="104" t="s">
        <v>740</v>
      </c>
      <c r="D1330" s="83" t="s">
        <v>733</v>
      </c>
      <c r="E1330" s="84">
        <v>1329.0</v>
      </c>
      <c r="F1330" s="48"/>
    </row>
    <row r="1331" ht="15.75" customHeight="1">
      <c r="A1331" s="48" t="s">
        <v>741</v>
      </c>
      <c r="B1331" s="48" t="s">
        <v>742</v>
      </c>
      <c r="C1331" s="101" t="s">
        <v>198</v>
      </c>
      <c r="D1331" s="83" t="s">
        <v>733</v>
      </c>
      <c r="E1331" s="84">
        <v>1330.0</v>
      </c>
      <c r="F1331" s="48"/>
    </row>
    <row r="1332" ht="15.75" customHeight="1">
      <c r="A1332" s="48" t="s">
        <v>743</v>
      </c>
      <c r="B1332" s="48" t="s">
        <v>744</v>
      </c>
      <c r="C1332" s="104" t="s">
        <v>745</v>
      </c>
      <c r="D1332" s="83" t="s">
        <v>733</v>
      </c>
      <c r="E1332" s="84">
        <v>1331.0</v>
      </c>
      <c r="F1332" s="48"/>
    </row>
    <row r="1333" ht="15.75" customHeight="1">
      <c r="A1333" s="48" t="s">
        <v>746</v>
      </c>
      <c r="B1333" s="48" t="s">
        <v>747</v>
      </c>
      <c r="C1333" s="39" t="s">
        <v>748</v>
      </c>
      <c r="D1333" s="83" t="s">
        <v>733</v>
      </c>
      <c r="E1333" s="84">
        <v>1332.0</v>
      </c>
      <c r="F1333" s="48"/>
    </row>
    <row r="1334" ht="15.75" customHeight="1">
      <c r="A1334" s="48" t="s">
        <v>750</v>
      </c>
      <c r="B1334" s="48" t="s">
        <v>198</v>
      </c>
      <c r="C1334" s="104" t="s">
        <v>751</v>
      </c>
      <c r="D1334" s="83" t="s">
        <v>733</v>
      </c>
      <c r="E1334" s="84">
        <v>1333.0</v>
      </c>
      <c r="F1334" s="48"/>
    </row>
    <row r="1335" ht="15.75" customHeight="1">
      <c r="A1335" s="48" t="s">
        <v>752</v>
      </c>
      <c r="B1335" s="48" t="s">
        <v>753</v>
      </c>
      <c r="C1335" s="39" t="s">
        <v>754</v>
      </c>
      <c r="D1335" s="83" t="s">
        <v>733</v>
      </c>
      <c r="E1335" s="84">
        <v>1334.0</v>
      </c>
      <c r="F1335" s="48"/>
    </row>
    <row r="1336" ht="15.75" customHeight="1">
      <c r="A1336" s="48" t="s">
        <v>756</v>
      </c>
      <c r="B1336" s="48" t="s">
        <v>139</v>
      </c>
      <c r="C1336" s="104" t="s">
        <v>757</v>
      </c>
      <c r="D1336" s="83" t="s">
        <v>733</v>
      </c>
      <c r="E1336" s="84">
        <v>1335.0</v>
      </c>
      <c r="F1336" s="48"/>
    </row>
    <row r="1337" ht="15.75" customHeight="1">
      <c r="A1337" s="48" t="s">
        <v>758</v>
      </c>
      <c r="B1337" s="48" t="s">
        <v>759</v>
      </c>
      <c r="C1337" s="101" t="s">
        <v>198</v>
      </c>
      <c r="D1337" s="83" t="s">
        <v>733</v>
      </c>
      <c r="E1337" s="84">
        <v>1336.0</v>
      </c>
      <c r="F1337" s="48"/>
    </row>
    <row r="1338" ht="15.75" customHeight="1">
      <c r="A1338" s="48" t="s">
        <v>760</v>
      </c>
      <c r="B1338" s="48" t="s">
        <v>761</v>
      </c>
      <c r="C1338" s="104" t="s">
        <v>762</v>
      </c>
      <c r="D1338" s="83" t="s">
        <v>733</v>
      </c>
      <c r="E1338" s="84">
        <v>1337.0</v>
      </c>
      <c r="F1338" s="48"/>
    </row>
    <row r="1339" ht="15.75" customHeight="1">
      <c r="A1339" s="48" t="s">
        <v>471</v>
      </c>
      <c r="B1339" s="48" t="s">
        <v>198</v>
      </c>
      <c r="C1339" s="104" t="s">
        <v>3764</v>
      </c>
      <c r="D1339" s="83" t="s">
        <v>1093</v>
      </c>
      <c r="E1339" s="84">
        <v>1338.0</v>
      </c>
      <c r="F1339" s="48"/>
    </row>
    <row r="1340" ht="15.75" customHeight="1">
      <c r="A1340" s="48" t="s">
        <v>3765</v>
      </c>
      <c r="B1340" s="48" t="s">
        <v>3766</v>
      </c>
      <c r="C1340" s="104" t="s">
        <v>3767</v>
      </c>
      <c r="D1340" s="83" t="s">
        <v>1093</v>
      </c>
      <c r="E1340" s="84">
        <v>1339.0</v>
      </c>
      <c r="F1340" s="48"/>
    </row>
    <row r="1341" ht="15.75" customHeight="1">
      <c r="A1341" s="48" t="s">
        <v>3768</v>
      </c>
      <c r="B1341" s="48" t="s">
        <v>3769</v>
      </c>
      <c r="C1341" s="101" t="s">
        <v>139</v>
      </c>
      <c r="D1341" s="83" t="s">
        <v>1093</v>
      </c>
      <c r="E1341" s="84">
        <v>1340.0</v>
      </c>
      <c r="F1341" s="48"/>
    </row>
    <row r="1342" ht="15.75" customHeight="1">
      <c r="A1342" s="48" t="s">
        <v>3770</v>
      </c>
      <c r="B1342" s="48" t="s">
        <v>3771</v>
      </c>
      <c r="C1342" s="101" t="s">
        <v>139</v>
      </c>
      <c r="D1342" s="83" t="s">
        <v>1093</v>
      </c>
      <c r="E1342" s="84">
        <v>1341.0</v>
      </c>
      <c r="F1342" s="48"/>
    </row>
    <row r="1343" ht="15.75" customHeight="1">
      <c r="A1343" s="48" t="s">
        <v>3772</v>
      </c>
      <c r="B1343" s="48" t="s">
        <v>3773</v>
      </c>
      <c r="C1343" s="104" t="s">
        <v>3774</v>
      </c>
      <c r="D1343" s="83" t="s">
        <v>1093</v>
      </c>
      <c r="E1343" s="84">
        <v>1342.0</v>
      </c>
      <c r="F1343" s="48"/>
    </row>
    <row r="1344" ht="15.75" customHeight="1">
      <c r="A1344" s="48" t="s">
        <v>3775</v>
      </c>
      <c r="B1344" s="48" t="s">
        <v>3776</v>
      </c>
      <c r="C1344" s="104" t="s">
        <v>3777</v>
      </c>
      <c r="D1344" s="83" t="s">
        <v>1093</v>
      </c>
      <c r="E1344" s="84">
        <v>1343.0</v>
      </c>
      <c r="F1344" s="48"/>
    </row>
    <row r="1345" ht="15.75" customHeight="1">
      <c r="A1345" s="48" t="s">
        <v>3778</v>
      </c>
      <c r="B1345" s="48" t="s">
        <v>3779</v>
      </c>
      <c r="C1345" s="104" t="s">
        <v>3780</v>
      </c>
      <c r="D1345" s="83" t="s">
        <v>1093</v>
      </c>
      <c r="E1345" s="84">
        <v>1344.0</v>
      </c>
      <c r="F1345" s="48"/>
    </row>
    <row r="1346" ht="15.75" customHeight="1">
      <c r="A1346" s="48" t="s">
        <v>3781</v>
      </c>
      <c r="B1346" s="48" t="s">
        <v>3782</v>
      </c>
      <c r="C1346" s="104" t="s">
        <v>3783</v>
      </c>
      <c r="D1346" s="83" t="s">
        <v>1093</v>
      </c>
      <c r="E1346" s="84">
        <v>1345.0</v>
      </c>
      <c r="F1346" s="48"/>
    </row>
    <row r="1347" ht="15.75" customHeight="1">
      <c r="A1347" s="48" t="s">
        <v>3784</v>
      </c>
      <c r="B1347" s="48" t="s">
        <v>3785</v>
      </c>
      <c r="C1347" s="104" t="s">
        <v>3786</v>
      </c>
      <c r="D1347" s="83" t="s">
        <v>1093</v>
      </c>
      <c r="E1347" s="84">
        <v>1346.0</v>
      </c>
      <c r="F1347" s="48"/>
    </row>
    <row r="1348" ht="15.75" customHeight="1">
      <c r="A1348" s="48" t="s">
        <v>3787</v>
      </c>
      <c r="B1348" s="48" t="s">
        <v>3788</v>
      </c>
      <c r="C1348" s="104" t="s">
        <v>3789</v>
      </c>
      <c r="D1348" s="83" t="s">
        <v>1093</v>
      </c>
      <c r="E1348" s="84">
        <v>1347.0</v>
      </c>
      <c r="F1348" s="48"/>
    </row>
    <row r="1349" ht="15.75" customHeight="1">
      <c r="A1349" s="48" t="s">
        <v>3790</v>
      </c>
      <c r="B1349" s="48" t="s">
        <v>3791</v>
      </c>
      <c r="C1349" s="101" t="s">
        <v>198</v>
      </c>
      <c r="D1349" s="83" t="s">
        <v>1093</v>
      </c>
      <c r="E1349" s="84">
        <v>1348.0</v>
      </c>
      <c r="F1349" s="48"/>
    </row>
    <row r="1350" ht="15.75" customHeight="1">
      <c r="A1350" s="48" t="s">
        <v>3792</v>
      </c>
      <c r="B1350" s="48" t="s">
        <v>3793</v>
      </c>
      <c r="C1350" s="104" t="s">
        <v>3794</v>
      </c>
      <c r="D1350" s="83" t="s">
        <v>1093</v>
      </c>
      <c r="E1350" s="84">
        <v>1349.0</v>
      </c>
      <c r="F1350" s="48"/>
    </row>
    <row r="1351" ht="15.75" customHeight="1">
      <c r="A1351" s="48" t="s">
        <v>3795</v>
      </c>
      <c r="B1351" s="48" t="s">
        <v>198</v>
      </c>
      <c r="C1351" s="104" t="s">
        <v>3796</v>
      </c>
      <c r="D1351" s="83" t="s">
        <v>3797</v>
      </c>
      <c r="E1351" s="84">
        <v>1350.0</v>
      </c>
      <c r="F1351" s="48"/>
    </row>
    <row r="1352" ht="15.75" customHeight="1">
      <c r="A1352" s="48" t="s">
        <v>3798</v>
      </c>
      <c r="B1352" s="48" t="s">
        <v>3799</v>
      </c>
      <c r="C1352" s="104" t="s">
        <v>3800</v>
      </c>
      <c r="D1352" s="83" t="s">
        <v>3797</v>
      </c>
      <c r="E1352" s="84">
        <v>1351.0</v>
      </c>
      <c r="F1352" s="48"/>
    </row>
    <row r="1353" ht="15.75" customHeight="1">
      <c r="A1353" s="48" t="s">
        <v>3801</v>
      </c>
      <c r="B1353" s="48" t="s">
        <v>3802</v>
      </c>
      <c r="C1353" s="104" t="s">
        <v>3803</v>
      </c>
      <c r="D1353" s="83" t="s">
        <v>3797</v>
      </c>
      <c r="E1353" s="84">
        <v>1352.0</v>
      </c>
      <c r="F1353" s="48"/>
    </row>
    <row r="1354" ht="15.75" customHeight="1">
      <c r="A1354" s="48" t="s">
        <v>3804</v>
      </c>
      <c r="B1354" s="48" t="s">
        <v>478</v>
      </c>
      <c r="C1354" s="39" t="s">
        <v>3805</v>
      </c>
      <c r="D1354" s="83" t="s">
        <v>3797</v>
      </c>
      <c r="E1354" s="84">
        <v>1353.0</v>
      </c>
      <c r="F1354" s="48"/>
    </row>
    <row r="1355" ht="15.75" customHeight="1">
      <c r="A1355" s="48" t="s">
        <v>3806</v>
      </c>
      <c r="B1355" s="48" t="s">
        <v>1798</v>
      </c>
      <c r="C1355" s="104" t="s">
        <v>3807</v>
      </c>
      <c r="D1355" s="83" t="s">
        <v>3797</v>
      </c>
      <c r="E1355" s="84">
        <v>1354.0</v>
      </c>
      <c r="F1355" s="48"/>
    </row>
    <row r="1356" ht="15.75" customHeight="1">
      <c r="A1356" s="48" t="s">
        <v>3808</v>
      </c>
      <c r="B1356" s="48" t="s">
        <v>3809</v>
      </c>
      <c r="C1356" s="104" t="s">
        <v>3810</v>
      </c>
      <c r="D1356" s="83" t="s">
        <v>3797</v>
      </c>
      <c r="E1356" s="84">
        <v>1355.0</v>
      </c>
      <c r="F1356" s="48"/>
    </row>
    <row r="1357" ht="15.75" customHeight="1">
      <c r="A1357" s="48" t="s">
        <v>832</v>
      </c>
      <c r="B1357" s="48" t="s">
        <v>198</v>
      </c>
      <c r="C1357" s="104" t="s">
        <v>833</v>
      </c>
      <c r="D1357" s="83" t="s">
        <v>834</v>
      </c>
      <c r="E1357" s="84">
        <v>1356.0</v>
      </c>
      <c r="F1357" s="48"/>
    </row>
    <row r="1358" ht="15.75" customHeight="1">
      <c r="A1358" s="48" t="s">
        <v>835</v>
      </c>
      <c r="B1358" s="48" t="s">
        <v>836</v>
      </c>
      <c r="C1358" s="104" t="s">
        <v>837</v>
      </c>
      <c r="D1358" s="83" t="s">
        <v>834</v>
      </c>
      <c r="E1358" s="84">
        <v>1357.0</v>
      </c>
      <c r="F1358" s="48"/>
    </row>
    <row r="1359" ht="15.75" customHeight="1">
      <c r="A1359" s="48" t="s">
        <v>838</v>
      </c>
      <c r="B1359" s="48" t="s">
        <v>839</v>
      </c>
      <c r="C1359" s="104" t="s">
        <v>840</v>
      </c>
      <c r="D1359" s="83" t="s">
        <v>834</v>
      </c>
      <c r="E1359" s="84">
        <v>1358.0</v>
      </c>
      <c r="F1359" s="48"/>
    </row>
    <row r="1360" ht="15.75" customHeight="1">
      <c r="A1360" s="48" t="s">
        <v>841</v>
      </c>
      <c r="B1360" s="48" t="s">
        <v>198</v>
      </c>
      <c r="C1360" s="104" t="s">
        <v>842</v>
      </c>
      <c r="D1360" s="83" t="s">
        <v>834</v>
      </c>
      <c r="E1360" s="84">
        <v>1359.0</v>
      </c>
      <c r="F1360" s="48"/>
    </row>
    <row r="1361" ht="15.75" customHeight="1">
      <c r="A1361" s="48" t="s">
        <v>843</v>
      </c>
      <c r="B1361" s="48" t="s">
        <v>198</v>
      </c>
      <c r="C1361" s="104" t="s">
        <v>844</v>
      </c>
      <c r="D1361" s="83" t="s">
        <v>834</v>
      </c>
      <c r="E1361" s="84">
        <v>1360.0</v>
      </c>
      <c r="F1361" s="48"/>
    </row>
    <row r="1362" ht="15.75" customHeight="1">
      <c r="A1362" s="48" t="s">
        <v>845</v>
      </c>
      <c r="B1362" s="48" t="s">
        <v>198</v>
      </c>
      <c r="C1362" s="104" t="s">
        <v>846</v>
      </c>
      <c r="D1362" s="83" t="s">
        <v>834</v>
      </c>
      <c r="E1362" s="84">
        <v>1361.0</v>
      </c>
      <c r="F1362" s="48"/>
    </row>
    <row r="1363" ht="15.75" customHeight="1">
      <c r="A1363" s="48" t="s">
        <v>847</v>
      </c>
      <c r="B1363" s="48" t="s">
        <v>848</v>
      </c>
      <c r="C1363" s="104" t="s">
        <v>849</v>
      </c>
      <c r="D1363" s="83" t="s">
        <v>834</v>
      </c>
      <c r="E1363" s="84">
        <v>1362.0</v>
      </c>
      <c r="F1363" s="48"/>
    </row>
    <row r="1364" ht="15.75" customHeight="1">
      <c r="A1364" s="48" t="s">
        <v>850</v>
      </c>
      <c r="B1364" s="48" t="s">
        <v>851</v>
      </c>
      <c r="C1364" s="101" t="s">
        <v>198</v>
      </c>
      <c r="D1364" s="83" t="s">
        <v>834</v>
      </c>
      <c r="E1364" s="84">
        <v>1363.0</v>
      </c>
      <c r="F1364" s="48"/>
    </row>
    <row r="1365" ht="15.75" customHeight="1">
      <c r="A1365" s="48" t="s">
        <v>852</v>
      </c>
      <c r="B1365" s="48" t="s">
        <v>853</v>
      </c>
      <c r="C1365" s="104" t="s">
        <v>854</v>
      </c>
      <c r="D1365" s="83" t="s">
        <v>834</v>
      </c>
      <c r="E1365" s="84">
        <v>1364.0</v>
      </c>
      <c r="F1365" s="48"/>
    </row>
    <row r="1366" ht="15.75" customHeight="1">
      <c r="A1366" s="48" t="s">
        <v>855</v>
      </c>
      <c r="B1366" s="48" t="s">
        <v>198</v>
      </c>
      <c r="C1366" s="104" t="s">
        <v>856</v>
      </c>
      <c r="D1366" s="83" t="s">
        <v>834</v>
      </c>
      <c r="E1366" s="84">
        <v>1365.0</v>
      </c>
      <c r="F1366" s="48"/>
    </row>
    <row r="1367" ht="15.75" customHeight="1">
      <c r="A1367" s="48" t="s">
        <v>3811</v>
      </c>
      <c r="B1367" s="48" t="s">
        <v>3812</v>
      </c>
      <c r="C1367" s="101" t="s">
        <v>198</v>
      </c>
      <c r="D1367" s="83" t="s">
        <v>3813</v>
      </c>
      <c r="E1367" s="84">
        <v>1366.0</v>
      </c>
      <c r="F1367" s="48"/>
    </row>
    <row r="1368" ht="15.75" customHeight="1">
      <c r="A1368" s="48" t="s">
        <v>3814</v>
      </c>
      <c r="B1368" s="48" t="s">
        <v>198</v>
      </c>
      <c r="C1368" s="104" t="s">
        <v>3815</v>
      </c>
      <c r="D1368" s="83" t="s">
        <v>3816</v>
      </c>
      <c r="E1368" s="84">
        <v>1367.0</v>
      </c>
      <c r="F1368" s="48"/>
    </row>
    <row r="1369" ht="15.75" customHeight="1">
      <c r="A1369" s="48" t="s">
        <v>3817</v>
      </c>
      <c r="B1369" s="48" t="s">
        <v>717</v>
      </c>
      <c r="C1369" s="104" t="s">
        <v>3818</v>
      </c>
      <c r="D1369" s="83" t="s">
        <v>888</v>
      </c>
      <c r="E1369" s="84">
        <v>1368.0</v>
      </c>
      <c r="F1369" s="48"/>
    </row>
    <row r="1370" ht="15.75" customHeight="1">
      <c r="A1370" s="48" t="s">
        <v>3819</v>
      </c>
      <c r="B1370" s="48" t="s">
        <v>198</v>
      </c>
      <c r="C1370" s="104" t="s">
        <v>3820</v>
      </c>
      <c r="D1370" s="83" t="s">
        <v>888</v>
      </c>
      <c r="E1370" s="84">
        <v>1369.0</v>
      </c>
      <c r="F1370" s="48"/>
    </row>
    <row r="1371" ht="15.75" customHeight="1">
      <c r="A1371" s="48" t="s">
        <v>3821</v>
      </c>
      <c r="B1371" s="48" t="s">
        <v>717</v>
      </c>
      <c r="C1371" s="104" t="s">
        <v>3822</v>
      </c>
      <c r="D1371" s="83" t="s">
        <v>888</v>
      </c>
      <c r="E1371" s="84">
        <v>1370.0</v>
      </c>
      <c r="F1371" s="48"/>
    </row>
    <row r="1372" ht="15.75" customHeight="1">
      <c r="A1372" s="48" t="s">
        <v>3823</v>
      </c>
      <c r="B1372" s="48" t="s">
        <v>717</v>
      </c>
      <c r="C1372" s="104" t="s">
        <v>3824</v>
      </c>
      <c r="D1372" s="83" t="s">
        <v>888</v>
      </c>
      <c r="E1372" s="84">
        <v>1371.0</v>
      </c>
      <c r="F1372" s="48"/>
    </row>
    <row r="1373" ht="15.75" customHeight="1">
      <c r="A1373" s="48" t="s">
        <v>3825</v>
      </c>
      <c r="B1373" s="48" t="s">
        <v>198</v>
      </c>
      <c r="C1373" s="104" t="s">
        <v>3826</v>
      </c>
      <c r="D1373" s="83" t="s">
        <v>888</v>
      </c>
      <c r="E1373" s="84">
        <v>1372.0</v>
      </c>
      <c r="F1373" s="48"/>
    </row>
    <row r="1374" ht="15.75" customHeight="1">
      <c r="A1374" s="48" t="s">
        <v>3827</v>
      </c>
      <c r="B1374" s="48" t="s">
        <v>198</v>
      </c>
      <c r="C1374" s="104" t="s">
        <v>3828</v>
      </c>
      <c r="D1374" s="83" t="s">
        <v>888</v>
      </c>
      <c r="E1374" s="84">
        <v>1373.0</v>
      </c>
      <c r="F1374" s="48"/>
    </row>
    <row r="1375" ht="15.75" customHeight="1">
      <c r="A1375" s="48" t="s">
        <v>418</v>
      </c>
      <c r="B1375" s="48" t="s">
        <v>419</v>
      </c>
      <c r="C1375" s="104" t="s">
        <v>420</v>
      </c>
      <c r="D1375" s="83" t="s">
        <v>421</v>
      </c>
      <c r="E1375" s="84">
        <v>1374.0</v>
      </c>
      <c r="F1375" s="48"/>
    </row>
    <row r="1376" ht="15.75" customHeight="1">
      <c r="A1376" s="48" t="s">
        <v>606</v>
      </c>
      <c r="B1376" s="48" t="s">
        <v>139</v>
      </c>
      <c r="C1376" s="104" t="s">
        <v>607</v>
      </c>
      <c r="D1376" s="83" t="s">
        <v>923</v>
      </c>
      <c r="E1376" s="84">
        <v>1375.0</v>
      </c>
      <c r="F1376" s="48"/>
    </row>
    <row r="1377" ht="15.75" customHeight="1">
      <c r="A1377" s="36" t="s">
        <v>609</v>
      </c>
      <c r="B1377" s="48" t="s">
        <v>610</v>
      </c>
      <c r="C1377" s="39" t="s">
        <v>607</v>
      </c>
      <c r="D1377" s="83" t="s">
        <v>923</v>
      </c>
      <c r="E1377" s="84">
        <v>1376.0</v>
      </c>
      <c r="F1377" s="48"/>
    </row>
    <row r="1378" ht="15.75" customHeight="1">
      <c r="A1378" s="48" t="s">
        <v>611</v>
      </c>
      <c r="B1378" s="48" t="s">
        <v>612</v>
      </c>
      <c r="C1378" s="101" t="s">
        <v>198</v>
      </c>
      <c r="D1378" s="83" t="s">
        <v>923</v>
      </c>
      <c r="E1378" s="84">
        <v>1377.0</v>
      </c>
      <c r="F1378" s="48"/>
    </row>
    <row r="1379" ht="15.75" customHeight="1">
      <c r="A1379" s="48" t="s">
        <v>613</v>
      </c>
      <c r="B1379" s="48" t="s">
        <v>198</v>
      </c>
      <c r="C1379" s="104" t="s">
        <v>614</v>
      </c>
      <c r="D1379" s="83" t="s">
        <v>923</v>
      </c>
      <c r="E1379" s="84">
        <v>1378.0</v>
      </c>
      <c r="F1379" s="48"/>
    </row>
    <row r="1380" ht="15.75" customHeight="1">
      <c r="A1380" s="48" t="s">
        <v>615</v>
      </c>
      <c r="B1380" s="48" t="s">
        <v>198</v>
      </c>
      <c r="C1380" s="104" t="s">
        <v>616</v>
      </c>
      <c r="D1380" s="83" t="s">
        <v>923</v>
      </c>
      <c r="E1380" s="84">
        <v>1379.0</v>
      </c>
      <c r="F1380" s="48"/>
    </row>
    <row r="1381" ht="15.75" customHeight="1">
      <c r="A1381" s="48" t="s">
        <v>617</v>
      </c>
      <c r="B1381" s="48" t="s">
        <v>618</v>
      </c>
      <c r="C1381" s="104" t="s">
        <v>616</v>
      </c>
      <c r="D1381" s="83" t="s">
        <v>923</v>
      </c>
      <c r="E1381" s="84">
        <v>1380.0</v>
      </c>
      <c r="F1381" s="48"/>
    </row>
    <row r="1382" ht="15.75" customHeight="1">
      <c r="A1382" s="48" t="s">
        <v>620</v>
      </c>
      <c r="B1382" s="48" t="s">
        <v>621</v>
      </c>
      <c r="C1382" s="104" t="s">
        <v>622</v>
      </c>
      <c r="D1382" s="83" t="s">
        <v>923</v>
      </c>
      <c r="E1382" s="84">
        <v>1381.0</v>
      </c>
      <c r="F1382" s="48"/>
    </row>
    <row r="1383" ht="15.75" customHeight="1">
      <c r="A1383" s="48" t="s">
        <v>623</v>
      </c>
      <c r="B1383" s="48" t="s">
        <v>624</v>
      </c>
      <c r="C1383" s="104" t="s">
        <v>625</v>
      </c>
      <c r="D1383" s="83" t="s">
        <v>923</v>
      </c>
      <c r="E1383" s="84">
        <v>1382.0</v>
      </c>
      <c r="F1383" s="48"/>
    </row>
    <row r="1384" ht="15.75" customHeight="1">
      <c r="A1384" s="48" t="s">
        <v>626</v>
      </c>
      <c r="B1384" s="48" t="s">
        <v>627</v>
      </c>
      <c r="C1384" s="104" t="s">
        <v>628</v>
      </c>
      <c r="D1384" s="83" t="s">
        <v>923</v>
      </c>
      <c r="E1384" s="84">
        <v>1383.0</v>
      </c>
      <c r="F1384" s="48"/>
    </row>
    <row r="1385" ht="15.75" customHeight="1">
      <c r="A1385" s="48" t="s">
        <v>629</v>
      </c>
      <c r="B1385" s="48" t="s">
        <v>630</v>
      </c>
      <c r="C1385" s="104" t="s">
        <v>631</v>
      </c>
      <c r="D1385" s="83" t="s">
        <v>923</v>
      </c>
      <c r="E1385" s="84">
        <v>1384.0</v>
      </c>
      <c r="F1385" s="48"/>
    </row>
    <row r="1386" ht="15.75" customHeight="1">
      <c r="A1386" s="48" t="s">
        <v>632</v>
      </c>
      <c r="B1386" s="48" t="s">
        <v>633</v>
      </c>
      <c r="C1386" s="101" t="s">
        <v>198</v>
      </c>
      <c r="D1386" s="83" t="s">
        <v>923</v>
      </c>
      <c r="E1386" s="84">
        <v>1385.0</v>
      </c>
      <c r="F1386" s="48"/>
    </row>
    <row r="1387" ht="15.75" customHeight="1">
      <c r="A1387" s="48" t="s">
        <v>634</v>
      </c>
      <c r="B1387" s="48" t="s">
        <v>635</v>
      </c>
      <c r="C1387" s="101" t="s">
        <v>198</v>
      </c>
      <c r="D1387" s="83" t="s">
        <v>923</v>
      </c>
      <c r="E1387" s="84">
        <v>1386.0</v>
      </c>
      <c r="F1387" s="48"/>
    </row>
    <row r="1388" ht="15.75" customHeight="1">
      <c r="A1388" s="48" t="s">
        <v>636</v>
      </c>
      <c r="B1388" s="48" t="s">
        <v>637</v>
      </c>
      <c r="C1388" s="104" t="s">
        <v>631</v>
      </c>
      <c r="D1388" s="83" t="s">
        <v>923</v>
      </c>
      <c r="E1388" s="84">
        <v>1387.0</v>
      </c>
      <c r="F1388" s="48"/>
    </row>
    <row r="1389" ht="15.75" customHeight="1">
      <c r="A1389" s="48" t="s">
        <v>638</v>
      </c>
      <c r="B1389" s="48" t="s">
        <v>639</v>
      </c>
      <c r="C1389" s="104" t="s">
        <v>640</v>
      </c>
      <c r="D1389" s="83" t="s">
        <v>923</v>
      </c>
      <c r="E1389" s="84">
        <v>1388.0</v>
      </c>
      <c r="F1389" s="48"/>
    </row>
    <row r="1390" ht="15.75" customHeight="1">
      <c r="A1390" s="48" t="s">
        <v>641</v>
      </c>
      <c r="B1390" s="36" t="s">
        <v>642</v>
      </c>
      <c r="C1390" s="101" t="s">
        <v>198</v>
      </c>
      <c r="D1390" s="83" t="s">
        <v>923</v>
      </c>
      <c r="E1390" s="84">
        <v>1389.0</v>
      </c>
      <c r="F1390" s="48"/>
    </row>
    <row r="1391" ht="15.75" customHeight="1">
      <c r="A1391" s="48" t="s">
        <v>643</v>
      </c>
      <c r="B1391" s="48" t="s">
        <v>644</v>
      </c>
      <c r="C1391" s="104" t="s">
        <v>645</v>
      </c>
      <c r="D1391" s="83" t="s">
        <v>923</v>
      </c>
      <c r="E1391" s="84">
        <v>1390.0</v>
      </c>
      <c r="F1391" s="48"/>
    </row>
    <row r="1392" ht="15.75" customHeight="1">
      <c r="A1392" s="48" t="s">
        <v>646</v>
      </c>
      <c r="B1392" s="48" t="s">
        <v>647</v>
      </c>
      <c r="C1392" s="104" t="s">
        <v>648</v>
      </c>
      <c r="D1392" s="83" t="s">
        <v>923</v>
      </c>
      <c r="E1392" s="84">
        <v>1391.0</v>
      </c>
      <c r="F1392" s="48"/>
    </row>
    <row r="1393" ht="15.75" customHeight="1">
      <c r="A1393" s="48" t="s">
        <v>3829</v>
      </c>
      <c r="B1393" s="48"/>
      <c r="C1393" s="62" t="s">
        <v>1565</v>
      </c>
      <c r="D1393" s="83" t="s">
        <v>930</v>
      </c>
      <c r="E1393" s="84">
        <v>1392.0</v>
      </c>
      <c r="F1393" s="48"/>
    </row>
    <row r="1394" ht="15.75" customHeight="1">
      <c r="A1394" s="48" t="s">
        <v>3830</v>
      </c>
      <c r="B1394" s="48" t="s">
        <v>3831</v>
      </c>
      <c r="C1394" s="105" t="s">
        <v>3832</v>
      </c>
      <c r="D1394" s="83" t="s">
        <v>930</v>
      </c>
      <c r="E1394" s="84">
        <v>1393.0</v>
      </c>
      <c r="F1394" s="48"/>
    </row>
    <row r="1395" ht="15.75" customHeight="1">
      <c r="A1395" s="48" t="s">
        <v>3833</v>
      </c>
      <c r="B1395" s="48" t="s">
        <v>3834</v>
      </c>
      <c r="C1395" s="101" t="s">
        <v>198</v>
      </c>
      <c r="D1395" s="83" t="s">
        <v>930</v>
      </c>
      <c r="E1395" s="84">
        <v>1394.0</v>
      </c>
      <c r="F1395" s="48"/>
    </row>
    <row r="1396" ht="15.75" customHeight="1">
      <c r="A1396" s="48" t="s">
        <v>3835</v>
      </c>
      <c r="B1396" s="48"/>
      <c r="C1396" s="62" t="s">
        <v>3836</v>
      </c>
      <c r="D1396" s="83" t="s">
        <v>930</v>
      </c>
      <c r="E1396" s="84">
        <v>1395.0</v>
      </c>
      <c r="F1396" s="48"/>
    </row>
    <row r="1397" ht="15.75" customHeight="1">
      <c r="A1397" s="48" t="s">
        <v>3837</v>
      </c>
      <c r="B1397" s="48"/>
      <c r="C1397" s="62" t="s">
        <v>3838</v>
      </c>
      <c r="D1397" s="83" t="s">
        <v>930</v>
      </c>
      <c r="E1397" s="84">
        <v>1396.0</v>
      </c>
      <c r="F1397" s="48"/>
    </row>
    <row r="1398" ht="15.75" customHeight="1">
      <c r="A1398" s="48" t="s">
        <v>3839</v>
      </c>
      <c r="B1398" s="48"/>
      <c r="C1398" s="62" t="s">
        <v>3840</v>
      </c>
      <c r="D1398" s="83" t="s">
        <v>930</v>
      </c>
      <c r="E1398" s="84">
        <v>1397.0</v>
      </c>
      <c r="F1398" s="48"/>
    </row>
    <row r="1399" ht="15.75" customHeight="1">
      <c r="A1399" s="48" t="s">
        <v>3841</v>
      </c>
      <c r="B1399" s="48"/>
      <c r="C1399" s="62" t="s">
        <v>3842</v>
      </c>
      <c r="D1399" s="83" t="s">
        <v>930</v>
      </c>
      <c r="E1399" s="84">
        <v>1398.0</v>
      </c>
      <c r="F1399" s="48"/>
    </row>
    <row r="1400" ht="15.75" customHeight="1">
      <c r="A1400" s="48" t="s">
        <v>3843</v>
      </c>
      <c r="B1400" s="48" t="s">
        <v>3844</v>
      </c>
      <c r="C1400" s="105" t="s">
        <v>1501</v>
      </c>
      <c r="D1400" s="83" t="s">
        <v>930</v>
      </c>
      <c r="E1400" s="84">
        <v>1399.0</v>
      </c>
      <c r="F1400" s="48"/>
    </row>
    <row r="1401" ht="15.75" customHeight="1">
      <c r="A1401" s="48" t="s">
        <v>3845</v>
      </c>
      <c r="B1401" s="48"/>
      <c r="C1401" s="62" t="s">
        <v>3846</v>
      </c>
      <c r="D1401" s="83" t="s">
        <v>930</v>
      </c>
      <c r="E1401" s="84">
        <v>1400.0</v>
      </c>
      <c r="F1401" s="48"/>
    </row>
    <row r="1402" ht="15.75" customHeight="1">
      <c r="A1402" s="48" t="s">
        <v>3847</v>
      </c>
      <c r="B1402" s="48"/>
      <c r="C1402" s="62" t="s">
        <v>3848</v>
      </c>
      <c r="D1402" s="83" t="s">
        <v>930</v>
      </c>
      <c r="E1402" s="84">
        <v>1401.0</v>
      </c>
      <c r="F1402" s="48"/>
    </row>
    <row r="1403" ht="15.75" customHeight="1">
      <c r="A1403" s="48" t="s">
        <v>3849</v>
      </c>
      <c r="B1403" s="48" t="s">
        <v>3850</v>
      </c>
      <c r="C1403" s="105" t="s">
        <v>3851</v>
      </c>
      <c r="D1403" s="83" t="s">
        <v>930</v>
      </c>
      <c r="E1403" s="84">
        <v>1402.0</v>
      </c>
      <c r="F1403" s="48"/>
    </row>
    <row r="1404" ht="15.75" customHeight="1">
      <c r="A1404" s="48" t="s">
        <v>3852</v>
      </c>
      <c r="B1404" s="48"/>
      <c r="C1404" s="62" t="s">
        <v>3853</v>
      </c>
      <c r="D1404" s="83" t="s">
        <v>930</v>
      </c>
      <c r="E1404" s="84">
        <v>1403.0</v>
      </c>
      <c r="F1404" s="48"/>
    </row>
    <row r="1405" ht="15.75" customHeight="1">
      <c r="A1405" s="48" t="s">
        <v>3854</v>
      </c>
      <c r="B1405" s="48"/>
      <c r="C1405" s="62" t="s">
        <v>3855</v>
      </c>
      <c r="D1405" s="83" t="s">
        <v>930</v>
      </c>
      <c r="E1405" s="84">
        <v>1404.0</v>
      </c>
      <c r="F1405" s="48"/>
    </row>
    <row r="1406" ht="15.75" customHeight="1">
      <c r="A1406" s="48" t="s">
        <v>3856</v>
      </c>
      <c r="B1406" s="48" t="s">
        <v>3857</v>
      </c>
      <c r="C1406" s="105" t="s">
        <v>3858</v>
      </c>
      <c r="D1406" s="83" t="s">
        <v>930</v>
      </c>
      <c r="E1406" s="84">
        <v>1405.0</v>
      </c>
      <c r="F1406" s="48"/>
    </row>
    <row r="1407" ht="15.75" customHeight="1">
      <c r="A1407" s="48" t="s">
        <v>3859</v>
      </c>
      <c r="B1407" s="48" t="s">
        <v>3860</v>
      </c>
      <c r="C1407" s="104" t="s">
        <v>3861</v>
      </c>
      <c r="D1407" s="83" t="s">
        <v>930</v>
      </c>
      <c r="E1407" s="84">
        <v>1406.0</v>
      </c>
      <c r="F1407" s="48"/>
    </row>
    <row r="1408" ht="15.75" customHeight="1">
      <c r="A1408" s="48" t="s">
        <v>3862</v>
      </c>
      <c r="B1408" s="48" t="s">
        <v>3863</v>
      </c>
      <c r="C1408" s="48" t="s">
        <v>139</v>
      </c>
      <c r="D1408" s="83" t="s">
        <v>995</v>
      </c>
      <c r="E1408" s="84">
        <v>1407.0</v>
      </c>
      <c r="F1408" s="48"/>
    </row>
    <row r="1409" ht="15.75" customHeight="1">
      <c r="A1409" s="48" t="s">
        <v>3864</v>
      </c>
      <c r="B1409" s="48" t="s">
        <v>139</v>
      </c>
      <c r="C1409" s="62" t="s">
        <v>3865</v>
      </c>
      <c r="D1409" s="83" t="s">
        <v>995</v>
      </c>
      <c r="E1409" s="84">
        <v>1408.0</v>
      </c>
      <c r="F1409" s="48"/>
    </row>
    <row r="1410" ht="15.75" customHeight="1">
      <c r="A1410" s="48" t="s">
        <v>3866</v>
      </c>
      <c r="B1410" s="48" t="s">
        <v>3867</v>
      </c>
      <c r="C1410" s="62" t="s">
        <v>3868</v>
      </c>
      <c r="D1410" s="83" t="s">
        <v>995</v>
      </c>
      <c r="E1410" s="84">
        <v>1409.0</v>
      </c>
      <c r="F1410" s="48"/>
    </row>
    <row r="1411" ht="15.75" customHeight="1">
      <c r="A1411" s="48" t="s">
        <v>3869</v>
      </c>
      <c r="B1411" s="48" t="s">
        <v>3870</v>
      </c>
      <c r="C1411" s="62" t="s">
        <v>3871</v>
      </c>
      <c r="D1411" s="83" t="s">
        <v>995</v>
      </c>
      <c r="E1411" s="84">
        <v>1410.0</v>
      </c>
      <c r="F1411" s="48"/>
    </row>
    <row r="1412" ht="15.75" customHeight="1">
      <c r="A1412" s="48" t="s">
        <v>3872</v>
      </c>
      <c r="B1412" s="48" t="s">
        <v>3873</v>
      </c>
      <c r="C1412" s="62" t="s">
        <v>3874</v>
      </c>
      <c r="D1412" s="83" t="s">
        <v>995</v>
      </c>
      <c r="E1412" s="84">
        <v>1411.0</v>
      </c>
      <c r="F1412" s="48"/>
    </row>
    <row r="1413" ht="15.75" customHeight="1">
      <c r="A1413" s="48" t="s">
        <v>3875</v>
      </c>
      <c r="B1413" s="48" t="s">
        <v>3876</v>
      </c>
      <c r="C1413" s="62" t="s">
        <v>3877</v>
      </c>
      <c r="D1413" s="83" t="s">
        <v>995</v>
      </c>
      <c r="E1413" s="84">
        <v>1412.0</v>
      </c>
      <c r="F1413" s="48"/>
    </row>
    <row r="1414" ht="15.75" customHeight="1">
      <c r="A1414" s="48" t="s">
        <v>3878</v>
      </c>
      <c r="B1414" s="48" t="s">
        <v>3879</v>
      </c>
      <c r="C1414" s="62" t="s">
        <v>3880</v>
      </c>
      <c r="D1414" s="83" t="s">
        <v>995</v>
      </c>
      <c r="E1414" s="84">
        <v>1413.0</v>
      </c>
      <c r="F1414" s="48"/>
    </row>
    <row r="1415" ht="15.75" customHeight="1">
      <c r="A1415" s="48" t="s">
        <v>3881</v>
      </c>
      <c r="B1415" s="48" t="s">
        <v>3882</v>
      </c>
      <c r="C1415" s="48" t="s">
        <v>198</v>
      </c>
      <c r="D1415" s="83" t="s">
        <v>995</v>
      </c>
      <c r="E1415" s="84">
        <v>1414.0</v>
      </c>
      <c r="F1415" s="48"/>
    </row>
    <row r="1416" ht="15.75" customHeight="1">
      <c r="A1416" s="48" t="s">
        <v>3883</v>
      </c>
      <c r="B1416" s="48" t="s">
        <v>198</v>
      </c>
      <c r="C1416" s="104" t="s">
        <v>3884</v>
      </c>
      <c r="D1416" s="83" t="s">
        <v>995</v>
      </c>
      <c r="E1416" s="84">
        <v>1415.0</v>
      </c>
      <c r="F1416" s="48"/>
    </row>
    <row r="1417" ht="15.75" customHeight="1">
      <c r="A1417" s="48" t="s">
        <v>3885</v>
      </c>
      <c r="B1417" s="48" t="s">
        <v>3886</v>
      </c>
      <c r="C1417" s="101" t="s">
        <v>139</v>
      </c>
      <c r="D1417" s="83" t="s">
        <v>995</v>
      </c>
      <c r="E1417" s="84">
        <v>1416.0</v>
      </c>
      <c r="F1417" s="48"/>
    </row>
    <row r="1418" ht="15.75" customHeight="1">
      <c r="A1418" s="48" t="s">
        <v>661</v>
      </c>
      <c r="B1418" s="48" t="s">
        <v>3887</v>
      </c>
      <c r="C1418" s="104" t="s">
        <v>3888</v>
      </c>
      <c r="D1418" s="83" t="s">
        <v>652</v>
      </c>
      <c r="E1418" s="84">
        <v>1417.0</v>
      </c>
      <c r="F1418" s="48"/>
    </row>
    <row r="1419" ht="15.75" customHeight="1">
      <c r="A1419" s="48" t="s">
        <v>828</v>
      </c>
      <c r="B1419" s="48" t="s">
        <v>829</v>
      </c>
      <c r="C1419" s="104" t="s">
        <v>830</v>
      </c>
      <c r="D1419" s="83" t="s">
        <v>831</v>
      </c>
      <c r="E1419" s="84"/>
      <c r="F1419" s="48"/>
    </row>
    <row r="1420" ht="15.75" customHeight="1">
      <c r="A1420" s="48" t="s">
        <v>3889</v>
      </c>
      <c r="B1420" s="48" t="s">
        <v>3890</v>
      </c>
      <c r="C1420" s="101"/>
      <c r="D1420" s="83" t="s">
        <v>1033</v>
      </c>
      <c r="E1420" s="84">
        <v>1418.0</v>
      </c>
      <c r="F1420" s="48"/>
    </row>
    <row r="1421" ht="15.75" customHeight="1">
      <c r="A1421" s="48" t="s">
        <v>3891</v>
      </c>
      <c r="B1421" s="48" t="s">
        <v>3384</v>
      </c>
      <c r="C1421" s="104" t="s">
        <v>3892</v>
      </c>
      <c r="D1421" s="83" t="s">
        <v>1033</v>
      </c>
      <c r="E1421" s="84">
        <v>1419.0</v>
      </c>
      <c r="F1421" s="48"/>
    </row>
    <row r="1422" ht="15.75" customHeight="1">
      <c r="A1422" s="48" t="s">
        <v>3893</v>
      </c>
      <c r="B1422" s="48" t="s">
        <v>3894</v>
      </c>
      <c r="C1422" s="101"/>
      <c r="D1422" s="83" t="s">
        <v>1444</v>
      </c>
      <c r="E1422" s="84">
        <v>1420.0</v>
      </c>
      <c r="F1422" s="48"/>
    </row>
    <row r="1423" ht="15.75" customHeight="1">
      <c r="A1423" s="48" t="s">
        <v>3895</v>
      </c>
      <c r="B1423" s="48" t="s">
        <v>3896</v>
      </c>
      <c r="C1423" s="101"/>
      <c r="D1423" s="83" t="s">
        <v>1444</v>
      </c>
      <c r="E1423" s="84">
        <v>1421.0</v>
      </c>
      <c r="F1423" s="48"/>
    </row>
    <row r="1424" ht="15.75" customHeight="1">
      <c r="A1424" s="48" t="s">
        <v>3897</v>
      </c>
      <c r="B1424" s="48" t="s">
        <v>3898</v>
      </c>
      <c r="C1424" s="101"/>
      <c r="D1424" s="83" t="s">
        <v>1444</v>
      </c>
      <c r="E1424" s="84">
        <v>1422.0</v>
      </c>
      <c r="F1424" s="48"/>
    </row>
    <row r="1425" ht="15.75" customHeight="1">
      <c r="A1425" s="48" t="s">
        <v>3899</v>
      </c>
      <c r="B1425" s="48" t="s">
        <v>3900</v>
      </c>
      <c r="C1425" s="104" t="s">
        <v>3901</v>
      </c>
      <c r="D1425" s="83" t="s">
        <v>1444</v>
      </c>
      <c r="E1425" s="84">
        <v>1423.0</v>
      </c>
      <c r="F1425" s="48"/>
    </row>
    <row r="1426" ht="15.75" customHeight="1">
      <c r="A1426" s="48" t="s">
        <v>3902</v>
      </c>
      <c r="B1426" s="48" t="s">
        <v>3903</v>
      </c>
      <c r="C1426" s="104" t="s">
        <v>3904</v>
      </c>
      <c r="D1426" s="83" t="s">
        <v>1444</v>
      </c>
      <c r="E1426" s="84">
        <v>1424.0</v>
      </c>
      <c r="F1426" s="48"/>
    </row>
    <row r="1427" ht="15.75" customHeight="1">
      <c r="A1427" s="48" t="s">
        <v>3905</v>
      </c>
      <c r="B1427" s="48" t="s">
        <v>3906</v>
      </c>
      <c r="C1427" s="104" t="s">
        <v>3907</v>
      </c>
      <c r="D1427" s="83" t="s">
        <v>1444</v>
      </c>
      <c r="E1427" s="84">
        <v>1425.0</v>
      </c>
      <c r="F1427" s="48"/>
    </row>
    <row r="1428" ht="15.75" customHeight="1">
      <c r="A1428" s="48" t="s">
        <v>2970</v>
      </c>
      <c r="B1428" s="48" t="s">
        <v>3908</v>
      </c>
      <c r="C1428" s="101"/>
      <c r="D1428" s="83" t="s">
        <v>1444</v>
      </c>
      <c r="E1428" s="84">
        <v>1426.0</v>
      </c>
      <c r="F1428" s="48"/>
    </row>
    <row r="1429" ht="15.75" customHeight="1">
      <c r="A1429" s="48" t="s">
        <v>3909</v>
      </c>
      <c r="B1429" s="48" t="s">
        <v>3910</v>
      </c>
      <c r="C1429" s="104" t="s">
        <v>3911</v>
      </c>
      <c r="D1429" s="83" t="s">
        <v>1444</v>
      </c>
      <c r="E1429" s="84">
        <v>1427.0</v>
      </c>
      <c r="F1429" s="48"/>
    </row>
    <row r="1430" ht="15.75" customHeight="1">
      <c r="A1430" s="48" t="s">
        <v>3912</v>
      </c>
      <c r="B1430" s="48" t="s">
        <v>3913</v>
      </c>
      <c r="C1430" s="104" t="s">
        <v>3914</v>
      </c>
      <c r="D1430" s="83" t="s">
        <v>1444</v>
      </c>
      <c r="E1430" s="84">
        <v>1428.0</v>
      </c>
      <c r="F1430" s="48"/>
    </row>
    <row r="1431" ht="15.75" customHeight="1">
      <c r="A1431" s="48" t="s">
        <v>3915</v>
      </c>
      <c r="B1431" s="48" t="s">
        <v>3916</v>
      </c>
      <c r="C1431" s="101"/>
      <c r="D1431" s="83" t="s">
        <v>1444</v>
      </c>
      <c r="E1431" s="84">
        <v>1429.0</v>
      </c>
      <c r="F1431" s="48"/>
    </row>
    <row r="1432" ht="15.75" customHeight="1">
      <c r="A1432" s="48" t="s">
        <v>3917</v>
      </c>
      <c r="B1432" s="48" t="s">
        <v>3918</v>
      </c>
      <c r="C1432" s="104" t="s">
        <v>3919</v>
      </c>
      <c r="D1432" s="83" t="s">
        <v>1444</v>
      </c>
      <c r="E1432" s="84">
        <v>1430.0</v>
      </c>
      <c r="F1432" s="48"/>
    </row>
    <row r="1433" ht="15.75" customHeight="1">
      <c r="A1433" s="48" t="s">
        <v>3920</v>
      </c>
      <c r="B1433" s="48" t="s">
        <v>3921</v>
      </c>
      <c r="C1433" s="104" t="s">
        <v>3922</v>
      </c>
      <c r="D1433" s="83" t="s">
        <v>1444</v>
      </c>
      <c r="E1433" s="84">
        <v>1431.0</v>
      </c>
      <c r="F1433" s="48"/>
    </row>
    <row r="1434" ht="15.75" customHeight="1">
      <c r="A1434" s="48" t="s">
        <v>3923</v>
      </c>
      <c r="B1434" s="48" t="s">
        <v>3924</v>
      </c>
      <c r="C1434" s="104" t="s">
        <v>3925</v>
      </c>
      <c r="D1434" s="83" t="s">
        <v>1444</v>
      </c>
      <c r="E1434" s="84">
        <v>1432.0</v>
      </c>
      <c r="F1434" s="48"/>
    </row>
    <row r="1435" ht="15.75" customHeight="1">
      <c r="A1435" s="48" t="s">
        <v>3926</v>
      </c>
      <c r="B1435" s="48" t="s">
        <v>198</v>
      </c>
      <c r="C1435" s="104" t="s">
        <v>3927</v>
      </c>
      <c r="D1435" s="83" t="s">
        <v>1444</v>
      </c>
      <c r="E1435" s="84">
        <v>1433.0</v>
      </c>
      <c r="F1435" s="48"/>
    </row>
    <row r="1436" ht="15.75" customHeight="1">
      <c r="A1436" s="48" t="s">
        <v>3928</v>
      </c>
      <c r="B1436" s="48" t="s">
        <v>3929</v>
      </c>
      <c r="C1436" s="62" t="s">
        <v>3930</v>
      </c>
      <c r="D1436" s="83" t="s">
        <v>927</v>
      </c>
      <c r="E1436" s="84">
        <v>1434.0</v>
      </c>
      <c r="F1436" s="48"/>
    </row>
    <row r="1437" ht="15.75" customHeight="1">
      <c r="A1437" s="48" t="s">
        <v>3931</v>
      </c>
      <c r="B1437" s="48" t="s">
        <v>3932</v>
      </c>
      <c r="C1437" s="62" t="s">
        <v>3933</v>
      </c>
      <c r="D1437" s="83" t="s">
        <v>927</v>
      </c>
      <c r="E1437" s="84">
        <v>1435.0</v>
      </c>
      <c r="F1437" s="48"/>
    </row>
    <row r="1438" ht="15.75" customHeight="1">
      <c r="A1438" s="48" t="s">
        <v>3934</v>
      </c>
      <c r="B1438" s="48" t="s">
        <v>3935</v>
      </c>
      <c r="C1438" s="62" t="s">
        <v>3936</v>
      </c>
      <c r="D1438" s="83" t="s">
        <v>927</v>
      </c>
      <c r="E1438" s="84">
        <v>1436.0</v>
      </c>
      <c r="F1438" s="48"/>
    </row>
    <row r="1439" ht="15.75" customHeight="1">
      <c r="A1439" s="48" t="s">
        <v>3937</v>
      </c>
      <c r="B1439" s="48" t="s">
        <v>3938</v>
      </c>
      <c r="C1439" s="62" t="s">
        <v>3939</v>
      </c>
      <c r="D1439" s="83" t="s">
        <v>927</v>
      </c>
      <c r="E1439" s="84">
        <v>1437.0</v>
      </c>
      <c r="F1439" s="48"/>
    </row>
    <row r="1440" ht="15.75" customHeight="1">
      <c r="A1440" s="48" t="s">
        <v>3940</v>
      </c>
      <c r="B1440" s="48" t="s">
        <v>3941</v>
      </c>
      <c r="C1440" s="48" t="s">
        <v>139</v>
      </c>
      <c r="D1440" s="83" t="s">
        <v>927</v>
      </c>
      <c r="E1440" s="84">
        <v>1438.0</v>
      </c>
      <c r="F1440" s="48"/>
    </row>
    <row r="1441" ht="15.75" customHeight="1">
      <c r="A1441" s="48" t="s">
        <v>3942</v>
      </c>
      <c r="B1441" s="48" t="s">
        <v>3943</v>
      </c>
      <c r="C1441" s="39" t="s">
        <v>3944</v>
      </c>
      <c r="D1441" s="83" t="s">
        <v>927</v>
      </c>
      <c r="E1441" s="84">
        <v>1439.0</v>
      </c>
      <c r="F1441" s="48"/>
    </row>
    <row r="1442" ht="15.75" customHeight="1">
      <c r="A1442" s="48" t="s">
        <v>3945</v>
      </c>
      <c r="B1442" s="48" t="s">
        <v>3946</v>
      </c>
      <c r="C1442" s="62" t="s">
        <v>3947</v>
      </c>
      <c r="D1442" s="83" t="s">
        <v>927</v>
      </c>
      <c r="E1442" s="84">
        <v>1440.0</v>
      </c>
      <c r="F1442" s="48"/>
    </row>
    <row r="1443" ht="15.75" customHeight="1">
      <c r="A1443" s="48" t="s">
        <v>3948</v>
      </c>
      <c r="B1443" s="48" t="s">
        <v>3949</v>
      </c>
      <c r="C1443" s="48" t="s">
        <v>139</v>
      </c>
      <c r="D1443" s="83" t="s">
        <v>927</v>
      </c>
      <c r="E1443" s="84">
        <v>1441.0</v>
      </c>
      <c r="F1443" s="48"/>
    </row>
    <row r="1444" ht="15.75" customHeight="1">
      <c r="A1444" s="48" t="s">
        <v>3950</v>
      </c>
      <c r="B1444" s="48" t="s">
        <v>3951</v>
      </c>
      <c r="C1444" s="62" t="s">
        <v>3952</v>
      </c>
      <c r="D1444" s="83" t="s">
        <v>927</v>
      </c>
      <c r="E1444" s="84">
        <v>1442.0</v>
      </c>
      <c r="F1444" s="48"/>
    </row>
    <row r="1445" ht="15.75" customHeight="1">
      <c r="A1445" s="48" t="s">
        <v>3953</v>
      </c>
      <c r="B1445" s="48" t="s">
        <v>3954</v>
      </c>
      <c r="C1445" s="62" t="s">
        <v>3955</v>
      </c>
      <c r="D1445" s="83" t="s">
        <v>927</v>
      </c>
      <c r="E1445" s="84">
        <v>1443.0</v>
      </c>
      <c r="F1445" s="48"/>
    </row>
    <row r="1446" ht="15.75" customHeight="1">
      <c r="A1446" s="48" t="s">
        <v>3956</v>
      </c>
      <c r="B1446" s="48" t="s">
        <v>3957</v>
      </c>
      <c r="C1446" s="48"/>
      <c r="D1446" s="83" t="s">
        <v>927</v>
      </c>
      <c r="E1446" s="84">
        <v>1444.0</v>
      </c>
      <c r="F1446" s="48"/>
    </row>
    <row r="1447" ht="15.75" customHeight="1">
      <c r="A1447" s="48" t="s">
        <v>3958</v>
      </c>
      <c r="B1447" s="48" t="s">
        <v>3959</v>
      </c>
      <c r="C1447" s="62" t="s">
        <v>3960</v>
      </c>
      <c r="D1447" s="83" t="s">
        <v>927</v>
      </c>
      <c r="E1447" s="84">
        <v>1445.0</v>
      </c>
      <c r="F1447" s="48"/>
    </row>
    <row r="1448" ht="15.75" customHeight="1">
      <c r="A1448" s="48" t="s">
        <v>3961</v>
      </c>
      <c r="B1448" s="48"/>
      <c r="C1448" s="62" t="s">
        <v>3962</v>
      </c>
      <c r="D1448" s="83" t="s">
        <v>927</v>
      </c>
      <c r="E1448" s="84">
        <v>1446.0</v>
      </c>
      <c r="F1448" s="48"/>
    </row>
    <row r="1449" ht="15.75" customHeight="1">
      <c r="A1449" s="48" t="s">
        <v>3963</v>
      </c>
      <c r="B1449" s="48" t="s">
        <v>3964</v>
      </c>
      <c r="C1449" s="62" t="s">
        <v>3965</v>
      </c>
      <c r="D1449" s="83" t="s">
        <v>927</v>
      </c>
      <c r="E1449" s="84">
        <v>1447.0</v>
      </c>
      <c r="F1449" s="48"/>
    </row>
    <row r="1450" ht="15.75" customHeight="1">
      <c r="A1450" s="48" t="s">
        <v>3966</v>
      </c>
      <c r="B1450" s="48" t="s">
        <v>3967</v>
      </c>
      <c r="C1450" s="62" t="s">
        <v>3968</v>
      </c>
      <c r="D1450" s="83" t="s">
        <v>927</v>
      </c>
      <c r="E1450" s="84">
        <v>1448.0</v>
      </c>
      <c r="F1450" s="48"/>
    </row>
    <row r="1451" ht="15.75" customHeight="1">
      <c r="A1451" s="48" t="s">
        <v>3969</v>
      </c>
      <c r="B1451" s="48" t="s">
        <v>3970</v>
      </c>
      <c r="C1451" s="62" t="s">
        <v>3971</v>
      </c>
      <c r="D1451" s="83" t="s">
        <v>927</v>
      </c>
      <c r="E1451" s="84">
        <v>1449.0</v>
      </c>
      <c r="F1451" s="48"/>
    </row>
    <row r="1452" ht="15.75" customHeight="1">
      <c r="A1452" s="48" t="s">
        <v>3972</v>
      </c>
      <c r="B1452" s="48"/>
      <c r="C1452" s="62" t="s">
        <v>3973</v>
      </c>
      <c r="D1452" s="83" t="s">
        <v>927</v>
      </c>
      <c r="E1452" s="84">
        <v>1450.0</v>
      </c>
      <c r="F1452" s="48"/>
    </row>
    <row r="1453" ht="15.75" customHeight="1">
      <c r="A1453" s="48" t="s">
        <v>3974</v>
      </c>
      <c r="B1453" s="48" t="s">
        <v>3975</v>
      </c>
      <c r="C1453" s="48"/>
      <c r="D1453" s="83" t="s">
        <v>927</v>
      </c>
      <c r="E1453" s="84">
        <v>1451.0</v>
      </c>
      <c r="F1453" s="48"/>
    </row>
    <row r="1454" ht="15.75" customHeight="1">
      <c r="A1454" s="48" t="s">
        <v>3976</v>
      </c>
      <c r="B1454" s="48" t="s">
        <v>3977</v>
      </c>
      <c r="C1454" s="48"/>
      <c r="D1454" s="83" t="s">
        <v>927</v>
      </c>
      <c r="E1454" s="84">
        <v>1452.0</v>
      </c>
      <c r="F1454" s="48"/>
    </row>
    <row r="1455" ht="15.75" customHeight="1">
      <c r="A1455" s="48" t="s">
        <v>3978</v>
      </c>
      <c r="B1455" s="48" t="s">
        <v>3979</v>
      </c>
      <c r="C1455" s="48"/>
      <c r="D1455" s="83" t="s">
        <v>927</v>
      </c>
      <c r="E1455" s="84">
        <v>1453.0</v>
      </c>
      <c r="F1455" s="48"/>
    </row>
    <row r="1456" ht="15.75" customHeight="1">
      <c r="A1456" s="48" t="s">
        <v>3980</v>
      </c>
      <c r="B1456" s="48" t="s">
        <v>3981</v>
      </c>
      <c r="C1456" s="62" t="s">
        <v>3982</v>
      </c>
      <c r="D1456" s="83" t="s">
        <v>927</v>
      </c>
      <c r="E1456" s="84">
        <v>1454.0</v>
      </c>
      <c r="F1456" s="48"/>
    </row>
    <row r="1457" ht="15.75" customHeight="1">
      <c r="A1457" s="48" t="s">
        <v>3983</v>
      </c>
      <c r="B1457" s="48" t="s">
        <v>3984</v>
      </c>
      <c r="C1457" s="48"/>
      <c r="D1457" s="83" t="s">
        <v>927</v>
      </c>
      <c r="E1457" s="84">
        <v>1455.0</v>
      </c>
      <c r="F1457" s="48"/>
    </row>
    <row r="1458" ht="15.75" customHeight="1">
      <c r="A1458" s="48" t="s">
        <v>3985</v>
      </c>
      <c r="B1458" s="48" t="s">
        <v>139</v>
      </c>
      <c r="C1458" s="62" t="s">
        <v>3986</v>
      </c>
      <c r="D1458" s="83" t="s">
        <v>927</v>
      </c>
      <c r="E1458" s="84">
        <v>1456.0</v>
      </c>
      <c r="F1458" s="48"/>
    </row>
    <row r="1459" ht="15.75" customHeight="1">
      <c r="A1459" s="48" t="s">
        <v>1201</v>
      </c>
      <c r="B1459" s="48" t="s">
        <v>1202</v>
      </c>
      <c r="C1459" s="62" t="s">
        <v>3987</v>
      </c>
      <c r="D1459" s="83" t="s">
        <v>927</v>
      </c>
      <c r="E1459" s="84">
        <v>1457.0</v>
      </c>
      <c r="F1459" s="48"/>
    </row>
    <row r="1460" ht="15.75" customHeight="1">
      <c r="A1460" s="48" t="s">
        <v>3988</v>
      </c>
      <c r="B1460" s="48" t="s">
        <v>3989</v>
      </c>
      <c r="C1460" s="62" t="s">
        <v>3990</v>
      </c>
      <c r="D1460" s="83" t="s">
        <v>927</v>
      </c>
      <c r="E1460" s="84">
        <v>1458.0</v>
      </c>
      <c r="F1460" s="48"/>
    </row>
    <row r="1461" ht="15.75" customHeight="1">
      <c r="A1461" s="48" t="s">
        <v>3991</v>
      </c>
      <c r="B1461" s="48" t="s">
        <v>3992</v>
      </c>
      <c r="C1461" s="62" t="s">
        <v>3993</v>
      </c>
      <c r="D1461" s="83" t="s">
        <v>927</v>
      </c>
      <c r="E1461" s="84">
        <v>1459.0</v>
      </c>
      <c r="F1461" s="48"/>
    </row>
    <row r="1462" ht="15.75" customHeight="1">
      <c r="A1462" s="48" t="s">
        <v>3994</v>
      </c>
      <c r="B1462" s="48" t="s">
        <v>3995</v>
      </c>
      <c r="C1462" s="62" t="s">
        <v>3996</v>
      </c>
      <c r="D1462" s="83" t="s">
        <v>927</v>
      </c>
      <c r="E1462" s="84">
        <v>1460.0</v>
      </c>
      <c r="F1462" s="48"/>
    </row>
    <row r="1463" ht="15.75" customHeight="1">
      <c r="A1463" s="48" t="s">
        <v>3997</v>
      </c>
      <c r="B1463" s="48" t="s">
        <v>3998</v>
      </c>
      <c r="C1463" s="48"/>
      <c r="D1463" s="83" t="s">
        <v>927</v>
      </c>
      <c r="E1463" s="84">
        <v>1461.0</v>
      </c>
      <c r="F1463" s="48"/>
    </row>
    <row r="1464" ht="15.75" customHeight="1">
      <c r="A1464" s="48" t="s">
        <v>3999</v>
      </c>
      <c r="B1464" s="48" t="s">
        <v>4000</v>
      </c>
      <c r="C1464" s="62" t="s">
        <v>4001</v>
      </c>
      <c r="D1464" s="83" t="s">
        <v>927</v>
      </c>
      <c r="E1464" s="84">
        <v>1462.0</v>
      </c>
      <c r="F1464" s="48"/>
    </row>
    <row r="1465" ht="15.75" customHeight="1">
      <c r="A1465" s="48" t="s">
        <v>4002</v>
      </c>
      <c r="B1465" s="48" t="s">
        <v>4003</v>
      </c>
      <c r="C1465" s="62" t="s">
        <v>4004</v>
      </c>
      <c r="D1465" s="83" t="s">
        <v>927</v>
      </c>
      <c r="E1465" s="84">
        <v>1463.0</v>
      </c>
      <c r="F1465" s="48"/>
    </row>
    <row r="1466" ht="15.75" customHeight="1">
      <c r="A1466" s="48" t="s">
        <v>471</v>
      </c>
      <c r="B1466" s="48"/>
      <c r="C1466" s="62" t="s">
        <v>4005</v>
      </c>
      <c r="D1466" s="83" t="s">
        <v>927</v>
      </c>
      <c r="E1466" s="84">
        <v>1464.0</v>
      </c>
      <c r="F1466" s="48"/>
    </row>
    <row r="1467" ht="15.75" customHeight="1">
      <c r="A1467" s="48" t="s">
        <v>4006</v>
      </c>
      <c r="B1467" s="48"/>
      <c r="C1467" s="62" t="s">
        <v>4007</v>
      </c>
      <c r="D1467" s="83" t="s">
        <v>927</v>
      </c>
      <c r="E1467" s="84">
        <v>1465.0</v>
      </c>
      <c r="F1467" s="48"/>
    </row>
    <row r="1468" ht="15.75" customHeight="1">
      <c r="A1468" s="48" t="s">
        <v>4008</v>
      </c>
      <c r="B1468" s="48" t="s">
        <v>4009</v>
      </c>
      <c r="C1468" s="62" t="s">
        <v>4010</v>
      </c>
      <c r="D1468" s="83" t="s">
        <v>927</v>
      </c>
      <c r="E1468" s="84">
        <v>1466.0</v>
      </c>
      <c r="F1468" s="48"/>
    </row>
    <row r="1469" ht="15.75" customHeight="1">
      <c r="A1469" s="48" t="s">
        <v>4011</v>
      </c>
      <c r="B1469" s="48" t="s">
        <v>4012</v>
      </c>
      <c r="C1469" s="62" t="s">
        <v>4013</v>
      </c>
      <c r="D1469" s="83" t="s">
        <v>927</v>
      </c>
      <c r="E1469" s="84">
        <v>1467.0</v>
      </c>
      <c r="F1469" s="48"/>
    </row>
    <row r="1470" ht="15.75" customHeight="1">
      <c r="A1470" s="48" t="s">
        <v>4014</v>
      </c>
      <c r="B1470" s="48"/>
      <c r="C1470" s="62" t="s">
        <v>4015</v>
      </c>
      <c r="D1470" s="83" t="s">
        <v>927</v>
      </c>
      <c r="E1470" s="84">
        <v>1468.0</v>
      </c>
      <c r="F1470" s="48"/>
    </row>
    <row r="1471" ht="15.75" customHeight="1">
      <c r="A1471" s="48" t="s">
        <v>4016</v>
      </c>
      <c r="B1471" s="48"/>
      <c r="C1471" s="62" t="s">
        <v>397</v>
      </c>
      <c r="D1471" s="83" t="s">
        <v>927</v>
      </c>
      <c r="E1471" s="84">
        <v>1469.0</v>
      </c>
      <c r="F1471" s="48"/>
    </row>
    <row r="1472" ht="15.75" customHeight="1">
      <c r="A1472" s="48" t="s">
        <v>4017</v>
      </c>
      <c r="B1472" s="48"/>
      <c r="C1472" s="62" t="s">
        <v>4018</v>
      </c>
      <c r="D1472" s="83" t="s">
        <v>927</v>
      </c>
      <c r="E1472" s="84">
        <v>1470.0</v>
      </c>
      <c r="F1472" s="48"/>
    </row>
    <row r="1473" ht="15.75" customHeight="1">
      <c r="A1473" s="48" t="s">
        <v>4019</v>
      </c>
      <c r="B1473" s="48" t="s">
        <v>4020</v>
      </c>
      <c r="C1473" s="62" t="s">
        <v>4021</v>
      </c>
      <c r="D1473" s="83" t="s">
        <v>927</v>
      </c>
      <c r="E1473" s="84">
        <v>1471.0</v>
      </c>
      <c r="F1473" s="48"/>
    </row>
    <row r="1474" ht="15.75" customHeight="1">
      <c r="A1474" s="48" t="s">
        <v>4022</v>
      </c>
      <c r="B1474" s="48" t="s">
        <v>4023</v>
      </c>
      <c r="C1474" s="62" t="s">
        <v>4024</v>
      </c>
      <c r="D1474" s="83" t="s">
        <v>927</v>
      </c>
      <c r="E1474" s="84">
        <v>1472.0</v>
      </c>
      <c r="F1474" s="48"/>
    </row>
    <row r="1475" ht="15.75" customHeight="1">
      <c r="A1475" s="48" t="s">
        <v>4025</v>
      </c>
      <c r="B1475" s="48" t="s">
        <v>4026</v>
      </c>
      <c r="C1475" s="62" t="s">
        <v>4027</v>
      </c>
      <c r="D1475" s="83" t="s">
        <v>927</v>
      </c>
      <c r="E1475" s="84">
        <v>1473.0</v>
      </c>
      <c r="F1475" s="48"/>
    </row>
    <row r="1476" ht="15.75" customHeight="1">
      <c r="A1476" s="48" t="s">
        <v>4028</v>
      </c>
      <c r="B1476" s="48" t="s">
        <v>4029</v>
      </c>
      <c r="C1476" s="62" t="s">
        <v>4030</v>
      </c>
      <c r="D1476" s="83" t="s">
        <v>927</v>
      </c>
      <c r="E1476" s="84">
        <v>1474.0</v>
      </c>
      <c r="F1476" s="48"/>
    </row>
    <row r="1477" ht="15.75" customHeight="1">
      <c r="A1477" s="48" t="s">
        <v>4031</v>
      </c>
      <c r="B1477" s="48" t="s">
        <v>4032</v>
      </c>
      <c r="C1477" s="62" t="s">
        <v>4033</v>
      </c>
      <c r="D1477" s="83" t="s">
        <v>927</v>
      </c>
      <c r="E1477" s="84">
        <v>1475.0</v>
      </c>
      <c r="F1477" s="48"/>
    </row>
    <row r="1478" ht="15.75" customHeight="1">
      <c r="A1478" s="48" t="s">
        <v>4034</v>
      </c>
      <c r="B1478" s="48" t="s">
        <v>4035</v>
      </c>
      <c r="C1478" s="48" t="s">
        <v>717</v>
      </c>
      <c r="D1478" s="83" t="s">
        <v>927</v>
      </c>
      <c r="E1478" s="84">
        <v>1476.0</v>
      </c>
      <c r="F1478" s="48"/>
    </row>
    <row r="1479" ht="15.75" customHeight="1">
      <c r="A1479" s="48" t="s">
        <v>4036</v>
      </c>
      <c r="B1479" s="48" t="s">
        <v>4037</v>
      </c>
      <c r="C1479" s="62" t="s">
        <v>4038</v>
      </c>
      <c r="D1479" s="83" t="s">
        <v>927</v>
      </c>
      <c r="E1479" s="84">
        <v>1477.0</v>
      </c>
      <c r="F1479" s="48"/>
    </row>
    <row r="1480" ht="15.75" customHeight="1">
      <c r="A1480" s="48" t="s">
        <v>4039</v>
      </c>
      <c r="B1480" s="48" t="s">
        <v>4040</v>
      </c>
      <c r="C1480" s="48" t="s">
        <v>717</v>
      </c>
      <c r="D1480" s="83" t="s">
        <v>927</v>
      </c>
      <c r="E1480" s="84">
        <v>1478.0</v>
      </c>
      <c r="F1480" s="48"/>
    </row>
    <row r="1481" ht="15.75" customHeight="1">
      <c r="A1481" s="48" t="s">
        <v>4041</v>
      </c>
      <c r="B1481" s="48" t="s">
        <v>4042</v>
      </c>
      <c r="C1481" s="48" t="s">
        <v>717</v>
      </c>
      <c r="D1481" s="83" t="s">
        <v>927</v>
      </c>
      <c r="E1481" s="84">
        <v>1479.0</v>
      </c>
      <c r="F1481" s="48"/>
    </row>
    <row r="1482" ht="15.75" customHeight="1">
      <c r="A1482" s="48" t="s">
        <v>4043</v>
      </c>
      <c r="B1482" s="48" t="s">
        <v>4044</v>
      </c>
      <c r="C1482" s="62" t="s">
        <v>4045</v>
      </c>
      <c r="D1482" s="83" t="s">
        <v>927</v>
      </c>
      <c r="E1482" s="84">
        <v>1480.0</v>
      </c>
      <c r="F1482" s="48"/>
    </row>
    <row r="1483" ht="15.75" customHeight="1">
      <c r="A1483" s="48" t="s">
        <v>4046</v>
      </c>
      <c r="B1483" s="48" t="s">
        <v>4047</v>
      </c>
      <c r="C1483" s="48" t="s">
        <v>717</v>
      </c>
      <c r="D1483" s="83" t="s">
        <v>927</v>
      </c>
      <c r="E1483" s="84">
        <v>1481.0</v>
      </c>
      <c r="F1483" s="48"/>
    </row>
    <row r="1484" ht="15.75" customHeight="1">
      <c r="A1484" s="48" t="s">
        <v>4048</v>
      </c>
      <c r="B1484" s="48" t="s">
        <v>4049</v>
      </c>
      <c r="C1484" s="62" t="s">
        <v>4050</v>
      </c>
      <c r="D1484" s="83" t="s">
        <v>927</v>
      </c>
      <c r="E1484" s="84">
        <v>1482.0</v>
      </c>
      <c r="F1484" s="48"/>
    </row>
    <row r="1485" ht="15.75" customHeight="1">
      <c r="A1485" s="48" t="s">
        <v>4051</v>
      </c>
      <c r="B1485" s="48" t="s">
        <v>4052</v>
      </c>
      <c r="C1485" s="48" t="s">
        <v>717</v>
      </c>
      <c r="D1485" s="83" t="s">
        <v>927</v>
      </c>
      <c r="E1485" s="84">
        <v>1483.0</v>
      </c>
      <c r="F1485" s="48"/>
    </row>
    <row r="1486" ht="15.75" customHeight="1">
      <c r="A1486" s="48" t="s">
        <v>4053</v>
      </c>
      <c r="B1486" s="48" t="s">
        <v>4054</v>
      </c>
      <c r="C1486" s="62" t="s">
        <v>4055</v>
      </c>
      <c r="D1486" s="83" t="s">
        <v>927</v>
      </c>
      <c r="E1486" s="84">
        <v>1484.0</v>
      </c>
      <c r="F1486" s="48"/>
    </row>
    <row r="1487" ht="15.75" customHeight="1">
      <c r="A1487" s="48" t="s">
        <v>825</v>
      </c>
      <c r="B1487" s="48" t="s">
        <v>4056</v>
      </c>
      <c r="C1487" s="36" t="s">
        <v>717</v>
      </c>
      <c r="D1487" s="83" t="s">
        <v>927</v>
      </c>
      <c r="E1487" s="84">
        <v>1485.0</v>
      </c>
      <c r="F1487" s="48"/>
    </row>
    <row r="1488" ht="15.75" customHeight="1">
      <c r="A1488" s="48" t="s">
        <v>4057</v>
      </c>
      <c r="B1488" s="48" t="s">
        <v>4058</v>
      </c>
      <c r="C1488" s="62" t="s">
        <v>4059</v>
      </c>
      <c r="D1488" s="83" t="s">
        <v>927</v>
      </c>
      <c r="E1488" s="84">
        <v>1486.0</v>
      </c>
      <c r="F1488" s="48"/>
    </row>
    <row r="1489" ht="15.75" customHeight="1">
      <c r="A1489" s="48" t="s">
        <v>4060</v>
      </c>
      <c r="B1489" s="48" t="s">
        <v>4061</v>
      </c>
      <c r="C1489" s="62" t="s">
        <v>4062</v>
      </c>
      <c r="D1489" s="83" t="s">
        <v>927</v>
      </c>
      <c r="E1489" s="84">
        <v>1487.0</v>
      </c>
      <c r="F1489" s="48"/>
    </row>
    <row r="1490" ht="15.75" customHeight="1">
      <c r="A1490" s="48" t="s">
        <v>2380</v>
      </c>
      <c r="B1490" s="48" t="s">
        <v>1484</v>
      </c>
      <c r="C1490" s="62" t="s">
        <v>4063</v>
      </c>
      <c r="D1490" s="83" t="s">
        <v>949</v>
      </c>
      <c r="E1490" s="84">
        <v>1488.0</v>
      </c>
      <c r="F1490" s="48"/>
    </row>
    <row r="1491" ht="15.75" customHeight="1">
      <c r="A1491" s="48" t="s">
        <v>946</v>
      </c>
      <c r="B1491" s="48" t="s">
        <v>2382</v>
      </c>
      <c r="C1491" s="62" t="s">
        <v>948</v>
      </c>
      <c r="D1491" s="83" t="s">
        <v>949</v>
      </c>
      <c r="E1491" s="84">
        <v>1489.0</v>
      </c>
      <c r="F1491" s="48"/>
    </row>
    <row r="1492" ht="15.75" customHeight="1">
      <c r="A1492" s="48" t="s">
        <v>2384</v>
      </c>
      <c r="B1492" s="48"/>
      <c r="C1492" s="62" t="s">
        <v>4064</v>
      </c>
      <c r="D1492" s="83" t="s">
        <v>949</v>
      </c>
      <c r="E1492" s="84">
        <v>1490.0</v>
      </c>
      <c r="F1492" s="48"/>
    </row>
    <row r="1493" ht="15.75" customHeight="1">
      <c r="A1493" s="48" t="s">
        <v>2387</v>
      </c>
      <c r="B1493" s="48" t="s">
        <v>2388</v>
      </c>
      <c r="C1493" s="62" t="s">
        <v>2381</v>
      </c>
      <c r="D1493" s="83" t="s">
        <v>949</v>
      </c>
      <c r="E1493" s="84">
        <v>1491.0</v>
      </c>
      <c r="F1493" s="48"/>
    </row>
    <row r="1494" ht="15.75" customHeight="1">
      <c r="A1494" s="48" t="s">
        <v>4065</v>
      </c>
      <c r="B1494" s="48"/>
      <c r="C1494" s="62" t="s">
        <v>2386</v>
      </c>
      <c r="D1494" s="83" t="s">
        <v>949</v>
      </c>
      <c r="E1494" s="84">
        <v>1492.0</v>
      </c>
      <c r="F1494" s="48"/>
    </row>
    <row r="1495" ht="15.75" customHeight="1">
      <c r="A1495" s="48" t="s">
        <v>2392</v>
      </c>
      <c r="B1495" s="48"/>
      <c r="C1495" s="62" t="s">
        <v>2389</v>
      </c>
      <c r="D1495" s="83" t="s">
        <v>949</v>
      </c>
      <c r="E1495" s="84">
        <v>1493.0</v>
      </c>
      <c r="F1495" s="48"/>
    </row>
    <row r="1496" ht="15.75" customHeight="1">
      <c r="A1496" s="48" t="s">
        <v>2395</v>
      </c>
      <c r="B1496" s="48"/>
      <c r="C1496" s="62" t="s">
        <v>2391</v>
      </c>
      <c r="D1496" s="83" t="s">
        <v>949</v>
      </c>
      <c r="E1496" s="84">
        <v>1494.0</v>
      </c>
      <c r="F1496" s="48"/>
    </row>
    <row r="1497" ht="15.75" customHeight="1">
      <c r="A1497" s="48" t="s">
        <v>2396</v>
      </c>
      <c r="B1497" s="48" t="s">
        <v>4066</v>
      </c>
      <c r="C1497" s="62" t="s">
        <v>2394</v>
      </c>
      <c r="D1497" s="83" t="s">
        <v>949</v>
      </c>
      <c r="E1497" s="84">
        <v>1495.0</v>
      </c>
      <c r="F1497" s="48"/>
    </row>
    <row r="1498" ht="15.75" customHeight="1">
      <c r="A1498" s="48" t="s">
        <v>2399</v>
      </c>
      <c r="B1498" s="48" t="s">
        <v>2400</v>
      </c>
      <c r="C1498" s="48" t="s">
        <v>717</v>
      </c>
      <c r="D1498" s="83" t="s">
        <v>949</v>
      </c>
      <c r="E1498" s="84">
        <v>1496.0</v>
      </c>
      <c r="F1498" s="48"/>
    </row>
    <row r="1499" ht="15.75" customHeight="1">
      <c r="A1499" s="48" t="s">
        <v>4067</v>
      </c>
      <c r="B1499" s="48" t="s">
        <v>198</v>
      </c>
      <c r="C1499" s="62" t="s">
        <v>2402</v>
      </c>
      <c r="D1499" s="83" t="s">
        <v>949</v>
      </c>
      <c r="E1499" s="84">
        <v>1497.0</v>
      </c>
      <c r="F1499" s="48"/>
    </row>
    <row r="1500" ht="15.75" customHeight="1">
      <c r="A1500" s="48" t="s">
        <v>4068</v>
      </c>
      <c r="B1500" s="48" t="s">
        <v>4069</v>
      </c>
      <c r="C1500" s="62" t="s">
        <v>4070</v>
      </c>
      <c r="D1500" s="83" t="s">
        <v>949</v>
      </c>
      <c r="E1500" s="84">
        <v>1498.0</v>
      </c>
      <c r="F1500" s="48"/>
    </row>
    <row r="1501" ht="15.75" customHeight="1">
      <c r="A1501" s="48" t="s">
        <v>4071</v>
      </c>
      <c r="B1501" s="48" t="s">
        <v>4072</v>
      </c>
      <c r="C1501" s="62" t="s">
        <v>4073</v>
      </c>
      <c r="D1501" s="83" t="s">
        <v>949</v>
      </c>
      <c r="E1501" s="84">
        <v>1499.0</v>
      </c>
      <c r="F1501" s="48"/>
    </row>
    <row r="1502" ht="15.75" customHeight="1">
      <c r="A1502" s="48" t="s">
        <v>4074</v>
      </c>
      <c r="B1502" s="48" t="s">
        <v>4075</v>
      </c>
      <c r="C1502" s="39" t="s">
        <v>2398</v>
      </c>
      <c r="D1502" s="83" t="s">
        <v>949</v>
      </c>
      <c r="E1502" s="84">
        <v>1500.0</v>
      </c>
      <c r="F1502" s="48"/>
    </row>
    <row r="1503" ht="15.75" customHeight="1">
      <c r="A1503" s="48" t="s">
        <v>4076</v>
      </c>
      <c r="B1503" s="48" t="s">
        <v>4077</v>
      </c>
      <c r="C1503" s="36" t="s">
        <v>717</v>
      </c>
      <c r="D1503" s="83" t="s">
        <v>949</v>
      </c>
      <c r="E1503" s="84">
        <v>1501.0</v>
      </c>
      <c r="F1503" s="48"/>
    </row>
    <row r="1504" ht="15.75" customHeight="1">
      <c r="A1504" s="48" t="s">
        <v>4078</v>
      </c>
      <c r="B1504" s="48" t="s">
        <v>4079</v>
      </c>
      <c r="C1504" s="62" t="s">
        <v>4080</v>
      </c>
      <c r="D1504" s="83" t="s">
        <v>949</v>
      </c>
      <c r="E1504" s="84">
        <v>1502.0</v>
      </c>
      <c r="F1504" s="48"/>
    </row>
    <row r="1505" ht="15.75" customHeight="1">
      <c r="A1505" s="48" t="s">
        <v>4081</v>
      </c>
      <c r="B1505" s="48" t="s">
        <v>4082</v>
      </c>
      <c r="C1505" s="48" t="s">
        <v>717</v>
      </c>
      <c r="D1505" s="83" t="s">
        <v>949</v>
      </c>
      <c r="E1505" s="84">
        <v>1503.0</v>
      </c>
      <c r="F1505" s="48"/>
    </row>
    <row r="1506" ht="15.75" customHeight="1">
      <c r="A1506" s="48" t="s">
        <v>4083</v>
      </c>
      <c r="B1506" s="48" t="s">
        <v>4084</v>
      </c>
      <c r="C1506" s="62" t="s">
        <v>4085</v>
      </c>
      <c r="D1506" s="83" t="s">
        <v>960</v>
      </c>
      <c r="E1506" s="84">
        <v>1504.0</v>
      </c>
      <c r="F1506" s="48"/>
    </row>
    <row r="1507" ht="15.75" customHeight="1">
      <c r="A1507" s="121" t="s">
        <v>4086</v>
      </c>
      <c r="B1507" s="122" t="s">
        <v>4087</v>
      </c>
      <c r="C1507" s="123" t="s">
        <v>717</v>
      </c>
      <c r="D1507" s="83" t="s">
        <v>1097</v>
      </c>
      <c r="E1507" s="84">
        <v>1505.0</v>
      </c>
      <c r="F1507" s="48"/>
    </row>
    <row r="1508" ht="15.75" customHeight="1">
      <c r="A1508" s="121" t="s">
        <v>4088</v>
      </c>
      <c r="B1508" s="124" t="s">
        <v>4089</v>
      </c>
      <c r="C1508" s="125" t="s">
        <v>4090</v>
      </c>
      <c r="D1508" s="83" t="s">
        <v>1097</v>
      </c>
      <c r="E1508" s="84">
        <v>1506.0</v>
      </c>
      <c r="F1508" s="48"/>
    </row>
    <row r="1509" ht="15.75" customHeight="1">
      <c r="A1509" s="121" t="s">
        <v>4091</v>
      </c>
      <c r="B1509" s="124" t="s">
        <v>4092</v>
      </c>
      <c r="C1509" s="125" t="s">
        <v>4093</v>
      </c>
      <c r="D1509" s="83" t="s">
        <v>1097</v>
      </c>
      <c r="E1509" s="84">
        <v>1507.0</v>
      </c>
      <c r="F1509" s="48"/>
    </row>
    <row r="1510" ht="15.75" customHeight="1">
      <c r="A1510" s="121" t="s">
        <v>4094</v>
      </c>
      <c r="B1510" s="121" t="s">
        <v>198</v>
      </c>
      <c r="C1510" s="125" t="s">
        <v>4095</v>
      </c>
      <c r="D1510" s="83" t="s">
        <v>1097</v>
      </c>
      <c r="E1510" s="84">
        <v>1508.0</v>
      </c>
      <c r="F1510" s="48"/>
    </row>
    <row r="1511" ht="15.75" customHeight="1">
      <c r="A1511" s="123" t="s">
        <v>4096</v>
      </c>
      <c r="B1511" s="126" t="s">
        <v>2795</v>
      </c>
      <c r="C1511" s="121" t="s">
        <v>717</v>
      </c>
      <c r="D1511" s="83" t="s">
        <v>1097</v>
      </c>
      <c r="E1511" s="84">
        <v>1509.0</v>
      </c>
      <c r="F1511" s="48"/>
    </row>
    <row r="1512" ht="15.75" customHeight="1">
      <c r="A1512" s="34" t="s">
        <v>4097</v>
      </c>
      <c r="B1512" s="34" t="s">
        <v>4098</v>
      </c>
      <c r="C1512" s="35" t="s">
        <v>4099</v>
      </c>
      <c r="D1512" s="94" t="s">
        <v>1097</v>
      </c>
      <c r="E1512" s="74">
        <v>1510.0</v>
      </c>
      <c r="F1512" s="34" t="s">
        <v>482</v>
      </c>
    </row>
    <row r="1513" ht="15.75" customHeight="1">
      <c r="A1513" s="34" t="s">
        <v>4100</v>
      </c>
      <c r="B1513" s="34" t="s">
        <v>4101</v>
      </c>
      <c r="C1513" s="35" t="s">
        <v>4102</v>
      </c>
      <c r="D1513" s="94" t="s">
        <v>1097</v>
      </c>
      <c r="E1513" s="74">
        <v>1511.0</v>
      </c>
      <c r="F1513" s="34" t="s">
        <v>482</v>
      </c>
    </row>
    <row r="1514" ht="15.75" customHeight="1">
      <c r="A1514" s="34" t="s">
        <v>4103</v>
      </c>
      <c r="B1514" s="34" t="s">
        <v>3259</v>
      </c>
      <c r="C1514" s="35" t="s">
        <v>4104</v>
      </c>
      <c r="D1514" s="94" t="s">
        <v>1097</v>
      </c>
      <c r="E1514" s="74">
        <v>1512.0</v>
      </c>
      <c r="F1514" s="34" t="s">
        <v>482</v>
      </c>
    </row>
    <row r="1515" ht="15.75" customHeight="1">
      <c r="A1515" s="34" t="s">
        <v>3261</v>
      </c>
      <c r="B1515" s="34" t="s">
        <v>3262</v>
      </c>
      <c r="C1515" s="35" t="s">
        <v>4105</v>
      </c>
      <c r="D1515" s="94" t="s">
        <v>1097</v>
      </c>
      <c r="E1515" s="74">
        <v>1513.0</v>
      </c>
      <c r="F1515" s="34" t="s">
        <v>482</v>
      </c>
    </row>
    <row r="1516" ht="15.75" customHeight="1">
      <c r="A1516" s="121" t="s">
        <v>4106</v>
      </c>
      <c r="B1516" s="121" t="s">
        <v>3265</v>
      </c>
      <c r="C1516" s="121" t="s">
        <v>717</v>
      </c>
      <c r="D1516" s="83" t="s">
        <v>1097</v>
      </c>
      <c r="E1516" s="84">
        <v>1514.0</v>
      </c>
      <c r="F1516" s="48"/>
    </row>
    <row r="1517" ht="15.75" customHeight="1">
      <c r="A1517" s="48" t="s">
        <v>4107</v>
      </c>
      <c r="B1517" s="48" t="s">
        <v>4108</v>
      </c>
      <c r="C1517" s="48" t="s">
        <v>717</v>
      </c>
      <c r="D1517" s="83"/>
      <c r="E1517" s="84">
        <v>1515.0</v>
      </c>
      <c r="F1517" s="48"/>
    </row>
    <row r="1518" ht="15.75" customHeight="1">
      <c r="A1518" s="48" t="s">
        <v>4109</v>
      </c>
      <c r="B1518" s="48" t="s">
        <v>139</v>
      </c>
      <c r="C1518" s="62" t="s">
        <v>4110</v>
      </c>
      <c r="D1518" s="83"/>
      <c r="E1518" s="84">
        <v>1516.0</v>
      </c>
      <c r="F1518" s="48"/>
    </row>
    <row r="1519" ht="15.75" customHeight="1">
      <c r="A1519" s="48" t="s">
        <v>4111</v>
      </c>
      <c r="B1519" s="48" t="s">
        <v>4112</v>
      </c>
      <c r="C1519" s="62" t="s">
        <v>4113</v>
      </c>
      <c r="D1519" s="83" t="s">
        <v>955</v>
      </c>
      <c r="E1519" s="84">
        <v>1517.0</v>
      </c>
      <c r="F1519" s="48"/>
    </row>
    <row r="1520" ht="15.75" customHeight="1">
      <c r="A1520" s="48" t="s">
        <v>4114</v>
      </c>
      <c r="B1520" s="48" t="s">
        <v>4115</v>
      </c>
      <c r="C1520" s="62" t="s">
        <v>4116</v>
      </c>
      <c r="D1520" s="83" t="s">
        <v>955</v>
      </c>
      <c r="E1520" s="84">
        <v>1518.0</v>
      </c>
      <c r="F1520" s="48"/>
    </row>
    <row r="1521" ht="15.75" customHeight="1">
      <c r="A1521" s="48" t="s">
        <v>4117</v>
      </c>
      <c r="B1521" s="48" t="s">
        <v>4118</v>
      </c>
      <c r="C1521" s="62" t="s">
        <v>4119</v>
      </c>
      <c r="D1521" s="83" t="s">
        <v>955</v>
      </c>
      <c r="E1521" s="84">
        <v>1519.0</v>
      </c>
      <c r="F1521" s="48"/>
    </row>
    <row r="1522" ht="15.75" customHeight="1">
      <c r="A1522" s="48" t="s">
        <v>4120</v>
      </c>
      <c r="B1522" s="48" t="s">
        <v>139</v>
      </c>
      <c r="C1522" s="62" t="s">
        <v>4121</v>
      </c>
      <c r="D1522" s="83" t="s">
        <v>955</v>
      </c>
      <c r="E1522" s="84">
        <v>1520.0</v>
      </c>
      <c r="F1522" s="48"/>
    </row>
    <row r="1523" ht="15.75" customHeight="1">
      <c r="A1523" s="48" t="s">
        <v>471</v>
      </c>
      <c r="B1523" s="48" t="s">
        <v>1748</v>
      </c>
      <c r="C1523" s="62" t="s">
        <v>4122</v>
      </c>
      <c r="D1523" s="83" t="s">
        <v>955</v>
      </c>
      <c r="E1523" s="84">
        <v>1521.0</v>
      </c>
      <c r="F1523" s="48"/>
    </row>
    <row r="1524" ht="15.75" customHeight="1">
      <c r="A1524" s="48" t="s">
        <v>953</v>
      </c>
      <c r="B1524" s="48" t="s">
        <v>1751</v>
      </c>
      <c r="C1524" s="62" t="s">
        <v>4123</v>
      </c>
      <c r="D1524" s="83" t="s">
        <v>955</v>
      </c>
      <c r="E1524" s="84">
        <v>1522.0</v>
      </c>
      <c r="F1524" s="48"/>
    </row>
    <row r="1525" ht="15.75" customHeight="1">
      <c r="A1525" s="48" t="s">
        <v>4124</v>
      </c>
      <c r="B1525" s="48"/>
      <c r="C1525" s="62" t="s">
        <v>4125</v>
      </c>
      <c r="D1525" s="83" t="s">
        <v>955</v>
      </c>
      <c r="E1525" s="84">
        <v>1523.0</v>
      </c>
      <c r="F1525" s="48"/>
    </row>
    <row r="1526" ht="15.75" customHeight="1">
      <c r="A1526" s="48" t="s">
        <v>471</v>
      </c>
      <c r="B1526" s="48" t="s">
        <v>1753</v>
      </c>
      <c r="C1526" s="62" t="s">
        <v>4126</v>
      </c>
      <c r="D1526" s="83" t="s">
        <v>955</v>
      </c>
      <c r="E1526" s="84">
        <v>1524.0</v>
      </c>
      <c r="F1526" s="48"/>
    </row>
    <row r="1527" ht="15.75" customHeight="1">
      <c r="A1527" s="48" t="s">
        <v>4127</v>
      </c>
      <c r="B1527" s="48" t="s">
        <v>4128</v>
      </c>
      <c r="C1527" s="62" t="s">
        <v>4129</v>
      </c>
      <c r="D1527" s="83" t="s">
        <v>955</v>
      </c>
      <c r="E1527" s="84">
        <v>1525.0</v>
      </c>
      <c r="F1527" s="48"/>
    </row>
    <row r="1528" ht="15.75" customHeight="1">
      <c r="A1528" s="48" t="s">
        <v>4130</v>
      </c>
      <c r="B1528" s="48" t="s">
        <v>4131</v>
      </c>
      <c r="C1528" s="62" t="s">
        <v>4132</v>
      </c>
      <c r="D1528" s="83" t="s">
        <v>955</v>
      </c>
      <c r="E1528" s="84">
        <v>1526.0</v>
      </c>
      <c r="F1528" s="48"/>
    </row>
    <row r="1529" ht="15.75" customHeight="1">
      <c r="A1529" s="48" t="s">
        <v>4133</v>
      </c>
      <c r="B1529" s="48" t="s">
        <v>4134</v>
      </c>
      <c r="C1529" s="62" t="s">
        <v>4135</v>
      </c>
      <c r="D1529" s="83" t="s">
        <v>955</v>
      </c>
      <c r="E1529" s="84">
        <v>1527.0</v>
      </c>
      <c r="F1529" s="48"/>
    </row>
    <row r="1530" ht="15.75" customHeight="1">
      <c r="A1530" s="48" t="s">
        <v>4136</v>
      </c>
      <c r="B1530" s="48" t="s">
        <v>4137</v>
      </c>
      <c r="C1530" s="62" t="s">
        <v>4138</v>
      </c>
      <c r="D1530" s="83" t="s">
        <v>955</v>
      </c>
      <c r="E1530" s="84">
        <v>1528.0</v>
      </c>
      <c r="F1530" s="48"/>
    </row>
    <row r="1531" ht="15.75" customHeight="1">
      <c r="A1531" s="48" t="s">
        <v>4139</v>
      </c>
      <c r="B1531" s="48" t="s">
        <v>139</v>
      </c>
      <c r="C1531" s="62" t="s">
        <v>4140</v>
      </c>
      <c r="D1531" s="83" t="s">
        <v>955</v>
      </c>
      <c r="E1531" s="84">
        <v>1529.0</v>
      </c>
      <c r="F1531" s="48"/>
    </row>
    <row r="1532" ht="15.75" customHeight="1">
      <c r="A1532" s="48" t="s">
        <v>1758</v>
      </c>
      <c r="B1532" s="48" t="s">
        <v>4141</v>
      </c>
      <c r="C1532" s="62" t="s">
        <v>4142</v>
      </c>
      <c r="D1532" s="83" t="s">
        <v>955</v>
      </c>
      <c r="E1532" s="84">
        <v>1530.0</v>
      </c>
      <c r="F1532" s="48"/>
    </row>
    <row r="1533" ht="15.75" customHeight="1">
      <c r="A1533" s="48" t="s">
        <v>4143</v>
      </c>
      <c r="B1533" s="48" t="s">
        <v>198</v>
      </c>
      <c r="C1533" s="62" t="s">
        <v>4144</v>
      </c>
      <c r="D1533" s="83" t="s">
        <v>955</v>
      </c>
      <c r="E1533" s="84">
        <v>1531.0</v>
      </c>
      <c r="F1533" s="48"/>
    </row>
    <row r="1534" ht="15.75" customHeight="1">
      <c r="A1534" s="48" t="s">
        <v>4145</v>
      </c>
      <c r="B1534" s="48" t="s">
        <v>4146</v>
      </c>
      <c r="C1534" s="62" t="s">
        <v>4147</v>
      </c>
      <c r="D1534" s="83" t="s">
        <v>955</v>
      </c>
      <c r="E1534" s="84">
        <v>1532.0</v>
      </c>
      <c r="F1534" s="48"/>
    </row>
    <row r="1535" ht="15.75" customHeight="1">
      <c r="A1535" s="48" t="s">
        <v>671</v>
      </c>
      <c r="B1535" s="48"/>
      <c r="C1535" s="62" t="s">
        <v>4148</v>
      </c>
      <c r="D1535" s="83" t="s">
        <v>955</v>
      </c>
      <c r="E1535" s="84">
        <v>1533.0</v>
      </c>
      <c r="F1535" s="48"/>
    </row>
    <row r="1536" ht="15.75" customHeight="1">
      <c r="A1536" s="48" t="s">
        <v>4149</v>
      </c>
      <c r="B1536" s="48" t="s">
        <v>4150</v>
      </c>
      <c r="C1536" s="62" t="s">
        <v>4151</v>
      </c>
      <c r="D1536" s="83" t="s">
        <v>955</v>
      </c>
      <c r="E1536" s="84">
        <v>1534.0</v>
      </c>
      <c r="F1536" s="48"/>
    </row>
    <row r="1537" ht="15.75" customHeight="1">
      <c r="A1537" s="48" t="s">
        <v>4152</v>
      </c>
      <c r="B1537" s="48" t="s">
        <v>4153</v>
      </c>
      <c r="C1537" s="62" t="s">
        <v>4154</v>
      </c>
      <c r="D1537" s="83" t="s">
        <v>955</v>
      </c>
      <c r="E1537" s="84">
        <v>1535.0</v>
      </c>
      <c r="F1537" s="48"/>
    </row>
    <row r="1538" ht="15.75" customHeight="1">
      <c r="A1538" s="48" t="s">
        <v>4155</v>
      </c>
      <c r="B1538" s="48"/>
      <c r="C1538" s="62" t="s">
        <v>4156</v>
      </c>
      <c r="D1538" s="83" t="s">
        <v>955</v>
      </c>
      <c r="E1538" s="84">
        <v>1536.0</v>
      </c>
      <c r="F1538" s="48"/>
    </row>
    <row r="1539" ht="15.75" customHeight="1">
      <c r="A1539" s="48" t="s">
        <v>4157</v>
      </c>
      <c r="B1539" s="48"/>
      <c r="C1539" s="62" t="s">
        <v>4158</v>
      </c>
      <c r="D1539" s="83" t="s">
        <v>955</v>
      </c>
      <c r="E1539" s="84">
        <v>1537.0</v>
      </c>
      <c r="F1539" s="48"/>
    </row>
    <row r="1540" ht="15.75" customHeight="1">
      <c r="A1540" s="48" t="s">
        <v>4159</v>
      </c>
      <c r="B1540" s="48"/>
      <c r="C1540" s="62" t="s">
        <v>4160</v>
      </c>
      <c r="D1540" s="83" t="s">
        <v>955</v>
      </c>
      <c r="E1540" s="84">
        <v>1538.0</v>
      </c>
      <c r="F1540" s="48"/>
    </row>
    <row r="1541" ht="15.75" customHeight="1">
      <c r="A1541" s="48" t="s">
        <v>4161</v>
      </c>
      <c r="B1541" s="48"/>
      <c r="C1541" s="62" t="s">
        <v>1676</v>
      </c>
      <c r="D1541" s="83" t="s">
        <v>955</v>
      </c>
      <c r="E1541" s="84">
        <v>1539.0</v>
      </c>
      <c r="F1541" s="48"/>
    </row>
    <row r="1542" ht="15.75" customHeight="1">
      <c r="A1542" s="48" t="s">
        <v>4162</v>
      </c>
      <c r="B1542" s="48"/>
      <c r="C1542" s="62" t="s">
        <v>4163</v>
      </c>
      <c r="D1542" s="83" t="s">
        <v>955</v>
      </c>
      <c r="E1542" s="84">
        <v>1540.0</v>
      </c>
      <c r="F1542" s="48"/>
    </row>
    <row r="1543" ht="15.75" customHeight="1">
      <c r="A1543" s="48" t="s">
        <v>671</v>
      </c>
      <c r="B1543" s="48"/>
      <c r="C1543" s="62" t="s">
        <v>4164</v>
      </c>
      <c r="D1543" s="83" t="s">
        <v>955</v>
      </c>
      <c r="E1543" s="84">
        <v>1541.0</v>
      </c>
      <c r="F1543" s="48"/>
    </row>
    <row r="1544" ht="15.75" customHeight="1">
      <c r="A1544" s="48" t="s">
        <v>4165</v>
      </c>
      <c r="B1544" s="48"/>
      <c r="C1544" s="62" t="s">
        <v>4166</v>
      </c>
      <c r="D1544" s="83" t="s">
        <v>955</v>
      </c>
      <c r="E1544" s="84">
        <v>1542.0</v>
      </c>
      <c r="F1544" s="48"/>
    </row>
    <row r="1545" ht="15.75" customHeight="1">
      <c r="A1545" s="48" t="s">
        <v>4167</v>
      </c>
      <c r="B1545" s="48" t="s">
        <v>4168</v>
      </c>
      <c r="C1545" s="62" t="s">
        <v>4169</v>
      </c>
      <c r="D1545" s="83" t="s">
        <v>955</v>
      </c>
      <c r="E1545" s="84">
        <v>1543.0</v>
      </c>
      <c r="F1545" s="48"/>
    </row>
    <row r="1546" ht="15.75" customHeight="1">
      <c r="A1546" s="48" t="s">
        <v>4170</v>
      </c>
      <c r="B1546" s="48" t="s">
        <v>1790</v>
      </c>
      <c r="C1546" s="62" t="s">
        <v>4171</v>
      </c>
      <c r="D1546" s="83" t="s">
        <v>955</v>
      </c>
      <c r="E1546" s="84">
        <v>1544.0</v>
      </c>
      <c r="F1546" s="48"/>
    </row>
    <row r="1547" ht="15.75" customHeight="1">
      <c r="A1547" s="48" t="s">
        <v>4172</v>
      </c>
      <c r="B1547" s="48"/>
      <c r="C1547" s="62" t="s">
        <v>4173</v>
      </c>
      <c r="D1547" s="83" t="s">
        <v>955</v>
      </c>
      <c r="E1547" s="84">
        <v>1545.0</v>
      </c>
      <c r="F1547" s="48"/>
    </row>
    <row r="1548" ht="15.75" customHeight="1">
      <c r="A1548" s="48" t="s">
        <v>4174</v>
      </c>
      <c r="B1548" s="48"/>
      <c r="C1548" s="62" t="s">
        <v>4175</v>
      </c>
      <c r="D1548" s="83" t="s">
        <v>955</v>
      </c>
      <c r="E1548" s="84">
        <v>1546.0</v>
      </c>
      <c r="F1548" s="48"/>
    </row>
    <row r="1549" ht="15.75" customHeight="1">
      <c r="A1549" s="48" t="s">
        <v>1780</v>
      </c>
      <c r="B1549" s="48" t="s">
        <v>1781</v>
      </c>
      <c r="C1549" s="62" t="s">
        <v>4176</v>
      </c>
      <c r="D1549" s="83" t="s">
        <v>955</v>
      </c>
      <c r="E1549" s="84">
        <v>1547.0</v>
      </c>
      <c r="F1549" s="48"/>
    </row>
    <row r="1550" ht="15.75" customHeight="1">
      <c r="A1550" s="48" t="s">
        <v>1777</v>
      </c>
      <c r="B1550" s="48" t="s">
        <v>1778</v>
      </c>
      <c r="C1550" s="62" t="s">
        <v>4177</v>
      </c>
      <c r="D1550" s="83" t="s">
        <v>955</v>
      </c>
      <c r="E1550" s="84">
        <v>1548.0</v>
      </c>
      <c r="F1550" s="48"/>
    </row>
    <row r="1551" ht="15.75" customHeight="1">
      <c r="A1551" s="48" t="s">
        <v>4178</v>
      </c>
      <c r="B1551" s="48" t="s">
        <v>4179</v>
      </c>
      <c r="C1551" s="48" t="s">
        <v>717</v>
      </c>
      <c r="D1551" s="83" t="s">
        <v>955</v>
      </c>
      <c r="E1551" s="84">
        <v>1549.0</v>
      </c>
      <c r="F1551" s="48"/>
    </row>
    <row r="1552" ht="15.75" customHeight="1">
      <c r="A1552" s="48" t="s">
        <v>2970</v>
      </c>
      <c r="B1552" s="48"/>
      <c r="C1552" s="62" t="s">
        <v>4180</v>
      </c>
      <c r="D1552" s="83" t="s">
        <v>955</v>
      </c>
      <c r="E1552" s="84">
        <v>1550.0</v>
      </c>
      <c r="F1552" s="48"/>
    </row>
    <row r="1553" ht="15.75" customHeight="1">
      <c r="A1553" s="48" t="s">
        <v>4181</v>
      </c>
      <c r="B1553" s="48" t="s">
        <v>4182</v>
      </c>
      <c r="C1553" s="62" t="s">
        <v>4183</v>
      </c>
      <c r="D1553" s="83" t="s">
        <v>955</v>
      </c>
      <c r="E1553" s="84">
        <v>1551.0</v>
      </c>
      <c r="F1553" s="48"/>
    </row>
    <row r="1554" ht="15.75" customHeight="1">
      <c r="A1554" s="48" t="s">
        <v>4184</v>
      </c>
      <c r="B1554" s="48" t="s">
        <v>4185</v>
      </c>
      <c r="C1554" s="62" t="s">
        <v>4186</v>
      </c>
      <c r="D1554" s="83" t="s">
        <v>955</v>
      </c>
      <c r="E1554" s="84">
        <v>1552.0</v>
      </c>
      <c r="F1554" s="48"/>
    </row>
    <row r="1555" ht="15.75" customHeight="1">
      <c r="A1555" s="48" t="s">
        <v>4187</v>
      </c>
      <c r="B1555" s="48" t="s">
        <v>4188</v>
      </c>
      <c r="C1555" s="62" t="s">
        <v>4189</v>
      </c>
      <c r="D1555" s="83" t="s">
        <v>955</v>
      </c>
      <c r="E1555" s="84">
        <v>1553.0</v>
      </c>
      <c r="F1555" s="48"/>
    </row>
    <row r="1556" ht="15.75" customHeight="1">
      <c r="A1556" s="48" t="s">
        <v>4190</v>
      </c>
      <c r="B1556" s="48" t="s">
        <v>139</v>
      </c>
      <c r="C1556" s="62" t="s">
        <v>4191</v>
      </c>
      <c r="D1556" s="83" t="s">
        <v>955</v>
      </c>
      <c r="E1556" s="84">
        <v>1554.0</v>
      </c>
      <c r="F1556" s="48"/>
    </row>
    <row r="1557" ht="15.75" customHeight="1">
      <c r="A1557" s="48" t="s">
        <v>4192</v>
      </c>
      <c r="B1557" s="48" t="s">
        <v>4193</v>
      </c>
      <c r="C1557" s="62" t="s">
        <v>4194</v>
      </c>
      <c r="D1557" s="83" t="s">
        <v>955</v>
      </c>
      <c r="E1557" s="84">
        <v>1555.0</v>
      </c>
      <c r="F1557" s="48"/>
    </row>
    <row r="1558" ht="15.75" customHeight="1">
      <c r="A1558" s="48" t="s">
        <v>4195</v>
      </c>
      <c r="B1558" s="48" t="s">
        <v>4196</v>
      </c>
      <c r="C1558" s="62" t="s">
        <v>4197</v>
      </c>
      <c r="D1558" s="83" t="s">
        <v>955</v>
      </c>
      <c r="E1558" s="84">
        <v>1556.0</v>
      </c>
      <c r="F1558" s="48"/>
    </row>
    <row r="1559" ht="15.75" customHeight="1">
      <c r="A1559" s="48" t="s">
        <v>4198</v>
      </c>
      <c r="B1559" s="48" t="s">
        <v>4199</v>
      </c>
      <c r="C1559" s="62" t="s">
        <v>4200</v>
      </c>
      <c r="D1559" s="83" t="s">
        <v>955</v>
      </c>
      <c r="E1559" s="84">
        <v>1557.0</v>
      </c>
      <c r="F1559" s="48"/>
    </row>
    <row r="1560" ht="15.75" customHeight="1">
      <c r="A1560" s="48" t="s">
        <v>4201</v>
      </c>
      <c r="B1560" s="48" t="s">
        <v>4202</v>
      </c>
      <c r="C1560" s="48" t="s">
        <v>198</v>
      </c>
      <c r="D1560" s="83" t="s">
        <v>955</v>
      </c>
      <c r="E1560" s="84">
        <v>1558.0</v>
      </c>
      <c r="F1560" s="48"/>
    </row>
    <row r="1561" ht="15.75" customHeight="1">
      <c r="A1561" s="48" t="s">
        <v>4203</v>
      </c>
      <c r="B1561" s="48" t="s">
        <v>198</v>
      </c>
      <c r="C1561" s="62" t="s">
        <v>4204</v>
      </c>
      <c r="D1561" s="83" t="s">
        <v>955</v>
      </c>
      <c r="E1561" s="84">
        <v>1559.0</v>
      </c>
      <c r="F1561" s="48"/>
    </row>
    <row r="1562" ht="15.75" customHeight="1">
      <c r="A1562" s="48" t="s">
        <v>4205</v>
      </c>
      <c r="B1562" s="48" t="s">
        <v>4206</v>
      </c>
      <c r="C1562" s="62" t="s">
        <v>4207</v>
      </c>
      <c r="D1562" s="83" t="s">
        <v>955</v>
      </c>
      <c r="E1562" s="84">
        <v>1560.0</v>
      </c>
      <c r="F1562" s="48"/>
    </row>
    <row r="1563" ht="15.75" customHeight="1">
      <c r="A1563" s="48" t="s">
        <v>4208</v>
      </c>
      <c r="B1563" s="48"/>
      <c r="C1563" s="62" t="s">
        <v>4209</v>
      </c>
      <c r="D1563" s="83" t="s">
        <v>955</v>
      </c>
      <c r="E1563" s="84">
        <v>1561.0</v>
      </c>
      <c r="F1563" s="48"/>
    </row>
    <row r="1564" ht="15.75" customHeight="1">
      <c r="A1564" s="48" t="s">
        <v>4210</v>
      </c>
      <c r="B1564" s="48"/>
      <c r="C1564" s="48" t="s">
        <v>198</v>
      </c>
      <c r="D1564" s="83" t="s">
        <v>955</v>
      </c>
      <c r="E1564" s="84">
        <v>1562.0</v>
      </c>
      <c r="F1564" s="48"/>
    </row>
    <row r="1565" ht="15.75" customHeight="1">
      <c r="A1565" s="48" t="s">
        <v>1770</v>
      </c>
      <c r="B1565" s="48" t="s">
        <v>4211</v>
      </c>
      <c r="C1565" s="62" t="s">
        <v>4212</v>
      </c>
      <c r="D1565" s="83" t="s">
        <v>955</v>
      </c>
      <c r="E1565" s="84">
        <v>1563.0</v>
      </c>
      <c r="F1565" s="48"/>
    </row>
    <row r="1566" ht="15.75" customHeight="1">
      <c r="A1566" s="48" t="s">
        <v>4213</v>
      </c>
      <c r="B1566" s="48"/>
      <c r="C1566" s="62" t="s">
        <v>4214</v>
      </c>
      <c r="D1566" s="83"/>
      <c r="E1566" s="84">
        <v>1564.0</v>
      </c>
      <c r="F1566" s="48"/>
    </row>
    <row r="1567" ht="15.75" customHeight="1">
      <c r="A1567" s="48" t="s">
        <v>4215</v>
      </c>
      <c r="B1567" s="48" t="s">
        <v>4216</v>
      </c>
      <c r="C1567" s="48" t="s">
        <v>139</v>
      </c>
      <c r="D1567" s="83" t="s">
        <v>955</v>
      </c>
      <c r="E1567" s="84">
        <v>1565.0</v>
      </c>
      <c r="F1567" s="48"/>
    </row>
    <row r="1568" ht="15.75" customHeight="1">
      <c r="A1568" s="48" t="s">
        <v>4217</v>
      </c>
      <c r="B1568" s="48"/>
      <c r="C1568" s="62" t="s">
        <v>4218</v>
      </c>
      <c r="D1568" s="83" t="s">
        <v>955</v>
      </c>
      <c r="E1568" s="84">
        <v>1566.0</v>
      </c>
      <c r="F1568" s="48"/>
    </row>
    <row r="1569" ht="15.75" customHeight="1">
      <c r="A1569" s="48" t="s">
        <v>4219</v>
      </c>
      <c r="B1569" s="48"/>
      <c r="C1569" s="62" t="s">
        <v>4220</v>
      </c>
      <c r="D1569" s="83" t="s">
        <v>955</v>
      </c>
      <c r="E1569" s="84">
        <v>1567.0</v>
      </c>
      <c r="F1569" s="48"/>
    </row>
    <row r="1570" ht="15.75" customHeight="1">
      <c r="A1570" s="48" t="s">
        <v>4221</v>
      </c>
      <c r="B1570" s="48" t="s">
        <v>4222</v>
      </c>
      <c r="C1570" s="62" t="s">
        <v>4223</v>
      </c>
      <c r="D1570" s="83" t="s">
        <v>955</v>
      </c>
      <c r="E1570" s="84">
        <v>1568.0</v>
      </c>
      <c r="F1570" s="48"/>
    </row>
    <row r="1571" ht="15.75" customHeight="1">
      <c r="A1571" s="48" t="s">
        <v>4224</v>
      </c>
      <c r="B1571" s="48" t="s">
        <v>4225</v>
      </c>
      <c r="C1571" s="62" t="s">
        <v>4226</v>
      </c>
      <c r="D1571" s="83"/>
      <c r="E1571" s="84">
        <v>1569.0</v>
      </c>
      <c r="F1571" s="48"/>
    </row>
    <row r="1572" ht="15.75" customHeight="1">
      <c r="A1572" s="48" t="s">
        <v>4227</v>
      </c>
      <c r="B1572" s="48" t="s">
        <v>4228</v>
      </c>
      <c r="C1572" s="62" t="s">
        <v>4229</v>
      </c>
      <c r="D1572" s="83"/>
      <c r="E1572" s="84">
        <v>1570.0</v>
      </c>
      <c r="F1572" s="48"/>
    </row>
    <row r="1573" ht="15.75" customHeight="1">
      <c r="A1573" s="48" t="s">
        <v>4230</v>
      </c>
      <c r="B1573" s="48" t="s">
        <v>4228</v>
      </c>
      <c r="C1573" s="62" t="s">
        <v>4231</v>
      </c>
      <c r="D1573" s="83"/>
      <c r="E1573" s="84">
        <v>1571.0</v>
      </c>
      <c r="F1573" s="48"/>
    </row>
    <row r="1574" ht="15.75" customHeight="1">
      <c r="A1574" s="48" t="s">
        <v>4232</v>
      </c>
      <c r="B1574" s="48" t="s">
        <v>4233</v>
      </c>
      <c r="C1574" s="48" t="s">
        <v>198</v>
      </c>
      <c r="D1574" s="83" t="s">
        <v>936</v>
      </c>
      <c r="E1574" s="84">
        <v>1572.0</v>
      </c>
      <c r="F1574" s="48"/>
    </row>
    <row r="1575" ht="15.75" customHeight="1">
      <c r="A1575" s="48" t="s">
        <v>4234</v>
      </c>
      <c r="B1575" s="48" t="s">
        <v>4235</v>
      </c>
      <c r="D1575" s="83" t="s">
        <v>1053</v>
      </c>
      <c r="E1575" s="84">
        <v>1573.0</v>
      </c>
      <c r="F1575" s="48"/>
    </row>
    <row r="1576" ht="15.75" customHeight="1">
      <c r="A1576" s="48" t="s">
        <v>4236</v>
      </c>
      <c r="B1576" s="48" t="s">
        <v>4237</v>
      </c>
      <c r="C1576" s="48"/>
      <c r="D1576" s="83" t="s">
        <v>898</v>
      </c>
      <c r="E1576" s="84">
        <v>1574.0</v>
      </c>
      <c r="F1576" s="48"/>
    </row>
    <row r="1577" ht="15.75" customHeight="1">
      <c r="A1577" s="48" t="s">
        <v>4238</v>
      </c>
      <c r="B1577" s="48" t="s">
        <v>4239</v>
      </c>
      <c r="C1577" s="48"/>
      <c r="D1577" s="83" t="s">
        <v>353</v>
      </c>
      <c r="E1577" s="84">
        <v>1575.0</v>
      </c>
      <c r="F1577" s="48"/>
    </row>
    <row r="1578" ht="15.75" customHeight="1">
      <c r="A1578" s="114" t="s">
        <v>4240</v>
      </c>
      <c r="B1578" s="114" t="s">
        <v>4241</v>
      </c>
      <c r="C1578" s="127" t="s">
        <v>4242</v>
      </c>
      <c r="D1578" s="83" t="s">
        <v>921</v>
      </c>
      <c r="E1578" s="84">
        <v>1576.0</v>
      </c>
      <c r="F1578" s="48"/>
    </row>
    <row r="1579" ht="15.75" customHeight="1">
      <c r="A1579" s="48" t="s">
        <v>4243</v>
      </c>
      <c r="B1579" s="48" t="s">
        <v>4244</v>
      </c>
      <c r="C1579" s="62" t="s">
        <v>4245</v>
      </c>
      <c r="D1579" s="83" t="s">
        <v>2960</v>
      </c>
      <c r="E1579" s="84">
        <v>1577.0</v>
      </c>
      <c r="F1579" s="48"/>
    </row>
    <row r="1580" ht="15.75" customHeight="1">
      <c r="A1580" s="48" t="s">
        <v>4246</v>
      </c>
      <c r="B1580" s="48" t="s">
        <v>4247</v>
      </c>
      <c r="C1580" s="62" t="s">
        <v>4248</v>
      </c>
      <c r="D1580" s="83" t="s">
        <v>921</v>
      </c>
      <c r="E1580" s="84">
        <v>1578.0</v>
      </c>
      <c r="F1580" s="48"/>
    </row>
    <row r="1581" ht="15.75" customHeight="1">
      <c r="A1581" s="48" t="s">
        <v>4249</v>
      </c>
      <c r="B1581" s="48"/>
      <c r="C1581" s="62" t="s">
        <v>4250</v>
      </c>
      <c r="D1581" s="83" t="s">
        <v>909</v>
      </c>
      <c r="E1581" s="84">
        <v>1579.0</v>
      </c>
      <c r="F1581" s="48"/>
    </row>
    <row r="1582" ht="15.75" customHeight="1">
      <c r="A1582" s="48" t="s">
        <v>4251</v>
      </c>
      <c r="B1582" s="48" t="s">
        <v>4252</v>
      </c>
      <c r="C1582" s="48" t="s">
        <v>198</v>
      </c>
      <c r="D1582" s="83" t="s">
        <v>921</v>
      </c>
      <c r="E1582" s="84">
        <v>1580.0</v>
      </c>
      <c r="F1582" s="48"/>
    </row>
    <row r="1583" ht="15.75" customHeight="1">
      <c r="A1583" s="48" t="s">
        <v>1655</v>
      </c>
      <c r="B1583" s="48" t="s">
        <v>4253</v>
      </c>
      <c r="C1583" s="62" t="s">
        <v>1656</v>
      </c>
      <c r="D1583" s="83" t="s">
        <v>909</v>
      </c>
      <c r="E1583" s="84">
        <v>1581.0</v>
      </c>
      <c r="F1583" s="48"/>
    </row>
    <row r="1584" ht="15.75" customHeight="1">
      <c r="A1584" s="48" t="s">
        <v>1657</v>
      </c>
      <c r="B1584" s="48" t="s">
        <v>1658</v>
      </c>
      <c r="C1584" s="62" t="s">
        <v>4254</v>
      </c>
      <c r="D1584" s="83" t="s">
        <v>921</v>
      </c>
      <c r="E1584" s="84">
        <v>1582.0</v>
      </c>
      <c r="F1584" s="48"/>
    </row>
    <row r="1585" ht="15.75" customHeight="1">
      <c r="A1585" s="48" t="s">
        <v>4255</v>
      </c>
      <c r="B1585" s="48" t="s">
        <v>4256</v>
      </c>
      <c r="C1585" s="62" t="s">
        <v>4257</v>
      </c>
      <c r="D1585" s="83" t="s">
        <v>1444</v>
      </c>
      <c r="E1585" s="84">
        <v>1583.0</v>
      </c>
      <c r="F1585" s="48"/>
    </row>
    <row r="1586" ht="15.75" customHeight="1">
      <c r="A1586" s="48" t="s">
        <v>4258</v>
      </c>
      <c r="B1586" s="48" t="s">
        <v>4259</v>
      </c>
      <c r="C1586" s="62" t="s">
        <v>4260</v>
      </c>
      <c r="D1586" s="83" t="s">
        <v>1444</v>
      </c>
      <c r="E1586" s="84">
        <v>1584.0</v>
      </c>
      <c r="F1586" s="48"/>
    </row>
    <row r="1587" ht="15.75" customHeight="1">
      <c r="A1587" s="48" t="s">
        <v>763</v>
      </c>
      <c r="B1587" s="48" t="s">
        <v>198</v>
      </c>
      <c r="C1587" s="62" t="s">
        <v>764</v>
      </c>
      <c r="D1587" s="83" t="s">
        <v>765</v>
      </c>
      <c r="E1587" s="84">
        <v>1585.0</v>
      </c>
      <c r="F1587" s="48"/>
    </row>
    <row r="1588" ht="15.75" customHeight="1">
      <c r="A1588" s="128" t="s">
        <v>1717</v>
      </c>
      <c r="B1588" s="128" t="s">
        <v>4261</v>
      </c>
      <c r="C1588" s="129" t="s">
        <v>4262</v>
      </c>
      <c r="D1588" s="83" t="s">
        <v>921</v>
      </c>
      <c r="E1588" s="84">
        <v>1586.0</v>
      </c>
      <c r="F1588" s="48"/>
    </row>
    <row r="1589" ht="15.75" customHeight="1">
      <c r="A1589" s="128" t="s">
        <v>2007</v>
      </c>
      <c r="B1589" s="128" t="s">
        <v>198</v>
      </c>
      <c r="C1589" s="129" t="s">
        <v>4263</v>
      </c>
      <c r="D1589" s="83" t="s">
        <v>921</v>
      </c>
      <c r="E1589" s="84">
        <v>1587.0</v>
      </c>
      <c r="F1589" s="48"/>
    </row>
    <row r="1590" ht="15.75" customHeight="1">
      <c r="A1590" s="128" t="s">
        <v>4264</v>
      </c>
      <c r="B1590" s="128" t="s">
        <v>198</v>
      </c>
      <c r="C1590" s="129" t="s">
        <v>4265</v>
      </c>
      <c r="D1590" s="83" t="s">
        <v>921</v>
      </c>
      <c r="E1590" s="84">
        <v>1588.0</v>
      </c>
      <c r="F1590" s="48"/>
    </row>
    <row r="1591" ht="15.75" customHeight="1">
      <c r="A1591" s="128" t="s">
        <v>4266</v>
      </c>
      <c r="B1591" s="128" t="s">
        <v>4267</v>
      </c>
      <c r="C1591" s="129" t="s">
        <v>4268</v>
      </c>
      <c r="D1591" s="83" t="s">
        <v>921</v>
      </c>
      <c r="E1591" s="84">
        <v>1589.0</v>
      </c>
      <c r="F1591" s="48"/>
    </row>
    <row r="1592" ht="15.75" customHeight="1">
      <c r="A1592" s="128" t="s">
        <v>4269</v>
      </c>
      <c r="B1592" s="128" t="s">
        <v>198</v>
      </c>
      <c r="C1592" s="129" t="s">
        <v>4270</v>
      </c>
      <c r="D1592" s="83" t="s">
        <v>921</v>
      </c>
      <c r="E1592" s="84">
        <v>1590.0</v>
      </c>
      <c r="F1592" s="48"/>
    </row>
    <row r="1593" ht="15.75" customHeight="1">
      <c r="A1593" s="128" t="s">
        <v>4271</v>
      </c>
      <c r="B1593" s="128" t="s">
        <v>4272</v>
      </c>
      <c r="C1593" s="129" t="s">
        <v>4273</v>
      </c>
      <c r="D1593" s="83" t="s">
        <v>921</v>
      </c>
      <c r="E1593" s="84">
        <v>1591.0</v>
      </c>
      <c r="F1593" s="48"/>
    </row>
    <row r="1594" ht="15.75" customHeight="1">
      <c r="A1594" s="128" t="s">
        <v>3365</v>
      </c>
      <c r="B1594" s="128"/>
      <c r="C1594" s="129" t="s">
        <v>3366</v>
      </c>
      <c r="D1594" s="83" t="s">
        <v>921</v>
      </c>
      <c r="E1594" s="84">
        <v>1592.0</v>
      </c>
      <c r="F1594" s="48"/>
    </row>
    <row r="1595" ht="15.75" customHeight="1">
      <c r="A1595" s="128"/>
      <c r="B1595" s="128"/>
      <c r="C1595" s="128"/>
      <c r="D1595" s="83"/>
      <c r="E1595" s="84">
        <v>1593.0</v>
      </c>
      <c r="F1595" s="48"/>
    </row>
    <row r="1596" ht="15.75" customHeight="1">
      <c r="A1596" s="128" t="s">
        <v>4274</v>
      </c>
      <c r="B1596" s="128" t="s">
        <v>139</v>
      </c>
      <c r="C1596" s="129" t="s">
        <v>4275</v>
      </c>
      <c r="D1596" s="83" t="s">
        <v>921</v>
      </c>
      <c r="E1596" s="84">
        <v>1594.0</v>
      </c>
      <c r="F1596" s="48"/>
    </row>
    <row r="1597" ht="15.75" customHeight="1">
      <c r="A1597" s="128" t="s">
        <v>4276</v>
      </c>
      <c r="B1597" s="128" t="s">
        <v>4277</v>
      </c>
      <c r="C1597" s="129" t="s">
        <v>4278</v>
      </c>
      <c r="D1597" s="83" t="s">
        <v>921</v>
      </c>
      <c r="E1597" s="84">
        <v>1595.0</v>
      </c>
      <c r="F1597" s="48"/>
    </row>
    <row r="1598" ht="15.75" customHeight="1">
      <c r="A1598" s="128" t="s">
        <v>4279</v>
      </c>
      <c r="B1598" s="130"/>
      <c r="C1598" s="129" t="s">
        <v>4280</v>
      </c>
      <c r="D1598" s="83" t="s">
        <v>921</v>
      </c>
      <c r="E1598" s="84">
        <v>1596.0</v>
      </c>
      <c r="F1598" s="48"/>
    </row>
    <row r="1599" ht="15.75" customHeight="1">
      <c r="A1599" s="128" t="s">
        <v>4281</v>
      </c>
      <c r="B1599" s="128"/>
      <c r="C1599" s="129" t="s">
        <v>4282</v>
      </c>
      <c r="D1599" s="83" t="s">
        <v>921</v>
      </c>
      <c r="E1599" s="84">
        <v>1597.0</v>
      </c>
      <c r="F1599" s="48"/>
    </row>
    <row r="1600" ht="15.75" customHeight="1">
      <c r="A1600" s="128" t="s">
        <v>4283</v>
      </c>
      <c r="B1600" s="128"/>
      <c r="C1600" s="129" t="s">
        <v>4284</v>
      </c>
      <c r="D1600" s="83" t="s">
        <v>921</v>
      </c>
      <c r="E1600" s="84">
        <v>1598.0</v>
      </c>
      <c r="F1600" s="48"/>
    </row>
    <row r="1601" ht="15.75" customHeight="1">
      <c r="A1601" s="128" t="s">
        <v>4285</v>
      </c>
      <c r="B1601" s="128" t="s">
        <v>4286</v>
      </c>
      <c r="C1601" s="129" t="s">
        <v>4287</v>
      </c>
      <c r="D1601" s="83" t="s">
        <v>921</v>
      </c>
      <c r="E1601" s="84">
        <v>1599.0</v>
      </c>
      <c r="F1601" s="48"/>
    </row>
    <row r="1602" ht="15.75" customHeight="1">
      <c r="A1602" s="128" t="s">
        <v>4288</v>
      </c>
      <c r="B1602" s="128"/>
      <c r="C1602" s="129" t="s">
        <v>4289</v>
      </c>
      <c r="D1602" s="83" t="s">
        <v>921</v>
      </c>
      <c r="E1602" s="84">
        <v>1600.0</v>
      </c>
      <c r="F1602" s="48"/>
    </row>
    <row r="1603" ht="15.75" customHeight="1">
      <c r="A1603" s="128" t="s">
        <v>4290</v>
      </c>
      <c r="B1603" s="128"/>
      <c r="C1603" s="129" t="s">
        <v>4291</v>
      </c>
      <c r="D1603" s="83" t="s">
        <v>921</v>
      </c>
      <c r="E1603" s="84">
        <v>1601.0</v>
      </c>
      <c r="F1603" s="48"/>
    </row>
    <row r="1604" ht="15.75" customHeight="1">
      <c r="A1604" s="128" t="s">
        <v>4292</v>
      </c>
      <c r="B1604" s="128" t="s">
        <v>4293</v>
      </c>
      <c r="C1604" s="131" t="s">
        <v>4294</v>
      </c>
      <c r="D1604" s="83" t="s">
        <v>921</v>
      </c>
      <c r="E1604" s="84">
        <v>1602.0</v>
      </c>
      <c r="F1604" s="48"/>
    </row>
    <row r="1605" ht="15.75" customHeight="1">
      <c r="A1605" s="128" t="s">
        <v>2791</v>
      </c>
      <c r="B1605" s="128" t="s">
        <v>4295</v>
      </c>
      <c r="C1605" s="128" t="s">
        <v>198</v>
      </c>
      <c r="D1605" s="83" t="s">
        <v>921</v>
      </c>
      <c r="E1605" s="84">
        <v>1603.0</v>
      </c>
      <c r="F1605" s="48"/>
    </row>
    <row r="1606" ht="15.75" customHeight="1">
      <c r="A1606" s="128" t="s">
        <v>4296</v>
      </c>
      <c r="B1606" s="128" t="s">
        <v>139</v>
      </c>
      <c r="C1606" s="129" t="s">
        <v>4297</v>
      </c>
      <c r="D1606" s="83" t="s">
        <v>921</v>
      </c>
      <c r="E1606" s="84">
        <v>1604.0</v>
      </c>
      <c r="F1606" s="48"/>
    </row>
    <row r="1607" ht="15.75" customHeight="1">
      <c r="A1607" s="128" t="s">
        <v>4298</v>
      </c>
      <c r="B1607" s="128" t="s">
        <v>4299</v>
      </c>
      <c r="C1607" s="129" t="s">
        <v>4300</v>
      </c>
      <c r="D1607" s="83" t="s">
        <v>921</v>
      </c>
      <c r="E1607" s="84">
        <v>1605.0</v>
      </c>
      <c r="F1607" s="48"/>
    </row>
    <row r="1608" ht="15.75" customHeight="1">
      <c r="A1608" s="128" t="s">
        <v>3347</v>
      </c>
      <c r="B1608" s="128" t="s">
        <v>4301</v>
      </c>
      <c r="C1608" s="129" t="s">
        <v>4302</v>
      </c>
      <c r="D1608" s="83" t="s">
        <v>921</v>
      </c>
      <c r="E1608" s="84">
        <v>1606.0</v>
      </c>
      <c r="F1608" s="48"/>
    </row>
    <row r="1609" ht="15.75" customHeight="1">
      <c r="A1609" s="128" t="s">
        <v>4303</v>
      </c>
      <c r="B1609" s="128"/>
      <c r="C1609" s="129" t="s">
        <v>4304</v>
      </c>
      <c r="D1609" s="83" t="s">
        <v>921</v>
      </c>
      <c r="E1609" s="84">
        <v>1607.0</v>
      </c>
      <c r="F1609" s="48"/>
    </row>
    <row r="1610" ht="15.75" customHeight="1">
      <c r="A1610" s="128" t="s">
        <v>2898</v>
      </c>
      <c r="B1610" s="128"/>
      <c r="C1610" s="129" t="s">
        <v>4305</v>
      </c>
      <c r="D1610" s="83" t="s">
        <v>921</v>
      </c>
      <c r="E1610" s="84">
        <v>1608.0</v>
      </c>
      <c r="F1610" s="48"/>
    </row>
    <row r="1611" ht="15.75" customHeight="1">
      <c r="A1611" s="128" t="s">
        <v>4306</v>
      </c>
      <c r="B1611" s="128"/>
      <c r="C1611" s="129" t="s">
        <v>4307</v>
      </c>
      <c r="D1611" s="83" t="s">
        <v>921</v>
      </c>
      <c r="E1611" s="84">
        <v>1609.0</v>
      </c>
      <c r="F1611" s="48"/>
    </row>
    <row r="1612" ht="15.75" customHeight="1">
      <c r="A1612" s="128" t="s">
        <v>3298</v>
      </c>
      <c r="B1612" s="128" t="s">
        <v>3299</v>
      </c>
      <c r="C1612" s="129" t="s">
        <v>4308</v>
      </c>
      <c r="D1612" s="83" t="s">
        <v>921</v>
      </c>
      <c r="E1612" s="84">
        <v>1610.0</v>
      </c>
      <c r="F1612" s="48"/>
    </row>
    <row r="1613" ht="15.75" customHeight="1">
      <c r="A1613" s="128" t="s">
        <v>4309</v>
      </c>
      <c r="B1613" s="128"/>
      <c r="C1613" s="129" t="s">
        <v>4310</v>
      </c>
      <c r="D1613" s="83" t="s">
        <v>921</v>
      </c>
      <c r="E1613" s="84">
        <v>1611.0</v>
      </c>
      <c r="F1613" s="48"/>
    </row>
    <row r="1614" ht="15.75" customHeight="1">
      <c r="A1614" s="130" t="s">
        <v>3423</v>
      </c>
      <c r="B1614" s="128"/>
      <c r="C1614" s="129" t="s">
        <v>4311</v>
      </c>
      <c r="D1614" s="83" t="s">
        <v>921</v>
      </c>
      <c r="E1614" s="84">
        <v>1612.0</v>
      </c>
      <c r="F1614" s="48"/>
    </row>
    <row r="1615" ht="15.75" customHeight="1">
      <c r="A1615" s="128" t="s">
        <v>4312</v>
      </c>
      <c r="B1615" s="128"/>
      <c r="C1615" s="129" t="s">
        <v>4313</v>
      </c>
      <c r="D1615" s="83" t="s">
        <v>921</v>
      </c>
      <c r="E1615" s="84">
        <v>1613.0</v>
      </c>
      <c r="F1615" s="48"/>
    </row>
    <row r="1616" ht="15.75" customHeight="1">
      <c r="A1616" s="128" t="s">
        <v>4314</v>
      </c>
      <c r="B1616" s="128" t="s">
        <v>4315</v>
      </c>
      <c r="C1616" s="129" t="s">
        <v>4316</v>
      </c>
      <c r="D1616" s="83" t="s">
        <v>921</v>
      </c>
      <c r="E1616" s="84">
        <v>1614.0</v>
      </c>
      <c r="F1616" s="48"/>
    </row>
    <row r="1617" ht="15.75" customHeight="1">
      <c r="A1617" s="128" t="s">
        <v>4317</v>
      </c>
      <c r="B1617" s="128" t="s">
        <v>4318</v>
      </c>
      <c r="C1617" s="129" t="s">
        <v>4319</v>
      </c>
      <c r="D1617" s="83" t="s">
        <v>921</v>
      </c>
      <c r="E1617" s="84">
        <v>1615.0</v>
      </c>
      <c r="F1617" s="48"/>
    </row>
    <row r="1618" ht="15.75" customHeight="1">
      <c r="A1618" s="128" t="s">
        <v>4320</v>
      </c>
      <c r="B1618" s="128" t="s">
        <v>4321</v>
      </c>
      <c r="C1618" s="129" t="s">
        <v>4322</v>
      </c>
      <c r="D1618" s="83" t="s">
        <v>921</v>
      </c>
      <c r="E1618" s="84">
        <v>1616.0</v>
      </c>
      <c r="F1618" s="48"/>
    </row>
    <row r="1619" ht="15.75" customHeight="1">
      <c r="A1619" s="128" t="s">
        <v>4323</v>
      </c>
      <c r="B1619" s="128" t="s">
        <v>4324</v>
      </c>
      <c r="C1619" s="129" t="s">
        <v>4325</v>
      </c>
      <c r="D1619" s="83" t="s">
        <v>921</v>
      </c>
      <c r="E1619" s="84">
        <v>1617.0</v>
      </c>
      <c r="F1619" s="48"/>
    </row>
    <row r="1620" ht="15.75" customHeight="1">
      <c r="A1620" s="128" t="s">
        <v>4326</v>
      </c>
      <c r="B1620" s="128" t="s">
        <v>4327</v>
      </c>
      <c r="C1620" s="129" t="s">
        <v>4328</v>
      </c>
      <c r="D1620" s="83" t="s">
        <v>921</v>
      </c>
      <c r="E1620" s="84">
        <v>1618.0</v>
      </c>
      <c r="F1620" s="48"/>
    </row>
    <row r="1621" ht="15.75" customHeight="1">
      <c r="A1621" s="128" t="s">
        <v>4329</v>
      </c>
      <c r="B1621" s="128" t="s">
        <v>4330</v>
      </c>
      <c r="C1621" s="129" t="s">
        <v>4331</v>
      </c>
      <c r="D1621" s="83" t="s">
        <v>921</v>
      </c>
      <c r="E1621" s="84">
        <v>1619.0</v>
      </c>
      <c r="F1621" s="48"/>
    </row>
    <row r="1622" ht="15.75" customHeight="1">
      <c r="A1622" s="128" t="s">
        <v>4332</v>
      </c>
      <c r="B1622" s="128" t="s">
        <v>4333</v>
      </c>
      <c r="C1622" s="129" t="s">
        <v>4334</v>
      </c>
      <c r="D1622" s="83" t="s">
        <v>921</v>
      </c>
      <c r="E1622" s="84">
        <v>1620.0</v>
      </c>
      <c r="F1622" s="48"/>
    </row>
    <row r="1623" ht="15.75" customHeight="1">
      <c r="A1623" s="128" t="s">
        <v>4335</v>
      </c>
      <c r="B1623" s="128" t="s">
        <v>4336</v>
      </c>
      <c r="C1623" s="129" t="s">
        <v>4337</v>
      </c>
      <c r="D1623" s="83" t="s">
        <v>921</v>
      </c>
      <c r="E1623" s="84">
        <v>1621.0</v>
      </c>
      <c r="F1623" s="48"/>
    </row>
    <row r="1624" ht="15.75" customHeight="1">
      <c r="A1624" s="128" t="s">
        <v>4338</v>
      </c>
      <c r="B1624" s="128"/>
      <c r="C1624" s="129" t="s">
        <v>4339</v>
      </c>
      <c r="D1624" s="83" t="s">
        <v>921</v>
      </c>
      <c r="E1624" s="84">
        <v>1622.0</v>
      </c>
      <c r="F1624" s="48"/>
    </row>
    <row r="1625" ht="15.75" customHeight="1">
      <c r="A1625" s="128" t="s">
        <v>4340</v>
      </c>
      <c r="B1625" s="128" t="s">
        <v>4341</v>
      </c>
      <c r="C1625" s="129" t="s">
        <v>4342</v>
      </c>
      <c r="D1625" s="83" t="s">
        <v>921</v>
      </c>
      <c r="E1625" s="84">
        <v>1623.0</v>
      </c>
      <c r="F1625" s="48"/>
    </row>
    <row r="1626" ht="15.75" customHeight="1">
      <c r="A1626" s="128" t="s">
        <v>4343</v>
      </c>
      <c r="B1626" s="128" t="s">
        <v>198</v>
      </c>
      <c r="C1626" s="129" t="s">
        <v>4344</v>
      </c>
      <c r="D1626" s="83" t="s">
        <v>921</v>
      </c>
      <c r="E1626" s="84">
        <v>1624.0</v>
      </c>
      <c r="F1626" s="48"/>
    </row>
    <row r="1627" ht="15.75" customHeight="1">
      <c r="A1627" s="128" t="s">
        <v>4345</v>
      </c>
      <c r="B1627" s="128" t="s">
        <v>4346</v>
      </c>
      <c r="C1627" s="129" t="s">
        <v>4347</v>
      </c>
      <c r="D1627" s="83" t="s">
        <v>921</v>
      </c>
      <c r="E1627" s="84">
        <v>1625.0</v>
      </c>
      <c r="F1627" s="48"/>
    </row>
    <row r="1628" ht="15.75" customHeight="1">
      <c r="A1628" s="128" t="s">
        <v>4348</v>
      </c>
      <c r="B1628" s="128"/>
      <c r="C1628" s="129" t="s">
        <v>4349</v>
      </c>
      <c r="D1628" s="83" t="s">
        <v>921</v>
      </c>
      <c r="E1628" s="84">
        <v>1626.0</v>
      </c>
      <c r="F1628" s="48"/>
    </row>
    <row r="1629" ht="15.75" customHeight="1">
      <c r="A1629" s="128" t="s">
        <v>4350</v>
      </c>
      <c r="B1629" s="128" t="s">
        <v>4351</v>
      </c>
      <c r="C1629" s="129" t="s">
        <v>4352</v>
      </c>
      <c r="D1629" s="83" t="s">
        <v>921</v>
      </c>
      <c r="E1629" s="84">
        <v>1627.0</v>
      </c>
      <c r="F1629" s="48"/>
    </row>
    <row r="1630" ht="15.75" customHeight="1">
      <c r="A1630" s="128" t="s">
        <v>2485</v>
      </c>
      <c r="B1630" s="128"/>
      <c r="C1630" s="129" t="s">
        <v>4353</v>
      </c>
      <c r="D1630" s="83" t="s">
        <v>921</v>
      </c>
      <c r="E1630" s="84">
        <v>1628.0</v>
      </c>
      <c r="F1630" s="48"/>
    </row>
    <row r="1631" ht="15.75" customHeight="1">
      <c r="A1631" s="128" t="s">
        <v>4354</v>
      </c>
      <c r="B1631" s="128"/>
      <c r="C1631" s="129" t="s">
        <v>4355</v>
      </c>
      <c r="D1631" s="83" t="s">
        <v>921</v>
      </c>
      <c r="E1631" s="84">
        <v>1629.0</v>
      </c>
      <c r="F1631" s="48"/>
    </row>
    <row r="1632" ht="15.75" customHeight="1">
      <c r="A1632" s="128" t="s">
        <v>4356</v>
      </c>
      <c r="B1632" s="128"/>
      <c r="C1632" s="129" t="s">
        <v>4357</v>
      </c>
      <c r="D1632" s="83" t="s">
        <v>921</v>
      </c>
      <c r="E1632" s="84">
        <v>1630.0</v>
      </c>
      <c r="F1632" s="48"/>
    </row>
    <row r="1633" ht="15.75" customHeight="1">
      <c r="A1633" s="128" t="s">
        <v>1762</v>
      </c>
      <c r="B1633" s="128"/>
      <c r="C1633" s="129" t="s">
        <v>4358</v>
      </c>
      <c r="D1633" s="83" t="s">
        <v>921</v>
      </c>
      <c r="E1633" s="84">
        <v>1631.0</v>
      </c>
      <c r="F1633" s="48"/>
    </row>
    <row r="1634" ht="15.75" customHeight="1">
      <c r="A1634" s="128" t="s">
        <v>4359</v>
      </c>
      <c r="B1634" s="128" t="s">
        <v>4360</v>
      </c>
      <c r="C1634" s="128" t="s">
        <v>198</v>
      </c>
      <c r="D1634" s="83" t="s">
        <v>921</v>
      </c>
      <c r="E1634" s="84">
        <v>1632.0</v>
      </c>
      <c r="F1634" s="48"/>
    </row>
    <row r="1635" ht="15.75" customHeight="1">
      <c r="A1635" s="128" t="s">
        <v>4361</v>
      </c>
      <c r="B1635" s="130" t="s">
        <v>4362</v>
      </c>
      <c r="C1635" s="129" t="s">
        <v>4363</v>
      </c>
      <c r="D1635" s="83" t="s">
        <v>921</v>
      </c>
      <c r="E1635" s="84">
        <v>1633.0</v>
      </c>
      <c r="F1635" s="48"/>
    </row>
    <row r="1636" ht="15.75" customHeight="1">
      <c r="A1636" s="132" t="s">
        <v>4364</v>
      </c>
      <c r="B1636" s="128"/>
      <c r="C1636" s="129" t="s">
        <v>4365</v>
      </c>
      <c r="D1636" s="83" t="s">
        <v>921</v>
      </c>
      <c r="E1636" s="84">
        <v>1634.0</v>
      </c>
      <c r="F1636" s="48"/>
    </row>
    <row r="1637" ht="15.75" customHeight="1">
      <c r="A1637" s="133" t="s">
        <v>4366</v>
      </c>
      <c r="B1637" s="128" t="s">
        <v>4367</v>
      </c>
      <c r="C1637" s="129" t="s">
        <v>4368</v>
      </c>
      <c r="D1637" s="83" t="s">
        <v>921</v>
      </c>
      <c r="E1637" s="84">
        <v>1635.0</v>
      </c>
      <c r="F1637" s="48"/>
    </row>
    <row r="1638" ht="15.75" customHeight="1">
      <c r="A1638" s="130" t="s">
        <v>4369</v>
      </c>
      <c r="B1638" s="128" t="s">
        <v>4370</v>
      </c>
      <c r="C1638" s="129" t="s">
        <v>4371</v>
      </c>
      <c r="D1638" s="83" t="s">
        <v>921</v>
      </c>
      <c r="E1638" s="84">
        <v>1636.0</v>
      </c>
      <c r="F1638" s="48"/>
    </row>
    <row r="1639" ht="15.75" customHeight="1">
      <c r="A1639" s="128" t="s">
        <v>4372</v>
      </c>
      <c r="B1639" s="128" t="s">
        <v>4373</v>
      </c>
      <c r="C1639" s="129" t="s">
        <v>4374</v>
      </c>
      <c r="D1639" s="83" t="s">
        <v>921</v>
      </c>
      <c r="E1639" s="84">
        <v>1637.0</v>
      </c>
      <c r="F1639" s="48"/>
    </row>
    <row r="1640" ht="15.75" customHeight="1">
      <c r="A1640" s="128" t="s">
        <v>4375</v>
      </c>
      <c r="B1640" s="128" t="s">
        <v>4376</v>
      </c>
      <c r="C1640" s="134" t="s">
        <v>4377</v>
      </c>
      <c r="D1640" s="83" t="s">
        <v>921</v>
      </c>
      <c r="E1640" s="84">
        <v>1638.0</v>
      </c>
      <c r="F1640" s="48"/>
    </row>
    <row r="1641" ht="15.75" customHeight="1">
      <c r="A1641" s="128" t="s">
        <v>4378</v>
      </c>
      <c r="B1641" s="128" t="s">
        <v>4379</v>
      </c>
      <c r="C1641" s="134" t="s">
        <v>4380</v>
      </c>
      <c r="D1641" s="83" t="s">
        <v>921</v>
      </c>
      <c r="E1641" s="84">
        <v>1639.0</v>
      </c>
      <c r="F1641" s="48"/>
    </row>
    <row r="1642" ht="15.75" customHeight="1">
      <c r="A1642" s="128" t="s">
        <v>4381</v>
      </c>
      <c r="B1642" s="128" t="s">
        <v>4382</v>
      </c>
      <c r="C1642" s="134" t="s">
        <v>4383</v>
      </c>
      <c r="D1642" s="83" t="s">
        <v>921</v>
      </c>
      <c r="E1642" s="84">
        <v>1640.0</v>
      </c>
      <c r="F1642" s="48"/>
    </row>
    <row r="1643" ht="15.75" customHeight="1">
      <c r="A1643" s="128" t="s">
        <v>4384</v>
      </c>
      <c r="B1643" s="128" t="s">
        <v>4385</v>
      </c>
      <c r="C1643" s="134" t="s">
        <v>4380</v>
      </c>
      <c r="D1643" s="83" t="s">
        <v>921</v>
      </c>
      <c r="E1643" s="84">
        <v>1641.0</v>
      </c>
      <c r="F1643" s="48"/>
    </row>
    <row r="1644" ht="15.75" customHeight="1">
      <c r="A1644" s="128" t="s">
        <v>4386</v>
      </c>
      <c r="B1644" s="128" t="s">
        <v>4228</v>
      </c>
      <c r="C1644" s="134" t="s">
        <v>4387</v>
      </c>
      <c r="D1644" s="83" t="s">
        <v>921</v>
      </c>
      <c r="E1644" s="84">
        <v>1642.0</v>
      </c>
      <c r="F1644" s="48"/>
    </row>
    <row r="1645" ht="15.75" customHeight="1">
      <c r="A1645" s="128" t="s">
        <v>2405</v>
      </c>
      <c r="B1645" s="128"/>
      <c r="C1645" s="134" t="s">
        <v>4388</v>
      </c>
      <c r="D1645" s="83" t="s">
        <v>921</v>
      </c>
      <c r="E1645" s="84">
        <v>1643.0</v>
      </c>
      <c r="F1645" s="48"/>
    </row>
    <row r="1646" ht="15.75" customHeight="1">
      <c r="A1646" s="128" t="s">
        <v>4389</v>
      </c>
      <c r="B1646" s="128"/>
      <c r="C1646" s="134" t="s">
        <v>4390</v>
      </c>
      <c r="D1646" s="83" t="s">
        <v>921</v>
      </c>
      <c r="E1646" s="84">
        <v>1644.0</v>
      </c>
      <c r="F1646" s="48"/>
    </row>
    <row r="1647" ht="15.75" customHeight="1">
      <c r="A1647" s="128" t="s">
        <v>4391</v>
      </c>
      <c r="B1647" s="128"/>
      <c r="C1647" s="134" t="s">
        <v>4392</v>
      </c>
      <c r="D1647" s="83" t="s">
        <v>921</v>
      </c>
      <c r="E1647" s="84">
        <v>1645.0</v>
      </c>
      <c r="F1647" s="48"/>
    </row>
    <row r="1648" ht="15.75" customHeight="1">
      <c r="A1648" s="128" t="s">
        <v>4393</v>
      </c>
      <c r="B1648" s="128" t="s">
        <v>4394</v>
      </c>
      <c r="C1648" s="134" t="s">
        <v>4395</v>
      </c>
      <c r="D1648" s="83" t="s">
        <v>921</v>
      </c>
      <c r="E1648" s="84">
        <v>1646.0</v>
      </c>
      <c r="F1648" s="48"/>
    </row>
    <row r="1649" ht="15.75" customHeight="1">
      <c r="A1649" s="128" t="s">
        <v>4364</v>
      </c>
      <c r="B1649" s="128" t="s">
        <v>4396</v>
      </c>
      <c r="C1649" s="134" t="s">
        <v>4397</v>
      </c>
      <c r="D1649" s="83" t="s">
        <v>921</v>
      </c>
      <c r="E1649" s="84">
        <v>1647.0</v>
      </c>
      <c r="F1649" s="48"/>
    </row>
    <row r="1650" ht="15.75" customHeight="1">
      <c r="A1650" s="128" t="s">
        <v>4398</v>
      </c>
      <c r="B1650" s="128" t="s">
        <v>4399</v>
      </c>
      <c r="C1650" s="135"/>
      <c r="D1650" s="83" t="s">
        <v>921</v>
      </c>
      <c r="E1650" s="84">
        <v>1648.0</v>
      </c>
      <c r="F1650" s="48"/>
    </row>
    <row r="1651" ht="15.75" customHeight="1">
      <c r="A1651" s="128" t="s">
        <v>4400</v>
      </c>
      <c r="B1651" s="128" t="s">
        <v>4401</v>
      </c>
      <c r="C1651" s="134" t="s">
        <v>4402</v>
      </c>
      <c r="D1651" s="83" t="s">
        <v>921</v>
      </c>
      <c r="E1651" s="84">
        <v>1649.0</v>
      </c>
      <c r="F1651" s="48"/>
    </row>
    <row r="1652" ht="15.75" customHeight="1">
      <c r="A1652" s="128" t="s">
        <v>4403</v>
      </c>
      <c r="B1652" s="128" t="s">
        <v>4404</v>
      </c>
      <c r="C1652" s="134" t="s">
        <v>4405</v>
      </c>
      <c r="D1652" s="83" t="s">
        <v>921</v>
      </c>
      <c r="E1652" s="84">
        <v>1650.0</v>
      </c>
      <c r="F1652" s="48"/>
    </row>
    <row r="1653" ht="15.75" customHeight="1">
      <c r="A1653" s="128" t="s">
        <v>4406</v>
      </c>
      <c r="B1653" s="128" t="s">
        <v>4407</v>
      </c>
      <c r="C1653" s="134" t="s">
        <v>4408</v>
      </c>
      <c r="D1653" s="83" t="s">
        <v>921</v>
      </c>
      <c r="E1653" s="84">
        <v>1651.0</v>
      </c>
      <c r="F1653" s="48"/>
    </row>
    <row r="1654" ht="15.75" customHeight="1">
      <c r="A1654" s="128" t="s">
        <v>4409</v>
      </c>
      <c r="B1654" s="128" t="s">
        <v>198</v>
      </c>
      <c r="C1654" s="134" t="s">
        <v>4410</v>
      </c>
      <c r="D1654" s="83" t="s">
        <v>921</v>
      </c>
      <c r="E1654" s="84">
        <v>1652.0</v>
      </c>
      <c r="F1654" s="48"/>
    </row>
    <row r="1655" ht="15.75" customHeight="1">
      <c r="A1655" s="128" t="s">
        <v>4411</v>
      </c>
      <c r="B1655" s="128" t="s">
        <v>4412</v>
      </c>
      <c r="C1655" s="134" t="s">
        <v>4413</v>
      </c>
      <c r="D1655" s="83" t="s">
        <v>921</v>
      </c>
      <c r="E1655" s="84">
        <v>1653.0</v>
      </c>
      <c r="F1655" s="48"/>
    </row>
    <row r="1656" ht="15.75" customHeight="1">
      <c r="A1656" s="128" t="s">
        <v>4414</v>
      </c>
      <c r="B1656" s="128" t="s">
        <v>4415</v>
      </c>
      <c r="C1656" s="136" t="s">
        <v>139</v>
      </c>
      <c r="D1656" s="83" t="s">
        <v>921</v>
      </c>
      <c r="E1656" s="84">
        <v>1654.0</v>
      </c>
      <c r="F1656" s="48"/>
    </row>
    <row r="1657" ht="15.75" customHeight="1">
      <c r="A1657" s="128" t="s">
        <v>4416</v>
      </c>
      <c r="B1657" s="128" t="s">
        <v>4417</v>
      </c>
      <c r="C1657" s="134" t="s">
        <v>4418</v>
      </c>
      <c r="D1657" s="83" t="s">
        <v>921</v>
      </c>
      <c r="E1657" s="84">
        <v>1655.0</v>
      </c>
      <c r="F1657" s="48"/>
    </row>
    <row r="1658" ht="15.75" customHeight="1">
      <c r="A1658" s="128" t="s">
        <v>4419</v>
      </c>
      <c r="B1658" s="128"/>
      <c r="C1658" s="134" t="s">
        <v>4420</v>
      </c>
      <c r="D1658" s="83" t="s">
        <v>921</v>
      </c>
      <c r="E1658" s="84">
        <v>1656.0</v>
      </c>
      <c r="F1658" s="48"/>
    </row>
    <row r="1659" ht="15.75" customHeight="1">
      <c r="A1659" s="128" t="s">
        <v>4421</v>
      </c>
      <c r="B1659" s="128" t="s">
        <v>4422</v>
      </c>
      <c r="C1659" s="134" t="s">
        <v>4423</v>
      </c>
      <c r="D1659" s="83" t="s">
        <v>921</v>
      </c>
      <c r="E1659" s="84">
        <v>1657.0</v>
      </c>
      <c r="F1659" s="48"/>
    </row>
    <row r="1660" ht="15.75" customHeight="1">
      <c r="A1660" s="128" t="s">
        <v>4424</v>
      </c>
      <c r="B1660" s="128"/>
      <c r="C1660" s="134" t="s">
        <v>4425</v>
      </c>
      <c r="D1660" s="83" t="s">
        <v>921</v>
      </c>
      <c r="E1660" s="84">
        <v>1658.0</v>
      </c>
      <c r="F1660" s="48"/>
    </row>
    <row r="1661" ht="15.75" customHeight="1">
      <c r="A1661" s="128" t="s">
        <v>4426</v>
      </c>
      <c r="B1661" s="137" t="s">
        <v>4427</v>
      </c>
      <c r="C1661" s="134" t="s">
        <v>4428</v>
      </c>
      <c r="D1661" s="83" t="s">
        <v>921</v>
      </c>
      <c r="E1661" s="84">
        <v>1659.0</v>
      </c>
      <c r="F1661" s="48"/>
    </row>
    <row r="1662" ht="15.75" customHeight="1">
      <c r="A1662" s="128" t="s">
        <v>4429</v>
      </c>
      <c r="B1662" s="128" t="s">
        <v>4430</v>
      </c>
      <c r="C1662" s="134" t="s">
        <v>4431</v>
      </c>
      <c r="D1662" s="83" t="s">
        <v>921</v>
      </c>
      <c r="E1662" s="84">
        <v>1660.0</v>
      </c>
      <c r="F1662" s="48"/>
    </row>
    <row r="1663" ht="15.75" customHeight="1">
      <c r="A1663" s="128" t="s">
        <v>4432</v>
      </c>
      <c r="B1663" s="128" t="s">
        <v>4247</v>
      </c>
      <c r="C1663" s="134" t="s">
        <v>4248</v>
      </c>
      <c r="D1663" s="83" t="s">
        <v>921</v>
      </c>
      <c r="E1663" s="84">
        <v>1661.0</v>
      </c>
      <c r="F1663" s="48"/>
    </row>
    <row r="1664" ht="15.75" customHeight="1">
      <c r="A1664" s="128" t="s">
        <v>671</v>
      </c>
      <c r="B1664" s="128"/>
      <c r="C1664" s="134" t="s">
        <v>4433</v>
      </c>
      <c r="D1664" s="83" t="s">
        <v>921</v>
      </c>
      <c r="E1664" s="84">
        <v>1662.0</v>
      </c>
      <c r="F1664" s="48"/>
    </row>
    <row r="1665" ht="15.75" customHeight="1">
      <c r="A1665" s="128" t="s">
        <v>4434</v>
      </c>
      <c r="B1665" s="128"/>
      <c r="C1665" s="134" t="s">
        <v>4435</v>
      </c>
      <c r="D1665" s="83" t="s">
        <v>921</v>
      </c>
      <c r="E1665" s="84">
        <v>1663.0</v>
      </c>
      <c r="F1665" s="48"/>
    </row>
    <row r="1666" ht="15.75" customHeight="1">
      <c r="A1666" s="128" t="s">
        <v>4436</v>
      </c>
      <c r="B1666" s="128" t="s">
        <v>4437</v>
      </c>
      <c r="C1666" s="134" t="s">
        <v>4438</v>
      </c>
      <c r="D1666" s="83" t="s">
        <v>921</v>
      </c>
      <c r="E1666" s="84">
        <v>1664.0</v>
      </c>
      <c r="F1666" s="48"/>
    </row>
    <row r="1667" ht="15.75" customHeight="1">
      <c r="A1667" s="128" t="s">
        <v>4439</v>
      </c>
      <c r="B1667" s="128" t="s">
        <v>4440</v>
      </c>
      <c r="C1667" s="134" t="s">
        <v>4441</v>
      </c>
      <c r="D1667" s="83" t="s">
        <v>921</v>
      </c>
      <c r="E1667" s="84">
        <v>1665.0</v>
      </c>
      <c r="F1667" s="48"/>
    </row>
    <row r="1668" ht="15.75" customHeight="1">
      <c r="A1668" s="128" t="s">
        <v>4442</v>
      </c>
      <c r="B1668" s="128"/>
      <c r="C1668" s="134" t="s">
        <v>4443</v>
      </c>
      <c r="D1668" s="83" t="s">
        <v>921</v>
      </c>
      <c r="E1668" s="84">
        <v>1666.0</v>
      </c>
      <c r="F1668" s="48"/>
    </row>
    <row r="1669" ht="15.75" customHeight="1">
      <c r="A1669" s="128" t="s">
        <v>4444</v>
      </c>
      <c r="B1669" s="128"/>
      <c r="C1669" s="134" t="s">
        <v>4445</v>
      </c>
      <c r="D1669" s="83" t="s">
        <v>921</v>
      </c>
      <c r="E1669" s="84">
        <v>1667.0</v>
      </c>
      <c r="F1669" s="48"/>
    </row>
    <row r="1670" ht="15.75" customHeight="1">
      <c r="A1670" s="128" t="s">
        <v>4446</v>
      </c>
      <c r="B1670" s="128"/>
      <c r="C1670" s="134" t="s">
        <v>4447</v>
      </c>
      <c r="D1670" s="83" t="s">
        <v>921</v>
      </c>
      <c r="E1670" s="84">
        <v>1668.0</v>
      </c>
      <c r="F1670" s="48"/>
    </row>
    <row r="1671" ht="15.75" customHeight="1">
      <c r="A1671" s="128" t="s">
        <v>4448</v>
      </c>
      <c r="B1671" s="128"/>
      <c r="C1671" s="134" t="s">
        <v>4449</v>
      </c>
      <c r="D1671" s="83" t="s">
        <v>921</v>
      </c>
      <c r="E1671" s="84">
        <v>1669.0</v>
      </c>
      <c r="F1671" s="48"/>
    </row>
    <row r="1672" ht="15.0" customHeight="1">
      <c r="A1672" s="128" t="s">
        <v>4450</v>
      </c>
      <c r="B1672" s="128"/>
      <c r="C1672" s="134" t="s">
        <v>4451</v>
      </c>
      <c r="D1672" s="83" t="s">
        <v>921</v>
      </c>
      <c r="E1672" s="84">
        <v>1670.0</v>
      </c>
      <c r="F1672" s="48"/>
    </row>
    <row r="1673" ht="15.75" customHeight="1">
      <c r="A1673" s="128" t="s">
        <v>4452</v>
      </c>
      <c r="B1673" s="128"/>
      <c r="C1673" s="134" t="s">
        <v>4453</v>
      </c>
      <c r="D1673" s="83" t="s">
        <v>921</v>
      </c>
      <c r="E1673" s="84">
        <v>1671.0</v>
      </c>
      <c r="F1673" s="48"/>
    </row>
    <row r="1674" ht="15.75" customHeight="1">
      <c r="A1674" s="128" t="s">
        <v>4454</v>
      </c>
      <c r="B1674" s="128"/>
      <c r="C1674" s="134" t="s">
        <v>4455</v>
      </c>
      <c r="D1674" s="83" t="s">
        <v>921</v>
      </c>
      <c r="E1674" s="84">
        <v>1672.0</v>
      </c>
      <c r="F1674" s="48"/>
    </row>
    <row r="1675" ht="15.75" customHeight="1">
      <c r="A1675" s="48" t="s">
        <v>4456</v>
      </c>
      <c r="B1675" s="48" t="s">
        <v>4457</v>
      </c>
      <c r="C1675" s="101"/>
      <c r="D1675" s="83"/>
      <c r="E1675" s="84">
        <v>1673.0</v>
      </c>
      <c r="F1675" s="48"/>
    </row>
    <row r="1676" ht="15.75" customHeight="1">
      <c r="A1676" s="48" t="s">
        <v>4458</v>
      </c>
      <c r="B1676" s="48"/>
      <c r="C1676" s="102" t="s">
        <v>4459</v>
      </c>
      <c r="D1676" s="83" t="s">
        <v>921</v>
      </c>
      <c r="E1676" s="84">
        <v>1674.0</v>
      </c>
      <c r="F1676" s="48"/>
    </row>
    <row r="1677" ht="15.75" customHeight="1">
      <c r="A1677" s="48" t="s">
        <v>2791</v>
      </c>
      <c r="B1677" s="48"/>
      <c r="C1677" s="102" t="s">
        <v>4460</v>
      </c>
      <c r="D1677" s="83" t="s">
        <v>955</v>
      </c>
      <c r="E1677" s="84">
        <v>1675.0</v>
      </c>
      <c r="F1677" s="48"/>
    </row>
    <row r="1678" ht="15.75" customHeight="1">
      <c r="A1678" s="48" t="s">
        <v>4461</v>
      </c>
      <c r="B1678" s="48" t="s">
        <v>4462</v>
      </c>
      <c r="C1678" s="102" t="s">
        <v>4183</v>
      </c>
      <c r="D1678" s="83" t="s">
        <v>955</v>
      </c>
      <c r="E1678" s="84">
        <v>1676.0</v>
      </c>
      <c r="F1678" s="48"/>
    </row>
    <row r="1679" ht="15.75" customHeight="1">
      <c r="A1679" s="48" t="s">
        <v>4463</v>
      </c>
      <c r="B1679" s="48" t="s">
        <v>4464</v>
      </c>
      <c r="C1679" s="102" t="s">
        <v>4465</v>
      </c>
      <c r="D1679" s="83" t="s">
        <v>496</v>
      </c>
      <c r="E1679" s="84">
        <v>1677.0</v>
      </c>
      <c r="F1679" s="48"/>
    </row>
    <row r="1680" ht="15.75" customHeight="1">
      <c r="A1680" s="48" t="s">
        <v>4466</v>
      </c>
      <c r="B1680" s="36" t="s">
        <v>4467</v>
      </c>
      <c r="C1680" s="79" t="s">
        <v>4468</v>
      </c>
      <c r="D1680" s="83" t="s">
        <v>955</v>
      </c>
      <c r="E1680" s="84">
        <v>1678.0</v>
      </c>
      <c r="F1680" s="48"/>
    </row>
    <row r="1681" ht="15.75" customHeight="1">
      <c r="A1681" s="48" t="s">
        <v>4469</v>
      </c>
      <c r="B1681" s="48"/>
      <c r="C1681" s="102" t="s">
        <v>4470</v>
      </c>
      <c r="D1681" s="83" t="s">
        <v>955</v>
      </c>
      <c r="E1681" s="84">
        <v>1679.0</v>
      </c>
      <c r="F1681" s="48"/>
    </row>
    <row r="1682" ht="15.75" customHeight="1">
      <c r="A1682" s="48" t="s">
        <v>3331</v>
      </c>
      <c r="B1682" s="48" t="s">
        <v>4471</v>
      </c>
      <c r="C1682" s="102" t="s">
        <v>4472</v>
      </c>
      <c r="D1682" s="83" t="s">
        <v>955</v>
      </c>
      <c r="E1682" s="84">
        <v>1680.0</v>
      </c>
      <c r="F1682" s="48"/>
    </row>
    <row r="1683" ht="15.75" customHeight="1">
      <c r="A1683" s="48" t="s">
        <v>4473</v>
      </c>
      <c r="B1683" s="48" t="s">
        <v>4474</v>
      </c>
      <c r="C1683" s="102" t="s">
        <v>4475</v>
      </c>
      <c r="D1683" s="83" t="s">
        <v>955</v>
      </c>
      <c r="E1683" s="84">
        <v>1681.0</v>
      </c>
      <c r="F1683" s="48"/>
    </row>
    <row r="1684" ht="15.75" customHeight="1">
      <c r="A1684" s="48" t="s">
        <v>4476</v>
      </c>
      <c r="B1684" s="48" t="s">
        <v>4477</v>
      </c>
      <c r="C1684" s="102" t="s">
        <v>4478</v>
      </c>
      <c r="D1684" s="83" t="s">
        <v>955</v>
      </c>
      <c r="E1684" s="84">
        <v>1682.0</v>
      </c>
      <c r="F1684" s="48"/>
    </row>
    <row r="1685" ht="15.75" customHeight="1">
      <c r="A1685" s="48" t="s">
        <v>4479</v>
      </c>
      <c r="B1685" s="48" t="s">
        <v>4480</v>
      </c>
      <c r="C1685" s="102" t="s">
        <v>4481</v>
      </c>
      <c r="D1685" s="83" t="s">
        <v>955</v>
      </c>
      <c r="E1685" s="84">
        <v>1683.0</v>
      </c>
      <c r="F1685" s="48"/>
    </row>
    <row r="1686" ht="15.75" customHeight="1">
      <c r="A1686" s="48" t="s">
        <v>4482</v>
      </c>
      <c r="B1686" s="48" t="s">
        <v>4483</v>
      </c>
      <c r="C1686" s="102" t="s">
        <v>4484</v>
      </c>
      <c r="D1686" s="83" t="s">
        <v>955</v>
      </c>
      <c r="E1686" s="84">
        <v>1684.0</v>
      </c>
      <c r="F1686" s="48"/>
    </row>
    <row r="1687" ht="15.75" customHeight="1">
      <c r="A1687" s="48" t="s">
        <v>4485</v>
      </c>
      <c r="B1687" s="48" t="s">
        <v>4486</v>
      </c>
      <c r="C1687" s="102" t="s">
        <v>4487</v>
      </c>
      <c r="D1687" s="83" t="s">
        <v>955</v>
      </c>
      <c r="E1687" s="84">
        <v>1685.0</v>
      </c>
      <c r="F1687" s="48"/>
    </row>
    <row r="1688" ht="15.75" customHeight="1">
      <c r="A1688" s="48" t="s">
        <v>4488</v>
      </c>
      <c r="B1688" s="48" t="s">
        <v>4489</v>
      </c>
      <c r="C1688" s="102" t="s">
        <v>4490</v>
      </c>
      <c r="D1688" s="83" t="s">
        <v>955</v>
      </c>
      <c r="E1688" s="84">
        <v>1686.0</v>
      </c>
      <c r="F1688" s="48"/>
    </row>
    <row r="1689" ht="15.75" customHeight="1">
      <c r="A1689" s="48" t="s">
        <v>4491</v>
      </c>
      <c r="B1689" s="48" t="s">
        <v>4492</v>
      </c>
      <c r="C1689" s="102" t="s">
        <v>4493</v>
      </c>
      <c r="D1689" s="83" t="s">
        <v>955</v>
      </c>
      <c r="E1689" s="84">
        <v>1687.0</v>
      </c>
      <c r="F1689" s="48"/>
    </row>
    <row r="1690" ht="15.75" customHeight="1">
      <c r="A1690" s="48" t="s">
        <v>4494</v>
      </c>
      <c r="B1690" s="48" t="s">
        <v>4495</v>
      </c>
      <c r="C1690" s="101" t="s">
        <v>198</v>
      </c>
      <c r="D1690" s="83" t="s">
        <v>955</v>
      </c>
      <c r="E1690" s="84">
        <v>1688.0</v>
      </c>
      <c r="F1690" s="48"/>
    </row>
    <row r="1691" ht="15.75" customHeight="1">
      <c r="A1691" s="48" t="s">
        <v>4496</v>
      </c>
      <c r="B1691" s="48"/>
      <c r="C1691" s="102" t="s">
        <v>4497</v>
      </c>
      <c r="D1691" s="83" t="s">
        <v>955</v>
      </c>
      <c r="E1691" s="84">
        <v>1689.0</v>
      </c>
      <c r="F1691" s="48"/>
    </row>
    <row r="1692" ht="15.75" customHeight="1">
      <c r="A1692" s="48" t="s">
        <v>3347</v>
      </c>
      <c r="B1692" s="48"/>
      <c r="C1692" s="102" t="s">
        <v>4498</v>
      </c>
      <c r="D1692" s="83" t="s">
        <v>955</v>
      </c>
      <c r="E1692" s="84">
        <v>1690.0</v>
      </c>
      <c r="F1692" s="48"/>
    </row>
    <row r="1693" ht="15.75" customHeight="1">
      <c r="A1693" s="48" t="s">
        <v>4309</v>
      </c>
      <c r="B1693" s="48"/>
      <c r="C1693" s="102" t="s">
        <v>4499</v>
      </c>
      <c r="D1693" s="83" t="s">
        <v>955</v>
      </c>
      <c r="E1693" s="84">
        <v>1691.0</v>
      </c>
      <c r="F1693" s="48"/>
    </row>
    <row r="1694" ht="15.75" customHeight="1">
      <c r="A1694" s="48" t="s">
        <v>4500</v>
      </c>
      <c r="B1694" s="48" t="s">
        <v>4501</v>
      </c>
      <c r="C1694" s="101" t="s">
        <v>198</v>
      </c>
      <c r="D1694" s="83" t="s">
        <v>955</v>
      </c>
      <c r="E1694" s="84">
        <v>1692.0</v>
      </c>
      <c r="F1694" s="48"/>
    </row>
    <row r="1695" ht="15.75" customHeight="1">
      <c r="A1695" s="48" t="s">
        <v>4502</v>
      </c>
      <c r="B1695" s="48"/>
      <c r="C1695" s="102" t="s">
        <v>4503</v>
      </c>
      <c r="D1695" s="83" t="s">
        <v>955</v>
      </c>
      <c r="E1695" s="84">
        <v>1693.0</v>
      </c>
      <c r="F1695" s="48"/>
    </row>
    <row r="1696" ht="15.75" customHeight="1">
      <c r="A1696" s="48" t="s">
        <v>4504</v>
      </c>
      <c r="B1696" s="48"/>
      <c r="C1696" s="102" t="s">
        <v>4505</v>
      </c>
      <c r="D1696" s="83" t="s">
        <v>955</v>
      </c>
      <c r="E1696" s="84">
        <v>1694.0</v>
      </c>
      <c r="F1696" s="48"/>
    </row>
    <row r="1697" ht="15.75" customHeight="1">
      <c r="A1697" s="48" t="s">
        <v>4506</v>
      </c>
      <c r="B1697" s="48" t="s">
        <v>4507</v>
      </c>
      <c r="C1697" s="102" t="s">
        <v>4508</v>
      </c>
      <c r="D1697" s="83" t="s">
        <v>955</v>
      </c>
      <c r="E1697" s="84">
        <v>1695.0</v>
      </c>
      <c r="F1697" s="48"/>
    </row>
    <row r="1698" ht="15.75" customHeight="1">
      <c r="A1698" s="48" t="s">
        <v>4509</v>
      </c>
      <c r="B1698" s="48" t="s">
        <v>4510</v>
      </c>
      <c r="C1698" s="104" t="s">
        <v>4511</v>
      </c>
      <c r="D1698" s="83" t="s">
        <v>955</v>
      </c>
      <c r="E1698" s="84">
        <v>1696.0</v>
      </c>
      <c r="F1698" s="48"/>
    </row>
    <row r="1699" ht="15.75" customHeight="1">
      <c r="A1699" s="48" t="s">
        <v>4512</v>
      </c>
      <c r="B1699" s="48" t="s">
        <v>4513</v>
      </c>
      <c r="C1699" s="104" t="s">
        <v>4514</v>
      </c>
      <c r="D1699" s="83" t="s">
        <v>909</v>
      </c>
      <c r="E1699" s="84">
        <v>1697.0</v>
      </c>
      <c r="F1699" s="48"/>
    </row>
    <row r="1700" ht="15.75" customHeight="1">
      <c r="A1700" s="48" t="s">
        <v>4515</v>
      </c>
      <c r="B1700" s="48"/>
      <c r="C1700" s="104" t="s">
        <v>4516</v>
      </c>
      <c r="D1700" s="83" t="s">
        <v>909</v>
      </c>
      <c r="E1700" s="84">
        <v>1698.0</v>
      </c>
      <c r="F1700" s="48"/>
    </row>
    <row r="1701" ht="15.75" customHeight="1">
      <c r="A1701" s="48" t="s">
        <v>4517</v>
      </c>
      <c r="B1701" s="48" t="s">
        <v>4518</v>
      </c>
      <c r="C1701" s="101"/>
      <c r="D1701" s="83" t="s">
        <v>909</v>
      </c>
      <c r="E1701" s="84">
        <v>1699.0</v>
      </c>
      <c r="F1701" s="48"/>
    </row>
    <row r="1702" ht="15.75" customHeight="1">
      <c r="A1702" s="48" t="s">
        <v>4519</v>
      </c>
      <c r="B1702" s="48" t="s">
        <v>4520</v>
      </c>
      <c r="C1702" s="104" t="s">
        <v>4521</v>
      </c>
      <c r="D1702" s="83" t="s">
        <v>909</v>
      </c>
      <c r="E1702" s="84">
        <v>1700.0</v>
      </c>
      <c r="F1702" s="48"/>
    </row>
    <row r="1703" ht="15.75" customHeight="1">
      <c r="A1703" s="48" t="s">
        <v>4522</v>
      </c>
      <c r="B1703" s="48" t="s">
        <v>4523</v>
      </c>
      <c r="C1703" s="101" t="s">
        <v>198</v>
      </c>
      <c r="D1703" s="83" t="s">
        <v>909</v>
      </c>
      <c r="E1703" s="84">
        <v>1701.0</v>
      </c>
      <c r="F1703" s="48"/>
    </row>
    <row r="1704" ht="15.75" customHeight="1">
      <c r="A1704" s="48" t="s">
        <v>4524</v>
      </c>
      <c r="B1704" s="48" t="s">
        <v>4525</v>
      </c>
      <c r="C1704" s="104" t="s">
        <v>4526</v>
      </c>
      <c r="D1704" s="83" t="s">
        <v>909</v>
      </c>
      <c r="E1704" s="84">
        <v>1702.0</v>
      </c>
      <c r="F1704" s="48"/>
    </row>
    <row r="1705" ht="15.75" customHeight="1">
      <c r="A1705" s="48" t="s">
        <v>4527</v>
      </c>
      <c r="B1705" s="48" t="s">
        <v>4528</v>
      </c>
      <c r="C1705" s="104" t="s">
        <v>4529</v>
      </c>
      <c r="D1705" s="83" t="s">
        <v>909</v>
      </c>
      <c r="E1705" s="84">
        <v>1703.0</v>
      </c>
      <c r="F1705" s="48"/>
    </row>
    <row r="1706" ht="15.75" customHeight="1">
      <c r="A1706" s="48" t="s">
        <v>4530</v>
      </c>
      <c r="B1706" s="48" t="s">
        <v>4531</v>
      </c>
      <c r="C1706" s="101" t="s">
        <v>198</v>
      </c>
      <c r="D1706" s="83" t="s">
        <v>909</v>
      </c>
      <c r="E1706" s="84">
        <v>1704.0</v>
      </c>
      <c r="F1706" s="48"/>
    </row>
    <row r="1707" ht="15.75" customHeight="1">
      <c r="A1707" s="48" t="s">
        <v>4532</v>
      </c>
      <c r="B1707" s="48" t="s">
        <v>4533</v>
      </c>
      <c r="C1707" s="101"/>
      <c r="D1707" s="83" t="s">
        <v>909</v>
      </c>
      <c r="E1707" s="84">
        <v>1705.0</v>
      </c>
      <c r="F1707" s="48"/>
    </row>
    <row r="1708" ht="15.75" customHeight="1">
      <c r="A1708" s="48" t="s">
        <v>4534</v>
      </c>
      <c r="B1708" s="48" t="s">
        <v>4535</v>
      </c>
      <c r="C1708" s="104" t="s">
        <v>4536</v>
      </c>
      <c r="D1708" s="83" t="s">
        <v>909</v>
      </c>
      <c r="E1708" s="84">
        <v>1706.0</v>
      </c>
      <c r="F1708" s="48"/>
    </row>
    <row r="1709" ht="15.75" customHeight="1">
      <c r="A1709" s="48" t="s">
        <v>4537</v>
      </c>
      <c r="B1709" s="48" t="s">
        <v>4538</v>
      </c>
      <c r="C1709" s="104" t="s">
        <v>4539</v>
      </c>
      <c r="D1709" s="83" t="s">
        <v>909</v>
      </c>
      <c r="E1709" s="84">
        <v>1707.0</v>
      </c>
      <c r="F1709" s="48"/>
    </row>
    <row r="1710" ht="15.75" customHeight="1">
      <c r="A1710" s="48" t="s">
        <v>4540</v>
      </c>
      <c r="B1710" s="48"/>
      <c r="C1710" s="104" t="s">
        <v>4541</v>
      </c>
      <c r="D1710" s="83" t="s">
        <v>909</v>
      </c>
      <c r="E1710" s="84">
        <v>1708.0</v>
      </c>
      <c r="F1710" s="48"/>
    </row>
    <row r="1711" ht="15.75" customHeight="1">
      <c r="A1711" s="48" t="s">
        <v>1816</v>
      </c>
      <c r="B1711" s="48" t="s">
        <v>1817</v>
      </c>
      <c r="C1711" s="104" t="s">
        <v>4542</v>
      </c>
      <c r="D1711" s="83" t="s">
        <v>909</v>
      </c>
      <c r="E1711" s="84">
        <v>1709.0</v>
      </c>
      <c r="F1711" s="48"/>
    </row>
    <row r="1712" ht="15.75" customHeight="1">
      <c r="A1712" s="48" t="s">
        <v>4543</v>
      </c>
      <c r="B1712" s="48" t="s">
        <v>4544</v>
      </c>
      <c r="C1712" s="104" t="s">
        <v>4545</v>
      </c>
      <c r="D1712" s="83" t="s">
        <v>909</v>
      </c>
      <c r="E1712" s="84">
        <v>1710.0</v>
      </c>
      <c r="F1712" s="48"/>
    </row>
    <row r="1713" ht="15.75" customHeight="1">
      <c r="A1713" s="48" t="s">
        <v>4546</v>
      </c>
      <c r="B1713" s="48" t="s">
        <v>198</v>
      </c>
      <c r="C1713" s="104" t="s">
        <v>4547</v>
      </c>
      <c r="D1713" s="83" t="s">
        <v>909</v>
      </c>
      <c r="E1713" s="84">
        <v>1711.0</v>
      </c>
      <c r="F1713" s="48"/>
    </row>
    <row r="1714" ht="15.75" customHeight="1">
      <c r="A1714" s="48" t="s">
        <v>4548</v>
      </c>
      <c r="B1714" s="48" t="s">
        <v>4549</v>
      </c>
      <c r="C1714" s="104" t="s">
        <v>4550</v>
      </c>
      <c r="D1714" s="83" t="s">
        <v>909</v>
      </c>
      <c r="E1714" s="84">
        <v>1712.0</v>
      </c>
      <c r="F1714" s="48"/>
    </row>
    <row r="1715" ht="15.75" customHeight="1">
      <c r="A1715" s="48" t="s">
        <v>4551</v>
      </c>
      <c r="B1715" s="48" t="s">
        <v>4552</v>
      </c>
      <c r="C1715" s="104" t="s">
        <v>4553</v>
      </c>
      <c r="D1715" s="83" t="s">
        <v>909</v>
      </c>
      <c r="E1715" s="84">
        <v>1713.0</v>
      </c>
      <c r="F1715" s="48"/>
    </row>
    <row r="1716" ht="15.75" customHeight="1">
      <c r="A1716" s="48" t="s">
        <v>4554</v>
      </c>
      <c r="B1716" s="48" t="s">
        <v>4555</v>
      </c>
      <c r="C1716" s="101" t="s">
        <v>139</v>
      </c>
      <c r="D1716" s="83" t="s">
        <v>909</v>
      </c>
      <c r="E1716" s="84">
        <v>1714.0</v>
      </c>
      <c r="F1716" s="48"/>
    </row>
    <row r="1717" ht="15.75" customHeight="1">
      <c r="A1717" s="48" t="s">
        <v>4556</v>
      </c>
      <c r="B1717" s="48" t="s">
        <v>198</v>
      </c>
      <c r="C1717" s="104" t="s">
        <v>4557</v>
      </c>
      <c r="D1717" s="83" t="s">
        <v>909</v>
      </c>
      <c r="E1717" s="84">
        <v>1715.0</v>
      </c>
      <c r="F1717" s="48"/>
    </row>
    <row r="1718" ht="15.75" customHeight="1">
      <c r="A1718" s="48" t="s">
        <v>4558</v>
      </c>
      <c r="B1718" s="48"/>
      <c r="C1718" s="104" t="s">
        <v>4559</v>
      </c>
      <c r="D1718" s="83" t="s">
        <v>909</v>
      </c>
      <c r="E1718" s="84">
        <v>1716.0</v>
      </c>
      <c r="F1718" s="48"/>
    </row>
    <row r="1719" ht="15.75" customHeight="1">
      <c r="A1719" s="48" t="s">
        <v>4560</v>
      </c>
      <c r="B1719" s="48"/>
      <c r="C1719" s="104" t="s">
        <v>4561</v>
      </c>
      <c r="D1719" s="83" t="s">
        <v>909</v>
      </c>
      <c r="E1719" s="84">
        <v>1717.0</v>
      </c>
      <c r="F1719" s="48"/>
    </row>
    <row r="1720" ht="15.75" customHeight="1">
      <c r="A1720" s="48" t="s">
        <v>4562</v>
      </c>
      <c r="B1720" s="48" t="s">
        <v>4563</v>
      </c>
      <c r="C1720" s="101" t="s">
        <v>139</v>
      </c>
      <c r="D1720" s="83" t="s">
        <v>909</v>
      </c>
      <c r="E1720" s="84">
        <v>1718.0</v>
      </c>
      <c r="F1720" s="48"/>
    </row>
    <row r="1721" ht="15.75" customHeight="1">
      <c r="A1721" s="48" t="s">
        <v>4564</v>
      </c>
      <c r="B1721" s="48" t="s">
        <v>4565</v>
      </c>
      <c r="C1721" s="101" t="s">
        <v>139</v>
      </c>
      <c r="D1721" s="83" t="s">
        <v>909</v>
      </c>
      <c r="E1721" s="84">
        <v>1719.0</v>
      </c>
      <c r="F1721" s="48"/>
    </row>
    <row r="1722" ht="15.75" customHeight="1">
      <c r="A1722" s="48" t="s">
        <v>4566</v>
      </c>
      <c r="B1722" s="48" t="s">
        <v>4567</v>
      </c>
      <c r="C1722" s="104" t="s">
        <v>4568</v>
      </c>
      <c r="D1722" s="83" t="s">
        <v>909</v>
      </c>
      <c r="E1722" s="84">
        <v>1720.0</v>
      </c>
      <c r="F1722" s="48"/>
    </row>
    <row r="1723" ht="15.75" customHeight="1">
      <c r="A1723" s="48" t="s">
        <v>4569</v>
      </c>
      <c r="B1723" s="48" t="s">
        <v>4570</v>
      </c>
      <c r="C1723" s="104" t="s">
        <v>4571</v>
      </c>
      <c r="D1723" s="83" t="s">
        <v>909</v>
      </c>
      <c r="E1723" s="84">
        <v>1721.0</v>
      </c>
      <c r="F1723" s="48"/>
    </row>
    <row r="1724" ht="15.75" customHeight="1">
      <c r="A1724" s="48" t="s">
        <v>1836</v>
      </c>
      <c r="B1724" s="48"/>
      <c r="C1724" s="104" t="s">
        <v>4572</v>
      </c>
      <c r="D1724" s="83" t="s">
        <v>909</v>
      </c>
      <c r="E1724" s="84">
        <v>1722.0</v>
      </c>
      <c r="F1724" s="48"/>
    </row>
    <row r="1725" ht="15.75" customHeight="1">
      <c r="A1725" s="48" t="s">
        <v>4573</v>
      </c>
      <c r="B1725" s="48" t="s">
        <v>4574</v>
      </c>
      <c r="C1725" s="101"/>
      <c r="D1725" s="83" t="s">
        <v>909</v>
      </c>
      <c r="E1725" s="84">
        <v>1723.0</v>
      </c>
      <c r="F1725" s="48"/>
    </row>
    <row r="1726" ht="15.75" customHeight="1">
      <c r="A1726" s="48" t="s">
        <v>4575</v>
      </c>
      <c r="B1726" s="48" t="s">
        <v>4576</v>
      </c>
      <c r="C1726" s="104" t="s">
        <v>4577</v>
      </c>
      <c r="D1726" s="83" t="s">
        <v>909</v>
      </c>
      <c r="E1726" s="84">
        <v>1724.0</v>
      </c>
      <c r="F1726" s="48"/>
    </row>
    <row r="1727" ht="15.75" customHeight="1">
      <c r="A1727" s="48" t="s">
        <v>4578</v>
      </c>
      <c r="B1727" s="48" t="s">
        <v>4579</v>
      </c>
      <c r="C1727" s="104" t="s">
        <v>4577</v>
      </c>
      <c r="D1727" s="83" t="s">
        <v>909</v>
      </c>
      <c r="E1727" s="84">
        <v>1725.0</v>
      </c>
      <c r="F1727" s="48"/>
    </row>
    <row r="1728" ht="15.75" customHeight="1">
      <c r="A1728" s="48" t="s">
        <v>4580</v>
      </c>
      <c r="B1728" s="48"/>
      <c r="C1728" s="104" t="s">
        <v>4581</v>
      </c>
      <c r="D1728" s="83" t="s">
        <v>909</v>
      </c>
      <c r="E1728" s="84">
        <v>1726.0</v>
      </c>
      <c r="F1728" s="48"/>
    </row>
    <row r="1729" ht="15.75" customHeight="1">
      <c r="A1729" s="48" t="s">
        <v>4582</v>
      </c>
      <c r="B1729" s="48" t="s">
        <v>4583</v>
      </c>
      <c r="C1729" s="104" t="s">
        <v>4584</v>
      </c>
      <c r="D1729" s="83" t="s">
        <v>909</v>
      </c>
      <c r="E1729" s="84">
        <v>1727.0</v>
      </c>
      <c r="F1729" s="48"/>
    </row>
    <row r="1730" ht="15.75" customHeight="1">
      <c r="A1730" s="48" t="s">
        <v>4585</v>
      </c>
      <c r="B1730" s="48" t="s">
        <v>4586</v>
      </c>
      <c r="C1730" s="104" t="s">
        <v>4587</v>
      </c>
      <c r="D1730" s="83" t="s">
        <v>909</v>
      </c>
      <c r="E1730" s="84">
        <v>1728.0</v>
      </c>
      <c r="F1730" s="48"/>
    </row>
    <row r="1731" ht="15.75" customHeight="1">
      <c r="A1731" s="48" t="s">
        <v>4588</v>
      </c>
      <c r="B1731" s="48" t="s">
        <v>4589</v>
      </c>
      <c r="C1731" s="104" t="s">
        <v>4590</v>
      </c>
      <c r="D1731" s="83" t="s">
        <v>909</v>
      </c>
      <c r="E1731" s="84">
        <v>1729.0</v>
      </c>
      <c r="F1731" s="48"/>
    </row>
    <row r="1732" ht="15.75" customHeight="1">
      <c r="A1732" s="48" t="s">
        <v>1819</v>
      </c>
      <c r="B1732" s="48" t="s">
        <v>1820</v>
      </c>
      <c r="C1732" s="104" t="s">
        <v>4591</v>
      </c>
      <c r="D1732" s="83" t="s">
        <v>909</v>
      </c>
      <c r="E1732" s="84">
        <v>1730.0</v>
      </c>
      <c r="F1732" s="48"/>
    </row>
    <row r="1733" ht="15.75" customHeight="1">
      <c r="A1733" s="48" t="s">
        <v>4592</v>
      </c>
      <c r="B1733" s="48" t="s">
        <v>4593</v>
      </c>
      <c r="C1733" s="101"/>
      <c r="D1733" s="83" t="s">
        <v>909</v>
      </c>
      <c r="E1733" s="84">
        <v>1731.0</v>
      </c>
      <c r="F1733" s="48"/>
    </row>
    <row r="1734" ht="15.75" customHeight="1">
      <c r="A1734" s="48" t="s">
        <v>4594</v>
      </c>
      <c r="B1734" s="48" t="s">
        <v>4595</v>
      </c>
      <c r="C1734" s="104" t="s">
        <v>4596</v>
      </c>
      <c r="D1734" s="83" t="s">
        <v>909</v>
      </c>
      <c r="E1734" s="84">
        <v>1732.0</v>
      </c>
      <c r="F1734" s="48"/>
    </row>
    <row r="1735" ht="15.75" customHeight="1">
      <c r="A1735" s="48" t="s">
        <v>4597</v>
      </c>
      <c r="B1735" s="48" t="s">
        <v>4598</v>
      </c>
      <c r="C1735" s="104" t="s">
        <v>4599</v>
      </c>
      <c r="D1735" s="83" t="s">
        <v>909</v>
      </c>
      <c r="E1735" s="84">
        <v>1733.0</v>
      </c>
      <c r="F1735" s="48"/>
    </row>
    <row r="1736" ht="15.75" customHeight="1">
      <c r="A1736" s="48" t="s">
        <v>4600</v>
      </c>
      <c r="B1736" s="48" t="s">
        <v>4601</v>
      </c>
      <c r="C1736" s="104" t="s">
        <v>4602</v>
      </c>
      <c r="D1736" s="83" t="s">
        <v>909</v>
      </c>
      <c r="E1736" s="84">
        <v>1734.0</v>
      </c>
      <c r="F1736" s="48"/>
    </row>
    <row r="1737" ht="15.75" customHeight="1">
      <c r="A1737" s="48" t="s">
        <v>4603</v>
      </c>
      <c r="B1737" s="48" t="s">
        <v>4604</v>
      </c>
      <c r="C1737" s="104" t="s">
        <v>4605</v>
      </c>
      <c r="D1737" s="83" t="s">
        <v>909</v>
      </c>
      <c r="E1737" s="84">
        <v>1735.0</v>
      </c>
      <c r="F1737" s="48"/>
    </row>
    <row r="1738" ht="15.75" customHeight="1">
      <c r="A1738" s="48" t="s">
        <v>4606</v>
      </c>
      <c r="B1738" s="48" t="s">
        <v>4607</v>
      </c>
      <c r="C1738" s="101"/>
      <c r="D1738" s="83" t="s">
        <v>909</v>
      </c>
      <c r="E1738" s="84">
        <v>1736.0</v>
      </c>
      <c r="F1738" s="48"/>
    </row>
    <row r="1739" ht="15.75" customHeight="1">
      <c r="A1739" s="48" t="s">
        <v>4608</v>
      </c>
      <c r="B1739" s="48" t="s">
        <v>4609</v>
      </c>
      <c r="C1739" s="104" t="s">
        <v>4610</v>
      </c>
      <c r="D1739" s="83" t="s">
        <v>909</v>
      </c>
      <c r="E1739" s="84">
        <v>1737.0</v>
      </c>
      <c r="F1739" s="48"/>
    </row>
    <row r="1740" ht="15.75" customHeight="1">
      <c r="A1740" s="48" t="s">
        <v>4611</v>
      </c>
      <c r="B1740" s="48" t="s">
        <v>4612</v>
      </c>
      <c r="C1740" s="104" t="s">
        <v>4613</v>
      </c>
      <c r="D1740" s="83" t="s">
        <v>909</v>
      </c>
      <c r="E1740" s="84">
        <v>1738.0</v>
      </c>
      <c r="F1740" s="48"/>
    </row>
    <row r="1741" ht="15.75" customHeight="1">
      <c r="A1741" s="48" t="s">
        <v>4614</v>
      </c>
      <c r="B1741" s="48" t="s">
        <v>4615</v>
      </c>
      <c r="C1741" s="104" t="s">
        <v>4616</v>
      </c>
      <c r="D1741" s="83" t="s">
        <v>909</v>
      </c>
      <c r="E1741" s="84">
        <v>1739.0</v>
      </c>
      <c r="F1741" s="48"/>
    </row>
    <row r="1742" ht="15.75" customHeight="1">
      <c r="A1742" s="48" t="s">
        <v>4617</v>
      </c>
      <c r="B1742" s="48" t="s">
        <v>4618</v>
      </c>
      <c r="C1742" s="104" t="s">
        <v>4619</v>
      </c>
      <c r="D1742" s="83" t="s">
        <v>909</v>
      </c>
      <c r="E1742" s="84">
        <v>1740.0</v>
      </c>
      <c r="F1742" s="48"/>
    </row>
    <row r="1743" ht="15.75" customHeight="1">
      <c r="A1743" s="48" t="s">
        <v>4620</v>
      </c>
      <c r="B1743" s="48" t="s">
        <v>4621</v>
      </c>
      <c r="C1743" s="104" t="s">
        <v>4622</v>
      </c>
      <c r="D1743" s="83" t="s">
        <v>909</v>
      </c>
      <c r="E1743" s="84">
        <v>1741.0</v>
      </c>
      <c r="F1743" s="48"/>
    </row>
    <row r="1744" ht="15.75" customHeight="1">
      <c r="A1744" s="48" t="s">
        <v>4623</v>
      </c>
      <c r="B1744" s="48" t="s">
        <v>4624</v>
      </c>
      <c r="C1744" s="104" t="s">
        <v>4625</v>
      </c>
      <c r="D1744" s="83" t="s">
        <v>909</v>
      </c>
      <c r="E1744" s="84">
        <v>1742.0</v>
      </c>
      <c r="F1744" s="48"/>
    </row>
    <row r="1745" ht="15.75" customHeight="1">
      <c r="A1745" s="48" t="s">
        <v>4626</v>
      </c>
      <c r="B1745" s="48" t="s">
        <v>4627</v>
      </c>
      <c r="C1745" s="104" t="s">
        <v>4628</v>
      </c>
      <c r="D1745" s="83" t="s">
        <v>909</v>
      </c>
      <c r="E1745" s="84">
        <v>1743.0</v>
      </c>
      <c r="F1745" s="48"/>
    </row>
    <row r="1746" ht="15.75" customHeight="1">
      <c r="A1746" s="48" t="s">
        <v>4629</v>
      </c>
      <c r="B1746" s="48" t="s">
        <v>4630</v>
      </c>
      <c r="C1746" s="104" t="s">
        <v>4631</v>
      </c>
      <c r="D1746" s="83" t="s">
        <v>909</v>
      </c>
      <c r="E1746" s="84">
        <v>1744.0</v>
      </c>
      <c r="F1746" s="48"/>
    </row>
    <row r="1747" ht="15.75" customHeight="1">
      <c r="A1747" s="48" t="s">
        <v>4632</v>
      </c>
      <c r="B1747" s="48"/>
      <c r="C1747" s="104" t="s">
        <v>4633</v>
      </c>
      <c r="D1747" s="83" t="s">
        <v>909</v>
      </c>
      <c r="E1747" s="84">
        <v>1745.0</v>
      </c>
      <c r="F1747" s="48"/>
    </row>
    <row r="1748" ht="15.75" customHeight="1">
      <c r="A1748" s="48" t="s">
        <v>4634</v>
      </c>
      <c r="B1748" s="48"/>
      <c r="C1748" s="104" t="s">
        <v>4616</v>
      </c>
      <c r="D1748" s="83" t="s">
        <v>909</v>
      </c>
      <c r="E1748" s="84">
        <v>1746.0</v>
      </c>
      <c r="F1748" s="48"/>
    </row>
    <row r="1749" ht="15.75" customHeight="1">
      <c r="A1749" s="48" t="s">
        <v>4635</v>
      </c>
      <c r="B1749" s="48" t="s">
        <v>4636</v>
      </c>
      <c r="C1749" s="104" t="s">
        <v>4637</v>
      </c>
      <c r="D1749" s="83" t="s">
        <v>909</v>
      </c>
      <c r="E1749" s="84">
        <v>1747.0</v>
      </c>
      <c r="F1749" s="48"/>
    </row>
    <row r="1750" ht="15.75" customHeight="1">
      <c r="A1750" s="48" t="s">
        <v>4638</v>
      </c>
      <c r="B1750" s="48" t="s">
        <v>4639</v>
      </c>
      <c r="C1750" s="101" t="s">
        <v>198</v>
      </c>
      <c r="D1750" s="83" t="s">
        <v>909</v>
      </c>
      <c r="E1750" s="84">
        <v>1748.0</v>
      </c>
      <c r="F1750" s="48"/>
    </row>
    <row r="1751" ht="15.75" customHeight="1">
      <c r="A1751" s="48" t="s">
        <v>4640</v>
      </c>
      <c r="B1751" s="48" t="s">
        <v>4641</v>
      </c>
      <c r="C1751" s="104" t="s">
        <v>4642</v>
      </c>
      <c r="D1751" s="83" t="s">
        <v>909</v>
      </c>
      <c r="E1751" s="84">
        <v>1749.0</v>
      </c>
      <c r="F1751" s="48"/>
    </row>
    <row r="1752" ht="15.75" customHeight="1">
      <c r="A1752" s="48" t="s">
        <v>4643</v>
      </c>
      <c r="B1752" s="48" t="s">
        <v>4644</v>
      </c>
      <c r="C1752" s="101"/>
      <c r="D1752" s="83" t="s">
        <v>909</v>
      </c>
      <c r="E1752" s="84">
        <v>1750.0</v>
      </c>
      <c r="F1752" s="48"/>
    </row>
    <row r="1753" ht="15.75" customHeight="1">
      <c r="A1753" s="48" t="s">
        <v>4645</v>
      </c>
      <c r="B1753" s="48" t="s">
        <v>4646</v>
      </c>
      <c r="C1753" s="104" t="s">
        <v>4647</v>
      </c>
      <c r="D1753" s="83" t="s">
        <v>909</v>
      </c>
      <c r="E1753" s="84">
        <v>1751.0</v>
      </c>
      <c r="F1753" s="48"/>
    </row>
    <row r="1754" ht="15.75" customHeight="1">
      <c r="A1754" s="48" t="s">
        <v>4648</v>
      </c>
      <c r="B1754" s="48" t="s">
        <v>4649</v>
      </c>
      <c r="C1754" s="104" t="s">
        <v>4650</v>
      </c>
      <c r="D1754" s="83" t="s">
        <v>909</v>
      </c>
      <c r="E1754" s="84">
        <v>1752.0</v>
      </c>
      <c r="F1754" s="48"/>
    </row>
    <row r="1755" ht="15.75" customHeight="1">
      <c r="A1755" s="48" t="s">
        <v>4651</v>
      </c>
      <c r="B1755" s="48" t="s">
        <v>4652</v>
      </c>
      <c r="C1755" s="104" t="s">
        <v>4653</v>
      </c>
      <c r="D1755" s="83" t="s">
        <v>909</v>
      </c>
      <c r="E1755" s="84">
        <v>1753.0</v>
      </c>
      <c r="F1755" s="48"/>
    </row>
    <row r="1756" ht="15.75" customHeight="1">
      <c r="A1756" s="48" t="s">
        <v>4654</v>
      </c>
      <c r="B1756" s="48"/>
      <c r="C1756" s="104" t="s">
        <v>4655</v>
      </c>
      <c r="D1756" s="83" t="s">
        <v>909</v>
      </c>
      <c r="E1756" s="84">
        <v>1754.0</v>
      </c>
      <c r="F1756" s="48"/>
    </row>
    <row r="1757" ht="15.75" customHeight="1">
      <c r="A1757" s="48" t="s">
        <v>4656</v>
      </c>
      <c r="B1757" s="48" t="s">
        <v>4657</v>
      </c>
      <c r="C1757" s="104" t="s">
        <v>4658</v>
      </c>
      <c r="D1757" s="83" t="s">
        <v>909</v>
      </c>
      <c r="E1757" s="84">
        <v>1755.0</v>
      </c>
      <c r="F1757" s="48"/>
    </row>
    <row r="1758" ht="15.75" customHeight="1">
      <c r="A1758" s="48" t="s">
        <v>4659</v>
      </c>
      <c r="B1758" s="48" t="s">
        <v>4660</v>
      </c>
      <c r="C1758" s="101"/>
      <c r="D1758" s="83" t="s">
        <v>909</v>
      </c>
      <c r="E1758" s="84">
        <v>1756.0</v>
      </c>
      <c r="F1758" s="48"/>
    </row>
    <row r="1759" ht="15.75" customHeight="1">
      <c r="A1759" s="48" t="s">
        <v>4661</v>
      </c>
      <c r="B1759" s="48" t="s">
        <v>4662</v>
      </c>
      <c r="C1759" s="104" t="s">
        <v>4663</v>
      </c>
      <c r="D1759" s="83" t="s">
        <v>909</v>
      </c>
      <c r="E1759" s="84">
        <v>1757.0</v>
      </c>
      <c r="F1759" s="48"/>
    </row>
    <row r="1760" ht="15.75" customHeight="1">
      <c r="A1760" s="48" t="s">
        <v>4664</v>
      </c>
      <c r="B1760" s="48" t="s">
        <v>4665</v>
      </c>
      <c r="C1760" s="104" t="s">
        <v>4666</v>
      </c>
      <c r="D1760" s="83" t="s">
        <v>909</v>
      </c>
      <c r="E1760" s="84">
        <v>1758.0</v>
      </c>
      <c r="F1760" s="48"/>
    </row>
    <row r="1761" ht="15.75" customHeight="1">
      <c r="A1761" s="48" t="s">
        <v>4667</v>
      </c>
      <c r="B1761" s="48" t="s">
        <v>4668</v>
      </c>
      <c r="C1761" s="104" t="s">
        <v>4669</v>
      </c>
      <c r="D1761" s="83" t="s">
        <v>909</v>
      </c>
      <c r="E1761" s="84">
        <v>1759.0</v>
      </c>
      <c r="F1761" s="48"/>
    </row>
    <row r="1762" ht="15.75" customHeight="1">
      <c r="A1762" s="48" t="s">
        <v>1822</v>
      </c>
      <c r="B1762" s="48" t="s">
        <v>1823</v>
      </c>
      <c r="C1762" s="104" t="s">
        <v>4670</v>
      </c>
      <c r="D1762" s="83" t="s">
        <v>909</v>
      </c>
      <c r="E1762" s="84">
        <v>1760.0</v>
      </c>
      <c r="F1762" s="48"/>
    </row>
    <row r="1763" ht="15.75" customHeight="1">
      <c r="A1763" s="48" t="s">
        <v>4671</v>
      </c>
      <c r="B1763" s="48"/>
      <c r="C1763" s="104" t="s">
        <v>4672</v>
      </c>
      <c r="D1763" s="83" t="s">
        <v>909</v>
      </c>
      <c r="E1763" s="84">
        <v>1761.0</v>
      </c>
      <c r="F1763" s="48"/>
    </row>
    <row r="1764" ht="15.75" customHeight="1">
      <c r="A1764" s="48" t="s">
        <v>4673</v>
      </c>
      <c r="B1764" s="48"/>
      <c r="C1764" s="104" t="s">
        <v>4674</v>
      </c>
      <c r="D1764" s="83" t="s">
        <v>909</v>
      </c>
      <c r="E1764" s="84">
        <v>1762.0</v>
      </c>
      <c r="F1764" s="48"/>
    </row>
    <row r="1765" ht="15.75" customHeight="1">
      <c r="A1765" s="48" t="s">
        <v>4675</v>
      </c>
      <c r="B1765" s="48"/>
      <c r="C1765" s="104" t="s">
        <v>4676</v>
      </c>
      <c r="D1765" s="83" t="s">
        <v>909</v>
      </c>
      <c r="E1765" s="84">
        <v>1763.0</v>
      </c>
      <c r="F1765" s="48"/>
    </row>
    <row r="1766" ht="15.75" customHeight="1">
      <c r="A1766" s="48" t="s">
        <v>4677</v>
      </c>
      <c r="B1766" s="48" t="s">
        <v>4678</v>
      </c>
      <c r="C1766" s="104" t="s">
        <v>4676</v>
      </c>
      <c r="D1766" s="83" t="s">
        <v>909</v>
      </c>
      <c r="E1766" s="84">
        <v>1764.0</v>
      </c>
      <c r="F1766" s="48"/>
    </row>
    <row r="1767" ht="15.75" customHeight="1">
      <c r="A1767" s="48" t="s">
        <v>4679</v>
      </c>
      <c r="B1767" s="48"/>
      <c r="C1767" s="104" t="s">
        <v>4680</v>
      </c>
      <c r="D1767" s="83" t="s">
        <v>909</v>
      </c>
      <c r="E1767" s="84">
        <v>1765.0</v>
      </c>
      <c r="F1767" s="48"/>
    </row>
    <row r="1768" ht="15.75" customHeight="1">
      <c r="A1768" s="48" t="s">
        <v>4681</v>
      </c>
      <c r="B1768" s="48"/>
      <c r="C1768" s="104" t="s">
        <v>4682</v>
      </c>
      <c r="D1768" s="83" t="s">
        <v>909</v>
      </c>
      <c r="E1768" s="84">
        <v>1766.0</v>
      </c>
      <c r="F1768" s="48"/>
    </row>
    <row r="1769" ht="15.75" customHeight="1">
      <c r="A1769" s="48" t="s">
        <v>4683</v>
      </c>
      <c r="C1769" s="104" t="s">
        <v>4684</v>
      </c>
      <c r="D1769" s="83" t="s">
        <v>909</v>
      </c>
      <c r="E1769" s="84">
        <v>1767.0</v>
      </c>
      <c r="F1769" s="48"/>
    </row>
    <row r="1770" ht="15.75" customHeight="1">
      <c r="A1770" s="48" t="s">
        <v>4685</v>
      </c>
      <c r="B1770" s="48" t="s">
        <v>4686</v>
      </c>
      <c r="C1770" s="104" t="s">
        <v>4687</v>
      </c>
      <c r="D1770" s="83" t="s">
        <v>909</v>
      </c>
      <c r="E1770" s="84">
        <v>1768.0</v>
      </c>
      <c r="F1770" s="48"/>
    </row>
    <row r="1771" ht="15.75" customHeight="1">
      <c r="A1771" s="48" t="s">
        <v>1839</v>
      </c>
      <c r="B1771" s="48" t="s">
        <v>4688</v>
      </c>
      <c r="C1771" s="104" t="s">
        <v>4689</v>
      </c>
      <c r="D1771" s="83" t="s">
        <v>909</v>
      </c>
      <c r="E1771" s="84">
        <v>1769.0</v>
      </c>
      <c r="F1771" s="48"/>
    </row>
    <row r="1772" ht="15.75" customHeight="1">
      <c r="A1772" s="48" t="s">
        <v>1842</v>
      </c>
      <c r="B1772" s="48"/>
      <c r="C1772" s="39" t="s">
        <v>4690</v>
      </c>
      <c r="D1772" s="83" t="s">
        <v>909</v>
      </c>
      <c r="E1772" s="84">
        <v>1770.0</v>
      </c>
      <c r="F1772" s="48"/>
    </row>
    <row r="1773" ht="15.75" customHeight="1">
      <c r="A1773" s="48" t="s">
        <v>4691</v>
      </c>
      <c r="B1773" s="48"/>
      <c r="C1773" s="104" t="s">
        <v>4692</v>
      </c>
      <c r="D1773" s="83" t="s">
        <v>909</v>
      </c>
      <c r="E1773" s="84">
        <v>1771.0</v>
      </c>
      <c r="F1773" s="48"/>
    </row>
    <row r="1774" ht="15.75" customHeight="1">
      <c r="A1774" s="48" t="s">
        <v>4693</v>
      </c>
      <c r="B1774" s="36" t="s">
        <v>4694</v>
      </c>
      <c r="C1774" s="36" t="s">
        <v>198</v>
      </c>
      <c r="D1774" s="83" t="s">
        <v>909</v>
      </c>
      <c r="E1774" s="84">
        <v>1772.0</v>
      </c>
      <c r="F1774" s="48"/>
    </row>
    <row r="1775" ht="15.75" customHeight="1">
      <c r="A1775" s="48" t="s">
        <v>4695</v>
      </c>
      <c r="B1775" s="48" t="s">
        <v>4696</v>
      </c>
      <c r="C1775" s="104" t="s">
        <v>4697</v>
      </c>
      <c r="D1775" s="83" t="s">
        <v>909</v>
      </c>
      <c r="E1775" s="84">
        <v>1773.0</v>
      </c>
      <c r="F1775" s="48"/>
    </row>
    <row r="1776" ht="15.75" customHeight="1">
      <c r="A1776" s="48" t="s">
        <v>4698</v>
      </c>
      <c r="B1776" s="48" t="s">
        <v>4699</v>
      </c>
      <c r="C1776" s="104" t="s">
        <v>4700</v>
      </c>
      <c r="D1776" s="83" t="s">
        <v>909</v>
      </c>
      <c r="E1776" s="84">
        <v>1774.0</v>
      </c>
      <c r="F1776" s="48"/>
    </row>
    <row r="1777" ht="15.75" customHeight="1">
      <c r="A1777" s="48" t="s">
        <v>4701</v>
      </c>
      <c r="B1777" s="48" t="s">
        <v>4702</v>
      </c>
      <c r="C1777" s="104" t="s">
        <v>4703</v>
      </c>
      <c r="D1777" s="83" t="s">
        <v>909</v>
      </c>
      <c r="E1777" s="84">
        <v>1775.0</v>
      </c>
      <c r="F1777" s="48"/>
    </row>
    <row r="1778" ht="15.75" customHeight="1">
      <c r="A1778" s="48" t="s">
        <v>4704</v>
      </c>
      <c r="B1778" s="48"/>
      <c r="C1778" s="104" t="s">
        <v>4705</v>
      </c>
      <c r="D1778" s="83" t="s">
        <v>909</v>
      </c>
      <c r="E1778" s="84">
        <v>1776.0</v>
      </c>
      <c r="F1778" s="48"/>
    </row>
    <row r="1779" ht="15.75" customHeight="1">
      <c r="A1779" s="48" t="s">
        <v>4706</v>
      </c>
      <c r="B1779" s="48" t="s">
        <v>4707</v>
      </c>
      <c r="C1779" s="101"/>
      <c r="D1779" s="83" t="s">
        <v>909</v>
      </c>
      <c r="E1779" s="84">
        <v>1777.0</v>
      </c>
      <c r="F1779" s="48"/>
    </row>
    <row r="1780" ht="15.75" customHeight="1">
      <c r="A1780" s="48" t="s">
        <v>4708</v>
      </c>
      <c r="B1780" s="48"/>
      <c r="C1780" s="104" t="s">
        <v>4709</v>
      </c>
      <c r="D1780" s="83" t="s">
        <v>909</v>
      </c>
      <c r="E1780" s="84">
        <v>1778.0</v>
      </c>
      <c r="F1780" s="48"/>
    </row>
    <row r="1781" ht="15.75" customHeight="1">
      <c r="A1781" s="48" t="s">
        <v>4710</v>
      </c>
      <c r="B1781" s="48" t="s">
        <v>4711</v>
      </c>
      <c r="C1781" s="104" t="s">
        <v>4712</v>
      </c>
      <c r="D1781" s="83" t="s">
        <v>909</v>
      </c>
      <c r="E1781" s="84">
        <v>1779.0</v>
      </c>
      <c r="F1781" s="48"/>
    </row>
    <row r="1782" ht="15.75" customHeight="1">
      <c r="A1782" s="48" t="s">
        <v>4713</v>
      </c>
      <c r="B1782" s="48" t="s">
        <v>4714</v>
      </c>
      <c r="C1782" s="101"/>
      <c r="D1782" s="83" t="s">
        <v>909</v>
      </c>
      <c r="E1782" s="84">
        <v>1780.0</v>
      </c>
      <c r="F1782" s="48"/>
    </row>
    <row r="1783" ht="15.75" customHeight="1">
      <c r="A1783" s="48" t="s">
        <v>4715</v>
      </c>
      <c r="B1783" s="48" t="s">
        <v>4716</v>
      </c>
      <c r="C1783" s="104" t="s">
        <v>4717</v>
      </c>
      <c r="D1783" s="83" t="s">
        <v>909</v>
      </c>
      <c r="E1783" s="84">
        <v>1781.0</v>
      </c>
      <c r="F1783" s="48"/>
    </row>
    <row r="1784" ht="15.75" customHeight="1">
      <c r="A1784" s="48" t="s">
        <v>4718</v>
      </c>
      <c r="B1784" s="48" t="s">
        <v>1428</v>
      </c>
      <c r="C1784" s="104" t="s">
        <v>1429</v>
      </c>
      <c r="D1784" s="83" t="s">
        <v>909</v>
      </c>
      <c r="E1784" s="84">
        <v>1782.0</v>
      </c>
      <c r="F1784" s="48"/>
    </row>
    <row r="1785" ht="15.75" customHeight="1">
      <c r="A1785" s="48" t="s">
        <v>4719</v>
      </c>
      <c r="B1785" s="48" t="s">
        <v>4720</v>
      </c>
      <c r="C1785" s="104" t="s">
        <v>4721</v>
      </c>
      <c r="D1785" s="83" t="s">
        <v>909</v>
      </c>
      <c r="E1785" s="84">
        <v>1783.0</v>
      </c>
      <c r="F1785" s="48"/>
    </row>
    <row r="1786" ht="15.75" customHeight="1">
      <c r="A1786" s="48" t="s">
        <v>4722</v>
      </c>
      <c r="B1786" s="48" t="s">
        <v>4723</v>
      </c>
      <c r="C1786" s="104" t="s">
        <v>4724</v>
      </c>
      <c r="D1786" s="83" t="s">
        <v>909</v>
      </c>
      <c r="E1786" s="84">
        <v>1784.0</v>
      </c>
      <c r="F1786" s="48"/>
    </row>
    <row r="1787" ht="15.75" customHeight="1">
      <c r="A1787" s="48" t="s">
        <v>4725</v>
      </c>
      <c r="B1787" s="48" t="s">
        <v>4726</v>
      </c>
      <c r="C1787" s="104" t="s">
        <v>4727</v>
      </c>
      <c r="D1787" s="83" t="s">
        <v>909</v>
      </c>
      <c r="E1787" s="84">
        <v>1785.0</v>
      </c>
      <c r="F1787" s="48"/>
    </row>
    <row r="1788" ht="15.75" customHeight="1">
      <c r="A1788" s="48" t="s">
        <v>4728</v>
      </c>
      <c r="B1788" s="48" t="s">
        <v>4729</v>
      </c>
      <c r="C1788" s="104" t="s">
        <v>4730</v>
      </c>
      <c r="D1788" s="83" t="s">
        <v>909</v>
      </c>
      <c r="E1788" s="84">
        <v>1786.0</v>
      </c>
      <c r="F1788" s="48"/>
    </row>
    <row r="1789" ht="15.75" customHeight="1">
      <c r="A1789" s="48" t="s">
        <v>4731</v>
      </c>
      <c r="B1789" s="48" t="s">
        <v>4732</v>
      </c>
      <c r="C1789" s="104" t="s">
        <v>4733</v>
      </c>
      <c r="D1789" s="83" t="s">
        <v>909</v>
      </c>
      <c r="E1789" s="84">
        <v>1787.0</v>
      </c>
      <c r="F1789" s="48"/>
    </row>
    <row r="1790" ht="15.75" customHeight="1">
      <c r="A1790" s="48" t="s">
        <v>4734</v>
      </c>
      <c r="B1790" s="48" t="s">
        <v>4735</v>
      </c>
      <c r="C1790" s="104" t="s">
        <v>4736</v>
      </c>
      <c r="D1790" s="83" t="s">
        <v>909</v>
      </c>
      <c r="E1790" s="84">
        <v>1788.0</v>
      </c>
      <c r="F1790" s="48"/>
    </row>
    <row r="1791" ht="15.75" customHeight="1">
      <c r="A1791" s="48" t="s">
        <v>1493</v>
      </c>
      <c r="B1791" s="48" t="s">
        <v>4737</v>
      </c>
      <c r="C1791" s="101"/>
      <c r="D1791" s="83" t="s">
        <v>909</v>
      </c>
      <c r="E1791" s="84">
        <v>1789.0</v>
      </c>
      <c r="F1791" s="48"/>
    </row>
    <row r="1792" ht="15.75" customHeight="1">
      <c r="A1792" s="48" t="s">
        <v>4738</v>
      </c>
      <c r="B1792" s="48" t="s">
        <v>4739</v>
      </c>
      <c r="C1792" s="104" t="s">
        <v>908</v>
      </c>
      <c r="D1792" s="83" t="s">
        <v>909</v>
      </c>
      <c r="E1792" s="84">
        <v>1790.0</v>
      </c>
      <c r="F1792" s="48"/>
    </row>
    <row r="1793" ht="15.75" customHeight="1">
      <c r="A1793" s="48" t="s">
        <v>914</v>
      </c>
      <c r="B1793" s="48" t="s">
        <v>4740</v>
      </c>
      <c r="C1793" s="104" t="s">
        <v>916</v>
      </c>
      <c r="D1793" s="83" t="s">
        <v>909</v>
      </c>
      <c r="E1793" s="84">
        <v>1791.0</v>
      </c>
      <c r="F1793" s="48"/>
    </row>
    <row r="1794" ht="15.75" customHeight="1">
      <c r="A1794" s="48" t="s">
        <v>950</v>
      </c>
      <c r="B1794" s="48" t="s">
        <v>4741</v>
      </c>
      <c r="C1794" s="106"/>
      <c r="D1794" s="83" t="s">
        <v>909</v>
      </c>
      <c r="E1794" s="84">
        <v>1792.0</v>
      </c>
      <c r="F1794" s="48"/>
    </row>
    <row r="1795" ht="15.75" customHeight="1">
      <c r="A1795" s="48" t="s">
        <v>4742</v>
      </c>
      <c r="B1795" s="48" t="s">
        <v>4743</v>
      </c>
      <c r="C1795" s="104" t="s">
        <v>4744</v>
      </c>
      <c r="D1795" s="83" t="s">
        <v>944</v>
      </c>
      <c r="E1795" s="84">
        <v>1793.0</v>
      </c>
      <c r="F1795" s="48"/>
    </row>
    <row r="1796" ht="15.75" customHeight="1">
      <c r="A1796" s="48" t="s">
        <v>4745</v>
      </c>
      <c r="B1796" s="48" t="s">
        <v>4746</v>
      </c>
      <c r="C1796" s="104" t="s">
        <v>4747</v>
      </c>
      <c r="D1796" s="83" t="s">
        <v>909</v>
      </c>
      <c r="E1796" s="84">
        <v>1794.0</v>
      </c>
      <c r="F1796" s="48"/>
    </row>
    <row r="1797" ht="15.75" customHeight="1">
      <c r="A1797" s="48" t="s">
        <v>901</v>
      </c>
      <c r="B1797" s="48" t="s">
        <v>902</v>
      </c>
      <c r="C1797" s="104" t="s">
        <v>4748</v>
      </c>
      <c r="D1797" s="83" t="s">
        <v>909</v>
      </c>
      <c r="E1797" s="84">
        <v>1795.0</v>
      </c>
      <c r="F1797" s="48"/>
    </row>
    <row r="1798" ht="15.75" customHeight="1">
      <c r="A1798" s="48" t="s">
        <v>4749</v>
      </c>
      <c r="B1798" s="48"/>
      <c r="C1798" s="106"/>
      <c r="D1798" s="83" t="s">
        <v>909</v>
      </c>
      <c r="E1798" s="84">
        <v>1796.0</v>
      </c>
      <c r="F1798" s="48"/>
    </row>
    <row r="1799" ht="15.75" customHeight="1">
      <c r="A1799" s="48" t="s">
        <v>4750</v>
      </c>
      <c r="B1799" s="48" t="s">
        <v>4751</v>
      </c>
      <c r="C1799" s="104" t="s">
        <v>4752</v>
      </c>
      <c r="D1799" s="83" t="s">
        <v>909</v>
      </c>
      <c r="E1799" s="84">
        <v>1797.0</v>
      </c>
      <c r="F1799" s="48"/>
    </row>
    <row r="1800" ht="15.75" customHeight="1">
      <c r="A1800" s="48" t="s">
        <v>4753</v>
      </c>
      <c r="B1800" s="48" t="s">
        <v>4754</v>
      </c>
      <c r="C1800" s="104" t="s">
        <v>4755</v>
      </c>
      <c r="D1800" s="83" t="s">
        <v>909</v>
      </c>
      <c r="E1800" s="84">
        <v>1798.0</v>
      </c>
      <c r="F1800" s="48"/>
    </row>
    <row r="1801" ht="15.75" customHeight="1">
      <c r="A1801" s="48" t="s">
        <v>4756</v>
      </c>
      <c r="B1801" s="48" t="s">
        <v>4757</v>
      </c>
      <c r="C1801" s="104" t="s">
        <v>4758</v>
      </c>
      <c r="D1801" s="83" t="s">
        <v>909</v>
      </c>
      <c r="E1801" s="84">
        <v>1799.0</v>
      </c>
      <c r="F1801" s="48"/>
    </row>
    <row r="1802" ht="15.75" customHeight="1">
      <c r="A1802" s="48" t="s">
        <v>4759</v>
      </c>
      <c r="B1802" s="48" t="s">
        <v>4760</v>
      </c>
      <c r="C1802" s="104" t="s">
        <v>4761</v>
      </c>
      <c r="D1802" s="83" t="s">
        <v>909</v>
      </c>
      <c r="E1802" s="84">
        <v>1800.0</v>
      </c>
      <c r="F1802" s="48"/>
    </row>
    <row r="1803" ht="15.75" customHeight="1">
      <c r="A1803" s="48" t="s">
        <v>4762</v>
      </c>
      <c r="B1803" s="48" t="s">
        <v>4763</v>
      </c>
      <c r="C1803" s="104" t="s">
        <v>4764</v>
      </c>
      <c r="D1803" s="83" t="s">
        <v>909</v>
      </c>
      <c r="E1803" s="84">
        <v>1801.0</v>
      </c>
      <c r="F1803" s="48"/>
    </row>
    <row r="1804" ht="15.75" customHeight="1">
      <c r="A1804" s="48" t="s">
        <v>1850</v>
      </c>
      <c r="B1804" s="48" t="s">
        <v>139</v>
      </c>
      <c r="C1804" s="104" t="s">
        <v>4765</v>
      </c>
      <c r="D1804" s="83" t="s">
        <v>909</v>
      </c>
      <c r="E1804" s="84">
        <v>1802.0</v>
      </c>
      <c r="F1804" s="48"/>
    </row>
    <row r="1805" ht="15.75" customHeight="1">
      <c r="A1805" s="48" t="s">
        <v>4766</v>
      </c>
      <c r="B1805" s="48" t="s">
        <v>4767</v>
      </c>
      <c r="C1805" s="104" t="s">
        <v>4768</v>
      </c>
      <c r="D1805" s="83" t="s">
        <v>909</v>
      </c>
      <c r="E1805" s="84">
        <v>1803.0</v>
      </c>
      <c r="F1805" s="48"/>
    </row>
    <row r="1806" ht="15.75" customHeight="1">
      <c r="A1806" s="48" t="s">
        <v>4769</v>
      </c>
      <c r="B1806" s="48" t="s">
        <v>139</v>
      </c>
      <c r="C1806" s="104" t="s">
        <v>4770</v>
      </c>
      <c r="D1806" s="83" t="s">
        <v>909</v>
      </c>
      <c r="E1806" s="84">
        <v>1804.0</v>
      </c>
      <c r="F1806" s="48"/>
    </row>
    <row r="1807" ht="15.75" customHeight="1">
      <c r="A1807" s="48" t="s">
        <v>4771</v>
      </c>
      <c r="B1807" s="48" t="s">
        <v>4772</v>
      </c>
      <c r="C1807" s="104" t="s">
        <v>4773</v>
      </c>
      <c r="D1807" s="83" t="s">
        <v>909</v>
      </c>
      <c r="E1807" s="84">
        <v>1805.0</v>
      </c>
      <c r="F1807" s="48"/>
    </row>
    <row r="1808" ht="15.75" customHeight="1">
      <c r="A1808" s="48" t="s">
        <v>4774</v>
      </c>
      <c r="B1808" s="48" t="s">
        <v>4775</v>
      </c>
      <c r="C1808" s="104" t="s">
        <v>4776</v>
      </c>
      <c r="D1808" s="83" t="s">
        <v>944</v>
      </c>
      <c r="E1808" s="84">
        <v>1806.0</v>
      </c>
      <c r="F1808" s="48"/>
    </row>
    <row r="1809" ht="15.75" customHeight="1">
      <c r="A1809" s="48" t="s">
        <v>4777</v>
      </c>
      <c r="B1809" s="48"/>
      <c r="C1809" s="104" t="s">
        <v>4778</v>
      </c>
      <c r="D1809" s="83" t="s">
        <v>944</v>
      </c>
      <c r="E1809" s="84">
        <v>1807.0</v>
      </c>
      <c r="F1809" s="48"/>
    </row>
    <row r="1810" ht="15.75" customHeight="1">
      <c r="A1810" s="48" t="s">
        <v>4779</v>
      </c>
      <c r="B1810" s="48" t="s">
        <v>4780</v>
      </c>
      <c r="C1810" s="104" t="s">
        <v>4781</v>
      </c>
      <c r="D1810" s="83" t="s">
        <v>944</v>
      </c>
      <c r="E1810" s="84">
        <v>1808.0</v>
      </c>
      <c r="F1810" s="48"/>
    </row>
    <row r="1811" ht="15.75" customHeight="1">
      <c r="A1811" s="48" t="s">
        <v>4782</v>
      </c>
      <c r="B1811" s="48" t="s">
        <v>4783</v>
      </c>
      <c r="C1811" s="104" t="s">
        <v>4784</v>
      </c>
      <c r="D1811" s="83" t="s">
        <v>944</v>
      </c>
      <c r="E1811" s="84">
        <v>1809.0</v>
      </c>
      <c r="F1811" s="48"/>
    </row>
    <row r="1812" ht="15.75" customHeight="1">
      <c r="A1812" s="48" t="s">
        <v>4785</v>
      </c>
      <c r="B1812" s="48" t="s">
        <v>4786</v>
      </c>
      <c r="C1812" s="104" t="s">
        <v>4787</v>
      </c>
      <c r="D1812" s="83" t="s">
        <v>944</v>
      </c>
      <c r="E1812" s="84">
        <v>1810.0</v>
      </c>
      <c r="F1812" s="48"/>
    </row>
    <row r="1813" ht="15.75" customHeight="1">
      <c r="A1813" s="48" t="s">
        <v>4788</v>
      </c>
      <c r="B1813" s="48" t="s">
        <v>4789</v>
      </c>
      <c r="C1813" s="104" t="s">
        <v>4790</v>
      </c>
      <c r="D1813" s="83" t="s">
        <v>944</v>
      </c>
      <c r="E1813" s="84">
        <v>1811.0</v>
      </c>
      <c r="F1813" s="48"/>
    </row>
    <row r="1814" ht="15.75" customHeight="1">
      <c r="A1814" s="48" t="s">
        <v>4791</v>
      </c>
      <c r="B1814" s="48" t="s">
        <v>4792</v>
      </c>
      <c r="C1814" s="104" t="s">
        <v>4793</v>
      </c>
      <c r="D1814" s="83" t="s">
        <v>944</v>
      </c>
      <c r="E1814" s="84">
        <v>1812.0</v>
      </c>
      <c r="F1814" s="48"/>
    </row>
    <row r="1815" ht="15.75" customHeight="1">
      <c r="A1815" s="48" t="s">
        <v>4794</v>
      </c>
      <c r="B1815" s="48" t="s">
        <v>4795</v>
      </c>
      <c r="C1815" s="104" t="s">
        <v>4796</v>
      </c>
      <c r="D1815" s="83" t="s">
        <v>944</v>
      </c>
      <c r="E1815" s="84">
        <v>1813.0</v>
      </c>
      <c r="F1815" s="48"/>
    </row>
    <row r="1816" ht="15.75" customHeight="1">
      <c r="A1816" s="48" t="s">
        <v>4797</v>
      </c>
      <c r="B1816" s="48" t="s">
        <v>989</v>
      </c>
      <c r="C1816" s="104" t="s">
        <v>4798</v>
      </c>
      <c r="D1816" s="83"/>
      <c r="E1816" s="84">
        <v>1814.0</v>
      </c>
      <c r="F1816" s="48"/>
    </row>
    <row r="1817" ht="15.75" customHeight="1">
      <c r="A1817" s="48" t="s">
        <v>4799</v>
      </c>
      <c r="B1817" s="48"/>
      <c r="C1817" s="104" t="s">
        <v>4800</v>
      </c>
      <c r="D1817" s="83" t="s">
        <v>931</v>
      </c>
      <c r="E1817" s="84">
        <v>1815.0</v>
      </c>
      <c r="F1817" s="48"/>
    </row>
    <row r="1818" ht="15.75" customHeight="1">
      <c r="A1818" s="48" t="s">
        <v>4801</v>
      </c>
      <c r="B1818" s="48" t="s">
        <v>4802</v>
      </c>
      <c r="C1818" s="104" t="s">
        <v>4803</v>
      </c>
      <c r="D1818" s="83"/>
      <c r="E1818" s="84">
        <v>1816.0</v>
      </c>
      <c r="F1818" s="48"/>
    </row>
    <row r="1819" ht="15.75" customHeight="1">
      <c r="A1819" s="48" t="s">
        <v>4804</v>
      </c>
      <c r="B1819" s="48" t="s">
        <v>989</v>
      </c>
      <c r="C1819" s="104" t="s">
        <v>4805</v>
      </c>
      <c r="D1819" s="83"/>
      <c r="E1819" s="84">
        <v>1817.0</v>
      </c>
      <c r="F1819" s="48"/>
    </row>
    <row r="1820" ht="15.75" customHeight="1">
      <c r="A1820" s="48" t="s">
        <v>4806</v>
      </c>
      <c r="B1820" s="48"/>
      <c r="C1820" s="104" t="s">
        <v>4807</v>
      </c>
      <c r="D1820" s="83" t="s">
        <v>940</v>
      </c>
      <c r="E1820" s="84">
        <v>1818.0</v>
      </c>
      <c r="F1820" s="48"/>
    </row>
    <row r="1821" ht="15.75" customHeight="1">
      <c r="A1821" s="48" t="s">
        <v>4808</v>
      </c>
      <c r="B1821" s="48" t="s">
        <v>4809</v>
      </c>
      <c r="C1821" s="104" t="s">
        <v>4810</v>
      </c>
      <c r="D1821" s="83" t="s">
        <v>1074</v>
      </c>
      <c r="E1821" s="84">
        <v>1819.0</v>
      </c>
      <c r="F1821" s="48"/>
    </row>
    <row r="1822" ht="15.75" customHeight="1">
      <c r="A1822" s="48" t="s">
        <v>4811</v>
      </c>
      <c r="B1822" s="48" t="s">
        <v>4812</v>
      </c>
      <c r="C1822" s="104" t="s">
        <v>4813</v>
      </c>
      <c r="D1822" s="83" t="s">
        <v>927</v>
      </c>
      <c r="E1822" s="84">
        <v>1820.0</v>
      </c>
      <c r="F1822" s="48"/>
    </row>
    <row r="1823" ht="15.75" customHeight="1">
      <c r="A1823" s="48" t="s">
        <v>4814</v>
      </c>
      <c r="B1823" s="48"/>
      <c r="C1823" s="104" t="s">
        <v>4815</v>
      </c>
      <c r="D1823" s="83" t="s">
        <v>927</v>
      </c>
      <c r="E1823" s="84">
        <v>1821.0</v>
      </c>
      <c r="F1823" s="48"/>
    </row>
    <row r="1824" ht="15.75" customHeight="1">
      <c r="A1824" s="48" t="s">
        <v>4816</v>
      </c>
      <c r="B1824" s="48" t="s">
        <v>4817</v>
      </c>
      <c r="C1824" s="104" t="s">
        <v>4818</v>
      </c>
      <c r="D1824" s="83" t="s">
        <v>1074</v>
      </c>
      <c r="E1824" s="84">
        <v>1822.0</v>
      </c>
      <c r="F1824" s="48"/>
    </row>
    <row r="1825" ht="15.75" customHeight="1">
      <c r="A1825" s="48" t="s">
        <v>4819</v>
      </c>
      <c r="B1825" s="48" t="s">
        <v>4820</v>
      </c>
      <c r="C1825" s="104" t="s">
        <v>4821</v>
      </c>
      <c r="D1825" s="83" t="s">
        <v>921</v>
      </c>
      <c r="E1825" s="84">
        <v>1823.0</v>
      </c>
      <c r="F1825" s="48"/>
    </row>
    <row r="1826" ht="15.75" customHeight="1">
      <c r="A1826" s="48" t="s">
        <v>4822</v>
      </c>
      <c r="B1826" s="48" t="s">
        <v>4823</v>
      </c>
      <c r="C1826" s="104" t="s">
        <v>4824</v>
      </c>
      <c r="D1826" s="83" t="s">
        <v>927</v>
      </c>
      <c r="E1826" s="84">
        <v>1824.0</v>
      </c>
      <c r="F1826" s="48"/>
    </row>
    <row r="1827" ht="15.75" customHeight="1">
      <c r="A1827" s="48" t="s">
        <v>4825</v>
      </c>
      <c r="B1827" s="48" t="s">
        <v>4826</v>
      </c>
      <c r="C1827" s="104" t="s">
        <v>4827</v>
      </c>
      <c r="D1827" s="83" t="s">
        <v>927</v>
      </c>
      <c r="E1827" s="84">
        <v>1825.0</v>
      </c>
      <c r="F1827" s="48"/>
    </row>
    <row r="1828" ht="15.75" customHeight="1">
      <c r="A1828" s="48" t="s">
        <v>4828</v>
      </c>
      <c r="B1828" s="48" t="s">
        <v>4829</v>
      </c>
      <c r="C1828" s="104" t="s">
        <v>4830</v>
      </c>
      <c r="D1828" s="83"/>
      <c r="E1828" s="84">
        <v>1826.0</v>
      </c>
      <c r="F1828" s="48"/>
    </row>
    <row r="1829" ht="15.75" customHeight="1">
      <c r="A1829" s="48" t="s">
        <v>4831</v>
      </c>
      <c r="B1829" s="48" t="s">
        <v>4832</v>
      </c>
      <c r="C1829" s="101"/>
      <c r="D1829" s="83" t="s">
        <v>955</v>
      </c>
      <c r="E1829" s="84">
        <v>1827.0</v>
      </c>
      <c r="F1829" s="48"/>
    </row>
    <row r="1830" ht="15.75" customHeight="1">
      <c r="A1830" s="48" t="s">
        <v>4224</v>
      </c>
      <c r="B1830" s="48" t="s">
        <v>4225</v>
      </c>
      <c r="C1830" s="104" t="s">
        <v>4226</v>
      </c>
      <c r="D1830" s="83"/>
      <c r="E1830" s="84">
        <v>1828.0</v>
      </c>
      <c r="F1830" s="48"/>
    </row>
    <row r="1831" ht="15.75" customHeight="1">
      <c r="A1831" s="48" t="s">
        <v>4833</v>
      </c>
      <c r="B1831" s="48" t="s">
        <v>4235</v>
      </c>
      <c r="C1831" s="101"/>
      <c r="D1831" s="83" t="s">
        <v>1053</v>
      </c>
      <c r="E1831" s="84">
        <v>1829.0</v>
      </c>
      <c r="F1831" s="48"/>
    </row>
    <row r="1832" ht="15.75" customHeight="1">
      <c r="A1832" s="48" t="s">
        <v>4834</v>
      </c>
      <c r="C1832" s="62" t="s">
        <v>4835</v>
      </c>
      <c r="D1832" s="83"/>
      <c r="E1832" s="84">
        <v>1830.0</v>
      </c>
      <c r="F1832" s="48"/>
    </row>
    <row r="1833" ht="15.75" customHeight="1">
      <c r="A1833" s="48" t="s">
        <v>4836</v>
      </c>
      <c r="B1833" s="48"/>
      <c r="C1833" s="104" t="s">
        <v>4837</v>
      </c>
      <c r="D1833" s="83"/>
      <c r="E1833" s="84">
        <v>1831.0</v>
      </c>
      <c r="F1833" s="48"/>
    </row>
    <row r="1834" ht="15.75" customHeight="1">
      <c r="A1834" s="48" t="s">
        <v>4838</v>
      </c>
      <c r="B1834" s="48"/>
      <c r="C1834" s="104" t="s">
        <v>4839</v>
      </c>
      <c r="E1834" s="84">
        <v>1832.0</v>
      </c>
      <c r="F1834" s="48"/>
    </row>
    <row r="1835" ht="15.75" customHeight="1">
      <c r="A1835" s="48" t="s">
        <v>4840</v>
      </c>
      <c r="B1835" s="48" t="s">
        <v>4228</v>
      </c>
      <c r="C1835" s="104" t="s">
        <v>4841</v>
      </c>
      <c r="D1835" s="83"/>
      <c r="E1835" s="84">
        <v>1833.0</v>
      </c>
      <c r="F1835" s="48"/>
    </row>
    <row r="1836" ht="15.75" customHeight="1">
      <c r="A1836" s="48" t="s">
        <v>4842</v>
      </c>
      <c r="B1836" s="48"/>
      <c r="C1836" s="104" t="s">
        <v>4843</v>
      </c>
      <c r="D1836" s="83"/>
      <c r="E1836" s="84">
        <v>1834.0</v>
      </c>
      <c r="F1836" s="48"/>
    </row>
    <row r="1837" ht="15.75" customHeight="1">
      <c r="A1837" s="48" t="s">
        <v>2527</v>
      </c>
      <c r="B1837" s="48"/>
      <c r="C1837" s="104" t="s">
        <v>4844</v>
      </c>
      <c r="D1837" s="83"/>
      <c r="E1837" s="84">
        <v>1835.0</v>
      </c>
      <c r="F1837" s="48"/>
    </row>
    <row r="1838" ht="15.75" customHeight="1">
      <c r="A1838" s="48" t="s">
        <v>4845</v>
      </c>
      <c r="B1838" s="48"/>
      <c r="C1838" s="104" t="s">
        <v>4846</v>
      </c>
      <c r="D1838" s="83"/>
      <c r="E1838" s="84">
        <v>1836.0</v>
      </c>
      <c r="F1838" s="48"/>
    </row>
    <row r="1839" ht="15.75" customHeight="1">
      <c r="A1839" s="48" t="s">
        <v>1880</v>
      </c>
      <c r="B1839" s="48"/>
      <c r="C1839" s="104" t="s">
        <v>1882</v>
      </c>
      <c r="D1839" s="83"/>
      <c r="E1839" s="80">
        <v>1840.0</v>
      </c>
      <c r="F1839" s="48"/>
    </row>
    <row r="1840" ht="15.75" customHeight="1">
      <c r="A1840" s="48" t="s">
        <v>4847</v>
      </c>
      <c r="B1840" s="48"/>
      <c r="C1840" s="104" t="s">
        <v>4848</v>
      </c>
      <c r="D1840" s="83" t="s">
        <v>1097</v>
      </c>
      <c r="E1840" s="84">
        <v>1844.0</v>
      </c>
      <c r="F1840" s="48"/>
    </row>
    <row r="1841" ht="15.75" customHeight="1">
      <c r="A1841" s="48" t="s">
        <v>4849</v>
      </c>
      <c r="B1841" s="48"/>
      <c r="C1841" s="104" t="s">
        <v>4850</v>
      </c>
      <c r="D1841" s="83" t="s">
        <v>968</v>
      </c>
      <c r="E1841" s="80">
        <v>1848.0</v>
      </c>
      <c r="F1841" s="48"/>
    </row>
    <row r="1842" ht="15.75" customHeight="1">
      <c r="A1842" s="48" t="s">
        <v>4851</v>
      </c>
      <c r="B1842" s="48"/>
      <c r="C1842" s="104" t="s">
        <v>4852</v>
      </c>
      <c r="D1842" s="83" t="s">
        <v>1097</v>
      </c>
      <c r="E1842" s="84">
        <v>1852.0</v>
      </c>
      <c r="F1842" s="48"/>
    </row>
    <row r="1843" ht="15.75" customHeight="1">
      <c r="A1843" s="48" t="s">
        <v>4853</v>
      </c>
      <c r="B1843" s="48"/>
      <c r="C1843" s="104" t="s">
        <v>4854</v>
      </c>
      <c r="D1843" s="83" t="s">
        <v>1097</v>
      </c>
      <c r="E1843" s="80">
        <v>1856.0</v>
      </c>
      <c r="F1843" s="48"/>
    </row>
    <row r="1844" ht="15.75" customHeight="1">
      <c r="A1844" s="48" t="s">
        <v>4855</v>
      </c>
      <c r="B1844" s="48"/>
      <c r="C1844" s="104" t="s">
        <v>4856</v>
      </c>
      <c r="D1844" s="83"/>
      <c r="E1844" s="84">
        <v>1860.0</v>
      </c>
      <c r="F1844" s="48"/>
    </row>
    <row r="1845" ht="15.75" customHeight="1">
      <c r="A1845" s="48" t="s">
        <v>4857</v>
      </c>
      <c r="B1845" s="48"/>
      <c r="C1845" s="104" t="s">
        <v>4858</v>
      </c>
      <c r="D1845" s="83"/>
      <c r="E1845" s="80">
        <v>1864.0</v>
      </c>
      <c r="F1845" s="48"/>
    </row>
    <row r="1846" ht="15.75" customHeight="1">
      <c r="A1846" s="48" t="s">
        <v>4859</v>
      </c>
      <c r="B1846" s="48" t="s">
        <v>4860</v>
      </c>
      <c r="C1846" s="101"/>
      <c r="D1846" s="83" t="s">
        <v>1037</v>
      </c>
      <c r="E1846" s="84">
        <v>1868.0</v>
      </c>
      <c r="F1846" s="48"/>
    </row>
    <row r="1847" ht="15.75" customHeight="1">
      <c r="A1847" s="48" t="s">
        <v>4861</v>
      </c>
      <c r="B1847" s="48"/>
      <c r="C1847" s="104" t="s">
        <v>4862</v>
      </c>
      <c r="D1847" s="138" t="s">
        <v>3675</v>
      </c>
      <c r="E1847" s="80">
        <v>1872.0</v>
      </c>
      <c r="F1847" s="48"/>
    </row>
    <row r="1848" ht="15.75" customHeight="1">
      <c r="A1848" s="48" t="s">
        <v>4863</v>
      </c>
      <c r="B1848" s="48"/>
      <c r="C1848" s="104" t="s">
        <v>4864</v>
      </c>
      <c r="D1848" s="83" t="s">
        <v>1053</v>
      </c>
      <c r="E1848" s="84">
        <v>1876.0</v>
      </c>
      <c r="F1848" s="48"/>
    </row>
    <row r="1849" ht="15.75" customHeight="1">
      <c r="A1849" s="48" t="s">
        <v>4865</v>
      </c>
      <c r="B1849" s="48" t="s">
        <v>4866</v>
      </c>
      <c r="E1849" s="80">
        <v>1880.0</v>
      </c>
      <c r="F1849" s="48"/>
    </row>
    <row r="1850" ht="15.75" customHeight="1">
      <c r="A1850" s="48" t="s">
        <v>4867</v>
      </c>
      <c r="B1850" s="48"/>
      <c r="C1850" s="104" t="s">
        <v>4868</v>
      </c>
      <c r="D1850" s="83" t="s">
        <v>899</v>
      </c>
      <c r="E1850" s="84">
        <v>1884.0</v>
      </c>
      <c r="F1850" s="48"/>
    </row>
    <row r="1851" ht="15.75" customHeight="1">
      <c r="A1851" s="93" t="s">
        <v>4869</v>
      </c>
      <c r="B1851" s="93"/>
      <c r="C1851" s="139" t="s">
        <v>4870</v>
      </c>
      <c r="D1851" s="99" t="s">
        <v>4871</v>
      </c>
      <c r="E1851" s="80">
        <v>1888.0</v>
      </c>
      <c r="F1851" s="48" t="s">
        <v>4872</v>
      </c>
      <c r="G1851" s="140">
        <v>43550.0</v>
      </c>
    </row>
    <row r="1852" ht="15.75" customHeight="1">
      <c r="A1852" s="93" t="s">
        <v>4873</v>
      </c>
      <c r="B1852" s="93"/>
      <c r="C1852" s="139" t="s">
        <v>4874</v>
      </c>
      <c r="D1852" s="99" t="s">
        <v>4875</v>
      </c>
      <c r="E1852" s="84">
        <v>1892.0</v>
      </c>
      <c r="F1852" s="48" t="s">
        <v>4872</v>
      </c>
      <c r="G1852" s="140">
        <v>43550.0</v>
      </c>
    </row>
    <row r="1853" ht="15.75" customHeight="1">
      <c r="A1853" s="93" t="s">
        <v>4876</v>
      </c>
      <c r="B1853" s="93" t="s">
        <v>4877</v>
      </c>
      <c r="C1853" s="141"/>
      <c r="D1853" s="99" t="s">
        <v>4871</v>
      </c>
      <c r="E1853" s="80">
        <v>1896.0</v>
      </c>
      <c r="F1853" s="48" t="s">
        <v>4872</v>
      </c>
      <c r="G1853" s="140">
        <v>43550.0</v>
      </c>
    </row>
    <row r="1854" ht="15.75" customHeight="1">
      <c r="A1854" s="93" t="s">
        <v>4878</v>
      </c>
      <c r="B1854" s="93"/>
      <c r="C1854" s="139" t="s">
        <v>4879</v>
      </c>
      <c r="D1854" s="99" t="s">
        <v>4880</v>
      </c>
      <c r="E1854" s="84">
        <v>1900.0</v>
      </c>
      <c r="F1854" s="48" t="s">
        <v>4872</v>
      </c>
      <c r="G1854" s="140">
        <v>43550.0</v>
      </c>
    </row>
    <row r="1855" ht="15.75" customHeight="1">
      <c r="A1855" s="93" t="s">
        <v>4881</v>
      </c>
      <c r="B1855" s="93"/>
      <c r="C1855" s="139" t="s">
        <v>4882</v>
      </c>
      <c r="D1855" s="99" t="s">
        <v>109</v>
      </c>
      <c r="E1855" s="80">
        <v>1904.0</v>
      </c>
      <c r="F1855" s="48" t="s">
        <v>4883</v>
      </c>
      <c r="G1855" s="140">
        <v>43550.0</v>
      </c>
    </row>
    <row r="1856" ht="15.75" customHeight="1">
      <c r="A1856" s="93" t="s">
        <v>4884</v>
      </c>
      <c r="B1856" s="93"/>
      <c r="C1856" s="139" t="s">
        <v>4885</v>
      </c>
      <c r="D1856" s="99" t="s">
        <v>931</v>
      </c>
      <c r="E1856" s="84">
        <v>1908.0</v>
      </c>
      <c r="F1856" s="48" t="s">
        <v>4883</v>
      </c>
      <c r="G1856" s="140">
        <v>43550.0</v>
      </c>
    </row>
    <row r="1857" ht="15.75" customHeight="1">
      <c r="A1857" s="48" t="s">
        <v>4886</v>
      </c>
      <c r="B1857" s="48"/>
      <c r="C1857" s="104" t="s">
        <v>4887</v>
      </c>
      <c r="D1857" s="83" t="s">
        <v>4888</v>
      </c>
      <c r="E1857" s="80">
        <v>1912.0</v>
      </c>
      <c r="F1857" s="48" t="s">
        <v>4872</v>
      </c>
      <c r="G1857" s="140">
        <v>43550.0</v>
      </c>
    </row>
    <row r="1858" ht="15.75" customHeight="1">
      <c r="A1858" s="38" t="s">
        <v>4889</v>
      </c>
      <c r="B1858" s="93"/>
      <c r="C1858" s="139" t="s">
        <v>4890</v>
      </c>
      <c r="D1858" s="83" t="s">
        <v>1097</v>
      </c>
      <c r="E1858" s="84">
        <v>1916.0</v>
      </c>
      <c r="F1858" s="48" t="s">
        <v>4883</v>
      </c>
      <c r="G1858" s="140">
        <v>43550.0</v>
      </c>
    </row>
    <row r="1859" ht="15.75" customHeight="1">
      <c r="A1859" s="93" t="s">
        <v>4891</v>
      </c>
      <c r="B1859" s="93"/>
      <c r="C1859" s="104" t="s">
        <v>4892</v>
      </c>
      <c r="D1859" s="83" t="s">
        <v>1097</v>
      </c>
      <c r="E1859" s="80">
        <v>1920.0</v>
      </c>
      <c r="F1859" s="48" t="s">
        <v>4883</v>
      </c>
      <c r="G1859" s="140">
        <v>43550.0</v>
      </c>
    </row>
    <row r="1860" ht="15.75" customHeight="1">
      <c r="A1860" s="48" t="s">
        <v>4893</v>
      </c>
      <c r="B1860" s="48" t="s">
        <v>4894</v>
      </c>
      <c r="C1860" s="101" t="s">
        <v>198</v>
      </c>
      <c r="D1860" s="83" t="s">
        <v>1097</v>
      </c>
      <c r="E1860" s="84">
        <v>1924.0</v>
      </c>
      <c r="F1860" s="48" t="s">
        <v>4883</v>
      </c>
      <c r="G1860" s="140">
        <v>43550.0</v>
      </c>
    </row>
    <row r="1861" ht="15.75" customHeight="1">
      <c r="A1861" s="48" t="s">
        <v>4895</v>
      </c>
      <c r="B1861" s="48"/>
      <c r="C1861" s="104" t="s">
        <v>4896</v>
      </c>
      <c r="D1861" s="83" t="s">
        <v>3675</v>
      </c>
      <c r="E1861" s="80">
        <v>1925.0</v>
      </c>
      <c r="F1861" s="48" t="s">
        <v>4883</v>
      </c>
      <c r="G1861" s="140">
        <v>43550.0</v>
      </c>
    </row>
    <row r="1862" ht="15.75" customHeight="1">
      <c r="A1862" s="48" t="s">
        <v>4897</v>
      </c>
      <c r="B1862" s="48"/>
      <c r="C1862" s="104" t="s">
        <v>4898</v>
      </c>
      <c r="D1862" s="83" t="s">
        <v>1518</v>
      </c>
      <c r="E1862" s="84">
        <v>1926.0</v>
      </c>
      <c r="F1862" s="48" t="s">
        <v>4872</v>
      </c>
      <c r="G1862" s="140">
        <v>43550.0</v>
      </c>
    </row>
    <row r="1863" ht="15.75" customHeight="1">
      <c r="A1863" s="48" t="s">
        <v>4899</v>
      </c>
      <c r="B1863" s="48"/>
      <c r="C1863" s="142">
        <v>7.774773707903E12</v>
      </c>
      <c r="D1863" s="83" t="s">
        <v>4871</v>
      </c>
      <c r="E1863" s="80">
        <v>1927.0</v>
      </c>
      <c r="F1863" s="48"/>
    </row>
    <row r="1864" ht="15.75" customHeight="1">
      <c r="A1864" s="48" t="s">
        <v>4900</v>
      </c>
      <c r="B1864" s="48" t="s">
        <v>4901</v>
      </c>
      <c r="C1864" s="142">
        <v>7.9637579139E10</v>
      </c>
      <c r="D1864" s="83" t="s">
        <v>1097</v>
      </c>
      <c r="E1864" s="84">
        <v>1928.0</v>
      </c>
      <c r="F1864" s="48"/>
    </row>
    <row r="1865" ht="15.75" customHeight="1">
      <c r="A1865" s="48" t="s">
        <v>4902</v>
      </c>
      <c r="B1865" s="48"/>
      <c r="C1865" s="143">
        <v>7.9859707638E10</v>
      </c>
      <c r="D1865" s="83" t="s">
        <v>3797</v>
      </c>
      <c r="E1865" s="80">
        <v>1929.0</v>
      </c>
      <c r="F1865" s="48"/>
    </row>
    <row r="1866" ht="15.75" customHeight="1">
      <c r="A1866" s="48" t="s">
        <v>4903</v>
      </c>
      <c r="B1866" s="48" t="s">
        <v>4904</v>
      </c>
      <c r="C1866" s="70">
        <v>7.926698757E10</v>
      </c>
      <c r="D1866" s="83" t="s">
        <v>1097</v>
      </c>
      <c r="E1866" s="84">
        <v>1930.0</v>
      </c>
      <c r="F1866" s="48"/>
    </row>
    <row r="1867" ht="15.75" customHeight="1">
      <c r="A1867" s="48" t="s">
        <v>4905</v>
      </c>
      <c r="B1867" s="48"/>
      <c r="C1867" s="144">
        <v>9.715018129E11</v>
      </c>
      <c r="D1867" s="83" t="s">
        <v>205</v>
      </c>
      <c r="E1867" s="80">
        <v>1931.0</v>
      </c>
      <c r="F1867" s="48"/>
    </row>
    <row r="1868" ht="15.75" customHeight="1">
      <c r="A1868" s="48" t="s">
        <v>4906</v>
      </c>
      <c r="C1868" s="142">
        <v>9.66550659988E11</v>
      </c>
      <c r="D1868" s="83" t="s">
        <v>955</v>
      </c>
      <c r="E1868" s="84">
        <v>1932.0</v>
      </c>
      <c r="F1868" s="48"/>
    </row>
    <row r="1869" ht="15.75" customHeight="1">
      <c r="A1869" s="48" t="s">
        <v>4907</v>
      </c>
      <c r="B1869" s="48" t="s">
        <v>4908</v>
      </c>
      <c r="C1869" s="142">
        <v>9.7150545492E11</v>
      </c>
      <c r="D1869" s="83" t="s">
        <v>921</v>
      </c>
      <c r="E1869" s="80">
        <v>1933.0</v>
      </c>
      <c r="F1869" s="48"/>
    </row>
    <row r="1870" ht="15.75" customHeight="1">
      <c r="A1870" s="48" t="s">
        <v>4909</v>
      </c>
      <c r="B1870" s="48"/>
      <c r="C1870" s="142">
        <v>7.7029992933E10</v>
      </c>
      <c r="D1870" s="83" t="s">
        <v>4871</v>
      </c>
      <c r="E1870" s="84">
        <v>1934.0</v>
      </c>
      <c r="F1870" s="48"/>
    </row>
    <row r="1871" ht="15.75" customHeight="1">
      <c r="A1871" s="48" t="s">
        <v>4910</v>
      </c>
      <c r="B1871" s="48"/>
      <c r="C1871" s="142">
        <v>9.71555555125E11</v>
      </c>
      <c r="D1871" s="83"/>
      <c r="E1871" s="80">
        <v>1935.0</v>
      </c>
      <c r="F1871" s="48"/>
    </row>
    <row r="1872" ht="15.75" customHeight="1">
      <c r="A1872" s="48" t="s">
        <v>4911</v>
      </c>
      <c r="B1872" s="48"/>
      <c r="C1872" s="142">
        <v>9.71506412311E11</v>
      </c>
      <c r="D1872" s="83" t="s">
        <v>968</v>
      </c>
      <c r="E1872" s="84">
        <v>1936.0</v>
      </c>
      <c r="F1872" s="48"/>
    </row>
    <row r="1873" ht="15.75" customHeight="1">
      <c r="A1873" s="48" t="s">
        <v>4912</v>
      </c>
      <c r="B1873" s="48" t="s">
        <v>989</v>
      </c>
      <c r="C1873" s="142">
        <v>3.1653978032E10</v>
      </c>
      <c r="D1873" s="83"/>
      <c r="E1873" s="80">
        <v>1937.0</v>
      </c>
      <c r="F1873" s="48"/>
    </row>
    <row r="1874" ht="15.75" customHeight="1">
      <c r="A1874" s="48" t="s">
        <v>4913</v>
      </c>
      <c r="B1874" s="48"/>
      <c r="C1874" s="142">
        <v>9.71544405543E11</v>
      </c>
      <c r="D1874" s="83" t="s">
        <v>109</v>
      </c>
      <c r="E1874" s="48"/>
      <c r="F1874" s="48"/>
    </row>
    <row r="1875" ht="15.75" customHeight="1">
      <c r="A1875" s="48" t="s">
        <v>4914</v>
      </c>
      <c r="B1875" s="48" t="s">
        <v>4915</v>
      </c>
      <c r="C1875" s="142">
        <v>9.66530772E11</v>
      </c>
      <c r="D1875" s="83" t="s">
        <v>921</v>
      </c>
      <c r="E1875" s="48"/>
      <c r="F1875" s="48"/>
    </row>
    <row r="1876" ht="15.75" customHeight="1">
      <c r="A1876" s="48" t="s">
        <v>4916</v>
      </c>
      <c r="B1876" s="48" t="s">
        <v>4917</v>
      </c>
      <c r="C1876" s="142">
        <v>9.665474449E10</v>
      </c>
      <c r="D1876" s="83" t="s">
        <v>921</v>
      </c>
      <c r="E1876" s="48"/>
      <c r="F1876" s="48"/>
    </row>
    <row r="1877" ht="15.75" customHeight="1">
      <c r="A1877" s="48" t="s">
        <v>4918</v>
      </c>
      <c r="B1877" s="48" t="s">
        <v>4919</v>
      </c>
      <c r="C1877" s="142">
        <v>9.71557280728E11</v>
      </c>
      <c r="D1877" s="83" t="s">
        <v>960</v>
      </c>
      <c r="E1877" s="48"/>
      <c r="F1877" s="48"/>
    </row>
    <row r="1878" ht="15.75" customHeight="1">
      <c r="A1878" s="48" t="s">
        <v>4920</v>
      </c>
      <c r="C1878" s="142">
        <v>9.66552535022E11</v>
      </c>
      <c r="D1878" s="83" t="s">
        <v>921</v>
      </c>
      <c r="E1878" s="48"/>
      <c r="F1878" s="48"/>
    </row>
    <row r="1879" ht="15.75" customHeight="1">
      <c r="A1879" s="48" t="s">
        <v>4921</v>
      </c>
      <c r="B1879" s="48" t="s">
        <v>4922</v>
      </c>
      <c r="C1879" s="142">
        <v>9.71506260066E11</v>
      </c>
      <c r="D1879" s="83" t="s">
        <v>109</v>
      </c>
      <c r="E1879" s="48"/>
      <c r="F1879" s="48"/>
    </row>
    <row r="1880" ht="15.75" customHeight="1">
      <c r="A1880" s="48" t="s">
        <v>4923</v>
      </c>
      <c r="B1880" s="48" t="s">
        <v>989</v>
      </c>
      <c r="C1880" s="142">
        <v>9.16263833046E11</v>
      </c>
      <c r="D1880" s="83"/>
      <c r="E1880" s="48"/>
      <c r="F1880" s="48"/>
    </row>
    <row r="1881" ht="15.75" customHeight="1">
      <c r="A1881" s="48" t="s">
        <v>4924</v>
      </c>
      <c r="B1881" s="48"/>
      <c r="C1881" s="142">
        <v>9.66534400587E11</v>
      </c>
      <c r="D1881" s="83" t="s">
        <v>921</v>
      </c>
      <c r="E1881" s="48"/>
      <c r="F1881" s="48"/>
    </row>
    <row r="1882" ht="15.75" customHeight="1">
      <c r="A1882" s="48" t="s">
        <v>4925</v>
      </c>
      <c r="B1882" s="48" t="s">
        <v>989</v>
      </c>
      <c r="C1882" s="142">
        <v>8.9219950706E10</v>
      </c>
      <c r="D1882" s="83"/>
      <c r="E1882" s="48"/>
      <c r="F1882" s="48"/>
    </row>
    <row r="1883" ht="15.75" customHeight="1">
      <c r="A1883" s="48" t="s">
        <v>3806</v>
      </c>
      <c r="B1883" s="48"/>
      <c r="C1883" s="142">
        <v>9.71558855648E11</v>
      </c>
      <c r="D1883" s="83" t="s">
        <v>995</v>
      </c>
      <c r="E1883" s="48"/>
      <c r="F1883" s="48"/>
    </row>
    <row r="1884" ht="15.75" customHeight="1">
      <c r="A1884" s="48" t="s">
        <v>4926</v>
      </c>
      <c r="B1884" s="48" t="s">
        <v>989</v>
      </c>
      <c r="C1884" s="142">
        <v>9.1976761071E11</v>
      </c>
      <c r="D1884" s="83"/>
      <c r="E1884" s="48"/>
      <c r="F1884" s="48"/>
    </row>
    <row r="1885" ht="15.75" customHeight="1">
      <c r="A1885" s="48" t="s">
        <v>4927</v>
      </c>
      <c r="B1885" s="48"/>
      <c r="C1885" s="142">
        <v>7.7770130091E10</v>
      </c>
      <c r="D1885" s="83" t="s">
        <v>4928</v>
      </c>
      <c r="E1885" s="48"/>
      <c r="F1885" s="48"/>
    </row>
    <row r="1886" ht="15.75" customHeight="1">
      <c r="A1886" s="48" t="s">
        <v>4929</v>
      </c>
      <c r="B1886" s="48" t="s">
        <v>4930</v>
      </c>
      <c r="C1886" s="142">
        <v>9.23008562232E11</v>
      </c>
      <c r="D1886" s="83" t="s">
        <v>909</v>
      </c>
      <c r="E1886" s="48"/>
      <c r="F1886" s="48"/>
    </row>
    <row r="1887" ht="15.75" customHeight="1">
      <c r="A1887" s="48" t="s">
        <v>4931</v>
      </c>
      <c r="B1887" s="48" t="s">
        <v>989</v>
      </c>
      <c r="C1887" s="142">
        <v>3.93357722159E11</v>
      </c>
      <c r="D1887" s="83"/>
      <c r="E1887" s="48"/>
      <c r="F1887" s="48"/>
    </row>
    <row r="1888" ht="15.75" customHeight="1">
      <c r="A1888" s="48" t="s">
        <v>4932</v>
      </c>
      <c r="B1888" s="36" t="s">
        <v>4933</v>
      </c>
      <c r="C1888" s="145"/>
      <c r="D1888" s="83"/>
      <c r="E1888" s="48"/>
      <c r="F1888" s="48"/>
    </row>
    <row r="1889" ht="15.75" customHeight="1">
      <c r="A1889" s="48" t="s">
        <v>4934</v>
      </c>
      <c r="B1889" s="48" t="s">
        <v>4935</v>
      </c>
      <c r="C1889" s="145"/>
      <c r="D1889" s="83"/>
      <c r="E1889" s="48"/>
      <c r="F1889" s="48"/>
    </row>
    <row r="1890" ht="15.75" customHeight="1">
      <c r="A1890" s="48" t="s">
        <v>4936</v>
      </c>
      <c r="B1890" s="48" t="s">
        <v>4937</v>
      </c>
      <c r="C1890" s="145"/>
      <c r="D1890" s="83"/>
      <c r="E1890" s="48"/>
      <c r="F1890" s="48"/>
    </row>
    <row r="1891" ht="15.75" customHeight="1">
      <c r="A1891" s="48" t="s">
        <v>4938</v>
      </c>
      <c r="B1891" s="48"/>
      <c r="C1891" s="101">
        <v>1.706565065E9</v>
      </c>
      <c r="D1891" s="83"/>
      <c r="E1891" s="48"/>
      <c r="F1891" s="48"/>
    </row>
    <row r="1892" ht="15.75" customHeight="1">
      <c r="A1892" s="48" t="s">
        <v>4939</v>
      </c>
      <c r="B1892" s="48"/>
      <c r="C1892" s="101">
        <v>4.47411906649E11</v>
      </c>
      <c r="D1892" s="83"/>
      <c r="E1892" s="48"/>
      <c r="F1892" s="48"/>
    </row>
    <row r="1893" ht="15.75" customHeight="1">
      <c r="A1893" s="48" t="s">
        <v>4940</v>
      </c>
      <c r="B1893" s="48"/>
      <c r="C1893" s="101">
        <v>9.19820608248E11</v>
      </c>
      <c r="D1893" s="83"/>
      <c r="E1893" s="48"/>
      <c r="F1893" s="48"/>
    </row>
    <row r="1894" ht="15.75" customHeight="1">
      <c r="A1894" s="48" t="s">
        <v>4941</v>
      </c>
      <c r="B1894" s="48" t="s">
        <v>4942</v>
      </c>
      <c r="C1894" s="101">
        <v>3.33408575044E11</v>
      </c>
      <c r="D1894" s="83"/>
      <c r="E1894" s="48"/>
      <c r="F1894" s="48"/>
    </row>
    <row r="1895" ht="15.75" customHeight="1">
      <c r="A1895" s="48" t="s">
        <v>4943</v>
      </c>
      <c r="B1895" s="48" t="s">
        <v>4944</v>
      </c>
      <c r="C1895" s="101">
        <v>3.8641509732E10</v>
      </c>
      <c r="D1895" s="83"/>
      <c r="E1895" s="48"/>
      <c r="F1895" s="48"/>
    </row>
    <row r="1896" ht="15.75" customHeight="1">
      <c r="A1896" s="48" t="s">
        <v>4945</v>
      </c>
      <c r="B1896" s="48"/>
      <c r="C1896" s="101">
        <v>9.66555509081E11</v>
      </c>
      <c r="D1896" s="83"/>
      <c r="E1896" s="48"/>
      <c r="F1896" s="48"/>
    </row>
    <row r="1897" ht="15.75" customHeight="1">
      <c r="A1897" s="48" t="s">
        <v>4946</v>
      </c>
      <c r="B1897" s="48"/>
      <c r="C1897" s="101">
        <v>9.66553455543E11</v>
      </c>
      <c r="D1897" s="83"/>
      <c r="E1897" s="48"/>
      <c r="F1897" s="48"/>
    </row>
    <row r="1898" ht="15.75" customHeight="1">
      <c r="A1898" s="48" t="s">
        <v>4947</v>
      </c>
      <c r="B1898" s="48"/>
      <c r="C1898" s="101">
        <v>9.66544397272E11</v>
      </c>
      <c r="D1898" s="83"/>
      <c r="E1898" s="48"/>
      <c r="F1898" s="48"/>
    </row>
    <row r="1899" ht="15.75" customHeight="1">
      <c r="A1899" s="48" t="s">
        <v>4948</v>
      </c>
      <c r="B1899" s="48" t="s">
        <v>4949</v>
      </c>
      <c r="C1899" s="101">
        <v>9.66540949488E11</v>
      </c>
      <c r="D1899" s="83"/>
      <c r="E1899" s="48"/>
      <c r="F1899" s="48"/>
    </row>
    <row r="1900" ht="15.75" customHeight="1">
      <c r="A1900" s="36" t="s">
        <v>4950</v>
      </c>
      <c r="B1900" s="48" t="s">
        <v>4951</v>
      </c>
      <c r="C1900" s="101">
        <v>9.6597956688E10</v>
      </c>
      <c r="D1900" s="83"/>
      <c r="E1900" s="48"/>
      <c r="F1900" s="48"/>
    </row>
    <row r="1901" ht="15.75" customHeight="1">
      <c r="A1901" s="48" t="s">
        <v>4952</v>
      </c>
      <c r="B1901" s="48"/>
      <c r="C1901" s="146">
        <v>9.71563204135E11</v>
      </c>
      <c r="D1901" s="83"/>
      <c r="E1901" s="48"/>
      <c r="F1901" s="48"/>
    </row>
    <row r="1902" ht="15.75" customHeight="1">
      <c r="A1902" s="48" t="s">
        <v>4953</v>
      </c>
      <c r="B1902" s="48"/>
      <c r="C1902" s="146">
        <v>1.289189944E9</v>
      </c>
      <c r="D1902" s="83"/>
      <c r="E1902" s="48"/>
      <c r="F1902" s="48"/>
    </row>
    <row r="1903" ht="15.75" customHeight="1">
      <c r="A1903" s="48" t="s">
        <v>4954</v>
      </c>
      <c r="B1903" s="48"/>
      <c r="C1903" s="146">
        <v>3.2495264698E10</v>
      </c>
      <c r="D1903" s="83"/>
      <c r="E1903" s="48"/>
      <c r="F1903" s="48"/>
    </row>
    <row r="1904" ht="15.75" customHeight="1">
      <c r="A1904" s="48" t="s">
        <v>4955</v>
      </c>
      <c r="B1904" s="48"/>
      <c r="C1904" s="146">
        <v>1.73322077285E11</v>
      </c>
      <c r="D1904" s="83"/>
      <c r="E1904" s="48"/>
      <c r="F1904" s="48"/>
    </row>
    <row r="1905" ht="15.75" customHeight="1">
      <c r="A1905" s="48" t="s">
        <v>4956</v>
      </c>
      <c r="B1905" s="48" t="s">
        <v>4957</v>
      </c>
      <c r="C1905" s="146">
        <v>9.0850560075E11</v>
      </c>
      <c r="D1905" s="83"/>
      <c r="E1905" s="48"/>
      <c r="F1905" s="48"/>
    </row>
    <row r="1906" ht="15.75" customHeight="1">
      <c r="A1906" s="48" t="s">
        <v>4958</v>
      </c>
      <c r="B1906" s="48"/>
      <c r="C1906" s="146">
        <v>9.96541779922E11</v>
      </c>
      <c r="D1906" s="83"/>
      <c r="E1906" s="48"/>
      <c r="F1906" s="48"/>
    </row>
    <row r="1907" ht="15.75" customHeight="1">
      <c r="A1907" s="48" t="s">
        <v>4959</v>
      </c>
      <c r="B1907" s="48"/>
      <c r="C1907" s="146">
        <v>7.7071076141E10</v>
      </c>
      <c r="D1907" s="83"/>
      <c r="E1907" s="48"/>
      <c r="F1907" s="48"/>
    </row>
    <row r="1908" ht="15.75" customHeight="1">
      <c r="A1908" s="48" t="s">
        <v>4960</v>
      </c>
      <c r="B1908" s="48"/>
      <c r="C1908" s="146">
        <v>9.7154407935E11</v>
      </c>
      <c r="D1908" s="83"/>
      <c r="E1908" s="48"/>
      <c r="F1908" s="48"/>
    </row>
    <row r="1909" ht="15.75" customHeight="1">
      <c r="A1909" s="48" t="s">
        <v>4961</v>
      </c>
      <c r="B1909" s="48"/>
      <c r="C1909" s="146">
        <v>4.6733442705E10</v>
      </c>
      <c r="D1909" s="83"/>
      <c r="E1909" s="48"/>
      <c r="F1909" s="48"/>
    </row>
    <row r="1910" ht="15.75" customHeight="1">
      <c r="A1910" s="48" t="s">
        <v>4227</v>
      </c>
      <c r="B1910" s="48"/>
      <c r="C1910" s="146">
        <v>9.71509231169E11</v>
      </c>
      <c r="D1910" s="83"/>
      <c r="E1910" s="48"/>
      <c r="F1910" s="48"/>
    </row>
    <row r="1911" ht="15.75" customHeight="1">
      <c r="A1911" s="48" t="s">
        <v>4962</v>
      </c>
      <c r="B1911" s="48"/>
      <c r="C1911" s="146">
        <v>4.917623296166E12</v>
      </c>
      <c r="D1911" s="83"/>
      <c r="E1911" s="48"/>
      <c r="F1911" s="48"/>
    </row>
    <row r="1912" ht="15.75" customHeight="1">
      <c r="A1912" s="48" t="s">
        <v>4963</v>
      </c>
      <c r="B1912" s="48"/>
      <c r="C1912" s="146">
        <v>8.9098541955E10</v>
      </c>
      <c r="D1912" s="83"/>
      <c r="E1912" s="48"/>
      <c r="F1912" s="48"/>
    </row>
    <row r="1913" ht="15.75" customHeight="1">
      <c r="A1913" s="48" t="s">
        <v>4964</v>
      </c>
      <c r="B1913" s="48"/>
      <c r="C1913" s="146">
        <v>9.6892321514E10</v>
      </c>
      <c r="D1913" s="83"/>
      <c r="E1913" s="48"/>
      <c r="F1913" s="48"/>
    </row>
    <row r="1914" ht="15.75" customHeight="1">
      <c r="A1914" s="48" t="s">
        <v>4965</v>
      </c>
      <c r="B1914" s="48"/>
      <c r="C1914" s="146">
        <v>2.13550556333E11</v>
      </c>
      <c r="D1914" s="83"/>
      <c r="E1914" s="48"/>
      <c r="F1914" s="48"/>
    </row>
    <row r="1915" ht="15.75" customHeight="1">
      <c r="A1915" s="48" t="s">
        <v>4966</v>
      </c>
      <c r="B1915" s="48"/>
      <c r="C1915" s="146">
        <v>3.3651820238E10</v>
      </c>
      <c r="D1915" s="83"/>
      <c r="E1915" s="48"/>
      <c r="F1915" s="48"/>
    </row>
    <row r="1916" ht="15.75" customHeight="1">
      <c r="A1916" s="48" t="s">
        <v>4967</v>
      </c>
      <c r="B1916" s="48"/>
      <c r="C1916" s="146">
        <v>2.1226141079E10</v>
      </c>
      <c r="D1916" s="83"/>
      <c r="E1916" s="48"/>
      <c r="F1916" s="48"/>
    </row>
    <row r="1917" ht="15.75" customHeight="1">
      <c r="A1917" s="48" t="s">
        <v>4968</v>
      </c>
      <c r="B1917" s="48"/>
      <c r="C1917" s="146">
        <v>2.348060299137E12</v>
      </c>
      <c r="D1917" s="83"/>
      <c r="E1917" s="48"/>
      <c r="F1917" s="48"/>
    </row>
    <row r="1918" ht="15.75" customHeight="1">
      <c r="A1918" s="48" t="s">
        <v>4969</v>
      </c>
      <c r="B1918" s="48"/>
      <c r="C1918" s="146"/>
      <c r="D1918" s="83"/>
      <c r="E1918" s="48"/>
      <c r="F1918" s="48"/>
    </row>
    <row r="1919" ht="15.75" customHeight="1">
      <c r="A1919" s="48" t="s">
        <v>4190</v>
      </c>
      <c r="B1919" s="48"/>
      <c r="C1919" s="146">
        <v>9.6659888883E11</v>
      </c>
      <c r="D1919" s="83"/>
      <c r="E1919" s="48"/>
      <c r="F1919" s="48"/>
    </row>
    <row r="1920" ht="15.75" customHeight="1">
      <c r="D1920" s="83"/>
      <c r="E1920" s="48"/>
      <c r="F1920" s="48"/>
    </row>
    <row r="1921" ht="15.75" customHeight="1">
      <c r="A1921" s="48"/>
      <c r="B1921" s="48"/>
      <c r="C1921" s="101"/>
      <c r="D1921" s="83"/>
      <c r="E1921" s="48"/>
      <c r="F1921" s="48"/>
    </row>
    <row r="1922" ht="15.75" customHeight="1">
      <c r="A1922" s="48"/>
      <c r="B1922" s="48"/>
      <c r="C1922" s="101"/>
      <c r="D1922" s="83"/>
      <c r="E1922" s="48"/>
      <c r="F1922" s="48"/>
    </row>
    <row r="1923" ht="15.75" customHeight="1">
      <c r="A1923" s="48"/>
      <c r="B1923" s="48"/>
      <c r="C1923" s="101"/>
      <c r="D1923" s="83"/>
      <c r="E1923" s="48"/>
      <c r="F1923" s="48"/>
    </row>
    <row r="1924" ht="15.75" customHeight="1">
      <c r="A1924" s="48"/>
      <c r="B1924" s="48"/>
      <c r="C1924" s="101"/>
      <c r="D1924" s="83"/>
      <c r="E1924" s="48"/>
      <c r="F1924" s="48"/>
    </row>
    <row r="1925" ht="15.75" customHeight="1">
      <c r="A1925" s="48"/>
      <c r="B1925" s="48"/>
      <c r="C1925" s="101"/>
      <c r="D1925" s="83"/>
      <c r="E1925" s="48"/>
      <c r="F1925" s="48"/>
    </row>
    <row r="1926" ht="15.75" customHeight="1">
      <c r="A1926" s="48"/>
      <c r="B1926" s="48"/>
      <c r="C1926" s="101"/>
      <c r="D1926" s="83"/>
      <c r="E1926" s="48"/>
      <c r="F1926" s="48"/>
    </row>
    <row r="1927" ht="15.75" customHeight="1">
      <c r="A1927" s="48"/>
      <c r="B1927" s="48"/>
      <c r="C1927" s="101"/>
      <c r="D1927" s="83"/>
      <c r="E1927" s="48"/>
      <c r="F1927" s="48"/>
    </row>
    <row r="1928" ht="15.75" customHeight="1">
      <c r="A1928" s="48"/>
      <c r="B1928" s="48"/>
      <c r="C1928" s="101"/>
      <c r="D1928" s="83"/>
      <c r="E1928" s="48"/>
      <c r="F1928" s="48"/>
    </row>
    <row r="1929" ht="15.75" customHeight="1">
      <c r="A1929" s="48"/>
      <c r="B1929" s="48"/>
      <c r="C1929" s="101"/>
      <c r="D1929" s="83"/>
      <c r="E1929" s="48"/>
      <c r="F1929" s="48"/>
    </row>
    <row r="1930" ht="15.75" customHeight="1">
      <c r="A1930" s="48"/>
      <c r="B1930" s="48"/>
      <c r="C1930" s="101"/>
      <c r="D1930" s="83"/>
      <c r="E1930" s="48"/>
      <c r="F1930" s="48"/>
    </row>
    <row r="1931" ht="15.75" customHeight="1">
      <c r="A1931" s="48"/>
      <c r="B1931" s="48"/>
      <c r="C1931" s="101"/>
      <c r="D1931" s="83"/>
      <c r="E1931" s="48"/>
      <c r="F1931" s="48"/>
    </row>
    <row r="1932" ht="15.75" customHeight="1">
      <c r="A1932" s="48"/>
      <c r="B1932" s="48"/>
      <c r="C1932" s="101"/>
      <c r="D1932" s="83"/>
      <c r="E1932" s="48"/>
      <c r="F1932" s="48"/>
    </row>
    <row r="1933" ht="15.75" customHeight="1">
      <c r="A1933" s="48"/>
      <c r="B1933" s="48"/>
      <c r="C1933" s="101"/>
      <c r="D1933" s="83"/>
      <c r="E1933" s="48"/>
      <c r="F1933" s="48"/>
    </row>
    <row r="1934" ht="15.75" customHeight="1">
      <c r="A1934" s="48"/>
      <c r="B1934" s="48"/>
      <c r="C1934" s="101"/>
      <c r="D1934" s="83"/>
      <c r="E1934" s="48"/>
      <c r="F1934" s="48"/>
    </row>
    <row r="1935" ht="15.75" customHeight="1">
      <c r="A1935" s="48"/>
      <c r="B1935" s="48"/>
      <c r="C1935" s="101"/>
      <c r="D1935" s="83"/>
      <c r="E1935" s="48"/>
      <c r="F1935" s="48"/>
    </row>
    <row r="1936" ht="15.75" customHeight="1">
      <c r="A1936" s="48"/>
      <c r="B1936" s="48"/>
      <c r="C1936" s="101"/>
      <c r="D1936" s="83"/>
      <c r="E1936" s="48"/>
      <c r="F1936" s="48"/>
    </row>
    <row r="1937" ht="15.75" customHeight="1">
      <c r="A1937" s="48"/>
      <c r="B1937" s="48"/>
      <c r="C1937" s="101"/>
      <c r="D1937" s="83"/>
      <c r="E1937" s="48"/>
      <c r="F1937" s="48"/>
    </row>
    <row r="1938" ht="15.75" customHeight="1">
      <c r="A1938" s="48"/>
      <c r="B1938" s="48"/>
      <c r="C1938" s="101"/>
      <c r="D1938" s="83"/>
      <c r="E1938" s="48"/>
      <c r="F1938" s="48"/>
    </row>
    <row r="1939" ht="15.75" customHeight="1">
      <c r="A1939" s="48"/>
      <c r="B1939" s="48"/>
      <c r="C1939" s="101"/>
      <c r="D1939" s="83"/>
      <c r="E1939" s="48"/>
      <c r="F1939" s="48"/>
    </row>
    <row r="1940" ht="15.75" customHeight="1">
      <c r="A1940" s="48"/>
      <c r="B1940" s="48"/>
      <c r="C1940" s="101"/>
      <c r="D1940" s="83"/>
      <c r="E1940" s="48"/>
      <c r="F1940" s="48"/>
    </row>
    <row r="1941" ht="15.75" customHeight="1">
      <c r="A1941" s="48"/>
      <c r="B1941" s="48"/>
      <c r="C1941" s="101"/>
      <c r="D1941" s="83"/>
      <c r="E1941" s="48"/>
      <c r="F1941" s="48"/>
    </row>
    <row r="1942" ht="15.75" customHeight="1">
      <c r="A1942" s="48"/>
      <c r="B1942" s="48"/>
      <c r="C1942" s="101"/>
      <c r="D1942" s="83"/>
      <c r="E1942" s="48"/>
      <c r="F1942" s="48"/>
    </row>
    <row r="1943" ht="15.75" customHeight="1">
      <c r="A1943" s="48"/>
      <c r="B1943" s="48"/>
      <c r="C1943" s="101"/>
      <c r="D1943" s="83"/>
      <c r="E1943" s="48"/>
      <c r="F1943" s="48"/>
    </row>
    <row r="1944" ht="15.75" customHeight="1">
      <c r="A1944" s="48"/>
      <c r="B1944" s="48"/>
      <c r="C1944" s="101"/>
      <c r="D1944" s="83"/>
      <c r="E1944" s="48"/>
      <c r="F1944" s="48"/>
    </row>
    <row r="1945" ht="15.75" customHeight="1">
      <c r="A1945" s="48"/>
      <c r="B1945" s="48"/>
      <c r="C1945" s="101"/>
      <c r="D1945" s="83"/>
      <c r="E1945" s="48"/>
      <c r="F1945" s="48"/>
    </row>
    <row r="1946" ht="15.75" customHeight="1">
      <c r="A1946" s="48"/>
      <c r="B1946" s="48"/>
      <c r="C1946" s="101"/>
      <c r="D1946" s="83"/>
      <c r="E1946" s="48"/>
      <c r="F1946" s="48"/>
    </row>
    <row r="1947" ht="15.75" customHeight="1">
      <c r="A1947" s="48"/>
      <c r="B1947" s="48"/>
      <c r="C1947" s="101"/>
      <c r="D1947" s="83"/>
      <c r="E1947" s="48"/>
      <c r="F1947" s="48"/>
    </row>
    <row r="1948" ht="15.75" customHeight="1">
      <c r="A1948" s="48"/>
      <c r="B1948" s="48"/>
      <c r="C1948" s="101"/>
      <c r="D1948" s="83"/>
      <c r="E1948" s="48"/>
      <c r="F1948" s="48"/>
    </row>
    <row r="1949" ht="15.75" customHeight="1">
      <c r="A1949" s="48"/>
      <c r="B1949" s="48"/>
      <c r="C1949" s="101"/>
      <c r="D1949" s="83"/>
      <c r="E1949" s="48"/>
      <c r="F1949" s="48"/>
    </row>
    <row r="1950" ht="15.75" customHeight="1">
      <c r="A1950" s="48"/>
      <c r="B1950" s="48"/>
      <c r="C1950" s="101"/>
      <c r="D1950" s="83"/>
      <c r="E1950" s="48"/>
      <c r="F1950" s="48"/>
    </row>
    <row r="1951" ht="15.75" customHeight="1">
      <c r="A1951" s="48"/>
      <c r="B1951" s="48"/>
      <c r="C1951" s="101"/>
      <c r="D1951" s="83"/>
      <c r="E1951" s="48"/>
      <c r="F1951" s="48"/>
    </row>
    <row r="1952" ht="15.75" customHeight="1">
      <c r="A1952" s="48"/>
      <c r="B1952" s="48"/>
      <c r="C1952" s="101"/>
      <c r="D1952" s="83"/>
      <c r="E1952" s="48"/>
      <c r="F1952" s="48"/>
    </row>
    <row r="1953" ht="15.75" customHeight="1">
      <c r="A1953" s="48"/>
      <c r="B1953" s="48"/>
      <c r="C1953" s="101"/>
      <c r="D1953" s="83"/>
      <c r="E1953" s="48"/>
      <c r="F1953" s="48"/>
    </row>
    <row r="1954" ht="15.75" customHeight="1">
      <c r="A1954" s="48"/>
      <c r="B1954" s="48"/>
      <c r="C1954" s="101"/>
      <c r="D1954" s="83"/>
      <c r="E1954" s="48"/>
      <c r="F1954" s="48"/>
    </row>
    <row r="1955" ht="15.75" customHeight="1">
      <c r="A1955" s="48"/>
      <c r="B1955" s="48"/>
      <c r="C1955" s="101"/>
      <c r="D1955" s="83"/>
      <c r="E1955" s="48"/>
      <c r="F1955" s="48"/>
    </row>
    <row r="1956" ht="15.75" customHeight="1">
      <c r="A1956" s="48"/>
      <c r="B1956" s="48"/>
      <c r="C1956" s="101"/>
      <c r="D1956" s="83"/>
      <c r="E1956" s="48"/>
      <c r="F1956" s="48"/>
    </row>
    <row r="1957" ht="15.75" customHeight="1">
      <c r="A1957" s="48"/>
      <c r="B1957" s="48"/>
      <c r="C1957" s="101"/>
      <c r="D1957" s="83"/>
      <c r="E1957" s="48"/>
      <c r="F1957" s="48"/>
    </row>
    <row r="1958" ht="15.75" customHeight="1">
      <c r="A1958" s="48"/>
      <c r="B1958" s="48"/>
      <c r="C1958" s="101"/>
      <c r="D1958" s="83"/>
      <c r="E1958" s="48"/>
      <c r="F1958" s="48"/>
    </row>
    <row r="1959" ht="15.75" customHeight="1">
      <c r="A1959" s="48"/>
      <c r="B1959" s="48"/>
      <c r="C1959" s="101"/>
      <c r="D1959" s="83"/>
      <c r="E1959" s="48"/>
      <c r="F1959" s="48"/>
    </row>
    <row r="1960" ht="15.75" customHeight="1">
      <c r="A1960" s="48"/>
      <c r="B1960" s="48"/>
      <c r="C1960" s="101"/>
      <c r="D1960" s="83"/>
      <c r="E1960" s="48"/>
      <c r="F1960" s="48"/>
    </row>
    <row r="1961" ht="15.75" customHeight="1">
      <c r="A1961" s="48"/>
      <c r="B1961" s="48"/>
      <c r="C1961" s="101"/>
      <c r="D1961" s="83"/>
      <c r="E1961" s="48"/>
      <c r="F1961" s="48"/>
    </row>
    <row r="1962" ht="15.75" customHeight="1">
      <c r="A1962" s="48"/>
      <c r="B1962" s="48"/>
      <c r="C1962" s="101"/>
      <c r="D1962" s="83"/>
      <c r="E1962" s="48"/>
      <c r="F1962" s="48"/>
    </row>
    <row r="1963" ht="15.75" customHeight="1">
      <c r="A1963" s="48"/>
      <c r="B1963" s="48"/>
      <c r="C1963" s="101"/>
      <c r="D1963" s="83"/>
      <c r="E1963" s="48"/>
      <c r="F1963" s="48"/>
    </row>
    <row r="1964" ht="15.75" customHeight="1">
      <c r="A1964" s="48"/>
      <c r="B1964" s="48"/>
      <c r="C1964" s="101"/>
      <c r="D1964" s="83"/>
      <c r="E1964" s="48"/>
      <c r="F1964" s="48"/>
    </row>
    <row r="1965" ht="15.75" customHeight="1">
      <c r="A1965" s="48"/>
      <c r="B1965" s="48"/>
      <c r="C1965" s="101"/>
      <c r="D1965" s="83"/>
      <c r="E1965" s="48"/>
      <c r="F1965" s="48"/>
    </row>
    <row r="1966" ht="15.75" customHeight="1">
      <c r="A1966" s="48"/>
      <c r="B1966" s="48"/>
      <c r="C1966" s="101"/>
      <c r="D1966" s="83"/>
      <c r="E1966" s="48"/>
      <c r="F1966" s="48"/>
    </row>
    <row r="1967" ht="15.75" customHeight="1">
      <c r="A1967" s="48"/>
      <c r="B1967" s="48"/>
      <c r="C1967" s="101"/>
      <c r="D1967" s="83"/>
      <c r="E1967" s="48"/>
      <c r="F1967" s="48"/>
    </row>
    <row r="1968" ht="15.75" customHeight="1">
      <c r="A1968" s="48"/>
      <c r="B1968" s="48"/>
      <c r="C1968" s="101"/>
      <c r="D1968" s="83"/>
      <c r="E1968" s="48"/>
      <c r="F1968" s="48"/>
    </row>
    <row r="1969" ht="15.75" customHeight="1">
      <c r="A1969" s="48"/>
      <c r="B1969" s="48"/>
      <c r="C1969" s="101"/>
      <c r="D1969" s="83"/>
      <c r="E1969" s="48"/>
      <c r="F1969" s="48"/>
    </row>
    <row r="1970" ht="15.75" customHeight="1">
      <c r="A1970" s="48"/>
      <c r="B1970" s="48"/>
      <c r="C1970" s="101"/>
      <c r="D1970" s="83"/>
      <c r="E1970" s="48"/>
      <c r="F1970" s="48"/>
    </row>
    <row r="1971" ht="15.75" customHeight="1">
      <c r="A1971" s="48"/>
      <c r="B1971" s="48"/>
      <c r="C1971" s="101"/>
      <c r="D1971" s="83"/>
      <c r="E1971" s="48"/>
      <c r="F1971" s="48"/>
    </row>
    <row r="1972" ht="15.75" customHeight="1">
      <c r="A1972" s="48"/>
      <c r="B1972" s="48"/>
      <c r="C1972" s="101"/>
      <c r="D1972" s="83"/>
      <c r="E1972" s="48"/>
      <c r="F1972" s="48"/>
    </row>
    <row r="1973" ht="15.75" customHeight="1">
      <c r="A1973" s="48"/>
      <c r="B1973" s="48"/>
      <c r="C1973" s="101"/>
      <c r="D1973" s="83"/>
      <c r="E1973" s="48"/>
      <c r="F1973" s="48"/>
    </row>
    <row r="1974" ht="15.75" customHeight="1">
      <c r="A1974" s="48"/>
      <c r="B1974" s="48"/>
      <c r="C1974" s="101"/>
      <c r="D1974" s="83"/>
      <c r="E1974" s="48"/>
      <c r="F1974" s="48"/>
    </row>
    <row r="1975" ht="15.75" customHeight="1">
      <c r="A1975" s="48"/>
      <c r="B1975" s="48"/>
      <c r="C1975" s="101"/>
      <c r="D1975" s="83"/>
      <c r="E1975" s="48"/>
      <c r="F1975" s="48"/>
    </row>
    <row r="1976" ht="15.75" customHeight="1">
      <c r="A1976" s="48"/>
      <c r="B1976" s="48"/>
      <c r="C1976" s="101"/>
      <c r="D1976" s="83"/>
      <c r="E1976" s="48"/>
      <c r="F1976" s="48"/>
    </row>
    <row r="1977" ht="15.75" customHeight="1">
      <c r="A1977" s="48"/>
      <c r="B1977" s="48"/>
      <c r="C1977" s="101"/>
      <c r="D1977" s="83"/>
      <c r="E1977" s="48"/>
      <c r="F1977" s="48"/>
    </row>
    <row r="1978" ht="15.75" customHeight="1">
      <c r="A1978" s="48"/>
      <c r="B1978" s="48"/>
      <c r="C1978" s="101"/>
      <c r="D1978" s="83"/>
      <c r="E1978" s="48"/>
      <c r="F1978" s="48"/>
    </row>
    <row r="1979" ht="15.75" customHeight="1">
      <c r="A1979" s="48"/>
      <c r="B1979" s="48"/>
      <c r="C1979" s="101"/>
      <c r="D1979" s="83"/>
      <c r="E1979" s="48"/>
      <c r="F1979" s="48"/>
    </row>
    <row r="1980" ht="15.75" customHeight="1">
      <c r="A1980" s="48"/>
      <c r="B1980" s="48"/>
      <c r="C1980" s="101"/>
      <c r="D1980" s="83"/>
      <c r="E1980" s="48"/>
      <c r="F1980" s="48"/>
    </row>
    <row r="1981" ht="15.75" customHeight="1">
      <c r="A1981" s="48"/>
      <c r="B1981" s="48"/>
      <c r="C1981" s="101"/>
      <c r="D1981" s="83"/>
      <c r="E1981" s="48"/>
      <c r="F1981" s="48"/>
    </row>
    <row r="1982" ht="15.75" customHeight="1">
      <c r="A1982" s="48"/>
      <c r="B1982" s="48"/>
      <c r="C1982" s="101"/>
      <c r="D1982" s="83"/>
      <c r="E1982" s="48"/>
      <c r="F1982" s="48"/>
    </row>
    <row r="1983" ht="15.75" customHeight="1">
      <c r="C1983" s="147"/>
      <c r="D1983" s="57"/>
    </row>
    <row r="1984" ht="15.75" customHeight="1">
      <c r="C1984" s="148"/>
      <c r="D1984" s="57"/>
    </row>
    <row r="1985" ht="15.75" customHeight="1">
      <c r="C1985" s="148"/>
      <c r="D1985" s="57"/>
    </row>
    <row r="1986" ht="15.75" customHeight="1">
      <c r="C1986" s="148"/>
      <c r="D1986" s="57"/>
    </row>
    <row r="1987" ht="15.75" customHeight="1">
      <c r="C1987" s="148"/>
      <c r="D1987" s="57"/>
    </row>
    <row r="1988" ht="15.75" customHeight="1">
      <c r="C1988" s="148"/>
      <c r="D1988" s="57"/>
    </row>
    <row r="1989" ht="15.75" customHeight="1">
      <c r="C1989" s="148"/>
      <c r="D1989" s="57"/>
    </row>
    <row r="1990" ht="15.75" customHeight="1">
      <c r="C1990" s="148"/>
      <c r="D1990" s="57"/>
    </row>
    <row r="1991" ht="15.75" customHeight="1">
      <c r="C1991" s="148"/>
      <c r="D1991" s="57"/>
    </row>
    <row r="1992" ht="15.75" customHeight="1">
      <c r="C1992" s="148"/>
      <c r="D1992" s="57"/>
    </row>
    <row r="1993" ht="15.75" customHeight="1">
      <c r="C1993" s="148"/>
      <c r="D1993" s="57"/>
    </row>
    <row r="1994" ht="15.75" customHeight="1">
      <c r="C1994" s="148"/>
      <c r="D1994" s="57"/>
    </row>
    <row r="1995" ht="15.75" customHeight="1">
      <c r="C1995" s="148"/>
      <c r="D1995" s="57"/>
    </row>
    <row r="1996" ht="15.75" customHeight="1">
      <c r="C1996" s="148"/>
      <c r="D1996" s="57"/>
    </row>
    <row r="1997" ht="15.75" customHeight="1">
      <c r="C1997" s="148"/>
      <c r="D1997" s="57"/>
    </row>
    <row r="1998" ht="15.75" customHeight="1">
      <c r="C1998" s="148"/>
      <c r="D1998" s="57"/>
    </row>
    <row r="1999" ht="15.75" customHeight="1">
      <c r="C1999" s="148"/>
      <c r="D1999" s="57"/>
    </row>
    <row r="2000" ht="15.75" customHeight="1">
      <c r="C2000" s="148"/>
      <c r="D2000" s="57"/>
    </row>
    <row r="2001" ht="15.75" customHeight="1">
      <c r="C2001" s="148"/>
      <c r="D2001" s="57"/>
    </row>
    <row r="2002" ht="15.75" customHeight="1">
      <c r="C2002" s="148"/>
      <c r="D2002" s="57"/>
    </row>
    <row r="2003" ht="15.75" customHeight="1">
      <c r="C2003" s="148"/>
      <c r="D2003" s="57"/>
    </row>
    <row r="2004" ht="15.75" customHeight="1">
      <c r="C2004" s="148"/>
      <c r="D2004" s="57"/>
    </row>
    <row r="2005" ht="15.75" customHeight="1">
      <c r="C2005" s="148"/>
      <c r="D2005" s="57"/>
    </row>
    <row r="2006" ht="15.75" customHeight="1">
      <c r="C2006" s="148"/>
      <c r="D2006" s="57"/>
    </row>
    <row r="2007" ht="15.75" customHeight="1">
      <c r="C2007" s="148"/>
      <c r="D2007" s="57"/>
    </row>
    <row r="2008" ht="15.75" customHeight="1">
      <c r="C2008" s="148"/>
      <c r="D2008" s="57"/>
    </row>
    <row r="2009" ht="15.75" customHeight="1">
      <c r="C2009" s="148"/>
      <c r="D2009" s="57"/>
    </row>
    <row r="2010" ht="15.75" customHeight="1">
      <c r="C2010" s="148"/>
      <c r="D2010" s="57"/>
    </row>
    <row r="2011" ht="15.75" customHeight="1">
      <c r="C2011" s="148"/>
      <c r="D2011" s="57"/>
    </row>
    <row r="2012" ht="15.75" customHeight="1">
      <c r="C2012" s="148"/>
      <c r="D2012" s="57"/>
    </row>
    <row r="2013" ht="15.75" customHeight="1">
      <c r="C2013" s="148"/>
      <c r="D2013" s="57"/>
    </row>
    <row r="2014" ht="15.75" customHeight="1">
      <c r="C2014" s="148"/>
      <c r="D2014" s="57"/>
    </row>
    <row r="2015" ht="15.75" customHeight="1">
      <c r="C2015" s="148"/>
      <c r="D2015" s="57"/>
    </row>
    <row r="2016" ht="15.75" customHeight="1">
      <c r="C2016" s="148"/>
      <c r="D2016" s="57"/>
    </row>
    <row r="2017" ht="15.75" customHeight="1">
      <c r="C2017" s="148"/>
      <c r="D2017" s="57"/>
    </row>
    <row r="2018" ht="15.75" customHeight="1">
      <c r="C2018" s="148"/>
      <c r="D2018" s="57"/>
    </row>
  </sheetData>
  <autoFilter ref="$A$321:$G$1919"/>
  <customSheetViews>
    <customSheetView guid="{8329BC56-2B4F-48D9-B5D7-105C4BB9F263}" filter="1" showAutoFilter="1">
      <autoFilter ref="$A$1:$A$2018">
        <filterColumn colId="0">
          <filters blank="1">
            <filter val="Honey -"/>
            <filter val="Aleksey Klinov"/>
            <filter val="Mohamed Rashed"/>
            <filter val="Yannis Loannidis"/>
            <filter val="Gary Vicary"/>
            <filter val="Amiz Zahra"/>
            <filter val="Vivien Christ"/>
            <filter val="Maria Bassily"/>
            <filter val="Kimberly Edwards"/>
            <filter val="Walter Pauzengruber"/>
            <filter val="Peter -"/>
            <filter val="Ozgur Turguner"/>
            <filter val="Abdulrahman Alkhateeb"/>
            <filter val="Philip Van Neer"/>
            <filter val="Constantin Con"/>
            <filter val="Amin Ali"/>
            <filter val="Sanzhar Kenekhanov"/>
            <filter val="Hamid Bolord"/>
            <filter val="Giorgio Aletti"/>
            <filter val="Evgenii Mr"/>
            <filter val="Turkey T"/>
            <filter val="Yama Yama"/>
            <filter val="Faisal Almutairi Almutairi"/>
            <filter val="Nick Tomas"/>
            <filter val="Adrian Schweiger"/>
            <filter val="Laith Al Janabi"/>
            <filter val="Giorgio Miconi"/>
            <filter val="Nazreen N"/>
            <filter val="Mostafa Soban"/>
            <filter val="Rohollah Rohparwar"/>
            <filter val="Claudia A"/>
            <filter val="Armand Neshvad"/>
            <filter val="Christos Pelekis"/>
            <filter val="Anna Grazia"/>
            <filter val="Yassin Mohamed Yaserq"/>
            <filter val="Tamas Katus"/>
            <filter val="Oleg Wegert"/>
            <filter val="Yingjie Cao"/>
            <filter val="Jiangtong Sun"/>
            <filter val="Kourush Samimi"/>
            <filter val="Mohammed Brinji"/>
            <filter val="Mohamed Aref"/>
            <filter val="Albena Yanakieva"/>
            <filter val="Ibrahim Nafea"/>
            <filter val="Ary Mazzi"/>
            <filter val="Pop Cristian"/>
            <filter val="Roman Mykhalchuk"/>
            <filter val="Rafi Rafi"/>
            <filter val="Marco--"/>
            <filter val="Akram Awadalla"/>
            <filter val="Yang Yang"/>
            <filter val="Haytham Abdu"/>
            <filter val="Noha Mr"/>
            <filter val="Darkest Darmesh"/>
            <filter val="Meshal lbin khan bin hathlan"/>
            <filter val="Fahad Al Otaibi"/>
            <filter val="Adam A"/>
            <filter val="Abdul Aziz A"/>
            <filter val="Adjovi Johan"/>
            <filter val="Macel No"/>
            <filter val="Betina Moe"/>
            <filter val="Ali Ramzi"/>
            <filter val="Dmitrii Uzhinskii"/>
            <filter val="Abdul Aziz Almasoud"/>
            <filter val="Arnaud Mogras"/>
            <filter val="David Ly"/>
            <filter val="Khalid Khadem"/>
            <filter val="Mariam N"/>
            <filter val="Alain Saade"/>
            <filter val="Andrei Ivan"/>
            <filter val="Zainab Alzaabi"/>
            <filter val="Xiufun Ma"/>
            <filter val="Faisal Enany"/>
            <filter val="Haytham Alasadi"/>
            <filter val="Pavel None"/>
            <filter val="Mohamed Said"/>
            <filter val="Arif L"/>
            <filter val="Abood Alayassi"/>
            <filter val="Ibrahim Alsi"/>
            <filter val="Vivian Mr"/>
            <filter val="Faridon Maroufi"/>
            <filter val="Jillin Hu"/>
            <filter val="Harron Mr"/>
            <filter val="Olga Kipin"/>
            <filter val="Summar Xiao"/>
            <filter val="Hesham H"/>
            <filter val="Mariam A"/>
            <filter val="Cristina Picon"/>
            <filter val="Bill Bill"/>
            <filter val="Erwe Jyrki"/>
            <filter val="Ghonim"/>
            <filter val="Maksim Maksim"/>
            <filter val="Khlod A"/>
            <filter val="Bandar Altoaimi"/>
            <filter val="Naeem Balala"/>
            <filter val="Sidique"/>
            <filter val="Mustafa M"/>
            <filter val="Faten Awilaa"/>
            <filter val="Khalid Mohammad"/>
            <filter val="Liu Yuanhua"/>
            <filter val="Salah Al Kndi"/>
            <filter val="Wael W"/>
            <filter val="Dennis A"/>
            <filter val="Majed Hamzah"/>
            <filter val="Khalaf Khalaf"/>
            <filter val="Mrs Tamimi Al Tamimi"/>
            <filter val="Gurjinder Kandola"/>
            <filter val="Kevin Wezer"/>
            <filter val="Simmonds S"/>
            <filter val="Larisa Ms"/>
            <filter val="Mustafa Mustafa"/>
            <filter val="Jonathan Mar"/>
            <filter val="Kolbjorn K"/>
            <filter val="Path P"/>
            <filter val="Mahmood M"/>
            <filter val="Anar Anar"/>
            <filter val="Abdelrahman magdy"/>
            <filter val="Valentina V"/>
            <filter val="Sally Sally"/>
            <filter val="Ousama Benamraoui"/>
            <filter val="Sultan Almutairi"/>
            <filter val="Boulem G"/>
            <filter val="Ramiro Stoyanov"/>
            <filter val="Mohamed Mohamed"/>
            <filter val="Salem Salem"/>
            <filter val="Mr Saad"/>
            <filter val="Alessandra Tomi"/>
            <filter val="Salwan A"/>
            <filter val="Somya Sharma"/>
            <filter val="Douaa A"/>
            <filter val="Lu Zhang"/>
            <filter val="Stella Andronikou"/>
            <filter val="Dean Henriquez"/>
            <filter val="Antoine Lamas"/>
            <filter val="Dobrescu Radu Robert"/>
            <filter val="M Badou"/>
            <filter val="Susan Carter"/>
            <filter val="Slava K"/>
            <filter val="Peng Huang"/>
            <filter val="Mary Tannous"/>
            <filter val="Yilmaz Kara"/>
            <filter val="Jasper B"/>
            <filter val="Sapna M"/>
            <filter val="Hoosein Nabie"/>
            <filter val="Adam Mr"/>
            <filter val="Mr Yousuf"/>
            <filter val="wael mr"/>
            <filter val="Fabiano Passos"/>
            <filter val="Linda Hardy"/>
            <filter val="Majid Majid"/>
            <filter val="Tony Stark"/>
            <filter val="Dmitry Stoupin"/>
            <filter val="Terry Jones"/>
            <filter val="Mohamed Malala Abdelrahman"/>
            <filter val="Sirim Abishev"/>
            <filter val="Vito Mr"/>
            <filter val="Mahmud M"/>
            <filter val="Elvis Ashaljh"/>
            <filter val="Khaled Alhosani"/>
            <filter val="Monday Rizwan Qureshi"/>
            <filter val="cao yingjie Cao"/>
            <filter val="Fabio Sgarabottolo"/>
            <filter val="Zeeno Zeeno"/>
            <filter val="Jacob Saddik"/>
            <filter val="Andrey Mr"/>
            <filter val="Sameh Lando"/>
            <filter val="Salem Alhalayam"/>
            <filter val="Henna Ism"/>
            <filter val="llnur llnur"/>
            <filter val="Stiven Nosowski"/>
            <filter val="Feras AAbuhatab"/>
            <filter val="Lauren Webster"/>
            <filter val="Sun Chunhua"/>
            <filter val="Petri Jarvinen"/>
            <filter val="Faisal Ali Mousa"/>
            <filter val="Marlam Ajala"/>
            <filter val="Kevon Foster"/>
            <filter val="Farhad No"/>
            <filter val="Ashit"/>
            <filter val="Tony Zhang"/>
            <filter val="Andree Groegler"/>
            <filter val="hadi hadi"/>
            <filter val="Kristina Halef"/>
            <filter val="Mr Vashim"/>
            <filter val="Gabriella Gregori"/>
            <filter val="Janexzhu Janexzhu"/>
            <filter val="Moussa Dawoud"/>
            <filter val="Khalfan A"/>
            <filter val="Karim Alhyane"/>
            <filter val="Bassam Abbas"/>
            <filter val="Siamak S"/>
            <filter val="Fahad Mr"/>
            <filter val="Test Test 1"/>
            <filter val="Deshmond Goh"/>
            <filter val="Mihail M"/>
            <filter val="Liu Zhende"/>
            <filter val="Simon Woods"/>
            <filter val="Olivier Messer"/>
            <filter val="Anuj Bhargava"/>
            <filter val="Abdul Rahaman A"/>
            <filter val="Jai"/>
            <filter val="Chanmorsaria Morsaria"/>
            <filter val="Annette Holzschuher"/>
            <filter val="Yahia Yahia"/>
            <filter val="Ruurd Boersma"/>
            <filter val="Ahmad Ahmadi"/>
            <filter val="Guangyao Zhu"/>
            <filter val="Budd Budd"/>
            <filter val="John K"/>
            <filter val="Farhant A"/>
            <filter val="Amal Yousif"/>
            <filter val="Laila Almoghirah"/>
            <filter val="Bill False"/>
            <filter val="Habibi H"/>
            <filter val="Ayat Ballout"/>
            <filter val="Simon Perry"/>
            <filter val="Huang Mike"/>
            <filter val="Ibrahim Mr"/>
            <filter val="Mansoor Mansoor"/>
            <filter val="Johanna Gerestein"/>
            <filter val="Jcons T"/>
            <filter val="Gopinath S"/>
            <filter val="Slava Zaporojetc"/>
            <filter val="Eldar R"/>
            <filter val="Yui Wang"/>
            <filter val="Vladimir Russiam"/>
            <filter val="Xia Yan"/>
            <filter val="Cinar Alis"/>
            <filter val="Guztavo Amim"/>
            <filter val="Marcel Berendsen"/>
            <filter val="Mohamed Darwish"/>
            <filter val="Stefan Gutohrte"/>
            <filter val="Otto De voogd"/>
            <filter val="Sirojiddin Kamaritdinov"/>
            <filter val="Mohamed Ali"/>
            <filter val="Omar Mr"/>
            <filter val="Khaled Souood"/>
            <filter val="Terry A"/>
            <filter val="Anna Anna"/>
            <filter val="Sheroz Javed"/>
            <filter val="Gayathri Jayaram"/>
            <filter val="Ricky A"/>
            <filter val="Omer Yousuf"/>
            <filter val="Franco Franco"/>
            <filter val="Mr Mr"/>
            <filter val="Ali Al Tamni"/>
            <filter val="Anna Du"/>
            <filter val="Sofia A"/>
            <filter val="Linar Fattakhov"/>
            <filter val="dodi"/>
            <filter val="Mahmoud Assam"/>
            <filter val="Hussin A"/>
            <filter val="Dawei Gao"/>
            <filter val="Lynn Zheng"/>
            <filter val="Nasser Nasser"/>
            <filter val="Zhang King Yao"/>
            <filter val="John John"/>
            <filter val="Elena Vogel"/>
            <filter val="Sayed Mr"/>
            <filter val="Roberto  Baltazar"/>
            <filter val="Keith Waters"/>
            <filter val="Fatima Ar R"/>
            <filter val="Samer Yakhlef"/>
            <filter val="Alex Williams"/>
            <filter val="Angel Li"/>
            <filter val="Awad Hussein"/>
            <filter val="Saeed Sistani"/>
            <filter val="Mrs Asmaezoubiri"/>
            <filter val="Tingting Lu"/>
            <filter val="Xiaochun Liu"/>
            <filter val="Soheila Malhooz"/>
            <filter val="Abdel A"/>
            <filter val="Mchael Kastel"/>
            <filter val="Sunny Gill"/>
            <filter val="Jian Chan"/>
            <filter val="Wael Mr"/>
            <filter val="Bob Bob"/>
            <filter val="Mostafa El basyoum"/>
            <filter val="Wael Kassem"/>
            <filter val="Weiss Weiss"/>
            <filter val="Marcos Delorenzo"/>
            <filter val="Yan Yan"/>
            <filter val="Moustafa Zaitaoun"/>
            <filter val="Tawfeeg Tnanjjar"/>
            <filter val="Mr. Lashep"/>
            <filter val="Atif Alhumaimeedi"/>
            <filter val="Fangfzng Wei"/>
            <filter val="Ali No"/>
            <filter val="Sofin Ravil"/>
            <filter val="Bruno Houn"/>
            <filter val="A Harbi"/>
            <filter val="Lila Rajabion"/>
            <filter val="Farod A"/>
            <filter val="Hamdi Hotel"/>
            <filter val="Huda Awadh"/>
            <filter val="Shar Saloum"/>
            <filter val="Kevin Devine"/>
            <filter val="Munjid Salih"/>
            <filter val="Raja Raja"/>
            <filter val="Iman I"/>
            <filter val="Tom Kudick"/>
            <filter val="Hambra Mr"/>
            <filter val="Thomas Obitz"/>
            <filter val="Diana Rotaru"/>
            <filter val="Jhon Jhon"/>
            <filter val="Yuchi Qin"/>
            <filter val="Test Test"/>
            <filter val="Ardavan Ardavan"/>
            <filter val="Ruslan Kospakhov"/>
            <filter val="Sven Colman"/>
            <filter val="Pavel Kashirskiy"/>
            <filter val="Mohammed Saeed"/>
            <filter val="Lornee A"/>
            <filter val="Eva Trutzova"/>
            <filter val="Muhanad M"/>
            <filter val="lrjan I"/>
            <filter val="Meshal Rahali"/>
            <filter val="Emily Smith"/>
            <filter val="Mujeeb Madkoor"/>
            <filter val="Suleiman Al habsi"/>
            <filter val="Mr Mohamed A"/>
            <filter val="Ali C."/>
            <filter val="Yernar Mamin"/>
            <filter val="Evgenia Ms"/>
            <filter val="Wartique Isabelle"/>
            <filter val="Dantes Dantes"/>
            <filter val="Abdulrahman Alenezei"/>
            <filter val="Hussein A"/>
            <filter val="Giusippo Giusippo"/>
            <filter val="Mokhbat Wail"/>
            <filter val="Zheng Li Yao"/>
            <filter val="Fulvio Annovazzi"/>
            <filter val="lryna Goryn"/>
            <filter val="Sawsan S"/>
            <filter val="Alex Alex"/>
            <filter val="MIlan Petrovic"/>
            <filter val="Osama Osama"/>
            <filter val="Rasha Ammad"/>
            <filter val="Ali Ali"/>
            <filter val="Mursel Tu"/>
            <filter val="Yi Jun Troedsson"/>
            <filter val="Fatma Lanjawi"/>
            <filter val="Dimitry Dimitry"/>
            <filter val="Alex Luo"/>
            <filter val="Khaled K"/>
            <filter val="Trgima Owens"/>
            <filter val="Adnan Khan"/>
            <filter val="Abdurahman Abdurahman"/>
            <filter val="Mr Stefano"/>
            <filter val="Klaus Mauder"/>
            <filter val="Zhao Wei"/>
            <filter val="Wang ChuanLing"/>
            <filter val="Harib Alshamsi"/>
            <filter val="Samar Aaaaaa"/>
            <filter val="Nathalie Azhyppo"/>
            <filter val="Muath Alomary"/>
            <filter val="Dmitry Shubin"/>
            <filter val="Amaury Burel"/>
            <filter val="Mike Mike"/>
            <filter val="Noura Alyassi"/>
            <filter val="Amir Bu"/>
            <filter val="Karina Mohan"/>
            <filter val="Ahmad Kabra"/>
            <filter val="Tolga Keser"/>
            <filter val="Nazma Bristy"/>
            <filter val="Narvuz Mr"/>
            <filter val="Majid Al Bawardi"/>
            <filter val="Amir Abu"/>
            <filter val="Timo Helle"/>
            <filter val="Test faiz chinese burj al arab"/>
            <filter val="Rachid takla Takla"/>
            <filter val="Farhan Golkar"/>
            <filter val="Egor Ovechkin"/>
            <filter val="Ahmad Timol"/>
            <filter val="Fouad Almansari"/>
            <filter val="Aisha Aisha"/>
            <filter val="Alia Jumaily"/>
            <filter val="Sarah --"/>
            <filter val="Imteyaz No"/>
            <filter val="Ismail I"/>
            <filter val="Saeed Alshair"/>
            <filter val="Taha Dimassi"/>
            <filter val="Alexandr Avashev"/>
            <filter val="Janson Huang"/>
            <filter val="Mandip Bhogal"/>
            <filter val="Anzhellka Khachatryan"/>
            <filter val="Abdella Abdella"/>
            <filter val="Louia Aaaaa"/>
            <filter val="Ayman Salim ZIbak"/>
            <filter val="Laura Berenguer"/>
            <filter val="James Harris"/>
            <filter val="Elias Bou khalil"/>
            <filter val="Tony Azzi"/>
            <filter val="Yousf Al Rashed"/>
            <filter val="Arun Bhandari"/>
            <filter val="Gavril Stepanov"/>
            <filter val="quasi A"/>
            <filter val="Khosrow  Hilmer"/>
            <filter val="BIsen G"/>
            <filter val="Bimal Dakhal"/>
            <filter val="Carls Schodts"/>
            <filter val="Donglei zhang"/>
            <filter val="Salavat Khyramnin"/>
            <filter val="Denis A"/>
            <filter val="Angelo Van Schajik"/>
            <filter val="Rabier R"/>
            <filter val="Boba Khaitam"/>
            <filter val="Zoheb Ansari"/>
            <filter val="Svevade A"/>
            <filter val="Yahya Y"/>
            <filter val="RayanO"/>
            <filter val="Vishnu Sankaran"/>
            <filter val="Feras A"/>
            <filter val="Umur Kurkcu"/>
            <filter val="Zohoro Al Jabbar"/>
            <filter val="Ali Alnahdi"/>
            <filter val="Mr Adel"/>
            <filter val="Abbas Alshammary"/>
            <filter val="Ms Khristina"/>
            <filter val="Sattam Mallah"/>
            <filter val="Tim Tim"/>
            <filter val="Mohammed Al Jari"/>
            <filter val="Basem Bader"/>
            <filter val="Ute Kaiser"/>
            <filter val="Manj Ka"/>
            <filter val="Kal Smith"/>
            <filter val="Om Rashed Rashed"/>
            <filter val="Joshua J"/>
            <filter val="Faisa Faisa"/>
            <filter val="Mohanad Alsohaibani"/>
            <filter val="Omar Alameri"/>
            <filter val="Aleksandr Tt"/>
            <filter val="DanhongJin"/>
            <filter val="Sharon Sharon"/>
            <filter val="Christian Mader"/>
            <filter val="Yuelln Chen"/>
            <filter val="Farzin Sakarat"/>
            <filter val="Asad Irshad"/>
            <filter val="Pavel Pavel"/>
            <filter val="Hessa Hessa"/>
            <filter val="Zaid Ghattas"/>
            <filter val="Kadir Gureler"/>
            <filter val="Badriya Alaarifi"/>
            <filter val="Sohrab Salimi"/>
            <filter val="Iren A"/>
            <filter val="Alexsandr Alexandr"/>
            <filter val="Mads Winther"/>
            <filter val="Mohammed Al Sa"/>
            <filter val="Renat Yalakov"/>
            <filter val="Mohammed Amin"/>
            <filter val="Madonna Serag"/>
            <filter val="Vanessa Brock"/>
            <filter val="Rudolf Rudolf"/>
            <filter val="Aboul Nasia"/>
            <filter val="Zheng Nan"/>
            <filter val="Ibrahim Ibrahim"/>
            <filter val="Amer Bushnaq"/>
            <filter val="Simin Song"/>
            <filter val="Sia Bakhtiari"/>
            <filter val="Gianlunca Moscarda"/>
            <filter val="Omme Fires"/>
            <filter val="Yahia Mr"/>
            <filter val="Wael Mokbat"/>
            <filter val="Charbel Chamoun"/>
            <filter val="Ivan Popov"/>
            <filter val="Fatima Fatima"/>
            <filter val="Mohammed Al Ashamikh"/>
            <filter val="XIe Xiaoping"/>
            <filter val="Karani K"/>
            <filter val="Fahad Fahad"/>
            <filter val="Ayaz Farouk"/>
            <filter val="Ahmd Ismail"/>
            <filter val="Olesya Elcubano"/>
            <filter val="lilanying Lilanying"/>
            <filter val="Murtaza Electricwala"/>
            <filter val="Wale A"/>
            <filter val="Tarik Mr"/>
            <filter val="Elizabeth Poppe"/>
            <filter val="salim Darwish"/>
            <filter val="Selina Parvin"/>
            <filter val="wish_85@mail.ru"/>
            <filter val="Abdullah Abdulaziz"/>
            <filter val="Khalid K"/>
            <filter val="Khalid A"/>
            <filter val="Abdullah  Saudi"/>
            <filter val="Tim Walmsley"/>
            <filter val="Hussein Mounib"/>
            <filter val="Joshua Ramdehol"/>
            <filter val="Roman Mitruk"/>
            <filter val="Abdul Qader Al Awadhi"/>
            <filter val="Ahmad Snan"/>
            <filter val="Termilan T"/>
            <filter val="Nader Elbariedy"/>
            <filter val="Aniket Miglani"/>
            <filter val="Dongmei Hou"/>
            <filter val="Tulika Vashishtha"/>
            <filter val="Mohammed Alhamer"/>
            <filter val="Harlan's singh Deep"/>
            <filter val="Eraacesco.Antonjola"/>
            <filter val="Ben Gonzalez"/>
            <filter val="Elham Dento-carder"/>
            <filter val="Mr Ali"/>
            <filter val="Fawzy Al bashre"/>
            <filter val="Ross Rolle"/>
            <filter val="Yunus Yuce"/>
            <filter val="Georgii Mr"/>
            <filter val="Mr Hammad"/>
            <filter val="Mohamed"/>
            <filter val="Wu Haijun"/>
            <filter val="Jasen Jasen"/>
            <filter val="George Allen"/>
            <filter val="Arda Obuz"/>
            <filter val="Ibrahim A"/>
            <filter val="Ian Ramasy"/>
            <filter val="Rasha Ahmad"/>
            <filter val="Nadeem Anwar"/>
            <filter val="Shah Zambia"/>
            <filter val="Yan Xia"/>
            <filter val="Tareq -"/>
            <filter val="Shaheen Alhammadi"/>
            <filter val="Heidje Ruethlein"/>
            <filter val="Ibrahim M"/>
            <filter val="Hind Borj"/>
            <filter val="Yosef Yosef"/>
            <filter val="Tony Mr"/>
            <filter val="Abdulameed Alkhoori"/>
            <filter val="Aziz Aziz"/>
            <filter val="Adel A"/>
            <filter val="Muon Adeeli"/>
            <filter val="Yana A"/>
            <filter val="Sera Pceu"/>
            <filter val="Mufaq Mr"/>
            <filter val="Natalya Mikhailovskaya"/>
            <filter val="Nabil Mr"/>
            <filter val="Alessandro Paloma"/>
            <filter val="Jabbar Padiyath"/>
            <filter val="Shanshan Su"/>
            <filter val="Dania Asadan"/>
            <filter val="Sharam Gulzad"/>
            <filter val="Megeshi Ni"/>
            <filter val="Rashed Aloqaily"/>
            <filter val="Moataz Moataz"/>
            <filter val="Victor Mironov"/>
            <filter val="Fasal Mr"/>
            <filter val="Per P"/>
            <filter val="Ekaterina E"/>
            <filter val="Paul Bunyan"/>
            <filter val="Mussabah Alqaizi"/>
            <filter val="Sebastian Trapp"/>
            <filter val="Salman Alkhalifa"/>
            <filter val="Fahad A"/>
            <filter val="ZaurT"/>
            <filter val="Fahad F"/>
            <filter val="Gabriel O"/>
            <filter val="Mr Omar"/>
            <filter val="Hegazy P"/>
            <filter val="Jinmei Hao"/>
            <filter val="Kim Ley"/>
            <filter val="Rafail Mr"/>
            <filter val="--"/>
            <filter val="Mohammad Almahaddi"/>
            <filter val="Fram L"/>
            <filter val="Jerry Wanodi"/>
            <filter val="Ayresama A"/>
            <filter val="Ostroukh Aleksandra"/>
            <filter val="Marco No"/>
            <filter val="Chella A"/>
            <filter val="Paolo P"/>
            <filter val="Mohit Metra"/>
            <filter val="Selm H"/>
            <filter val="Harib Al Shamsi"/>
            <filter val="Wael Choukeir"/>
            <filter val="Anatoliy N"/>
            <filter val="Adham Ghandour"/>
            <filter val="Bonggani Mageba"/>
            <filter val="Ibrahim Alshabanat"/>
            <filter val="Fatma Ahmad"/>
            <filter val="Baptiste Corre"/>
            <filter val="Kenneth Pullicino"/>
            <filter val="Dodi No"/>
            <filter val="Ishaq Arabiyat"/>
            <filter val="Manish Gupta"/>
            <filter val="Zara Camenzuli"/>
            <filter val="Fangping Wei"/>
            <filter val="Serwa A"/>
            <filter val="Satish"/>
            <filter val="Ali Mostavi"/>
            <filter val="Omrum Varlik"/>
            <filter val="Robert Teisanu"/>
            <filter val="Zhang zhonggang"/>
            <filter val="Rui Liang"/>
            <filter val="Ibrahim -"/>
            <filter val="Yusuf Adams"/>
            <filter val="Haresh Karamchandani"/>
            <filter val="llya Smirnov"/>
            <filter val="Sandile Gumbi"/>
            <filter val="Mohammed Shahri"/>
            <filter val="Mark Sokanovich"/>
            <filter val="Tahsin Rifae"/>
            <filter val="riza mr"/>
            <filter val="Gradi Hermann"/>
            <filter val="Nic Tahmasebi"/>
            <filter val="Ulugbek Mamatkulov"/>
            <filter val="Jessie De Vries"/>
            <filter val="Mr Zeidan"/>
            <filter val="Mr Yasser"/>
            <filter val="Genii A"/>
            <filter val="Murad Amin"/>
            <filter val="Khlod  A"/>
            <filter val="Gehard Posch"/>
            <filter val="Mohammed Almansoori"/>
            <filter val="Frank D"/>
            <filter val="Gokhan Sinat"/>
            <filter val="Caurav Caurav"/>
            <filter val="Amin Ajami"/>
            <filter val="Zoe Zhang"/>
            <filter val="Gauder G"/>
            <filter val="Mahmoud Haggah"/>
            <filter val="Enciso Alejandra"/>
            <filter val="Pieter Van don Heuvel"/>
            <filter val="Kristian Karimo"/>
            <filter val="Ajan"/>
            <filter val="Thiam Pape Mamadou"/>
            <filter val="Eyas S"/>
            <filter val="Wolf Shselction"/>
            <filter val="Sven Reckeweg"/>
            <filter val="Salimi P"/>
            <filter val="Richard Albertson"/>
            <filter val="Shawkat Salama"/>
            <filter val="Adnan"/>
            <filter val="Denis Denis"/>
            <filter val="William Bendfeldt"/>
            <filter val="Dipankar Sanyal"/>
            <filter val="Steve Aaaaaa"/>
            <filter val="Usif Usif"/>
            <filter val="Toibudeen Oduniyi"/>
            <filter val="Mohamed Turkey"/>
            <filter val="Arkan Ms"/>
            <filter val="Yaser A"/>
            <filter val="Abhijit Chaterji"/>
            <filter val="Sumi Karki"/>
            <filter val="emin e"/>
            <filter val="Qais Alkhalili"/>
            <filter val="Amir Amir"/>
            <filter val="Umair Balksh A"/>
            <filter val="Rakan A"/>
            <filter val="Mike Hadjipa"/>
            <filter val="Maty Maty"/>
            <filter val="Aldiana Sikiric"/>
            <filter val="Tim Joyner"/>
            <filter val="Abdul Khadi"/>
            <filter val="Mr Pranav"/>
            <filter val="Fatiman Fatima"/>
            <filter val="Fares Mohammed"/>
            <filter val="Rento Larghi"/>
            <filter val="Ronan Corrigan"/>
            <filter val="RuiGuo"/>
            <filter val="Asap Mr"/>
            <filter val="Martin Healy"/>
            <filter val="Pavel Borsig"/>
            <filter val="Gentillini Christophe"/>
            <filter val="Mahfoodha A"/>
            <filter val="Ymene Aissa"/>
            <filter val="Saaed A"/>
            <filter val="Ben Gonzelez"/>
            <filter val="Faten Awliaa"/>
            <filter val="Britta Leick"/>
            <filter val="Eric"/>
            <filter val="Sunny Qui"/>
            <filter val="Analaura Luna"/>
            <filter val="Nalef Amry"/>
            <filter val="Ali Alzaid"/>
            <filter val="MA JIAXIN"/>
            <filter val="Ryan Cliffe"/>
            <filter val="Hassan H Zeaiter"/>
            <filter val="Mohammad Al ashqari"/>
            <filter val="Susn Oyemade"/>
            <filter val="Yingzi Zhang"/>
            <filter val="Ragei A"/>
            <filter val="Damir A"/>
            <filter val="Niklas Walin"/>
            <filter val="Atul kedla"/>
            <filter val="Bradley Stewart"/>
            <filter val="Ahtam Ahtam"/>
            <filter val="Nues Shuikha"/>
            <filter val="Abdul Aziz Al Nasyano"/>
            <filter val="Oathman Tasahel"/>
            <filter val="Fady Imam"/>
            <filter val="Khadim Al remeithi"/>
            <filter val="Pule Ramasimong"/>
            <filter val="Abd AI Aziz A"/>
            <filter val="Gianluca Mirano"/>
            <filter val="Amal A"/>
            <filter val="Maria Flames"/>
            <filter val="Faisal Alotaibi"/>
            <filter val="Maarja Sammel"/>
            <filter val="Yusuf Ysuf"/>
            <filter val="Megan Leach"/>
            <filter val="Antonio Cibelli"/>
            <filter val="Roman Yarovoy"/>
            <filter val="Khalid Metwali"/>
            <filter val="Fares Alabdeli"/>
            <filter val="Mr Amet"/>
            <filter val="Moosa Leher"/>
            <filter val="Tomas Gerges"/>
            <filter val="Craig Kilmuray"/>
            <filter val="Marco Monti"/>
            <filter val="Leonid A"/>
            <filter val="Yuri Mkhitaryan"/>
            <filter val="Arif Arif"/>
            <filter val="QiangHao"/>
            <filter val="Angela Chen"/>
            <filter val="Bu Bakhrom"/>
            <filter val="Amir Khansari"/>
            <filter val="Anna Liazgina"/>
            <filter val="Haydee Ibrahim"/>
            <filter val="Saud Al qabi"/>
            <filter val="Dmitry Chirkov"/>
            <filter val="Saud Al qabl"/>
            <filter val="Hasn Salem Alsakklaf"/>
            <filter val="Detlef Dalke"/>
            <filter val="Shenghong Fu"/>
            <filter val="Jerry Li"/>
            <filter val="Madugu Shehu"/>
            <filter val="Steve Brown"/>
            <filter val="Jihad Haddad"/>
            <filter val="Sergey Smirnov"/>
            <filter val="Husam Natto"/>
            <filter val="E A"/>
            <filter val="Josef Scheben"/>
            <filter val="Masama Nakajima"/>
            <filter val="Mushael Alawad"/>
            <filter val="Aqib Naqaz"/>
            <filter val="Mushtaq Ahmad"/>
            <filter val="Natasha Smart"/>
            <filter val="Ahmad EL Merchary"/>
            <filter val="Belkhir Hicham"/>
            <filter val="Krau A"/>
            <filter val="Abdulrahman Sendi"/>
            <filter val="Therriy Mr."/>
            <filter val="Redha Kamal"/>
            <filter val="Mamdoh Fadi"/>
            <filter val="Obeid Aa"/>
            <filter val="Marco Palazzolo"/>
            <filter val="Tarek Jarrar"/>
            <filter val="Yousef Mustafa"/>
            <filter val="Sahil Sahil"/>
            <filter val="Jenny Zhou"/>
            <filter val="Andy Pidgen"/>
            <filter val="De Sean Carter"/>
            <filter val="Bader Bader"/>
            <filter val="Rakan Rakan"/>
            <filter val="Mana Al Maktoum"/>
            <filter val="Hassan"/>
            <filter val="Yum Liyun"/>
            <filter val="Adam Dearden"/>
            <filter val="Igor Aleksandr"/>
            <filter val="Omar Sadiq"/>
            <filter val="Syed Iqbar"/>
            <filter val="Nordin Boumdifi"/>
            <filter val="Pier No"/>
            <filter val="yad Jadalhaq"/>
            <filter val="Khaled ---"/>
            <filter val="Jain Sandeep"/>
            <filter val="Hisham Saleh"/>
            <filter val="Peiyi Lei Alexander"/>
            <filter val="Baljiit Giil"/>
            <filter val="Bo wang"/>
            <filter val="Hayk Mkhitaryan"/>
            <filter val="Mj Mj"/>
            <filter val="Ali Safa"/>
            <filter val="Khadija"/>
            <filter val="Hui wang"/>
            <filter val="Goran Khisro"/>
            <filter val="Martin Schumacher"/>
            <filter val="Abu Fahad Fahad"/>
            <filter val="Raman A"/>
            <filter val="Eldar Azizov"/>
            <filter val="Mahmoud Boqammaz"/>
            <filter val="Mr Hameed"/>
            <filter val="Mohamed Shteawi"/>
            <filter val="Samer R"/>
            <filter val="Chadwick H"/>
            <filter val="Khalid Alhomailli"/>
            <filter val="Wilfredo Robles"/>
            <filter val="Nizar Lachkar"/>
            <filter val="Kristina C"/>
            <filter val="Eric Hai"/>
            <filter val="Oscar Larach"/>
            <filter val="Kartik Satija"/>
            <filter val="Hamad Alaydaroos"/>
            <filter val="Deng Zhaojun"/>
            <filter val="Wang Lili"/>
            <filter val="Amjad Natto"/>
            <filter val="Alessandro De Marco"/>
            <filter val="Adel Mr"/>
            <filter val="Weidong Jiao"/>
            <filter val="Louisa Lan"/>
            <filter val="Ali A l Lawati"/>
            <filter val="Mark Mark"/>
            <filter val="Zou Runmo"/>
            <filter val="Serik Kizat"/>
            <filter val="Haijun Wu"/>
            <filter val="Waleed A"/>
            <filter val="Raghubir batra"/>
            <filter val="Bilal Zubair"/>
            <filter val="Bader Almutairi"/>
            <filter val="Nil Danilov"/>
            <filter val="W Punzbngrusber"/>
            <filter val="Levon Antonian"/>
            <filter val="Richard Blair"/>
            <filter val="jon J"/>
            <filter val="Massimiliano M"/>
            <filter val="Tamer Tamer"/>
            <filter val="Mr Yahya"/>
            <filter val="Eisa Eisa"/>
            <filter val="Zsolt Meszarow"/>
            <filter val="Ina Vallarino"/>
            <filter val="Klavdi Es"/>
            <filter val="Abdullah Mr"/>
            <filter val="Christian Delva"/>
            <filter val="Mr. Daniel"/>
            <filter val="Yusuf Rahman"/>
            <filter val="Mariaa A"/>
            <filter val="Hussein Sameer"/>
            <filter val="Chakib Geussos"/>
            <filter val="Andrei Sharov"/>
            <filter val="Ahmed"/>
            <filter val="Mr. Tadatoshi"/>
            <filter val="Rehab"/>
            <filter val="Philip Rhods"/>
            <filter val="DannyHong"/>
            <filter val="Yusef O"/>
            <filter val="NunlngZhu"/>
            <filter val="Milad Abdaah"/>
            <filter val="Amr -"/>
            <filter val="Shabib A"/>
            <filter val="Sorin Sorin"/>
            <filter val="Mr Mitesh"/>
            <filter val="Om sultan A"/>
            <filter val="Oliver Mueller"/>
            <filter val="Eeee Rrrr"/>
            <filter val="Ming Xu"/>
            <filter val="Khalid Assaaaaa"/>
            <filter val="Dayana Dayana"/>
            <filter val="Felix Aaaaaaaaa"/>
            <filter val="Ziad Daker"/>
            <filter val="Almira Cuizon"/>
            <filter val="Mubark A"/>
            <filter val="Abdull Aziz Nhg"/>
            <filter val="Vitalii Mr"/>
            <filter val="Abdul Mr"/>
            <filter val="AA"/>
            <filter val="Fatma A"/>
            <filter val="A A"/>
            <filter val="A D"/>
            <filter val="Najib"/>
            <filter val="Salem Al Kady"/>
            <filter val="Miran Jaff"/>
            <filter val="Dominik Mr"/>
            <filter val="Turar N"/>
            <filter val="Oleksandr Balymov"/>
            <filter val="Adel Adel"/>
            <filter val="Steve Alexander"/>
            <filter val="Muhammad Jeenah"/>
            <filter val="Irina Grafskaya"/>
            <filter val="Aa"/>
            <filter val="Aram A"/>
            <filter val="A a"/>
            <filter val="Roland Imholz"/>
            <filter val="Ahmed Aya"/>
            <filter val="Joost Luiten"/>
            <filter val="Mark Jab"/>
            <filter val="Poul Pedersen"/>
            <filter val="Junqi Li"/>
            <filter val="Bella"/>
            <filter val="Richard-"/>
            <filter val="Mr. Dareen"/>
            <filter val="JiaMa"/>
            <filter val="Saleh Al ٍSaleh"/>
            <filter val="Ramy Nageb"/>
            <filter val="Riyad P"/>
            <filter val="Shoroq Meshari"/>
            <filter val="Nasser hason"/>
            <filter val="Gray Anait"/>
            <filter val="Viktor Yelisseyev"/>
            <filter val="Okan Caglayan"/>
            <filter val="Mr Abdul"/>
            <filter val="Rashid Rashid"/>
            <filter val="Qureishi"/>
            <filter val="Toni Song"/>
            <filter val="Qlnxiao Ye"/>
            <filter val="Rashed A"/>
            <filter val="Yuandong Li"/>
            <filter val="Varetto Davide"/>
            <filter val="Angelo Angelo"/>
            <filter val="Sumit Singh"/>
            <filter val="Ashok Sodha"/>
            <filter val="Mohamed Darwsish"/>
            <filter val="Akif Sismanoglu"/>
            <filter val="Abdullah Alammar"/>
            <filter val="Lamberts Anzalone"/>
            <filter val="Smirlan S"/>
            <filter val="Bassam Bou Karim"/>
            <filter val="Lahoei Lahoei"/>
            <filter val="Colin Colin"/>
            <filter val="Asad Ali Khawaja"/>
            <filter val="Cem Karaduman"/>
            <filter val="Mohamed El Adele"/>
            <filter val="Turki Alshammari"/>
            <filter val="James Marczak"/>
            <filter val="Mr Sohair"/>
            <filter val="Jade Smith"/>
            <filter val="Aadel Wali"/>
            <filter val="Aryat Makhmutov"/>
            <filter val="Anas Hasan"/>
            <filter val="Shadi No"/>
            <filter val="Chen Zhang"/>
            <filter val="Kyriakidis Therianos"/>
            <filter val="Dany Aoun"/>
            <filter val="Reena Desai"/>
            <filter val="Mimoun A"/>
            <filter val="Qinxiao Ye"/>
            <filter val="Romain Lutinier"/>
            <filter val="Anthony Bignall"/>
            <filter val="Daniele Bonin"/>
            <filter val="Peter Moricz"/>
            <filter val="Firas Kaakour"/>
            <filter val="Rana Salman"/>
            <filter val="XiaoMn Quan"/>
            <filter val="Salem El-Omari"/>
            <filter val="Ali AIShaali"/>
            <filter val="Hamed Mr"/>
            <filter val="Moosa Alherz"/>
            <filter val="Mariam abdulrahman"/>
            <filter val="Ghaleb A"/>
            <filter val="Mrs. Guldina"/>
            <filter val="Lain Macgregor"/>
            <filter val="Ria Arora"/>
            <filter val="Abbas A"/>
            <filter val="Ville Vaatainen"/>
            <filter val="Hadie Rifai"/>
            <filter val="Evert Hendrik De Zeeuw"/>
            <filter val="Tiberiu Curt"/>
            <filter val="Bassel Abdul"/>
            <filter val="Salah Khadra"/>
            <filter val="Ibrahim Saud Almohaimeed"/>
            <filter val="Mohamed Mohammed"/>
            <filter val="Katia Fakhry"/>
            <filter val="Evgeniy Kolesnikov"/>
            <filter val="Rohan Shah"/>
            <filter val="Marina Gorbasheva"/>
            <filter val="Chns Von Roesgen"/>
            <filter val="Alireza Vaseghi"/>
            <filter val="Maha Gh"/>
            <filter val="Danhong Jin"/>
            <filter val="Samir Rekaya"/>
            <filter val="Hongzhou Yang"/>
            <filter val="Min Liu"/>
            <filter val="Luca Galli"/>
            <filter val="Hesham Anwar"/>
            <filter val="Mohamed Emarati"/>
            <filter val="Noura Nyassl"/>
            <filter val="Safina S"/>
            <filter val="Patrick P"/>
            <filter val="Methew A"/>
            <filter val="Tarcha Tarcha"/>
            <filter val="Nur Nur"/>
            <filter val="Hero A"/>
            <filter val="Jamaan J"/>
            <filter val="Nasir Ali"/>
            <filter val="Aziz Koseni"/>
            <filter val="Emadi"/>
            <filter val="Xiaoping XIe"/>
            <filter val="Mr Fahiz"/>
            <filter val="Hafid Alilouch"/>
            <filter val="Jasmine Cuellar Destre"/>
            <filter val="Badir Badir"/>
            <filter val="Georg Jung"/>
            <filter val="Ahmad Aldamkhi"/>
            <filter val="Chen Chen"/>
            <filter val="Lei Nie"/>
            <filter val="Elhaddouti Fauzi"/>
            <filter val="Alameldin Fawi Abdu"/>
            <filter val="Sergio Cuniglio"/>
            <filter val="Baha Sayiner"/>
            <filter val="Sultan Bin Mandil"/>
            <filter val="Slim Becharef"/>
            <filter val="Enrique No"/>
            <filter val="Jitesh Dave"/>
            <filter val="Haytham Alamerf"/>
            <filter val="Abdul El G"/>
            <filter val="Xiaonan Feng"/>
            <filter val="Badir Bader"/>
            <filter val="Halim Elsaad1"/>
            <filter val="Waleed Alowa"/>
            <filter val="Mato Petruslc"/>
            <filter val="Timothy Senteza"/>
            <filter val="Uwe Rathausky"/>
            <filter val="Haidar H"/>
            <filter val="Mr Summet"/>
            <filter val="Cameron Mott"/>
            <filter val="Serhatd Mr"/>
            <filter val="Abdulkarim Mohammad"/>
            <filter val="Mashael Alshammari"/>
            <filter val="Omar Hajsaleh"/>
            <filter val="Tygg Tygg"/>
            <filter val="Wittig Franck"/>
            <filter val="Shams Sun"/>
            <filter val="Dario Bano"/>
            <filter val="Spas Videv"/>
            <filter val="Mingfeng Wang"/>
            <filter val="Sheila Fernandez"/>
            <filter val="Hu LI"/>
            <filter val="Alexander Kondratuk"/>
            <filter val="Danny Haddad"/>
            <filter val="Abzal"/>
            <filter val="Walid Hilaaly"/>
            <filter val="Elena Bystryakov"/>
            <filter val="Juan Zou"/>
            <filter val="Ali Ashaali"/>
            <filter val="Zizo a"/>
            <filter val="Shella Mansourian"/>
            <filter val="Wassim O"/>
            <filter val="Pieter Van Don Heuvel"/>
            <filter val="Hossam Goneem"/>
            <filter val="Mohti A"/>
            <filter val="Faisal Rajah"/>
            <filter val="Dema Halodan"/>
            <filter val="Abdullah Abdullah"/>
            <filter val="Parmeshwar Kumar"/>
            <filter val="Abdulaziz Aljohani"/>
            <filter val="Sanjy Sare"/>
            <filter val="Abel Aziz A"/>
            <filter val="Mohamed Alsherif"/>
            <filter val="Christos Prekas"/>
            <filter val="Daniel Ponzu"/>
            <filter val="Mohammed Al"/>
            <filter val="Paolart A"/>
            <filter val="Mohammed Mahroof"/>
            <filter val="Artem Fedorov"/>
            <filter val="Rachael"/>
            <filter val="Sultan S"/>
            <filter val="MG mg"/>
            <filter val="Bulent Kotan"/>
            <filter val="Murad Kios"/>
            <filter val="Faisal Faisal"/>
            <filter val="Tommy Ye"/>
            <filter val="Mr Martin"/>
            <filter val="Federica Ciriani"/>
            <filter val="Azim A"/>
            <filter val="Dmitry Kushkin"/>
            <filter val="Sandro Lazzarin"/>
            <filter val="Abdullah Ashehri"/>
            <filter val="Elnaz Lahooty"/>
            <filter val="Sanjay Sinha"/>
            <filter val="Narendra Shan"/>
            <filter val="Haleemudin Mohammad"/>
            <filter val="Essam Ibrahim"/>
            <filter val="Faisy"/>
            <filter val="Hasan Yahya"/>
            <filter val="Riyad Twair"/>
            <filter val="Sandy Lam"/>
            <filter val="Wsa Sal"/>
            <filter val="Vipin--"/>
            <filter val="Khalid Altamimi"/>
            <filter val="Zafar Ullah Alvi"/>
            <filter val="Mohamed A"/>
            <filter val="Jos Jacobs"/>
            <filter val="Mohamed K"/>
            <filter val="Varun Viswanath"/>
            <filter val="Ali Alsheibeli"/>
            <filter val="Mohamed M"/>
            <filter val="Nathalie Natalie"/>
            <filter val="Mazen Nahawi"/>
            <filter val="Razik Zaghlouli"/>
            <filter val="Sungsoo Lim"/>
            <filter val="Sultan Mk"/>
            <filter val="Mazen Nahawl"/>
            <filter val="Sveto Mihajilovski"/>
            <filter val="A Mangal"/>
            <filter val="Amtyaaz"/>
            <filter val="Michael Dautricourt"/>
            <filter val="Demy De Zeeuw"/>
            <filter val="Frank Wiessner"/>
            <filter val="Avinach A"/>
            <filter val="Mena Tariq"/>
            <filter val="Mohtasim Jawad"/>
            <filter val="Xiuznen Zheng"/>
            <filter val="Kapil Lamba"/>
            <filter val="Youssef Ward"/>
            <filter val="Mohammed M"/>
            <filter val="Emma Hua"/>
            <filter val="Faysel Mr"/>
            <filter val="Joachim Blombach"/>
            <filter val="Anwar Abdalih Abdalih"/>
            <filter val="Drives A"/>
            <filter val="Faisal Salem Al Mukhileb"/>
            <filter val="Soava Bogdan"/>
            <filter val="Samer Attar"/>
            <filter val="Michael Hollenhorst"/>
            <filter val="Ali Alhosani"/>
            <filter val="Aitzhan Nurapin"/>
            <filter val="Farzad Sarghi"/>
            <filter val="Wassim Wassim"/>
            <filter val="Eminja E"/>
            <filter val="Anna and Konstantin Mr"/>
            <filter val="Ateluos A"/>
            <filter val="Renata Renata"/>
            <filter val="Rahal Raho"/>
            <filter val="ZhaoJle"/>
            <filter val="Anil Cherian"/>
            <filter val="Marco Silva"/>
            <filter val="Reda No"/>
            <filter val="Namit Goel"/>
            <filter val="Marat Dauletbayev"/>
            <filter val="Mohamed Al harbinger"/>
            <filter val="Mai Liu Liu"/>
            <filter val="Prateek Dayal"/>
            <filter val="Mostafa Ziaratnia"/>
            <filter val="Edoardo Omodei"/>
            <filter val="Bana"/>
            <filter val="Evgeniy Mr"/>
            <filter val="Lead Lead"/>
            <filter val="Lenare Chmuth"/>
            <filter val="Abd D Alsalam Helayl Alharbi"/>
            <filter val="Stevie Mccua"/>
            <filter val="Sarah"/>
            <filter val="Waqaas A"/>
            <filter val="Suliman Aldossary"/>
            <filter val="Naseer Adeel"/>
            <filter val="SN"/>
            <filter val="Decco Decco"/>
            <filter val="Zak No"/>
            <filter val="Mohannad Mu"/>
            <filter val="Bayas"/>
            <filter val="Rezembrang Rezembrang"/>
            <filter val="Matzaf Aghz"/>
            <filter val="Tanweer Khan"/>
            <filter val="Julio Abad"/>
            <filter val="Asaad Asaad"/>
            <filter val="Barab Barabantz"/>
            <filter val="Darren No"/>
            <filter val="Gyula Peidl"/>
            <filter val="Ray Matthews"/>
            <filter val="Nina Nina"/>
            <filter val="Firas Khaled"/>
            <filter val="Leila Erki"/>
            <filter val="Tara B"/>
            <filter val="Saleh L"/>
            <filter val="Ci Saad Mr"/>
            <filter val="Nadir Mohammadi"/>
            <filter val="Faisal Mr"/>
            <filter val="Adrian Mccalla"/>
            <filter val="Ekaterina Kalinina"/>
            <filter val="Khalifa Alboqaish"/>
            <filter val="Vivek Mheta"/>
            <filter val="Mosef You"/>
            <filter val="Usama N"/>
            <filter val="Mr Waheed"/>
            <filter val="Gerry Johnston"/>
            <filter val="Hadil -"/>
            <filter val="Fahad Malik Malik"/>
            <filter val="Harzal Hassan"/>
            <filter val="Ismail Alkas"/>
            <filter val="Madji Al Naser"/>
            <filter val="Sulamaniyah Dock Rat"/>
            <filter val="Alla- No"/>
            <filter val="Sona Sona"/>
            <filter val="Jeremy Hodara"/>
            <filter val="Salim Salim"/>
            <filter val="Filip F"/>
            <filter val="Rej Rej"/>
            <filter val="Petri Mattila"/>
            <filter val="Amira Amira"/>
            <filter val="Oleg Hhh"/>
            <filter val="Ulbossyn L"/>
            <filter val="Othman Tasahel"/>
            <filter val="Patrick Siani"/>
            <filter val="Ayman A"/>
            <filter val="Ash S"/>
            <filter val="Mohammed Pouataher"/>
            <filter val="Guaxu Han"/>
            <filter val="Terad Telal Mousa"/>
            <filter val="Sven Lefeber"/>
            <filter val="Guido Rovero"/>
            <filter val="Zhuchem Chen"/>
            <filter val="Navruz Mr"/>
            <filter val="Isbar Ali"/>
            <filter val="Moh Alzair"/>
            <filter val="Katja Heckelman"/>
            <filter val="Paol o Di Franco"/>
            <filter val="Radan Khuseyn"/>
            <filter val="Abdulrahman Aldaghbasi"/>
            <filter val="Jasim J"/>
            <filter val="Laha A"/>
            <filter val="Naiem Aiyed"/>
            <filter val="Mr Shiraz"/>
            <filter val="Ramses A"/>
            <filter val="Barshan Sharafi"/>
            <filter val="Konrad Thoele"/>
            <filter val="Adala Akram"/>
            <filter val="F H"/>
            <filter val="Hadeel Aluwaywy"/>
            <filter val="Karim--"/>
            <filter val="Jad Halaby"/>
            <filter val="Abdullah Amarzouqi"/>
            <filter val="Serhem No"/>
            <filter val="Muwafaq Alomar"/>
            <filter val="Miguel  Lasprilla"/>
            <filter val="Abimbola Badejo"/>
            <filter val="Raed Khayyat"/>
            <filter val="Abdulla BAminif"/>
            <filter val="Darren False"/>
            <filter val="Assel Zhumabayeva"/>
            <filter val=".Jun lln"/>
            <filter val="Lilia Asmakovzkaya"/>
            <filter val="Andras Gero"/>
            <filter val="Mr Julis"/>
            <filter val="Nasser O"/>
            <filter val="Ahmad Ozen"/>
            <filter val="Albert Mehaj"/>
            <filter val="Elias A"/>
            <filter val="Adik A"/>
            <filter val="Alan Rutherford"/>
            <filter val="Luxing Chen"/>
            <filter val="Abu Salam Salam"/>
            <filter val="Alain Belanger"/>
            <filter val="Mansour mansour"/>
            <filter val="Hassan Ajan"/>
            <filter val="Jiang Rui"/>
            <filter val="Amir Yousri"/>
            <filter val="Garo Matossian"/>
            <filter val="Bader- L"/>
            <filter val="Tareq Tareq"/>
            <filter val="Khairy Shahin"/>
            <filter val="Malek Khan"/>
            <filter val="Emin E"/>
            <filter val="Olga Vozynyak"/>
            <filter val="Abdalih Hazaa"/>
            <filter val="Majdi Mr"/>
            <filter val="Ricardo Allende"/>
            <filter val="Sargon Yan"/>
            <filter val="Naoynki Kosaka"/>
            <filter val="Abdelrahman Mr"/>
            <filter val="Maxim Samoylenko"/>
            <filter val="Benedetto Matulli"/>
            <filter val="Una Sun"/>
            <filter val="Ashok Sharma"/>
            <filter val="Krslak Krslak"/>
            <filter val="Karina Monti"/>
            <filter val="Walter Lead"/>
            <filter val="Greg Napier"/>
            <filter val="Abdullah A"/>
            <filter val="Sami No"/>
            <filter val="Adnan Amin"/>
            <filter val="Abdullah E"/>
            <filter val="Stevenson Ang"/>
            <filter val="Yu XU"/>
            <filter val="Ihab Ihab"/>
            <filter val="Jan No"/>
            <filter val="Arnoud Griffoen"/>
            <filter val="Khalid Al busaidi"/>
            <filter val="Hesham"/>
            <filter val="Alex Civira"/>
            <filter val="Marc Rafeld"/>
            <filter val="Hamad Hamad"/>
            <filter val="Ravin Ravin"/>
            <filter val="Mohammad Albaqaal"/>
            <filter val="Salman Salman"/>
            <filter val="Awad Bin karam"/>
            <filter val="Vlad V"/>
            <filter val="Abo Mashal A"/>
            <filter val="Mohamed Abdalih"/>
            <filter val="Robert"/>
            <filter val="Atizhan Nurapin"/>
            <filter val="Eidem Lorier"/>
            <filter val="Ehab Fayek"/>
            <filter val="Aki AL Dhakash"/>
            <filter val="Abdulrahman Alarifi"/>
            <filter val="TemTem"/>
            <filter val="Igor Igor"/>
            <filter val="Raushan"/>
            <filter val="Khalifa Aboqaish"/>
            <filter val="Siar Azami"/>
            <filter val="Division A"/>
            <filter val="Ihsan Kashlan"/>
            <filter val="Gabriel Angel Monte"/>
            <filter val="Nasar Nasar"/>
            <filter val="Pavel Zhukov"/>
            <filter val="Martin Spethman"/>
            <filter val="Darren Guo"/>
            <filter val="Rufina Uzykhanova"/>
            <filter val="Yusaf Akyol"/>
            <filter val="Thierry Toupin"/>
            <filter val="Majid Mr"/>
            <filter val="RekiA"/>
            <filter val="Tareq Youssef"/>
            <filter val="·WaelA"/>
            <filter val="Farshad Zanjani"/>
            <filter val="Jaweed J"/>
            <filter val="Marc Fernet"/>
            <filter val="Jaba No"/>
            <filter val="Daniel Stanchev"/>
            <filter val="Kawtar No"/>
            <filter val="Wenhui Wan"/>
            <filter val="Abdelmoumene selloum"/>
            <filter val="Sonya Sedej"/>
            <filter val="Hao Li"/>
            <filter val="Amit Jeswani"/>
            <filter val="B A"/>
            <filter val="Abdulwahid Mohammad"/>
            <filter val="Nizaar A"/>
            <filter val="Muhammed Muhammed"/>
            <filter val="Harder H"/>
            <filter val="Lorenza Cremonini"/>
            <filter val="Lavinia Pellegrini"/>
            <filter val="Kickye K"/>
            <filter val="Riham Alkhashti"/>
            <filter val="Waleed Altamimi"/>
            <filter val="Maryam Turki"/>
            <filter val="Khalifa Almarzooqi"/>
            <filter val="Martina Crisma"/>
            <filter val="Tian Hongtao"/>
            <filter val="Shaohong Lin"/>
            <filter val="Mr. Yahoob"/>
            <filter val="Husan H"/>
            <filter val="Mohamed Sayed"/>
            <filter val="Chantal Rosenberger"/>
            <filter val="Mansoor Mr"/>
            <filter val="Anna Dadasheva"/>
            <filter val="Zhao Jinguang"/>
            <filter val="lrmako M"/>
            <filter val="Sami Amur"/>
            <filter val="Saud Alfaisal"/>
            <filter val="Zahra z"/>
            <filter val="Irina Ms"/>
            <filter val="Mkhan Aaaa"/>
            <filter val="Bader  Helal"/>
            <filter val="Hassan Mr"/>
            <filter val="Khurram Siddiqui"/>
            <filter val="Jasor Mr"/>
            <filter val="Mr. Sam"/>
            <filter val="Sj Smith"/>
            <filter val="Sultan Alsuwaidi"/>
            <filter val="Saleh"/>
            <filter val="Self Seif"/>
            <filter val="Ghadi Ghadi"/>
            <filter val="Mr Nabil"/>
            <filter val="Sameer Yousef"/>
            <filter val="Mr. Joe"/>
            <filter val="Bari Bari"/>
            <filter val="Anar Abbasov"/>
            <filter val="Arthur Arthur"/>
            <filter val="Sal3h S"/>
            <filter val="Amjad AAaa"/>
            <filter val="Wail Wail"/>
            <filter val="Waleed Mohd"/>
            <filter val="Hasser Mr"/>
            <filter val="Mohammad Mohammad"/>
            <filter val="Mohamed No"/>
            <filter val="Frits Dauphin"/>
            <filter val="Javier Bonnet"/>
            <filter val="Darren Moore"/>
            <filter val="Paul A"/>
            <filter val="Mouna Diabi"/>
            <filter val="Dmitrii Dmitrii"/>
            <filter val="Laura O"/>
            <filter val="Juma Juma"/>
            <filter val="Lin JIang"/>
            <filter val="Julia No"/>
            <filter val="Mohammed Baig"/>
            <filter val="Nilay Kutman"/>
            <filter val="Marwan M"/>
            <filter val="Mohamed Al Hammadi"/>
            <filter val="Abdalla Alshamsi"/>
            <filter val="Abdullah Mr."/>
            <filter val="Hanan Al Suwaidi"/>
            <filter val="Ilia Tikhomirov"/>
            <filter val="Abu A"/>
            <filter val="Vivian Zhang"/>
            <filter val="Manish Advani"/>
            <filter val="Islam Naguib"/>
            <filter val="Xiangrong Hua"/>
            <filter val="Maria M"/>
            <filter val="Jose Manuel Solla"/>
            <filter val="Gioavanni Giardini"/>
            <filter val="Pashang Variava"/>
            <filter val="yousef mustafa"/>
            <filter val="Mohammed Pouartaher"/>
            <filter val="Anfal Almutairi"/>
            <filter val="Zhiqiang Chen"/>
            <filter val="Stephanie Zhang"/>
            <filter val="Husain Motiwala"/>
            <filter val="Mihir Gupta"/>
            <filter val="Mishari Altalihi"/>
            <filter val="Tansel Culcu"/>
            <filter val="Friedrich Vesco"/>
            <filter val="Mr Saeed"/>
            <filter val="Mario Bonardo"/>
            <filter val="Antoan Bonev"/>
            <filter val=".Juan Zou"/>
            <filter val="Saif Al Matsuri"/>
            <filter val="Jassica A"/>
            <filter val="Omar Ali"/>
            <filter val="Fahad Shaukat"/>
            <filter val="Ali Kassab"/>
            <filter val="Gianluca Papini"/>
            <filter val="Kemal Sucak"/>
            <filter val="Joanna Pierchala"/>
            <filter val="August Morzynski"/>
            <filter val="Da Chen"/>
            <filter val="Nawaf Nawaf"/>
            <filter val="Yurii Yurii"/>
            <filter val="Abdullah Abdul"/>
            <filter val="Nasser Al kindi"/>
            <filter val="Faisal Al Nsour"/>
            <filter val="Thomas Rodenberg"/>
            <filter val="Abdulaziz"/>
            <filter val="Amr Sager"/>
            <filter val="Micheal Micheal"/>
            <filter val="Marc Oppermann"/>
            <filter val="Thomas No"/>
            <filter val="Ali Aldakhil"/>
            <filter val="William William"/>
            <filter val="JIanxuan Gao"/>
            <filter val="George George"/>
            <filter val="Daria M"/>
            <filter val="Musabbah AJ qaiz J"/>
            <filter val="Pantazis Therianos"/>
            <filter val="George Kozmann"/>
            <filter val="Nawal Nawal"/>
            <filter val="Gan Shaoping"/>
            <filter val="Hazma Bisty"/>
            <filter val="Olga Slot"/>
            <filter val="Askar A"/>
            <filter val="Elena Resh"/>
            <filter val="Bashir"/>
            <filter val="Oiuyue Wang"/>
            <filter val="Darren Spindler"/>
            <filter val="Mitja Bankovic"/>
            <filter val="Omar Aldarabkeh"/>
            <filter val="Mr Yogal"/>
            <filter val="Ala Abeek"/>
            <filter val="Jianxun Gao"/>
            <filter val="Yolanda Chei"/>
            <filter val="Bryan Gordon"/>
            <filter val="Amar Mr"/>
            <filter val="Fritz Pohi"/>
            <filter val="Jansen Jansen"/>
            <filter val="Walid Massaad"/>
            <filter val="Mohsin L"/>
            <filter val="Zakariya Zakariya"/>
            <filter val="Karki Karki"/>
            <filter val="Wang Zhu"/>
            <filter val="Nadia Nadia"/>
            <filter val="Augustine Nworzor"/>
            <filter val="Pawel Kolacz"/>
            <filter val="Basim B"/>
            <filter val="Anastasia Chertkova"/>
            <filter val="Dagmar No"/>
            <filter val="Milind Patwardhan"/>
            <filter val="Muath Alomair"/>
            <filter val="Mohamed Hassan Amin Attia"/>
            <filter val="Andrea Tavanti"/>
            <filter val="Michael Goedegebuure"/>
            <filter val="Raushan-"/>
            <filter val="Hader Hader"/>
            <filter val="YaserQasem"/>
            <filter val="Naba"/>
            <filter val="Cjava A"/>
            <filter val="Damon Ma"/>
            <filter val="Navved Siddiqi"/>
            <filter val="Pavel Logunov"/>
            <filter val="Marcus Morgan"/>
            <filter val="Bari Samadi"/>
            <filter val="Jawdat Daher"/>
            <filter val="Keith K"/>
            <filter val="Zubhurt Z"/>
            <filter val="Wael Hosny"/>
            <filter val="Ameer Al Naoumi"/>
            <filter val="Alexandr A"/>
            <filter val="Rashid Mr"/>
            <filter val="Izzet Oz"/>
            <filter val="Oyedele Oyepeju"/>
            <filter val="Shakir Abdulla"/>
            <filter val="Mohammed Mohammed"/>
            <filter val="Darren Tian"/>
            <filter val="Alexander Alexander"/>
            <filter val="Cihan Oktem"/>
            <filter val="Shanker Vivek"/>
            <filter val="Abdul Aziz"/>
            <filter val="Angela Bonizzi"/>
            <filter val="Hassan Hassan"/>
            <filter val="Godfried de voc F"/>
            <filter val="Marko  Lalic"/>
            <filter val="Marwan Jaber"/>
            <filter val="songyin Liu"/>
            <filter val="Bano Vicnin"/>
            <filter val="Lucky Liu"/>
            <filter val="Dummy H"/>
            <filter val="Mack Fered"/>
            <filter val="K K"/>
            <filter val="Antai Peng"/>
            <filter val="Juanid Zaidi"/>
            <filter val="Zhu Chen"/>
            <filter val="Faruk Yildrim"/>
            <filter val="Ibragim Ibragim"/>
            <filter val="Anni A"/>
            <filter val="Afanan Almukaimy"/>
            <filter val="Ilias No"/>
            <filter val="Bratislav Spica"/>
            <filter val="rajeev"/>
            <filter val="Farhad Turkan"/>
            <filter val="Marina Spera"/>
            <filter val="Ali A"/>
            <filter val="Alessandro -"/>
            <filter val="Huaheng Zhang"/>
            <filter val="Paul Poot"/>
            <filter val="Anthony Forester"/>
            <filter val="Ruby Masood"/>
            <filter val="Hassan Amman"/>
            <filter val="Manfred Jansen"/>
            <filter val="Sebastian Vonica"/>
            <filter val="Ali T"/>
            <filter val="Pavlidi Scostas"/>
            <filter val="Simona Chiodi"/>
            <filter val="Ali S"/>
            <filter val="Amne Khalifa"/>
            <filter val="Fahad Alameri"/>
            <filter val="Igor N"/>
            <filter val="Shamma Raza"/>
            <filter val="Waqar Rashid"/>
            <filter val="Fahiz Mr"/>
            <filter val="Yusuf Mr"/>
            <filter val="abdullah non"/>
            <filter val="Manoj Solanski"/>
            <filter val="Zak"/>
            <filter val="Cheong Wong"/>
            <filter val="Saeb Mahmoud"/>
            <filter val="Marja Loimaranta"/>
            <filter val="Bee Sahni"/>
            <filter val="Ma wei"/>
            <filter val="Kunfeng Guo"/>
            <filter val="Omar Omar"/>
            <filter val="Shaya Alqahtani"/>
            <filter val="Mohammed Mr"/>
            <filter val="Orhan A"/>
            <filter val="Manlio Micelli"/>
            <filter val="Bender Al"/>
            <filter val="Paplo A"/>
            <filter val="Sara Sara"/>
            <filter val="Du Jingtao"/>
            <filter val="Tatiana Bobkova"/>
            <filter val="Mohammed No"/>
            <filter val="Diana Fehse"/>
            <filter val="Shuanglai Wei"/>
            <filter val="August A"/>
            <filter val="Myriam Benothman"/>
            <filter val="Alibek Almabekov"/>
            <filter val="Samir samir"/>
            <filter val="Jiang gi"/>
            <filter val="Shurooq M"/>
            <filter val="Sergey Sergey"/>
            <filter val="Armen Chehily"/>
            <filter val="Shehzad Hassam"/>
            <filter val="Emily Emily"/>
            <filter val="Paoly Yang"/>
            <filter val="Patrice Monnin"/>
            <filter val="David Orr"/>
            <filter val="Sara Al Abdulla"/>
            <filter val="Alex Mr"/>
            <filter val="Martin Loonen"/>
            <filter val="Maha A"/>
            <filter val="Suhail Arjomand"/>
            <filter val="Ali Salim"/>
            <filter val="Yaser Yaser"/>
            <filter val="Saeed Alghamdi"/>
            <filter val="Hisham P"/>
            <filter val="Khallfa Almarzooql"/>
            <filter val="Varun Mishra"/>
            <filter val="Aliena G"/>
            <filter val="Kilambekov Darkhan"/>
            <filter val="Zeovisin Z"/>
            <filter val="Frachesco F"/>
            <filter val="Herris Herrls"/>
            <filter val="Franco Semeraro"/>
            <filter val="Abdulrazaq A!lhmood"/>
            <filter val="Amin Amin"/>
            <filter val="Hafs Hafs"/>
            <filter val="Karin Graf"/>
            <filter val="Mohammed Khalid"/>
            <filter val="Saeed Saeed"/>
            <filter val="Najla Alowais"/>
            <filter val="Josette Zeilah"/>
            <filter val="Daniel A"/>
            <filter val="Victoria Lynch"/>
            <filter val="Nod Karabaeva"/>
            <filter val="Gabiden G"/>
            <filter val="Rishat Agzomov"/>
            <filter val="Philip Meier"/>
            <filter val="Yasser Ezzo"/>
            <filter val="Fairy Azary"/>
            <filter val="Finbar Constant"/>
            <filter val="Hanadi Kabour"/>
            <filter val="Yuandeng Li"/>
            <filter val="Iyzal No"/>
            <filter val="Feroz Mansuri"/>
            <filter val="Chadi Khachbe"/>
            <filter val="Haytham Alameria"/>
            <filter val="Yavuz Yati"/>
            <filter val="Anastacia Chertkova"/>
            <filter val="G Y"/>
            <filter val="Jamal A"/>
            <filter val="Yaqoob Mr"/>
            <filter val="Charchal K"/>
            <filter val="Um Zayed Um Zayed"/>
            <filter val="Yang"/>
            <filter val="Mihail Sedov"/>
            <filter val="Akl Al  dhakash"/>
            <filter val="Khaled Alnosnan"/>
            <filter val="OniOni"/>
            <filter val="Eyad A"/>
            <filter val="Roman Baluta"/>
            <filter val="Wei Guo"/>
            <filter val="Richard Deighton"/>
            <filter val="Carlo A"/>
            <filter val="Simak Shabahang"/>
            <filter val="Ernest Sylvester"/>
            <filter val="Amit Aaaa"/>
            <filter val="Adeel Agha"/>
            <filter val="David Peng"/>
            <filter val="Rachid Takla Takla"/>
            <filter val="Manal Alsaedi"/>
            <filter val="Saif Shams"/>
            <filter val="Wassay Mr"/>
            <filter val="Allan A"/>
            <filter val="Ali Zohre Ali"/>
            <filter val="Osman O"/>
            <filter val="Marina Zhuravkova"/>
            <filter val="Li Hao"/>
            <filter val="Rashid T"/>
            <filter val="Jambul Drevshanov"/>
            <filter val="Mr Gonav"/>
            <filter val="Rashed Abu Baker"/>
            <filter val="Marek Edris"/>
            <filter val="Dora Mathe"/>
            <filter val="Zhazi Z"/>
            <filter val="VladimirV"/>
            <filter val="Vic Dodevski"/>
            <filter val="Lu Feng"/>
            <filter val="Touzet Sege"/>
            <filter val="Diana Wilde"/>
            <filter val="Mr Julius"/>
            <filter val="Dari Al Bader"/>
            <filter val="Dez Zeeuw D"/>
            <filter val="Mina Ghajar"/>
            <filter val="Alice Lidix"/>
            <filter val="Jiatong Sun"/>
            <filter val="Lilei L"/>
            <filter val="Nazieb Bies"/>
            <filter val="Um raed Raed"/>
            <filter val="Raad A"/>
            <filter val="Abbas Zamzami"/>
            <filter val="John Quill"/>
            <filter val="Ahmad Client"/>
            <filter val="Alina A"/>
            <filter val="Xu Ming"/>
            <filter val="Raad K"/>
            <filter val="K Kiven"/>
            <filter val="Anita A"/>
            <filter val="Adnan Al Afeef"/>
            <filter val="Mohamed Alali"/>
            <filter val="Steven Van Avondt"/>
            <filter val="Rahema Hugaa"/>
            <filter val="Bander Alshadi"/>
            <filter val="Amer sobhl Ali oallol"/>
            <filter val="Saber Al Ammari"/>
            <filter val="Yahya Alyousef"/>
            <filter val="Evlls Xu"/>
            <filter val="Oleg N"/>
            <filter val="Clem No"/>
            <filter val="Abdurahman Karamastajl"/>
            <filter val="Sergeyy A"/>
            <filter val="Grega Skofic"/>
            <filter val="Talal El-Chichakll"/>
            <filter val="Nizar No"/>
            <filter val="Abdullah-"/>
            <filter val="Wejdan A"/>
            <filter val="Salim S"/>
            <filter val="Muhammed Mr"/>
            <filter val="Mr. Kamal"/>
            <filter val="Nick ghajar ghajar"/>
            <filter val="Ahmed majali"/>
            <filter val="Gustavo Sabatini"/>
            <filter val="Lain Macfarlane"/>
            <filter val="Mohammad Iqbal"/>
            <filter val="Nedal Nedal"/>
            <filter val="Ayrat Makhmutov"/>
            <filter val="Alaeddin Bahlawan"/>
            <filter val="Majed Alsayari"/>
            <filter val="Mr Vipen"/>
            <filter val="Bladeren No"/>
            <filter val="Wei Yan"/>
            <filter val="A sud peerzada"/>
            <filter val="Mohamed Fahmy"/>
            <filter val="Christian Granata"/>
            <filter val="Dongxia Li"/>
            <filter val="Marco Mattocia"/>
            <filter val="Shaima Mrs"/>
            <filter val="Hany A"/>
            <filter val="Fehmi Gegin"/>
            <filter val="Rezwan Hassan"/>
            <filter val="Abulaziz Noor"/>
            <filter val="Hany H"/>
            <filter val="Sara Asiri"/>
            <filter val="Tayan Ms"/>
            <filter val="Tony Philip"/>
            <filter val="Summer Xiao"/>
            <filter val="Girsh Balwar"/>
            <filter val="Ruslan Gasymov"/>
            <filter val="Kenny Asumah"/>
            <filter val="Amr Almohamadi"/>
            <filter val="Sami Sami"/>
            <filter val="Thomas Wylie"/>
            <filter val="Edwin Gielis"/>
            <filter val="Dilbagh A"/>
            <filter val="Joy Rainey"/>
            <filter val="Anna K"/>
            <filter val="Weichao Wang"/>
            <filter val="Wedding Jiao"/>
            <filter val="Nasiba"/>
            <filter val="Guilan Yang"/>
            <filter val="Michael John Rolfe"/>
            <filter val="Alex A"/>
            <filter val="mohannad Mu"/>
            <filter val="Yang Tian"/>
            <filter val="Ibtehaag A"/>
            <filter val="Mr Yin"/>
            <filter val="Saif Mr"/>
            <filter val="Christian Johanson"/>
            <filter val="Samir Suliman"/>
            <filter val="Artur K"/>
            <filter val="Tiga A"/>
            <filter val="Mgtaba Joya"/>
            <filter val="Fabio Rosal"/>
            <filter val="Gaby Hadcihiti"/>
            <filter val="ChunhuaSun"/>
            <filter val="Alban Fridenberg"/>
            <filter val="Aleksandr A"/>
            <filter val="Dalia M"/>
            <filter val="Plei"/>
            <filter val="Charlotte A"/>
            <filter val="Ms Huda"/>
            <filter val="Abu Ammar"/>
            <filter val="Okaty O"/>
            <filter val="Sheikh Hessa"/>
            <filter val="Frank Diekel"/>
            <filter val="Akram Saudi"/>
            <filter val="Alesandro M"/>
            <filter val="Labou Samir"/>
            <filter val="Raghav Mohta"/>
            <filter val="Mohammed Melhem"/>
            <filter val="Fatima A"/>
          </filters>
        </filterColumn>
      </autoFilter>
    </customSheetView>
  </customSheetViews>
  <mergeCells count="1">
    <mergeCell ref="H1:J1"/>
  </mergeCells>
  <conditionalFormatting sqref="D1:D279 H17 H58:H61 D281:D669 D689 D691:D774 D870:D915 D930:D971 D973:D1435 D1490:D1505 D1652:D1833 D1835:D1846 D1848 D1850:D2018">
    <cfRule type="notContainsBlanks" dxfId="0" priority="1">
      <formula>LEN(TRIM(D1))&gt;0</formula>
    </cfRule>
  </conditionalFormatting>
  <conditionalFormatting sqref="C1:C232 C234:C246 C248:C263 C265:C279 C281:C361 C365:C373 C376:C380 C382:C387 C389:C428 C430:C494 C496:C506 C508:C545 C547:C575 C577:C590 C592:C593 C595:C617 C619:C626 C628:C633 C636:C641 C643:C658 C660:C669 C683:C734 C736:C766 C768:C774 C782:C794 C867:C912 C930:C934 C936:C946 C948:C949 B950:B951 C952:C958 C960:C998 C1000:C1041 C1043:C1058 C1060:C1083 C1085:C1087 C1089:C1127 C1129:C1162 C1164:C1172 C1174:C1175 C1177:C1215 C1217:C1218 C1220:C1236 C1238:C1253 C1255:C1285 C1287:C1301 C1303:C1323 C1325:C1332 C1334 C1336:C1353 C1355:C1376 C1378:C1392 C1394:C1395 C1400 C1403 C1406:C1407 C1416:C1435 C1640:C1679 C1681:C1771 C1773 C1775:C1831 C1833:C1848 C1850:C1865 C1867:C1900 C1921:C2018">
    <cfRule type="notContainsBlanks" dxfId="0" priority="2">
      <formula>LEN(TRIM(C1))&gt;0</formula>
    </cfRule>
  </conditionalFormatting>
  <conditionalFormatting sqref="C1540">
    <cfRule type="notContainsBlanks" dxfId="0" priority="3">
      <formula>LEN(TRIM(C1540))&gt;0</formula>
    </cfRule>
  </conditionalFormatting>
  <hyperlinks>
    <hyperlink r:id="rId1" ref="B1007"/>
    <hyperlink r:id="rId2" ref="B1661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7.71"/>
    <col customWidth="1" min="3" max="3" width="25.86"/>
    <col customWidth="1" min="4" max="4" width="14.43"/>
    <col customWidth="1" min="5" max="5" width="17.71"/>
    <col customWidth="1" min="6" max="6" width="14.43"/>
  </cols>
  <sheetData>
    <row r="1" ht="15.75" customHeight="1">
      <c r="B1" s="36" t="s">
        <v>110</v>
      </c>
      <c r="C1" s="36" t="s">
        <v>111</v>
      </c>
      <c r="D1" s="36" t="s">
        <v>4970</v>
      </c>
      <c r="E1" s="36" t="s">
        <v>185</v>
      </c>
    </row>
    <row r="2" ht="15.75" customHeight="1">
      <c r="A2" s="36">
        <v>1.0</v>
      </c>
      <c r="B2" s="149" t="s">
        <v>4971</v>
      </c>
      <c r="C2" s="150" t="s">
        <v>4972</v>
      </c>
      <c r="D2" s="151" t="s">
        <v>4973</v>
      </c>
      <c r="E2" s="149" t="s">
        <v>955</v>
      </c>
      <c r="F2" s="36" t="s">
        <v>4974</v>
      </c>
    </row>
    <row r="3" ht="15.75" customHeight="1">
      <c r="A3" s="36">
        <v>2.0</v>
      </c>
      <c r="B3" s="152" t="s">
        <v>4975</v>
      </c>
      <c r="C3" s="150" t="s">
        <v>2824</v>
      </c>
      <c r="D3" s="151" t="s">
        <v>4976</v>
      </c>
      <c r="E3" s="153" t="s">
        <v>1053</v>
      </c>
      <c r="F3" s="36" t="s">
        <v>4977</v>
      </c>
    </row>
    <row r="4" ht="15.75" customHeight="1">
      <c r="A4" s="36">
        <v>3.0</v>
      </c>
      <c r="B4" s="154" t="s">
        <v>4978</v>
      </c>
      <c r="C4" s="155" t="s">
        <v>4084</v>
      </c>
      <c r="D4" s="107">
        <v>9.6566699559E10</v>
      </c>
      <c r="F4" s="36" t="s">
        <v>4974</v>
      </c>
    </row>
    <row r="5" ht="15.75" customHeight="1">
      <c r="A5" s="36">
        <v>4.0</v>
      </c>
      <c r="B5" s="36" t="s">
        <v>4979</v>
      </c>
      <c r="C5" s="156"/>
      <c r="D5" s="48"/>
      <c r="F5" s="36" t="s">
        <v>261</v>
      </c>
    </row>
    <row r="6" ht="15.75" customHeight="1">
      <c r="A6" s="36">
        <v>5.0</v>
      </c>
      <c r="B6" s="36" t="s">
        <v>4980</v>
      </c>
      <c r="C6" s="157" t="s">
        <v>4981</v>
      </c>
      <c r="D6" s="158" t="s">
        <v>4982</v>
      </c>
      <c r="E6" s="149" t="s">
        <v>955</v>
      </c>
      <c r="F6" s="36" t="s">
        <v>4974</v>
      </c>
    </row>
    <row r="7" ht="15.75" customHeight="1">
      <c r="A7" s="36">
        <v>6.0</v>
      </c>
      <c r="B7" s="36" t="s">
        <v>4983</v>
      </c>
      <c r="C7" s="48" t="s">
        <v>4984</v>
      </c>
      <c r="D7" s="48" t="s">
        <v>4985</v>
      </c>
      <c r="E7" s="36" t="s">
        <v>4986</v>
      </c>
      <c r="F7" s="36" t="s">
        <v>4974</v>
      </c>
    </row>
    <row r="8" ht="15.75" customHeight="1">
      <c r="A8" s="36">
        <v>7.0</v>
      </c>
      <c r="B8" s="36" t="s">
        <v>4987</v>
      </c>
      <c r="C8" s="48" t="s">
        <v>3005</v>
      </c>
      <c r="D8" s="104" t="s">
        <v>3003</v>
      </c>
      <c r="E8" s="36" t="s">
        <v>1518</v>
      </c>
      <c r="F8" s="36" t="s">
        <v>4974</v>
      </c>
    </row>
    <row r="9" ht="15.75" customHeight="1">
      <c r="A9" s="36">
        <v>8.0</v>
      </c>
      <c r="B9" s="36" t="s">
        <v>4988</v>
      </c>
    </row>
    <row r="10" ht="15.75" customHeight="1">
      <c r="A10" s="36">
        <v>9.0</v>
      </c>
      <c r="B10" s="36" t="s">
        <v>4989</v>
      </c>
    </row>
    <row r="11" ht="15.75" customHeight="1">
      <c r="A11" s="36">
        <v>10.0</v>
      </c>
      <c r="B11" s="36" t="s">
        <v>4990</v>
      </c>
    </row>
    <row r="12" ht="15.75" customHeight="1">
      <c r="A12" s="36">
        <v>11.0</v>
      </c>
      <c r="B12" s="36" t="s">
        <v>4991</v>
      </c>
    </row>
    <row r="13" ht="15.75" customHeight="1">
      <c r="A13" s="36">
        <v>12.0</v>
      </c>
      <c r="B13" s="36" t="s">
        <v>4992</v>
      </c>
    </row>
    <row r="14" ht="15.75" customHeight="1">
      <c r="A14" s="36">
        <v>13.0</v>
      </c>
      <c r="B14" s="36" t="s">
        <v>4993</v>
      </c>
    </row>
    <row r="15" ht="15.75" customHeight="1">
      <c r="A15" s="36">
        <v>14.0</v>
      </c>
      <c r="B15" s="36" t="s">
        <v>4994</v>
      </c>
    </row>
    <row r="16" ht="15.75" customHeight="1">
      <c r="A16" s="36">
        <v>15.0</v>
      </c>
      <c r="B16" s="159" t="s">
        <v>4995</v>
      </c>
      <c r="D16" s="160"/>
      <c r="E16" s="161"/>
      <c r="F16" s="162"/>
      <c r="G16" s="163"/>
    </row>
    <row r="17" ht="15.75" customHeight="1">
      <c r="A17" s="36">
        <v>16.0</v>
      </c>
      <c r="B17" s="159" t="s">
        <v>4996</v>
      </c>
      <c r="D17" s="163"/>
      <c r="E17" s="160"/>
      <c r="F17" s="161"/>
      <c r="G17" s="162"/>
      <c r="H17" s="163"/>
    </row>
    <row r="18" ht="15.75" customHeight="1">
      <c r="A18" s="36">
        <v>17.0</v>
      </c>
      <c r="B18" s="159" t="s">
        <v>4997</v>
      </c>
      <c r="D18" s="163"/>
      <c r="E18" s="160"/>
      <c r="F18" s="161"/>
      <c r="G18" s="162"/>
      <c r="H18" s="163"/>
    </row>
    <row r="19" ht="15.75" customHeight="1">
      <c r="A19" s="36">
        <v>18.0</v>
      </c>
      <c r="B19" s="159" t="s">
        <v>4998</v>
      </c>
      <c r="D19" s="163"/>
      <c r="E19" s="160"/>
      <c r="F19" s="161"/>
      <c r="G19" s="162"/>
      <c r="H19" s="163"/>
    </row>
    <row r="20" ht="15.75" customHeight="1">
      <c r="A20" s="36">
        <v>19.0</v>
      </c>
      <c r="B20" s="159" t="s">
        <v>4999</v>
      </c>
      <c r="D20" s="163"/>
      <c r="E20" s="160"/>
      <c r="F20" s="161"/>
      <c r="G20" s="162"/>
      <c r="H20" s="163"/>
    </row>
    <row r="21" ht="15.75" customHeight="1">
      <c r="A21" s="36">
        <v>20.0</v>
      </c>
      <c r="B21" s="159" t="s">
        <v>5000</v>
      </c>
      <c r="D21" s="163"/>
      <c r="E21" s="160"/>
      <c r="F21" s="161"/>
      <c r="G21" s="162"/>
      <c r="H21" s="163"/>
    </row>
    <row r="22" ht="15.75" customHeight="1">
      <c r="A22" s="36">
        <v>21.0</v>
      </c>
      <c r="B22" s="159" t="s">
        <v>5001</v>
      </c>
      <c r="D22" s="163"/>
      <c r="E22" s="160"/>
      <c r="F22" s="161"/>
      <c r="G22" s="162"/>
      <c r="H22" s="163"/>
    </row>
    <row r="23" ht="15.75" customHeight="1">
      <c r="A23" s="36">
        <v>22.0</v>
      </c>
      <c r="B23" s="159" t="s">
        <v>5002</v>
      </c>
      <c r="D23" s="163"/>
      <c r="E23" s="160"/>
      <c r="F23" s="161"/>
      <c r="G23" s="162"/>
      <c r="H23" s="163"/>
    </row>
    <row r="24" ht="15.75" customHeight="1">
      <c r="A24" s="36">
        <v>23.0</v>
      </c>
      <c r="B24" s="159" t="s">
        <v>5003</v>
      </c>
      <c r="D24" s="163"/>
      <c r="E24" s="160"/>
      <c r="F24" s="161"/>
      <c r="G24" s="162"/>
      <c r="H24" s="163"/>
    </row>
    <row r="25" ht="15.75" customHeight="1">
      <c r="A25" s="36">
        <v>24.0</v>
      </c>
      <c r="B25" s="159" t="s">
        <v>5004</v>
      </c>
      <c r="D25" s="163"/>
      <c r="E25" s="160"/>
      <c r="F25" s="161"/>
      <c r="G25" s="162"/>
      <c r="H25" s="163"/>
    </row>
    <row r="26" ht="15.75" customHeight="1">
      <c r="A26" s="36">
        <v>25.0</v>
      </c>
      <c r="B26" s="159" t="s">
        <v>5005</v>
      </c>
      <c r="D26" s="163"/>
      <c r="E26" s="160"/>
      <c r="F26" s="161"/>
      <c r="G26" s="162"/>
      <c r="H26" s="163"/>
    </row>
    <row r="27" ht="15.75" customHeight="1">
      <c r="A27" s="36">
        <v>26.0</v>
      </c>
      <c r="B27" s="159" t="s">
        <v>5006</v>
      </c>
      <c r="D27" s="163"/>
      <c r="E27" s="160"/>
      <c r="F27" s="161"/>
      <c r="G27" s="162"/>
      <c r="H27" s="163"/>
    </row>
    <row r="28" ht="15.75" customHeight="1">
      <c r="A28" s="36">
        <v>27.0</v>
      </c>
      <c r="B28" s="164" t="s">
        <v>5007</v>
      </c>
    </row>
    <row r="29" ht="15.75" customHeight="1">
      <c r="A29" s="36">
        <v>28.0</v>
      </c>
      <c r="B29" s="36" t="s">
        <v>5008</v>
      </c>
    </row>
    <row r="30" ht="15.75" customHeight="1">
      <c r="A30" s="36">
        <v>29.0</v>
      </c>
      <c r="B30" s="36" t="s">
        <v>4997</v>
      </c>
    </row>
    <row r="31" ht="15.75" customHeight="1">
      <c r="A31" s="36">
        <v>30.0</v>
      </c>
      <c r="B31" s="36" t="s">
        <v>4998</v>
      </c>
    </row>
    <row r="32" ht="15.75" customHeight="1">
      <c r="A32" s="36">
        <v>31.0</v>
      </c>
      <c r="B32" s="36" t="s">
        <v>4999</v>
      </c>
    </row>
    <row r="33" ht="15.75" customHeight="1">
      <c r="A33" s="36">
        <v>32.0</v>
      </c>
      <c r="B33" s="36" t="s">
        <v>5000</v>
      </c>
    </row>
    <row r="34" ht="15.75" customHeight="1">
      <c r="A34" s="36">
        <v>33.0</v>
      </c>
      <c r="B34" s="36" t="s">
        <v>5001</v>
      </c>
    </row>
    <row r="35" ht="15.75" customHeight="1">
      <c r="A35" s="36">
        <v>34.0</v>
      </c>
      <c r="B35" s="36" t="s">
        <v>5002</v>
      </c>
    </row>
    <row r="36" ht="15.75" customHeight="1">
      <c r="A36" s="36">
        <v>35.0</v>
      </c>
      <c r="B36" s="36" t="s">
        <v>5003</v>
      </c>
    </row>
    <row r="37" ht="15.75" customHeight="1">
      <c r="A37" s="36">
        <v>36.0</v>
      </c>
      <c r="B37" s="36" t="s">
        <v>5004</v>
      </c>
    </row>
    <row r="38" ht="15.75" customHeight="1">
      <c r="A38" s="36">
        <v>37.0</v>
      </c>
      <c r="B38" s="36" t="s">
        <v>5005</v>
      </c>
    </row>
    <row r="39" ht="15.75" customHeight="1">
      <c r="A39" s="36">
        <v>38.0</v>
      </c>
      <c r="B39" s="36" t="s">
        <v>5006</v>
      </c>
    </row>
    <row r="40" ht="15.75" customHeight="1">
      <c r="A40" s="36">
        <v>39.0</v>
      </c>
      <c r="B40" s="159" t="s">
        <v>5007</v>
      </c>
      <c r="C40" s="163"/>
      <c r="D40" s="160"/>
      <c r="E40" s="161"/>
      <c r="F40" s="162"/>
      <c r="G40" s="163"/>
    </row>
    <row r="41" ht="15.75" customHeight="1">
      <c r="A41" s="36">
        <v>40.0</v>
      </c>
      <c r="B41" s="159" t="s">
        <v>5009</v>
      </c>
      <c r="C41" s="163"/>
      <c r="E41" s="160"/>
      <c r="F41" s="161"/>
      <c r="G41" s="162"/>
      <c r="H41" s="163"/>
    </row>
    <row r="42" ht="15.75" customHeight="1">
      <c r="A42" s="36">
        <v>41.0</v>
      </c>
      <c r="B42" s="159" t="s">
        <v>5010</v>
      </c>
      <c r="C42" s="163"/>
      <c r="E42" s="160"/>
      <c r="F42" s="161"/>
      <c r="G42" s="162"/>
      <c r="H42" s="163"/>
    </row>
    <row r="43" ht="15.75" customHeight="1">
      <c r="A43" s="36">
        <v>42.0</v>
      </c>
      <c r="B43" s="159" t="s">
        <v>5011</v>
      </c>
      <c r="C43" s="163"/>
      <c r="E43" s="160"/>
      <c r="F43" s="161"/>
      <c r="G43" s="162"/>
      <c r="H43" s="163"/>
    </row>
    <row r="44" ht="15.75" customHeight="1">
      <c r="A44" s="36">
        <v>43.0</v>
      </c>
      <c r="B44" s="159" t="s">
        <v>5012</v>
      </c>
      <c r="C44" s="163"/>
      <c r="E44" s="160"/>
      <c r="F44" s="161"/>
      <c r="G44" s="162"/>
      <c r="H44" s="163"/>
    </row>
    <row r="45" ht="15.75" customHeight="1">
      <c r="A45" s="36">
        <v>44.0</v>
      </c>
      <c r="B45" s="159" t="s">
        <v>5013</v>
      </c>
      <c r="C45" s="163"/>
      <c r="E45" s="160"/>
      <c r="F45" s="161"/>
      <c r="G45" s="162"/>
      <c r="H45" s="163"/>
    </row>
    <row r="46" ht="15.75" customHeight="1">
      <c r="A46" s="36">
        <v>45.0</v>
      </c>
      <c r="B46" s="159" t="s">
        <v>5014</v>
      </c>
      <c r="C46" s="163"/>
      <c r="E46" s="160"/>
      <c r="F46" s="161"/>
      <c r="G46" s="162"/>
      <c r="H46" s="163"/>
    </row>
    <row r="47" ht="15.75" customHeight="1">
      <c r="A47" s="36">
        <v>46.0</v>
      </c>
      <c r="B47" s="159" t="s">
        <v>5015</v>
      </c>
      <c r="C47" s="163"/>
      <c r="E47" s="160"/>
      <c r="F47" s="161"/>
      <c r="G47" s="162"/>
      <c r="H47" s="163"/>
    </row>
    <row r="48" ht="15.75" customHeight="1">
      <c r="A48" s="36">
        <v>47.0</v>
      </c>
      <c r="B48" s="159" t="s">
        <v>5016</v>
      </c>
      <c r="C48" s="163"/>
      <c r="E48" s="160"/>
      <c r="F48" s="161"/>
      <c r="G48" s="162"/>
      <c r="H48" s="163"/>
    </row>
    <row r="49" ht="15.75" customHeight="1">
      <c r="A49" s="36">
        <v>48.0</v>
      </c>
      <c r="B49" s="159" t="s">
        <v>5017</v>
      </c>
      <c r="C49" s="163"/>
      <c r="E49" s="160"/>
      <c r="F49" s="161"/>
      <c r="G49" s="162"/>
      <c r="H49" s="163"/>
    </row>
    <row r="50" ht="15.75" customHeight="1">
      <c r="A50" s="36">
        <v>49.0</v>
      </c>
      <c r="B50" s="159" t="s">
        <v>5018</v>
      </c>
      <c r="C50" s="163"/>
      <c r="E50" s="160"/>
      <c r="F50" s="161"/>
      <c r="G50" s="162"/>
      <c r="H50" s="163"/>
    </row>
    <row r="51" ht="15.75" customHeight="1">
      <c r="A51" s="36">
        <v>50.0</v>
      </c>
      <c r="B51" s="159" t="s">
        <v>5019</v>
      </c>
      <c r="C51" s="163"/>
      <c r="E51" s="160"/>
      <c r="F51" s="161"/>
      <c r="G51" s="162"/>
      <c r="H51" s="163"/>
    </row>
    <row r="52" ht="15.75" customHeight="1">
      <c r="A52" s="36">
        <v>51.0</v>
      </c>
      <c r="B52" s="159" t="s">
        <v>5020</v>
      </c>
      <c r="C52" s="163"/>
      <c r="E52" s="160"/>
      <c r="F52" s="161"/>
      <c r="G52" s="162"/>
      <c r="H52" s="163"/>
    </row>
    <row r="53" ht="15.75" customHeight="1">
      <c r="A53" s="36">
        <v>52.0</v>
      </c>
      <c r="B53" s="159" t="s">
        <v>5021</v>
      </c>
      <c r="C53" s="163"/>
      <c r="E53" s="160"/>
      <c r="F53" s="161"/>
      <c r="G53" s="162"/>
      <c r="H53" s="163"/>
    </row>
    <row r="54" ht="15.75" customHeight="1">
      <c r="A54" s="36">
        <v>53.0</v>
      </c>
      <c r="B54" s="159" t="s">
        <v>5022</v>
      </c>
      <c r="C54" s="163"/>
      <c r="E54" s="160"/>
      <c r="F54" s="161"/>
      <c r="G54" s="162"/>
      <c r="H54" s="163"/>
    </row>
    <row r="55" ht="15.75" customHeight="1">
      <c r="A55" s="36">
        <v>54.0</v>
      </c>
      <c r="B55" s="159" t="s">
        <v>5023</v>
      </c>
      <c r="C55" s="163"/>
      <c r="E55" s="160"/>
      <c r="F55" s="161"/>
      <c r="G55" s="162"/>
      <c r="H55" s="163"/>
    </row>
    <row r="56" ht="15.75" customHeight="1">
      <c r="A56" s="36">
        <v>55.0</v>
      </c>
      <c r="B56" s="159" t="s">
        <v>5024</v>
      </c>
      <c r="C56" s="163"/>
      <c r="E56" s="160"/>
      <c r="F56" s="161"/>
      <c r="G56" s="162"/>
      <c r="H56" s="163"/>
    </row>
    <row r="57" ht="15.75" customHeight="1">
      <c r="A57" s="36">
        <v>56.0</v>
      </c>
      <c r="B57" s="159" t="s">
        <v>5025</v>
      </c>
      <c r="D57" s="163"/>
      <c r="E57" s="160"/>
      <c r="F57" s="161"/>
      <c r="G57" s="162"/>
      <c r="H57" s="163"/>
    </row>
    <row r="58" ht="15.75" customHeight="1">
      <c r="A58" s="36">
        <v>57.0</v>
      </c>
      <c r="B58" s="159" t="s">
        <v>5026</v>
      </c>
      <c r="D58" s="163"/>
      <c r="E58" s="160"/>
      <c r="F58" s="161"/>
      <c r="G58" s="162"/>
      <c r="H58" s="163"/>
    </row>
    <row r="59" ht="15.75" customHeight="1">
      <c r="A59" s="36">
        <v>58.0</v>
      </c>
      <c r="B59" s="159" t="s">
        <v>5027</v>
      </c>
      <c r="D59" s="163"/>
      <c r="E59" s="160"/>
      <c r="F59" s="161"/>
      <c r="G59" s="162"/>
      <c r="H59" s="163"/>
    </row>
    <row r="60" ht="15.75" customHeight="1">
      <c r="A60" s="36">
        <v>59.0</v>
      </c>
      <c r="B60" s="159" t="s">
        <v>5028</v>
      </c>
      <c r="D60" s="163"/>
      <c r="E60" s="160"/>
      <c r="F60" s="161"/>
      <c r="G60" s="162"/>
      <c r="H60" s="163"/>
    </row>
    <row r="61" ht="15.75" customHeight="1">
      <c r="A61" s="36">
        <v>60.0</v>
      </c>
      <c r="B61" s="159" t="s">
        <v>5029</v>
      </c>
      <c r="D61" s="163"/>
      <c r="E61" s="160"/>
      <c r="F61" s="161"/>
      <c r="G61" s="162"/>
      <c r="H61" s="163"/>
    </row>
    <row r="62" ht="15.75" customHeight="1">
      <c r="A62" s="36">
        <v>61.0</v>
      </c>
      <c r="B62" s="159" t="s">
        <v>5030</v>
      </c>
      <c r="D62" s="163"/>
      <c r="E62" s="160"/>
      <c r="F62" s="161"/>
      <c r="G62" s="162"/>
      <c r="H62" s="163"/>
    </row>
    <row r="63" ht="15.75" customHeight="1">
      <c r="A63" s="36">
        <v>62.0</v>
      </c>
      <c r="B63" s="159" t="s">
        <v>5031</v>
      </c>
      <c r="D63" s="163"/>
      <c r="E63" s="160"/>
      <c r="F63" s="161"/>
      <c r="G63" s="162"/>
      <c r="H63" s="163"/>
    </row>
    <row r="64" ht="15.75" customHeight="1">
      <c r="A64" s="36">
        <v>63.0</v>
      </c>
      <c r="B64" s="159" t="s">
        <v>5032</v>
      </c>
      <c r="D64" s="163"/>
      <c r="E64" s="160"/>
      <c r="F64" s="161"/>
      <c r="G64" s="162"/>
      <c r="H64" s="163"/>
    </row>
    <row r="65" ht="15.75" customHeight="1">
      <c r="A65" s="36">
        <v>64.0</v>
      </c>
      <c r="B65" s="159" t="s">
        <v>5033</v>
      </c>
      <c r="D65" s="163"/>
      <c r="E65" s="160"/>
      <c r="F65" s="161"/>
      <c r="G65" s="162"/>
      <c r="H65" s="163"/>
    </row>
    <row r="66" ht="15.75" customHeight="1">
      <c r="A66" s="36">
        <v>65.0</v>
      </c>
      <c r="B66" s="159" t="s">
        <v>5034</v>
      </c>
      <c r="D66" s="163"/>
      <c r="E66" s="160"/>
      <c r="F66" s="161"/>
      <c r="G66" s="162"/>
      <c r="H66" s="163"/>
    </row>
    <row r="67" ht="15.75" customHeight="1">
      <c r="A67" s="36">
        <v>66.0</v>
      </c>
      <c r="B67" s="159" t="s">
        <v>5035</v>
      </c>
      <c r="D67" s="163"/>
      <c r="E67" s="160"/>
      <c r="F67" s="161"/>
      <c r="G67" s="162"/>
      <c r="H67" s="163"/>
    </row>
    <row r="68" ht="15.75" customHeight="1">
      <c r="A68" s="36">
        <v>67.0</v>
      </c>
      <c r="B68" s="159" t="s">
        <v>5036</v>
      </c>
      <c r="D68" s="163"/>
      <c r="E68" s="160"/>
      <c r="F68" s="161"/>
      <c r="G68" s="162"/>
      <c r="H68" s="163"/>
    </row>
    <row r="69" ht="15.75" customHeight="1">
      <c r="A69" s="36">
        <v>68.0</v>
      </c>
      <c r="B69" s="159" t="s">
        <v>5037</v>
      </c>
      <c r="D69" s="163"/>
      <c r="E69" s="160"/>
      <c r="F69" s="161"/>
      <c r="G69" s="162"/>
      <c r="H69" s="163"/>
    </row>
    <row r="70" ht="15.75" customHeight="1">
      <c r="A70" s="36">
        <v>69.0</v>
      </c>
      <c r="B70" s="159" t="s">
        <v>5038</v>
      </c>
      <c r="D70" s="163"/>
      <c r="E70" s="160"/>
      <c r="F70" s="161"/>
      <c r="G70" s="162"/>
      <c r="H70" s="163"/>
    </row>
    <row r="71" ht="15.75" customHeight="1">
      <c r="A71" s="36">
        <v>70.0</v>
      </c>
      <c r="B71" s="164" t="s">
        <v>5039</v>
      </c>
      <c r="D71" s="16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8">
    <cfRule type="notContainsBlanks" dxfId="0" priority="1">
      <formula>LEN(TRIM(D8))&gt;0</formula>
    </cfRule>
  </conditionalFormatting>
  <hyperlinks>
    <hyperlink r:id="rId1" ref="C2"/>
    <hyperlink r:id="rId2" ref="B3"/>
    <hyperlink r:id="rId3" ref="C3"/>
    <hyperlink r:id="rId4" ref="C4"/>
    <hyperlink r:id="rId5" ref="C6"/>
    <hyperlink r:id="rId6" ref="B16"/>
    <hyperlink r:id="rId7" ref="B17"/>
    <hyperlink r:id="rId8" ref="B18"/>
    <hyperlink r:id="rId9" ref="B19"/>
    <hyperlink r:id="rId10" ref="B20"/>
    <hyperlink r:id="rId11" ref="B21"/>
    <hyperlink r:id="rId12" ref="B22"/>
    <hyperlink r:id="rId13" ref="B23"/>
    <hyperlink r:id="rId14" ref="B24"/>
    <hyperlink r:id="rId15" ref="B25"/>
    <hyperlink r:id="rId16" ref="B26"/>
    <hyperlink r:id="rId17" ref="B27"/>
    <hyperlink r:id="rId18" ref="B28"/>
    <hyperlink r:id="rId19" ref="B40"/>
    <hyperlink r:id="rId20" ref="B41"/>
    <hyperlink r:id="rId21" ref="B42"/>
    <hyperlink r:id="rId22" ref="B43"/>
    <hyperlink r:id="rId23" ref="B44"/>
    <hyperlink r:id="rId24" ref="B45"/>
    <hyperlink r:id="rId25" ref="B46"/>
    <hyperlink r:id="rId26" ref="B47"/>
    <hyperlink r:id="rId27" ref="B48"/>
    <hyperlink r:id="rId28" ref="B49"/>
    <hyperlink r:id="rId29" ref="B50"/>
    <hyperlink r:id="rId30" ref="B51"/>
    <hyperlink r:id="rId31" ref="B52"/>
    <hyperlink r:id="rId32" ref="B53"/>
    <hyperlink r:id="rId33" ref="B54"/>
    <hyperlink r:id="rId34" ref="B55"/>
    <hyperlink r:id="rId35" ref="B56"/>
    <hyperlink r:id="rId36" ref="B57"/>
    <hyperlink r:id="rId37" ref="B58"/>
    <hyperlink r:id="rId38" ref="B59"/>
    <hyperlink r:id="rId39" ref="B60"/>
    <hyperlink r:id="rId40" ref="B61"/>
    <hyperlink r:id="rId41" ref="B62"/>
    <hyperlink r:id="rId42" ref="B63"/>
    <hyperlink r:id="rId43" ref="B64"/>
    <hyperlink r:id="rId44" ref="B65"/>
    <hyperlink r:id="rId45" ref="B66"/>
    <hyperlink r:id="rId46" ref="B67"/>
    <hyperlink r:id="rId47" ref="B68"/>
    <hyperlink r:id="rId48" ref="B69"/>
    <hyperlink r:id="rId49" ref="B70"/>
    <hyperlink r:id="rId50" ref="B71"/>
  </hyperlinks>
  <drawing r:id="rId5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  <pageSetUpPr/>
  </sheetPr>
  <sheetViews>
    <sheetView workbookViewId="0"/>
  </sheetViews>
  <sheetFormatPr customHeight="1" defaultColWidth="14.43" defaultRowHeight="15.0"/>
  <cols>
    <col customWidth="1" hidden="1" min="1" max="1" width="24.43"/>
    <col customWidth="1" min="2" max="2" width="22.14"/>
    <col customWidth="1" min="3" max="3" width="29.86"/>
    <col customWidth="1" min="4" max="4" width="17.29"/>
    <col customWidth="1" min="5" max="5" width="20.0"/>
    <col customWidth="1" min="6" max="6" width="14.43"/>
    <col customWidth="1" min="7" max="7" width="17.57"/>
    <col customWidth="1" hidden="1" min="10" max="10" width="14.43"/>
  </cols>
  <sheetData>
    <row r="1" ht="15.75" customHeight="1">
      <c r="A1" s="57" t="s">
        <v>5040</v>
      </c>
      <c r="B1" s="48" t="s">
        <v>5041</v>
      </c>
      <c r="C1" s="48" t="s">
        <v>5042</v>
      </c>
      <c r="D1" s="70" t="s">
        <v>5043</v>
      </c>
      <c r="E1" s="48" t="s">
        <v>885</v>
      </c>
      <c r="F1" s="48" t="s">
        <v>321</v>
      </c>
      <c r="G1" s="48"/>
    </row>
    <row r="2" ht="15.75" customHeight="1">
      <c r="A2" s="166">
        <v>43554.0</v>
      </c>
      <c r="B2" s="48" t="s">
        <v>4899</v>
      </c>
      <c r="C2" s="48"/>
      <c r="D2" s="142">
        <v>7.774773707903E12</v>
      </c>
      <c r="E2" s="83" t="s">
        <v>4871</v>
      </c>
      <c r="F2" s="48" t="s">
        <v>5044</v>
      </c>
      <c r="G2" s="48" t="s">
        <v>175</v>
      </c>
    </row>
    <row r="3" ht="15.75" customHeight="1">
      <c r="A3" s="166">
        <v>43554.0</v>
      </c>
      <c r="B3" s="48" t="s">
        <v>4900</v>
      </c>
      <c r="C3" s="48" t="s">
        <v>4901</v>
      </c>
      <c r="D3" s="142">
        <v>7.9637579139E10</v>
      </c>
      <c r="E3" s="83" t="s">
        <v>1097</v>
      </c>
      <c r="F3" s="48" t="s">
        <v>5044</v>
      </c>
      <c r="G3" s="48" t="s">
        <v>175</v>
      </c>
    </row>
    <row r="4" ht="15.75" customHeight="1">
      <c r="A4" s="166">
        <v>43554.0</v>
      </c>
      <c r="B4" s="48" t="s">
        <v>4902</v>
      </c>
      <c r="C4" s="48"/>
      <c r="D4" s="143">
        <v>7.9859707638E10</v>
      </c>
      <c r="E4" s="83" t="s">
        <v>3797</v>
      </c>
      <c r="F4" s="48" t="s">
        <v>5044</v>
      </c>
      <c r="G4" s="48" t="s">
        <v>175</v>
      </c>
    </row>
    <row r="5" ht="15.75" customHeight="1">
      <c r="A5" s="166">
        <v>43554.0</v>
      </c>
      <c r="B5" s="48" t="s">
        <v>4903</v>
      </c>
      <c r="C5" s="48" t="s">
        <v>4904</v>
      </c>
      <c r="D5" s="70">
        <v>7.926698757E10</v>
      </c>
      <c r="E5" s="83" t="s">
        <v>1097</v>
      </c>
      <c r="F5" s="48" t="s">
        <v>5044</v>
      </c>
      <c r="G5" s="48" t="s">
        <v>175</v>
      </c>
    </row>
    <row r="6" ht="15.75" customHeight="1">
      <c r="A6" s="166">
        <v>43554.0</v>
      </c>
      <c r="B6" s="48" t="s">
        <v>4905</v>
      </c>
      <c r="C6" s="48"/>
      <c r="D6" s="144">
        <v>9.715018129E11</v>
      </c>
      <c r="E6" s="83" t="s">
        <v>205</v>
      </c>
      <c r="F6" s="48" t="s">
        <v>5044</v>
      </c>
      <c r="G6" s="48" t="s">
        <v>175</v>
      </c>
    </row>
    <row r="7" ht="15.75" customHeight="1">
      <c r="A7" s="166">
        <v>43554.0</v>
      </c>
      <c r="B7" s="48" t="s">
        <v>4906</v>
      </c>
      <c r="C7" s="48"/>
      <c r="D7" s="142">
        <v>9.66550659988E11</v>
      </c>
      <c r="E7" s="83" t="s">
        <v>955</v>
      </c>
      <c r="F7" s="48"/>
      <c r="G7" s="48" t="s">
        <v>175</v>
      </c>
    </row>
    <row r="8" ht="15.75" customHeight="1">
      <c r="A8" s="166">
        <v>43554.0</v>
      </c>
      <c r="B8" s="48" t="s">
        <v>4907</v>
      </c>
      <c r="C8" s="48" t="s">
        <v>4908</v>
      </c>
      <c r="D8" s="142">
        <v>9.7150545492E11</v>
      </c>
      <c r="E8" s="83" t="s">
        <v>921</v>
      </c>
      <c r="F8" s="48" t="s">
        <v>565</v>
      </c>
      <c r="G8" s="48" t="s">
        <v>175</v>
      </c>
    </row>
    <row r="9" ht="15.75" customHeight="1">
      <c r="A9" s="166">
        <v>43554.0</v>
      </c>
      <c r="B9" s="48" t="s">
        <v>4909</v>
      </c>
      <c r="C9" s="48"/>
      <c r="D9" s="142">
        <v>7.7029992933E10</v>
      </c>
      <c r="E9" s="83" t="s">
        <v>4871</v>
      </c>
      <c r="F9" s="48" t="s">
        <v>565</v>
      </c>
      <c r="G9" s="48" t="s">
        <v>175</v>
      </c>
    </row>
    <row r="10" ht="15.75" customHeight="1">
      <c r="A10" s="166">
        <v>43554.0</v>
      </c>
      <c r="B10" s="48" t="s">
        <v>4910</v>
      </c>
      <c r="C10" s="48"/>
      <c r="D10" s="142">
        <v>9.71555555125E11</v>
      </c>
      <c r="E10" s="83"/>
      <c r="F10" s="48" t="s">
        <v>565</v>
      </c>
      <c r="G10" s="48" t="s">
        <v>175</v>
      </c>
    </row>
    <row r="11" ht="15.75" customHeight="1">
      <c r="A11" s="166">
        <v>43554.0</v>
      </c>
      <c r="B11" s="48" t="s">
        <v>4911</v>
      </c>
      <c r="C11" s="48"/>
      <c r="D11" s="142">
        <v>9.71506412311E11</v>
      </c>
      <c r="E11" s="83" t="s">
        <v>968</v>
      </c>
      <c r="F11" s="48" t="s">
        <v>565</v>
      </c>
      <c r="G11" s="48" t="s">
        <v>175</v>
      </c>
    </row>
    <row r="12" ht="15.75" customHeight="1">
      <c r="A12" s="166">
        <v>43554.0</v>
      </c>
      <c r="B12" s="48" t="s">
        <v>4912</v>
      </c>
      <c r="C12" s="48" t="s">
        <v>989</v>
      </c>
      <c r="D12" s="142">
        <v>3.1653978032E10</v>
      </c>
      <c r="E12" s="83"/>
      <c r="F12" s="48" t="s">
        <v>565</v>
      </c>
      <c r="G12" s="48" t="s">
        <v>175</v>
      </c>
      <c r="I12" s="36"/>
      <c r="J12" s="36"/>
      <c r="K12" s="167"/>
    </row>
    <row r="13" ht="15.75" customHeight="1">
      <c r="A13" s="166">
        <v>43554.0</v>
      </c>
      <c r="B13" s="48" t="s">
        <v>4913</v>
      </c>
      <c r="C13" s="48"/>
      <c r="D13" s="142">
        <v>9.71544405543E11</v>
      </c>
      <c r="E13" s="83" t="s">
        <v>109</v>
      </c>
      <c r="F13" s="48" t="s">
        <v>305</v>
      </c>
      <c r="G13" s="48" t="s">
        <v>175</v>
      </c>
      <c r="I13" s="36"/>
      <c r="K13" s="167"/>
    </row>
    <row r="14" ht="15.75" customHeight="1">
      <c r="A14" s="166">
        <v>43554.0</v>
      </c>
      <c r="B14" s="48" t="s">
        <v>4914</v>
      </c>
      <c r="C14" s="48" t="s">
        <v>4915</v>
      </c>
      <c r="D14" s="142">
        <v>9.66530772E11</v>
      </c>
      <c r="E14" s="83" t="s">
        <v>921</v>
      </c>
      <c r="F14" s="48" t="s">
        <v>305</v>
      </c>
      <c r="G14" s="48" t="s">
        <v>175</v>
      </c>
      <c r="I14" s="36"/>
      <c r="K14" s="36"/>
    </row>
    <row r="15" ht="15.75" customHeight="1">
      <c r="A15" s="166">
        <v>43554.0</v>
      </c>
      <c r="B15" s="48" t="s">
        <v>4916</v>
      </c>
      <c r="C15" s="48" t="s">
        <v>4917</v>
      </c>
      <c r="D15" s="142">
        <v>9.665474449E10</v>
      </c>
      <c r="E15" s="83" t="s">
        <v>921</v>
      </c>
      <c r="F15" s="48" t="s">
        <v>305</v>
      </c>
      <c r="G15" s="48" t="s">
        <v>175</v>
      </c>
      <c r="K15" s="36"/>
    </row>
    <row r="16" ht="15.75" customHeight="1">
      <c r="A16" s="166">
        <v>43554.0</v>
      </c>
      <c r="B16" s="48" t="s">
        <v>4918</v>
      </c>
      <c r="C16" s="48" t="s">
        <v>4919</v>
      </c>
      <c r="D16" s="142">
        <v>9.71557280728E11</v>
      </c>
      <c r="E16" s="83" t="s">
        <v>960</v>
      </c>
      <c r="F16" s="48" t="s">
        <v>305</v>
      </c>
      <c r="G16" s="48" t="s">
        <v>175</v>
      </c>
    </row>
    <row r="17" ht="15.75" customHeight="1">
      <c r="A17" s="166">
        <v>43554.0</v>
      </c>
      <c r="B17" s="48" t="s">
        <v>4920</v>
      </c>
      <c r="C17" s="48"/>
      <c r="D17" s="142">
        <v>9.66552535022E11</v>
      </c>
      <c r="E17" s="83" t="s">
        <v>921</v>
      </c>
      <c r="F17" s="48" t="s">
        <v>305</v>
      </c>
      <c r="G17" s="48" t="s">
        <v>175</v>
      </c>
    </row>
    <row r="18" ht="15.75" customHeight="1">
      <c r="A18" s="168">
        <v>43554.0</v>
      </c>
      <c r="B18" s="48" t="s">
        <v>4921</v>
      </c>
      <c r="C18" s="48" t="s">
        <v>4922</v>
      </c>
      <c r="D18" s="142">
        <v>9.71506260066E11</v>
      </c>
      <c r="E18" s="83" t="s">
        <v>109</v>
      </c>
      <c r="F18" s="48" t="s">
        <v>5045</v>
      </c>
      <c r="G18" s="48"/>
    </row>
    <row r="19" ht="15.75" customHeight="1">
      <c r="A19" s="166">
        <v>43554.0</v>
      </c>
      <c r="B19" s="48" t="s">
        <v>4923</v>
      </c>
      <c r="C19" s="48" t="s">
        <v>989</v>
      </c>
      <c r="D19" s="142">
        <v>9.16263833046E11</v>
      </c>
      <c r="E19" s="83"/>
      <c r="F19" s="48"/>
      <c r="G19" s="48" t="s">
        <v>175</v>
      </c>
    </row>
    <row r="20" ht="15.75" customHeight="1">
      <c r="A20" s="166">
        <v>43554.0</v>
      </c>
      <c r="B20" s="48" t="s">
        <v>4924</v>
      </c>
      <c r="C20" s="48"/>
      <c r="D20" s="142">
        <v>9.66534400587E11</v>
      </c>
      <c r="E20" s="83" t="s">
        <v>921</v>
      </c>
      <c r="F20" s="48"/>
      <c r="G20" s="48" t="s">
        <v>175</v>
      </c>
    </row>
    <row r="21" ht="15.75" customHeight="1">
      <c r="A21" s="166">
        <v>43554.0</v>
      </c>
      <c r="B21" s="48" t="s">
        <v>4925</v>
      </c>
      <c r="C21" s="48" t="s">
        <v>989</v>
      </c>
      <c r="D21" s="142">
        <v>8.9219950706E10</v>
      </c>
      <c r="E21" s="83"/>
      <c r="F21" s="48"/>
      <c r="G21" s="48" t="s">
        <v>175</v>
      </c>
    </row>
    <row r="22" ht="15.75" customHeight="1">
      <c r="A22" s="166">
        <v>43554.0</v>
      </c>
      <c r="B22" s="48" t="s">
        <v>3806</v>
      </c>
      <c r="C22" s="48"/>
      <c r="D22" s="142">
        <v>9.71558855648E11</v>
      </c>
      <c r="E22" s="83" t="s">
        <v>995</v>
      </c>
      <c r="F22" s="48" t="s">
        <v>864</v>
      </c>
      <c r="G22" s="48"/>
    </row>
    <row r="23" ht="15.75" customHeight="1">
      <c r="A23" s="168">
        <v>43554.0</v>
      </c>
      <c r="B23" s="48" t="s">
        <v>4926</v>
      </c>
      <c r="C23" s="48" t="s">
        <v>989</v>
      </c>
      <c r="D23" s="142">
        <v>9.1976761071E11</v>
      </c>
      <c r="E23" s="83" t="s">
        <v>5046</v>
      </c>
      <c r="F23" s="48"/>
      <c r="G23" s="48" t="s">
        <v>175</v>
      </c>
    </row>
    <row r="24" ht="15.75" customHeight="1">
      <c r="A24" s="166">
        <v>43554.0</v>
      </c>
      <c r="B24" s="48" t="s">
        <v>4927</v>
      </c>
      <c r="C24" s="48"/>
      <c r="D24" s="142">
        <v>7.7770130091E10</v>
      </c>
      <c r="E24" s="83" t="s">
        <v>4928</v>
      </c>
      <c r="F24" s="48" t="s">
        <v>482</v>
      </c>
      <c r="G24" s="48" t="s">
        <v>175</v>
      </c>
    </row>
    <row r="25" ht="15.75" customHeight="1">
      <c r="A25" s="166">
        <v>43554.0</v>
      </c>
      <c r="B25" s="48" t="s">
        <v>4929</v>
      </c>
      <c r="C25" s="48" t="s">
        <v>4930</v>
      </c>
      <c r="D25" s="142">
        <v>9.23008562232E11</v>
      </c>
      <c r="E25" s="83" t="s">
        <v>909</v>
      </c>
      <c r="F25" s="48"/>
      <c r="G25" s="48"/>
    </row>
    <row r="26" ht="15.75" customHeight="1">
      <c r="A26" s="166">
        <v>43554.0</v>
      </c>
      <c r="B26" s="48" t="s">
        <v>4931</v>
      </c>
      <c r="C26" s="48" t="s">
        <v>989</v>
      </c>
      <c r="D26" s="142">
        <v>3.93357722159E11</v>
      </c>
      <c r="E26" s="83"/>
      <c r="F26" s="48"/>
      <c r="G26" s="48"/>
    </row>
    <row r="27" ht="15.75" customHeight="1">
      <c r="A27" s="166">
        <v>43554.0</v>
      </c>
      <c r="B27" s="48" t="s">
        <v>4932</v>
      </c>
      <c r="C27" s="48" t="s">
        <v>4933</v>
      </c>
      <c r="D27" s="142"/>
      <c r="E27" s="83"/>
      <c r="F27" s="48"/>
      <c r="G27" s="48"/>
    </row>
    <row r="28" ht="15.75" customHeight="1">
      <c r="A28" s="166">
        <v>43554.0</v>
      </c>
      <c r="B28" s="48" t="s">
        <v>4934</v>
      </c>
      <c r="C28" s="48" t="s">
        <v>4935</v>
      </c>
      <c r="D28" s="142"/>
      <c r="E28" s="83" t="s">
        <v>5047</v>
      </c>
      <c r="F28" s="48"/>
      <c r="G28" s="48"/>
    </row>
    <row r="29" ht="15.75" customHeight="1">
      <c r="A29" s="166">
        <v>43554.0</v>
      </c>
      <c r="B29" s="48" t="s">
        <v>4936</v>
      </c>
      <c r="C29" s="48" t="s">
        <v>4937</v>
      </c>
      <c r="D29" s="142"/>
      <c r="E29" s="83" t="s">
        <v>5047</v>
      </c>
      <c r="F29" s="48"/>
      <c r="G29" s="48"/>
      <c r="J29" s="169">
        <v>9.0850560075E11</v>
      </c>
    </row>
    <row r="30" ht="15.75" customHeight="1">
      <c r="A30" s="166">
        <v>43554.0</v>
      </c>
      <c r="B30" s="48" t="s">
        <v>4938</v>
      </c>
      <c r="C30" s="48"/>
      <c r="D30" s="142">
        <v>1.706565065E9</v>
      </c>
      <c r="E30" s="83" t="s">
        <v>5047</v>
      </c>
      <c r="F30" s="48"/>
      <c r="G30" s="48"/>
      <c r="J30" s="169">
        <v>9.96541779922E11</v>
      </c>
    </row>
    <row r="31" ht="15.75" customHeight="1">
      <c r="A31" s="166">
        <v>43554.0</v>
      </c>
      <c r="B31" s="48" t="s">
        <v>4939</v>
      </c>
      <c r="C31" s="48"/>
      <c r="D31" s="142">
        <v>4.47411906649E11</v>
      </c>
      <c r="E31" s="83" t="s">
        <v>5047</v>
      </c>
      <c r="F31" s="48"/>
      <c r="G31" s="48"/>
      <c r="J31" s="169">
        <v>1.289189944E9</v>
      </c>
    </row>
    <row r="32" ht="15.75" customHeight="1">
      <c r="A32" s="166">
        <v>43554.0</v>
      </c>
      <c r="B32" s="48" t="s">
        <v>4940</v>
      </c>
      <c r="C32" s="48"/>
      <c r="D32" s="142">
        <v>9.19820608248E11</v>
      </c>
      <c r="E32" s="83" t="s">
        <v>5047</v>
      </c>
      <c r="F32" s="48"/>
      <c r="G32" s="48"/>
    </row>
    <row r="33" ht="15.75" customHeight="1">
      <c r="A33" s="166">
        <v>43554.0</v>
      </c>
      <c r="B33" s="48" t="s">
        <v>4941</v>
      </c>
      <c r="C33" s="48" t="s">
        <v>4942</v>
      </c>
      <c r="D33" s="142">
        <v>3.33408575044E11</v>
      </c>
      <c r="E33" s="83" t="s">
        <v>5047</v>
      </c>
      <c r="F33" s="48"/>
      <c r="G33" s="48"/>
    </row>
    <row r="34" ht="15.75" customHeight="1">
      <c r="A34" s="166">
        <v>43554.0</v>
      </c>
      <c r="B34" s="48" t="s">
        <v>4943</v>
      </c>
      <c r="C34" s="48" t="s">
        <v>4944</v>
      </c>
      <c r="D34" s="142">
        <v>3.8641509732E10</v>
      </c>
      <c r="E34" s="83" t="s">
        <v>5047</v>
      </c>
      <c r="F34" s="48"/>
      <c r="G34" s="48"/>
    </row>
    <row r="35" ht="15.75" customHeight="1">
      <c r="A35" s="166">
        <v>43554.0</v>
      </c>
      <c r="B35" s="48" t="s">
        <v>4945</v>
      </c>
      <c r="C35" s="48"/>
      <c r="D35" s="142">
        <v>9.66555509081E11</v>
      </c>
      <c r="E35" s="83" t="s">
        <v>1541</v>
      </c>
      <c r="F35" s="48"/>
      <c r="G35" s="48"/>
    </row>
    <row r="36" ht="15.75" customHeight="1">
      <c r="A36" s="166">
        <v>43554.0</v>
      </c>
      <c r="B36" s="48" t="s">
        <v>4946</v>
      </c>
      <c r="C36" s="48"/>
      <c r="D36" s="142">
        <v>9.66553455543E11</v>
      </c>
      <c r="E36" s="83" t="s">
        <v>1541</v>
      </c>
      <c r="F36" s="48"/>
      <c r="G36" s="48"/>
    </row>
    <row r="37" ht="15.75" customHeight="1">
      <c r="A37" s="166">
        <v>43554.0</v>
      </c>
      <c r="B37" s="48" t="s">
        <v>4947</v>
      </c>
      <c r="C37" s="48"/>
      <c r="D37" s="142">
        <v>9.66544397272E11</v>
      </c>
      <c r="E37" s="83" t="s">
        <v>1541</v>
      </c>
      <c r="F37" s="48"/>
      <c r="G37" s="48"/>
    </row>
    <row r="38" ht="15.75" customHeight="1">
      <c r="A38" s="166">
        <v>43554.0</v>
      </c>
      <c r="B38" s="48" t="s">
        <v>4948</v>
      </c>
      <c r="C38" s="48" t="s">
        <v>4949</v>
      </c>
      <c r="D38" s="142">
        <v>9.66540949488E11</v>
      </c>
      <c r="E38" s="83" t="s">
        <v>1541</v>
      </c>
      <c r="F38" s="48"/>
      <c r="G38" s="48"/>
    </row>
    <row r="39" ht="15.75" customHeight="1">
      <c r="A39" s="166">
        <v>43554.0</v>
      </c>
      <c r="B39" s="48" t="s">
        <v>4950</v>
      </c>
      <c r="C39" s="48" t="s">
        <v>4951</v>
      </c>
      <c r="D39" s="142">
        <v>9.6597956688E10</v>
      </c>
      <c r="E39" s="83" t="s">
        <v>1541</v>
      </c>
      <c r="F39" s="48"/>
      <c r="G39" s="48"/>
    </row>
    <row r="40" ht="15.75" customHeight="1">
      <c r="A40" s="168">
        <v>43554.0</v>
      </c>
      <c r="B40" s="48" t="s">
        <v>4952</v>
      </c>
      <c r="C40" s="48"/>
      <c r="D40" s="70">
        <v>9.71563204135E11</v>
      </c>
      <c r="E40" s="48" t="s">
        <v>864</v>
      </c>
      <c r="F40" s="48"/>
      <c r="G40" s="48"/>
    </row>
    <row r="41" ht="15.75" customHeight="1">
      <c r="A41" s="166">
        <v>43554.0</v>
      </c>
      <c r="B41" s="48" t="s">
        <v>4953</v>
      </c>
      <c r="C41" s="48"/>
      <c r="D41" s="70">
        <v>1.289189944E9</v>
      </c>
      <c r="E41" s="48" t="s">
        <v>367</v>
      </c>
      <c r="F41" s="48"/>
      <c r="G41" s="48"/>
    </row>
    <row r="42" ht="15.75" customHeight="1">
      <c r="A42" s="166">
        <v>43554.0</v>
      </c>
      <c r="B42" s="48" t="s">
        <v>4954</v>
      </c>
      <c r="C42" s="48"/>
      <c r="D42" s="70">
        <v>3.2495264698E10</v>
      </c>
      <c r="E42" s="48" t="s">
        <v>5047</v>
      </c>
      <c r="F42" s="48"/>
      <c r="G42" s="48"/>
    </row>
    <row r="43" ht="15.75" customHeight="1">
      <c r="A43" s="166">
        <v>43554.0</v>
      </c>
      <c r="B43" s="48" t="s">
        <v>4955</v>
      </c>
      <c r="C43" s="48"/>
      <c r="D43" s="70">
        <v>1.73322077285E11</v>
      </c>
      <c r="E43" s="48" t="s">
        <v>5047</v>
      </c>
      <c r="F43" s="48"/>
      <c r="G43" s="48"/>
    </row>
    <row r="44" ht="15.75" customHeight="1">
      <c r="A44" s="166">
        <v>43554.0</v>
      </c>
      <c r="B44" s="48" t="s">
        <v>4956</v>
      </c>
      <c r="C44" s="48" t="s">
        <v>4957</v>
      </c>
      <c r="D44" s="70">
        <v>9.0850560075E11</v>
      </c>
      <c r="E44" s="48" t="s">
        <v>5047</v>
      </c>
      <c r="F44" s="48"/>
      <c r="G44" s="48"/>
    </row>
    <row r="45" ht="15.75" customHeight="1">
      <c r="A45" s="166">
        <v>43554.0</v>
      </c>
      <c r="B45" s="48" t="s">
        <v>4958</v>
      </c>
      <c r="C45" s="48"/>
      <c r="D45" s="70">
        <v>9.96541779922E11</v>
      </c>
      <c r="E45" s="48" t="s">
        <v>5047</v>
      </c>
      <c r="F45" s="48"/>
      <c r="G45" s="48"/>
    </row>
    <row r="46" ht="15.75" customHeight="1">
      <c r="A46" s="166">
        <v>43554.0</v>
      </c>
      <c r="B46" s="48" t="s">
        <v>4959</v>
      </c>
      <c r="C46" s="48"/>
      <c r="D46" s="70">
        <v>7.7071076141E10</v>
      </c>
      <c r="E46" s="48" t="s">
        <v>864</v>
      </c>
      <c r="F46" s="48"/>
      <c r="G46" s="48"/>
    </row>
    <row r="47" ht="15.75" customHeight="1">
      <c r="A47" s="166">
        <v>43554.0</v>
      </c>
      <c r="B47" s="48" t="s">
        <v>4960</v>
      </c>
      <c r="C47" s="48"/>
      <c r="D47" s="70">
        <v>9.7154407935E11</v>
      </c>
      <c r="E47" s="48" t="s">
        <v>5048</v>
      </c>
      <c r="F47" s="48"/>
      <c r="G47" s="48"/>
    </row>
    <row r="48" ht="15.75" customHeight="1">
      <c r="A48" s="166">
        <v>43554.0</v>
      </c>
      <c r="B48" s="48" t="s">
        <v>4961</v>
      </c>
      <c r="C48" s="48"/>
      <c r="D48" s="70">
        <v>4.6733442705E10</v>
      </c>
      <c r="E48" s="48" t="s">
        <v>5048</v>
      </c>
      <c r="F48" s="48"/>
      <c r="G48" s="48"/>
    </row>
    <row r="49" ht="15.75" customHeight="1">
      <c r="A49" s="166">
        <v>43554.0</v>
      </c>
      <c r="B49" s="48" t="s">
        <v>4227</v>
      </c>
      <c r="C49" s="48"/>
      <c r="D49" s="70">
        <v>9.71509231169E11</v>
      </c>
      <c r="E49" s="48" t="s">
        <v>5048</v>
      </c>
      <c r="F49" s="48"/>
      <c r="G49" s="48"/>
    </row>
    <row r="50" ht="15.75" customHeight="1">
      <c r="A50" s="166">
        <v>43554.0</v>
      </c>
      <c r="B50" s="48" t="s">
        <v>4962</v>
      </c>
      <c r="C50" s="48"/>
      <c r="D50" s="70">
        <v>4.917623296166E12</v>
      </c>
      <c r="E50" s="48" t="s">
        <v>5048</v>
      </c>
      <c r="F50" s="48"/>
      <c r="G50" s="48"/>
    </row>
    <row r="51" ht="15.75" customHeight="1">
      <c r="A51" s="166">
        <v>43554.0</v>
      </c>
      <c r="B51" s="48" t="s">
        <v>4963</v>
      </c>
      <c r="C51" s="48"/>
      <c r="D51" s="70">
        <v>8.9098541955E10</v>
      </c>
      <c r="E51" s="48" t="s">
        <v>5048</v>
      </c>
      <c r="F51" s="48"/>
      <c r="G51" s="48"/>
    </row>
    <row r="52" ht="15.75" customHeight="1">
      <c r="A52" s="166">
        <v>43554.0</v>
      </c>
      <c r="B52" s="48" t="s">
        <v>4964</v>
      </c>
      <c r="C52" s="48"/>
      <c r="D52" s="70">
        <v>9.6892321514E10</v>
      </c>
      <c r="E52" s="48" t="s">
        <v>5049</v>
      </c>
      <c r="F52" s="48"/>
      <c r="G52" s="48"/>
    </row>
    <row r="53" ht="15.75" customHeight="1">
      <c r="A53" s="166">
        <v>43554.0</v>
      </c>
      <c r="B53" s="48" t="s">
        <v>4965</v>
      </c>
      <c r="C53" s="48"/>
      <c r="D53" s="70">
        <v>2.13550556333E11</v>
      </c>
      <c r="E53" s="48" t="s">
        <v>5049</v>
      </c>
      <c r="F53" s="48"/>
      <c r="G53" s="48"/>
    </row>
    <row r="54" ht="15.75" customHeight="1">
      <c r="A54" s="166">
        <v>43554.0</v>
      </c>
      <c r="B54" s="48" t="s">
        <v>4966</v>
      </c>
      <c r="C54" s="48"/>
      <c r="D54" s="70">
        <v>3.3651820238E10</v>
      </c>
      <c r="E54" s="48" t="s">
        <v>5050</v>
      </c>
      <c r="F54" s="48"/>
      <c r="G54" s="48"/>
      <c r="J54" s="169"/>
    </row>
    <row r="55" ht="15.75" customHeight="1">
      <c r="A55" s="166">
        <v>43554.0</v>
      </c>
      <c r="B55" s="48" t="s">
        <v>4967</v>
      </c>
      <c r="C55" s="48"/>
      <c r="D55" s="70">
        <v>2.1226141079E10</v>
      </c>
      <c r="E55" s="48" t="s">
        <v>5050</v>
      </c>
      <c r="F55" s="48"/>
      <c r="G55" s="48"/>
    </row>
    <row r="56" ht="15.75" customHeight="1">
      <c r="A56" s="166">
        <v>43554.0</v>
      </c>
      <c r="B56" s="48" t="s">
        <v>4968</v>
      </c>
      <c r="C56" s="48"/>
      <c r="D56" s="70">
        <v>2.348060299137E12</v>
      </c>
      <c r="E56" s="48" t="s">
        <v>5049</v>
      </c>
      <c r="F56" s="48"/>
      <c r="G56" s="48"/>
    </row>
    <row r="57" ht="15.75" customHeight="1">
      <c r="A57" s="166">
        <v>43554.0</v>
      </c>
      <c r="B57" s="48" t="s">
        <v>4969</v>
      </c>
      <c r="C57" s="48"/>
      <c r="D57" s="70"/>
      <c r="E57" s="48"/>
      <c r="F57" s="48"/>
      <c r="G57" s="48"/>
    </row>
    <row r="58" ht="15.75" customHeight="1">
      <c r="A58" s="166">
        <v>43554.0</v>
      </c>
      <c r="B58" s="48" t="s">
        <v>4190</v>
      </c>
      <c r="C58" s="48"/>
      <c r="D58" s="70">
        <v>9.6659888883E11</v>
      </c>
      <c r="E58" s="48"/>
      <c r="F58" s="48"/>
      <c r="G58" s="48"/>
    </row>
    <row r="59" ht="15.75" customHeight="1">
      <c r="A59" s="166">
        <v>43558.0</v>
      </c>
      <c r="B59" s="48" t="s">
        <v>5051</v>
      </c>
      <c r="C59" s="48" t="s">
        <v>5052</v>
      </c>
      <c r="D59" s="70">
        <v>9.19819836577E11</v>
      </c>
      <c r="E59" s="48" t="s">
        <v>5047</v>
      </c>
      <c r="F59" s="48"/>
      <c r="G59" s="48"/>
    </row>
    <row r="60" ht="15.75" customHeight="1">
      <c r="A60" s="166">
        <v>43558.0</v>
      </c>
      <c r="B60" s="48" t="s">
        <v>5053</v>
      </c>
      <c r="C60" s="48"/>
      <c r="D60" s="70" t="s">
        <v>5054</v>
      </c>
      <c r="E60" s="48"/>
      <c r="F60" s="48"/>
      <c r="G60" s="48"/>
    </row>
    <row r="61" ht="15.75" customHeight="1">
      <c r="A61" s="166">
        <v>43558.0</v>
      </c>
      <c r="B61" s="48" t="s">
        <v>5055</v>
      </c>
      <c r="C61" s="48" t="s">
        <v>5056</v>
      </c>
      <c r="D61" s="70">
        <v>9.8912386914E10</v>
      </c>
      <c r="E61" s="48"/>
      <c r="F61" s="48"/>
      <c r="G61" s="48"/>
    </row>
    <row r="62" ht="15.75" customHeight="1">
      <c r="A62" s="166">
        <v>43558.0</v>
      </c>
      <c r="B62" s="48" t="s">
        <v>5057</v>
      </c>
      <c r="C62" s="48" t="s">
        <v>5058</v>
      </c>
      <c r="D62" s="70">
        <v>7.9219566266E10</v>
      </c>
      <c r="E62" s="48" t="s">
        <v>864</v>
      </c>
      <c r="F62" s="48"/>
      <c r="G62" s="48"/>
    </row>
    <row r="63" ht="15.75" customHeight="1">
      <c r="A63" s="166">
        <v>43558.0</v>
      </c>
      <c r="B63" s="48" t="s">
        <v>5059</v>
      </c>
      <c r="C63" s="48"/>
      <c r="D63" s="70">
        <v>9.665667775001E12</v>
      </c>
      <c r="E63" s="48"/>
      <c r="F63" s="48"/>
      <c r="G63" s="48"/>
    </row>
    <row r="64" ht="15.75" customHeight="1">
      <c r="A64" s="166">
        <v>43558.0</v>
      </c>
      <c r="B64" s="48" t="s">
        <v>5060</v>
      </c>
      <c r="C64" s="48"/>
      <c r="D64" s="70">
        <v>4.47445385392E11</v>
      </c>
      <c r="E64" s="48" t="s">
        <v>535</v>
      </c>
      <c r="F64" s="48"/>
      <c r="G64" s="48"/>
    </row>
    <row r="65" ht="15.75" customHeight="1">
      <c r="A65" s="166">
        <v>43558.0</v>
      </c>
      <c r="B65" s="48" t="s">
        <v>5061</v>
      </c>
      <c r="C65" s="48"/>
      <c r="D65" s="70">
        <v>4.47812012205E11</v>
      </c>
      <c r="E65" s="48" t="s">
        <v>535</v>
      </c>
      <c r="F65" s="48"/>
      <c r="G65" s="48"/>
    </row>
    <row r="66" ht="15.75" customHeight="1">
      <c r="A66" s="166">
        <v>43558.0</v>
      </c>
      <c r="B66" s="48" t="s">
        <v>5062</v>
      </c>
      <c r="C66" s="48" t="s">
        <v>5063</v>
      </c>
      <c r="D66" s="70">
        <v>5.66754034E8</v>
      </c>
      <c r="E66" s="48" t="s">
        <v>535</v>
      </c>
      <c r="F66" s="48"/>
      <c r="G66" s="48"/>
    </row>
    <row r="67" ht="15.75" customHeight="1">
      <c r="A67" s="166">
        <v>43558.0</v>
      </c>
      <c r="B67" s="48" t="s">
        <v>5064</v>
      </c>
      <c r="C67" s="48"/>
      <c r="D67" s="70">
        <v>4.47956450477E11</v>
      </c>
      <c r="E67" s="48" t="s">
        <v>535</v>
      </c>
      <c r="F67" s="48"/>
      <c r="G67" s="48"/>
    </row>
    <row r="68" ht="15.75" customHeight="1">
      <c r="A68" s="166">
        <v>43558.0</v>
      </c>
      <c r="B68" s="48" t="s">
        <v>5065</v>
      </c>
      <c r="C68" s="48"/>
      <c r="D68" s="70">
        <v>9.66591499954E11</v>
      </c>
      <c r="E68" s="48" t="s">
        <v>535</v>
      </c>
      <c r="F68" s="48"/>
      <c r="G68" s="48"/>
    </row>
    <row r="69" ht="15.75" customHeight="1">
      <c r="A69" s="166">
        <v>43558.0</v>
      </c>
      <c r="B69" s="48" t="s">
        <v>5066</v>
      </c>
      <c r="C69" s="48"/>
      <c r="D69" s="70">
        <v>4.417942207717E12</v>
      </c>
      <c r="E69" s="48"/>
      <c r="F69" s="48"/>
      <c r="G69" s="48"/>
    </row>
    <row r="70" ht="15.75" customHeight="1">
      <c r="A70" s="168">
        <v>43558.0</v>
      </c>
      <c r="B70" s="48" t="s">
        <v>5067</v>
      </c>
      <c r="C70" s="48"/>
      <c r="D70" s="70">
        <v>9.71544438177E11</v>
      </c>
      <c r="E70" s="48" t="s">
        <v>5046</v>
      </c>
      <c r="F70" s="48"/>
      <c r="G70" s="48"/>
    </row>
    <row r="71" ht="15.75" customHeight="1">
      <c r="A71" s="166">
        <v>43558.0</v>
      </c>
      <c r="B71" s="48" t="s">
        <v>5068</v>
      </c>
      <c r="C71" s="48"/>
      <c r="D71" s="70">
        <v>7.9676736327E10</v>
      </c>
      <c r="E71" s="48" t="s">
        <v>5069</v>
      </c>
      <c r="F71" s="48"/>
      <c r="G71" s="48"/>
    </row>
    <row r="72" ht="15.75" customHeight="1">
      <c r="A72" s="166">
        <v>43558.0</v>
      </c>
      <c r="B72" s="170" t="s">
        <v>3795</v>
      </c>
      <c r="C72" s="170" t="s">
        <v>198</v>
      </c>
      <c r="D72" s="171" t="s">
        <v>5070</v>
      </c>
      <c r="E72" s="91" t="s">
        <v>261</v>
      </c>
      <c r="F72" s="172"/>
      <c r="G72" s="48"/>
    </row>
    <row r="73" ht="15.75" customHeight="1">
      <c r="A73" s="166">
        <v>43558.0</v>
      </c>
      <c r="B73" s="170" t="s">
        <v>3798</v>
      </c>
      <c r="C73" s="170" t="s">
        <v>3799</v>
      </c>
      <c r="D73" s="171" t="s">
        <v>5071</v>
      </c>
      <c r="E73" s="91" t="s">
        <v>261</v>
      </c>
      <c r="F73" s="172"/>
      <c r="G73" s="48"/>
    </row>
    <row r="74" ht="15.75" customHeight="1">
      <c r="A74" s="166">
        <v>43558.0</v>
      </c>
      <c r="B74" s="170" t="s">
        <v>3801</v>
      </c>
      <c r="C74" s="170" t="s">
        <v>3802</v>
      </c>
      <c r="D74" s="171" t="s">
        <v>5072</v>
      </c>
      <c r="E74" s="91" t="s">
        <v>261</v>
      </c>
      <c r="F74" s="172"/>
      <c r="G74" s="48"/>
    </row>
    <row r="75" ht="15.75" customHeight="1">
      <c r="A75" s="166">
        <v>43558.0</v>
      </c>
      <c r="B75" s="170" t="s">
        <v>3804</v>
      </c>
      <c r="C75" s="170" t="s">
        <v>478</v>
      </c>
      <c r="D75" s="171" t="s">
        <v>5073</v>
      </c>
      <c r="E75" s="91" t="s">
        <v>261</v>
      </c>
      <c r="F75" s="91"/>
      <c r="G75" s="48"/>
    </row>
    <row r="76" ht="15.75" customHeight="1">
      <c r="A76" s="166">
        <v>43558.0</v>
      </c>
      <c r="B76" s="170" t="s">
        <v>3806</v>
      </c>
      <c r="C76" s="170" t="s">
        <v>1798</v>
      </c>
      <c r="D76" s="171" t="s">
        <v>5074</v>
      </c>
      <c r="E76" s="91" t="s">
        <v>261</v>
      </c>
      <c r="F76" s="172"/>
      <c r="G76" s="48"/>
    </row>
    <row r="77" ht="15.75" customHeight="1">
      <c r="A77" s="166">
        <v>43558.0</v>
      </c>
      <c r="B77" s="106" t="s">
        <v>2562</v>
      </c>
      <c r="C77" s="106" t="s">
        <v>2563</v>
      </c>
      <c r="D77" s="173" t="s">
        <v>5075</v>
      </c>
      <c r="E77" s="91" t="s">
        <v>5076</v>
      </c>
      <c r="F77" s="172"/>
      <c r="G77" s="48"/>
    </row>
    <row r="78" ht="15.75" customHeight="1">
      <c r="A78" s="166">
        <v>43558.0</v>
      </c>
      <c r="B78" s="106" t="s">
        <v>2565</v>
      </c>
      <c r="C78" s="106" t="s">
        <v>2566</v>
      </c>
      <c r="D78" s="173" t="s">
        <v>5077</v>
      </c>
      <c r="E78" s="91" t="s">
        <v>5076</v>
      </c>
      <c r="F78" s="172"/>
      <c r="G78" s="48"/>
    </row>
    <row r="79" ht="15.75" customHeight="1">
      <c r="A79" s="166">
        <v>43558.0</v>
      </c>
      <c r="B79" s="106" t="s">
        <v>2568</v>
      </c>
      <c r="C79" s="106" t="s">
        <v>2569</v>
      </c>
      <c r="D79" s="173" t="s">
        <v>5078</v>
      </c>
      <c r="E79" s="91" t="s">
        <v>5076</v>
      </c>
      <c r="F79" s="172"/>
      <c r="G79" s="48"/>
    </row>
    <row r="80" ht="15.75" customHeight="1">
      <c r="A80" s="166">
        <v>43558.0</v>
      </c>
      <c r="B80" s="106" t="s">
        <v>5079</v>
      </c>
      <c r="C80" s="106" t="s">
        <v>5080</v>
      </c>
      <c r="D80" s="173" t="s">
        <v>5081</v>
      </c>
      <c r="E80" s="91" t="s">
        <v>5076</v>
      </c>
      <c r="F80" s="172"/>
      <c r="G80" s="48"/>
    </row>
    <row r="81" ht="15.75" customHeight="1">
      <c r="A81" s="166">
        <v>43558.0</v>
      </c>
      <c r="B81" s="106" t="s">
        <v>2574</v>
      </c>
      <c r="C81" s="106" t="s">
        <v>2575</v>
      </c>
      <c r="D81" s="173" t="s">
        <v>5082</v>
      </c>
      <c r="E81" s="91" t="s">
        <v>5076</v>
      </c>
      <c r="F81" s="172"/>
      <c r="G81" s="48"/>
    </row>
    <row r="82" ht="15.75" customHeight="1">
      <c r="A82" s="166">
        <v>43558.0</v>
      </c>
      <c r="B82" s="106" t="s">
        <v>2441</v>
      </c>
      <c r="C82" s="91"/>
      <c r="D82" s="173" t="s">
        <v>5083</v>
      </c>
      <c r="E82" s="170"/>
      <c r="F82" s="91"/>
      <c r="G82" s="91"/>
    </row>
    <row r="83" ht="15.75" customHeight="1">
      <c r="A83" s="166">
        <v>43558.0</v>
      </c>
      <c r="B83" s="106" t="s">
        <v>4309</v>
      </c>
      <c r="C83" s="91"/>
      <c r="D83" s="173" t="s">
        <v>5084</v>
      </c>
      <c r="E83" s="170"/>
      <c r="F83" s="172"/>
      <c r="G83" s="91"/>
    </row>
    <row r="84" ht="15.75" customHeight="1">
      <c r="A84" s="166">
        <v>43558.0</v>
      </c>
      <c r="B84" s="106" t="s">
        <v>4491</v>
      </c>
      <c r="C84" s="106" t="s">
        <v>4492</v>
      </c>
      <c r="D84" s="173" t="s">
        <v>5085</v>
      </c>
      <c r="E84" s="170"/>
      <c r="F84" s="172"/>
      <c r="G84" s="91"/>
    </row>
    <row r="85" ht="15.75" customHeight="1">
      <c r="A85" s="166">
        <v>43558.0</v>
      </c>
      <c r="B85" s="106" t="s">
        <v>2505</v>
      </c>
      <c r="C85" s="91"/>
      <c r="D85" s="173" t="s">
        <v>5086</v>
      </c>
      <c r="E85" s="170"/>
      <c r="F85" s="172"/>
      <c r="G85" s="91"/>
    </row>
    <row r="86" ht="15.75" customHeight="1">
      <c r="A86" s="166">
        <v>43558.0</v>
      </c>
      <c r="B86" s="106" t="s">
        <v>2531</v>
      </c>
      <c r="C86" s="106" t="s">
        <v>2532</v>
      </c>
      <c r="D86" s="173" t="s">
        <v>5087</v>
      </c>
      <c r="E86" s="170"/>
      <c r="F86" s="172"/>
      <c r="G86" s="91"/>
    </row>
    <row r="87" ht="15.75" customHeight="1">
      <c r="A87" s="166"/>
      <c r="B87" s="174" t="s">
        <v>5088</v>
      </c>
      <c r="C87" s="155" t="s">
        <v>5089</v>
      </c>
      <c r="D87" s="107">
        <v>4.91603654753E11</v>
      </c>
      <c r="E87" s="175" t="s">
        <v>5090</v>
      </c>
      <c r="F87" s="175"/>
      <c r="G87" s="176" t="s">
        <v>5091</v>
      </c>
      <c r="H87" s="160"/>
      <c r="I87" s="161"/>
      <c r="J87" s="161">
        <v>43562.0</v>
      </c>
    </row>
    <row r="88" ht="15.75" customHeight="1">
      <c r="A88" s="166"/>
      <c r="B88" s="174" t="s">
        <v>5092</v>
      </c>
      <c r="C88" s="155" t="s">
        <v>5093</v>
      </c>
      <c r="D88" s="107">
        <f>+393482849903</f>
        <v>393482849903</v>
      </c>
      <c r="E88" s="177" t="s">
        <v>5090</v>
      </c>
      <c r="F88" s="175"/>
      <c r="G88" s="176" t="s">
        <v>5091</v>
      </c>
      <c r="H88" s="163"/>
      <c r="I88" s="160"/>
      <c r="J88" s="161">
        <v>43589.0</v>
      </c>
    </row>
    <row r="89" ht="15.75" customHeight="1">
      <c r="A89" s="166"/>
      <c r="B89" s="174" t="s">
        <v>5094</v>
      </c>
      <c r="C89" s="178" t="s">
        <v>5095</v>
      </c>
      <c r="D89" s="107">
        <v>9.66555241992E11</v>
      </c>
      <c r="E89" s="177" t="s">
        <v>5090</v>
      </c>
      <c r="F89" s="175"/>
      <c r="G89" s="176" t="s">
        <v>5091</v>
      </c>
      <c r="H89" s="163"/>
      <c r="I89" s="160"/>
      <c r="J89" s="161">
        <v>43589.0</v>
      </c>
    </row>
    <row r="90" ht="15.75" customHeight="1">
      <c r="A90" s="166"/>
      <c r="B90" s="174" t="s">
        <v>5096</v>
      </c>
      <c r="C90" s="155" t="s">
        <v>5097</v>
      </c>
      <c r="D90" s="107">
        <v>9.23487977929E11</v>
      </c>
      <c r="E90" s="151" t="s">
        <v>5090</v>
      </c>
      <c r="F90" s="175"/>
      <c r="G90" s="176" t="s">
        <v>5091</v>
      </c>
      <c r="H90" s="163"/>
      <c r="I90" s="160"/>
      <c r="J90" s="161">
        <v>43589.0</v>
      </c>
    </row>
    <row r="91" ht="15.75" customHeight="1">
      <c r="A91" s="166"/>
      <c r="B91" s="174" t="s">
        <v>5098</v>
      </c>
      <c r="C91" s="155" t="s">
        <v>5099</v>
      </c>
      <c r="D91" s="107">
        <v>9.66550502334E11</v>
      </c>
      <c r="E91" s="177" t="s">
        <v>5090</v>
      </c>
      <c r="F91" s="175"/>
      <c r="G91" s="176" t="s">
        <v>5091</v>
      </c>
      <c r="H91" s="163"/>
      <c r="I91" s="160"/>
      <c r="J91" s="161">
        <v>43589.0</v>
      </c>
    </row>
    <row r="92" ht="15.75" customHeight="1">
      <c r="A92" s="166"/>
      <c r="B92" s="174" t="s">
        <v>5100</v>
      </c>
      <c r="C92" s="155" t="s">
        <v>5101</v>
      </c>
      <c r="D92" s="107" t="s">
        <v>5102</v>
      </c>
      <c r="E92" s="177" t="s">
        <v>5090</v>
      </c>
      <c r="F92" s="175"/>
      <c r="G92" s="176" t="s">
        <v>5091</v>
      </c>
      <c r="H92" s="163"/>
      <c r="I92" s="160"/>
      <c r="J92" s="161">
        <v>43589.0</v>
      </c>
    </row>
    <row r="93" ht="15.75" customHeight="1">
      <c r="A93" s="166"/>
      <c r="B93" s="174" t="s">
        <v>5103</v>
      </c>
      <c r="C93" s="155" t="s">
        <v>5104</v>
      </c>
      <c r="D93" s="107">
        <f>+393400660699</f>
        <v>393400660699</v>
      </c>
      <c r="E93" s="177" t="s">
        <v>305</v>
      </c>
      <c r="F93" s="175"/>
      <c r="G93" s="176" t="s">
        <v>5091</v>
      </c>
      <c r="H93" s="163"/>
      <c r="I93" s="160"/>
      <c r="J93" s="161">
        <v>43589.0</v>
      </c>
    </row>
    <row r="94" ht="15.75" customHeight="1">
      <c r="A94" s="166"/>
      <c r="B94" s="174" t="s">
        <v>5105</v>
      </c>
      <c r="C94" s="155" t="s">
        <v>5106</v>
      </c>
      <c r="D94" s="107">
        <v>4.47401165506E11</v>
      </c>
      <c r="E94" s="177" t="s">
        <v>305</v>
      </c>
      <c r="F94" s="175" t="s">
        <v>5107</v>
      </c>
      <c r="G94" s="176" t="s">
        <v>5091</v>
      </c>
      <c r="H94" s="163"/>
      <c r="I94" s="160"/>
      <c r="J94" s="161">
        <v>43589.0</v>
      </c>
    </row>
    <row r="95" ht="15.75" customHeight="1">
      <c r="A95" s="166"/>
      <c r="B95" s="174" t="s">
        <v>5108</v>
      </c>
      <c r="C95" s="155" t="s">
        <v>403</v>
      </c>
      <c r="D95" s="107">
        <f>+491636410988</f>
        <v>491636410988</v>
      </c>
      <c r="E95" s="177" t="s">
        <v>719</v>
      </c>
      <c r="F95" s="175"/>
      <c r="G95" s="176" t="s">
        <v>5091</v>
      </c>
      <c r="H95" s="163"/>
      <c r="I95" s="160"/>
      <c r="J95" s="161">
        <v>43589.0</v>
      </c>
    </row>
    <row r="96" ht="15.75" customHeight="1">
      <c r="A96" s="166"/>
      <c r="B96" s="174" t="s">
        <v>5109</v>
      </c>
      <c r="C96" s="155" t="s">
        <v>5110</v>
      </c>
      <c r="D96" s="107" t="s">
        <v>5111</v>
      </c>
      <c r="E96" s="177" t="s">
        <v>719</v>
      </c>
      <c r="F96" s="175"/>
      <c r="G96" s="176" t="s">
        <v>5091</v>
      </c>
      <c r="H96" s="163"/>
      <c r="I96" s="160"/>
      <c r="J96" s="161">
        <v>43589.0</v>
      </c>
    </row>
    <row r="97" ht="15.75" customHeight="1">
      <c r="B97" s="174" t="s">
        <v>5112</v>
      </c>
      <c r="C97" s="155" t="s">
        <v>5113</v>
      </c>
      <c r="D97" s="107">
        <v>3.4609800665E10</v>
      </c>
      <c r="E97" s="177" t="s">
        <v>719</v>
      </c>
      <c r="F97" s="175" t="s">
        <v>5114</v>
      </c>
      <c r="G97" s="176"/>
      <c r="H97" s="163"/>
      <c r="I97" s="160"/>
      <c r="J97" s="161">
        <v>43589.0</v>
      </c>
    </row>
    <row r="98" ht="15.75" customHeight="1">
      <c r="B98" s="174" t="s">
        <v>5115</v>
      </c>
      <c r="C98" s="155" t="s">
        <v>5116</v>
      </c>
      <c r="D98" s="107">
        <v>7.786574837E9</v>
      </c>
      <c r="E98" s="177" t="s">
        <v>719</v>
      </c>
      <c r="F98" s="175" t="s">
        <v>5117</v>
      </c>
      <c r="G98" s="176"/>
      <c r="H98" s="163"/>
      <c r="I98" s="160"/>
      <c r="J98" s="161">
        <v>43589.0</v>
      </c>
    </row>
    <row r="99" ht="15.75" customHeight="1">
      <c r="B99" s="174" t="s">
        <v>5118</v>
      </c>
      <c r="C99" s="178" t="s">
        <v>5119</v>
      </c>
      <c r="D99" s="107" t="s">
        <v>5120</v>
      </c>
      <c r="E99" s="177" t="s">
        <v>5121</v>
      </c>
      <c r="F99" s="175" t="s">
        <v>5122</v>
      </c>
      <c r="G99" s="176"/>
      <c r="H99" s="163"/>
      <c r="I99" s="160"/>
      <c r="J99" s="161">
        <v>43588.0</v>
      </c>
    </row>
    <row r="100" ht="15.75" customHeight="1">
      <c r="B100" s="174" t="s">
        <v>5123</v>
      </c>
      <c r="C100" s="155" t="s">
        <v>5124</v>
      </c>
      <c r="D100" s="107">
        <f>+447545582501</f>
        <v>447545582501</v>
      </c>
      <c r="E100" s="177" t="s">
        <v>5125</v>
      </c>
      <c r="F100" s="175"/>
      <c r="G100" s="176"/>
      <c r="H100" s="163"/>
      <c r="I100" s="160"/>
      <c r="J100" s="161">
        <v>43588.0</v>
      </c>
    </row>
    <row r="101" ht="15.75" customHeight="1">
      <c r="B101" s="174" t="s">
        <v>5126</v>
      </c>
      <c r="C101" s="178" t="s">
        <v>403</v>
      </c>
      <c r="D101" s="107">
        <v>9.375442123E9</v>
      </c>
      <c r="E101" s="177" t="s">
        <v>5121</v>
      </c>
      <c r="F101" s="175" t="s">
        <v>5127</v>
      </c>
      <c r="G101" s="176"/>
      <c r="H101" s="163"/>
      <c r="I101" s="160"/>
      <c r="J101" s="161">
        <v>43588.0</v>
      </c>
    </row>
    <row r="102" ht="15.75" customHeight="1">
      <c r="B102" s="174" t="s">
        <v>5128</v>
      </c>
      <c r="C102" s="155" t="s">
        <v>5097</v>
      </c>
      <c r="D102" s="107">
        <f>+79037280303</f>
        <v>79037280303</v>
      </c>
      <c r="E102" s="177" t="s">
        <v>5121</v>
      </c>
      <c r="F102" s="175" t="s">
        <v>5129</v>
      </c>
      <c r="G102" s="176"/>
      <c r="H102" s="163"/>
      <c r="I102" s="160"/>
      <c r="J102" s="161">
        <v>43588.0</v>
      </c>
    </row>
    <row r="103" ht="15.75" customHeight="1">
      <c r="B103" s="174" t="s">
        <v>5130</v>
      </c>
      <c r="C103" s="155" t="s">
        <v>5097</v>
      </c>
      <c r="D103" s="107">
        <f>+41779465239</f>
        <v>41779465239</v>
      </c>
      <c r="E103" s="177" t="s">
        <v>5131</v>
      </c>
      <c r="F103" s="175" t="s">
        <v>5132</v>
      </c>
      <c r="G103" s="176"/>
      <c r="H103" s="163"/>
      <c r="I103" s="160"/>
      <c r="J103" s="161">
        <v>43588.0</v>
      </c>
    </row>
    <row r="104" ht="15.75" customHeight="1">
      <c r="B104" s="174" t="s">
        <v>5133</v>
      </c>
      <c r="C104" s="155" t="s">
        <v>5119</v>
      </c>
      <c r="D104" s="107">
        <v>9.66540528505E11</v>
      </c>
      <c r="E104" s="177" t="s">
        <v>5134</v>
      </c>
      <c r="F104" s="175" t="s">
        <v>5135</v>
      </c>
      <c r="G104" s="176"/>
      <c r="H104" s="163"/>
      <c r="I104" s="160"/>
      <c r="J104" s="161">
        <v>43588.0</v>
      </c>
    </row>
    <row r="105" ht="15.75" customHeight="1">
      <c r="B105" s="174" t="s">
        <v>5136</v>
      </c>
      <c r="C105" s="155" t="s">
        <v>5137</v>
      </c>
      <c r="D105" s="107">
        <v>2.01277770444E11</v>
      </c>
      <c r="E105" s="177" t="s">
        <v>5138</v>
      </c>
      <c r="F105" s="175" t="s">
        <v>5139</v>
      </c>
      <c r="G105" s="176"/>
      <c r="H105" s="163"/>
      <c r="I105" s="160"/>
      <c r="J105" s="161">
        <v>43588.0</v>
      </c>
    </row>
    <row r="106" ht="15.75" customHeight="1">
      <c r="B106" s="174" t="s">
        <v>5140</v>
      </c>
      <c r="C106" s="155" t="s">
        <v>403</v>
      </c>
      <c r="D106" s="107">
        <f>+34666146024</f>
        <v>34666146024</v>
      </c>
      <c r="E106" s="177" t="s">
        <v>5141</v>
      </c>
      <c r="F106" s="175" t="s">
        <v>5142</v>
      </c>
      <c r="G106" s="175"/>
      <c r="H106" s="163"/>
      <c r="I106" s="160"/>
      <c r="J106" s="161">
        <v>43588.0</v>
      </c>
      <c r="K106" s="23"/>
    </row>
    <row r="107" ht="15.75" customHeight="1">
      <c r="B107" s="174" t="s">
        <v>5143</v>
      </c>
      <c r="C107" s="155" t="s">
        <v>989</v>
      </c>
      <c r="D107" s="107" t="s">
        <v>5144</v>
      </c>
      <c r="E107" s="177" t="s">
        <v>5141</v>
      </c>
      <c r="F107" s="175" t="s">
        <v>5145</v>
      </c>
      <c r="G107" s="175"/>
      <c r="H107" s="163"/>
      <c r="I107" s="160"/>
      <c r="J107" s="161">
        <v>43588.0</v>
      </c>
    </row>
    <row r="108" ht="15.75" customHeight="1">
      <c r="B108" s="174" t="s">
        <v>5146</v>
      </c>
      <c r="C108" s="178" t="s">
        <v>5147</v>
      </c>
      <c r="D108" s="107">
        <f>+31648970589</f>
        <v>31648970589</v>
      </c>
      <c r="E108" s="177" t="s">
        <v>772</v>
      </c>
      <c r="F108" s="151" t="s">
        <v>5148</v>
      </c>
      <c r="G108" s="175"/>
      <c r="H108" s="163"/>
      <c r="I108" s="160"/>
      <c r="J108" s="161">
        <v>43588.0</v>
      </c>
    </row>
    <row r="109" ht="15.75" customHeight="1">
      <c r="B109" s="174" t="s">
        <v>5149</v>
      </c>
      <c r="C109" s="155" t="s">
        <v>989</v>
      </c>
      <c r="D109" s="107" t="s">
        <v>5150</v>
      </c>
      <c r="E109" s="177"/>
      <c r="F109" s="151" t="s">
        <v>5151</v>
      </c>
      <c r="G109" s="175"/>
      <c r="H109" s="163"/>
      <c r="I109" s="160"/>
      <c r="J109" s="161">
        <v>43588.0</v>
      </c>
    </row>
    <row r="110" ht="15.75" customHeight="1">
      <c r="B110" s="174" t="s">
        <v>5152</v>
      </c>
      <c r="C110" s="155" t="s">
        <v>5153</v>
      </c>
      <c r="D110" s="107">
        <f>+79139731427</f>
        <v>79139731427</v>
      </c>
      <c r="E110" s="177"/>
      <c r="F110" s="175" t="s">
        <v>5154</v>
      </c>
      <c r="G110" s="175"/>
      <c r="H110" s="163"/>
      <c r="I110" s="160"/>
      <c r="J110" s="161">
        <v>43588.0</v>
      </c>
    </row>
    <row r="111" ht="15.75" customHeight="1">
      <c r="B111" s="174" t="s">
        <v>5155</v>
      </c>
      <c r="C111" s="155" t="s">
        <v>5097</v>
      </c>
      <c r="D111" s="107" t="s">
        <v>5156</v>
      </c>
      <c r="E111" s="177" t="s">
        <v>5157</v>
      </c>
      <c r="F111" s="151" t="s">
        <v>5158</v>
      </c>
      <c r="G111" s="175"/>
      <c r="H111" s="163"/>
      <c r="I111" s="160"/>
      <c r="J111" s="161">
        <v>43587.0</v>
      </c>
    </row>
    <row r="112" ht="15.75" customHeight="1">
      <c r="B112" s="174" t="s">
        <v>5159</v>
      </c>
      <c r="C112" s="155" t="s">
        <v>5160</v>
      </c>
      <c r="D112" s="107">
        <f>+447813807510</f>
        <v>447813807510</v>
      </c>
      <c r="E112" s="177" t="s">
        <v>101</v>
      </c>
      <c r="F112" s="175" t="s">
        <v>5161</v>
      </c>
      <c r="G112" s="175"/>
      <c r="H112" s="163"/>
      <c r="I112" s="160"/>
      <c r="J112" s="161">
        <v>43587.0</v>
      </c>
    </row>
    <row r="113" ht="15.75" customHeight="1">
      <c r="B113" s="174" t="s">
        <v>5162</v>
      </c>
      <c r="C113" s="178" t="s">
        <v>5163</v>
      </c>
      <c r="D113" s="107">
        <v>9.62795233332E11</v>
      </c>
      <c r="E113" s="177"/>
      <c r="F113" s="175" t="s">
        <v>5142</v>
      </c>
      <c r="G113" s="175"/>
      <c r="H113" s="163"/>
      <c r="I113" s="160"/>
      <c r="J113" s="161">
        <v>43587.0</v>
      </c>
    </row>
    <row r="114" ht="15.75" customHeight="1">
      <c r="B114" s="174" t="s">
        <v>5164</v>
      </c>
      <c r="C114" s="155" t="s">
        <v>5097</v>
      </c>
      <c r="D114" s="107">
        <f>+61410109000</f>
        <v>61410109000</v>
      </c>
      <c r="E114" s="177" t="s">
        <v>5131</v>
      </c>
      <c r="F114" s="175" t="s">
        <v>5161</v>
      </c>
      <c r="G114" s="175"/>
      <c r="H114" s="163"/>
      <c r="I114" s="160"/>
      <c r="J114" s="161">
        <v>43587.0</v>
      </c>
    </row>
    <row r="115" ht="15.75" customHeight="1">
      <c r="B115" s="174" t="s">
        <v>5165</v>
      </c>
      <c r="C115" s="155" t="s">
        <v>5166</v>
      </c>
      <c r="D115" s="107">
        <v>9.66555234664E11</v>
      </c>
      <c r="E115" s="177"/>
      <c r="F115" s="175" t="s">
        <v>5142</v>
      </c>
      <c r="G115" s="175"/>
      <c r="H115" s="163"/>
      <c r="I115" s="160"/>
      <c r="J115" s="161">
        <v>43587.0</v>
      </c>
    </row>
    <row r="116" ht="15.75" customHeight="1">
      <c r="B116" s="176"/>
      <c r="C116" s="156"/>
      <c r="D116" s="48"/>
      <c r="E116" s="177"/>
      <c r="F116" s="175"/>
      <c r="G116" s="175"/>
      <c r="H116" s="163"/>
      <c r="I116" s="160"/>
      <c r="J116" s="161">
        <v>43587.0</v>
      </c>
    </row>
    <row r="117" ht="15.75" customHeight="1">
      <c r="B117" s="174" t="s">
        <v>5167</v>
      </c>
      <c r="C117" s="155" t="s">
        <v>3384</v>
      </c>
      <c r="D117" s="107" t="s">
        <v>5168</v>
      </c>
      <c r="E117" s="177" t="s">
        <v>5169</v>
      </c>
      <c r="F117" s="175"/>
      <c r="G117" s="175"/>
      <c r="H117" s="163"/>
      <c r="I117" s="160"/>
      <c r="J117" s="161">
        <v>43587.0</v>
      </c>
    </row>
    <row r="118" ht="15.75" customHeight="1">
      <c r="B118" s="179"/>
      <c r="C118" s="180"/>
      <c r="E118" s="181"/>
      <c r="F118" s="182"/>
      <c r="G118" s="182"/>
      <c r="H118" s="163"/>
      <c r="I118" s="160"/>
      <c r="J118" s="161">
        <v>43587.0</v>
      </c>
    </row>
    <row r="119" ht="15.75" customHeight="1">
      <c r="B119" s="179"/>
      <c r="C119" s="179"/>
      <c r="D119" s="183"/>
      <c r="E119" s="181"/>
      <c r="F119" s="182"/>
      <c r="G119" s="182"/>
      <c r="H119" s="163"/>
      <c r="I119" s="160"/>
      <c r="J119" s="161">
        <v>43587.0</v>
      </c>
    </row>
    <row r="120" ht="15.75" customHeight="1">
      <c r="B120" s="179"/>
      <c r="C120" s="179"/>
      <c r="D120" s="183"/>
      <c r="E120" s="181"/>
      <c r="F120" s="182"/>
      <c r="G120" s="182"/>
      <c r="H120" s="163"/>
      <c r="I120" s="160"/>
      <c r="J120" s="161">
        <v>43587.0</v>
      </c>
    </row>
    <row r="121" ht="15.75" customHeight="1">
      <c r="B121" s="179"/>
      <c r="C121" s="179"/>
      <c r="D121" s="183"/>
      <c r="E121" s="181"/>
      <c r="F121" s="182"/>
      <c r="G121" s="182"/>
      <c r="H121" s="163"/>
      <c r="I121" s="160"/>
      <c r="J121" s="161">
        <v>43587.0</v>
      </c>
    </row>
    <row r="122" ht="15.75" customHeight="1">
      <c r="B122" s="179"/>
      <c r="C122" s="179"/>
      <c r="D122" s="183"/>
      <c r="E122" s="181"/>
      <c r="F122" s="182"/>
      <c r="G122" s="182"/>
      <c r="H122" s="163"/>
      <c r="I122" s="160"/>
      <c r="J122" s="161">
        <v>43587.0</v>
      </c>
    </row>
    <row r="123" ht="15.75" customHeight="1">
      <c r="B123" s="179"/>
      <c r="C123" s="179"/>
      <c r="D123" s="183"/>
      <c r="E123" s="181"/>
      <c r="F123" s="182"/>
      <c r="G123" s="182"/>
      <c r="H123" s="163"/>
      <c r="I123" s="160"/>
      <c r="J123" s="161">
        <v>43587.0</v>
      </c>
    </row>
    <row r="124" ht="15.75" customHeight="1">
      <c r="B124" s="179"/>
      <c r="C124" s="179"/>
      <c r="D124" s="183"/>
      <c r="E124" s="181"/>
      <c r="F124" s="182"/>
      <c r="G124" s="182"/>
      <c r="H124" s="163"/>
      <c r="I124" s="160"/>
      <c r="J124" s="161">
        <v>43587.0</v>
      </c>
    </row>
    <row r="125" ht="15.75" customHeight="1">
      <c r="B125" s="179"/>
      <c r="C125" s="179"/>
      <c r="D125" s="183"/>
      <c r="E125" s="181"/>
      <c r="F125" s="182"/>
      <c r="G125" s="182"/>
      <c r="H125" s="163"/>
      <c r="I125" s="160"/>
      <c r="J125" s="161">
        <v>43587.0</v>
      </c>
    </row>
    <row r="126" ht="15.75" customHeight="1">
      <c r="B126" s="179"/>
      <c r="C126" s="179"/>
      <c r="D126" s="183"/>
      <c r="E126" s="181"/>
      <c r="F126" s="182"/>
      <c r="G126" s="182"/>
      <c r="H126" s="163"/>
      <c r="I126" s="160"/>
      <c r="J126" s="161">
        <v>43586.0</v>
      </c>
    </row>
    <row r="127" ht="15.75" customHeight="1">
      <c r="B127" s="179"/>
      <c r="C127" s="179"/>
      <c r="D127" s="183"/>
      <c r="E127" s="181"/>
      <c r="F127" s="182"/>
      <c r="G127" s="182"/>
      <c r="H127" s="163"/>
      <c r="I127" s="160"/>
      <c r="J127" s="161">
        <v>43586.0</v>
      </c>
    </row>
    <row r="128" ht="15.75" customHeight="1">
      <c r="B128" s="179"/>
      <c r="C128" s="179"/>
      <c r="D128" s="183"/>
      <c r="E128" s="181" t="s">
        <v>5170</v>
      </c>
      <c r="F128" s="182"/>
      <c r="G128" s="182"/>
      <c r="H128" s="163"/>
      <c r="I128" s="160"/>
      <c r="J128" s="161">
        <v>43586.0</v>
      </c>
    </row>
    <row r="129" ht="15.75" customHeight="1">
      <c r="B129" s="179"/>
      <c r="C129" s="179"/>
      <c r="D129" s="183"/>
      <c r="E129" s="181"/>
      <c r="F129" s="182"/>
      <c r="G129" s="182"/>
      <c r="H129" s="163"/>
      <c r="I129" s="160"/>
      <c r="J129" s="161">
        <v>43586.0</v>
      </c>
    </row>
    <row r="130" ht="15.75" customHeight="1">
      <c r="B130" s="179"/>
      <c r="C130" s="179"/>
      <c r="D130" s="183"/>
      <c r="E130" s="181"/>
      <c r="F130" s="182"/>
      <c r="G130" s="182"/>
      <c r="H130" s="163"/>
      <c r="I130" s="160"/>
      <c r="J130" s="161">
        <v>43586.0</v>
      </c>
    </row>
    <row r="131" ht="15.75" customHeight="1">
      <c r="B131" s="179"/>
      <c r="C131" s="179"/>
      <c r="D131" s="183"/>
      <c r="E131" s="181"/>
      <c r="F131" s="182"/>
      <c r="G131" s="182"/>
      <c r="H131" s="163"/>
      <c r="I131" s="160"/>
      <c r="J131" s="161">
        <v>43586.0</v>
      </c>
    </row>
    <row r="132" ht="15.75" customHeight="1">
      <c r="B132" s="179"/>
      <c r="C132" s="179"/>
      <c r="D132" s="183"/>
      <c r="E132" s="181"/>
      <c r="F132" s="182"/>
      <c r="G132" s="182"/>
      <c r="H132" s="163"/>
      <c r="I132" s="160"/>
      <c r="J132" s="161">
        <v>43586.0</v>
      </c>
    </row>
    <row r="133" ht="15.75" customHeight="1">
      <c r="B133" s="179"/>
      <c r="C133" s="179"/>
      <c r="D133" s="183"/>
      <c r="E133" s="181"/>
      <c r="F133" s="182"/>
      <c r="G133" s="182"/>
      <c r="H133" s="163"/>
      <c r="I133" s="160"/>
      <c r="J133" s="161">
        <v>43586.0</v>
      </c>
    </row>
    <row r="134" ht="15.75" customHeight="1">
      <c r="B134" s="179"/>
      <c r="C134" s="179"/>
      <c r="D134" s="183"/>
      <c r="E134" s="181"/>
      <c r="F134" s="182"/>
      <c r="G134" s="182"/>
      <c r="H134" s="163"/>
      <c r="I134" s="160"/>
      <c r="J134" s="161">
        <v>43586.0</v>
      </c>
    </row>
    <row r="135" ht="15.75" customHeight="1">
      <c r="B135" s="179"/>
      <c r="C135" s="179"/>
      <c r="D135" s="183"/>
      <c r="E135" s="181"/>
      <c r="F135" s="182"/>
      <c r="G135" s="182"/>
      <c r="H135" s="163"/>
      <c r="I135" s="160"/>
      <c r="J135" s="161">
        <v>43586.0</v>
      </c>
    </row>
    <row r="136" ht="15.75" customHeight="1">
      <c r="B136" s="179"/>
      <c r="C136" s="179"/>
      <c r="D136" s="183"/>
      <c r="E136" s="181"/>
      <c r="F136" s="182"/>
      <c r="G136" s="182"/>
      <c r="H136" s="163"/>
      <c r="I136" s="160"/>
      <c r="J136" s="161">
        <v>43585.0</v>
      </c>
    </row>
    <row r="137" ht="15.75" customHeight="1">
      <c r="B137" s="179"/>
      <c r="C137" s="179"/>
      <c r="D137" s="183"/>
      <c r="E137" s="181"/>
      <c r="F137" s="182"/>
      <c r="G137" s="182"/>
      <c r="H137" s="163"/>
      <c r="I137" s="160"/>
      <c r="J137" s="161">
        <v>43585.0</v>
      </c>
    </row>
    <row r="138" ht="15.75" customHeight="1">
      <c r="B138" s="179"/>
      <c r="C138" s="179"/>
      <c r="D138" s="183"/>
      <c r="E138" s="181"/>
      <c r="F138" s="182"/>
      <c r="G138" s="182"/>
      <c r="H138" s="163"/>
      <c r="I138" s="160"/>
      <c r="J138" s="161">
        <v>43585.0</v>
      </c>
    </row>
    <row r="139" ht="15.75" customHeight="1">
      <c r="B139" s="179"/>
      <c r="C139" s="179"/>
      <c r="D139" s="183"/>
      <c r="E139" s="181"/>
      <c r="F139" s="182"/>
      <c r="G139" s="182"/>
      <c r="H139" s="163"/>
      <c r="I139" s="160"/>
      <c r="J139" s="161">
        <v>43585.0</v>
      </c>
    </row>
    <row r="140" ht="15.75" customHeight="1">
      <c r="B140" s="179"/>
      <c r="C140" s="179"/>
      <c r="D140" s="183"/>
      <c r="E140" s="181"/>
      <c r="F140" s="182"/>
      <c r="G140" s="182"/>
      <c r="H140" s="163"/>
      <c r="I140" s="160"/>
      <c r="J140" s="161">
        <v>43585.0</v>
      </c>
    </row>
    <row r="141" ht="15.75" customHeight="1">
      <c r="B141" s="179"/>
      <c r="C141" s="179"/>
      <c r="D141" s="183"/>
      <c r="E141" s="181"/>
      <c r="F141" s="182"/>
      <c r="G141" s="182"/>
      <c r="H141" s="163"/>
      <c r="I141" s="160"/>
      <c r="J141" s="161">
        <v>43585.0</v>
      </c>
    </row>
    <row r="142" ht="15.75" customHeight="1">
      <c r="B142" s="179"/>
      <c r="C142" s="179"/>
      <c r="D142" s="183"/>
      <c r="E142" s="181"/>
      <c r="F142" s="182"/>
      <c r="G142" s="182"/>
      <c r="H142" s="163"/>
      <c r="I142" s="160"/>
      <c r="J142" s="161">
        <v>43585.0</v>
      </c>
    </row>
    <row r="143" ht="15.75" customHeight="1">
      <c r="B143" s="179"/>
      <c r="C143" s="179"/>
      <c r="D143" s="183"/>
      <c r="E143" s="181"/>
      <c r="F143" s="182"/>
      <c r="G143" s="182"/>
      <c r="H143" s="163"/>
      <c r="I143" s="160"/>
      <c r="J143" s="161">
        <v>43585.0</v>
      </c>
    </row>
    <row r="144" ht="15.75" customHeight="1">
      <c r="B144" s="179"/>
      <c r="C144" s="179"/>
      <c r="D144" s="183"/>
      <c r="E144" s="181"/>
      <c r="F144" s="182"/>
      <c r="G144" s="182"/>
      <c r="H144" s="163"/>
      <c r="I144" s="160"/>
      <c r="J144" s="161">
        <v>43585.0</v>
      </c>
    </row>
    <row r="145" ht="15.75" customHeight="1">
      <c r="B145" s="179"/>
      <c r="C145" s="179"/>
      <c r="D145" s="183"/>
      <c r="E145" s="181"/>
      <c r="F145" s="182"/>
      <c r="G145" s="182"/>
      <c r="H145" s="184"/>
      <c r="I145" s="185"/>
      <c r="J145" s="186">
        <v>43585.0</v>
      </c>
    </row>
    <row r="146" ht="15.75" customHeight="1">
      <c r="D146" s="23"/>
    </row>
    <row r="147" ht="15.75" customHeight="1">
      <c r="D147" s="23"/>
    </row>
    <row r="148" ht="15.75" customHeight="1">
      <c r="D148" s="23"/>
    </row>
    <row r="149" ht="15.75" customHeight="1">
      <c r="D149" s="23"/>
    </row>
    <row r="150" ht="15.75" customHeight="1">
      <c r="D150" s="23"/>
    </row>
    <row r="151" ht="15.75" customHeight="1">
      <c r="D151" s="23"/>
    </row>
    <row r="152" ht="15.75" customHeight="1">
      <c r="D152" s="23"/>
    </row>
    <row r="153" ht="15.75" customHeight="1">
      <c r="D153" s="23"/>
    </row>
    <row r="154" ht="15.75" customHeight="1">
      <c r="D154" s="23"/>
    </row>
    <row r="155" ht="15.75" customHeight="1">
      <c r="D155" s="23"/>
    </row>
    <row r="156" ht="15.75" customHeight="1">
      <c r="D156" s="23"/>
    </row>
    <row r="157" ht="15.75" customHeight="1">
      <c r="D157" s="23"/>
    </row>
    <row r="158" ht="15.75" customHeight="1">
      <c r="D158" s="23"/>
    </row>
    <row r="159" ht="15.75" customHeight="1">
      <c r="D159" s="23"/>
    </row>
    <row r="160" ht="15.75" customHeight="1">
      <c r="D160" s="23"/>
    </row>
    <row r="161" ht="15.75" customHeight="1">
      <c r="D161" s="23"/>
    </row>
    <row r="162" ht="15.75" customHeight="1">
      <c r="D162" s="23"/>
    </row>
    <row r="163" ht="15.75" customHeight="1">
      <c r="D163" s="23"/>
    </row>
    <row r="164" ht="15.75" customHeight="1">
      <c r="D164" s="23"/>
    </row>
    <row r="165" ht="15.75" customHeight="1">
      <c r="D165" s="23"/>
    </row>
    <row r="166" ht="15.75" customHeight="1">
      <c r="D166" s="23"/>
    </row>
    <row r="167" ht="15.75" customHeight="1">
      <c r="D167" s="23"/>
    </row>
    <row r="168" ht="15.75" customHeight="1">
      <c r="D168" s="23"/>
    </row>
    <row r="169" ht="15.75" customHeight="1">
      <c r="D169" s="23"/>
    </row>
    <row r="170" ht="15.75" customHeight="1">
      <c r="D170" s="23"/>
    </row>
    <row r="171" ht="15.75" customHeight="1">
      <c r="D171" s="23"/>
    </row>
    <row r="172" ht="15.75" customHeight="1">
      <c r="D172" s="23"/>
    </row>
    <row r="173" ht="15.75" customHeight="1">
      <c r="D173" s="23"/>
    </row>
    <row r="174" ht="15.75" customHeight="1">
      <c r="D174" s="23"/>
    </row>
    <row r="175" ht="15.75" customHeight="1">
      <c r="D175" s="23"/>
    </row>
    <row r="176" ht="15.75" customHeight="1">
      <c r="D176" s="23"/>
    </row>
    <row r="177" ht="15.75" customHeight="1">
      <c r="D177" s="23"/>
    </row>
    <row r="178" ht="15.75" customHeight="1">
      <c r="D178" s="23"/>
    </row>
    <row r="179" ht="15.75" customHeight="1">
      <c r="D179" s="23"/>
    </row>
    <row r="180" ht="15.75" customHeight="1">
      <c r="D180" s="23"/>
    </row>
    <row r="181" ht="15.75" customHeight="1">
      <c r="D181" s="23"/>
    </row>
    <row r="182" ht="15.75" customHeight="1">
      <c r="D182" s="23"/>
    </row>
    <row r="183" ht="15.75" customHeight="1">
      <c r="D183" s="23"/>
    </row>
    <row r="184" ht="15.75" customHeight="1">
      <c r="D184" s="23"/>
    </row>
    <row r="185" ht="15.75" customHeight="1">
      <c r="D185" s="23"/>
    </row>
    <row r="186" ht="15.75" customHeight="1">
      <c r="D186" s="23"/>
    </row>
    <row r="187" ht="15.75" customHeight="1">
      <c r="D187" s="23"/>
    </row>
    <row r="188" ht="15.75" customHeight="1">
      <c r="D188" s="23"/>
    </row>
    <row r="189" ht="15.75" customHeight="1">
      <c r="D189" s="23"/>
    </row>
    <row r="190" ht="15.75" customHeight="1">
      <c r="D190" s="23"/>
    </row>
    <row r="191" ht="15.75" customHeight="1">
      <c r="D191" s="23"/>
    </row>
    <row r="192" ht="15.75" customHeight="1">
      <c r="D192" s="23"/>
    </row>
    <row r="193" ht="15.75" customHeight="1">
      <c r="D193" s="23"/>
    </row>
    <row r="194" ht="15.75" customHeight="1">
      <c r="D194" s="23"/>
    </row>
    <row r="195" ht="15.75" customHeight="1">
      <c r="D195" s="23"/>
    </row>
    <row r="196" ht="15.75" customHeight="1">
      <c r="D196" s="23"/>
    </row>
    <row r="197" ht="15.75" customHeight="1">
      <c r="D197" s="23"/>
    </row>
    <row r="198" ht="15.75" customHeight="1">
      <c r="D198" s="23"/>
    </row>
    <row r="199" ht="15.75" customHeight="1">
      <c r="D199" s="23"/>
    </row>
    <row r="200" ht="15.75" customHeight="1">
      <c r="D200" s="23"/>
    </row>
    <row r="201" ht="15.75" customHeight="1">
      <c r="D201" s="23"/>
    </row>
    <row r="202" ht="15.75" customHeight="1">
      <c r="D202" s="23"/>
    </row>
    <row r="203" ht="15.75" customHeight="1">
      <c r="D203" s="23"/>
    </row>
    <row r="204" ht="15.75" customHeight="1">
      <c r="D204" s="23"/>
    </row>
    <row r="205" ht="15.75" customHeight="1">
      <c r="D205" s="23"/>
    </row>
    <row r="206" ht="15.75" customHeight="1">
      <c r="D206" s="23"/>
    </row>
    <row r="207" ht="15.75" customHeight="1">
      <c r="D207" s="23"/>
    </row>
    <row r="208" ht="15.75" customHeight="1">
      <c r="D208" s="23"/>
    </row>
    <row r="209" ht="15.75" customHeight="1">
      <c r="D209" s="23"/>
    </row>
    <row r="210" ht="15.75" customHeight="1">
      <c r="D210" s="23"/>
    </row>
    <row r="211" ht="15.75" customHeight="1">
      <c r="D211" s="23"/>
    </row>
    <row r="212" ht="15.75" customHeight="1">
      <c r="D212" s="23"/>
    </row>
    <row r="213" ht="15.75" customHeight="1">
      <c r="D213" s="23"/>
    </row>
    <row r="214" ht="15.75" customHeight="1">
      <c r="D214" s="23"/>
    </row>
    <row r="215" ht="15.75" customHeight="1">
      <c r="D215" s="23"/>
    </row>
    <row r="216" ht="15.75" customHeight="1">
      <c r="D216" s="23"/>
    </row>
    <row r="217" ht="15.75" customHeight="1">
      <c r="D217" s="23"/>
    </row>
    <row r="218" ht="15.75" customHeight="1">
      <c r="D218" s="23"/>
    </row>
    <row r="219" ht="15.75" customHeight="1">
      <c r="D219" s="23"/>
    </row>
    <row r="220" ht="15.75" customHeight="1">
      <c r="D220" s="23"/>
    </row>
    <row r="221" ht="15.75" customHeight="1">
      <c r="D221" s="23"/>
    </row>
    <row r="222" ht="15.75" customHeight="1">
      <c r="D222" s="23"/>
    </row>
    <row r="223" ht="15.75" customHeight="1">
      <c r="D223" s="23"/>
    </row>
    <row r="224" ht="15.75" customHeight="1">
      <c r="D224" s="23"/>
    </row>
    <row r="225" ht="15.75" customHeight="1">
      <c r="D225" s="23"/>
    </row>
    <row r="226" ht="15.75" customHeight="1">
      <c r="D226" s="23"/>
    </row>
    <row r="227" ht="15.75" customHeight="1">
      <c r="D227" s="23"/>
    </row>
    <row r="228" ht="15.75" customHeight="1">
      <c r="D228" s="23"/>
    </row>
    <row r="229" ht="15.75" customHeight="1">
      <c r="D229" s="23"/>
    </row>
    <row r="230" ht="15.75" customHeight="1">
      <c r="D230" s="23"/>
    </row>
    <row r="231" ht="15.75" customHeight="1">
      <c r="D231" s="23"/>
    </row>
    <row r="232" ht="15.75" customHeight="1">
      <c r="D232" s="23"/>
    </row>
    <row r="233" ht="15.75" customHeight="1">
      <c r="D233" s="23"/>
    </row>
    <row r="234" ht="15.75" customHeight="1">
      <c r="D234" s="23"/>
    </row>
    <row r="235" ht="15.75" customHeight="1">
      <c r="D235" s="23"/>
    </row>
    <row r="236" ht="15.75" customHeight="1">
      <c r="D236" s="23"/>
    </row>
    <row r="237" ht="15.75" customHeight="1">
      <c r="D237" s="23"/>
    </row>
    <row r="238" ht="15.75" customHeight="1">
      <c r="D238" s="23"/>
    </row>
    <row r="239" ht="15.75" customHeight="1">
      <c r="D239" s="23"/>
    </row>
    <row r="240" ht="15.75" customHeight="1">
      <c r="D240" s="23"/>
    </row>
    <row r="241" ht="15.75" customHeight="1">
      <c r="D241" s="23"/>
    </row>
    <row r="242" ht="15.75" customHeight="1">
      <c r="D242" s="23"/>
    </row>
    <row r="243" ht="15.75" customHeight="1">
      <c r="D243" s="23"/>
    </row>
    <row r="244" ht="15.75" customHeight="1">
      <c r="D244" s="23"/>
    </row>
    <row r="245" ht="15.75" customHeight="1">
      <c r="D245" s="23"/>
    </row>
    <row r="246" ht="15.75" customHeight="1">
      <c r="D246" s="23"/>
    </row>
    <row r="247" ht="15.75" customHeight="1">
      <c r="D247" s="23"/>
    </row>
    <row r="248" ht="15.75" customHeight="1">
      <c r="D248" s="23"/>
    </row>
    <row r="249" ht="15.75" customHeight="1">
      <c r="D249" s="23"/>
    </row>
    <row r="250" ht="15.75" customHeight="1">
      <c r="D250" s="23"/>
    </row>
    <row r="251" ht="15.75" customHeight="1">
      <c r="D251" s="23"/>
    </row>
    <row r="252" ht="15.75" customHeight="1">
      <c r="D252" s="23"/>
    </row>
    <row r="253" ht="15.75" customHeight="1">
      <c r="D253" s="23"/>
    </row>
    <row r="254" ht="15.75" customHeight="1">
      <c r="D254" s="23"/>
    </row>
    <row r="255" ht="15.75" customHeight="1">
      <c r="D255" s="23"/>
    </row>
    <row r="256" ht="15.75" customHeight="1">
      <c r="D256" s="23"/>
    </row>
    <row r="257" ht="15.75" customHeight="1">
      <c r="D257" s="23"/>
    </row>
    <row r="258" ht="15.75" customHeight="1">
      <c r="D258" s="23"/>
    </row>
    <row r="259" ht="15.75" customHeight="1">
      <c r="D259" s="23"/>
    </row>
    <row r="260" ht="15.75" customHeight="1">
      <c r="D260" s="23"/>
    </row>
    <row r="261" ht="15.75" customHeight="1">
      <c r="D261" s="23"/>
    </row>
    <row r="262" ht="15.75" customHeight="1">
      <c r="D262" s="23"/>
    </row>
    <row r="263" ht="15.75" customHeight="1">
      <c r="D263" s="23"/>
    </row>
    <row r="264" ht="15.75" customHeight="1">
      <c r="D264" s="23"/>
    </row>
    <row r="265" ht="15.75" customHeight="1">
      <c r="D265" s="23"/>
    </row>
    <row r="266" ht="15.75" customHeight="1">
      <c r="D266" s="23"/>
    </row>
    <row r="267" ht="15.75" customHeight="1">
      <c r="D267" s="23"/>
    </row>
    <row r="268" ht="15.75" customHeight="1">
      <c r="D268" s="23"/>
    </row>
    <row r="269" ht="15.75" customHeight="1">
      <c r="D269" s="23"/>
    </row>
    <row r="270" ht="15.75" customHeight="1">
      <c r="D270" s="23"/>
    </row>
    <row r="271" ht="15.75" customHeight="1">
      <c r="D271" s="23"/>
    </row>
    <row r="272" ht="15.75" customHeight="1">
      <c r="D272" s="23"/>
    </row>
    <row r="273" ht="15.75" customHeight="1">
      <c r="D273" s="23"/>
    </row>
    <row r="274" ht="15.75" customHeight="1">
      <c r="D274" s="23"/>
    </row>
    <row r="275" ht="15.75" customHeight="1">
      <c r="D275" s="23"/>
    </row>
    <row r="276" ht="15.75" customHeight="1">
      <c r="D276" s="23"/>
    </row>
    <row r="277" ht="15.75" customHeight="1">
      <c r="D277" s="23"/>
    </row>
    <row r="278" ht="15.75" customHeight="1">
      <c r="D278" s="23"/>
    </row>
    <row r="279" ht="15.75" customHeight="1">
      <c r="D279" s="23"/>
    </row>
    <row r="280" ht="15.75" customHeight="1">
      <c r="D280" s="23"/>
    </row>
    <row r="281" ht="15.75" customHeight="1">
      <c r="D281" s="23"/>
    </row>
    <row r="282" ht="15.75" customHeight="1">
      <c r="D282" s="23"/>
    </row>
    <row r="283" ht="15.75" customHeight="1">
      <c r="D283" s="23"/>
    </row>
    <row r="284" ht="15.75" customHeight="1">
      <c r="D284" s="23"/>
    </row>
    <row r="285" ht="15.75" customHeight="1">
      <c r="D285" s="23"/>
    </row>
    <row r="286" ht="15.75" customHeight="1">
      <c r="D286" s="23"/>
    </row>
    <row r="287" ht="15.75" customHeight="1">
      <c r="D287" s="23"/>
    </row>
    <row r="288" ht="15.75" customHeight="1">
      <c r="D288" s="23"/>
    </row>
    <row r="289" ht="15.75" customHeight="1">
      <c r="D289" s="23"/>
    </row>
    <row r="290" ht="15.75" customHeight="1">
      <c r="D290" s="23"/>
    </row>
    <row r="291" ht="15.75" customHeight="1">
      <c r="D291" s="23"/>
    </row>
    <row r="292" ht="15.75" customHeight="1">
      <c r="D292" s="23"/>
    </row>
    <row r="293" ht="15.75" customHeight="1">
      <c r="D293" s="23"/>
    </row>
    <row r="294" ht="15.75" customHeight="1">
      <c r="D294" s="23"/>
    </row>
    <row r="295" ht="15.75" customHeight="1">
      <c r="D295" s="23"/>
    </row>
    <row r="296" ht="15.75" customHeight="1">
      <c r="D296" s="23"/>
    </row>
    <row r="297" ht="15.75" customHeight="1">
      <c r="D297" s="23"/>
    </row>
    <row r="298" ht="15.75" customHeight="1">
      <c r="D298" s="23"/>
    </row>
    <row r="299" ht="15.75" customHeight="1">
      <c r="D299" s="23"/>
    </row>
    <row r="300" ht="15.75" customHeight="1">
      <c r="D300" s="23"/>
    </row>
    <row r="301" ht="15.75" customHeight="1">
      <c r="D301" s="23"/>
    </row>
    <row r="302" ht="15.75" customHeight="1">
      <c r="D302" s="23"/>
    </row>
    <row r="303" ht="15.75" customHeight="1">
      <c r="D303" s="23"/>
    </row>
    <row r="304" ht="15.75" customHeight="1">
      <c r="D304" s="23"/>
    </row>
    <row r="305" ht="15.75" customHeight="1">
      <c r="D305" s="23"/>
    </row>
    <row r="306" ht="15.75" customHeight="1">
      <c r="D306" s="23"/>
    </row>
    <row r="307" ht="15.75" customHeight="1">
      <c r="D307" s="23"/>
    </row>
    <row r="308" ht="15.75" customHeight="1">
      <c r="D308" s="23"/>
    </row>
    <row r="309" ht="15.75" customHeight="1">
      <c r="D309" s="23"/>
    </row>
    <row r="310" ht="15.75" customHeight="1">
      <c r="D310" s="23"/>
    </row>
    <row r="311" ht="15.75" customHeight="1">
      <c r="D311" s="23"/>
    </row>
    <row r="312" ht="15.75" customHeight="1">
      <c r="D312" s="23"/>
    </row>
    <row r="313" ht="15.75" customHeight="1">
      <c r="D313" s="23"/>
    </row>
    <row r="314" ht="15.75" customHeight="1">
      <c r="D314" s="23"/>
    </row>
    <row r="315" ht="15.75" customHeight="1">
      <c r="D315" s="23"/>
    </row>
    <row r="316" ht="15.75" customHeight="1">
      <c r="D316" s="23"/>
    </row>
    <row r="317" ht="15.75" customHeight="1">
      <c r="D317" s="23"/>
    </row>
    <row r="318" ht="15.75" customHeight="1">
      <c r="D318" s="23"/>
    </row>
    <row r="319" ht="15.75" customHeight="1">
      <c r="D319" s="23"/>
    </row>
    <row r="320" ht="15.75" customHeight="1">
      <c r="D320" s="23"/>
    </row>
    <row r="321" ht="15.75" customHeight="1">
      <c r="D321" s="23"/>
    </row>
    <row r="322" ht="15.75" customHeight="1">
      <c r="D322" s="23"/>
    </row>
    <row r="323" ht="15.75" customHeight="1">
      <c r="D323" s="23"/>
    </row>
    <row r="324" ht="15.75" customHeight="1">
      <c r="D324" s="23"/>
    </row>
    <row r="325" ht="15.75" customHeight="1">
      <c r="D325" s="23"/>
    </row>
    <row r="326" ht="15.75" customHeight="1">
      <c r="D326" s="23"/>
    </row>
    <row r="327" ht="15.75" customHeight="1">
      <c r="D327" s="23"/>
    </row>
    <row r="328" ht="15.75" customHeight="1">
      <c r="D328" s="23"/>
    </row>
    <row r="329" ht="15.75" customHeight="1">
      <c r="D329" s="23"/>
    </row>
    <row r="330" ht="15.75" customHeight="1">
      <c r="D330" s="23"/>
    </row>
    <row r="331" ht="15.75" customHeight="1">
      <c r="D331" s="23"/>
    </row>
    <row r="332" ht="15.75" customHeight="1">
      <c r="D332" s="23"/>
    </row>
    <row r="333" ht="15.75" customHeight="1">
      <c r="D333" s="23"/>
    </row>
    <row r="334" ht="15.75" customHeight="1">
      <c r="D334" s="23"/>
    </row>
    <row r="335" ht="15.75" customHeight="1">
      <c r="D335" s="23"/>
    </row>
    <row r="336" ht="15.75" customHeight="1">
      <c r="D336" s="23"/>
    </row>
    <row r="337" ht="15.75" customHeight="1">
      <c r="D337" s="23"/>
    </row>
    <row r="338" ht="15.75" customHeight="1">
      <c r="D338" s="23"/>
    </row>
    <row r="339" ht="15.75" customHeight="1">
      <c r="D339" s="23"/>
    </row>
    <row r="340" ht="15.75" customHeight="1">
      <c r="D340" s="23"/>
    </row>
    <row r="341" ht="15.75" customHeight="1">
      <c r="D341" s="23"/>
    </row>
    <row r="342" ht="15.75" customHeight="1">
      <c r="D342" s="23"/>
    </row>
    <row r="343" ht="15.75" customHeight="1">
      <c r="D343" s="23"/>
    </row>
    <row r="344" ht="15.75" customHeight="1">
      <c r="D344" s="23"/>
    </row>
    <row r="345" ht="15.75" customHeight="1">
      <c r="D345" s="23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39">
    <cfRule type="notContainsBlanks" dxfId="0" priority="1">
      <formula>LEN(TRIM(E2))&gt;0</formula>
    </cfRule>
  </conditionalFormatting>
  <conditionalFormatting sqref="D2:D4 D6:D39 K12:K13">
    <cfRule type="notContainsBlanks" dxfId="0" priority="2">
      <formula>LEN(TRIM(D2))&gt;0</formula>
    </cfRule>
  </conditionalFormatting>
  <hyperlinks>
    <hyperlink r:id="rId1" ref="B87"/>
    <hyperlink r:id="rId2" ref="C87"/>
    <hyperlink r:id="rId3" ref="B88"/>
    <hyperlink r:id="rId4" ref="C88"/>
    <hyperlink r:id="rId5" ref="B89"/>
    <hyperlink r:id="rId6" ref="C89"/>
    <hyperlink r:id="rId7" ref="B90"/>
    <hyperlink r:id="rId8" ref="C90"/>
    <hyperlink r:id="rId9" ref="B91"/>
    <hyperlink r:id="rId10" ref="C91"/>
    <hyperlink r:id="rId11" ref="B92"/>
    <hyperlink r:id="rId12" ref="C92"/>
    <hyperlink r:id="rId13" ref="B93"/>
    <hyperlink r:id="rId14" ref="C93"/>
    <hyperlink r:id="rId15" ref="B94"/>
    <hyperlink r:id="rId16" ref="C94"/>
    <hyperlink r:id="rId17" ref="B95"/>
    <hyperlink r:id="rId18" ref="C95"/>
    <hyperlink r:id="rId19" ref="B96"/>
    <hyperlink r:id="rId20" ref="C96"/>
    <hyperlink r:id="rId21" ref="B97"/>
    <hyperlink r:id="rId22" ref="C97"/>
    <hyperlink r:id="rId23" ref="B98"/>
    <hyperlink r:id="rId24" ref="C98"/>
    <hyperlink r:id="rId25" ref="B99"/>
    <hyperlink r:id="rId26" ref="C99"/>
    <hyperlink r:id="rId27" ref="B100"/>
    <hyperlink r:id="rId28" ref="C100"/>
    <hyperlink r:id="rId29" ref="B101"/>
    <hyperlink r:id="rId30" ref="C101"/>
    <hyperlink r:id="rId31" ref="B102"/>
    <hyperlink r:id="rId32" ref="C102"/>
    <hyperlink r:id="rId33" ref="B103"/>
    <hyperlink r:id="rId34" ref="C103"/>
    <hyperlink r:id="rId35" ref="B104"/>
    <hyperlink r:id="rId36" ref="C104"/>
    <hyperlink r:id="rId37" ref="B105"/>
    <hyperlink r:id="rId38" ref="C105"/>
    <hyperlink r:id="rId39" ref="B106"/>
    <hyperlink r:id="rId40" ref="C106"/>
    <hyperlink r:id="rId41" ref="B107"/>
    <hyperlink r:id="rId42" ref="C107"/>
    <hyperlink r:id="rId43" ref="B108"/>
    <hyperlink r:id="rId44" ref="C108"/>
    <hyperlink r:id="rId45" ref="B109"/>
    <hyperlink r:id="rId46" ref="C109"/>
    <hyperlink r:id="rId47" ref="B110"/>
    <hyperlink r:id="rId48" ref="C110"/>
    <hyperlink r:id="rId49" ref="B111"/>
    <hyperlink r:id="rId50" ref="C111"/>
    <hyperlink r:id="rId51" ref="B112"/>
    <hyperlink r:id="rId52" ref="C112"/>
    <hyperlink r:id="rId53" ref="B113"/>
    <hyperlink r:id="rId54" ref="C113"/>
    <hyperlink r:id="rId55" ref="B114"/>
    <hyperlink r:id="rId56" ref="C114"/>
    <hyperlink r:id="rId57" ref="B115"/>
    <hyperlink r:id="rId58" ref="C115"/>
    <hyperlink r:id="rId59" ref="B117"/>
    <hyperlink r:id="rId60" ref="C117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6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7.43"/>
    <col customWidth="1" min="3" max="3" width="17.86"/>
    <col customWidth="1" min="4" max="4" width="16.86"/>
    <col customWidth="1" min="5" max="6" width="14.43"/>
  </cols>
  <sheetData>
    <row r="1" ht="15.75" customHeight="1">
      <c r="B1" s="36" t="s">
        <v>5041</v>
      </c>
      <c r="C1" s="36" t="s">
        <v>5043</v>
      </c>
    </row>
    <row r="2" ht="15.75" customHeight="1">
      <c r="A2" s="36">
        <v>1.0</v>
      </c>
      <c r="B2" s="159" t="s">
        <v>5092</v>
      </c>
      <c r="C2" s="142">
        <v>7.774773707903E12</v>
      </c>
    </row>
    <row r="3" ht="15.75" customHeight="1">
      <c r="A3" s="36">
        <v>2.0</v>
      </c>
      <c r="B3" s="159" t="s">
        <v>5094</v>
      </c>
      <c r="C3" s="142">
        <v>7.9637579139E10</v>
      </c>
    </row>
    <row r="4" ht="15.75" customHeight="1">
      <c r="A4" s="36">
        <v>3.0</v>
      </c>
      <c r="B4" s="159" t="s">
        <v>5096</v>
      </c>
      <c r="C4" s="143">
        <v>7.9859707638E10</v>
      </c>
    </row>
    <row r="5" ht="15.75" customHeight="1">
      <c r="A5" s="36">
        <v>4.0</v>
      </c>
      <c r="B5" s="159" t="s">
        <v>5098</v>
      </c>
      <c r="C5" s="70">
        <v>7.926698757E10</v>
      </c>
    </row>
    <row r="6" ht="15.75" customHeight="1">
      <c r="A6" s="36">
        <v>5.0</v>
      </c>
      <c r="B6" s="159" t="s">
        <v>5100</v>
      </c>
      <c r="C6" s="144">
        <v>9.715018129E11</v>
      </c>
    </row>
    <row r="7" ht="15.75" customHeight="1">
      <c r="A7" s="36">
        <v>6.0</v>
      </c>
      <c r="B7" s="159" t="s">
        <v>5103</v>
      </c>
      <c r="C7" s="142">
        <v>9.66550659988E11</v>
      </c>
    </row>
    <row r="8" ht="15.75" customHeight="1">
      <c r="A8" s="36">
        <v>7.0</v>
      </c>
      <c r="B8" s="159" t="s">
        <v>5105</v>
      </c>
      <c r="C8" s="142">
        <v>9.7150545492E11</v>
      </c>
    </row>
    <row r="9" ht="15.75" customHeight="1">
      <c r="A9" s="36">
        <v>8.0</v>
      </c>
      <c r="B9" s="159" t="s">
        <v>5108</v>
      </c>
      <c r="C9" s="142">
        <v>7.7029992933E10</v>
      </c>
    </row>
    <row r="10" ht="15.75" customHeight="1">
      <c r="A10" s="36">
        <v>9.0</v>
      </c>
      <c r="B10" s="159" t="s">
        <v>5109</v>
      </c>
      <c r="C10" s="142">
        <v>9.71555555125E11</v>
      </c>
    </row>
    <row r="11" ht="15.75" customHeight="1">
      <c r="A11" s="36">
        <v>10.0</v>
      </c>
      <c r="B11" s="159" t="s">
        <v>5112</v>
      </c>
      <c r="C11" s="142">
        <v>9.71506412311E11</v>
      </c>
    </row>
    <row r="12" ht="15.75" customHeight="1">
      <c r="A12" s="36">
        <v>11.0</v>
      </c>
      <c r="B12" s="159" t="s">
        <v>5115</v>
      </c>
      <c r="C12" s="142">
        <v>3.1653978032E10</v>
      </c>
    </row>
    <row r="13" ht="15.75" customHeight="1">
      <c r="A13" s="36">
        <v>12.0</v>
      </c>
      <c r="B13" s="159" t="s">
        <v>5118</v>
      </c>
      <c r="C13" s="142">
        <v>9.71544405543E11</v>
      </c>
    </row>
    <row r="14" ht="15.75" customHeight="1">
      <c r="A14" s="36">
        <v>13.0</v>
      </c>
      <c r="B14" s="159" t="s">
        <v>5123</v>
      </c>
      <c r="C14" s="142">
        <v>9.66530772E11</v>
      </c>
    </row>
    <row r="15" ht="15.75" customHeight="1">
      <c r="A15" s="36">
        <v>14.0</v>
      </c>
      <c r="B15" s="159" t="s">
        <v>5126</v>
      </c>
      <c r="C15" s="142">
        <v>9.665474449E10</v>
      </c>
    </row>
    <row r="16" ht="15.75" customHeight="1">
      <c r="A16" s="36">
        <v>15.0</v>
      </c>
      <c r="B16" s="159" t="s">
        <v>5128</v>
      </c>
      <c r="C16" s="142">
        <v>9.71557280728E11</v>
      </c>
    </row>
    <row r="17" ht="15.75" customHeight="1">
      <c r="A17" s="36">
        <v>16.0</v>
      </c>
      <c r="B17" s="159" t="s">
        <v>5130</v>
      </c>
      <c r="C17" s="142">
        <v>9.66552535022E11</v>
      </c>
    </row>
    <row r="18" ht="15.75" customHeight="1">
      <c r="A18" s="36">
        <v>17.0</v>
      </c>
      <c r="B18" s="159" t="s">
        <v>5133</v>
      </c>
      <c r="C18" s="142">
        <v>9.71506260066E11</v>
      </c>
    </row>
    <row r="19" ht="15.75" customHeight="1">
      <c r="A19" s="36">
        <v>18.0</v>
      </c>
      <c r="B19" s="159" t="s">
        <v>5136</v>
      </c>
      <c r="C19" s="142">
        <v>9.16263833046E11</v>
      </c>
    </row>
    <row r="20" ht="15.75" customHeight="1">
      <c r="A20" s="36">
        <v>19.0</v>
      </c>
      <c r="B20" s="159" t="s">
        <v>5140</v>
      </c>
      <c r="C20" s="142">
        <v>9.66534400587E11</v>
      </c>
    </row>
    <row r="21" ht="15.75" customHeight="1">
      <c r="A21" s="36">
        <v>20.0</v>
      </c>
      <c r="B21" s="159" t="s">
        <v>5143</v>
      </c>
      <c r="C21" s="142">
        <v>8.9219950706E10</v>
      </c>
    </row>
    <row r="22" ht="15.75" customHeight="1">
      <c r="A22" s="36">
        <v>21.0</v>
      </c>
      <c r="B22" s="159" t="s">
        <v>5146</v>
      </c>
      <c r="C22" s="142">
        <v>9.71558855648E11</v>
      </c>
    </row>
    <row r="23" ht="15.75" customHeight="1">
      <c r="A23" s="36">
        <v>22.0</v>
      </c>
      <c r="B23" s="159" t="s">
        <v>5149</v>
      </c>
      <c r="C23" s="142">
        <v>9.1976761071E11</v>
      </c>
    </row>
    <row r="24" ht="15.75" customHeight="1">
      <c r="A24" s="36">
        <v>23.0</v>
      </c>
      <c r="B24" s="159" t="s">
        <v>5152</v>
      </c>
      <c r="C24" s="142">
        <v>7.7770130091E10</v>
      </c>
    </row>
    <row r="25" ht="15.75" customHeight="1">
      <c r="A25" s="36">
        <v>24.0</v>
      </c>
      <c r="B25" s="159" t="s">
        <v>5155</v>
      </c>
      <c r="C25" s="142">
        <v>9.23008562232E11</v>
      </c>
    </row>
    <row r="26" ht="15.75" customHeight="1">
      <c r="A26" s="36">
        <v>25.0</v>
      </c>
      <c r="B26" s="159" t="s">
        <v>5159</v>
      </c>
      <c r="C26" s="142">
        <v>3.93357722159E11</v>
      </c>
    </row>
    <row r="27" ht="15.75" customHeight="1">
      <c r="A27" s="36">
        <v>26.0</v>
      </c>
      <c r="B27" s="159" t="s">
        <v>5162</v>
      </c>
      <c r="C27" s="142"/>
    </row>
    <row r="28" ht="15.75" customHeight="1">
      <c r="A28" s="36">
        <v>27.0</v>
      </c>
      <c r="B28" s="159" t="s">
        <v>5164</v>
      </c>
      <c r="C28" s="142"/>
    </row>
    <row r="29" ht="15.75" customHeight="1">
      <c r="A29" s="36">
        <v>28.0</v>
      </c>
      <c r="B29" s="159" t="s">
        <v>5165</v>
      </c>
      <c r="C29" s="23" t="s">
        <v>5054</v>
      </c>
    </row>
    <row r="30" ht="15.75" customHeight="1">
      <c r="A30" s="36">
        <v>29.0</v>
      </c>
      <c r="B30" s="159" t="s">
        <v>5165</v>
      </c>
      <c r="C30" s="142">
        <v>1.706565065E9</v>
      </c>
    </row>
    <row r="31" ht="15.75" customHeight="1">
      <c r="A31" s="36">
        <v>30.0</v>
      </c>
      <c r="B31" s="159" t="s">
        <v>5167</v>
      </c>
      <c r="C31" s="142">
        <v>4.47411906649E11</v>
      </c>
    </row>
    <row r="32" ht="15.75" customHeight="1">
      <c r="A32" s="36">
        <v>31.0</v>
      </c>
      <c r="B32" s="159" t="s">
        <v>5171</v>
      </c>
      <c r="C32" s="142">
        <v>9.19820608248E11</v>
      </c>
    </row>
    <row r="33" ht="15.75" customHeight="1">
      <c r="A33" s="36">
        <v>32.0</v>
      </c>
      <c r="B33" s="159" t="s">
        <v>5172</v>
      </c>
      <c r="C33" s="142">
        <v>3.33408575044E11</v>
      </c>
    </row>
    <row r="34" ht="15.75" customHeight="1">
      <c r="A34" s="36">
        <v>33.0</v>
      </c>
      <c r="B34" s="159" t="s">
        <v>5173</v>
      </c>
      <c r="C34" s="142">
        <v>3.8641509732E10</v>
      </c>
    </row>
    <row r="35" ht="15.75" customHeight="1">
      <c r="A35" s="36">
        <v>34.0</v>
      </c>
      <c r="B35" s="159" t="s">
        <v>5174</v>
      </c>
      <c r="C35" s="142">
        <v>9.66555509081E11</v>
      </c>
    </row>
    <row r="36" ht="15.75" customHeight="1">
      <c r="A36" s="36">
        <v>35.0</v>
      </c>
      <c r="B36" s="159" t="s">
        <v>5175</v>
      </c>
      <c r="C36" s="142">
        <v>9.66553455543E11</v>
      </c>
    </row>
    <row r="37" ht="15.75" customHeight="1">
      <c r="A37" s="36">
        <v>36.0</v>
      </c>
      <c r="B37" s="159" t="s">
        <v>5176</v>
      </c>
      <c r="C37" s="142">
        <v>9.66544397272E11</v>
      </c>
    </row>
    <row r="38" ht="15.75" customHeight="1">
      <c r="A38" s="36">
        <v>37.0</v>
      </c>
      <c r="B38" s="159" t="s">
        <v>5177</v>
      </c>
      <c r="C38" s="142">
        <v>9.66540949488E11</v>
      </c>
    </row>
    <row r="39" ht="15.75" customHeight="1">
      <c r="A39" s="36">
        <v>38.0</v>
      </c>
      <c r="B39" s="159" t="s">
        <v>5178</v>
      </c>
      <c r="C39" s="142">
        <v>9.6597956688E10</v>
      </c>
    </row>
    <row r="40" ht="15.75" customHeight="1">
      <c r="A40" s="36">
        <v>39.0</v>
      </c>
      <c r="B40" s="159" t="s">
        <v>5179</v>
      </c>
      <c r="C40" s="23">
        <v>9.71563204135E11</v>
      </c>
    </row>
    <row r="41" ht="15.75" customHeight="1">
      <c r="A41" s="36">
        <v>40.0</v>
      </c>
      <c r="B41" s="159" t="s">
        <v>5180</v>
      </c>
      <c r="C41" s="23">
        <v>1.289189944E9</v>
      </c>
    </row>
    <row r="42" ht="15.75" customHeight="1">
      <c r="A42" s="36">
        <v>41.0</v>
      </c>
      <c r="B42" s="159" t="s">
        <v>5181</v>
      </c>
      <c r="C42" s="23">
        <v>3.2495264698E10</v>
      </c>
    </row>
    <row r="43" ht="15.75" customHeight="1">
      <c r="A43" s="36">
        <v>42.0</v>
      </c>
      <c r="B43" s="159" t="s">
        <v>5182</v>
      </c>
      <c r="C43" s="23">
        <v>1.73322077285E11</v>
      </c>
    </row>
    <row r="44" ht="15.75" customHeight="1">
      <c r="A44" s="36">
        <v>43.0</v>
      </c>
      <c r="B44" s="159" t="s">
        <v>5183</v>
      </c>
      <c r="C44" s="23">
        <v>9.0850560075E11</v>
      </c>
    </row>
    <row r="45" ht="15.75" customHeight="1">
      <c r="A45" s="36">
        <v>44.0</v>
      </c>
      <c r="B45" s="159" t="s">
        <v>5184</v>
      </c>
      <c r="C45" s="23">
        <v>9.96541779922E11</v>
      </c>
    </row>
    <row r="46" ht="15.75" customHeight="1">
      <c r="A46" s="36">
        <v>45.0</v>
      </c>
      <c r="B46" s="159" t="s">
        <v>5185</v>
      </c>
      <c r="C46" s="23">
        <v>7.7071076141E10</v>
      </c>
    </row>
    <row r="47" ht="15.75" customHeight="1">
      <c r="A47" s="36">
        <v>46.0</v>
      </c>
      <c r="B47" s="159" t="s">
        <v>5186</v>
      </c>
      <c r="C47" s="70">
        <v>9.7154407935E11</v>
      </c>
    </row>
    <row r="48" ht="15.75" customHeight="1">
      <c r="A48" s="36">
        <v>47.0</v>
      </c>
      <c r="B48" s="159" t="s">
        <v>5187</v>
      </c>
      <c r="C48" s="70">
        <v>4.6733442705E10</v>
      </c>
    </row>
    <row r="49" ht="15.75" customHeight="1">
      <c r="A49" s="36">
        <v>48.0</v>
      </c>
      <c r="B49" s="159" t="s">
        <v>5188</v>
      </c>
      <c r="C49" s="70">
        <v>9.71509231169E11</v>
      </c>
    </row>
    <row r="50" ht="15.75" customHeight="1">
      <c r="A50" s="36">
        <v>49.0</v>
      </c>
      <c r="B50" s="159" t="s">
        <v>5189</v>
      </c>
      <c r="C50" s="70">
        <v>4.917623296166E12</v>
      </c>
    </row>
    <row r="51" ht="15.75" customHeight="1">
      <c r="A51" s="36">
        <v>50.0</v>
      </c>
      <c r="B51" s="159" t="s">
        <v>5190</v>
      </c>
      <c r="C51" s="70">
        <v>8.9098541955E10</v>
      </c>
    </row>
    <row r="52" ht="15.75" customHeight="1">
      <c r="A52" s="36">
        <v>51.0</v>
      </c>
      <c r="B52" s="159" t="s">
        <v>5191</v>
      </c>
      <c r="C52" s="23">
        <v>9.6892321514E10</v>
      </c>
    </row>
    <row r="53" ht="15.75" customHeight="1">
      <c r="A53" s="36">
        <v>52.0</v>
      </c>
      <c r="B53" s="159" t="s">
        <v>5192</v>
      </c>
      <c r="C53" s="23">
        <v>2.13550556333E11</v>
      </c>
    </row>
    <row r="54" ht="15.75" customHeight="1">
      <c r="A54" s="36">
        <v>53.0</v>
      </c>
      <c r="B54" s="159" t="s">
        <v>5193</v>
      </c>
      <c r="C54" s="23">
        <v>3.3651820238E10</v>
      </c>
    </row>
    <row r="55" ht="15.75" customHeight="1">
      <c r="A55" s="36">
        <v>54.0</v>
      </c>
      <c r="B55" s="159" t="s">
        <v>5194</v>
      </c>
      <c r="C55" s="23">
        <v>2.1226141079E10</v>
      </c>
    </row>
    <row r="56" ht="15.75" customHeight="1">
      <c r="A56" s="36">
        <v>55.0</v>
      </c>
      <c r="B56" s="159" t="s">
        <v>5195</v>
      </c>
      <c r="C56" s="23">
        <v>2.348060299137E12</v>
      </c>
    </row>
    <row r="57" ht="15.75" customHeight="1">
      <c r="A57" s="36">
        <v>56.0</v>
      </c>
      <c r="B57" s="159" t="s">
        <v>5196</v>
      </c>
      <c r="C57" s="23"/>
    </row>
    <row r="58" ht="15.75" customHeight="1">
      <c r="A58" s="36">
        <v>57.0</v>
      </c>
      <c r="B58" s="159" t="s">
        <v>5197</v>
      </c>
      <c r="C58" s="23">
        <v>9.6659888883E11</v>
      </c>
    </row>
    <row r="59" ht="15.75" customHeight="1">
      <c r="A59" s="36">
        <v>58.0</v>
      </c>
      <c r="B59" s="164" t="s">
        <v>5198</v>
      </c>
      <c r="C59" s="23">
        <v>9.19819836577E11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4 C6:C28 C30:C39">
    <cfRule type="notContainsBlanks" dxfId="0" priority="1">
      <formula>LEN(TRIM(C2))&gt;0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5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32.57"/>
    <col customWidth="1" min="3" max="3" width="18.86"/>
    <col customWidth="1" min="4" max="4" width="14.0"/>
    <col customWidth="1" min="5" max="5" width="7.57"/>
    <col customWidth="1" min="6" max="6" width="8.29"/>
    <col customWidth="1" min="7" max="7" width="5.29"/>
  </cols>
  <sheetData>
    <row r="1" ht="15.75" customHeight="1">
      <c r="A1" s="21" t="s">
        <v>110</v>
      </c>
      <c r="B1" s="51" t="s">
        <v>111</v>
      </c>
      <c r="C1" s="51" t="s">
        <v>4970</v>
      </c>
      <c r="D1" s="51" t="s">
        <v>185</v>
      </c>
      <c r="E1" s="51" t="s">
        <v>186</v>
      </c>
      <c r="F1" s="51" t="s">
        <v>186</v>
      </c>
      <c r="G1" s="5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ht="15.75" customHeight="1">
      <c r="A2" s="36" t="s">
        <v>3889</v>
      </c>
      <c r="B2" s="48" t="s">
        <v>3890</v>
      </c>
      <c r="C2" s="63"/>
      <c r="D2" s="48" t="s">
        <v>1033</v>
      </c>
      <c r="E2" s="48" t="s">
        <v>5199</v>
      </c>
      <c r="F2" s="48"/>
      <c r="G2" s="48">
        <v>1.0</v>
      </c>
    </row>
    <row r="3" ht="15.75" customHeight="1">
      <c r="A3" s="31" t="s">
        <v>3891</v>
      </c>
      <c r="B3" s="34" t="s">
        <v>3384</v>
      </c>
      <c r="C3" s="35" t="s">
        <v>3892</v>
      </c>
      <c r="D3" s="34" t="s">
        <v>1033</v>
      </c>
      <c r="E3" s="48" t="s">
        <v>5199</v>
      </c>
      <c r="F3" s="48" t="s">
        <v>864</v>
      </c>
      <c r="G3" s="48">
        <v>2.0</v>
      </c>
    </row>
    <row r="4" ht="15.75" customHeight="1">
      <c r="A4" s="31" t="s">
        <v>2380</v>
      </c>
      <c r="B4" s="34" t="s">
        <v>1484</v>
      </c>
      <c r="C4" s="35" t="s">
        <v>4063</v>
      </c>
      <c r="D4" s="34" t="s">
        <v>949</v>
      </c>
      <c r="E4" s="48" t="s">
        <v>5199</v>
      </c>
      <c r="F4" s="48" t="s">
        <v>864</v>
      </c>
      <c r="G4" s="48">
        <v>3.0</v>
      </c>
      <c r="L4" s="36"/>
      <c r="M4" s="36"/>
      <c r="N4" s="36"/>
    </row>
    <row r="5" ht="15.75" customHeight="1">
      <c r="A5" s="31" t="s">
        <v>946</v>
      </c>
      <c r="B5" s="34" t="s">
        <v>2382</v>
      </c>
      <c r="C5" s="35" t="s">
        <v>948</v>
      </c>
      <c r="D5" s="34" t="s">
        <v>949</v>
      </c>
      <c r="E5" s="48" t="s">
        <v>5199</v>
      </c>
      <c r="F5" s="48" t="s">
        <v>5200</v>
      </c>
      <c r="G5" s="48">
        <v>4.0</v>
      </c>
      <c r="L5" s="36"/>
      <c r="M5" s="36"/>
      <c r="N5" s="36"/>
    </row>
    <row r="6" ht="15.75" customHeight="1">
      <c r="A6" s="31" t="s">
        <v>2384</v>
      </c>
      <c r="B6" s="34"/>
      <c r="C6" s="35" t="s">
        <v>4064</v>
      </c>
      <c r="D6" s="34" t="s">
        <v>949</v>
      </c>
      <c r="E6" s="48" t="s">
        <v>5199</v>
      </c>
      <c r="F6" s="48" t="s">
        <v>5200</v>
      </c>
      <c r="G6" s="48">
        <v>5.0</v>
      </c>
    </row>
    <row r="7" ht="15.75" customHeight="1">
      <c r="A7" s="31" t="s">
        <v>2387</v>
      </c>
      <c r="B7" s="34" t="s">
        <v>2388</v>
      </c>
      <c r="C7" s="35" t="s">
        <v>2381</v>
      </c>
      <c r="D7" s="34" t="s">
        <v>949</v>
      </c>
      <c r="E7" s="48" t="s">
        <v>5199</v>
      </c>
      <c r="F7" s="48" t="s">
        <v>5200</v>
      </c>
      <c r="G7" s="48">
        <v>6.0</v>
      </c>
      <c r="L7" s="36"/>
      <c r="M7" s="36"/>
      <c r="N7" s="36"/>
    </row>
    <row r="8" ht="15.75" customHeight="1">
      <c r="A8" s="31" t="s">
        <v>4065</v>
      </c>
      <c r="B8" s="34"/>
      <c r="C8" s="35" t="s">
        <v>2386</v>
      </c>
      <c r="D8" s="34" t="s">
        <v>949</v>
      </c>
      <c r="E8" s="48" t="s">
        <v>5199</v>
      </c>
      <c r="F8" s="48" t="s">
        <v>5200</v>
      </c>
      <c r="G8" s="48">
        <v>7.0</v>
      </c>
    </row>
    <row r="9" ht="15.75" customHeight="1">
      <c r="A9" s="31" t="s">
        <v>2392</v>
      </c>
      <c r="B9" s="34"/>
      <c r="C9" s="35" t="s">
        <v>2389</v>
      </c>
      <c r="D9" s="34" t="s">
        <v>949</v>
      </c>
      <c r="E9" s="48" t="s">
        <v>5199</v>
      </c>
      <c r="F9" s="48" t="s">
        <v>5200</v>
      </c>
      <c r="G9" s="48">
        <v>8.0</v>
      </c>
    </row>
    <row r="10" ht="15.75" customHeight="1">
      <c r="A10" s="36" t="s">
        <v>2395</v>
      </c>
      <c r="B10" s="48"/>
      <c r="C10" s="62" t="s">
        <v>2391</v>
      </c>
      <c r="D10" s="48" t="s">
        <v>949</v>
      </c>
      <c r="E10" s="48" t="s">
        <v>5199</v>
      </c>
      <c r="F10" s="48" t="s">
        <v>94</v>
      </c>
      <c r="G10" s="48">
        <v>9.0</v>
      </c>
    </row>
    <row r="11" ht="15.75" customHeight="1">
      <c r="A11" s="36" t="s">
        <v>2396</v>
      </c>
      <c r="B11" s="48" t="s">
        <v>4066</v>
      </c>
      <c r="C11" s="62" t="s">
        <v>2394</v>
      </c>
      <c r="D11" s="48" t="s">
        <v>949</v>
      </c>
      <c r="E11" s="48" t="s">
        <v>5199</v>
      </c>
      <c r="F11" s="48" t="s">
        <v>94</v>
      </c>
      <c r="G11" s="48">
        <v>10.0</v>
      </c>
    </row>
    <row r="12" ht="15.75" customHeight="1">
      <c r="A12" s="36" t="s">
        <v>2399</v>
      </c>
      <c r="B12" s="48" t="s">
        <v>2400</v>
      </c>
      <c r="C12" s="48" t="s">
        <v>717</v>
      </c>
      <c r="D12" s="48" t="s">
        <v>949</v>
      </c>
      <c r="E12" s="48" t="s">
        <v>5199</v>
      </c>
      <c r="F12" s="48" t="s">
        <v>94</v>
      </c>
      <c r="G12" s="48">
        <v>11.0</v>
      </c>
    </row>
    <row r="13" ht="15.75" customHeight="1">
      <c r="A13" s="36" t="s">
        <v>4067</v>
      </c>
      <c r="B13" s="48" t="s">
        <v>198</v>
      </c>
      <c r="C13" s="62" t="s">
        <v>2402</v>
      </c>
      <c r="D13" s="48" t="s">
        <v>949</v>
      </c>
      <c r="E13" s="48" t="s">
        <v>5199</v>
      </c>
      <c r="F13" s="48" t="s">
        <v>94</v>
      </c>
      <c r="G13" s="48">
        <v>12.0</v>
      </c>
    </row>
    <row r="14" ht="15.75" customHeight="1">
      <c r="A14" s="36" t="s">
        <v>4068</v>
      </c>
      <c r="B14" s="48" t="s">
        <v>4069</v>
      </c>
      <c r="C14" s="62" t="s">
        <v>4070</v>
      </c>
      <c r="D14" s="48" t="s">
        <v>949</v>
      </c>
      <c r="E14" s="48" t="s">
        <v>5199</v>
      </c>
      <c r="F14" s="48" t="s">
        <v>94</v>
      </c>
      <c r="G14" s="48">
        <v>13.0</v>
      </c>
    </row>
    <row r="15" ht="15.75" customHeight="1">
      <c r="A15" s="36" t="s">
        <v>4071</v>
      </c>
      <c r="B15" s="48" t="s">
        <v>4072</v>
      </c>
      <c r="C15" s="62" t="s">
        <v>4073</v>
      </c>
      <c r="D15" s="48" t="s">
        <v>949</v>
      </c>
      <c r="E15" s="48" t="s">
        <v>5199</v>
      </c>
      <c r="F15" s="48" t="s">
        <v>94</v>
      </c>
      <c r="G15" s="48">
        <v>14.0</v>
      </c>
    </row>
    <row r="16" ht="15.75" customHeight="1">
      <c r="A16" s="36" t="s">
        <v>4074</v>
      </c>
      <c r="B16" s="48" t="s">
        <v>4075</v>
      </c>
      <c r="C16" s="62" t="s">
        <v>2398</v>
      </c>
      <c r="D16" s="48" t="s">
        <v>949</v>
      </c>
      <c r="E16" s="48" t="s">
        <v>5199</v>
      </c>
      <c r="F16" s="48"/>
      <c r="G16" s="48">
        <v>15.0</v>
      </c>
    </row>
    <row r="17" ht="15.75" customHeight="1">
      <c r="A17" s="36" t="s">
        <v>4076</v>
      </c>
      <c r="B17" s="48" t="s">
        <v>4077</v>
      </c>
      <c r="C17" s="48" t="s">
        <v>717</v>
      </c>
      <c r="D17" s="48" t="s">
        <v>949</v>
      </c>
      <c r="E17" s="48" t="s">
        <v>5199</v>
      </c>
      <c r="F17" s="48"/>
      <c r="G17" s="48">
        <v>16.0</v>
      </c>
    </row>
    <row r="18" ht="15.75" customHeight="1">
      <c r="A18" s="36" t="s">
        <v>4078</v>
      </c>
      <c r="B18" s="48" t="s">
        <v>4079</v>
      </c>
      <c r="C18" s="62" t="s">
        <v>4080</v>
      </c>
      <c r="D18" s="48" t="s">
        <v>949</v>
      </c>
      <c r="E18" s="48" t="s">
        <v>5199</v>
      </c>
      <c r="F18" s="48" t="s">
        <v>864</v>
      </c>
      <c r="G18" s="48">
        <v>17.0</v>
      </c>
    </row>
    <row r="19" ht="15.75" customHeight="1">
      <c r="A19" s="36" t="s">
        <v>4081</v>
      </c>
      <c r="B19" s="48" t="s">
        <v>4082</v>
      </c>
      <c r="C19" s="48" t="s">
        <v>717</v>
      </c>
      <c r="D19" s="48" t="s">
        <v>949</v>
      </c>
      <c r="E19" s="48" t="s">
        <v>5199</v>
      </c>
      <c r="F19" s="48"/>
      <c r="G19" s="48">
        <v>18.0</v>
      </c>
    </row>
    <row r="20" ht="15.75" customHeight="1">
      <c r="A20" s="38" t="s">
        <v>3662</v>
      </c>
      <c r="B20" s="93" t="s">
        <v>198</v>
      </c>
      <c r="C20" s="98" t="s">
        <v>3663</v>
      </c>
      <c r="D20" s="93" t="s">
        <v>3664</v>
      </c>
      <c r="E20" s="48" t="s">
        <v>5199</v>
      </c>
      <c r="F20" s="93" t="s">
        <v>5201</v>
      </c>
      <c r="G20" s="93">
        <v>19.0</v>
      </c>
    </row>
    <row r="21" ht="15.75" customHeight="1">
      <c r="A21" s="36" t="s">
        <v>3665</v>
      </c>
      <c r="B21" s="48" t="s">
        <v>3666</v>
      </c>
      <c r="C21" s="62" t="s">
        <v>3667</v>
      </c>
      <c r="D21" s="48" t="s">
        <v>3664</v>
      </c>
      <c r="E21" s="48" t="s">
        <v>5199</v>
      </c>
      <c r="F21" s="48" t="s">
        <v>5157</v>
      </c>
      <c r="G21" s="48">
        <v>20.0</v>
      </c>
    </row>
    <row r="22" ht="15.75" customHeight="1">
      <c r="A22" s="36" t="s">
        <v>3668</v>
      </c>
      <c r="B22" s="48" t="s">
        <v>3483</v>
      </c>
      <c r="C22" s="62" t="s">
        <v>3669</v>
      </c>
      <c r="D22" s="48" t="s">
        <v>3664</v>
      </c>
      <c r="E22" s="48" t="s">
        <v>5199</v>
      </c>
      <c r="F22" s="48" t="s">
        <v>5157</v>
      </c>
      <c r="G22" s="48">
        <v>21.0</v>
      </c>
    </row>
    <row r="23" ht="15.75" customHeight="1">
      <c r="A23" s="36" t="s">
        <v>3670</v>
      </c>
      <c r="B23" s="48" t="s">
        <v>3671</v>
      </c>
      <c r="C23" s="62" t="s">
        <v>3672</v>
      </c>
      <c r="D23" s="48" t="s">
        <v>3664</v>
      </c>
      <c r="E23" s="48" t="s">
        <v>5199</v>
      </c>
      <c r="F23" s="48" t="s">
        <v>5157</v>
      </c>
      <c r="G23" s="48">
        <v>22.0</v>
      </c>
    </row>
    <row r="24" ht="15.75" customHeight="1">
      <c r="A24" s="36" t="s">
        <v>4808</v>
      </c>
      <c r="B24" s="48" t="s">
        <v>4809</v>
      </c>
      <c r="C24" s="62" t="s">
        <v>4810</v>
      </c>
      <c r="D24" s="48" t="s">
        <v>1074</v>
      </c>
      <c r="E24" s="48" t="s">
        <v>5199</v>
      </c>
      <c r="F24" s="48"/>
      <c r="G24" s="48">
        <v>23.0</v>
      </c>
    </row>
    <row r="25" ht="15.75" customHeight="1">
      <c r="A25" s="36" t="s">
        <v>4816</v>
      </c>
      <c r="B25" s="48" t="s">
        <v>4817</v>
      </c>
      <c r="C25" s="62" t="s">
        <v>4818</v>
      </c>
      <c r="D25" s="48" t="s">
        <v>1074</v>
      </c>
      <c r="E25" s="48" t="s">
        <v>5199</v>
      </c>
      <c r="F25" s="48"/>
      <c r="G25" s="48">
        <v>24.0</v>
      </c>
    </row>
    <row r="26" ht="15.75" customHeight="1">
      <c r="A26" s="36" t="s">
        <v>3817</v>
      </c>
      <c r="B26" s="48" t="s">
        <v>717</v>
      </c>
      <c r="C26" s="62" t="s">
        <v>3818</v>
      </c>
      <c r="D26" s="48" t="s">
        <v>888</v>
      </c>
      <c r="E26" s="48" t="s">
        <v>5199</v>
      </c>
      <c r="F26" s="48" t="s">
        <v>101</v>
      </c>
      <c r="G26" s="48">
        <v>25.0</v>
      </c>
    </row>
    <row r="27" ht="15.75" customHeight="1">
      <c r="A27" s="36" t="s">
        <v>3819</v>
      </c>
      <c r="B27" s="48" t="s">
        <v>198</v>
      </c>
      <c r="C27" s="62" t="s">
        <v>3820</v>
      </c>
      <c r="D27" s="48" t="s">
        <v>888</v>
      </c>
      <c r="E27" s="48" t="s">
        <v>5199</v>
      </c>
      <c r="F27" s="48" t="s">
        <v>101</v>
      </c>
      <c r="G27" s="48">
        <v>26.0</v>
      </c>
    </row>
    <row r="28" ht="15.75" customHeight="1">
      <c r="A28" s="36" t="s">
        <v>3821</v>
      </c>
      <c r="B28" s="48" t="s">
        <v>717</v>
      </c>
      <c r="C28" s="62" t="s">
        <v>3822</v>
      </c>
      <c r="D28" s="48" t="s">
        <v>888</v>
      </c>
      <c r="E28" s="48" t="s">
        <v>5199</v>
      </c>
      <c r="F28" s="48" t="s">
        <v>101</v>
      </c>
      <c r="G28" s="48">
        <v>27.0</v>
      </c>
    </row>
    <row r="29" ht="15.75" customHeight="1">
      <c r="A29" s="36" t="s">
        <v>3823</v>
      </c>
      <c r="B29" s="48" t="s">
        <v>717</v>
      </c>
      <c r="C29" s="62" t="s">
        <v>3824</v>
      </c>
      <c r="D29" s="48" t="s">
        <v>888</v>
      </c>
      <c r="E29" s="48" t="s">
        <v>5199</v>
      </c>
      <c r="F29" s="48" t="s">
        <v>101</v>
      </c>
      <c r="G29" s="48">
        <v>28.0</v>
      </c>
    </row>
    <row r="30" ht="15.75" customHeight="1">
      <c r="A30" s="36" t="s">
        <v>3825</v>
      </c>
      <c r="B30" s="48" t="s">
        <v>198</v>
      </c>
      <c r="C30" s="62" t="s">
        <v>3826</v>
      </c>
      <c r="D30" s="48" t="s">
        <v>888</v>
      </c>
      <c r="E30" s="48" t="s">
        <v>5199</v>
      </c>
      <c r="F30" s="48" t="s">
        <v>101</v>
      </c>
      <c r="G30" s="48">
        <v>29.0</v>
      </c>
    </row>
    <row r="31" ht="15.75" customHeight="1">
      <c r="A31" s="36" t="s">
        <v>3827</v>
      </c>
      <c r="B31" s="48" t="s">
        <v>198</v>
      </c>
      <c r="C31" s="62" t="s">
        <v>3828</v>
      </c>
      <c r="D31" s="48" t="s">
        <v>888</v>
      </c>
      <c r="E31" s="48" t="s">
        <v>5199</v>
      </c>
      <c r="F31" s="48"/>
      <c r="G31" s="48">
        <v>30.0</v>
      </c>
    </row>
    <row r="32" ht="15.75" customHeight="1">
      <c r="A32" s="31" t="s">
        <v>3814</v>
      </c>
      <c r="B32" s="34" t="s">
        <v>198</v>
      </c>
      <c r="C32" s="35" t="s">
        <v>3815</v>
      </c>
      <c r="D32" s="34" t="s">
        <v>3816</v>
      </c>
      <c r="E32" s="48" t="s">
        <v>5199</v>
      </c>
      <c r="F32" s="48"/>
      <c r="G32" s="48">
        <v>31.0</v>
      </c>
    </row>
    <row r="33" ht="15.75" customHeight="1">
      <c r="A33" s="36" t="s">
        <v>3811</v>
      </c>
      <c r="B33" s="48" t="s">
        <v>3812</v>
      </c>
      <c r="C33" s="63" t="s">
        <v>198</v>
      </c>
      <c r="D33" s="48" t="s">
        <v>3813</v>
      </c>
      <c r="E33" s="48" t="s">
        <v>5199</v>
      </c>
      <c r="F33" s="48"/>
      <c r="G33" s="48">
        <v>32.0</v>
      </c>
    </row>
    <row r="34" ht="15.75" customHeight="1">
      <c r="A34" s="42" t="s">
        <v>471</v>
      </c>
      <c r="B34" s="48" t="s">
        <v>198</v>
      </c>
      <c r="C34" s="62" t="s">
        <v>3764</v>
      </c>
      <c r="D34" s="48" t="s">
        <v>1093</v>
      </c>
      <c r="E34" s="48" t="s">
        <v>5199</v>
      </c>
      <c r="F34" s="48" t="s">
        <v>101</v>
      </c>
      <c r="G34" s="48">
        <v>33.0</v>
      </c>
    </row>
    <row r="35" ht="15.75" customHeight="1">
      <c r="A35" s="42" t="s">
        <v>3765</v>
      </c>
      <c r="B35" s="48" t="s">
        <v>3766</v>
      </c>
      <c r="C35" s="62" t="s">
        <v>3767</v>
      </c>
      <c r="D35" s="48" t="s">
        <v>1093</v>
      </c>
      <c r="E35" s="48" t="s">
        <v>5199</v>
      </c>
      <c r="F35" s="48"/>
      <c r="G35" s="48">
        <v>34.0</v>
      </c>
    </row>
    <row r="36" ht="15.75" customHeight="1">
      <c r="A36" s="42" t="s">
        <v>3768</v>
      </c>
      <c r="B36" s="48" t="s">
        <v>3769</v>
      </c>
      <c r="C36" s="48" t="s">
        <v>139</v>
      </c>
      <c r="D36" s="48" t="s">
        <v>1093</v>
      </c>
      <c r="E36" s="48" t="s">
        <v>5199</v>
      </c>
      <c r="F36" s="48"/>
      <c r="G36" s="48">
        <v>35.0</v>
      </c>
    </row>
    <row r="37" ht="15.75" customHeight="1">
      <c r="A37" s="42" t="s">
        <v>3770</v>
      </c>
      <c r="B37" s="48" t="s">
        <v>3771</v>
      </c>
      <c r="C37" s="48" t="s">
        <v>139</v>
      </c>
      <c r="D37" s="48" t="s">
        <v>1093</v>
      </c>
      <c r="E37" s="48" t="s">
        <v>5199</v>
      </c>
      <c r="F37" s="48"/>
      <c r="G37" s="48">
        <v>36.0</v>
      </c>
    </row>
    <row r="38" ht="15.75" customHeight="1">
      <c r="A38" s="42" t="s">
        <v>3772</v>
      </c>
      <c r="B38" s="48" t="s">
        <v>3773</v>
      </c>
      <c r="C38" s="62" t="s">
        <v>3774</v>
      </c>
      <c r="D38" s="48" t="s">
        <v>1093</v>
      </c>
      <c r="E38" s="48" t="s">
        <v>5199</v>
      </c>
      <c r="F38" s="48"/>
      <c r="G38" s="48">
        <v>37.0</v>
      </c>
    </row>
    <row r="39" ht="15.75" customHeight="1">
      <c r="A39" s="31" t="s">
        <v>3775</v>
      </c>
      <c r="B39" s="34" t="s">
        <v>3776</v>
      </c>
      <c r="C39" s="35" t="s">
        <v>3777</v>
      </c>
      <c r="D39" s="48" t="s">
        <v>1093</v>
      </c>
      <c r="E39" s="48" t="s">
        <v>5199</v>
      </c>
      <c r="F39" s="48" t="s">
        <v>5202</v>
      </c>
      <c r="G39" s="48">
        <v>38.0</v>
      </c>
    </row>
    <row r="40" ht="15.75" customHeight="1">
      <c r="A40" s="31" t="s">
        <v>3778</v>
      </c>
      <c r="B40" s="34" t="s">
        <v>3779</v>
      </c>
      <c r="C40" s="35" t="s">
        <v>3780</v>
      </c>
      <c r="D40" s="48" t="s">
        <v>1093</v>
      </c>
      <c r="E40" s="48" t="s">
        <v>5199</v>
      </c>
      <c r="F40" s="48" t="s">
        <v>5202</v>
      </c>
      <c r="G40" s="48">
        <v>39.0</v>
      </c>
    </row>
    <row r="41" ht="15.75" customHeight="1">
      <c r="A41" s="31" t="s">
        <v>3781</v>
      </c>
      <c r="B41" s="34" t="s">
        <v>3782</v>
      </c>
      <c r="C41" s="35" t="s">
        <v>3783</v>
      </c>
      <c r="D41" s="48" t="s">
        <v>1093</v>
      </c>
      <c r="E41" s="48" t="s">
        <v>5199</v>
      </c>
      <c r="F41" s="48" t="s">
        <v>5202</v>
      </c>
      <c r="G41" s="48">
        <v>40.0</v>
      </c>
    </row>
    <row r="42" ht="15.75" customHeight="1">
      <c r="A42" s="31" t="s">
        <v>3784</v>
      </c>
      <c r="B42" s="34" t="s">
        <v>3785</v>
      </c>
      <c r="C42" s="35" t="s">
        <v>3786</v>
      </c>
      <c r="D42" s="48" t="s">
        <v>1093</v>
      </c>
      <c r="E42" s="48" t="s">
        <v>5199</v>
      </c>
      <c r="F42" s="48" t="s">
        <v>5202</v>
      </c>
      <c r="G42" s="48">
        <v>41.0</v>
      </c>
    </row>
    <row r="43" ht="15.75" customHeight="1">
      <c r="A43" s="31" t="s">
        <v>3787</v>
      </c>
      <c r="B43" s="34" t="s">
        <v>3788</v>
      </c>
      <c r="C43" s="35" t="s">
        <v>3789</v>
      </c>
      <c r="D43" s="48" t="s">
        <v>1093</v>
      </c>
      <c r="E43" s="48" t="s">
        <v>5199</v>
      </c>
      <c r="F43" s="48" t="s">
        <v>5202</v>
      </c>
      <c r="G43" s="48">
        <v>42.0</v>
      </c>
    </row>
    <row r="44" ht="15.75" customHeight="1">
      <c r="A44" s="42" t="s">
        <v>3790</v>
      </c>
      <c r="B44" s="48" t="s">
        <v>3791</v>
      </c>
      <c r="C44" s="48" t="s">
        <v>198</v>
      </c>
      <c r="D44" s="48" t="s">
        <v>1093</v>
      </c>
      <c r="E44" s="48" t="s">
        <v>5199</v>
      </c>
      <c r="F44" s="48"/>
      <c r="G44" s="48">
        <v>43.0</v>
      </c>
    </row>
    <row r="45" ht="15.75" customHeight="1">
      <c r="A45" s="42" t="s">
        <v>3792</v>
      </c>
      <c r="B45" s="48" t="s">
        <v>3793</v>
      </c>
      <c r="C45" s="62" t="s">
        <v>3794</v>
      </c>
      <c r="D45" s="48" t="s">
        <v>1093</v>
      </c>
      <c r="E45" s="48" t="s">
        <v>5199</v>
      </c>
      <c r="F45" s="48" t="s">
        <v>4977</v>
      </c>
      <c r="G45" s="48">
        <v>44.0</v>
      </c>
    </row>
    <row r="46" ht="15.75" customHeight="1">
      <c r="A46" s="31" t="s">
        <v>3795</v>
      </c>
      <c r="B46" s="34" t="s">
        <v>198</v>
      </c>
      <c r="C46" s="35" t="s">
        <v>3796</v>
      </c>
      <c r="D46" s="34" t="s">
        <v>3797</v>
      </c>
      <c r="E46" s="48" t="s">
        <v>5199</v>
      </c>
      <c r="F46" s="34" t="s">
        <v>5125</v>
      </c>
      <c r="G46" s="48">
        <v>45.0</v>
      </c>
    </row>
    <row r="47" ht="15.75" customHeight="1">
      <c r="A47" s="31" t="s">
        <v>3798</v>
      </c>
      <c r="B47" s="34" t="s">
        <v>3799</v>
      </c>
      <c r="C47" s="35" t="s">
        <v>3800</v>
      </c>
      <c r="D47" s="34" t="s">
        <v>3797</v>
      </c>
      <c r="E47" s="48" t="s">
        <v>5199</v>
      </c>
      <c r="F47" s="34" t="s">
        <v>5125</v>
      </c>
      <c r="G47" s="48">
        <v>46.0</v>
      </c>
    </row>
    <row r="48" ht="15.75" customHeight="1">
      <c r="A48" s="31" t="s">
        <v>3801</v>
      </c>
      <c r="B48" s="34" t="s">
        <v>3802</v>
      </c>
      <c r="C48" s="35" t="s">
        <v>3803</v>
      </c>
      <c r="D48" s="34" t="s">
        <v>3797</v>
      </c>
      <c r="E48" s="48" t="s">
        <v>5199</v>
      </c>
      <c r="F48" s="34" t="s">
        <v>5125</v>
      </c>
      <c r="G48" s="48">
        <v>47.0</v>
      </c>
    </row>
    <row r="49" ht="15.75" customHeight="1">
      <c r="A49" s="31" t="s">
        <v>3804</v>
      </c>
      <c r="B49" s="34" t="s">
        <v>478</v>
      </c>
      <c r="C49" s="35" t="s">
        <v>3805</v>
      </c>
      <c r="D49" s="34" t="s">
        <v>3797</v>
      </c>
      <c r="E49" s="48" t="s">
        <v>5199</v>
      </c>
      <c r="F49" s="34" t="s">
        <v>5125</v>
      </c>
      <c r="G49" s="48">
        <v>48.0</v>
      </c>
    </row>
    <row r="50" ht="15.75" customHeight="1">
      <c r="A50" s="31" t="s">
        <v>3806</v>
      </c>
      <c r="B50" s="34" t="s">
        <v>1798</v>
      </c>
      <c r="C50" s="35" t="s">
        <v>3807</v>
      </c>
      <c r="D50" s="34" t="s">
        <v>3797</v>
      </c>
      <c r="E50" s="48" t="s">
        <v>5199</v>
      </c>
      <c r="F50" s="34" t="s">
        <v>5125</v>
      </c>
      <c r="G50" s="48">
        <v>49.0</v>
      </c>
    </row>
    <row r="51" ht="15.75" customHeight="1">
      <c r="A51" s="31" t="s">
        <v>3808</v>
      </c>
      <c r="B51" s="34" t="s">
        <v>3809</v>
      </c>
      <c r="C51" s="35" t="s">
        <v>3810</v>
      </c>
      <c r="D51" s="34" t="s">
        <v>3797</v>
      </c>
      <c r="E51" s="48" t="s">
        <v>5199</v>
      </c>
      <c r="F51" s="34" t="s">
        <v>5125</v>
      </c>
      <c r="G51" s="48">
        <v>50.0</v>
      </c>
    </row>
    <row r="52" ht="15.75" customHeight="1">
      <c r="A52" s="36" t="s">
        <v>4799</v>
      </c>
      <c r="B52" s="48"/>
      <c r="C52" s="62" t="s">
        <v>4800</v>
      </c>
      <c r="D52" s="48" t="s">
        <v>931</v>
      </c>
      <c r="E52" s="48" t="s">
        <v>5199</v>
      </c>
      <c r="F52" s="48" t="s">
        <v>864</v>
      </c>
      <c r="G52" s="48">
        <v>51.0</v>
      </c>
    </row>
    <row r="53" ht="15.75" customHeight="1">
      <c r="A53" s="36" t="s">
        <v>4243</v>
      </c>
      <c r="B53" s="48" t="s">
        <v>4244</v>
      </c>
      <c r="C53" s="62" t="s">
        <v>4245</v>
      </c>
      <c r="D53" s="48" t="s">
        <v>2960</v>
      </c>
      <c r="E53" s="48" t="s">
        <v>5199</v>
      </c>
      <c r="F53" s="48" t="s">
        <v>565</v>
      </c>
      <c r="G53" s="48">
        <v>52.0</v>
      </c>
    </row>
    <row r="54" ht="15.75" customHeight="1">
      <c r="A54" s="36" t="s">
        <v>2890</v>
      </c>
      <c r="B54" s="48"/>
      <c r="C54" s="62" t="s">
        <v>2891</v>
      </c>
      <c r="D54" s="48" t="s">
        <v>2892</v>
      </c>
      <c r="E54" s="48" t="s">
        <v>5199</v>
      </c>
      <c r="F54" s="48" t="s">
        <v>565</v>
      </c>
      <c r="G54" s="48">
        <v>53.0</v>
      </c>
    </row>
    <row r="55" ht="15.75" customHeight="1">
      <c r="A55" s="36" t="s">
        <v>2893</v>
      </c>
      <c r="B55" s="48" t="s">
        <v>2894</v>
      </c>
      <c r="C55" s="62" t="s">
        <v>2895</v>
      </c>
      <c r="D55" s="48" t="s">
        <v>2892</v>
      </c>
      <c r="E55" s="48" t="s">
        <v>5199</v>
      </c>
      <c r="F55" s="48" t="s">
        <v>565</v>
      </c>
      <c r="G55" s="48">
        <v>54.0</v>
      </c>
    </row>
    <row r="56" ht="15.75" customHeight="1">
      <c r="A56" s="36" t="s">
        <v>2896</v>
      </c>
      <c r="B56" s="48" t="s">
        <v>139</v>
      </c>
      <c r="C56" s="62" t="s">
        <v>2897</v>
      </c>
      <c r="D56" s="48" t="s">
        <v>2892</v>
      </c>
      <c r="E56" s="48" t="s">
        <v>5199</v>
      </c>
      <c r="F56" s="48" t="s">
        <v>4977</v>
      </c>
      <c r="G56" s="48">
        <v>55.0</v>
      </c>
    </row>
    <row r="57" ht="15.75" customHeight="1">
      <c r="A57" s="36" t="s">
        <v>2898</v>
      </c>
      <c r="B57" s="48" t="s">
        <v>2899</v>
      </c>
      <c r="C57" s="62" t="s">
        <v>2900</v>
      </c>
      <c r="D57" s="48" t="s">
        <v>2892</v>
      </c>
      <c r="E57" s="48" t="s">
        <v>5199</v>
      </c>
      <c r="F57" s="48"/>
      <c r="G57" s="48">
        <v>56.0</v>
      </c>
    </row>
    <row r="58" ht="15.75" customHeight="1">
      <c r="A58" s="36" t="s">
        <v>2901</v>
      </c>
      <c r="B58" s="48" t="s">
        <v>2902</v>
      </c>
      <c r="C58" s="48" t="s">
        <v>139</v>
      </c>
      <c r="D58" s="48" t="s">
        <v>2892</v>
      </c>
      <c r="E58" s="48" t="s">
        <v>5199</v>
      </c>
      <c r="F58" s="48"/>
      <c r="G58" s="48">
        <v>57.0</v>
      </c>
    </row>
    <row r="59" ht="15.75" customHeight="1">
      <c r="A59" s="36" t="s">
        <v>2903</v>
      </c>
      <c r="B59" s="48" t="s">
        <v>2904</v>
      </c>
      <c r="C59" s="48" t="s">
        <v>139</v>
      </c>
      <c r="D59" s="48" t="s">
        <v>2892</v>
      </c>
      <c r="E59" s="48" t="s">
        <v>5199</v>
      </c>
      <c r="F59" s="48"/>
      <c r="G59" s="48">
        <v>58.0</v>
      </c>
    </row>
    <row r="60" ht="15.75" customHeight="1">
      <c r="A60" s="36" t="s">
        <v>2905</v>
      </c>
      <c r="B60" s="48" t="s">
        <v>139</v>
      </c>
      <c r="C60" s="62" t="s">
        <v>2906</v>
      </c>
      <c r="D60" s="48" t="s">
        <v>2892</v>
      </c>
      <c r="E60" s="48" t="s">
        <v>5199</v>
      </c>
      <c r="F60" s="48"/>
      <c r="G60" s="48">
        <v>59.0</v>
      </c>
    </row>
    <row r="61" ht="15.75" customHeight="1">
      <c r="A61" s="36" t="s">
        <v>2907</v>
      </c>
      <c r="B61" s="48" t="s">
        <v>139</v>
      </c>
      <c r="C61" s="62" t="s">
        <v>2908</v>
      </c>
      <c r="D61" s="48" t="s">
        <v>2892</v>
      </c>
      <c r="E61" s="48" t="s">
        <v>5199</v>
      </c>
      <c r="F61" s="48" t="s">
        <v>4977</v>
      </c>
      <c r="G61" s="48">
        <v>60.0</v>
      </c>
    </row>
    <row r="62" ht="15.75" customHeight="1">
      <c r="A62" s="36" t="s">
        <v>2909</v>
      </c>
      <c r="B62" s="48" t="s">
        <v>2910</v>
      </c>
      <c r="C62" s="62" t="s">
        <v>2911</v>
      </c>
      <c r="D62" s="48" t="s">
        <v>2892</v>
      </c>
      <c r="E62" s="48" t="s">
        <v>5199</v>
      </c>
      <c r="F62" s="48" t="s">
        <v>4977</v>
      </c>
      <c r="G62" s="48">
        <v>61.0</v>
      </c>
    </row>
    <row r="63" ht="15.75" customHeight="1">
      <c r="A63" s="36" t="s">
        <v>2912</v>
      </c>
      <c r="B63" s="48" t="s">
        <v>2913</v>
      </c>
      <c r="C63" s="62" t="s">
        <v>2914</v>
      </c>
      <c r="D63" s="48" t="s">
        <v>2892</v>
      </c>
      <c r="E63" s="48" t="s">
        <v>5199</v>
      </c>
      <c r="F63" s="48" t="s">
        <v>4977</v>
      </c>
      <c r="G63" s="48">
        <v>62.0</v>
      </c>
    </row>
    <row r="64" ht="15.75" customHeight="1">
      <c r="A64" s="36" t="s">
        <v>2915</v>
      </c>
      <c r="B64" s="48" t="s">
        <v>2916</v>
      </c>
      <c r="C64" s="62" t="s">
        <v>2917</v>
      </c>
      <c r="D64" s="48" t="s">
        <v>2892</v>
      </c>
      <c r="E64" s="48" t="s">
        <v>5199</v>
      </c>
      <c r="F64" s="48" t="s">
        <v>482</v>
      </c>
      <c r="G64" s="48">
        <v>63.0</v>
      </c>
    </row>
    <row r="65" ht="15.75" customHeight="1">
      <c r="A65" s="36" t="s">
        <v>2872</v>
      </c>
      <c r="B65" s="48" t="s">
        <v>2873</v>
      </c>
      <c r="C65" s="62" t="s">
        <v>2874</v>
      </c>
      <c r="D65" s="48" t="s">
        <v>2875</v>
      </c>
      <c r="E65" s="48" t="s">
        <v>5199</v>
      </c>
      <c r="F65" s="48" t="s">
        <v>482</v>
      </c>
      <c r="G65" s="48">
        <v>64.0</v>
      </c>
    </row>
    <row r="66" ht="15.75" customHeight="1">
      <c r="A66" s="36" t="s">
        <v>2876</v>
      </c>
      <c r="B66" s="48" t="s">
        <v>2877</v>
      </c>
      <c r="C66" s="62" t="s">
        <v>2878</v>
      </c>
      <c r="D66" s="48" t="s">
        <v>2879</v>
      </c>
      <c r="E66" s="48" t="s">
        <v>5199</v>
      </c>
      <c r="F66" s="48"/>
      <c r="G66" s="48">
        <v>65.0</v>
      </c>
    </row>
    <row r="67" ht="15.75" customHeight="1">
      <c r="A67" s="31" t="s">
        <v>2880</v>
      </c>
      <c r="B67" s="34" t="s">
        <v>2881</v>
      </c>
      <c r="C67" s="35" t="s">
        <v>2882</v>
      </c>
      <c r="D67" s="34" t="s">
        <v>2875</v>
      </c>
      <c r="E67" s="48" t="s">
        <v>5199</v>
      </c>
      <c r="F67" s="48" t="s">
        <v>482</v>
      </c>
      <c r="G67" s="48">
        <v>66.0</v>
      </c>
    </row>
    <row r="68" ht="15.75" customHeight="1">
      <c r="A68" s="31" t="s">
        <v>2883</v>
      </c>
      <c r="B68" s="34" t="s">
        <v>2884</v>
      </c>
      <c r="C68" s="35" t="s">
        <v>2885</v>
      </c>
      <c r="D68" s="34" t="s">
        <v>2886</v>
      </c>
      <c r="E68" s="48" t="s">
        <v>5199</v>
      </c>
      <c r="F68" s="48" t="s">
        <v>482</v>
      </c>
      <c r="G68" s="48">
        <v>67.0</v>
      </c>
    </row>
    <row r="69" ht="15.75" customHeight="1">
      <c r="A69" s="31" t="s">
        <v>2780</v>
      </c>
      <c r="B69" s="34" t="s">
        <v>2781</v>
      </c>
      <c r="C69" s="35" t="s">
        <v>2782</v>
      </c>
      <c r="D69" s="34" t="s">
        <v>1074</v>
      </c>
      <c r="E69" s="48" t="s">
        <v>5199</v>
      </c>
      <c r="F69" s="48" t="s">
        <v>482</v>
      </c>
      <c r="G69" s="48">
        <v>68.0</v>
      </c>
    </row>
    <row r="70" ht="15.75" customHeight="1">
      <c r="A70" s="31" t="s">
        <v>1228</v>
      </c>
      <c r="B70" s="34" t="s">
        <v>1226</v>
      </c>
      <c r="C70" s="35" t="s">
        <v>1229</v>
      </c>
      <c r="D70" s="34" t="s">
        <v>1230</v>
      </c>
      <c r="E70" s="48" t="s">
        <v>5199</v>
      </c>
      <c r="F70" s="48" t="s">
        <v>482</v>
      </c>
      <c r="G70" s="48">
        <v>69.0</v>
      </c>
    </row>
    <row r="71" ht="15.75" customHeight="1">
      <c r="A71" s="31" t="s">
        <v>4232</v>
      </c>
      <c r="B71" s="34" t="s">
        <v>4233</v>
      </c>
      <c r="C71" s="34" t="s">
        <v>198</v>
      </c>
      <c r="D71" s="34" t="s">
        <v>936</v>
      </c>
      <c r="E71" s="48" t="s">
        <v>5199</v>
      </c>
      <c r="F71" s="48" t="s">
        <v>482</v>
      </c>
      <c r="G71" s="48">
        <v>70.0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71"/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7.29"/>
    <col customWidth="1" min="3" max="3" width="15.43"/>
    <col customWidth="1" min="4" max="4" width="14.43"/>
    <col customWidth="1" min="5" max="5" width="2.86"/>
    <col customWidth="1" min="6" max="6" width="10.86"/>
  </cols>
  <sheetData>
    <row r="1" ht="15.75" customHeight="1">
      <c r="A1" s="21" t="s">
        <v>110</v>
      </c>
      <c r="B1" s="21" t="s">
        <v>111</v>
      </c>
      <c r="C1" s="21" t="s">
        <v>112</v>
      </c>
      <c r="D1" s="21" t="s">
        <v>202</v>
      </c>
      <c r="F1" s="36" t="s">
        <v>186</v>
      </c>
    </row>
    <row r="2" ht="15.75" customHeight="1">
      <c r="A2" s="36" t="s">
        <v>3758</v>
      </c>
      <c r="B2" s="36" t="s">
        <v>3759</v>
      </c>
      <c r="C2" s="39" t="s">
        <v>3760</v>
      </c>
      <c r="D2" s="36" t="s">
        <v>5203</v>
      </c>
      <c r="E2" s="36">
        <v>1.0</v>
      </c>
    </row>
    <row r="3" ht="15.75" customHeight="1">
      <c r="A3" s="36" t="s">
        <v>3761</v>
      </c>
      <c r="B3" s="36" t="s">
        <v>3762</v>
      </c>
      <c r="C3" s="39" t="s">
        <v>3763</v>
      </c>
      <c r="D3" s="36" t="s">
        <v>5203</v>
      </c>
      <c r="E3" s="36">
        <v>2.0</v>
      </c>
    </row>
    <row r="4" ht="15.75" customHeight="1">
      <c r="A4" s="31" t="s">
        <v>1853</v>
      </c>
      <c r="B4" s="31" t="s">
        <v>1854</v>
      </c>
      <c r="C4" s="32" t="s">
        <v>1855</v>
      </c>
      <c r="D4" s="31" t="s">
        <v>899</v>
      </c>
      <c r="E4" s="31">
        <v>3.0</v>
      </c>
      <c r="F4" s="31" t="s">
        <v>305</v>
      </c>
      <c r="I4" s="36"/>
      <c r="J4" s="36"/>
      <c r="K4" s="36"/>
      <c r="L4" s="36"/>
      <c r="M4" s="36"/>
      <c r="N4" s="36"/>
    </row>
    <row r="5" ht="15.75" customHeight="1">
      <c r="A5" s="31" t="s">
        <v>1856</v>
      </c>
      <c r="B5" s="31" t="s">
        <v>1857</v>
      </c>
      <c r="C5" s="32" t="s">
        <v>1858</v>
      </c>
      <c r="D5" s="31" t="s">
        <v>899</v>
      </c>
      <c r="E5" s="31">
        <v>4.0</v>
      </c>
      <c r="F5" s="31" t="s">
        <v>305</v>
      </c>
    </row>
    <row r="6" ht="15.75" customHeight="1">
      <c r="A6" s="31" t="s">
        <v>1859</v>
      </c>
      <c r="B6" s="31" t="s">
        <v>1860</v>
      </c>
      <c r="C6" s="32" t="s">
        <v>1861</v>
      </c>
      <c r="D6" s="31" t="s">
        <v>899</v>
      </c>
      <c r="E6" s="31">
        <v>5.0</v>
      </c>
      <c r="F6" s="31" t="s">
        <v>305</v>
      </c>
    </row>
    <row r="7" ht="15.75" customHeight="1">
      <c r="A7" s="31" t="s">
        <v>1862</v>
      </c>
      <c r="B7" s="31"/>
      <c r="C7" s="32" t="s">
        <v>5204</v>
      </c>
      <c r="D7" s="31" t="s">
        <v>899</v>
      </c>
      <c r="E7" s="31">
        <v>6.0</v>
      </c>
      <c r="F7" s="31" t="s">
        <v>305</v>
      </c>
    </row>
    <row r="8" ht="15.75" customHeight="1">
      <c r="A8" s="31" t="s">
        <v>1864</v>
      </c>
      <c r="B8" s="31" t="s">
        <v>1865</v>
      </c>
      <c r="C8" s="32" t="s">
        <v>1866</v>
      </c>
      <c r="D8" s="31" t="s">
        <v>899</v>
      </c>
      <c r="E8" s="31">
        <v>7.0</v>
      </c>
      <c r="F8" s="31" t="s">
        <v>305</v>
      </c>
    </row>
    <row r="9" ht="15.75" customHeight="1">
      <c r="A9" s="31" t="s">
        <v>1867</v>
      </c>
      <c r="B9" s="31" t="s">
        <v>1868</v>
      </c>
      <c r="C9" s="32" t="s">
        <v>1869</v>
      </c>
      <c r="D9" s="31" t="s">
        <v>899</v>
      </c>
      <c r="E9" s="31">
        <v>8.0</v>
      </c>
      <c r="F9" s="31" t="s">
        <v>305</v>
      </c>
    </row>
    <row r="10" ht="15.75" customHeight="1">
      <c r="A10" s="31" t="s">
        <v>1870</v>
      </c>
      <c r="B10" s="31" t="s">
        <v>403</v>
      </c>
      <c r="C10" s="32" t="s">
        <v>1871</v>
      </c>
      <c r="D10" s="31" t="s">
        <v>899</v>
      </c>
      <c r="E10" s="31">
        <v>9.0</v>
      </c>
      <c r="F10" s="31" t="s">
        <v>305</v>
      </c>
    </row>
    <row r="11" ht="15.75" customHeight="1">
      <c r="A11" s="31" t="s">
        <v>1872</v>
      </c>
      <c r="B11" s="31" t="s">
        <v>1873</v>
      </c>
      <c r="C11" s="32" t="s">
        <v>1874</v>
      </c>
      <c r="D11" s="31" t="s">
        <v>899</v>
      </c>
      <c r="E11" s="31">
        <v>10.0</v>
      </c>
      <c r="F11" s="31" t="s">
        <v>305</v>
      </c>
    </row>
    <row r="12" ht="15.75" customHeight="1">
      <c r="A12" s="31" t="s">
        <v>4867</v>
      </c>
      <c r="B12" s="31"/>
      <c r="C12" s="187" t="s">
        <v>4868</v>
      </c>
      <c r="D12" s="31" t="s">
        <v>899</v>
      </c>
      <c r="E12" s="31">
        <v>11.0</v>
      </c>
      <c r="F12" s="31" t="s">
        <v>305</v>
      </c>
    </row>
    <row r="13" ht="15.75" customHeight="1">
      <c r="A13" s="31" t="s">
        <v>1875</v>
      </c>
      <c r="B13" s="31" t="s">
        <v>1876</v>
      </c>
      <c r="C13" s="32" t="s">
        <v>1877</v>
      </c>
      <c r="D13" s="31" t="s">
        <v>899</v>
      </c>
      <c r="E13" s="31">
        <v>12.0</v>
      </c>
      <c r="F13" s="31" t="s">
        <v>305</v>
      </c>
    </row>
    <row r="14" ht="15.75" customHeight="1">
      <c r="A14" s="31" t="s">
        <v>3658</v>
      </c>
      <c r="B14" s="31" t="s">
        <v>3659</v>
      </c>
      <c r="C14" s="32" t="s">
        <v>3660</v>
      </c>
      <c r="D14" s="31" t="s">
        <v>3661</v>
      </c>
      <c r="E14" s="31">
        <v>13.0</v>
      </c>
      <c r="F14" s="31" t="s">
        <v>5205</v>
      </c>
    </row>
    <row r="15" ht="15.75" customHeight="1">
      <c r="A15" s="93" t="s">
        <v>5206</v>
      </c>
      <c r="B15" s="93"/>
      <c r="C15" s="98" t="s">
        <v>4862</v>
      </c>
      <c r="D15" s="93" t="s">
        <v>3675</v>
      </c>
      <c r="E15" s="93">
        <v>14.0</v>
      </c>
      <c r="F15" s="93" t="s">
        <v>305</v>
      </c>
    </row>
    <row r="16" ht="15.75" customHeight="1">
      <c r="A16" s="93" t="s">
        <v>3673</v>
      </c>
      <c r="B16" s="93" t="s">
        <v>198</v>
      </c>
      <c r="C16" s="98" t="s">
        <v>3674</v>
      </c>
      <c r="D16" s="93" t="s">
        <v>3675</v>
      </c>
      <c r="E16" s="93">
        <v>15.0</v>
      </c>
      <c r="F16" s="93" t="s">
        <v>305</v>
      </c>
    </row>
    <row r="17" ht="15.75" customHeight="1">
      <c r="A17" s="93" t="s">
        <v>3676</v>
      </c>
      <c r="B17" s="93" t="s">
        <v>3677</v>
      </c>
      <c r="C17" s="98" t="s">
        <v>3678</v>
      </c>
      <c r="D17" s="93" t="s">
        <v>3675</v>
      </c>
      <c r="E17" s="93">
        <v>16.0</v>
      </c>
      <c r="F17" s="93" t="s">
        <v>305</v>
      </c>
      <c r="I17" s="188"/>
      <c r="J17" s="188"/>
      <c r="K17" s="189"/>
    </row>
    <row r="18" ht="15.75" customHeight="1">
      <c r="A18" s="93" t="s">
        <v>3679</v>
      </c>
      <c r="B18" s="93" t="s">
        <v>3680</v>
      </c>
      <c r="C18" s="98" t="s">
        <v>3681</v>
      </c>
      <c r="D18" s="93" t="s">
        <v>3675</v>
      </c>
      <c r="E18" s="93">
        <v>17.0</v>
      </c>
      <c r="F18" s="93" t="s">
        <v>305</v>
      </c>
      <c r="I18" s="190"/>
      <c r="J18" s="190"/>
      <c r="K18" s="191"/>
    </row>
    <row r="19" ht="15.75" customHeight="1">
      <c r="A19" s="93" t="s">
        <v>3682</v>
      </c>
      <c r="B19" s="93" t="s">
        <v>3683</v>
      </c>
      <c r="C19" s="98" t="s">
        <v>3684</v>
      </c>
      <c r="D19" s="93" t="s">
        <v>3675</v>
      </c>
      <c r="E19" s="93">
        <v>18.0</v>
      </c>
      <c r="F19" s="93" t="s">
        <v>305</v>
      </c>
      <c r="I19" s="36"/>
      <c r="J19" s="36"/>
      <c r="K19" s="36"/>
    </row>
    <row r="20" ht="15.75" customHeight="1">
      <c r="A20" s="36" t="s">
        <v>3685</v>
      </c>
      <c r="B20" s="36" t="s">
        <v>3686</v>
      </c>
      <c r="C20" s="39" t="s">
        <v>3687</v>
      </c>
      <c r="D20" s="36" t="s">
        <v>3675</v>
      </c>
      <c r="E20" s="36">
        <v>19.0</v>
      </c>
      <c r="I20" s="36"/>
      <c r="J20" s="36"/>
      <c r="K20" s="36"/>
      <c r="L20" s="36"/>
      <c r="M20" s="36"/>
      <c r="N20" s="36"/>
    </row>
    <row r="21" ht="15.75" customHeight="1">
      <c r="A21" s="36" t="s">
        <v>3688</v>
      </c>
      <c r="B21" s="36" t="s">
        <v>198</v>
      </c>
      <c r="C21" s="37"/>
      <c r="D21" s="36" t="s">
        <v>3675</v>
      </c>
      <c r="E21" s="36">
        <v>20.0</v>
      </c>
    </row>
    <row r="22" ht="15.75" customHeight="1">
      <c r="A22" s="31" t="s">
        <v>3689</v>
      </c>
      <c r="B22" s="31" t="s">
        <v>3690</v>
      </c>
      <c r="C22" s="32" t="s">
        <v>3691</v>
      </c>
      <c r="D22" s="31" t="s">
        <v>3675</v>
      </c>
      <c r="E22" s="31">
        <v>21.0</v>
      </c>
      <c r="F22" s="31" t="s">
        <v>261</v>
      </c>
    </row>
    <row r="23" ht="15.75" customHeight="1">
      <c r="A23" s="31" t="s">
        <v>3692</v>
      </c>
      <c r="B23" s="31" t="s">
        <v>3693</v>
      </c>
      <c r="C23" s="32" t="s">
        <v>3694</v>
      </c>
      <c r="D23" s="31" t="s">
        <v>3675</v>
      </c>
      <c r="E23" s="31">
        <v>22.0</v>
      </c>
      <c r="F23" s="31" t="s">
        <v>482</v>
      </c>
    </row>
    <row r="24" ht="15.75" customHeight="1">
      <c r="A24" s="31" t="s">
        <v>3695</v>
      </c>
      <c r="B24" s="31" t="s">
        <v>3696</v>
      </c>
      <c r="C24" s="32" t="s">
        <v>3697</v>
      </c>
      <c r="D24" s="31" t="s">
        <v>3675</v>
      </c>
      <c r="E24" s="31">
        <v>23.0</v>
      </c>
      <c r="F24" s="31" t="s">
        <v>482</v>
      </c>
    </row>
    <row r="25" ht="15.75" customHeight="1">
      <c r="A25" s="31" t="s">
        <v>3698</v>
      </c>
      <c r="B25" s="31" t="s">
        <v>3699</v>
      </c>
      <c r="C25" s="31" t="s">
        <v>5207</v>
      </c>
      <c r="D25" s="31" t="s">
        <v>3675</v>
      </c>
      <c r="E25" s="31">
        <v>24.0</v>
      </c>
      <c r="F25" s="31" t="s">
        <v>482</v>
      </c>
      <c r="H25" s="36"/>
    </row>
    <row r="26" ht="15.75" customHeight="1">
      <c r="A26" s="31" t="s">
        <v>3701</v>
      </c>
      <c r="B26" s="31" t="s">
        <v>3702</v>
      </c>
      <c r="C26" s="32" t="s">
        <v>3703</v>
      </c>
      <c r="D26" s="31" t="s">
        <v>3675</v>
      </c>
      <c r="E26" s="31">
        <v>25.0</v>
      </c>
      <c r="F26" s="31" t="s">
        <v>482</v>
      </c>
    </row>
    <row r="27" ht="15.75" customHeight="1">
      <c r="A27" s="31" t="s">
        <v>3704</v>
      </c>
      <c r="B27" s="31" t="s">
        <v>3705</v>
      </c>
      <c r="C27" s="32" t="s">
        <v>3706</v>
      </c>
      <c r="D27" s="31" t="s">
        <v>3675</v>
      </c>
      <c r="E27" s="31">
        <v>26.0</v>
      </c>
      <c r="F27" s="31" t="s">
        <v>482</v>
      </c>
    </row>
    <row r="28" ht="15.75" customHeight="1">
      <c r="A28" s="36" t="s">
        <v>3707</v>
      </c>
      <c r="B28" s="36" t="s">
        <v>3708</v>
      </c>
      <c r="C28" s="37" t="s">
        <v>198</v>
      </c>
      <c r="D28" s="36" t="s">
        <v>3675</v>
      </c>
      <c r="E28" s="36">
        <v>27.0</v>
      </c>
    </row>
    <row r="29" ht="15.75" customHeight="1">
      <c r="A29" s="93" t="s">
        <v>3862</v>
      </c>
      <c r="B29" s="93" t="s">
        <v>3863</v>
      </c>
      <c r="C29" s="93" t="s">
        <v>139</v>
      </c>
      <c r="D29" s="93" t="s">
        <v>995</v>
      </c>
      <c r="E29" s="93">
        <v>28.0</v>
      </c>
      <c r="F29" s="93" t="s">
        <v>5208</v>
      </c>
    </row>
    <row r="30" ht="15.75" customHeight="1">
      <c r="A30" s="93" t="s">
        <v>3864</v>
      </c>
      <c r="B30" s="93" t="s">
        <v>139</v>
      </c>
      <c r="C30" s="98" t="s">
        <v>3865</v>
      </c>
      <c r="D30" s="93" t="s">
        <v>995</v>
      </c>
      <c r="E30" s="93">
        <v>29.0</v>
      </c>
      <c r="F30" s="93" t="s">
        <v>5208</v>
      </c>
    </row>
    <row r="31" ht="15.75" customHeight="1">
      <c r="A31" s="93" t="s">
        <v>3866</v>
      </c>
      <c r="B31" s="93" t="s">
        <v>3867</v>
      </c>
      <c r="C31" s="98" t="s">
        <v>3868</v>
      </c>
      <c r="D31" s="93" t="s">
        <v>995</v>
      </c>
      <c r="E31" s="93">
        <v>30.0</v>
      </c>
      <c r="F31" s="93" t="s">
        <v>5208</v>
      </c>
    </row>
    <row r="32" ht="15.75" customHeight="1">
      <c r="A32" s="93" t="s">
        <v>3869</v>
      </c>
      <c r="B32" s="93" t="s">
        <v>3870</v>
      </c>
      <c r="C32" s="98" t="s">
        <v>3871</v>
      </c>
      <c r="D32" s="93" t="s">
        <v>995</v>
      </c>
      <c r="E32" s="93">
        <v>31.0</v>
      </c>
      <c r="F32" s="93" t="s">
        <v>5208</v>
      </c>
    </row>
    <row r="33" ht="15.75" customHeight="1">
      <c r="A33" s="93" t="s">
        <v>3872</v>
      </c>
      <c r="B33" s="93" t="s">
        <v>3873</v>
      </c>
      <c r="C33" s="98" t="s">
        <v>3874</v>
      </c>
      <c r="D33" s="93" t="s">
        <v>995</v>
      </c>
      <c r="E33" s="93">
        <v>32.0</v>
      </c>
      <c r="F33" s="93" t="s">
        <v>5208</v>
      </c>
    </row>
    <row r="34" ht="15.75" customHeight="1">
      <c r="A34" s="31" t="s">
        <v>3875</v>
      </c>
      <c r="B34" s="31" t="s">
        <v>3876</v>
      </c>
      <c r="C34" s="32" t="s">
        <v>3877</v>
      </c>
      <c r="D34" s="31" t="s">
        <v>995</v>
      </c>
      <c r="E34" s="31">
        <v>33.0</v>
      </c>
      <c r="F34" s="31" t="s">
        <v>5200</v>
      </c>
    </row>
    <row r="35" ht="15.75" customHeight="1">
      <c r="A35" s="31" t="s">
        <v>3878</v>
      </c>
      <c r="B35" s="31" t="s">
        <v>3879</v>
      </c>
      <c r="C35" s="32" t="s">
        <v>3880</v>
      </c>
      <c r="D35" s="31" t="s">
        <v>995</v>
      </c>
      <c r="E35" s="31">
        <v>34.0</v>
      </c>
      <c r="F35" s="31" t="s">
        <v>5200</v>
      </c>
    </row>
    <row r="36" ht="15.75" customHeight="1">
      <c r="A36" s="36" t="s">
        <v>3881</v>
      </c>
      <c r="B36" s="36" t="s">
        <v>3882</v>
      </c>
      <c r="C36" s="36" t="s">
        <v>198</v>
      </c>
      <c r="D36" s="36" t="s">
        <v>995</v>
      </c>
      <c r="E36" s="36">
        <v>35.0</v>
      </c>
    </row>
    <row r="37" ht="15.75" customHeight="1">
      <c r="A37" s="36" t="s">
        <v>3883</v>
      </c>
      <c r="B37" s="36" t="s">
        <v>198</v>
      </c>
      <c r="C37" s="39" t="s">
        <v>3884</v>
      </c>
      <c r="D37" s="36" t="s">
        <v>995</v>
      </c>
      <c r="E37" s="36">
        <v>36.0</v>
      </c>
    </row>
    <row r="38" ht="15.75" customHeight="1">
      <c r="A38" s="36" t="s">
        <v>3885</v>
      </c>
      <c r="B38" s="36" t="s">
        <v>3886</v>
      </c>
      <c r="C38" s="37" t="s">
        <v>139</v>
      </c>
      <c r="D38" s="36" t="s">
        <v>995</v>
      </c>
      <c r="E38" s="36">
        <v>37.0</v>
      </c>
    </row>
    <row r="39" ht="15.75" customHeight="1">
      <c r="A39" s="31" t="s">
        <v>1883</v>
      </c>
      <c r="B39" s="31" t="s">
        <v>403</v>
      </c>
      <c r="C39" s="32" t="s">
        <v>1884</v>
      </c>
      <c r="D39" s="31" t="s">
        <v>905</v>
      </c>
      <c r="E39" s="31">
        <v>38.0</v>
      </c>
      <c r="F39" s="31" t="s">
        <v>261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2">
    <cfRule type="notContainsBlanks" dxfId="0" priority="1">
      <formula>LEN(TRIM(C12))&gt;0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32.71"/>
    <col customWidth="1" min="3" max="3" width="43.0"/>
    <col customWidth="1" min="4" max="4" width="14.43"/>
    <col customWidth="1" min="5" max="5" width="18.14"/>
    <col customWidth="1" min="6" max="6" width="28.86"/>
  </cols>
  <sheetData>
    <row r="1" ht="15.75" customHeight="1">
      <c r="A1" s="21" t="s">
        <v>110</v>
      </c>
      <c r="B1" s="21" t="s">
        <v>111</v>
      </c>
      <c r="C1" s="21" t="s">
        <v>879</v>
      </c>
    </row>
    <row r="2" ht="15.75" customHeight="1">
      <c r="A2" s="36" t="s">
        <v>1441</v>
      </c>
      <c r="B2" s="36" t="s">
        <v>1442</v>
      </c>
      <c r="C2" s="39" t="s">
        <v>1443</v>
      </c>
      <c r="D2" s="192">
        <v>1.0</v>
      </c>
      <c r="E2" s="192" t="s">
        <v>5209</v>
      </c>
    </row>
    <row r="3" ht="15.75" customHeight="1">
      <c r="A3" s="116" t="s">
        <v>1467</v>
      </c>
      <c r="B3" s="116" t="s">
        <v>478</v>
      </c>
      <c r="C3" s="118" t="s">
        <v>1468</v>
      </c>
      <c r="D3" s="192">
        <v>2.0</v>
      </c>
      <c r="E3" s="192" t="s">
        <v>5209</v>
      </c>
      <c r="F3" s="116"/>
      <c r="G3" s="36"/>
      <c r="H3" s="36"/>
      <c r="I3" s="36"/>
    </row>
    <row r="4" ht="15.75" customHeight="1">
      <c r="A4" s="36" t="s">
        <v>2722</v>
      </c>
      <c r="B4" s="36" t="s">
        <v>2723</v>
      </c>
      <c r="C4" s="36" t="s">
        <v>198</v>
      </c>
      <c r="D4" s="192">
        <v>3.0</v>
      </c>
      <c r="E4" s="192" t="s">
        <v>5209</v>
      </c>
      <c r="H4" s="36"/>
      <c r="I4" s="36"/>
      <c r="J4" s="36"/>
    </row>
    <row r="5" ht="15.75" customHeight="1">
      <c r="A5" s="36" t="s">
        <v>2724</v>
      </c>
      <c r="B5" s="36" t="s">
        <v>2725</v>
      </c>
      <c r="C5" s="39" t="s">
        <v>2726</v>
      </c>
      <c r="D5" s="192">
        <v>4.0</v>
      </c>
      <c r="E5" s="192" t="s">
        <v>5209</v>
      </c>
      <c r="H5" s="36"/>
      <c r="I5" s="36"/>
      <c r="J5" s="36"/>
    </row>
    <row r="6" ht="15.75" customHeight="1">
      <c r="A6" s="36" t="s">
        <v>2727</v>
      </c>
      <c r="C6" s="39" t="s">
        <v>2728</v>
      </c>
      <c r="D6" s="192">
        <v>5.0</v>
      </c>
      <c r="E6" s="192" t="s">
        <v>5209</v>
      </c>
    </row>
    <row r="7" ht="15.75" customHeight="1">
      <c r="A7" s="31" t="s">
        <v>2729</v>
      </c>
      <c r="B7" s="31" t="s">
        <v>2730</v>
      </c>
      <c r="C7" s="32" t="s">
        <v>2731</v>
      </c>
      <c r="D7" s="31">
        <v>6.0</v>
      </c>
      <c r="E7" s="31" t="s">
        <v>128</v>
      </c>
    </row>
    <row r="8" ht="15.75" customHeight="1">
      <c r="A8" s="36" t="s">
        <v>2732</v>
      </c>
      <c r="C8" s="39" t="s">
        <v>2731</v>
      </c>
      <c r="D8" s="36">
        <v>7.0</v>
      </c>
      <c r="E8" s="36" t="s">
        <v>5210</v>
      </c>
    </row>
    <row r="9" ht="15.75" customHeight="1">
      <c r="A9" s="123" t="s">
        <v>2733</v>
      </c>
      <c r="B9" s="123"/>
      <c r="C9" s="193" t="s">
        <v>2734</v>
      </c>
      <c r="D9" s="123">
        <v>8.0</v>
      </c>
      <c r="E9" s="45"/>
      <c r="F9" s="36" t="s">
        <v>5211</v>
      </c>
    </row>
    <row r="10" ht="15.75" customHeight="1">
      <c r="A10" s="36" t="s">
        <v>2735</v>
      </c>
      <c r="B10" s="36" t="s">
        <v>2736</v>
      </c>
      <c r="C10" s="39" t="s">
        <v>2737</v>
      </c>
      <c r="D10" s="36">
        <v>9.0</v>
      </c>
      <c r="E10" s="36" t="s">
        <v>5210</v>
      </c>
    </row>
    <row r="11" ht="15.75" customHeight="1">
      <c r="A11" s="36" t="s">
        <v>2738</v>
      </c>
      <c r="B11" s="36" t="s">
        <v>2739</v>
      </c>
      <c r="C11" s="39" t="s">
        <v>2740</v>
      </c>
      <c r="D11" s="36">
        <v>10.0</v>
      </c>
      <c r="E11" s="36" t="s">
        <v>5210</v>
      </c>
    </row>
    <row r="12" ht="15.75" customHeight="1">
      <c r="A12" s="36" t="s">
        <v>2741</v>
      </c>
      <c r="B12" s="36" t="s">
        <v>2742</v>
      </c>
      <c r="C12" s="39" t="s">
        <v>2743</v>
      </c>
      <c r="D12" s="36">
        <v>11.0</v>
      </c>
      <c r="E12" s="36" t="s">
        <v>5210</v>
      </c>
    </row>
    <row r="13" ht="15.75" customHeight="1">
      <c r="A13" s="36" t="s">
        <v>2744</v>
      </c>
      <c r="C13" s="39" t="s">
        <v>2745</v>
      </c>
      <c r="D13" s="36">
        <v>12.0</v>
      </c>
      <c r="E13" s="36" t="s">
        <v>5210</v>
      </c>
    </row>
    <row r="14" ht="15.75" customHeight="1">
      <c r="A14" s="36" t="s">
        <v>3893</v>
      </c>
      <c r="B14" s="36" t="s">
        <v>3894</v>
      </c>
      <c r="D14" s="36">
        <v>13.0</v>
      </c>
    </row>
    <row r="15" ht="15.75" customHeight="1">
      <c r="A15" s="36" t="s">
        <v>3895</v>
      </c>
      <c r="B15" s="36" t="s">
        <v>3896</v>
      </c>
      <c r="D15" s="36">
        <v>14.0</v>
      </c>
    </row>
    <row r="16" ht="15.75" customHeight="1">
      <c r="A16" s="36" t="s">
        <v>3897</v>
      </c>
      <c r="B16" s="36" t="s">
        <v>3898</v>
      </c>
      <c r="D16" s="36">
        <v>15.0</v>
      </c>
    </row>
    <row r="17" ht="15.75" customHeight="1">
      <c r="A17" s="31" t="s">
        <v>3899</v>
      </c>
      <c r="B17" s="31" t="s">
        <v>3900</v>
      </c>
      <c r="C17" s="32" t="s">
        <v>3901</v>
      </c>
      <c r="D17" s="31">
        <v>16.0</v>
      </c>
      <c r="E17" s="31" t="s">
        <v>367</v>
      </c>
    </row>
    <row r="18" ht="15.75" customHeight="1">
      <c r="A18" s="31" t="s">
        <v>3902</v>
      </c>
      <c r="B18" s="31" t="s">
        <v>3903</v>
      </c>
      <c r="C18" s="32" t="s">
        <v>3904</v>
      </c>
      <c r="D18" s="31">
        <v>17.0</v>
      </c>
      <c r="E18" s="31" t="s">
        <v>367</v>
      </c>
    </row>
    <row r="19" ht="15.75" customHeight="1">
      <c r="A19" s="36" t="s">
        <v>3905</v>
      </c>
      <c r="B19" s="36" t="s">
        <v>3906</v>
      </c>
      <c r="C19" s="39" t="s">
        <v>3907</v>
      </c>
      <c r="D19" s="36">
        <v>18.0</v>
      </c>
      <c r="E19" s="36" t="s">
        <v>5212</v>
      </c>
      <c r="F19" s="140"/>
    </row>
    <row r="20" ht="15.75" customHeight="1">
      <c r="A20" s="36" t="s">
        <v>2970</v>
      </c>
      <c r="B20" s="36" t="s">
        <v>3908</v>
      </c>
      <c r="D20" s="36">
        <v>19.0</v>
      </c>
    </row>
    <row r="21" ht="15.75" customHeight="1">
      <c r="A21" s="36" t="s">
        <v>3909</v>
      </c>
      <c r="B21" s="36" t="s">
        <v>3910</v>
      </c>
      <c r="C21" s="39" t="s">
        <v>3911</v>
      </c>
      <c r="D21" s="36">
        <v>20.0</v>
      </c>
      <c r="E21" s="38" t="s">
        <v>5212</v>
      </c>
      <c r="F21" s="140">
        <v>43554.0</v>
      </c>
    </row>
    <row r="22" ht="15.75" customHeight="1">
      <c r="A22" s="36" t="s">
        <v>3912</v>
      </c>
      <c r="B22" s="36" t="s">
        <v>3913</v>
      </c>
      <c r="C22" s="39" t="s">
        <v>3914</v>
      </c>
      <c r="D22" s="36">
        <v>21.0</v>
      </c>
      <c r="E22" s="38" t="s">
        <v>5212</v>
      </c>
      <c r="F22" s="140">
        <v>43554.0</v>
      </c>
    </row>
    <row r="23" ht="15.75" customHeight="1">
      <c r="A23" s="36" t="s">
        <v>3915</v>
      </c>
      <c r="B23" s="36" t="s">
        <v>3916</v>
      </c>
      <c r="D23" s="36">
        <v>22.0</v>
      </c>
    </row>
    <row r="24" ht="15.75" customHeight="1">
      <c r="A24" s="36" t="s">
        <v>3917</v>
      </c>
      <c r="B24" s="36" t="s">
        <v>3918</v>
      </c>
      <c r="C24" s="39" t="s">
        <v>3919</v>
      </c>
      <c r="D24" s="36">
        <v>23.0</v>
      </c>
      <c r="E24" s="38" t="s">
        <v>5212</v>
      </c>
      <c r="F24" s="140">
        <v>43554.0</v>
      </c>
    </row>
    <row r="25" ht="15.75" customHeight="1">
      <c r="A25" s="36" t="s">
        <v>3920</v>
      </c>
      <c r="B25" s="36" t="s">
        <v>3921</v>
      </c>
      <c r="C25" s="39" t="s">
        <v>3922</v>
      </c>
      <c r="D25" s="36">
        <v>24.0</v>
      </c>
      <c r="E25" s="38" t="s">
        <v>5213</v>
      </c>
      <c r="F25" s="140">
        <v>43551.0</v>
      </c>
    </row>
    <row r="26" ht="15.75" customHeight="1">
      <c r="A26" s="36" t="s">
        <v>3923</v>
      </c>
      <c r="B26" s="36" t="s">
        <v>3924</v>
      </c>
      <c r="C26" s="39" t="s">
        <v>3925</v>
      </c>
      <c r="D26" s="36">
        <v>25.0</v>
      </c>
      <c r="E26" s="38" t="s">
        <v>5213</v>
      </c>
      <c r="F26" s="140">
        <v>43551.0</v>
      </c>
    </row>
    <row r="27" ht="15.75" customHeight="1">
      <c r="A27" s="36" t="s">
        <v>3926</v>
      </c>
      <c r="B27" s="36" t="s">
        <v>198</v>
      </c>
      <c r="C27" s="39" t="s">
        <v>3927</v>
      </c>
      <c r="D27" s="36">
        <v>26.0</v>
      </c>
      <c r="E27" s="38" t="s">
        <v>5213</v>
      </c>
      <c r="F27" s="140">
        <v>43551.0</v>
      </c>
    </row>
    <row r="28" ht="15.75" customHeight="1">
      <c r="A28" s="36" t="s">
        <v>4255</v>
      </c>
      <c r="B28" s="36" t="s">
        <v>4256</v>
      </c>
      <c r="C28" s="39" t="s">
        <v>4257</v>
      </c>
      <c r="D28" s="36">
        <v>27.0</v>
      </c>
      <c r="E28" s="38" t="s">
        <v>5213</v>
      </c>
      <c r="F28" s="140">
        <v>43551.0</v>
      </c>
    </row>
    <row r="29" ht="15.75" customHeight="1">
      <c r="A29" s="36" t="s">
        <v>4258</v>
      </c>
      <c r="B29" s="36" t="s">
        <v>4259</v>
      </c>
      <c r="C29" s="36" t="s">
        <v>5214</v>
      </c>
      <c r="D29" s="36">
        <v>28.0</v>
      </c>
      <c r="E29" s="38" t="s">
        <v>5213</v>
      </c>
      <c r="F29" s="140">
        <v>43551.0</v>
      </c>
    </row>
    <row r="30" ht="15.75" customHeight="1">
      <c r="A30" s="48" t="s">
        <v>4859</v>
      </c>
      <c r="B30" s="48" t="s">
        <v>4860</v>
      </c>
      <c r="C30" s="10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0">
    <cfRule type="notContainsBlanks" dxfId="0" priority="1">
      <formula>LEN(TRIM(C30))&gt;0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37.0"/>
    <col customWidth="1" min="3" max="3" width="43.0"/>
    <col customWidth="1" min="4" max="4" width="14.43"/>
    <col customWidth="1" min="5" max="5" width="18.14"/>
    <col customWidth="1" min="6" max="6" width="14.43"/>
  </cols>
  <sheetData>
    <row r="1" ht="15.75" customHeight="1">
      <c r="A1" s="36" t="s">
        <v>110</v>
      </c>
      <c r="B1" s="36" t="s">
        <v>111</v>
      </c>
      <c r="C1" s="37" t="s">
        <v>879</v>
      </c>
    </row>
    <row r="2" ht="15.75" customHeight="1">
      <c r="A2" s="34" t="s">
        <v>2791</v>
      </c>
      <c r="B2" s="34" t="s">
        <v>2792</v>
      </c>
      <c r="C2" s="35" t="s">
        <v>2793</v>
      </c>
      <c r="D2" s="34">
        <v>1.0</v>
      </c>
      <c r="E2" s="194" t="s">
        <v>175</v>
      </c>
    </row>
    <row r="3" ht="15.75" customHeight="1">
      <c r="A3" s="34" t="s">
        <v>2795</v>
      </c>
      <c r="B3" s="34" t="s">
        <v>2796</v>
      </c>
      <c r="C3" s="35" t="s">
        <v>2797</v>
      </c>
      <c r="D3" s="34">
        <v>2.0</v>
      </c>
      <c r="E3" s="194" t="s">
        <v>175</v>
      </c>
    </row>
    <row r="4" ht="15.75" customHeight="1">
      <c r="A4" s="34" t="s">
        <v>2798</v>
      </c>
      <c r="B4" s="34" t="s">
        <v>2799</v>
      </c>
      <c r="C4" s="35" t="s">
        <v>2800</v>
      </c>
      <c r="D4" s="34">
        <v>3.0</v>
      </c>
      <c r="E4" s="194" t="s">
        <v>175</v>
      </c>
    </row>
    <row r="5" ht="15.75" customHeight="1">
      <c r="A5" s="34" t="s">
        <v>2801</v>
      </c>
      <c r="B5" s="34" t="s">
        <v>2802</v>
      </c>
      <c r="C5" s="35" t="s">
        <v>2803</v>
      </c>
      <c r="D5" s="34">
        <v>4.0</v>
      </c>
      <c r="E5" s="194" t="s">
        <v>175</v>
      </c>
    </row>
    <row r="6" ht="15.75" customHeight="1">
      <c r="A6" s="34" t="s">
        <v>2804</v>
      </c>
      <c r="B6" s="34" t="s">
        <v>2805</v>
      </c>
      <c r="C6" s="35" t="s">
        <v>2806</v>
      </c>
      <c r="D6" s="34">
        <v>5.0</v>
      </c>
      <c r="E6" s="194" t="s">
        <v>175</v>
      </c>
    </row>
    <row r="7" ht="15.75" customHeight="1">
      <c r="A7" s="31" t="s">
        <v>2807</v>
      </c>
      <c r="B7" s="31" t="s">
        <v>2808</v>
      </c>
      <c r="C7" s="32" t="s">
        <v>2809</v>
      </c>
      <c r="D7" s="31">
        <v>6.0</v>
      </c>
      <c r="E7" s="31" t="s">
        <v>5200</v>
      </c>
    </row>
    <row r="8" ht="15.75" customHeight="1">
      <c r="A8" s="42" t="s">
        <v>2810</v>
      </c>
      <c r="B8" s="42" t="s">
        <v>2811</v>
      </c>
      <c r="D8" s="36">
        <v>7.0</v>
      </c>
    </row>
    <row r="9" ht="15.75" customHeight="1">
      <c r="A9" s="42" t="s">
        <v>2812</v>
      </c>
      <c r="B9" s="42" t="s">
        <v>2813</v>
      </c>
      <c r="C9" s="39" t="s">
        <v>2814</v>
      </c>
      <c r="D9" s="36">
        <v>8.0</v>
      </c>
    </row>
    <row r="10" ht="15.75" customHeight="1">
      <c r="A10" s="31" t="s">
        <v>2815</v>
      </c>
      <c r="B10" s="31" t="s">
        <v>2816</v>
      </c>
      <c r="C10" s="32" t="s">
        <v>2817</v>
      </c>
      <c r="D10" s="31">
        <v>9.0</v>
      </c>
      <c r="E10" s="31" t="s">
        <v>261</v>
      </c>
    </row>
    <row r="11" ht="15.75" customHeight="1">
      <c r="A11" s="31" t="s">
        <v>2818</v>
      </c>
      <c r="B11" s="31"/>
      <c r="C11" s="32" t="s">
        <v>2819</v>
      </c>
      <c r="D11" s="31">
        <v>10.0</v>
      </c>
      <c r="E11" s="31" t="s">
        <v>367</v>
      </c>
    </row>
    <row r="12" ht="15.75" customHeight="1">
      <c r="A12" s="34" t="s">
        <v>2820</v>
      </c>
      <c r="B12" s="34" t="s">
        <v>2821</v>
      </c>
      <c r="C12" s="35" t="s">
        <v>2822</v>
      </c>
      <c r="D12" s="34">
        <v>11.0</v>
      </c>
      <c r="E12" s="34" t="s">
        <v>5215</v>
      </c>
    </row>
    <row r="13" ht="15.75" customHeight="1">
      <c r="A13" s="34" t="s">
        <v>2823</v>
      </c>
      <c r="B13" s="34" t="s">
        <v>2824</v>
      </c>
      <c r="C13" s="35" t="s">
        <v>2825</v>
      </c>
      <c r="D13" s="34">
        <v>12.0</v>
      </c>
      <c r="E13" s="34" t="s">
        <v>5216</v>
      </c>
    </row>
    <row r="14" ht="15.75" customHeight="1">
      <c r="A14" s="34" t="s">
        <v>2826</v>
      </c>
      <c r="B14" s="34" t="s">
        <v>2827</v>
      </c>
      <c r="C14" s="195" t="s">
        <v>2828</v>
      </c>
      <c r="D14" s="34">
        <v>13.0</v>
      </c>
      <c r="E14" s="34" t="s">
        <v>5217</v>
      </c>
    </row>
    <row r="15" ht="15.75" customHeight="1">
      <c r="A15" s="34" t="s">
        <v>2829</v>
      </c>
      <c r="B15" s="34"/>
      <c r="C15" s="195" t="s">
        <v>2830</v>
      </c>
      <c r="D15" s="34">
        <v>14.0</v>
      </c>
      <c r="E15" s="34" t="s">
        <v>5218</v>
      </c>
    </row>
    <row r="16" ht="15.75" customHeight="1">
      <c r="A16" s="34" t="s">
        <v>2831</v>
      </c>
      <c r="B16" s="34"/>
      <c r="C16" s="195" t="s">
        <v>2832</v>
      </c>
      <c r="D16" s="34">
        <v>15.0</v>
      </c>
      <c r="E16" s="34" t="s">
        <v>5219</v>
      </c>
    </row>
    <row r="17" ht="15.75" customHeight="1">
      <c r="A17" s="42" t="s">
        <v>2833</v>
      </c>
      <c r="B17" s="42" t="s">
        <v>2834</v>
      </c>
      <c r="C17" s="196" t="s">
        <v>2835</v>
      </c>
      <c r="D17" s="36">
        <v>16.0</v>
      </c>
    </row>
    <row r="18" ht="15.75" customHeight="1">
      <c r="A18" s="34" t="s">
        <v>2836</v>
      </c>
      <c r="B18" s="34" t="s">
        <v>2837</v>
      </c>
      <c r="C18" s="195" t="s">
        <v>2838</v>
      </c>
      <c r="D18" s="34">
        <v>17.0</v>
      </c>
      <c r="E18" s="34" t="s">
        <v>535</v>
      </c>
    </row>
    <row r="19" ht="15.75" customHeight="1">
      <c r="A19" s="34" t="s">
        <v>2839</v>
      </c>
      <c r="B19" s="34" t="s">
        <v>2840</v>
      </c>
      <c r="C19" s="195" t="s">
        <v>2841</v>
      </c>
      <c r="D19" s="34">
        <v>18.0</v>
      </c>
      <c r="E19" s="34" t="s">
        <v>5220</v>
      </c>
    </row>
    <row r="20" ht="15.75" customHeight="1">
      <c r="A20" s="42" t="s">
        <v>2842</v>
      </c>
      <c r="B20" s="42" t="s">
        <v>2843</v>
      </c>
      <c r="C20" s="196" t="s">
        <v>2844</v>
      </c>
      <c r="D20" s="36">
        <v>19.0</v>
      </c>
    </row>
    <row r="21" ht="15.75" customHeight="1">
      <c r="A21" s="42" t="s">
        <v>2845</v>
      </c>
      <c r="C21" s="196" t="s">
        <v>2846</v>
      </c>
      <c r="D21" s="36">
        <v>20.0</v>
      </c>
    </row>
    <row r="22" ht="15.75" customHeight="1">
      <c r="A22" s="42" t="s">
        <v>2847</v>
      </c>
      <c r="B22" s="42" t="s">
        <v>2848</v>
      </c>
      <c r="C22" s="196" t="s">
        <v>2849</v>
      </c>
      <c r="D22" s="36">
        <v>21.0</v>
      </c>
    </row>
    <row r="23" ht="15.75" customHeight="1">
      <c r="A23" s="42" t="s">
        <v>2850</v>
      </c>
      <c r="B23" s="42" t="s">
        <v>2851</v>
      </c>
      <c r="C23" s="37"/>
      <c r="D23" s="36">
        <v>22.0</v>
      </c>
    </row>
    <row r="24" ht="15.75" customHeight="1">
      <c r="A24" s="34" t="s">
        <v>2852</v>
      </c>
      <c r="B24" s="34" t="s">
        <v>2853</v>
      </c>
      <c r="C24" s="195" t="s">
        <v>2854</v>
      </c>
      <c r="D24" s="34">
        <v>23.0</v>
      </c>
      <c r="E24" s="34" t="s">
        <v>116</v>
      </c>
    </row>
    <row r="25" ht="15.75" customHeight="1">
      <c r="A25" s="34" t="s">
        <v>2855</v>
      </c>
      <c r="B25" s="34"/>
      <c r="C25" s="195" t="s">
        <v>269</v>
      </c>
      <c r="D25" s="34">
        <v>24.0</v>
      </c>
      <c r="E25" s="34" t="s">
        <v>116</v>
      </c>
    </row>
    <row r="26" ht="15.75" customHeight="1">
      <c r="A26" s="42" t="s">
        <v>2856</v>
      </c>
      <c r="B26" s="42" t="s">
        <v>2857</v>
      </c>
      <c r="C26" s="196" t="s">
        <v>2858</v>
      </c>
      <c r="D26" s="36">
        <v>25.0</v>
      </c>
    </row>
    <row r="27" ht="15.75" customHeight="1">
      <c r="A27" s="42" t="s">
        <v>2859</v>
      </c>
      <c r="B27" s="42" t="s">
        <v>277</v>
      </c>
      <c r="C27" s="196" t="s">
        <v>2860</v>
      </c>
      <c r="D27" s="36">
        <v>26.0</v>
      </c>
    </row>
    <row r="28" ht="15.75" customHeight="1">
      <c r="A28" s="34" t="s">
        <v>2861</v>
      </c>
      <c r="B28" s="34"/>
      <c r="C28" s="195" t="s">
        <v>2862</v>
      </c>
      <c r="D28" s="34">
        <v>27.0</v>
      </c>
      <c r="E28" s="34" t="s">
        <v>116</v>
      </c>
    </row>
    <row r="29" ht="15.75" customHeight="1">
      <c r="A29" s="34" t="s">
        <v>2863</v>
      </c>
      <c r="B29" s="34" t="s">
        <v>2864</v>
      </c>
      <c r="C29" s="35" t="s">
        <v>289</v>
      </c>
      <c r="D29" s="34">
        <v>28.0</v>
      </c>
      <c r="E29" s="34" t="s">
        <v>116</v>
      </c>
    </row>
    <row r="30" ht="15.75" customHeight="1">
      <c r="A30" s="31" t="s">
        <v>2865</v>
      </c>
      <c r="B30" s="31" t="s">
        <v>2866</v>
      </c>
      <c r="C30" s="43" t="s">
        <v>2867</v>
      </c>
      <c r="D30" s="31">
        <v>29.0</v>
      </c>
      <c r="E30" s="31" t="s">
        <v>261</v>
      </c>
    </row>
    <row r="31" ht="15.75" customHeight="1">
      <c r="A31" s="31" t="s">
        <v>2868</v>
      </c>
      <c r="B31" s="31" t="s">
        <v>2869</v>
      </c>
      <c r="C31" s="43" t="s">
        <v>2870</v>
      </c>
      <c r="D31" s="31">
        <v>30.0</v>
      </c>
      <c r="E31" s="31" t="s">
        <v>261</v>
      </c>
    </row>
    <row r="32" ht="15.75" customHeight="1">
      <c r="A32" s="36" t="s">
        <v>4863</v>
      </c>
      <c r="C32" s="187" t="s">
        <v>4864</v>
      </c>
      <c r="D32" s="36">
        <v>31.0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2">
    <cfRule type="notContainsBlanks" dxfId="0" priority="1">
      <formula>LEN(TRIM(C32))&gt;0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4.71"/>
    <col customWidth="1" min="3" max="3" width="28.29"/>
    <col customWidth="1" min="4" max="6" width="14.43"/>
  </cols>
  <sheetData>
    <row r="1" ht="15.75" customHeight="1">
      <c r="A1" s="21" t="s">
        <v>110</v>
      </c>
      <c r="B1" s="21" t="s">
        <v>111</v>
      </c>
      <c r="C1" s="21" t="s">
        <v>112</v>
      </c>
    </row>
    <row r="2" ht="15.75" customHeight="1">
      <c r="A2" s="34" t="s">
        <v>3709</v>
      </c>
      <c r="B2" s="34" t="s">
        <v>198</v>
      </c>
      <c r="C2" s="35" t="s">
        <v>3710</v>
      </c>
      <c r="D2" s="34">
        <v>1.0</v>
      </c>
      <c r="E2" s="34" t="s">
        <v>5069</v>
      </c>
    </row>
    <row r="3" ht="15.75" customHeight="1">
      <c r="A3" s="34" t="s">
        <v>937</v>
      </c>
      <c r="B3" s="34" t="s">
        <v>938</v>
      </c>
      <c r="C3" s="35" t="s">
        <v>3711</v>
      </c>
      <c r="D3" s="34">
        <v>2.0</v>
      </c>
      <c r="E3" s="34" t="s">
        <v>5069</v>
      </c>
    </row>
    <row r="4" ht="15.75" customHeight="1">
      <c r="A4" s="34" t="s">
        <v>3712</v>
      </c>
      <c r="B4" s="34" t="s">
        <v>3713</v>
      </c>
      <c r="C4" s="35" t="s">
        <v>3714</v>
      </c>
      <c r="D4" s="34">
        <v>3.0</v>
      </c>
      <c r="E4" s="34" t="s">
        <v>5069</v>
      </c>
      <c r="H4" s="36"/>
      <c r="I4" s="36"/>
      <c r="J4" s="36"/>
    </row>
    <row r="5" ht="15.75" customHeight="1">
      <c r="A5" s="34" t="s">
        <v>3715</v>
      </c>
      <c r="B5" s="34" t="s">
        <v>3716</v>
      </c>
      <c r="C5" s="35" t="s">
        <v>3717</v>
      </c>
      <c r="D5" s="34">
        <v>4.0</v>
      </c>
      <c r="E5" s="34" t="s">
        <v>5069</v>
      </c>
      <c r="H5" s="36"/>
      <c r="I5" s="36"/>
      <c r="J5" s="36"/>
    </row>
    <row r="6" ht="15.75" customHeight="1">
      <c r="A6" s="34" t="s">
        <v>3718</v>
      </c>
      <c r="B6" s="34" t="s">
        <v>3719</v>
      </c>
      <c r="C6" s="35" t="s">
        <v>3720</v>
      </c>
      <c r="D6" s="34">
        <v>5.0</v>
      </c>
      <c r="E6" s="34" t="s">
        <v>5069</v>
      </c>
      <c r="H6" s="36"/>
      <c r="I6" s="36"/>
      <c r="J6" s="36"/>
    </row>
    <row r="7" ht="15.75" customHeight="1">
      <c r="A7" s="31" t="s">
        <v>3721</v>
      </c>
      <c r="B7" s="31" t="s">
        <v>3722</v>
      </c>
      <c r="C7" s="32" t="s">
        <v>3723</v>
      </c>
      <c r="D7" s="31">
        <v>6.0</v>
      </c>
      <c r="E7" s="31" t="s">
        <v>535</v>
      </c>
    </row>
    <row r="8" ht="15.75" customHeight="1">
      <c r="A8" s="36" t="s">
        <v>3724</v>
      </c>
      <c r="B8" s="36" t="s">
        <v>3725</v>
      </c>
      <c r="C8" s="37" t="s">
        <v>198</v>
      </c>
      <c r="D8" s="36">
        <v>7.0</v>
      </c>
    </row>
    <row r="9" ht="15.75" customHeight="1">
      <c r="A9" s="31" t="s">
        <v>3726</v>
      </c>
      <c r="B9" s="31" t="s">
        <v>3727</v>
      </c>
      <c r="C9" s="31">
        <v>9.71552493059E11</v>
      </c>
      <c r="D9" s="31">
        <v>8.0</v>
      </c>
      <c r="E9" s="31" t="s">
        <v>535</v>
      </c>
    </row>
    <row r="10" ht="15.75" customHeight="1">
      <c r="A10" s="36" t="s">
        <v>3729</v>
      </c>
      <c r="B10" s="36" t="s">
        <v>3730</v>
      </c>
      <c r="C10" s="39" t="s">
        <v>3731</v>
      </c>
      <c r="D10" s="36">
        <v>9.0</v>
      </c>
    </row>
    <row r="11" ht="15.75" customHeight="1">
      <c r="A11" s="31" t="s">
        <v>3732</v>
      </c>
      <c r="B11" s="31" t="s">
        <v>3733</v>
      </c>
      <c r="C11" s="32" t="s">
        <v>3734</v>
      </c>
      <c r="D11" s="31">
        <v>10.0</v>
      </c>
      <c r="E11" s="31" t="s">
        <v>367</v>
      </c>
    </row>
    <row r="12" ht="15.75" customHeight="1">
      <c r="A12" s="31" t="s">
        <v>3735</v>
      </c>
      <c r="B12" s="31" t="s">
        <v>198</v>
      </c>
      <c r="C12" s="32" t="s">
        <v>3736</v>
      </c>
      <c r="D12" s="31">
        <v>11.0</v>
      </c>
      <c r="E12" s="31" t="s">
        <v>367</v>
      </c>
    </row>
    <row r="13" ht="15.75" customHeight="1">
      <c r="A13" s="31" t="s">
        <v>3737</v>
      </c>
      <c r="B13" s="31" t="s">
        <v>198</v>
      </c>
      <c r="C13" s="32" t="s">
        <v>3738</v>
      </c>
      <c r="D13" s="31">
        <v>12.0</v>
      </c>
      <c r="E13" s="31" t="s">
        <v>535</v>
      </c>
    </row>
    <row r="14" ht="15.75" customHeight="1">
      <c r="A14" s="36" t="s">
        <v>3739</v>
      </c>
      <c r="B14" s="36" t="s">
        <v>3740</v>
      </c>
      <c r="C14" s="39" t="s">
        <v>3741</v>
      </c>
      <c r="D14" s="36">
        <v>13.0</v>
      </c>
    </row>
    <row r="15" ht="15.75" customHeight="1">
      <c r="A15" s="36" t="s">
        <v>3742</v>
      </c>
      <c r="B15" s="36" t="s">
        <v>3743</v>
      </c>
      <c r="C15" s="36" t="s">
        <v>198</v>
      </c>
      <c r="D15" s="36">
        <v>14.0</v>
      </c>
    </row>
    <row r="16" ht="15.75" customHeight="1">
      <c r="A16" s="31" t="s">
        <v>3744</v>
      </c>
      <c r="B16" s="31" t="s">
        <v>198</v>
      </c>
      <c r="C16" s="32" t="s">
        <v>3745</v>
      </c>
      <c r="D16" s="31">
        <v>15.0</v>
      </c>
      <c r="E16" s="31" t="s">
        <v>5221</v>
      </c>
    </row>
    <row r="17" ht="15.75" customHeight="1">
      <c r="A17" s="31" t="s">
        <v>3746</v>
      </c>
      <c r="B17" s="31" t="s">
        <v>3747</v>
      </c>
      <c r="C17" s="32" t="s">
        <v>3748</v>
      </c>
      <c r="D17" s="31">
        <v>16.0</v>
      </c>
      <c r="E17" s="31" t="s">
        <v>5221</v>
      </c>
    </row>
    <row r="18" ht="15.75" customHeight="1">
      <c r="A18" s="31" t="s">
        <v>3749</v>
      </c>
      <c r="B18" s="31" t="s">
        <v>3750</v>
      </c>
      <c r="C18" s="33" t="s">
        <v>3751</v>
      </c>
      <c r="D18" s="31">
        <v>17.0</v>
      </c>
      <c r="E18" s="31" t="s">
        <v>5221</v>
      </c>
    </row>
    <row r="19" ht="15.75" customHeight="1">
      <c r="A19" s="31" t="s">
        <v>3752</v>
      </c>
      <c r="B19" s="31" t="s">
        <v>3753</v>
      </c>
      <c r="C19" s="32" t="s">
        <v>3754</v>
      </c>
      <c r="D19" s="31">
        <v>18.0</v>
      </c>
      <c r="E19" s="31" t="s">
        <v>5221</v>
      </c>
    </row>
    <row r="20" ht="15.75" customHeight="1">
      <c r="A20" s="31" t="s">
        <v>3755</v>
      </c>
      <c r="B20" s="31" t="s">
        <v>3756</v>
      </c>
      <c r="C20" s="32" t="s">
        <v>3757</v>
      </c>
      <c r="D20" s="31">
        <v>19.0</v>
      </c>
      <c r="E20" s="31" t="s">
        <v>5221</v>
      </c>
    </row>
    <row r="21" ht="15.75" customHeight="1">
      <c r="D21" s="36"/>
    </row>
    <row r="22" ht="15.75" customHeight="1">
      <c r="D22" s="3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9.71"/>
    <col customWidth="1" min="3" max="3" width="21.43"/>
    <col customWidth="1" min="4" max="6" width="14.43"/>
  </cols>
  <sheetData>
    <row r="1" ht="15.75" customHeight="1">
      <c r="A1" s="51" t="s">
        <v>110</v>
      </c>
      <c r="B1" s="51" t="s">
        <v>111</v>
      </c>
      <c r="C1" s="197" t="s">
        <v>879</v>
      </c>
      <c r="D1" s="51"/>
      <c r="E1" s="51"/>
      <c r="F1" s="5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48" t="s">
        <v>958</v>
      </c>
      <c r="B2" s="48" t="s">
        <v>959</v>
      </c>
      <c r="C2" s="62" t="s">
        <v>2696</v>
      </c>
      <c r="D2" s="48">
        <v>1.0</v>
      </c>
      <c r="E2" s="93" t="s">
        <v>5049</v>
      </c>
      <c r="F2" s="48" t="s">
        <v>261</v>
      </c>
    </row>
    <row r="3" ht="15.75" customHeight="1">
      <c r="A3" s="48" t="s">
        <v>2700</v>
      </c>
      <c r="B3" s="48" t="s">
        <v>2701</v>
      </c>
      <c r="C3" s="62" t="s">
        <v>2702</v>
      </c>
      <c r="D3" s="48">
        <v>2.0</v>
      </c>
      <c r="E3" s="93" t="s">
        <v>5049</v>
      </c>
      <c r="F3" s="48" t="s">
        <v>261</v>
      </c>
    </row>
    <row r="4" ht="15.75" customHeight="1">
      <c r="A4" s="48" t="s">
        <v>2703</v>
      </c>
      <c r="B4" s="48" t="s">
        <v>2704</v>
      </c>
      <c r="C4" s="62" t="s">
        <v>2705</v>
      </c>
      <c r="D4" s="48">
        <v>3.0</v>
      </c>
      <c r="E4" s="93" t="s">
        <v>5049</v>
      </c>
      <c r="F4" s="48" t="s">
        <v>261</v>
      </c>
    </row>
    <row r="5" ht="15.75" customHeight="1">
      <c r="A5" s="48" t="s">
        <v>2706</v>
      </c>
      <c r="B5" s="48" t="s">
        <v>198</v>
      </c>
      <c r="C5" s="62" t="s">
        <v>2707</v>
      </c>
      <c r="D5" s="48">
        <v>4.0</v>
      </c>
      <c r="E5" s="93" t="s">
        <v>5049</v>
      </c>
      <c r="F5" s="48" t="s">
        <v>261</v>
      </c>
    </row>
    <row r="6" ht="15.75" customHeight="1">
      <c r="A6" s="48" t="s">
        <v>2708</v>
      </c>
      <c r="B6" s="48" t="s">
        <v>198</v>
      </c>
      <c r="C6" s="62" t="s">
        <v>2709</v>
      </c>
      <c r="D6" s="48">
        <v>5.0</v>
      </c>
      <c r="E6" s="93" t="s">
        <v>5049</v>
      </c>
      <c r="F6" s="48" t="s">
        <v>261</v>
      </c>
    </row>
    <row r="7" ht="15.75" customHeight="1">
      <c r="A7" s="48" t="s">
        <v>2710</v>
      </c>
      <c r="B7" s="48" t="s">
        <v>2711</v>
      </c>
      <c r="C7" s="48" t="s">
        <v>198</v>
      </c>
      <c r="D7" s="48">
        <v>6.0</v>
      </c>
      <c r="E7" s="48"/>
      <c r="F7" s="48" t="s">
        <v>261</v>
      </c>
    </row>
    <row r="8" ht="15.75" customHeight="1">
      <c r="A8" s="48" t="s">
        <v>2712</v>
      </c>
      <c r="B8" s="48" t="s">
        <v>198</v>
      </c>
      <c r="C8" s="62" t="s">
        <v>2713</v>
      </c>
      <c r="D8" s="48">
        <v>7.0</v>
      </c>
      <c r="E8" s="93" t="s">
        <v>5222</v>
      </c>
      <c r="F8" s="48" t="s">
        <v>261</v>
      </c>
    </row>
    <row r="9" ht="15.75" customHeight="1">
      <c r="A9" s="48" t="s">
        <v>2714</v>
      </c>
      <c r="B9" s="48" t="s">
        <v>198</v>
      </c>
      <c r="C9" s="62" t="s">
        <v>2715</v>
      </c>
      <c r="D9" s="48">
        <v>8.0</v>
      </c>
      <c r="E9" s="93" t="s">
        <v>5222</v>
      </c>
      <c r="F9" s="48" t="s">
        <v>261</v>
      </c>
    </row>
    <row r="10" ht="15.75" customHeight="1">
      <c r="A10" s="48" t="s">
        <v>2716</v>
      </c>
      <c r="B10" s="48" t="s">
        <v>2717</v>
      </c>
      <c r="C10" s="62" t="s">
        <v>2718</v>
      </c>
      <c r="D10" s="48">
        <v>9.0</v>
      </c>
      <c r="E10" s="93" t="s">
        <v>5222</v>
      </c>
      <c r="F10" s="48" t="s">
        <v>261</v>
      </c>
    </row>
    <row r="11" ht="15.75" customHeight="1">
      <c r="A11" s="48" t="s">
        <v>2719</v>
      </c>
      <c r="B11" s="48" t="s">
        <v>2720</v>
      </c>
      <c r="C11" s="62" t="s">
        <v>2721</v>
      </c>
      <c r="D11" s="48">
        <v>10.0</v>
      </c>
      <c r="E11" s="93" t="s">
        <v>5222</v>
      </c>
      <c r="F11" s="48" t="s">
        <v>261</v>
      </c>
    </row>
    <row r="12" ht="15.75" customHeight="1">
      <c r="A12" s="48" t="s">
        <v>2746</v>
      </c>
      <c r="B12" s="48" t="s">
        <v>2747</v>
      </c>
      <c r="C12" s="62" t="s">
        <v>2748</v>
      </c>
      <c r="D12" s="48">
        <v>11.0</v>
      </c>
      <c r="E12" s="93"/>
      <c r="F12" s="48" t="s">
        <v>261</v>
      </c>
    </row>
    <row r="13" ht="15.75" customHeight="1">
      <c r="A13" s="34" t="s">
        <v>2750</v>
      </c>
      <c r="B13" s="34" t="s">
        <v>2751</v>
      </c>
      <c r="C13" s="35" t="s">
        <v>2752</v>
      </c>
      <c r="D13" s="48">
        <v>12.0</v>
      </c>
      <c r="E13" s="48" t="s">
        <v>5223</v>
      </c>
      <c r="F13" s="48" t="s">
        <v>261</v>
      </c>
    </row>
    <row r="14" ht="15.75" customHeight="1">
      <c r="A14" s="34" t="s">
        <v>2753</v>
      </c>
      <c r="B14" s="34"/>
      <c r="C14" s="35" t="s">
        <v>2754</v>
      </c>
      <c r="D14" s="48">
        <v>13.0</v>
      </c>
      <c r="E14" s="48" t="s">
        <v>5046</v>
      </c>
      <c r="F14" s="48" t="s">
        <v>261</v>
      </c>
    </row>
    <row r="15" ht="15.75" customHeight="1">
      <c r="A15" s="48" t="s">
        <v>1684</v>
      </c>
      <c r="B15" s="48" t="s">
        <v>2755</v>
      </c>
      <c r="C15" s="48" t="s">
        <v>198</v>
      </c>
      <c r="D15" s="48">
        <v>14.0</v>
      </c>
      <c r="E15" s="48"/>
      <c r="F15" s="48" t="s">
        <v>261</v>
      </c>
    </row>
    <row r="16" ht="15.75" customHeight="1">
      <c r="A16" s="34" t="s">
        <v>2756</v>
      </c>
      <c r="B16" s="34" t="s">
        <v>403</v>
      </c>
      <c r="C16" s="35" t="s">
        <v>2757</v>
      </c>
      <c r="D16" s="48">
        <v>15.0</v>
      </c>
      <c r="E16" s="48" t="s">
        <v>864</v>
      </c>
      <c r="F16" s="48" t="s">
        <v>261</v>
      </c>
    </row>
    <row r="17" ht="15.75" customHeight="1">
      <c r="A17" s="34" t="s">
        <v>2758</v>
      </c>
      <c r="B17" s="34" t="s">
        <v>2759</v>
      </c>
      <c r="C17" s="35" t="s">
        <v>2760</v>
      </c>
      <c r="D17" s="48">
        <v>16.0</v>
      </c>
      <c r="E17" s="48" t="s">
        <v>864</v>
      </c>
      <c r="F17" s="48" t="s">
        <v>261</v>
      </c>
    </row>
    <row r="18" ht="15.75" customHeight="1">
      <c r="A18" s="34" t="s">
        <v>2761</v>
      </c>
      <c r="B18" s="34" t="s">
        <v>2762</v>
      </c>
      <c r="C18" s="35" t="s">
        <v>2763</v>
      </c>
      <c r="D18" s="48">
        <v>17.0</v>
      </c>
      <c r="E18" s="48" t="s">
        <v>864</v>
      </c>
      <c r="F18" s="48" t="s">
        <v>261</v>
      </c>
    </row>
    <row r="19" ht="15.75" customHeight="1">
      <c r="A19" s="34" t="s">
        <v>2764</v>
      </c>
      <c r="B19" s="34" t="s">
        <v>139</v>
      </c>
      <c r="C19" s="35" t="s">
        <v>2765</v>
      </c>
      <c r="D19" s="34">
        <v>18.0</v>
      </c>
      <c r="E19" s="34"/>
      <c r="F19" s="48" t="s">
        <v>261</v>
      </c>
    </row>
    <row r="20" ht="15.75" customHeight="1">
      <c r="A20" s="34" t="s">
        <v>2766</v>
      </c>
      <c r="B20" s="34" t="s">
        <v>2767</v>
      </c>
      <c r="C20" s="35" t="s">
        <v>2768</v>
      </c>
      <c r="D20" s="34">
        <v>19.0</v>
      </c>
      <c r="E20" s="34"/>
      <c r="F20" s="48" t="s">
        <v>261</v>
      </c>
    </row>
    <row r="21" ht="15.75" customHeight="1">
      <c r="A21" s="48" t="s">
        <v>2769</v>
      </c>
      <c r="B21" s="48" t="s">
        <v>2770</v>
      </c>
      <c r="C21" s="62" t="s">
        <v>2771</v>
      </c>
      <c r="D21" s="48">
        <v>20.0</v>
      </c>
      <c r="E21" s="48" t="s">
        <v>864</v>
      </c>
      <c r="F21" s="48" t="s">
        <v>261</v>
      </c>
    </row>
    <row r="22" ht="15.75" customHeight="1">
      <c r="A22" s="48" t="s">
        <v>2772</v>
      </c>
      <c r="B22" s="48" t="s">
        <v>2773</v>
      </c>
      <c r="C22" s="62" t="s">
        <v>2774</v>
      </c>
      <c r="D22" s="48">
        <v>21.0</v>
      </c>
      <c r="E22" s="48" t="s">
        <v>864</v>
      </c>
      <c r="F22" s="48" t="s">
        <v>261</v>
      </c>
    </row>
    <row r="23" ht="15.75" customHeight="1">
      <c r="A23" s="48" t="s">
        <v>2775</v>
      </c>
      <c r="B23" s="48" t="s">
        <v>2776</v>
      </c>
      <c r="C23" s="48" t="s">
        <v>198</v>
      </c>
      <c r="D23" s="48">
        <v>22.0</v>
      </c>
      <c r="E23" s="48" t="s">
        <v>864</v>
      </c>
      <c r="F23" s="48" t="s">
        <v>261</v>
      </c>
    </row>
    <row r="24" ht="15.75" customHeight="1">
      <c r="A24" s="48" t="s">
        <v>2777</v>
      </c>
      <c r="B24" s="48" t="s">
        <v>2778</v>
      </c>
      <c r="C24" s="62" t="s">
        <v>2779</v>
      </c>
      <c r="D24" s="48">
        <v>23.0</v>
      </c>
      <c r="E24" s="48" t="s">
        <v>864</v>
      </c>
      <c r="F24" s="48" t="s">
        <v>261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7.86"/>
    <col customWidth="1" min="3" max="3" width="29.0"/>
    <col customWidth="1" min="4" max="6" width="14.43"/>
  </cols>
  <sheetData>
    <row r="1" ht="15.75" customHeight="1">
      <c r="A1" s="21"/>
    </row>
    <row r="2" ht="15.75" customHeight="1">
      <c r="A2" s="51" t="s">
        <v>110</v>
      </c>
      <c r="B2" s="51" t="s">
        <v>4970</v>
      </c>
      <c r="C2" s="51" t="s">
        <v>112</v>
      </c>
      <c r="D2" s="48"/>
    </row>
    <row r="3" ht="15.75" customHeight="1">
      <c r="A3" s="48" t="s">
        <v>2645</v>
      </c>
      <c r="B3" s="48" t="s">
        <v>2646</v>
      </c>
      <c r="C3" s="48" t="s">
        <v>198</v>
      </c>
      <c r="D3" s="48"/>
    </row>
    <row r="4" ht="15.75" customHeight="1">
      <c r="A4" s="34" t="s">
        <v>2647</v>
      </c>
      <c r="B4" s="34" t="s">
        <v>2648</v>
      </c>
      <c r="C4" s="35" t="s">
        <v>2649</v>
      </c>
      <c r="D4" s="48"/>
    </row>
    <row r="5" ht="15.75" customHeight="1">
      <c r="A5" s="48" t="s">
        <v>2650</v>
      </c>
      <c r="B5" s="48" t="s">
        <v>2651</v>
      </c>
      <c r="C5" s="62" t="s">
        <v>2652</v>
      </c>
      <c r="D5" s="48" t="s">
        <v>5047</v>
      </c>
    </row>
    <row r="6" ht="15.75" customHeight="1">
      <c r="A6" s="34" t="s">
        <v>2653</v>
      </c>
      <c r="B6" s="34"/>
      <c r="C6" s="35" t="s">
        <v>2654</v>
      </c>
      <c r="D6" s="34" t="s">
        <v>535</v>
      </c>
    </row>
    <row r="7" ht="15.75" customHeight="1">
      <c r="A7" s="48" t="s">
        <v>2655</v>
      </c>
      <c r="B7" s="48" t="s">
        <v>2656</v>
      </c>
      <c r="C7" s="48" t="s">
        <v>198</v>
      </c>
      <c r="D7" s="48"/>
    </row>
    <row r="8" ht="15.75" customHeight="1">
      <c r="A8" s="48" t="s">
        <v>2657</v>
      </c>
      <c r="B8" s="48"/>
      <c r="C8" s="62" t="s">
        <v>2658</v>
      </c>
      <c r="D8" s="48" t="s">
        <v>5047</v>
      </c>
    </row>
    <row r="9" ht="15.75" customHeight="1">
      <c r="A9" s="48" t="s">
        <v>2659</v>
      </c>
      <c r="B9" s="48" t="s">
        <v>2660</v>
      </c>
      <c r="C9" s="62" t="s">
        <v>2661</v>
      </c>
      <c r="D9" s="48" t="s">
        <v>5047</v>
      </c>
    </row>
    <row r="10" ht="15.75" customHeight="1">
      <c r="A10" s="34" t="s">
        <v>2662</v>
      </c>
      <c r="B10" s="34" t="s">
        <v>2663</v>
      </c>
      <c r="C10" s="35" t="s">
        <v>2664</v>
      </c>
      <c r="D10" s="34" t="s">
        <v>535</v>
      </c>
    </row>
    <row r="11" ht="15.75" customHeight="1">
      <c r="A11" s="48" t="s">
        <v>2665</v>
      </c>
      <c r="B11" s="48" t="s">
        <v>2666</v>
      </c>
      <c r="C11" s="62" t="s">
        <v>2667</v>
      </c>
      <c r="D11" s="48" t="s">
        <v>5047</v>
      </c>
    </row>
    <row r="12" ht="15.75" customHeight="1">
      <c r="A12" s="48" t="s">
        <v>2668</v>
      </c>
      <c r="B12" s="48" t="s">
        <v>2669</v>
      </c>
      <c r="C12" s="63" t="s">
        <v>198</v>
      </c>
      <c r="D12" s="48"/>
    </row>
    <row r="13" ht="15.75" customHeight="1">
      <c r="A13" s="34" t="s">
        <v>2670</v>
      </c>
      <c r="B13" s="34"/>
      <c r="C13" s="35" t="s">
        <v>2671</v>
      </c>
      <c r="D13" s="34" t="s">
        <v>4977</v>
      </c>
    </row>
    <row r="14" ht="15.75" customHeight="1">
      <c r="A14" s="34" t="s">
        <v>2672</v>
      </c>
      <c r="B14" s="34"/>
      <c r="C14" s="35" t="s">
        <v>2673</v>
      </c>
      <c r="D14" s="34" t="s">
        <v>4977</v>
      </c>
    </row>
    <row r="15" ht="15.75" customHeight="1">
      <c r="A15" s="34" t="s">
        <v>2674</v>
      </c>
      <c r="B15" s="34" t="s">
        <v>989</v>
      </c>
      <c r="C15" s="35" t="s">
        <v>2675</v>
      </c>
      <c r="D15" s="34" t="s">
        <v>4977</v>
      </c>
    </row>
    <row r="16" ht="15.75" customHeight="1">
      <c r="A16" s="34" t="s">
        <v>2676</v>
      </c>
      <c r="B16" s="34" t="s">
        <v>2677</v>
      </c>
      <c r="C16" s="35" t="s">
        <v>2678</v>
      </c>
      <c r="D16" s="34" t="s">
        <v>4977</v>
      </c>
    </row>
    <row r="17" ht="15.75" customHeight="1">
      <c r="A17" s="34" t="s">
        <v>2679</v>
      </c>
      <c r="B17" s="34" t="s">
        <v>403</v>
      </c>
      <c r="C17" s="35" t="s">
        <v>2680</v>
      </c>
      <c r="D17" s="34" t="s">
        <v>4977</v>
      </c>
    </row>
    <row r="18" ht="15.75" customHeight="1">
      <c r="A18" s="34" t="s">
        <v>2681</v>
      </c>
      <c r="B18" s="34" t="s">
        <v>2682</v>
      </c>
      <c r="C18" s="35" t="s">
        <v>2683</v>
      </c>
      <c r="D18" s="34" t="s">
        <v>4977</v>
      </c>
    </row>
    <row r="19" ht="15.75" customHeight="1">
      <c r="A19" s="34" t="s">
        <v>2684</v>
      </c>
      <c r="B19" s="34" t="s">
        <v>198</v>
      </c>
      <c r="C19" s="35" t="s">
        <v>2685</v>
      </c>
      <c r="D19" s="48"/>
    </row>
    <row r="20" ht="15.75" customHeight="1">
      <c r="A20" s="34" t="s">
        <v>2686</v>
      </c>
      <c r="B20" s="34" t="s">
        <v>2687</v>
      </c>
      <c r="C20" s="198">
        <f>905334932710</f>
        <v>905334932710</v>
      </c>
      <c r="D20" s="34" t="s">
        <v>49</v>
      </c>
    </row>
    <row r="21" ht="15.75" customHeight="1">
      <c r="A21" s="34" t="s">
        <v>2689</v>
      </c>
      <c r="B21" s="34" t="s">
        <v>2690</v>
      </c>
      <c r="C21" s="35" t="s">
        <v>2691</v>
      </c>
      <c r="D21" s="34" t="s">
        <v>49</v>
      </c>
    </row>
    <row r="22" ht="15.75" customHeight="1">
      <c r="A22" s="34" t="s">
        <v>2692</v>
      </c>
      <c r="B22" s="34" t="s">
        <v>2693</v>
      </c>
      <c r="C22" s="35" t="s">
        <v>2694</v>
      </c>
      <c r="D22" s="34" t="s">
        <v>49</v>
      </c>
    </row>
    <row r="23" ht="15.75" customHeight="1">
      <c r="A23" s="34" t="s">
        <v>958</v>
      </c>
      <c r="B23" s="34" t="s">
        <v>2695</v>
      </c>
      <c r="C23" s="35" t="s">
        <v>2696</v>
      </c>
      <c r="D23" s="34" t="s">
        <v>49</v>
      </c>
    </row>
    <row r="24" ht="15.75" customHeight="1">
      <c r="A24" s="34" t="s">
        <v>2697</v>
      </c>
      <c r="B24" s="34" t="s">
        <v>2698</v>
      </c>
      <c r="C24" s="35" t="s">
        <v>2699</v>
      </c>
      <c r="D24" s="34" t="s">
        <v>49</v>
      </c>
    </row>
    <row r="25" ht="15.75" customHeight="1">
      <c r="A25" s="48" t="s">
        <v>4236</v>
      </c>
      <c r="B25" s="48" t="s">
        <v>4237</v>
      </c>
      <c r="C25" s="48"/>
      <c r="D25" s="4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32.86"/>
    <col customWidth="1" min="3" max="3" width="34.29"/>
    <col customWidth="1" min="4" max="6" width="14.43"/>
  </cols>
  <sheetData>
    <row r="1" ht="15.75" customHeight="1">
      <c r="A1" s="199" t="s">
        <v>5224</v>
      </c>
      <c r="B1" s="76"/>
      <c r="C1" s="77"/>
      <c r="D1" s="48"/>
      <c r="E1" s="48"/>
    </row>
    <row r="2" ht="15.75" customHeight="1">
      <c r="A2" s="48" t="s">
        <v>110</v>
      </c>
      <c r="B2" s="48" t="s">
        <v>111</v>
      </c>
      <c r="C2" s="48" t="s">
        <v>112</v>
      </c>
      <c r="D2" s="48"/>
      <c r="E2" s="48"/>
    </row>
    <row r="3" ht="15.75" customHeight="1">
      <c r="A3" s="48" t="s">
        <v>924</v>
      </c>
      <c r="B3" s="48" t="s">
        <v>925</v>
      </c>
      <c r="C3" s="62" t="s">
        <v>926</v>
      </c>
      <c r="D3" s="48">
        <v>1.0</v>
      </c>
      <c r="E3" s="48"/>
    </row>
    <row r="4" ht="15.75" customHeight="1">
      <c r="A4" s="48" t="s">
        <v>932</v>
      </c>
      <c r="B4" s="48" t="s">
        <v>933</v>
      </c>
      <c r="C4" s="63"/>
      <c r="D4" s="48">
        <v>2.0</v>
      </c>
      <c r="E4" s="48"/>
    </row>
    <row r="5" ht="15.75" customHeight="1">
      <c r="A5" s="48" t="s">
        <v>2380</v>
      </c>
      <c r="B5" s="48" t="s">
        <v>1484</v>
      </c>
      <c r="C5" s="62" t="s">
        <v>2381</v>
      </c>
      <c r="D5" s="48">
        <v>3.0</v>
      </c>
      <c r="E5" s="48"/>
    </row>
    <row r="6" ht="15.75" customHeight="1">
      <c r="A6" s="34" t="s">
        <v>946</v>
      </c>
      <c r="B6" s="34" t="s">
        <v>2382</v>
      </c>
      <c r="C6" s="35" t="s">
        <v>2383</v>
      </c>
      <c r="D6" s="34">
        <v>4.0</v>
      </c>
      <c r="E6" s="34" t="s">
        <v>5225</v>
      </c>
    </row>
    <row r="7" ht="15.75" customHeight="1">
      <c r="A7" s="34" t="s">
        <v>2384</v>
      </c>
      <c r="B7" s="34" t="s">
        <v>2385</v>
      </c>
      <c r="C7" s="35" t="s">
        <v>4064</v>
      </c>
      <c r="D7" s="34">
        <v>5.0</v>
      </c>
      <c r="E7" s="34" t="s">
        <v>5225</v>
      </c>
    </row>
    <row r="8" ht="15.75" customHeight="1">
      <c r="A8" s="34" t="s">
        <v>2387</v>
      </c>
      <c r="B8" s="34" t="s">
        <v>2388</v>
      </c>
      <c r="C8" s="35" t="s">
        <v>2389</v>
      </c>
      <c r="D8" s="34">
        <v>6.0</v>
      </c>
      <c r="E8" s="34" t="s">
        <v>5225</v>
      </c>
    </row>
    <row r="9" ht="15.75" customHeight="1">
      <c r="A9" s="34" t="s">
        <v>2390</v>
      </c>
      <c r="B9" s="34" t="s">
        <v>139</v>
      </c>
      <c r="C9" s="35" t="s">
        <v>2391</v>
      </c>
      <c r="D9" s="34">
        <v>7.0</v>
      </c>
      <c r="E9" s="34" t="s">
        <v>5225</v>
      </c>
    </row>
    <row r="10" ht="15.75" customHeight="1">
      <c r="A10" s="34" t="s">
        <v>2392</v>
      </c>
      <c r="B10" s="34" t="s">
        <v>2393</v>
      </c>
      <c r="C10" s="35" t="s">
        <v>2394</v>
      </c>
      <c r="D10" s="34">
        <v>8.0</v>
      </c>
      <c r="E10" s="34" t="s">
        <v>5225</v>
      </c>
    </row>
    <row r="11" ht="15.75" customHeight="1">
      <c r="A11" s="48" t="s">
        <v>2395</v>
      </c>
      <c r="B11" s="48"/>
      <c r="C11" s="48"/>
      <c r="D11" s="48">
        <v>9.0</v>
      </c>
      <c r="E11" s="48"/>
    </row>
    <row r="12" ht="15.75" customHeight="1">
      <c r="A12" s="34" t="s">
        <v>2396</v>
      </c>
      <c r="B12" s="34" t="s">
        <v>2397</v>
      </c>
      <c r="C12" s="35" t="s">
        <v>2398</v>
      </c>
      <c r="D12" s="34">
        <v>10.0</v>
      </c>
      <c r="E12" s="34" t="s">
        <v>5226</v>
      </c>
      <c r="F12" s="36" t="s">
        <v>5227</v>
      </c>
    </row>
    <row r="13" ht="15.75" customHeight="1">
      <c r="A13" s="34" t="s">
        <v>2399</v>
      </c>
      <c r="B13" s="34" t="s">
        <v>2400</v>
      </c>
      <c r="C13" s="35" t="s">
        <v>2398</v>
      </c>
      <c r="D13" s="34">
        <v>11.0</v>
      </c>
      <c r="E13" s="34" t="s">
        <v>5226</v>
      </c>
      <c r="F13" s="36" t="s">
        <v>5227</v>
      </c>
    </row>
    <row r="14" ht="15.75" customHeight="1">
      <c r="A14" s="34" t="s">
        <v>2401</v>
      </c>
      <c r="B14" s="34" t="s">
        <v>198</v>
      </c>
      <c r="C14" s="35" t="s">
        <v>2402</v>
      </c>
      <c r="D14" s="34">
        <v>12.0</v>
      </c>
      <c r="E14" s="34" t="s">
        <v>5226</v>
      </c>
    </row>
    <row r="15" ht="15.75" customHeight="1">
      <c r="A15" s="34" t="s">
        <v>2403</v>
      </c>
      <c r="B15" s="34" t="s">
        <v>2404</v>
      </c>
      <c r="C15" s="35" t="s">
        <v>2383</v>
      </c>
      <c r="D15" s="34">
        <v>13.0</v>
      </c>
      <c r="E15" s="34" t="s">
        <v>5226</v>
      </c>
    </row>
    <row r="16" ht="15.75" customHeight="1">
      <c r="A16" s="34" t="s">
        <v>3928</v>
      </c>
      <c r="B16" s="34" t="s">
        <v>3929</v>
      </c>
      <c r="C16" s="35" t="s">
        <v>3930</v>
      </c>
      <c r="D16" s="34">
        <v>14.0</v>
      </c>
      <c r="E16" s="34" t="s">
        <v>5226</v>
      </c>
    </row>
    <row r="17" ht="15.75" customHeight="1">
      <c r="A17" s="93" t="s">
        <v>3931</v>
      </c>
      <c r="B17" s="93" t="s">
        <v>3932</v>
      </c>
      <c r="C17" s="98" t="s">
        <v>3933</v>
      </c>
      <c r="D17" s="93">
        <v>15.0</v>
      </c>
      <c r="E17" s="93" t="s">
        <v>116</v>
      </c>
    </row>
    <row r="18" ht="15.75" customHeight="1">
      <c r="A18" s="93" t="s">
        <v>3934</v>
      </c>
      <c r="B18" s="93" t="s">
        <v>3935</v>
      </c>
      <c r="C18" s="98" t="s">
        <v>3936</v>
      </c>
      <c r="D18" s="93">
        <v>16.0</v>
      </c>
      <c r="E18" s="93" t="s">
        <v>116</v>
      </c>
    </row>
    <row r="19" ht="15.75" customHeight="1">
      <c r="A19" s="34" t="s">
        <v>3937</v>
      </c>
      <c r="B19" s="34" t="s">
        <v>3938</v>
      </c>
      <c r="C19" s="35" t="s">
        <v>3939</v>
      </c>
      <c r="D19" s="34">
        <v>17.0</v>
      </c>
      <c r="E19" s="34"/>
    </row>
    <row r="20" ht="15.75" customHeight="1">
      <c r="A20" s="48" t="s">
        <v>3940</v>
      </c>
      <c r="B20" s="48" t="s">
        <v>3941</v>
      </c>
      <c r="C20" s="48" t="s">
        <v>139</v>
      </c>
      <c r="D20" s="48">
        <v>18.0</v>
      </c>
      <c r="E20" s="48"/>
    </row>
    <row r="21" ht="15.75" customHeight="1">
      <c r="A21" s="34" t="s">
        <v>3942</v>
      </c>
      <c r="B21" s="34" t="s">
        <v>3943</v>
      </c>
      <c r="C21" s="35" t="s">
        <v>3944</v>
      </c>
      <c r="D21" s="48">
        <v>19.0</v>
      </c>
      <c r="E21" s="48" t="s">
        <v>482</v>
      </c>
    </row>
    <row r="22" ht="15.75" customHeight="1">
      <c r="A22" s="34" t="s">
        <v>3945</v>
      </c>
      <c r="B22" s="34" t="s">
        <v>3946</v>
      </c>
      <c r="C22" s="35" t="s">
        <v>3947</v>
      </c>
      <c r="D22" s="48">
        <v>20.0</v>
      </c>
      <c r="E22" s="48" t="s">
        <v>482</v>
      </c>
    </row>
    <row r="23" ht="15.75" customHeight="1">
      <c r="A23" s="34" t="s">
        <v>3948</v>
      </c>
      <c r="B23" s="34" t="s">
        <v>3949</v>
      </c>
      <c r="C23" s="34" t="s">
        <v>139</v>
      </c>
      <c r="D23" s="48">
        <v>21.0</v>
      </c>
      <c r="E23" s="48" t="s">
        <v>482</v>
      </c>
    </row>
    <row r="24" ht="15.75" customHeight="1">
      <c r="A24" s="34" t="s">
        <v>3950</v>
      </c>
      <c r="B24" s="34" t="s">
        <v>3951</v>
      </c>
      <c r="C24" s="35" t="s">
        <v>3952</v>
      </c>
      <c r="D24" s="48">
        <v>22.0</v>
      </c>
      <c r="E24" s="48" t="s">
        <v>482</v>
      </c>
    </row>
    <row r="25" ht="15.75" customHeight="1">
      <c r="A25" s="34" t="s">
        <v>3953</v>
      </c>
      <c r="B25" s="34" t="s">
        <v>3954</v>
      </c>
      <c r="C25" s="35" t="s">
        <v>3955</v>
      </c>
      <c r="D25" s="48">
        <v>23.0</v>
      </c>
      <c r="E25" s="48" t="s">
        <v>482</v>
      </c>
    </row>
    <row r="26" ht="15.75" customHeight="1">
      <c r="A26" s="48" t="s">
        <v>3956</v>
      </c>
      <c r="B26" s="48" t="s">
        <v>3957</v>
      </c>
      <c r="C26" s="48"/>
      <c r="D26" s="48">
        <v>24.0</v>
      </c>
      <c r="E26" s="48"/>
    </row>
    <row r="27" ht="15.75" customHeight="1">
      <c r="A27" s="48" t="s">
        <v>3958</v>
      </c>
      <c r="B27" s="48" t="s">
        <v>3959</v>
      </c>
      <c r="C27" s="62" t="s">
        <v>3960</v>
      </c>
      <c r="D27" s="48">
        <v>25.0</v>
      </c>
      <c r="E27" s="48"/>
      <c r="G27" s="36"/>
      <c r="H27" s="36"/>
      <c r="I27" s="36"/>
    </row>
    <row r="28" ht="15.75" customHeight="1">
      <c r="A28" s="34" t="s">
        <v>3961</v>
      </c>
      <c r="B28" s="34"/>
      <c r="C28" s="35" t="s">
        <v>3962</v>
      </c>
      <c r="D28" s="34">
        <v>26.0</v>
      </c>
      <c r="E28" s="34" t="s">
        <v>5228</v>
      </c>
    </row>
    <row r="29" ht="15.75" customHeight="1">
      <c r="A29" s="34" t="s">
        <v>3963</v>
      </c>
      <c r="B29" s="34" t="s">
        <v>3964</v>
      </c>
      <c r="C29" s="35" t="s">
        <v>3965</v>
      </c>
      <c r="D29" s="34">
        <v>27.0</v>
      </c>
      <c r="E29" s="34" t="s">
        <v>5228</v>
      </c>
    </row>
    <row r="30" ht="15.75" customHeight="1">
      <c r="A30" s="34" t="s">
        <v>3966</v>
      </c>
      <c r="B30" s="34" t="s">
        <v>3967</v>
      </c>
      <c r="C30" s="35" t="s">
        <v>3968</v>
      </c>
      <c r="D30" s="34">
        <v>28.0</v>
      </c>
      <c r="E30" s="34" t="s">
        <v>5228</v>
      </c>
    </row>
    <row r="31" ht="15.75" customHeight="1">
      <c r="A31" s="34" t="s">
        <v>3969</v>
      </c>
      <c r="B31" s="34" t="s">
        <v>3970</v>
      </c>
      <c r="C31" s="35" t="s">
        <v>3971</v>
      </c>
      <c r="D31" s="34">
        <v>29.0</v>
      </c>
      <c r="E31" s="34" t="s">
        <v>5228</v>
      </c>
    </row>
    <row r="32" ht="15.75" customHeight="1">
      <c r="A32" s="34" t="s">
        <v>3972</v>
      </c>
      <c r="B32" s="34"/>
      <c r="C32" s="35" t="s">
        <v>3973</v>
      </c>
      <c r="D32" s="34">
        <v>30.0</v>
      </c>
      <c r="E32" s="34" t="s">
        <v>5228</v>
      </c>
    </row>
    <row r="33" ht="15.75" customHeight="1">
      <c r="A33" s="48" t="s">
        <v>3974</v>
      </c>
      <c r="B33" s="48" t="s">
        <v>3975</v>
      </c>
      <c r="C33" s="48"/>
      <c r="D33" s="48">
        <v>31.0</v>
      </c>
      <c r="E33" s="48"/>
    </row>
    <row r="34" ht="15.75" customHeight="1">
      <c r="A34" s="48" t="s">
        <v>3976</v>
      </c>
      <c r="B34" s="48" t="s">
        <v>3977</v>
      </c>
      <c r="C34" s="48"/>
      <c r="D34" s="48">
        <v>32.0</v>
      </c>
      <c r="E34" s="48"/>
    </row>
    <row r="35" ht="15.75" customHeight="1">
      <c r="A35" s="48" t="s">
        <v>3978</v>
      </c>
      <c r="B35" s="48" t="s">
        <v>3979</v>
      </c>
      <c r="C35" s="48"/>
      <c r="D35" s="48">
        <v>33.0</v>
      </c>
      <c r="E35" s="48"/>
    </row>
    <row r="36" ht="15.75" customHeight="1">
      <c r="A36" s="34" t="s">
        <v>3980</v>
      </c>
      <c r="B36" s="34" t="s">
        <v>3981</v>
      </c>
      <c r="C36" s="35" t="s">
        <v>3982</v>
      </c>
      <c r="D36" s="48">
        <v>34.0</v>
      </c>
      <c r="E36" s="200" t="s">
        <v>116</v>
      </c>
    </row>
    <row r="37" ht="15.75" customHeight="1">
      <c r="A37" s="48" t="s">
        <v>3983</v>
      </c>
      <c r="B37" s="48" t="s">
        <v>3984</v>
      </c>
      <c r="C37" s="48"/>
      <c r="D37" s="48">
        <v>35.0</v>
      </c>
      <c r="E37" s="48"/>
    </row>
    <row r="38" ht="15.75" customHeight="1">
      <c r="A38" s="34" t="s">
        <v>3985</v>
      </c>
      <c r="B38" s="34" t="s">
        <v>139</v>
      </c>
      <c r="C38" s="35" t="s">
        <v>3986</v>
      </c>
      <c r="D38" s="34">
        <v>36.0</v>
      </c>
      <c r="E38" s="34" t="s">
        <v>116</v>
      </c>
    </row>
    <row r="39" ht="15.75" customHeight="1">
      <c r="A39" s="34" t="s">
        <v>1201</v>
      </c>
      <c r="B39" s="34" t="s">
        <v>1202</v>
      </c>
      <c r="C39" s="35" t="s">
        <v>3987</v>
      </c>
      <c r="D39" s="34">
        <v>37.0</v>
      </c>
      <c r="E39" s="34" t="s">
        <v>116</v>
      </c>
    </row>
    <row r="40" ht="15.75" customHeight="1">
      <c r="A40" s="34" t="s">
        <v>3988</v>
      </c>
      <c r="B40" s="34" t="s">
        <v>3989</v>
      </c>
      <c r="C40" s="35" t="s">
        <v>3990</v>
      </c>
      <c r="D40" s="34">
        <v>38.0</v>
      </c>
      <c r="E40" s="34" t="s">
        <v>116</v>
      </c>
    </row>
    <row r="41" ht="15.75" customHeight="1">
      <c r="A41" s="34" t="s">
        <v>3991</v>
      </c>
      <c r="B41" s="34" t="s">
        <v>3992</v>
      </c>
      <c r="C41" s="35" t="s">
        <v>3993</v>
      </c>
      <c r="D41" s="34">
        <v>39.0</v>
      </c>
      <c r="E41" s="34" t="s">
        <v>116</v>
      </c>
    </row>
    <row r="42" ht="15.75" customHeight="1">
      <c r="A42" s="34" t="s">
        <v>3994</v>
      </c>
      <c r="B42" s="34" t="s">
        <v>3995</v>
      </c>
      <c r="C42" s="35" t="s">
        <v>3996</v>
      </c>
      <c r="D42" s="34">
        <v>40.0</v>
      </c>
      <c r="E42" s="34" t="s">
        <v>116</v>
      </c>
    </row>
    <row r="43" ht="15.75" customHeight="1">
      <c r="A43" s="48" t="s">
        <v>3997</v>
      </c>
      <c r="B43" s="48" t="s">
        <v>3998</v>
      </c>
      <c r="C43" s="48"/>
      <c r="D43" s="48">
        <v>41.0</v>
      </c>
      <c r="E43" s="48"/>
    </row>
    <row r="44" ht="15.75" customHeight="1">
      <c r="A44" s="201" t="s">
        <v>3999</v>
      </c>
      <c r="B44" s="201" t="s">
        <v>4000</v>
      </c>
      <c r="C44" s="202" t="s">
        <v>4001</v>
      </c>
      <c r="D44" s="48">
        <v>42.0</v>
      </c>
      <c r="E44" s="34" t="s">
        <v>116</v>
      </c>
    </row>
    <row r="45" ht="15.75" customHeight="1">
      <c r="A45" s="201" t="s">
        <v>4002</v>
      </c>
      <c r="B45" s="201" t="s">
        <v>4003</v>
      </c>
      <c r="C45" s="202" t="s">
        <v>4004</v>
      </c>
      <c r="D45" s="48">
        <v>43.0</v>
      </c>
      <c r="E45" s="34" t="s">
        <v>116</v>
      </c>
    </row>
    <row r="46" ht="15.75" customHeight="1">
      <c r="A46" s="34" t="s">
        <v>471</v>
      </c>
      <c r="B46" s="34"/>
      <c r="C46" s="35" t="s">
        <v>4005</v>
      </c>
      <c r="D46" s="34">
        <v>44.0</v>
      </c>
      <c r="E46" s="34"/>
    </row>
    <row r="47" ht="15.75" customHeight="1">
      <c r="A47" s="48" t="s">
        <v>4006</v>
      </c>
      <c r="B47" s="48"/>
      <c r="C47" s="62" t="s">
        <v>4007</v>
      </c>
      <c r="D47" s="48">
        <v>45.0</v>
      </c>
      <c r="E47" s="48"/>
    </row>
    <row r="48" ht="15.75" customHeight="1">
      <c r="A48" s="48" t="s">
        <v>4008</v>
      </c>
      <c r="B48" s="48" t="s">
        <v>4009</v>
      </c>
      <c r="C48" s="62" t="s">
        <v>4010</v>
      </c>
      <c r="D48" s="48">
        <v>46.0</v>
      </c>
      <c r="E48" s="48"/>
    </row>
    <row r="49" ht="15.75" customHeight="1">
      <c r="A49" s="48" t="s">
        <v>4011</v>
      </c>
      <c r="B49" s="48" t="s">
        <v>4012</v>
      </c>
      <c r="C49" s="62" t="s">
        <v>4013</v>
      </c>
      <c r="D49" s="48">
        <v>47.0</v>
      </c>
      <c r="E49" s="48"/>
    </row>
    <row r="50" ht="15.75" customHeight="1">
      <c r="A50" s="34" t="s">
        <v>4014</v>
      </c>
      <c r="B50" s="34"/>
      <c r="C50" s="35" t="s">
        <v>4015</v>
      </c>
      <c r="D50" s="34">
        <v>48.0</v>
      </c>
      <c r="E50" s="34" t="s">
        <v>482</v>
      </c>
    </row>
    <row r="51" ht="15.75" customHeight="1">
      <c r="A51" s="34" t="s">
        <v>4016</v>
      </c>
      <c r="B51" s="34"/>
      <c r="C51" s="35" t="s">
        <v>397</v>
      </c>
      <c r="D51" s="34">
        <v>49.0</v>
      </c>
      <c r="E51" s="34" t="s">
        <v>482</v>
      </c>
    </row>
    <row r="52" ht="15.75" customHeight="1">
      <c r="A52" s="34" t="s">
        <v>4017</v>
      </c>
      <c r="B52" s="34"/>
      <c r="C52" s="35" t="s">
        <v>4018</v>
      </c>
      <c r="D52" s="34">
        <v>50.0</v>
      </c>
      <c r="E52" s="34" t="s">
        <v>482</v>
      </c>
    </row>
    <row r="53" ht="15.75" customHeight="1">
      <c r="A53" s="34" t="s">
        <v>4019</v>
      </c>
      <c r="B53" s="34" t="s">
        <v>4020</v>
      </c>
      <c r="C53" s="35" t="s">
        <v>4021</v>
      </c>
      <c r="D53" s="34">
        <v>51.0</v>
      </c>
      <c r="E53" s="34" t="s">
        <v>482</v>
      </c>
    </row>
    <row r="54" ht="15.75" customHeight="1">
      <c r="A54" s="34" t="s">
        <v>4022</v>
      </c>
      <c r="B54" s="34" t="s">
        <v>4023</v>
      </c>
      <c r="C54" s="35" t="s">
        <v>4024</v>
      </c>
      <c r="D54" s="34">
        <v>52.0</v>
      </c>
      <c r="E54" s="34" t="s">
        <v>482</v>
      </c>
    </row>
    <row r="55" ht="15.75" customHeight="1">
      <c r="A55" s="34" t="s">
        <v>4025</v>
      </c>
      <c r="B55" s="34" t="s">
        <v>4026</v>
      </c>
      <c r="C55" s="35" t="s">
        <v>4027</v>
      </c>
      <c r="D55" s="34">
        <v>53.0</v>
      </c>
      <c r="E55" s="34" t="s">
        <v>5229</v>
      </c>
    </row>
    <row r="56" ht="15.75" customHeight="1">
      <c r="A56" s="34" t="s">
        <v>4028</v>
      </c>
      <c r="B56" s="34" t="s">
        <v>4029</v>
      </c>
      <c r="C56" s="35" t="s">
        <v>4030</v>
      </c>
      <c r="D56" s="34">
        <v>54.0</v>
      </c>
      <c r="E56" s="34" t="s">
        <v>5229</v>
      </c>
    </row>
    <row r="57" ht="15.75" customHeight="1">
      <c r="A57" s="34" t="s">
        <v>4031</v>
      </c>
      <c r="B57" s="34" t="s">
        <v>4032</v>
      </c>
      <c r="C57" s="35" t="s">
        <v>4033</v>
      </c>
      <c r="D57" s="34">
        <v>55.0</v>
      </c>
      <c r="E57" s="34" t="s">
        <v>5229</v>
      </c>
    </row>
    <row r="58" ht="15.75" customHeight="1">
      <c r="A58" s="34" t="s">
        <v>4034</v>
      </c>
      <c r="B58" s="34" t="s">
        <v>4035</v>
      </c>
      <c r="C58" s="34" t="s">
        <v>717</v>
      </c>
      <c r="D58" s="34">
        <v>56.0</v>
      </c>
      <c r="E58" s="34" t="s">
        <v>5229</v>
      </c>
    </row>
    <row r="59" ht="15.75" customHeight="1">
      <c r="A59" s="34" t="s">
        <v>4036</v>
      </c>
      <c r="B59" s="34" t="s">
        <v>4037</v>
      </c>
      <c r="C59" s="35" t="s">
        <v>4038</v>
      </c>
      <c r="D59" s="34">
        <v>57.0</v>
      </c>
      <c r="E59" s="34" t="s">
        <v>5229</v>
      </c>
    </row>
    <row r="60" ht="15.75" customHeight="1">
      <c r="A60" s="48" t="s">
        <v>4039</v>
      </c>
      <c r="B60" s="48" t="s">
        <v>4040</v>
      </c>
      <c r="C60" s="48" t="s">
        <v>717</v>
      </c>
      <c r="D60" s="48">
        <v>58.0</v>
      </c>
      <c r="E60" s="48"/>
    </row>
    <row r="61" ht="15.75" customHeight="1">
      <c r="A61" s="48" t="s">
        <v>4041</v>
      </c>
      <c r="B61" s="48" t="s">
        <v>4042</v>
      </c>
      <c r="C61" s="48" t="s">
        <v>717</v>
      </c>
      <c r="D61" s="48">
        <v>59.0</v>
      </c>
      <c r="E61" s="48"/>
    </row>
    <row r="62" ht="15.75" customHeight="1">
      <c r="A62" s="48" t="s">
        <v>4043</v>
      </c>
      <c r="B62" s="48" t="s">
        <v>4044</v>
      </c>
      <c r="C62" s="62" t="s">
        <v>4045</v>
      </c>
      <c r="D62" s="48">
        <v>60.0</v>
      </c>
      <c r="E62" s="48"/>
    </row>
    <row r="63" ht="15.75" customHeight="1">
      <c r="A63" s="48" t="s">
        <v>4046</v>
      </c>
      <c r="B63" s="48" t="s">
        <v>4047</v>
      </c>
      <c r="C63" s="48" t="s">
        <v>717</v>
      </c>
      <c r="D63" s="48">
        <v>61.0</v>
      </c>
      <c r="E63" s="48"/>
    </row>
    <row r="64" ht="15.75" customHeight="1">
      <c r="A64" s="34" t="s">
        <v>4048</v>
      </c>
      <c r="B64" s="34" t="s">
        <v>4049</v>
      </c>
      <c r="C64" s="35" t="s">
        <v>4050</v>
      </c>
      <c r="D64" s="34">
        <v>62.0</v>
      </c>
      <c r="E64" s="34"/>
    </row>
    <row r="65" ht="15.75" customHeight="1">
      <c r="A65" s="48" t="s">
        <v>4051</v>
      </c>
      <c r="B65" s="48" t="s">
        <v>4052</v>
      </c>
      <c r="C65" s="48" t="s">
        <v>717</v>
      </c>
      <c r="D65" s="48">
        <v>63.0</v>
      </c>
      <c r="E65" s="48"/>
    </row>
    <row r="66" ht="15.75" customHeight="1">
      <c r="A66" s="34" t="s">
        <v>4053</v>
      </c>
      <c r="B66" s="34" t="s">
        <v>4054</v>
      </c>
      <c r="C66" s="35" t="s">
        <v>4055</v>
      </c>
      <c r="D66" s="34">
        <v>64.0</v>
      </c>
      <c r="E66" s="34" t="s">
        <v>482</v>
      </c>
    </row>
    <row r="67" ht="15.75" customHeight="1">
      <c r="A67" s="34" t="s">
        <v>825</v>
      </c>
      <c r="B67" s="34" t="s">
        <v>4056</v>
      </c>
      <c r="C67" s="34" t="s">
        <v>717</v>
      </c>
      <c r="D67" s="34">
        <v>65.0</v>
      </c>
      <c r="E67" s="34" t="s">
        <v>482</v>
      </c>
    </row>
    <row r="68" ht="15.75" customHeight="1">
      <c r="A68" s="34" t="s">
        <v>4057</v>
      </c>
      <c r="B68" s="34" t="s">
        <v>4058</v>
      </c>
      <c r="C68" s="35" t="s">
        <v>4059</v>
      </c>
      <c r="D68" s="34">
        <v>66.0</v>
      </c>
      <c r="E68" s="34" t="s">
        <v>482</v>
      </c>
    </row>
    <row r="69" ht="15.75" customHeight="1">
      <c r="A69" s="34" t="s">
        <v>4060</v>
      </c>
      <c r="B69" s="34" t="s">
        <v>4061</v>
      </c>
      <c r="C69" s="35" t="s">
        <v>4062</v>
      </c>
      <c r="D69" s="34">
        <v>67.0</v>
      </c>
      <c r="E69" s="34" t="s">
        <v>482</v>
      </c>
    </row>
    <row r="70" ht="15.75" customHeight="1">
      <c r="A70" s="34" t="s">
        <v>4811</v>
      </c>
      <c r="B70" s="34" t="s">
        <v>4812</v>
      </c>
      <c r="C70" s="35" t="s">
        <v>4813</v>
      </c>
      <c r="D70" s="34">
        <v>68.0</v>
      </c>
      <c r="E70" s="34" t="s">
        <v>482</v>
      </c>
    </row>
    <row r="71" ht="15.75" customHeight="1">
      <c r="A71" s="34" t="s">
        <v>4814</v>
      </c>
      <c r="B71" s="34"/>
      <c r="C71" s="35" t="s">
        <v>4815</v>
      </c>
      <c r="D71" s="34">
        <v>69.0</v>
      </c>
      <c r="E71" s="34" t="s">
        <v>482</v>
      </c>
    </row>
    <row r="72" ht="15.75" customHeight="1">
      <c r="A72" s="48" t="s">
        <v>4822</v>
      </c>
      <c r="B72" s="48" t="s">
        <v>4823</v>
      </c>
      <c r="C72" s="62" t="s">
        <v>4824</v>
      </c>
      <c r="D72" s="48">
        <v>70.0</v>
      </c>
      <c r="E72" s="48"/>
    </row>
    <row r="73" ht="15.75" customHeight="1">
      <c r="A73" s="48" t="s">
        <v>4825</v>
      </c>
      <c r="B73" s="48" t="s">
        <v>4826</v>
      </c>
      <c r="C73" s="62" t="s">
        <v>4827</v>
      </c>
      <c r="D73" s="48">
        <v>71.0</v>
      </c>
      <c r="E73" s="4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30.0"/>
    <col customWidth="1" min="3" max="3" width="29.14"/>
    <col customWidth="1" min="4" max="4" width="13.29"/>
    <col customWidth="1" min="5" max="5" width="24.57"/>
    <col customWidth="1" min="6" max="6" width="14.43"/>
  </cols>
  <sheetData>
    <row r="1" ht="15.75" customHeight="1">
      <c r="A1" s="203" t="s">
        <v>5230</v>
      </c>
      <c r="B1" s="76"/>
      <c r="C1" s="77"/>
      <c r="D1" s="48"/>
    </row>
    <row r="2" ht="15.75" customHeight="1">
      <c r="A2" s="48" t="s">
        <v>110</v>
      </c>
      <c r="B2" s="48" t="s">
        <v>111</v>
      </c>
      <c r="C2" s="48" t="s">
        <v>112</v>
      </c>
      <c r="D2" s="48"/>
    </row>
    <row r="3" ht="15.75" customHeight="1">
      <c r="A3" s="48" t="s">
        <v>4086</v>
      </c>
      <c r="B3" s="48" t="s">
        <v>4087</v>
      </c>
      <c r="C3" s="48" t="s">
        <v>717</v>
      </c>
      <c r="D3" s="48" t="s">
        <v>5199</v>
      </c>
    </row>
    <row r="4" ht="15.75" customHeight="1">
      <c r="A4" s="48" t="s">
        <v>4088</v>
      </c>
      <c r="B4" s="48" t="s">
        <v>4089</v>
      </c>
      <c r="C4" s="62" t="s">
        <v>4090</v>
      </c>
      <c r="D4" s="48" t="s">
        <v>5199</v>
      </c>
    </row>
    <row r="5" ht="15.75" customHeight="1">
      <c r="A5" s="48" t="s">
        <v>4091</v>
      </c>
      <c r="B5" s="48" t="s">
        <v>4092</v>
      </c>
      <c r="C5" s="62" t="s">
        <v>4093</v>
      </c>
      <c r="D5" s="48" t="s">
        <v>5199</v>
      </c>
    </row>
    <row r="6" ht="15.75" customHeight="1">
      <c r="A6" s="48" t="s">
        <v>4094</v>
      </c>
      <c r="B6" s="48" t="s">
        <v>198</v>
      </c>
      <c r="C6" s="62" t="s">
        <v>4095</v>
      </c>
      <c r="D6" s="48" t="s">
        <v>5199</v>
      </c>
    </row>
    <row r="7" ht="15.75" customHeight="1">
      <c r="A7" s="48" t="s">
        <v>4096</v>
      </c>
      <c r="B7" s="48" t="s">
        <v>5231</v>
      </c>
      <c r="C7" s="48" t="s">
        <v>717</v>
      </c>
      <c r="D7" s="48" t="s">
        <v>5199</v>
      </c>
    </row>
    <row r="8" ht="15.75" customHeight="1">
      <c r="A8" s="48" t="s">
        <v>4097</v>
      </c>
      <c r="B8" s="48" t="s">
        <v>4098</v>
      </c>
      <c r="C8" s="62" t="s">
        <v>4099</v>
      </c>
      <c r="D8" s="48" t="s">
        <v>5199</v>
      </c>
    </row>
    <row r="9" ht="15.75" customHeight="1">
      <c r="A9" s="48" t="s">
        <v>4100</v>
      </c>
      <c r="B9" s="48" t="s">
        <v>4101</v>
      </c>
      <c r="C9" s="62" t="s">
        <v>4102</v>
      </c>
      <c r="D9" s="48" t="s">
        <v>5199</v>
      </c>
    </row>
    <row r="10" ht="15.75" customHeight="1">
      <c r="A10" s="48" t="s">
        <v>4103</v>
      </c>
      <c r="B10" s="48" t="s">
        <v>3259</v>
      </c>
      <c r="C10" s="62" t="s">
        <v>4104</v>
      </c>
      <c r="D10" s="48" t="s">
        <v>5199</v>
      </c>
    </row>
    <row r="11" ht="15.75" customHeight="1">
      <c r="A11" s="48" t="s">
        <v>3261</v>
      </c>
      <c r="B11" s="48" t="s">
        <v>3262</v>
      </c>
      <c r="C11" s="62" t="s">
        <v>4105</v>
      </c>
      <c r="D11" s="48" t="s">
        <v>5199</v>
      </c>
    </row>
    <row r="12" ht="15.75" customHeight="1">
      <c r="A12" s="48" t="s">
        <v>4106</v>
      </c>
      <c r="B12" s="48" t="s">
        <v>3265</v>
      </c>
      <c r="C12" s="48" t="s">
        <v>717</v>
      </c>
      <c r="D12" s="48" t="s">
        <v>5199</v>
      </c>
    </row>
    <row r="13" ht="15.75" customHeight="1">
      <c r="A13" s="48" t="s">
        <v>3028</v>
      </c>
      <c r="B13" s="48" t="s">
        <v>198</v>
      </c>
      <c r="C13" s="62" t="s">
        <v>3029</v>
      </c>
      <c r="D13" s="48" t="s">
        <v>5199</v>
      </c>
    </row>
    <row r="14" ht="15.75" customHeight="1">
      <c r="A14" s="48" t="s">
        <v>3031</v>
      </c>
      <c r="B14" s="48" t="s">
        <v>3032</v>
      </c>
      <c r="C14" s="48" t="s">
        <v>717</v>
      </c>
      <c r="D14" s="48" t="s">
        <v>5199</v>
      </c>
    </row>
    <row r="15" ht="15.75" customHeight="1">
      <c r="A15" s="48" t="s">
        <v>3033</v>
      </c>
      <c r="B15" s="48" t="s">
        <v>198</v>
      </c>
      <c r="C15" s="62" t="s">
        <v>3034</v>
      </c>
      <c r="D15" s="48" t="s">
        <v>5199</v>
      </c>
    </row>
    <row r="16" ht="15.75" customHeight="1">
      <c r="A16" s="48" t="s">
        <v>3035</v>
      </c>
      <c r="B16" s="48" t="s">
        <v>3036</v>
      </c>
      <c r="C16" s="48"/>
      <c r="D16" s="48" t="s">
        <v>5199</v>
      </c>
    </row>
    <row r="17" ht="15.75" customHeight="1">
      <c r="A17" s="48" t="s">
        <v>3037</v>
      </c>
      <c r="B17" s="48" t="s">
        <v>3038</v>
      </c>
      <c r="C17" s="62" t="s">
        <v>3039</v>
      </c>
      <c r="D17" s="48" t="s">
        <v>5199</v>
      </c>
    </row>
    <row r="18" ht="15.75" customHeight="1">
      <c r="A18" s="34" t="s">
        <v>3040</v>
      </c>
      <c r="B18" s="34" t="s">
        <v>3041</v>
      </c>
      <c r="C18" s="35" t="s">
        <v>3042</v>
      </c>
      <c r="D18" s="34" t="s">
        <v>5232</v>
      </c>
    </row>
    <row r="19" ht="15.75" customHeight="1">
      <c r="A19" s="48" t="s">
        <v>3043</v>
      </c>
      <c r="B19" s="48" t="s">
        <v>3044</v>
      </c>
      <c r="C19" s="48" t="s">
        <v>198</v>
      </c>
      <c r="D19" s="48" t="s">
        <v>5199</v>
      </c>
    </row>
    <row r="20" ht="15.75" customHeight="1">
      <c r="A20" s="48" t="s">
        <v>3045</v>
      </c>
      <c r="B20" s="48" t="s">
        <v>3046</v>
      </c>
      <c r="C20" s="48" t="s">
        <v>198</v>
      </c>
      <c r="D20" s="48" t="s">
        <v>5199</v>
      </c>
    </row>
    <row r="21" ht="15.75" customHeight="1">
      <c r="A21" s="48" t="s">
        <v>3047</v>
      </c>
      <c r="B21" s="48" t="s">
        <v>3048</v>
      </c>
      <c r="C21" s="62" t="s">
        <v>3049</v>
      </c>
      <c r="D21" s="48" t="s">
        <v>5199</v>
      </c>
    </row>
    <row r="22" ht="15.75" customHeight="1">
      <c r="A22" s="48" t="s">
        <v>3050</v>
      </c>
      <c r="B22" s="48" t="s">
        <v>3051</v>
      </c>
      <c r="C22" s="62" t="s">
        <v>3052</v>
      </c>
      <c r="D22" s="48" t="s">
        <v>5199</v>
      </c>
    </row>
    <row r="23" ht="15.75" customHeight="1">
      <c r="A23" s="48" t="s">
        <v>3053</v>
      </c>
      <c r="B23" s="48" t="s">
        <v>198</v>
      </c>
      <c r="C23" s="62" t="s">
        <v>3054</v>
      </c>
      <c r="D23" s="48" t="s">
        <v>5199</v>
      </c>
    </row>
    <row r="24" ht="15.75" customHeight="1">
      <c r="A24" s="48" t="s">
        <v>855</v>
      </c>
      <c r="B24" s="48" t="s">
        <v>3055</v>
      </c>
      <c r="C24" s="62" t="s">
        <v>3056</v>
      </c>
      <c r="D24" s="48" t="s">
        <v>5199</v>
      </c>
    </row>
    <row r="25" ht="15.75" customHeight="1">
      <c r="A25" s="48" t="s">
        <v>3057</v>
      </c>
      <c r="B25" s="48" t="s">
        <v>198</v>
      </c>
      <c r="C25" s="62" t="s">
        <v>3058</v>
      </c>
      <c r="D25" s="48" t="s">
        <v>5199</v>
      </c>
    </row>
    <row r="26" ht="15.75" customHeight="1">
      <c r="A26" s="48" t="s">
        <v>3059</v>
      </c>
      <c r="B26" s="48" t="s">
        <v>198</v>
      </c>
      <c r="C26" s="62" t="s">
        <v>3060</v>
      </c>
      <c r="D26" s="48" t="s">
        <v>5199</v>
      </c>
    </row>
    <row r="27" ht="15.75" customHeight="1">
      <c r="A27" s="48" t="s">
        <v>3061</v>
      </c>
      <c r="B27" s="48" t="s">
        <v>3062</v>
      </c>
      <c r="C27" s="48" t="s">
        <v>198</v>
      </c>
      <c r="D27" s="48" t="s">
        <v>5199</v>
      </c>
    </row>
    <row r="28" ht="15.75" customHeight="1">
      <c r="A28" s="48" t="s">
        <v>3063</v>
      </c>
      <c r="B28" s="48" t="s">
        <v>3064</v>
      </c>
      <c r="C28" s="62" t="s">
        <v>3065</v>
      </c>
      <c r="D28" s="48" t="s">
        <v>5199</v>
      </c>
    </row>
    <row r="29" ht="15.75" customHeight="1">
      <c r="A29" s="48" t="s">
        <v>3066</v>
      </c>
      <c r="B29" s="48"/>
      <c r="C29" s="62" t="s">
        <v>3067</v>
      </c>
      <c r="D29" s="48" t="s">
        <v>5199</v>
      </c>
    </row>
    <row r="30" ht="15.75" customHeight="1">
      <c r="A30" s="48" t="s">
        <v>3068</v>
      </c>
      <c r="B30" s="48" t="s">
        <v>3069</v>
      </c>
      <c r="C30" s="62" t="s">
        <v>3070</v>
      </c>
      <c r="D30" s="48" t="s">
        <v>5199</v>
      </c>
    </row>
    <row r="31" ht="15.75" customHeight="1">
      <c r="A31" s="48" t="s">
        <v>3071</v>
      </c>
      <c r="B31" s="48" t="s">
        <v>3072</v>
      </c>
      <c r="C31" s="48" t="s">
        <v>198</v>
      </c>
      <c r="D31" s="48" t="s">
        <v>5199</v>
      </c>
    </row>
    <row r="32" ht="15.75" customHeight="1">
      <c r="A32" s="48" t="s">
        <v>3073</v>
      </c>
      <c r="B32" s="48" t="s">
        <v>198</v>
      </c>
      <c r="C32" s="62" t="s">
        <v>3074</v>
      </c>
      <c r="D32" s="48" t="s">
        <v>5199</v>
      </c>
    </row>
    <row r="33" ht="15.75" customHeight="1">
      <c r="A33" s="48" t="s">
        <v>3075</v>
      </c>
      <c r="B33" s="48" t="s">
        <v>3076</v>
      </c>
      <c r="C33" s="62" t="s">
        <v>3077</v>
      </c>
      <c r="D33" s="48" t="s">
        <v>5199</v>
      </c>
    </row>
    <row r="34" ht="15.75" customHeight="1">
      <c r="A34" s="48" t="s">
        <v>3078</v>
      </c>
      <c r="B34" s="48" t="s">
        <v>3079</v>
      </c>
      <c r="C34" s="62" t="s">
        <v>3080</v>
      </c>
      <c r="D34" s="48" t="s">
        <v>5199</v>
      </c>
    </row>
    <row r="35" ht="15.75" customHeight="1">
      <c r="A35" s="48" t="s">
        <v>3081</v>
      </c>
      <c r="B35" s="48" t="s">
        <v>198</v>
      </c>
      <c r="C35" s="62" t="s">
        <v>3082</v>
      </c>
      <c r="D35" s="48" t="s">
        <v>5199</v>
      </c>
    </row>
    <row r="36" ht="15.75" customHeight="1">
      <c r="A36" s="48" t="s">
        <v>3083</v>
      </c>
      <c r="B36" s="48" t="s">
        <v>3084</v>
      </c>
      <c r="C36" s="48" t="s">
        <v>198</v>
      </c>
      <c r="D36" s="48" t="s">
        <v>5199</v>
      </c>
    </row>
    <row r="37" ht="15.75" customHeight="1">
      <c r="A37" s="48" t="s">
        <v>845</v>
      </c>
      <c r="B37" s="48" t="s">
        <v>3085</v>
      </c>
      <c r="C37" s="48" t="s">
        <v>198</v>
      </c>
      <c r="D37" s="48" t="s">
        <v>5199</v>
      </c>
    </row>
    <row r="38" ht="15.75" customHeight="1">
      <c r="A38" s="48" t="s">
        <v>3086</v>
      </c>
      <c r="B38" s="48" t="s">
        <v>3087</v>
      </c>
      <c r="C38" s="62" t="s">
        <v>3088</v>
      </c>
      <c r="D38" s="48" t="s">
        <v>5199</v>
      </c>
    </row>
    <row r="39" ht="15.75" customHeight="1">
      <c r="A39" s="48" t="s">
        <v>3089</v>
      </c>
      <c r="B39" s="48" t="s">
        <v>3090</v>
      </c>
      <c r="C39" s="62" t="s">
        <v>3091</v>
      </c>
      <c r="D39" s="48" t="s">
        <v>5199</v>
      </c>
    </row>
    <row r="40" ht="15.75" customHeight="1">
      <c r="A40" s="48" t="s">
        <v>3092</v>
      </c>
      <c r="B40" s="48" t="s">
        <v>3093</v>
      </c>
      <c r="C40" s="48" t="s">
        <v>198</v>
      </c>
      <c r="D40" s="48" t="s">
        <v>5199</v>
      </c>
    </row>
    <row r="41" ht="15.75" customHeight="1">
      <c r="A41" s="48" t="s">
        <v>3094</v>
      </c>
      <c r="B41" s="48" t="s">
        <v>3095</v>
      </c>
      <c r="C41" s="62" t="s">
        <v>3096</v>
      </c>
      <c r="D41" s="48" t="s">
        <v>5199</v>
      </c>
    </row>
    <row r="42" ht="15.75" customHeight="1">
      <c r="A42" s="48" t="s">
        <v>3097</v>
      </c>
      <c r="B42" s="48" t="s">
        <v>3098</v>
      </c>
      <c r="C42" s="62" t="s">
        <v>3099</v>
      </c>
      <c r="D42" s="48" t="s">
        <v>5199</v>
      </c>
    </row>
    <row r="43" ht="15.75" customHeight="1">
      <c r="A43" s="48" t="s">
        <v>3100</v>
      </c>
      <c r="B43" s="48" t="s">
        <v>3101</v>
      </c>
      <c r="C43" s="62" t="s">
        <v>3102</v>
      </c>
      <c r="D43" s="48" t="s">
        <v>5199</v>
      </c>
    </row>
    <row r="44" ht="15.75" customHeight="1">
      <c r="A44" s="48" t="s">
        <v>3103</v>
      </c>
      <c r="B44" s="48" t="s">
        <v>3104</v>
      </c>
      <c r="C44" s="62" t="s">
        <v>3105</v>
      </c>
      <c r="D44" s="48" t="s">
        <v>5199</v>
      </c>
    </row>
    <row r="45" ht="15.75" customHeight="1">
      <c r="A45" s="48" t="s">
        <v>3106</v>
      </c>
      <c r="B45" s="48" t="s">
        <v>3107</v>
      </c>
      <c r="C45" s="62" t="s">
        <v>3108</v>
      </c>
      <c r="D45" s="48" t="s">
        <v>5199</v>
      </c>
    </row>
    <row r="46" ht="15.75" customHeight="1">
      <c r="A46" s="48" t="s">
        <v>3109</v>
      </c>
      <c r="B46" s="48" t="s">
        <v>3110</v>
      </c>
      <c r="C46" s="62" t="s">
        <v>3111</v>
      </c>
      <c r="D46" s="48" t="s">
        <v>5199</v>
      </c>
    </row>
    <row r="47" ht="15.75" customHeight="1">
      <c r="A47" s="48" t="s">
        <v>3112</v>
      </c>
      <c r="B47" s="48" t="s">
        <v>3113</v>
      </c>
      <c r="C47" s="62" t="s">
        <v>3114</v>
      </c>
      <c r="D47" s="48" t="s">
        <v>5199</v>
      </c>
    </row>
    <row r="48" ht="15.75" customHeight="1">
      <c r="A48" s="48" t="s">
        <v>3115</v>
      </c>
      <c r="B48" s="48" t="s">
        <v>3116</v>
      </c>
      <c r="C48" s="48" t="s">
        <v>198</v>
      </c>
      <c r="D48" s="48" t="s">
        <v>5199</v>
      </c>
    </row>
    <row r="49" ht="15.75" customHeight="1">
      <c r="A49" s="48" t="s">
        <v>3117</v>
      </c>
      <c r="B49" s="48" t="s">
        <v>3118</v>
      </c>
      <c r="C49" s="48" t="s">
        <v>198</v>
      </c>
      <c r="D49" s="48" t="s">
        <v>5199</v>
      </c>
    </row>
    <row r="50" ht="15.75" customHeight="1">
      <c r="A50" s="48" t="s">
        <v>3119</v>
      </c>
      <c r="B50" s="48" t="s">
        <v>198</v>
      </c>
      <c r="C50" s="62" t="s">
        <v>3120</v>
      </c>
      <c r="D50" s="48" t="s">
        <v>5199</v>
      </c>
    </row>
    <row r="51" ht="15.75" customHeight="1">
      <c r="A51" s="48" t="s">
        <v>843</v>
      </c>
      <c r="B51" s="48" t="s">
        <v>3121</v>
      </c>
      <c r="C51" s="62" t="s">
        <v>3122</v>
      </c>
      <c r="D51" s="48" t="s">
        <v>5199</v>
      </c>
    </row>
    <row r="52" ht="15.75" customHeight="1">
      <c r="A52" s="48" t="s">
        <v>3123</v>
      </c>
      <c r="B52" s="48" t="s">
        <v>3124</v>
      </c>
      <c r="C52" s="62" t="s">
        <v>3125</v>
      </c>
      <c r="D52" s="48" t="s">
        <v>5199</v>
      </c>
    </row>
    <row r="53" ht="15.75" customHeight="1">
      <c r="A53" s="48" t="s">
        <v>3126</v>
      </c>
      <c r="B53" s="48" t="s">
        <v>3127</v>
      </c>
      <c r="C53" s="62" t="s">
        <v>3128</v>
      </c>
      <c r="D53" s="48" t="s">
        <v>5199</v>
      </c>
    </row>
    <row r="54" ht="15.75" customHeight="1">
      <c r="A54" s="48" t="s">
        <v>3129</v>
      </c>
      <c r="B54" s="48" t="s">
        <v>3130</v>
      </c>
      <c r="C54" s="48" t="s">
        <v>198</v>
      </c>
      <c r="D54" s="48" t="s">
        <v>5199</v>
      </c>
    </row>
    <row r="55" ht="15.75" customHeight="1">
      <c r="A55" s="48" t="s">
        <v>3131</v>
      </c>
      <c r="B55" s="48" t="s">
        <v>3132</v>
      </c>
      <c r="C55" s="62" t="s">
        <v>3133</v>
      </c>
      <c r="D55" s="48" t="s">
        <v>5199</v>
      </c>
    </row>
    <row r="56" ht="15.75" customHeight="1">
      <c r="A56" s="48" t="s">
        <v>3134</v>
      </c>
      <c r="B56" s="48" t="s">
        <v>3135</v>
      </c>
      <c r="C56" s="62" t="s">
        <v>3136</v>
      </c>
      <c r="D56" s="48" t="s">
        <v>5199</v>
      </c>
    </row>
    <row r="57" ht="15.75" customHeight="1">
      <c r="A57" s="48" t="s">
        <v>3137</v>
      </c>
      <c r="B57" s="48" t="s">
        <v>3138</v>
      </c>
      <c r="C57" s="62" t="s">
        <v>3139</v>
      </c>
      <c r="D57" s="48"/>
    </row>
    <row r="58" ht="15.75" customHeight="1">
      <c r="A58" s="48" t="s">
        <v>386</v>
      </c>
      <c r="B58" s="48" t="s">
        <v>3140</v>
      </c>
      <c r="C58" s="62" t="s">
        <v>3141</v>
      </c>
      <c r="D58" s="48"/>
    </row>
    <row r="59" ht="15.75" customHeight="1">
      <c r="A59" s="48" t="s">
        <v>3142</v>
      </c>
      <c r="B59" s="48" t="s">
        <v>3143</v>
      </c>
      <c r="C59" s="48"/>
      <c r="D59" s="48"/>
    </row>
    <row r="60" ht="15.75" customHeight="1">
      <c r="A60" s="48" t="s">
        <v>3144</v>
      </c>
      <c r="B60" s="48" t="s">
        <v>1554</v>
      </c>
      <c r="C60" s="62" t="s">
        <v>3145</v>
      </c>
      <c r="D60" s="48"/>
    </row>
    <row r="61" ht="15.75" customHeight="1">
      <c r="A61" s="48" t="s">
        <v>3146</v>
      </c>
      <c r="B61" s="48" t="s">
        <v>3147</v>
      </c>
      <c r="C61" s="62" t="s">
        <v>3148</v>
      </c>
      <c r="D61" s="48"/>
      <c r="F61" s="55"/>
    </row>
    <row r="62" ht="15.75" customHeight="1">
      <c r="A62" s="48" t="s">
        <v>3149</v>
      </c>
      <c r="B62" s="48" t="s">
        <v>1554</v>
      </c>
      <c r="C62" s="62" t="s">
        <v>3150</v>
      </c>
      <c r="D62" s="48"/>
    </row>
    <row r="63" ht="15.75" customHeight="1">
      <c r="A63" s="48" t="s">
        <v>3151</v>
      </c>
      <c r="B63" s="48" t="s">
        <v>3152</v>
      </c>
      <c r="C63" s="62" t="s">
        <v>3153</v>
      </c>
      <c r="D63" s="48" t="s">
        <v>5199</v>
      </c>
    </row>
    <row r="64" ht="15.75" customHeight="1">
      <c r="A64" s="48" t="s">
        <v>3154</v>
      </c>
      <c r="B64" s="48" t="s">
        <v>3155</v>
      </c>
      <c r="C64" s="62" t="s">
        <v>3156</v>
      </c>
      <c r="D64" s="48" t="s">
        <v>5199</v>
      </c>
    </row>
    <row r="65" ht="15.75" customHeight="1">
      <c r="A65" s="48" t="s">
        <v>3157</v>
      </c>
      <c r="B65" s="48" t="s">
        <v>3158</v>
      </c>
      <c r="C65" s="62" t="s">
        <v>3159</v>
      </c>
      <c r="D65" s="48" t="s">
        <v>5199</v>
      </c>
    </row>
    <row r="66" ht="15.75" customHeight="1">
      <c r="A66" s="48" t="s">
        <v>3160</v>
      </c>
      <c r="B66" s="48" t="s">
        <v>3161</v>
      </c>
      <c r="C66" s="48" t="s">
        <v>198</v>
      </c>
      <c r="D66" s="48" t="s">
        <v>5199</v>
      </c>
    </row>
    <row r="67" ht="15.75" customHeight="1">
      <c r="A67" s="48" t="s">
        <v>3162</v>
      </c>
      <c r="B67" s="48" t="s">
        <v>3163</v>
      </c>
      <c r="C67" s="62" t="s">
        <v>3164</v>
      </c>
      <c r="D67" s="48" t="s">
        <v>5199</v>
      </c>
    </row>
    <row r="68" ht="15.75" customHeight="1">
      <c r="A68" s="48" t="s">
        <v>3165</v>
      </c>
      <c r="B68" s="48" t="s">
        <v>3166</v>
      </c>
      <c r="C68" s="62" t="s">
        <v>3164</v>
      </c>
      <c r="D68" s="48" t="s">
        <v>5199</v>
      </c>
    </row>
    <row r="69" ht="15.75" customHeight="1">
      <c r="A69" s="48" t="s">
        <v>3167</v>
      </c>
      <c r="B69" s="48" t="s">
        <v>3168</v>
      </c>
      <c r="C69" s="62" t="s">
        <v>3169</v>
      </c>
      <c r="D69" s="48" t="s">
        <v>5199</v>
      </c>
    </row>
    <row r="70" ht="15.75" customHeight="1">
      <c r="A70" s="48" t="s">
        <v>3170</v>
      </c>
      <c r="B70" s="48" t="s">
        <v>198</v>
      </c>
      <c r="C70" s="62" t="s">
        <v>3171</v>
      </c>
      <c r="D70" s="48" t="s">
        <v>5199</v>
      </c>
    </row>
    <row r="71" ht="15.75" customHeight="1">
      <c r="A71" s="48" t="s">
        <v>3172</v>
      </c>
      <c r="B71" s="48" t="s">
        <v>198</v>
      </c>
      <c r="C71" s="62" t="s">
        <v>3173</v>
      </c>
      <c r="D71" s="48" t="s">
        <v>5199</v>
      </c>
    </row>
    <row r="72" ht="15.75" customHeight="1">
      <c r="A72" s="48" t="s">
        <v>3174</v>
      </c>
      <c r="B72" s="48" t="s">
        <v>3175</v>
      </c>
      <c r="C72" s="62" t="s">
        <v>3176</v>
      </c>
      <c r="D72" s="48" t="s">
        <v>5199</v>
      </c>
    </row>
    <row r="73" ht="15.75" customHeight="1">
      <c r="A73" s="48" t="s">
        <v>3177</v>
      </c>
      <c r="B73" s="48" t="s">
        <v>3178</v>
      </c>
      <c r="C73" s="62" t="s">
        <v>3179</v>
      </c>
      <c r="D73" s="48" t="s">
        <v>5199</v>
      </c>
    </row>
    <row r="74" ht="15.75" customHeight="1">
      <c r="A74" s="48" t="s">
        <v>3180</v>
      </c>
      <c r="B74" s="48" t="s">
        <v>3181</v>
      </c>
      <c r="C74" s="62" t="s">
        <v>3182</v>
      </c>
      <c r="D74" s="48" t="s">
        <v>5199</v>
      </c>
    </row>
    <row r="75" ht="15.75" customHeight="1">
      <c r="A75" s="48" t="s">
        <v>3183</v>
      </c>
      <c r="B75" s="48" t="s">
        <v>3184</v>
      </c>
      <c r="C75" s="62" t="s">
        <v>3185</v>
      </c>
      <c r="D75" s="48" t="s">
        <v>5199</v>
      </c>
    </row>
    <row r="76" ht="15.75" customHeight="1">
      <c r="A76" s="48" t="s">
        <v>3186</v>
      </c>
      <c r="B76" s="48" t="s">
        <v>3187</v>
      </c>
      <c r="C76" s="62" t="s">
        <v>3188</v>
      </c>
      <c r="D76" s="48" t="s">
        <v>5199</v>
      </c>
    </row>
    <row r="77" ht="15.75" customHeight="1">
      <c r="A77" s="48" t="s">
        <v>3189</v>
      </c>
      <c r="B77" s="48" t="s">
        <v>3190</v>
      </c>
      <c r="C77" s="62" t="s">
        <v>3191</v>
      </c>
      <c r="D77" s="48" t="s">
        <v>5199</v>
      </c>
    </row>
    <row r="78" ht="15.75" customHeight="1">
      <c r="A78" s="48" t="s">
        <v>3192</v>
      </c>
      <c r="B78" s="48" t="s">
        <v>3193</v>
      </c>
      <c r="C78" s="62" t="s">
        <v>3194</v>
      </c>
      <c r="D78" s="48" t="s">
        <v>5199</v>
      </c>
    </row>
    <row r="79" ht="15.75" customHeight="1">
      <c r="A79" s="48" t="s">
        <v>3195</v>
      </c>
      <c r="B79" s="48" t="s">
        <v>3196</v>
      </c>
      <c r="C79" s="48" t="s">
        <v>717</v>
      </c>
      <c r="D79" s="48" t="s">
        <v>5199</v>
      </c>
    </row>
    <row r="80" ht="15.75" customHeight="1">
      <c r="A80" s="48" t="s">
        <v>3197</v>
      </c>
      <c r="B80" s="48" t="s">
        <v>3198</v>
      </c>
      <c r="C80" s="62" t="s">
        <v>3199</v>
      </c>
      <c r="D80" s="48" t="s">
        <v>5199</v>
      </c>
    </row>
    <row r="81" ht="15.75" customHeight="1">
      <c r="A81" s="48" t="s">
        <v>3200</v>
      </c>
      <c r="B81" s="48" t="s">
        <v>3201</v>
      </c>
      <c r="C81" s="62" t="s">
        <v>3202</v>
      </c>
      <c r="D81" s="48" t="s">
        <v>5199</v>
      </c>
    </row>
    <row r="82" ht="15.75" customHeight="1">
      <c r="A82" s="48" t="s">
        <v>3203</v>
      </c>
      <c r="B82" s="48" t="s">
        <v>3204</v>
      </c>
      <c r="C82" s="62" t="s">
        <v>3205</v>
      </c>
      <c r="D82" s="48" t="s">
        <v>5199</v>
      </c>
    </row>
    <row r="83" ht="15.75" customHeight="1">
      <c r="A83" s="48" t="s">
        <v>3206</v>
      </c>
      <c r="B83" s="48" t="s">
        <v>3207</v>
      </c>
      <c r="C83" s="48" t="s">
        <v>198</v>
      </c>
      <c r="D83" s="48" t="s">
        <v>5199</v>
      </c>
    </row>
    <row r="84" ht="15.75" customHeight="1">
      <c r="A84" s="48" t="s">
        <v>3208</v>
      </c>
      <c r="B84" s="48" t="s">
        <v>3209</v>
      </c>
      <c r="C84" s="62" t="s">
        <v>3210</v>
      </c>
      <c r="D84" s="48" t="s">
        <v>5199</v>
      </c>
    </row>
    <row r="85" ht="15.75" customHeight="1">
      <c r="A85" s="48" t="s">
        <v>3211</v>
      </c>
      <c r="B85" s="48" t="s">
        <v>3212</v>
      </c>
      <c r="C85" s="62" t="s">
        <v>3213</v>
      </c>
      <c r="D85" s="48" t="s">
        <v>5199</v>
      </c>
    </row>
    <row r="86" ht="15.75" customHeight="1">
      <c r="A86" s="48" t="s">
        <v>3214</v>
      </c>
      <c r="B86" s="48" t="s">
        <v>3215</v>
      </c>
      <c r="C86" s="48" t="s">
        <v>198</v>
      </c>
      <c r="D86" s="48" t="s">
        <v>5199</v>
      </c>
    </row>
    <row r="87" ht="15.75" customHeight="1">
      <c r="A87" s="48" t="s">
        <v>3216</v>
      </c>
      <c r="B87" s="48" t="s">
        <v>3217</v>
      </c>
      <c r="C87" s="48" t="s">
        <v>198</v>
      </c>
      <c r="D87" s="48" t="s">
        <v>5199</v>
      </c>
    </row>
    <row r="88" ht="15.75" customHeight="1">
      <c r="A88" s="48" t="s">
        <v>3218</v>
      </c>
      <c r="B88" s="48" t="s">
        <v>3219</v>
      </c>
      <c r="C88" s="48"/>
      <c r="D88" s="48" t="s">
        <v>5199</v>
      </c>
    </row>
    <row r="89" ht="15.75" customHeight="1">
      <c r="A89" s="48" t="s">
        <v>3220</v>
      </c>
      <c r="B89" s="48" t="s">
        <v>3220</v>
      </c>
      <c r="C89" s="62" t="s">
        <v>3221</v>
      </c>
      <c r="D89" s="48" t="s">
        <v>5199</v>
      </c>
    </row>
    <row r="90" ht="15.75" customHeight="1">
      <c r="A90" s="48" t="s">
        <v>3222</v>
      </c>
      <c r="B90" s="48" t="s">
        <v>198</v>
      </c>
      <c r="C90" s="62" t="s">
        <v>3223</v>
      </c>
      <c r="D90" s="48" t="s">
        <v>5199</v>
      </c>
    </row>
    <row r="91" ht="15.75" customHeight="1">
      <c r="A91" s="48" t="s">
        <v>3224</v>
      </c>
      <c r="B91" s="48" t="s">
        <v>198</v>
      </c>
      <c r="C91" s="62" t="s">
        <v>3225</v>
      </c>
      <c r="D91" s="48" t="s">
        <v>5199</v>
      </c>
    </row>
    <row r="92" ht="15.75" customHeight="1">
      <c r="A92" s="48" t="s">
        <v>3226</v>
      </c>
      <c r="B92" s="48" t="s">
        <v>3227</v>
      </c>
      <c r="C92" s="62" t="s">
        <v>3228</v>
      </c>
      <c r="D92" s="48" t="s">
        <v>5199</v>
      </c>
    </row>
    <row r="93" ht="15.75" customHeight="1">
      <c r="A93" s="48" t="s">
        <v>3229</v>
      </c>
      <c r="B93" s="48" t="s">
        <v>717</v>
      </c>
      <c r="C93" s="62" t="s">
        <v>3230</v>
      </c>
      <c r="D93" s="48" t="s">
        <v>5199</v>
      </c>
    </row>
    <row r="94" ht="15.75" customHeight="1">
      <c r="A94" s="48" t="s">
        <v>3231</v>
      </c>
      <c r="B94" s="48" t="s">
        <v>3232</v>
      </c>
      <c r="C94" s="48" t="s">
        <v>198</v>
      </c>
      <c r="D94" s="48" t="s">
        <v>5199</v>
      </c>
    </row>
    <row r="95" ht="15.75" customHeight="1">
      <c r="A95" s="48" t="s">
        <v>3233</v>
      </c>
      <c r="B95" s="48" t="s">
        <v>3234</v>
      </c>
      <c r="C95" s="62" t="s">
        <v>3235</v>
      </c>
      <c r="D95" s="48" t="s">
        <v>5199</v>
      </c>
    </row>
    <row r="96" ht="15.75" customHeight="1">
      <c r="A96" s="48" t="s">
        <v>3236</v>
      </c>
      <c r="B96" s="48" t="s">
        <v>3237</v>
      </c>
      <c r="C96" s="48"/>
      <c r="D96" s="48" t="s">
        <v>5199</v>
      </c>
    </row>
    <row r="97" ht="15.75" customHeight="1">
      <c r="A97" s="48" t="s">
        <v>3236</v>
      </c>
      <c r="B97" s="48" t="s">
        <v>3237</v>
      </c>
      <c r="C97" s="48"/>
      <c r="D97" s="48" t="s">
        <v>5199</v>
      </c>
    </row>
    <row r="98" ht="15.75" customHeight="1">
      <c r="A98" s="48" t="s">
        <v>3238</v>
      </c>
      <c r="B98" s="48" t="s">
        <v>3239</v>
      </c>
      <c r="C98" s="62" t="s">
        <v>3240</v>
      </c>
      <c r="D98" s="48" t="s">
        <v>5199</v>
      </c>
    </row>
    <row r="99" ht="15.75" customHeight="1">
      <c r="A99" s="48" t="s">
        <v>3241</v>
      </c>
      <c r="B99" s="48" t="s">
        <v>3242</v>
      </c>
      <c r="C99" s="48" t="s">
        <v>198</v>
      </c>
      <c r="D99" s="48" t="s">
        <v>5199</v>
      </c>
    </row>
    <row r="100" ht="15.75" customHeight="1">
      <c r="A100" s="48" t="s">
        <v>3243</v>
      </c>
      <c r="B100" s="48" t="s">
        <v>3244</v>
      </c>
      <c r="C100" s="62" t="s">
        <v>3245</v>
      </c>
      <c r="D100" s="48" t="s">
        <v>5199</v>
      </c>
    </row>
    <row r="101" ht="15.75" customHeight="1">
      <c r="A101" s="48" t="s">
        <v>3246</v>
      </c>
      <c r="B101" s="48" t="s">
        <v>3247</v>
      </c>
      <c r="C101" s="48" t="s">
        <v>198</v>
      </c>
      <c r="D101" s="48" t="s">
        <v>5199</v>
      </c>
    </row>
    <row r="102" ht="15.75" customHeight="1">
      <c r="A102" s="48" t="s">
        <v>3248</v>
      </c>
      <c r="B102" s="48" t="s">
        <v>3249</v>
      </c>
      <c r="C102" s="62" t="s">
        <v>3250</v>
      </c>
      <c r="D102" s="48" t="s">
        <v>5199</v>
      </c>
    </row>
    <row r="103" ht="15.75" customHeight="1">
      <c r="A103" s="48" t="s">
        <v>3251</v>
      </c>
      <c r="B103" s="48" t="s">
        <v>3252</v>
      </c>
      <c r="C103" s="62" t="s">
        <v>3253</v>
      </c>
      <c r="D103" s="48" t="s">
        <v>5199</v>
      </c>
    </row>
    <row r="104" ht="15.75" customHeight="1">
      <c r="A104" s="48" t="s">
        <v>3254</v>
      </c>
      <c r="B104" s="48" t="s">
        <v>3255</v>
      </c>
      <c r="C104" s="62" t="s">
        <v>3256</v>
      </c>
      <c r="D104" s="48" t="s">
        <v>5199</v>
      </c>
    </row>
    <row r="105" ht="15.75" customHeight="1">
      <c r="A105" s="48" t="s">
        <v>2982</v>
      </c>
      <c r="B105" s="48" t="s">
        <v>198</v>
      </c>
      <c r="C105" s="62" t="s">
        <v>3257</v>
      </c>
      <c r="D105" s="48" t="s">
        <v>5199</v>
      </c>
    </row>
    <row r="106" ht="15.75" customHeight="1">
      <c r="A106" s="48" t="s">
        <v>3258</v>
      </c>
      <c r="B106" s="48" t="s">
        <v>3259</v>
      </c>
      <c r="C106" s="62" t="s">
        <v>3260</v>
      </c>
      <c r="D106" s="48" t="s">
        <v>5199</v>
      </c>
    </row>
    <row r="107" ht="15.75" customHeight="1">
      <c r="A107" s="48" t="s">
        <v>3261</v>
      </c>
      <c r="B107" s="48" t="s">
        <v>3262</v>
      </c>
      <c r="C107" s="62" t="s">
        <v>3263</v>
      </c>
      <c r="D107" s="48" t="s">
        <v>5199</v>
      </c>
    </row>
    <row r="108" ht="15.75" customHeight="1">
      <c r="A108" s="48" t="s">
        <v>3264</v>
      </c>
      <c r="B108" s="48" t="s">
        <v>3265</v>
      </c>
      <c r="C108" s="48" t="s">
        <v>717</v>
      </c>
      <c r="D108" s="48"/>
    </row>
    <row r="109" ht="15.75" customHeight="1">
      <c r="A109" s="48" t="s">
        <v>3266</v>
      </c>
      <c r="B109" s="48" t="s">
        <v>3267</v>
      </c>
      <c r="C109" s="62" t="s">
        <v>3268</v>
      </c>
      <c r="D109" s="48"/>
    </row>
    <row r="110" ht="15.75" customHeight="1">
      <c r="A110" s="48" t="s">
        <v>3269</v>
      </c>
      <c r="B110" s="48" t="s">
        <v>3270</v>
      </c>
      <c r="C110" s="48" t="s">
        <v>198</v>
      </c>
      <c r="D110" s="48"/>
    </row>
    <row r="111" ht="15.75" customHeight="1">
      <c r="A111" s="48" t="s">
        <v>3271</v>
      </c>
      <c r="B111" s="48" t="s">
        <v>3272</v>
      </c>
      <c r="C111" s="62" t="s">
        <v>3273</v>
      </c>
      <c r="D111" s="48"/>
    </row>
    <row r="112" ht="15.75" customHeight="1">
      <c r="A112" s="48" t="s">
        <v>3274</v>
      </c>
      <c r="B112" s="48" t="s">
        <v>3275</v>
      </c>
      <c r="C112" s="48" t="s">
        <v>198</v>
      </c>
      <c r="D112" s="48"/>
    </row>
    <row r="113" ht="15.75" customHeight="1">
      <c r="A113" s="48" t="s">
        <v>3279</v>
      </c>
      <c r="B113" s="48" t="s">
        <v>3280</v>
      </c>
      <c r="C113" s="48"/>
      <c r="D113" s="48"/>
    </row>
    <row r="114" ht="15.75" customHeight="1">
      <c r="A114" s="48" t="s">
        <v>1488</v>
      </c>
      <c r="B114" s="48" t="s">
        <v>478</v>
      </c>
      <c r="C114" s="62" t="s">
        <v>1489</v>
      </c>
      <c r="D114" s="48"/>
    </row>
    <row r="115" ht="15.75" customHeight="1">
      <c r="A115" s="48" t="s">
        <v>4847</v>
      </c>
      <c r="B115" s="48"/>
      <c r="C115" s="104" t="s">
        <v>4848</v>
      </c>
      <c r="D115" s="48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conditionalFormatting sqref="F61 C115">
    <cfRule type="notContainsBlanks" dxfId="0" priority="1">
      <formula>LEN(TRIM(F61))&gt;0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30.29"/>
    <col customWidth="1" min="3" max="3" width="30.0"/>
    <col customWidth="1" min="4" max="6" width="14.43"/>
  </cols>
  <sheetData>
    <row r="1" ht="15.75" customHeight="1">
      <c r="A1" s="21" t="s">
        <v>5233</v>
      </c>
    </row>
    <row r="2" ht="15.75" customHeight="1">
      <c r="A2" s="36" t="s">
        <v>110</v>
      </c>
      <c r="B2" s="36" t="s">
        <v>111</v>
      </c>
      <c r="C2" s="36" t="s">
        <v>112</v>
      </c>
      <c r="D2" s="36">
        <v>1.0</v>
      </c>
    </row>
    <row r="3" ht="15.75" customHeight="1">
      <c r="A3" s="31" t="s">
        <v>2080</v>
      </c>
      <c r="B3" s="31" t="s">
        <v>1798</v>
      </c>
      <c r="C3" s="32" t="s">
        <v>2081</v>
      </c>
      <c r="D3" s="31">
        <v>2.0</v>
      </c>
      <c r="E3" s="31" t="s">
        <v>482</v>
      </c>
    </row>
    <row r="4" ht="15.75" customHeight="1">
      <c r="A4" s="31" t="s">
        <v>2082</v>
      </c>
      <c r="B4" s="31" t="s">
        <v>2083</v>
      </c>
      <c r="C4" s="32" t="s">
        <v>971</v>
      </c>
      <c r="D4" s="31">
        <v>3.0</v>
      </c>
      <c r="E4" s="31" t="s">
        <v>482</v>
      </c>
    </row>
    <row r="5" ht="15.75" customHeight="1">
      <c r="A5" s="31" t="s">
        <v>2084</v>
      </c>
      <c r="B5" s="31" t="s">
        <v>2085</v>
      </c>
      <c r="C5" s="32" t="s">
        <v>2086</v>
      </c>
      <c r="D5" s="31">
        <v>4.0</v>
      </c>
      <c r="E5" s="31" t="s">
        <v>482</v>
      </c>
    </row>
    <row r="6" ht="15.75" customHeight="1">
      <c r="A6" s="31" t="s">
        <v>2087</v>
      </c>
      <c r="B6" s="31" t="s">
        <v>2088</v>
      </c>
      <c r="C6" s="32" t="s">
        <v>2089</v>
      </c>
      <c r="D6" s="31">
        <v>5.0</v>
      </c>
      <c r="E6" s="31" t="s">
        <v>482</v>
      </c>
    </row>
    <row r="7" ht="15.75" customHeight="1">
      <c r="A7" s="31" t="s">
        <v>2090</v>
      </c>
      <c r="B7" s="31" t="s">
        <v>2091</v>
      </c>
      <c r="C7" s="32" t="s">
        <v>2092</v>
      </c>
      <c r="D7" s="31">
        <v>6.0</v>
      </c>
      <c r="E7" s="31" t="s">
        <v>482</v>
      </c>
    </row>
    <row r="8" ht="15.75" customHeight="1">
      <c r="A8" s="34" t="s">
        <v>2093</v>
      </c>
      <c r="B8" s="34" t="s">
        <v>1798</v>
      </c>
      <c r="C8" s="35" t="s">
        <v>2094</v>
      </c>
      <c r="D8" s="34">
        <v>7.0</v>
      </c>
      <c r="E8" s="34" t="s">
        <v>482</v>
      </c>
    </row>
    <row r="9" ht="15.75" customHeight="1">
      <c r="A9" s="36" t="s">
        <v>2095</v>
      </c>
      <c r="B9" s="36" t="s">
        <v>2096</v>
      </c>
      <c r="C9" s="39" t="s">
        <v>2097</v>
      </c>
      <c r="D9" s="36">
        <v>8.0</v>
      </c>
    </row>
    <row r="10" ht="15.75" customHeight="1">
      <c r="A10" s="36" t="s">
        <v>2098</v>
      </c>
      <c r="B10" s="36" t="s">
        <v>2099</v>
      </c>
      <c r="C10" s="36" t="s">
        <v>198</v>
      </c>
      <c r="D10" s="36">
        <v>9.0</v>
      </c>
    </row>
    <row r="11" ht="15.75" customHeight="1">
      <c r="A11" s="36" t="s">
        <v>2100</v>
      </c>
      <c r="B11" s="36" t="s">
        <v>2101</v>
      </c>
      <c r="C11" s="39" t="s">
        <v>2094</v>
      </c>
      <c r="D11" s="36">
        <v>10.0</v>
      </c>
      <c r="E11" s="36" t="s">
        <v>482</v>
      </c>
    </row>
    <row r="12" ht="15.75" customHeight="1">
      <c r="A12" s="36" t="s">
        <v>2102</v>
      </c>
      <c r="B12" s="36" t="s">
        <v>2103</v>
      </c>
      <c r="C12" s="39" t="s">
        <v>2104</v>
      </c>
      <c r="D12" s="36">
        <v>11.0</v>
      </c>
    </row>
    <row r="13" ht="15.75" customHeight="1">
      <c r="A13" s="36" t="s">
        <v>2105</v>
      </c>
      <c r="B13" s="36" t="s">
        <v>2106</v>
      </c>
      <c r="C13" s="39" t="s">
        <v>2107</v>
      </c>
      <c r="D13" s="36">
        <v>12.0</v>
      </c>
    </row>
    <row r="14" ht="15.75" customHeight="1">
      <c r="A14" s="36" t="s">
        <v>2108</v>
      </c>
      <c r="B14" s="36" t="s">
        <v>2109</v>
      </c>
      <c r="C14" s="39" t="s">
        <v>2110</v>
      </c>
      <c r="D14" s="36">
        <v>13.0</v>
      </c>
    </row>
    <row r="15" ht="15.75" customHeight="1">
      <c r="A15" s="36" t="s">
        <v>2111</v>
      </c>
      <c r="B15" s="36" t="s">
        <v>2112</v>
      </c>
      <c r="C15" s="37" t="s">
        <v>198</v>
      </c>
      <c r="D15" s="36">
        <v>14.0</v>
      </c>
    </row>
    <row r="16" ht="15.75" customHeight="1">
      <c r="A16" s="34" t="s">
        <v>2113</v>
      </c>
      <c r="B16" s="34" t="s">
        <v>2114</v>
      </c>
      <c r="C16" s="35" t="s">
        <v>2115</v>
      </c>
      <c r="D16" s="34">
        <v>15.0</v>
      </c>
      <c r="E16" s="34" t="s">
        <v>565</v>
      </c>
    </row>
    <row r="17" ht="15.75" customHeight="1">
      <c r="A17" s="36" t="s">
        <v>2116</v>
      </c>
      <c r="B17" s="36" t="s">
        <v>198</v>
      </c>
      <c r="C17" s="37" t="s">
        <v>198</v>
      </c>
      <c r="D17" s="36">
        <v>16.0</v>
      </c>
    </row>
    <row r="18" ht="15.75" customHeight="1">
      <c r="A18" s="36" t="s">
        <v>2117</v>
      </c>
      <c r="B18" s="36" t="s">
        <v>2118</v>
      </c>
      <c r="C18" s="37" t="s">
        <v>198</v>
      </c>
      <c r="D18" s="36">
        <v>17.0</v>
      </c>
    </row>
    <row r="19" ht="15.75" customHeight="1">
      <c r="A19" s="34" t="s">
        <v>2119</v>
      </c>
      <c r="B19" s="34" t="s">
        <v>2120</v>
      </c>
      <c r="C19" s="35" t="s">
        <v>2121</v>
      </c>
      <c r="D19" s="34">
        <v>18.0</v>
      </c>
      <c r="E19" s="34" t="s">
        <v>482</v>
      </c>
    </row>
    <row r="20" ht="15.75" customHeight="1">
      <c r="A20" s="34" t="s">
        <v>2122</v>
      </c>
      <c r="B20" s="34" t="s">
        <v>198</v>
      </c>
      <c r="C20" s="35" t="s">
        <v>2123</v>
      </c>
      <c r="D20" s="34">
        <v>19.0</v>
      </c>
      <c r="E20" s="34" t="s">
        <v>482</v>
      </c>
    </row>
    <row r="21" ht="15.75" customHeight="1">
      <c r="A21" s="36" t="s">
        <v>2124</v>
      </c>
      <c r="B21" s="36" t="s">
        <v>198</v>
      </c>
      <c r="C21" s="37" t="s">
        <v>198</v>
      </c>
      <c r="D21" s="36">
        <v>20.0</v>
      </c>
    </row>
    <row r="22" ht="15.75" customHeight="1">
      <c r="A22" s="36" t="s">
        <v>2125</v>
      </c>
      <c r="B22" s="36" t="s">
        <v>2126</v>
      </c>
      <c r="C22" s="37" t="s">
        <v>198</v>
      </c>
      <c r="D22" s="36">
        <v>21.0</v>
      </c>
    </row>
    <row r="23" ht="15.75" customHeight="1">
      <c r="A23" s="36" t="s">
        <v>2127</v>
      </c>
      <c r="B23" s="36" t="s">
        <v>2128</v>
      </c>
      <c r="C23" s="36" t="s">
        <v>198</v>
      </c>
      <c r="D23" s="36">
        <v>22.0</v>
      </c>
    </row>
    <row r="24" ht="15.75" customHeight="1">
      <c r="A24" s="36" t="s">
        <v>2129</v>
      </c>
      <c r="B24" s="36" t="s">
        <v>2130</v>
      </c>
      <c r="C24" s="39" t="s">
        <v>2131</v>
      </c>
      <c r="D24" s="36">
        <v>23.0</v>
      </c>
    </row>
    <row r="25" ht="15.75" customHeight="1">
      <c r="A25" s="36" t="s">
        <v>2132</v>
      </c>
      <c r="B25" s="36" t="s">
        <v>2133</v>
      </c>
      <c r="C25" s="37" t="s">
        <v>198</v>
      </c>
      <c r="D25" s="36">
        <v>24.0</v>
      </c>
    </row>
    <row r="26" ht="15.75" customHeight="1">
      <c r="A26" s="36" t="s">
        <v>2134</v>
      </c>
      <c r="B26" s="36" t="s">
        <v>2135</v>
      </c>
      <c r="C26" s="39" t="s">
        <v>2136</v>
      </c>
      <c r="D26" s="36">
        <v>25.0</v>
      </c>
    </row>
    <row r="27" ht="15.75" customHeight="1">
      <c r="A27" s="36" t="s">
        <v>2137</v>
      </c>
      <c r="B27" s="36" t="s">
        <v>2138</v>
      </c>
      <c r="C27" s="37" t="s">
        <v>198</v>
      </c>
      <c r="D27" s="36">
        <v>26.0</v>
      </c>
    </row>
    <row r="28" ht="15.75" customHeight="1">
      <c r="A28" s="36" t="s">
        <v>2139</v>
      </c>
      <c r="B28" s="36" t="s">
        <v>2140</v>
      </c>
      <c r="C28" s="39" t="s">
        <v>2141</v>
      </c>
      <c r="D28" s="36">
        <v>27.0</v>
      </c>
    </row>
    <row r="29" ht="15.75" customHeight="1">
      <c r="A29" s="36" t="s">
        <v>2142</v>
      </c>
      <c r="B29" s="36" t="s">
        <v>2143</v>
      </c>
      <c r="C29" s="39" t="s">
        <v>2144</v>
      </c>
      <c r="D29" s="36">
        <v>28.0</v>
      </c>
    </row>
    <row r="30" ht="15.75" customHeight="1">
      <c r="A30" s="31" t="s">
        <v>2145</v>
      </c>
      <c r="B30" s="31" t="s">
        <v>2146</v>
      </c>
      <c r="C30" s="32" t="s">
        <v>2147</v>
      </c>
      <c r="D30" s="31">
        <v>29.0</v>
      </c>
      <c r="E30" s="31"/>
    </row>
    <row r="31" ht="15.75" customHeight="1">
      <c r="A31" s="34" t="s">
        <v>2148</v>
      </c>
      <c r="B31" s="34" t="s">
        <v>2149</v>
      </c>
      <c r="C31" s="35" t="s">
        <v>2150</v>
      </c>
      <c r="D31" s="34">
        <v>30.0</v>
      </c>
      <c r="E31" s="34" t="s">
        <v>261</v>
      </c>
    </row>
    <row r="32" ht="15.75" customHeight="1">
      <c r="A32" s="34" t="s">
        <v>2151</v>
      </c>
      <c r="B32" s="34" t="s">
        <v>2152</v>
      </c>
      <c r="C32" s="96"/>
      <c r="D32" s="34">
        <v>31.0</v>
      </c>
      <c r="E32" s="34" t="s">
        <v>261</v>
      </c>
    </row>
    <row r="33" ht="15.75" customHeight="1">
      <c r="A33" s="34" t="s">
        <v>2153</v>
      </c>
      <c r="B33" s="34" t="s">
        <v>2154</v>
      </c>
      <c r="C33" s="96"/>
      <c r="D33" s="34">
        <v>32.0</v>
      </c>
      <c r="E33" s="34" t="s">
        <v>261</v>
      </c>
    </row>
    <row r="34" ht="15.75" customHeight="1">
      <c r="A34" s="34" t="s">
        <v>2155</v>
      </c>
      <c r="B34" s="34" t="s">
        <v>2156</v>
      </c>
      <c r="C34" s="96"/>
      <c r="D34" s="34">
        <v>33.0</v>
      </c>
      <c r="E34" s="34" t="s">
        <v>261</v>
      </c>
    </row>
    <row r="35" ht="15.75" customHeight="1">
      <c r="A35" s="34" t="s">
        <v>2157</v>
      </c>
      <c r="B35" s="34" t="s">
        <v>2158</v>
      </c>
      <c r="C35" s="35" t="s">
        <v>2159</v>
      </c>
      <c r="D35" s="34">
        <v>34.0</v>
      </c>
      <c r="E35" s="34" t="s">
        <v>261</v>
      </c>
    </row>
    <row r="36" ht="15.75" customHeight="1">
      <c r="A36" s="34" t="s">
        <v>2160</v>
      </c>
      <c r="B36" s="34" t="s">
        <v>2161</v>
      </c>
      <c r="C36" s="35" t="s">
        <v>2162</v>
      </c>
      <c r="D36" s="34">
        <v>35.0</v>
      </c>
      <c r="E36" s="34" t="s">
        <v>261</v>
      </c>
    </row>
    <row r="37" ht="15.75" customHeight="1">
      <c r="A37" s="34" t="s">
        <v>2163</v>
      </c>
      <c r="B37" s="34" t="s">
        <v>2164</v>
      </c>
      <c r="C37" s="35" t="s">
        <v>2165</v>
      </c>
      <c r="D37" s="34">
        <v>36.0</v>
      </c>
      <c r="E37" s="34" t="s">
        <v>261</v>
      </c>
    </row>
    <row r="38" ht="15.75" customHeight="1">
      <c r="A38" s="34" t="s">
        <v>2166</v>
      </c>
      <c r="B38" s="34" t="s">
        <v>2167</v>
      </c>
      <c r="C38" s="35" t="s">
        <v>2168</v>
      </c>
      <c r="D38" s="34">
        <v>37.0</v>
      </c>
      <c r="E38" s="34" t="s">
        <v>261</v>
      </c>
    </row>
    <row r="39" ht="15.75" customHeight="1">
      <c r="A39" s="31" t="s">
        <v>2169</v>
      </c>
      <c r="B39" s="31" t="s">
        <v>2170</v>
      </c>
      <c r="C39" s="32" t="s">
        <v>2171</v>
      </c>
      <c r="D39" s="31">
        <v>38.0</v>
      </c>
      <c r="E39" s="31" t="s">
        <v>116</v>
      </c>
    </row>
    <row r="40" ht="15.75" customHeight="1">
      <c r="A40" s="31" t="s">
        <v>2172</v>
      </c>
      <c r="B40" s="31" t="s">
        <v>2173</v>
      </c>
      <c r="C40" s="32" t="s">
        <v>2174</v>
      </c>
      <c r="D40" s="31">
        <v>39.0</v>
      </c>
      <c r="E40" s="31" t="s">
        <v>116</v>
      </c>
    </row>
    <row r="41" ht="15.75" customHeight="1">
      <c r="A41" s="31" t="s">
        <v>2175</v>
      </c>
      <c r="B41" s="31" t="s">
        <v>2176</v>
      </c>
      <c r="C41" s="32" t="s">
        <v>2177</v>
      </c>
      <c r="D41" s="31">
        <v>40.0</v>
      </c>
      <c r="E41" s="31" t="s">
        <v>116</v>
      </c>
    </row>
    <row r="42" ht="15.75" customHeight="1">
      <c r="A42" s="31" t="s">
        <v>2178</v>
      </c>
      <c r="B42" s="31" t="s">
        <v>198</v>
      </c>
      <c r="C42" s="32" t="s">
        <v>2179</v>
      </c>
      <c r="D42" s="31">
        <v>41.0</v>
      </c>
      <c r="E42" s="31" t="s">
        <v>116</v>
      </c>
    </row>
    <row r="43" ht="15.75" customHeight="1">
      <c r="A43" s="31" t="s">
        <v>2180</v>
      </c>
      <c r="B43" s="31" t="s">
        <v>2181</v>
      </c>
      <c r="C43" s="32" t="s">
        <v>2182</v>
      </c>
      <c r="D43" s="31">
        <v>42.0</v>
      </c>
      <c r="E43" s="31" t="s">
        <v>116</v>
      </c>
    </row>
    <row r="44" ht="15.75" customHeight="1">
      <c r="A44" s="36" t="s">
        <v>2183</v>
      </c>
      <c r="B44" s="36" t="s">
        <v>2184</v>
      </c>
      <c r="C44" s="39" t="s">
        <v>2185</v>
      </c>
      <c r="D44" s="36">
        <v>43.0</v>
      </c>
    </row>
    <row r="45" ht="15.75" customHeight="1">
      <c r="A45" s="36" t="s">
        <v>2186</v>
      </c>
      <c r="B45" s="36" t="s">
        <v>2187</v>
      </c>
      <c r="C45" s="39" t="s">
        <v>2188</v>
      </c>
      <c r="D45" s="36">
        <v>44.0</v>
      </c>
    </row>
    <row r="46" ht="15.75" customHeight="1">
      <c r="A46" s="36" t="s">
        <v>2189</v>
      </c>
      <c r="B46" s="36" t="s">
        <v>2190</v>
      </c>
      <c r="C46" s="37" t="s">
        <v>198</v>
      </c>
      <c r="D46" s="36">
        <v>45.0</v>
      </c>
    </row>
    <row r="47" ht="15.75" customHeight="1">
      <c r="A47" s="36" t="s">
        <v>2191</v>
      </c>
      <c r="B47" s="36" t="s">
        <v>2192</v>
      </c>
      <c r="C47" s="37" t="s">
        <v>198</v>
      </c>
      <c r="D47" s="36">
        <v>46.0</v>
      </c>
    </row>
    <row r="48" ht="15.75" customHeight="1">
      <c r="A48" s="36" t="s">
        <v>2193</v>
      </c>
      <c r="B48" s="36" t="s">
        <v>2194</v>
      </c>
      <c r="C48" s="39" t="s">
        <v>2195</v>
      </c>
      <c r="D48" s="36">
        <v>47.0</v>
      </c>
    </row>
    <row r="49" ht="15.75" customHeight="1">
      <c r="A49" s="36" t="s">
        <v>2196</v>
      </c>
      <c r="B49" s="36" t="s">
        <v>2197</v>
      </c>
      <c r="C49" s="37" t="s">
        <v>198</v>
      </c>
      <c r="D49" s="36">
        <v>48.0</v>
      </c>
    </row>
    <row r="50" ht="15.75" customHeight="1">
      <c r="A50" s="36" t="s">
        <v>2198</v>
      </c>
      <c r="B50" s="36" t="s">
        <v>2199</v>
      </c>
      <c r="C50" s="37" t="s">
        <v>198</v>
      </c>
      <c r="D50" s="36">
        <v>49.0</v>
      </c>
    </row>
    <row r="51" ht="15.75" customHeight="1">
      <c r="A51" s="36" t="s">
        <v>2200</v>
      </c>
      <c r="B51" s="36" t="s">
        <v>2201</v>
      </c>
      <c r="C51" s="39" t="s">
        <v>2202</v>
      </c>
      <c r="D51" s="36">
        <v>50.0</v>
      </c>
    </row>
    <row r="52" ht="15.75" customHeight="1">
      <c r="A52" s="36" t="s">
        <v>2203</v>
      </c>
      <c r="B52" s="36" t="s">
        <v>2204</v>
      </c>
      <c r="C52" s="37" t="s">
        <v>198</v>
      </c>
      <c r="D52" s="36">
        <v>51.0</v>
      </c>
    </row>
    <row r="53" ht="15.75" customHeight="1">
      <c r="A53" s="36" t="s">
        <v>2205</v>
      </c>
      <c r="B53" s="36" t="s">
        <v>2206</v>
      </c>
      <c r="C53" s="39" t="s">
        <v>2207</v>
      </c>
      <c r="D53" s="36">
        <v>52.0</v>
      </c>
    </row>
    <row r="54" ht="15.75" customHeight="1">
      <c r="A54" s="36" t="s">
        <v>2208</v>
      </c>
      <c r="B54" s="36" t="s">
        <v>2209</v>
      </c>
      <c r="C54" s="39" t="s">
        <v>473</v>
      </c>
      <c r="D54" s="36">
        <v>53.0</v>
      </c>
    </row>
    <row r="55" ht="15.75" customHeight="1">
      <c r="A55" s="36" t="s">
        <v>2210</v>
      </c>
      <c r="B55" s="36" t="s">
        <v>2211</v>
      </c>
      <c r="C55" s="37" t="s">
        <v>198</v>
      </c>
      <c r="D55" s="36">
        <v>54.0</v>
      </c>
    </row>
    <row r="56" ht="15.75" customHeight="1">
      <c r="A56" s="36" t="s">
        <v>2212</v>
      </c>
      <c r="B56" s="36" t="s">
        <v>2213</v>
      </c>
      <c r="C56" s="39" t="s">
        <v>2214</v>
      </c>
      <c r="D56" s="36">
        <v>55.0</v>
      </c>
    </row>
    <row r="57" ht="15.75" customHeight="1">
      <c r="A57" s="36" t="s">
        <v>2215</v>
      </c>
      <c r="B57" s="36" t="s">
        <v>2216</v>
      </c>
      <c r="C57" s="39" t="s">
        <v>2217</v>
      </c>
      <c r="D57" s="36">
        <v>56.0</v>
      </c>
    </row>
    <row r="58" ht="15.75" customHeight="1">
      <c r="A58" s="36" t="s">
        <v>2218</v>
      </c>
      <c r="B58" s="36" t="s">
        <v>2219</v>
      </c>
      <c r="C58" s="39" t="s">
        <v>2220</v>
      </c>
      <c r="D58" s="36">
        <v>57.0</v>
      </c>
    </row>
    <row r="59" ht="15.75" customHeight="1">
      <c r="A59" s="36" t="s">
        <v>2221</v>
      </c>
      <c r="B59" s="36" t="s">
        <v>2222</v>
      </c>
      <c r="C59" s="37" t="s">
        <v>198</v>
      </c>
      <c r="D59" s="36">
        <v>58.0</v>
      </c>
    </row>
    <row r="60" ht="15.75" customHeight="1">
      <c r="A60" s="36" t="s">
        <v>2223</v>
      </c>
      <c r="B60" s="36" t="s">
        <v>2224</v>
      </c>
      <c r="C60" s="37" t="s">
        <v>198</v>
      </c>
      <c r="D60" s="36">
        <v>59.0</v>
      </c>
    </row>
    <row r="61" ht="15.75" customHeight="1">
      <c r="A61" s="34" t="s">
        <v>2225</v>
      </c>
      <c r="B61" s="34" t="s">
        <v>2226</v>
      </c>
      <c r="C61" s="35" t="s">
        <v>2227</v>
      </c>
      <c r="D61" s="34">
        <v>60.0</v>
      </c>
      <c r="E61" s="34" t="s">
        <v>5234</v>
      </c>
    </row>
    <row r="62" ht="15.75" customHeight="1">
      <c r="A62" s="34" t="s">
        <v>2228</v>
      </c>
      <c r="B62" s="34" t="s">
        <v>198</v>
      </c>
      <c r="C62" s="35" t="s">
        <v>2229</v>
      </c>
      <c r="D62" s="34">
        <v>61.0</v>
      </c>
      <c r="E62" s="34" t="s">
        <v>5234</v>
      </c>
    </row>
    <row r="63" ht="15.75" customHeight="1">
      <c r="A63" s="34" t="s">
        <v>2230</v>
      </c>
      <c r="B63" s="34" t="s">
        <v>2231</v>
      </c>
      <c r="C63" s="35" t="s">
        <v>2232</v>
      </c>
      <c r="D63" s="34">
        <v>62.0</v>
      </c>
      <c r="E63" s="34" t="s">
        <v>5234</v>
      </c>
    </row>
    <row r="64" ht="15.75" customHeight="1">
      <c r="A64" s="34" t="s">
        <v>2233</v>
      </c>
      <c r="B64" s="34" t="s">
        <v>2234</v>
      </c>
      <c r="C64" s="35" t="s">
        <v>2235</v>
      </c>
      <c r="D64" s="34">
        <v>63.0</v>
      </c>
      <c r="E64" s="34" t="s">
        <v>5234</v>
      </c>
    </row>
    <row r="65" ht="15.75" customHeight="1">
      <c r="A65" s="34" t="s">
        <v>2236</v>
      </c>
      <c r="B65" s="34" t="s">
        <v>2237</v>
      </c>
      <c r="C65" s="35" t="s">
        <v>2238</v>
      </c>
      <c r="D65" s="34">
        <v>64.0</v>
      </c>
      <c r="E65" s="34" t="s">
        <v>5234</v>
      </c>
    </row>
    <row r="66" ht="15.75" customHeight="1">
      <c r="A66" s="36" t="s">
        <v>2239</v>
      </c>
      <c r="B66" s="36" t="s">
        <v>2240</v>
      </c>
      <c r="C66" s="39" t="s">
        <v>2241</v>
      </c>
      <c r="D66" s="36">
        <v>65.0</v>
      </c>
    </row>
    <row r="67" ht="15.75" customHeight="1">
      <c r="A67" s="36" t="s">
        <v>2242</v>
      </c>
      <c r="B67" s="36" t="s">
        <v>2243</v>
      </c>
      <c r="C67" s="39" t="s">
        <v>2244</v>
      </c>
    </row>
    <row r="68" ht="15.75" customHeight="1">
      <c r="A68" s="36" t="s">
        <v>2245</v>
      </c>
      <c r="B68" s="36" t="s">
        <v>2246</v>
      </c>
      <c r="C68" s="36" t="s">
        <v>198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29.86"/>
    <col customWidth="1" min="3" max="3" width="29.14"/>
    <col customWidth="1" min="4" max="6" width="14.43"/>
  </cols>
  <sheetData>
    <row r="1" ht="15.75" customHeight="1">
      <c r="A1" s="204" t="s">
        <v>5235</v>
      </c>
    </row>
    <row r="2" ht="15.75" customHeight="1">
      <c r="A2" s="36" t="s">
        <v>110</v>
      </c>
      <c r="B2" s="36" t="s">
        <v>111</v>
      </c>
      <c r="C2" s="36" t="s">
        <v>112</v>
      </c>
    </row>
    <row r="3" ht="15.75" customHeight="1">
      <c r="A3" s="34" t="s">
        <v>918</v>
      </c>
      <c r="B3" s="34" t="s">
        <v>919</v>
      </c>
      <c r="C3" s="35" t="s">
        <v>920</v>
      </c>
      <c r="D3" s="34" t="s">
        <v>116</v>
      </c>
    </row>
    <row r="4" ht="15.75" customHeight="1">
      <c r="A4" s="34" t="s">
        <v>1717</v>
      </c>
      <c r="B4" s="34" t="s">
        <v>4261</v>
      </c>
      <c r="C4" s="35" t="s">
        <v>4262</v>
      </c>
      <c r="D4" s="34" t="s">
        <v>116</v>
      </c>
    </row>
    <row r="5" ht="15.75" customHeight="1">
      <c r="A5" s="34" t="s">
        <v>2007</v>
      </c>
      <c r="B5" s="34" t="s">
        <v>198</v>
      </c>
      <c r="C5" s="35" t="s">
        <v>4263</v>
      </c>
      <c r="D5" s="34" t="s">
        <v>116</v>
      </c>
    </row>
    <row r="6" ht="15.75" customHeight="1">
      <c r="A6" s="34" t="s">
        <v>4264</v>
      </c>
      <c r="B6" s="34" t="s">
        <v>198</v>
      </c>
      <c r="C6" s="35" t="s">
        <v>4265</v>
      </c>
      <c r="D6" s="34" t="s">
        <v>116</v>
      </c>
    </row>
    <row r="7" ht="15.75" customHeight="1">
      <c r="A7" s="34" t="s">
        <v>4266</v>
      </c>
      <c r="B7" s="34" t="s">
        <v>4267</v>
      </c>
      <c r="C7" s="35" t="s">
        <v>4268</v>
      </c>
      <c r="D7" s="34" t="s">
        <v>116</v>
      </c>
    </row>
    <row r="8" ht="15.75" customHeight="1">
      <c r="A8" s="34" t="s">
        <v>4269</v>
      </c>
      <c r="B8" s="34" t="s">
        <v>198</v>
      </c>
      <c r="C8" s="35" t="s">
        <v>4270</v>
      </c>
      <c r="D8" s="34" t="s">
        <v>5212</v>
      </c>
    </row>
    <row r="9" ht="15.75" customHeight="1">
      <c r="A9" s="34" t="s">
        <v>4271</v>
      </c>
      <c r="B9" s="34" t="s">
        <v>4272</v>
      </c>
      <c r="C9" s="35" t="s">
        <v>4273</v>
      </c>
      <c r="D9" s="34" t="s">
        <v>5212</v>
      </c>
    </row>
    <row r="10" ht="15.75" customHeight="1">
      <c r="A10" s="34" t="s">
        <v>3365</v>
      </c>
      <c r="B10" s="34"/>
      <c r="C10" s="35" t="s">
        <v>3366</v>
      </c>
      <c r="D10" s="34" t="s">
        <v>5212</v>
      </c>
    </row>
    <row r="11" ht="15.75" customHeight="1">
      <c r="A11" s="34" t="s">
        <v>4240</v>
      </c>
      <c r="B11" s="34" t="s">
        <v>4241</v>
      </c>
      <c r="C11" s="35" t="s">
        <v>4242</v>
      </c>
      <c r="D11" s="34" t="s">
        <v>5141</v>
      </c>
    </row>
    <row r="12" ht="15.75" customHeight="1">
      <c r="A12" s="34" t="s">
        <v>4274</v>
      </c>
      <c r="B12" s="34" t="s">
        <v>139</v>
      </c>
      <c r="C12" s="35" t="s">
        <v>4275</v>
      </c>
      <c r="D12" s="34" t="s">
        <v>5141</v>
      </c>
    </row>
    <row r="13" ht="15.75" customHeight="1">
      <c r="A13" s="34" t="s">
        <v>4276</v>
      </c>
      <c r="B13" s="34" t="s">
        <v>4277</v>
      </c>
      <c r="C13" s="35" t="s">
        <v>4278</v>
      </c>
      <c r="D13" s="34" t="s">
        <v>5141</v>
      </c>
    </row>
    <row r="14" ht="15.75" customHeight="1">
      <c r="A14" s="34" t="s">
        <v>4279</v>
      </c>
      <c r="B14" s="34"/>
      <c r="C14" s="35" t="s">
        <v>4280</v>
      </c>
      <c r="D14" s="34" t="s">
        <v>5141</v>
      </c>
    </row>
    <row r="15" ht="15.75" customHeight="1">
      <c r="A15" s="34" t="s">
        <v>4281</v>
      </c>
      <c r="B15" s="34"/>
      <c r="C15" s="35" t="s">
        <v>4282</v>
      </c>
      <c r="D15" s="34" t="s">
        <v>5141</v>
      </c>
    </row>
    <row r="16" ht="15.75" customHeight="1">
      <c r="A16" s="31" t="s">
        <v>4283</v>
      </c>
      <c r="B16" s="31"/>
      <c r="C16" s="32" t="s">
        <v>4284</v>
      </c>
    </row>
    <row r="17" ht="15.75" customHeight="1">
      <c r="A17" s="34" t="s">
        <v>4285</v>
      </c>
      <c r="B17" s="34" t="s">
        <v>4286</v>
      </c>
      <c r="C17" s="35" t="s">
        <v>4287</v>
      </c>
      <c r="D17" s="34" t="s">
        <v>3476</v>
      </c>
    </row>
    <row r="18" ht="15.75" customHeight="1">
      <c r="A18" s="34" t="s">
        <v>4288</v>
      </c>
      <c r="B18" s="34"/>
      <c r="C18" s="35" t="s">
        <v>4289</v>
      </c>
      <c r="D18" s="34" t="s">
        <v>3476</v>
      </c>
    </row>
    <row r="19" ht="15.75" customHeight="1">
      <c r="A19" s="34" t="s">
        <v>4290</v>
      </c>
      <c r="B19" s="34"/>
      <c r="C19" s="35" t="s">
        <v>4291</v>
      </c>
      <c r="D19" s="34" t="s">
        <v>3476</v>
      </c>
    </row>
    <row r="20" ht="15.75" customHeight="1">
      <c r="A20" s="34" t="s">
        <v>4292</v>
      </c>
      <c r="B20" s="34" t="s">
        <v>4293</v>
      </c>
      <c r="C20" s="35" t="s">
        <v>4294</v>
      </c>
      <c r="D20" s="34" t="s">
        <v>3476</v>
      </c>
    </row>
    <row r="21" ht="15.75" customHeight="1">
      <c r="A21" s="34" t="s">
        <v>2791</v>
      </c>
      <c r="B21" s="34" t="s">
        <v>4295</v>
      </c>
      <c r="C21" s="34" t="s">
        <v>198</v>
      </c>
      <c r="D21" s="34" t="s">
        <v>3476</v>
      </c>
    </row>
    <row r="22" ht="15.75" customHeight="1">
      <c r="A22" s="34" t="s">
        <v>4296</v>
      </c>
      <c r="B22" s="34" t="s">
        <v>139</v>
      </c>
      <c r="C22" s="35" t="s">
        <v>4297</v>
      </c>
      <c r="D22" s="34" t="s">
        <v>3476</v>
      </c>
    </row>
    <row r="23" ht="15.75" customHeight="1">
      <c r="A23" s="31" t="s">
        <v>4298</v>
      </c>
      <c r="B23" s="31" t="s">
        <v>4299</v>
      </c>
      <c r="C23" s="32" t="s">
        <v>4300</v>
      </c>
      <c r="D23" s="31" t="s">
        <v>5236</v>
      </c>
    </row>
    <row r="24" ht="15.75" customHeight="1">
      <c r="A24" s="31" t="s">
        <v>3347</v>
      </c>
      <c r="B24" s="31" t="s">
        <v>4301</v>
      </c>
      <c r="C24" s="32" t="s">
        <v>4302</v>
      </c>
      <c r="D24" s="31" t="s">
        <v>5090</v>
      </c>
    </row>
    <row r="25" ht="15.75" customHeight="1">
      <c r="A25" s="34" t="s">
        <v>4303</v>
      </c>
      <c r="B25" s="34"/>
      <c r="C25" s="34" t="s">
        <v>5237</v>
      </c>
      <c r="D25" s="34" t="s">
        <v>482</v>
      </c>
    </row>
    <row r="26" ht="15.75" customHeight="1">
      <c r="A26" s="34" t="s">
        <v>2898</v>
      </c>
      <c r="B26" s="34"/>
      <c r="C26" s="198">
        <v>9.66543926544E11</v>
      </c>
      <c r="D26" s="34" t="s">
        <v>482</v>
      </c>
    </row>
    <row r="27" ht="15.75" customHeight="1">
      <c r="A27" s="34" t="s">
        <v>4306</v>
      </c>
      <c r="B27" s="34"/>
      <c r="C27" s="35" t="s">
        <v>4307</v>
      </c>
      <c r="D27" s="34"/>
    </row>
    <row r="28" ht="15.75" customHeight="1">
      <c r="A28" s="34" t="s">
        <v>3298</v>
      </c>
      <c r="B28" s="34" t="s">
        <v>3299</v>
      </c>
      <c r="C28" s="35" t="s">
        <v>4308</v>
      </c>
      <c r="D28" s="34" t="s">
        <v>482</v>
      </c>
    </row>
    <row r="29" ht="15.75" customHeight="1">
      <c r="A29" s="34" t="s">
        <v>4309</v>
      </c>
      <c r="B29" s="34"/>
      <c r="C29" s="35" t="s">
        <v>4310</v>
      </c>
      <c r="D29" s="34" t="s">
        <v>482</v>
      </c>
    </row>
    <row r="30" ht="15.75" customHeight="1">
      <c r="A30" s="34" t="s">
        <v>3423</v>
      </c>
      <c r="B30" s="34"/>
      <c r="C30" s="35" t="s">
        <v>4311</v>
      </c>
      <c r="D30" s="34" t="s">
        <v>482</v>
      </c>
    </row>
    <row r="31" ht="15.75" customHeight="1">
      <c r="A31" s="34" t="s">
        <v>4312</v>
      </c>
      <c r="B31" s="34"/>
      <c r="C31" s="35" t="s">
        <v>4313</v>
      </c>
      <c r="D31" s="34" t="s">
        <v>5238</v>
      </c>
    </row>
    <row r="32" ht="15.75" customHeight="1">
      <c r="A32" s="34" t="s">
        <v>4314</v>
      </c>
      <c r="B32" s="34" t="s">
        <v>4315</v>
      </c>
      <c r="C32" s="35" t="s">
        <v>4316</v>
      </c>
      <c r="D32" s="34" t="s">
        <v>5238</v>
      </c>
    </row>
    <row r="33" ht="15.75" customHeight="1">
      <c r="A33" s="34" t="s">
        <v>4317</v>
      </c>
      <c r="B33" s="34" t="s">
        <v>4318</v>
      </c>
      <c r="C33" s="35" t="s">
        <v>4319</v>
      </c>
      <c r="D33" s="34" t="s">
        <v>5238</v>
      </c>
    </row>
    <row r="34" ht="15.75" customHeight="1">
      <c r="A34" s="34" t="s">
        <v>4320</v>
      </c>
      <c r="B34" s="34" t="s">
        <v>4321</v>
      </c>
      <c r="C34" s="35" t="s">
        <v>4322</v>
      </c>
      <c r="D34" s="34" t="s">
        <v>5238</v>
      </c>
    </row>
    <row r="35" ht="15.75" customHeight="1">
      <c r="A35" s="34" t="s">
        <v>4323</v>
      </c>
      <c r="B35" s="34" t="s">
        <v>4324</v>
      </c>
      <c r="C35" s="35" t="s">
        <v>4325</v>
      </c>
      <c r="D35" s="34" t="s">
        <v>5238</v>
      </c>
    </row>
    <row r="36" ht="15.75" customHeight="1">
      <c r="A36" s="36" t="s">
        <v>4326</v>
      </c>
      <c r="B36" s="36" t="s">
        <v>4327</v>
      </c>
      <c r="C36" s="39" t="s">
        <v>4328</v>
      </c>
      <c r="D36" s="36" t="s">
        <v>719</v>
      </c>
    </row>
    <row r="37" ht="15.75" customHeight="1">
      <c r="A37" s="31" t="s">
        <v>4329</v>
      </c>
      <c r="B37" s="31" t="s">
        <v>4330</v>
      </c>
      <c r="C37" s="32" t="s">
        <v>4331</v>
      </c>
      <c r="D37" s="31" t="s">
        <v>5239</v>
      </c>
    </row>
    <row r="38" ht="15.75" customHeight="1">
      <c r="A38" s="31" t="s">
        <v>4332</v>
      </c>
      <c r="B38" s="31" t="s">
        <v>4333</v>
      </c>
      <c r="C38" s="32" t="s">
        <v>4334</v>
      </c>
      <c r="D38" s="31" t="s">
        <v>5239</v>
      </c>
    </row>
    <row r="39" ht="15.75" customHeight="1">
      <c r="A39" s="31" t="s">
        <v>4335</v>
      </c>
      <c r="B39" s="31" t="s">
        <v>4336</v>
      </c>
      <c r="C39" s="32" t="s">
        <v>4337</v>
      </c>
      <c r="D39" s="31" t="s">
        <v>5239</v>
      </c>
    </row>
    <row r="40" ht="15.75" customHeight="1">
      <c r="A40" s="31" t="s">
        <v>4338</v>
      </c>
      <c r="B40" s="31"/>
      <c r="C40" s="32" t="s">
        <v>4339</v>
      </c>
      <c r="D40" s="31" t="s">
        <v>5239</v>
      </c>
    </row>
    <row r="41" ht="15.75" customHeight="1">
      <c r="A41" s="38" t="s">
        <v>4340</v>
      </c>
      <c r="B41" s="38" t="s">
        <v>4341</v>
      </c>
      <c r="C41" s="205" t="s">
        <v>4342</v>
      </c>
      <c r="D41" s="38" t="s">
        <v>5240</v>
      </c>
    </row>
    <row r="42" ht="15.75" customHeight="1">
      <c r="A42" s="31" t="s">
        <v>4343</v>
      </c>
      <c r="B42" s="31" t="s">
        <v>198</v>
      </c>
      <c r="C42" s="32" t="s">
        <v>4344</v>
      </c>
      <c r="D42" s="36" t="s">
        <v>719</v>
      </c>
    </row>
    <row r="43" ht="15.75" customHeight="1">
      <c r="A43" s="36" t="s">
        <v>4345</v>
      </c>
      <c r="B43" s="36" t="s">
        <v>4346</v>
      </c>
      <c r="C43" s="39" t="s">
        <v>4347</v>
      </c>
    </row>
    <row r="44" ht="15.75" customHeight="1">
      <c r="A44" s="34" t="s">
        <v>4348</v>
      </c>
      <c r="B44" s="34"/>
      <c r="C44" s="35" t="s">
        <v>4349</v>
      </c>
      <c r="D44" s="34" t="s">
        <v>5241</v>
      </c>
    </row>
    <row r="45" ht="15.75" customHeight="1">
      <c r="A45" s="34" t="s">
        <v>4350</v>
      </c>
      <c r="B45" s="34" t="s">
        <v>4351</v>
      </c>
      <c r="C45" s="35" t="s">
        <v>4352</v>
      </c>
      <c r="D45" s="34" t="s">
        <v>5241</v>
      </c>
    </row>
    <row r="46" ht="15.75" customHeight="1">
      <c r="A46" s="34" t="s">
        <v>2485</v>
      </c>
      <c r="B46" s="34"/>
      <c r="C46" s="35" t="s">
        <v>4353</v>
      </c>
      <c r="D46" s="34" t="s">
        <v>5241</v>
      </c>
    </row>
    <row r="47" ht="15.75" customHeight="1">
      <c r="A47" s="34" t="s">
        <v>4354</v>
      </c>
      <c r="B47" s="34"/>
      <c r="C47" s="35" t="s">
        <v>4355</v>
      </c>
      <c r="D47" s="34" t="s">
        <v>5241</v>
      </c>
    </row>
    <row r="48" ht="15.75" customHeight="1">
      <c r="A48" s="34" t="s">
        <v>4356</v>
      </c>
      <c r="B48" s="34"/>
      <c r="C48" s="35" t="s">
        <v>4357</v>
      </c>
      <c r="D48" s="34" t="s">
        <v>5241</v>
      </c>
    </row>
    <row r="49" ht="15.75" customHeight="1">
      <c r="A49" s="36" t="s">
        <v>1762</v>
      </c>
      <c r="C49" s="39" t="s">
        <v>4358</v>
      </c>
    </row>
    <row r="50" ht="15.75" customHeight="1">
      <c r="A50" s="31" t="s">
        <v>4359</v>
      </c>
      <c r="B50" s="31" t="s">
        <v>4360</v>
      </c>
      <c r="C50" s="31" t="s">
        <v>198</v>
      </c>
      <c r="D50" s="31" t="s">
        <v>5242</v>
      </c>
    </row>
    <row r="51" ht="15.75" customHeight="1">
      <c r="A51" s="31" t="s">
        <v>4361</v>
      </c>
      <c r="B51" s="31" t="s">
        <v>4362</v>
      </c>
      <c r="C51" s="32" t="s">
        <v>4363</v>
      </c>
      <c r="D51" s="31" t="s">
        <v>5242</v>
      </c>
    </row>
    <row r="52" ht="15.75" customHeight="1">
      <c r="A52" s="31" t="s">
        <v>4364</v>
      </c>
      <c r="B52" s="31"/>
      <c r="C52" s="32" t="s">
        <v>4365</v>
      </c>
      <c r="D52" s="31" t="s">
        <v>5242</v>
      </c>
    </row>
    <row r="53" ht="15.75" customHeight="1">
      <c r="A53" s="31" t="s">
        <v>4366</v>
      </c>
      <c r="B53" s="31" t="s">
        <v>4367</v>
      </c>
      <c r="C53" s="32" t="s">
        <v>4368</v>
      </c>
      <c r="D53" s="31" t="s">
        <v>5242</v>
      </c>
    </row>
    <row r="54" ht="15.75" customHeight="1">
      <c r="A54" s="31" t="s">
        <v>4369</v>
      </c>
      <c r="B54" s="31" t="s">
        <v>4370</v>
      </c>
      <c r="C54" s="32" t="s">
        <v>4371</v>
      </c>
      <c r="D54" s="31" t="s">
        <v>5242</v>
      </c>
    </row>
    <row r="55" ht="15.75" customHeight="1">
      <c r="A55" s="34" t="s">
        <v>4372</v>
      </c>
      <c r="B55" s="34" t="s">
        <v>4373</v>
      </c>
      <c r="C55" s="35" t="s">
        <v>4374</v>
      </c>
      <c r="D55" s="34" t="s">
        <v>5243</v>
      </c>
    </row>
    <row r="56" ht="15.75" customHeight="1">
      <c r="A56" s="34" t="s">
        <v>4375</v>
      </c>
      <c r="B56" s="34" t="s">
        <v>4376</v>
      </c>
      <c r="C56" s="35" t="s">
        <v>4377</v>
      </c>
      <c r="D56" s="34" t="s">
        <v>535</v>
      </c>
    </row>
    <row r="57" ht="15.75" customHeight="1">
      <c r="A57" s="34" t="s">
        <v>4378</v>
      </c>
      <c r="B57" s="34" t="s">
        <v>4379</v>
      </c>
      <c r="C57" s="35" t="s">
        <v>4380</v>
      </c>
      <c r="D57" s="34" t="s">
        <v>535</v>
      </c>
    </row>
    <row r="58" ht="15.75" customHeight="1">
      <c r="A58" s="34" t="s">
        <v>4381</v>
      </c>
      <c r="B58" s="34" t="s">
        <v>4382</v>
      </c>
      <c r="C58" s="35" t="s">
        <v>4383</v>
      </c>
      <c r="D58" s="34" t="s">
        <v>535</v>
      </c>
    </row>
    <row r="59" ht="15.75" customHeight="1">
      <c r="A59" s="34" t="s">
        <v>4384</v>
      </c>
      <c r="B59" s="34" t="s">
        <v>4385</v>
      </c>
      <c r="C59" s="35" t="s">
        <v>4380</v>
      </c>
      <c r="D59" s="34" t="s">
        <v>535</v>
      </c>
    </row>
    <row r="60" ht="15.75" customHeight="1">
      <c r="A60" s="31" t="s">
        <v>4386</v>
      </c>
      <c r="B60" s="31" t="s">
        <v>4228</v>
      </c>
      <c r="C60" s="32" t="s">
        <v>4387</v>
      </c>
      <c r="D60" s="31" t="s">
        <v>5141</v>
      </c>
    </row>
    <row r="61" ht="15.75" customHeight="1">
      <c r="A61" s="31" t="s">
        <v>2405</v>
      </c>
      <c r="B61" s="31"/>
      <c r="C61" s="32" t="s">
        <v>4388</v>
      </c>
      <c r="D61" s="31" t="s">
        <v>5141</v>
      </c>
    </row>
    <row r="62" ht="15.75" customHeight="1">
      <c r="A62" s="31" t="s">
        <v>4389</v>
      </c>
      <c r="B62" s="31"/>
      <c r="C62" s="32" t="s">
        <v>4390</v>
      </c>
      <c r="D62" s="31" t="s">
        <v>5141</v>
      </c>
    </row>
    <row r="63" ht="15.75" customHeight="1">
      <c r="A63" s="31" t="s">
        <v>4391</v>
      </c>
      <c r="B63" s="31"/>
      <c r="C63" s="32" t="s">
        <v>4392</v>
      </c>
      <c r="D63" s="31" t="s">
        <v>5141</v>
      </c>
    </row>
    <row r="64" ht="15.75" customHeight="1">
      <c r="A64" s="31" t="s">
        <v>4393</v>
      </c>
      <c r="B64" s="31" t="s">
        <v>4394</v>
      </c>
      <c r="C64" s="32" t="s">
        <v>4395</v>
      </c>
      <c r="D64" s="31" t="s">
        <v>5141</v>
      </c>
    </row>
    <row r="65" ht="15.75" customHeight="1">
      <c r="A65" s="31" t="s">
        <v>4364</v>
      </c>
      <c r="B65" s="31" t="s">
        <v>4396</v>
      </c>
      <c r="C65" s="32" t="s">
        <v>4397</v>
      </c>
      <c r="D65" s="36" t="s">
        <v>261</v>
      </c>
    </row>
    <row r="66" ht="15.75" customHeight="1">
      <c r="A66" s="31" t="s">
        <v>4398</v>
      </c>
      <c r="B66" s="31" t="s">
        <v>4399</v>
      </c>
      <c r="C66" s="31"/>
      <c r="D66" s="36" t="s">
        <v>261</v>
      </c>
    </row>
    <row r="67" ht="15.75" customHeight="1">
      <c r="A67" s="31" t="s">
        <v>4400</v>
      </c>
      <c r="B67" s="31" t="s">
        <v>4401</v>
      </c>
      <c r="C67" s="32" t="s">
        <v>4402</v>
      </c>
      <c r="D67" s="36" t="s">
        <v>261</v>
      </c>
    </row>
    <row r="68" ht="15.75" customHeight="1">
      <c r="A68" s="31" t="s">
        <v>4403</v>
      </c>
      <c r="B68" s="31" t="s">
        <v>4404</v>
      </c>
      <c r="C68" s="32" t="s">
        <v>4405</v>
      </c>
      <c r="D68" s="36" t="s">
        <v>261</v>
      </c>
    </row>
    <row r="69" ht="15.75" customHeight="1">
      <c r="A69" s="31" t="s">
        <v>4406</v>
      </c>
      <c r="B69" s="31" t="s">
        <v>4407</v>
      </c>
      <c r="C69" s="32" t="s">
        <v>4408</v>
      </c>
      <c r="D69" s="36" t="s">
        <v>261</v>
      </c>
    </row>
    <row r="70" ht="15.75" customHeight="1">
      <c r="A70" s="31" t="s">
        <v>4409</v>
      </c>
      <c r="B70" s="31" t="s">
        <v>198</v>
      </c>
      <c r="C70" s="32" t="s">
        <v>4410</v>
      </c>
      <c r="D70" s="31" t="s">
        <v>5244</v>
      </c>
    </row>
    <row r="71" ht="15.75" customHeight="1">
      <c r="A71" s="31" t="s">
        <v>4411</v>
      </c>
      <c r="B71" s="31" t="s">
        <v>4412</v>
      </c>
      <c r="C71" s="32" t="s">
        <v>4413</v>
      </c>
      <c r="D71" s="31" t="s">
        <v>5244</v>
      </c>
    </row>
    <row r="72" ht="15.75" customHeight="1">
      <c r="A72" s="36" t="s">
        <v>4414</v>
      </c>
      <c r="B72" s="36" t="s">
        <v>4415</v>
      </c>
      <c r="C72" s="36" t="s">
        <v>139</v>
      </c>
    </row>
    <row r="73" ht="15.75" customHeight="1">
      <c r="A73" s="31" t="s">
        <v>4416</v>
      </c>
      <c r="B73" s="31" t="s">
        <v>4417</v>
      </c>
      <c r="C73" s="32" t="s">
        <v>4418</v>
      </c>
      <c r="D73" s="31" t="s">
        <v>1541</v>
      </c>
    </row>
    <row r="74" ht="15.75" customHeight="1">
      <c r="A74" s="31" t="s">
        <v>4419</v>
      </c>
      <c r="B74" s="31"/>
      <c r="C74" s="32" t="s">
        <v>4420</v>
      </c>
      <c r="D74" s="31" t="s">
        <v>1541</v>
      </c>
    </row>
    <row r="75" ht="15.75" customHeight="1">
      <c r="A75" s="31" t="s">
        <v>4421</v>
      </c>
      <c r="B75" s="31" t="s">
        <v>4422</v>
      </c>
      <c r="C75" s="32" t="s">
        <v>4423</v>
      </c>
      <c r="D75" s="31" t="s">
        <v>1541</v>
      </c>
    </row>
    <row r="76" ht="15.75" customHeight="1">
      <c r="A76" s="31" t="s">
        <v>4424</v>
      </c>
      <c r="B76" s="31"/>
      <c r="C76" s="32" t="s">
        <v>4425</v>
      </c>
      <c r="D76" s="31" t="s">
        <v>1541</v>
      </c>
    </row>
    <row r="77" ht="15.75" customHeight="1">
      <c r="A77" s="31" t="s">
        <v>4426</v>
      </c>
      <c r="B77" s="31" t="s">
        <v>4427</v>
      </c>
      <c r="C77" s="32" t="s">
        <v>4428</v>
      </c>
      <c r="D77" s="31" t="s">
        <v>1541</v>
      </c>
    </row>
    <row r="78" ht="15.75" customHeight="1">
      <c r="A78" s="31" t="s">
        <v>4429</v>
      </c>
      <c r="B78" s="31" t="s">
        <v>4430</v>
      </c>
      <c r="C78" s="32" t="s">
        <v>4431</v>
      </c>
      <c r="D78" s="31" t="s">
        <v>5244</v>
      </c>
    </row>
    <row r="79" ht="15.75" customHeight="1">
      <c r="A79" s="31" t="s">
        <v>4432</v>
      </c>
      <c r="B79" s="31" t="s">
        <v>4247</v>
      </c>
      <c r="C79" s="32" t="s">
        <v>4248</v>
      </c>
      <c r="D79" s="31" t="s">
        <v>5244</v>
      </c>
    </row>
    <row r="80" ht="15.75" customHeight="1">
      <c r="A80" s="31" t="s">
        <v>671</v>
      </c>
      <c r="B80" s="31"/>
      <c r="C80" s="32" t="s">
        <v>4433</v>
      </c>
      <c r="D80" s="31" t="s">
        <v>5244</v>
      </c>
    </row>
    <row r="81" ht="15.75" customHeight="1">
      <c r="A81" s="34" t="s">
        <v>4434</v>
      </c>
      <c r="B81" s="34"/>
      <c r="C81" s="35" t="s">
        <v>4435</v>
      </c>
      <c r="D81" s="34" t="s">
        <v>5242</v>
      </c>
    </row>
    <row r="82" ht="15.75" customHeight="1">
      <c r="A82" s="34" t="s">
        <v>4436</v>
      </c>
      <c r="B82" s="34" t="s">
        <v>4437</v>
      </c>
      <c r="C82" s="35" t="s">
        <v>4438</v>
      </c>
      <c r="D82" s="34" t="s">
        <v>5242</v>
      </c>
    </row>
    <row r="83" ht="15.75" customHeight="1">
      <c r="A83" s="34" t="s">
        <v>4439</v>
      </c>
      <c r="B83" s="34" t="s">
        <v>4440</v>
      </c>
      <c r="C83" s="35" t="s">
        <v>4441</v>
      </c>
      <c r="D83" s="34" t="s">
        <v>5242</v>
      </c>
    </row>
    <row r="84" ht="15.75" customHeight="1">
      <c r="A84" s="34" t="s">
        <v>4442</v>
      </c>
      <c r="B84" s="34"/>
      <c r="C84" s="35" t="s">
        <v>4443</v>
      </c>
      <c r="D84" s="34" t="s">
        <v>5242</v>
      </c>
    </row>
    <row r="85" ht="15.75" customHeight="1">
      <c r="A85" s="34" t="s">
        <v>4444</v>
      </c>
      <c r="B85" s="34"/>
      <c r="C85" s="35" t="s">
        <v>4445</v>
      </c>
      <c r="D85" s="34" t="s">
        <v>5242</v>
      </c>
    </row>
    <row r="86" ht="15.75" customHeight="1">
      <c r="A86" s="34" t="s">
        <v>4446</v>
      </c>
      <c r="B86" s="34"/>
      <c r="C86" s="35" t="s">
        <v>4447</v>
      </c>
      <c r="D86" s="34" t="s">
        <v>116</v>
      </c>
    </row>
    <row r="87" ht="15.75" customHeight="1">
      <c r="A87" s="34" t="s">
        <v>4448</v>
      </c>
      <c r="B87" s="34"/>
      <c r="C87" s="35" t="s">
        <v>4449</v>
      </c>
      <c r="D87" s="34" t="s">
        <v>116</v>
      </c>
    </row>
    <row r="88" ht="15.75" customHeight="1">
      <c r="A88" s="34" t="s">
        <v>4450</v>
      </c>
      <c r="B88" s="34"/>
      <c r="C88" s="35" t="s">
        <v>4451</v>
      </c>
      <c r="D88" s="34" t="s">
        <v>116</v>
      </c>
    </row>
    <row r="89" ht="15.75" customHeight="1">
      <c r="A89" s="34" t="s">
        <v>4452</v>
      </c>
      <c r="B89" s="34"/>
      <c r="C89" s="35" t="s">
        <v>4453</v>
      </c>
      <c r="D89" s="34" t="s">
        <v>116</v>
      </c>
    </row>
    <row r="90" ht="15.75" customHeight="1">
      <c r="A90" s="34" t="s">
        <v>4454</v>
      </c>
      <c r="B90" s="34"/>
      <c r="C90" s="35" t="s">
        <v>4455</v>
      </c>
      <c r="D90" s="34" t="s">
        <v>116</v>
      </c>
    </row>
    <row r="91" ht="15.75" customHeight="1">
      <c r="A91" s="198" t="s">
        <v>3295</v>
      </c>
      <c r="B91" s="198" t="s">
        <v>3296</v>
      </c>
      <c r="C91" s="206" t="s">
        <v>3297</v>
      </c>
      <c r="D91" s="34" t="s">
        <v>116</v>
      </c>
    </row>
    <row r="92" ht="15.75" customHeight="1">
      <c r="A92" s="207" t="s">
        <v>3298</v>
      </c>
      <c r="B92" s="207" t="s">
        <v>3299</v>
      </c>
      <c r="C92" s="208" t="s">
        <v>3300</v>
      </c>
      <c r="D92" s="31" t="s">
        <v>5242</v>
      </c>
    </row>
    <row r="93" ht="15.75" customHeight="1">
      <c r="A93" s="207" t="s">
        <v>3301</v>
      </c>
      <c r="B93" s="207" t="s">
        <v>3302</v>
      </c>
      <c r="C93" s="208" t="s">
        <v>3303</v>
      </c>
      <c r="D93" s="31" t="s">
        <v>5242</v>
      </c>
    </row>
    <row r="94" ht="15.75" customHeight="1">
      <c r="A94" s="207" t="s">
        <v>3304</v>
      </c>
      <c r="B94" s="207" t="s">
        <v>3305</v>
      </c>
      <c r="C94" s="208" t="s">
        <v>3306</v>
      </c>
      <c r="D94" s="31" t="s">
        <v>5242</v>
      </c>
    </row>
    <row r="95" ht="15.75" customHeight="1">
      <c r="A95" s="207" t="s">
        <v>3307</v>
      </c>
      <c r="B95" s="207" t="s">
        <v>3308</v>
      </c>
      <c r="C95" s="208" t="s">
        <v>3309</v>
      </c>
      <c r="D95" s="31" t="s">
        <v>5242</v>
      </c>
    </row>
    <row r="96" ht="15.75" customHeight="1">
      <c r="A96" s="207" t="s">
        <v>3310</v>
      </c>
      <c r="B96" s="207" t="s">
        <v>3311</v>
      </c>
      <c r="C96" s="208" t="s">
        <v>3312</v>
      </c>
      <c r="D96" s="31" t="s">
        <v>5242</v>
      </c>
    </row>
    <row r="97" ht="15.75" customHeight="1">
      <c r="A97" s="23" t="s">
        <v>3313</v>
      </c>
      <c r="B97" s="23" t="s">
        <v>3314</v>
      </c>
      <c r="C97" s="209" t="s">
        <v>3315</v>
      </c>
    </row>
    <row r="98" ht="15.75" customHeight="1">
      <c r="A98" s="207" t="s">
        <v>3316</v>
      </c>
      <c r="B98" s="207" t="s">
        <v>3317</v>
      </c>
      <c r="C98" s="208" t="s">
        <v>3318</v>
      </c>
      <c r="D98" s="31"/>
    </row>
    <row r="99" ht="15.75" customHeight="1">
      <c r="A99" s="23" t="s">
        <v>2791</v>
      </c>
      <c r="B99" s="23" t="s">
        <v>3319</v>
      </c>
      <c r="C99" s="209" t="s">
        <v>3320</v>
      </c>
    </row>
    <row r="100" ht="15.75" customHeight="1">
      <c r="A100" s="207" t="s">
        <v>3321</v>
      </c>
      <c r="B100" s="207" t="s">
        <v>3322</v>
      </c>
      <c r="C100" s="208" t="s">
        <v>3323</v>
      </c>
      <c r="D100" s="31"/>
    </row>
    <row r="101" ht="15.75" customHeight="1">
      <c r="A101" s="23" t="s">
        <v>3324</v>
      </c>
      <c r="B101" s="23" t="s">
        <v>478</v>
      </c>
      <c r="C101" s="209" t="s">
        <v>3325</v>
      </c>
      <c r="D101" s="36" t="s">
        <v>5236</v>
      </c>
    </row>
    <row r="102" ht="15.75" customHeight="1">
      <c r="A102" s="23" t="s">
        <v>3326</v>
      </c>
      <c r="B102" s="23" t="s">
        <v>403</v>
      </c>
      <c r="C102" s="209" t="s">
        <v>3327</v>
      </c>
      <c r="D102" s="36" t="s">
        <v>5236</v>
      </c>
    </row>
    <row r="103" ht="15.75" customHeight="1">
      <c r="A103" s="23" t="s">
        <v>3328</v>
      </c>
      <c r="B103" s="23" t="s">
        <v>3329</v>
      </c>
      <c r="C103" s="209" t="s">
        <v>3330</v>
      </c>
      <c r="D103" s="36" t="s">
        <v>5236</v>
      </c>
    </row>
    <row r="104" ht="15.75" customHeight="1">
      <c r="A104" s="23" t="s">
        <v>3331</v>
      </c>
      <c r="B104" s="23" t="s">
        <v>478</v>
      </c>
      <c r="C104" s="209" t="s">
        <v>3332</v>
      </c>
      <c r="D104" s="36" t="s">
        <v>5236</v>
      </c>
    </row>
    <row r="105" ht="15.75" customHeight="1">
      <c r="A105" s="23"/>
      <c r="B105" s="23"/>
      <c r="C105" s="23"/>
      <c r="D105" s="36" t="s">
        <v>5236</v>
      </c>
    </row>
    <row r="106" ht="15.75" customHeight="1">
      <c r="A106" s="23" t="s">
        <v>3333</v>
      </c>
      <c r="B106" s="23" t="s">
        <v>3334</v>
      </c>
      <c r="C106" s="209" t="s">
        <v>3335</v>
      </c>
      <c r="D106" s="36" t="s">
        <v>5236</v>
      </c>
    </row>
    <row r="107" ht="15.75" customHeight="1">
      <c r="A107" s="23" t="s">
        <v>3336</v>
      </c>
      <c r="B107" s="23" t="s">
        <v>198</v>
      </c>
      <c r="C107" s="209" t="s">
        <v>3337</v>
      </c>
      <c r="D107" s="36" t="s">
        <v>5236</v>
      </c>
    </row>
    <row r="108" ht="15.75" customHeight="1">
      <c r="A108" s="198" t="s">
        <v>3338</v>
      </c>
      <c r="B108" s="198" t="s">
        <v>3339</v>
      </c>
      <c r="C108" s="206" t="s">
        <v>3340</v>
      </c>
      <c r="D108" s="34" t="s">
        <v>116</v>
      </c>
    </row>
    <row r="109" ht="15.75" customHeight="1">
      <c r="A109" s="198" t="s">
        <v>3341</v>
      </c>
      <c r="B109" s="198" t="s">
        <v>3342</v>
      </c>
      <c r="C109" s="206" t="s">
        <v>3343</v>
      </c>
      <c r="D109" s="34" t="s">
        <v>116</v>
      </c>
    </row>
    <row r="110" ht="15.75" customHeight="1">
      <c r="A110" s="198" t="s">
        <v>3344</v>
      </c>
      <c r="B110" s="198" t="s">
        <v>3345</v>
      </c>
      <c r="C110" s="206" t="s">
        <v>3346</v>
      </c>
      <c r="D110" s="34" t="s">
        <v>116</v>
      </c>
    </row>
    <row r="111" ht="15.75" customHeight="1">
      <c r="A111" s="198" t="s">
        <v>3347</v>
      </c>
      <c r="B111" s="198" t="s">
        <v>198</v>
      </c>
      <c r="C111" s="206" t="s">
        <v>3348</v>
      </c>
      <c r="D111" s="34" t="s">
        <v>116</v>
      </c>
    </row>
    <row r="112" ht="15.75" customHeight="1">
      <c r="A112" s="23" t="s">
        <v>3349</v>
      </c>
      <c r="B112" s="23" t="s">
        <v>198</v>
      </c>
      <c r="C112" s="209" t="s">
        <v>3350</v>
      </c>
    </row>
    <row r="113" ht="15.75" customHeight="1">
      <c r="A113" s="207" t="s">
        <v>3351</v>
      </c>
      <c r="B113" s="207" t="s">
        <v>198</v>
      </c>
      <c r="C113" s="208" t="s">
        <v>3352</v>
      </c>
      <c r="D113" s="31"/>
    </row>
    <row r="114" ht="15.75" customHeight="1">
      <c r="A114" s="210" t="s">
        <v>3353</v>
      </c>
      <c r="B114" s="210" t="s">
        <v>3354</v>
      </c>
      <c r="C114" s="211" t="s">
        <v>3355</v>
      </c>
      <c r="D114" s="40" t="s">
        <v>5245</v>
      </c>
    </row>
    <row r="115" ht="15.75" customHeight="1">
      <c r="A115" s="210" t="s">
        <v>3356</v>
      </c>
      <c r="B115" s="210" t="s">
        <v>3357</v>
      </c>
      <c r="C115" s="211" t="s">
        <v>3358</v>
      </c>
      <c r="D115" s="40" t="s">
        <v>5245</v>
      </c>
    </row>
    <row r="116" ht="15.75" customHeight="1">
      <c r="A116" s="210" t="s">
        <v>3359</v>
      </c>
      <c r="B116" s="210" t="s">
        <v>3360</v>
      </c>
      <c r="C116" s="211" t="s">
        <v>3361</v>
      </c>
      <c r="D116" s="40" t="s">
        <v>5245</v>
      </c>
    </row>
    <row r="117" ht="15.75" customHeight="1">
      <c r="A117" s="210" t="s">
        <v>3362</v>
      </c>
      <c r="B117" s="210" t="s">
        <v>198</v>
      </c>
      <c r="C117" s="211" t="s">
        <v>3363</v>
      </c>
      <c r="D117" s="40" t="s">
        <v>5245</v>
      </c>
    </row>
    <row r="118" ht="15.75" customHeight="1">
      <c r="A118" s="198" t="s">
        <v>3349</v>
      </c>
      <c r="B118" s="198" t="s">
        <v>198</v>
      </c>
      <c r="C118" s="206" t="s">
        <v>3364</v>
      </c>
      <c r="D118" s="34" t="s">
        <v>261</v>
      </c>
    </row>
    <row r="119" ht="15.75" customHeight="1">
      <c r="A119" s="198" t="s">
        <v>3365</v>
      </c>
      <c r="B119" s="198" t="s">
        <v>198</v>
      </c>
      <c r="C119" s="206" t="s">
        <v>3366</v>
      </c>
      <c r="D119" s="34" t="s">
        <v>261</v>
      </c>
    </row>
    <row r="120" ht="15.75" customHeight="1">
      <c r="A120" s="198" t="s">
        <v>3367</v>
      </c>
      <c r="B120" s="198" t="s">
        <v>198</v>
      </c>
      <c r="C120" s="206" t="s">
        <v>3368</v>
      </c>
      <c r="D120" s="34" t="s">
        <v>261</v>
      </c>
      <c r="F120" s="23"/>
      <c r="G120" s="23"/>
      <c r="H120" s="23"/>
    </row>
    <row r="121" ht="15.75" customHeight="1">
      <c r="A121" s="198" t="s">
        <v>3369</v>
      </c>
      <c r="B121" s="198" t="s">
        <v>3370</v>
      </c>
      <c r="C121" s="206" t="s">
        <v>3371</v>
      </c>
      <c r="D121" s="34" t="s">
        <v>261</v>
      </c>
      <c r="F121" s="23"/>
      <c r="G121" s="23"/>
      <c r="H121" s="23"/>
    </row>
    <row r="122" ht="15.75" customHeight="1">
      <c r="A122" s="198" t="s">
        <v>3372</v>
      </c>
      <c r="B122" s="198" t="s">
        <v>3373</v>
      </c>
      <c r="C122" s="206" t="s">
        <v>3374</v>
      </c>
      <c r="D122" s="34" t="s">
        <v>261</v>
      </c>
      <c r="F122" s="23"/>
      <c r="G122" s="23"/>
      <c r="H122" s="23"/>
    </row>
    <row r="123" ht="15.75" customHeight="1">
      <c r="A123" s="198" t="s">
        <v>3375</v>
      </c>
      <c r="B123" s="198" t="s">
        <v>3376</v>
      </c>
      <c r="C123" s="198" t="s">
        <v>139</v>
      </c>
      <c r="D123" s="34" t="s">
        <v>261</v>
      </c>
      <c r="F123" s="23"/>
      <c r="G123" s="23"/>
      <c r="H123" s="23"/>
    </row>
    <row r="124" ht="15.75" customHeight="1">
      <c r="A124" s="198" t="s">
        <v>3377</v>
      </c>
      <c r="B124" s="198" t="s">
        <v>3378</v>
      </c>
      <c r="C124" s="206" t="s">
        <v>3379</v>
      </c>
      <c r="D124" s="34" t="s">
        <v>261</v>
      </c>
      <c r="F124" s="23"/>
      <c r="G124" s="23"/>
      <c r="H124" s="23"/>
    </row>
    <row r="125" ht="15.75" customHeight="1">
      <c r="A125" s="198" t="s">
        <v>3380</v>
      </c>
      <c r="B125" s="198" t="s">
        <v>3381</v>
      </c>
      <c r="C125" s="206" t="s">
        <v>3382</v>
      </c>
      <c r="D125" s="34" t="s">
        <v>261</v>
      </c>
    </row>
    <row r="126" ht="15.75" customHeight="1">
      <c r="A126" s="198" t="s">
        <v>3383</v>
      </c>
      <c r="B126" s="198" t="s">
        <v>3384</v>
      </c>
      <c r="C126" s="206" t="s">
        <v>3385</v>
      </c>
      <c r="D126" s="34" t="s">
        <v>261</v>
      </c>
    </row>
    <row r="127" ht="15.75" customHeight="1">
      <c r="A127" s="198" t="s">
        <v>3386</v>
      </c>
      <c r="B127" s="198" t="s">
        <v>3387</v>
      </c>
      <c r="C127" s="206" t="s">
        <v>3388</v>
      </c>
      <c r="D127" s="34" t="s">
        <v>261</v>
      </c>
    </row>
    <row r="128" ht="15.75" customHeight="1">
      <c r="A128" s="210" t="s">
        <v>3389</v>
      </c>
      <c r="B128" s="210" t="s">
        <v>3384</v>
      </c>
      <c r="C128" s="211" t="s">
        <v>3390</v>
      </c>
      <c r="D128" s="40" t="s">
        <v>5245</v>
      </c>
    </row>
    <row r="129" ht="15.75" customHeight="1">
      <c r="A129" s="207" t="s">
        <v>3391</v>
      </c>
      <c r="B129" s="207" t="s">
        <v>139</v>
      </c>
      <c r="C129" s="208" t="s">
        <v>3392</v>
      </c>
      <c r="D129" s="31"/>
    </row>
    <row r="130" ht="15.75" customHeight="1">
      <c r="A130" s="23" t="s">
        <v>3393</v>
      </c>
      <c r="B130" s="23" t="s">
        <v>139</v>
      </c>
      <c r="C130" s="209" t="s">
        <v>3394</v>
      </c>
      <c r="D130" s="36" t="s">
        <v>116</v>
      </c>
    </row>
    <row r="131" ht="15.75" customHeight="1">
      <c r="A131" s="198" t="s">
        <v>3395</v>
      </c>
      <c r="B131" s="198" t="s">
        <v>3396</v>
      </c>
      <c r="C131" s="206" t="s">
        <v>3397</v>
      </c>
      <c r="D131" s="34" t="s">
        <v>5246</v>
      </c>
    </row>
    <row r="132" ht="15.75" customHeight="1">
      <c r="A132" s="198" t="s">
        <v>3398</v>
      </c>
      <c r="B132" s="198" t="s">
        <v>3399</v>
      </c>
      <c r="C132" s="206" t="s">
        <v>3400</v>
      </c>
      <c r="D132" s="34" t="s">
        <v>5246</v>
      </c>
    </row>
    <row r="133" ht="15.75" customHeight="1">
      <c r="A133" s="198" t="s">
        <v>3401</v>
      </c>
      <c r="B133" s="198"/>
      <c r="C133" s="206" t="s">
        <v>3402</v>
      </c>
      <c r="D133" s="34" t="s">
        <v>5246</v>
      </c>
    </row>
    <row r="134" ht="15.75" customHeight="1">
      <c r="A134" s="198" t="s">
        <v>3403</v>
      </c>
      <c r="B134" s="198"/>
      <c r="C134" s="206" t="s">
        <v>3404</v>
      </c>
      <c r="D134" s="34" t="s">
        <v>5246</v>
      </c>
    </row>
    <row r="135" ht="15.75" customHeight="1">
      <c r="A135" s="198" t="s">
        <v>3405</v>
      </c>
      <c r="B135" s="198"/>
      <c r="C135" s="206" t="s">
        <v>3406</v>
      </c>
      <c r="D135" s="34" t="s">
        <v>5246</v>
      </c>
    </row>
    <row r="136" ht="15.75" customHeight="1">
      <c r="A136" s="23" t="s">
        <v>3407</v>
      </c>
      <c r="B136" s="23" t="s">
        <v>3408</v>
      </c>
      <c r="C136" s="209" t="s">
        <v>3409</v>
      </c>
      <c r="D136" s="36" t="s">
        <v>116</v>
      </c>
    </row>
    <row r="137" ht="15.75" customHeight="1">
      <c r="A137" s="23" t="s">
        <v>3410</v>
      </c>
      <c r="B137" s="23" t="s">
        <v>3411</v>
      </c>
      <c r="C137" s="23" t="s">
        <v>139</v>
      </c>
      <c r="D137" s="36" t="s">
        <v>116</v>
      </c>
    </row>
    <row r="138" ht="15.75" customHeight="1">
      <c r="A138" s="198" t="s">
        <v>3412</v>
      </c>
      <c r="B138" s="198"/>
      <c r="C138" s="206" t="s">
        <v>3413</v>
      </c>
      <c r="D138" s="34" t="s">
        <v>5044</v>
      </c>
    </row>
    <row r="139" ht="15.75" customHeight="1">
      <c r="A139" s="198" t="s">
        <v>3414</v>
      </c>
      <c r="B139" s="198"/>
      <c r="C139" s="206" t="s">
        <v>3415</v>
      </c>
      <c r="D139" s="34" t="s">
        <v>5044</v>
      </c>
      <c r="J139" s="23"/>
      <c r="K139" s="23"/>
      <c r="L139" s="23"/>
    </row>
    <row r="140" ht="15.75" customHeight="1">
      <c r="A140" s="198" t="s">
        <v>3416</v>
      </c>
      <c r="B140" s="198"/>
      <c r="C140" s="206" t="s">
        <v>3417</v>
      </c>
      <c r="D140" s="34" t="s">
        <v>5044</v>
      </c>
      <c r="J140" s="23"/>
      <c r="K140" s="23"/>
      <c r="L140" s="23"/>
    </row>
    <row r="141" ht="15.75" customHeight="1">
      <c r="A141" s="198" t="s">
        <v>3418</v>
      </c>
      <c r="B141" s="198"/>
      <c r="C141" s="206" t="s">
        <v>3419</v>
      </c>
      <c r="D141" s="34" t="s">
        <v>5044</v>
      </c>
      <c r="J141" s="23"/>
      <c r="K141" s="23"/>
      <c r="L141" s="23"/>
    </row>
    <row r="142" ht="15.75" customHeight="1">
      <c r="A142" s="198" t="s">
        <v>3420</v>
      </c>
      <c r="B142" s="198"/>
      <c r="C142" s="206" t="s">
        <v>3421</v>
      </c>
      <c r="D142" s="34" t="s">
        <v>5044</v>
      </c>
      <c r="J142" s="23"/>
      <c r="K142" s="23"/>
      <c r="L142" s="23"/>
    </row>
    <row r="143" ht="15.75" customHeight="1">
      <c r="A143" s="23" t="s">
        <v>3362</v>
      </c>
      <c r="B143" s="23"/>
      <c r="C143" s="209" t="s">
        <v>3422</v>
      </c>
      <c r="D143" s="36" t="s">
        <v>116</v>
      </c>
      <c r="J143" s="23"/>
      <c r="K143" s="23"/>
      <c r="L143" s="23"/>
    </row>
    <row r="144" ht="15.75" customHeight="1">
      <c r="A144" s="23" t="s">
        <v>3423</v>
      </c>
      <c r="B144" s="23"/>
      <c r="C144" s="209" t="s">
        <v>3424</v>
      </c>
      <c r="D144" s="36" t="s">
        <v>116</v>
      </c>
    </row>
    <row r="145" ht="15.75" customHeight="1">
      <c r="A145" s="207" t="s">
        <v>3425</v>
      </c>
      <c r="B145" s="207" t="s">
        <v>3426</v>
      </c>
      <c r="C145" s="208" t="s">
        <v>3427</v>
      </c>
      <c r="D145" s="31" t="s">
        <v>535</v>
      </c>
    </row>
    <row r="146" ht="15.75" customHeight="1">
      <c r="A146" s="207" t="s">
        <v>3428</v>
      </c>
      <c r="B146" s="207" t="s">
        <v>717</v>
      </c>
      <c r="C146" s="208" t="s">
        <v>3429</v>
      </c>
      <c r="D146" s="31" t="s">
        <v>535</v>
      </c>
    </row>
    <row r="147" ht="15.75" customHeight="1">
      <c r="A147" s="23" t="s">
        <v>3430</v>
      </c>
      <c r="B147" s="23" t="s">
        <v>717</v>
      </c>
      <c r="C147" s="23" t="s">
        <v>198</v>
      </c>
    </row>
    <row r="148" ht="15.75" customHeight="1">
      <c r="A148" s="207" t="s">
        <v>3431</v>
      </c>
      <c r="B148" s="207" t="s">
        <v>3432</v>
      </c>
      <c r="C148" s="208" t="s">
        <v>3433</v>
      </c>
      <c r="D148" s="31"/>
    </row>
    <row r="149" ht="15.75" customHeight="1">
      <c r="A149" s="207" t="s">
        <v>3434</v>
      </c>
      <c r="B149" s="207" t="s">
        <v>3435</v>
      </c>
      <c r="C149" s="208" t="s">
        <v>3436</v>
      </c>
      <c r="D149" s="36" t="s">
        <v>5247</v>
      </c>
    </row>
    <row r="150" ht="15.75" customHeight="1">
      <c r="A150" s="207" t="s">
        <v>3437</v>
      </c>
      <c r="B150" s="207" t="s">
        <v>3438</v>
      </c>
      <c r="C150" s="208" t="s">
        <v>3439</v>
      </c>
      <c r="D150" s="36" t="s">
        <v>5247</v>
      </c>
    </row>
    <row r="151" ht="15.75" customHeight="1">
      <c r="A151" s="207" t="s">
        <v>3440</v>
      </c>
      <c r="B151" s="207" t="s">
        <v>717</v>
      </c>
      <c r="C151" s="208" t="s">
        <v>3441</v>
      </c>
      <c r="D151" s="31" t="s">
        <v>535</v>
      </c>
    </row>
    <row r="152" ht="15.75" customHeight="1">
      <c r="A152" s="207" t="s">
        <v>3442</v>
      </c>
      <c r="B152" s="207" t="s">
        <v>717</v>
      </c>
      <c r="C152" s="208" t="s">
        <v>3443</v>
      </c>
      <c r="D152" s="31" t="s">
        <v>535</v>
      </c>
    </row>
    <row r="153" ht="15.75" customHeight="1">
      <c r="A153" s="207" t="s">
        <v>3444</v>
      </c>
      <c r="B153" s="207" t="s">
        <v>3445</v>
      </c>
      <c r="C153" s="207" t="s">
        <v>198</v>
      </c>
    </row>
    <row r="154" ht="15.75" customHeight="1">
      <c r="A154" s="207" t="s">
        <v>3446</v>
      </c>
      <c r="B154" s="207" t="s">
        <v>783</v>
      </c>
      <c r="C154" s="208" t="s">
        <v>3447</v>
      </c>
      <c r="H154" s="23"/>
      <c r="I154" s="23"/>
      <c r="J154" s="23"/>
    </row>
    <row r="155" ht="15.75" customHeight="1">
      <c r="A155" s="207" t="s">
        <v>3448</v>
      </c>
      <c r="B155" s="207" t="s">
        <v>3449</v>
      </c>
      <c r="C155" s="208" t="s">
        <v>3450</v>
      </c>
      <c r="H155" s="23"/>
      <c r="I155" s="23"/>
      <c r="J155" s="23"/>
    </row>
    <row r="156" ht="15.75" customHeight="1">
      <c r="A156" s="207" t="s">
        <v>3451</v>
      </c>
      <c r="B156" s="207" t="s">
        <v>3452</v>
      </c>
      <c r="C156" s="208" t="s">
        <v>3453</v>
      </c>
      <c r="H156" s="23"/>
      <c r="I156" s="23"/>
      <c r="J156" s="23"/>
    </row>
    <row r="157" ht="15.75" customHeight="1">
      <c r="A157" s="207" t="s">
        <v>3454</v>
      </c>
      <c r="B157" s="207" t="s">
        <v>3455</v>
      </c>
      <c r="C157" s="208" t="s">
        <v>3456</v>
      </c>
      <c r="D157" s="31"/>
      <c r="H157" s="23"/>
      <c r="I157" s="23"/>
      <c r="J157" s="23"/>
    </row>
    <row r="158" ht="15.75" customHeight="1">
      <c r="A158" s="23" t="s">
        <v>3457</v>
      </c>
      <c r="B158" s="23"/>
      <c r="C158" s="209" t="s">
        <v>3458</v>
      </c>
      <c r="D158" s="36" t="s">
        <v>5247</v>
      </c>
      <c r="H158" s="23"/>
      <c r="I158" s="23"/>
      <c r="J158" s="23"/>
    </row>
    <row r="159" ht="15.75" customHeight="1">
      <c r="A159" s="23" t="s">
        <v>3459</v>
      </c>
      <c r="B159" s="23"/>
      <c r="C159" s="209" t="s">
        <v>3460</v>
      </c>
      <c r="D159" s="36" t="s">
        <v>5247</v>
      </c>
      <c r="H159" s="23"/>
      <c r="I159" s="23"/>
      <c r="J159" s="23"/>
    </row>
    <row r="160" ht="15.75" customHeight="1">
      <c r="A160" s="23" t="s">
        <v>3461</v>
      </c>
      <c r="B160" s="23"/>
      <c r="C160" s="209" t="s">
        <v>3462</v>
      </c>
      <c r="D160" s="36" t="s">
        <v>5247</v>
      </c>
      <c r="H160" s="23"/>
      <c r="I160" s="23"/>
      <c r="J160" s="23"/>
    </row>
    <row r="161" ht="15.75" customHeight="1">
      <c r="A161" s="207" t="s">
        <v>3463</v>
      </c>
      <c r="B161" s="207" t="s">
        <v>198</v>
      </c>
      <c r="C161" s="208" t="s">
        <v>1884</v>
      </c>
      <c r="D161" s="31"/>
      <c r="H161" s="23"/>
      <c r="I161" s="23"/>
      <c r="J161" s="23"/>
    </row>
    <row r="162" ht="15.75" customHeight="1">
      <c r="A162" s="210" t="s">
        <v>3464</v>
      </c>
      <c r="B162" s="210" t="s">
        <v>3465</v>
      </c>
      <c r="C162" s="211" t="s">
        <v>3466</v>
      </c>
      <c r="D162" s="36" t="s">
        <v>5242</v>
      </c>
      <c r="H162" s="23"/>
      <c r="I162" s="23"/>
      <c r="J162" s="23"/>
    </row>
    <row r="163" ht="15.75" customHeight="1">
      <c r="A163" s="210" t="s">
        <v>3467</v>
      </c>
      <c r="B163" s="210" t="s">
        <v>198</v>
      </c>
      <c r="C163" s="211" t="s">
        <v>3468</v>
      </c>
      <c r="D163" s="36" t="s">
        <v>5242</v>
      </c>
      <c r="H163" s="23"/>
      <c r="I163" s="23"/>
      <c r="J163" s="23"/>
    </row>
    <row r="164" ht="15.75" customHeight="1">
      <c r="A164" s="210" t="s">
        <v>3469</v>
      </c>
      <c r="B164" s="210" t="s">
        <v>198</v>
      </c>
      <c r="C164" s="211" t="s">
        <v>3470</v>
      </c>
      <c r="D164" s="36" t="s">
        <v>5242</v>
      </c>
      <c r="H164" s="23"/>
      <c r="I164" s="23"/>
      <c r="J164" s="23"/>
    </row>
    <row r="165" ht="15.75" customHeight="1">
      <c r="A165" s="210" t="s">
        <v>3471</v>
      </c>
      <c r="B165" s="210" t="s">
        <v>3472</v>
      </c>
      <c r="C165" s="211" t="s">
        <v>3473</v>
      </c>
      <c r="D165" s="36" t="s">
        <v>5242</v>
      </c>
      <c r="H165" s="30"/>
      <c r="I165" s="30"/>
      <c r="J165" s="30"/>
    </row>
    <row r="166" ht="15.75" customHeight="1">
      <c r="A166" s="210" t="s">
        <v>3474</v>
      </c>
      <c r="B166" s="210" t="s">
        <v>3472</v>
      </c>
      <c r="C166" s="211" t="s">
        <v>3475</v>
      </c>
      <c r="D166" s="36" t="s">
        <v>5242</v>
      </c>
      <c r="H166" s="30"/>
      <c r="I166" s="30"/>
      <c r="J166" s="30"/>
    </row>
    <row r="167" ht="15.75" customHeight="1">
      <c r="A167" s="23" t="s">
        <v>3476</v>
      </c>
      <c r="B167" s="23" t="s">
        <v>198</v>
      </c>
      <c r="C167" s="209" t="s">
        <v>3477</v>
      </c>
      <c r="G167" s="23"/>
      <c r="H167" s="23"/>
      <c r="I167" s="23"/>
      <c r="J167" s="30"/>
    </row>
    <row r="168" ht="15.75" customHeight="1">
      <c r="A168" s="207" t="s">
        <v>3478</v>
      </c>
      <c r="B168" s="207" t="s">
        <v>3479</v>
      </c>
      <c r="C168" s="208" t="s">
        <v>3480</v>
      </c>
      <c r="D168" s="31" t="s">
        <v>535</v>
      </c>
      <c r="G168" s="23"/>
      <c r="H168" s="23"/>
      <c r="I168" s="23"/>
      <c r="J168" s="23"/>
    </row>
    <row r="169" ht="15.75" customHeight="1">
      <c r="A169" s="23" t="s">
        <v>3481</v>
      </c>
      <c r="B169" s="23" t="s">
        <v>3482</v>
      </c>
      <c r="C169" s="23" t="s">
        <v>198</v>
      </c>
      <c r="D169" s="36" t="s">
        <v>5248</v>
      </c>
      <c r="G169" s="23"/>
      <c r="H169" s="23"/>
      <c r="I169" s="23"/>
      <c r="J169" s="30"/>
    </row>
    <row r="170" ht="15.75" customHeight="1">
      <c r="A170" s="23" t="s">
        <v>2674</v>
      </c>
      <c r="B170" s="23" t="s">
        <v>3483</v>
      </c>
      <c r="C170" s="209" t="s">
        <v>3484</v>
      </c>
      <c r="D170" s="36" t="s">
        <v>5248</v>
      </c>
      <c r="G170" s="23"/>
      <c r="H170" s="23"/>
      <c r="I170" s="23"/>
      <c r="J170" s="23"/>
    </row>
    <row r="171" ht="15.75" customHeight="1">
      <c r="A171" s="207" t="s">
        <v>3485</v>
      </c>
      <c r="B171" s="207" t="s">
        <v>3486</v>
      </c>
      <c r="C171" s="208" t="s">
        <v>3487</v>
      </c>
      <c r="D171" s="31"/>
      <c r="G171" s="23"/>
      <c r="H171" s="23"/>
      <c r="I171" s="23"/>
      <c r="J171" s="23"/>
    </row>
    <row r="172" ht="15.75" customHeight="1">
      <c r="A172" s="23" t="s">
        <v>3488</v>
      </c>
      <c r="B172" s="23" t="s">
        <v>3489</v>
      </c>
      <c r="C172" s="209" t="s">
        <v>3490</v>
      </c>
      <c r="D172" s="36" t="s">
        <v>5248</v>
      </c>
      <c r="H172" s="30"/>
      <c r="I172" s="30"/>
      <c r="J172" s="30"/>
    </row>
    <row r="173" ht="15.75" customHeight="1">
      <c r="A173" s="23" t="s">
        <v>3491</v>
      </c>
      <c r="B173" s="23" t="s">
        <v>198</v>
      </c>
      <c r="C173" s="209" t="s">
        <v>3492</v>
      </c>
      <c r="D173" s="36" t="s">
        <v>5249</v>
      </c>
      <c r="H173" s="30"/>
      <c r="I173" s="30"/>
      <c r="J173" s="30"/>
    </row>
    <row r="174" ht="15.75" customHeight="1">
      <c r="A174" s="23" t="s">
        <v>3493</v>
      </c>
      <c r="B174" s="23" t="s">
        <v>198</v>
      </c>
      <c r="C174" s="209" t="s">
        <v>3494</v>
      </c>
      <c r="D174" s="36" t="s">
        <v>5250</v>
      </c>
      <c r="G174" s="23"/>
      <c r="H174" s="23"/>
      <c r="I174" s="23"/>
      <c r="J174" s="23"/>
    </row>
    <row r="175" ht="15.75" customHeight="1">
      <c r="A175" s="207" t="s">
        <v>3495</v>
      </c>
      <c r="B175" s="207" t="s">
        <v>3496</v>
      </c>
      <c r="C175" s="208" t="s">
        <v>3497</v>
      </c>
      <c r="D175" s="31"/>
      <c r="G175" s="23"/>
      <c r="H175" s="23"/>
      <c r="I175" s="23"/>
    </row>
    <row r="176" ht="15.75" customHeight="1">
      <c r="A176" s="23" t="s">
        <v>3498</v>
      </c>
      <c r="B176" s="23" t="s">
        <v>198</v>
      </c>
      <c r="C176" s="209" t="s">
        <v>3499</v>
      </c>
      <c r="D176" s="36" t="s">
        <v>5248</v>
      </c>
      <c r="G176" s="23"/>
      <c r="H176" s="23"/>
      <c r="I176" s="23"/>
    </row>
    <row r="177" ht="15.75" customHeight="1">
      <c r="A177" s="23" t="s">
        <v>3500</v>
      </c>
      <c r="B177" s="23" t="s">
        <v>3501</v>
      </c>
      <c r="C177" s="23" t="s">
        <v>198</v>
      </c>
      <c r="G177" s="23"/>
      <c r="H177" s="23"/>
      <c r="I177" s="23"/>
    </row>
    <row r="178" ht="15.75" customHeight="1">
      <c r="A178" s="23" t="s">
        <v>2970</v>
      </c>
      <c r="B178" s="23" t="s">
        <v>3502</v>
      </c>
      <c r="C178" s="23" t="s">
        <v>198</v>
      </c>
      <c r="G178" s="23"/>
      <c r="H178" s="23"/>
      <c r="I178" s="23"/>
    </row>
    <row r="179" ht="15.75" customHeight="1">
      <c r="A179" s="207" t="s">
        <v>3503</v>
      </c>
      <c r="B179" s="207" t="s">
        <v>198</v>
      </c>
      <c r="C179" s="208" t="s">
        <v>3504</v>
      </c>
      <c r="D179" s="31"/>
    </row>
    <row r="180" ht="15.75" customHeight="1">
      <c r="A180" s="207" t="s">
        <v>2332</v>
      </c>
      <c r="B180" s="207" t="s">
        <v>3505</v>
      </c>
      <c r="C180" s="208" t="s">
        <v>3506</v>
      </c>
      <c r="D180" s="31"/>
    </row>
    <row r="181" ht="15.75" customHeight="1">
      <c r="A181" s="207" t="s">
        <v>3507</v>
      </c>
      <c r="B181" s="207" t="s">
        <v>3508</v>
      </c>
      <c r="C181" s="208" t="s">
        <v>3509</v>
      </c>
      <c r="D181" s="31"/>
    </row>
    <row r="182" ht="15.75" customHeight="1">
      <c r="A182" s="23" t="s">
        <v>3510</v>
      </c>
      <c r="B182" s="23" t="s">
        <v>3511</v>
      </c>
      <c r="C182" s="23" t="s">
        <v>198</v>
      </c>
    </row>
    <row r="183" ht="15.75" customHeight="1">
      <c r="A183" s="23" t="s">
        <v>3512</v>
      </c>
      <c r="B183" s="23" t="s">
        <v>3513</v>
      </c>
      <c r="C183" s="209" t="s">
        <v>3514</v>
      </c>
      <c r="D183" s="36" t="s">
        <v>5251</v>
      </c>
    </row>
    <row r="184" ht="15.75" customHeight="1">
      <c r="A184" s="207" t="s">
        <v>3515</v>
      </c>
      <c r="B184" s="207" t="s">
        <v>3516</v>
      </c>
      <c r="C184" s="208" t="s">
        <v>3517</v>
      </c>
      <c r="D184" s="31"/>
    </row>
    <row r="185" ht="15.75" customHeight="1">
      <c r="A185" s="23" t="s">
        <v>3518</v>
      </c>
      <c r="B185" s="23" t="s">
        <v>3519</v>
      </c>
      <c r="C185" s="209" t="s">
        <v>3520</v>
      </c>
      <c r="D185" s="36" t="s">
        <v>5251</v>
      </c>
    </row>
    <row r="186" ht="15.75" customHeight="1">
      <c r="A186" s="23" t="s">
        <v>3521</v>
      </c>
      <c r="B186" s="23" t="s">
        <v>3522</v>
      </c>
      <c r="C186" s="23" t="s">
        <v>198</v>
      </c>
      <c r="D186" s="36" t="s">
        <v>5251</v>
      </c>
    </row>
    <row r="187" ht="15.75" customHeight="1">
      <c r="A187" s="23" t="s">
        <v>25</v>
      </c>
      <c r="B187" s="23" t="s">
        <v>3523</v>
      </c>
      <c r="C187" s="209" t="s">
        <v>3524</v>
      </c>
      <c r="D187" s="36" t="s">
        <v>5251</v>
      </c>
    </row>
    <row r="188" ht="15.75" customHeight="1">
      <c r="A188" s="207" t="s">
        <v>3525</v>
      </c>
      <c r="B188" s="207" t="s">
        <v>3526</v>
      </c>
      <c r="C188" s="208" t="s">
        <v>3527</v>
      </c>
      <c r="D188" s="31"/>
    </row>
    <row r="189" ht="15.75" customHeight="1">
      <c r="A189" s="207" t="s">
        <v>3528</v>
      </c>
      <c r="B189" s="207" t="s">
        <v>3529</v>
      </c>
      <c r="C189" s="207" t="s">
        <v>3530</v>
      </c>
      <c r="D189" s="31"/>
    </row>
    <row r="190" ht="15.75" customHeight="1">
      <c r="A190" s="207" t="s">
        <v>3531</v>
      </c>
      <c r="B190" s="207" t="s">
        <v>3532</v>
      </c>
      <c r="C190" s="208" t="s">
        <v>3533</v>
      </c>
      <c r="D190" s="36" t="s">
        <v>191</v>
      </c>
    </row>
    <row r="191" ht="15.75" customHeight="1">
      <c r="A191" s="207" t="s">
        <v>3534</v>
      </c>
      <c r="B191" s="207" t="s">
        <v>3535</v>
      </c>
      <c r="C191" s="207" t="s">
        <v>198</v>
      </c>
      <c r="D191" s="36" t="s">
        <v>191</v>
      </c>
    </row>
    <row r="192" ht="15.75" customHeight="1">
      <c r="A192" s="207" t="s">
        <v>3536</v>
      </c>
      <c r="B192" s="207" t="s">
        <v>3537</v>
      </c>
      <c r="C192" s="208" t="s">
        <v>3538</v>
      </c>
      <c r="D192" s="36" t="s">
        <v>191</v>
      </c>
    </row>
    <row r="193" ht="15.75" customHeight="1">
      <c r="A193" s="207" t="s">
        <v>3539</v>
      </c>
      <c r="B193" s="207" t="s">
        <v>3540</v>
      </c>
      <c r="C193" s="208" t="s">
        <v>3541</v>
      </c>
      <c r="D193" s="36" t="s">
        <v>191</v>
      </c>
    </row>
    <row r="194" ht="15.75" customHeight="1">
      <c r="A194" s="207" t="s">
        <v>3542</v>
      </c>
      <c r="B194" s="207" t="s">
        <v>3543</v>
      </c>
      <c r="C194" s="208" t="s">
        <v>3544</v>
      </c>
      <c r="D194" s="36" t="s">
        <v>191</v>
      </c>
    </row>
    <row r="195" ht="15.75" customHeight="1">
      <c r="A195" s="207" t="s">
        <v>3545</v>
      </c>
      <c r="B195" s="207" t="s">
        <v>198</v>
      </c>
      <c r="C195" s="208" t="s">
        <v>3546</v>
      </c>
      <c r="D195" s="31"/>
    </row>
    <row r="196" ht="15.75" customHeight="1">
      <c r="A196" s="23" t="s">
        <v>3547</v>
      </c>
      <c r="B196" s="23" t="s">
        <v>3548</v>
      </c>
      <c r="C196" s="23" t="s">
        <v>139</v>
      </c>
    </row>
    <row r="197" ht="15.75" customHeight="1">
      <c r="A197" s="23" t="s">
        <v>3549</v>
      </c>
      <c r="B197" s="23" t="s">
        <v>3550</v>
      </c>
      <c r="C197" s="23" t="s">
        <v>139</v>
      </c>
    </row>
    <row r="198" ht="15.75" customHeight="1">
      <c r="A198" s="23" t="s">
        <v>3551</v>
      </c>
      <c r="B198" s="23" t="s">
        <v>3552</v>
      </c>
      <c r="C198" s="23" t="s">
        <v>139</v>
      </c>
    </row>
    <row r="199" ht="15.75" customHeight="1">
      <c r="A199" s="23" t="s">
        <v>3553</v>
      </c>
      <c r="B199" s="23" t="s">
        <v>3554</v>
      </c>
      <c r="C199" s="23" t="s">
        <v>139</v>
      </c>
    </row>
    <row r="200" ht="15.75" customHeight="1">
      <c r="A200" s="207" t="s">
        <v>3555</v>
      </c>
      <c r="B200" s="207" t="s">
        <v>3556</v>
      </c>
      <c r="C200" s="208" t="s">
        <v>3557</v>
      </c>
    </row>
    <row r="201" ht="15.75" customHeight="1">
      <c r="A201" s="23" t="s">
        <v>3558</v>
      </c>
      <c r="B201" s="23" t="s">
        <v>3559</v>
      </c>
      <c r="C201" s="209" t="s">
        <v>3560</v>
      </c>
    </row>
    <row r="202" ht="15.75" customHeight="1">
      <c r="A202" s="207" t="s">
        <v>3331</v>
      </c>
      <c r="B202" s="207" t="s">
        <v>3561</v>
      </c>
      <c r="C202" s="208" t="s">
        <v>3562</v>
      </c>
    </row>
    <row r="203" ht="15.75" customHeight="1">
      <c r="A203" s="207" t="s">
        <v>3563</v>
      </c>
      <c r="B203" s="207" t="s">
        <v>198</v>
      </c>
      <c r="C203" s="208" t="s">
        <v>3564</v>
      </c>
    </row>
    <row r="204" ht="15.75" customHeight="1">
      <c r="A204" s="23" t="s">
        <v>3565</v>
      </c>
      <c r="B204" s="23" t="s">
        <v>3566</v>
      </c>
      <c r="C204" s="209" t="s">
        <v>3567</v>
      </c>
    </row>
    <row r="205" ht="15.75" customHeight="1">
      <c r="A205" s="207" t="s">
        <v>3568</v>
      </c>
      <c r="B205" s="207" t="s">
        <v>3569</v>
      </c>
      <c r="C205" s="208" t="s">
        <v>3570</v>
      </c>
    </row>
    <row r="206" ht="15.75" customHeight="1">
      <c r="A206" s="23" t="s">
        <v>3571</v>
      </c>
      <c r="B206" s="23" t="s">
        <v>3572</v>
      </c>
      <c r="C206" s="23" t="s">
        <v>198</v>
      </c>
    </row>
    <row r="207" ht="15.75" customHeight="1">
      <c r="A207" s="23" t="s">
        <v>3573</v>
      </c>
      <c r="B207" s="23" t="s">
        <v>198</v>
      </c>
      <c r="C207" s="209" t="s">
        <v>3574</v>
      </c>
      <c r="D207" s="36" t="s">
        <v>5251</v>
      </c>
      <c r="E207" s="23"/>
      <c r="F207" s="23"/>
      <c r="G207" s="23"/>
    </row>
    <row r="208" ht="15.75" customHeight="1">
      <c r="A208" s="23" t="s">
        <v>3575</v>
      </c>
      <c r="B208" s="23" t="s">
        <v>3576</v>
      </c>
      <c r="C208" s="209" t="s">
        <v>3577</v>
      </c>
      <c r="D208" s="36" t="s">
        <v>5252</v>
      </c>
      <c r="E208" s="23"/>
      <c r="F208" s="23"/>
      <c r="G208" s="23"/>
    </row>
    <row r="209" ht="15.75" customHeight="1">
      <c r="A209" s="207" t="s">
        <v>3578</v>
      </c>
      <c r="B209" s="207" t="s">
        <v>3579</v>
      </c>
      <c r="C209" s="208" t="s">
        <v>3580</v>
      </c>
      <c r="E209" s="23"/>
      <c r="F209" s="23"/>
      <c r="G209" s="23"/>
    </row>
    <row r="210" ht="15.75" customHeight="1">
      <c r="A210" s="23" t="s">
        <v>3581</v>
      </c>
      <c r="B210" s="23" t="s">
        <v>3582</v>
      </c>
      <c r="C210" s="23" t="s">
        <v>139</v>
      </c>
      <c r="D210" s="36" t="s">
        <v>5252</v>
      </c>
      <c r="E210" s="23"/>
      <c r="F210" s="23"/>
      <c r="G210" s="23"/>
    </row>
    <row r="211" ht="15.75" customHeight="1">
      <c r="A211" s="23" t="s">
        <v>3583</v>
      </c>
      <c r="B211" s="23" t="s">
        <v>3584</v>
      </c>
      <c r="C211" s="23" t="s">
        <v>139</v>
      </c>
      <c r="D211" s="36" t="s">
        <v>5253</v>
      </c>
      <c r="E211" s="23"/>
      <c r="F211" s="23"/>
      <c r="G211" s="23"/>
    </row>
    <row r="212" ht="15.75" customHeight="1">
      <c r="A212" s="23" t="s">
        <v>3585</v>
      </c>
      <c r="B212" s="23" t="s">
        <v>3586</v>
      </c>
      <c r="C212" s="209" t="s">
        <v>3587</v>
      </c>
      <c r="D212" s="36" t="s">
        <v>5252</v>
      </c>
    </row>
    <row r="213" ht="15.75" customHeight="1">
      <c r="A213" s="207" t="s">
        <v>3588</v>
      </c>
      <c r="B213" s="207" t="s">
        <v>3589</v>
      </c>
      <c r="C213" s="208" t="s">
        <v>3590</v>
      </c>
    </row>
    <row r="214" ht="15.75" customHeight="1">
      <c r="A214" s="23" t="s">
        <v>3591</v>
      </c>
      <c r="B214" s="23" t="s">
        <v>3592</v>
      </c>
      <c r="C214" s="23" t="s">
        <v>198</v>
      </c>
      <c r="D214" s="36" t="s">
        <v>5252</v>
      </c>
    </row>
    <row r="215" ht="15.75" customHeight="1">
      <c r="A215" s="207" t="s">
        <v>3593</v>
      </c>
      <c r="B215" s="207" t="s">
        <v>3594</v>
      </c>
      <c r="C215" s="208" t="s">
        <v>3595</v>
      </c>
    </row>
    <row r="216" ht="15.75" customHeight="1">
      <c r="A216" s="23" t="s">
        <v>3596</v>
      </c>
      <c r="B216" s="23" t="s">
        <v>3597</v>
      </c>
      <c r="C216" s="209" t="s">
        <v>3598</v>
      </c>
      <c r="D216" s="36" t="s">
        <v>5252</v>
      </c>
    </row>
    <row r="217" ht="15.75" customHeight="1">
      <c r="A217" s="23" t="s">
        <v>3599</v>
      </c>
      <c r="B217" s="23" t="s">
        <v>3600</v>
      </c>
      <c r="C217" s="209" t="s">
        <v>3601</v>
      </c>
      <c r="D217" s="36" t="s">
        <v>864</v>
      </c>
    </row>
    <row r="218" ht="15.75" customHeight="1">
      <c r="A218" s="23" t="s">
        <v>3602</v>
      </c>
      <c r="B218" s="23" t="s">
        <v>3603</v>
      </c>
      <c r="C218" s="23" t="s">
        <v>198</v>
      </c>
      <c r="D218" s="36" t="s">
        <v>864</v>
      </c>
    </row>
    <row r="219" ht="15.75" customHeight="1">
      <c r="A219" s="23" t="s">
        <v>3604</v>
      </c>
      <c r="B219" s="23" t="s">
        <v>3605</v>
      </c>
      <c r="C219" s="209" t="s">
        <v>3606</v>
      </c>
      <c r="D219" s="36" t="s">
        <v>864</v>
      </c>
    </row>
    <row r="220" ht="15.75" customHeight="1">
      <c r="A220" s="23" t="s">
        <v>3607</v>
      </c>
      <c r="B220" s="23" t="s">
        <v>3608</v>
      </c>
      <c r="C220" s="23" t="s">
        <v>198</v>
      </c>
      <c r="D220" s="36" t="s">
        <v>864</v>
      </c>
    </row>
    <row r="221" ht="15.75" customHeight="1">
      <c r="A221" s="23" t="s">
        <v>3609</v>
      </c>
      <c r="B221" s="23" t="s">
        <v>3610</v>
      </c>
      <c r="C221" s="209" t="s">
        <v>3611</v>
      </c>
      <c r="D221" s="36" t="s">
        <v>864</v>
      </c>
    </row>
    <row r="222" ht="15.75" customHeight="1">
      <c r="A222" s="207" t="s">
        <v>3612</v>
      </c>
      <c r="B222" s="207" t="s">
        <v>3613</v>
      </c>
      <c r="C222" s="208" t="s">
        <v>3614</v>
      </c>
    </row>
    <row r="223" ht="15.75" customHeight="1">
      <c r="A223" s="207" t="s">
        <v>3615</v>
      </c>
      <c r="B223" s="207" t="s">
        <v>198</v>
      </c>
      <c r="C223" s="208" t="s">
        <v>3616</v>
      </c>
    </row>
    <row r="224" ht="15.75" customHeight="1">
      <c r="A224" s="210" t="s">
        <v>3617</v>
      </c>
      <c r="B224" s="210" t="s">
        <v>3618</v>
      </c>
      <c r="C224" s="210" t="s">
        <v>198</v>
      </c>
      <c r="D224" s="36" t="s">
        <v>367</v>
      </c>
    </row>
    <row r="225" ht="15.75" customHeight="1">
      <c r="A225" s="210" t="s">
        <v>1719</v>
      </c>
      <c r="B225" s="210" t="s">
        <v>198</v>
      </c>
      <c r="C225" s="211" t="s">
        <v>3619</v>
      </c>
      <c r="D225" s="36" t="s">
        <v>367</v>
      </c>
    </row>
    <row r="226" ht="15.75" customHeight="1">
      <c r="A226" s="210" t="s">
        <v>3620</v>
      </c>
      <c r="B226" s="210" t="s">
        <v>198</v>
      </c>
      <c r="C226" s="211" t="s">
        <v>3621</v>
      </c>
      <c r="D226" s="36" t="s">
        <v>367</v>
      </c>
    </row>
    <row r="227" ht="15.75" customHeight="1">
      <c r="A227" s="210" t="s">
        <v>3622</v>
      </c>
      <c r="B227" s="210" t="s">
        <v>198</v>
      </c>
      <c r="C227" s="211" t="s">
        <v>3623</v>
      </c>
      <c r="D227" s="36" t="s">
        <v>367</v>
      </c>
    </row>
    <row r="228" ht="15.75" customHeight="1">
      <c r="A228" s="210" t="s">
        <v>3624</v>
      </c>
      <c r="B228" s="210" t="s">
        <v>3625</v>
      </c>
      <c r="C228" s="211" t="s">
        <v>3626</v>
      </c>
      <c r="D228" s="36" t="s">
        <v>367</v>
      </c>
    </row>
    <row r="229" ht="15.75" customHeight="1">
      <c r="A229" s="23" t="s">
        <v>3627</v>
      </c>
      <c r="B229" s="23" t="s">
        <v>198</v>
      </c>
      <c r="C229" s="209" t="s">
        <v>3628</v>
      </c>
    </row>
    <row r="230" ht="15.75" customHeight="1">
      <c r="A230" s="210" t="s">
        <v>3629</v>
      </c>
      <c r="B230" s="210" t="s">
        <v>198</v>
      </c>
      <c r="C230" s="211" t="s">
        <v>3630</v>
      </c>
      <c r="D230" s="36" t="s">
        <v>5254</v>
      </c>
      <c r="F230" s="23" t="s">
        <v>3646</v>
      </c>
      <c r="G230" s="23" t="s">
        <v>3647</v>
      </c>
      <c r="H230" s="209" t="s">
        <v>3648</v>
      </c>
    </row>
    <row r="231" ht="15.75" customHeight="1">
      <c r="A231" s="210" t="s">
        <v>3631</v>
      </c>
      <c r="B231" s="210" t="s">
        <v>3632</v>
      </c>
      <c r="C231" s="211" t="s">
        <v>3633</v>
      </c>
      <c r="D231" s="36" t="s">
        <v>5254</v>
      </c>
      <c r="F231" s="23" t="s">
        <v>3649</v>
      </c>
      <c r="G231" s="23" t="s">
        <v>3650</v>
      </c>
      <c r="H231" s="209" t="s">
        <v>3651</v>
      </c>
    </row>
    <row r="232" ht="15.75" customHeight="1">
      <c r="A232" s="210" t="s">
        <v>3634</v>
      </c>
      <c r="B232" s="210" t="s">
        <v>3635</v>
      </c>
      <c r="C232" s="211" t="s">
        <v>3636</v>
      </c>
      <c r="D232" s="36" t="s">
        <v>5254</v>
      </c>
      <c r="F232" s="23" t="s">
        <v>3655</v>
      </c>
      <c r="G232" s="23" t="s">
        <v>3656</v>
      </c>
      <c r="H232" s="209" t="s">
        <v>3657</v>
      </c>
    </row>
    <row r="233" ht="15.75" customHeight="1">
      <c r="A233" s="207" t="s">
        <v>3637</v>
      </c>
      <c r="B233" s="207" t="s">
        <v>3638</v>
      </c>
      <c r="C233" s="208" t="s">
        <v>3639</v>
      </c>
      <c r="F233" s="36" t="s">
        <v>1657</v>
      </c>
      <c r="G233" s="36" t="s">
        <v>1658</v>
      </c>
      <c r="H233" s="39" t="s">
        <v>4254</v>
      </c>
    </row>
    <row r="234" ht="15.75" customHeight="1">
      <c r="A234" s="23" t="s">
        <v>3640</v>
      </c>
      <c r="B234" s="23" t="s">
        <v>3641</v>
      </c>
      <c r="C234" s="209" t="s">
        <v>3642</v>
      </c>
      <c r="D234" s="36" t="s">
        <v>5255</v>
      </c>
      <c r="F234" s="23" t="s">
        <v>3627</v>
      </c>
      <c r="G234" s="23" t="s">
        <v>198</v>
      </c>
      <c r="H234" s="209" t="s">
        <v>3628</v>
      </c>
    </row>
    <row r="235" ht="15.75" customHeight="1">
      <c r="A235" s="23" t="s">
        <v>3643</v>
      </c>
      <c r="B235" s="23" t="s">
        <v>3644</v>
      </c>
      <c r="C235" s="209" t="s">
        <v>3645</v>
      </c>
      <c r="D235" s="36" t="s">
        <v>5255</v>
      </c>
    </row>
    <row r="236" ht="15.75" customHeight="1">
      <c r="A236" s="23" t="s">
        <v>3646</v>
      </c>
      <c r="B236" s="23" t="s">
        <v>3647</v>
      </c>
      <c r="C236" s="209" t="s">
        <v>3648</v>
      </c>
      <c r="D236" s="36" t="s">
        <v>719</v>
      </c>
    </row>
    <row r="237" ht="15.75" customHeight="1">
      <c r="A237" s="23" t="s">
        <v>3649</v>
      </c>
      <c r="B237" s="23" t="s">
        <v>3650</v>
      </c>
      <c r="C237" s="209" t="s">
        <v>3651</v>
      </c>
      <c r="D237" s="36" t="s">
        <v>719</v>
      </c>
    </row>
    <row r="238" ht="15.75" customHeight="1">
      <c r="A238" s="207" t="s">
        <v>3652</v>
      </c>
      <c r="B238" s="207" t="s">
        <v>3653</v>
      </c>
      <c r="C238" s="208" t="s">
        <v>3654</v>
      </c>
      <c r="D238" s="36" t="s">
        <v>719</v>
      </c>
    </row>
    <row r="239" ht="15.75" customHeight="1">
      <c r="A239" s="23" t="s">
        <v>3655</v>
      </c>
      <c r="B239" s="23" t="s">
        <v>3656</v>
      </c>
      <c r="C239" s="209" t="s">
        <v>3657</v>
      </c>
      <c r="D239" s="36" t="s">
        <v>719</v>
      </c>
    </row>
    <row r="240" ht="15.75" customHeight="1">
      <c r="A240" s="36" t="s">
        <v>1657</v>
      </c>
      <c r="B240" s="36" t="s">
        <v>1658</v>
      </c>
      <c r="C240" s="39" t="s">
        <v>4254</v>
      </c>
      <c r="D240" s="36" t="s">
        <v>719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12"/>
      <c r="B1" s="213"/>
      <c r="C1" s="213"/>
      <c r="D1" s="213"/>
      <c r="E1" s="212"/>
    </row>
    <row r="2" ht="15.75" customHeight="1">
      <c r="A2" s="213" t="s">
        <v>5256</v>
      </c>
      <c r="B2" s="214" t="s">
        <v>5257</v>
      </c>
      <c r="C2" s="213" t="s">
        <v>5258</v>
      </c>
      <c r="D2" s="213" t="s">
        <v>5259</v>
      </c>
      <c r="E2" s="213" t="s">
        <v>5260</v>
      </c>
    </row>
    <row r="3" ht="15.75" customHeight="1">
      <c r="A3" s="213" t="s">
        <v>5261</v>
      </c>
      <c r="B3" s="214" t="s">
        <v>5262</v>
      </c>
      <c r="C3" s="213" t="s">
        <v>5263</v>
      </c>
      <c r="D3" s="213" t="s">
        <v>667</v>
      </c>
      <c r="E3" s="213" t="s">
        <v>5264</v>
      </c>
    </row>
    <row r="4" ht="15.75" customHeight="1">
      <c r="A4" s="213" t="s">
        <v>3528</v>
      </c>
      <c r="B4" s="214" t="s">
        <v>5265</v>
      </c>
      <c r="C4" s="213" t="s">
        <v>5266</v>
      </c>
      <c r="D4" s="213" t="s">
        <v>5044</v>
      </c>
      <c r="E4" s="213" t="s">
        <v>5267</v>
      </c>
    </row>
    <row r="5" ht="15.75" customHeight="1">
      <c r="A5" s="213" t="s">
        <v>5268</v>
      </c>
      <c r="B5" s="214" t="s">
        <v>5269</v>
      </c>
      <c r="C5" s="213" t="s">
        <v>5270</v>
      </c>
      <c r="D5" s="213" t="s">
        <v>5246</v>
      </c>
      <c r="E5" s="213" t="s">
        <v>5271</v>
      </c>
    </row>
    <row r="6" ht="15.75" customHeight="1">
      <c r="A6" s="213" t="s">
        <v>5272</v>
      </c>
      <c r="B6" s="214" t="s">
        <v>5273</v>
      </c>
      <c r="C6" s="213" t="s">
        <v>5274</v>
      </c>
      <c r="D6" s="213" t="s">
        <v>5229</v>
      </c>
      <c r="E6" s="213" t="s">
        <v>5275</v>
      </c>
    </row>
    <row r="7" ht="15.75" customHeight="1">
      <c r="A7" s="213" t="s">
        <v>5276</v>
      </c>
      <c r="B7" s="214" t="s">
        <v>5277</v>
      </c>
      <c r="C7" s="213" t="s">
        <v>5278</v>
      </c>
      <c r="D7" s="213" t="s">
        <v>367</v>
      </c>
      <c r="E7" s="213" t="s">
        <v>5279</v>
      </c>
    </row>
    <row r="8" ht="15.75" customHeight="1">
      <c r="A8" s="213" t="s">
        <v>5280</v>
      </c>
      <c r="B8" s="214" t="s">
        <v>5281</v>
      </c>
      <c r="C8" s="213" t="s">
        <v>5282</v>
      </c>
      <c r="D8" s="213" t="s">
        <v>5125</v>
      </c>
      <c r="E8" s="213" t="s">
        <v>5283</v>
      </c>
    </row>
    <row r="9" ht="15.75" customHeight="1">
      <c r="A9" s="213" t="s">
        <v>5284</v>
      </c>
      <c r="B9" s="214" t="s">
        <v>5285</v>
      </c>
      <c r="C9" s="213" t="s">
        <v>5286</v>
      </c>
      <c r="D9" s="213" t="s">
        <v>326</v>
      </c>
      <c r="E9" s="213" t="s">
        <v>5275</v>
      </c>
    </row>
    <row r="10" ht="15.75" customHeight="1">
      <c r="A10" s="213" t="s">
        <v>5287</v>
      </c>
      <c r="B10" s="214" t="s">
        <v>5288</v>
      </c>
      <c r="C10" s="213" t="s">
        <v>5289</v>
      </c>
      <c r="D10" s="213" t="s">
        <v>5290</v>
      </c>
      <c r="E10" s="213" t="s">
        <v>5291</v>
      </c>
    </row>
    <row r="11" ht="15.75" customHeight="1">
      <c r="A11" s="213" t="s">
        <v>5292</v>
      </c>
      <c r="B11" s="214" t="s">
        <v>5293</v>
      </c>
      <c r="C11" s="213" t="s">
        <v>5294</v>
      </c>
      <c r="D11" s="213" t="s">
        <v>5229</v>
      </c>
      <c r="E11" s="213" t="s">
        <v>5295</v>
      </c>
    </row>
    <row r="12" ht="15.75" customHeight="1">
      <c r="A12" s="213" t="s">
        <v>5296</v>
      </c>
      <c r="B12" s="214" t="s">
        <v>5297</v>
      </c>
      <c r="C12" s="213" t="s">
        <v>5298</v>
      </c>
      <c r="D12" s="213" t="s">
        <v>4977</v>
      </c>
      <c r="E12" s="213" t="s">
        <v>5299</v>
      </c>
    </row>
    <row r="13" ht="15.75" customHeight="1">
      <c r="A13" s="213" t="s">
        <v>5300</v>
      </c>
      <c r="B13" s="214" t="s">
        <v>5301</v>
      </c>
      <c r="C13" s="213" t="s">
        <v>5302</v>
      </c>
      <c r="D13" s="213" t="s">
        <v>367</v>
      </c>
      <c r="E13" s="213" t="s">
        <v>5303</v>
      </c>
    </row>
    <row r="14" ht="15.75" customHeight="1">
      <c r="A14" s="213" t="s">
        <v>5304</v>
      </c>
      <c r="B14" s="214" t="s">
        <v>5305</v>
      </c>
      <c r="C14" s="213" t="s">
        <v>5306</v>
      </c>
      <c r="D14" s="213" t="s">
        <v>367</v>
      </c>
      <c r="E14" s="213" t="s">
        <v>5307</v>
      </c>
    </row>
    <row r="15" ht="15.75" customHeight="1">
      <c r="A15" s="213" t="s">
        <v>5308</v>
      </c>
      <c r="B15" s="214" t="s">
        <v>5309</v>
      </c>
      <c r="C15" s="213" t="s">
        <v>5310</v>
      </c>
      <c r="D15" s="213" t="s">
        <v>4977</v>
      </c>
      <c r="E15" s="213" t="s">
        <v>5311</v>
      </c>
    </row>
    <row r="16" ht="15.75" customHeight="1">
      <c r="A16" s="213" t="s">
        <v>5312</v>
      </c>
      <c r="B16" s="214" t="s">
        <v>5313</v>
      </c>
      <c r="C16" s="213" t="s">
        <v>5314</v>
      </c>
      <c r="D16" s="213" t="s">
        <v>261</v>
      </c>
      <c r="E16" s="213" t="s">
        <v>5315</v>
      </c>
    </row>
    <row r="17" ht="15.75" customHeight="1">
      <c r="A17" s="213" t="s">
        <v>5308</v>
      </c>
      <c r="B17" s="214" t="s">
        <v>5309</v>
      </c>
      <c r="C17" s="213" t="s">
        <v>5310</v>
      </c>
      <c r="D17" s="213" t="s">
        <v>4977</v>
      </c>
      <c r="E17" s="213" t="s">
        <v>5311</v>
      </c>
    </row>
    <row r="18" ht="15.75" customHeight="1">
      <c r="A18" s="213" t="s">
        <v>5316</v>
      </c>
      <c r="B18" s="214" t="s">
        <v>5317</v>
      </c>
      <c r="C18" s="213" t="s">
        <v>5318</v>
      </c>
      <c r="D18" s="213" t="s">
        <v>367</v>
      </c>
      <c r="E18" s="213" t="s">
        <v>5307</v>
      </c>
    </row>
    <row r="19" ht="15.75" customHeight="1">
      <c r="A19" s="213" t="s">
        <v>5319</v>
      </c>
      <c r="B19" s="214" t="s">
        <v>5320</v>
      </c>
      <c r="C19" s="213" t="s">
        <v>5321</v>
      </c>
      <c r="D19" s="213" t="s">
        <v>5229</v>
      </c>
      <c r="E19" s="213" t="s">
        <v>5321</v>
      </c>
    </row>
    <row r="20" ht="15.75" customHeight="1">
      <c r="A20" s="213" t="s">
        <v>5322</v>
      </c>
      <c r="B20" s="214" t="s">
        <v>5323</v>
      </c>
      <c r="C20" s="213" t="s">
        <v>5324</v>
      </c>
      <c r="D20" s="213" t="s">
        <v>5325</v>
      </c>
      <c r="E20" s="213" t="s">
        <v>5326</v>
      </c>
    </row>
    <row r="21" ht="15.75" customHeight="1">
      <c r="A21" s="213" t="s">
        <v>5327</v>
      </c>
      <c r="B21" s="214" t="s">
        <v>5328</v>
      </c>
      <c r="C21" s="213" t="s">
        <v>5329</v>
      </c>
      <c r="D21" s="213" t="s">
        <v>5044</v>
      </c>
      <c r="E21" s="213" t="s">
        <v>5330</v>
      </c>
    </row>
    <row r="22" ht="15.75" customHeight="1">
      <c r="A22" s="213" t="s">
        <v>5331</v>
      </c>
      <c r="B22" s="214" t="s">
        <v>5332</v>
      </c>
      <c r="C22" s="213" t="s">
        <v>5333</v>
      </c>
      <c r="D22" s="213" t="s">
        <v>367</v>
      </c>
      <c r="E22" s="213" t="s">
        <v>5334</v>
      </c>
    </row>
    <row r="23" ht="15.75" customHeight="1">
      <c r="A23" s="213" t="s">
        <v>5335</v>
      </c>
      <c r="B23" s="214" t="s">
        <v>5336</v>
      </c>
      <c r="C23" s="213" t="s">
        <v>5337</v>
      </c>
      <c r="D23" s="213" t="s">
        <v>367</v>
      </c>
      <c r="E23" s="213" t="s">
        <v>5338</v>
      </c>
    </row>
    <row r="24" ht="15.75" customHeight="1">
      <c r="A24" s="213" t="s">
        <v>5339</v>
      </c>
      <c r="B24" s="214" t="s">
        <v>5340</v>
      </c>
      <c r="C24" s="213" t="s">
        <v>5341</v>
      </c>
      <c r="D24" s="213" t="s">
        <v>5325</v>
      </c>
      <c r="E24" s="213" t="s">
        <v>5342</v>
      </c>
    </row>
    <row r="25" ht="15.75" customHeight="1">
      <c r="A25" s="213" t="s">
        <v>5343</v>
      </c>
      <c r="B25" s="214" t="s">
        <v>5344</v>
      </c>
      <c r="C25" s="213" t="s">
        <v>5345</v>
      </c>
      <c r="D25" s="213" t="s">
        <v>5325</v>
      </c>
      <c r="E25" s="213" t="s">
        <v>5342</v>
      </c>
    </row>
    <row r="26" ht="15.75" customHeight="1">
      <c r="A26" s="213" t="s">
        <v>5346</v>
      </c>
      <c r="B26" s="214" t="s">
        <v>5347</v>
      </c>
      <c r="C26" s="213" t="s">
        <v>5348</v>
      </c>
      <c r="D26" s="213" t="s">
        <v>367</v>
      </c>
      <c r="E26" s="213" t="s">
        <v>5349</v>
      </c>
    </row>
    <row r="27" ht="15.75" customHeight="1">
      <c r="A27" s="213" t="s">
        <v>5350</v>
      </c>
      <c r="B27" s="214" t="s">
        <v>5351</v>
      </c>
      <c r="C27" s="213" t="s">
        <v>5352</v>
      </c>
      <c r="D27" s="213" t="s">
        <v>5353</v>
      </c>
      <c r="E27" s="213" t="s">
        <v>5354</v>
      </c>
    </row>
    <row r="28" ht="15.75" customHeight="1">
      <c r="A28" s="213" t="s">
        <v>5355</v>
      </c>
      <c r="B28" s="214" t="s">
        <v>5356</v>
      </c>
      <c r="C28" s="213" t="s">
        <v>5357</v>
      </c>
      <c r="D28" s="213" t="s">
        <v>5325</v>
      </c>
      <c r="E28" s="213" t="s">
        <v>5342</v>
      </c>
    </row>
    <row r="29" ht="15.75" customHeight="1">
      <c r="A29" s="213" t="s">
        <v>5358</v>
      </c>
      <c r="B29" s="214" t="s">
        <v>5359</v>
      </c>
      <c r="C29" s="213" t="s">
        <v>5360</v>
      </c>
      <c r="D29" s="213" t="s">
        <v>5361</v>
      </c>
      <c r="E29" s="213" t="s">
        <v>5362</v>
      </c>
    </row>
    <row r="30" ht="15.75" customHeight="1">
      <c r="A30" s="213" t="s">
        <v>5363</v>
      </c>
      <c r="B30" s="214" t="s">
        <v>5364</v>
      </c>
      <c r="C30" s="213" t="s">
        <v>5365</v>
      </c>
      <c r="D30" s="213" t="s">
        <v>5242</v>
      </c>
      <c r="E30" s="213" t="s">
        <v>5275</v>
      </c>
    </row>
    <row r="31" ht="15.75" customHeight="1">
      <c r="A31" s="213" t="s">
        <v>5366</v>
      </c>
      <c r="B31" s="214" t="s">
        <v>5367</v>
      </c>
      <c r="C31" s="213" t="s">
        <v>5368</v>
      </c>
      <c r="D31" s="213" t="s">
        <v>5229</v>
      </c>
      <c r="E31" s="213" t="s">
        <v>5369</v>
      </c>
    </row>
    <row r="32" ht="15.75" customHeight="1">
      <c r="A32" s="213" t="s">
        <v>5370</v>
      </c>
      <c r="B32" s="214" t="s">
        <v>5371</v>
      </c>
      <c r="C32" s="213" t="s">
        <v>5372</v>
      </c>
      <c r="D32" s="213" t="s">
        <v>5242</v>
      </c>
      <c r="E32" s="213" t="s">
        <v>5275</v>
      </c>
    </row>
    <row r="33" ht="15.75" customHeight="1">
      <c r="A33" s="213" t="s">
        <v>5373</v>
      </c>
      <c r="B33" s="214" t="s">
        <v>5374</v>
      </c>
      <c r="C33" s="213" t="s">
        <v>5375</v>
      </c>
      <c r="D33" s="213" t="s">
        <v>5325</v>
      </c>
      <c r="E33" s="213" t="s">
        <v>5342</v>
      </c>
    </row>
    <row r="34" ht="15.75" customHeight="1">
      <c r="A34" s="213" t="s">
        <v>5376</v>
      </c>
      <c r="B34" s="214" t="s">
        <v>5377</v>
      </c>
      <c r="C34" s="213" t="s">
        <v>5378</v>
      </c>
      <c r="D34" s="213" t="s">
        <v>116</v>
      </c>
      <c r="E34" s="213" t="s">
        <v>5379</v>
      </c>
    </row>
    <row r="35" ht="15.75" customHeight="1">
      <c r="A35" s="213" t="s">
        <v>5380</v>
      </c>
      <c r="B35" s="214" t="s">
        <v>5381</v>
      </c>
      <c r="C35" s="213" t="s">
        <v>5382</v>
      </c>
      <c r="D35" s="213" t="s">
        <v>367</v>
      </c>
      <c r="E35" s="213" t="s">
        <v>5349</v>
      </c>
    </row>
    <row r="36" ht="15.75" customHeight="1">
      <c r="A36" s="213" t="s">
        <v>5383</v>
      </c>
      <c r="B36" s="214" t="s">
        <v>5384</v>
      </c>
      <c r="C36" s="213" t="s">
        <v>5385</v>
      </c>
      <c r="D36" s="213" t="s">
        <v>5229</v>
      </c>
      <c r="E36" s="213" t="s">
        <v>5386</v>
      </c>
    </row>
    <row r="37" ht="15.75" customHeight="1">
      <c r="A37" s="213" t="s">
        <v>5387</v>
      </c>
      <c r="B37" s="214" t="s">
        <v>5388</v>
      </c>
      <c r="C37" s="213" t="s">
        <v>5389</v>
      </c>
      <c r="D37" s="213" t="s">
        <v>1541</v>
      </c>
      <c r="E37" s="213" t="s">
        <v>5390</v>
      </c>
    </row>
    <row r="38" ht="15.75" customHeight="1">
      <c r="A38" s="213" t="s">
        <v>5391</v>
      </c>
      <c r="B38" s="214" t="s">
        <v>5392</v>
      </c>
      <c r="C38" s="213" t="s">
        <v>5393</v>
      </c>
      <c r="D38" s="213" t="s">
        <v>261</v>
      </c>
      <c r="E38" s="213" t="s">
        <v>5394</v>
      </c>
    </row>
    <row r="39" ht="15.75" customHeight="1">
      <c r="A39" s="213" t="s">
        <v>5395</v>
      </c>
      <c r="B39" s="214" t="s">
        <v>5396</v>
      </c>
      <c r="C39" s="213" t="s">
        <v>5397</v>
      </c>
      <c r="D39" s="213" t="s">
        <v>5398</v>
      </c>
      <c r="E39" s="213" t="s">
        <v>5399</v>
      </c>
    </row>
    <row r="40" ht="15.75" customHeight="1">
      <c r="A40" s="213" t="s">
        <v>5400</v>
      </c>
      <c r="B40" s="214" t="s">
        <v>5401</v>
      </c>
      <c r="C40" s="213" t="s">
        <v>5402</v>
      </c>
      <c r="D40" s="213" t="s">
        <v>5398</v>
      </c>
      <c r="E40" s="213" t="s">
        <v>5403</v>
      </c>
    </row>
    <row r="41" ht="15.75" customHeight="1">
      <c r="A41" s="213" t="s">
        <v>5404</v>
      </c>
      <c r="B41" s="214" t="s">
        <v>5405</v>
      </c>
      <c r="C41" s="213" t="s">
        <v>5406</v>
      </c>
      <c r="D41" s="213" t="s">
        <v>3476</v>
      </c>
      <c r="E41" s="213" t="s">
        <v>5292</v>
      </c>
    </row>
    <row r="42" ht="15.75" customHeight="1">
      <c r="A42" s="213" t="s">
        <v>5407</v>
      </c>
      <c r="B42" s="214" t="s">
        <v>5408</v>
      </c>
      <c r="C42" s="213" t="s">
        <v>5409</v>
      </c>
      <c r="D42" s="213" t="s">
        <v>422</v>
      </c>
      <c r="E42" s="213" t="s">
        <v>5410</v>
      </c>
    </row>
    <row r="43" ht="15.75" customHeight="1">
      <c r="A43" s="213" t="s">
        <v>5411</v>
      </c>
      <c r="B43" s="214" t="s">
        <v>5412</v>
      </c>
      <c r="C43" s="213" t="s">
        <v>5413</v>
      </c>
      <c r="D43" s="213" t="s">
        <v>667</v>
      </c>
      <c r="E43" s="213" t="s">
        <v>5410</v>
      </c>
    </row>
    <row r="44" ht="15.75" customHeight="1">
      <c r="A44" s="213" t="s">
        <v>5391</v>
      </c>
      <c r="B44" s="214" t="s">
        <v>5392</v>
      </c>
      <c r="C44" s="213" t="s">
        <v>5393</v>
      </c>
      <c r="D44" s="213" t="s">
        <v>261</v>
      </c>
      <c r="E44" s="213" t="s">
        <v>5414</v>
      </c>
    </row>
    <row r="45" ht="15.75" customHeight="1">
      <c r="A45" s="213" t="s">
        <v>5415</v>
      </c>
      <c r="B45" s="214" t="s">
        <v>5416</v>
      </c>
      <c r="C45" s="213" t="s">
        <v>5417</v>
      </c>
      <c r="D45" s="213" t="s">
        <v>116</v>
      </c>
      <c r="E45" s="213" t="s">
        <v>5418</v>
      </c>
    </row>
    <row r="46" ht="15.75" customHeight="1">
      <c r="A46" s="213" t="s">
        <v>5419</v>
      </c>
      <c r="B46" s="214" t="s">
        <v>5420</v>
      </c>
      <c r="C46" s="213" t="s">
        <v>5421</v>
      </c>
      <c r="D46" s="213" t="s">
        <v>49</v>
      </c>
      <c r="E46" s="213" t="s">
        <v>5422</v>
      </c>
    </row>
    <row r="47" ht="15.75" customHeight="1">
      <c r="A47" s="213" t="s">
        <v>5423</v>
      </c>
      <c r="B47" s="214" t="s">
        <v>5424</v>
      </c>
      <c r="C47" s="213" t="s">
        <v>5425</v>
      </c>
      <c r="D47" s="213" t="s">
        <v>5353</v>
      </c>
      <c r="E47" s="213" t="s">
        <v>5426</v>
      </c>
    </row>
    <row r="48" ht="15.75" customHeight="1">
      <c r="A48" s="213" t="s">
        <v>5427</v>
      </c>
      <c r="B48" s="214" t="s">
        <v>5428</v>
      </c>
      <c r="C48" s="213" t="s">
        <v>5429</v>
      </c>
      <c r="D48" s="213" t="s">
        <v>5212</v>
      </c>
      <c r="E48" s="213" t="s">
        <v>5275</v>
      </c>
    </row>
    <row r="49" ht="15.75" customHeight="1">
      <c r="A49" s="213" t="s">
        <v>5256</v>
      </c>
      <c r="B49" s="214" t="s">
        <v>5257</v>
      </c>
      <c r="C49" s="213" t="s">
        <v>5258</v>
      </c>
      <c r="D49" s="213" t="s">
        <v>5049</v>
      </c>
      <c r="E49" s="213" t="s">
        <v>5430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15" t="s">
        <v>5431</v>
      </c>
      <c r="C1" s="215"/>
      <c r="D1" s="215"/>
      <c r="E1" s="215"/>
      <c r="F1" s="215"/>
      <c r="G1" s="215"/>
      <c r="H1" s="215"/>
    </row>
    <row r="2" ht="15.75" customHeight="1">
      <c r="A2" s="106"/>
      <c r="B2" s="216" t="s">
        <v>5432</v>
      </c>
      <c r="C2" s="217" t="s">
        <v>5433</v>
      </c>
      <c r="D2" s="217" t="s">
        <v>110</v>
      </c>
      <c r="E2" s="217" t="s">
        <v>4970</v>
      </c>
      <c r="F2" s="217" t="s">
        <v>5042</v>
      </c>
      <c r="G2" s="217" t="s">
        <v>321</v>
      </c>
      <c r="H2" s="217" t="s">
        <v>5434</v>
      </c>
    </row>
    <row r="3" ht="15.75" customHeight="1">
      <c r="A3" s="218">
        <v>1.0</v>
      </c>
      <c r="B3" s="219">
        <v>43556.0</v>
      </c>
      <c r="C3" s="220" t="s">
        <v>5435</v>
      </c>
      <c r="D3" s="106" t="s">
        <v>5436</v>
      </c>
      <c r="E3" s="218" t="s">
        <v>5437</v>
      </c>
      <c r="F3" s="220" t="s">
        <v>5438</v>
      </c>
      <c r="G3" s="106" t="s">
        <v>422</v>
      </c>
      <c r="H3" s="106" t="s">
        <v>5439</v>
      </c>
    </row>
    <row r="4" ht="15.75" customHeight="1">
      <c r="A4" s="218">
        <v>2.0</v>
      </c>
      <c r="B4" s="219">
        <v>43560.0</v>
      </c>
      <c r="C4" s="220" t="s">
        <v>5435</v>
      </c>
      <c r="D4" s="106" t="s">
        <v>5440</v>
      </c>
      <c r="E4" s="218" t="s">
        <v>5441</v>
      </c>
      <c r="F4" s="220" t="s">
        <v>5442</v>
      </c>
      <c r="G4" s="106" t="s">
        <v>349</v>
      </c>
      <c r="H4" s="106" t="s">
        <v>5439</v>
      </c>
    </row>
    <row r="5" ht="15.75" customHeight="1">
      <c r="A5" s="218">
        <v>3.0</v>
      </c>
      <c r="B5" s="219">
        <v>43570.0</v>
      </c>
      <c r="C5" s="220" t="s">
        <v>5435</v>
      </c>
      <c r="D5" s="106" t="s">
        <v>5443</v>
      </c>
      <c r="E5" s="218" t="s">
        <v>5444</v>
      </c>
      <c r="F5" s="220" t="s">
        <v>5445</v>
      </c>
      <c r="G5" s="106" t="s">
        <v>367</v>
      </c>
      <c r="H5" s="106" t="s">
        <v>5446</v>
      </c>
    </row>
    <row r="6" ht="15.75" customHeight="1">
      <c r="A6" s="218">
        <v>4.0</v>
      </c>
      <c r="B6" s="219">
        <v>43570.0</v>
      </c>
      <c r="C6" s="220" t="s">
        <v>5435</v>
      </c>
      <c r="D6" s="106" t="s">
        <v>5447</v>
      </c>
      <c r="E6" s="218" t="s">
        <v>5448</v>
      </c>
      <c r="F6" s="220" t="s">
        <v>5449</v>
      </c>
      <c r="G6" s="106" t="s">
        <v>116</v>
      </c>
      <c r="H6" s="106" t="s">
        <v>5450</v>
      </c>
    </row>
    <row r="7" ht="15.75" customHeight="1">
      <c r="A7" s="218">
        <v>5.0</v>
      </c>
      <c r="B7" s="219">
        <v>43570.0</v>
      </c>
      <c r="C7" s="220" t="s">
        <v>5435</v>
      </c>
      <c r="D7" s="106" t="s">
        <v>5451</v>
      </c>
      <c r="E7" s="218" t="s">
        <v>5452</v>
      </c>
      <c r="F7" s="220" t="s">
        <v>5453</v>
      </c>
      <c r="G7" s="106" t="s">
        <v>5454</v>
      </c>
      <c r="H7" s="106" t="s">
        <v>5439</v>
      </c>
    </row>
    <row r="8" ht="15.75" customHeight="1">
      <c r="A8" s="218">
        <v>6.0</v>
      </c>
      <c r="B8" s="219">
        <v>43571.0</v>
      </c>
      <c r="C8" s="220" t="s">
        <v>5435</v>
      </c>
      <c r="D8" s="106" t="s">
        <v>5455</v>
      </c>
      <c r="E8" s="218" t="s">
        <v>5456</v>
      </c>
      <c r="F8" s="220" t="s">
        <v>5457</v>
      </c>
      <c r="G8" s="106" t="s">
        <v>5044</v>
      </c>
      <c r="H8" s="106" t="s">
        <v>5458</v>
      </c>
    </row>
    <row r="9" ht="15.75" customHeight="1">
      <c r="A9" s="218">
        <v>7.0</v>
      </c>
      <c r="B9" s="219">
        <v>43572.0</v>
      </c>
      <c r="C9" s="220" t="s">
        <v>5435</v>
      </c>
      <c r="D9" s="106" t="s">
        <v>5459</v>
      </c>
      <c r="E9" s="218" t="s">
        <v>5460</v>
      </c>
      <c r="F9" s="220" t="s">
        <v>5461</v>
      </c>
      <c r="G9" s="106" t="s">
        <v>3476</v>
      </c>
      <c r="H9" s="106" t="s">
        <v>5462</v>
      </c>
    </row>
    <row r="10" ht="15.75" customHeight="1">
      <c r="A10" s="218">
        <v>8.0</v>
      </c>
      <c r="B10" s="219">
        <v>43574.0</v>
      </c>
      <c r="C10" s="220" t="s">
        <v>5435</v>
      </c>
      <c r="D10" s="106" t="s">
        <v>5463</v>
      </c>
      <c r="E10" s="218" t="s">
        <v>5464</v>
      </c>
      <c r="F10" s="220" t="s">
        <v>5465</v>
      </c>
      <c r="G10" s="106" t="s">
        <v>2749</v>
      </c>
      <c r="H10" s="220" t="s">
        <v>5466</v>
      </c>
    </row>
    <row r="11" ht="15.75" customHeight="1">
      <c r="A11" s="218">
        <v>9.0</v>
      </c>
      <c r="B11" s="219">
        <v>43574.0</v>
      </c>
      <c r="C11" s="220" t="s">
        <v>5435</v>
      </c>
      <c r="D11" s="106" t="s">
        <v>5467</v>
      </c>
      <c r="E11" s="218" t="s">
        <v>5468</v>
      </c>
      <c r="F11" s="220" t="s">
        <v>5469</v>
      </c>
      <c r="G11" s="106" t="s">
        <v>2749</v>
      </c>
      <c r="H11" s="220" t="s">
        <v>5466</v>
      </c>
    </row>
    <row r="12" ht="15.75" customHeight="1">
      <c r="A12" s="218">
        <v>10.0</v>
      </c>
      <c r="B12" s="219">
        <v>43575.0</v>
      </c>
      <c r="C12" s="220" t="s">
        <v>5435</v>
      </c>
      <c r="D12" s="106" t="s">
        <v>5470</v>
      </c>
      <c r="E12" s="218" t="s">
        <v>5471</v>
      </c>
      <c r="F12" s="220" t="s">
        <v>5472</v>
      </c>
      <c r="G12" s="106" t="s">
        <v>261</v>
      </c>
      <c r="H12" s="106" t="s">
        <v>5473</v>
      </c>
    </row>
    <row r="13" ht="15.75" customHeight="1">
      <c r="A13" s="218">
        <v>11.0</v>
      </c>
      <c r="B13" s="219">
        <v>43580.0</v>
      </c>
      <c r="C13" s="221" t="s">
        <v>5435</v>
      </c>
      <c r="D13" s="106" t="s">
        <v>5474</v>
      </c>
      <c r="E13" s="218" t="s">
        <v>5475</v>
      </c>
      <c r="F13" s="220" t="s">
        <v>5476</v>
      </c>
      <c r="G13" s="106" t="s">
        <v>5242</v>
      </c>
      <c r="H13" s="106" t="s">
        <v>5477</v>
      </c>
    </row>
    <row r="14" ht="15.75" customHeight="1">
      <c r="A14" s="218">
        <v>12.0</v>
      </c>
      <c r="B14" s="219">
        <v>43578.0</v>
      </c>
      <c r="C14" s="221" t="s">
        <v>5435</v>
      </c>
      <c r="D14" s="106" t="s">
        <v>5478</v>
      </c>
      <c r="E14" s="218" t="s">
        <v>5479</v>
      </c>
      <c r="F14" s="220" t="s">
        <v>5480</v>
      </c>
      <c r="G14" s="106" t="s">
        <v>4977</v>
      </c>
      <c r="H14" s="106" t="s">
        <v>5481</v>
      </c>
    </row>
    <row r="15" ht="15.75" customHeight="1">
      <c r="A15" s="218">
        <v>13.0</v>
      </c>
      <c r="B15" s="219">
        <v>43581.0</v>
      </c>
      <c r="C15" s="221" t="s">
        <v>5435</v>
      </c>
      <c r="D15" s="106" t="s">
        <v>5482</v>
      </c>
      <c r="E15" s="218" t="s">
        <v>5483</v>
      </c>
      <c r="F15" s="220" t="s">
        <v>5484</v>
      </c>
      <c r="G15" s="106" t="s">
        <v>116</v>
      </c>
      <c r="H15" s="106" t="s">
        <v>5485</v>
      </c>
    </row>
    <row r="16" ht="15.75" customHeight="1">
      <c r="A16" s="218">
        <v>14.0</v>
      </c>
      <c r="B16" s="219">
        <v>43581.0</v>
      </c>
      <c r="C16" s="221" t="s">
        <v>5435</v>
      </c>
      <c r="D16" s="106" t="s">
        <v>5486</v>
      </c>
      <c r="E16" s="218" t="s">
        <v>5487</v>
      </c>
      <c r="F16" s="220" t="s">
        <v>5488</v>
      </c>
      <c r="G16" s="106" t="s">
        <v>5242</v>
      </c>
      <c r="H16" s="106" t="s">
        <v>5477</v>
      </c>
    </row>
    <row r="17" ht="15.75" customHeight="1">
      <c r="A17" s="218">
        <v>16.0</v>
      </c>
      <c r="B17" s="219">
        <v>43582.0</v>
      </c>
      <c r="C17" s="220" t="s">
        <v>5489</v>
      </c>
      <c r="D17" s="106" t="s">
        <v>5407</v>
      </c>
      <c r="E17" s="218" t="s">
        <v>5408</v>
      </c>
      <c r="F17" s="220" t="s">
        <v>5409</v>
      </c>
      <c r="G17" s="106" t="s">
        <v>422</v>
      </c>
      <c r="H17" s="106" t="s">
        <v>5490</v>
      </c>
    </row>
    <row r="18" ht="15.75" customHeight="1">
      <c r="A18" s="218">
        <v>17.0</v>
      </c>
      <c r="B18" s="222">
        <v>43577.0</v>
      </c>
      <c r="C18" s="221" t="s">
        <v>5435</v>
      </c>
      <c r="D18" s="223" t="s">
        <v>5280</v>
      </c>
      <c r="E18" s="224" t="s">
        <v>5281</v>
      </c>
      <c r="F18" s="221" t="s">
        <v>5282</v>
      </c>
      <c r="G18" s="106" t="s">
        <v>5125</v>
      </c>
      <c r="H18" s="106" t="s">
        <v>5283</v>
      </c>
    </row>
    <row r="19" ht="15.75" customHeight="1">
      <c r="A19" s="218">
        <v>18.0</v>
      </c>
      <c r="B19" s="219">
        <v>43583.0</v>
      </c>
      <c r="C19" s="220" t="s">
        <v>5491</v>
      </c>
      <c r="D19" s="106" t="s">
        <v>5492</v>
      </c>
      <c r="E19" s="218" t="s">
        <v>5493</v>
      </c>
      <c r="F19" s="220" t="s">
        <v>5494</v>
      </c>
      <c r="G19" s="106" t="s">
        <v>326</v>
      </c>
      <c r="H19" s="106" t="s">
        <v>5439</v>
      </c>
    </row>
    <row r="20" ht="15.75" customHeight="1">
      <c r="A20" s="218">
        <v>19.0</v>
      </c>
      <c r="B20" s="219">
        <v>43570.0</v>
      </c>
      <c r="C20" s="220" t="s">
        <v>5435</v>
      </c>
      <c r="D20" s="106" t="s">
        <v>5495</v>
      </c>
      <c r="E20" s="218" t="s">
        <v>5496</v>
      </c>
      <c r="F20" s="220" t="s">
        <v>5497</v>
      </c>
      <c r="G20" s="106" t="s">
        <v>5498</v>
      </c>
      <c r="H20" s="106" t="s">
        <v>5499</v>
      </c>
    </row>
    <row r="21" ht="15.75" customHeight="1">
      <c r="A21" s="218">
        <v>20.0</v>
      </c>
      <c r="B21" s="219">
        <v>43566.0</v>
      </c>
      <c r="C21" s="220" t="s">
        <v>5435</v>
      </c>
      <c r="D21" s="106" t="s">
        <v>5500</v>
      </c>
      <c r="E21" s="218" t="s">
        <v>5501</v>
      </c>
      <c r="F21" s="220" t="s">
        <v>5502</v>
      </c>
      <c r="G21" s="106" t="s">
        <v>5353</v>
      </c>
      <c r="H21" s="106" t="s">
        <v>5503</v>
      </c>
    </row>
    <row r="22" ht="15.75" customHeight="1">
      <c r="A22" s="218">
        <v>21.0</v>
      </c>
      <c r="B22" s="219">
        <v>43580.0</v>
      </c>
      <c r="C22" s="220" t="s">
        <v>5435</v>
      </c>
      <c r="D22" s="223" t="s">
        <v>5427</v>
      </c>
      <c r="E22" s="224" t="s">
        <v>5428</v>
      </c>
      <c r="F22" s="221" t="s">
        <v>5429</v>
      </c>
      <c r="G22" s="106" t="s">
        <v>5212</v>
      </c>
      <c r="H22" s="106" t="s">
        <v>5504</v>
      </c>
    </row>
    <row r="23" ht="15.75" customHeight="1">
      <c r="A23" s="218">
        <v>22.0</v>
      </c>
      <c r="B23" s="219">
        <v>43582.0</v>
      </c>
      <c r="C23" s="221" t="s">
        <v>5435</v>
      </c>
      <c r="D23" s="106" t="s">
        <v>5400</v>
      </c>
      <c r="E23" s="220" t="s">
        <v>5401</v>
      </c>
      <c r="F23" s="220" t="s">
        <v>5402</v>
      </c>
      <c r="G23" s="106" t="s">
        <v>5398</v>
      </c>
      <c r="H23" s="106" t="s">
        <v>5403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3.57"/>
    <col customWidth="1" min="3" max="3" width="29.0"/>
    <col customWidth="1" min="4" max="6" width="14.43"/>
    <col customWidth="1" min="7" max="7" width="26.57"/>
    <col customWidth="1" min="8" max="8" width="32.14"/>
    <col customWidth="1" min="9" max="9" width="28.57"/>
  </cols>
  <sheetData>
    <row r="1" ht="15.75" customHeight="1">
      <c r="A1" s="203" t="s">
        <v>909</v>
      </c>
      <c r="B1" s="76"/>
      <c r="C1" s="77"/>
      <c r="D1" s="48"/>
      <c r="E1" s="48"/>
      <c r="G1" s="225" t="s">
        <v>5505</v>
      </c>
    </row>
    <row r="2" ht="15.75" customHeight="1">
      <c r="A2" s="51" t="s">
        <v>110</v>
      </c>
      <c r="B2" s="51" t="s">
        <v>111</v>
      </c>
      <c r="C2" s="197" t="s">
        <v>879</v>
      </c>
      <c r="D2" s="48"/>
      <c r="E2" s="48"/>
      <c r="G2" s="40" t="s">
        <v>110</v>
      </c>
      <c r="H2" s="226" t="s">
        <v>111</v>
      </c>
      <c r="I2" s="227" t="s">
        <v>112</v>
      </c>
    </row>
    <row r="3" ht="15.75" customHeight="1">
      <c r="A3" s="48" t="s">
        <v>906</v>
      </c>
      <c r="B3" s="48" t="s">
        <v>907</v>
      </c>
      <c r="C3" s="62" t="s">
        <v>908</v>
      </c>
      <c r="D3" s="48" t="s">
        <v>5506</v>
      </c>
      <c r="E3" s="48"/>
      <c r="G3" s="228" t="s">
        <v>906</v>
      </c>
      <c r="H3" s="228" t="s">
        <v>907</v>
      </c>
      <c r="I3" s="229" t="s">
        <v>908</v>
      </c>
      <c r="J3" s="36" t="s">
        <v>5507</v>
      </c>
    </row>
    <row r="4" ht="15.75" customHeight="1">
      <c r="A4" s="48" t="s">
        <v>914</v>
      </c>
      <c r="B4" s="48" t="s">
        <v>915</v>
      </c>
      <c r="C4" s="62" t="s">
        <v>916</v>
      </c>
      <c r="D4" s="48" t="s">
        <v>5506</v>
      </c>
      <c r="E4" s="48"/>
      <c r="G4" s="228" t="s">
        <v>914</v>
      </c>
      <c r="H4" s="228" t="s">
        <v>915</v>
      </c>
      <c r="I4" s="229" t="s">
        <v>916</v>
      </c>
      <c r="J4" s="36" t="s">
        <v>5507</v>
      </c>
    </row>
    <row r="5" ht="15.75" customHeight="1">
      <c r="A5" s="48" t="s">
        <v>950</v>
      </c>
      <c r="B5" s="48" t="s">
        <v>951</v>
      </c>
      <c r="C5" s="63"/>
      <c r="D5" s="48" t="s">
        <v>5506</v>
      </c>
      <c r="E5" s="48"/>
      <c r="G5" s="228" t="s">
        <v>1667</v>
      </c>
      <c r="H5" s="228"/>
      <c r="I5" s="229" t="s">
        <v>1668</v>
      </c>
      <c r="J5" s="36" t="s">
        <v>5507</v>
      </c>
    </row>
    <row r="6" ht="15.75" customHeight="1">
      <c r="A6" s="48" t="s">
        <v>1430</v>
      </c>
      <c r="B6" s="48" t="s">
        <v>1431</v>
      </c>
      <c r="C6" s="63" t="s">
        <v>1432</v>
      </c>
      <c r="D6" s="48" t="s">
        <v>5506</v>
      </c>
      <c r="E6" s="48"/>
      <c r="G6" s="228" t="s">
        <v>1816</v>
      </c>
      <c r="H6" s="228" t="s">
        <v>1817</v>
      </c>
      <c r="I6" s="229" t="s">
        <v>1818</v>
      </c>
      <c r="J6" s="36" t="s">
        <v>5507</v>
      </c>
    </row>
    <row r="7" ht="15.75" customHeight="1">
      <c r="A7" s="48" t="s">
        <v>1493</v>
      </c>
      <c r="B7" s="48" t="s">
        <v>1494</v>
      </c>
      <c r="C7" s="63"/>
      <c r="D7" s="48" t="s">
        <v>5506</v>
      </c>
      <c r="E7" s="48"/>
      <c r="G7" s="228" t="s">
        <v>1819</v>
      </c>
      <c r="H7" s="228" t="s">
        <v>1820</v>
      </c>
      <c r="I7" s="229" t="s">
        <v>1821</v>
      </c>
      <c r="J7" s="36" t="s">
        <v>5507</v>
      </c>
    </row>
    <row r="8" ht="15.75" customHeight="1">
      <c r="A8" s="34" t="s">
        <v>1667</v>
      </c>
      <c r="B8" s="34"/>
      <c r="C8" s="35" t="s">
        <v>1668</v>
      </c>
      <c r="D8" s="48" t="s">
        <v>5506</v>
      </c>
      <c r="E8" s="34" t="s">
        <v>4977</v>
      </c>
      <c r="G8" s="228" t="s">
        <v>1822</v>
      </c>
      <c r="H8" s="228" t="s">
        <v>1823</v>
      </c>
      <c r="I8" s="229" t="s">
        <v>1824</v>
      </c>
      <c r="J8" s="36" t="s">
        <v>5507</v>
      </c>
    </row>
    <row r="9" ht="15.75" customHeight="1">
      <c r="A9" s="34" t="s">
        <v>1816</v>
      </c>
      <c r="B9" s="34" t="s">
        <v>1817</v>
      </c>
      <c r="C9" s="35" t="s">
        <v>1818</v>
      </c>
      <c r="D9" s="48" t="s">
        <v>5506</v>
      </c>
      <c r="E9" s="34" t="s">
        <v>4977</v>
      </c>
      <c r="G9" s="228" t="s">
        <v>1830</v>
      </c>
      <c r="H9" s="228" t="s">
        <v>1831</v>
      </c>
      <c r="I9" s="229" t="s">
        <v>1832</v>
      </c>
      <c r="J9" s="36" t="s">
        <v>5507</v>
      </c>
    </row>
    <row r="10" ht="15.75" customHeight="1">
      <c r="A10" s="34" t="s">
        <v>1819</v>
      </c>
      <c r="B10" s="34" t="s">
        <v>1820</v>
      </c>
      <c r="C10" s="35" t="s">
        <v>1821</v>
      </c>
      <c r="D10" s="48" t="s">
        <v>5506</v>
      </c>
      <c r="E10" s="34" t="s">
        <v>4977</v>
      </c>
      <c r="G10" s="228" t="s">
        <v>1836</v>
      </c>
      <c r="H10" s="228" t="s">
        <v>1837</v>
      </c>
      <c r="I10" s="229" t="s">
        <v>1838</v>
      </c>
      <c r="J10" s="36" t="s">
        <v>5507</v>
      </c>
    </row>
    <row r="11" ht="15.75" customHeight="1">
      <c r="A11" s="34" t="s">
        <v>1822</v>
      </c>
      <c r="B11" s="34" t="s">
        <v>1823</v>
      </c>
      <c r="C11" s="35" t="s">
        <v>1824</v>
      </c>
      <c r="D11" s="48" t="s">
        <v>5506</v>
      </c>
      <c r="E11" s="34" t="s">
        <v>4977</v>
      </c>
      <c r="G11" s="228" t="s">
        <v>1839</v>
      </c>
      <c r="H11" s="228" t="s">
        <v>1840</v>
      </c>
      <c r="I11" s="229" t="s">
        <v>1841</v>
      </c>
      <c r="J11" s="36" t="s">
        <v>5507</v>
      </c>
    </row>
    <row r="12" ht="15.75" customHeight="1">
      <c r="A12" s="34" t="s">
        <v>1825</v>
      </c>
      <c r="B12" s="34"/>
      <c r="C12" s="35" t="s">
        <v>1826</v>
      </c>
      <c r="D12" s="48" t="s">
        <v>5506</v>
      </c>
      <c r="E12" s="34" t="s">
        <v>4977</v>
      </c>
      <c r="G12" s="228" t="s">
        <v>1842</v>
      </c>
      <c r="H12" s="228"/>
      <c r="I12" s="229" t="s">
        <v>1843</v>
      </c>
      <c r="J12" s="36" t="s">
        <v>5507</v>
      </c>
    </row>
    <row r="13" ht="15.75" customHeight="1">
      <c r="A13" s="48" t="s">
        <v>1830</v>
      </c>
      <c r="B13" s="48" t="s">
        <v>1831</v>
      </c>
      <c r="C13" s="62" t="s">
        <v>1832</v>
      </c>
      <c r="D13" s="48" t="s">
        <v>5506</v>
      </c>
      <c r="E13" s="48"/>
      <c r="G13" s="228" t="s">
        <v>1844</v>
      </c>
      <c r="H13" s="228" t="s">
        <v>1845</v>
      </c>
      <c r="I13" s="229" t="s">
        <v>1846</v>
      </c>
      <c r="J13" s="36" t="s">
        <v>5507</v>
      </c>
    </row>
    <row r="14" ht="15.75" customHeight="1">
      <c r="A14" s="48" t="s">
        <v>1833</v>
      </c>
      <c r="B14" s="48" t="s">
        <v>1834</v>
      </c>
      <c r="C14" s="62" t="s">
        <v>1835</v>
      </c>
      <c r="D14" s="48" t="s">
        <v>5506</v>
      </c>
      <c r="E14" s="48"/>
      <c r="G14" s="228" t="s">
        <v>1847</v>
      </c>
      <c r="H14" s="228" t="s">
        <v>1848</v>
      </c>
      <c r="I14" s="229" t="s">
        <v>1849</v>
      </c>
      <c r="J14" s="36" t="s">
        <v>5507</v>
      </c>
    </row>
    <row r="15" ht="15.75" customHeight="1">
      <c r="A15" s="48" t="s">
        <v>1836</v>
      </c>
      <c r="B15" s="48" t="s">
        <v>1837</v>
      </c>
      <c r="C15" s="62" t="s">
        <v>1838</v>
      </c>
      <c r="D15" s="48" t="s">
        <v>5506</v>
      </c>
      <c r="E15" s="48"/>
      <c r="G15" s="228" t="s">
        <v>1850</v>
      </c>
      <c r="H15" s="228" t="s">
        <v>1851</v>
      </c>
      <c r="I15" s="229" t="s">
        <v>1852</v>
      </c>
      <c r="J15" s="36" t="s">
        <v>5507</v>
      </c>
    </row>
    <row r="16" ht="15.75" customHeight="1">
      <c r="A16" s="34" t="s">
        <v>1839</v>
      </c>
      <c r="B16" s="34" t="s">
        <v>1840</v>
      </c>
      <c r="C16" s="35" t="s">
        <v>1841</v>
      </c>
      <c r="D16" s="48" t="s">
        <v>5506</v>
      </c>
      <c r="E16" s="34" t="s">
        <v>367</v>
      </c>
      <c r="G16" s="228" t="s">
        <v>4519</v>
      </c>
      <c r="H16" s="228" t="s">
        <v>4520</v>
      </c>
      <c r="I16" s="229" t="s">
        <v>4521</v>
      </c>
      <c r="J16" s="36" t="s">
        <v>5507</v>
      </c>
    </row>
    <row r="17" ht="15.75" customHeight="1">
      <c r="A17" s="34" t="s">
        <v>1842</v>
      </c>
      <c r="B17" s="34"/>
      <c r="C17" s="35" t="s">
        <v>1843</v>
      </c>
      <c r="D17" s="48" t="s">
        <v>5506</v>
      </c>
      <c r="E17" s="34" t="s">
        <v>367</v>
      </c>
      <c r="G17" s="228" t="s">
        <v>1816</v>
      </c>
      <c r="H17" s="228" t="s">
        <v>1817</v>
      </c>
      <c r="I17" s="229" t="s">
        <v>4542</v>
      </c>
      <c r="J17" s="36" t="s">
        <v>5507</v>
      </c>
    </row>
    <row r="18" ht="15.75" customHeight="1">
      <c r="A18" s="34" t="s">
        <v>1844</v>
      </c>
      <c r="B18" s="34" t="s">
        <v>1845</v>
      </c>
      <c r="C18" s="35" t="s">
        <v>1846</v>
      </c>
      <c r="D18" s="48" t="s">
        <v>5506</v>
      </c>
      <c r="E18" s="34" t="s">
        <v>367</v>
      </c>
      <c r="G18" s="228" t="s">
        <v>4548</v>
      </c>
      <c r="H18" s="228" t="s">
        <v>4549</v>
      </c>
      <c r="I18" s="229" t="s">
        <v>4550</v>
      </c>
      <c r="J18" s="36" t="s">
        <v>5507</v>
      </c>
    </row>
    <row r="19" ht="15.75" customHeight="1">
      <c r="A19" s="48" t="s">
        <v>1847</v>
      </c>
      <c r="B19" s="48" t="s">
        <v>1848</v>
      </c>
      <c r="C19" s="62" t="s">
        <v>1849</v>
      </c>
      <c r="D19" s="48" t="s">
        <v>5506</v>
      </c>
      <c r="E19" s="48"/>
      <c r="G19" s="228" t="s">
        <v>4558</v>
      </c>
      <c r="H19" s="228"/>
      <c r="I19" s="229" t="s">
        <v>4559</v>
      </c>
      <c r="J19" s="36" t="s">
        <v>5507</v>
      </c>
    </row>
    <row r="20" ht="15.75" customHeight="1">
      <c r="A20" s="48" t="s">
        <v>1850</v>
      </c>
      <c r="B20" s="48" t="s">
        <v>1851</v>
      </c>
      <c r="C20" s="62" t="s">
        <v>1852</v>
      </c>
      <c r="D20" s="48" t="s">
        <v>5506</v>
      </c>
      <c r="E20" s="48"/>
      <c r="G20" s="228" t="s">
        <v>4560</v>
      </c>
      <c r="H20" s="228"/>
      <c r="I20" s="229" t="s">
        <v>4561</v>
      </c>
      <c r="J20" s="36" t="s">
        <v>5507</v>
      </c>
    </row>
    <row r="21" ht="15.75" customHeight="1">
      <c r="A21" s="48" t="s">
        <v>3279</v>
      </c>
      <c r="B21" s="48" t="s">
        <v>3280</v>
      </c>
      <c r="C21" s="48"/>
      <c r="D21" s="48" t="s">
        <v>5506</v>
      </c>
      <c r="E21" s="48"/>
      <c r="G21" s="228" t="s">
        <v>4569</v>
      </c>
      <c r="H21" s="228" t="s">
        <v>4570</v>
      </c>
      <c r="I21" s="229" t="s">
        <v>4571</v>
      </c>
      <c r="J21" s="36" t="s">
        <v>5507</v>
      </c>
    </row>
    <row r="22" ht="15.75" customHeight="1">
      <c r="A22" s="34" t="s">
        <v>4249</v>
      </c>
      <c r="B22" s="34"/>
      <c r="C22" s="35" t="s">
        <v>4250</v>
      </c>
      <c r="D22" s="48" t="s">
        <v>5506</v>
      </c>
      <c r="E22" s="48"/>
      <c r="G22" s="228" t="s">
        <v>1836</v>
      </c>
      <c r="H22" s="228"/>
      <c r="I22" s="229" t="s">
        <v>4572</v>
      </c>
      <c r="J22" s="36" t="s">
        <v>5507</v>
      </c>
    </row>
    <row r="23" ht="15.75" customHeight="1">
      <c r="A23" s="48" t="s">
        <v>1655</v>
      </c>
      <c r="B23" s="48" t="s">
        <v>4253</v>
      </c>
      <c r="C23" s="62" t="s">
        <v>1656</v>
      </c>
      <c r="D23" s="48" t="s">
        <v>5506</v>
      </c>
      <c r="E23" s="48"/>
      <c r="G23" s="228" t="s">
        <v>4580</v>
      </c>
      <c r="H23" s="228"/>
      <c r="I23" s="229" t="s">
        <v>4581</v>
      </c>
      <c r="J23" s="36" t="s">
        <v>5507</v>
      </c>
    </row>
    <row r="24" ht="15.75" customHeight="1">
      <c r="A24" s="48" t="s">
        <v>4512</v>
      </c>
      <c r="B24" s="48" t="s">
        <v>4513</v>
      </c>
      <c r="C24" s="62" t="s">
        <v>4514</v>
      </c>
      <c r="D24" s="48" t="s">
        <v>5506</v>
      </c>
      <c r="E24" s="48"/>
      <c r="G24" s="228" t="s">
        <v>4585</v>
      </c>
      <c r="H24" s="228" t="s">
        <v>4586</v>
      </c>
      <c r="I24" s="229" t="s">
        <v>4587</v>
      </c>
      <c r="J24" s="36" t="s">
        <v>5507</v>
      </c>
    </row>
    <row r="25" ht="15.75" customHeight="1">
      <c r="A25" s="48" t="s">
        <v>4515</v>
      </c>
      <c r="B25" s="48"/>
      <c r="C25" s="62" t="s">
        <v>4516</v>
      </c>
      <c r="D25" s="48" t="s">
        <v>5506</v>
      </c>
      <c r="E25" s="48"/>
      <c r="G25" s="228" t="s">
        <v>4588</v>
      </c>
      <c r="H25" s="228" t="s">
        <v>4589</v>
      </c>
      <c r="I25" s="229" t="s">
        <v>4590</v>
      </c>
      <c r="J25" s="36" t="s">
        <v>5507</v>
      </c>
    </row>
    <row r="26" ht="15.75" customHeight="1">
      <c r="A26" s="48" t="s">
        <v>4517</v>
      </c>
      <c r="B26" s="48" t="s">
        <v>4518</v>
      </c>
      <c r="C26" s="48"/>
      <c r="D26" s="48" t="s">
        <v>5506</v>
      </c>
      <c r="E26" s="48"/>
      <c r="G26" s="228" t="s">
        <v>1819</v>
      </c>
      <c r="H26" s="228" t="s">
        <v>1820</v>
      </c>
      <c r="I26" s="229" t="s">
        <v>4591</v>
      </c>
      <c r="J26" s="36" t="s">
        <v>5507</v>
      </c>
    </row>
    <row r="27" ht="15.75" customHeight="1">
      <c r="A27" s="48" t="s">
        <v>4519</v>
      </c>
      <c r="B27" s="48" t="s">
        <v>4520</v>
      </c>
      <c r="C27" s="62" t="s">
        <v>4521</v>
      </c>
      <c r="D27" s="48" t="s">
        <v>5506</v>
      </c>
      <c r="E27" s="48"/>
      <c r="G27" s="230" t="s">
        <v>4594</v>
      </c>
      <c r="H27" s="230" t="s">
        <v>4595</v>
      </c>
      <c r="I27" s="231" t="s">
        <v>4596</v>
      </c>
      <c r="J27" s="36" t="s">
        <v>5507</v>
      </c>
    </row>
    <row r="28" ht="15.75" customHeight="1">
      <c r="A28" s="48" t="s">
        <v>4522</v>
      </c>
      <c r="B28" s="48" t="s">
        <v>4523</v>
      </c>
      <c r="C28" s="48" t="s">
        <v>198</v>
      </c>
      <c r="D28" s="48" t="s">
        <v>5506</v>
      </c>
      <c r="E28" s="48"/>
      <c r="G28" s="230" t="s">
        <v>4597</v>
      </c>
      <c r="H28" s="230" t="s">
        <v>4598</v>
      </c>
      <c r="I28" s="231" t="s">
        <v>4599</v>
      </c>
      <c r="J28" s="36" t="s">
        <v>5507</v>
      </c>
    </row>
    <row r="29" ht="15.75" customHeight="1">
      <c r="A29" s="34" t="s">
        <v>4524</v>
      </c>
      <c r="B29" s="34" t="s">
        <v>4525</v>
      </c>
      <c r="C29" s="35" t="s">
        <v>4526</v>
      </c>
      <c r="D29" s="34">
        <v>27.0</v>
      </c>
      <c r="E29" s="34" t="s">
        <v>367</v>
      </c>
      <c r="G29" s="230" t="s">
        <v>4600</v>
      </c>
      <c r="H29" s="230" t="s">
        <v>4601</v>
      </c>
      <c r="I29" s="231" t="s">
        <v>4602</v>
      </c>
      <c r="J29" s="36" t="s">
        <v>5507</v>
      </c>
    </row>
    <row r="30" ht="15.75" customHeight="1">
      <c r="A30" s="34" t="s">
        <v>4527</v>
      </c>
      <c r="B30" s="34" t="s">
        <v>4528</v>
      </c>
      <c r="C30" s="35" t="s">
        <v>4529</v>
      </c>
      <c r="D30" s="34">
        <v>28.0</v>
      </c>
      <c r="E30" s="34" t="s">
        <v>367</v>
      </c>
      <c r="G30" s="228" t="s">
        <v>4611</v>
      </c>
      <c r="H30" s="228" t="s">
        <v>4612</v>
      </c>
      <c r="I30" s="229" t="s">
        <v>4613</v>
      </c>
      <c r="J30" s="36" t="s">
        <v>5507</v>
      </c>
    </row>
    <row r="31" ht="15.75" customHeight="1">
      <c r="A31" s="48" t="s">
        <v>4530</v>
      </c>
      <c r="B31" s="48" t="s">
        <v>4531</v>
      </c>
      <c r="C31" s="48" t="s">
        <v>198</v>
      </c>
      <c r="D31" s="48">
        <v>29.0</v>
      </c>
      <c r="E31" s="48"/>
      <c r="G31" s="228" t="s">
        <v>4620</v>
      </c>
      <c r="H31" s="228" t="s">
        <v>4621</v>
      </c>
      <c r="I31" s="229" t="s">
        <v>4622</v>
      </c>
      <c r="J31" s="36" t="s">
        <v>5507</v>
      </c>
    </row>
    <row r="32" ht="15.75" customHeight="1">
      <c r="A32" s="48" t="s">
        <v>4532</v>
      </c>
      <c r="B32" s="48" t="s">
        <v>4533</v>
      </c>
      <c r="C32" s="48"/>
      <c r="D32" s="48">
        <v>30.0</v>
      </c>
      <c r="E32" s="48"/>
      <c r="G32" s="228" t="s">
        <v>4623</v>
      </c>
      <c r="H32" s="228" t="s">
        <v>4624</v>
      </c>
      <c r="I32" s="229" t="s">
        <v>4625</v>
      </c>
      <c r="J32" s="36" t="s">
        <v>5507</v>
      </c>
    </row>
    <row r="33" ht="15.75" customHeight="1">
      <c r="A33" s="34" t="s">
        <v>4534</v>
      </c>
      <c r="B33" s="34" t="s">
        <v>4535</v>
      </c>
      <c r="C33" s="35" t="s">
        <v>4536</v>
      </c>
      <c r="D33" s="34">
        <v>31.0</v>
      </c>
      <c r="E33" s="34" t="s">
        <v>482</v>
      </c>
      <c r="G33" s="228" t="s">
        <v>4626</v>
      </c>
      <c r="H33" s="228" t="s">
        <v>4627</v>
      </c>
      <c r="I33" s="229" t="s">
        <v>4628</v>
      </c>
      <c r="J33" s="36" t="s">
        <v>5507</v>
      </c>
    </row>
    <row r="34" ht="15.75" customHeight="1">
      <c r="A34" s="34" t="s">
        <v>4537</v>
      </c>
      <c r="B34" s="34" t="s">
        <v>4538</v>
      </c>
      <c r="C34" s="35" t="s">
        <v>4539</v>
      </c>
      <c r="D34" s="34">
        <v>32.0</v>
      </c>
      <c r="E34" s="34" t="s">
        <v>482</v>
      </c>
      <c r="G34" s="228" t="s">
        <v>4629</v>
      </c>
      <c r="H34" s="228" t="s">
        <v>4630</v>
      </c>
      <c r="I34" s="229" t="s">
        <v>4631</v>
      </c>
      <c r="J34" s="36" t="s">
        <v>5507</v>
      </c>
    </row>
    <row r="35" ht="15.75" customHeight="1">
      <c r="A35" s="34" t="s">
        <v>4540</v>
      </c>
      <c r="B35" s="34"/>
      <c r="C35" s="35" t="s">
        <v>4541</v>
      </c>
      <c r="D35" s="34">
        <v>33.0</v>
      </c>
      <c r="E35" s="34" t="s">
        <v>482</v>
      </c>
      <c r="G35" s="228" t="s">
        <v>4632</v>
      </c>
      <c r="H35" s="228"/>
      <c r="I35" s="229" t="s">
        <v>4633</v>
      </c>
      <c r="J35" s="36" t="s">
        <v>5507</v>
      </c>
    </row>
    <row r="36" ht="15.75" customHeight="1">
      <c r="A36" s="34" t="s">
        <v>1816</v>
      </c>
      <c r="B36" s="34" t="s">
        <v>1817</v>
      </c>
      <c r="C36" s="35" t="s">
        <v>4542</v>
      </c>
      <c r="D36" s="34">
        <v>34.0</v>
      </c>
      <c r="E36" s="34" t="s">
        <v>482</v>
      </c>
      <c r="G36" s="228" t="s">
        <v>4635</v>
      </c>
      <c r="H36" s="228" t="s">
        <v>4636</v>
      </c>
      <c r="I36" s="229" t="s">
        <v>4637</v>
      </c>
      <c r="J36" s="36" t="s">
        <v>5507</v>
      </c>
    </row>
    <row r="37" ht="15.75" customHeight="1">
      <c r="A37" s="34" t="s">
        <v>4543</v>
      </c>
      <c r="B37" s="34" t="s">
        <v>4544</v>
      </c>
      <c r="C37" s="35" t="s">
        <v>4545</v>
      </c>
      <c r="D37" s="34">
        <v>35.0</v>
      </c>
      <c r="E37" s="34" t="s">
        <v>482</v>
      </c>
      <c r="G37" s="228" t="s">
        <v>4640</v>
      </c>
      <c r="H37" s="228" t="s">
        <v>4641</v>
      </c>
      <c r="I37" s="229" t="s">
        <v>4642</v>
      </c>
      <c r="J37" s="36" t="s">
        <v>5507</v>
      </c>
    </row>
    <row r="38" ht="15.75" customHeight="1">
      <c r="A38" s="34" t="s">
        <v>4546</v>
      </c>
      <c r="B38" s="34" t="s">
        <v>198</v>
      </c>
      <c r="C38" s="35" t="s">
        <v>4547</v>
      </c>
      <c r="D38" s="34">
        <v>36.0</v>
      </c>
      <c r="E38" s="34" t="s">
        <v>482</v>
      </c>
      <c r="G38" s="228" t="s">
        <v>4643</v>
      </c>
      <c r="H38" s="228" t="s">
        <v>4644</v>
      </c>
      <c r="I38" s="228"/>
      <c r="J38" s="36" t="s">
        <v>5507</v>
      </c>
    </row>
    <row r="39" ht="15.75" customHeight="1">
      <c r="A39" s="34" t="s">
        <v>4548</v>
      </c>
      <c r="B39" s="34" t="s">
        <v>4549</v>
      </c>
      <c r="C39" s="35" t="s">
        <v>4550</v>
      </c>
      <c r="D39" s="34">
        <v>37.0</v>
      </c>
      <c r="E39" s="34" t="s">
        <v>482</v>
      </c>
      <c r="G39" s="232" t="s">
        <v>4648</v>
      </c>
      <c r="H39" s="232" t="s">
        <v>4649</v>
      </c>
      <c r="I39" s="233" t="s">
        <v>4650</v>
      </c>
      <c r="J39" s="232" t="s">
        <v>5508</v>
      </c>
    </row>
    <row r="40" ht="15.75" customHeight="1">
      <c r="A40" s="34" t="s">
        <v>4551</v>
      </c>
      <c r="B40" s="34" t="s">
        <v>4552</v>
      </c>
      <c r="C40" s="35" t="s">
        <v>4553</v>
      </c>
      <c r="D40" s="34">
        <v>38.0</v>
      </c>
      <c r="E40" s="34" t="s">
        <v>482</v>
      </c>
      <c r="G40" s="232" t="s">
        <v>4651</v>
      </c>
      <c r="H40" s="232" t="s">
        <v>4652</v>
      </c>
      <c r="I40" s="233" t="s">
        <v>4653</v>
      </c>
      <c r="J40" s="232" t="s">
        <v>5508</v>
      </c>
    </row>
    <row r="41" ht="15.75" customHeight="1">
      <c r="A41" s="34" t="s">
        <v>4554</v>
      </c>
      <c r="B41" s="34" t="s">
        <v>4555</v>
      </c>
      <c r="C41" s="34" t="s">
        <v>139</v>
      </c>
      <c r="D41" s="34">
        <v>39.0</v>
      </c>
      <c r="E41" s="34" t="s">
        <v>482</v>
      </c>
      <c r="G41" s="232" t="s">
        <v>4654</v>
      </c>
      <c r="H41" s="232"/>
      <c r="I41" s="233" t="s">
        <v>4655</v>
      </c>
      <c r="J41" s="232" t="s">
        <v>5508</v>
      </c>
    </row>
    <row r="42" ht="15.75" customHeight="1">
      <c r="A42" s="34" t="s">
        <v>4534</v>
      </c>
      <c r="B42" s="34" t="s">
        <v>4535</v>
      </c>
      <c r="C42" s="35" t="s">
        <v>4536</v>
      </c>
      <c r="D42" s="34">
        <v>40.0</v>
      </c>
      <c r="E42" s="34" t="s">
        <v>482</v>
      </c>
      <c r="G42" s="232" t="s">
        <v>4656</v>
      </c>
      <c r="H42" s="232" t="s">
        <v>4657</v>
      </c>
      <c r="I42" s="233" t="s">
        <v>4658</v>
      </c>
      <c r="J42" s="232" t="s">
        <v>5508</v>
      </c>
    </row>
    <row r="43" ht="15.75" customHeight="1">
      <c r="A43" s="36" t="s">
        <v>4558</v>
      </c>
      <c r="C43" s="39" t="s">
        <v>4559</v>
      </c>
      <c r="D43" s="36">
        <v>41.0</v>
      </c>
      <c r="G43" s="232" t="s">
        <v>4659</v>
      </c>
      <c r="H43" s="232" t="s">
        <v>4660</v>
      </c>
      <c r="I43" s="232"/>
      <c r="J43" s="232" t="s">
        <v>5508</v>
      </c>
    </row>
    <row r="44" ht="15.75" customHeight="1">
      <c r="A44" s="36" t="s">
        <v>4560</v>
      </c>
      <c r="C44" s="39" t="s">
        <v>4561</v>
      </c>
      <c r="D44" s="36">
        <v>42.0</v>
      </c>
      <c r="G44" s="232" t="s">
        <v>4661</v>
      </c>
      <c r="H44" s="232" t="s">
        <v>4662</v>
      </c>
      <c r="I44" s="233" t="s">
        <v>4663</v>
      </c>
      <c r="J44" s="232" t="s">
        <v>5508</v>
      </c>
    </row>
    <row r="45" ht="15.75" customHeight="1">
      <c r="A45" s="36" t="s">
        <v>4562</v>
      </c>
      <c r="B45" s="36" t="s">
        <v>4563</v>
      </c>
      <c r="C45" s="36" t="s">
        <v>139</v>
      </c>
      <c r="D45" s="36">
        <v>43.0</v>
      </c>
      <c r="G45" s="232" t="s">
        <v>4664</v>
      </c>
      <c r="H45" s="232" t="s">
        <v>4665</v>
      </c>
      <c r="I45" s="233" t="s">
        <v>4666</v>
      </c>
      <c r="J45" s="232" t="s">
        <v>5508</v>
      </c>
    </row>
    <row r="46" ht="15.75" customHeight="1">
      <c r="A46" s="36" t="s">
        <v>4564</v>
      </c>
      <c r="B46" s="36" t="s">
        <v>4565</v>
      </c>
      <c r="C46" s="36" t="s">
        <v>139</v>
      </c>
      <c r="D46" s="36">
        <v>44.0</v>
      </c>
      <c r="G46" s="232" t="s">
        <v>4667</v>
      </c>
      <c r="H46" s="232" t="s">
        <v>4668</v>
      </c>
      <c r="I46" s="233" t="s">
        <v>4669</v>
      </c>
      <c r="J46" s="232" t="s">
        <v>5508</v>
      </c>
    </row>
    <row r="47" ht="15.75" customHeight="1">
      <c r="A47" s="31" t="s">
        <v>4566</v>
      </c>
      <c r="B47" s="31" t="s">
        <v>4567</v>
      </c>
      <c r="C47" s="32" t="s">
        <v>4568</v>
      </c>
      <c r="D47" s="36">
        <v>45.0</v>
      </c>
      <c r="G47" s="232" t="s">
        <v>1822</v>
      </c>
      <c r="H47" s="232" t="s">
        <v>1823</v>
      </c>
      <c r="I47" s="233" t="s">
        <v>4670</v>
      </c>
      <c r="J47" s="232" t="s">
        <v>5508</v>
      </c>
    </row>
    <row r="48" ht="15.75" customHeight="1">
      <c r="A48" s="36" t="s">
        <v>4569</v>
      </c>
      <c r="B48" s="36" t="s">
        <v>4570</v>
      </c>
      <c r="C48" s="39" t="s">
        <v>4571</v>
      </c>
      <c r="D48" s="36">
        <v>46.0</v>
      </c>
      <c r="G48" s="232" t="s">
        <v>4671</v>
      </c>
      <c r="H48" s="232"/>
      <c r="I48" s="233" t="s">
        <v>4672</v>
      </c>
      <c r="J48" s="232" t="s">
        <v>5508</v>
      </c>
    </row>
    <row r="49" ht="15.75" customHeight="1">
      <c r="A49" s="36" t="s">
        <v>1836</v>
      </c>
      <c r="C49" s="39" t="s">
        <v>4572</v>
      </c>
      <c r="D49" s="36">
        <v>47.0</v>
      </c>
      <c r="G49" s="232" t="s">
        <v>4675</v>
      </c>
      <c r="H49" s="232"/>
      <c r="I49" s="233" t="s">
        <v>4676</v>
      </c>
      <c r="J49" s="232" t="s">
        <v>5508</v>
      </c>
    </row>
    <row r="50" ht="15.75" customHeight="1">
      <c r="A50" s="36" t="s">
        <v>4573</v>
      </c>
      <c r="B50" s="36" t="s">
        <v>4574</v>
      </c>
      <c r="D50" s="36">
        <v>48.0</v>
      </c>
      <c r="G50" s="232" t="s">
        <v>4677</v>
      </c>
      <c r="H50" s="232" t="s">
        <v>4678</v>
      </c>
      <c r="I50" s="233" t="s">
        <v>4676</v>
      </c>
      <c r="J50" s="232" t="s">
        <v>5508</v>
      </c>
    </row>
    <row r="51" ht="15.75" customHeight="1">
      <c r="A51" s="31" t="s">
        <v>4575</v>
      </c>
      <c r="B51" s="31" t="s">
        <v>4576</v>
      </c>
      <c r="C51" s="32" t="s">
        <v>4577</v>
      </c>
      <c r="D51" s="36">
        <v>49.0</v>
      </c>
      <c r="G51" s="232" t="s">
        <v>4679</v>
      </c>
      <c r="H51" s="232"/>
      <c r="I51" s="233" t="s">
        <v>4680</v>
      </c>
      <c r="J51" s="232" t="s">
        <v>5508</v>
      </c>
    </row>
    <row r="52" ht="15.75" customHeight="1">
      <c r="A52" s="34" t="s">
        <v>4578</v>
      </c>
      <c r="B52" s="34" t="s">
        <v>4579</v>
      </c>
      <c r="C52" s="35" t="s">
        <v>4577</v>
      </c>
      <c r="D52" s="34">
        <v>50.0</v>
      </c>
      <c r="E52" s="34" t="s">
        <v>261</v>
      </c>
      <c r="G52" s="232" t="s">
        <v>4681</v>
      </c>
      <c r="H52" s="232"/>
      <c r="I52" s="233" t="s">
        <v>4682</v>
      </c>
      <c r="J52" s="232" t="s">
        <v>5508</v>
      </c>
    </row>
    <row r="53" ht="15.75" customHeight="1">
      <c r="A53" s="34" t="s">
        <v>4580</v>
      </c>
      <c r="B53" s="34"/>
      <c r="C53" s="35" t="s">
        <v>4581</v>
      </c>
      <c r="D53" s="34">
        <v>51.0</v>
      </c>
      <c r="E53" s="34" t="s">
        <v>261</v>
      </c>
      <c r="G53" s="232" t="s">
        <v>4683</v>
      </c>
      <c r="H53" s="232"/>
      <c r="I53" s="233" t="s">
        <v>4684</v>
      </c>
      <c r="J53" s="232" t="s">
        <v>5508</v>
      </c>
    </row>
    <row r="54" ht="15.75" customHeight="1">
      <c r="A54" s="34" t="s">
        <v>4582</v>
      </c>
      <c r="B54" s="34" t="s">
        <v>4583</v>
      </c>
      <c r="C54" s="35" t="s">
        <v>4584</v>
      </c>
      <c r="D54" s="34">
        <v>52.0</v>
      </c>
      <c r="E54" s="34" t="s">
        <v>261</v>
      </c>
      <c r="G54" s="232" t="s">
        <v>4685</v>
      </c>
      <c r="H54" s="232" t="s">
        <v>4686</v>
      </c>
      <c r="I54" s="233" t="s">
        <v>4687</v>
      </c>
      <c r="J54" s="232" t="s">
        <v>5508</v>
      </c>
    </row>
    <row r="55" ht="15.75" customHeight="1">
      <c r="A55" s="34" t="s">
        <v>4585</v>
      </c>
      <c r="B55" s="34" t="s">
        <v>4586</v>
      </c>
      <c r="C55" s="35" t="s">
        <v>4587</v>
      </c>
      <c r="D55" s="34">
        <v>53.0</v>
      </c>
      <c r="E55" s="34" t="s">
        <v>261</v>
      </c>
      <c r="G55" s="232" t="s">
        <v>1839</v>
      </c>
      <c r="H55" s="232" t="s">
        <v>4688</v>
      </c>
      <c r="I55" s="233" t="s">
        <v>4689</v>
      </c>
      <c r="J55" s="232" t="s">
        <v>5508</v>
      </c>
    </row>
    <row r="56" ht="15.75" customHeight="1">
      <c r="A56" s="34" t="s">
        <v>4588</v>
      </c>
      <c r="B56" s="34" t="s">
        <v>4589</v>
      </c>
      <c r="C56" s="35" t="s">
        <v>4590</v>
      </c>
      <c r="D56" s="34">
        <v>54.0</v>
      </c>
      <c r="E56" s="34" t="s">
        <v>261</v>
      </c>
      <c r="G56" s="232" t="s">
        <v>1842</v>
      </c>
      <c r="H56" s="232"/>
      <c r="I56" s="233" t="s">
        <v>4690</v>
      </c>
      <c r="J56" s="232" t="s">
        <v>5508</v>
      </c>
    </row>
    <row r="57" ht="15.75" customHeight="1">
      <c r="A57" s="36" t="s">
        <v>1819</v>
      </c>
      <c r="B57" s="36" t="s">
        <v>1820</v>
      </c>
      <c r="C57" s="39" t="s">
        <v>4591</v>
      </c>
      <c r="D57" s="36">
        <v>55.0</v>
      </c>
      <c r="G57" s="232" t="s">
        <v>4691</v>
      </c>
      <c r="H57" s="232"/>
      <c r="I57" s="233" t="s">
        <v>4692</v>
      </c>
      <c r="J57" s="232" t="s">
        <v>5508</v>
      </c>
    </row>
    <row r="58" ht="15.75" customHeight="1">
      <c r="A58" s="36" t="s">
        <v>4592</v>
      </c>
      <c r="B58" s="36" t="s">
        <v>4593</v>
      </c>
      <c r="D58" s="36">
        <v>56.0</v>
      </c>
      <c r="G58" s="232" t="s">
        <v>4701</v>
      </c>
      <c r="H58" s="232" t="s">
        <v>4702</v>
      </c>
      <c r="I58" s="233" t="s">
        <v>4703</v>
      </c>
      <c r="J58" s="232" t="s">
        <v>5508</v>
      </c>
    </row>
    <row r="59" ht="15.75" customHeight="1">
      <c r="A59" s="31" t="s">
        <v>4594</v>
      </c>
      <c r="B59" s="31" t="s">
        <v>4595</v>
      </c>
      <c r="C59" s="32" t="s">
        <v>4596</v>
      </c>
      <c r="D59" s="36">
        <v>57.0</v>
      </c>
      <c r="G59" s="232" t="s">
        <v>4704</v>
      </c>
      <c r="H59" s="232"/>
      <c r="I59" s="233" t="s">
        <v>4705</v>
      </c>
      <c r="J59" s="232" t="s">
        <v>5508</v>
      </c>
    </row>
    <row r="60" ht="15.75" customHeight="1">
      <c r="A60" s="31" t="s">
        <v>4597</v>
      </c>
      <c r="B60" s="31" t="s">
        <v>4598</v>
      </c>
      <c r="C60" s="32" t="s">
        <v>4599</v>
      </c>
      <c r="D60" s="36">
        <v>58.0</v>
      </c>
      <c r="G60" s="232" t="s">
        <v>4706</v>
      </c>
      <c r="H60" s="232" t="s">
        <v>4707</v>
      </c>
      <c r="I60" s="232"/>
      <c r="J60" s="232" t="s">
        <v>5508</v>
      </c>
    </row>
    <row r="61" ht="15.75" customHeight="1">
      <c r="A61" s="31" t="s">
        <v>4600</v>
      </c>
      <c r="B61" s="31" t="s">
        <v>4601</v>
      </c>
      <c r="C61" s="32" t="s">
        <v>4602</v>
      </c>
      <c r="D61" s="36">
        <v>59.0</v>
      </c>
      <c r="G61" s="234" t="s">
        <v>4708</v>
      </c>
      <c r="H61" s="234"/>
      <c r="I61" s="235" t="s">
        <v>4709</v>
      </c>
      <c r="J61" s="234" t="s">
        <v>4977</v>
      </c>
    </row>
    <row r="62" ht="15.75" customHeight="1">
      <c r="A62" s="31" t="s">
        <v>4603</v>
      </c>
      <c r="B62" s="31" t="s">
        <v>4604</v>
      </c>
      <c r="C62" s="32" t="s">
        <v>4605</v>
      </c>
      <c r="D62" s="36">
        <v>60.0</v>
      </c>
      <c r="G62" s="234" t="s">
        <v>4710</v>
      </c>
      <c r="H62" s="234" t="s">
        <v>4711</v>
      </c>
      <c r="I62" s="235" t="s">
        <v>4712</v>
      </c>
      <c r="J62" s="234" t="s">
        <v>464</v>
      </c>
    </row>
    <row r="63" ht="15.75" customHeight="1">
      <c r="A63" s="36" t="s">
        <v>4606</v>
      </c>
      <c r="B63" s="36" t="s">
        <v>4607</v>
      </c>
      <c r="D63" s="36">
        <v>61.0</v>
      </c>
      <c r="G63" s="234" t="s">
        <v>4713</v>
      </c>
      <c r="H63" s="234" t="s">
        <v>4714</v>
      </c>
      <c r="I63" s="234"/>
      <c r="J63" s="234" t="s">
        <v>464</v>
      </c>
    </row>
    <row r="64" ht="15.75" customHeight="1">
      <c r="A64" s="36" t="s">
        <v>4608</v>
      </c>
      <c r="B64" s="36" t="s">
        <v>4609</v>
      </c>
      <c r="C64" s="39" t="s">
        <v>4610</v>
      </c>
      <c r="D64" s="36">
        <v>62.0</v>
      </c>
      <c r="G64" s="234" t="s">
        <v>4715</v>
      </c>
      <c r="H64" s="234" t="s">
        <v>4716</v>
      </c>
      <c r="I64" s="235" t="s">
        <v>4717</v>
      </c>
      <c r="J64" s="234" t="s">
        <v>464</v>
      </c>
    </row>
    <row r="65" ht="15.75" customHeight="1">
      <c r="A65" s="36" t="s">
        <v>4611</v>
      </c>
      <c r="B65" s="36" t="s">
        <v>4612</v>
      </c>
      <c r="C65" s="39" t="s">
        <v>4613</v>
      </c>
      <c r="D65" s="36">
        <v>63.0</v>
      </c>
      <c r="G65" s="234" t="s">
        <v>4719</v>
      </c>
      <c r="H65" s="234" t="s">
        <v>4720</v>
      </c>
      <c r="I65" s="235" t="s">
        <v>4721</v>
      </c>
      <c r="J65" s="234" t="s">
        <v>464</v>
      </c>
    </row>
    <row r="66" ht="15.75" customHeight="1">
      <c r="A66" s="31" t="s">
        <v>4614</v>
      </c>
      <c r="B66" s="31" t="s">
        <v>4615</v>
      </c>
      <c r="C66" s="32" t="s">
        <v>4616</v>
      </c>
      <c r="D66" s="36">
        <v>64.0</v>
      </c>
      <c r="G66" s="234" t="s">
        <v>4722</v>
      </c>
      <c r="H66" s="234" t="s">
        <v>4723</v>
      </c>
      <c r="I66" s="235" t="s">
        <v>4724</v>
      </c>
      <c r="J66" s="234" t="s">
        <v>464</v>
      </c>
    </row>
    <row r="67" ht="15.75" hidden="1" customHeight="1">
      <c r="A67" s="36" t="s">
        <v>4617</v>
      </c>
      <c r="B67" s="36" t="s">
        <v>4618</v>
      </c>
      <c r="C67" s="39" t="s">
        <v>4619</v>
      </c>
      <c r="D67" s="36">
        <v>65.0</v>
      </c>
      <c r="G67" s="36" t="s">
        <v>4725</v>
      </c>
      <c r="H67" s="36" t="s">
        <v>4726</v>
      </c>
      <c r="I67" s="39" t="s">
        <v>4727</v>
      </c>
    </row>
    <row r="68" ht="15.75" customHeight="1">
      <c r="A68" s="36" t="s">
        <v>4620</v>
      </c>
      <c r="B68" s="36" t="s">
        <v>4621</v>
      </c>
      <c r="C68" s="39" t="s">
        <v>4622</v>
      </c>
      <c r="D68" s="36">
        <v>66.0</v>
      </c>
      <c r="G68" s="234" t="s">
        <v>4728</v>
      </c>
      <c r="H68" s="234" t="s">
        <v>4729</v>
      </c>
      <c r="I68" s="235" t="s">
        <v>4730</v>
      </c>
      <c r="J68" s="36" t="s">
        <v>4977</v>
      </c>
    </row>
    <row r="69" ht="15.75" customHeight="1">
      <c r="A69" s="36" t="s">
        <v>4623</v>
      </c>
      <c r="B69" s="36" t="s">
        <v>4624</v>
      </c>
      <c r="C69" s="39" t="s">
        <v>4625</v>
      </c>
      <c r="D69" s="36">
        <v>67.0</v>
      </c>
      <c r="G69" s="234" t="s">
        <v>4731</v>
      </c>
      <c r="H69" s="234" t="s">
        <v>4732</v>
      </c>
      <c r="I69" s="235" t="s">
        <v>4733</v>
      </c>
      <c r="J69" s="36" t="s">
        <v>4977</v>
      </c>
    </row>
    <row r="70" ht="15.75" customHeight="1">
      <c r="A70" s="36" t="s">
        <v>4626</v>
      </c>
      <c r="B70" s="36" t="s">
        <v>4627</v>
      </c>
      <c r="C70" s="39" t="s">
        <v>4628</v>
      </c>
      <c r="D70" s="36">
        <v>68.0</v>
      </c>
      <c r="G70" s="234" t="s">
        <v>4734</v>
      </c>
      <c r="H70" s="234" t="s">
        <v>4735</v>
      </c>
      <c r="I70" s="235" t="s">
        <v>4736</v>
      </c>
      <c r="J70" s="36" t="s">
        <v>4977</v>
      </c>
    </row>
    <row r="71" ht="15.75" customHeight="1">
      <c r="A71" s="36" t="s">
        <v>4629</v>
      </c>
      <c r="B71" s="36" t="s">
        <v>4630</v>
      </c>
      <c r="C71" s="39" t="s">
        <v>4631</v>
      </c>
      <c r="D71" s="36">
        <v>69.0</v>
      </c>
      <c r="G71" s="234" t="s">
        <v>1493</v>
      </c>
      <c r="H71" s="234" t="s">
        <v>4737</v>
      </c>
      <c r="I71" s="234"/>
      <c r="J71" s="36" t="s">
        <v>4977</v>
      </c>
    </row>
    <row r="72" ht="15.75" customHeight="1">
      <c r="A72" s="36" t="s">
        <v>4632</v>
      </c>
      <c r="C72" s="39" t="s">
        <v>4633</v>
      </c>
      <c r="D72" s="36">
        <v>70.0</v>
      </c>
      <c r="G72" s="236" t="s">
        <v>4683</v>
      </c>
      <c r="H72" s="236"/>
      <c r="I72" s="237" t="s">
        <v>4684</v>
      </c>
      <c r="J72" s="36" t="s">
        <v>4977</v>
      </c>
    </row>
    <row r="73" ht="15.75" customHeight="1">
      <c r="A73" s="45" t="s">
        <v>4634</v>
      </c>
      <c r="B73" s="45"/>
      <c r="C73" s="238" t="s">
        <v>4616</v>
      </c>
      <c r="D73" s="36">
        <v>71.0</v>
      </c>
      <c r="G73" s="236" t="s">
        <v>4685</v>
      </c>
      <c r="H73" s="236" t="s">
        <v>4686</v>
      </c>
      <c r="I73" s="237" t="s">
        <v>4687</v>
      </c>
      <c r="J73" s="36" t="s">
        <v>4977</v>
      </c>
    </row>
    <row r="74" ht="15.75" customHeight="1">
      <c r="A74" s="36" t="s">
        <v>4635</v>
      </c>
      <c r="B74" s="36" t="s">
        <v>4636</v>
      </c>
      <c r="C74" s="39" t="s">
        <v>4637</v>
      </c>
      <c r="D74" s="36">
        <v>72.0</v>
      </c>
      <c r="G74" s="236" t="s">
        <v>1839</v>
      </c>
      <c r="H74" s="236" t="s">
        <v>4688</v>
      </c>
      <c r="I74" s="237" t="s">
        <v>4689</v>
      </c>
      <c r="J74" s="36" t="s">
        <v>5509</v>
      </c>
    </row>
    <row r="75" ht="15.75" customHeight="1">
      <c r="A75" s="36" t="s">
        <v>4638</v>
      </c>
      <c r="B75" s="36" t="s">
        <v>4639</v>
      </c>
      <c r="C75" s="36" t="s">
        <v>198</v>
      </c>
      <c r="D75" s="36">
        <v>73.0</v>
      </c>
      <c r="G75" s="236" t="s">
        <v>1842</v>
      </c>
      <c r="H75" s="236"/>
      <c r="I75" s="237" t="s">
        <v>4690</v>
      </c>
      <c r="J75" s="36" t="s">
        <v>5509</v>
      </c>
    </row>
    <row r="76" ht="15.75" customHeight="1">
      <c r="A76" s="36" t="s">
        <v>4640</v>
      </c>
      <c r="B76" s="36" t="s">
        <v>4641</v>
      </c>
      <c r="C76" s="39" t="s">
        <v>4642</v>
      </c>
      <c r="D76" s="36">
        <v>74.0</v>
      </c>
      <c r="G76" s="236" t="s">
        <v>4691</v>
      </c>
      <c r="H76" s="236"/>
      <c r="I76" s="237" t="s">
        <v>4692</v>
      </c>
      <c r="J76" s="36" t="s">
        <v>5509</v>
      </c>
    </row>
    <row r="77" ht="15.75" customHeight="1">
      <c r="A77" s="36" t="s">
        <v>4643</v>
      </c>
      <c r="B77" s="36" t="s">
        <v>4644</v>
      </c>
      <c r="D77" s="36">
        <v>75.0</v>
      </c>
      <c r="G77" s="236" t="s">
        <v>4701</v>
      </c>
      <c r="H77" s="236" t="s">
        <v>4702</v>
      </c>
      <c r="I77" s="237" t="s">
        <v>4703</v>
      </c>
      <c r="J77" s="36" t="s">
        <v>5509</v>
      </c>
    </row>
    <row r="78" ht="15.75" customHeight="1">
      <c r="A78" s="31" t="s">
        <v>4645</v>
      </c>
      <c r="B78" s="31" t="s">
        <v>4646</v>
      </c>
      <c r="C78" s="32" t="s">
        <v>4647</v>
      </c>
      <c r="D78" s="36">
        <v>76.0</v>
      </c>
      <c r="G78" s="236" t="s">
        <v>4704</v>
      </c>
      <c r="H78" s="236"/>
      <c r="I78" s="237" t="s">
        <v>4705</v>
      </c>
      <c r="J78" s="36" t="s">
        <v>5509</v>
      </c>
    </row>
    <row r="79" ht="15.75" customHeight="1">
      <c r="A79" s="36" t="s">
        <v>4648</v>
      </c>
      <c r="B79" s="36" t="s">
        <v>4649</v>
      </c>
      <c r="C79" s="39" t="s">
        <v>4650</v>
      </c>
      <c r="D79" s="36">
        <v>77.0</v>
      </c>
    </row>
    <row r="80" ht="15.75" customHeight="1">
      <c r="A80" s="36" t="s">
        <v>4651</v>
      </c>
      <c r="B80" s="36" t="s">
        <v>4652</v>
      </c>
      <c r="C80" s="39" t="s">
        <v>4653</v>
      </c>
      <c r="D80" s="36">
        <v>78.0</v>
      </c>
    </row>
    <row r="81" ht="15.75" customHeight="1">
      <c r="A81" s="36" t="s">
        <v>4654</v>
      </c>
      <c r="C81" s="39" t="s">
        <v>4655</v>
      </c>
      <c r="D81" s="36">
        <v>79.0</v>
      </c>
    </row>
    <row r="82" ht="15.75" customHeight="1">
      <c r="A82" s="36" t="s">
        <v>4656</v>
      </c>
      <c r="B82" s="36" t="s">
        <v>4657</v>
      </c>
      <c r="C82" s="39" t="s">
        <v>4658</v>
      </c>
      <c r="D82" s="36">
        <v>80.0</v>
      </c>
    </row>
    <row r="83" ht="15.75" customHeight="1">
      <c r="A83" s="36" t="s">
        <v>4659</v>
      </c>
      <c r="B83" s="36" t="s">
        <v>4660</v>
      </c>
      <c r="D83" s="36">
        <v>81.0</v>
      </c>
    </row>
    <row r="84" ht="15.75" customHeight="1">
      <c r="A84" s="36" t="s">
        <v>4661</v>
      </c>
      <c r="B84" s="36" t="s">
        <v>4662</v>
      </c>
      <c r="C84" s="39" t="s">
        <v>4663</v>
      </c>
      <c r="D84" s="36">
        <v>82.0</v>
      </c>
    </row>
    <row r="85" ht="15.75" customHeight="1">
      <c r="A85" s="36" t="s">
        <v>4664</v>
      </c>
      <c r="B85" s="36" t="s">
        <v>4665</v>
      </c>
      <c r="C85" s="39" t="s">
        <v>4666</v>
      </c>
      <c r="D85" s="36">
        <v>83.0</v>
      </c>
    </row>
    <row r="86" ht="15.75" customHeight="1">
      <c r="A86" s="36" t="s">
        <v>4667</v>
      </c>
      <c r="B86" s="36" t="s">
        <v>4668</v>
      </c>
      <c r="C86" s="39" t="s">
        <v>4669</v>
      </c>
      <c r="D86" s="36">
        <v>84.0</v>
      </c>
    </row>
    <row r="87" ht="15.75" customHeight="1">
      <c r="A87" s="36" t="s">
        <v>1822</v>
      </c>
      <c r="B87" s="36" t="s">
        <v>1823</v>
      </c>
      <c r="C87" s="39" t="s">
        <v>4670</v>
      </c>
      <c r="D87" s="36">
        <v>85.0</v>
      </c>
    </row>
    <row r="88" ht="15.75" customHeight="1">
      <c r="A88" s="36" t="s">
        <v>4671</v>
      </c>
      <c r="C88" s="39" t="s">
        <v>4672</v>
      </c>
      <c r="D88" s="36">
        <v>86.0</v>
      </c>
      <c r="F88" s="36"/>
      <c r="H88" s="36"/>
    </row>
    <row r="89" ht="15.75" customHeight="1">
      <c r="A89" s="31" t="s">
        <v>4673</v>
      </c>
      <c r="B89" s="31"/>
      <c r="C89" s="32" t="s">
        <v>4674</v>
      </c>
      <c r="D89" s="36">
        <v>87.0</v>
      </c>
      <c r="F89" s="30"/>
      <c r="G89" s="30"/>
      <c r="H89" s="30"/>
    </row>
    <row r="90" ht="15.75" customHeight="1">
      <c r="A90" s="36" t="s">
        <v>4675</v>
      </c>
      <c r="C90" s="39" t="s">
        <v>4676</v>
      </c>
      <c r="D90" s="36">
        <v>88.0</v>
      </c>
      <c r="F90" s="36"/>
      <c r="G90" s="36"/>
      <c r="H90" s="36"/>
    </row>
    <row r="91" ht="15.75" customHeight="1">
      <c r="A91" s="36" t="s">
        <v>4677</v>
      </c>
      <c r="B91" s="36" t="s">
        <v>4678</v>
      </c>
      <c r="C91" s="39" t="s">
        <v>4676</v>
      </c>
      <c r="D91" s="36">
        <v>89.0</v>
      </c>
      <c r="F91" s="36"/>
      <c r="G91" s="36"/>
      <c r="H91" s="36"/>
    </row>
    <row r="92" ht="15.75" customHeight="1">
      <c r="A92" s="36" t="s">
        <v>4679</v>
      </c>
      <c r="C92" s="39" t="s">
        <v>4680</v>
      </c>
      <c r="D92" s="36">
        <v>90.0</v>
      </c>
      <c r="F92" s="36"/>
      <c r="G92" s="36"/>
      <c r="H92" s="36"/>
    </row>
    <row r="93" ht="15.75" customHeight="1">
      <c r="A93" s="36" t="s">
        <v>4681</v>
      </c>
      <c r="C93" s="39" t="s">
        <v>4682</v>
      </c>
      <c r="D93" s="36">
        <v>91.0</v>
      </c>
    </row>
    <row r="94" ht="15.75" customHeight="1">
      <c r="A94" s="36" t="s">
        <v>4683</v>
      </c>
      <c r="C94" s="39" t="s">
        <v>4684</v>
      </c>
      <c r="D94" s="36">
        <v>92.0</v>
      </c>
    </row>
    <row r="95" ht="15.75" customHeight="1">
      <c r="A95" s="36" t="s">
        <v>4685</v>
      </c>
      <c r="B95" s="36" t="s">
        <v>4686</v>
      </c>
      <c r="C95" s="39" t="s">
        <v>4687</v>
      </c>
      <c r="D95" s="36">
        <v>93.0</v>
      </c>
      <c r="F95" s="36"/>
      <c r="G95" s="36"/>
      <c r="H95" s="36"/>
    </row>
    <row r="96" ht="15.75" customHeight="1">
      <c r="A96" s="36" t="s">
        <v>1839</v>
      </c>
      <c r="B96" s="36" t="s">
        <v>4688</v>
      </c>
      <c r="C96" s="39" t="s">
        <v>4689</v>
      </c>
      <c r="D96" s="36">
        <v>94.0</v>
      </c>
    </row>
    <row r="97" ht="15.75" customHeight="1">
      <c r="A97" s="36" t="s">
        <v>1842</v>
      </c>
      <c r="C97" s="39" t="s">
        <v>4690</v>
      </c>
      <c r="D97" s="36">
        <v>95.0</v>
      </c>
    </row>
    <row r="98" ht="15.75" customHeight="1">
      <c r="A98" s="36" t="s">
        <v>4691</v>
      </c>
      <c r="B98" s="36"/>
      <c r="C98" s="39" t="s">
        <v>4692</v>
      </c>
      <c r="D98" s="36">
        <v>96.0</v>
      </c>
    </row>
    <row r="99" ht="15.75" customHeight="1">
      <c r="A99" s="36" t="s">
        <v>4693</v>
      </c>
      <c r="B99" s="36" t="s">
        <v>4694</v>
      </c>
      <c r="C99" s="36" t="s">
        <v>198</v>
      </c>
      <c r="D99" s="36">
        <v>97.0</v>
      </c>
    </row>
    <row r="100" ht="15.75" customHeight="1">
      <c r="A100" s="31" t="s">
        <v>4695</v>
      </c>
      <c r="B100" s="31" t="s">
        <v>4696</v>
      </c>
      <c r="C100" s="32" t="s">
        <v>4697</v>
      </c>
      <c r="D100" s="36">
        <v>98.0</v>
      </c>
    </row>
    <row r="101" ht="15.75" customHeight="1">
      <c r="A101" s="31" t="s">
        <v>4698</v>
      </c>
      <c r="B101" s="31" t="s">
        <v>4699</v>
      </c>
      <c r="C101" s="32" t="s">
        <v>4700</v>
      </c>
      <c r="D101" s="36">
        <v>99.0</v>
      </c>
    </row>
    <row r="102" ht="15.75" customHeight="1">
      <c r="A102" s="36" t="s">
        <v>4701</v>
      </c>
      <c r="B102" s="36" t="s">
        <v>4702</v>
      </c>
      <c r="C102" s="39" t="s">
        <v>4703</v>
      </c>
      <c r="D102" s="36">
        <v>100.0</v>
      </c>
    </row>
    <row r="103" ht="15.75" customHeight="1">
      <c r="A103" s="36" t="s">
        <v>4704</v>
      </c>
      <c r="C103" s="39" t="s">
        <v>4705</v>
      </c>
      <c r="D103" s="36">
        <v>101.0</v>
      </c>
    </row>
    <row r="104" ht="15.75" customHeight="1">
      <c r="A104" s="36" t="s">
        <v>4706</v>
      </c>
      <c r="B104" s="36" t="s">
        <v>4707</v>
      </c>
      <c r="D104" s="36">
        <v>102.0</v>
      </c>
    </row>
    <row r="105" ht="15.75" customHeight="1">
      <c r="A105" s="36" t="s">
        <v>4708</v>
      </c>
      <c r="C105" s="39" t="s">
        <v>4709</v>
      </c>
      <c r="D105" s="36">
        <v>103.0</v>
      </c>
    </row>
    <row r="106" ht="15.75" customHeight="1">
      <c r="A106" s="36" t="s">
        <v>4710</v>
      </c>
      <c r="B106" s="36" t="s">
        <v>4711</v>
      </c>
      <c r="C106" s="39" t="s">
        <v>4712</v>
      </c>
      <c r="D106" s="36">
        <v>104.0</v>
      </c>
    </row>
    <row r="107" ht="15.75" customHeight="1">
      <c r="A107" s="36" t="s">
        <v>4713</v>
      </c>
      <c r="B107" s="36" t="s">
        <v>4714</v>
      </c>
      <c r="D107" s="36">
        <v>105.0</v>
      </c>
    </row>
    <row r="108" ht="15.75" customHeight="1">
      <c r="A108" s="36" t="s">
        <v>4715</v>
      </c>
      <c r="B108" s="36" t="s">
        <v>4716</v>
      </c>
      <c r="C108" s="39" t="s">
        <v>4717</v>
      </c>
      <c r="D108" s="36">
        <v>106.0</v>
      </c>
    </row>
    <row r="109" ht="15.75" customHeight="1">
      <c r="A109" s="31" t="s">
        <v>4718</v>
      </c>
      <c r="B109" s="31" t="s">
        <v>1428</v>
      </c>
      <c r="C109" s="32" t="s">
        <v>1429</v>
      </c>
      <c r="D109" s="36">
        <v>107.0</v>
      </c>
    </row>
    <row r="110" ht="15.75" customHeight="1">
      <c r="A110" s="36" t="s">
        <v>4719</v>
      </c>
      <c r="B110" s="36" t="s">
        <v>4720</v>
      </c>
      <c r="C110" s="39" t="s">
        <v>4721</v>
      </c>
      <c r="D110" s="36">
        <v>108.0</v>
      </c>
    </row>
    <row r="111" ht="15.75" customHeight="1">
      <c r="A111" s="36" t="s">
        <v>4722</v>
      </c>
      <c r="B111" s="36" t="s">
        <v>4723</v>
      </c>
      <c r="C111" s="39" t="s">
        <v>4724</v>
      </c>
      <c r="D111" s="36">
        <v>109.0</v>
      </c>
    </row>
    <row r="112" ht="15.75" customHeight="1">
      <c r="A112" s="36" t="s">
        <v>4725</v>
      </c>
      <c r="B112" s="36" t="s">
        <v>4726</v>
      </c>
      <c r="C112" s="39" t="s">
        <v>4727</v>
      </c>
      <c r="D112" s="36">
        <v>110.0</v>
      </c>
    </row>
    <row r="113" ht="15.75" customHeight="1">
      <c r="A113" s="36" t="s">
        <v>4728</v>
      </c>
      <c r="B113" s="36" t="s">
        <v>4729</v>
      </c>
      <c r="C113" s="39" t="s">
        <v>4730</v>
      </c>
      <c r="D113" s="36">
        <v>111.0</v>
      </c>
    </row>
    <row r="114" ht="15.75" customHeight="1">
      <c r="A114" s="36" t="s">
        <v>4731</v>
      </c>
      <c r="B114" s="36" t="s">
        <v>4732</v>
      </c>
      <c r="C114" s="39" t="s">
        <v>4733</v>
      </c>
      <c r="D114" s="36">
        <v>112.0</v>
      </c>
    </row>
    <row r="115" ht="15.75" customHeight="1">
      <c r="A115" s="36" t="s">
        <v>4734</v>
      </c>
      <c r="B115" s="36" t="s">
        <v>4735</v>
      </c>
      <c r="C115" s="39" t="s">
        <v>4736</v>
      </c>
      <c r="D115" s="36">
        <v>113.0</v>
      </c>
    </row>
    <row r="116" ht="15.75" customHeight="1">
      <c r="A116" s="36" t="s">
        <v>1493</v>
      </c>
      <c r="B116" s="36" t="s">
        <v>4737</v>
      </c>
      <c r="D116" s="36">
        <v>114.0</v>
      </c>
    </row>
    <row r="117" ht="15.75" customHeight="1">
      <c r="A117" s="36" t="s">
        <v>4738</v>
      </c>
      <c r="B117" s="36" t="s">
        <v>4739</v>
      </c>
      <c r="C117" s="39" t="s">
        <v>908</v>
      </c>
      <c r="D117" s="36">
        <v>115.0</v>
      </c>
    </row>
    <row r="118" ht="15.75" customHeight="1">
      <c r="A118" s="36" t="s">
        <v>914</v>
      </c>
      <c r="B118" s="36" t="s">
        <v>4740</v>
      </c>
      <c r="C118" s="39" t="s">
        <v>916</v>
      </c>
      <c r="D118" s="36">
        <v>116.0</v>
      </c>
    </row>
    <row r="119" ht="15.75" customHeight="1">
      <c r="A119" s="36" t="s">
        <v>950</v>
      </c>
      <c r="B119" s="36" t="s">
        <v>4741</v>
      </c>
      <c r="C119" s="36"/>
      <c r="D119" s="36">
        <v>117.0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19">
    <filterColumn colId="2">
      <filters blank="1">
        <filter val="+447704139123"/>
        <filter val="+447455099012"/>
        <filter val="+44753003-3330"/>
        <filter val="+447453325381"/>
        <filter val="+447736741791"/>
        <filter val="+4479850441118"/>
        <filter val="---"/>
        <filter val="+447976175881"/>
        <filter val="+447790052737"/>
        <filter val="+447706318628"/>
        <filter val="+971558565818"/>
        <filter val="+971555824804"/>
        <filter val="+447845649112"/>
        <filter val="+447909696656"/>
        <filter val="+447588759975"/>
        <filter val="+447832258447"/>
        <filter val="+971529399783"/>
        <filter val="+44795639-1171"/>
        <filter val="+447811438113"/>
        <filter val="+447977670205"/>
        <filter val="--"/>
        <filter val="+971566426826"/>
        <filter val="+971569888752"/>
        <filter val="+447834176241"/>
        <filter val="+971543441445"/>
        <filter val="+447809205124"/>
        <filter val="+971503942768"/>
        <filter val="+"/>
        <filter val="+447868436550"/>
        <filter val="+447786502941"/>
        <filter val="+971505519284"/>
        <filter val="+447788496796"/>
        <filter val="+3206565-3473"/>
        <filter val="+447530033330"/>
        <filter val="+440798497-6030"/>
        <filter val="+447453323681"/>
        <filter val="+447809368455"/>
        <filter val="+971050370727"/>
        <filter val="+447534408442"/>
        <filter val="+447801417345"/>
        <filter val="+447951682566"/>
        <filter val="+447711995119"/>
        <filter val="+447729280455"/>
        <filter val="+971565939731"/>
        <filter val="+7415193862"/>
        <filter val="+447973533462"/>
        <filter val="+971529903300"/>
        <filter val="+447475733357"/>
        <filter val="+971506285275"/>
        <filter val="+971529028584"/>
        <filter val="+31624401818"/>
        <filter val="+447415745219"/>
        <filter val="+44790969-6656"/>
        <filter val="+447970980326"/>
        <filter val="+447796554107 whatsapp//971501026047"/>
        <filter val="+97150366-4924"/>
        <filter val="+996533228295"/>
        <filter val="+447788178285"/>
        <filter val="056) 263-0287"/>
        <filter val="+44777256-6574"/>
        <filter val="+971554713081"/>
        <filter val="Mobile Number"/>
        <filter val="+447966864109"/>
        <filter val="+971565204703"/>
        <filter val="+447841494041"/>
        <filter val="+447810504994"/>
        <filter val="+44781050-4994"/>
        <filter val="+44788695-9373"/>
        <filter val="+447722556808"/>
        <filter val="+447816494466"/>
        <filter val="+971585772028"/>
        <filter val="+971585640501"/>
        <filter val="+447973797695"/>
        <filter val="+447809278988"/>
        <filter val="+44775775-8328"/>
        <filter val="+447951810590"/>
        <filter val="+44793000330"/>
        <filter val="+447769410093"/>
        <filter val="+447838125273"/>
        <filter val="+447449194919"/>
        <filter val="+447976916434"/>
        <filter val="+44779131-9849"/>
        <filter val="+966555640765"/>
        <filter val="+447925333587"/>
        <filter val="+447917862148"/>
        <filter val="+44791319849"/>
        <filter val="+971505566091"/>
        <filter val="+447711892252"/>
        <filter val="+447757758328"/>
        <filter val="+447932091679"/>
        <filter val="+447768446513"/>
        <filter val="+44792533-3587"/>
      </filters>
    </filterColumn>
  </autoFilter>
  <mergeCells count="2">
    <mergeCell ref="A1:C1"/>
    <mergeCell ref="G1:I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28.57"/>
    <col customWidth="1" min="3" max="3" width="31.43"/>
    <col customWidth="1" min="4" max="4" width="14.43"/>
    <col customWidth="1" min="5" max="5" width="17.29"/>
    <col customWidth="1" min="6" max="6" width="14.43"/>
  </cols>
  <sheetData>
    <row r="1" ht="15.75" customHeight="1">
      <c r="A1" s="239" t="s">
        <v>5510</v>
      </c>
    </row>
    <row r="2" ht="15.75" customHeight="1">
      <c r="A2" s="36" t="s">
        <v>110</v>
      </c>
      <c r="B2" s="36" t="s">
        <v>111</v>
      </c>
      <c r="C2" s="37" t="s">
        <v>879</v>
      </c>
      <c r="D2" s="36">
        <v>1.0</v>
      </c>
    </row>
    <row r="3" ht="15.75" customHeight="1">
      <c r="A3" s="34" t="s">
        <v>965</v>
      </c>
      <c r="B3" s="34" t="s">
        <v>966</v>
      </c>
      <c r="C3" s="35" t="s">
        <v>967</v>
      </c>
      <c r="D3" s="194">
        <v>2.0</v>
      </c>
      <c r="E3" s="194" t="s">
        <v>5511</v>
      </c>
    </row>
    <row r="4" ht="15.75" customHeight="1">
      <c r="A4" s="34" t="s">
        <v>1449</v>
      </c>
      <c r="B4" s="34" t="s">
        <v>198</v>
      </c>
      <c r="C4" s="35" t="s">
        <v>1450</v>
      </c>
      <c r="D4" s="194">
        <v>3.0</v>
      </c>
      <c r="E4" s="194" t="s">
        <v>5511</v>
      </c>
    </row>
    <row r="5" ht="15.75" customHeight="1">
      <c r="A5" s="34" t="s">
        <v>1456</v>
      </c>
      <c r="B5" s="34" t="s">
        <v>1457</v>
      </c>
      <c r="C5" s="35" t="s">
        <v>1458</v>
      </c>
      <c r="D5" s="194">
        <v>4.0</v>
      </c>
      <c r="E5" s="194" t="s">
        <v>5511</v>
      </c>
    </row>
    <row r="6" ht="15.75" customHeight="1">
      <c r="A6" s="34" t="s">
        <v>1459</v>
      </c>
      <c r="B6" s="34" t="s">
        <v>1460</v>
      </c>
      <c r="C6" s="35" t="s">
        <v>1461</v>
      </c>
      <c r="D6" s="194">
        <v>5.0</v>
      </c>
      <c r="E6" s="194" t="s">
        <v>5511</v>
      </c>
    </row>
    <row r="7" ht="15.75" customHeight="1">
      <c r="A7" s="34" t="s">
        <v>1462</v>
      </c>
      <c r="B7" s="34" t="s">
        <v>1463</v>
      </c>
      <c r="C7" s="96" t="s">
        <v>198</v>
      </c>
      <c r="D7" s="194">
        <v>6.0</v>
      </c>
      <c r="E7" s="194" t="s">
        <v>5511</v>
      </c>
    </row>
    <row r="8" ht="15.75" customHeight="1">
      <c r="A8" s="34" t="s">
        <v>1476</v>
      </c>
      <c r="B8" s="34" t="s">
        <v>1477</v>
      </c>
      <c r="C8" s="240" t="s">
        <v>5512</v>
      </c>
      <c r="D8" s="34">
        <v>7.0</v>
      </c>
      <c r="E8" s="34"/>
    </row>
    <row r="9" ht="15.75" customHeight="1">
      <c r="A9" s="31" t="s">
        <v>1479</v>
      </c>
      <c r="B9" s="31" t="s">
        <v>198</v>
      </c>
      <c r="C9" s="32" t="s">
        <v>1480</v>
      </c>
      <c r="D9" s="31">
        <v>8.0</v>
      </c>
      <c r="E9" s="31" t="s">
        <v>261</v>
      </c>
    </row>
    <row r="10" ht="15.75" customHeight="1">
      <c r="A10" s="34" t="s">
        <v>1481</v>
      </c>
      <c r="B10" s="34" t="s">
        <v>1482</v>
      </c>
      <c r="C10" s="35" t="s">
        <v>1478</v>
      </c>
      <c r="D10" s="34">
        <v>9.0</v>
      </c>
      <c r="E10" s="194" t="s">
        <v>5513</v>
      </c>
    </row>
    <row r="11" ht="15.75" customHeight="1">
      <c r="A11" s="34" t="s">
        <v>2418</v>
      </c>
      <c r="B11" s="34" t="s">
        <v>2419</v>
      </c>
      <c r="C11" s="35" t="s">
        <v>2420</v>
      </c>
      <c r="D11" s="34">
        <v>10.0</v>
      </c>
      <c r="E11" s="194" t="s">
        <v>5513</v>
      </c>
    </row>
    <row r="12" ht="15.75" customHeight="1">
      <c r="A12" s="34" t="s">
        <v>2426</v>
      </c>
      <c r="B12" s="34" t="s">
        <v>2427</v>
      </c>
      <c r="C12" s="35" t="s">
        <v>2428</v>
      </c>
      <c r="D12" s="34">
        <v>11.0</v>
      </c>
      <c r="E12" s="194" t="s">
        <v>5513</v>
      </c>
    </row>
    <row r="13" ht="15.75" customHeight="1">
      <c r="A13" s="34" t="s">
        <v>2429</v>
      </c>
      <c r="B13" s="34"/>
      <c r="C13" s="35" t="s">
        <v>2430</v>
      </c>
      <c r="D13" s="34">
        <v>12.0</v>
      </c>
      <c r="E13" s="194" t="s">
        <v>5513</v>
      </c>
    </row>
    <row r="14" ht="15.75" customHeight="1">
      <c r="A14" s="34" t="s">
        <v>2431</v>
      </c>
      <c r="B14" s="34" t="s">
        <v>2432</v>
      </c>
      <c r="C14" s="35" t="s">
        <v>2433</v>
      </c>
      <c r="D14" s="34">
        <v>13.0</v>
      </c>
      <c r="E14" s="194" t="s">
        <v>5513</v>
      </c>
    </row>
    <row r="15" ht="15.75" customHeight="1">
      <c r="A15" s="31" t="s">
        <v>2434</v>
      </c>
      <c r="B15" s="31"/>
      <c r="C15" s="32" t="s">
        <v>2435</v>
      </c>
      <c r="D15" s="31">
        <v>14.0</v>
      </c>
      <c r="E15" s="31" t="s">
        <v>261</v>
      </c>
    </row>
    <row r="16" ht="15.75" customHeight="1">
      <c r="A16" s="36" t="s">
        <v>2436</v>
      </c>
      <c r="B16" s="36" t="s">
        <v>2437</v>
      </c>
      <c r="C16" s="37" t="s">
        <v>198</v>
      </c>
      <c r="D16" s="36">
        <v>15.0</v>
      </c>
    </row>
    <row r="17" ht="15.75" customHeight="1">
      <c r="A17" s="34" t="s">
        <v>2438</v>
      </c>
      <c r="B17" s="34" t="s">
        <v>2439</v>
      </c>
      <c r="C17" s="35" t="s">
        <v>2440</v>
      </c>
      <c r="D17" s="34">
        <v>16.0</v>
      </c>
      <c r="E17" s="34" t="s">
        <v>5514</v>
      </c>
    </row>
    <row r="18" ht="15.75" customHeight="1">
      <c r="A18" s="34" t="s">
        <v>2441</v>
      </c>
      <c r="B18" s="34"/>
      <c r="C18" s="35" t="s">
        <v>2442</v>
      </c>
      <c r="D18" s="34">
        <v>17.0</v>
      </c>
      <c r="E18" s="34" t="s">
        <v>5125</v>
      </c>
    </row>
    <row r="19" ht="15.75" customHeight="1">
      <c r="A19" s="31" t="s">
        <v>2443</v>
      </c>
      <c r="B19" s="31" t="s">
        <v>2444</v>
      </c>
      <c r="C19" s="32" t="s">
        <v>2445</v>
      </c>
      <c r="D19" s="31">
        <v>18.0</v>
      </c>
      <c r="E19" s="31" t="s">
        <v>261</v>
      </c>
    </row>
    <row r="20" ht="15.75" customHeight="1">
      <c r="A20" s="34" t="s">
        <v>2446</v>
      </c>
      <c r="B20" s="34" t="s">
        <v>2447</v>
      </c>
      <c r="C20" s="35" t="s">
        <v>2448</v>
      </c>
      <c r="D20" s="34">
        <v>19.0</v>
      </c>
      <c r="E20" s="34" t="s">
        <v>5125</v>
      </c>
    </row>
    <row r="21" ht="15.75" customHeight="1">
      <c r="A21" s="34" t="s">
        <v>2449</v>
      </c>
      <c r="B21" s="34" t="s">
        <v>2450</v>
      </c>
      <c r="C21" s="35" t="s">
        <v>2451</v>
      </c>
      <c r="D21" s="34">
        <v>20.0</v>
      </c>
      <c r="E21" s="34" t="s">
        <v>261</v>
      </c>
    </row>
    <row r="22" ht="15.75" customHeight="1">
      <c r="A22" s="34" t="s">
        <v>2452</v>
      </c>
      <c r="B22" s="34" t="s">
        <v>2453</v>
      </c>
      <c r="C22" s="35" t="s">
        <v>2454</v>
      </c>
      <c r="D22" s="34">
        <v>21.0</v>
      </c>
      <c r="E22" s="34" t="s">
        <v>261</v>
      </c>
    </row>
    <row r="23" ht="15.75" customHeight="1">
      <c r="A23" s="34" t="s">
        <v>2455</v>
      </c>
      <c r="B23" s="34" t="s">
        <v>2456</v>
      </c>
      <c r="C23" s="35" t="s">
        <v>2457</v>
      </c>
      <c r="D23" s="34">
        <v>22.0</v>
      </c>
      <c r="E23" s="34" t="s">
        <v>261</v>
      </c>
    </row>
    <row r="24" ht="15.75" customHeight="1">
      <c r="A24" s="34" t="s">
        <v>2458</v>
      </c>
      <c r="B24" s="34"/>
      <c r="C24" s="35" t="s">
        <v>2459</v>
      </c>
      <c r="D24" s="34">
        <v>23.0</v>
      </c>
      <c r="E24" s="34" t="s">
        <v>261</v>
      </c>
    </row>
    <row r="25" ht="15.75" customHeight="1">
      <c r="A25" s="34" t="s">
        <v>2460</v>
      </c>
      <c r="B25" s="34" t="s">
        <v>2461</v>
      </c>
      <c r="C25" s="35" t="s">
        <v>2462</v>
      </c>
      <c r="D25" s="34">
        <v>24.0</v>
      </c>
      <c r="E25" s="34" t="s">
        <v>261</v>
      </c>
    </row>
    <row r="26" ht="15.75" customHeight="1">
      <c r="A26" s="36" t="s">
        <v>2463</v>
      </c>
      <c r="B26" s="36" t="s">
        <v>2464</v>
      </c>
      <c r="C26" s="37" t="s">
        <v>198</v>
      </c>
      <c r="D26" s="36">
        <v>25.0</v>
      </c>
    </row>
    <row r="27" ht="15.75" customHeight="1">
      <c r="A27" s="36" t="s">
        <v>2465</v>
      </c>
      <c r="B27" s="36" t="s">
        <v>2466</v>
      </c>
      <c r="C27" s="37"/>
      <c r="D27" s="36">
        <v>26.0</v>
      </c>
    </row>
    <row r="28" ht="15.75" customHeight="1">
      <c r="A28" s="38" t="s">
        <v>2467</v>
      </c>
      <c r="B28" s="38" t="s">
        <v>2468</v>
      </c>
      <c r="C28" s="205" t="s">
        <v>2469</v>
      </c>
      <c r="D28" s="38">
        <v>27.0</v>
      </c>
      <c r="E28" s="38" t="s">
        <v>5200</v>
      </c>
    </row>
    <row r="29" ht="15.75" customHeight="1">
      <c r="A29" s="34" t="s">
        <v>2470</v>
      </c>
      <c r="B29" s="34" t="s">
        <v>2471</v>
      </c>
      <c r="C29" s="35" t="s">
        <v>2472</v>
      </c>
      <c r="D29" s="34">
        <v>28.0</v>
      </c>
      <c r="E29" s="34" t="s">
        <v>116</v>
      </c>
    </row>
    <row r="30" ht="15.75" customHeight="1">
      <c r="A30" s="34" t="s">
        <v>2473</v>
      </c>
      <c r="B30" s="34" t="s">
        <v>2474</v>
      </c>
      <c r="C30" s="35" t="s">
        <v>2475</v>
      </c>
      <c r="D30" s="34">
        <v>29.0</v>
      </c>
      <c r="E30" s="34" t="s">
        <v>116</v>
      </c>
    </row>
    <row r="31" ht="15.75" customHeight="1">
      <c r="A31" s="34" t="s">
        <v>2476</v>
      </c>
      <c r="B31" s="34"/>
      <c r="C31" s="35" t="s">
        <v>2477</v>
      </c>
      <c r="D31" s="34">
        <v>30.0</v>
      </c>
      <c r="E31" s="34" t="s">
        <v>116</v>
      </c>
    </row>
    <row r="32" ht="15.75" customHeight="1">
      <c r="A32" s="34" t="s">
        <v>2478</v>
      </c>
      <c r="B32" s="34"/>
      <c r="C32" s="35" t="s">
        <v>2479</v>
      </c>
      <c r="D32" s="34">
        <v>31.0</v>
      </c>
      <c r="E32" s="34" t="s">
        <v>116</v>
      </c>
    </row>
    <row r="33" ht="15.75" customHeight="1">
      <c r="A33" s="34" t="s">
        <v>2483</v>
      </c>
      <c r="B33" s="34"/>
      <c r="C33" s="35" t="s">
        <v>2484</v>
      </c>
      <c r="D33" s="34">
        <v>32.0</v>
      </c>
      <c r="E33" s="34" t="s">
        <v>116</v>
      </c>
    </row>
    <row r="34" ht="15.75" customHeight="1">
      <c r="A34" s="34" t="s">
        <v>2485</v>
      </c>
      <c r="B34" s="34"/>
      <c r="C34" s="35" t="s">
        <v>2486</v>
      </c>
      <c r="D34" s="34">
        <v>33.0</v>
      </c>
      <c r="E34" s="34" t="s">
        <v>482</v>
      </c>
    </row>
    <row r="35" ht="15.75" customHeight="1">
      <c r="A35" s="34" t="s">
        <v>2487</v>
      </c>
      <c r="B35" s="34"/>
      <c r="C35" s="35" t="s">
        <v>2488</v>
      </c>
      <c r="D35" s="34">
        <v>34.0</v>
      </c>
      <c r="E35" s="34" t="s">
        <v>482</v>
      </c>
    </row>
    <row r="36" ht="15.75" customHeight="1">
      <c r="A36" s="34" t="s">
        <v>2489</v>
      </c>
      <c r="B36" s="34"/>
      <c r="C36" s="35" t="s">
        <v>2490</v>
      </c>
      <c r="D36" s="34">
        <v>35.0</v>
      </c>
      <c r="E36" s="34" t="s">
        <v>482</v>
      </c>
    </row>
    <row r="37" ht="15.75" customHeight="1">
      <c r="A37" s="34" t="s">
        <v>2491</v>
      </c>
      <c r="B37" s="34" t="s">
        <v>2492</v>
      </c>
      <c r="C37" s="35" t="s">
        <v>2493</v>
      </c>
      <c r="D37" s="34">
        <v>36.0</v>
      </c>
      <c r="E37" s="34" t="s">
        <v>482</v>
      </c>
    </row>
    <row r="38" ht="15.75" customHeight="1">
      <c r="A38" s="34" t="s">
        <v>2494</v>
      </c>
      <c r="B38" s="34" t="s">
        <v>2495</v>
      </c>
      <c r="C38" s="35" t="s">
        <v>2496</v>
      </c>
      <c r="D38" s="34">
        <v>37.0</v>
      </c>
      <c r="E38" s="34" t="s">
        <v>482</v>
      </c>
    </row>
    <row r="39" ht="15.75" customHeight="1">
      <c r="A39" s="38" t="s">
        <v>2497</v>
      </c>
      <c r="B39" s="38" t="s">
        <v>2498</v>
      </c>
      <c r="C39" s="205" t="s">
        <v>2499</v>
      </c>
      <c r="D39" s="38">
        <v>38.0</v>
      </c>
      <c r="E39" s="38" t="s">
        <v>261</v>
      </c>
    </row>
    <row r="40" ht="15.75" customHeight="1">
      <c r="A40" s="38" t="s">
        <v>2500</v>
      </c>
      <c r="B40" s="38" t="s">
        <v>2501</v>
      </c>
      <c r="C40" s="205" t="s">
        <v>2502</v>
      </c>
      <c r="D40" s="38">
        <v>39.0</v>
      </c>
      <c r="E40" s="38" t="s">
        <v>261</v>
      </c>
    </row>
    <row r="41" ht="15.75" customHeight="1">
      <c r="A41" s="38" t="s">
        <v>2503</v>
      </c>
      <c r="B41" s="38"/>
      <c r="C41" s="205" t="s">
        <v>2504</v>
      </c>
      <c r="D41" s="38">
        <v>40.0</v>
      </c>
      <c r="E41" s="38" t="s">
        <v>261</v>
      </c>
    </row>
    <row r="42" ht="15.75" customHeight="1">
      <c r="A42" s="241" t="s">
        <v>2505</v>
      </c>
      <c r="B42" s="241"/>
      <c r="C42" s="242" t="s">
        <v>2506</v>
      </c>
      <c r="D42" s="241">
        <v>41.0</v>
      </c>
      <c r="E42" s="241" t="s">
        <v>5515</v>
      </c>
    </row>
    <row r="43" ht="15.75" customHeight="1">
      <c r="A43" s="36" t="s">
        <v>2507</v>
      </c>
      <c r="B43" s="36" t="s">
        <v>2508</v>
      </c>
      <c r="C43" s="39" t="s">
        <v>2509</v>
      </c>
      <c r="D43" s="36">
        <v>42.0</v>
      </c>
      <c r="E43" s="36" t="s">
        <v>5200</v>
      </c>
    </row>
    <row r="44" ht="15.75" customHeight="1">
      <c r="A44" s="243" t="s">
        <v>2510</v>
      </c>
      <c r="B44" s="243" t="s">
        <v>2511</v>
      </c>
      <c r="C44" s="244" t="s">
        <v>2512</v>
      </c>
      <c r="D44" s="243">
        <v>43.0</v>
      </c>
      <c r="E44" s="243" t="s">
        <v>175</v>
      </c>
    </row>
    <row r="45" ht="15.75" customHeight="1">
      <c r="A45" s="34" t="s">
        <v>2513</v>
      </c>
      <c r="B45" s="34" t="s">
        <v>2514</v>
      </c>
      <c r="C45" s="35" t="s">
        <v>2515</v>
      </c>
      <c r="D45" s="34">
        <v>44.0</v>
      </c>
      <c r="E45" s="34" t="s">
        <v>175</v>
      </c>
    </row>
    <row r="46" ht="15.75" customHeight="1">
      <c r="A46" s="34" t="s">
        <v>2516</v>
      </c>
      <c r="B46" s="34"/>
      <c r="C46" s="35" t="s">
        <v>2517</v>
      </c>
      <c r="D46" s="34">
        <v>45.0</v>
      </c>
      <c r="E46" s="34" t="s">
        <v>175</v>
      </c>
    </row>
    <row r="47" ht="15.75" customHeight="1">
      <c r="A47" s="34" t="s">
        <v>2518</v>
      </c>
      <c r="B47" s="34" t="s">
        <v>2519</v>
      </c>
      <c r="C47" s="35" t="s">
        <v>2520</v>
      </c>
      <c r="D47" s="34">
        <v>46.0</v>
      </c>
      <c r="E47" s="34" t="s">
        <v>175</v>
      </c>
    </row>
    <row r="48" ht="15.75" customHeight="1">
      <c r="A48" s="34" t="s">
        <v>2521</v>
      </c>
      <c r="B48" s="34"/>
      <c r="C48" s="35" t="s">
        <v>2522</v>
      </c>
      <c r="D48" s="34">
        <v>47.0</v>
      </c>
      <c r="E48" s="34" t="s">
        <v>175</v>
      </c>
    </row>
    <row r="49" ht="15.75" customHeight="1">
      <c r="A49" s="36" t="s">
        <v>2523</v>
      </c>
      <c r="B49" s="36" t="s">
        <v>2524</v>
      </c>
      <c r="C49" s="37" t="s">
        <v>198</v>
      </c>
      <c r="D49" s="36">
        <v>48.0</v>
      </c>
    </row>
    <row r="50" ht="15.75" customHeight="1">
      <c r="A50" s="36" t="s">
        <v>2525</v>
      </c>
      <c r="B50" s="36" t="s">
        <v>2526</v>
      </c>
      <c r="C50" s="37" t="s">
        <v>198</v>
      </c>
      <c r="D50" s="36">
        <v>49.0</v>
      </c>
    </row>
    <row r="51" ht="15.75" customHeight="1">
      <c r="A51" s="36" t="s">
        <v>2527</v>
      </c>
      <c r="B51" s="36" t="s">
        <v>2528</v>
      </c>
      <c r="C51" s="37" t="s">
        <v>198</v>
      </c>
      <c r="D51" s="36">
        <v>50.0</v>
      </c>
    </row>
    <row r="52" ht="15.75" customHeight="1">
      <c r="A52" s="34" t="s">
        <v>2529</v>
      </c>
      <c r="B52" s="34" t="s">
        <v>198</v>
      </c>
      <c r="C52" s="35" t="s">
        <v>2530</v>
      </c>
      <c r="D52" s="34">
        <v>51.0</v>
      </c>
      <c r="E52" s="34" t="s">
        <v>5516</v>
      </c>
    </row>
    <row r="53" ht="15.75" customHeight="1">
      <c r="A53" s="34" t="s">
        <v>2531</v>
      </c>
      <c r="B53" s="34" t="s">
        <v>2532</v>
      </c>
      <c r="C53" s="35" t="s">
        <v>2533</v>
      </c>
      <c r="D53" s="34">
        <v>52.0</v>
      </c>
      <c r="E53" s="34" t="s">
        <v>5515</v>
      </c>
    </row>
    <row r="54" ht="15.75" customHeight="1">
      <c r="A54" s="34" t="s">
        <v>2534</v>
      </c>
      <c r="B54" s="34" t="s">
        <v>2535</v>
      </c>
      <c r="C54" s="35" t="s">
        <v>2536</v>
      </c>
      <c r="D54" s="34">
        <v>53.0</v>
      </c>
      <c r="E54" s="34" t="s">
        <v>5221</v>
      </c>
    </row>
    <row r="55" ht="15.75" customHeight="1">
      <c r="A55" s="34" t="s">
        <v>2537</v>
      </c>
      <c r="B55" s="34" t="s">
        <v>2538</v>
      </c>
      <c r="C55" s="35" t="s">
        <v>2539</v>
      </c>
      <c r="D55" s="34">
        <v>54.0</v>
      </c>
      <c r="E55" s="34" t="s">
        <v>5221</v>
      </c>
    </row>
    <row r="56" ht="15.75" customHeight="1">
      <c r="A56" s="34" t="s">
        <v>2540</v>
      </c>
      <c r="B56" s="34"/>
      <c r="C56" s="35" t="s">
        <v>2541</v>
      </c>
      <c r="D56" s="34">
        <v>55.0</v>
      </c>
      <c r="E56" s="34" t="s">
        <v>5221</v>
      </c>
    </row>
    <row r="57" ht="15.75" customHeight="1">
      <c r="A57" s="34" t="s">
        <v>2542</v>
      </c>
      <c r="B57" s="34"/>
      <c r="C57" s="35" t="s">
        <v>2543</v>
      </c>
      <c r="D57" s="34">
        <v>56.0</v>
      </c>
      <c r="E57" s="34" t="s">
        <v>5221</v>
      </c>
    </row>
    <row r="58" ht="15.75" customHeight="1">
      <c r="A58" s="34" t="s">
        <v>2544</v>
      </c>
      <c r="B58" s="34"/>
      <c r="C58" s="35" t="s">
        <v>2545</v>
      </c>
      <c r="D58" s="34">
        <v>57.0</v>
      </c>
      <c r="E58" s="34" t="s">
        <v>5221</v>
      </c>
    </row>
    <row r="59" ht="15.75" customHeight="1">
      <c r="A59" s="34" t="s">
        <v>2546</v>
      </c>
      <c r="B59" s="34" t="s">
        <v>2547</v>
      </c>
      <c r="C59" s="35" t="s">
        <v>2548</v>
      </c>
      <c r="D59" s="34">
        <v>58.0</v>
      </c>
      <c r="E59" s="34" t="s">
        <v>5221</v>
      </c>
    </row>
    <row r="60" ht="15.75" customHeight="1">
      <c r="A60" s="34" t="s">
        <v>2549</v>
      </c>
      <c r="B60" s="34"/>
      <c r="C60" s="35" t="s">
        <v>2550</v>
      </c>
      <c r="D60" s="34">
        <v>59.0</v>
      </c>
      <c r="E60" s="34" t="s">
        <v>5221</v>
      </c>
    </row>
    <row r="61" ht="15.75" customHeight="1">
      <c r="A61" s="34" t="s">
        <v>2551</v>
      </c>
      <c r="B61" s="34" t="s">
        <v>2552</v>
      </c>
      <c r="C61" s="35" t="s">
        <v>2553</v>
      </c>
      <c r="D61" s="34">
        <v>60.0</v>
      </c>
      <c r="E61" s="34" t="s">
        <v>5221</v>
      </c>
    </row>
    <row r="62" ht="15.75" customHeight="1">
      <c r="A62" s="34" t="s">
        <v>2554</v>
      </c>
      <c r="B62" s="34" t="s">
        <v>2555</v>
      </c>
      <c r="C62" s="96" t="s">
        <v>198</v>
      </c>
      <c r="D62" s="34">
        <v>61.0</v>
      </c>
      <c r="E62" s="34" t="s">
        <v>5221</v>
      </c>
    </row>
    <row r="63" ht="15.75" customHeight="1">
      <c r="A63" s="34" t="s">
        <v>2556</v>
      </c>
      <c r="B63" s="34" t="s">
        <v>2557</v>
      </c>
      <c r="C63" s="35" t="s">
        <v>2558</v>
      </c>
      <c r="D63" s="34">
        <v>62.0</v>
      </c>
      <c r="E63" s="34" t="s">
        <v>5221</v>
      </c>
    </row>
    <row r="64" ht="15.75" customHeight="1">
      <c r="A64" s="34" t="s">
        <v>2559</v>
      </c>
      <c r="B64" s="34" t="s">
        <v>2560</v>
      </c>
      <c r="C64" s="35" t="s">
        <v>2561</v>
      </c>
      <c r="D64" s="34">
        <v>63.0</v>
      </c>
      <c r="E64" s="34" t="s">
        <v>5221</v>
      </c>
    </row>
    <row r="65" ht="15.75" customHeight="1">
      <c r="A65" s="34" t="s">
        <v>2562</v>
      </c>
      <c r="B65" s="34" t="s">
        <v>2563</v>
      </c>
      <c r="C65" s="35" t="s">
        <v>2564</v>
      </c>
      <c r="D65" s="34">
        <v>64.0</v>
      </c>
      <c r="E65" s="34" t="s">
        <v>5515</v>
      </c>
    </row>
    <row r="66" ht="15.75" customHeight="1">
      <c r="A66" s="34" t="s">
        <v>2565</v>
      </c>
      <c r="B66" s="34" t="s">
        <v>2566</v>
      </c>
      <c r="C66" s="35" t="s">
        <v>2567</v>
      </c>
      <c r="D66" s="34">
        <v>65.0</v>
      </c>
      <c r="E66" s="34" t="s">
        <v>5515</v>
      </c>
    </row>
    <row r="67" ht="15.75" customHeight="1">
      <c r="A67" s="34" t="s">
        <v>2568</v>
      </c>
      <c r="B67" s="34" t="s">
        <v>2569</v>
      </c>
      <c r="C67" s="35" t="s">
        <v>2570</v>
      </c>
      <c r="D67" s="34">
        <v>66.0</v>
      </c>
      <c r="E67" s="34" t="s">
        <v>5515</v>
      </c>
    </row>
    <row r="68" ht="15.75" customHeight="1">
      <c r="A68" s="34" t="s">
        <v>2571</v>
      </c>
      <c r="B68" s="34" t="s">
        <v>5080</v>
      </c>
      <c r="C68" s="35" t="s">
        <v>2573</v>
      </c>
      <c r="D68" s="34">
        <v>67.0</v>
      </c>
      <c r="E68" s="34" t="s">
        <v>5515</v>
      </c>
    </row>
    <row r="69" ht="15.75" customHeight="1">
      <c r="A69" s="34" t="s">
        <v>2574</v>
      </c>
      <c r="B69" s="34" t="s">
        <v>2575</v>
      </c>
      <c r="C69" s="35" t="s">
        <v>2576</v>
      </c>
      <c r="D69" s="34">
        <v>68.0</v>
      </c>
      <c r="E69" s="34" t="s">
        <v>5515</v>
      </c>
    </row>
    <row r="70" ht="15.75" customHeight="1">
      <c r="A70" s="31" t="s">
        <v>2577</v>
      </c>
      <c r="B70" s="31" t="s">
        <v>2578</v>
      </c>
      <c r="C70" s="32" t="s">
        <v>2579</v>
      </c>
      <c r="D70" s="31">
        <v>69.0</v>
      </c>
      <c r="E70" s="31" t="s">
        <v>5047</v>
      </c>
    </row>
    <row r="71" ht="15.75" customHeight="1">
      <c r="A71" s="31" t="s">
        <v>2580</v>
      </c>
      <c r="B71" s="31" t="s">
        <v>2581</v>
      </c>
      <c r="C71" s="32" t="s">
        <v>2582</v>
      </c>
      <c r="D71" s="31">
        <v>70.0</v>
      </c>
      <c r="E71" s="31" t="s">
        <v>5047</v>
      </c>
    </row>
    <row r="72" ht="15.75" customHeight="1">
      <c r="A72" s="34" t="s">
        <v>2583</v>
      </c>
      <c r="B72" s="34" t="s">
        <v>2584</v>
      </c>
      <c r="C72" s="96" t="s">
        <v>198</v>
      </c>
      <c r="D72" s="34">
        <v>71.0</v>
      </c>
      <c r="E72" s="34" t="s">
        <v>49</v>
      </c>
    </row>
    <row r="73" ht="15.75" customHeight="1">
      <c r="A73" s="34" t="s">
        <v>2585</v>
      </c>
      <c r="B73" s="34" t="s">
        <v>2586</v>
      </c>
      <c r="C73" s="35" t="s">
        <v>2587</v>
      </c>
      <c r="D73" s="34">
        <v>72.0</v>
      </c>
      <c r="E73" s="34" t="s">
        <v>49</v>
      </c>
    </row>
    <row r="74" ht="15.75" customHeight="1">
      <c r="A74" s="34" t="s">
        <v>2588</v>
      </c>
      <c r="B74" s="34" t="s">
        <v>2589</v>
      </c>
      <c r="C74" s="35" t="s">
        <v>2590</v>
      </c>
      <c r="D74" s="34">
        <v>73.0</v>
      </c>
      <c r="E74" s="34" t="s">
        <v>49</v>
      </c>
    </row>
    <row r="75" ht="15.75" customHeight="1">
      <c r="A75" s="34" t="s">
        <v>2591</v>
      </c>
      <c r="B75" s="34" t="s">
        <v>2592</v>
      </c>
      <c r="C75" s="35" t="s">
        <v>2593</v>
      </c>
      <c r="D75" s="34">
        <v>74.0</v>
      </c>
      <c r="E75" s="34" t="s">
        <v>49</v>
      </c>
    </row>
    <row r="76" ht="15.75" customHeight="1">
      <c r="A76" s="34" t="s">
        <v>2594</v>
      </c>
      <c r="B76" s="34" t="s">
        <v>2595</v>
      </c>
      <c r="C76" s="35" t="s">
        <v>2596</v>
      </c>
      <c r="D76" s="34">
        <v>75.0</v>
      </c>
      <c r="E76" s="34" t="s">
        <v>49</v>
      </c>
    </row>
    <row r="77" ht="15.75" customHeight="1">
      <c r="A77" s="36" t="s">
        <v>2597</v>
      </c>
      <c r="B77" s="36" t="s">
        <v>2598</v>
      </c>
      <c r="C77" s="37" t="s">
        <v>198</v>
      </c>
      <c r="D77" s="36">
        <v>76.0</v>
      </c>
    </row>
    <row r="78" ht="15.75" customHeight="1">
      <c r="A78" s="36" t="s">
        <v>2599</v>
      </c>
      <c r="B78" s="36" t="s">
        <v>2600</v>
      </c>
      <c r="C78" s="37" t="s">
        <v>198</v>
      </c>
      <c r="D78" s="36">
        <v>77.0</v>
      </c>
    </row>
    <row r="79" ht="15.75" customHeight="1">
      <c r="A79" s="34" t="s">
        <v>2601</v>
      </c>
      <c r="B79" s="34" t="s">
        <v>2602</v>
      </c>
      <c r="C79" s="35" t="s">
        <v>2603</v>
      </c>
      <c r="D79" s="34">
        <v>78.0</v>
      </c>
      <c r="E79" s="34" t="s">
        <v>305</v>
      </c>
    </row>
    <row r="80" ht="15.75" customHeight="1">
      <c r="A80" s="34" t="s">
        <v>2604</v>
      </c>
      <c r="B80" s="34" t="s">
        <v>2605</v>
      </c>
      <c r="C80" s="35" t="s">
        <v>2606</v>
      </c>
      <c r="D80" s="34">
        <v>79.0</v>
      </c>
      <c r="E80" s="34" t="s">
        <v>305</v>
      </c>
    </row>
    <row r="81" ht="15.75" customHeight="1">
      <c r="A81" s="34" t="s">
        <v>2607</v>
      </c>
      <c r="B81" s="34" t="s">
        <v>2608</v>
      </c>
      <c r="C81" s="35" t="s">
        <v>2609</v>
      </c>
      <c r="D81" s="34">
        <v>80.0</v>
      </c>
      <c r="E81" s="34" t="s">
        <v>305</v>
      </c>
    </row>
    <row r="82" ht="15.75" customHeight="1">
      <c r="A82" s="34" t="s">
        <v>2610</v>
      </c>
      <c r="B82" s="34" t="s">
        <v>2611</v>
      </c>
      <c r="C82" s="35" t="s">
        <v>2612</v>
      </c>
      <c r="D82" s="34">
        <v>81.0</v>
      </c>
      <c r="E82" s="34" t="s">
        <v>305</v>
      </c>
    </row>
    <row r="83" ht="15.75" customHeight="1">
      <c r="A83" s="34" t="s">
        <v>2613</v>
      </c>
      <c r="B83" s="34" t="s">
        <v>2614</v>
      </c>
      <c r="C83" s="35" t="s">
        <v>2615</v>
      </c>
      <c r="D83" s="34">
        <v>82.0</v>
      </c>
      <c r="E83" s="34" t="s">
        <v>305</v>
      </c>
    </row>
    <row r="84" ht="15.75" customHeight="1">
      <c r="A84" s="34" t="s">
        <v>2616</v>
      </c>
      <c r="B84" s="34" t="s">
        <v>2617</v>
      </c>
      <c r="C84" s="35" t="s">
        <v>2618</v>
      </c>
      <c r="D84" s="34">
        <v>83.0</v>
      </c>
      <c r="E84" s="34" t="s">
        <v>5517</v>
      </c>
    </row>
    <row r="85" ht="15.75" customHeight="1">
      <c r="A85" s="34" t="s">
        <v>2619</v>
      </c>
      <c r="B85" s="34" t="s">
        <v>2620</v>
      </c>
      <c r="C85" s="35" t="s">
        <v>2621</v>
      </c>
      <c r="D85" s="34">
        <v>84.0</v>
      </c>
      <c r="E85" s="34" t="s">
        <v>5517</v>
      </c>
    </row>
    <row r="86" ht="15.75" customHeight="1">
      <c r="A86" s="34" t="s">
        <v>2622</v>
      </c>
      <c r="B86" s="34" t="s">
        <v>2623</v>
      </c>
      <c r="C86" s="35" t="s">
        <v>2624</v>
      </c>
      <c r="D86" s="34">
        <v>85.0</v>
      </c>
      <c r="E86" s="34" t="s">
        <v>5517</v>
      </c>
    </row>
    <row r="87" ht="15.75" customHeight="1">
      <c r="A87" s="34" t="s">
        <v>2625</v>
      </c>
      <c r="B87" s="34" t="s">
        <v>2626</v>
      </c>
      <c r="C87" s="35" t="s">
        <v>2627</v>
      </c>
      <c r="D87" s="34">
        <v>86.0</v>
      </c>
      <c r="E87" s="34" t="s">
        <v>5517</v>
      </c>
    </row>
    <row r="88" ht="15.75" customHeight="1">
      <c r="A88" s="34" t="s">
        <v>2628</v>
      </c>
      <c r="B88" s="34" t="s">
        <v>2629</v>
      </c>
      <c r="C88" s="35" t="s">
        <v>2630</v>
      </c>
      <c r="D88" s="34">
        <v>87.0</v>
      </c>
      <c r="E88" s="34" t="s">
        <v>5517</v>
      </c>
    </row>
    <row r="89" ht="15.75" customHeight="1">
      <c r="A89" s="31" t="s">
        <v>2631</v>
      </c>
      <c r="B89" s="31" t="s">
        <v>2632</v>
      </c>
      <c r="C89" s="32" t="s">
        <v>2633</v>
      </c>
      <c r="D89" s="31">
        <v>88.0</v>
      </c>
      <c r="E89" s="31" t="s">
        <v>367</v>
      </c>
    </row>
    <row r="90" ht="15.75" customHeight="1">
      <c r="A90" s="34" t="s">
        <v>2634</v>
      </c>
      <c r="B90" s="34"/>
      <c r="C90" s="35" t="s">
        <v>2635</v>
      </c>
      <c r="D90" s="34">
        <v>89.0</v>
      </c>
      <c r="E90" s="34" t="s">
        <v>326</v>
      </c>
    </row>
    <row r="91" ht="15.75" customHeight="1">
      <c r="A91" s="34" t="s">
        <v>2636</v>
      </c>
      <c r="B91" s="34" t="s">
        <v>2637</v>
      </c>
      <c r="C91" s="35" t="s">
        <v>2638</v>
      </c>
      <c r="D91" s="34">
        <v>90.0</v>
      </c>
      <c r="E91" s="34" t="s">
        <v>326</v>
      </c>
    </row>
    <row r="92" ht="15.75" customHeight="1">
      <c r="A92" s="34" t="s">
        <v>2639</v>
      </c>
      <c r="B92" s="34" t="s">
        <v>2640</v>
      </c>
      <c r="C92" s="35" t="s">
        <v>2641</v>
      </c>
      <c r="D92" s="34">
        <v>91.0</v>
      </c>
      <c r="E92" s="34" t="s">
        <v>326</v>
      </c>
    </row>
    <row r="93" ht="15.75" customHeight="1">
      <c r="A93" s="34" t="s">
        <v>2642</v>
      </c>
      <c r="B93" s="34" t="s">
        <v>2643</v>
      </c>
      <c r="C93" s="35" t="s">
        <v>2644</v>
      </c>
      <c r="D93" s="34">
        <v>92.0</v>
      </c>
      <c r="E93" s="34" t="s">
        <v>326</v>
      </c>
    </row>
    <row r="94" ht="15.75" customHeight="1">
      <c r="A94" s="34" t="s">
        <v>3281</v>
      </c>
      <c r="B94" s="34" t="s">
        <v>3282</v>
      </c>
      <c r="C94" s="35" t="s">
        <v>3283</v>
      </c>
      <c r="D94" s="34">
        <v>93.0</v>
      </c>
      <c r="E94" s="34" t="s">
        <v>326</v>
      </c>
    </row>
    <row r="95" ht="15.75" customHeight="1">
      <c r="A95" s="31" t="s">
        <v>1449</v>
      </c>
      <c r="B95" s="31" t="s">
        <v>198</v>
      </c>
      <c r="C95" s="43" t="s">
        <v>1450</v>
      </c>
      <c r="D95" s="31">
        <v>94.0</v>
      </c>
      <c r="E95" s="31" t="s">
        <v>367</v>
      </c>
    </row>
    <row r="96" ht="15.75" customHeight="1">
      <c r="A96" s="34" t="s">
        <v>1456</v>
      </c>
      <c r="B96" s="34" t="s">
        <v>1457</v>
      </c>
      <c r="C96" s="35" t="s">
        <v>1458</v>
      </c>
      <c r="D96" s="34">
        <v>95.0</v>
      </c>
      <c r="E96" s="34" t="s">
        <v>261</v>
      </c>
      <c r="J96" s="37"/>
    </row>
    <row r="97" ht="15.75" customHeight="1">
      <c r="A97" s="34" t="s">
        <v>1459</v>
      </c>
      <c r="B97" s="34" t="s">
        <v>1460</v>
      </c>
      <c r="C97" s="35" t="s">
        <v>1461</v>
      </c>
      <c r="D97" s="34">
        <v>96.0</v>
      </c>
      <c r="E97" s="34" t="s">
        <v>261</v>
      </c>
    </row>
    <row r="98" ht="15.75" customHeight="1">
      <c r="A98" s="34" t="s">
        <v>1462</v>
      </c>
      <c r="B98" s="34" t="s">
        <v>1463</v>
      </c>
      <c r="C98" s="34" t="s">
        <v>198</v>
      </c>
      <c r="D98" s="34">
        <v>97.0</v>
      </c>
      <c r="E98" s="34" t="s">
        <v>261</v>
      </c>
    </row>
    <row r="99" ht="15.75" customHeight="1">
      <c r="A99" s="34" t="s">
        <v>1476</v>
      </c>
      <c r="B99" s="34" t="s">
        <v>1477</v>
      </c>
      <c r="C99" s="195" t="s">
        <v>1478</v>
      </c>
      <c r="D99" s="34">
        <v>98.0</v>
      </c>
      <c r="E99" s="34" t="s">
        <v>261</v>
      </c>
    </row>
    <row r="100" ht="15.75" customHeight="1">
      <c r="A100" s="31" t="s">
        <v>1479</v>
      </c>
      <c r="B100" s="31" t="s">
        <v>198</v>
      </c>
      <c r="C100" s="32" t="s">
        <v>1480</v>
      </c>
      <c r="D100" s="31">
        <v>99.0</v>
      </c>
      <c r="E100" s="31" t="s">
        <v>367</v>
      </c>
    </row>
    <row r="101" ht="15.75" customHeight="1">
      <c r="A101" s="34" t="s">
        <v>5518</v>
      </c>
      <c r="B101" s="34" t="s">
        <v>1482</v>
      </c>
      <c r="C101" s="35" t="s">
        <v>1478</v>
      </c>
      <c r="D101" s="34">
        <v>100.0</v>
      </c>
      <c r="E101" s="34" t="s">
        <v>261</v>
      </c>
    </row>
    <row r="102" ht="15.75" customHeight="1"/>
    <row r="103" ht="15.75" customHeight="1"/>
    <row r="104" ht="15.75" customHeight="1">
      <c r="C104" s="37"/>
    </row>
    <row r="105" ht="15.75" customHeight="1">
      <c r="C105" s="37"/>
    </row>
    <row r="106" ht="15.75" customHeight="1"/>
    <row r="107" ht="15.75" customHeight="1"/>
    <row r="108" ht="15.75" customHeight="1">
      <c r="C108" s="37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C116" s="3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>
      <c r="C122" s="37"/>
    </row>
    <row r="123" ht="15.75" customHeight="1"/>
    <row r="124" ht="15.75" customHeight="1"/>
    <row r="125" ht="15.75" customHeight="1"/>
    <row r="126" ht="15.75" customHeight="1"/>
    <row r="127" ht="15.75" customHeight="1">
      <c r="C127" s="37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>
      <c r="C147" s="37"/>
    </row>
    <row r="148" ht="15.75" customHeight="1"/>
    <row r="149" ht="15.75" customHeight="1"/>
    <row r="150" ht="15.75" customHeight="1"/>
    <row r="151" ht="15.75" customHeight="1">
      <c r="C151" s="37"/>
    </row>
    <row r="152" ht="15.75" customHeight="1"/>
    <row r="153" ht="15.75" customHeight="1"/>
    <row r="154" ht="15.75" customHeight="1">
      <c r="C154" s="37"/>
    </row>
    <row r="155" ht="15.75" customHeight="1">
      <c r="C155" s="37"/>
    </row>
    <row r="156" ht="15.75" customHeight="1">
      <c r="C156" s="37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>
      <c r="C162" s="37"/>
    </row>
    <row r="163" ht="15.75" customHeight="1"/>
    <row r="164" ht="15.75" customHeight="1">
      <c r="C164" s="37"/>
    </row>
    <row r="165" ht="15.75" customHeight="1">
      <c r="C165" s="37"/>
    </row>
    <row r="166" ht="15.75" customHeight="1"/>
    <row r="167" ht="15.75" customHeight="1">
      <c r="C167" s="37"/>
    </row>
    <row r="168" ht="15.75" customHeight="1"/>
    <row r="169" ht="15.75" customHeight="1">
      <c r="C169" s="37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>
      <c r="C176" s="37"/>
    </row>
    <row r="177" ht="15.75" customHeight="1"/>
    <row r="178" ht="15.75" customHeight="1">
      <c r="C178" s="37"/>
    </row>
    <row r="179" ht="15.75" customHeight="1"/>
    <row r="180" ht="15.75" customHeight="1">
      <c r="C180" s="37"/>
    </row>
    <row r="181" ht="15.75" customHeight="1"/>
    <row r="182" ht="15.75" customHeight="1">
      <c r="C182" s="37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>
      <c r="A203" s="36"/>
      <c r="C203" s="36"/>
    </row>
    <row r="204" ht="15.75" customHeight="1">
      <c r="A204" s="36"/>
      <c r="B204" s="36"/>
      <c r="C204" s="36"/>
    </row>
    <row r="205" ht="15.75" customHeight="1">
      <c r="A205" s="36"/>
      <c r="B205" s="36"/>
      <c r="C205" s="36"/>
    </row>
    <row r="206" ht="15.75" customHeight="1">
      <c r="A206" s="36"/>
      <c r="B206" s="36"/>
      <c r="C206" s="36"/>
    </row>
    <row r="207" ht="15.75" customHeight="1">
      <c r="A207" s="36"/>
      <c r="B207" s="36"/>
      <c r="C207" s="36"/>
    </row>
    <row r="208" ht="15.75" customHeight="1">
      <c r="A208" s="36"/>
      <c r="B208" s="36"/>
      <c r="C208" s="36"/>
    </row>
    <row r="209" ht="15.75" customHeight="1">
      <c r="A209" s="36"/>
      <c r="B209" s="36"/>
      <c r="C209" s="36"/>
    </row>
    <row r="210" ht="15.75" customHeight="1">
      <c r="A210" s="36"/>
      <c r="B210" s="36"/>
      <c r="C210" s="36"/>
    </row>
    <row r="211" ht="15.75" customHeight="1">
      <c r="A211" s="36"/>
      <c r="B211" s="36"/>
      <c r="C211" s="36"/>
    </row>
    <row r="212" ht="15.75" customHeight="1">
      <c r="A212" s="36"/>
      <c r="B212" s="36"/>
      <c r="C212" s="36"/>
    </row>
    <row r="213" ht="15.75" customHeight="1">
      <c r="A213" s="36"/>
      <c r="B213" s="36"/>
      <c r="C213" s="36"/>
    </row>
    <row r="214" ht="15.75" customHeight="1">
      <c r="A214" s="36"/>
      <c r="B214" s="36"/>
      <c r="C214" s="36"/>
    </row>
    <row r="215" ht="15.75" customHeight="1">
      <c r="A215" s="36"/>
      <c r="B215" s="36"/>
      <c r="C215" s="36"/>
    </row>
    <row r="216" ht="15.75" customHeight="1">
      <c r="A216" s="36"/>
      <c r="B216" s="36"/>
      <c r="C216" s="36"/>
    </row>
    <row r="217" ht="15.75" customHeight="1">
      <c r="A217" s="36"/>
      <c r="B217" s="36"/>
      <c r="C217" s="36"/>
    </row>
    <row r="218" ht="15.75" customHeight="1">
      <c r="A218" s="36"/>
      <c r="B218" s="36"/>
      <c r="C218" s="36"/>
    </row>
    <row r="219" ht="15.75" customHeight="1">
      <c r="A219" s="36"/>
      <c r="B219" s="36"/>
      <c r="C219" s="36"/>
    </row>
    <row r="220" ht="15.75" customHeight="1">
      <c r="B220" s="36"/>
      <c r="C220" s="36"/>
    </row>
    <row r="221" ht="15.75" customHeight="1">
      <c r="A221" s="36"/>
      <c r="B221" s="36"/>
      <c r="C221" s="37"/>
    </row>
    <row r="222" ht="15.75" customHeight="1">
      <c r="A222" s="36"/>
      <c r="B222" s="36"/>
      <c r="C222" s="36"/>
    </row>
    <row r="223" ht="15.75" customHeight="1">
      <c r="A223" s="36"/>
      <c r="B223" s="36"/>
      <c r="C223" s="36"/>
    </row>
    <row r="224" ht="15.75" customHeight="1">
      <c r="A224" s="36"/>
      <c r="B224" s="36"/>
      <c r="C224" s="36"/>
    </row>
    <row r="225" ht="15.75" customHeight="1">
      <c r="A225" s="36"/>
      <c r="B225" s="36"/>
      <c r="C225" s="36"/>
    </row>
    <row r="226" ht="15.75" customHeight="1">
      <c r="A226" s="36"/>
      <c r="B226" s="36"/>
      <c r="C226" s="36"/>
    </row>
    <row r="227" ht="15.75" customHeight="1">
      <c r="A227" s="36"/>
      <c r="C227" s="36"/>
    </row>
    <row r="228" ht="15.75" customHeight="1">
      <c r="A228" s="36"/>
      <c r="B228" s="36"/>
      <c r="C228" s="36"/>
    </row>
    <row r="229" ht="15.75" customHeight="1">
      <c r="A229" s="36"/>
      <c r="B229" s="36"/>
      <c r="C229" s="36"/>
    </row>
    <row r="230" ht="15.75" customHeight="1">
      <c r="A230" s="36"/>
      <c r="B230" s="36"/>
      <c r="C230" s="36"/>
    </row>
    <row r="231" ht="15.75" customHeight="1">
      <c r="A231" s="36"/>
      <c r="C231" s="36"/>
    </row>
    <row r="232" ht="15.75" customHeight="1">
      <c r="A232" s="36"/>
      <c r="C232" s="36"/>
    </row>
    <row r="233" ht="15.75" customHeight="1">
      <c r="A233" s="36"/>
      <c r="C233" s="36"/>
    </row>
    <row r="234" ht="15.75" customHeight="1">
      <c r="A234" s="36"/>
      <c r="B234" s="36"/>
      <c r="C234" s="36"/>
    </row>
    <row r="235" ht="15.75" customHeight="1">
      <c r="A235" s="36"/>
      <c r="B235" s="36"/>
      <c r="C235" s="37"/>
    </row>
    <row r="236" ht="15.75" customHeight="1">
      <c r="A236" s="36"/>
      <c r="C236" s="36"/>
    </row>
    <row r="237" ht="15.75" customHeight="1">
      <c r="A237" s="36"/>
      <c r="C237" s="36"/>
    </row>
    <row r="238" ht="15.75" customHeight="1">
      <c r="A238" s="36"/>
    </row>
    <row r="239" ht="15.75" customHeight="1">
      <c r="A239" s="36"/>
      <c r="C239" s="36"/>
    </row>
    <row r="240" ht="15.75" customHeight="1">
      <c r="A240" s="36"/>
      <c r="C240" s="36"/>
    </row>
    <row r="241" ht="15.75" customHeight="1">
      <c r="A241" s="36"/>
      <c r="C241" s="36"/>
    </row>
    <row r="242" ht="15.75" customHeight="1">
      <c r="A242" s="36"/>
      <c r="C242" s="36"/>
    </row>
    <row r="243" ht="15.75" customHeight="1">
      <c r="A243" s="36"/>
      <c r="B243" s="36"/>
      <c r="C243" s="36"/>
    </row>
    <row r="244" ht="15.75" customHeight="1">
      <c r="A244" s="36"/>
      <c r="B244" s="36"/>
      <c r="C244" s="36"/>
    </row>
    <row r="245" ht="15.75" customHeight="1">
      <c r="A245" s="36"/>
      <c r="B245" s="36"/>
      <c r="C245" s="37"/>
    </row>
    <row r="246" ht="15.75" customHeight="1">
      <c r="A246" s="36"/>
      <c r="B246" s="36"/>
      <c r="C246" s="36"/>
    </row>
    <row r="247" ht="15.75" customHeight="1">
      <c r="A247" s="36"/>
      <c r="B247" s="36"/>
      <c r="C247" s="36"/>
    </row>
    <row r="248" ht="15.75" customHeight="1">
      <c r="A248" s="36"/>
      <c r="B248" s="36"/>
    </row>
    <row r="249" ht="15.75" customHeight="1">
      <c r="A249" s="36"/>
      <c r="B249" s="36"/>
      <c r="C249" s="36"/>
    </row>
    <row r="250" ht="15.75" customHeight="1">
      <c r="A250" s="36"/>
      <c r="B250" s="36"/>
      <c r="C250" s="36"/>
    </row>
    <row r="251" ht="15.75" customHeight="1">
      <c r="A251" s="36"/>
      <c r="B251" s="36"/>
      <c r="C251" s="36"/>
    </row>
    <row r="252" ht="15.75" customHeight="1">
      <c r="A252" s="36"/>
      <c r="B252" s="36"/>
      <c r="C252" s="36"/>
    </row>
    <row r="253" ht="15.75" customHeight="1">
      <c r="A253" s="36"/>
      <c r="B253" s="36"/>
      <c r="C253" s="36"/>
    </row>
    <row r="254" ht="15.75" customHeight="1">
      <c r="A254" s="36"/>
      <c r="B254" s="36"/>
      <c r="C254" s="36"/>
    </row>
    <row r="255" ht="15.75" customHeight="1">
      <c r="A255" s="36"/>
      <c r="B255" s="36"/>
      <c r="C255" s="36"/>
    </row>
    <row r="256" ht="15.75" customHeight="1">
      <c r="A256" s="36"/>
      <c r="C256" s="36"/>
    </row>
    <row r="257" ht="15.75" customHeight="1">
      <c r="A257" s="36"/>
      <c r="C257" s="36"/>
    </row>
    <row r="258" ht="15.75" customHeight="1">
      <c r="A258" s="36"/>
      <c r="C258" s="36"/>
    </row>
    <row r="259" ht="15.75" customHeight="1">
      <c r="A259" s="36"/>
      <c r="B259" s="36"/>
      <c r="C259" s="36"/>
    </row>
    <row r="260" ht="15.75" customHeight="1">
      <c r="A260" s="36"/>
      <c r="B260" s="36"/>
      <c r="C260" s="36"/>
    </row>
    <row r="261" ht="15.75" customHeight="1">
      <c r="A261" s="36"/>
      <c r="B261" s="36"/>
      <c r="C261" s="36"/>
    </row>
    <row r="262" ht="15.75" customHeight="1">
      <c r="A262" s="36"/>
      <c r="B262" s="36"/>
      <c r="C262" s="36"/>
    </row>
    <row r="263" ht="15.75" customHeight="1">
      <c r="A263" s="36"/>
      <c r="B263" s="36"/>
      <c r="C263" s="36"/>
    </row>
    <row r="264" ht="15.75" customHeight="1">
      <c r="A264" s="36"/>
      <c r="B264" s="36"/>
      <c r="C264" s="36"/>
    </row>
    <row r="265" ht="15.75" customHeight="1">
      <c r="A265" s="36"/>
      <c r="B265" s="36"/>
      <c r="C265" s="36"/>
    </row>
    <row r="266" ht="15.75" customHeight="1">
      <c r="A266" s="36"/>
      <c r="B266" s="36"/>
      <c r="C266" s="36"/>
    </row>
    <row r="267" ht="15.75" customHeight="1">
      <c r="A267" s="36"/>
      <c r="B267" s="36"/>
      <c r="C267" s="37"/>
    </row>
    <row r="268" ht="15.75" customHeight="1">
      <c r="A268" s="36"/>
      <c r="B268" s="36"/>
      <c r="C268" s="36"/>
    </row>
    <row r="269" ht="15.75" customHeight="1">
      <c r="A269" s="36"/>
      <c r="B269" s="36"/>
      <c r="C269" s="36"/>
    </row>
    <row r="270" ht="15.75" customHeight="1">
      <c r="A270" s="36"/>
      <c r="B270" s="36"/>
      <c r="C270" s="36"/>
    </row>
    <row r="271" ht="15.75" customHeight="1">
      <c r="A271" s="36"/>
      <c r="B271" s="36"/>
      <c r="C271" s="36"/>
    </row>
    <row r="272" ht="15.75" customHeight="1">
      <c r="A272" s="36"/>
      <c r="B272" s="36"/>
      <c r="C272" s="36"/>
    </row>
    <row r="273" ht="15.75" customHeight="1">
      <c r="A273" s="36"/>
      <c r="B273" s="36"/>
      <c r="C273" s="36"/>
    </row>
    <row r="274" ht="15.75" customHeight="1">
      <c r="A274" s="36"/>
      <c r="B274" s="36"/>
      <c r="C274" s="36"/>
    </row>
    <row r="275" ht="15.75" customHeight="1">
      <c r="A275" s="36"/>
      <c r="B275" s="36"/>
      <c r="C275" s="37"/>
    </row>
    <row r="276" ht="15.75" customHeight="1">
      <c r="A276" s="36"/>
      <c r="B276" s="36"/>
      <c r="C276" s="37"/>
    </row>
    <row r="277" ht="15.75" customHeight="1">
      <c r="A277" s="36"/>
      <c r="C277" s="36"/>
    </row>
    <row r="278" ht="15.75" customHeight="1">
      <c r="A278" s="36"/>
      <c r="B278" s="36"/>
      <c r="C278" s="36"/>
    </row>
    <row r="279" ht="15.75" customHeight="1">
      <c r="A279" s="36"/>
      <c r="B279" s="36"/>
      <c r="C279" s="36"/>
    </row>
    <row r="280" ht="15.75" customHeight="1">
      <c r="A280" s="36"/>
      <c r="B280" s="36"/>
      <c r="C280" s="37"/>
    </row>
    <row r="281" ht="15.75" customHeight="1">
      <c r="A281" s="36"/>
      <c r="C281" s="36"/>
    </row>
    <row r="282" ht="15.75" customHeight="1">
      <c r="A282" s="36"/>
      <c r="B282" s="36"/>
      <c r="C282" s="36"/>
    </row>
    <row r="283" ht="15.75" customHeight="1">
      <c r="A283" s="36"/>
      <c r="B283" s="36"/>
      <c r="C283" s="36"/>
    </row>
    <row r="284" ht="15.75" customHeight="1">
      <c r="A284" s="36"/>
      <c r="B284" s="36"/>
      <c r="C284" s="37"/>
    </row>
    <row r="285" ht="15.75" customHeight="1">
      <c r="A285" s="36"/>
      <c r="B285" s="36"/>
      <c r="C285" s="36"/>
    </row>
    <row r="286" ht="15.75" customHeight="1">
      <c r="A286" s="36"/>
      <c r="B286" s="36"/>
      <c r="C286" s="36"/>
    </row>
    <row r="287" ht="15.75" customHeight="1">
      <c r="A287" s="36"/>
      <c r="B287" s="36"/>
      <c r="C287" s="37"/>
    </row>
    <row r="288" ht="15.75" customHeight="1">
      <c r="A288" s="36"/>
      <c r="B288" s="36"/>
      <c r="C288" s="36"/>
    </row>
    <row r="289" ht="15.75" customHeight="1">
      <c r="A289" s="36"/>
      <c r="B289" s="36"/>
      <c r="C289" s="37"/>
    </row>
    <row r="290" ht="15.75" customHeight="1">
      <c r="A290" s="36"/>
      <c r="B290" s="36"/>
      <c r="C290" s="36"/>
    </row>
    <row r="291" ht="15.75" customHeight="1">
      <c r="A291" s="36"/>
    </row>
    <row r="292" ht="15.75" customHeight="1">
      <c r="A292" s="36"/>
      <c r="B292" s="36"/>
      <c r="C292" s="36"/>
    </row>
    <row r="293" ht="15.75" customHeight="1">
      <c r="A293" s="36"/>
      <c r="B293" s="36"/>
      <c r="C293" s="36"/>
    </row>
    <row r="294" ht="15.75" customHeight="1">
      <c r="B294" s="36"/>
      <c r="C294" s="36"/>
    </row>
    <row r="295" ht="15.75" customHeight="1">
      <c r="A295" s="36"/>
      <c r="B295" s="36"/>
      <c r="C295" s="37"/>
    </row>
    <row r="296" ht="15.75" customHeight="1">
      <c r="A296" s="36"/>
      <c r="B296" s="36"/>
      <c r="C296" s="37"/>
    </row>
    <row r="297" ht="15.75" customHeight="1">
      <c r="A297" s="36"/>
      <c r="B297" s="36"/>
      <c r="C297" s="37"/>
    </row>
    <row r="298" ht="15.75" customHeight="1">
      <c r="A298" s="36"/>
      <c r="B298" s="36"/>
      <c r="C298" s="36"/>
    </row>
    <row r="299" ht="15.75" customHeight="1">
      <c r="A299" s="36"/>
      <c r="B299" s="36"/>
      <c r="C299" s="36"/>
    </row>
    <row r="300" ht="15.75" customHeight="1">
      <c r="A300" s="36"/>
      <c r="B300" s="36"/>
      <c r="C300" s="36"/>
    </row>
    <row r="301" ht="15.75" customHeight="1">
      <c r="A301" s="36"/>
      <c r="B301" s="36"/>
      <c r="C301" s="36"/>
    </row>
    <row r="302" ht="15.75" customHeight="1">
      <c r="A302" s="36"/>
      <c r="B302" s="36"/>
      <c r="C302" s="36"/>
    </row>
    <row r="303" ht="15.75" customHeight="1">
      <c r="A303" s="36"/>
      <c r="B303" s="36"/>
      <c r="C303" s="36"/>
    </row>
    <row r="304" ht="15.75" customHeight="1">
      <c r="A304" s="36"/>
      <c r="B304" s="36"/>
      <c r="C304" s="37"/>
    </row>
    <row r="305" ht="15.75" customHeight="1">
      <c r="A305" s="36"/>
      <c r="B305" s="36"/>
      <c r="C305" s="36"/>
    </row>
    <row r="306" ht="15.75" customHeight="1">
      <c r="A306" s="36"/>
      <c r="B306" s="36"/>
      <c r="C306" s="36"/>
    </row>
    <row r="307" ht="15.75" customHeight="1">
      <c r="A307" s="36"/>
      <c r="B307" s="36"/>
      <c r="C307" s="36"/>
    </row>
    <row r="308" ht="15.75" customHeight="1">
      <c r="A308" s="36"/>
      <c r="B308" s="36"/>
      <c r="C308" s="37"/>
    </row>
    <row r="309" ht="15.75" customHeight="1">
      <c r="A309" s="36"/>
      <c r="B309" s="36"/>
      <c r="C309" s="37"/>
    </row>
    <row r="310" ht="15.75" customHeight="1">
      <c r="A310" s="36"/>
      <c r="B310" s="36"/>
      <c r="C310" s="36"/>
    </row>
    <row r="311" ht="15.75" customHeight="1">
      <c r="A311" s="36"/>
      <c r="B311" s="36"/>
      <c r="C311" s="36"/>
    </row>
    <row r="312" ht="15.75" customHeight="1">
      <c r="A312" s="36"/>
      <c r="B312" s="36"/>
    </row>
    <row r="313" ht="15.75" customHeight="1">
      <c r="A313" s="36"/>
      <c r="B313" s="36"/>
      <c r="C313" s="36"/>
    </row>
    <row r="314" ht="15.75" customHeight="1">
      <c r="A314" s="36"/>
      <c r="B314" s="36"/>
      <c r="C314" s="36"/>
    </row>
    <row r="315" ht="15.75" customHeight="1">
      <c r="A315" s="36"/>
      <c r="B315" s="36"/>
      <c r="C315" s="36"/>
    </row>
    <row r="316" ht="15.75" customHeight="1">
      <c r="A316" s="36"/>
      <c r="B316" s="36"/>
      <c r="C316" s="37"/>
    </row>
    <row r="317" ht="15.75" customHeight="1">
      <c r="A317" s="36"/>
      <c r="B317" s="36"/>
      <c r="C317" s="36"/>
    </row>
    <row r="318" ht="15.75" customHeight="1">
      <c r="A318" s="36"/>
      <c r="B318" s="36"/>
      <c r="C318" s="37"/>
    </row>
    <row r="319" ht="15.75" customHeight="1">
      <c r="A319" s="36"/>
      <c r="B319" s="36"/>
      <c r="C319" s="36"/>
    </row>
    <row r="320" ht="15.75" customHeight="1">
      <c r="A320" s="36"/>
      <c r="B320" s="36"/>
      <c r="C320" s="36"/>
    </row>
    <row r="321" ht="15.75" customHeight="1">
      <c r="A321" s="36"/>
      <c r="B321" s="36"/>
      <c r="C321" s="36"/>
    </row>
    <row r="322" ht="15.75" customHeight="1">
      <c r="A322" s="36"/>
      <c r="B322" s="36"/>
      <c r="C322" s="37"/>
    </row>
    <row r="323" ht="15.75" customHeight="1">
      <c r="A323" s="36"/>
      <c r="B323" s="36"/>
      <c r="C323" s="36"/>
    </row>
    <row r="324" ht="15.75" customHeight="1">
      <c r="A324" s="36"/>
      <c r="B324" s="36"/>
      <c r="C324" s="36"/>
    </row>
    <row r="325" ht="15.75" customHeight="1">
      <c r="A325" s="36"/>
      <c r="B325" s="36"/>
      <c r="C325" s="36"/>
    </row>
    <row r="326" ht="15.75" customHeight="1">
      <c r="A326" s="36"/>
      <c r="B326" s="36"/>
      <c r="C326" s="36"/>
    </row>
    <row r="327" ht="15.75" customHeight="1">
      <c r="A327" s="36"/>
      <c r="B327" s="36"/>
      <c r="C327" s="36"/>
    </row>
    <row r="328" ht="15.75" customHeight="1">
      <c r="A328" s="36"/>
      <c r="B328" s="36"/>
      <c r="C328" s="36"/>
    </row>
    <row r="329" ht="15.75" customHeight="1">
      <c r="A329" s="36"/>
      <c r="B329" s="36"/>
    </row>
    <row r="330" ht="15.75" customHeight="1">
      <c r="A330" s="36"/>
      <c r="B330" s="36"/>
      <c r="C330" s="36"/>
    </row>
    <row r="331" ht="15.75" customHeight="1">
      <c r="A331" s="36"/>
      <c r="B331" s="36"/>
      <c r="C331" s="36"/>
    </row>
    <row r="332" ht="15.75" customHeight="1">
      <c r="A332" s="36"/>
      <c r="B332" s="36"/>
      <c r="C332" s="36"/>
    </row>
    <row r="333" ht="15.75" customHeight="1">
      <c r="A333" s="36"/>
      <c r="B333" s="36"/>
      <c r="C333" s="36"/>
    </row>
    <row r="334" ht="15.75" customHeight="1">
      <c r="A334" s="36"/>
      <c r="B334" s="36"/>
      <c r="C334" s="36"/>
    </row>
    <row r="335" ht="15.75" customHeight="1">
      <c r="A335" s="36"/>
      <c r="B335" s="36"/>
      <c r="C335" s="36"/>
    </row>
    <row r="336" ht="15.75" customHeight="1">
      <c r="A336" s="36"/>
      <c r="B336" s="36"/>
      <c r="C336" s="36"/>
    </row>
    <row r="337" ht="15.75" customHeight="1">
      <c r="A337" s="36"/>
      <c r="B337" s="36"/>
      <c r="C337" s="36"/>
    </row>
    <row r="338" ht="15.75" customHeight="1">
      <c r="A338" s="36"/>
      <c r="B338" s="36"/>
      <c r="C338" s="36"/>
    </row>
    <row r="339" ht="15.75" customHeight="1">
      <c r="A339" s="36"/>
      <c r="B339" s="36"/>
      <c r="C339" s="37"/>
    </row>
    <row r="340" ht="15.75" customHeight="1">
      <c r="A340" s="36"/>
      <c r="B340" s="36"/>
      <c r="C340" s="36"/>
    </row>
    <row r="341" ht="15.75" customHeight="1">
      <c r="A341" s="36"/>
      <c r="B341" s="36"/>
      <c r="C341" s="36"/>
    </row>
    <row r="342" ht="15.75" customHeight="1">
      <c r="A342" s="36"/>
      <c r="B342" s="36"/>
      <c r="C342" s="36"/>
    </row>
    <row r="343" ht="15.75" customHeight="1">
      <c r="A343" s="36"/>
      <c r="B343" s="36"/>
      <c r="C343" s="36"/>
    </row>
    <row r="344" ht="15.75" customHeight="1">
      <c r="A344" s="36"/>
      <c r="B344" s="36"/>
      <c r="C344" s="36"/>
    </row>
    <row r="345" ht="15.75" customHeight="1">
      <c r="A345" s="36"/>
      <c r="B345" s="36"/>
      <c r="C345" s="36"/>
    </row>
    <row r="346" ht="15.75" customHeight="1">
      <c r="A346" s="36"/>
      <c r="B346" s="36"/>
      <c r="C346" s="36"/>
    </row>
    <row r="347" ht="15.75" customHeight="1">
      <c r="A347" s="36"/>
      <c r="B347" s="36"/>
      <c r="C347" s="36"/>
    </row>
    <row r="348" ht="15.75" customHeight="1">
      <c r="A348" s="36"/>
      <c r="B348" s="36"/>
      <c r="C348" s="37"/>
    </row>
    <row r="349" ht="15.75" customHeight="1">
      <c r="A349" s="36"/>
      <c r="B349" s="36"/>
      <c r="C349" s="36"/>
    </row>
    <row r="350" ht="15.75" customHeight="1">
      <c r="A350" s="36"/>
      <c r="B350" s="36"/>
      <c r="C350" s="37"/>
    </row>
    <row r="351" ht="15.75" customHeight="1">
      <c r="A351" s="36"/>
      <c r="B351" s="36"/>
      <c r="C351" s="36"/>
    </row>
    <row r="352" ht="15.75" customHeight="1">
      <c r="A352" s="36"/>
      <c r="B352" s="36"/>
      <c r="C352" s="36"/>
    </row>
    <row r="353" ht="15.75" customHeight="1">
      <c r="A353" s="36"/>
      <c r="B353" s="36"/>
      <c r="C353" s="36"/>
    </row>
    <row r="354" ht="15.75" customHeight="1">
      <c r="A354" s="36"/>
      <c r="B354" s="36"/>
      <c r="C354" s="36"/>
    </row>
    <row r="355" ht="15.75" customHeight="1">
      <c r="A355" s="36"/>
      <c r="B355" s="36"/>
      <c r="C355" s="36"/>
    </row>
    <row r="356" ht="15.75" customHeight="1">
      <c r="A356" s="36"/>
      <c r="B356" s="36"/>
      <c r="C356" s="37"/>
    </row>
    <row r="357" ht="15.75" customHeight="1">
      <c r="A357" s="36"/>
      <c r="B357" s="36"/>
      <c r="C357" s="36"/>
    </row>
    <row r="358" ht="15.75" customHeight="1">
      <c r="A358" s="36"/>
      <c r="B358" s="36"/>
      <c r="C358" s="36"/>
    </row>
    <row r="359" ht="15.75" customHeight="1">
      <c r="A359" s="36"/>
      <c r="B359" s="36"/>
      <c r="C359" s="36"/>
    </row>
    <row r="360" ht="15.75" customHeight="1">
      <c r="A360" s="36"/>
      <c r="B360" s="36"/>
      <c r="C360" s="36"/>
    </row>
    <row r="361" ht="15.75" customHeight="1"/>
    <row r="362" ht="15.75" customHeight="1">
      <c r="A362" s="36"/>
      <c r="B362" s="36"/>
      <c r="C362" s="36"/>
    </row>
    <row r="363" ht="15.75" customHeight="1">
      <c r="A363" s="36"/>
      <c r="B363" s="36"/>
      <c r="C363" s="37"/>
    </row>
    <row r="364" ht="15.75" customHeight="1">
      <c r="A364" s="36"/>
      <c r="B364" s="36"/>
      <c r="C364" s="36"/>
    </row>
    <row r="365" ht="15.75" customHeight="1">
      <c r="A365" s="36"/>
      <c r="B365" s="36"/>
      <c r="C365" s="36"/>
    </row>
    <row r="366" ht="15.75" customHeight="1">
      <c r="A366" s="36"/>
      <c r="B366" s="36"/>
      <c r="C366" s="36"/>
    </row>
    <row r="367" ht="15.75" customHeight="1">
      <c r="A367" s="36"/>
      <c r="B367" s="36"/>
      <c r="C367" s="36"/>
    </row>
    <row r="368" ht="15.75" customHeight="1">
      <c r="A368" s="36"/>
      <c r="B368" s="36"/>
      <c r="C368" s="36"/>
    </row>
    <row r="369" ht="15.75" customHeight="1">
      <c r="A369" s="36"/>
      <c r="B369" s="36"/>
      <c r="C369" s="36"/>
    </row>
    <row r="370" ht="15.75" customHeight="1">
      <c r="A370" s="36"/>
      <c r="B370" s="36"/>
      <c r="C370" s="37"/>
    </row>
    <row r="371" ht="15.75" customHeight="1">
      <c r="A371" s="36"/>
      <c r="B371" s="36"/>
      <c r="C371" s="36"/>
    </row>
    <row r="372" ht="15.75" customHeight="1">
      <c r="A372" s="36"/>
      <c r="B372" s="36"/>
      <c r="C372" s="36"/>
    </row>
    <row r="373" ht="15.75" customHeight="1">
      <c r="A373" s="36"/>
      <c r="B373" s="36"/>
      <c r="C373" s="36"/>
    </row>
    <row r="374" ht="15.75" customHeight="1">
      <c r="A374" s="36"/>
      <c r="B374" s="36"/>
      <c r="C374" s="36"/>
    </row>
    <row r="375" ht="15.75" customHeight="1">
      <c r="A375" s="36"/>
      <c r="B375" s="36"/>
      <c r="C375" s="36"/>
    </row>
    <row r="376" ht="15.75" customHeight="1">
      <c r="A376" s="36"/>
      <c r="B376" s="36"/>
      <c r="C376" s="36"/>
    </row>
    <row r="377" ht="15.75" customHeight="1">
      <c r="A377" s="36"/>
      <c r="B377" s="36"/>
    </row>
    <row r="378" ht="15.75" customHeight="1">
      <c r="A378" s="36"/>
      <c r="B378" s="36"/>
      <c r="C378" s="36"/>
    </row>
    <row r="379" ht="15.75" customHeight="1">
      <c r="A379" s="36"/>
      <c r="B379" s="36"/>
      <c r="C379" s="36"/>
    </row>
    <row r="380" ht="15.75" customHeight="1">
      <c r="A380" s="36"/>
      <c r="B380" s="36"/>
      <c r="C380" s="37"/>
    </row>
    <row r="381" ht="15.75" customHeight="1">
      <c r="A381" s="36"/>
      <c r="B381" s="36"/>
      <c r="C381" s="36"/>
    </row>
    <row r="382" ht="15.75" customHeight="1">
      <c r="A382" s="36"/>
      <c r="B382" s="36"/>
      <c r="C382" s="36"/>
    </row>
    <row r="383" ht="15.75" customHeight="1">
      <c r="A383" s="36"/>
      <c r="B383" s="36"/>
      <c r="C383" s="36"/>
    </row>
    <row r="384" ht="15.75" customHeight="1">
      <c r="A384" s="36"/>
      <c r="B384" s="36"/>
      <c r="C384" s="36"/>
    </row>
    <row r="385" ht="15.75" customHeight="1">
      <c r="A385" s="36"/>
      <c r="B385" s="36"/>
      <c r="C385" s="36"/>
    </row>
    <row r="386" ht="15.75" customHeight="1">
      <c r="A386" s="36"/>
      <c r="B386" s="36"/>
      <c r="C386" s="36"/>
    </row>
    <row r="387" ht="15.75" customHeight="1">
      <c r="A387" s="36"/>
      <c r="B387" s="36"/>
      <c r="C387" s="36"/>
    </row>
    <row r="388" ht="15.75" customHeight="1">
      <c r="A388" s="36"/>
      <c r="B388" s="36"/>
      <c r="C388" s="36"/>
    </row>
    <row r="389" ht="15.75" customHeight="1">
      <c r="A389" s="36"/>
      <c r="B389" s="36"/>
      <c r="C389" s="36"/>
    </row>
    <row r="390" ht="15.75" customHeight="1">
      <c r="A390" s="36"/>
      <c r="B390" s="36"/>
      <c r="C390" s="37"/>
    </row>
    <row r="391" ht="15.75" customHeight="1">
      <c r="A391" s="36"/>
      <c r="B391" s="36"/>
      <c r="C391" s="36"/>
    </row>
    <row r="392" ht="15.75" customHeight="1">
      <c r="A392" s="36"/>
      <c r="B392" s="36"/>
      <c r="C392" s="36"/>
    </row>
    <row r="393" ht="15.75" customHeight="1">
      <c r="A393" s="36"/>
      <c r="B393" s="36"/>
      <c r="C393" s="36"/>
    </row>
    <row r="394" ht="15.75" customHeight="1">
      <c r="A394" s="36"/>
      <c r="B394" s="36"/>
      <c r="C394" s="36"/>
    </row>
    <row r="395" ht="15.75" customHeight="1">
      <c r="A395" s="36"/>
      <c r="B395" s="36"/>
      <c r="C395" s="36"/>
    </row>
    <row r="396" ht="15.75" customHeight="1">
      <c r="A396" s="36"/>
      <c r="B396" s="36"/>
      <c r="C396" s="36"/>
    </row>
    <row r="397" ht="15.75" customHeight="1">
      <c r="A397" s="36"/>
      <c r="C397" s="36"/>
    </row>
    <row r="398" ht="15.75" customHeight="1">
      <c r="A398" s="36"/>
      <c r="B398" s="36"/>
      <c r="C398" s="36"/>
    </row>
    <row r="399" ht="15.75" customHeight="1">
      <c r="A399" s="36"/>
      <c r="B399" s="36"/>
    </row>
    <row r="400" ht="15.75" customHeight="1">
      <c r="A400" s="36"/>
      <c r="B400" s="36"/>
      <c r="C400" s="36"/>
    </row>
    <row r="401" ht="15.75" customHeight="1">
      <c r="A401" s="36"/>
      <c r="B401" s="36"/>
      <c r="C401" s="37"/>
    </row>
    <row r="402" ht="15.75" customHeight="1">
      <c r="A402" s="36"/>
      <c r="B402" s="36"/>
      <c r="C402" s="36"/>
    </row>
    <row r="403" ht="15.75" customHeight="1">
      <c r="A403" s="36"/>
      <c r="B403" s="36"/>
      <c r="C403" s="36"/>
    </row>
    <row r="404" ht="15.75" customHeight="1">
      <c r="A404" s="36"/>
      <c r="B404" s="36"/>
      <c r="C404" s="36"/>
    </row>
    <row r="405" ht="15.75" customHeight="1">
      <c r="A405" s="36"/>
      <c r="B405" s="36"/>
      <c r="C405" s="36"/>
    </row>
    <row r="406" ht="15.75" customHeight="1">
      <c r="A406" s="36"/>
      <c r="B406" s="36"/>
      <c r="C406" s="37"/>
    </row>
    <row r="407" ht="15.75" customHeight="1">
      <c r="A407" s="36"/>
      <c r="B407" s="36"/>
      <c r="C407" s="36"/>
    </row>
    <row r="408" ht="15.75" customHeight="1">
      <c r="A408" s="36"/>
      <c r="B408" s="36"/>
    </row>
    <row r="409" ht="15.75" customHeight="1">
      <c r="A409" s="36"/>
      <c r="B409" s="36"/>
      <c r="C409" s="36"/>
    </row>
    <row r="410" ht="15.75" customHeight="1">
      <c r="A410" s="36"/>
      <c r="B410" s="36"/>
    </row>
    <row r="411" ht="15.75" customHeight="1">
      <c r="A411" s="36"/>
      <c r="B411" s="36"/>
      <c r="C411" s="36"/>
    </row>
    <row r="412" ht="15.75" customHeight="1">
      <c r="A412" s="36"/>
      <c r="B412" s="36"/>
      <c r="C412" s="37"/>
    </row>
    <row r="413" ht="15.75" customHeight="1">
      <c r="A413" s="36"/>
      <c r="B413" s="36"/>
      <c r="C413" s="36"/>
    </row>
    <row r="414" ht="15.75" customHeight="1">
      <c r="A414" s="36"/>
      <c r="B414" s="36"/>
      <c r="C414" s="36"/>
    </row>
    <row r="415" ht="15.75" customHeight="1">
      <c r="A415" s="36"/>
      <c r="B415" s="36"/>
      <c r="C415" s="36"/>
    </row>
    <row r="416" ht="15.75" customHeight="1">
      <c r="A416" s="36"/>
      <c r="B416" s="36"/>
      <c r="C416" s="37"/>
    </row>
    <row r="417" ht="15.75" customHeight="1">
      <c r="A417" s="36"/>
      <c r="B417" s="36"/>
      <c r="C417" s="37"/>
    </row>
    <row r="418" ht="15.75" customHeight="1">
      <c r="A418" s="36"/>
      <c r="B418" s="36"/>
      <c r="C418" s="36"/>
    </row>
    <row r="419" ht="15.75" customHeight="1">
      <c r="A419" s="36"/>
      <c r="B419" s="36"/>
      <c r="C419" s="36"/>
    </row>
    <row r="420" ht="15.75" customHeight="1">
      <c r="A420" s="36"/>
      <c r="B420" s="36"/>
      <c r="C420" s="36"/>
    </row>
    <row r="421" ht="15.75" customHeight="1">
      <c r="A421" s="36"/>
      <c r="B421" s="36"/>
      <c r="C421" s="36"/>
    </row>
    <row r="422" ht="15.75" customHeight="1">
      <c r="A422" s="36"/>
      <c r="B422" s="36"/>
      <c r="C422" s="36"/>
    </row>
    <row r="423" ht="15.75" customHeight="1">
      <c r="A423" s="36"/>
      <c r="B423" s="36"/>
      <c r="C423" s="36"/>
    </row>
    <row r="424" ht="15.75" customHeight="1">
      <c r="A424" s="36"/>
      <c r="B424" s="36"/>
      <c r="C424" s="37"/>
    </row>
    <row r="425" ht="15.75" customHeight="1">
      <c r="A425" s="36"/>
      <c r="B425" s="36"/>
      <c r="C425" s="36"/>
    </row>
    <row r="426" ht="15.75" customHeight="1">
      <c r="A426" s="36"/>
      <c r="B426" s="36"/>
      <c r="C426" s="36"/>
    </row>
    <row r="427" ht="15.75" customHeight="1">
      <c r="A427" s="36"/>
      <c r="B427" s="36"/>
      <c r="C427" s="36"/>
    </row>
    <row r="428" ht="15.75" customHeight="1">
      <c r="A428" s="36"/>
      <c r="B428" s="36"/>
      <c r="C428" s="36"/>
    </row>
    <row r="429" ht="15.75" customHeight="1">
      <c r="A429" s="36"/>
      <c r="B429" s="36"/>
    </row>
    <row r="430" ht="15.75" customHeight="1">
      <c r="A430" s="36"/>
      <c r="B430" s="36"/>
      <c r="C430" s="36"/>
    </row>
    <row r="431" ht="15.75" customHeight="1">
      <c r="A431" s="36"/>
      <c r="B431" s="36"/>
      <c r="C431" s="36"/>
    </row>
    <row r="432" ht="15.75" customHeight="1">
      <c r="A432" s="36"/>
      <c r="B432" s="36"/>
      <c r="C432" s="36"/>
    </row>
    <row r="433" ht="15.75" customHeight="1">
      <c r="A433" s="36"/>
      <c r="B433" s="36"/>
      <c r="C433" s="36"/>
    </row>
    <row r="434" ht="15.75" customHeight="1">
      <c r="A434" s="36"/>
      <c r="B434" s="36"/>
      <c r="C434" s="36"/>
    </row>
    <row r="435" ht="15.75" customHeight="1">
      <c r="A435" s="36"/>
      <c r="B435" s="36"/>
      <c r="C435" s="36"/>
    </row>
    <row r="436" ht="15.75" customHeight="1">
      <c r="A436" s="36"/>
      <c r="B436" s="36"/>
      <c r="C436" s="36"/>
    </row>
    <row r="437" ht="15.75" customHeight="1">
      <c r="A437" s="36"/>
      <c r="B437" s="36"/>
      <c r="C437" s="36"/>
    </row>
    <row r="438" ht="15.75" customHeight="1">
      <c r="A438" s="36"/>
      <c r="B438" s="36"/>
      <c r="C438" s="36"/>
    </row>
    <row r="439" ht="15.75" customHeight="1">
      <c r="A439" s="36"/>
      <c r="B439" s="36"/>
      <c r="C439" s="37"/>
    </row>
    <row r="440" ht="15.75" customHeight="1">
      <c r="A440" s="36"/>
      <c r="B440" s="36"/>
      <c r="C440" s="36"/>
    </row>
    <row r="441" ht="15.75" customHeight="1">
      <c r="A441" s="36"/>
      <c r="B441" s="36"/>
      <c r="C441" s="36"/>
    </row>
    <row r="442" ht="15.75" customHeight="1">
      <c r="A442" s="36"/>
      <c r="B442" s="36"/>
      <c r="C442" s="37"/>
    </row>
    <row r="443" ht="15.75" customHeight="1">
      <c r="A443" s="36"/>
      <c r="B443" s="36"/>
      <c r="C443" s="36"/>
    </row>
    <row r="444" ht="15.75" customHeight="1">
      <c r="A444" s="36"/>
      <c r="B444" s="36"/>
      <c r="C444" s="36"/>
    </row>
    <row r="445" ht="15.75" customHeight="1">
      <c r="A445" s="36"/>
      <c r="B445" s="36"/>
      <c r="C445" s="36"/>
    </row>
    <row r="446" ht="15.75" customHeight="1">
      <c r="A446" s="36"/>
      <c r="B446" s="36"/>
      <c r="C446" s="36"/>
    </row>
    <row r="447" ht="15.75" customHeight="1">
      <c r="A447" s="36"/>
      <c r="B447" s="36"/>
      <c r="C447" s="36"/>
    </row>
    <row r="448" ht="15.75" customHeight="1">
      <c r="A448" s="36"/>
      <c r="B448" s="36"/>
      <c r="C448" s="36"/>
    </row>
    <row r="449" ht="15.75" customHeight="1">
      <c r="A449" s="36"/>
      <c r="B449" s="36"/>
      <c r="C449" s="36"/>
    </row>
    <row r="450" ht="15.75" customHeight="1">
      <c r="A450" s="36"/>
      <c r="B450" s="36"/>
      <c r="C450" s="36"/>
    </row>
    <row r="451" ht="15.75" customHeight="1">
      <c r="A451" s="36"/>
      <c r="B451" s="36"/>
      <c r="C451" s="36"/>
    </row>
    <row r="452" ht="15.75" customHeight="1">
      <c r="B452" s="36"/>
    </row>
    <row r="453" ht="15.75" customHeight="1">
      <c r="A453" s="36"/>
      <c r="B453" s="36"/>
      <c r="C453" s="37"/>
    </row>
    <row r="454" ht="15.75" customHeight="1">
      <c r="A454" s="36"/>
      <c r="B454" s="36"/>
      <c r="C454" s="36"/>
    </row>
    <row r="455" ht="15.75" customHeight="1">
      <c r="A455" s="36"/>
      <c r="B455" s="36"/>
      <c r="C455" s="36"/>
    </row>
    <row r="456" ht="15.75" customHeight="1">
      <c r="A456" s="36"/>
      <c r="B456" s="36"/>
      <c r="C456" s="36"/>
    </row>
    <row r="457" ht="15.75" customHeight="1">
      <c r="A457" s="36"/>
      <c r="B457" s="36"/>
      <c r="C457" s="36"/>
    </row>
    <row r="458" ht="15.75" customHeight="1">
      <c r="A458" s="36"/>
      <c r="B458" s="36"/>
      <c r="C458" s="36"/>
    </row>
    <row r="459" ht="15.75" customHeight="1">
      <c r="A459" s="36"/>
      <c r="B459" s="36"/>
      <c r="C459" s="36"/>
    </row>
    <row r="460" ht="15.75" customHeight="1">
      <c r="A460" s="36"/>
      <c r="B460" s="36"/>
      <c r="C460" s="36"/>
    </row>
    <row r="461" ht="15.75" customHeight="1">
      <c r="A461" s="36"/>
      <c r="B461" s="36"/>
      <c r="C461" s="37"/>
    </row>
    <row r="462" ht="15.75" customHeight="1">
      <c r="A462" s="36"/>
      <c r="B462" s="36"/>
      <c r="C462" s="37"/>
    </row>
    <row r="463" ht="15.75" customHeight="1">
      <c r="A463" s="36"/>
      <c r="B463" s="36"/>
      <c r="C463" s="36"/>
    </row>
    <row r="464" ht="15.75" customHeight="1">
      <c r="A464" s="36"/>
      <c r="B464" s="36"/>
      <c r="C464" s="36"/>
    </row>
    <row r="465" ht="15.75" customHeight="1">
      <c r="A465" s="36"/>
      <c r="C465" s="37"/>
    </row>
    <row r="466" ht="15.75" customHeight="1">
      <c r="A466" s="36"/>
      <c r="B466" s="36"/>
      <c r="C466" s="36"/>
    </row>
    <row r="467" ht="15.75" customHeight="1">
      <c r="A467" s="36"/>
      <c r="B467" s="36"/>
      <c r="C467" s="36"/>
    </row>
    <row r="468" ht="15.75" customHeight="1"/>
    <row r="469" ht="15.75" customHeight="1">
      <c r="C469" s="37"/>
    </row>
    <row r="470" ht="15.75" customHeight="1">
      <c r="C470" s="37"/>
    </row>
    <row r="471" ht="15.75" customHeight="1"/>
    <row r="472" ht="15.75" customHeight="1"/>
    <row r="473" ht="15.75" customHeight="1"/>
    <row r="474" ht="15.75" customHeight="1"/>
    <row r="475" ht="15.75" customHeight="1">
      <c r="C475" s="37"/>
    </row>
    <row r="476" ht="15.75" customHeight="1"/>
    <row r="477" ht="15.75" customHeight="1"/>
    <row r="478" ht="15.75" customHeight="1">
      <c r="C478" s="37"/>
    </row>
    <row r="479" ht="15.75" customHeight="1"/>
    <row r="480" ht="15.75" customHeight="1"/>
    <row r="481" ht="15.75" customHeight="1">
      <c r="C481" s="37"/>
    </row>
    <row r="482" ht="15.75" customHeight="1">
      <c r="C482" s="36"/>
    </row>
    <row r="483" ht="15.75" customHeight="1">
      <c r="A483" s="36"/>
      <c r="B483" s="36"/>
      <c r="C483" s="36"/>
    </row>
    <row r="484" ht="15.75" customHeight="1">
      <c r="A484" s="36"/>
      <c r="B484" s="36"/>
      <c r="C484" s="36"/>
    </row>
    <row r="485" ht="15.75" customHeight="1">
      <c r="A485" s="36"/>
      <c r="B485" s="36"/>
      <c r="C485" s="36"/>
    </row>
    <row r="486" ht="15.75" customHeight="1">
      <c r="A486" s="36"/>
      <c r="B486" s="36"/>
      <c r="C486" s="36"/>
    </row>
    <row r="487" ht="15.75" customHeight="1">
      <c r="A487" s="36"/>
      <c r="B487" s="36"/>
      <c r="C487" s="36"/>
    </row>
    <row r="488" ht="15.75" customHeight="1">
      <c r="A488" s="36"/>
      <c r="B488" s="36"/>
      <c r="C488" s="36"/>
    </row>
    <row r="489" ht="15.75" customHeight="1">
      <c r="A489" s="36"/>
      <c r="B489" s="36"/>
      <c r="C489" s="36"/>
    </row>
    <row r="490" ht="15.75" customHeight="1">
      <c r="A490" s="36"/>
      <c r="B490" s="36"/>
      <c r="C490" s="36"/>
    </row>
    <row r="491" ht="15.75" customHeight="1">
      <c r="A491" s="36"/>
      <c r="B491" s="36"/>
      <c r="C491" s="36"/>
    </row>
    <row r="492" ht="15.75" customHeight="1">
      <c r="A492" s="36"/>
      <c r="B492" s="36"/>
      <c r="C492" s="37"/>
    </row>
    <row r="493" ht="15.75" customHeight="1">
      <c r="A493" s="36"/>
      <c r="B493" s="36"/>
      <c r="C493" s="36"/>
    </row>
    <row r="494" ht="15.75" customHeight="1">
      <c r="A494" s="36"/>
      <c r="B494" s="36"/>
      <c r="C494" s="36"/>
    </row>
    <row r="495" ht="15.75" customHeight="1">
      <c r="A495" s="36"/>
      <c r="B495" s="36"/>
      <c r="C495" s="37"/>
    </row>
    <row r="496" ht="15.75" customHeight="1">
      <c r="A496" s="36"/>
      <c r="B496" s="36"/>
      <c r="C496" s="36"/>
    </row>
    <row r="497" ht="15.75" customHeight="1">
      <c r="A497" s="36"/>
      <c r="B497" s="36"/>
      <c r="C497" s="37"/>
    </row>
    <row r="498" ht="15.75" customHeight="1">
      <c r="A498" s="36"/>
      <c r="B498" s="36"/>
      <c r="C498" s="37"/>
    </row>
    <row r="499" ht="15.75" customHeight="1">
      <c r="A499" s="36"/>
      <c r="B499" s="36"/>
      <c r="C499" s="37"/>
    </row>
    <row r="500" ht="15.75" customHeight="1">
      <c r="A500" s="36"/>
      <c r="B500" s="36"/>
      <c r="C500" s="36"/>
    </row>
    <row r="501" ht="15.75" customHeight="1">
      <c r="A501" s="36"/>
      <c r="B501" s="36"/>
      <c r="C501" s="36"/>
    </row>
    <row r="502" ht="15.75" customHeight="1">
      <c r="A502" s="36"/>
      <c r="B502" s="36"/>
      <c r="C502" s="36"/>
    </row>
    <row r="503" ht="15.75" customHeight="1">
      <c r="A503" s="36"/>
      <c r="B503" s="36"/>
      <c r="C503" s="37"/>
    </row>
    <row r="504" ht="15.75" customHeight="1">
      <c r="A504" s="36"/>
      <c r="B504" s="36"/>
      <c r="C504" s="36"/>
    </row>
    <row r="505" ht="15.75" customHeight="1">
      <c r="A505" s="36"/>
      <c r="B505" s="36"/>
      <c r="C505" s="36"/>
    </row>
    <row r="506" ht="15.75" customHeight="1">
      <c r="A506" s="36"/>
      <c r="B506" s="36"/>
      <c r="C506" s="37"/>
    </row>
    <row r="507" ht="15.75" customHeight="1">
      <c r="A507" s="36"/>
      <c r="B507" s="36"/>
      <c r="C507" s="36"/>
    </row>
    <row r="508" ht="15.75" customHeight="1">
      <c r="A508" s="36"/>
      <c r="B508" s="36"/>
      <c r="C508" s="36"/>
    </row>
    <row r="509" ht="15.75" customHeight="1">
      <c r="A509" s="36"/>
      <c r="B509" s="36"/>
      <c r="C509" s="36"/>
    </row>
    <row r="510" ht="15.75" customHeight="1">
      <c r="A510" s="36"/>
      <c r="B510" s="36"/>
      <c r="C510" s="36"/>
    </row>
    <row r="511" ht="15.75" customHeight="1">
      <c r="A511" s="36"/>
      <c r="B511" s="36"/>
      <c r="C511" s="36"/>
    </row>
    <row r="512" ht="15.75" customHeight="1">
      <c r="A512" s="36"/>
      <c r="B512" s="36"/>
      <c r="C512" s="36"/>
    </row>
    <row r="513" ht="15.75" customHeight="1">
      <c r="A513" s="36"/>
      <c r="B513" s="36"/>
      <c r="C513" s="36"/>
    </row>
    <row r="514" ht="15.75" customHeight="1">
      <c r="A514" s="36"/>
      <c r="B514" s="36"/>
      <c r="C514" s="36"/>
    </row>
    <row r="515" ht="15.75" customHeight="1">
      <c r="A515" s="36"/>
      <c r="B515" s="36"/>
      <c r="C515" s="36"/>
    </row>
    <row r="516" ht="15.75" customHeight="1">
      <c r="A516" s="36"/>
      <c r="B516" s="36"/>
    </row>
    <row r="517" ht="15.75" customHeight="1">
      <c r="A517" s="36"/>
      <c r="B517" s="36"/>
      <c r="C517" s="36"/>
    </row>
    <row r="518" ht="15.75" customHeight="1">
      <c r="A518" s="36"/>
      <c r="B518" s="36"/>
      <c r="C518" s="36"/>
    </row>
    <row r="519" ht="15.75" customHeight="1">
      <c r="A519" s="36"/>
      <c r="B519" s="36"/>
      <c r="C519" s="36"/>
    </row>
    <row r="520" ht="15.75" customHeight="1">
      <c r="A520" s="36"/>
      <c r="B520" s="36"/>
      <c r="C520" s="36"/>
    </row>
    <row r="521" ht="15.75" customHeight="1">
      <c r="A521" s="36"/>
      <c r="B521" s="36"/>
    </row>
    <row r="522" ht="15.75" customHeight="1">
      <c r="A522" s="36"/>
      <c r="B522" s="36"/>
      <c r="C522" s="36"/>
    </row>
    <row r="523" ht="15.75" customHeight="1">
      <c r="A523" s="36"/>
      <c r="C523" s="36"/>
    </row>
    <row r="524" ht="15.75" customHeight="1">
      <c r="A524" s="36"/>
      <c r="B524" s="36"/>
      <c r="C524" s="36"/>
    </row>
    <row r="525" ht="15.75" customHeight="1">
      <c r="A525" s="36"/>
      <c r="B525" s="36"/>
      <c r="C525" s="36"/>
    </row>
    <row r="526" ht="15.75" customHeight="1">
      <c r="A526" s="36"/>
      <c r="B526" s="36"/>
      <c r="C526" s="36"/>
    </row>
    <row r="527" ht="15.75" customHeight="1">
      <c r="A527" s="36"/>
      <c r="C527" s="36"/>
    </row>
    <row r="528" ht="15.75" customHeight="1">
      <c r="A528" s="36"/>
      <c r="B528" s="36"/>
    </row>
    <row r="529" ht="15.75" customHeight="1">
      <c r="A529" s="36"/>
      <c r="B529" s="36"/>
    </row>
    <row r="530" ht="15.75" customHeight="1">
      <c r="A530" s="36"/>
      <c r="B530" s="36"/>
    </row>
    <row r="531" ht="15.75" customHeight="1">
      <c r="A531" s="36"/>
      <c r="B531" s="36"/>
      <c r="C531" s="36"/>
    </row>
    <row r="532" ht="15.75" customHeight="1">
      <c r="A532" s="36"/>
      <c r="B532" s="36"/>
    </row>
    <row r="533" ht="15.75" customHeight="1">
      <c r="A533" s="36"/>
      <c r="B533" s="36"/>
      <c r="C533" s="36"/>
    </row>
    <row r="534" ht="15.75" customHeight="1">
      <c r="A534" s="36"/>
      <c r="B534" s="36"/>
      <c r="C534" s="36"/>
    </row>
    <row r="535" ht="15.75" customHeight="1">
      <c r="A535" s="36"/>
      <c r="B535" s="36"/>
      <c r="C535" s="36"/>
    </row>
    <row r="536" ht="15.75" customHeight="1">
      <c r="A536" s="36"/>
      <c r="B536" s="36"/>
      <c r="C536" s="36"/>
    </row>
    <row r="537" ht="15.75" customHeight="1">
      <c r="A537" s="36"/>
      <c r="B537" s="36"/>
      <c r="C537" s="36"/>
    </row>
    <row r="538" ht="15.75" customHeight="1">
      <c r="A538" s="36"/>
      <c r="B538" s="36"/>
    </row>
    <row r="539" ht="15.75" customHeight="1">
      <c r="A539" s="36"/>
      <c r="B539" s="36"/>
      <c r="C539" s="36"/>
    </row>
    <row r="540" ht="15.75" customHeight="1">
      <c r="A540" s="36"/>
      <c r="B540" s="36"/>
      <c r="C540" s="36"/>
    </row>
    <row r="541" ht="15.75" customHeight="1">
      <c r="A541" s="36"/>
      <c r="C541" s="36"/>
    </row>
    <row r="542" ht="15.75" customHeight="1">
      <c r="A542" s="36"/>
      <c r="C542" s="36"/>
    </row>
    <row r="543" ht="15.75" customHeight="1">
      <c r="A543" s="36"/>
      <c r="B543" s="36"/>
      <c r="C543" s="36"/>
    </row>
    <row r="544" ht="15.75" customHeight="1">
      <c r="A544" s="36"/>
      <c r="B544" s="36"/>
      <c r="C544" s="36"/>
    </row>
    <row r="545" ht="15.75" customHeight="1">
      <c r="A545" s="36"/>
      <c r="C545" s="36"/>
    </row>
    <row r="546" ht="15.75" customHeight="1">
      <c r="A546" s="36"/>
      <c r="C546" s="36"/>
    </row>
    <row r="547" ht="15.75" customHeight="1">
      <c r="A547" s="36"/>
      <c r="C547" s="36"/>
    </row>
    <row r="548" ht="15.75" customHeight="1">
      <c r="A548" s="36"/>
      <c r="B548" s="36"/>
      <c r="C548" s="36"/>
    </row>
    <row r="549" ht="15.75" customHeight="1">
      <c r="A549" s="36"/>
      <c r="B549" s="36"/>
      <c r="C549" s="36"/>
    </row>
    <row r="550" ht="15.75" customHeight="1">
      <c r="A550" s="36"/>
      <c r="B550" s="36"/>
      <c r="C550" s="36"/>
    </row>
    <row r="551" ht="15.75" customHeight="1">
      <c r="A551" s="36"/>
      <c r="B551" s="36"/>
      <c r="C551" s="36"/>
    </row>
    <row r="552" ht="15.75" customHeight="1">
      <c r="A552" s="36"/>
      <c r="B552" s="36"/>
      <c r="C552" s="36"/>
    </row>
    <row r="553" ht="15.75" customHeight="1">
      <c r="A553" s="36"/>
      <c r="B553" s="36"/>
      <c r="C553" s="36"/>
    </row>
    <row r="554" ht="15.75" customHeight="1">
      <c r="A554" s="36"/>
      <c r="B554" s="36"/>
      <c r="C554" s="36"/>
    </row>
    <row r="555" ht="15.75" customHeight="1">
      <c r="A555" s="36"/>
      <c r="B555" s="36"/>
      <c r="C555" s="36"/>
    </row>
    <row r="556" ht="15.75" customHeight="1">
      <c r="A556" s="36"/>
      <c r="B556" s="36"/>
      <c r="C556" s="36"/>
    </row>
    <row r="557" ht="15.75" customHeight="1">
      <c r="A557" s="36"/>
      <c r="B557" s="36"/>
      <c r="C557" s="36"/>
    </row>
    <row r="558" ht="15.75" customHeight="1">
      <c r="A558" s="36"/>
      <c r="B558" s="36"/>
      <c r="C558" s="36"/>
    </row>
    <row r="559" ht="15.75" customHeight="1">
      <c r="A559" s="36"/>
      <c r="B559" s="36"/>
      <c r="C559" s="36"/>
    </row>
    <row r="560" ht="15.75" customHeight="1">
      <c r="A560" s="36"/>
      <c r="B560" s="36"/>
      <c r="C560" s="36"/>
    </row>
    <row r="561" ht="15.75" customHeight="1">
      <c r="A561" s="36"/>
      <c r="B561" s="36"/>
      <c r="C561" s="36"/>
    </row>
    <row r="562" ht="15.75" customHeight="1">
      <c r="A562" s="36"/>
      <c r="B562" s="36"/>
    </row>
    <row r="563" ht="15.75" customHeight="1">
      <c r="A563" s="36"/>
      <c r="B563" s="36"/>
      <c r="C563" s="36"/>
    </row>
    <row r="564" ht="15.75" customHeight="1">
      <c r="A564" s="36"/>
      <c r="B564" s="36"/>
      <c r="C564" s="36"/>
    </row>
    <row r="565" ht="15.75" customHeight="1">
      <c r="A565" s="36"/>
      <c r="B565" s="36"/>
      <c r="C565" s="36"/>
    </row>
    <row r="566" ht="15.75" customHeight="1">
      <c r="A566" s="36"/>
      <c r="B566" s="36"/>
      <c r="C566" s="36"/>
    </row>
    <row r="567" ht="15.75" customHeight="1">
      <c r="A567" s="36"/>
      <c r="C567" s="36"/>
    </row>
    <row r="568" ht="15.75" customHeight="1">
      <c r="A568" s="36"/>
      <c r="B568" s="36"/>
      <c r="C568" s="36"/>
    </row>
    <row r="569" ht="15.75" customHeight="1">
      <c r="A569" s="36"/>
      <c r="C569" s="36"/>
    </row>
    <row r="570" ht="15.75" customHeight="1">
      <c r="A570" s="36"/>
      <c r="C570" s="36"/>
    </row>
    <row r="571" ht="15.75" customHeight="1">
      <c r="A571" s="36"/>
      <c r="C571" s="36"/>
    </row>
    <row r="572" ht="15.75" customHeight="1">
      <c r="A572" s="36"/>
      <c r="B572" s="36"/>
      <c r="C572" s="36"/>
    </row>
    <row r="573" ht="15.75" customHeight="1">
      <c r="A573" s="36"/>
      <c r="B573" s="36"/>
      <c r="C573" s="36"/>
    </row>
    <row r="574" ht="15.75" customHeight="1">
      <c r="A574" s="36"/>
      <c r="B574" s="36"/>
      <c r="C574" s="36"/>
    </row>
    <row r="575" ht="15.75" customHeight="1">
      <c r="A575" s="36"/>
      <c r="B575" s="36"/>
      <c r="C575" s="36"/>
    </row>
    <row r="576" ht="15.75" customHeight="1">
      <c r="A576" s="36"/>
      <c r="B576" s="36"/>
      <c r="C576" s="36"/>
    </row>
    <row r="577" ht="15.75" customHeight="1">
      <c r="A577" s="36"/>
      <c r="B577" s="36"/>
    </row>
    <row r="578" ht="15.75" customHeight="1">
      <c r="A578" s="36"/>
      <c r="B578" s="36"/>
    </row>
    <row r="579" ht="15.75" customHeight="1">
      <c r="A579" s="36"/>
      <c r="B579" s="36"/>
      <c r="C579" s="36"/>
    </row>
    <row r="580" ht="15.75" customHeight="1">
      <c r="A580" s="36"/>
      <c r="B580" s="36"/>
      <c r="C580" s="36"/>
    </row>
    <row r="581" ht="15.75" customHeight="1">
      <c r="A581" s="36"/>
      <c r="B581" s="36"/>
      <c r="C581" s="36"/>
    </row>
    <row r="582" ht="15.75" customHeight="1">
      <c r="A582" s="36"/>
      <c r="B582" s="36"/>
    </row>
    <row r="583" ht="15.75" customHeight="1">
      <c r="A583" s="36"/>
      <c r="B583" s="36"/>
      <c r="C583" s="36"/>
    </row>
    <row r="584" ht="15.75" customHeight="1">
      <c r="A584" s="36"/>
      <c r="B584" s="36"/>
      <c r="C584" s="36"/>
    </row>
    <row r="585" ht="15.75" customHeight="1">
      <c r="A585" s="36"/>
      <c r="B585" s="36"/>
      <c r="C585" s="36"/>
    </row>
    <row r="586" ht="15.75" customHeight="1">
      <c r="B586" s="36"/>
      <c r="C586" s="36"/>
    </row>
    <row r="587" ht="15.75" customHeight="1">
      <c r="A587" s="36"/>
      <c r="B587" s="36"/>
      <c r="C587" s="36"/>
    </row>
    <row r="588" ht="15.75" customHeight="1">
      <c r="A588" s="36"/>
      <c r="B588" s="36"/>
      <c r="C588" s="36"/>
    </row>
    <row r="589" ht="15.75" customHeight="1">
      <c r="A589" s="36"/>
      <c r="B589" s="36"/>
      <c r="C589" s="36"/>
    </row>
    <row r="590" ht="15.75" customHeight="1">
      <c r="A590" s="36"/>
      <c r="B590" s="36"/>
      <c r="C590" s="36"/>
    </row>
    <row r="591" ht="15.75" customHeight="1">
      <c r="A591" s="36"/>
      <c r="B591" s="36"/>
      <c r="C591" s="36"/>
    </row>
    <row r="592" ht="15.75" customHeight="1">
      <c r="A592" s="36"/>
      <c r="B592" s="36"/>
      <c r="C592" s="36"/>
    </row>
    <row r="593" ht="15.75" customHeight="1">
      <c r="A593" s="36"/>
      <c r="B593" s="36"/>
      <c r="C593" s="36"/>
    </row>
    <row r="594" ht="15.75" customHeight="1">
      <c r="A594" s="36"/>
      <c r="B594" s="36"/>
      <c r="C594" s="36"/>
    </row>
    <row r="595" ht="15.75" customHeight="1">
      <c r="A595" s="36"/>
      <c r="B595" s="36"/>
      <c r="C595" s="36"/>
    </row>
    <row r="596" ht="15.75" customHeight="1">
      <c r="A596" s="36"/>
      <c r="B596" s="36"/>
      <c r="C596" s="36"/>
    </row>
    <row r="597" ht="15.75" customHeight="1">
      <c r="A597" s="36"/>
      <c r="B597" s="36"/>
      <c r="C597" s="36"/>
    </row>
    <row r="598" ht="15.75" customHeight="1">
      <c r="A598" s="36"/>
      <c r="B598" s="36"/>
      <c r="C598" s="36"/>
    </row>
    <row r="599" ht="15.75" customHeight="1">
      <c r="A599" s="36"/>
      <c r="B599" s="36"/>
      <c r="C599" s="36"/>
    </row>
    <row r="600" ht="15.75" customHeight="1">
      <c r="A600" s="36"/>
      <c r="C600" s="36"/>
    </row>
    <row r="601" ht="15.75" customHeight="1">
      <c r="A601" s="36"/>
      <c r="B601" s="36"/>
      <c r="C601" s="36"/>
    </row>
    <row r="602" ht="15.75" customHeight="1">
      <c r="A602" s="36"/>
      <c r="B602" s="36"/>
      <c r="C602" s="36"/>
    </row>
    <row r="603" ht="15.75" customHeight="1">
      <c r="A603" s="36"/>
      <c r="B603" s="36"/>
      <c r="C603" s="36"/>
    </row>
    <row r="604" ht="15.75" customHeight="1">
      <c r="A604" s="36"/>
      <c r="B604" s="36"/>
      <c r="C604" s="36"/>
    </row>
    <row r="605" ht="15.75" customHeight="1">
      <c r="A605" s="36"/>
      <c r="B605" s="36"/>
      <c r="C605" s="36"/>
    </row>
    <row r="606" ht="15.75" customHeight="1">
      <c r="A606" s="36"/>
      <c r="B606" s="36"/>
      <c r="C606" s="36"/>
    </row>
    <row r="607" ht="15.75" customHeight="1">
      <c r="A607" s="36"/>
      <c r="B607" s="36"/>
      <c r="C607" s="36"/>
    </row>
    <row r="608" ht="15.75" customHeight="1">
      <c r="A608" s="36"/>
      <c r="B608" s="36"/>
      <c r="C608" s="36"/>
    </row>
    <row r="609" ht="15.75" customHeight="1">
      <c r="A609" s="36"/>
      <c r="B609" s="36"/>
      <c r="C609" s="36"/>
    </row>
    <row r="610" ht="15.75" customHeight="1">
      <c r="A610" s="36"/>
      <c r="C610" s="36"/>
    </row>
    <row r="611" ht="15.75" customHeight="1">
      <c r="A611" s="36"/>
      <c r="B611" s="36"/>
      <c r="C611" s="36"/>
    </row>
    <row r="612" ht="15.75" customHeight="1">
      <c r="A612" s="36"/>
      <c r="B612" s="36"/>
      <c r="C612" s="36"/>
    </row>
    <row r="613" ht="15.75" customHeight="1">
      <c r="A613" s="36"/>
      <c r="C613" s="36"/>
    </row>
    <row r="614" ht="15.75" customHeight="1">
      <c r="A614" s="36"/>
      <c r="C614" s="36"/>
    </row>
    <row r="615" ht="15.75" customHeight="1">
      <c r="A615" s="36"/>
      <c r="C615" s="36"/>
    </row>
    <row r="616" ht="15.75" customHeight="1">
      <c r="A616" s="36"/>
      <c r="C616" s="36"/>
    </row>
    <row r="617" ht="15.75" customHeight="1">
      <c r="A617" s="36"/>
      <c r="C617" s="36"/>
    </row>
    <row r="618" ht="15.75" customHeight="1">
      <c r="A618" s="36"/>
      <c r="C618" s="36"/>
    </row>
    <row r="619" ht="15.75" customHeight="1">
      <c r="A619" s="36"/>
      <c r="C619" s="36"/>
    </row>
    <row r="620" ht="15.75" customHeight="1">
      <c r="A620" s="36"/>
      <c r="B620" s="36"/>
      <c r="C620" s="36"/>
    </row>
    <row r="621" ht="15.75" customHeight="1">
      <c r="A621" s="36"/>
      <c r="B621" s="36"/>
      <c r="C621" s="36"/>
    </row>
    <row r="622" ht="15.75" customHeight="1">
      <c r="A622" s="36"/>
      <c r="C622" s="36"/>
    </row>
    <row r="623" ht="15.75" customHeight="1">
      <c r="A623" s="36"/>
      <c r="C623" s="36"/>
    </row>
    <row r="624" ht="15.75" customHeight="1">
      <c r="A624" s="36"/>
      <c r="B624" s="36"/>
      <c r="C624" s="36"/>
    </row>
    <row r="625" ht="15.75" customHeight="1">
      <c r="A625" s="36"/>
      <c r="B625" s="36"/>
      <c r="C625" s="36"/>
    </row>
    <row r="626" ht="15.75" customHeight="1">
      <c r="A626" s="36"/>
      <c r="B626" s="36"/>
      <c r="C626" s="36"/>
    </row>
    <row r="627" ht="15.75" customHeight="1">
      <c r="A627" s="36"/>
      <c r="B627" s="36"/>
      <c r="C627" s="36"/>
    </row>
    <row r="628" ht="15.75" customHeight="1">
      <c r="A628" s="36"/>
      <c r="B628" s="36"/>
      <c r="C628" s="36"/>
    </row>
    <row r="629" ht="15.75" customHeight="1">
      <c r="A629" s="36"/>
      <c r="B629" s="36"/>
      <c r="C629" s="36"/>
    </row>
    <row r="630" ht="15.75" customHeight="1">
      <c r="A630" s="36"/>
      <c r="B630" s="36"/>
      <c r="C630" s="36"/>
    </row>
    <row r="631" ht="15.75" customHeight="1">
      <c r="A631" s="36"/>
      <c r="B631" s="36"/>
      <c r="C631" s="36"/>
    </row>
    <row r="632" ht="15.75" customHeight="1">
      <c r="A632" s="36"/>
      <c r="B632" s="36"/>
      <c r="C632" s="36"/>
    </row>
    <row r="633" ht="15.75" customHeight="1">
      <c r="A633" s="36"/>
      <c r="B633" s="36"/>
      <c r="C633" s="36"/>
    </row>
    <row r="634" ht="15.75" customHeight="1">
      <c r="A634" s="36"/>
      <c r="B634" s="36"/>
      <c r="C634" s="36"/>
    </row>
    <row r="635" ht="15.75" customHeight="1">
      <c r="A635" s="36"/>
      <c r="B635" s="36"/>
      <c r="C635" s="36"/>
    </row>
    <row r="636" ht="15.75" customHeight="1">
      <c r="A636" s="36"/>
      <c r="B636" s="36"/>
      <c r="C636" s="36"/>
    </row>
    <row r="637" ht="15.75" customHeight="1">
      <c r="A637" s="36"/>
      <c r="B637" s="36"/>
      <c r="C637" s="36"/>
    </row>
    <row r="638" ht="15.75" customHeight="1">
      <c r="A638" s="36"/>
      <c r="C638" s="36"/>
    </row>
    <row r="639" ht="15.75" customHeight="1">
      <c r="A639" s="36"/>
      <c r="C639" s="36"/>
    </row>
    <row r="640" ht="15.75" customHeight="1">
      <c r="A640" s="36"/>
      <c r="B640" s="36"/>
      <c r="C640" s="36"/>
    </row>
    <row r="641" ht="15.75" customHeight="1">
      <c r="A641" s="36"/>
      <c r="C641" s="36"/>
    </row>
    <row r="642" ht="15.75" customHeight="1">
      <c r="A642" s="36"/>
      <c r="B642" s="36"/>
      <c r="C642" s="36"/>
    </row>
    <row r="643" ht="15.75" customHeight="1">
      <c r="A643" s="36"/>
      <c r="C643" s="36"/>
    </row>
    <row r="644" ht="15.75" customHeight="1">
      <c r="A644" s="36"/>
      <c r="C644" s="36"/>
    </row>
    <row r="645" ht="15.75" customHeight="1">
      <c r="A645" s="36"/>
      <c r="B645" s="36"/>
      <c r="C645" s="36"/>
    </row>
    <row r="646" ht="15.75" customHeight="1">
      <c r="A646" s="36"/>
      <c r="B646" s="36"/>
      <c r="C646" s="36"/>
    </row>
    <row r="647" ht="15.75" customHeight="1">
      <c r="A647" s="36"/>
      <c r="B647" s="36"/>
      <c r="C647" s="36"/>
    </row>
    <row r="648" ht="15.75" customHeight="1">
      <c r="A648" s="36"/>
      <c r="B648" s="36"/>
      <c r="C648" s="36"/>
    </row>
    <row r="649" ht="15.75" customHeight="1">
      <c r="A649" s="36"/>
      <c r="B649" s="36"/>
      <c r="C649" s="36"/>
    </row>
    <row r="650" ht="15.75" customHeight="1">
      <c r="A650" s="36"/>
      <c r="B650" s="36"/>
    </row>
    <row r="651" ht="15.75" customHeight="1">
      <c r="A651" s="36"/>
      <c r="B651" s="36"/>
    </row>
    <row r="652" ht="15.75" customHeight="1">
      <c r="A652" s="36"/>
      <c r="B652" s="36"/>
    </row>
    <row r="653" ht="15.75" customHeight="1">
      <c r="A653" s="36"/>
      <c r="B653" s="36"/>
      <c r="C653" s="36"/>
    </row>
    <row r="654" ht="15.75" customHeight="1">
      <c r="A654" s="36"/>
      <c r="B654" s="36"/>
      <c r="C654" s="36"/>
    </row>
    <row r="655" ht="15.75" customHeight="1">
      <c r="A655" s="36"/>
      <c r="B655" s="36"/>
      <c r="C655" s="36"/>
    </row>
    <row r="656" ht="15.75" customHeight="1">
      <c r="A656" s="36"/>
      <c r="C656" s="36"/>
    </row>
    <row r="657" ht="15.75" customHeight="1">
      <c r="A657" s="36"/>
      <c r="B657" s="36"/>
      <c r="C657" s="36"/>
    </row>
    <row r="658" ht="15.75" customHeight="1">
      <c r="A658" s="36"/>
      <c r="B658" s="36"/>
      <c r="C658" s="36"/>
    </row>
    <row r="659" ht="15.75" customHeight="1">
      <c r="A659" s="36"/>
      <c r="B659" s="36"/>
      <c r="C659" s="36"/>
    </row>
    <row r="660" ht="15.75" customHeight="1">
      <c r="A660" s="36"/>
      <c r="B660" s="36"/>
      <c r="C660" s="36"/>
    </row>
    <row r="661" ht="15.75" customHeight="1">
      <c r="A661" s="36"/>
      <c r="B661" s="36"/>
      <c r="C661" s="36"/>
    </row>
    <row r="662" ht="15.75" customHeight="1">
      <c r="A662" s="36"/>
      <c r="B662" s="36"/>
      <c r="C662" s="36"/>
    </row>
    <row r="663" ht="15.75" customHeight="1">
      <c r="A663" s="36"/>
      <c r="B663" s="36"/>
      <c r="C663" s="36"/>
    </row>
    <row r="664" ht="15.75" customHeight="1">
      <c r="A664" s="36"/>
      <c r="B664" s="36"/>
      <c r="C664" s="36"/>
    </row>
    <row r="665" ht="15.75" customHeight="1">
      <c r="A665" s="36"/>
      <c r="B665" s="36"/>
      <c r="C665" s="36"/>
    </row>
    <row r="666" ht="15.75" customHeight="1">
      <c r="A666" s="36"/>
      <c r="B666" s="36"/>
      <c r="C666" s="36"/>
    </row>
    <row r="667" ht="15.75" customHeight="1">
      <c r="A667" s="36"/>
      <c r="B667" s="36"/>
      <c r="C667" s="36"/>
    </row>
    <row r="668" ht="15.75" customHeight="1">
      <c r="A668" s="36"/>
      <c r="B668" s="36"/>
      <c r="C668" s="36"/>
    </row>
    <row r="669" ht="15.75" customHeight="1">
      <c r="A669" s="36"/>
      <c r="C669" s="36"/>
    </row>
    <row r="670" ht="15.75" customHeight="1">
      <c r="A670" s="48"/>
      <c r="B670" s="48"/>
      <c r="C670" s="48"/>
    </row>
    <row r="671" ht="15.75" customHeight="1">
      <c r="A671" s="48" t="s">
        <v>4274</v>
      </c>
      <c r="B671" s="48" t="s">
        <v>139</v>
      </c>
      <c r="C671" s="62" t="s">
        <v>4275</v>
      </c>
    </row>
    <row r="672" ht="15.75" customHeight="1">
      <c r="A672" s="48" t="s">
        <v>4276</v>
      </c>
      <c r="B672" s="48" t="s">
        <v>4277</v>
      </c>
      <c r="C672" s="62" t="s">
        <v>4278</v>
      </c>
    </row>
    <row r="673" ht="15.75" customHeight="1">
      <c r="A673" s="48" t="s">
        <v>4279</v>
      </c>
      <c r="C673" s="62" t="s">
        <v>4280</v>
      </c>
    </row>
    <row r="674" ht="15.75" customHeight="1">
      <c r="A674" s="48" t="s">
        <v>4281</v>
      </c>
      <c r="B674" s="48"/>
      <c r="C674" s="62" t="s">
        <v>4282</v>
      </c>
    </row>
    <row r="675" ht="15.75" customHeight="1">
      <c r="A675" s="48" t="s">
        <v>4283</v>
      </c>
      <c r="B675" s="48"/>
      <c r="C675" s="62" t="s">
        <v>4284</v>
      </c>
    </row>
    <row r="676" ht="15.75" customHeight="1">
      <c r="A676" s="48" t="s">
        <v>4285</v>
      </c>
      <c r="B676" s="48" t="s">
        <v>4286</v>
      </c>
      <c r="C676" s="62" t="s">
        <v>4287</v>
      </c>
    </row>
    <row r="677" ht="15.75" customHeight="1">
      <c r="A677" s="48" t="s">
        <v>4288</v>
      </c>
      <c r="B677" s="48"/>
      <c r="C677" s="62" t="s">
        <v>4289</v>
      </c>
    </row>
    <row r="678" ht="15.75" customHeight="1">
      <c r="A678" s="48" t="s">
        <v>4290</v>
      </c>
      <c r="B678" s="48"/>
      <c r="C678" s="62" t="s">
        <v>4291</v>
      </c>
    </row>
    <row r="679" ht="15.75" customHeight="1">
      <c r="A679" s="48" t="s">
        <v>4292</v>
      </c>
      <c r="B679" s="48" t="s">
        <v>4293</v>
      </c>
      <c r="C679" s="39" t="s">
        <v>4294</v>
      </c>
    </row>
    <row r="680" ht="15.75" customHeight="1">
      <c r="A680" s="48" t="s">
        <v>2791</v>
      </c>
      <c r="B680" s="48" t="s">
        <v>4295</v>
      </c>
      <c r="C680" s="48" t="s">
        <v>198</v>
      </c>
    </row>
    <row r="681" ht="15.75" customHeight="1">
      <c r="A681" s="48" t="s">
        <v>4296</v>
      </c>
      <c r="B681" s="48" t="s">
        <v>139</v>
      </c>
      <c r="C681" s="62" t="s">
        <v>4297</v>
      </c>
    </row>
    <row r="682" ht="15.75" customHeight="1">
      <c r="A682" s="48" t="s">
        <v>4298</v>
      </c>
      <c r="B682" s="48" t="s">
        <v>4299</v>
      </c>
      <c r="C682" s="62" t="s">
        <v>4300</v>
      </c>
    </row>
    <row r="683" ht="15.75" customHeight="1">
      <c r="A683" s="48" t="s">
        <v>3347</v>
      </c>
      <c r="B683" s="48" t="s">
        <v>4301</v>
      </c>
      <c r="C683" s="62" t="s">
        <v>4302</v>
      </c>
    </row>
    <row r="684" ht="15.75" customHeight="1">
      <c r="A684" s="48" t="s">
        <v>4303</v>
      </c>
      <c r="B684" s="48"/>
      <c r="C684" s="62" t="s">
        <v>4304</v>
      </c>
    </row>
    <row r="685" ht="15.75" customHeight="1">
      <c r="A685" s="48" t="s">
        <v>2898</v>
      </c>
      <c r="B685" s="48"/>
      <c r="C685" s="62" t="s">
        <v>4305</v>
      </c>
    </row>
    <row r="686" ht="15.75" customHeight="1">
      <c r="A686" s="48" t="s">
        <v>4306</v>
      </c>
      <c r="B686" s="48"/>
      <c r="C686" s="62" t="s">
        <v>4307</v>
      </c>
    </row>
    <row r="687" ht="15.75" customHeight="1">
      <c r="A687" s="48" t="s">
        <v>3298</v>
      </c>
      <c r="B687" s="48" t="s">
        <v>3299</v>
      </c>
      <c r="C687" s="62" t="s">
        <v>4308</v>
      </c>
    </row>
    <row r="688" ht="15.75" customHeight="1">
      <c r="A688" s="48" t="s">
        <v>4309</v>
      </c>
      <c r="B688" s="48"/>
      <c r="C688" s="62" t="s">
        <v>4310</v>
      </c>
    </row>
    <row r="689" ht="15.75" customHeight="1">
      <c r="A689" s="36" t="s">
        <v>3423</v>
      </c>
      <c r="B689" s="48"/>
      <c r="C689" s="62" t="s">
        <v>4311</v>
      </c>
    </row>
    <row r="690" ht="15.75" customHeight="1">
      <c r="A690" s="48" t="s">
        <v>4312</v>
      </c>
      <c r="B690" s="48"/>
      <c r="C690" s="62" t="s">
        <v>4313</v>
      </c>
    </row>
    <row r="691" ht="15.75" customHeight="1">
      <c r="A691" s="48" t="s">
        <v>4314</v>
      </c>
      <c r="B691" s="48" t="s">
        <v>4315</v>
      </c>
      <c r="C691" s="62" t="s">
        <v>4316</v>
      </c>
    </row>
    <row r="692" ht="15.75" customHeight="1">
      <c r="A692" s="48" t="s">
        <v>4317</v>
      </c>
      <c r="B692" s="48" t="s">
        <v>4318</v>
      </c>
      <c r="C692" s="62" t="s">
        <v>4319</v>
      </c>
    </row>
    <row r="693" ht="15.75" customHeight="1">
      <c r="A693" s="48" t="s">
        <v>4320</v>
      </c>
      <c r="B693" s="48" t="s">
        <v>4321</v>
      </c>
      <c r="C693" s="62" t="s">
        <v>4322</v>
      </c>
    </row>
    <row r="694" ht="15.75" customHeight="1">
      <c r="A694" s="48" t="s">
        <v>4323</v>
      </c>
      <c r="B694" s="48" t="s">
        <v>4324</v>
      </c>
      <c r="C694" s="62" t="s">
        <v>4325</v>
      </c>
    </row>
    <row r="695" ht="15.75" customHeight="1">
      <c r="A695" s="48" t="s">
        <v>4326</v>
      </c>
      <c r="B695" s="48" t="s">
        <v>4327</v>
      </c>
      <c r="C695" s="62" t="s">
        <v>4328</v>
      </c>
    </row>
    <row r="696" ht="15.75" customHeight="1">
      <c r="A696" s="48" t="s">
        <v>4329</v>
      </c>
      <c r="B696" s="48" t="s">
        <v>4330</v>
      </c>
      <c r="C696" s="62" t="s">
        <v>4331</v>
      </c>
    </row>
    <row r="697" ht="15.75" customHeight="1">
      <c r="A697" s="48" t="s">
        <v>4332</v>
      </c>
      <c r="B697" s="48" t="s">
        <v>4333</v>
      </c>
      <c r="C697" s="62" t="s">
        <v>4334</v>
      </c>
    </row>
    <row r="698" ht="15.75" customHeight="1">
      <c r="A698" s="48" t="s">
        <v>4335</v>
      </c>
      <c r="B698" s="48" t="s">
        <v>4336</v>
      </c>
      <c r="C698" s="62" t="s">
        <v>4337</v>
      </c>
    </row>
    <row r="699" ht="15.75" customHeight="1">
      <c r="A699" s="48" t="s">
        <v>4338</v>
      </c>
      <c r="B699" s="48"/>
      <c r="C699" s="62" t="s">
        <v>4339</v>
      </c>
    </row>
    <row r="700" ht="15.75" customHeight="1">
      <c r="A700" s="48" t="s">
        <v>4340</v>
      </c>
      <c r="B700" s="48" t="s">
        <v>4341</v>
      </c>
      <c r="C700" s="62" t="s">
        <v>4342</v>
      </c>
    </row>
    <row r="701" ht="15.75" customHeight="1">
      <c r="A701" s="48" t="s">
        <v>4343</v>
      </c>
      <c r="B701" s="48" t="s">
        <v>198</v>
      </c>
      <c r="C701" s="62" t="s">
        <v>4344</v>
      </c>
    </row>
    <row r="702" ht="15.75" customHeight="1">
      <c r="A702" s="48" t="s">
        <v>4345</v>
      </c>
      <c r="B702" s="48" t="s">
        <v>4346</v>
      </c>
      <c r="C702" s="62" t="s">
        <v>4347</v>
      </c>
    </row>
    <row r="703" ht="15.75" customHeight="1">
      <c r="A703" s="48" t="s">
        <v>4348</v>
      </c>
      <c r="B703" s="48"/>
      <c r="C703" s="62" t="s">
        <v>4349</v>
      </c>
    </row>
    <row r="704" ht="15.75" customHeight="1">
      <c r="A704" s="48" t="s">
        <v>4350</v>
      </c>
      <c r="B704" s="48" t="s">
        <v>4351</v>
      </c>
      <c r="C704" s="62" t="s">
        <v>4352</v>
      </c>
    </row>
    <row r="705" ht="15.75" customHeight="1">
      <c r="A705" s="48" t="s">
        <v>2485</v>
      </c>
      <c r="B705" s="48"/>
      <c r="C705" s="62" t="s">
        <v>4353</v>
      </c>
    </row>
    <row r="706" ht="15.75" customHeight="1">
      <c r="A706" s="48" t="s">
        <v>4354</v>
      </c>
      <c r="B706" s="48"/>
      <c r="C706" s="62" t="s">
        <v>4355</v>
      </c>
    </row>
    <row r="707" ht="15.75" customHeight="1">
      <c r="A707" s="48" t="s">
        <v>4356</v>
      </c>
      <c r="B707" s="48"/>
      <c r="C707" s="62" t="s">
        <v>4357</v>
      </c>
    </row>
    <row r="708" ht="15.75" customHeight="1">
      <c r="A708" s="48" t="s">
        <v>1762</v>
      </c>
      <c r="B708" s="48"/>
      <c r="C708" s="62" t="s">
        <v>4358</v>
      </c>
    </row>
    <row r="709" ht="15.75" customHeight="1">
      <c r="A709" s="48" t="s">
        <v>4359</v>
      </c>
      <c r="B709" s="48" t="s">
        <v>4360</v>
      </c>
      <c r="C709" s="48" t="s">
        <v>198</v>
      </c>
    </row>
    <row r="710" ht="15.75" customHeight="1">
      <c r="A710" s="48" t="s">
        <v>4361</v>
      </c>
      <c r="B710" s="36" t="s">
        <v>4362</v>
      </c>
      <c r="C710" s="62" t="s">
        <v>4363</v>
      </c>
    </row>
    <row r="711" ht="15.75" customHeight="1">
      <c r="A711" s="91" t="s">
        <v>4364</v>
      </c>
      <c r="B711" s="48"/>
      <c r="C711" s="62" t="s">
        <v>4365</v>
      </c>
    </row>
    <row r="712" ht="15.75" customHeight="1">
      <c r="A712" s="245" t="s">
        <v>4366</v>
      </c>
      <c r="B712" s="48" t="s">
        <v>4367</v>
      </c>
      <c r="C712" s="62" t="s">
        <v>4368</v>
      </c>
    </row>
    <row r="713" ht="15.75" customHeight="1">
      <c r="A713" s="36" t="s">
        <v>4369</v>
      </c>
      <c r="B713" s="48" t="s">
        <v>4370</v>
      </c>
      <c r="C713" s="62" t="s">
        <v>4371</v>
      </c>
    </row>
    <row r="714" ht="15.75" customHeight="1">
      <c r="A714" s="48" t="s">
        <v>4372</v>
      </c>
      <c r="B714" s="48" t="s">
        <v>4373</v>
      </c>
      <c r="C714" s="62" t="s">
        <v>4374</v>
      </c>
    </row>
    <row r="715" ht="15.75" customHeight="1">
      <c r="A715" s="48" t="s">
        <v>4375</v>
      </c>
      <c r="B715" s="48" t="s">
        <v>4376</v>
      </c>
      <c r="C715" s="104" t="s">
        <v>4377</v>
      </c>
    </row>
    <row r="716" ht="15.75" customHeight="1">
      <c r="A716" s="48" t="s">
        <v>4378</v>
      </c>
      <c r="B716" s="48" t="s">
        <v>4379</v>
      </c>
      <c r="C716" s="104" t="s">
        <v>4380</v>
      </c>
    </row>
    <row r="717" ht="15.75" customHeight="1">
      <c r="A717" s="48" t="s">
        <v>4381</v>
      </c>
      <c r="B717" s="48" t="s">
        <v>4382</v>
      </c>
      <c r="C717" s="104" t="s">
        <v>4383</v>
      </c>
    </row>
    <row r="718" ht="15.75" customHeight="1">
      <c r="A718" s="48" t="s">
        <v>4384</v>
      </c>
      <c r="B718" s="48" t="s">
        <v>4385</v>
      </c>
      <c r="C718" s="104" t="s">
        <v>4380</v>
      </c>
    </row>
    <row r="719" ht="15.75" customHeight="1">
      <c r="A719" s="48" t="s">
        <v>4386</v>
      </c>
      <c r="B719" s="48" t="s">
        <v>4228</v>
      </c>
      <c r="C719" s="104" t="s">
        <v>4387</v>
      </c>
    </row>
    <row r="720" ht="15.75" customHeight="1">
      <c r="A720" s="48" t="s">
        <v>2405</v>
      </c>
      <c r="B720" s="48"/>
      <c r="C720" s="104" t="s">
        <v>4388</v>
      </c>
    </row>
    <row r="721" ht="15.75" customHeight="1">
      <c r="A721" s="48" t="s">
        <v>4389</v>
      </c>
      <c r="B721" s="48"/>
      <c r="C721" s="104" t="s">
        <v>4390</v>
      </c>
    </row>
    <row r="722" ht="15.75" customHeight="1">
      <c r="A722" s="48" t="s">
        <v>4391</v>
      </c>
      <c r="B722" s="48"/>
      <c r="C722" s="104" t="s">
        <v>4392</v>
      </c>
    </row>
    <row r="723" ht="15.75" customHeight="1">
      <c r="A723" s="48" t="s">
        <v>4393</v>
      </c>
      <c r="B723" s="48" t="s">
        <v>4394</v>
      </c>
      <c r="C723" s="104" t="s">
        <v>4395</v>
      </c>
    </row>
    <row r="724" ht="15.75" customHeight="1">
      <c r="A724" s="48" t="s">
        <v>4364</v>
      </c>
      <c r="B724" s="48" t="s">
        <v>4396</v>
      </c>
      <c r="C724" s="104" t="s">
        <v>4397</v>
      </c>
    </row>
    <row r="725" ht="15.75" customHeight="1">
      <c r="A725" s="48" t="s">
        <v>4398</v>
      </c>
      <c r="B725" s="48" t="s">
        <v>4399</v>
      </c>
      <c r="C725" s="106"/>
    </row>
    <row r="726" ht="15.75" customHeight="1">
      <c r="A726" s="48" t="s">
        <v>4400</v>
      </c>
      <c r="B726" s="48" t="s">
        <v>4401</v>
      </c>
      <c r="C726" s="104" t="s">
        <v>4402</v>
      </c>
    </row>
    <row r="727" ht="15.75" customHeight="1">
      <c r="A727" s="48" t="s">
        <v>4403</v>
      </c>
      <c r="B727" s="48" t="s">
        <v>4404</v>
      </c>
      <c r="C727" s="104" t="s">
        <v>4405</v>
      </c>
    </row>
    <row r="728" ht="15.75" customHeight="1">
      <c r="A728" s="48" t="s">
        <v>4406</v>
      </c>
      <c r="B728" s="48" t="s">
        <v>4407</v>
      </c>
      <c r="C728" s="104" t="s">
        <v>4408</v>
      </c>
    </row>
    <row r="729" ht="15.75" customHeight="1">
      <c r="A729" s="48" t="s">
        <v>4409</v>
      </c>
      <c r="B729" s="48" t="s">
        <v>198</v>
      </c>
      <c r="C729" s="104" t="s">
        <v>4410</v>
      </c>
    </row>
    <row r="730" ht="15.75" customHeight="1">
      <c r="A730" s="48" t="s">
        <v>4411</v>
      </c>
      <c r="B730" s="48" t="s">
        <v>4412</v>
      </c>
      <c r="C730" s="104" t="s">
        <v>4413</v>
      </c>
    </row>
    <row r="731" ht="15.75" customHeight="1">
      <c r="A731" s="48" t="s">
        <v>4414</v>
      </c>
      <c r="B731" s="48" t="s">
        <v>4415</v>
      </c>
      <c r="C731" s="101" t="s">
        <v>139</v>
      </c>
    </row>
    <row r="732" ht="15.75" customHeight="1">
      <c r="A732" s="48" t="s">
        <v>4416</v>
      </c>
      <c r="B732" s="48" t="s">
        <v>4417</v>
      </c>
      <c r="C732" s="104" t="s">
        <v>4418</v>
      </c>
    </row>
    <row r="733" ht="15.75" customHeight="1">
      <c r="A733" s="48" t="s">
        <v>4419</v>
      </c>
      <c r="B733" s="48"/>
      <c r="C733" s="104" t="s">
        <v>4420</v>
      </c>
    </row>
    <row r="734" ht="15.75" customHeight="1">
      <c r="A734" s="48" t="s">
        <v>4421</v>
      </c>
      <c r="B734" s="48" t="s">
        <v>4422</v>
      </c>
      <c r="C734" s="104" t="s">
        <v>4423</v>
      </c>
    </row>
    <row r="735" ht="15.75" customHeight="1">
      <c r="A735" s="48" t="s">
        <v>4424</v>
      </c>
      <c r="B735" s="48"/>
      <c r="C735" s="104" t="s">
        <v>4425</v>
      </c>
    </row>
    <row r="736" ht="15.75" customHeight="1">
      <c r="A736" s="48" t="s">
        <v>4426</v>
      </c>
      <c r="B736" s="246" t="s">
        <v>4427</v>
      </c>
      <c r="C736" s="104" t="s">
        <v>4428</v>
      </c>
    </row>
    <row r="737" ht="15.75" customHeight="1">
      <c r="A737" s="48" t="s">
        <v>4429</v>
      </c>
      <c r="B737" s="48" t="s">
        <v>4430</v>
      </c>
      <c r="C737" s="104" t="s">
        <v>4431</v>
      </c>
    </row>
    <row r="738" ht="15.75" customHeight="1">
      <c r="A738" s="48" t="s">
        <v>4432</v>
      </c>
      <c r="B738" s="48" t="s">
        <v>4247</v>
      </c>
      <c r="C738" s="104" t="s">
        <v>4248</v>
      </c>
    </row>
    <row r="739" ht="15.75" customHeight="1">
      <c r="A739" s="48" t="s">
        <v>671</v>
      </c>
      <c r="B739" s="48"/>
      <c r="C739" s="104" t="s">
        <v>4433</v>
      </c>
    </row>
    <row r="740" ht="15.75" customHeight="1">
      <c r="A740" s="48" t="s">
        <v>4434</v>
      </c>
      <c r="B740" s="48"/>
      <c r="C740" s="104" t="s">
        <v>4435</v>
      </c>
    </row>
    <row r="741" ht="15.75" customHeight="1">
      <c r="A741" s="48" t="s">
        <v>4436</v>
      </c>
      <c r="B741" s="48" t="s">
        <v>4437</v>
      </c>
      <c r="C741" s="104" t="s">
        <v>4438</v>
      </c>
    </row>
    <row r="742" ht="15.75" customHeight="1">
      <c r="A742" s="48" t="s">
        <v>4439</v>
      </c>
      <c r="B742" s="48" t="s">
        <v>4440</v>
      </c>
      <c r="C742" s="104" t="s">
        <v>4441</v>
      </c>
    </row>
    <row r="743" ht="15.75" customHeight="1">
      <c r="A743" s="48" t="s">
        <v>4442</v>
      </c>
      <c r="B743" s="48"/>
      <c r="C743" s="104" t="s">
        <v>4443</v>
      </c>
    </row>
    <row r="744" ht="15.75" customHeight="1">
      <c r="A744" s="48" t="s">
        <v>4444</v>
      </c>
      <c r="B744" s="48"/>
      <c r="C744" s="104" t="s">
        <v>4445</v>
      </c>
    </row>
    <row r="745" ht="15.75" customHeight="1">
      <c r="A745" s="48" t="s">
        <v>4446</v>
      </c>
      <c r="B745" s="48"/>
      <c r="C745" s="104" t="s">
        <v>4447</v>
      </c>
    </row>
    <row r="746" ht="15.75" customHeight="1">
      <c r="A746" s="48" t="s">
        <v>4448</v>
      </c>
      <c r="B746" s="48"/>
      <c r="C746" s="104" t="s">
        <v>4449</v>
      </c>
    </row>
    <row r="747" ht="15.75" customHeight="1">
      <c r="A747" s="48" t="s">
        <v>4450</v>
      </c>
      <c r="B747" s="48"/>
      <c r="C747" s="104" t="s">
        <v>4451</v>
      </c>
    </row>
    <row r="748" ht="15.75" customHeight="1">
      <c r="A748" s="48" t="s">
        <v>4452</v>
      </c>
      <c r="B748" s="48"/>
      <c r="C748" s="104" t="s">
        <v>4453</v>
      </c>
    </row>
    <row r="749" ht="15.75" customHeight="1">
      <c r="A749" s="48" t="s">
        <v>4454</v>
      </c>
      <c r="B749" s="48"/>
      <c r="C749" s="104" t="s">
        <v>4455</v>
      </c>
    </row>
    <row r="750" ht="15.75" customHeight="1">
      <c r="A750" s="48" t="s">
        <v>4456</v>
      </c>
      <c r="B750" s="48" t="s">
        <v>4457</v>
      </c>
      <c r="C750" s="101"/>
    </row>
    <row r="751" ht="15.75" customHeight="1">
      <c r="A751" s="48" t="s">
        <v>4458</v>
      </c>
      <c r="B751" s="48"/>
      <c r="C751" s="102" t="s">
        <v>4459</v>
      </c>
    </row>
    <row r="752" ht="15.75" customHeight="1">
      <c r="A752" s="48" t="s">
        <v>2791</v>
      </c>
      <c r="B752" s="48"/>
      <c r="C752" s="102" t="s">
        <v>4460</v>
      </c>
    </row>
    <row r="753" ht="15.75" customHeight="1">
      <c r="A753" s="48" t="s">
        <v>4461</v>
      </c>
      <c r="B753" s="48" t="s">
        <v>4462</v>
      </c>
      <c r="C753" s="102" t="s">
        <v>4183</v>
      </c>
    </row>
    <row r="754" ht="15.75" customHeight="1">
      <c r="A754" s="48" t="s">
        <v>4463</v>
      </c>
      <c r="B754" s="48" t="s">
        <v>4464</v>
      </c>
      <c r="C754" s="102" t="s">
        <v>4465</v>
      </c>
    </row>
    <row r="755" ht="15.75" customHeight="1">
      <c r="A755" s="48" t="s">
        <v>4466</v>
      </c>
      <c r="B755" s="36" t="s">
        <v>4467</v>
      </c>
      <c r="C755" s="79" t="s">
        <v>4468</v>
      </c>
    </row>
    <row r="756" ht="15.75" customHeight="1">
      <c r="A756" s="48" t="s">
        <v>4469</v>
      </c>
      <c r="B756" s="48"/>
      <c r="C756" s="102" t="s">
        <v>4470</v>
      </c>
    </row>
    <row r="757" ht="15.75" customHeight="1">
      <c r="A757" s="48" t="s">
        <v>3331</v>
      </c>
      <c r="B757" s="48" t="s">
        <v>4471</v>
      </c>
      <c r="C757" s="102" t="s">
        <v>4472</v>
      </c>
    </row>
    <row r="758" ht="15.75" customHeight="1">
      <c r="A758" s="48" t="s">
        <v>4473</v>
      </c>
      <c r="B758" s="48" t="s">
        <v>4474</v>
      </c>
      <c r="C758" s="102" t="s">
        <v>4475</v>
      </c>
    </row>
    <row r="759" ht="15.75" customHeight="1">
      <c r="A759" s="48" t="s">
        <v>4476</v>
      </c>
      <c r="B759" s="48" t="s">
        <v>4477</v>
      </c>
      <c r="C759" s="102" t="s">
        <v>4478</v>
      </c>
    </row>
    <row r="760" ht="15.75" customHeight="1">
      <c r="A760" s="48" t="s">
        <v>4479</v>
      </c>
      <c r="B760" s="48" t="s">
        <v>4480</v>
      </c>
      <c r="C760" s="102" t="s">
        <v>4481</v>
      </c>
    </row>
    <row r="761" ht="15.75" customHeight="1">
      <c r="A761" s="48" t="s">
        <v>4482</v>
      </c>
      <c r="B761" s="48" t="s">
        <v>4483</v>
      </c>
      <c r="C761" s="102" t="s">
        <v>4484</v>
      </c>
    </row>
    <row r="762" ht="15.75" customHeight="1">
      <c r="A762" s="48" t="s">
        <v>4485</v>
      </c>
      <c r="B762" s="48" t="s">
        <v>4486</v>
      </c>
      <c r="C762" s="102" t="s">
        <v>4487</v>
      </c>
    </row>
    <row r="763" ht="15.75" customHeight="1">
      <c r="A763" s="48" t="s">
        <v>4488</v>
      </c>
      <c r="B763" s="48" t="s">
        <v>4489</v>
      </c>
      <c r="C763" s="102" t="s">
        <v>4490</v>
      </c>
    </row>
    <row r="764" ht="15.75" customHeight="1">
      <c r="A764" s="48" t="s">
        <v>4491</v>
      </c>
      <c r="B764" s="48" t="s">
        <v>4492</v>
      </c>
      <c r="C764" s="102" t="s">
        <v>4493</v>
      </c>
    </row>
    <row r="765" ht="15.75" customHeight="1">
      <c r="A765" s="48" t="s">
        <v>4494</v>
      </c>
      <c r="B765" s="48" t="s">
        <v>4495</v>
      </c>
      <c r="C765" s="101" t="s">
        <v>198</v>
      </c>
    </row>
    <row r="766" ht="15.75" customHeight="1">
      <c r="A766" s="48" t="s">
        <v>4496</v>
      </c>
      <c r="B766" s="48"/>
      <c r="C766" s="102" t="s">
        <v>4497</v>
      </c>
    </row>
    <row r="767" ht="15.75" customHeight="1">
      <c r="A767" s="48" t="s">
        <v>3347</v>
      </c>
      <c r="B767" s="48"/>
      <c r="C767" s="102" t="s">
        <v>4498</v>
      </c>
    </row>
    <row r="768" ht="15.75" customHeight="1">
      <c r="A768" s="48" t="s">
        <v>4309</v>
      </c>
      <c r="B768" s="48"/>
      <c r="C768" s="102" t="s">
        <v>4499</v>
      </c>
    </row>
    <row r="769" ht="15.75" customHeight="1">
      <c r="A769" s="48" t="s">
        <v>4500</v>
      </c>
      <c r="B769" s="48" t="s">
        <v>4501</v>
      </c>
      <c r="C769" s="101" t="s">
        <v>198</v>
      </c>
    </row>
    <row r="770" ht="15.75" customHeight="1">
      <c r="A770" s="48" t="s">
        <v>4502</v>
      </c>
      <c r="B770" s="48"/>
      <c r="C770" s="102" t="s">
        <v>4503</v>
      </c>
    </row>
    <row r="771" ht="15.75" customHeight="1">
      <c r="A771" s="48" t="s">
        <v>4504</v>
      </c>
      <c r="B771" s="48"/>
      <c r="C771" s="102" t="s">
        <v>4505</v>
      </c>
    </row>
    <row r="772" ht="15.75" customHeight="1">
      <c r="A772" s="48" t="s">
        <v>4506</v>
      </c>
      <c r="B772" s="48" t="s">
        <v>4507</v>
      </c>
      <c r="C772" s="102" t="s">
        <v>4508</v>
      </c>
    </row>
    <row r="773" ht="15.75" customHeight="1">
      <c r="A773" s="48" t="s">
        <v>4509</v>
      </c>
      <c r="B773" s="48" t="s">
        <v>4510</v>
      </c>
      <c r="C773" s="104" t="s">
        <v>4511</v>
      </c>
    </row>
    <row r="774" ht="15.75" customHeight="1">
      <c r="A774" s="48" t="s">
        <v>4512</v>
      </c>
      <c r="B774" s="48" t="s">
        <v>4513</v>
      </c>
      <c r="C774" s="104" t="s">
        <v>4514</v>
      </c>
    </row>
    <row r="775" ht="15.75" customHeight="1">
      <c r="A775" s="48" t="s">
        <v>4515</v>
      </c>
      <c r="B775" s="48"/>
      <c r="C775" s="104" t="s">
        <v>4516</v>
      </c>
    </row>
    <row r="776" ht="15.75" customHeight="1">
      <c r="A776" s="48" t="s">
        <v>4517</v>
      </c>
      <c r="B776" s="48" t="s">
        <v>4518</v>
      </c>
      <c r="C776" s="101"/>
    </row>
    <row r="777" ht="15.75" customHeight="1">
      <c r="A777" s="48" t="s">
        <v>4519</v>
      </c>
      <c r="B777" s="48" t="s">
        <v>4520</v>
      </c>
      <c r="C777" s="104" t="s">
        <v>4521</v>
      </c>
    </row>
    <row r="778" ht="15.75" customHeight="1">
      <c r="A778" s="48" t="s">
        <v>4522</v>
      </c>
      <c r="B778" s="48" t="s">
        <v>4523</v>
      </c>
      <c r="C778" s="101" t="s">
        <v>198</v>
      </c>
    </row>
    <row r="779" ht="15.75" customHeight="1">
      <c r="A779" s="48" t="s">
        <v>4524</v>
      </c>
      <c r="B779" s="48" t="s">
        <v>4525</v>
      </c>
      <c r="C779" s="104" t="s">
        <v>4526</v>
      </c>
    </row>
    <row r="780" ht="15.75" customHeight="1">
      <c r="A780" s="48" t="s">
        <v>4527</v>
      </c>
      <c r="B780" s="48" t="s">
        <v>4528</v>
      </c>
      <c r="C780" s="104" t="s">
        <v>4529</v>
      </c>
    </row>
    <row r="781" ht="15.75" customHeight="1">
      <c r="A781" s="48" t="s">
        <v>4530</v>
      </c>
      <c r="B781" s="48" t="s">
        <v>4531</v>
      </c>
      <c r="C781" s="101" t="s">
        <v>198</v>
      </c>
    </row>
    <row r="782" ht="15.75" customHeight="1">
      <c r="A782" s="48" t="s">
        <v>4532</v>
      </c>
      <c r="B782" s="48" t="s">
        <v>4533</v>
      </c>
      <c r="C782" s="101"/>
    </row>
    <row r="783" ht="15.75" customHeight="1">
      <c r="A783" s="48" t="s">
        <v>4534</v>
      </c>
      <c r="B783" s="48" t="s">
        <v>4535</v>
      </c>
      <c r="C783" s="104" t="s">
        <v>4536</v>
      </c>
    </row>
    <row r="784" ht="15.75" customHeight="1">
      <c r="A784" s="48" t="s">
        <v>4537</v>
      </c>
      <c r="B784" s="48" t="s">
        <v>4538</v>
      </c>
      <c r="C784" s="104" t="s">
        <v>4539</v>
      </c>
    </row>
    <row r="785" ht="15.75" customHeight="1">
      <c r="A785" s="48" t="s">
        <v>4540</v>
      </c>
      <c r="B785" s="48"/>
      <c r="C785" s="104" t="s">
        <v>4541</v>
      </c>
    </row>
    <row r="786" ht="15.75" customHeight="1">
      <c r="A786" s="48" t="s">
        <v>1816</v>
      </c>
      <c r="B786" s="48" t="s">
        <v>1817</v>
      </c>
      <c r="C786" s="104" t="s">
        <v>4542</v>
      </c>
    </row>
    <row r="787" ht="15.75" customHeight="1">
      <c r="A787" s="48" t="s">
        <v>4543</v>
      </c>
      <c r="B787" s="48" t="s">
        <v>4544</v>
      </c>
      <c r="C787" s="104" t="s">
        <v>4545</v>
      </c>
    </row>
    <row r="788" ht="15.75" customHeight="1">
      <c r="A788" s="48" t="s">
        <v>4546</v>
      </c>
      <c r="B788" s="48" t="s">
        <v>198</v>
      </c>
      <c r="C788" s="104" t="s">
        <v>4547</v>
      </c>
    </row>
    <row r="789" ht="15.75" customHeight="1">
      <c r="A789" s="48" t="s">
        <v>4548</v>
      </c>
      <c r="B789" s="48" t="s">
        <v>4549</v>
      </c>
      <c r="C789" s="104" t="s">
        <v>4550</v>
      </c>
    </row>
    <row r="790" ht="15.75" customHeight="1">
      <c r="A790" s="48" t="s">
        <v>4551</v>
      </c>
      <c r="B790" s="48" t="s">
        <v>4552</v>
      </c>
      <c r="C790" s="104" t="s">
        <v>4553</v>
      </c>
    </row>
    <row r="791" ht="15.75" customHeight="1">
      <c r="A791" s="48" t="s">
        <v>4554</v>
      </c>
      <c r="B791" s="48" t="s">
        <v>4555</v>
      </c>
      <c r="C791" s="101" t="s">
        <v>139</v>
      </c>
    </row>
    <row r="792" ht="15.75" customHeight="1">
      <c r="A792" s="48" t="s">
        <v>4556</v>
      </c>
      <c r="B792" s="48" t="s">
        <v>198</v>
      </c>
      <c r="C792" s="104" t="s">
        <v>4557</v>
      </c>
    </row>
    <row r="793" ht="15.75" customHeight="1">
      <c r="A793" s="48" t="s">
        <v>4558</v>
      </c>
      <c r="B793" s="48"/>
      <c r="C793" s="104" t="s">
        <v>4559</v>
      </c>
    </row>
    <row r="794" ht="15.75" customHeight="1">
      <c r="A794" s="48" t="s">
        <v>4560</v>
      </c>
      <c r="B794" s="48"/>
      <c r="C794" s="104" t="s">
        <v>4561</v>
      </c>
    </row>
    <row r="795" ht="15.75" customHeight="1">
      <c r="A795" s="48" t="s">
        <v>4562</v>
      </c>
      <c r="B795" s="48" t="s">
        <v>4563</v>
      </c>
      <c r="C795" s="101" t="s">
        <v>139</v>
      </c>
    </row>
    <row r="796" ht="15.75" customHeight="1">
      <c r="A796" s="48" t="s">
        <v>4564</v>
      </c>
      <c r="B796" s="48" t="s">
        <v>4565</v>
      </c>
      <c r="C796" s="101" t="s">
        <v>139</v>
      </c>
    </row>
    <row r="797" ht="15.75" customHeight="1">
      <c r="A797" s="48" t="s">
        <v>4566</v>
      </c>
      <c r="B797" s="48" t="s">
        <v>4567</v>
      </c>
      <c r="C797" s="104" t="s">
        <v>4568</v>
      </c>
    </row>
    <row r="798" ht="15.75" customHeight="1">
      <c r="A798" s="48" t="s">
        <v>4569</v>
      </c>
      <c r="B798" s="48" t="s">
        <v>4570</v>
      </c>
      <c r="C798" s="104" t="s">
        <v>4571</v>
      </c>
    </row>
    <row r="799" ht="15.75" customHeight="1">
      <c r="A799" s="48" t="s">
        <v>1836</v>
      </c>
      <c r="B799" s="48"/>
      <c r="C799" s="104" t="s">
        <v>4572</v>
      </c>
    </row>
    <row r="800" ht="15.75" customHeight="1">
      <c r="A800" s="48" t="s">
        <v>4573</v>
      </c>
      <c r="B800" s="48" t="s">
        <v>4574</v>
      </c>
      <c r="C800" s="101"/>
    </row>
    <row r="801" ht="15.75" customHeight="1">
      <c r="A801" s="48" t="s">
        <v>4575</v>
      </c>
      <c r="B801" s="48" t="s">
        <v>4576</v>
      </c>
      <c r="C801" s="104" t="s">
        <v>4577</v>
      </c>
    </row>
    <row r="802" ht="15.75" customHeight="1">
      <c r="A802" s="48" t="s">
        <v>4578</v>
      </c>
      <c r="B802" s="48" t="s">
        <v>4579</v>
      </c>
      <c r="C802" s="104" t="s">
        <v>4577</v>
      </c>
    </row>
    <row r="803" ht="15.75" customHeight="1">
      <c r="A803" s="48" t="s">
        <v>4580</v>
      </c>
      <c r="B803" s="48"/>
      <c r="C803" s="104" t="s">
        <v>4581</v>
      </c>
    </row>
    <row r="804" ht="15.75" customHeight="1">
      <c r="A804" s="48" t="s">
        <v>4582</v>
      </c>
      <c r="B804" s="48" t="s">
        <v>4583</v>
      </c>
      <c r="C804" s="104" t="s">
        <v>4584</v>
      </c>
    </row>
    <row r="805" ht="15.75" customHeight="1">
      <c r="A805" s="48" t="s">
        <v>4585</v>
      </c>
      <c r="B805" s="48" t="s">
        <v>4586</v>
      </c>
      <c r="C805" s="104" t="s">
        <v>4587</v>
      </c>
    </row>
    <row r="806" ht="15.75" customHeight="1">
      <c r="A806" s="48" t="s">
        <v>4588</v>
      </c>
      <c r="B806" s="48" t="s">
        <v>4589</v>
      </c>
      <c r="C806" s="104" t="s">
        <v>4590</v>
      </c>
    </row>
    <row r="807" ht="15.75" customHeight="1">
      <c r="A807" s="48" t="s">
        <v>1819</v>
      </c>
      <c r="B807" s="48" t="s">
        <v>1820</v>
      </c>
      <c r="C807" s="104" t="s">
        <v>4591</v>
      </c>
    </row>
    <row r="808" ht="15.75" customHeight="1">
      <c r="A808" s="48" t="s">
        <v>4592</v>
      </c>
      <c r="B808" s="48" t="s">
        <v>4593</v>
      </c>
      <c r="C808" s="101"/>
    </row>
    <row r="809" ht="15.75" customHeight="1">
      <c r="A809" s="48" t="s">
        <v>4594</v>
      </c>
      <c r="B809" s="48" t="s">
        <v>4595</v>
      </c>
      <c r="C809" s="104" t="s">
        <v>4596</v>
      </c>
    </row>
    <row r="810" ht="15.75" customHeight="1">
      <c r="A810" s="48" t="s">
        <v>4597</v>
      </c>
      <c r="B810" s="48" t="s">
        <v>4598</v>
      </c>
      <c r="C810" s="104" t="s">
        <v>4599</v>
      </c>
    </row>
    <row r="811" ht="15.75" customHeight="1">
      <c r="A811" s="48" t="s">
        <v>4600</v>
      </c>
      <c r="B811" s="48" t="s">
        <v>4601</v>
      </c>
      <c r="C811" s="104" t="s">
        <v>4602</v>
      </c>
    </row>
    <row r="812" ht="15.75" customHeight="1">
      <c r="A812" s="48" t="s">
        <v>4603</v>
      </c>
      <c r="B812" s="48" t="s">
        <v>4604</v>
      </c>
      <c r="C812" s="104" t="s">
        <v>4605</v>
      </c>
    </row>
    <row r="813" ht="15.75" customHeight="1">
      <c r="A813" s="48" t="s">
        <v>4606</v>
      </c>
      <c r="B813" s="48" t="s">
        <v>4607</v>
      </c>
      <c r="C813" s="101"/>
    </row>
    <row r="814" ht="15.75" customHeight="1">
      <c r="A814" s="48" t="s">
        <v>4608</v>
      </c>
      <c r="B814" s="48" t="s">
        <v>4609</v>
      </c>
      <c r="C814" s="104" t="s">
        <v>4610</v>
      </c>
    </row>
    <row r="815" ht="15.75" customHeight="1">
      <c r="A815" s="48" t="s">
        <v>4611</v>
      </c>
      <c r="B815" s="48" t="s">
        <v>4612</v>
      </c>
      <c r="C815" s="104" t="s">
        <v>4613</v>
      </c>
    </row>
    <row r="816" ht="15.75" customHeight="1">
      <c r="A816" s="48" t="s">
        <v>4614</v>
      </c>
      <c r="B816" s="48" t="s">
        <v>4615</v>
      </c>
      <c r="C816" s="104" t="s">
        <v>4616</v>
      </c>
    </row>
    <row r="817" ht="15.75" customHeight="1">
      <c r="A817" s="48" t="s">
        <v>4617</v>
      </c>
      <c r="B817" s="48" t="s">
        <v>4618</v>
      </c>
      <c r="C817" s="104" t="s">
        <v>4619</v>
      </c>
    </row>
    <row r="818" ht="15.75" customHeight="1">
      <c r="A818" s="48" t="s">
        <v>4620</v>
      </c>
      <c r="B818" s="48" t="s">
        <v>4621</v>
      </c>
      <c r="C818" s="104" t="s">
        <v>4622</v>
      </c>
    </row>
    <row r="819" ht="15.75" customHeight="1">
      <c r="A819" s="48" t="s">
        <v>4623</v>
      </c>
      <c r="B819" s="48" t="s">
        <v>4624</v>
      </c>
      <c r="C819" s="104" t="s">
        <v>4625</v>
      </c>
    </row>
    <row r="820" ht="15.75" customHeight="1">
      <c r="A820" s="48" t="s">
        <v>4626</v>
      </c>
      <c r="B820" s="48" t="s">
        <v>4627</v>
      </c>
      <c r="C820" s="104" t="s">
        <v>4628</v>
      </c>
    </row>
    <row r="821" ht="15.75" customHeight="1">
      <c r="A821" s="48" t="s">
        <v>4629</v>
      </c>
      <c r="B821" s="48" t="s">
        <v>4630</v>
      </c>
      <c r="C821" s="104" t="s">
        <v>4631</v>
      </c>
    </row>
    <row r="822" ht="15.75" customHeight="1">
      <c r="A822" s="48" t="s">
        <v>4632</v>
      </c>
      <c r="B822" s="48"/>
      <c r="C822" s="104" t="s">
        <v>4633</v>
      </c>
    </row>
    <row r="823" ht="15.75" customHeight="1">
      <c r="A823" s="48" t="s">
        <v>4634</v>
      </c>
      <c r="B823" s="48"/>
      <c r="C823" s="104" t="s">
        <v>4616</v>
      </c>
    </row>
    <row r="824" ht="15.75" customHeight="1">
      <c r="A824" s="48" t="s">
        <v>4635</v>
      </c>
      <c r="B824" s="48" t="s">
        <v>4636</v>
      </c>
      <c r="C824" s="104" t="s">
        <v>4637</v>
      </c>
    </row>
    <row r="825" ht="15.75" customHeight="1">
      <c r="A825" s="48" t="s">
        <v>4638</v>
      </c>
      <c r="B825" s="48" t="s">
        <v>4639</v>
      </c>
      <c r="C825" s="101" t="s">
        <v>198</v>
      </c>
    </row>
    <row r="826" ht="15.75" customHeight="1">
      <c r="A826" s="48" t="s">
        <v>4640</v>
      </c>
      <c r="B826" s="48" t="s">
        <v>4641</v>
      </c>
      <c r="C826" s="104" t="s">
        <v>4642</v>
      </c>
    </row>
    <row r="827" ht="15.75" customHeight="1">
      <c r="A827" s="48" t="s">
        <v>4643</v>
      </c>
      <c r="B827" s="48" t="s">
        <v>4644</v>
      </c>
      <c r="C827" s="101"/>
    </row>
    <row r="828" ht="15.75" customHeight="1">
      <c r="A828" s="48" t="s">
        <v>4645</v>
      </c>
      <c r="B828" s="48" t="s">
        <v>4646</v>
      </c>
      <c r="C828" s="104" t="s">
        <v>4647</v>
      </c>
    </row>
    <row r="829" ht="15.75" customHeight="1">
      <c r="A829" s="48" t="s">
        <v>4648</v>
      </c>
      <c r="B829" s="48" t="s">
        <v>4649</v>
      </c>
      <c r="C829" s="104" t="s">
        <v>4650</v>
      </c>
    </row>
    <row r="830" ht="15.75" customHeight="1">
      <c r="A830" s="48" t="s">
        <v>4651</v>
      </c>
      <c r="B830" s="48" t="s">
        <v>4652</v>
      </c>
      <c r="C830" s="104" t="s">
        <v>4653</v>
      </c>
    </row>
    <row r="831" ht="15.75" customHeight="1">
      <c r="A831" s="48" t="s">
        <v>4654</v>
      </c>
      <c r="B831" s="48"/>
      <c r="C831" s="104" t="s">
        <v>4655</v>
      </c>
    </row>
    <row r="832" ht="15.75" customHeight="1">
      <c r="A832" s="48" t="s">
        <v>4656</v>
      </c>
      <c r="B832" s="48" t="s">
        <v>4657</v>
      </c>
      <c r="C832" s="104" t="s">
        <v>4658</v>
      </c>
    </row>
    <row r="833" ht="15.75" customHeight="1">
      <c r="A833" s="48" t="s">
        <v>4659</v>
      </c>
      <c r="B833" s="48" t="s">
        <v>4660</v>
      </c>
      <c r="C833" s="101"/>
    </row>
    <row r="834" ht="15.75" customHeight="1">
      <c r="A834" s="48" t="s">
        <v>4661</v>
      </c>
      <c r="B834" s="48" t="s">
        <v>4662</v>
      </c>
      <c r="C834" s="104" t="s">
        <v>4663</v>
      </c>
    </row>
    <row r="835" ht="15.75" customHeight="1">
      <c r="A835" s="48" t="s">
        <v>4664</v>
      </c>
      <c r="B835" s="48" t="s">
        <v>4665</v>
      </c>
      <c r="C835" s="104" t="s">
        <v>4666</v>
      </c>
    </row>
    <row r="836" ht="15.75" customHeight="1">
      <c r="A836" s="48" t="s">
        <v>4667</v>
      </c>
      <c r="B836" s="48" t="s">
        <v>4668</v>
      </c>
      <c r="C836" s="104" t="s">
        <v>4669</v>
      </c>
    </row>
    <row r="837" ht="15.75" customHeight="1">
      <c r="A837" s="48" t="s">
        <v>1822</v>
      </c>
      <c r="B837" s="48" t="s">
        <v>1823</v>
      </c>
      <c r="C837" s="104" t="s">
        <v>4670</v>
      </c>
    </row>
    <row r="838" ht="15.75" customHeight="1">
      <c r="A838" s="48" t="s">
        <v>4671</v>
      </c>
      <c r="B838" s="48"/>
      <c r="C838" s="104" t="s">
        <v>4672</v>
      </c>
    </row>
    <row r="839" ht="15.75" customHeight="1">
      <c r="A839" s="48" t="s">
        <v>4673</v>
      </c>
      <c r="B839" s="48"/>
      <c r="C839" s="104" t="s">
        <v>4674</v>
      </c>
    </row>
    <row r="840" ht="15.75" customHeight="1">
      <c r="A840" s="48" t="s">
        <v>4675</v>
      </c>
      <c r="B840" s="48"/>
      <c r="C840" s="104" t="s">
        <v>4676</v>
      </c>
    </row>
    <row r="841" ht="15.75" customHeight="1">
      <c r="A841" s="48" t="s">
        <v>4677</v>
      </c>
      <c r="B841" s="48" t="s">
        <v>4678</v>
      </c>
      <c r="C841" s="104" t="s">
        <v>4676</v>
      </c>
    </row>
    <row r="842" ht="15.75" customHeight="1">
      <c r="A842" s="48" t="s">
        <v>4679</v>
      </c>
      <c r="B842" s="48"/>
      <c r="C842" s="104" t="s">
        <v>4680</v>
      </c>
    </row>
    <row r="843" ht="15.75" customHeight="1">
      <c r="A843" s="48" t="s">
        <v>4681</v>
      </c>
      <c r="B843" s="48"/>
      <c r="C843" s="104" t="s">
        <v>4682</v>
      </c>
    </row>
    <row r="844" ht="15.75" customHeight="1">
      <c r="A844" s="48" t="s">
        <v>4683</v>
      </c>
      <c r="C844" s="104" t="s">
        <v>4684</v>
      </c>
    </row>
    <row r="845" ht="15.75" customHeight="1">
      <c r="A845" s="48" t="s">
        <v>4685</v>
      </c>
      <c r="B845" s="48" t="s">
        <v>4686</v>
      </c>
      <c r="C845" s="104" t="s">
        <v>4687</v>
      </c>
    </row>
    <row r="846" ht="15.75" customHeight="1">
      <c r="A846" s="48" t="s">
        <v>1839</v>
      </c>
      <c r="B846" s="48" t="s">
        <v>4688</v>
      </c>
      <c r="C846" s="104" t="s">
        <v>4689</v>
      </c>
    </row>
    <row r="847" ht="15.75" customHeight="1">
      <c r="A847" s="48" t="s">
        <v>1842</v>
      </c>
      <c r="B847" s="48"/>
      <c r="C847" s="39" t="s">
        <v>4690</v>
      </c>
    </row>
    <row r="848" ht="15.75" customHeight="1">
      <c r="A848" s="48" t="s">
        <v>4691</v>
      </c>
      <c r="B848" s="48"/>
      <c r="C848" s="104" t="s">
        <v>4692</v>
      </c>
    </row>
    <row r="849" ht="15.75" customHeight="1">
      <c r="A849" s="48" t="s">
        <v>4693</v>
      </c>
      <c r="B849" s="36" t="s">
        <v>4694</v>
      </c>
      <c r="C849" s="36" t="s">
        <v>198</v>
      </c>
    </row>
    <row r="850" ht="15.75" customHeight="1">
      <c r="A850" s="48" t="s">
        <v>4695</v>
      </c>
      <c r="B850" s="48" t="s">
        <v>4696</v>
      </c>
      <c r="C850" s="104" t="s">
        <v>4697</v>
      </c>
    </row>
    <row r="851" ht="15.75" customHeight="1">
      <c r="A851" s="48" t="s">
        <v>4698</v>
      </c>
      <c r="B851" s="48" t="s">
        <v>4699</v>
      </c>
      <c r="C851" s="104" t="s">
        <v>4700</v>
      </c>
    </row>
    <row r="852" ht="15.75" customHeight="1">
      <c r="A852" s="48" t="s">
        <v>4701</v>
      </c>
      <c r="B852" s="48" t="s">
        <v>4702</v>
      </c>
      <c r="C852" s="104" t="s">
        <v>4703</v>
      </c>
    </row>
    <row r="853" ht="15.75" customHeight="1">
      <c r="A853" s="48" t="s">
        <v>4704</v>
      </c>
      <c r="B853" s="48"/>
      <c r="C853" s="104" t="s">
        <v>4705</v>
      </c>
    </row>
    <row r="854" ht="15.75" customHeight="1">
      <c r="A854" s="48" t="s">
        <v>4706</v>
      </c>
      <c r="B854" s="48" t="s">
        <v>4707</v>
      </c>
      <c r="C854" s="101"/>
    </row>
    <row r="855" ht="15.75" customHeight="1">
      <c r="A855" s="48" t="s">
        <v>4708</v>
      </c>
      <c r="B855" s="48"/>
      <c r="C855" s="104" t="s">
        <v>4709</v>
      </c>
    </row>
    <row r="856" ht="15.75" customHeight="1">
      <c r="A856" s="48" t="s">
        <v>4710</v>
      </c>
      <c r="B856" s="48" t="s">
        <v>4711</v>
      </c>
      <c r="C856" s="104" t="s">
        <v>4712</v>
      </c>
    </row>
    <row r="857" ht="15.75" customHeight="1">
      <c r="A857" s="48" t="s">
        <v>4713</v>
      </c>
      <c r="B857" s="48" t="s">
        <v>4714</v>
      </c>
      <c r="C857" s="101"/>
    </row>
    <row r="858" ht="15.75" customHeight="1">
      <c r="A858" s="48" t="s">
        <v>4715</v>
      </c>
      <c r="B858" s="48" t="s">
        <v>4716</v>
      </c>
      <c r="C858" s="104" t="s">
        <v>4717</v>
      </c>
    </row>
    <row r="859" ht="15.75" customHeight="1">
      <c r="A859" s="48" t="s">
        <v>4718</v>
      </c>
      <c r="B859" s="48" t="s">
        <v>1428</v>
      </c>
      <c r="C859" s="104" t="s">
        <v>1429</v>
      </c>
    </row>
    <row r="860" ht="15.75" customHeight="1">
      <c r="A860" s="48" t="s">
        <v>4719</v>
      </c>
      <c r="B860" s="48" t="s">
        <v>4720</v>
      </c>
      <c r="C860" s="104" t="s">
        <v>4721</v>
      </c>
    </row>
    <row r="861" ht="15.75" customHeight="1">
      <c r="A861" s="48" t="s">
        <v>4722</v>
      </c>
      <c r="B861" s="48" t="s">
        <v>4723</v>
      </c>
      <c r="C861" s="104" t="s">
        <v>4724</v>
      </c>
    </row>
    <row r="862" ht="15.75" customHeight="1">
      <c r="A862" s="48" t="s">
        <v>4725</v>
      </c>
      <c r="B862" s="48" t="s">
        <v>4726</v>
      </c>
      <c r="C862" s="104" t="s">
        <v>4727</v>
      </c>
    </row>
    <row r="863" ht="15.75" customHeight="1">
      <c r="A863" s="48" t="s">
        <v>4728</v>
      </c>
      <c r="B863" s="48" t="s">
        <v>4729</v>
      </c>
      <c r="C863" s="104" t="s">
        <v>4730</v>
      </c>
    </row>
    <row r="864" ht="15.75" customHeight="1">
      <c r="A864" s="48" t="s">
        <v>4731</v>
      </c>
      <c r="B864" s="48" t="s">
        <v>4732</v>
      </c>
      <c r="C864" s="104" t="s">
        <v>4733</v>
      </c>
    </row>
    <row r="865" ht="15.75" customHeight="1">
      <c r="A865" s="48" t="s">
        <v>4734</v>
      </c>
      <c r="B865" s="48" t="s">
        <v>4735</v>
      </c>
      <c r="C865" s="104" t="s">
        <v>4736</v>
      </c>
    </row>
    <row r="866" ht="15.75" customHeight="1">
      <c r="A866" s="48" t="s">
        <v>1493</v>
      </c>
      <c r="B866" s="48" t="s">
        <v>4737</v>
      </c>
      <c r="C866" s="101"/>
    </row>
    <row r="867" ht="15.75" customHeight="1">
      <c r="A867" s="48" t="s">
        <v>4738</v>
      </c>
      <c r="B867" s="48" t="s">
        <v>4739</v>
      </c>
      <c r="C867" s="104" t="s">
        <v>908</v>
      </c>
    </row>
    <row r="868" ht="15.75" customHeight="1">
      <c r="A868" s="48" t="s">
        <v>914</v>
      </c>
      <c r="B868" s="48" t="s">
        <v>4740</v>
      </c>
      <c r="C868" s="104" t="s">
        <v>916</v>
      </c>
    </row>
    <row r="869" ht="15.75" customHeight="1">
      <c r="A869" s="48" t="s">
        <v>950</v>
      </c>
      <c r="B869" s="48" t="s">
        <v>4741</v>
      </c>
      <c r="C869" s="106"/>
    </row>
    <row r="870" ht="15.75" customHeight="1">
      <c r="A870" s="48" t="s">
        <v>4742</v>
      </c>
      <c r="B870" s="48" t="s">
        <v>4743</v>
      </c>
      <c r="C870" s="104" t="s">
        <v>4744</v>
      </c>
    </row>
    <row r="871" ht="15.75" customHeight="1">
      <c r="A871" s="48" t="s">
        <v>4745</v>
      </c>
      <c r="B871" s="48" t="s">
        <v>4746</v>
      </c>
      <c r="C871" s="104" t="s">
        <v>4747</v>
      </c>
    </row>
    <row r="872" ht="15.75" customHeight="1">
      <c r="A872" s="48" t="s">
        <v>901</v>
      </c>
      <c r="B872" s="48" t="s">
        <v>902</v>
      </c>
      <c r="C872" s="104" t="s">
        <v>4748</v>
      </c>
    </row>
    <row r="873" ht="15.75" customHeight="1">
      <c r="A873" s="48" t="s">
        <v>4749</v>
      </c>
      <c r="B873" s="48"/>
      <c r="C873" s="106"/>
    </row>
    <row r="874" ht="15.75" customHeight="1">
      <c r="A874" s="48" t="s">
        <v>4750</v>
      </c>
      <c r="B874" s="48" t="s">
        <v>4751</v>
      </c>
      <c r="C874" s="104" t="s">
        <v>4752</v>
      </c>
    </row>
    <row r="875" ht="15.75" customHeight="1">
      <c r="A875" s="48" t="s">
        <v>4753</v>
      </c>
      <c r="B875" s="48" t="s">
        <v>4754</v>
      </c>
      <c r="C875" s="104" t="s">
        <v>4755</v>
      </c>
    </row>
    <row r="876" ht="15.75" customHeight="1">
      <c r="A876" s="48" t="s">
        <v>4756</v>
      </c>
      <c r="B876" s="48" t="s">
        <v>4757</v>
      </c>
      <c r="C876" s="104" t="s">
        <v>4758</v>
      </c>
    </row>
    <row r="877" ht="15.75" customHeight="1">
      <c r="A877" s="48" t="s">
        <v>4759</v>
      </c>
      <c r="B877" s="48" t="s">
        <v>4760</v>
      </c>
      <c r="C877" s="104" t="s">
        <v>4761</v>
      </c>
    </row>
    <row r="878" ht="15.75" customHeight="1">
      <c r="A878" s="48" t="s">
        <v>4762</v>
      </c>
      <c r="B878" s="48" t="s">
        <v>4763</v>
      </c>
      <c r="C878" s="104" t="s">
        <v>4764</v>
      </c>
    </row>
    <row r="879" ht="15.75" customHeight="1">
      <c r="A879" s="48" t="s">
        <v>1850</v>
      </c>
      <c r="B879" s="48" t="s">
        <v>139</v>
      </c>
      <c r="C879" s="104" t="s">
        <v>4765</v>
      </c>
    </row>
    <row r="880" ht="15.75" customHeight="1">
      <c r="A880" s="48" t="s">
        <v>4766</v>
      </c>
      <c r="B880" s="48" t="s">
        <v>4767</v>
      </c>
      <c r="C880" s="104" t="s">
        <v>4768</v>
      </c>
    </row>
    <row r="881" ht="15.75" customHeight="1">
      <c r="A881" s="48" t="s">
        <v>4769</v>
      </c>
      <c r="B881" s="48" t="s">
        <v>139</v>
      </c>
      <c r="C881" s="104" t="s">
        <v>4770</v>
      </c>
    </row>
    <row r="882" ht="15.75" customHeight="1">
      <c r="A882" s="48" t="s">
        <v>4771</v>
      </c>
      <c r="B882" s="48" t="s">
        <v>4772</v>
      </c>
      <c r="C882" s="104" t="s">
        <v>4773</v>
      </c>
    </row>
    <row r="883" ht="15.75" customHeight="1">
      <c r="A883" s="48" t="s">
        <v>4774</v>
      </c>
      <c r="B883" s="48" t="s">
        <v>4775</v>
      </c>
      <c r="C883" s="104" t="s">
        <v>4776</v>
      </c>
    </row>
    <row r="884" ht="15.75" customHeight="1">
      <c r="A884" s="48" t="s">
        <v>4777</v>
      </c>
      <c r="B884" s="48"/>
      <c r="C884" s="104" t="s">
        <v>4778</v>
      </c>
    </row>
    <row r="885" ht="15.75" customHeight="1">
      <c r="A885" s="48" t="s">
        <v>4779</v>
      </c>
      <c r="B885" s="48" t="s">
        <v>4780</v>
      </c>
      <c r="C885" s="104" t="s">
        <v>4781</v>
      </c>
    </row>
    <row r="886" ht="15.75" customHeight="1">
      <c r="A886" s="48" t="s">
        <v>4782</v>
      </c>
      <c r="B886" s="48" t="s">
        <v>4783</v>
      </c>
      <c r="C886" s="104" t="s">
        <v>4784</v>
      </c>
    </row>
    <row r="887" ht="15.75" customHeight="1">
      <c r="A887" s="48" t="s">
        <v>4785</v>
      </c>
      <c r="B887" s="48" t="s">
        <v>4786</v>
      </c>
      <c r="C887" s="104" t="s">
        <v>4787</v>
      </c>
    </row>
    <row r="888" ht="15.75" customHeight="1">
      <c r="A888" s="48" t="s">
        <v>4788</v>
      </c>
      <c r="B888" s="48" t="s">
        <v>4789</v>
      </c>
      <c r="C888" s="104" t="s">
        <v>4790</v>
      </c>
    </row>
    <row r="889" ht="15.75" customHeight="1">
      <c r="A889" s="48" t="s">
        <v>4791</v>
      </c>
      <c r="B889" s="48" t="s">
        <v>4792</v>
      </c>
      <c r="C889" s="104" t="s">
        <v>4793</v>
      </c>
    </row>
    <row r="890" ht="15.75" customHeight="1">
      <c r="A890" s="48" t="s">
        <v>4794</v>
      </c>
      <c r="B890" s="48" t="s">
        <v>4795</v>
      </c>
      <c r="C890" s="104" t="s">
        <v>4796</v>
      </c>
    </row>
    <row r="891" ht="15.75" customHeight="1">
      <c r="A891" s="48" t="s">
        <v>4797</v>
      </c>
      <c r="B891" s="48" t="s">
        <v>989</v>
      </c>
      <c r="C891" s="104" t="s">
        <v>4798</v>
      </c>
    </row>
    <row r="892" ht="15.75" customHeight="1">
      <c r="A892" s="48" t="s">
        <v>4799</v>
      </c>
      <c r="B892" s="48"/>
      <c r="C892" s="104" t="s">
        <v>4800</v>
      </c>
    </row>
    <row r="893" ht="15.75" customHeight="1">
      <c r="A893" s="48" t="s">
        <v>4801</v>
      </c>
      <c r="B893" s="48" t="s">
        <v>4802</v>
      </c>
      <c r="C893" s="104" t="s">
        <v>4803</v>
      </c>
    </row>
    <row r="894" ht="15.75" customHeight="1">
      <c r="A894" s="48" t="s">
        <v>4804</v>
      </c>
      <c r="B894" s="48" t="s">
        <v>989</v>
      </c>
      <c r="C894" s="104" t="s">
        <v>4805</v>
      </c>
    </row>
    <row r="895" ht="15.75" customHeight="1">
      <c r="A895" s="48" t="s">
        <v>4806</v>
      </c>
      <c r="B895" s="48"/>
      <c r="C895" s="104" t="s">
        <v>4807</v>
      </c>
    </row>
    <row r="896" ht="15.75" customHeight="1">
      <c r="A896" s="48" t="s">
        <v>4808</v>
      </c>
      <c r="B896" s="48" t="s">
        <v>4809</v>
      </c>
      <c r="C896" s="104" t="s">
        <v>4810</v>
      </c>
    </row>
    <row r="897" ht="15.75" customHeight="1">
      <c r="A897" s="48" t="s">
        <v>4811</v>
      </c>
      <c r="B897" s="48" t="s">
        <v>4812</v>
      </c>
      <c r="C897" s="104" t="s">
        <v>4813</v>
      </c>
    </row>
    <row r="898" ht="15.75" customHeight="1">
      <c r="A898" s="48" t="s">
        <v>4814</v>
      </c>
      <c r="B898" s="48"/>
      <c r="C898" s="104" t="s">
        <v>4815</v>
      </c>
    </row>
    <row r="899" ht="15.75" customHeight="1">
      <c r="A899" s="48" t="s">
        <v>4816</v>
      </c>
      <c r="B899" s="48" t="s">
        <v>4817</v>
      </c>
      <c r="C899" s="104" t="s">
        <v>4818</v>
      </c>
    </row>
    <row r="900" ht="15.75" customHeight="1">
      <c r="A900" s="48" t="s">
        <v>4819</v>
      </c>
      <c r="B900" s="48" t="s">
        <v>4820</v>
      </c>
      <c r="C900" s="104" t="s">
        <v>4821</v>
      </c>
    </row>
    <row r="901" ht="15.75" customHeight="1">
      <c r="A901" s="48" t="s">
        <v>4822</v>
      </c>
      <c r="B901" s="48" t="s">
        <v>4823</v>
      </c>
      <c r="C901" s="104" t="s">
        <v>4824</v>
      </c>
    </row>
    <row r="902" ht="15.75" customHeight="1">
      <c r="A902" s="48" t="s">
        <v>4825</v>
      </c>
      <c r="B902" s="48" t="s">
        <v>4826</v>
      </c>
      <c r="C902" s="104" t="s">
        <v>4827</v>
      </c>
    </row>
    <row r="903" ht="15.75" customHeight="1">
      <c r="A903" s="48" t="s">
        <v>4828</v>
      </c>
      <c r="B903" s="48" t="s">
        <v>4829</v>
      </c>
      <c r="C903" s="104" t="s">
        <v>4830</v>
      </c>
    </row>
    <row r="904" ht="15.75" customHeight="1">
      <c r="A904" s="48" t="s">
        <v>4831</v>
      </c>
      <c r="B904" s="48" t="s">
        <v>4832</v>
      </c>
      <c r="C904" s="101"/>
    </row>
    <row r="905" ht="15.75" customHeight="1">
      <c r="A905" s="48" t="s">
        <v>4224</v>
      </c>
      <c r="B905" s="48" t="s">
        <v>4225</v>
      </c>
      <c r="C905" s="104" t="s">
        <v>4226</v>
      </c>
    </row>
    <row r="906" ht="15.75" customHeight="1">
      <c r="A906" s="48" t="s">
        <v>4833</v>
      </c>
      <c r="B906" s="48" t="s">
        <v>4235</v>
      </c>
      <c r="C906" s="101"/>
    </row>
    <row r="907" ht="15.75" customHeight="1">
      <c r="A907" s="48" t="s">
        <v>4834</v>
      </c>
      <c r="C907" s="62" t="s">
        <v>4835</v>
      </c>
    </row>
    <row r="908" ht="15.75" customHeight="1">
      <c r="A908" s="48" t="s">
        <v>4836</v>
      </c>
      <c r="B908" s="48"/>
      <c r="C908" s="104" t="s">
        <v>4837</v>
      </c>
    </row>
    <row r="909" ht="15.75" customHeight="1">
      <c r="A909" s="48" t="s">
        <v>4838</v>
      </c>
      <c r="B909" s="48"/>
      <c r="C909" s="104" t="s">
        <v>4839</v>
      </c>
    </row>
    <row r="910" ht="15.75" customHeight="1">
      <c r="A910" s="48" t="s">
        <v>4840</v>
      </c>
      <c r="B910" s="48" t="s">
        <v>4228</v>
      </c>
      <c r="C910" s="104" t="s">
        <v>4841</v>
      </c>
    </row>
    <row r="911" ht="15.75" customHeight="1">
      <c r="A911" s="48" t="s">
        <v>4842</v>
      </c>
      <c r="B911" s="48"/>
      <c r="C911" s="104" t="s">
        <v>4843</v>
      </c>
    </row>
    <row r="912" ht="15.75" customHeight="1">
      <c r="A912" s="48" t="s">
        <v>2527</v>
      </c>
      <c r="B912" s="48"/>
      <c r="C912" s="104" t="s">
        <v>4844</v>
      </c>
    </row>
    <row r="913" ht="15.75" customHeight="1">
      <c r="A913" s="48" t="s">
        <v>4845</v>
      </c>
      <c r="B913" s="48"/>
      <c r="C913" s="104" t="s">
        <v>4846</v>
      </c>
    </row>
    <row r="914" ht="15.75" customHeight="1">
      <c r="A914" s="48" t="s">
        <v>1880</v>
      </c>
      <c r="B914" s="48"/>
      <c r="C914" s="104" t="s">
        <v>1882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conditionalFormatting sqref="C715:C754 C756:C846 C848 C850:C906 C908:C914">
    <cfRule type="notContainsBlanks" dxfId="0" priority="1">
      <formula>LEN(TRIM(C715))&gt;0</formula>
    </cfRule>
  </conditionalFormatting>
  <hyperlinks>
    <hyperlink r:id="rId1" ref="B736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8.57"/>
    <col customWidth="1" min="3" max="3" width="29.29"/>
    <col customWidth="1" min="4" max="4" width="14.43"/>
    <col customWidth="1" min="5" max="5" width="19.29"/>
    <col customWidth="1" min="6" max="6" width="14.43"/>
  </cols>
  <sheetData>
    <row r="1" ht="15.75" customHeight="1">
      <c r="A1" s="247" t="s">
        <v>109</v>
      </c>
    </row>
    <row r="2" ht="15.75" customHeight="1">
      <c r="A2" s="48" t="s">
        <v>110</v>
      </c>
      <c r="B2" s="48" t="s">
        <v>111</v>
      </c>
      <c r="C2" s="48" t="s">
        <v>879</v>
      </c>
      <c r="D2" s="48"/>
      <c r="E2" s="48"/>
      <c r="F2" s="48"/>
      <c r="G2" s="48"/>
    </row>
    <row r="3" ht="15.75" customHeight="1">
      <c r="A3" s="34" t="s">
        <v>953</v>
      </c>
      <c r="B3" s="34" t="s">
        <v>954</v>
      </c>
      <c r="C3" s="206" t="s">
        <v>4123</v>
      </c>
      <c r="D3" s="34">
        <v>1.0</v>
      </c>
      <c r="E3" s="194" t="s">
        <v>5519</v>
      </c>
      <c r="F3" s="48" t="s">
        <v>191</v>
      </c>
      <c r="G3" s="48" t="s">
        <v>5520</v>
      </c>
    </row>
    <row r="4" ht="15.75" customHeight="1">
      <c r="A4" s="34" t="s">
        <v>956</v>
      </c>
      <c r="B4" s="34"/>
      <c r="C4" s="206" t="s">
        <v>4125</v>
      </c>
      <c r="D4" s="34">
        <v>2.0</v>
      </c>
      <c r="E4" s="194" t="s">
        <v>5519</v>
      </c>
      <c r="F4" s="48" t="s">
        <v>191</v>
      </c>
      <c r="G4" s="48" t="s">
        <v>5520</v>
      </c>
    </row>
    <row r="5" ht="15.75" customHeight="1">
      <c r="A5" s="34" t="s">
        <v>972</v>
      </c>
      <c r="B5" s="34" t="s">
        <v>973</v>
      </c>
      <c r="C5" s="35" t="s">
        <v>974</v>
      </c>
      <c r="D5" s="34">
        <v>3.0</v>
      </c>
      <c r="E5" s="194" t="s">
        <v>5519</v>
      </c>
      <c r="F5" s="48" t="s">
        <v>191</v>
      </c>
      <c r="G5" s="48" t="s">
        <v>5520</v>
      </c>
    </row>
    <row r="6" ht="15.75" customHeight="1">
      <c r="A6" s="34" t="s">
        <v>1445</v>
      </c>
      <c r="B6" s="34" t="s">
        <v>1446</v>
      </c>
      <c r="C6" s="35" t="s">
        <v>1447</v>
      </c>
      <c r="D6" s="34">
        <v>4.0</v>
      </c>
      <c r="E6" s="194" t="s">
        <v>5519</v>
      </c>
      <c r="F6" s="48" t="s">
        <v>191</v>
      </c>
      <c r="G6" s="48" t="s">
        <v>5520</v>
      </c>
    </row>
    <row r="7" ht="15.75" customHeight="1">
      <c r="A7" s="34" t="s">
        <v>1495</v>
      </c>
      <c r="B7" s="34" t="s">
        <v>1496</v>
      </c>
      <c r="C7" s="35" t="s">
        <v>1497</v>
      </c>
      <c r="D7" s="34">
        <v>5.0</v>
      </c>
      <c r="E7" s="194" t="s">
        <v>5519</v>
      </c>
      <c r="F7" s="48" t="s">
        <v>191</v>
      </c>
      <c r="G7" s="48" t="s">
        <v>5520</v>
      </c>
    </row>
    <row r="8" ht="15.75" customHeight="1">
      <c r="A8" s="34" t="s">
        <v>1539</v>
      </c>
      <c r="B8" s="34"/>
      <c r="C8" s="35" t="s">
        <v>1540</v>
      </c>
      <c r="D8" s="34">
        <v>6.0</v>
      </c>
      <c r="E8" s="194" t="s">
        <v>5521</v>
      </c>
      <c r="F8" s="48" t="s">
        <v>191</v>
      </c>
      <c r="G8" s="48" t="s">
        <v>5520</v>
      </c>
    </row>
    <row r="9" ht="15.75" customHeight="1">
      <c r="A9" s="34" t="s">
        <v>1672</v>
      </c>
      <c r="B9" s="34" t="s">
        <v>1442</v>
      </c>
      <c r="C9" s="35" t="s">
        <v>1673</v>
      </c>
      <c r="D9" s="34">
        <v>7.0</v>
      </c>
      <c r="E9" s="194" t="s">
        <v>5521</v>
      </c>
      <c r="F9" s="48" t="s">
        <v>191</v>
      </c>
      <c r="G9" s="48" t="s">
        <v>5520</v>
      </c>
    </row>
    <row r="10" ht="15.75" customHeight="1">
      <c r="A10" s="34" t="s">
        <v>1674</v>
      </c>
      <c r="B10" s="34" t="s">
        <v>1675</v>
      </c>
      <c r="C10" s="35" t="s">
        <v>5522</v>
      </c>
      <c r="D10" s="34">
        <v>8.0</v>
      </c>
      <c r="E10" s="194" t="s">
        <v>5521</v>
      </c>
      <c r="F10" s="48" t="s">
        <v>191</v>
      </c>
      <c r="G10" s="48" t="s">
        <v>5520</v>
      </c>
    </row>
    <row r="11" ht="15.75" customHeight="1">
      <c r="A11" s="34" t="s">
        <v>1677</v>
      </c>
      <c r="B11" s="34" t="s">
        <v>478</v>
      </c>
      <c r="C11" s="35" t="s">
        <v>1678</v>
      </c>
      <c r="D11" s="34">
        <v>9.0</v>
      </c>
      <c r="E11" s="194" t="s">
        <v>5521</v>
      </c>
      <c r="F11" s="48" t="s">
        <v>191</v>
      </c>
      <c r="G11" s="48" t="s">
        <v>5520</v>
      </c>
    </row>
    <row r="12" ht="15.75" customHeight="1">
      <c r="A12" s="34" t="s">
        <v>1679</v>
      </c>
      <c r="B12" s="34" t="s">
        <v>478</v>
      </c>
      <c r="C12" s="35" t="s">
        <v>1680</v>
      </c>
      <c r="D12" s="34">
        <v>10.0</v>
      </c>
      <c r="E12" s="194" t="s">
        <v>5521</v>
      </c>
      <c r="F12" s="48" t="s">
        <v>191</v>
      </c>
      <c r="G12" s="48" t="s">
        <v>5520</v>
      </c>
    </row>
    <row r="13" ht="15.75" customHeight="1">
      <c r="A13" s="34" t="s">
        <v>1686</v>
      </c>
      <c r="B13" s="34"/>
      <c r="C13" s="35" t="s">
        <v>1687</v>
      </c>
      <c r="D13" s="34">
        <v>11.0</v>
      </c>
      <c r="E13" s="194" t="s">
        <v>5523</v>
      </c>
      <c r="F13" s="48" t="s">
        <v>191</v>
      </c>
      <c r="G13" s="48" t="s">
        <v>5520</v>
      </c>
    </row>
    <row r="14" ht="15.75" customHeight="1">
      <c r="A14" s="34" t="s">
        <v>1688</v>
      </c>
      <c r="B14" s="34" t="s">
        <v>1689</v>
      </c>
      <c r="C14" s="35" t="s">
        <v>1690</v>
      </c>
      <c r="D14" s="34">
        <v>12.0</v>
      </c>
      <c r="E14" s="194" t="s">
        <v>5523</v>
      </c>
      <c r="F14" s="48" t="s">
        <v>191</v>
      </c>
      <c r="G14" s="48" t="s">
        <v>5520</v>
      </c>
    </row>
    <row r="15" ht="15.75" customHeight="1">
      <c r="A15" s="34" t="s">
        <v>1691</v>
      </c>
      <c r="B15" s="34" t="s">
        <v>1692</v>
      </c>
      <c r="C15" s="35" t="s">
        <v>1693</v>
      </c>
      <c r="D15" s="34">
        <v>13.0</v>
      </c>
      <c r="E15" s="194" t="s">
        <v>5523</v>
      </c>
      <c r="F15" s="48" t="s">
        <v>191</v>
      </c>
      <c r="G15" s="48" t="s">
        <v>5520</v>
      </c>
    </row>
    <row r="16" ht="15.75" customHeight="1">
      <c r="A16" s="34" t="s">
        <v>1694</v>
      </c>
      <c r="B16" s="34" t="s">
        <v>1695</v>
      </c>
      <c r="C16" s="35" t="s">
        <v>1696</v>
      </c>
      <c r="D16" s="34">
        <v>14.0</v>
      </c>
      <c r="E16" s="194" t="s">
        <v>5523</v>
      </c>
      <c r="F16" s="48" t="s">
        <v>191</v>
      </c>
      <c r="G16" s="48" t="s">
        <v>5520</v>
      </c>
    </row>
    <row r="17" ht="15.75" customHeight="1">
      <c r="A17" s="34" t="s">
        <v>1681</v>
      </c>
      <c r="B17" s="34" t="s">
        <v>1697</v>
      </c>
      <c r="C17" s="35" t="s">
        <v>1698</v>
      </c>
      <c r="D17" s="34">
        <v>15.0</v>
      </c>
      <c r="E17" s="194" t="s">
        <v>5523</v>
      </c>
      <c r="F17" s="48" t="s">
        <v>191</v>
      </c>
      <c r="G17" s="48" t="s">
        <v>5520</v>
      </c>
    </row>
    <row r="18" ht="15.75" customHeight="1">
      <c r="A18" s="34" t="s">
        <v>1699</v>
      </c>
      <c r="B18" s="34"/>
      <c r="C18" s="35" t="s">
        <v>1700</v>
      </c>
      <c r="D18" s="194">
        <v>16.0</v>
      </c>
      <c r="E18" s="194" t="s">
        <v>5524</v>
      </c>
      <c r="F18" s="48" t="s">
        <v>191</v>
      </c>
      <c r="G18" s="48" t="s">
        <v>5520</v>
      </c>
    </row>
    <row r="19" ht="15.75" customHeight="1">
      <c r="A19" s="34" t="s">
        <v>1701</v>
      </c>
      <c r="B19" s="34" t="s">
        <v>1702</v>
      </c>
      <c r="C19" s="35" t="s">
        <v>1703</v>
      </c>
      <c r="D19" s="194">
        <v>17.0</v>
      </c>
      <c r="E19" s="194" t="s">
        <v>5524</v>
      </c>
      <c r="F19" s="48" t="s">
        <v>191</v>
      </c>
      <c r="G19" s="48" t="s">
        <v>5520</v>
      </c>
    </row>
    <row r="20" ht="15.75" customHeight="1">
      <c r="A20" s="34" t="s">
        <v>572</v>
      </c>
      <c r="B20" s="34"/>
      <c r="C20" s="35" t="s">
        <v>1704</v>
      </c>
      <c r="D20" s="194">
        <v>18.0</v>
      </c>
      <c r="E20" s="194" t="s">
        <v>5524</v>
      </c>
      <c r="F20" s="48" t="s">
        <v>191</v>
      </c>
      <c r="G20" s="48" t="s">
        <v>5520</v>
      </c>
    </row>
    <row r="21" ht="15.75" customHeight="1">
      <c r="A21" s="34" t="s">
        <v>1705</v>
      </c>
      <c r="B21" s="34" t="s">
        <v>1706</v>
      </c>
      <c r="C21" s="35" t="s">
        <v>1707</v>
      </c>
      <c r="D21" s="194">
        <v>19.0</v>
      </c>
      <c r="E21" s="194" t="s">
        <v>5524</v>
      </c>
      <c r="F21" s="48" t="s">
        <v>191</v>
      </c>
      <c r="G21" s="48" t="s">
        <v>5520</v>
      </c>
    </row>
    <row r="22" ht="15.75" customHeight="1">
      <c r="A22" s="34" t="s">
        <v>1708</v>
      </c>
      <c r="B22" s="34"/>
      <c r="C22" s="35" t="s">
        <v>1709</v>
      </c>
      <c r="D22" s="194">
        <v>20.0</v>
      </c>
      <c r="E22" s="194" t="s">
        <v>5524</v>
      </c>
      <c r="F22" s="48" t="s">
        <v>191</v>
      </c>
      <c r="G22" s="48" t="s">
        <v>5520</v>
      </c>
    </row>
    <row r="23" ht="15.75" customHeight="1">
      <c r="A23" s="34" t="s">
        <v>1710</v>
      </c>
      <c r="B23" s="34"/>
      <c r="C23" s="35" t="s">
        <v>1711</v>
      </c>
      <c r="D23" s="194">
        <v>21.0</v>
      </c>
      <c r="E23" s="194" t="s">
        <v>5525</v>
      </c>
      <c r="F23" s="48" t="s">
        <v>191</v>
      </c>
      <c r="G23" s="48" t="s">
        <v>5520</v>
      </c>
    </row>
    <row r="24" ht="15.75" customHeight="1">
      <c r="A24" s="34" t="s">
        <v>1712</v>
      </c>
      <c r="B24" s="34" t="s">
        <v>1713</v>
      </c>
      <c r="C24" s="34"/>
      <c r="D24" s="194">
        <v>22.0</v>
      </c>
      <c r="E24" s="194" t="s">
        <v>5525</v>
      </c>
      <c r="F24" s="48" t="s">
        <v>191</v>
      </c>
      <c r="G24" s="48" t="s">
        <v>5520</v>
      </c>
    </row>
    <row r="25" ht="15.75" customHeight="1">
      <c r="A25" s="34" t="s">
        <v>1714</v>
      </c>
      <c r="B25" s="34" t="s">
        <v>1715</v>
      </c>
      <c r="C25" s="35" t="s">
        <v>1716</v>
      </c>
      <c r="D25" s="194">
        <v>23.0</v>
      </c>
      <c r="E25" s="194" t="s">
        <v>5525</v>
      </c>
      <c r="F25" s="48" t="s">
        <v>191</v>
      </c>
      <c r="G25" s="48" t="s">
        <v>5520</v>
      </c>
    </row>
    <row r="26" ht="15.75" customHeight="1">
      <c r="A26" s="34" t="s">
        <v>1717</v>
      </c>
      <c r="B26" s="34"/>
      <c r="C26" s="35" t="s">
        <v>1718</v>
      </c>
      <c r="D26" s="194">
        <v>24.0</v>
      </c>
      <c r="E26" s="194" t="s">
        <v>5525</v>
      </c>
      <c r="F26" s="48" t="s">
        <v>191</v>
      </c>
      <c r="G26" s="48" t="s">
        <v>5520</v>
      </c>
    </row>
    <row r="27" ht="15.75" customHeight="1">
      <c r="A27" s="34" t="s">
        <v>1719</v>
      </c>
      <c r="B27" s="34" t="s">
        <v>1720</v>
      </c>
      <c r="C27" s="34"/>
      <c r="D27" s="194">
        <v>25.0</v>
      </c>
      <c r="E27" s="194" t="s">
        <v>5525</v>
      </c>
      <c r="F27" s="48" t="s">
        <v>191</v>
      </c>
      <c r="G27" s="48" t="s">
        <v>5520</v>
      </c>
    </row>
    <row r="28" ht="15.75" customHeight="1">
      <c r="A28" s="34" t="s">
        <v>1721</v>
      </c>
      <c r="B28" s="34" t="s">
        <v>1722</v>
      </c>
      <c r="C28" s="35" t="s">
        <v>1723</v>
      </c>
      <c r="D28" s="194">
        <v>26.0</v>
      </c>
      <c r="E28" s="194" t="s">
        <v>5526</v>
      </c>
      <c r="F28" s="48" t="s">
        <v>191</v>
      </c>
      <c r="G28" s="48" t="s">
        <v>5520</v>
      </c>
    </row>
    <row r="29" ht="15.75" customHeight="1">
      <c r="A29" s="34" t="s">
        <v>1724</v>
      </c>
      <c r="B29" s="34" t="s">
        <v>1725</v>
      </c>
      <c r="C29" s="34"/>
      <c r="D29" s="194">
        <v>27.0</v>
      </c>
      <c r="E29" s="194" t="s">
        <v>5526</v>
      </c>
      <c r="F29" s="48" t="s">
        <v>191</v>
      </c>
      <c r="G29" s="48" t="s">
        <v>5520</v>
      </c>
    </row>
    <row r="30" ht="15.75" customHeight="1">
      <c r="A30" s="34" t="s">
        <v>1726</v>
      </c>
      <c r="B30" s="34"/>
      <c r="C30" s="34"/>
      <c r="D30" s="194">
        <v>28.0</v>
      </c>
      <c r="E30" s="194" t="s">
        <v>5526</v>
      </c>
      <c r="F30" s="48" t="s">
        <v>191</v>
      </c>
      <c r="G30" s="48" t="s">
        <v>5520</v>
      </c>
    </row>
    <row r="31" ht="15.75" customHeight="1">
      <c r="A31" s="34" t="s">
        <v>1727</v>
      </c>
      <c r="B31" s="34" t="s">
        <v>1728</v>
      </c>
      <c r="C31" s="35" t="s">
        <v>1729</v>
      </c>
      <c r="D31" s="194">
        <v>29.0</v>
      </c>
      <c r="E31" s="194" t="s">
        <v>5526</v>
      </c>
      <c r="F31" s="48" t="s">
        <v>191</v>
      </c>
      <c r="G31" s="48" t="s">
        <v>5520</v>
      </c>
    </row>
    <row r="32" ht="15.75" customHeight="1">
      <c r="A32" s="34" t="s">
        <v>1730</v>
      </c>
      <c r="B32" s="34" t="s">
        <v>1731</v>
      </c>
      <c r="C32" s="35" t="s">
        <v>1732</v>
      </c>
      <c r="D32" s="194">
        <v>30.0</v>
      </c>
      <c r="E32" s="194" t="s">
        <v>5526</v>
      </c>
      <c r="F32" s="48" t="s">
        <v>191</v>
      </c>
      <c r="G32" s="48" t="s">
        <v>5520</v>
      </c>
    </row>
    <row r="33" ht="15.75" customHeight="1">
      <c r="A33" s="48" t="s">
        <v>1733</v>
      </c>
      <c r="B33" s="48"/>
      <c r="C33" s="48"/>
      <c r="D33" s="48">
        <v>31.0</v>
      </c>
      <c r="E33" s="48"/>
      <c r="F33" s="48" t="s">
        <v>191</v>
      </c>
      <c r="G33" s="48" t="s">
        <v>5520</v>
      </c>
    </row>
    <row r="34" ht="15.75" customHeight="1">
      <c r="A34" s="48" t="s">
        <v>1734</v>
      </c>
      <c r="B34" s="48" t="s">
        <v>478</v>
      </c>
      <c r="C34" s="48"/>
      <c r="D34" s="48">
        <v>32.0</v>
      </c>
      <c r="E34" s="48"/>
      <c r="F34" s="48" t="s">
        <v>191</v>
      </c>
      <c r="G34" s="48" t="s">
        <v>5520</v>
      </c>
    </row>
    <row r="35" ht="15.75" customHeight="1">
      <c r="A35" s="34" t="s">
        <v>1735</v>
      </c>
      <c r="B35" s="34" t="s">
        <v>1728</v>
      </c>
      <c r="C35" s="35" t="s">
        <v>1736</v>
      </c>
      <c r="D35" s="34">
        <v>33.0</v>
      </c>
      <c r="E35" s="34" t="s">
        <v>4977</v>
      </c>
      <c r="F35" s="48" t="s">
        <v>191</v>
      </c>
      <c r="G35" s="48" t="s">
        <v>5520</v>
      </c>
    </row>
    <row r="36" ht="15.75" customHeight="1">
      <c r="A36" s="48" t="s">
        <v>1737</v>
      </c>
      <c r="B36" s="48"/>
      <c r="C36" s="48"/>
      <c r="D36" s="48">
        <v>34.0</v>
      </c>
      <c r="E36" s="48"/>
      <c r="F36" s="48" t="s">
        <v>191</v>
      </c>
      <c r="G36" s="48" t="s">
        <v>5520</v>
      </c>
    </row>
    <row r="37" ht="15.75" customHeight="1">
      <c r="A37" s="34" t="s">
        <v>1738</v>
      </c>
      <c r="B37" s="34"/>
      <c r="C37" s="35" t="s">
        <v>1739</v>
      </c>
      <c r="D37" s="34">
        <v>35.0</v>
      </c>
      <c r="E37" s="34" t="s">
        <v>4977</v>
      </c>
      <c r="F37" s="48" t="s">
        <v>191</v>
      </c>
      <c r="G37" s="48" t="s">
        <v>5520</v>
      </c>
    </row>
    <row r="38" ht="15.75" customHeight="1">
      <c r="A38" s="34" t="s">
        <v>1740</v>
      </c>
      <c r="B38" s="34"/>
      <c r="C38" s="35" t="s">
        <v>1741</v>
      </c>
      <c r="D38" s="34">
        <v>36.0</v>
      </c>
      <c r="E38" s="34" t="s">
        <v>4977</v>
      </c>
      <c r="F38" s="48" t="s">
        <v>191</v>
      </c>
      <c r="G38" s="48" t="s">
        <v>5520</v>
      </c>
    </row>
    <row r="39" ht="15.75" customHeight="1">
      <c r="A39" s="34" t="s">
        <v>1742</v>
      </c>
      <c r="B39" s="34"/>
      <c r="C39" s="35" t="s">
        <v>1743</v>
      </c>
      <c r="D39" s="34">
        <v>37.0</v>
      </c>
      <c r="E39" s="34" t="s">
        <v>4977</v>
      </c>
      <c r="F39" s="48" t="s">
        <v>191</v>
      </c>
      <c r="G39" s="48" t="s">
        <v>5520</v>
      </c>
    </row>
    <row r="40" ht="15.75" customHeight="1">
      <c r="A40" s="34" t="s">
        <v>1744</v>
      </c>
      <c r="B40" s="34" t="s">
        <v>973</v>
      </c>
      <c r="C40" s="35" t="s">
        <v>1745</v>
      </c>
      <c r="D40" s="34">
        <v>38.0</v>
      </c>
      <c r="E40" s="34" t="s">
        <v>4977</v>
      </c>
      <c r="F40" s="48" t="s">
        <v>191</v>
      </c>
      <c r="G40" s="48" t="s">
        <v>5520</v>
      </c>
    </row>
    <row r="41" ht="15.75" customHeight="1">
      <c r="A41" s="34" t="s">
        <v>1746</v>
      </c>
      <c r="B41" s="34"/>
      <c r="C41" s="34" t="s">
        <v>5527</v>
      </c>
      <c r="D41" s="34">
        <v>39.0</v>
      </c>
      <c r="E41" s="34" t="s">
        <v>4977</v>
      </c>
      <c r="F41" s="48"/>
      <c r="G41" s="48" t="s">
        <v>5520</v>
      </c>
    </row>
    <row r="42" ht="15.75" customHeight="1">
      <c r="A42" s="34" t="s">
        <v>471</v>
      </c>
      <c r="B42" s="34" t="s">
        <v>1748</v>
      </c>
      <c r="C42" s="34" t="s">
        <v>5528</v>
      </c>
      <c r="D42" s="34">
        <v>40.0</v>
      </c>
      <c r="E42" s="34" t="s">
        <v>3030</v>
      </c>
      <c r="F42" s="48"/>
      <c r="G42" s="48" t="s">
        <v>5520</v>
      </c>
    </row>
    <row r="43" ht="15.75" customHeight="1">
      <c r="A43" s="34" t="s">
        <v>1750</v>
      </c>
      <c r="B43" s="34" t="s">
        <v>1751</v>
      </c>
      <c r="C43" s="34" t="s">
        <v>5529</v>
      </c>
      <c r="D43" s="34">
        <v>41.0</v>
      </c>
      <c r="E43" s="34" t="s">
        <v>3030</v>
      </c>
      <c r="F43" s="48"/>
      <c r="G43" s="48" t="s">
        <v>5520</v>
      </c>
    </row>
    <row r="44" ht="15.75" customHeight="1">
      <c r="A44" s="34" t="s">
        <v>956</v>
      </c>
      <c r="B44" s="34" t="s">
        <v>1753</v>
      </c>
      <c r="C44" s="34" t="s">
        <v>5530</v>
      </c>
      <c r="D44" s="34">
        <v>42.0</v>
      </c>
      <c r="E44" s="34" t="s">
        <v>3030</v>
      </c>
      <c r="F44" s="48"/>
      <c r="G44" s="48" t="s">
        <v>5520</v>
      </c>
    </row>
    <row r="45" ht="15.75" customHeight="1">
      <c r="A45" s="34" t="s">
        <v>1755</v>
      </c>
      <c r="B45" s="34" t="s">
        <v>1756</v>
      </c>
      <c r="C45" s="34" t="s">
        <v>5531</v>
      </c>
      <c r="D45" s="34">
        <v>43.0</v>
      </c>
      <c r="E45" s="34" t="s">
        <v>3030</v>
      </c>
      <c r="F45" s="48"/>
      <c r="G45" s="48" t="s">
        <v>5520</v>
      </c>
    </row>
    <row r="46" ht="15.75" customHeight="1">
      <c r="A46" s="34" t="s">
        <v>1758</v>
      </c>
      <c r="B46" s="34"/>
      <c r="C46" s="34"/>
      <c r="D46" s="34">
        <v>44.0</v>
      </c>
      <c r="E46" s="34"/>
      <c r="F46" s="48"/>
      <c r="G46" s="48" t="s">
        <v>5520</v>
      </c>
    </row>
    <row r="47" ht="15.75" customHeight="1">
      <c r="A47" s="34" t="s">
        <v>1759</v>
      </c>
      <c r="B47" s="34" t="s">
        <v>1760</v>
      </c>
      <c r="C47" s="35" t="s">
        <v>1761</v>
      </c>
      <c r="D47" s="34">
        <v>45.0</v>
      </c>
      <c r="E47" s="34" t="s">
        <v>3030</v>
      </c>
      <c r="F47" s="48"/>
      <c r="G47" s="48" t="s">
        <v>5520</v>
      </c>
    </row>
    <row r="48" ht="15.75" customHeight="1">
      <c r="A48" s="34" t="s">
        <v>1762</v>
      </c>
      <c r="B48" s="34" t="s">
        <v>1763</v>
      </c>
      <c r="C48" s="34"/>
      <c r="D48" s="34">
        <v>46.0</v>
      </c>
      <c r="E48" s="34" t="s">
        <v>5532</v>
      </c>
      <c r="F48" s="48" t="s">
        <v>5533</v>
      </c>
      <c r="G48" s="48" t="s">
        <v>5520</v>
      </c>
    </row>
    <row r="49" ht="15.75" customHeight="1">
      <c r="A49" s="34" t="s">
        <v>1765</v>
      </c>
      <c r="B49" s="34" t="s">
        <v>1766</v>
      </c>
      <c r="C49" s="35" t="s">
        <v>1767</v>
      </c>
      <c r="D49" s="34">
        <v>47.0</v>
      </c>
      <c r="E49" s="34" t="s">
        <v>5532</v>
      </c>
      <c r="F49" s="48" t="s">
        <v>5533</v>
      </c>
      <c r="G49" s="48" t="s">
        <v>5520</v>
      </c>
    </row>
    <row r="50" ht="15.75" customHeight="1">
      <c r="A50" s="34" t="s">
        <v>1768</v>
      </c>
      <c r="B50" s="34" t="s">
        <v>1766</v>
      </c>
      <c r="C50" s="35" t="s">
        <v>1769</v>
      </c>
      <c r="D50" s="34">
        <v>48.0</v>
      </c>
      <c r="E50" s="34" t="s">
        <v>5532</v>
      </c>
      <c r="F50" s="48" t="s">
        <v>5533</v>
      </c>
      <c r="G50" s="48" t="s">
        <v>5520</v>
      </c>
    </row>
    <row r="51" ht="15.75" customHeight="1">
      <c r="A51" s="34" t="s">
        <v>1770</v>
      </c>
      <c r="B51" s="34" t="s">
        <v>1771</v>
      </c>
      <c r="C51" s="35" t="s">
        <v>1772</v>
      </c>
      <c r="D51" s="34">
        <v>49.0</v>
      </c>
      <c r="E51" s="34" t="s">
        <v>5532</v>
      </c>
      <c r="F51" s="48" t="s">
        <v>5533</v>
      </c>
      <c r="G51" s="48" t="s">
        <v>5520</v>
      </c>
    </row>
    <row r="52" ht="15.75" customHeight="1">
      <c r="A52" s="48" t="s">
        <v>1773</v>
      </c>
      <c r="B52" s="48" t="s">
        <v>1774</v>
      </c>
      <c r="C52" s="48"/>
      <c r="D52" s="48">
        <v>50.0</v>
      </c>
      <c r="E52" s="48"/>
      <c r="F52" s="48" t="s">
        <v>5533</v>
      </c>
      <c r="G52" s="48" t="s">
        <v>5520</v>
      </c>
    </row>
    <row r="53" ht="15.75" customHeight="1">
      <c r="A53" s="34" t="s">
        <v>1777</v>
      </c>
      <c r="B53" s="34" t="s">
        <v>1778</v>
      </c>
      <c r="C53" s="35" t="s">
        <v>1779</v>
      </c>
      <c r="D53" s="34">
        <v>51.0</v>
      </c>
      <c r="E53" s="34" t="s">
        <v>5532</v>
      </c>
      <c r="F53" s="48" t="s">
        <v>5533</v>
      </c>
      <c r="G53" s="48" t="s">
        <v>5520</v>
      </c>
    </row>
    <row r="54" ht="15.75" customHeight="1">
      <c r="A54" s="34" t="s">
        <v>1780</v>
      </c>
      <c r="B54" s="34" t="s">
        <v>1781</v>
      </c>
      <c r="C54" s="35" t="s">
        <v>1782</v>
      </c>
      <c r="D54" s="34">
        <v>52.0</v>
      </c>
      <c r="E54" s="34" t="s">
        <v>5239</v>
      </c>
      <c r="F54" s="48" t="s">
        <v>5533</v>
      </c>
      <c r="G54" s="48" t="s">
        <v>5520</v>
      </c>
    </row>
    <row r="55" ht="15.75" customHeight="1">
      <c r="A55" s="34" t="s">
        <v>1783</v>
      </c>
      <c r="B55" s="34" t="s">
        <v>1784</v>
      </c>
      <c r="C55" s="35" t="s">
        <v>1785</v>
      </c>
      <c r="D55" s="34">
        <v>53.0</v>
      </c>
      <c r="E55" s="34" t="s">
        <v>5239</v>
      </c>
      <c r="F55" s="48" t="s">
        <v>5533</v>
      </c>
      <c r="G55" s="48" t="s">
        <v>5520</v>
      </c>
    </row>
    <row r="56" ht="15.75" customHeight="1">
      <c r="A56" s="34" t="s">
        <v>1786</v>
      </c>
      <c r="B56" s="34" t="s">
        <v>1787</v>
      </c>
      <c r="C56" s="35" t="s">
        <v>1788</v>
      </c>
      <c r="D56" s="34">
        <v>54.0</v>
      </c>
      <c r="E56" s="34" t="s">
        <v>5239</v>
      </c>
      <c r="F56" s="48" t="s">
        <v>5533</v>
      </c>
      <c r="G56" s="48"/>
    </row>
    <row r="57" ht="15.75" customHeight="1">
      <c r="A57" s="34" t="s">
        <v>1789</v>
      </c>
      <c r="B57" s="34" t="s">
        <v>1790</v>
      </c>
      <c r="C57" s="35" t="s">
        <v>1791</v>
      </c>
      <c r="D57" s="34">
        <v>55.0</v>
      </c>
      <c r="E57" s="34" t="s">
        <v>5239</v>
      </c>
      <c r="F57" s="48" t="s">
        <v>5533</v>
      </c>
      <c r="G57" s="48"/>
    </row>
    <row r="58" ht="15.75" customHeight="1">
      <c r="A58" s="34" t="s">
        <v>1792</v>
      </c>
      <c r="B58" s="34" t="s">
        <v>139</v>
      </c>
      <c r="C58" s="35" t="s">
        <v>1793</v>
      </c>
      <c r="D58" s="34">
        <v>56.0</v>
      </c>
      <c r="E58" s="34" t="s">
        <v>5239</v>
      </c>
      <c r="F58" s="48" t="s">
        <v>5533</v>
      </c>
      <c r="G58" s="48"/>
    </row>
    <row r="59" ht="15.75" customHeight="1">
      <c r="A59" s="34" t="s">
        <v>1794</v>
      </c>
      <c r="B59" s="34" t="s">
        <v>1795</v>
      </c>
      <c r="C59" s="35" t="s">
        <v>1796</v>
      </c>
      <c r="D59" s="34">
        <v>57.0</v>
      </c>
      <c r="E59" s="34" t="s">
        <v>5534</v>
      </c>
      <c r="F59" s="48" t="s">
        <v>5533</v>
      </c>
      <c r="G59" s="48"/>
    </row>
    <row r="60" ht="15.75" customHeight="1">
      <c r="A60" s="34" t="s">
        <v>1797</v>
      </c>
      <c r="B60" s="34" t="s">
        <v>1798</v>
      </c>
      <c r="C60" s="35" t="s">
        <v>1799</v>
      </c>
      <c r="D60" s="34">
        <v>58.0</v>
      </c>
      <c r="E60" s="34" t="s">
        <v>5534</v>
      </c>
      <c r="F60" s="48" t="s">
        <v>5533</v>
      </c>
      <c r="G60" s="48"/>
    </row>
    <row r="61" ht="15.75" customHeight="1">
      <c r="A61" s="34" t="s">
        <v>1800</v>
      </c>
      <c r="B61" s="34" t="s">
        <v>1801</v>
      </c>
      <c r="C61" s="35" t="s">
        <v>1802</v>
      </c>
      <c r="D61" s="34">
        <v>59.0</v>
      </c>
      <c r="E61" s="34" t="s">
        <v>5534</v>
      </c>
      <c r="F61" s="48" t="s">
        <v>5533</v>
      </c>
      <c r="G61" s="48"/>
    </row>
    <row r="62" ht="15.75" customHeight="1">
      <c r="A62" s="34" t="s">
        <v>1803</v>
      </c>
      <c r="B62" s="34" t="s">
        <v>1804</v>
      </c>
      <c r="C62" s="35" t="s">
        <v>1805</v>
      </c>
      <c r="D62" s="34">
        <v>60.0</v>
      </c>
      <c r="E62" s="34" t="s">
        <v>5534</v>
      </c>
      <c r="F62" s="48" t="s">
        <v>5533</v>
      </c>
      <c r="G62" s="48"/>
    </row>
    <row r="63" ht="15.75" customHeight="1">
      <c r="A63" s="34" t="s">
        <v>1806</v>
      </c>
      <c r="B63" s="34" t="s">
        <v>1807</v>
      </c>
      <c r="C63" s="35" t="s">
        <v>1808</v>
      </c>
      <c r="D63" s="34">
        <v>61.0</v>
      </c>
      <c r="E63" s="34" t="s">
        <v>5534</v>
      </c>
      <c r="F63" s="48" t="s">
        <v>5533</v>
      </c>
      <c r="G63" s="48"/>
    </row>
    <row r="64" ht="15.75" customHeight="1">
      <c r="A64" s="34" t="s">
        <v>1809</v>
      </c>
      <c r="B64" s="34" t="s">
        <v>139</v>
      </c>
      <c r="C64" s="35" t="s">
        <v>1810</v>
      </c>
      <c r="D64" s="34">
        <v>62.0</v>
      </c>
      <c r="E64" s="34" t="s">
        <v>5535</v>
      </c>
      <c r="F64" s="48" t="s">
        <v>5533</v>
      </c>
      <c r="G64" s="48"/>
    </row>
    <row r="65" ht="15.75" customHeight="1">
      <c r="A65" s="34" t="s">
        <v>1811</v>
      </c>
      <c r="B65" s="34" t="s">
        <v>139</v>
      </c>
      <c r="C65" s="35" t="s">
        <v>1812</v>
      </c>
      <c r="D65" s="34">
        <v>63.0</v>
      </c>
      <c r="E65" s="34" t="s">
        <v>5535</v>
      </c>
      <c r="F65" s="48" t="s">
        <v>5533</v>
      </c>
      <c r="G65" s="48"/>
    </row>
    <row r="66" ht="15.75" customHeight="1">
      <c r="A66" s="34" t="s">
        <v>1827</v>
      </c>
      <c r="B66" s="34" t="s">
        <v>1828</v>
      </c>
      <c r="C66" s="35" t="s">
        <v>1829</v>
      </c>
      <c r="D66" s="34">
        <v>64.0</v>
      </c>
      <c r="E66" s="34" t="s">
        <v>5535</v>
      </c>
      <c r="F66" s="48" t="s">
        <v>5533</v>
      </c>
      <c r="G66" s="48"/>
    </row>
    <row r="67" ht="15.75" customHeight="1">
      <c r="A67" s="34" t="s">
        <v>2791</v>
      </c>
      <c r="B67" s="34"/>
      <c r="C67" s="35" t="s">
        <v>4460</v>
      </c>
      <c r="D67" s="34">
        <v>65.0</v>
      </c>
      <c r="E67" s="34" t="s">
        <v>5535</v>
      </c>
      <c r="F67" s="48" t="s">
        <v>5533</v>
      </c>
      <c r="G67" s="48"/>
    </row>
    <row r="68" ht="15.75" customHeight="1">
      <c r="A68" s="34" t="s">
        <v>4461</v>
      </c>
      <c r="B68" s="34" t="s">
        <v>4462</v>
      </c>
      <c r="C68" s="35" t="s">
        <v>4183</v>
      </c>
      <c r="D68" s="34">
        <v>66.0</v>
      </c>
      <c r="E68" s="34" t="s">
        <v>5535</v>
      </c>
      <c r="F68" s="48" t="s">
        <v>5533</v>
      </c>
      <c r="G68" s="48"/>
    </row>
    <row r="69" ht="15.75" customHeight="1">
      <c r="A69" s="34" t="s">
        <v>4463</v>
      </c>
      <c r="B69" s="34" t="s">
        <v>4464</v>
      </c>
      <c r="C69" s="35" t="s">
        <v>4465</v>
      </c>
      <c r="D69" s="34">
        <v>67.0</v>
      </c>
      <c r="E69" s="34" t="s">
        <v>5536</v>
      </c>
      <c r="F69" s="48" t="s">
        <v>5533</v>
      </c>
      <c r="G69" s="48"/>
    </row>
    <row r="70" ht="15.75" customHeight="1">
      <c r="A70" s="34" t="s">
        <v>4466</v>
      </c>
      <c r="B70" s="34" t="s">
        <v>4467</v>
      </c>
      <c r="C70" s="35" t="s">
        <v>4468</v>
      </c>
      <c r="D70" s="34">
        <v>68.0</v>
      </c>
      <c r="E70" s="34" t="s">
        <v>5536</v>
      </c>
      <c r="F70" s="48" t="s">
        <v>5533</v>
      </c>
      <c r="G70" s="48"/>
    </row>
    <row r="71" ht="15.75" customHeight="1">
      <c r="A71" s="34" t="s">
        <v>4469</v>
      </c>
      <c r="B71" s="34"/>
      <c r="C71" s="35" t="s">
        <v>4470</v>
      </c>
      <c r="D71" s="34">
        <v>69.0</v>
      </c>
      <c r="E71" s="34" t="s">
        <v>5536</v>
      </c>
      <c r="F71" s="48" t="s">
        <v>5533</v>
      </c>
      <c r="G71" s="48"/>
    </row>
    <row r="72" ht="15.75" customHeight="1">
      <c r="A72" s="34" t="s">
        <v>3331</v>
      </c>
      <c r="B72" s="34" t="s">
        <v>4471</v>
      </c>
      <c r="C72" s="35" t="s">
        <v>4472</v>
      </c>
      <c r="D72" s="34">
        <v>70.0</v>
      </c>
      <c r="E72" s="34" t="s">
        <v>5536</v>
      </c>
      <c r="F72" s="48" t="s">
        <v>5533</v>
      </c>
      <c r="G72" s="48"/>
    </row>
    <row r="73" ht="15.75" customHeight="1">
      <c r="A73" s="34" t="s">
        <v>4473</v>
      </c>
      <c r="B73" s="34" t="s">
        <v>4474</v>
      </c>
      <c r="C73" s="35" t="s">
        <v>4475</v>
      </c>
      <c r="D73" s="34">
        <v>71.0</v>
      </c>
      <c r="E73" s="34" t="s">
        <v>5536</v>
      </c>
      <c r="F73" s="48" t="s">
        <v>5537</v>
      </c>
      <c r="G73" s="48"/>
    </row>
    <row r="74" ht="15.75" customHeight="1">
      <c r="A74" s="34" t="s">
        <v>4476</v>
      </c>
      <c r="B74" s="34" t="s">
        <v>4477</v>
      </c>
      <c r="C74" s="35" t="s">
        <v>4478</v>
      </c>
      <c r="D74" s="34">
        <v>72.0</v>
      </c>
      <c r="E74" s="34" t="s">
        <v>5538</v>
      </c>
      <c r="F74" s="48" t="s">
        <v>5537</v>
      </c>
      <c r="G74" s="48"/>
    </row>
    <row r="75" ht="15.75" customHeight="1">
      <c r="A75" s="34" t="s">
        <v>4479</v>
      </c>
      <c r="B75" s="34" t="s">
        <v>4480</v>
      </c>
      <c r="C75" s="35" t="s">
        <v>4481</v>
      </c>
      <c r="D75" s="34">
        <v>73.0</v>
      </c>
      <c r="E75" s="34" t="s">
        <v>5538</v>
      </c>
      <c r="F75" s="48" t="s">
        <v>5537</v>
      </c>
      <c r="G75" s="48"/>
    </row>
    <row r="76" ht="15.75" customHeight="1">
      <c r="A76" s="34" t="s">
        <v>4482</v>
      </c>
      <c r="B76" s="34" t="s">
        <v>4483</v>
      </c>
      <c r="C76" s="35" t="s">
        <v>4484</v>
      </c>
      <c r="D76" s="34">
        <v>74.0</v>
      </c>
      <c r="E76" s="34" t="s">
        <v>5538</v>
      </c>
      <c r="F76" s="48" t="s">
        <v>5537</v>
      </c>
      <c r="G76" s="48"/>
    </row>
    <row r="77" ht="15.75" customHeight="1">
      <c r="A77" s="34" t="s">
        <v>4485</v>
      </c>
      <c r="B77" s="34" t="s">
        <v>4486</v>
      </c>
      <c r="C77" s="35" t="s">
        <v>4487</v>
      </c>
      <c r="D77" s="34">
        <v>75.0</v>
      </c>
      <c r="E77" s="34" t="s">
        <v>5538</v>
      </c>
      <c r="F77" s="48" t="s">
        <v>5537</v>
      </c>
      <c r="G77" s="48"/>
    </row>
    <row r="78" ht="15.75" customHeight="1">
      <c r="A78" s="34" t="s">
        <v>4488</v>
      </c>
      <c r="B78" s="34" t="s">
        <v>4489</v>
      </c>
      <c r="C78" s="35" t="s">
        <v>4490</v>
      </c>
      <c r="D78" s="34">
        <v>76.0</v>
      </c>
      <c r="E78" s="34" t="s">
        <v>5538</v>
      </c>
      <c r="F78" s="48" t="s">
        <v>5537</v>
      </c>
      <c r="G78" s="48"/>
    </row>
    <row r="79" ht="15.75" customHeight="1">
      <c r="A79" s="34" t="s">
        <v>4491</v>
      </c>
      <c r="B79" s="34" t="s">
        <v>4492</v>
      </c>
      <c r="C79" s="35" t="s">
        <v>4493</v>
      </c>
      <c r="D79" s="34">
        <v>77.0</v>
      </c>
      <c r="E79" s="34" t="s">
        <v>5515</v>
      </c>
      <c r="F79" s="48" t="s">
        <v>5537</v>
      </c>
      <c r="G79" s="48"/>
    </row>
    <row r="80" ht="15.75" customHeight="1">
      <c r="A80" s="48" t="s">
        <v>4494</v>
      </c>
      <c r="B80" s="48" t="s">
        <v>4495</v>
      </c>
      <c r="C80" s="48" t="s">
        <v>198</v>
      </c>
      <c r="D80" s="48">
        <v>78.0</v>
      </c>
      <c r="E80" s="48"/>
      <c r="F80" s="48" t="s">
        <v>5537</v>
      </c>
      <c r="G80" s="48"/>
    </row>
    <row r="81" ht="15.75" customHeight="1">
      <c r="A81" s="34" t="s">
        <v>4496</v>
      </c>
      <c r="B81" s="34"/>
      <c r="C81" s="35" t="s">
        <v>4497</v>
      </c>
      <c r="D81" s="34">
        <v>79.0</v>
      </c>
      <c r="E81" s="34" t="s">
        <v>4977</v>
      </c>
      <c r="F81" s="48" t="s">
        <v>5537</v>
      </c>
      <c r="G81" s="48"/>
    </row>
    <row r="82" ht="15.75" customHeight="1">
      <c r="A82" s="34" t="s">
        <v>3347</v>
      </c>
      <c r="B82" s="34"/>
      <c r="C82" s="35" t="s">
        <v>4498</v>
      </c>
      <c r="D82" s="34">
        <v>80.0</v>
      </c>
      <c r="E82" s="34" t="s">
        <v>4977</v>
      </c>
      <c r="F82" s="48" t="s">
        <v>5537</v>
      </c>
      <c r="G82" s="48"/>
    </row>
    <row r="83" ht="15.75" customHeight="1">
      <c r="A83" s="34" t="s">
        <v>4309</v>
      </c>
      <c r="B83" s="34"/>
      <c r="C83" s="35" t="s">
        <v>4499</v>
      </c>
      <c r="D83" s="34">
        <v>81.0</v>
      </c>
      <c r="E83" s="34" t="s">
        <v>5515</v>
      </c>
      <c r="F83" s="48" t="s">
        <v>5537</v>
      </c>
      <c r="G83" s="48"/>
    </row>
    <row r="84" ht="15.75" customHeight="1">
      <c r="A84" s="48" t="s">
        <v>4500</v>
      </c>
      <c r="B84" s="48" t="s">
        <v>4501</v>
      </c>
      <c r="C84" s="48" t="s">
        <v>198</v>
      </c>
      <c r="D84" s="48">
        <v>82.0</v>
      </c>
      <c r="E84" s="48"/>
      <c r="F84" s="48" t="s">
        <v>5537</v>
      </c>
      <c r="G84" s="48"/>
    </row>
    <row r="85" ht="15.75" customHeight="1">
      <c r="A85" s="34" t="s">
        <v>4502</v>
      </c>
      <c r="B85" s="34"/>
      <c r="C85" s="35" t="s">
        <v>4503</v>
      </c>
      <c r="D85" s="34">
        <v>83.0</v>
      </c>
      <c r="E85" s="34" t="s">
        <v>5539</v>
      </c>
      <c r="F85" s="48" t="s">
        <v>5200</v>
      </c>
      <c r="G85" s="48"/>
    </row>
    <row r="86" ht="15.75" customHeight="1">
      <c r="A86" s="34" t="s">
        <v>4504</v>
      </c>
      <c r="B86" s="34"/>
      <c r="C86" s="35" t="s">
        <v>4505</v>
      </c>
      <c r="D86" s="34">
        <v>84.0</v>
      </c>
      <c r="E86" s="34" t="s">
        <v>5539</v>
      </c>
      <c r="F86" s="48" t="s">
        <v>5200</v>
      </c>
      <c r="G86" s="48"/>
    </row>
    <row r="87" ht="15.75" customHeight="1">
      <c r="A87" s="34" t="s">
        <v>4506</v>
      </c>
      <c r="B87" s="34" t="s">
        <v>4507</v>
      </c>
      <c r="C87" s="35" t="s">
        <v>4508</v>
      </c>
      <c r="D87" s="34">
        <v>85.0</v>
      </c>
      <c r="E87" s="34" t="s">
        <v>5539</v>
      </c>
      <c r="F87" s="48" t="s">
        <v>5200</v>
      </c>
      <c r="G87" s="48"/>
    </row>
    <row r="88" ht="15.75" customHeight="1">
      <c r="A88" s="34" t="s">
        <v>4509</v>
      </c>
      <c r="B88" s="34" t="s">
        <v>4510</v>
      </c>
      <c r="C88" s="35" t="s">
        <v>4511</v>
      </c>
      <c r="D88" s="34">
        <v>86.0</v>
      </c>
      <c r="E88" s="34" t="s">
        <v>5539</v>
      </c>
      <c r="F88" s="48" t="s">
        <v>5200</v>
      </c>
      <c r="G88" s="48"/>
    </row>
    <row r="89" ht="15.75" customHeight="1">
      <c r="A89" s="34" t="s">
        <v>4111</v>
      </c>
      <c r="B89" s="34" t="s">
        <v>4112</v>
      </c>
      <c r="C89" s="35" t="s">
        <v>4113</v>
      </c>
      <c r="D89" s="34">
        <v>87.0</v>
      </c>
      <c r="E89" s="34" t="s">
        <v>5539</v>
      </c>
      <c r="F89" s="48" t="s">
        <v>5200</v>
      </c>
      <c r="G89" s="48"/>
    </row>
    <row r="90" ht="15.75" customHeight="1">
      <c r="A90" s="34" t="s">
        <v>4114</v>
      </c>
      <c r="B90" s="34" t="s">
        <v>4115</v>
      </c>
      <c r="C90" s="35" t="s">
        <v>4116</v>
      </c>
      <c r="D90" s="34">
        <v>88.0</v>
      </c>
      <c r="E90" s="34" t="s">
        <v>5540</v>
      </c>
      <c r="F90" s="48" t="s">
        <v>5200</v>
      </c>
      <c r="G90" s="48" t="s">
        <v>367</v>
      </c>
    </row>
    <row r="91" ht="15.75" customHeight="1">
      <c r="A91" s="34" t="s">
        <v>4117</v>
      </c>
      <c r="B91" s="34" t="s">
        <v>4118</v>
      </c>
      <c r="C91" s="35" t="s">
        <v>4119</v>
      </c>
      <c r="D91" s="34">
        <v>89.0</v>
      </c>
      <c r="E91" s="34" t="s">
        <v>5540</v>
      </c>
      <c r="F91" s="48" t="s">
        <v>5200</v>
      </c>
      <c r="G91" s="48" t="s">
        <v>367</v>
      </c>
    </row>
    <row r="92" ht="15.75" customHeight="1">
      <c r="A92" s="34" t="s">
        <v>4120</v>
      </c>
      <c r="B92" s="34" t="s">
        <v>139</v>
      </c>
      <c r="C92" s="35" t="s">
        <v>4121</v>
      </c>
      <c r="D92" s="34">
        <v>90.0</v>
      </c>
      <c r="E92" s="34" t="s">
        <v>5540</v>
      </c>
      <c r="F92" s="48" t="s">
        <v>5200</v>
      </c>
      <c r="G92" s="48" t="s">
        <v>367</v>
      </c>
    </row>
    <row r="93" ht="15.75" customHeight="1">
      <c r="A93" s="34" t="s">
        <v>471</v>
      </c>
      <c r="B93" s="34" t="s">
        <v>1748</v>
      </c>
      <c r="C93" s="35" t="s">
        <v>4122</v>
      </c>
      <c r="D93" s="34">
        <v>91.0</v>
      </c>
      <c r="E93" s="34" t="s">
        <v>5540</v>
      </c>
      <c r="F93" s="48" t="s">
        <v>5200</v>
      </c>
      <c r="G93" s="48" t="s">
        <v>367</v>
      </c>
    </row>
    <row r="94" ht="15.75" customHeight="1">
      <c r="A94" s="34" t="s">
        <v>953</v>
      </c>
      <c r="B94" s="34" t="s">
        <v>1751</v>
      </c>
      <c r="C94" s="35" t="s">
        <v>4123</v>
      </c>
      <c r="D94" s="34">
        <v>92.0</v>
      </c>
      <c r="E94" s="34" t="s">
        <v>5540</v>
      </c>
      <c r="F94" s="48" t="s">
        <v>5200</v>
      </c>
      <c r="G94" s="48" t="s">
        <v>367</v>
      </c>
    </row>
    <row r="95" ht="15.75" customHeight="1">
      <c r="A95" s="34" t="s">
        <v>4124</v>
      </c>
      <c r="B95" s="34"/>
      <c r="C95" s="35" t="s">
        <v>4125</v>
      </c>
      <c r="D95" s="34">
        <v>93.0</v>
      </c>
      <c r="E95" s="34" t="s">
        <v>49</v>
      </c>
      <c r="F95" s="48" t="s">
        <v>5200</v>
      </c>
      <c r="G95" s="48" t="s">
        <v>367</v>
      </c>
    </row>
    <row r="96" ht="15.75" customHeight="1">
      <c r="A96" s="34" t="s">
        <v>471</v>
      </c>
      <c r="B96" s="34" t="s">
        <v>1753</v>
      </c>
      <c r="C96" s="35" t="s">
        <v>4126</v>
      </c>
      <c r="D96" s="34">
        <v>94.0</v>
      </c>
      <c r="E96" s="34" t="s">
        <v>5069</v>
      </c>
      <c r="F96" s="48" t="s">
        <v>5200</v>
      </c>
      <c r="G96" s="48" t="s">
        <v>367</v>
      </c>
    </row>
    <row r="97" ht="15.75" customHeight="1">
      <c r="A97" s="34" t="s">
        <v>4127</v>
      </c>
      <c r="B97" s="34" t="s">
        <v>4128</v>
      </c>
      <c r="C97" s="35" t="s">
        <v>4129</v>
      </c>
      <c r="D97" s="34">
        <v>95.0</v>
      </c>
      <c r="E97" s="34" t="s">
        <v>5069</v>
      </c>
      <c r="F97" s="48" t="s">
        <v>5200</v>
      </c>
      <c r="G97" s="48" t="s">
        <v>367</v>
      </c>
    </row>
    <row r="98" ht="15.75" customHeight="1">
      <c r="A98" s="34" t="s">
        <v>4130</v>
      </c>
      <c r="B98" s="34" t="s">
        <v>4131</v>
      </c>
      <c r="C98" s="35" t="s">
        <v>4132</v>
      </c>
      <c r="D98" s="34">
        <v>96.0</v>
      </c>
      <c r="E98" s="34" t="s">
        <v>5069</v>
      </c>
      <c r="F98" s="48" t="s">
        <v>5200</v>
      </c>
      <c r="G98" s="48" t="s">
        <v>367</v>
      </c>
    </row>
    <row r="99" ht="15.75" customHeight="1">
      <c r="A99" s="34" t="s">
        <v>4133</v>
      </c>
      <c r="B99" s="34" t="s">
        <v>4134</v>
      </c>
      <c r="C99" s="35" t="s">
        <v>4135</v>
      </c>
      <c r="D99" s="34">
        <v>97.0</v>
      </c>
      <c r="E99" s="34" t="s">
        <v>5069</v>
      </c>
      <c r="F99" s="48" t="s">
        <v>5200</v>
      </c>
      <c r="G99" s="48" t="s">
        <v>367</v>
      </c>
    </row>
    <row r="100" ht="15.75" customHeight="1">
      <c r="A100" s="34" t="s">
        <v>4136</v>
      </c>
      <c r="B100" s="34" t="s">
        <v>4137</v>
      </c>
      <c r="C100" s="35" t="s">
        <v>4138</v>
      </c>
      <c r="D100" s="34">
        <v>98.0</v>
      </c>
      <c r="E100" s="34" t="s">
        <v>5069</v>
      </c>
      <c r="F100" s="48" t="s">
        <v>5200</v>
      </c>
      <c r="G100" s="48" t="s">
        <v>367</v>
      </c>
    </row>
    <row r="101" ht="15.75" customHeight="1">
      <c r="A101" s="34" t="s">
        <v>4139</v>
      </c>
      <c r="B101" s="34" t="s">
        <v>139</v>
      </c>
      <c r="C101" s="35" t="s">
        <v>4140</v>
      </c>
      <c r="D101" s="34">
        <v>99.0</v>
      </c>
      <c r="E101" s="34" t="s">
        <v>5541</v>
      </c>
      <c r="F101" s="48" t="s">
        <v>5200</v>
      </c>
      <c r="G101" s="48" t="s">
        <v>367</v>
      </c>
    </row>
    <row r="102" ht="15.75" customHeight="1">
      <c r="A102" s="34" t="s">
        <v>1758</v>
      </c>
      <c r="B102" s="34" t="s">
        <v>4141</v>
      </c>
      <c r="C102" s="35" t="s">
        <v>4142</v>
      </c>
      <c r="D102" s="34">
        <v>100.0</v>
      </c>
      <c r="E102" s="34" t="s">
        <v>5541</v>
      </c>
      <c r="F102" s="48" t="s">
        <v>5200</v>
      </c>
      <c r="G102" s="48" t="s">
        <v>367</v>
      </c>
    </row>
    <row r="103" ht="15.75" customHeight="1">
      <c r="A103" s="34" t="s">
        <v>4143</v>
      </c>
      <c r="B103" s="34" t="s">
        <v>198</v>
      </c>
      <c r="C103" s="35" t="s">
        <v>4144</v>
      </c>
      <c r="D103" s="34">
        <v>101.0</v>
      </c>
      <c r="E103" s="34" t="s">
        <v>5541</v>
      </c>
      <c r="F103" s="48" t="s">
        <v>5200</v>
      </c>
      <c r="G103" s="48" t="s">
        <v>367</v>
      </c>
    </row>
    <row r="104" ht="15.75" customHeight="1">
      <c r="A104" s="34" t="s">
        <v>4145</v>
      </c>
      <c r="B104" s="34" t="s">
        <v>4146</v>
      </c>
      <c r="C104" s="35" t="s">
        <v>4147</v>
      </c>
      <c r="D104" s="34">
        <v>102.0</v>
      </c>
      <c r="E104" s="34" t="s">
        <v>5541</v>
      </c>
      <c r="F104" s="48" t="s">
        <v>5200</v>
      </c>
      <c r="G104" s="48" t="s">
        <v>367</v>
      </c>
    </row>
    <row r="105" ht="15.75" customHeight="1">
      <c r="A105" s="34" t="s">
        <v>671</v>
      </c>
      <c r="B105" s="34"/>
      <c r="C105" s="35" t="s">
        <v>4148</v>
      </c>
      <c r="D105" s="34">
        <v>103.0</v>
      </c>
      <c r="E105" s="34" t="s">
        <v>5541</v>
      </c>
      <c r="F105" s="48" t="s">
        <v>5200</v>
      </c>
      <c r="G105" s="48" t="s">
        <v>367</v>
      </c>
    </row>
    <row r="106" ht="15.75" customHeight="1">
      <c r="A106" s="34" t="s">
        <v>4149</v>
      </c>
      <c r="B106" s="34" t="s">
        <v>4150</v>
      </c>
      <c r="C106" s="35" t="s">
        <v>4151</v>
      </c>
      <c r="D106" s="34">
        <v>104.0</v>
      </c>
      <c r="E106" s="34" t="s">
        <v>326</v>
      </c>
      <c r="F106" s="48" t="s">
        <v>5200</v>
      </c>
      <c r="G106" s="48" t="s">
        <v>367</v>
      </c>
    </row>
    <row r="107" ht="15.75" customHeight="1">
      <c r="A107" s="34" t="s">
        <v>4152</v>
      </c>
      <c r="B107" s="34" t="s">
        <v>4153</v>
      </c>
      <c r="C107" s="35" t="s">
        <v>4154</v>
      </c>
      <c r="D107" s="34">
        <v>105.0</v>
      </c>
      <c r="E107" s="34" t="s">
        <v>326</v>
      </c>
      <c r="F107" s="48" t="s">
        <v>5200</v>
      </c>
      <c r="G107" s="48" t="s">
        <v>367</v>
      </c>
    </row>
    <row r="108" ht="15.75" customHeight="1">
      <c r="A108" s="34" t="s">
        <v>4155</v>
      </c>
      <c r="B108" s="34"/>
      <c r="C108" s="35" t="s">
        <v>4156</v>
      </c>
      <c r="D108" s="34">
        <v>106.0</v>
      </c>
      <c r="E108" s="34" t="s">
        <v>326</v>
      </c>
      <c r="F108" s="48" t="s">
        <v>5200</v>
      </c>
      <c r="G108" s="48" t="s">
        <v>367</v>
      </c>
    </row>
    <row r="109" ht="15.75" customHeight="1">
      <c r="A109" s="34" t="s">
        <v>4157</v>
      </c>
      <c r="B109" s="34"/>
      <c r="C109" s="35" t="s">
        <v>4158</v>
      </c>
      <c r="D109" s="34">
        <v>107.0</v>
      </c>
      <c r="E109" s="34" t="s">
        <v>326</v>
      </c>
      <c r="F109" s="48" t="s">
        <v>5200</v>
      </c>
      <c r="G109" s="48" t="s">
        <v>367</v>
      </c>
    </row>
    <row r="110" ht="15.75" customHeight="1">
      <c r="A110" s="34" t="s">
        <v>4159</v>
      </c>
      <c r="B110" s="34"/>
      <c r="C110" s="35" t="s">
        <v>4160</v>
      </c>
      <c r="D110" s="34">
        <v>108.0</v>
      </c>
      <c r="E110" s="34" t="s">
        <v>326</v>
      </c>
      <c r="F110" s="48" t="s">
        <v>5200</v>
      </c>
      <c r="G110" s="48" t="s">
        <v>367</v>
      </c>
    </row>
    <row r="111" ht="15.75" customHeight="1">
      <c r="A111" s="34" t="s">
        <v>4161</v>
      </c>
      <c r="B111" s="34"/>
      <c r="C111" s="35" t="s">
        <v>1676</v>
      </c>
      <c r="D111" s="34">
        <v>109.0</v>
      </c>
      <c r="E111" s="34" t="s">
        <v>5542</v>
      </c>
      <c r="F111" s="48" t="s">
        <v>5200</v>
      </c>
      <c r="G111" s="48" t="s">
        <v>367</v>
      </c>
    </row>
    <row r="112" ht="15.75" customHeight="1">
      <c r="A112" s="34" t="s">
        <v>4162</v>
      </c>
      <c r="B112" s="34"/>
      <c r="C112" s="35" t="s">
        <v>4163</v>
      </c>
      <c r="D112" s="34">
        <v>110.0</v>
      </c>
      <c r="E112" s="34" t="s">
        <v>340</v>
      </c>
      <c r="F112" s="48" t="s">
        <v>5200</v>
      </c>
      <c r="G112" s="48" t="s">
        <v>367</v>
      </c>
    </row>
    <row r="113" ht="15.75" customHeight="1">
      <c r="A113" s="34" t="s">
        <v>671</v>
      </c>
      <c r="B113" s="34"/>
      <c r="C113" s="35" t="s">
        <v>4164</v>
      </c>
      <c r="D113" s="34">
        <v>111.0</v>
      </c>
      <c r="E113" s="34" t="s">
        <v>5542</v>
      </c>
      <c r="F113" s="48" t="s">
        <v>5200</v>
      </c>
      <c r="G113" s="48" t="s">
        <v>367</v>
      </c>
    </row>
    <row r="114" ht="15.75" customHeight="1">
      <c r="A114" s="34" t="s">
        <v>4165</v>
      </c>
      <c r="B114" s="34"/>
      <c r="C114" s="35" t="s">
        <v>4166</v>
      </c>
      <c r="D114" s="34">
        <v>112.0</v>
      </c>
      <c r="E114" s="34" t="s">
        <v>5542</v>
      </c>
      <c r="F114" s="48" t="s">
        <v>5200</v>
      </c>
      <c r="G114" s="48" t="s">
        <v>367</v>
      </c>
    </row>
    <row r="115" ht="15.75" customHeight="1">
      <c r="A115" s="34" t="s">
        <v>4167</v>
      </c>
      <c r="B115" s="34" t="s">
        <v>4168</v>
      </c>
      <c r="C115" s="35" t="s">
        <v>4169</v>
      </c>
      <c r="D115" s="34">
        <v>113.0</v>
      </c>
      <c r="E115" s="34" t="s">
        <v>5543</v>
      </c>
      <c r="F115" s="48" t="s">
        <v>5200</v>
      </c>
      <c r="G115" s="48" t="s">
        <v>367</v>
      </c>
    </row>
    <row r="116" ht="15.75" customHeight="1">
      <c r="A116" s="34" t="s">
        <v>4170</v>
      </c>
      <c r="B116" s="34" t="s">
        <v>1790</v>
      </c>
      <c r="C116" s="35" t="s">
        <v>4171</v>
      </c>
      <c r="D116" s="34">
        <v>114.0</v>
      </c>
      <c r="E116" s="34" t="s">
        <v>5131</v>
      </c>
      <c r="F116" s="48" t="s">
        <v>5200</v>
      </c>
      <c r="G116" s="48" t="s">
        <v>367</v>
      </c>
    </row>
    <row r="117" ht="15.75" customHeight="1">
      <c r="A117" s="34" t="s">
        <v>4172</v>
      </c>
      <c r="B117" s="34"/>
      <c r="C117" s="35" t="s">
        <v>4173</v>
      </c>
      <c r="D117" s="34">
        <v>115.0</v>
      </c>
      <c r="E117" s="34" t="s">
        <v>5131</v>
      </c>
      <c r="F117" s="48" t="s">
        <v>5200</v>
      </c>
      <c r="G117" s="48" t="s">
        <v>367</v>
      </c>
    </row>
    <row r="118" ht="15.75" customHeight="1">
      <c r="A118" s="34" t="s">
        <v>4174</v>
      </c>
      <c r="B118" s="34"/>
      <c r="C118" s="35" t="s">
        <v>4175</v>
      </c>
      <c r="D118" s="34">
        <v>116.0</v>
      </c>
      <c r="E118" s="34" t="s">
        <v>5131</v>
      </c>
      <c r="F118" s="48" t="s">
        <v>5200</v>
      </c>
      <c r="G118" s="48" t="s">
        <v>367</v>
      </c>
    </row>
    <row r="119" ht="15.75" customHeight="1">
      <c r="A119" s="34" t="s">
        <v>1780</v>
      </c>
      <c r="B119" s="34" t="s">
        <v>1781</v>
      </c>
      <c r="C119" s="35" t="s">
        <v>4176</v>
      </c>
      <c r="D119" s="34">
        <v>117.0</v>
      </c>
      <c r="E119" s="34" t="s">
        <v>5131</v>
      </c>
      <c r="F119" s="48" t="s">
        <v>5200</v>
      </c>
      <c r="G119" s="48" t="s">
        <v>367</v>
      </c>
    </row>
    <row r="120" ht="15.75" customHeight="1">
      <c r="A120" s="34" t="s">
        <v>1777</v>
      </c>
      <c r="B120" s="34" t="s">
        <v>1778</v>
      </c>
      <c r="C120" s="35" t="s">
        <v>4177</v>
      </c>
      <c r="D120" s="34">
        <v>118.0</v>
      </c>
      <c r="E120" s="34" t="s">
        <v>5131</v>
      </c>
      <c r="F120" s="48" t="s">
        <v>5200</v>
      </c>
      <c r="G120" s="48" t="s">
        <v>367</v>
      </c>
    </row>
    <row r="121" ht="15.75" customHeight="1">
      <c r="A121" s="48" t="s">
        <v>4178</v>
      </c>
      <c r="B121" s="48" t="s">
        <v>4179</v>
      </c>
      <c r="C121" s="48" t="s">
        <v>717</v>
      </c>
      <c r="D121" s="48">
        <v>119.0</v>
      </c>
      <c r="E121" s="48"/>
      <c r="F121" s="48" t="s">
        <v>5200</v>
      </c>
      <c r="G121" s="48" t="s">
        <v>367</v>
      </c>
    </row>
    <row r="122" ht="15.75" customHeight="1">
      <c r="A122" s="34" t="s">
        <v>2970</v>
      </c>
      <c r="B122" s="34"/>
      <c r="C122" s="35" t="s">
        <v>4180</v>
      </c>
      <c r="D122" s="34">
        <v>120.0</v>
      </c>
      <c r="E122" s="34" t="s">
        <v>5255</v>
      </c>
      <c r="F122" s="48" t="s">
        <v>5200</v>
      </c>
      <c r="G122" s="48" t="s">
        <v>367</v>
      </c>
    </row>
    <row r="123" ht="15.75" customHeight="1">
      <c r="A123" s="34" t="s">
        <v>4181</v>
      </c>
      <c r="B123" s="34" t="s">
        <v>4182</v>
      </c>
      <c r="C123" s="35" t="s">
        <v>4183</v>
      </c>
      <c r="D123" s="34">
        <v>121.0</v>
      </c>
      <c r="E123" s="34" t="s">
        <v>5544</v>
      </c>
      <c r="F123" s="48" t="s">
        <v>5200</v>
      </c>
      <c r="G123" s="48" t="s">
        <v>367</v>
      </c>
    </row>
    <row r="124" ht="15.75" customHeight="1">
      <c r="A124" s="48" t="s">
        <v>4184</v>
      </c>
      <c r="B124" s="48" t="s">
        <v>4185</v>
      </c>
      <c r="C124" s="62" t="s">
        <v>4186</v>
      </c>
      <c r="D124" s="48">
        <v>122.0</v>
      </c>
      <c r="E124" s="48"/>
      <c r="F124" s="48" t="s">
        <v>5200</v>
      </c>
      <c r="G124" s="48" t="s">
        <v>367</v>
      </c>
    </row>
    <row r="125" ht="15.75" customHeight="1">
      <c r="A125" s="34" t="s">
        <v>4187</v>
      </c>
      <c r="B125" s="34" t="s">
        <v>4188</v>
      </c>
      <c r="C125" s="35" t="s">
        <v>4189</v>
      </c>
      <c r="D125" s="34">
        <v>123.0</v>
      </c>
      <c r="E125" s="34" t="s">
        <v>5545</v>
      </c>
      <c r="F125" s="48" t="s">
        <v>5200</v>
      </c>
      <c r="G125" s="48" t="s">
        <v>367</v>
      </c>
    </row>
    <row r="126" ht="15.75" customHeight="1">
      <c r="A126" s="34" t="s">
        <v>4190</v>
      </c>
      <c r="B126" s="34" t="s">
        <v>139</v>
      </c>
      <c r="C126" s="35" t="s">
        <v>4191</v>
      </c>
      <c r="D126" s="34">
        <v>124.0</v>
      </c>
      <c r="E126" s="34" t="s">
        <v>5545</v>
      </c>
      <c r="F126" s="48" t="s">
        <v>5200</v>
      </c>
      <c r="G126" s="48" t="s">
        <v>367</v>
      </c>
    </row>
    <row r="127" ht="15.75" customHeight="1">
      <c r="A127" s="34" t="s">
        <v>4192</v>
      </c>
      <c r="B127" s="34" t="s">
        <v>4193</v>
      </c>
      <c r="C127" s="35" t="s">
        <v>4194</v>
      </c>
      <c r="D127" s="34">
        <v>125.0</v>
      </c>
      <c r="E127" s="34" t="s">
        <v>5545</v>
      </c>
      <c r="F127" s="48" t="s">
        <v>5200</v>
      </c>
      <c r="G127" s="48" t="s">
        <v>367</v>
      </c>
    </row>
    <row r="128" ht="15.75" customHeight="1">
      <c r="A128" s="34" t="s">
        <v>4195</v>
      </c>
      <c r="B128" s="34" t="s">
        <v>4196</v>
      </c>
      <c r="C128" s="35" t="s">
        <v>4197</v>
      </c>
      <c r="D128" s="34">
        <v>126.0</v>
      </c>
      <c r="E128" s="34" t="s">
        <v>5545</v>
      </c>
      <c r="F128" s="48" t="s">
        <v>5200</v>
      </c>
      <c r="G128" s="48" t="s">
        <v>367</v>
      </c>
    </row>
    <row r="129" ht="15.75" customHeight="1">
      <c r="A129" s="34" t="s">
        <v>4198</v>
      </c>
      <c r="B129" s="34" t="s">
        <v>4199</v>
      </c>
      <c r="C129" s="35" t="s">
        <v>4200</v>
      </c>
      <c r="D129" s="34">
        <v>127.0</v>
      </c>
      <c r="E129" s="34" t="s">
        <v>5545</v>
      </c>
      <c r="F129" s="48" t="s">
        <v>5200</v>
      </c>
      <c r="G129" s="48" t="s">
        <v>367</v>
      </c>
    </row>
    <row r="130" ht="15.75" customHeight="1">
      <c r="A130" s="48" t="s">
        <v>4201</v>
      </c>
      <c r="B130" s="48" t="s">
        <v>4202</v>
      </c>
      <c r="C130" s="48" t="s">
        <v>198</v>
      </c>
      <c r="D130" s="48">
        <v>128.0</v>
      </c>
      <c r="E130" s="48"/>
      <c r="F130" s="48" t="s">
        <v>5200</v>
      </c>
      <c r="G130" s="48" t="s">
        <v>367</v>
      </c>
    </row>
    <row r="131" ht="15.75" customHeight="1">
      <c r="A131" s="34" t="s">
        <v>4203</v>
      </c>
      <c r="B131" s="34" t="s">
        <v>198</v>
      </c>
      <c r="C131" s="35" t="s">
        <v>4204</v>
      </c>
      <c r="D131" s="34">
        <v>129.0</v>
      </c>
      <c r="E131" s="34" t="s">
        <v>4977</v>
      </c>
      <c r="F131" s="48" t="s">
        <v>5200</v>
      </c>
      <c r="G131" s="48" t="s">
        <v>367</v>
      </c>
    </row>
    <row r="132" ht="15.75" customHeight="1">
      <c r="A132" s="34" t="s">
        <v>4205</v>
      </c>
      <c r="B132" s="34" t="s">
        <v>4206</v>
      </c>
      <c r="C132" s="35" t="s">
        <v>4207</v>
      </c>
      <c r="D132" s="34">
        <v>130.0</v>
      </c>
      <c r="E132" s="34" t="s">
        <v>4977</v>
      </c>
      <c r="F132" s="48" t="s">
        <v>5200</v>
      </c>
      <c r="G132" s="48" t="s">
        <v>367</v>
      </c>
    </row>
    <row r="133" ht="15.75" customHeight="1">
      <c r="A133" s="34" t="s">
        <v>4208</v>
      </c>
      <c r="B133" s="34"/>
      <c r="C133" s="35" t="s">
        <v>4209</v>
      </c>
      <c r="D133" s="34">
        <v>131.0</v>
      </c>
      <c r="E133" s="34" t="s">
        <v>49</v>
      </c>
      <c r="F133" s="48" t="s">
        <v>5200</v>
      </c>
      <c r="G133" s="48" t="s">
        <v>367</v>
      </c>
    </row>
    <row r="134" ht="15.75" customHeight="1">
      <c r="A134" s="48" t="s">
        <v>4210</v>
      </c>
      <c r="B134" s="48"/>
      <c r="C134" s="48" t="s">
        <v>198</v>
      </c>
      <c r="D134" s="48">
        <v>132.0</v>
      </c>
      <c r="E134" s="48"/>
      <c r="F134" s="48"/>
      <c r="G134" s="48" t="s">
        <v>367</v>
      </c>
    </row>
    <row r="135" ht="15.75" customHeight="1">
      <c r="A135" s="34" t="s">
        <v>1770</v>
      </c>
      <c r="B135" s="34" t="s">
        <v>4211</v>
      </c>
      <c r="C135" s="35" t="s">
        <v>4212</v>
      </c>
      <c r="D135" s="34">
        <v>133.0</v>
      </c>
      <c r="E135" s="34" t="s">
        <v>5546</v>
      </c>
      <c r="F135" s="48"/>
      <c r="G135" s="48" t="s">
        <v>367</v>
      </c>
    </row>
    <row r="136" ht="15.75" customHeight="1">
      <c r="A136" s="34" t="s">
        <v>4213</v>
      </c>
      <c r="B136" s="34"/>
      <c r="C136" s="35" t="s">
        <v>4214</v>
      </c>
      <c r="D136" s="34">
        <v>134.0</v>
      </c>
      <c r="E136" s="34" t="s">
        <v>5546</v>
      </c>
      <c r="F136" s="48"/>
      <c r="G136" s="48" t="s">
        <v>367</v>
      </c>
    </row>
    <row r="137" ht="15.75" customHeight="1">
      <c r="A137" s="34" t="s">
        <v>4215</v>
      </c>
      <c r="B137" s="34" t="s">
        <v>4216</v>
      </c>
      <c r="C137" s="34" t="s">
        <v>139</v>
      </c>
      <c r="D137" s="34">
        <v>135.0</v>
      </c>
      <c r="E137" s="34"/>
      <c r="F137" s="48"/>
      <c r="G137" s="48" t="s">
        <v>367</v>
      </c>
    </row>
    <row r="138" ht="15.75" customHeight="1">
      <c r="A138" s="34" t="s">
        <v>4217</v>
      </c>
      <c r="B138" s="34"/>
      <c r="C138" s="35" t="s">
        <v>4218</v>
      </c>
      <c r="D138" s="34">
        <v>136.0</v>
      </c>
      <c r="E138" s="34" t="s">
        <v>5546</v>
      </c>
      <c r="F138" s="48"/>
      <c r="G138" s="48" t="s">
        <v>367</v>
      </c>
    </row>
    <row r="139" ht="15.75" customHeight="1">
      <c r="A139" s="34" t="s">
        <v>4219</v>
      </c>
      <c r="B139" s="34"/>
      <c r="C139" s="35" t="s">
        <v>4220</v>
      </c>
      <c r="D139" s="34">
        <v>137.0</v>
      </c>
      <c r="E139" s="34" t="s">
        <v>5546</v>
      </c>
      <c r="F139" s="48"/>
      <c r="G139" s="48" t="s">
        <v>367</v>
      </c>
    </row>
    <row r="140" ht="15.75" customHeight="1">
      <c r="A140" s="34" t="s">
        <v>4221</v>
      </c>
      <c r="B140" s="34" t="s">
        <v>4222</v>
      </c>
      <c r="C140" s="35" t="s">
        <v>4223</v>
      </c>
      <c r="D140" s="34">
        <v>138.0</v>
      </c>
      <c r="E140" s="34" t="s">
        <v>5546</v>
      </c>
      <c r="F140" s="48"/>
      <c r="G140" s="48" t="s">
        <v>367</v>
      </c>
    </row>
    <row r="141" ht="15.75" customHeight="1"/>
    <row r="142" ht="15.75" customHeight="1">
      <c r="C142" s="23"/>
    </row>
    <row r="143" ht="15.75" customHeight="1">
      <c r="C143" s="23"/>
    </row>
    <row r="144" ht="15.75" customHeight="1">
      <c r="C144" s="23"/>
    </row>
    <row r="145" ht="15.75" customHeight="1">
      <c r="C145" s="23"/>
    </row>
    <row r="146" ht="15.75" customHeight="1">
      <c r="C146" s="23"/>
    </row>
    <row r="147" ht="15.75" customHeight="1">
      <c r="C147" s="23"/>
    </row>
    <row r="148" ht="15.75" customHeight="1">
      <c r="C148" s="23"/>
    </row>
    <row r="149" ht="15.75" customHeight="1">
      <c r="C149" s="23"/>
    </row>
    <row r="150" ht="15.75" customHeight="1">
      <c r="C150" s="23"/>
    </row>
    <row r="151" ht="15.75" customHeight="1">
      <c r="C151" s="23"/>
    </row>
    <row r="152" ht="15.75" customHeight="1">
      <c r="C152" s="23"/>
    </row>
    <row r="153" ht="15.75" customHeight="1">
      <c r="C153" s="23"/>
    </row>
    <row r="154" ht="15.75" customHeight="1">
      <c r="C154" s="23"/>
    </row>
    <row r="155" ht="15.75" customHeight="1">
      <c r="C155" s="23"/>
    </row>
    <row r="156" ht="15.75" customHeight="1">
      <c r="C156" s="23"/>
    </row>
    <row r="157" ht="15.75" customHeight="1">
      <c r="C157" s="23"/>
    </row>
    <row r="158" ht="15.75" customHeight="1">
      <c r="C158" s="23"/>
    </row>
    <row r="159" ht="15.75" customHeight="1">
      <c r="C159" s="23"/>
    </row>
    <row r="160" ht="15.75" customHeight="1">
      <c r="C160" s="23"/>
    </row>
    <row r="161" ht="15.75" customHeight="1">
      <c r="C161" s="23"/>
    </row>
    <row r="162" ht="15.75" customHeight="1">
      <c r="C162" s="23"/>
    </row>
    <row r="163" ht="15.75" customHeight="1">
      <c r="C163" s="23"/>
    </row>
    <row r="164" ht="15.75" customHeight="1">
      <c r="C164" s="23"/>
    </row>
    <row r="165" ht="15.75" customHeight="1">
      <c r="C165" s="23"/>
    </row>
    <row r="166" ht="15.75" customHeight="1">
      <c r="C166" s="23"/>
    </row>
    <row r="167" ht="15.75" customHeight="1">
      <c r="C167" s="23"/>
    </row>
    <row r="168" ht="15.75" customHeight="1">
      <c r="C168" s="23"/>
    </row>
    <row r="169" ht="15.75" customHeight="1">
      <c r="C169" s="23"/>
    </row>
    <row r="170" ht="15.75" customHeight="1">
      <c r="C170" s="23"/>
    </row>
    <row r="171" ht="15.75" customHeight="1">
      <c r="C171" s="23"/>
    </row>
    <row r="172" ht="15.75" customHeight="1">
      <c r="C172" s="23"/>
    </row>
    <row r="173" ht="15.75" customHeight="1">
      <c r="C173" s="23"/>
    </row>
    <row r="174" ht="15.75" customHeight="1">
      <c r="C174" s="23"/>
    </row>
    <row r="175" ht="15.75" customHeight="1">
      <c r="C175" s="23"/>
    </row>
    <row r="176" ht="15.75" customHeight="1">
      <c r="C176" s="23"/>
    </row>
    <row r="177" ht="15.75" customHeight="1">
      <c r="C177" s="23"/>
    </row>
    <row r="178" ht="15.75" customHeight="1">
      <c r="C178" s="23"/>
    </row>
    <row r="179" ht="15.75" customHeight="1">
      <c r="C179" s="23"/>
    </row>
    <row r="180" ht="15.75" customHeight="1">
      <c r="C180" s="23"/>
    </row>
    <row r="181" ht="15.75" customHeight="1">
      <c r="C181" s="23"/>
    </row>
    <row r="182" ht="15.75" customHeight="1">
      <c r="C182" s="23"/>
    </row>
    <row r="183" ht="15.75" customHeight="1">
      <c r="C183" s="23"/>
    </row>
    <row r="184" ht="15.75" customHeight="1">
      <c r="C184" s="23"/>
    </row>
    <row r="185" ht="15.75" customHeight="1">
      <c r="C185" s="23"/>
    </row>
    <row r="186" ht="15.75" customHeight="1">
      <c r="C186" s="23"/>
    </row>
    <row r="187" ht="15.75" customHeight="1">
      <c r="C187" s="23"/>
    </row>
    <row r="188" ht="15.75" customHeight="1">
      <c r="C188" s="23"/>
    </row>
    <row r="189" ht="15.75" customHeight="1">
      <c r="C189" s="23"/>
    </row>
    <row r="190" ht="15.75" customHeight="1">
      <c r="C190" s="23"/>
    </row>
    <row r="191" ht="15.75" customHeight="1">
      <c r="C191" s="23"/>
    </row>
    <row r="192" ht="15.75" customHeight="1">
      <c r="C192" s="23"/>
    </row>
    <row r="193" ht="15.75" customHeight="1">
      <c r="C193" s="23"/>
    </row>
    <row r="194" ht="15.75" customHeight="1">
      <c r="C194" s="23"/>
    </row>
    <row r="195" ht="15.75" customHeight="1">
      <c r="C195" s="23"/>
    </row>
    <row r="196" ht="15.75" customHeight="1">
      <c r="C196" s="23"/>
    </row>
    <row r="197" ht="15.75" customHeight="1">
      <c r="C197" s="23"/>
    </row>
    <row r="198" ht="15.75" customHeight="1">
      <c r="C198" s="23"/>
    </row>
    <row r="199" ht="15.75" customHeight="1">
      <c r="C199" s="23"/>
    </row>
    <row r="200" ht="15.75" customHeight="1">
      <c r="C200" s="23"/>
    </row>
    <row r="201" ht="15.75" customHeight="1">
      <c r="C201" s="23"/>
    </row>
    <row r="202" ht="15.75" customHeight="1">
      <c r="C202" s="23"/>
    </row>
    <row r="203" ht="15.75" customHeight="1">
      <c r="C203" s="23"/>
    </row>
    <row r="204" ht="15.75" customHeight="1">
      <c r="C204" s="23"/>
    </row>
    <row r="205" ht="15.75" customHeight="1">
      <c r="C205" s="23"/>
    </row>
    <row r="206" ht="15.75" customHeight="1">
      <c r="C206" s="23"/>
    </row>
    <row r="207" ht="15.75" customHeight="1">
      <c r="C207" s="23"/>
    </row>
    <row r="208" ht="15.75" customHeight="1">
      <c r="C208" s="23"/>
    </row>
    <row r="209" ht="15.75" customHeight="1">
      <c r="C209" s="23"/>
    </row>
    <row r="210" ht="15.75" customHeight="1">
      <c r="C210" s="23"/>
    </row>
    <row r="211" ht="15.75" customHeight="1">
      <c r="C211" s="23"/>
    </row>
    <row r="212" ht="15.75" customHeight="1">
      <c r="C212" s="23"/>
    </row>
    <row r="213" ht="15.75" customHeight="1">
      <c r="C213" s="23"/>
    </row>
    <row r="214" ht="15.75" customHeight="1">
      <c r="C214" s="23"/>
    </row>
    <row r="215" ht="15.75" customHeight="1">
      <c r="C215" s="23"/>
    </row>
    <row r="216" ht="15.75" customHeight="1">
      <c r="C216" s="23"/>
    </row>
    <row r="217" ht="15.75" customHeight="1">
      <c r="C217" s="23"/>
    </row>
    <row r="218" ht="15.75" customHeight="1">
      <c r="C218" s="23"/>
    </row>
    <row r="219" ht="15.75" customHeight="1">
      <c r="C219" s="23"/>
    </row>
    <row r="220" ht="15.75" customHeight="1">
      <c r="C220" s="23"/>
    </row>
    <row r="221" ht="15.75" customHeight="1">
      <c r="C221" s="23"/>
    </row>
    <row r="222" ht="15.75" customHeight="1">
      <c r="C222" s="23"/>
    </row>
    <row r="223" ht="15.75" customHeight="1">
      <c r="C223" s="23"/>
    </row>
    <row r="224" ht="15.75" customHeight="1">
      <c r="C224" s="23"/>
    </row>
    <row r="225" ht="15.75" customHeight="1">
      <c r="C225" s="23"/>
    </row>
    <row r="226" ht="15.75" customHeight="1">
      <c r="C226" s="23"/>
    </row>
    <row r="227" ht="15.75" customHeight="1">
      <c r="C227" s="23"/>
    </row>
    <row r="228" ht="15.75" customHeight="1">
      <c r="C228" s="23"/>
    </row>
    <row r="229" ht="15.75" customHeight="1">
      <c r="C229" s="23"/>
    </row>
    <row r="230" ht="15.75" customHeight="1">
      <c r="C230" s="23"/>
    </row>
    <row r="231" ht="15.75" customHeight="1">
      <c r="C231" s="23"/>
    </row>
    <row r="232" ht="15.75" customHeight="1">
      <c r="C232" s="23"/>
    </row>
    <row r="233" ht="15.75" customHeight="1">
      <c r="C233" s="23"/>
    </row>
    <row r="234" ht="15.75" customHeight="1">
      <c r="C234" s="23"/>
    </row>
    <row r="235" ht="15.75" customHeight="1">
      <c r="C235" s="23"/>
    </row>
    <row r="236" ht="15.75" customHeight="1">
      <c r="C236" s="23"/>
    </row>
    <row r="237" ht="15.75" customHeight="1">
      <c r="C237" s="23"/>
    </row>
    <row r="238" ht="15.75" customHeight="1">
      <c r="C238" s="23"/>
    </row>
    <row r="239" ht="15.75" customHeight="1">
      <c r="C239" s="23"/>
    </row>
    <row r="240" ht="15.75" customHeight="1">
      <c r="C240" s="23"/>
    </row>
    <row r="241" ht="15.75" customHeight="1">
      <c r="C241" s="23"/>
    </row>
    <row r="242" ht="15.75" customHeight="1">
      <c r="C242" s="23"/>
    </row>
    <row r="243" ht="15.75" customHeight="1">
      <c r="C243" s="23"/>
    </row>
    <row r="244" ht="15.75" customHeight="1">
      <c r="C244" s="23"/>
    </row>
    <row r="245" ht="15.75" customHeight="1">
      <c r="C245" s="23"/>
    </row>
    <row r="246" ht="15.75" customHeight="1">
      <c r="C246" s="23"/>
    </row>
    <row r="247" ht="15.75" customHeight="1">
      <c r="C247" s="23"/>
    </row>
    <row r="248" ht="15.75" customHeight="1">
      <c r="C248" s="23"/>
    </row>
    <row r="249" ht="15.75" customHeight="1">
      <c r="C249" s="23"/>
    </row>
    <row r="250" ht="15.75" customHeight="1">
      <c r="C250" s="23"/>
    </row>
    <row r="251" ht="15.75" customHeight="1">
      <c r="C251" s="23"/>
    </row>
    <row r="252" ht="15.75" customHeight="1">
      <c r="C252" s="23"/>
    </row>
    <row r="253" ht="15.75" customHeight="1">
      <c r="C253" s="23"/>
    </row>
    <row r="254" ht="15.75" customHeight="1">
      <c r="C254" s="23"/>
    </row>
    <row r="255" ht="15.75" customHeight="1">
      <c r="C255" s="23"/>
    </row>
    <row r="256" ht="15.75" customHeight="1">
      <c r="C256" s="23"/>
    </row>
    <row r="257" ht="15.75" customHeight="1">
      <c r="C257" s="23"/>
    </row>
    <row r="258" ht="15.75" customHeight="1">
      <c r="C258" s="23"/>
    </row>
    <row r="259" ht="15.75" customHeight="1">
      <c r="C259" s="23"/>
    </row>
    <row r="260" ht="15.75" customHeight="1">
      <c r="C260" s="23"/>
    </row>
    <row r="261" ht="15.75" customHeight="1">
      <c r="C261" s="23"/>
    </row>
    <row r="262" ht="15.75" customHeight="1">
      <c r="C262" s="23"/>
    </row>
    <row r="263" ht="15.75" customHeight="1">
      <c r="C263" s="23"/>
    </row>
    <row r="264" ht="15.75" customHeight="1">
      <c r="C264" s="23"/>
    </row>
    <row r="265" ht="15.75" customHeight="1">
      <c r="C265" s="23"/>
    </row>
    <row r="266" ht="15.75" customHeight="1">
      <c r="C266" s="23"/>
    </row>
    <row r="267" ht="15.75" customHeight="1">
      <c r="C267" s="23"/>
    </row>
    <row r="268" ht="15.75" customHeight="1">
      <c r="C268" s="23"/>
    </row>
    <row r="269" ht="15.75" customHeight="1">
      <c r="C269" s="23"/>
    </row>
    <row r="270" ht="15.75" customHeight="1">
      <c r="C270" s="23"/>
    </row>
    <row r="271" ht="15.75" customHeight="1">
      <c r="C271" s="23"/>
    </row>
    <row r="272" ht="15.75" customHeight="1">
      <c r="C272" s="23"/>
    </row>
    <row r="273" ht="15.75" customHeight="1">
      <c r="C273" s="23"/>
    </row>
    <row r="274" ht="15.75" customHeight="1">
      <c r="C274" s="23"/>
    </row>
    <row r="275" ht="15.75" customHeight="1">
      <c r="C275" s="23"/>
    </row>
    <row r="276" ht="15.75" customHeight="1">
      <c r="C276" s="23"/>
    </row>
    <row r="277" ht="15.75" customHeight="1">
      <c r="C277" s="23"/>
    </row>
    <row r="278" ht="15.75" customHeight="1">
      <c r="C278" s="23"/>
    </row>
    <row r="279" ht="15.75" customHeight="1">
      <c r="C279" s="23"/>
    </row>
    <row r="280" ht="15.75" customHeight="1">
      <c r="C280" s="23"/>
    </row>
    <row r="281" ht="15.75" customHeight="1">
      <c r="C281" s="23"/>
    </row>
    <row r="282" ht="15.75" customHeight="1">
      <c r="C282" s="23"/>
    </row>
    <row r="283" ht="15.75" customHeight="1">
      <c r="C283" s="23"/>
    </row>
    <row r="284" ht="15.75" customHeight="1">
      <c r="C284" s="23"/>
    </row>
    <row r="285" ht="15.75" customHeight="1">
      <c r="C285" s="23"/>
    </row>
    <row r="286" ht="15.75" customHeight="1">
      <c r="C286" s="23"/>
    </row>
    <row r="287" ht="15.75" customHeight="1">
      <c r="C287" s="23"/>
    </row>
    <row r="288" ht="15.75" customHeight="1">
      <c r="C288" s="23"/>
    </row>
    <row r="289" ht="15.75" customHeight="1">
      <c r="C289" s="23"/>
    </row>
    <row r="290" ht="15.75" customHeight="1">
      <c r="C290" s="23"/>
    </row>
    <row r="291" ht="15.75" customHeight="1">
      <c r="C291" s="23"/>
    </row>
    <row r="292" ht="15.75" customHeight="1">
      <c r="C292" s="23"/>
    </row>
    <row r="293" ht="15.75" customHeight="1">
      <c r="C293" s="23"/>
    </row>
    <row r="294" ht="15.75" customHeight="1">
      <c r="C294" s="23"/>
    </row>
    <row r="295" ht="15.75" customHeight="1">
      <c r="C295" s="23"/>
    </row>
    <row r="296" ht="15.75" customHeight="1">
      <c r="C296" s="23"/>
    </row>
    <row r="297" ht="15.75" customHeight="1">
      <c r="C297" s="23"/>
    </row>
    <row r="298" ht="15.75" customHeight="1">
      <c r="C298" s="23"/>
    </row>
    <row r="299" ht="15.75" customHeight="1">
      <c r="C299" s="23"/>
    </row>
    <row r="300" ht="15.75" customHeight="1">
      <c r="C300" s="23"/>
    </row>
    <row r="301" ht="15.75" customHeight="1">
      <c r="C301" s="23"/>
    </row>
    <row r="302" ht="15.75" customHeight="1">
      <c r="C302" s="23"/>
    </row>
    <row r="303" ht="15.75" customHeight="1">
      <c r="C303" s="23"/>
    </row>
    <row r="304" ht="15.75" customHeight="1">
      <c r="C304" s="23"/>
    </row>
    <row r="305" ht="15.75" customHeight="1">
      <c r="C305" s="23"/>
    </row>
    <row r="306" ht="15.75" customHeight="1">
      <c r="C306" s="23"/>
    </row>
    <row r="307" ht="15.75" customHeight="1">
      <c r="C307" s="23"/>
    </row>
    <row r="308" ht="15.75" customHeight="1">
      <c r="C308" s="23"/>
    </row>
    <row r="309" ht="15.75" customHeight="1">
      <c r="C309" s="23"/>
    </row>
    <row r="310" ht="15.75" customHeight="1">
      <c r="C310" s="23"/>
    </row>
    <row r="311" ht="15.75" customHeight="1">
      <c r="C311" s="23"/>
    </row>
    <row r="312" ht="15.75" customHeight="1">
      <c r="C312" s="23"/>
    </row>
    <row r="313" ht="15.75" customHeight="1">
      <c r="C313" s="23"/>
    </row>
    <row r="314" ht="15.75" customHeight="1">
      <c r="C314" s="23"/>
    </row>
    <row r="315" ht="15.75" customHeight="1">
      <c r="C315" s="23"/>
    </row>
    <row r="316" ht="15.75" customHeight="1">
      <c r="C316" s="23"/>
    </row>
    <row r="317" ht="15.75" customHeight="1">
      <c r="C317" s="23"/>
    </row>
    <row r="318" ht="15.75" customHeight="1">
      <c r="C318" s="23"/>
    </row>
    <row r="319" ht="15.75" customHeight="1">
      <c r="C319" s="23"/>
    </row>
    <row r="320" ht="15.75" customHeight="1">
      <c r="C320" s="23"/>
    </row>
    <row r="321" ht="15.75" customHeight="1">
      <c r="C321" s="23"/>
    </row>
    <row r="322" ht="15.75" customHeight="1">
      <c r="C322" s="23"/>
    </row>
    <row r="323" ht="15.75" customHeight="1">
      <c r="C323" s="23"/>
    </row>
    <row r="324" ht="15.75" customHeight="1">
      <c r="C324" s="23"/>
    </row>
    <row r="325" ht="15.75" customHeight="1">
      <c r="C325" s="23"/>
    </row>
    <row r="326" ht="15.75" customHeight="1">
      <c r="C326" s="23"/>
    </row>
    <row r="327" ht="15.75" customHeight="1">
      <c r="C327" s="23"/>
    </row>
    <row r="328" ht="15.75" customHeight="1">
      <c r="C328" s="23"/>
    </row>
    <row r="329" ht="15.75" customHeight="1">
      <c r="C329" s="23"/>
    </row>
    <row r="330" ht="15.75" customHeight="1">
      <c r="C330" s="23"/>
    </row>
    <row r="331" ht="15.75" customHeight="1">
      <c r="C331" s="23"/>
    </row>
    <row r="332" ht="15.75" customHeight="1">
      <c r="C332" s="23"/>
    </row>
    <row r="333" ht="15.75" customHeight="1">
      <c r="C333" s="23"/>
    </row>
    <row r="334" ht="15.75" customHeight="1">
      <c r="C334" s="23"/>
    </row>
    <row r="335" ht="15.75" customHeight="1">
      <c r="C335" s="23"/>
    </row>
    <row r="336" ht="15.75" customHeight="1">
      <c r="C336" s="23"/>
    </row>
    <row r="337" ht="15.75" customHeight="1">
      <c r="C337" s="23"/>
    </row>
    <row r="338" ht="15.75" customHeight="1">
      <c r="C338" s="23"/>
    </row>
    <row r="339" ht="15.75" customHeight="1">
      <c r="C339" s="23"/>
    </row>
    <row r="340" ht="15.75" customHeight="1">
      <c r="C340" s="23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340"/>
  <mergeCells count="1">
    <mergeCell ref="A1:C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1.71"/>
    <col customWidth="1" min="3" max="3" width="22.57"/>
    <col customWidth="1" min="4" max="4" width="5.14"/>
    <col customWidth="1" min="5" max="6" width="14.43"/>
  </cols>
  <sheetData>
    <row r="1" ht="15.75" customHeight="1">
      <c r="A1" s="248" t="s">
        <v>5547</v>
      </c>
      <c r="B1" s="76"/>
      <c r="C1" s="77"/>
      <c r="D1" s="48"/>
      <c r="E1" s="48"/>
    </row>
    <row r="2" ht="15.75" customHeight="1">
      <c r="A2" s="249" t="s">
        <v>110</v>
      </c>
      <c r="B2" s="249" t="s">
        <v>111</v>
      </c>
      <c r="C2" s="250" t="s">
        <v>879</v>
      </c>
      <c r="D2" s="48"/>
      <c r="E2" s="48" t="s">
        <v>186</v>
      </c>
      <c r="H2" s="251"/>
    </row>
    <row r="3" ht="15.75" customHeight="1">
      <c r="A3" s="252" t="s">
        <v>928</v>
      </c>
      <c r="B3" s="252"/>
      <c r="C3" s="253" t="s">
        <v>5548</v>
      </c>
      <c r="D3" s="48">
        <v>1.0</v>
      </c>
      <c r="E3" s="48" t="s">
        <v>5549</v>
      </c>
      <c r="F3" s="28"/>
      <c r="G3" s="30"/>
      <c r="H3" s="251"/>
    </row>
    <row r="4" ht="15.75" customHeight="1">
      <c r="A4" s="252" t="s">
        <v>980</v>
      </c>
      <c r="B4" s="252" t="s">
        <v>981</v>
      </c>
      <c r="C4" s="253" t="s">
        <v>5550</v>
      </c>
      <c r="D4" s="48">
        <v>2.0</v>
      </c>
      <c r="E4" s="48" t="s">
        <v>5549</v>
      </c>
      <c r="F4" s="28"/>
      <c r="G4" s="30"/>
      <c r="H4" s="251"/>
    </row>
    <row r="5" ht="15.75" customHeight="1">
      <c r="A5" s="252" t="s">
        <v>988</v>
      </c>
      <c r="B5" s="252" t="s">
        <v>989</v>
      </c>
      <c r="C5" s="253" t="s">
        <v>5551</v>
      </c>
      <c r="D5" s="48">
        <v>3.0</v>
      </c>
      <c r="E5" s="48" t="s">
        <v>5549</v>
      </c>
      <c r="F5" s="28"/>
      <c r="G5" s="251"/>
      <c r="H5" s="251"/>
    </row>
    <row r="6" ht="15.75" customHeight="1">
      <c r="A6" s="252" t="s">
        <v>996</v>
      </c>
      <c r="B6" s="252" t="s">
        <v>198</v>
      </c>
      <c r="C6" s="253" t="s">
        <v>5552</v>
      </c>
      <c r="D6" s="48">
        <v>4.0</v>
      </c>
      <c r="E6" s="48" t="s">
        <v>5549</v>
      </c>
      <c r="F6" s="28"/>
      <c r="G6" s="251"/>
      <c r="H6" s="251"/>
    </row>
    <row r="7" ht="15.75" customHeight="1">
      <c r="A7" s="252" t="s">
        <v>999</v>
      </c>
      <c r="B7" s="252" t="s">
        <v>1000</v>
      </c>
      <c r="C7" s="253" t="s">
        <v>5553</v>
      </c>
      <c r="D7" s="48">
        <v>5.0</v>
      </c>
      <c r="E7" s="48" t="s">
        <v>5549</v>
      </c>
      <c r="F7" s="28"/>
      <c r="G7" s="251"/>
      <c r="H7" s="251"/>
    </row>
    <row r="8" ht="15.75" customHeight="1">
      <c r="A8" s="252" t="s">
        <v>1003</v>
      </c>
      <c r="B8" s="252" t="s">
        <v>1004</v>
      </c>
      <c r="C8" s="253" t="s">
        <v>5554</v>
      </c>
      <c r="D8" s="48">
        <v>6.0</v>
      </c>
      <c r="E8" s="48" t="s">
        <v>5549</v>
      </c>
      <c r="F8" s="28"/>
      <c r="G8" s="251"/>
      <c r="H8" s="251"/>
    </row>
    <row r="9" ht="15.75" customHeight="1">
      <c r="A9" s="252" t="s">
        <v>1006</v>
      </c>
      <c r="B9" s="252" t="s">
        <v>1007</v>
      </c>
      <c r="C9" s="253" t="s">
        <v>5555</v>
      </c>
      <c r="D9" s="48">
        <v>7.0</v>
      </c>
      <c r="E9" s="48" t="s">
        <v>5549</v>
      </c>
      <c r="F9" s="28"/>
      <c r="G9" s="251"/>
      <c r="H9" s="251"/>
    </row>
    <row r="10" ht="15.75" customHeight="1">
      <c r="A10" s="252" t="s">
        <v>1010</v>
      </c>
      <c r="B10" s="252" t="s">
        <v>1011</v>
      </c>
      <c r="C10" s="253" t="s">
        <v>5554</v>
      </c>
      <c r="D10" s="48">
        <v>8.0</v>
      </c>
      <c r="E10" s="48" t="s">
        <v>5549</v>
      </c>
      <c r="F10" s="28"/>
      <c r="G10" s="251"/>
      <c r="H10" s="251"/>
    </row>
    <row r="11" ht="15.75" customHeight="1">
      <c r="A11" s="252" t="s">
        <v>1012</v>
      </c>
      <c r="B11" s="252" t="s">
        <v>1013</v>
      </c>
      <c r="C11" s="253" t="s">
        <v>5556</v>
      </c>
      <c r="D11" s="48">
        <v>9.0</v>
      </c>
      <c r="E11" s="48" t="s">
        <v>5549</v>
      </c>
      <c r="F11" s="28"/>
      <c r="G11" s="251"/>
      <c r="H11" s="251"/>
    </row>
    <row r="12" ht="15.75" customHeight="1">
      <c r="A12" s="252" t="s">
        <v>1015</v>
      </c>
      <c r="B12" s="252" t="s">
        <v>1016</v>
      </c>
      <c r="C12" s="253" t="s">
        <v>5557</v>
      </c>
      <c r="D12" s="48">
        <v>10.0</v>
      </c>
      <c r="E12" s="48" t="s">
        <v>5549</v>
      </c>
      <c r="F12" s="28"/>
      <c r="G12" s="251"/>
      <c r="H12" s="251"/>
    </row>
    <row r="13" ht="15.75" customHeight="1">
      <c r="A13" s="252" t="s">
        <v>1019</v>
      </c>
      <c r="B13" s="254" t="s">
        <v>1020</v>
      </c>
      <c r="C13" s="255" t="s">
        <v>5558</v>
      </c>
      <c r="D13" s="48">
        <v>11.0</v>
      </c>
      <c r="E13" s="48" t="s">
        <v>5157</v>
      </c>
      <c r="F13" s="28"/>
      <c r="G13" s="251"/>
      <c r="H13" s="251"/>
    </row>
    <row r="14" ht="15.75" customHeight="1">
      <c r="A14" s="252" t="s">
        <v>1023</v>
      </c>
      <c r="B14" s="254" t="s">
        <v>1024</v>
      </c>
      <c r="C14" s="255" t="s">
        <v>5559</v>
      </c>
      <c r="D14" s="48">
        <v>12.0</v>
      </c>
      <c r="E14" s="48" t="s">
        <v>5157</v>
      </c>
      <c r="F14" s="28"/>
      <c r="G14" s="251"/>
      <c r="H14" s="251"/>
    </row>
    <row r="15" ht="15.75" customHeight="1">
      <c r="A15" s="252" t="s">
        <v>1027</v>
      </c>
      <c r="B15" s="254" t="s">
        <v>1028</v>
      </c>
      <c r="C15" s="255" t="s">
        <v>5560</v>
      </c>
      <c r="D15" s="48">
        <v>13.0</v>
      </c>
      <c r="E15" s="48" t="s">
        <v>5157</v>
      </c>
      <c r="F15" s="28"/>
      <c r="G15" s="251"/>
      <c r="H15" s="251"/>
    </row>
    <row r="16" ht="15.75" customHeight="1">
      <c r="A16" s="252" t="s">
        <v>1038</v>
      </c>
      <c r="B16" s="254" t="s">
        <v>1039</v>
      </c>
      <c r="C16" s="255" t="s">
        <v>5561</v>
      </c>
      <c r="D16" s="48">
        <v>14.0</v>
      </c>
      <c r="E16" s="48" t="s">
        <v>5157</v>
      </c>
      <c r="F16" s="28"/>
      <c r="G16" s="251"/>
      <c r="H16" s="251"/>
    </row>
    <row r="17" ht="15.75" customHeight="1">
      <c r="A17" s="252" t="s">
        <v>1046</v>
      </c>
      <c r="B17" s="254" t="s">
        <v>1047</v>
      </c>
      <c r="C17" s="255" t="s">
        <v>5562</v>
      </c>
      <c r="D17" s="48">
        <v>15.0</v>
      </c>
      <c r="E17" s="48" t="s">
        <v>5157</v>
      </c>
      <c r="F17" s="28"/>
      <c r="G17" s="251"/>
      <c r="H17" s="251"/>
    </row>
    <row r="18" ht="15.75" customHeight="1">
      <c r="A18" s="252" t="s">
        <v>1054</v>
      </c>
      <c r="B18" s="254" t="s">
        <v>1055</v>
      </c>
      <c r="C18" s="255" t="s">
        <v>5563</v>
      </c>
      <c r="D18" s="48">
        <v>16.0</v>
      </c>
      <c r="E18" s="48" t="s">
        <v>5157</v>
      </c>
      <c r="G18" s="251"/>
      <c r="H18" s="251"/>
    </row>
    <row r="19" ht="15.75" customHeight="1">
      <c r="A19" s="252" t="s">
        <v>1058</v>
      </c>
      <c r="B19" s="254" t="s">
        <v>1059</v>
      </c>
      <c r="C19" s="255" t="s">
        <v>5564</v>
      </c>
      <c r="D19" s="48">
        <v>17.0</v>
      </c>
      <c r="E19" s="48" t="s">
        <v>5157</v>
      </c>
      <c r="G19" s="251"/>
      <c r="H19" s="251"/>
    </row>
    <row r="20" ht="15.75" customHeight="1">
      <c r="A20" s="252" t="s">
        <v>1062</v>
      </c>
      <c r="B20" s="254" t="s">
        <v>1063</v>
      </c>
      <c r="C20" s="255" t="s">
        <v>5565</v>
      </c>
      <c r="D20" s="48">
        <v>18.0</v>
      </c>
      <c r="E20" s="48" t="s">
        <v>5157</v>
      </c>
      <c r="G20" s="251"/>
      <c r="H20" s="251"/>
    </row>
    <row r="21" ht="15.75" customHeight="1">
      <c r="A21" s="252" t="s">
        <v>1065</v>
      </c>
      <c r="B21" s="254" t="s">
        <v>1066</v>
      </c>
      <c r="C21" s="255" t="s">
        <v>5566</v>
      </c>
      <c r="D21" s="48">
        <v>19.0</v>
      </c>
      <c r="E21" s="48" t="s">
        <v>5157</v>
      </c>
      <c r="G21" s="251"/>
      <c r="H21" s="251"/>
    </row>
    <row r="22" ht="15.75" customHeight="1">
      <c r="A22" s="252" t="s">
        <v>5567</v>
      </c>
      <c r="B22" s="254" t="s">
        <v>1072</v>
      </c>
      <c r="C22" s="255" t="s">
        <v>5568</v>
      </c>
      <c r="D22" s="48">
        <v>20.0</v>
      </c>
      <c r="E22" s="48" t="s">
        <v>5157</v>
      </c>
      <c r="G22" s="251"/>
      <c r="H22" s="251"/>
    </row>
    <row r="23" ht="15.75" customHeight="1">
      <c r="A23" s="252" t="s">
        <v>1075</v>
      </c>
      <c r="B23" s="254" t="s">
        <v>1076</v>
      </c>
      <c r="C23" s="255" t="s">
        <v>5569</v>
      </c>
      <c r="D23" s="48">
        <v>21.0</v>
      </c>
      <c r="E23" s="48" t="s">
        <v>5157</v>
      </c>
      <c r="G23" s="251"/>
      <c r="H23" s="251"/>
    </row>
    <row r="24" ht="15.75" customHeight="1">
      <c r="A24" s="252" t="s">
        <v>1078</v>
      </c>
      <c r="B24" s="254" t="s">
        <v>1079</v>
      </c>
      <c r="C24" s="255" t="s">
        <v>5570</v>
      </c>
      <c r="D24" s="48">
        <v>22.0</v>
      </c>
      <c r="E24" s="48" t="s">
        <v>5157</v>
      </c>
      <c r="G24" s="251"/>
      <c r="H24" s="251"/>
    </row>
    <row r="25" ht="15.75" customHeight="1">
      <c r="A25" s="252" t="s">
        <v>5571</v>
      </c>
      <c r="B25" s="254" t="s">
        <v>1082</v>
      </c>
      <c r="C25" s="255" t="s">
        <v>5572</v>
      </c>
      <c r="D25" s="48">
        <v>23.0</v>
      </c>
      <c r="E25" s="48" t="s">
        <v>5157</v>
      </c>
      <c r="G25" s="251"/>
      <c r="H25" s="251"/>
    </row>
    <row r="26" ht="15.75" customHeight="1">
      <c r="A26" s="252" t="s">
        <v>1084</v>
      </c>
      <c r="B26" s="254" t="s">
        <v>1085</v>
      </c>
      <c r="C26" s="255" t="s">
        <v>5573</v>
      </c>
      <c r="D26" s="48">
        <v>24.0</v>
      </c>
      <c r="E26" s="48" t="s">
        <v>5157</v>
      </c>
      <c r="G26" s="251"/>
      <c r="H26" s="251"/>
    </row>
    <row r="27" ht="15.75" customHeight="1">
      <c r="A27" s="252" t="s">
        <v>1087</v>
      </c>
      <c r="B27" s="254" t="s">
        <v>1088</v>
      </c>
      <c r="C27" s="255" t="s">
        <v>5574</v>
      </c>
      <c r="D27" s="48">
        <v>25.0</v>
      </c>
      <c r="E27" s="48" t="s">
        <v>5157</v>
      </c>
      <c r="G27" s="251"/>
      <c r="H27" s="251"/>
    </row>
    <row r="28" ht="15.75" customHeight="1">
      <c r="A28" s="252" t="s">
        <v>1090</v>
      </c>
      <c r="B28" s="254" t="s">
        <v>1091</v>
      </c>
      <c r="C28" s="255" t="s">
        <v>5575</v>
      </c>
      <c r="D28" s="48">
        <v>26.0</v>
      </c>
      <c r="E28" s="48" t="s">
        <v>5157</v>
      </c>
      <c r="G28" s="251"/>
      <c r="H28" s="251"/>
    </row>
    <row r="29" ht="15.75" customHeight="1">
      <c r="A29" s="252" t="s">
        <v>1094</v>
      </c>
      <c r="B29" s="254" t="s">
        <v>1095</v>
      </c>
      <c r="C29" s="255" t="s">
        <v>5576</v>
      </c>
      <c r="D29" s="48">
        <v>27.0</v>
      </c>
      <c r="E29" s="48" t="s">
        <v>5157</v>
      </c>
      <c r="G29" s="251"/>
      <c r="H29" s="251"/>
    </row>
    <row r="30" ht="15.75" customHeight="1">
      <c r="A30" s="252" t="s">
        <v>1099</v>
      </c>
      <c r="B30" s="254" t="s">
        <v>1100</v>
      </c>
      <c r="C30" s="255" t="s">
        <v>5577</v>
      </c>
      <c r="D30" s="48">
        <v>28.0</v>
      </c>
      <c r="E30" s="48" t="s">
        <v>5157</v>
      </c>
      <c r="G30" s="251"/>
      <c r="H30" s="251"/>
    </row>
    <row r="31" ht="15.75" customHeight="1">
      <c r="A31" s="252" t="s">
        <v>1103</v>
      </c>
      <c r="B31" s="254" t="s">
        <v>1104</v>
      </c>
      <c r="C31" s="255" t="s">
        <v>5578</v>
      </c>
      <c r="D31" s="48">
        <v>29.0</v>
      </c>
      <c r="E31" s="48" t="s">
        <v>5157</v>
      </c>
      <c r="H31" s="251"/>
    </row>
    <row r="32" ht="15.75" customHeight="1">
      <c r="A32" s="252" t="s">
        <v>1106</v>
      </c>
      <c r="B32" s="254" t="s">
        <v>1107</v>
      </c>
      <c r="C32" s="255" t="s">
        <v>5579</v>
      </c>
      <c r="D32" s="48">
        <v>30.0</v>
      </c>
      <c r="E32" s="48" t="s">
        <v>5157</v>
      </c>
      <c r="G32" s="251"/>
      <c r="H32" s="30"/>
    </row>
    <row r="33" ht="15.75" customHeight="1">
      <c r="A33" s="252" t="s">
        <v>1119</v>
      </c>
      <c r="B33" s="254" t="s">
        <v>1120</v>
      </c>
      <c r="C33" s="255" t="s">
        <v>5580</v>
      </c>
      <c r="D33" s="48">
        <v>31.0</v>
      </c>
      <c r="E33" s="48" t="s">
        <v>5157</v>
      </c>
      <c r="G33" s="251"/>
      <c r="H33" s="256"/>
    </row>
    <row r="34" ht="15.75" customHeight="1">
      <c r="A34" s="252" t="s">
        <v>1122</v>
      </c>
      <c r="B34" s="254" t="s">
        <v>1123</v>
      </c>
      <c r="C34" s="255" t="s">
        <v>5581</v>
      </c>
      <c r="D34" s="48">
        <v>32.0</v>
      </c>
      <c r="E34" s="48" t="s">
        <v>5157</v>
      </c>
      <c r="H34" s="256"/>
    </row>
    <row r="35" ht="15.75" customHeight="1">
      <c r="A35" s="252" t="s">
        <v>1125</v>
      </c>
      <c r="B35" s="254" t="s">
        <v>1082</v>
      </c>
      <c r="C35" s="255" t="s">
        <v>5572</v>
      </c>
      <c r="D35" s="48">
        <v>33.0</v>
      </c>
      <c r="E35" s="48" t="s">
        <v>5157</v>
      </c>
      <c r="H35" s="256"/>
    </row>
    <row r="36" ht="15.75" customHeight="1">
      <c r="A36" s="252" t="s">
        <v>1126</v>
      </c>
      <c r="B36" s="254" t="s">
        <v>1127</v>
      </c>
      <c r="C36" s="255" t="s">
        <v>5582</v>
      </c>
      <c r="D36" s="48">
        <v>34.0</v>
      </c>
      <c r="E36" s="48" t="s">
        <v>5157</v>
      </c>
      <c r="H36" s="257"/>
    </row>
    <row r="37" ht="15.75" customHeight="1">
      <c r="A37" s="254" t="s">
        <v>1132</v>
      </c>
      <c r="B37" s="213" t="s">
        <v>1133</v>
      </c>
      <c r="C37" s="214" t="s">
        <v>5583</v>
      </c>
      <c r="D37" s="48">
        <v>35.0</v>
      </c>
      <c r="E37" s="48" t="s">
        <v>5584</v>
      </c>
      <c r="H37" s="30"/>
    </row>
    <row r="38" ht="15.75" customHeight="1">
      <c r="A38" s="254" t="s">
        <v>1135</v>
      </c>
      <c r="B38" s="213" t="s">
        <v>1136</v>
      </c>
      <c r="C38" s="214" t="s">
        <v>5585</v>
      </c>
      <c r="D38" s="48">
        <v>36.0</v>
      </c>
      <c r="E38" s="48" t="s">
        <v>5584</v>
      </c>
      <c r="H38" s="30"/>
    </row>
    <row r="39" ht="15.75" customHeight="1">
      <c r="A39" s="254" t="s">
        <v>1138</v>
      </c>
      <c r="B39" s="213" t="s">
        <v>1139</v>
      </c>
      <c r="C39" s="214" t="s">
        <v>5586</v>
      </c>
      <c r="D39" s="48">
        <v>37.0</v>
      </c>
      <c r="E39" s="48" t="s">
        <v>5584</v>
      </c>
      <c r="H39" s="256"/>
    </row>
    <row r="40" ht="15.75" customHeight="1">
      <c r="A40" s="254" t="s">
        <v>1141</v>
      </c>
      <c r="B40" s="213" t="s">
        <v>1142</v>
      </c>
      <c r="C40" s="214" t="s">
        <v>5587</v>
      </c>
      <c r="D40" s="48">
        <v>38.0</v>
      </c>
      <c r="E40" s="48" t="s">
        <v>5584</v>
      </c>
      <c r="H40" s="256"/>
    </row>
    <row r="41" ht="15.75" customHeight="1">
      <c r="A41" s="254" t="s">
        <v>1144</v>
      </c>
      <c r="B41" s="213" t="s">
        <v>1145</v>
      </c>
      <c r="C41" s="214" t="s">
        <v>5588</v>
      </c>
      <c r="D41" s="48">
        <v>39.0</v>
      </c>
      <c r="E41" s="48" t="s">
        <v>5584</v>
      </c>
      <c r="H41" s="55"/>
    </row>
    <row r="42" ht="15.75" customHeight="1">
      <c r="A42" s="254" t="s">
        <v>1150</v>
      </c>
      <c r="B42" s="213" t="s">
        <v>1151</v>
      </c>
      <c r="C42" s="214" t="s">
        <v>5589</v>
      </c>
      <c r="D42" s="48">
        <v>40.0</v>
      </c>
      <c r="E42" s="48" t="s">
        <v>5584</v>
      </c>
      <c r="H42" s="30"/>
    </row>
    <row r="43" ht="15.75" customHeight="1">
      <c r="A43" s="254" t="s">
        <v>1153</v>
      </c>
      <c r="B43" s="213" t="s">
        <v>1154</v>
      </c>
      <c r="C43" s="214" t="s">
        <v>5579</v>
      </c>
      <c r="D43" s="48">
        <v>41.0</v>
      </c>
      <c r="E43" s="48" t="s">
        <v>5584</v>
      </c>
      <c r="H43" s="30"/>
    </row>
    <row r="44" ht="15.75" customHeight="1">
      <c r="A44" s="254" t="s">
        <v>1155</v>
      </c>
      <c r="B44" s="213" t="s">
        <v>1151</v>
      </c>
      <c r="C44" s="214" t="s">
        <v>5590</v>
      </c>
      <c r="D44" s="48">
        <v>42.0</v>
      </c>
      <c r="E44" s="48" t="s">
        <v>5584</v>
      </c>
      <c r="H44" s="30"/>
    </row>
    <row r="45" ht="15.75" customHeight="1">
      <c r="A45" s="254" t="s">
        <v>1160</v>
      </c>
      <c r="B45" s="213" t="s">
        <v>1091</v>
      </c>
      <c r="C45" s="214" t="s">
        <v>5591</v>
      </c>
      <c r="D45" s="48">
        <v>43.0</v>
      </c>
      <c r="E45" s="48" t="s">
        <v>5584</v>
      </c>
      <c r="H45" s="30"/>
    </row>
    <row r="46" ht="15.75" customHeight="1">
      <c r="A46" s="254" t="s">
        <v>1162</v>
      </c>
      <c r="B46" s="213" t="s">
        <v>1163</v>
      </c>
      <c r="C46" s="214" t="s">
        <v>5592</v>
      </c>
      <c r="D46" s="48">
        <v>44.0</v>
      </c>
      <c r="E46" s="48" t="s">
        <v>5584</v>
      </c>
      <c r="H46" s="256"/>
    </row>
    <row r="47" ht="15.75" customHeight="1">
      <c r="A47" s="254" t="s">
        <v>1165</v>
      </c>
      <c r="B47" s="213" t="s">
        <v>1166</v>
      </c>
      <c r="C47" s="214" t="s">
        <v>5593</v>
      </c>
      <c r="D47" s="48">
        <v>45.0</v>
      </c>
      <c r="E47" s="48" t="s">
        <v>5584</v>
      </c>
      <c r="H47" s="30"/>
    </row>
    <row r="48" ht="15.75" customHeight="1">
      <c r="A48" s="254" t="s">
        <v>1172</v>
      </c>
      <c r="B48" s="213" t="s">
        <v>1173</v>
      </c>
      <c r="C48" s="214" t="s">
        <v>5594</v>
      </c>
      <c r="D48" s="48">
        <v>46.0</v>
      </c>
      <c r="E48" s="48" t="s">
        <v>5584</v>
      </c>
      <c r="H48" s="55"/>
    </row>
    <row r="49" ht="15.75" customHeight="1">
      <c r="A49" s="254" t="s">
        <v>1175</v>
      </c>
      <c r="B49" s="213" t="s">
        <v>1176</v>
      </c>
      <c r="C49" s="214" t="s">
        <v>5595</v>
      </c>
      <c r="D49" s="48">
        <v>47.0</v>
      </c>
      <c r="E49" s="48" t="s">
        <v>5584</v>
      </c>
      <c r="H49" s="30"/>
    </row>
    <row r="50" ht="15.75" customHeight="1">
      <c r="A50" s="254" t="s">
        <v>1178</v>
      </c>
      <c r="B50" s="213" t="s">
        <v>1179</v>
      </c>
      <c r="C50" s="214" t="s">
        <v>5596</v>
      </c>
      <c r="D50" s="48">
        <v>48.0</v>
      </c>
      <c r="E50" s="48" t="s">
        <v>5584</v>
      </c>
      <c r="H50" s="30"/>
    </row>
    <row r="51" ht="15.75" customHeight="1">
      <c r="A51" s="254" t="s">
        <v>1187</v>
      </c>
      <c r="B51" s="213" t="s">
        <v>1188</v>
      </c>
      <c r="C51" s="214" t="s">
        <v>5597</v>
      </c>
      <c r="D51" s="48">
        <v>49.0</v>
      </c>
      <c r="E51" s="48" t="s">
        <v>5584</v>
      </c>
      <c r="H51" s="30"/>
    </row>
    <row r="52" ht="15.75" customHeight="1">
      <c r="A52" s="254" t="s">
        <v>1193</v>
      </c>
      <c r="B52" s="213" t="s">
        <v>1194</v>
      </c>
      <c r="C52" s="214" t="s">
        <v>5594</v>
      </c>
      <c r="D52" s="48">
        <v>50.0</v>
      </c>
      <c r="E52" s="48" t="s">
        <v>5584</v>
      </c>
      <c r="H52" s="55"/>
    </row>
    <row r="53" ht="15.75" customHeight="1">
      <c r="A53" s="254" t="s">
        <v>1195</v>
      </c>
      <c r="B53" s="213" t="s">
        <v>1196</v>
      </c>
      <c r="C53" s="214" t="s">
        <v>5598</v>
      </c>
      <c r="D53" s="48">
        <v>51.0</v>
      </c>
      <c r="E53" s="48" t="s">
        <v>5584</v>
      </c>
      <c r="H53" s="30"/>
    </row>
    <row r="54" ht="15.75" customHeight="1">
      <c r="A54" s="254" t="s">
        <v>1198</v>
      </c>
      <c r="B54" s="213" t="s">
        <v>1199</v>
      </c>
      <c r="C54" s="214" t="s">
        <v>5599</v>
      </c>
      <c r="D54" s="48">
        <v>52.0</v>
      </c>
      <c r="E54" s="48" t="s">
        <v>5584</v>
      </c>
      <c r="H54" s="30"/>
    </row>
    <row r="55" ht="15.75" customHeight="1">
      <c r="A55" s="254" t="s">
        <v>1201</v>
      </c>
      <c r="B55" s="213" t="s">
        <v>1202</v>
      </c>
      <c r="C55" s="214" t="s">
        <v>5600</v>
      </c>
      <c r="D55" s="48">
        <v>53.0</v>
      </c>
      <c r="E55" s="48" t="s">
        <v>5584</v>
      </c>
      <c r="H55" s="30"/>
    </row>
    <row r="56" ht="15.75" customHeight="1">
      <c r="A56" s="254" t="s">
        <v>1204</v>
      </c>
      <c r="B56" s="213" t="s">
        <v>1205</v>
      </c>
      <c r="C56" s="214" t="s">
        <v>5601</v>
      </c>
      <c r="D56" s="48">
        <v>54.0</v>
      </c>
      <c r="E56" s="48" t="s">
        <v>5584</v>
      </c>
      <c r="H56" s="30"/>
    </row>
    <row r="57" ht="15.75" customHeight="1">
      <c r="A57" s="254" t="s">
        <v>1214</v>
      </c>
      <c r="B57" s="213" t="s">
        <v>1215</v>
      </c>
      <c r="C57" s="214" t="s">
        <v>5602</v>
      </c>
      <c r="D57" s="48">
        <v>55.0</v>
      </c>
      <c r="E57" s="48" t="s">
        <v>5584</v>
      </c>
      <c r="H57" s="30"/>
    </row>
    <row r="58" ht="15.75" customHeight="1">
      <c r="A58" s="254" t="s">
        <v>1216</v>
      </c>
      <c r="B58" s="213" t="s">
        <v>1217</v>
      </c>
      <c r="C58" s="214" t="s">
        <v>5603</v>
      </c>
      <c r="D58" s="48">
        <v>56.0</v>
      </c>
      <c r="E58" s="48" t="s">
        <v>5584</v>
      </c>
      <c r="H58" s="55"/>
    </row>
    <row r="59" ht="15.75" customHeight="1">
      <c r="A59" s="254" t="s">
        <v>1219</v>
      </c>
      <c r="B59" s="213" t="s">
        <v>1220</v>
      </c>
      <c r="C59" s="214" t="s">
        <v>5604</v>
      </c>
      <c r="D59" s="48">
        <v>57.0</v>
      </c>
      <c r="E59" s="48" t="s">
        <v>5584</v>
      </c>
      <c r="H59" s="30"/>
    </row>
    <row r="60" ht="15.75" customHeight="1">
      <c r="A60" s="254" t="s">
        <v>1237</v>
      </c>
      <c r="B60" s="213" t="s">
        <v>1238</v>
      </c>
      <c r="C60" s="214" t="s">
        <v>5605</v>
      </c>
      <c r="D60" s="48">
        <v>58.0</v>
      </c>
      <c r="E60" s="48" t="s">
        <v>5584</v>
      </c>
    </row>
    <row r="61" ht="15.75" customHeight="1">
      <c r="A61" s="254" t="s">
        <v>1241</v>
      </c>
      <c r="B61" s="213" t="s">
        <v>1242</v>
      </c>
      <c r="C61" s="214" t="s">
        <v>5606</v>
      </c>
      <c r="D61" s="48">
        <v>59.0</v>
      </c>
      <c r="E61" s="48" t="s">
        <v>5584</v>
      </c>
    </row>
    <row r="62" ht="15.75" customHeight="1">
      <c r="A62" s="254" t="s">
        <v>1244</v>
      </c>
      <c r="B62" s="213" t="s">
        <v>1245</v>
      </c>
      <c r="C62" s="214" t="s">
        <v>5607</v>
      </c>
      <c r="D62" s="48">
        <v>60.0</v>
      </c>
      <c r="E62" s="48" t="s">
        <v>5584</v>
      </c>
    </row>
    <row r="63" ht="15.75" customHeight="1">
      <c r="A63" s="254" t="s">
        <v>1247</v>
      </c>
      <c r="B63" s="213" t="s">
        <v>1248</v>
      </c>
      <c r="C63" s="214" t="s">
        <v>5606</v>
      </c>
      <c r="D63" s="48">
        <v>61.0</v>
      </c>
      <c r="E63" s="48" t="s">
        <v>5584</v>
      </c>
    </row>
    <row r="64" ht="15.75" customHeight="1">
      <c r="A64" s="254" t="s">
        <v>1249</v>
      </c>
      <c r="B64" s="213" t="s">
        <v>1250</v>
      </c>
      <c r="C64" s="214" t="s">
        <v>5608</v>
      </c>
      <c r="D64" s="48">
        <v>62.0</v>
      </c>
      <c r="E64" s="48" t="s">
        <v>5584</v>
      </c>
    </row>
    <row r="65" ht="15.75" customHeight="1">
      <c r="A65" s="254" t="s">
        <v>1252</v>
      </c>
      <c r="B65" s="213" t="s">
        <v>1253</v>
      </c>
      <c r="C65" s="214" t="s">
        <v>5609</v>
      </c>
      <c r="D65" s="48">
        <v>63.0</v>
      </c>
      <c r="E65" s="48" t="s">
        <v>5584</v>
      </c>
    </row>
    <row r="66" ht="15.75" customHeight="1">
      <c r="A66" s="254" t="s">
        <v>1255</v>
      </c>
      <c r="B66" s="213" t="s">
        <v>1256</v>
      </c>
      <c r="C66" s="214" t="s">
        <v>5610</v>
      </c>
      <c r="D66" s="48">
        <v>64.0</v>
      </c>
      <c r="E66" s="48" t="s">
        <v>5584</v>
      </c>
    </row>
    <row r="67" ht="15.75" customHeight="1">
      <c r="A67" s="254" t="s">
        <v>1258</v>
      </c>
      <c r="B67" s="213" t="s">
        <v>1259</v>
      </c>
      <c r="C67" s="214" t="s">
        <v>5611</v>
      </c>
      <c r="D67" s="48">
        <v>65.0</v>
      </c>
      <c r="E67" s="48" t="s">
        <v>5584</v>
      </c>
    </row>
    <row r="68" ht="15.75" customHeight="1">
      <c r="A68" s="254" t="s">
        <v>1261</v>
      </c>
      <c r="B68" s="213" t="s">
        <v>1262</v>
      </c>
      <c r="C68" s="214" t="s">
        <v>5612</v>
      </c>
      <c r="D68" s="48">
        <v>66.0</v>
      </c>
      <c r="E68" s="48" t="s">
        <v>5584</v>
      </c>
    </row>
    <row r="69" ht="15.75" customHeight="1">
      <c r="A69" s="254" t="s">
        <v>1267</v>
      </c>
      <c r="B69" s="213" t="s">
        <v>1268</v>
      </c>
      <c r="C69" s="214" t="s">
        <v>5613</v>
      </c>
      <c r="D69" s="48">
        <v>67.0</v>
      </c>
      <c r="E69" s="48" t="s">
        <v>5584</v>
      </c>
    </row>
    <row r="70" ht="15.75" customHeight="1">
      <c r="A70" s="254" t="s">
        <v>1273</v>
      </c>
      <c r="B70" s="213" t="s">
        <v>1274</v>
      </c>
      <c r="C70" s="214" t="s">
        <v>5614</v>
      </c>
      <c r="D70" s="48">
        <v>68.0</v>
      </c>
      <c r="E70" s="48" t="s">
        <v>5584</v>
      </c>
    </row>
    <row r="71" ht="15.75" customHeight="1">
      <c r="A71" s="254" t="s">
        <v>1276</v>
      </c>
      <c r="B71" s="213" t="s">
        <v>1277</v>
      </c>
      <c r="C71" s="214" t="s">
        <v>5615</v>
      </c>
      <c r="D71" s="48">
        <v>69.0</v>
      </c>
      <c r="E71" s="48" t="s">
        <v>5584</v>
      </c>
    </row>
    <row r="72" ht="15.75" customHeight="1">
      <c r="A72" s="254" t="s">
        <v>1279</v>
      </c>
      <c r="B72" s="213" t="s">
        <v>1280</v>
      </c>
      <c r="C72" s="214" t="s">
        <v>5615</v>
      </c>
      <c r="D72" s="48">
        <v>70.0</v>
      </c>
      <c r="E72" s="48" t="s">
        <v>5584</v>
      </c>
    </row>
    <row r="73" ht="15.75" customHeight="1">
      <c r="A73" s="254" t="s">
        <v>1281</v>
      </c>
      <c r="B73" s="213" t="s">
        <v>1282</v>
      </c>
      <c r="C73" s="214" t="s">
        <v>5616</v>
      </c>
      <c r="D73" s="48">
        <v>71.0</v>
      </c>
      <c r="E73" s="48" t="s">
        <v>5584</v>
      </c>
    </row>
    <row r="74" ht="15.75" customHeight="1">
      <c r="A74" s="254" t="s">
        <v>1119</v>
      </c>
      <c r="B74" s="213" t="s">
        <v>1284</v>
      </c>
      <c r="C74" s="214" t="s">
        <v>5580</v>
      </c>
      <c r="D74" s="48">
        <v>72.0</v>
      </c>
      <c r="E74" s="48" t="s">
        <v>5584</v>
      </c>
    </row>
    <row r="75" ht="15.75" customHeight="1">
      <c r="A75" s="254" t="s">
        <v>1285</v>
      </c>
      <c r="B75" s="213" t="s">
        <v>1286</v>
      </c>
      <c r="C75" s="214" t="s">
        <v>5617</v>
      </c>
      <c r="D75" s="48">
        <v>73.0</v>
      </c>
      <c r="E75" s="48" t="s">
        <v>5584</v>
      </c>
    </row>
    <row r="76" ht="15.75" customHeight="1">
      <c r="A76" s="254" t="s">
        <v>1119</v>
      </c>
      <c r="B76" s="213" t="s">
        <v>1282</v>
      </c>
      <c r="C76" s="214" t="s">
        <v>5618</v>
      </c>
      <c r="D76" s="48">
        <v>74.0</v>
      </c>
      <c r="E76" s="48" t="s">
        <v>5584</v>
      </c>
    </row>
    <row r="77" ht="15.75" customHeight="1">
      <c r="A77" s="254" t="s">
        <v>1289</v>
      </c>
      <c r="B77" s="213" t="s">
        <v>1286</v>
      </c>
      <c r="C77" s="214" t="s">
        <v>5619</v>
      </c>
      <c r="D77" s="48">
        <v>75.0</v>
      </c>
      <c r="E77" s="48" t="s">
        <v>5584</v>
      </c>
    </row>
    <row r="78" ht="15.75" customHeight="1">
      <c r="A78" s="254" t="s">
        <v>1291</v>
      </c>
      <c r="B78" s="213" t="s">
        <v>1292</v>
      </c>
      <c r="C78" s="214" t="s">
        <v>5620</v>
      </c>
      <c r="D78" s="48">
        <v>76.0</v>
      </c>
      <c r="E78" s="48" t="s">
        <v>5584</v>
      </c>
    </row>
    <row r="79" ht="15.75" customHeight="1">
      <c r="A79" s="254" t="s">
        <v>1294</v>
      </c>
      <c r="B79" s="213" t="s">
        <v>1295</v>
      </c>
      <c r="C79" s="214" t="s">
        <v>5621</v>
      </c>
      <c r="D79" s="48">
        <v>77.0</v>
      </c>
      <c r="E79" s="48" t="s">
        <v>5584</v>
      </c>
    </row>
    <row r="80" ht="15.75" customHeight="1">
      <c r="A80" s="254" t="s">
        <v>1297</v>
      </c>
      <c r="B80" s="213" t="s">
        <v>1298</v>
      </c>
      <c r="C80" s="214" t="s">
        <v>5622</v>
      </c>
      <c r="D80" s="48">
        <v>78.0</v>
      </c>
      <c r="E80" s="48" t="s">
        <v>5584</v>
      </c>
    </row>
    <row r="81" ht="15.75" customHeight="1">
      <c r="A81" s="254" t="s">
        <v>1300</v>
      </c>
      <c r="B81" s="213" t="s">
        <v>1301</v>
      </c>
      <c r="C81" s="214" t="s">
        <v>5605</v>
      </c>
      <c r="D81" s="48">
        <v>79.0</v>
      </c>
      <c r="E81" s="48" t="s">
        <v>5584</v>
      </c>
    </row>
    <row r="82" ht="15.75" customHeight="1">
      <c r="A82" s="254" t="s">
        <v>1302</v>
      </c>
      <c r="B82" s="213" t="s">
        <v>1303</v>
      </c>
      <c r="C82" s="214" t="s">
        <v>5623</v>
      </c>
      <c r="D82" s="48">
        <v>80.0</v>
      </c>
      <c r="E82" s="48" t="s">
        <v>5584</v>
      </c>
    </row>
    <row r="83" ht="15.75" customHeight="1">
      <c r="A83" s="254" t="s">
        <v>1305</v>
      </c>
      <c r="B83" s="213" t="s">
        <v>1306</v>
      </c>
      <c r="C83" s="214" t="s">
        <v>5624</v>
      </c>
      <c r="D83" s="48">
        <v>81.0</v>
      </c>
      <c r="E83" s="48" t="s">
        <v>5584</v>
      </c>
    </row>
    <row r="84" ht="15.75" customHeight="1">
      <c r="A84" s="254" t="s">
        <v>1308</v>
      </c>
      <c r="B84" s="213" t="s">
        <v>1309</v>
      </c>
      <c r="C84" s="214" t="s">
        <v>5625</v>
      </c>
      <c r="D84" s="48">
        <v>82.0</v>
      </c>
      <c r="E84" s="48" t="s">
        <v>5584</v>
      </c>
    </row>
    <row r="85" ht="15.75" customHeight="1">
      <c r="A85" s="254" t="s">
        <v>1311</v>
      </c>
      <c r="B85" s="213" t="s">
        <v>1312</v>
      </c>
      <c r="C85" s="214" t="s">
        <v>5626</v>
      </c>
      <c r="D85" s="48">
        <v>83.0</v>
      </c>
      <c r="E85" s="48" t="s">
        <v>5584</v>
      </c>
    </row>
    <row r="86" ht="15.75" customHeight="1">
      <c r="A86" s="254" t="s">
        <v>1314</v>
      </c>
      <c r="B86" s="213" t="s">
        <v>1315</v>
      </c>
      <c r="C86" s="214" t="s">
        <v>5627</v>
      </c>
      <c r="D86" s="48">
        <v>84.0</v>
      </c>
      <c r="E86" s="48" t="s">
        <v>5584</v>
      </c>
    </row>
    <row r="87" ht="15.75" customHeight="1">
      <c r="A87" s="254" t="s">
        <v>1317</v>
      </c>
      <c r="B87" s="213" t="s">
        <v>1318</v>
      </c>
      <c r="C87" s="214" t="s">
        <v>5628</v>
      </c>
      <c r="D87" s="48">
        <v>85.0</v>
      </c>
      <c r="E87" s="48" t="s">
        <v>5584</v>
      </c>
    </row>
    <row r="88" ht="15.75" customHeight="1">
      <c r="A88" s="254" t="s">
        <v>5629</v>
      </c>
      <c r="B88" s="213" t="s">
        <v>1321</v>
      </c>
      <c r="C88" s="214" t="s">
        <v>5630</v>
      </c>
      <c r="D88" s="48">
        <v>86.0</v>
      </c>
      <c r="E88" s="48" t="s">
        <v>5584</v>
      </c>
    </row>
    <row r="89" ht="15.75" customHeight="1">
      <c r="A89" s="254" t="s">
        <v>1323</v>
      </c>
      <c r="B89" s="213" t="s">
        <v>1324</v>
      </c>
      <c r="C89" s="214" t="s">
        <v>5631</v>
      </c>
      <c r="D89" s="48">
        <v>87.0</v>
      </c>
      <c r="E89" s="48" t="s">
        <v>5584</v>
      </c>
    </row>
    <row r="90" ht="15.75" customHeight="1">
      <c r="A90" s="254" t="s">
        <v>1326</v>
      </c>
      <c r="B90" s="213" t="s">
        <v>1327</v>
      </c>
      <c r="C90" s="214" t="s">
        <v>5632</v>
      </c>
      <c r="D90" s="48">
        <v>88.0</v>
      </c>
      <c r="E90" s="48" t="s">
        <v>5584</v>
      </c>
    </row>
    <row r="91" ht="15.75" customHeight="1">
      <c r="A91" s="254" t="s">
        <v>1329</v>
      </c>
      <c r="B91" s="213" t="s">
        <v>1330</v>
      </c>
      <c r="C91" s="214" t="s">
        <v>5633</v>
      </c>
      <c r="D91" s="48">
        <v>89.0</v>
      </c>
      <c r="E91" s="48" t="s">
        <v>5584</v>
      </c>
    </row>
    <row r="92" ht="15.75" customHeight="1">
      <c r="A92" s="254" t="s">
        <v>1332</v>
      </c>
      <c r="B92" s="213" t="s">
        <v>1333</v>
      </c>
      <c r="C92" s="214" t="s">
        <v>5634</v>
      </c>
      <c r="D92" s="48">
        <v>90.0</v>
      </c>
      <c r="E92" s="48" t="s">
        <v>5584</v>
      </c>
    </row>
    <row r="93" ht="15.75" customHeight="1">
      <c r="A93" s="254" t="s">
        <v>1335</v>
      </c>
      <c r="B93" s="213" t="s">
        <v>1336</v>
      </c>
      <c r="C93" s="214" t="s">
        <v>5635</v>
      </c>
      <c r="D93" s="48">
        <v>91.0</v>
      </c>
      <c r="E93" s="48" t="s">
        <v>5584</v>
      </c>
    </row>
    <row r="94" ht="15.75" customHeight="1">
      <c r="A94" s="254" t="s">
        <v>1338</v>
      </c>
      <c r="B94" s="213" t="s">
        <v>1339</v>
      </c>
      <c r="C94" s="214" t="s">
        <v>5636</v>
      </c>
      <c r="D94" s="48">
        <v>92.0</v>
      </c>
      <c r="E94" s="48" t="s">
        <v>5584</v>
      </c>
    </row>
    <row r="95" ht="15.75" customHeight="1">
      <c r="A95" s="254" t="s">
        <v>1341</v>
      </c>
      <c r="B95" s="213" t="s">
        <v>1342</v>
      </c>
      <c r="C95" s="214" t="s">
        <v>5637</v>
      </c>
      <c r="D95" s="48">
        <v>93.0</v>
      </c>
      <c r="E95" s="48" t="s">
        <v>5584</v>
      </c>
    </row>
    <row r="96" ht="15.75" customHeight="1">
      <c r="A96" s="254" t="s">
        <v>1344</v>
      </c>
      <c r="B96" s="213" t="s">
        <v>1345</v>
      </c>
      <c r="C96" s="214" t="s">
        <v>5638</v>
      </c>
      <c r="D96" s="48">
        <v>94.0</v>
      </c>
      <c r="E96" s="48" t="s">
        <v>5584</v>
      </c>
    </row>
    <row r="97" ht="15.75" customHeight="1">
      <c r="A97" s="254" t="s">
        <v>1347</v>
      </c>
      <c r="B97" s="213" t="s">
        <v>1348</v>
      </c>
      <c r="C97" s="214" t="s">
        <v>5639</v>
      </c>
      <c r="D97" s="48">
        <v>95.0</v>
      </c>
      <c r="E97" s="48" t="s">
        <v>5584</v>
      </c>
    </row>
    <row r="98" ht="15.75" customHeight="1">
      <c r="A98" s="254" t="s">
        <v>1350</v>
      </c>
      <c r="B98" s="213" t="s">
        <v>1351</v>
      </c>
      <c r="C98" s="214" t="s">
        <v>5640</v>
      </c>
      <c r="D98" s="48">
        <v>96.0</v>
      </c>
      <c r="E98" s="48" t="s">
        <v>5584</v>
      </c>
    </row>
    <row r="99" ht="15.75" customHeight="1">
      <c r="A99" s="254" t="s">
        <v>1353</v>
      </c>
      <c r="B99" s="213" t="s">
        <v>1354</v>
      </c>
      <c r="C99" s="214" t="s">
        <v>5641</v>
      </c>
      <c r="D99" s="48">
        <v>97.0</v>
      </c>
      <c r="E99" s="48" t="s">
        <v>5584</v>
      </c>
    </row>
    <row r="100" ht="15.75" customHeight="1">
      <c r="A100" s="254" t="s">
        <v>1356</v>
      </c>
      <c r="B100" s="213" t="s">
        <v>1357</v>
      </c>
      <c r="C100" s="214" t="s">
        <v>5642</v>
      </c>
      <c r="D100" s="48">
        <v>98.0</v>
      </c>
      <c r="E100" s="48" t="s">
        <v>5584</v>
      </c>
    </row>
    <row r="101" ht="15.75" customHeight="1">
      <c r="A101" s="254" t="s">
        <v>1359</v>
      </c>
      <c r="B101" s="213" t="s">
        <v>1360</v>
      </c>
      <c r="C101" s="214" t="s">
        <v>5643</v>
      </c>
      <c r="D101" s="48">
        <v>99.0</v>
      </c>
      <c r="E101" s="48" t="s">
        <v>5584</v>
      </c>
    </row>
    <row r="102" ht="15.75" customHeight="1">
      <c r="A102" s="254" t="s">
        <v>1362</v>
      </c>
      <c r="B102" s="213" t="s">
        <v>1363</v>
      </c>
      <c r="C102" s="214" t="s">
        <v>5644</v>
      </c>
      <c r="D102" s="48">
        <v>100.0</v>
      </c>
      <c r="E102" s="48" t="s">
        <v>5584</v>
      </c>
    </row>
    <row r="103" ht="15.75" customHeight="1">
      <c r="A103" s="254" t="s">
        <v>1365</v>
      </c>
      <c r="B103" s="213" t="s">
        <v>1366</v>
      </c>
      <c r="C103" s="214" t="s">
        <v>5645</v>
      </c>
      <c r="D103" s="48">
        <v>101.0</v>
      </c>
      <c r="E103" s="48" t="s">
        <v>5584</v>
      </c>
    </row>
    <row r="104" ht="15.75" customHeight="1">
      <c r="A104" s="254" t="s">
        <v>1368</v>
      </c>
      <c r="B104" s="213" t="s">
        <v>1369</v>
      </c>
      <c r="C104" s="214" t="s">
        <v>5646</v>
      </c>
      <c r="D104" s="48">
        <v>102.0</v>
      </c>
      <c r="E104" s="48" t="s">
        <v>5584</v>
      </c>
    </row>
    <row r="105" ht="15.75" customHeight="1">
      <c r="A105" s="254" t="s">
        <v>1371</v>
      </c>
      <c r="B105" s="213" t="s">
        <v>1372</v>
      </c>
      <c r="C105" s="214" t="s">
        <v>5647</v>
      </c>
      <c r="D105" s="48">
        <v>103.0</v>
      </c>
      <c r="E105" s="48" t="s">
        <v>5584</v>
      </c>
    </row>
    <row r="106" ht="15.75" customHeight="1">
      <c r="A106" s="254" t="s">
        <v>1374</v>
      </c>
      <c r="B106" s="213" t="s">
        <v>1375</v>
      </c>
      <c r="C106" s="214" t="s">
        <v>5645</v>
      </c>
      <c r="D106" s="48">
        <v>104.0</v>
      </c>
      <c r="E106" s="48" t="s">
        <v>5584</v>
      </c>
    </row>
    <row r="107" ht="15.75" customHeight="1">
      <c r="A107" s="254" t="s">
        <v>1376</v>
      </c>
      <c r="B107" s="213" t="s">
        <v>1377</v>
      </c>
      <c r="C107" s="214" t="s">
        <v>5648</v>
      </c>
      <c r="D107" s="48">
        <v>105.0</v>
      </c>
      <c r="E107" s="48" t="s">
        <v>5584</v>
      </c>
    </row>
    <row r="108" ht="15.75" customHeight="1">
      <c r="A108" s="254" t="s">
        <v>1379</v>
      </c>
      <c r="B108" s="213" t="s">
        <v>1380</v>
      </c>
      <c r="C108" s="214" t="s">
        <v>5649</v>
      </c>
      <c r="D108" s="48">
        <v>106.0</v>
      </c>
      <c r="E108" s="48" t="s">
        <v>5584</v>
      </c>
    </row>
    <row r="109" ht="15.75" customHeight="1">
      <c r="A109" s="254" t="s">
        <v>1382</v>
      </c>
      <c r="B109" s="213" t="s">
        <v>1383</v>
      </c>
      <c r="C109" s="214" t="s">
        <v>5650</v>
      </c>
      <c r="D109" s="48">
        <v>107.0</v>
      </c>
      <c r="E109" s="48" t="s">
        <v>5584</v>
      </c>
    </row>
    <row r="110" ht="15.75" customHeight="1">
      <c r="A110" s="254" t="s">
        <v>1385</v>
      </c>
      <c r="B110" s="213" t="s">
        <v>1386</v>
      </c>
      <c r="C110" s="214" t="s">
        <v>5650</v>
      </c>
      <c r="D110" s="48">
        <v>108.0</v>
      </c>
      <c r="E110" s="48" t="s">
        <v>5584</v>
      </c>
    </row>
    <row r="111" ht="15.75" customHeight="1">
      <c r="A111" s="254" t="s">
        <v>1387</v>
      </c>
      <c r="B111" s="213" t="s">
        <v>1388</v>
      </c>
      <c r="C111" s="214" t="s">
        <v>5651</v>
      </c>
      <c r="D111" s="48">
        <v>109.0</v>
      </c>
      <c r="E111" s="48" t="s">
        <v>5584</v>
      </c>
    </row>
    <row r="112" ht="15.75" customHeight="1">
      <c r="A112" s="254" t="s">
        <v>1390</v>
      </c>
      <c r="B112" s="213" t="s">
        <v>1391</v>
      </c>
      <c r="C112" s="214" t="s">
        <v>5652</v>
      </c>
      <c r="D112" s="48">
        <v>110.0</v>
      </c>
      <c r="E112" s="48" t="s">
        <v>5584</v>
      </c>
    </row>
    <row r="113" ht="15.75" customHeight="1">
      <c r="A113" s="254" t="s">
        <v>1393</v>
      </c>
      <c r="B113" s="213" t="s">
        <v>1394</v>
      </c>
      <c r="C113" s="214" t="s">
        <v>5653</v>
      </c>
      <c r="D113" s="48">
        <v>111.0</v>
      </c>
      <c r="E113" s="48" t="s">
        <v>5584</v>
      </c>
    </row>
    <row r="114" ht="15.75" customHeight="1">
      <c r="A114" s="254" t="s">
        <v>1396</v>
      </c>
      <c r="B114" s="213" t="s">
        <v>1188</v>
      </c>
      <c r="C114" s="214" t="s">
        <v>5654</v>
      </c>
      <c r="D114" s="48">
        <v>112.0</v>
      </c>
      <c r="E114" s="48" t="s">
        <v>5584</v>
      </c>
    </row>
    <row r="115" ht="15.75" customHeight="1">
      <c r="A115" s="254" t="s">
        <v>1398</v>
      </c>
      <c r="B115" s="213" t="s">
        <v>1388</v>
      </c>
      <c r="C115" s="214" t="s">
        <v>5651</v>
      </c>
      <c r="D115" s="48">
        <v>113.0</v>
      </c>
      <c r="E115" s="48" t="s">
        <v>5584</v>
      </c>
    </row>
    <row r="116" ht="15.75" customHeight="1">
      <c r="A116" s="254" t="s">
        <v>1399</v>
      </c>
      <c r="B116" s="213" t="s">
        <v>1400</v>
      </c>
      <c r="C116" s="214" t="s">
        <v>5655</v>
      </c>
      <c r="D116" s="48">
        <v>114.0</v>
      </c>
      <c r="E116" s="48" t="s">
        <v>5584</v>
      </c>
    </row>
    <row r="117" ht="15.75" customHeight="1">
      <c r="A117" s="254" t="s">
        <v>1402</v>
      </c>
      <c r="B117" s="213" t="s">
        <v>1403</v>
      </c>
      <c r="C117" s="214" t="s">
        <v>5656</v>
      </c>
      <c r="D117" s="48">
        <v>115.0</v>
      </c>
      <c r="E117" s="48" t="s">
        <v>5584</v>
      </c>
    </row>
    <row r="118" ht="15.75" customHeight="1">
      <c r="A118" s="254" t="s">
        <v>1405</v>
      </c>
      <c r="B118" s="213" t="s">
        <v>1406</v>
      </c>
      <c r="C118" s="214" t="s">
        <v>5657</v>
      </c>
      <c r="D118" s="48">
        <v>116.0</v>
      </c>
      <c r="E118" s="48" t="s">
        <v>5584</v>
      </c>
    </row>
    <row r="119" ht="15.75" customHeight="1">
      <c r="A119" s="254" t="s">
        <v>1408</v>
      </c>
      <c r="B119" s="213" t="s">
        <v>1409</v>
      </c>
      <c r="C119" s="214" t="s">
        <v>5658</v>
      </c>
      <c r="D119" s="48">
        <v>117.0</v>
      </c>
      <c r="E119" s="48" t="s">
        <v>5584</v>
      </c>
    </row>
    <row r="120" ht="15.75" customHeight="1">
      <c r="A120" s="254" t="s">
        <v>1411</v>
      </c>
      <c r="B120" s="213" t="s">
        <v>1412</v>
      </c>
      <c r="C120" s="214" t="s">
        <v>5659</v>
      </c>
      <c r="D120" s="48">
        <v>118.0</v>
      </c>
      <c r="E120" s="48" t="s">
        <v>5584</v>
      </c>
    </row>
    <row r="121" ht="15.75" customHeight="1">
      <c r="A121" s="254" t="s">
        <v>1414</v>
      </c>
      <c r="B121" s="213" t="s">
        <v>1415</v>
      </c>
      <c r="C121" s="214" t="s">
        <v>5660</v>
      </c>
      <c r="D121" s="48">
        <v>119.0</v>
      </c>
      <c r="E121" s="48" t="s">
        <v>5584</v>
      </c>
    </row>
    <row r="122" ht="15.75" customHeight="1">
      <c r="A122" s="254" t="s">
        <v>1417</v>
      </c>
      <c r="B122" s="213" t="s">
        <v>1418</v>
      </c>
      <c r="C122" s="214" t="s">
        <v>5654</v>
      </c>
      <c r="D122" s="48">
        <v>120.0</v>
      </c>
      <c r="E122" s="48" t="s">
        <v>5584</v>
      </c>
    </row>
    <row r="123" ht="15.75" customHeight="1">
      <c r="A123" s="254" t="s">
        <v>1419</v>
      </c>
      <c r="B123" s="213" t="s">
        <v>1415</v>
      </c>
      <c r="C123" s="214" t="s">
        <v>5661</v>
      </c>
      <c r="D123" s="48">
        <v>121.0</v>
      </c>
      <c r="E123" s="48" t="s">
        <v>5584</v>
      </c>
    </row>
    <row r="124" ht="15.75" customHeight="1">
      <c r="A124" s="254" t="s">
        <v>1421</v>
      </c>
      <c r="B124" s="213" t="s">
        <v>1422</v>
      </c>
      <c r="C124" s="214" t="s">
        <v>5662</v>
      </c>
      <c r="D124" s="48">
        <v>122.0</v>
      </c>
      <c r="E124" s="48" t="s">
        <v>5584</v>
      </c>
    </row>
    <row r="125" ht="15.75" customHeight="1">
      <c r="A125" s="254" t="s">
        <v>1424</v>
      </c>
      <c r="B125" s="213" t="s">
        <v>1425</v>
      </c>
      <c r="C125" s="214" t="s">
        <v>5663</v>
      </c>
      <c r="D125" s="48">
        <v>123.0</v>
      </c>
      <c r="E125" s="48" t="s">
        <v>5584</v>
      </c>
    </row>
    <row r="126" ht="15.75" customHeight="1">
      <c r="A126" s="254" t="s">
        <v>1427</v>
      </c>
      <c r="B126" s="213" t="s">
        <v>1428</v>
      </c>
      <c r="C126" s="214" t="s">
        <v>5664</v>
      </c>
      <c r="D126" s="48">
        <v>124.0</v>
      </c>
      <c r="E126" s="48" t="s">
        <v>5584</v>
      </c>
    </row>
    <row r="127" ht="15.75" customHeight="1">
      <c r="A127" s="254" t="s">
        <v>1433</v>
      </c>
      <c r="B127" s="213" t="s">
        <v>1434</v>
      </c>
      <c r="C127" s="214" t="s">
        <v>5665</v>
      </c>
      <c r="D127" s="48">
        <v>125.0</v>
      </c>
      <c r="E127" s="48" t="s">
        <v>5584</v>
      </c>
    </row>
    <row r="128" ht="15.75" customHeight="1">
      <c r="A128" s="254" t="s">
        <v>1436</v>
      </c>
      <c r="B128" s="213" t="s">
        <v>1437</v>
      </c>
      <c r="C128" s="214" t="s">
        <v>5658</v>
      </c>
      <c r="D128" s="48">
        <v>126.0</v>
      </c>
      <c r="E128" s="48" t="s">
        <v>5584</v>
      </c>
    </row>
    <row r="129" ht="15.75" customHeight="1">
      <c r="A129" s="254" t="s">
        <v>1438</v>
      </c>
      <c r="B129" s="213" t="s">
        <v>1439</v>
      </c>
      <c r="C129" s="214" t="s">
        <v>5666</v>
      </c>
      <c r="D129" s="48">
        <v>127.0</v>
      </c>
      <c r="E129" s="48" t="s">
        <v>5584</v>
      </c>
    </row>
    <row r="130" ht="15.75" customHeight="1">
      <c r="A130" s="254" t="s">
        <v>1508</v>
      </c>
      <c r="B130" s="213" t="s">
        <v>1509</v>
      </c>
      <c r="C130" s="214" t="s">
        <v>5667</v>
      </c>
      <c r="D130" s="48">
        <v>128.0</v>
      </c>
      <c r="E130" s="48" t="s">
        <v>5584</v>
      </c>
    </row>
    <row r="131" ht="15.75" customHeight="1">
      <c r="A131" s="254" t="s">
        <v>1525</v>
      </c>
      <c r="B131" s="213" t="s">
        <v>1526</v>
      </c>
      <c r="C131" s="214" t="s">
        <v>5668</v>
      </c>
      <c r="D131" s="48">
        <v>129.0</v>
      </c>
      <c r="E131" s="48" t="s">
        <v>5584</v>
      </c>
    </row>
    <row r="132" ht="15.75" customHeight="1">
      <c r="A132" s="254" t="s">
        <v>1528</v>
      </c>
      <c r="B132" s="213" t="s">
        <v>1529</v>
      </c>
      <c r="C132" s="214" t="s">
        <v>5669</v>
      </c>
      <c r="D132" s="48">
        <v>130.0</v>
      </c>
      <c r="E132" s="48" t="s">
        <v>5584</v>
      </c>
    </row>
    <row r="133" ht="15.75" customHeight="1">
      <c r="A133" s="254" t="s">
        <v>1531</v>
      </c>
      <c r="B133" s="213" t="s">
        <v>1532</v>
      </c>
      <c r="C133" s="214" t="s">
        <v>5670</v>
      </c>
      <c r="D133" s="48">
        <v>131.0</v>
      </c>
      <c r="E133" s="48" t="s">
        <v>5584</v>
      </c>
    </row>
    <row r="134" ht="15.75" customHeight="1">
      <c r="A134" s="254" t="s">
        <v>1534</v>
      </c>
      <c r="B134" s="213" t="s">
        <v>1535</v>
      </c>
      <c r="C134" s="214" t="s">
        <v>5671</v>
      </c>
      <c r="D134" s="48">
        <v>132.0</v>
      </c>
      <c r="E134" s="48" t="s">
        <v>5584</v>
      </c>
    </row>
    <row r="135" ht="15.75" customHeight="1">
      <c r="A135" s="254" t="s">
        <v>1537</v>
      </c>
      <c r="B135" s="213" t="s">
        <v>1538</v>
      </c>
      <c r="C135" s="213"/>
      <c r="D135" s="48">
        <v>133.0</v>
      </c>
      <c r="E135" s="48" t="s">
        <v>5584</v>
      </c>
    </row>
    <row r="136" ht="15.75" customHeight="1">
      <c r="A136" s="254" t="s">
        <v>1542</v>
      </c>
      <c r="B136" s="213" t="s">
        <v>1543</v>
      </c>
      <c r="C136" s="214" t="s">
        <v>5672</v>
      </c>
      <c r="D136" s="48">
        <v>134.0</v>
      </c>
      <c r="E136" s="48" t="s">
        <v>5584</v>
      </c>
    </row>
    <row r="137" ht="15.75" customHeight="1">
      <c r="A137" s="254" t="s">
        <v>1545</v>
      </c>
      <c r="B137" s="213" t="s">
        <v>1546</v>
      </c>
      <c r="C137" s="214" t="s">
        <v>5673</v>
      </c>
      <c r="D137" s="48">
        <v>135.0</v>
      </c>
      <c r="E137" s="48" t="s">
        <v>5584</v>
      </c>
    </row>
    <row r="138" ht="15.75" customHeight="1">
      <c r="A138" s="254" t="s">
        <v>1548</v>
      </c>
      <c r="B138" s="213" t="s">
        <v>1549</v>
      </c>
      <c r="C138" s="214" t="s">
        <v>5674</v>
      </c>
      <c r="D138" s="48">
        <v>136.0</v>
      </c>
      <c r="E138" s="48" t="s">
        <v>5584</v>
      </c>
    </row>
    <row r="139" ht="15.75" customHeight="1">
      <c r="A139" s="254" t="s">
        <v>1551</v>
      </c>
      <c r="B139" s="213"/>
      <c r="C139" s="214" t="s">
        <v>5675</v>
      </c>
      <c r="D139" s="48">
        <v>137.0</v>
      </c>
      <c r="E139" s="48" t="s">
        <v>5584</v>
      </c>
    </row>
    <row r="140" ht="15.75" customHeight="1">
      <c r="A140" s="254" t="s">
        <v>1553</v>
      </c>
      <c r="B140" s="213" t="s">
        <v>1554</v>
      </c>
      <c r="C140" s="214" t="s">
        <v>5676</v>
      </c>
      <c r="D140" s="48">
        <v>138.0</v>
      </c>
      <c r="E140" s="48" t="s">
        <v>5584</v>
      </c>
    </row>
    <row r="141" ht="15.75" customHeight="1">
      <c r="A141" s="254" t="s">
        <v>1556</v>
      </c>
      <c r="B141" s="213" t="s">
        <v>1557</v>
      </c>
      <c r="C141" s="214" t="s">
        <v>5677</v>
      </c>
      <c r="D141" s="48">
        <v>139.0</v>
      </c>
      <c r="E141" s="48" t="s">
        <v>5584</v>
      </c>
    </row>
    <row r="142" ht="15.75" customHeight="1">
      <c r="A142" s="254" t="s">
        <v>1559</v>
      </c>
      <c r="B142" s="213" t="s">
        <v>1560</v>
      </c>
      <c r="C142" s="214" t="s">
        <v>5678</v>
      </c>
      <c r="D142" s="48">
        <v>140.0</v>
      </c>
      <c r="E142" s="48" t="s">
        <v>5584</v>
      </c>
    </row>
    <row r="143" ht="15.75" customHeight="1">
      <c r="A143" s="254" t="s">
        <v>1562</v>
      </c>
      <c r="B143" s="213" t="s">
        <v>1563</v>
      </c>
      <c r="C143" s="213"/>
      <c r="D143" s="48">
        <v>141.0</v>
      </c>
      <c r="E143" s="48" t="s">
        <v>5584</v>
      </c>
    </row>
    <row r="144" ht="15.75" customHeight="1">
      <c r="A144" s="254" t="s">
        <v>1564</v>
      </c>
      <c r="B144" s="213"/>
      <c r="C144" s="214" t="s">
        <v>5679</v>
      </c>
      <c r="D144" s="48">
        <v>142.0</v>
      </c>
      <c r="E144" s="48" t="s">
        <v>5584</v>
      </c>
    </row>
    <row r="145" ht="15.75" customHeight="1">
      <c r="A145" s="254" t="s">
        <v>1566</v>
      </c>
      <c r="B145" s="213" t="s">
        <v>1567</v>
      </c>
      <c r="C145" s="214" t="s">
        <v>5680</v>
      </c>
      <c r="D145" s="48">
        <v>143.0</v>
      </c>
      <c r="E145" s="48" t="s">
        <v>5584</v>
      </c>
    </row>
    <row r="146" ht="15.75" customHeight="1">
      <c r="A146" s="254" t="s">
        <v>1569</v>
      </c>
      <c r="B146" s="213" t="s">
        <v>1570</v>
      </c>
      <c r="C146" s="214" t="s">
        <v>5681</v>
      </c>
      <c r="D146" s="48">
        <v>144.0</v>
      </c>
      <c r="E146" s="48" t="s">
        <v>5584</v>
      </c>
    </row>
    <row r="147" ht="15.75" customHeight="1">
      <c r="A147" s="254" t="s">
        <v>1572</v>
      </c>
      <c r="B147" s="213" t="s">
        <v>1573</v>
      </c>
      <c r="C147" s="213" t="s">
        <v>198</v>
      </c>
      <c r="D147" s="48">
        <v>145.0</v>
      </c>
      <c r="E147" s="48" t="s">
        <v>5584</v>
      </c>
    </row>
    <row r="148" ht="15.75" customHeight="1">
      <c r="A148" s="254" t="s">
        <v>1574</v>
      </c>
      <c r="B148" s="213" t="s">
        <v>1575</v>
      </c>
      <c r="C148" s="214" t="s">
        <v>5682</v>
      </c>
      <c r="D148" s="48">
        <v>146.0</v>
      </c>
      <c r="E148" s="48" t="s">
        <v>5584</v>
      </c>
    </row>
    <row r="149" ht="15.75" customHeight="1">
      <c r="A149" s="213" t="s">
        <v>1577</v>
      </c>
      <c r="B149" s="213" t="s">
        <v>1578</v>
      </c>
      <c r="C149" s="214" t="s">
        <v>5683</v>
      </c>
      <c r="D149" s="48">
        <v>147.0</v>
      </c>
      <c r="E149" s="48"/>
    </row>
    <row r="150" ht="15.75" customHeight="1">
      <c r="A150" s="213" t="s">
        <v>1147</v>
      </c>
      <c r="B150" s="213" t="s">
        <v>1580</v>
      </c>
      <c r="C150" s="214" t="s">
        <v>5684</v>
      </c>
      <c r="D150" s="48">
        <v>148.0</v>
      </c>
      <c r="E150" s="48"/>
    </row>
    <row r="151" ht="15.75" customHeight="1">
      <c r="A151" s="213" t="s">
        <v>1582</v>
      </c>
      <c r="B151" s="213" t="s">
        <v>1136</v>
      </c>
      <c r="C151" s="214" t="s">
        <v>5585</v>
      </c>
      <c r="D151" s="48">
        <v>149.0</v>
      </c>
      <c r="E151" s="48"/>
    </row>
    <row r="152" ht="15.75" customHeight="1">
      <c r="A152" s="213" t="s">
        <v>1583</v>
      </c>
      <c r="B152" s="213" t="s">
        <v>1584</v>
      </c>
      <c r="C152" s="214" t="s">
        <v>5637</v>
      </c>
      <c r="D152" s="48">
        <v>150.0</v>
      </c>
      <c r="E152" s="48"/>
    </row>
    <row r="153" ht="15.75" customHeight="1">
      <c r="A153" s="213" t="s">
        <v>1585</v>
      </c>
      <c r="B153" s="213" t="s">
        <v>1028</v>
      </c>
      <c r="C153" s="214" t="s">
        <v>5560</v>
      </c>
      <c r="D153" s="48">
        <v>151.0</v>
      </c>
      <c r="E153" s="48"/>
    </row>
    <row r="154" ht="15.75" customHeight="1">
      <c r="A154" s="213" t="s">
        <v>1586</v>
      </c>
      <c r="B154" s="213" t="s">
        <v>1587</v>
      </c>
      <c r="C154" s="214" t="s">
        <v>5685</v>
      </c>
      <c r="D154" s="48">
        <v>152.0</v>
      </c>
      <c r="E154" s="48"/>
    </row>
    <row r="155" ht="15.75" customHeight="1">
      <c r="A155" s="213" t="s">
        <v>1564</v>
      </c>
      <c r="B155" s="213"/>
      <c r="C155" s="214" t="s">
        <v>5679</v>
      </c>
      <c r="D155" s="48">
        <v>153.0</v>
      </c>
      <c r="E155" s="48"/>
    </row>
    <row r="156" ht="15.75" customHeight="1">
      <c r="A156" s="213" t="s">
        <v>3830</v>
      </c>
      <c r="B156" s="213" t="s">
        <v>3831</v>
      </c>
      <c r="C156" s="214" t="s">
        <v>5686</v>
      </c>
      <c r="D156" s="48">
        <v>154.0</v>
      </c>
      <c r="E156" s="48"/>
    </row>
    <row r="157" ht="15.75" customHeight="1">
      <c r="A157" s="213" t="s">
        <v>3833</v>
      </c>
      <c r="B157" s="213" t="s">
        <v>3834</v>
      </c>
      <c r="C157" s="213" t="s">
        <v>198</v>
      </c>
      <c r="D157" s="48">
        <v>155.0</v>
      </c>
      <c r="E157" s="48"/>
    </row>
    <row r="158" ht="15.75" customHeight="1">
      <c r="A158" s="213" t="s">
        <v>5687</v>
      </c>
      <c r="B158" s="213"/>
      <c r="C158" s="214" t="s">
        <v>5688</v>
      </c>
      <c r="D158" s="48">
        <v>156.0</v>
      </c>
      <c r="E158" s="48"/>
    </row>
    <row r="159" ht="15.75" customHeight="1">
      <c r="A159" s="213" t="s">
        <v>3837</v>
      </c>
      <c r="B159" s="213"/>
      <c r="C159" s="214" t="s">
        <v>5689</v>
      </c>
      <c r="D159" s="48">
        <v>157.0</v>
      </c>
      <c r="E159" s="48"/>
    </row>
    <row r="160" ht="15.75" customHeight="1">
      <c r="A160" s="213" t="s">
        <v>3839</v>
      </c>
      <c r="B160" s="213"/>
      <c r="C160" s="214" t="s">
        <v>5690</v>
      </c>
      <c r="D160" s="48">
        <v>158.0</v>
      </c>
      <c r="E160" s="48"/>
    </row>
    <row r="161" ht="15.75" customHeight="1">
      <c r="A161" s="213" t="s">
        <v>3841</v>
      </c>
      <c r="B161" s="213"/>
      <c r="C161" s="214" t="s">
        <v>5691</v>
      </c>
      <c r="D161" s="48">
        <v>159.0</v>
      </c>
      <c r="E161" s="48"/>
    </row>
    <row r="162" ht="15.75" customHeight="1">
      <c r="A162" s="213" t="s">
        <v>3843</v>
      </c>
      <c r="B162" s="213" t="s">
        <v>3844</v>
      </c>
      <c r="C162" s="214" t="s">
        <v>5692</v>
      </c>
      <c r="D162" s="48">
        <v>160.0</v>
      </c>
      <c r="E162" s="48"/>
    </row>
    <row r="163" ht="15.75" customHeight="1">
      <c r="A163" s="213" t="s">
        <v>3845</v>
      </c>
      <c r="B163" s="213"/>
      <c r="C163" s="214" t="s">
        <v>5693</v>
      </c>
      <c r="D163" s="48">
        <v>161.0</v>
      </c>
      <c r="E163" s="48"/>
    </row>
    <row r="164" ht="15.75" customHeight="1">
      <c r="A164" s="213" t="s">
        <v>3847</v>
      </c>
      <c r="B164" s="48"/>
      <c r="C164" s="214" t="s">
        <v>5694</v>
      </c>
      <c r="D164" s="48">
        <v>162.0</v>
      </c>
      <c r="E164" s="48"/>
    </row>
    <row r="165" ht="15.75" customHeight="1">
      <c r="A165" s="213" t="s">
        <v>3849</v>
      </c>
      <c r="B165" s="213" t="s">
        <v>3850</v>
      </c>
      <c r="C165" s="214" t="s">
        <v>5695</v>
      </c>
      <c r="D165" s="48">
        <v>163.0</v>
      </c>
      <c r="E165" s="48"/>
    </row>
    <row r="166" ht="15.75" customHeight="1">
      <c r="A166" s="213" t="s">
        <v>3852</v>
      </c>
      <c r="B166" s="213"/>
      <c r="C166" s="214" t="s">
        <v>5696</v>
      </c>
      <c r="D166" s="48">
        <v>164.0</v>
      </c>
      <c r="E166" s="48"/>
    </row>
    <row r="167" ht="15.75" customHeight="1">
      <c r="A167" s="213" t="s">
        <v>3854</v>
      </c>
      <c r="B167" s="213"/>
      <c r="C167" s="214" t="s">
        <v>5697</v>
      </c>
      <c r="D167" s="48">
        <v>165.0</v>
      </c>
      <c r="E167" s="48"/>
    </row>
    <row r="168" ht="15.75" customHeight="1">
      <c r="A168" s="213" t="s">
        <v>3856</v>
      </c>
      <c r="B168" s="213" t="s">
        <v>3857</v>
      </c>
      <c r="C168" s="214" t="s">
        <v>5698</v>
      </c>
      <c r="D168" s="48">
        <v>166.0</v>
      </c>
      <c r="E168" s="48"/>
    </row>
    <row r="169" ht="15.75" customHeight="1">
      <c r="A169" s="213" t="s">
        <v>3859</v>
      </c>
      <c r="B169" s="213" t="s">
        <v>3860</v>
      </c>
      <c r="C169" s="214" t="s">
        <v>5699</v>
      </c>
      <c r="D169" s="48">
        <v>167.0</v>
      </c>
      <c r="E169" s="48"/>
    </row>
    <row r="170" ht="15.75" customHeight="1"/>
    <row r="171" ht="15.75" customHeight="1">
      <c r="A171" s="36"/>
      <c r="B171" s="36"/>
    </row>
    <row r="172" ht="15.75" customHeight="1">
      <c r="A172" s="36"/>
      <c r="B172" s="36"/>
    </row>
    <row r="173" ht="15.75" customHeight="1">
      <c r="A173" s="36"/>
      <c r="B173" s="36"/>
    </row>
    <row r="174" ht="15.75" customHeight="1">
      <c r="B174" s="36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>
      <c r="A231" s="258"/>
      <c r="B231" s="258"/>
      <c r="C231" s="258"/>
      <c r="D231" s="258"/>
      <c r="E231" s="258"/>
    </row>
    <row r="232" ht="15.75" customHeight="1">
      <c r="A232" s="48"/>
      <c r="B232" s="48"/>
      <c r="C232" s="48"/>
      <c r="D232" s="48"/>
      <c r="E232" s="48"/>
    </row>
    <row r="233" ht="15.75" customHeight="1">
      <c r="A233" s="48"/>
      <c r="B233" s="48"/>
      <c r="C233" s="48"/>
      <c r="D233" s="48"/>
      <c r="E233" s="48"/>
    </row>
    <row r="234" ht="15.75" customHeight="1">
      <c r="A234" s="48"/>
      <c r="B234" s="48"/>
      <c r="C234" s="48"/>
      <c r="D234" s="48"/>
      <c r="E234" s="48"/>
    </row>
    <row r="235" ht="15.75" customHeight="1">
      <c r="A235" s="48"/>
      <c r="B235" s="48"/>
      <c r="C235" s="48"/>
      <c r="D235" s="48"/>
      <c r="E235" s="48"/>
    </row>
    <row r="236" ht="15.75" customHeight="1">
      <c r="A236" s="48"/>
      <c r="B236" s="48"/>
      <c r="C236" s="48"/>
      <c r="D236" s="48"/>
      <c r="E236" s="48"/>
    </row>
    <row r="237" ht="15.75" customHeight="1">
      <c r="A237" s="48"/>
      <c r="B237" s="48"/>
      <c r="C237" s="48"/>
      <c r="D237" s="48"/>
      <c r="E237" s="48"/>
    </row>
    <row r="238" ht="15.75" customHeight="1">
      <c r="A238" s="48"/>
      <c r="B238" s="48"/>
      <c r="C238" s="48"/>
      <c r="D238" s="48"/>
      <c r="E238" s="48"/>
    </row>
    <row r="239" ht="15.75" customHeight="1">
      <c r="A239" s="48"/>
      <c r="B239" s="48"/>
      <c r="C239" s="48"/>
      <c r="D239" s="48"/>
      <c r="E239" s="48"/>
    </row>
    <row r="240" ht="15.75" customHeight="1">
      <c r="A240" s="48"/>
      <c r="B240" s="48"/>
      <c r="C240" s="48"/>
      <c r="D240" s="48"/>
      <c r="E240" s="48"/>
    </row>
    <row r="241" ht="15.75" customHeight="1">
      <c r="A241" s="48"/>
      <c r="B241" s="48"/>
      <c r="C241" s="48"/>
      <c r="D241" s="48"/>
      <c r="E241" s="48"/>
    </row>
    <row r="242" ht="15.75" customHeight="1">
      <c r="A242" s="48"/>
      <c r="B242" s="48"/>
      <c r="C242" s="48"/>
      <c r="D242" s="48"/>
      <c r="E242" s="48"/>
    </row>
    <row r="243" ht="15.75" customHeight="1">
      <c r="A243" s="48"/>
      <c r="B243" s="48"/>
      <c r="C243" s="48"/>
      <c r="D243" s="48"/>
      <c r="E243" s="48"/>
    </row>
    <row r="244" ht="15.75" customHeight="1">
      <c r="A244" s="48"/>
      <c r="B244" s="48"/>
      <c r="C244" s="48"/>
      <c r="D244" s="48"/>
      <c r="E244" s="48"/>
    </row>
    <row r="245" ht="15.75" customHeight="1">
      <c r="A245" s="48"/>
      <c r="B245" s="48"/>
      <c r="C245" s="48"/>
      <c r="D245" s="48"/>
      <c r="E245" s="48"/>
    </row>
    <row r="246" ht="15.75" customHeight="1">
      <c r="A246" s="48"/>
      <c r="B246" s="48"/>
      <c r="C246" s="48"/>
      <c r="D246" s="48"/>
      <c r="E246" s="48"/>
    </row>
    <row r="247" ht="15.75" customHeight="1">
      <c r="A247" s="48"/>
      <c r="B247" s="48"/>
      <c r="C247" s="48"/>
      <c r="D247" s="48"/>
      <c r="E247" s="48"/>
    </row>
    <row r="248" ht="15.75" customHeight="1">
      <c r="A248" s="48"/>
      <c r="B248" s="48"/>
      <c r="C248" s="48"/>
      <c r="D248" s="48"/>
      <c r="E248" s="48"/>
    </row>
    <row r="249" ht="15.75" customHeight="1">
      <c r="A249" s="48"/>
      <c r="B249" s="48"/>
      <c r="C249" s="48"/>
      <c r="D249" s="48"/>
      <c r="E249" s="48"/>
    </row>
    <row r="250" ht="15.75" customHeight="1">
      <c r="A250" s="48"/>
      <c r="B250" s="48"/>
      <c r="C250" s="48"/>
      <c r="D250" s="48"/>
      <c r="E250" s="48"/>
    </row>
    <row r="251" ht="15.75" customHeight="1">
      <c r="A251" s="48"/>
      <c r="B251" s="48"/>
      <c r="C251" s="48"/>
      <c r="D251" s="48"/>
      <c r="E251" s="48"/>
    </row>
    <row r="252" ht="15.75" customHeight="1">
      <c r="A252" s="48"/>
      <c r="B252" s="48"/>
      <c r="C252" s="48"/>
      <c r="D252" s="48"/>
      <c r="E252" s="48"/>
    </row>
    <row r="253" ht="15.75" customHeight="1">
      <c r="A253" s="48"/>
      <c r="B253" s="48"/>
      <c r="C253" s="48"/>
      <c r="D253" s="48"/>
      <c r="E253" s="48"/>
    </row>
    <row r="254" ht="15.75" customHeight="1">
      <c r="A254" s="48"/>
      <c r="B254" s="48"/>
      <c r="C254" s="48"/>
      <c r="D254" s="48"/>
      <c r="E254" s="48"/>
    </row>
    <row r="255" ht="15.75" customHeight="1">
      <c r="A255" s="48"/>
      <c r="B255" s="48"/>
      <c r="C255" s="48"/>
      <c r="D255" s="48"/>
      <c r="E255" s="48"/>
    </row>
    <row r="256" ht="15.75" customHeight="1">
      <c r="A256" s="48"/>
      <c r="B256" s="48"/>
      <c r="C256" s="48"/>
      <c r="D256" s="48"/>
      <c r="E256" s="48"/>
    </row>
    <row r="257" ht="15.75" customHeight="1">
      <c r="A257" s="48"/>
      <c r="B257" s="48"/>
      <c r="C257" s="48"/>
      <c r="D257" s="48"/>
      <c r="E257" s="48"/>
    </row>
    <row r="258" ht="15.75" customHeight="1">
      <c r="A258" s="48"/>
      <c r="B258" s="48"/>
      <c r="C258" s="48"/>
      <c r="D258" s="48"/>
      <c r="E258" s="48"/>
    </row>
    <row r="259" ht="15.75" customHeight="1">
      <c r="A259" s="48"/>
      <c r="B259" s="48"/>
      <c r="C259" s="48"/>
      <c r="D259" s="48"/>
      <c r="E259" s="48"/>
    </row>
    <row r="260" ht="15.75" customHeight="1">
      <c r="A260" s="48"/>
      <c r="B260" s="48"/>
      <c r="C260" s="48"/>
      <c r="D260" s="48"/>
      <c r="E260" s="48"/>
    </row>
    <row r="261" ht="15.75" customHeight="1">
      <c r="A261" s="48"/>
      <c r="B261" s="48"/>
      <c r="C261" s="48"/>
      <c r="D261" s="48"/>
      <c r="E261" s="48"/>
    </row>
    <row r="262" ht="15.75" customHeight="1">
      <c r="A262" s="48"/>
      <c r="B262" s="48"/>
      <c r="C262" s="48"/>
      <c r="D262" s="48"/>
      <c r="E262" s="48"/>
    </row>
    <row r="263" ht="15.75" customHeight="1">
      <c r="A263" s="48"/>
      <c r="B263" s="48"/>
      <c r="C263" s="48"/>
      <c r="D263" s="48"/>
      <c r="E263" s="48"/>
    </row>
    <row r="264" ht="15.75" customHeight="1">
      <c r="A264" s="48"/>
      <c r="B264" s="48"/>
      <c r="C264" s="48"/>
      <c r="D264" s="48"/>
      <c r="E264" s="48"/>
    </row>
    <row r="265" ht="15.75" customHeight="1">
      <c r="A265" s="48"/>
      <c r="B265" s="48"/>
      <c r="C265" s="48"/>
      <c r="D265" s="48"/>
      <c r="E265" s="48"/>
    </row>
    <row r="266" ht="15.75" customHeight="1">
      <c r="A266" s="48"/>
      <c r="B266" s="48"/>
      <c r="C266" s="48"/>
      <c r="D266" s="48"/>
      <c r="E266" s="48"/>
    </row>
    <row r="267" ht="15.75" customHeight="1">
      <c r="A267" s="48"/>
      <c r="B267" s="48"/>
      <c r="C267" s="48"/>
      <c r="D267" s="48"/>
      <c r="E267" s="48"/>
    </row>
    <row r="268" ht="15.75" customHeight="1">
      <c r="A268" s="48"/>
      <c r="B268" s="48"/>
      <c r="C268" s="48"/>
      <c r="D268" s="48"/>
      <c r="E268" s="48"/>
    </row>
    <row r="269" ht="15.75" customHeight="1">
      <c r="A269" s="48"/>
      <c r="B269" s="48"/>
      <c r="C269" s="48"/>
      <c r="D269" s="48"/>
      <c r="E269" s="48"/>
    </row>
    <row r="270" ht="15.75" customHeight="1">
      <c r="A270" s="48"/>
      <c r="B270" s="48"/>
      <c r="C270" s="48"/>
      <c r="D270" s="48"/>
      <c r="E270" s="48"/>
    </row>
    <row r="271" ht="15.75" customHeight="1">
      <c r="A271" s="48"/>
      <c r="B271" s="48"/>
      <c r="C271" s="48"/>
      <c r="D271" s="48"/>
      <c r="E271" s="48"/>
    </row>
    <row r="272" ht="15.75" customHeight="1">
      <c r="A272" s="48"/>
      <c r="B272" s="48"/>
      <c r="C272" s="48"/>
      <c r="D272" s="48"/>
      <c r="E272" s="48"/>
    </row>
    <row r="273" ht="15.75" customHeight="1">
      <c r="A273" s="48"/>
      <c r="B273" s="48"/>
      <c r="C273" s="48"/>
      <c r="D273" s="48"/>
      <c r="E273" s="48"/>
    </row>
    <row r="274" ht="15.75" customHeight="1">
      <c r="A274" s="48"/>
      <c r="B274" s="48"/>
      <c r="C274" s="48"/>
      <c r="D274" s="48"/>
      <c r="E274" s="48"/>
    </row>
    <row r="275" ht="15.75" customHeight="1">
      <c r="A275" s="48"/>
      <c r="B275" s="48"/>
      <c r="C275" s="48"/>
      <c r="D275" s="48"/>
      <c r="E275" s="48"/>
    </row>
    <row r="276" ht="15.75" customHeight="1">
      <c r="A276" s="48"/>
      <c r="B276" s="48"/>
      <c r="C276" s="48"/>
      <c r="D276" s="48"/>
      <c r="E276" s="48"/>
    </row>
    <row r="277" ht="15.75" customHeight="1">
      <c r="A277" s="48"/>
      <c r="B277" s="48"/>
      <c r="C277" s="48"/>
      <c r="D277" s="48"/>
      <c r="E277" s="48"/>
    </row>
    <row r="278" ht="15.75" customHeight="1">
      <c r="A278" s="48"/>
      <c r="B278" s="48"/>
      <c r="C278" s="48"/>
      <c r="D278" s="48"/>
      <c r="E278" s="48"/>
    </row>
    <row r="279" ht="15.75" customHeight="1">
      <c r="A279" s="48"/>
      <c r="B279" s="48"/>
      <c r="C279" s="48"/>
      <c r="D279" s="48"/>
      <c r="E279" s="48"/>
    </row>
    <row r="280" ht="15.75" customHeight="1">
      <c r="A280" s="48"/>
      <c r="B280" s="48"/>
      <c r="C280" s="48"/>
      <c r="D280" s="48"/>
      <c r="E280" s="48"/>
    </row>
    <row r="281" ht="15.75" customHeight="1">
      <c r="A281" s="48"/>
      <c r="B281" s="48"/>
      <c r="C281" s="48"/>
      <c r="D281" s="48"/>
      <c r="E281" s="48"/>
    </row>
    <row r="282" ht="15.75" customHeight="1">
      <c r="A282" s="48"/>
      <c r="B282" s="48"/>
      <c r="C282" s="48"/>
      <c r="D282" s="48"/>
      <c r="E282" s="48"/>
    </row>
    <row r="283" ht="15.75" customHeight="1">
      <c r="A283" s="48"/>
      <c r="B283" s="48"/>
      <c r="C283" s="48"/>
      <c r="D283" s="48"/>
      <c r="E283" s="48"/>
    </row>
    <row r="284" ht="15.75" customHeight="1">
      <c r="A284" s="48"/>
      <c r="B284" s="48"/>
      <c r="C284" s="48"/>
      <c r="D284" s="48"/>
      <c r="E284" s="48"/>
    </row>
    <row r="285" ht="15.75" customHeight="1">
      <c r="A285" s="48"/>
      <c r="B285" s="48"/>
      <c r="C285" s="48"/>
      <c r="D285" s="48"/>
      <c r="E285" s="48"/>
    </row>
    <row r="286" ht="15.75" customHeight="1">
      <c r="A286" s="48"/>
      <c r="B286" s="48"/>
      <c r="C286" s="48"/>
      <c r="D286" s="48"/>
      <c r="E286" s="48"/>
    </row>
    <row r="287" ht="15.75" customHeight="1">
      <c r="A287" s="48"/>
      <c r="B287" s="48"/>
      <c r="C287" s="48"/>
      <c r="D287" s="48"/>
      <c r="E287" s="48"/>
    </row>
    <row r="288" ht="15.75" customHeight="1">
      <c r="A288" s="48"/>
      <c r="B288" s="48"/>
      <c r="C288" s="48"/>
      <c r="D288" s="48"/>
      <c r="E288" s="48"/>
    </row>
    <row r="289" ht="15.75" customHeight="1">
      <c r="A289" s="48"/>
      <c r="B289" s="48"/>
      <c r="C289" s="48"/>
      <c r="D289" s="48"/>
      <c r="E289" s="48"/>
    </row>
    <row r="290" ht="15.75" customHeight="1">
      <c r="A290" s="48"/>
      <c r="B290" s="48"/>
      <c r="C290" s="48"/>
      <c r="D290" s="48"/>
      <c r="E290" s="48"/>
    </row>
    <row r="291" ht="15.75" customHeight="1">
      <c r="A291" s="48"/>
      <c r="B291" s="48"/>
      <c r="C291" s="48"/>
      <c r="D291" s="48"/>
      <c r="E291" s="48"/>
    </row>
    <row r="292" ht="15.75" customHeight="1">
      <c r="A292" s="48"/>
      <c r="B292" s="48"/>
      <c r="C292" s="48"/>
      <c r="D292" s="48"/>
      <c r="E292" s="48"/>
    </row>
    <row r="293" ht="15.75" customHeight="1">
      <c r="A293" s="48"/>
      <c r="B293" s="48"/>
      <c r="C293" s="48"/>
      <c r="D293" s="48"/>
      <c r="E293" s="48"/>
    </row>
    <row r="294" ht="15.75" customHeight="1">
      <c r="A294" s="48"/>
      <c r="B294" s="48"/>
      <c r="C294" s="48"/>
      <c r="D294" s="48"/>
      <c r="E294" s="48"/>
    </row>
    <row r="295" ht="15.75" customHeight="1">
      <c r="A295" s="48"/>
      <c r="B295" s="48"/>
      <c r="C295" s="48"/>
      <c r="D295" s="48"/>
      <c r="E295" s="48"/>
    </row>
    <row r="296" ht="15.75" customHeight="1">
      <c r="A296" s="48"/>
      <c r="B296" s="48"/>
      <c r="C296" s="48"/>
      <c r="D296" s="48"/>
      <c r="E296" s="48"/>
    </row>
    <row r="297" ht="15.75" customHeight="1">
      <c r="A297" s="48"/>
      <c r="B297" s="48"/>
      <c r="C297" s="48"/>
      <c r="D297" s="48"/>
      <c r="E297" s="48"/>
    </row>
    <row r="298" ht="15.75" customHeight="1">
      <c r="A298" s="48"/>
      <c r="B298" s="48"/>
      <c r="C298" s="48"/>
      <c r="D298" s="48"/>
      <c r="E298" s="48"/>
    </row>
    <row r="299" ht="15.75" customHeight="1">
      <c r="A299" s="48"/>
      <c r="B299" s="48"/>
      <c r="C299" s="48"/>
      <c r="D299" s="48"/>
      <c r="E299" s="48"/>
    </row>
    <row r="300" ht="15.75" customHeight="1">
      <c r="A300" s="48"/>
      <c r="B300" s="48"/>
      <c r="C300" s="48"/>
      <c r="D300" s="48"/>
      <c r="E300" s="48"/>
    </row>
    <row r="301" ht="15.75" customHeight="1">
      <c r="A301" s="48"/>
      <c r="B301" s="48"/>
      <c r="C301" s="48"/>
      <c r="D301" s="48"/>
      <c r="E301" s="48"/>
    </row>
    <row r="302" ht="15.75" customHeight="1">
      <c r="A302" s="48"/>
      <c r="B302" s="48"/>
      <c r="C302" s="48"/>
      <c r="D302" s="48"/>
      <c r="E302" s="48"/>
    </row>
    <row r="303" ht="15.75" customHeight="1">
      <c r="A303" s="48"/>
      <c r="B303" s="48"/>
      <c r="C303" s="48"/>
      <c r="D303" s="48"/>
      <c r="E303" s="48"/>
    </row>
    <row r="304" ht="15.75" customHeight="1">
      <c r="A304" s="48"/>
      <c r="B304" s="48"/>
      <c r="C304" s="48"/>
      <c r="D304" s="48"/>
      <c r="E304" s="48"/>
    </row>
    <row r="305" ht="15.75" customHeight="1">
      <c r="A305" s="48"/>
      <c r="B305" s="48"/>
      <c r="C305" s="48"/>
      <c r="D305" s="48"/>
      <c r="E305" s="48"/>
    </row>
    <row r="306" ht="15.75" customHeight="1">
      <c r="A306" s="48"/>
      <c r="B306" s="48"/>
      <c r="C306" s="48"/>
      <c r="D306" s="48"/>
      <c r="E306" s="48"/>
    </row>
    <row r="307" ht="15.75" customHeight="1">
      <c r="A307" s="48"/>
      <c r="B307" s="48"/>
      <c r="C307" s="48"/>
      <c r="D307" s="48"/>
      <c r="E307" s="48"/>
    </row>
    <row r="308" ht="15.75" customHeight="1">
      <c r="A308" s="48"/>
      <c r="B308" s="48"/>
      <c r="C308" s="48"/>
      <c r="D308" s="48"/>
      <c r="E308" s="48"/>
    </row>
    <row r="309" ht="15.75" customHeight="1">
      <c r="A309" s="48"/>
      <c r="B309" s="48"/>
      <c r="C309" s="48"/>
      <c r="D309" s="48"/>
      <c r="E309" s="48"/>
    </row>
    <row r="310" ht="15.75" customHeight="1">
      <c r="A310" s="48"/>
      <c r="B310" s="48"/>
      <c r="C310" s="48"/>
      <c r="D310" s="48"/>
      <c r="E310" s="48"/>
    </row>
    <row r="311" ht="15.75" customHeight="1">
      <c r="A311" s="48"/>
      <c r="B311" s="48"/>
      <c r="C311" s="48"/>
      <c r="D311" s="48"/>
      <c r="E311" s="48"/>
    </row>
    <row r="312" ht="15.75" customHeight="1">
      <c r="A312" s="48"/>
      <c r="B312" s="48"/>
      <c r="C312" s="48"/>
      <c r="D312" s="48"/>
      <c r="E312" s="48"/>
    </row>
    <row r="313" ht="15.75" customHeight="1">
      <c r="A313" s="48"/>
      <c r="B313" s="48"/>
      <c r="C313" s="48"/>
      <c r="D313" s="48"/>
      <c r="E313" s="48"/>
    </row>
    <row r="314" ht="15.75" customHeight="1">
      <c r="A314" s="48"/>
      <c r="B314" s="48"/>
      <c r="C314" s="48"/>
      <c r="D314" s="48"/>
      <c r="E314" s="48"/>
    </row>
    <row r="315" ht="15.75" customHeight="1">
      <c r="A315" s="48"/>
      <c r="B315" s="48"/>
      <c r="C315" s="48"/>
      <c r="D315" s="48"/>
      <c r="E315" s="48"/>
    </row>
    <row r="316" ht="15.75" customHeight="1">
      <c r="A316" s="48"/>
      <c r="B316" s="48"/>
      <c r="C316" s="48"/>
      <c r="D316" s="48"/>
      <c r="E316" s="48"/>
    </row>
    <row r="317" ht="15.75" customHeight="1">
      <c r="A317" s="48"/>
      <c r="B317" s="48"/>
      <c r="C317" s="48"/>
      <c r="D317" s="48"/>
      <c r="E317" s="48"/>
    </row>
    <row r="318" ht="15.75" customHeight="1">
      <c r="A318" s="48"/>
      <c r="B318" s="48"/>
      <c r="C318" s="48"/>
      <c r="D318" s="48"/>
      <c r="E318" s="48"/>
    </row>
    <row r="319" ht="15.75" customHeight="1">
      <c r="A319" s="48"/>
      <c r="B319" s="48"/>
      <c r="C319" s="48"/>
      <c r="D319" s="48"/>
      <c r="E319" s="48"/>
    </row>
    <row r="320" ht="15.75" customHeight="1">
      <c r="A320" s="48"/>
      <c r="B320" s="48"/>
      <c r="C320" s="48"/>
      <c r="D320" s="48"/>
      <c r="E320" s="48"/>
    </row>
    <row r="321" ht="15.75" customHeight="1">
      <c r="A321" s="48"/>
      <c r="B321" s="48"/>
      <c r="C321" s="48"/>
      <c r="D321" s="48"/>
      <c r="E321" s="48"/>
    </row>
    <row r="322" ht="15.75" customHeight="1">
      <c r="A322" s="48"/>
      <c r="B322" s="48"/>
      <c r="C322" s="48"/>
      <c r="D322" s="48"/>
      <c r="E322" s="48"/>
    </row>
    <row r="323" ht="15.75" customHeight="1">
      <c r="A323" s="48"/>
      <c r="B323" s="48"/>
      <c r="C323" s="48"/>
      <c r="D323" s="48"/>
      <c r="E323" s="48"/>
    </row>
    <row r="324" ht="15.75" customHeight="1">
      <c r="A324" s="48"/>
      <c r="B324" s="48"/>
      <c r="C324" s="48"/>
      <c r="D324" s="48"/>
      <c r="E324" s="48"/>
    </row>
    <row r="325" ht="15.75" customHeight="1">
      <c r="A325" s="48"/>
      <c r="B325" s="48"/>
      <c r="C325" s="48"/>
      <c r="D325" s="48"/>
      <c r="E325" s="48"/>
    </row>
    <row r="326" ht="15.75" customHeight="1">
      <c r="A326" s="48"/>
      <c r="B326" s="48"/>
      <c r="C326" s="48"/>
      <c r="D326" s="48"/>
      <c r="E326" s="48"/>
    </row>
    <row r="327" ht="15.75" customHeight="1">
      <c r="A327" s="48"/>
      <c r="B327" s="48"/>
      <c r="C327" s="48"/>
      <c r="D327" s="48"/>
      <c r="E327" s="48"/>
    </row>
    <row r="328" ht="15.75" customHeight="1">
      <c r="A328" s="48"/>
      <c r="B328" s="48"/>
      <c r="C328" s="48"/>
      <c r="D328" s="48"/>
      <c r="E328" s="48"/>
    </row>
    <row r="329" ht="15.75" customHeight="1">
      <c r="A329" s="48"/>
      <c r="B329" s="48"/>
      <c r="C329" s="48"/>
      <c r="D329" s="48"/>
      <c r="E329" s="48"/>
    </row>
    <row r="330" ht="15.75" customHeight="1">
      <c r="A330" s="48"/>
      <c r="B330" s="48"/>
      <c r="C330" s="48"/>
      <c r="D330" s="48"/>
      <c r="E330" s="48"/>
    </row>
    <row r="331" ht="15.75" customHeight="1">
      <c r="A331" s="48"/>
      <c r="B331" s="48"/>
      <c r="C331" s="48"/>
      <c r="D331" s="48"/>
      <c r="E331" s="48"/>
    </row>
    <row r="332" ht="15.75" customHeight="1">
      <c r="A332" s="48"/>
      <c r="B332" s="48"/>
      <c r="C332" s="48"/>
      <c r="D332" s="48"/>
      <c r="E332" s="48"/>
    </row>
    <row r="333" ht="15.75" customHeight="1">
      <c r="A333" s="48"/>
      <c r="B333" s="48"/>
      <c r="C333" s="48"/>
      <c r="D333" s="48"/>
      <c r="E333" s="48"/>
    </row>
    <row r="334" ht="15.75" customHeight="1">
      <c r="A334" s="48"/>
      <c r="B334" s="48"/>
      <c r="C334" s="48"/>
      <c r="D334" s="48"/>
      <c r="E334" s="48"/>
    </row>
    <row r="335" ht="15.75" customHeight="1">
      <c r="A335" s="48"/>
      <c r="B335" s="48"/>
      <c r="C335" s="48"/>
      <c r="D335" s="48"/>
      <c r="E335" s="48"/>
    </row>
    <row r="336" ht="15.75" customHeight="1">
      <c r="A336" s="48"/>
      <c r="B336" s="48"/>
      <c r="C336" s="48"/>
      <c r="D336" s="48"/>
      <c r="E336" s="48"/>
    </row>
    <row r="337" ht="15.75" customHeight="1">
      <c r="A337" s="48"/>
      <c r="B337" s="48"/>
      <c r="C337" s="48"/>
      <c r="D337" s="48"/>
      <c r="E337" s="48"/>
    </row>
    <row r="338" ht="15.75" customHeight="1">
      <c r="A338" s="48"/>
      <c r="B338" s="48"/>
      <c r="C338" s="48"/>
      <c r="D338" s="48"/>
      <c r="E338" s="48"/>
    </row>
    <row r="339" ht="15.75" customHeight="1">
      <c r="A339" s="48"/>
      <c r="B339" s="48"/>
      <c r="C339" s="48"/>
      <c r="D339" s="48"/>
      <c r="E339" s="48"/>
    </row>
    <row r="340" ht="15.75" customHeight="1">
      <c r="A340" s="48"/>
      <c r="B340" s="48"/>
      <c r="C340" s="48"/>
      <c r="D340" s="48"/>
      <c r="E340" s="48"/>
    </row>
    <row r="341" ht="15.75" customHeight="1">
      <c r="A341" s="48"/>
      <c r="B341" s="48"/>
      <c r="C341" s="48"/>
      <c r="D341" s="48"/>
      <c r="E341" s="48"/>
    </row>
    <row r="342" ht="15.75" customHeight="1">
      <c r="A342" s="48"/>
      <c r="B342" s="48"/>
      <c r="C342" s="48"/>
      <c r="D342" s="48"/>
      <c r="E342" s="48"/>
    </row>
    <row r="343" ht="15.75" customHeight="1">
      <c r="A343" s="48"/>
      <c r="B343" s="48"/>
      <c r="C343" s="48"/>
      <c r="D343" s="48"/>
      <c r="E343" s="48"/>
    </row>
    <row r="344" ht="15.75" customHeight="1">
      <c r="A344" s="48"/>
      <c r="B344" s="48"/>
      <c r="C344" s="48"/>
      <c r="D344" s="48"/>
      <c r="E344" s="48"/>
    </row>
    <row r="345" ht="15.75" customHeight="1">
      <c r="A345" s="48"/>
      <c r="B345" s="48"/>
      <c r="C345" s="48"/>
      <c r="D345" s="48"/>
      <c r="E345" s="48"/>
    </row>
    <row r="346" ht="15.75" customHeight="1">
      <c r="A346" s="48"/>
      <c r="B346" s="48"/>
      <c r="C346" s="48"/>
      <c r="D346" s="48"/>
      <c r="E346" s="48"/>
    </row>
    <row r="347" ht="15.75" customHeight="1">
      <c r="A347" s="48"/>
      <c r="B347" s="48"/>
      <c r="C347" s="48"/>
      <c r="D347" s="48"/>
      <c r="E347" s="48"/>
    </row>
    <row r="348" ht="15.75" customHeight="1">
      <c r="A348" s="48"/>
      <c r="B348" s="48"/>
      <c r="C348" s="48"/>
      <c r="D348" s="48"/>
      <c r="E348" s="48"/>
    </row>
    <row r="349" ht="15.75" customHeight="1">
      <c r="A349" s="48"/>
      <c r="B349" s="48"/>
      <c r="C349" s="48"/>
      <c r="D349" s="48"/>
      <c r="E349" s="48"/>
    </row>
    <row r="350" ht="15.75" customHeight="1">
      <c r="A350" s="48"/>
      <c r="B350" s="48"/>
      <c r="C350" s="48"/>
      <c r="D350" s="48"/>
      <c r="E350" s="48"/>
    </row>
    <row r="351" ht="15.75" customHeight="1">
      <c r="A351" s="48"/>
      <c r="B351" s="48"/>
      <c r="C351" s="48"/>
      <c r="D351" s="48"/>
      <c r="E351" s="48"/>
    </row>
    <row r="352" ht="15.75" customHeight="1">
      <c r="A352" s="48"/>
      <c r="B352" s="48"/>
      <c r="C352" s="48"/>
      <c r="D352" s="48"/>
      <c r="E352" s="48"/>
    </row>
    <row r="353" ht="15.75" customHeight="1">
      <c r="A353" s="48"/>
      <c r="B353" s="48"/>
      <c r="C353" s="48"/>
      <c r="D353" s="48"/>
      <c r="E353" s="48"/>
    </row>
    <row r="354" ht="15.75" customHeight="1">
      <c r="A354" s="48"/>
      <c r="B354" s="48"/>
      <c r="C354" s="48"/>
      <c r="D354" s="48"/>
      <c r="E354" s="48"/>
    </row>
    <row r="355" ht="15.75" customHeight="1">
      <c r="A355" s="48"/>
      <c r="B355" s="48"/>
      <c r="C355" s="48"/>
      <c r="D355" s="48"/>
      <c r="E355" s="48"/>
    </row>
    <row r="356" ht="15.75" customHeight="1">
      <c r="A356" s="48"/>
      <c r="B356" s="48"/>
      <c r="C356" s="48"/>
      <c r="D356" s="48"/>
      <c r="E356" s="48"/>
    </row>
    <row r="357" ht="15.75" customHeight="1">
      <c r="A357" s="48"/>
      <c r="B357" s="48"/>
      <c r="C357" s="48"/>
      <c r="D357" s="48"/>
      <c r="E357" s="48"/>
    </row>
    <row r="358" ht="15.75" customHeight="1">
      <c r="A358" s="48"/>
      <c r="B358" s="48"/>
      <c r="C358" s="48"/>
      <c r="D358" s="48"/>
      <c r="E358" s="48"/>
    </row>
    <row r="359" ht="15.75" customHeight="1">
      <c r="A359" s="48"/>
      <c r="B359" s="48"/>
      <c r="C359" s="48"/>
      <c r="D359" s="48"/>
      <c r="E359" s="48"/>
    </row>
    <row r="360" ht="15.75" customHeight="1">
      <c r="A360" s="48"/>
      <c r="B360" s="48"/>
      <c r="C360" s="48"/>
      <c r="D360" s="48"/>
      <c r="E360" s="48"/>
    </row>
    <row r="361" ht="15.75" customHeight="1">
      <c r="A361" s="48"/>
      <c r="B361" s="48"/>
      <c r="C361" s="48"/>
      <c r="D361" s="48"/>
      <c r="E361" s="48"/>
    </row>
    <row r="362" ht="15.75" customHeight="1">
      <c r="A362" s="48"/>
      <c r="B362" s="48"/>
      <c r="C362" s="48"/>
      <c r="D362" s="48"/>
      <c r="E362" s="48"/>
    </row>
    <row r="363" ht="15.75" customHeight="1">
      <c r="A363" s="48"/>
      <c r="B363" s="48"/>
      <c r="C363" s="48"/>
      <c r="D363" s="48"/>
      <c r="E363" s="48"/>
    </row>
    <row r="364" ht="15.75" customHeight="1">
      <c r="A364" s="48"/>
      <c r="B364" s="48"/>
      <c r="C364" s="48"/>
      <c r="D364" s="48"/>
      <c r="E364" s="48"/>
    </row>
    <row r="365" ht="15.75" customHeight="1">
      <c r="A365" s="48"/>
      <c r="B365" s="48"/>
      <c r="C365" s="48"/>
      <c r="D365" s="48"/>
      <c r="E365" s="48"/>
    </row>
    <row r="366" ht="15.75" customHeight="1">
      <c r="A366" s="48"/>
      <c r="B366" s="48"/>
      <c r="C366" s="48"/>
      <c r="D366" s="48"/>
      <c r="E366" s="48"/>
    </row>
    <row r="367" ht="15.75" customHeight="1">
      <c r="A367" s="48"/>
      <c r="B367" s="48"/>
      <c r="C367" s="48"/>
      <c r="D367" s="48"/>
      <c r="E367" s="48"/>
    </row>
    <row r="368" ht="15.75" customHeight="1">
      <c r="A368" s="48"/>
      <c r="B368" s="48"/>
      <c r="C368" s="48"/>
      <c r="D368" s="48"/>
      <c r="E368" s="48"/>
    </row>
    <row r="369" ht="15.75" customHeight="1">
      <c r="A369" s="48"/>
      <c r="B369" s="48"/>
      <c r="C369" s="48"/>
      <c r="D369" s="48"/>
      <c r="E369" s="48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4.0"/>
    <col customWidth="1" min="3" max="3" width="24.43"/>
    <col customWidth="1" min="4" max="4" width="5.57"/>
    <col customWidth="1" min="5" max="6" width="14.43"/>
  </cols>
  <sheetData>
    <row r="1" ht="15.75" customHeight="1">
      <c r="A1" s="259" t="s">
        <v>4875</v>
      </c>
      <c r="B1" s="260"/>
      <c r="C1" s="261"/>
      <c r="D1" s="48"/>
      <c r="E1" s="48"/>
    </row>
    <row r="2" ht="15.75" customHeight="1">
      <c r="A2" s="262"/>
      <c r="B2" s="263"/>
      <c r="C2" s="264"/>
      <c r="D2" s="48"/>
      <c r="E2" s="48"/>
    </row>
    <row r="3" ht="15.75" customHeight="1">
      <c r="A3" s="34" t="s">
        <v>942</v>
      </c>
      <c r="B3" s="34" t="s">
        <v>943</v>
      </c>
      <c r="C3" s="34"/>
      <c r="D3" s="34">
        <v>1.0</v>
      </c>
      <c r="E3" s="34" t="s">
        <v>4977</v>
      </c>
    </row>
    <row r="4" ht="15.75" customHeight="1">
      <c r="A4" s="34" t="s">
        <v>961</v>
      </c>
      <c r="B4" s="34" t="s">
        <v>962</v>
      </c>
      <c r="C4" s="35" t="s">
        <v>963</v>
      </c>
      <c r="D4" s="34">
        <v>2.0</v>
      </c>
      <c r="E4" s="34" t="s">
        <v>4977</v>
      </c>
    </row>
    <row r="5" ht="15.75" customHeight="1">
      <c r="A5" s="34" t="s">
        <v>1453</v>
      </c>
      <c r="B5" s="34" t="s">
        <v>1454</v>
      </c>
      <c r="C5" s="35" t="s">
        <v>1455</v>
      </c>
      <c r="D5" s="34">
        <v>3.0</v>
      </c>
      <c r="E5" s="34" t="s">
        <v>4977</v>
      </c>
    </row>
    <row r="6" ht="15.75" customHeight="1">
      <c r="A6" s="34" t="s">
        <v>1589</v>
      </c>
      <c r="B6" s="34" t="s">
        <v>1590</v>
      </c>
      <c r="C6" s="35" t="s">
        <v>1591</v>
      </c>
      <c r="D6" s="34">
        <v>4.0</v>
      </c>
      <c r="E6" s="34" t="s">
        <v>4977</v>
      </c>
    </row>
    <row r="7" ht="15.75" customHeight="1">
      <c r="A7" s="34" t="s">
        <v>1592</v>
      </c>
      <c r="B7" s="34" t="s">
        <v>1593</v>
      </c>
      <c r="C7" s="96"/>
      <c r="D7" s="34">
        <v>5.0</v>
      </c>
      <c r="E7" s="34" t="s">
        <v>4977</v>
      </c>
    </row>
    <row r="8" ht="15.75" customHeight="1">
      <c r="A8" s="34" t="s">
        <v>1594</v>
      </c>
      <c r="B8" s="34" t="s">
        <v>1595</v>
      </c>
      <c r="C8" s="35" t="s">
        <v>1596</v>
      </c>
      <c r="D8" s="34">
        <v>6.0</v>
      </c>
      <c r="E8" s="34" t="s">
        <v>4977</v>
      </c>
    </row>
    <row r="9" ht="15.75" customHeight="1">
      <c r="A9" s="34" t="s">
        <v>1597</v>
      </c>
      <c r="B9" s="34" t="s">
        <v>1598</v>
      </c>
      <c r="C9" s="35" t="s">
        <v>1599</v>
      </c>
      <c r="D9" s="34">
        <v>7.0</v>
      </c>
      <c r="E9" s="34" t="s">
        <v>4977</v>
      </c>
    </row>
    <row r="10" ht="15.75" customHeight="1">
      <c r="A10" s="34" t="s">
        <v>1600</v>
      </c>
      <c r="B10" s="34" t="s">
        <v>478</v>
      </c>
      <c r="C10" s="35" t="s">
        <v>1601</v>
      </c>
      <c r="D10" s="34">
        <v>8.0</v>
      </c>
      <c r="E10" s="34" t="s">
        <v>4977</v>
      </c>
    </row>
    <row r="11" ht="15.75" customHeight="1">
      <c r="A11" s="34" t="s">
        <v>1602</v>
      </c>
      <c r="B11" s="34" t="s">
        <v>1603</v>
      </c>
      <c r="C11" s="35" t="s">
        <v>1604</v>
      </c>
      <c r="D11" s="34">
        <v>9.0</v>
      </c>
      <c r="E11" s="34" t="s">
        <v>4977</v>
      </c>
    </row>
    <row r="12" ht="15.75" customHeight="1">
      <c r="A12" s="34" t="s">
        <v>1605</v>
      </c>
      <c r="B12" s="34" t="s">
        <v>1606</v>
      </c>
      <c r="C12" s="35" t="s">
        <v>1607</v>
      </c>
      <c r="D12" s="34">
        <v>10.0</v>
      </c>
      <c r="E12" s="34" t="s">
        <v>4977</v>
      </c>
    </row>
    <row r="13" ht="15.75" customHeight="1">
      <c r="A13" s="34" t="s">
        <v>1608</v>
      </c>
      <c r="B13" s="34" t="s">
        <v>1609</v>
      </c>
      <c r="C13" s="96"/>
      <c r="D13" s="34">
        <v>11.0</v>
      </c>
      <c r="E13" s="34" t="s">
        <v>4977</v>
      </c>
    </row>
    <row r="14" ht="15.75" customHeight="1">
      <c r="A14" s="34" t="s">
        <v>1610</v>
      </c>
      <c r="B14" s="34" t="s">
        <v>1611</v>
      </c>
      <c r="C14" s="35" t="s">
        <v>1612</v>
      </c>
      <c r="D14" s="34">
        <v>12.0</v>
      </c>
      <c r="E14" s="34" t="s">
        <v>4977</v>
      </c>
    </row>
    <row r="15" ht="15.75" customHeight="1">
      <c r="A15" s="34" t="s">
        <v>1613</v>
      </c>
      <c r="B15" s="34" t="s">
        <v>1614</v>
      </c>
      <c r="C15" s="35" t="s">
        <v>1615</v>
      </c>
      <c r="D15" s="34">
        <v>13.0</v>
      </c>
      <c r="E15" s="34" t="s">
        <v>4977</v>
      </c>
    </row>
    <row r="16" ht="15.75" customHeight="1">
      <c r="A16" s="34" t="s">
        <v>1616</v>
      </c>
      <c r="B16" s="34" t="s">
        <v>1617</v>
      </c>
      <c r="C16" s="35" t="s">
        <v>1618</v>
      </c>
      <c r="D16" s="34">
        <v>14.0</v>
      </c>
      <c r="E16" s="34" t="s">
        <v>4977</v>
      </c>
    </row>
    <row r="17" ht="15.75" customHeight="1">
      <c r="A17" s="34" t="s">
        <v>1619</v>
      </c>
      <c r="B17" s="34"/>
      <c r="C17" s="35" t="s">
        <v>1620</v>
      </c>
      <c r="D17" s="34">
        <v>15.0</v>
      </c>
      <c r="E17" s="34" t="s">
        <v>4977</v>
      </c>
    </row>
    <row r="18" ht="15.75" customHeight="1">
      <c r="A18" s="34" t="s">
        <v>1621</v>
      </c>
      <c r="B18" s="34" t="s">
        <v>1622</v>
      </c>
      <c r="C18" s="35" t="s">
        <v>1623</v>
      </c>
      <c r="D18" s="34">
        <v>16.0</v>
      </c>
      <c r="E18" s="34" t="s">
        <v>4977</v>
      </c>
    </row>
    <row r="19" ht="15.75" customHeight="1">
      <c r="A19" s="34" t="s">
        <v>1624</v>
      </c>
      <c r="B19" s="34" t="s">
        <v>1625</v>
      </c>
      <c r="C19" s="35" t="s">
        <v>1626</v>
      </c>
      <c r="D19" s="34">
        <v>17.0</v>
      </c>
      <c r="E19" s="34" t="s">
        <v>4977</v>
      </c>
    </row>
    <row r="20" ht="15.75" customHeight="1">
      <c r="A20" s="34" t="s">
        <v>1627</v>
      </c>
      <c r="B20" s="34" t="s">
        <v>1628</v>
      </c>
      <c r="C20" s="35" t="s">
        <v>1629</v>
      </c>
      <c r="D20" s="34">
        <v>18.0</v>
      </c>
      <c r="E20" s="34" t="s">
        <v>4977</v>
      </c>
    </row>
    <row r="21" ht="15.75" customHeight="1">
      <c r="A21" s="34" t="s">
        <v>1630</v>
      </c>
      <c r="B21" s="34" t="s">
        <v>1631</v>
      </c>
      <c r="C21" s="35" t="s">
        <v>1632</v>
      </c>
      <c r="D21" s="34">
        <v>19.0</v>
      </c>
      <c r="E21" s="34" t="s">
        <v>4977</v>
      </c>
    </row>
    <row r="22" ht="15.75" customHeight="1">
      <c r="A22" s="34" t="s">
        <v>1633</v>
      </c>
      <c r="B22" s="34" t="s">
        <v>1634</v>
      </c>
      <c r="C22" s="35" t="s">
        <v>1635</v>
      </c>
      <c r="D22" s="34">
        <v>20.0</v>
      </c>
      <c r="E22" s="34" t="s">
        <v>4977</v>
      </c>
    </row>
    <row r="23" ht="15.75" customHeight="1">
      <c r="A23" s="34" t="s">
        <v>1636</v>
      </c>
      <c r="B23" s="34" t="s">
        <v>1637</v>
      </c>
      <c r="C23" s="35" t="s">
        <v>1638</v>
      </c>
      <c r="D23" s="34">
        <v>21.0</v>
      </c>
      <c r="E23" s="34" t="s">
        <v>4977</v>
      </c>
    </row>
    <row r="24" ht="15.75" customHeight="1">
      <c r="A24" s="34" t="s">
        <v>1639</v>
      </c>
      <c r="B24" s="34" t="s">
        <v>1640</v>
      </c>
      <c r="C24" s="35" t="s">
        <v>1641</v>
      </c>
      <c r="D24" s="34">
        <v>22.0</v>
      </c>
      <c r="E24" s="34" t="s">
        <v>4977</v>
      </c>
    </row>
    <row r="25" ht="15.75" customHeight="1">
      <c r="A25" s="34" t="s">
        <v>1642</v>
      </c>
      <c r="B25" s="34" t="s">
        <v>1643</v>
      </c>
      <c r="C25" s="96"/>
      <c r="D25" s="34">
        <v>23.0</v>
      </c>
      <c r="E25" s="34" t="s">
        <v>4977</v>
      </c>
    </row>
    <row r="26" ht="15.75" customHeight="1">
      <c r="A26" s="34" t="s">
        <v>1644</v>
      </c>
      <c r="B26" s="34" t="s">
        <v>1645</v>
      </c>
      <c r="C26" s="35" t="s">
        <v>1646</v>
      </c>
      <c r="D26" s="34">
        <v>24.0</v>
      </c>
      <c r="E26" s="34" t="s">
        <v>4977</v>
      </c>
    </row>
    <row r="27" ht="15.75" customHeight="1">
      <c r="A27" s="34" t="s">
        <v>1647</v>
      </c>
      <c r="B27" s="34" t="s">
        <v>1648</v>
      </c>
      <c r="C27" s="35" t="s">
        <v>1649</v>
      </c>
      <c r="D27" s="34">
        <v>25.0</v>
      </c>
      <c r="E27" s="34" t="s">
        <v>4977</v>
      </c>
    </row>
    <row r="28" ht="15.75" customHeight="1">
      <c r="A28" s="48" t="s">
        <v>1650</v>
      </c>
      <c r="B28" s="48" t="s">
        <v>1651</v>
      </c>
      <c r="C28" s="63"/>
      <c r="D28" s="48">
        <v>26.0</v>
      </c>
      <c r="E28" s="48"/>
    </row>
    <row r="29" ht="15.75" customHeight="1">
      <c r="A29" s="34" t="s">
        <v>1652</v>
      </c>
      <c r="B29" s="34" t="s">
        <v>1653</v>
      </c>
      <c r="C29" s="35" t="s">
        <v>1654</v>
      </c>
      <c r="D29" s="48">
        <v>27.0</v>
      </c>
      <c r="E29" s="48" t="s">
        <v>719</v>
      </c>
    </row>
    <row r="30" ht="15.75" customHeight="1">
      <c r="A30" s="34" t="s">
        <v>4777</v>
      </c>
      <c r="B30" s="34"/>
      <c r="C30" s="35" t="s">
        <v>4778</v>
      </c>
      <c r="D30" s="48">
        <v>28.0</v>
      </c>
      <c r="E30" s="48" t="s">
        <v>719</v>
      </c>
    </row>
    <row r="31" ht="15.75" customHeight="1">
      <c r="A31" s="34" t="s">
        <v>4779</v>
      </c>
      <c r="B31" s="34" t="s">
        <v>4780</v>
      </c>
      <c r="C31" s="35" t="s">
        <v>4781</v>
      </c>
      <c r="D31" s="34">
        <v>29.0</v>
      </c>
      <c r="E31" s="34" t="s">
        <v>367</v>
      </c>
    </row>
    <row r="32" ht="15.75" customHeight="1">
      <c r="A32" s="34" t="s">
        <v>4782</v>
      </c>
      <c r="B32" s="34" t="s">
        <v>4783</v>
      </c>
      <c r="C32" s="35" t="s">
        <v>4784</v>
      </c>
      <c r="D32" s="34">
        <v>30.0</v>
      </c>
      <c r="E32" s="34" t="s">
        <v>5044</v>
      </c>
    </row>
    <row r="33" ht="15.75" customHeight="1">
      <c r="A33" s="34" t="s">
        <v>4785</v>
      </c>
      <c r="B33" s="34" t="s">
        <v>4786</v>
      </c>
      <c r="C33" s="35" t="s">
        <v>4787</v>
      </c>
      <c r="D33" s="34">
        <v>31.0</v>
      </c>
      <c r="E33" s="34" t="s">
        <v>5044</v>
      </c>
    </row>
    <row r="34" ht="15.75" customHeight="1">
      <c r="A34" s="34" t="s">
        <v>4788</v>
      </c>
      <c r="B34" s="34" t="s">
        <v>4789</v>
      </c>
      <c r="C34" s="35" t="s">
        <v>4790</v>
      </c>
      <c r="D34" s="34">
        <v>32.0</v>
      </c>
      <c r="E34" s="34" t="s">
        <v>5044</v>
      </c>
    </row>
    <row r="35" ht="15.75" customHeight="1">
      <c r="A35" s="34" t="s">
        <v>4791</v>
      </c>
      <c r="B35" s="34" t="s">
        <v>4792</v>
      </c>
      <c r="C35" s="35" t="s">
        <v>4793</v>
      </c>
      <c r="D35" s="34">
        <v>33.0</v>
      </c>
      <c r="E35" s="34" t="s">
        <v>5044</v>
      </c>
    </row>
    <row r="36" ht="15.75" customHeight="1">
      <c r="A36" s="34" t="s">
        <v>4794</v>
      </c>
      <c r="B36" s="34" t="s">
        <v>4795</v>
      </c>
      <c r="C36" s="35" t="s">
        <v>4796</v>
      </c>
      <c r="D36" s="34">
        <v>34.0</v>
      </c>
      <c r="E36" s="34" t="s">
        <v>5044</v>
      </c>
    </row>
    <row r="37" ht="15.75" customHeight="1">
      <c r="A37" s="34" t="s">
        <v>4774</v>
      </c>
      <c r="B37" s="34" t="s">
        <v>4775</v>
      </c>
      <c r="C37" s="35" t="s">
        <v>4776</v>
      </c>
      <c r="D37" s="34">
        <v>35.0</v>
      </c>
      <c r="E37" s="34" t="s">
        <v>785</v>
      </c>
    </row>
    <row r="38" ht="15.75" customHeight="1">
      <c r="A38" s="34" t="s">
        <v>5700</v>
      </c>
      <c r="B38" s="34"/>
      <c r="C38" s="35" t="s">
        <v>4214</v>
      </c>
      <c r="D38" s="34">
        <v>36.0</v>
      </c>
      <c r="E38" s="34" t="s">
        <v>785</v>
      </c>
    </row>
    <row r="39" ht="15.75" customHeight="1">
      <c r="A39" s="34" t="s">
        <v>1878</v>
      </c>
      <c r="B39" s="34"/>
      <c r="C39" s="35" t="s">
        <v>4214</v>
      </c>
      <c r="D39" s="34">
        <v>37.0</v>
      </c>
      <c r="E39" s="34" t="s">
        <v>785</v>
      </c>
    </row>
    <row r="40" ht="15.75" customHeight="1">
      <c r="A40" s="34" t="s">
        <v>1880</v>
      </c>
      <c r="B40" s="34"/>
      <c r="C40" s="35" t="s">
        <v>1882</v>
      </c>
      <c r="D40" s="34">
        <v>38.0</v>
      </c>
      <c r="E40" s="34" t="s">
        <v>785</v>
      </c>
    </row>
    <row r="41" ht="15.75" customHeight="1">
      <c r="A41" s="34" t="s">
        <v>4742</v>
      </c>
      <c r="B41" s="34" t="s">
        <v>4743</v>
      </c>
      <c r="C41" s="35" t="s">
        <v>4744</v>
      </c>
      <c r="D41" s="34">
        <v>39.0</v>
      </c>
      <c r="E41" s="34" t="s">
        <v>785</v>
      </c>
    </row>
    <row r="42" ht="15.75" customHeight="1"/>
    <row r="43" ht="15.75" customHeight="1"/>
    <row r="44" ht="15.75" customHeight="1"/>
    <row r="45" ht="15.75" customHeight="1">
      <c r="A45" s="36"/>
      <c r="B45" s="36"/>
      <c r="D45" s="36"/>
    </row>
    <row r="46" ht="15.75" customHeight="1">
      <c r="A46" s="36"/>
      <c r="B46" s="36"/>
    </row>
    <row r="47" ht="15.75" customHeight="1">
      <c r="A47" s="36"/>
      <c r="B47" s="3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drawing r:id="rId1"/>
</worksheet>
</file>