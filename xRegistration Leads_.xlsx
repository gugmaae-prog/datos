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ation  2019" sheetId="1" r:id="rId4"/>
    <sheet state="visible" name="Registration Leads 2018" sheetId="2" r:id="rId5"/>
    <sheet state="visible" name="Nigeria Leads" sheetId="3" r:id="rId6"/>
    <sheet state="visible" name="FB Leads China Events" sheetId="4" r:id="rId7"/>
    <sheet state="visible" name="Facebook Almalfi Villa" sheetId="5" r:id="rId8"/>
    <sheet state="visible" name="Facebook Leads Singapore" sheetId="6" r:id="rId9"/>
    <sheet state="visible" name="nilgerian main data base" sheetId="7" r:id="rId10"/>
    <sheet state="visible" name="SINGAPORE EVENTS" sheetId="8" r:id="rId11"/>
  </sheets>
  <definedNames>
    <definedName hidden="1" localSheetId="0" name="_xlnm._FilterDatabase">'Registration  2019'!$A$1:$AH$150</definedName>
    <definedName hidden="1" localSheetId="1" name="_xlnm._FilterDatabase">'Registration Leads 2018'!$D$1:$D$2998</definedName>
    <definedName hidden="1" localSheetId="5" name="_xlnm._FilterDatabase">'Facebook Leads Singapore'!$C$1:$C$1008</definedName>
    <definedName hidden="1" localSheetId="6" name="_xlnm._FilterDatabase">'nilgerian main data base'!$A$1:$Y$175</definedName>
    <definedName hidden="1" localSheetId="1" name="Z_FC93029B_24E2_47D4_8C46_8643EDEBABD3_.wvu.FilterData">'Registration Leads 2018'!$A$1:$J$274</definedName>
    <definedName hidden="1" localSheetId="1" name="Z_B2907CDC_987C_4526_A708_BA6757E701E3_.wvu.FilterData">'Registration Leads 2018'!$I$1:$I$998</definedName>
    <definedName hidden="1" localSheetId="1" name="Z_4D85D448_EB4E_4A1E_A47D_261D6EB3B089_.wvu.FilterData">'Registration Leads 2018'!$I$1:$I$1998</definedName>
    <definedName hidden="1" localSheetId="0" name="Z_12CB2CCC_8D27_44DB_9F40_633793C33FFC_.wvu.FilterData">'Registration  2019'!$A$1:$AH$150</definedName>
    <definedName hidden="1" localSheetId="1" name="Z_12CB2CCC_8D27_44DB_9F40_633793C33FFC_.wvu.FilterData">'Registration Leads 2018'!$I$71:$J$138</definedName>
    <definedName hidden="1" localSheetId="3" name="Z_12CB2CCC_8D27_44DB_9F40_633793C33FFC_.wvu.FilterData">'FB Leads China Events'!$A$1:$AA$121</definedName>
    <definedName hidden="1" localSheetId="1" name="Z_341F73BF_F400_48DD_B434_4EDBF1053A5C_.wvu.FilterData">'Registration Leads 2018'!$A$1:$AG$274</definedName>
    <definedName hidden="1" localSheetId="3" name="Z_341F73BF_F400_48DD_B434_4EDBF1053A5C_.wvu.FilterData">'FB Leads China Events'!$F$1:$F$121</definedName>
    <definedName hidden="1" localSheetId="0" name="Z_A7FEB666_445D_48CC_9CDF_55921C2C9E74_.wvu.FilterData">'Registration  2019'!$A$1:$J$150</definedName>
    <definedName hidden="1" localSheetId="1" name="Z_A7FEB666_445D_48CC_9CDF_55921C2C9E74_.wvu.FilterData">'Registration Leads 2018'!$C$1:$C$998</definedName>
    <definedName hidden="1" localSheetId="2" name="Z_A7FEB666_445D_48CC_9CDF_55921C2C9E74_.wvu.FilterData">'Nigeria Leads'!$A$1:$Z$2270</definedName>
    <definedName hidden="1" localSheetId="3" name="Z_A7FEB666_445D_48CC_9CDF_55921C2C9E74_.wvu.FilterData">'FB Leads China Events'!$G$1:$G$121</definedName>
    <definedName hidden="1" localSheetId="5" name="Z_A7FEB666_445D_48CC_9CDF_55921C2C9E74_.wvu.FilterData">'Facebook Leads Singapore'!$A$1:$AA$109</definedName>
    <definedName hidden="1" localSheetId="1" name="Z_7D4F7E42_2FE6_4529_8405_C02FFB0C26F9_.wvu.FilterData">'Registration Leads 2018'!$G$1:$G$1998</definedName>
    <definedName hidden="1" localSheetId="1" name="Z_907F8D9F_12E0_4B00_BEC1_FFF6D99478B6_.wvu.FilterData">'Registration Leads 2018'!$I$1:$I$998</definedName>
    <definedName hidden="1" localSheetId="1" name="Z_81861F5D_CB05_46E0_BCFB_BABE13E8E2F3_.wvu.FilterData">'Registration Leads 2018'!$G$1:$G$1005</definedName>
    <definedName hidden="1" localSheetId="3" name="Z_81861F5D_CB05_46E0_BCFB_BABE13E8E2F3_.wvu.FilterData">'FB Leads China Events'!$A$1:$AA$99</definedName>
    <definedName hidden="1" localSheetId="0" name="Z_E3432889_4B8C_4A16_BA7C_BA7887E47210_.wvu.FilterData">'Registration  2019'!$A$1:$AH$196</definedName>
    <definedName hidden="1" localSheetId="1" name="Z_E3432889_4B8C_4A16_BA7C_BA7887E47210_.wvu.FilterData">'Registration Leads 2018'!$A$1:$AG$1005</definedName>
    <definedName hidden="1" localSheetId="2" name="Z_E3432889_4B8C_4A16_BA7C_BA7887E47210_.wvu.FilterData">'Nigeria Leads'!$B$1:$B$1900</definedName>
    <definedName hidden="1" localSheetId="3" name="Z_E3432889_4B8C_4A16_BA7C_BA7887E47210_.wvu.FilterData">'FB Leads China Events'!$F$1:$F$121</definedName>
    <definedName hidden="1" localSheetId="5" name="Z_E3432889_4B8C_4A16_BA7C_BA7887E47210_.wvu.FilterData">'Facebook Leads Singapore'!$D$1:$D$1008</definedName>
    <definedName hidden="1" localSheetId="1" name="Z_0A33DBFB_D2AC_4C25_8980_6A9987C81E82_.wvu.FilterData">'Registration Leads 2018'!$G$1:$G$1998</definedName>
  </definedNames>
  <calcPr/>
  <customWorkbookViews>
    <customWorkbookView activeSheetId="0" maximized="1" windowHeight="0" windowWidth="0" guid="{FC93029B-24E2-47D4-8C46-8643EDEBABD3}" name="Filter 6"/>
    <customWorkbookView activeSheetId="0" maximized="1" windowHeight="0" windowWidth="0" guid="{7D4F7E42-2FE6-4529-8405-C02FFB0C26F9}" name="Filter 11"/>
    <customWorkbookView activeSheetId="0" maximized="1" windowHeight="0" windowWidth="0" guid="{B2907CDC-987C-4526-A708-BA6757E701E3}" name="Filter 7"/>
    <customWorkbookView activeSheetId="0" maximized="1" windowHeight="0" windowWidth="0" guid="{341F73BF-F400-48DD-B434-4EDBF1053A5C}" name="Filter 4"/>
    <customWorkbookView activeSheetId="0" maximized="1" windowHeight="0" windowWidth="0" guid="{81861F5D-CB05-46E0-BCFB-BABE13E8E2F3}" name="Filter 5"/>
    <customWorkbookView activeSheetId="0" maximized="1" windowHeight="0" windowWidth="0" guid="{A7FEB666-445D-48CC-9CDF-55921C2C9E74}" name="Filter 2"/>
    <customWorkbookView activeSheetId="0" maximized="1" windowHeight="0" windowWidth="0" guid="{12CB2CCC-8D27-44DB-9F40-633793C33FFC}" name="Filter 3"/>
    <customWorkbookView activeSheetId="0" maximized="1" windowHeight="0" windowWidth="0" guid="{E3432889-4B8C-4A16-BA7C-BA7887E47210}" name="Filter 1"/>
    <customWorkbookView activeSheetId="0" maximized="1" windowHeight="0" windowWidth="0" guid="{907F8D9F-12E0-4B00-BEC1-FFF6D99478B6}" name="Filter 8"/>
    <customWorkbookView activeSheetId="0" maximized="1" windowHeight="0" windowWidth="0" guid="{4D85D448-EB4E-4A1E-A47D-261D6EB3B089}" name="Filter 10"/>
    <customWorkbookView activeSheetId="0" maximized="1" windowHeight="0" windowWidth="0" guid="{0A33DBFB-D2AC-4C25-8980-6A9987C81E82}" name="Filter 9"/>
  </customWorkbookViews>
  <extLst>
    <ext uri="GoogleSheetsCustomDataVersion2">
      <go:sheetsCustomData xmlns:go="http://customooxmlschemas.google.com/" r:id="rId12" roundtripDataChecksum="gFGZj0PRc797GuAsf/n4Umr66TcNe0Tczf3ZvIRibYw="/>
    </ext>
  </extLst>
</workbook>
</file>

<file path=xl/sharedStrings.xml><?xml version="1.0" encoding="utf-8"?>
<sst xmlns="http://schemas.openxmlformats.org/spreadsheetml/2006/main" count="13388" uniqueCount="6454">
  <si>
    <t>Date :</t>
  </si>
  <si>
    <t>Name:</t>
  </si>
  <si>
    <t>Email:</t>
  </si>
  <si>
    <t>Mobile:</t>
  </si>
  <si>
    <t>Coments:</t>
  </si>
  <si>
    <t>Project -</t>
  </si>
  <si>
    <t>Agent</t>
  </si>
  <si>
    <t>Agents 2</t>
  </si>
  <si>
    <t>Faisal Rashid Khan</t>
  </si>
  <si>
    <t>frk1976@hotmail.com</t>
  </si>
  <si>
    <t>+971501055655</t>
  </si>
  <si>
    <t>Im interested in. 1 bedroom apartment preferably open sea facing.</t>
  </si>
  <si>
    <t>Bluewaters</t>
  </si>
  <si>
    <t>Ali</t>
  </si>
  <si>
    <t>Aly sayeed</t>
  </si>
  <si>
    <t>Tariq</t>
  </si>
  <si>
    <t>+966544290290</t>
  </si>
  <si>
    <t>Message: Payment plan Rove Citywalk</t>
  </si>
  <si>
    <t>Rove Citywalk</t>
  </si>
  <si>
    <t>Direct Call</t>
  </si>
  <si>
    <t>Aman</t>
  </si>
  <si>
    <t>Abdulrahim</t>
  </si>
  <si>
    <t>abdulrahimz@yahoo.com</t>
  </si>
  <si>
    <t>00971509025433</t>
  </si>
  <si>
    <t>Price Thank you.</t>
  </si>
  <si>
    <t>Lacote Registration</t>
  </si>
  <si>
    <t>Zohaib</t>
  </si>
  <si>
    <t>Murtaza Kamruddin</t>
  </si>
  <si>
    <t>k_murtaza@hotmail.com</t>
  </si>
  <si>
    <t xml:space="preserve"> Porto Montenegro / Port de La Mer by Meraas*</t>
  </si>
  <si>
    <t>Karim</t>
  </si>
  <si>
    <t>Karim95@free.fr</t>
  </si>
  <si>
    <t xml:space="preserve"> Hi, please send me the rates.</t>
  </si>
  <si>
    <t>Client interested in Bluewaters-MTA</t>
  </si>
  <si>
    <t>Salem Alowais</t>
  </si>
  <si>
    <t>alowais @emirates.net.ae</t>
  </si>
  <si>
    <t>0504620050</t>
  </si>
  <si>
    <t>One and Two bedrooms apartments with the best creek view.</t>
  </si>
  <si>
    <t>EMAAR Palace Residences</t>
  </si>
  <si>
    <t>Emily</t>
  </si>
  <si>
    <t>fatima</t>
  </si>
  <si>
    <t>Gurnani</t>
  </si>
  <si>
    <t>gurnani@safetygroup.ae</t>
  </si>
  <si>
    <t>052 6096888</t>
  </si>
  <si>
    <t>4 BHK unit....</t>
  </si>
  <si>
    <t>Sid Ahmed</t>
  </si>
  <si>
    <t>Sbenraouane@gmail.com</t>
  </si>
  <si>
    <t>0507952482</t>
  </si>
  <si>
    <t>inn rahal Jumeirah Madinah</t>
  </si>
  <si>
    <t>Rahaal at MJL Constant</t>
  </si>
  <si>
    <t>Hediyeh</t>
  </si>
  <si>
    <t>Rae Chase</t>
  </si>
  <si>
    <t>raechase95@gmail.com</t>
  </si>
  <si>
    <t>I am interested to know when is the estimated Handover of the Villa Serena Casa Viva, Project number 1791, Land number 2918. Furthermore, is the project has begun, is it currently on track or have there already been amendments to the completion and handover date?</t>
  </si>
  <si>
    <t>Project: Serena</t>
  </si>
  <si>
    <t>Aysel</t>
  </si>
  <si>
    <t>Aleksandar Bulatovic</t>
  </si>
  <si>
    <t xml:space="preserve"> basna@eim.ae</t>
  </si>
  <si>
    <t xml:space="preserve"> 0504820250</t>
  </si>
  <si>
    <t xml:space="preserve"> I am interested in purchasing 1 B/R apartment</t>
  </si>
  <si>
    <t>emily</t>
  </si>
  <si>
    <t>Abu Ahmed</t>
  </si>
  <si>
    <t>yasseryasser406@gmail.com</t>
  </si>
  <si>
    <t>050333222</t>
  </si>
  <si>
    <t>send me more details</t>
  </si>
  <si>
    <t>julia</t>
  </si>
  <si>
    <t>jessica</t>
  </si>
  <si>
    <t>DILIP</t>
  </si>
  <si>
    <t>dilip@eim.ae</t>
  </si>
  <si>
    <t xml:space="preserve"> 055-5585190</t>
  </si>
  <si>
    <t>Apartment 2 bhk.</t>
  </si>
  <si>
    <t>Registration Meraas Offer-Constant</t>
  </si>
  <si>
    <t>Shane</t>
  </si>
  <si>
    <t>Pawan Satwani</t>
  </si>
  <si>
    <t>pawan@reactivellc.com</t>
  </si>
  <si>
    <t>971506522784</t>
  </si>
  <si>
    <t>I am interested in BVLGARI and BLUEWATERS</t>
  </si>
  <si>
    <t>no need</t>
  </si>
  <si>
    <t xml:space="preserve"> OMAR AL GAILANI</t>
  </si>
  <si>
    <t>gailani2010@gmail.com</t>
  </si>
  <si>
    <t>+14168271966</t>
  </si>
  <si>
    <t>Comments</t>
  </si>
  <si>
    <t>Mario</t>
  </si>
  <si>
    <t>mario_gabrael@hotmail.com</t>
  </si>
  <si>
    <t>0554544126</t>
  </si>
  <si>
    <t>Studios</t>
  </si>
  <si>
    <t>saba</t>
  </si>
  <si>
    <t xml:space="preserve"> Muhammad Usman</t>
  </si>
  <si>
    <t>Usman.khan@pakchain.com</t>
  </si>
  <si>
    <t>00923219498286</t>
  </si>
  <si>
    <t>I am interested to know about the blue waters community near JBR walk, prices , sizes of appartments and payment plan, please send details at email first</t>
  </si>
  <si>
    <t>shahrzad</t>
  </si>
  <si>
    <t>aysel</t>
  </si>
  <si>
    <t>Vincent John D'Sa</t>
  </si>
  <si>
    <t>vincent@wwps.ae</t>
  </si>
  <si>
    <t>050 4566401</t>
  </si>
  <si>
    <t>can I have pricing for 2 and 3 bedroom flat</t>
  </si>
  <si>
    <t>waqas</t>
  </si>
  <si>
    <t>Marwan malouf</t>
  </si>
  <si>
    <t>Marwan.malouf@isoft.ae</t>
  </si>
  <si>
    <t>0971506413546</t>
  </si>
  <si>
    <t>2to3beds appartment</t>
  </si>
  <si>
    <t>Shahrzad</t>
  </si>
  <si>
    <t>muhammed kamran</t>
  </si>
  <si>
    <t>kamran@apexscaf.ae</t>
  </si>
  <si>
    <t>0506558704</t>
  </si>
  <si>
    <t>Julia</t>
  </si>
  <si>
    <t>Taranjit Singh Sahni</t>
  </si>
  <si>
    <t>t.s.sahni@gmail.com</t>
  </si>
  <si>
    <t>0502954375</t>
  </si>
  <si>
    <t>interested in one bedroon and two bedrooms</t>
  </si>
  <si>
    <t xml:space="preserve"> Abdul Haque</t>
  </si>
  <si>
    <t>abdulhaque555@yahoo.com</t>
  </si>
  <si>
    <t>0013345572502</t>
  </si>
  <si>
    <t>I am interested in knowing the details of NIKKI BEACH  IS THIS VILLA OR APARTMENT WHAT WOULD BE THE TOTAL COSST AND IS READY TO MOVE ?</t>
  </si>
  <si>
    <t>Registration Meraas Offer 2018</t>
  </si>
  <si>
    <t>roxy</t>
  </si>
  <si>
    <t>Louise Gibbons</t>
  </si>
  <si>
    <t>louise1004@hotmail.com</t>
  </si>
  <si>
    <t>+07970473514</t>
  </si>
  <si>
    <t>Comments: Blue waters</t>
  </si>
  <si>
    <t>hASSAN'</t>
  </si>
  <si>
    <t>ismail soboh</t>
  </si>
  <si>
    <t>ismail@pharmaconsult.ae</t>
  </si>
  <si>
    <t>0569794774</t>
  </si>
  <si>
    <t>interested but want to visit site.</t>
  </si>
  <si>
    <t>Client interested in Nad Al Sheba Gardens</t>
  </si>
  <si>
    <t>sHAHRZAD</t>
  </si>
  <si>
    <t>Shabir kapasi</t>
  </si>
  <si>
    <t>Kapasi87@gmail.com</t>
  </si>
  <si>
    <t>+971508420488</t>
  </si>
  <si>
    <t>Comments: I am interested in this project</t>
  </si>
  <si>
    <t>Abdulrahman Solanki</t>
  </si>
  <si>
    <t>arisolanki@gmail.com</t>
  </si>
  <si>
    <t>0554149123</t>
  </si>
  <si>
    <t>Comments: Villa plots</t>
  </si>
  <si>
    <t>Lew Cheng Tan</t>
  </si>
  <si>
    <t>tanlc820@gmail.com</t>
  </si>
  <si>
    <t>83661547</t>
  </si>
  <si>
    <t>agne</t>
  </si>
  <si>
    <t>Marco</t>
  </si>
  <si>
    <t>mbeffa@begsuisse.com</t>
  </si>
  <si>
    <t>0527428645</t>
  </si>
  <si>
    <t xml:space="preserve"> Im interested in...  2 bed + maid. 2 parking lots needed</t>
  </si>
  <si>
    <t>Project: Nome del modulo Bluewaters</t>
  </si>
  <si>
    <t>Robert fernandes</t>
  </si>
  <si>
    <t>Robert@face-architects.com</t>
  </si>
  <si>
    <t>0506403674</t>
  </si>
  <si>
    <t>Khamis Mohammed Almheiri</t>
  </si>
  <si>
    <t>casamobili_uae@hotmail.com</t>
  </si>
  <si>
    <t>0506213224</t>
  </si>
  <si>
    <t>victoria</t>
  </si>
  <si>
    <t>r-z-r.ru</t>
  </si>
  <si>
    <t>firexone@wanadoo.fr</t>
  </si>
  <si>
    <t>85867447517</t>
  </si>
  <si>
    <t xml:space="preserve"> Вас приветствует  сайт рассылки http://r-z-r.ru</t>
  </si>
  <si>
    <t>Client interested in Dubai Properties.</t>
  </si>
  <si>
    <t>NAJI ALSHIHA</t>
  </si>
  <si>
    <t>alshiha@yahoo.com</t>
  </si>
  <si>
    <t>+966505820700</t>
  </si>
  <si>
    <t>3 bedroom</t>
  </si>
  <si>
    <t>PROJECT: Expo At Emaar South</t>
  </si>
  <si>
    <t>suvidha</t>
  </si>
  <si>
    <t>nelly</t>
  </si>
  <si>
    <t>Vincent Antia</t>
  </si>
  <si>
    <t>vincentantia@yahoo.com</t>
  </si>
  <si>
    <t>0506580120</t>
  </si>
  <si>
    <t>Expo gold villas</t>
  </si>
  <si>
    <t>tommy</t>
  </si>
  <si>
    <t>Attia</t>
  </si>
  <si>
    <t>alarif98@yahoo.com</t>
  </si>
  <si>
    <t>Message: Kindly send details for villas building conditions and built up area</t>
  </si>
  <si>
    <t>Project: Nad Al Sheba Gardens Client</t>
  </si>
  <si>
    <t>Thomas Tougaard</t>
  </si>
  <si>
    <t>thomas.tougaard@hotmail.com</t>
  </si>
  <si>
    <t>3Bedroom with view to Golf course</t>
  </si>
  <si>
    <t>Expo At Emaar South</t>
  </si>
  <si>
    <t>Sonjaoptob</t>
  </si>
  <si>
    <t>mattresskr@gmail.com</t>
  </si>
  <si>
    <t>ali</t>
  </si>
  <si>
    <t>Muhammad Sameer</t>
  </si>
  <si>
    <t>Sameeruddin@yahoo.com</t>
  </si>
  <si>
    <t>+923008241747</t>
  </si>
  <si>
    <t>Project: Rahaal MJL</t>
  </si>
  <si>
    <t>Muhammad Sameeruddin</t>
  </si>
  <si>
    <t>sameeruddin@yahoo.com</t>
  </si>
  <si>
    <t>+923008241647</t>
  </si>
  <si>
    <t>Rakesh S Sikand</t>
  </si>
  <si>
    <t>ricky.sikand@gmail.com</t>
  </si>
  <si>
    <t>0559232465</t>
  </si>
  <si>
    <t>A 3 bedroom apartment</t>
  </si>
  <si>
    <t>Dinesh Shah</t>
  </si>
  <si>
    <t>dvshah27@gmail.com</t>
  </si>
  <si>
    <t>0506502158</t>
  </si>
  <si>
    <t>I am interested in one bedroom apartment</t>
  </si>
  <si>
    <t>asif</t>
  </si>
  <si>
    <t>Ali Memarzadeh</t>
  </si>
  <si>
    <t>memarzadeh@hotmail.ca</t>
  </si>
  <si>
    <t>+97144216999</t>
  </si>
  <si>
    <t>Mixed Use Plots &amp; Large Residential Plots</t>
  </si>
  <si>
    <t>Rafiq Gaziani</t>
  </si>
  <si>
    <t>0092 2000771</t>
  </si>
  <si>
    <t>Interested in Forte Tower - whatsapp</t>
  </si>
  <si>
    <t>Project Forte by Emaar</t>
  </si>
  <si>
    <t>Meryem Benghalem</t>
  </si>
  <si>
    <t>meryem_benghalem@hotmail.com</t>
  </si>
  <si>
    <t>050 450 9336</t>
  </si>
  <si>
    <t>Emaar Rove-MTA</t>
  </si>
  <si>
    <t>Dinkar</t>
  </si>
  <si>
    <t>Dinkarnotani@gmail.com</t>
  </si>
  <si>
    <t>Mobile Number: 0566562294</t>
  </si>
  <si>
    <t>Comments: 1/2 bed</t>
  </si>
  <si>
    <t xml:space="preserve"> Elle Mon</t>
  </si>
  <si>
    <t xml:space="preserve"> elle.mon@aol.com</t>
  </si>
  <si>
    <t>Phone No. 5619882050</t>
  </si>
  <si>
    <t xml:space="preserve"> Im interested in...  $$$$</t>
  </si>
  <si>
    <t>Project: Bluewaters</t>
  </si>
  <si>
    <t>zohaib</t>
  </si>
  <si>
    <t>JOHAN WINTERS</t>
  </si>
  <si>
    <t>johwinters@gmail.com</t>
  </si>
  <si>
    <t>066086830</t>
  </si>
  <si>
    <t>I am interested in a 2 Bedroom Apt.</t>
  </si>
  <si>
    <t>shane</t>
  </si>
  <si>
    <t>Isabelle maujean</t>
  </si>
  <si>
    <t>Imaujean@glamrockwatches.com</t>
  </si>
  <si>
    <t>0505010459</t>
  </si>
  <si>
    <t>I would like to receive the floor plans as on the link you sent me, the title is written “floor plans” but inside are only renderings of rooms, no floor plans Thank you to send me the cost also.</t>
  </si>
  <si>
    <t>Project: Burj Royale</t>
  </si>
  <si>
    <t>hediyeh</t>
  </si>
  <si>
    <t>Madhu Malhotra</t>
  </si>
  <si>
    <t>madhumalhotra4@gmail.com</t>
  </si>
  <si>
    <t>0506996255</t>
  </si>
  <si>
    <t>Residential</t>
  </si>
  <si>
    <t>Oliver</t>
  </si>
  <si>
    <t>Bellenhaus@web.de</t>
  </si>
  <si>
    <t>0555422709</t>
  </si>
  <si>
    <t>Bulgari Residence</t>
  </si>
  <si>
    <t>Kamlesh Bhatia</t>
  </si>
  <si>
    <t>Kam-rama@hotmail.com</t>
  </si>
  <si>
    <t>0506999130</t>
  </si>
  <si>
    <t>Comments:</t>
  </si>
  <si>
    <t>Arda Aral</t>
  </si>
  <si>
    <t>arda.aral@gmail.com</t>
  </si>
  <si>
    <t>0566813906</t>
  </si>
  <si>
    <t>Comments: I want to get more information</t>
  </si>
  <si>
    <t>Arabian Ranches III-constant</t>
  </si>
  <si>
    <t>Noordeen</t>
  </si>
  <si>
    <t>naldeen@emirates.net.ae</t>
  </si>
  <si>
    <t>Need cost for resi</t>
  </si>
  <si>
    <t>Arabian Ranches III</t>
  </si>
  <si>
    <t>Pyerali Merchant</t>
  </si>
  <si>
    <t>Email: Alghadeerflowers@gmail.com</t>
  </si>
  <si>
    <t>Mobile Number: 0506251756</t>
  </si>
  <si>
    <t>Comments: I am interested in Arabian Ranches 3</t>
  </si>
  <si>
    <t>Bharwani</t>
  </si>
  <si>
    <t>lmdaj@hotmail.com</t>
  </si>
  <si>
    <t>0504754961</t>
  </si>
  <si>
    <t>Comments: in ready or off plan with good payment plan for 4BHK</t>
  </si>
  <si>
    <t>Sarah Rahim</t>
  </si>
  <si>
    <t>oroweng@gmail.com</t>
  </si>
  <si>
    <t>8536283-5115</t>
  </si>
  <si>
    <t>3_bedrooms</t>
  </si>
  <si>
    <t>Arabian Ranches lll</t>
  </si>
  <si>
    <t>suvi</t>
  </si>
  <si>
    <t>Sara</t>
  </si>
  <si>
    <t>Alsarriuae@gmail.com</t>
  </si>
  <si>
    <t>0557777281</t>
  </si>
  <si>
    <t>Ghaleb bidawi</t>
  </si>
  <si>
    <t>Ghbidawi@gmail.com</t>
  </si>
  <si>
    <t>+971506531711</t>
  </si>
  <si>
    <t>Mahrez Hadjadj</t>
  </si>
  <si>
    <t>m.hadjadj@mhlaw.fr</t>
  </si>
  <si>
    <t>Mobile: +33621895134</t>
  </si>
  <si>
    <t>Project: Executive</t>
  </si>
  <si>
    <t>mushtaq</t>
  </si>
  <si>
    <t>Thomas CHERIAN</t>
  </si>
  <si>
    <t>thomas@arabianprinting.com</t>
  </si>
  <si>
    <t>Mobile Number: 508849550</t>
  </si>
  <si>
    <t>Comments: 3  BEDROOMTOWNHOUSE</t>
  </si>
  <si>
    <t>Cherrywoods by Meraas</t>
  </si>
  <si>
    <t>JoyceKax</t>
  </si>
  <si>
    <t>mbytecreco1980@gmail.com</t>
  </si>
  <si>
    <t>84171751992</t>
  </si>
  <si>
    <t>Comments: https://buyreadybusiness.com/</t>
  </si>
  <si>
    <t>Client interested in Emaar Property.</t>
  </si>
  <si>
    <t>Muneer Shehab</t>
  </si>
  <si>
    <t>muneer@phoenixbahrain.com</t>
  </si>
  <si>
    <t>I am interested to buy a house with 3 bedrooms. However, i can for the 4 bedrooms if i can get the house with reasonable price. Please send me full details of the project &amp; prices.</t>
  </si>
  <si>
    <t>Aylar</t>
  </si>
  <si>
    <t>Sumesh Mair</t>
  </si>
  <si>
    <t>sumesh@glweststardubai.com</t>
  </si>
  <si>
    <t>Mobile Number: 0504558793</t>
  </si>
  <si>
    <t>Comments: Perhaps some beach or canal side property</t>
  </si>
  <si>
    <t>Manoj</t>
  </si>
  <si>
    <t>Email: mbhatia7842@gmail.com</t>
  </si>
  <si>
    <t>Comments: Please advise property details</t>
  </si>
  <si>
    <t>EMAAR 2018 Offer-MTA</t>
  </si>
  <si>
    <t>fahad malik</t>
  </si>
  <si>
    <t>First Name: Elie moubarak</t>
  </si>
  <si>
    <t>Email: Elie@mbrk.net</t>
  </si>
  <si>
    <t>050-6243870</t>
  </si>
  <si>
    <t>Comments: Tell me more about the 35% return</t>
  </si>
  <si>
    <t>Bassem Saeed</t>
  </si>
  <si>
    <t>Saeed.bassem@yahoo.com</t>
  </si>
  <si>
    <t>Message: Im interested in... All what you have</t>
  </si>
  <si>
    <t>Project: Cherrywoods</t>
  </si>
  <si>
    <t>reg</t>
  </si>
  <si>
    <t>hassan</t>
  </si>
  <si>
    <t>Name: James</t>
  </si>
  <si>
    <t>Email:  Ajdidcott@gmail.com</t>
  </si>
  <si>
    <t>Phone Number: 971503766332</t>
  </si>
  <si>
    <t>Message Please let me know prices for 1 2 bed, f after discount. Thanks.</t>
  </si>
  <si>
    <t>Form Name Celestia Damac</t>
  </si>
  <si>
    <t>kalpesh doshi</t>
  </si>
  <si>
    <t>kalpeshdoshi.kd@gmail.com</t>
  </si>
  <si>
    <t>971552165330</t>
  </si>
  <si>
    <t>Comments: 3 &amp; 4 beds</t>
  </si>
  <si>
    <t>Golf Grove by Emaar</t>
  </si>
  <si>
    <t>Sid</t>
  </si>
  <si>
    <t>Benra001@umn.edu</t>
  </si>
  <si>
    <t>971507952482</t>
  </si>
  <si>
    <t>Comments: I am interested</t>
  </si>
  <si>
    <t>Fazalrehman</t>
  </si>
  <si>
    <t xml:space="preserve"> Faxalrehman57665@ gmail.com</t>
  </si>
  <si>
    <t>Mobile Number: 0595452967</t>
  </si>
  <si>
    <t>Comments: I am interested in emaar.golf</t>
  </si>
  <si>
    <t>Ashok Kanjani</t>
  </si>
  <si>
    <t>kanjaniashok@hotmail.com</t>
  </si>
  <si>
    <t>Mobile Number: +971505045039</t>
  </si>
  <si>
    <t>Comments: I am interested in VIP OPEN HOUSE EVENT.</t>
  </si>
  <si>
    <t>vClient interested in Bluewaters-MTA</t>
  </si>
  <si>
    <t>Asif</t>
  </si>
  <si>
    <t>JAAFAR</t>
  </si>
  <si>
    <t>eng_j_alaani@yahoo.com</t>
  </si>
  <si>
    <t>Phone No: 0502471887</t>
  </si>
  <si>
    <t>Im interested in...  Plan to invest</t>
  </si>
  <si>
    <t>Valeriy</t>
  </si>
  <si>
    <t>absenter_nsk@mail.ru</t>
  </si>
  <si>
    <t>Client for Aseel Villa by EMAAR</t>
  </si>
  <si>
    <t>Message: Good day, thanks for letter I will grateful if your company send me price villas in Arabian Ranches Best Regards Valeriy</t>
  </si>
  <si>
    <t>Mash Khan</t>
  </si>
  <si>
    <t>mashkhan@emirates.net.ae</t>
  </si>
  <si>
    <t>Message: My name is Mash Khan, I live in the US and have business in Dubai. I have interest in your 5 Bedroom Villa -- please email me the pricing details. Regards/Mash</t>
  </si>
  <si>
    <t>Victoria</t>
  </si>
  <si>
    <t>Bharwani.L LMDA NIGERIA LIMITD</t>
  </si>
  <si>
    <t>Message: LET US KNOW THE COST OF THE EACH VILLA AND AVALABITY.</t>
  </si>
  <si>
    <t>Asif hafeez</t>
  </si>
  <si>
    <t>asifhafeez@hotmail.com</t>
  </si>
  <si>
    <t>Message: What is the price of 4 bedrooms villa and payment plan. Get Outlook for iOS</t>
  </si>
  <si>
    <t>Joseph sheriff</t>
  </si>
  <si>
    <t>joe.sheriff@inbox.com</t>
  </si>
  <si>
    <t>07889617286</t>
  </si>
  <si>
    <t>Comments: 3 bedroom can you give me the price please</t>
  </si>
  <si>
    <t xml:space="preserve"> Shakeel sabir</t>
  </si>
  <si>
    <t>shakeel_sbr@hotmail.com</t>
  </si>
  <si>
    <t>First Name: Javid shah</t>
  </si>
  <si>
    <t>drjavids@gmail.com</t>
  </si>
  <si>
    <t>Mobile Number: 0558099770</t>
  </si>
  <si>
    <t>Comments: Nikki beach</t>
  </si>
  <si>
    <t>ekshell@yahoo</t>
  </si>
  <si>
    <t>Mobile Number: 050 293 8787</t>
  </si>
  <si>
    <t>Comments: 2 bedroom</t>
  </si>
  <si>
    <t>Amal Kithsiri</t>
  </si>
  <si>
    <t>amalkith@gmail.com</t>
  </si>
  <si>
    <t>What's the price range?</t>
  </si>
  <si>
    <t>Client for Aseel Villas</t>
  </si>
  <si>
    <t>mayur</t>
  </si>
  <si>
    <t>Abdul haque</t>
  </si>
  <si>
    <t>Can you send me the total cost of Villas for 3 bed rooms Thanks</t>
  </si>
  <si>
    <t>Ali Dhiyebi</t>
  </si>
  <si>
    <t>adhiyebi@yahoo.com</t>
  </si>
  <si>
    <t>Dear Sir / Mada, Can you please share price details for each of the types available for sale with the 7 year post payment plan.</t>
  </si>
  <si>
    <t>M. Merhi</t>
  </si>
  <si>
    <t>mmerhi@hotmail.com</t>
  </si>
  <si>
    <t>Hello, I am out of country this week so I couldn't attend the event Can you please send me the available unit for 4 and 5 bedrooms and the price.</t>
  </si>
  <si>
    <t>Jeetendra Naik Naik'</t>
  </si>
  <si>
    <t>jnaik007@hotmail.com</t>
  </si>
  <si>
    <t>can you please send me cost and payment options.</t>
  </si>
  <si>
    <t>Alma Abecia</t>
  </si>
  <si>
    <t>almaabeciasaudiarebia@gmail.com</t>
  </si>
  <si>
    <t>+966505440154</t>
  </si>
  <si>
    <t>Meraas</t>
  </si>
  <si>
    <t>Central Park</t>
  </si>
  <si>
    <t>Clark Wendy</t>
  </si>
  <si>
    <t>marketing@7skys-realestate.com</t>
  </si>
  <si>
    <t>Mobile Number: -</t>
  </si>
  <si>
    <t>Comments: Hi,</t>
  </si>
  <si>
    <t>Tareq</t>
  </si>
  <si>
    <t>Artechmeta@gmail.com</t>
  </si>
  <si>
    <t>971506414987</t>
  </si>
  <si>
    <t>Looking for 2 bedroom+maid, modern, open floor plan, big windows, standing showers. Ready to move in in June 2019</t>
  </si>
  <si>
    <t>Project: Citywalk</t>
  </si>
  <si>
    <t>Project: Bulgari</t>
  </si>
  <si>
    <t>Wong Cheong Wa</t>
  </si>
  <si>
    <t>wongcheongwa@yahoo.com.hk</t>
  </si>
  <si>
    <t>0971 553232138</t>
  </si>
  <si>
    <t>Message:</t>
  </si>
  <si>
    <t>PROJECT: dubaipropertychina.com</t>
  </si>
  <si>
    <t>monya</t>
  </si>
  <si>
    <t>JOYCE LEE</t>
  </si>
  <si>
    <t>joyce.lee8612@gmail.com</t>
  </si>
  <si>
    <t>0502229349</t>
  </si>
  <si>
    <t>Salem Almasrahi</t>
  </si>
  <si>
    <t>Email salemgrp@gmail.com</t>
  </si>
  <si>
    <t>Phone Number 966555050930</t>
  </si>
  <si>
    <t>Message Call me 4 more details please Tomorrow ar 13:00</t>
  </si>
  <si>
    <t>Project - Park Central by Meraas</t>
  </si>
  <si>
    <t>HARISH KUMAR</t>
  </si>
  <si>
    <t>Email nharishkumar@hotmail.com</t>
  </si>
  <si>
    <t>Phone Number 528006566</t>
  </si>
  <si>
    <t>Message Pl let us know time frame and pricing</t>
  </si>
  <si>
    <t>Name: Li Hu</t>
  </si>
  <si>
    <t>lihugulf@gmail.com</t>
  </si>
  <si>
    <t>Phone: 0551907648</t>
  </si>
  <si>
    <t>PROJECT: Dubai Property Show - Chinese New Year 2019</t>
  </si>
  <si>
    <t>monya'</t>
  </si>
  <si>
    <t>Fahima</t>
  </si>
  <si>
    <t xml:space="preserve"> dralawdi@emirates.net.aeName Fahima</t>
  </si>
  <si>
    <t>Phone Number: 0506264782</t>
  </si>
  <si>
    <t>Form Name Central Park</t>
  </si>
  <si>
    <t>Abdul Ghafour Ranjbar</t>
  </si>
  <si>
    <t>Chifoon55@gmail.com</t>
  </si>
  <si>
    <t>Phone Number 0504531078</t>
  </si>
  <si>
    <t>Message</t>
  </si>
  <si>
    <t>SIYAO LIU</t>
  </si>
  <si>
    <t>ariesliu641@gmail.com</t>
  </si>
  <si>
    <t>Phone: 0563587099</t>
  </si>
  <si>
    <t>mary</t>
  </si>
  <si>
    <t>Name: 王凝</t>
  </si>
  <si>
    <t>Email: 951401064@qq.com</t>
  </si>
  <si>
    <t>Phone: 18511666285</t>
  </si>
  <si>
    <t>Name: 朱和海</t>
  </si>
  <si>
    <t>Email: 2855140285@qq.com</t>
  </si>
  <si>
    <t>Phone: 18610004437</t>
  </si>
  <si>
    <t>Name: Liquan huang</t>
  </si>
  <si>
    <t>Email: phdxsjy@163.com</t>
  </si>
  <si>
    <t>Phone: 052-9382911</t>
  </si>
  <si>
    <t>97152-9382911</t>
  </si>
  <si>
    <t>Name: Haijun wu</t>
  </si>
  <si>
    <t>Email: ecosoftshoes@163.com</t>
  </si>
  <si>
    <t>971556938398</t>
  </si>
  <si>
    <t>Monya</t>
  </si>
  <si>
    <t>Name: Rainbow</t>
  </si>
  <si>
    <t>Email: nacy368@gmail.com</t>
  </si>
  <si>
    <t>13958002632</t>
  </si>
  <si>
    <t>PROJECT: Central Park</t>
  </si>
  <si>
    <t>Name: Turner Ji</t>
  </si>
  <si>
    <t>Email: jhq125@sina.com</t>
  </si>
  <si>
    <t>971529519922</t>
  </si>
  <si>
    <t>Name: Jacky lee</t>
  </si>
  <si>
    <t>Email: wudianaiss@gmail.com</t>
  </si>
  <si>
    <t>971527851118</t>
  </si>
  <si>
    <t>Mary</t>
  </si>
  <si>
    <t>Name: Anwar churaute miya</t>
  </si>
  <si>
    <t>Email: Anwaralilove@yahoo.com</t>
  </si>
  <si>
    <t>9811791822</t>
  </si>
  <si>
    <t>Message: Yes</t>
  </si>
  <si>
    <t>PROJECT: Central Park - Adword and SMS</t>
  </si>
  <si>
    <t>Name Ali Alkhazali</t>
  </si>
  <si>
    <t>Email Ali.alkhazali82@gmail.com</t>
  </si>
  <si>
    <t>971501710600</t>
  </si>
  <si>
    <t>Message Please call me for the full details</t>
  </si>
  <si>
    <t>Client Name: Ritika Negi</t>
  </si>
  <si>
    <t>Email: freezin.ritika@gmail.com</t>
  </si>
  <si>
    <t>971565845445</t>
  </si>
  <si>
    <t>Subject: Contact form from http://hsproperty.ae</t>
  </si>
  <si>
    <t>Message: Looking for villa</t>
  </si>
  <si>
    <t>jamiel</t>
  </si>
  <si>
    <t>First Name: Diar Alkhayat</t>
  </si>
  <si>
    <t>Email: diar.alkhayat@beko-iraq.com</t>
  </si>
  <si>
    <t>009647504450243</t>
  </si>
  <si>
    <t>The Cove by Emaar</t>
  </si>
  <si>
    <t>Comments: I m interested in 2 or 3bedrooms apartnent</t>
  </si>
  <si>
    <t>First Name: Kent Johansson</t>
  </si>
  <si>
    <t>Email: kent@eim.ae</t>
  </si>
  <si>
    <t xml:space="preserve"> +97506455124</t>
  </si>
  <si>
    <t>a big terrace (not a small balcony) and sea side marina view.</t>
  </si>
  <si>
    <t>Port de La Mer New Building</t>
  </si>
  <si>
    <t>Comments: I am only interested in a 2 and 3 bed room with</t>
  </si>
  <si>
    <t>Name: Aisha Bin Rashid</t>
  </si>
  <si>
    <t>Email: aisha.swidan@hotmail.com</t>
  </si>
  <si>
    <t>971509110022</t>
  </si>
  <si>
    <t>PROJECT: Arabian Ranches 3 - Adword and SMS</t>
  </si>
  <si>
    <t>Similar as can be seen on your illustrations in the brochure.</t>
  </si>
  <si>
    <t>First Name: Dubai Real Estate</t>
  </si>
  <si>
    <t>Email: dxbrealestate.ae@gmail.com</t>
  </si>
  <si>
    <t>00971568469000</t>
  </si>
  <si>
    <t>Amora Golf Verde</t>
  </si>
  <si>
    <t>Comments: hi details ?</t>
  </si>
  <si>
    <t>First Name: Josephdiunk</t>
  </si>
  <si>
    <t>Email: stlwyp@msn.com</t>
  </si>
  <si>
    <t>82235951247</t>
  </si>
  <si>
    <t>Comments: fcxo &lt;a ="https://www.turnkeylinux.org/user/570552"&gt;click here&lt;/a&gt;</t>
  </si>
  <si>
    <t>First Name: Riya Douglas</t>
  </si>
  <si>
    <t>Email: persedia2021@gmail.com</t>
  </si>
  <si>
    <t>Riya Douglas</t>
  </si>
  <si>
    <t>Lacoste</t>
  </si>
  <si>
    <t>First Name: Urmagambetova</t>
  </si>
  <si>
    <t>Altyn@gmail.com</t>
  </si>
  <si>
    <t>+77007001982</t>
  </si>
  <si>
    <t>Registration for Emaar Waterfront</t>
  </si>
  <si>
    <t>First Name: Amer Al Akhdar</t>
  </si>
  <si>
    <t>Akhdar70@eim.ae</t>
  </si>
  <si>
    <t xml:space="preserve"> 971558995533</t>
  </si>
  <si>
    <t>Comments: 2 bedrooms Marina view</t>
  </si>
  <si>
    <t>Name: Z Haider</t>
  </si>
  <si>
    <t>zulfi_haider@hitmail.co.uk</t>
  </si>
  <si>
    <t>007879651416</t>
  </si>
  <si>
    <t xml:space="preserve">Lubna </t>
  </si>
  <si>
    <t>Name: Talal</t>
  </si>
  <si>
    <t>talalkhoury@hotmail.com</t>
  </si>
  <si>
    <t>+966569794322</t>
  </si>
  <si>
    <t>Message: buying</t>
  </si>
  <si>
    <t>First Name: AHMED ELABADI</t>
  </si>
  <si>
    <t>ABBADY@PYRAMIDSMETALS.COM</t>
  </si>
  <si>
    <t>971502717124</t>
  </si>
  <si>
    <t>Madinat Jumeirah Living</t>
  </si>
  <si>
    <t>Comments: I'M interested in LAMTARA ..ONE BED ROOM BURJ ALARAB VIEW</t>
  </si>
  <si>
    <t>First Name: Salimul h essa</t>
  </si>
  <si>
    <t>salim@bangla.net</t>
  </si>
  <si>
    <t>+8801711520705</t>
  </si>
  <si>
    <t>Central Park at City Walk</t>
  </si>
  <si>
    <t>Comments: I am interested in city walk</t>
  </si>
  <si>
    <t>Name: sikander</t>
  </si>
  <si>
    <t>sikander.meghani@gmail.com</t>
  </si>
  <si>
    <t>256752786999</t>
  </si>
  <si>
    <t>Message: 1/2/3 bedroom apartment and vilas</t>
  </si>
  <si>
    <t>Name: Zena Edwards</t>
  </si>
  <si>
    <t>zena.marie85@yahoo.com</t>
  </si>
  <si>
    <t>Message: Can I view large 2 bed or 3 bed please</t>
  </si>
  <si>
    <t>Client for Bluewaters</t>
  </si>
  <si>
    <t>First Name: Ismail Bhorat</t>
  </si>
  <si>
    <t>bhorat@worldonline.co.za</t>
  </si>
  <si>
    <t>0027827867929</t>
  </si>
  <si>
    <t>Comments: Marina vista</t>
  </si>
  <si>
    <t>Marina Vista by Emaar</t>
  </si>
  <si>
    <t>First Name: Enrico Antonio Poidomani</t>
  </si>
  <si>
    <t>enricopoidomani@gmail.com</t>
  </si>
  <si>
    <t>971552908055</t>
  </si>
  <si>
    <t>Comments: 1 or 2 bedrooms see view</t>
  </si>
  <si>
    <t>Giji Philip</t>
  </si>
  <si>
    <t>giji@jaberalmastrading.ae</t>
  </si>
  <si>
    <t>971556565180</t>
  </si>
  <si>
    <t>Comments: 4 bed room corner plot</t>
  </si>
  <si>
    <t>Dilafrus</t>
  </si>
  <si>
    <t>ABDULWAHED</t>
  </si>
  <si>
    <t>banyhashem@hotmail.com</t>
  </si>
  <si>
    <t>971502121377</t>
  </si>
  <si>
    <t>Aly</t>
  </si>
  <si>
    <t>Hugh Hamilton Andrews</t>
  </si>
  <si>
    <t>hha@jermyn.ae</t>
  </si>
  <si>
    <t>00212644654500</t>
  </si>
  <si>
    <t>Comments: A 3 or 4 bedroom unit with a good view and a large garden</t>
  </si>
  <si>
    <t>Ilhem</t>
  </si>
  <si>
    <t>Kashef Ahmar</t>
  </si>
  <si>
    <t xml:space="preserve"> kashefahmar@hotmail.com</t>
  </si>
  <si>
    <t>0504885542</t>
  </si>
  <si>
    <t>Comments: 3 and 4 Bhk</t>
  </si>
  <si>
    <t>HONG SONG</t>
  </si>
  <si>
    <t>shong5552000@aliyun.com</t>
  </si>
  <si>
    <t>0504680097</t>
  </si>
  <si>
    <t>Comments: INTERESTED IN ITS PRICES PER SQM.</t>
  </si>
  <si>
    <t>tong</t>
  </si>
  <si>
    <t xml:space="preserve"> Humminbirdtqe</t>
  </si>
  <si>
    <t>jablair517@gmail.com</t>
  </si>
  <si>
    <t xml:space="preserve"> 87163949242</t>
  </si>
  <si>
    <t>Name: mohammad b.zada</t>
  </si>
  <si>
    <t>bzada@yahoo.com</t>
  </si>
  <si>
    <t>Message: Please send me the information about the price?</t>
  </si>
  <si>
    <t>Client for Golf Grove</t>
  </si>
  <si>
    <t>Broncojch</t>
  </si>
  <si>
    <t>lisa_huber@hotmail.com</t>
  </si>
  <si>
    <t>87564762298</t>
  </si>
  <si>
    <t>Wirelesspkm</t>
  </si>
  <si>
    <t>norinzhupa@gmail.com</t>
  </si>
  <si>
    <t>83142225475</t>
  </si>
  <si>
    <t>First Name: Pouringkru</t>
  </si>
  <si>
    <t>kcampbell@jatcoinc.com</t>
  </si>
  <si>
    <t>Mobile Number: 84692498328</t>
  </si>
  <si>
    <t>First Name: Humminbirdiwo</t>
  </si>
  <si>
    <t>Email: lourocco@globalsourcingintl.com</t>
  </si>
  <si>
    <t>Mobile Number: 87688649457</t>
  </si>
  <si>
    <t>First Name: Speakergzd</t>
  </si>
  <si>
    <t>Email: eric@lastruckrepair.com</t>
  </si>
  <si>
    <t>Mobile Number: 85142894935</t>
  </si>
  <si>
    <t>han wu</t>
  </si>
  <si>
    <t>First Name: Nespressoeoh</t>
  </si>
  <si>
    <t>Email: amazonprimeboy93@gmail.com</t>
  </si>
  <si>
    <t>Mobile Number: 82914752232</t>
  </si>
  <si>
    <t>First Name: Beacontnw</t>
  </si>
  <si>
    <t>Email: ddcyr40@hotmail.com</t>
  </si>
  <si>
    <t>Mobile Number: 84573449376</t>
  </si>
  <si>
    <t>Davis Johnson</t>
  </si>
  <si>
    <t>Email: davis@floorworld.com</t>
  </si>
  <si>
    <t>Phone: +971502131018</t>
  </si>
  <si>
    <t>Enquiry for Warehouse &amp;amp; Accommodation - Rent / Buy Dear Sir / Madam, Greetings from Floorworld – Dubai ! This is with reference to our search of Warehouse Property to buy or to rent, it would be great, if you could connect me with the right person from your sales dept. / property broker with your real estate firm in this regard ASAP. As for your kind information, we are presently rented 4 warehouses in Jebel Ali Industrial Area-3, however we need to vacate that place in 6 months due course time, hence we are looking for few best property either to buy or to rent with few constrains as below. As our plan to have two warehouses in the same premises or nearby or walkable distance as preferably 15,000 sqft. is to have a storage of our flooring stocks and another 5,000 sqft. for our small workshop and production units and we are considering and exploring the options either to buy or to rent depending upon the best rates and right place. Thanks in advance ! Best regards, Davis Johnson</t>
  </si>
  <si>
    <t>Rubberdrq</t>
  </si>
  <si>
    <t>Email: daveg@abramssales.com</t>
  </si>
  <si>
    <t>Mobile Number: 81946195662</t>
  </si>
  <si>
    <t>Independentpab</t>
  </si>
  <si>
    <t>Email: danette@gossettmktg.com</t>
  </si>
  <si>
    <t>Mobile Number: 84638647967</t>
  </si>
  <si>
    <t>Beaterycv</t>
  </si>
  <si>
    <t>Email: jwest@towson.edu</t>
  </si>
  <si>
    <t>Mobile Number: 83636956324</t>
  </si>
  <si>
    <t xml:space="preserve"> Telecasterbla</t>
  </si>
  <si>
    <t>Email: ies@industrialengineeredsolutions.com</t>
  </si>
  <si>
    <t>Mobile Number: 87814621542</t>
  </si>
  <si>
    <t>WILDKATifk</t>
  </si>
  <si>
    <t>Mobile Number: 85867233655</t>
  </si>
  <si>
    <t>Khaled Alyousef</t>
  </si>
  <si>
    <t>Email: gm@dar-ekel.com</t>
  </si>
  <si>
    <t>Mobile Number: 00966555400881</t>
  </si>
  <si>
    <t>Comments: I am interested in 3 bedrooms at BLUEWATERS</t>
  </si>
  <si>
    <t>Bluewaters Building 2</t>
  </si>
  <si>
    <t xml:space="preserve"> I am interested in 3 bedrooms at CHERRYWOOD</t>
  </si>
  <si>
    <t xml:space="preserve"> Iam interested in bying 3 bedroom Golf Grove</t>
  </si>
  <si>
    <t>Muhammed Asharaf</t>
  </si>
  <si>
    <t>muhammedasharafkp@hotmail.com</t>
  </si>
  <si>
    <t>Telephone: +971557979414</t>
  </si>
  <si>
    <t>Inquiry: Hello, I found your property on justproperty.com. Please send me more information about this property. Thank you</t>
  </si>
  <si>
    <t>Brand new 1BR with Burj Khalifa and Canal view in Business Bay</t>
  </si>
  <si>
    <t>Mehul</t>
  </si>
  <si>
    <t>mehul@servehrindia.com</t>
  </si>
  <si>
    <t>+919892188218.</t>
  </si>
  <si>
    <t>Hi, I found your property with ref: HSR-S-1723 on propertyfinder. This studio is located in which tower ?</t>
  </si>
  <si>
    <t xml:space="preserve">Exclusive for Sale: * Damac Towers by Paramount * Location: Business Bay Burj Khalifa *... Reference: HSR-S-1723
</t>
  </si>
  <si>
    <t>Rohit Dhanwani</t>
  </si>
  <si>
    <t>Claire Ayma</t>
  </si>
  <si>
    <t>claireayma@hotmail.com</t>
  </si>
  <si>
    <t>971526471997</t>
  </si>
  <si>
    <t>Message: Is it available for viewing on Lundi, Apr. 01 in the morning? Thanks</t>
  </si>
  <si>
    <t>Beach Access| Well maintained| Vacant.</t>
  </si>
  <si>
    <t>Samana Hills</t>
  </si>
  <si>
    <t>Adnan Anwar</t>
  </si>
  <si>
    <t>Adnananwar88@hotmail.com</t>
  </si>
  <si>
    <t>971509153480</t>
  </si>
  <si>
    <t>Hassan</t>
  </si>
  <si>
    <t>Convetarian@hotmail.com</t>
  </si>
  <si>
    <t>971552353505</t>
  </si>
  <si>
    <t>akaash</t>
  </si>
  <si>
    <t>Tanvir Ahmed</t>
  </si>
  <si>
    <t>pasha@albasitgroup.com</t>
  </si>
  <si>
    <t>923008240913</t>
  </si>
  <si>
    <t>hanan</t>
  </si>
  <si>
    <t>hanan94@hotmail.com</t>
  </si>
  <si>
    <t>971506570595</t>
  </si>
  <si>
    <t>Comments: studio or 1 bed room</t>
  </si>
  <si>
    <t>Name: Pranav</t>
  </si>
  <si>
    <t>p.arora8919@gmail.com</t>
  </si>
  <si>
    <t>971507263487</t>
  </si>
  <si>
    <t>Message:When is it available for viewing? Thanks.</t>
  </si>
  <si>
    <t>Framing the Wonderful Views of Downtown Dubai| BLVD Crescent.</t>
  </si>
  <si>
    <t>Abdur Rahman Maywand</t>
  </si>
  <si>
    <t>ramon@maywand.com</t>
  </si>
  <si>
    <t>971505382021</t>
  </si>
  <si>
    <t>Comments: Just what’s app on this number</t>
  </si>
  <si>
    <t>Farrah Kadom</t>
  </si>
  <si>
    <t>farrahkadom@hotmail.com</t>
  </si>
  <si>
    <t>971521053550</t>
  </si>
  <si>
    <t>Comments: I want to know more about the payment plan and when it will be ready</t>
  </si>
  <si>
    <t>Sabah Matawik</t>
  </si>
  <si>
    <t>sabahmatawik@yahoo.com</t>
  </si>
  <si>
    <t>Mobile :  0016475457575</t>
  </si>
  <si>
    <t>Client interested in Samana Hills</t>
  </si>
  <si>
    <t>Paliathazhathu Mohamed kasim</t>
  </si>
  <si>
    <t>drkasimpalia@gmail.com</t>
  </si>
  <si>
    <t>Mobile :</t>
  </si>
  <si>
    <t>asif hafeez</t>
  </si>
  <si>
    <t>Email: mailto:asifhafeez@hotmail.com</t>
  </si>
  <si>
    <t>Message: Do you have any ready or about to deliver property made by Emaar. Thanks</t>
  </si>
  <si>
    <t>Joseph Malek</t>
  </si>
  <si>
    <t>Emailto:Joseph@fahadaljazirah.com</t>
  </si>
  <si>
    <t>Message: Dear sir With regard to your email, please let me know the final selling  price of 1-Bedroom &amp; Space net Apartment &amp; payment with dates . I would also like to know the fee for transferring the Apartment in our name your email explained there is no any other fees so please confirm it &amp; the Apartment in our name your email explained there is no any other fees so please confirm it &amp;Please clarify how the yearly maintenance will be done. Knowing the expected annual revenue of the unit</t>
  </si>
  <si>
    <t>Client for Samana Hills</t>
  </si>
  <si>
    <t>Hussam Abuseif</t>
  </si>
  <si>
    <t>Hussam.abuseif@bhge.com</t>
  </si>
  <si>
    <t>0552000705</t>
  </si>
  <si>
    <t>Emaar</t>
  </si>
  <si>
    <t>Grande by Emaar</t>
  </si>
  <si>
    <t xml:space="preserve"> Salman Aflatoon</t>
  </si>
  <si>
    <t>Email: Salman@aflatoon.ae</t>
  </si>
  <si>
    <t xml:space="preserve"> '0504210077</t>
  </si>
  <si>
    <t>Mehran javadi</t>
  </si>
  <si>
    <t>Email: Mehranjavadi@yahoo.com</t>
  </si>
  <si>
    <t>0567480159</t>
  </si>
  <si>
    <t>Message: Please send me info on 1 bedroom units</t>
  </si>
  <si>
    <t>Golf Ville</t>
  </si>
  <si>
    <t>Name: Kevin</t>
  </si>
  <si>
    <t>Email: kevin.kress1234@gmail.com</t>
  </si>
  <si>
    <t>Phone: +966547517068</t>
  </si>
  <si>
    <t>Message: I am interested in the 3yr plan</t>
  </si>
  <si>
    <t>Reg</t>
  </si>
  <si>
    <t>Ahmed ali</t>
  </si>
  <si>
    <t>fedtoursat@gmail.com</t>
  </si>
  <si>
    <t>+971506268809</t>
  </si>
  <si>
    <t>Comments: t am interested in the price ,flour plan for all rooms types and payment pla</t>
  </si>
  <si>
    <t>Elie Saab by Emaar</t>
  </si>
  <si>
    <t>Riyam</t>
  </si>
  <si>
    <t>Syma Khan</t>
  </si>
  <si>
    <t>Nawid_raja@hotmail.com</t>
  </si>
  <si>
    <t>0031624268026</t>
  </si>
  <si>
    <t>La Mer Villa Plots</t>
  </si>
  <si>
    <t>Shankar</t>
  </si>
  <si>
    <t>welcom@eim.ae</t>
  </si>
  <si>
    <t>971505863991</t>
  </si>
  <si>
    <t>Ali Torab</t>
  </si>
  <si>
    <t>atorab20@gmail.com</t>
  </si>
  <si>
    <t>971567564444</t>
  </si>
  <si>
    <t>Comments: 3 &amp; 4 Bedroom</t>
  </si>
  <si>
    <t>Khusro</t>
  </si>
  <si>
    <t xml:space="preserve"> Sabina Mammadova</t>
  </si>
  <si>
    <t>m.sabinka@gmail.com</t>
  </si>
  <si>
    <t>Message: What us the price for 2 bedroom unit 03 on 1st and 2nd floors and unit 07 on floors above?</t>
  </si>
  <si>
    <t>Client for Asayel at MJL</t>
  </si>
  <si>
    <t>Sadek alahmad</t>
  </si>
  <si>
    <t>Sadek@bmgint@hotmail.com</t>
  </si>
  <si>
    <t>971554559887</t>
  </si>
  <si>
    <t>Aliasgar Motiwala</t>
  </si>
  <si>
    <t>alim@switzgroup.com</t>
  </si>
  <si>
    <t>971506464835</t>
  </si>
  <si>
    <t>Comments: Can you please send more information about the (1) location (2) price (3) availability (4) master plan (5) expected hand over date (6) size of the plots.</t>
  </si>
  <si>
    <t>AD</t>
  </si>
  <si>
    <t>Ad.71161@hotmail.com</t>
  </si>
  <si>
    <t xml:space="preserve"> Call me for units availability</t>
  </si>
  <si>
    <t>Clients for Samana Hills</t>
  </si>
  <si>
    <t>FARIS PHILBY</t>
  </si>
  <si>
    <t>shfap@hotmail.com</t>
  </si>
  <si>
    <t>Send 90 months payment plan</t>
  </si>
  <si>
    <t>Hassan Saif</t>
  </si>
  <si>
    <t>hassansaif69@gmail.com</t>
  </si>
  <si>
    <t>971555555090</t>
  </si>
  <si>
    <t>Comments: Please call me I'm really interested</t>
  </si>
  <si>
    <t>Fahad Malik</t>
  </si>
  <si>
    <t>Abdullah aldhawi</t>
  </si>
  <si>
    <t>Aldhawiabdullah79@gmail.com</t>
  </si>
  <si>
    <t>00966505421347</t>
  </si>
  <si>
    <t>Comments: Studios</t>
  </si>
  <si>
    <t xml:space="preserve"> Josip Fuduric</t>
  </si>
  <si>
    <t>fuduric@fuduric.de</t>
  </si>
  <si>
    <t>0049-172-6235076</t>
  </si>
  <si>
    <t>Comments: I'am interested in a 3 or 4 bedroom partment with direct beachfront/Seaview. Can yo please send us the available apartments including payment plan-</t>
  </si>
  <si>
    <t>Elie Saab by Emar</t>
  </si>
  <si>
    <t>Rahul</t>
  </si>
  <si>
    <t>rahultulpule@hotmail.com</t>
  </si>
  <si>
    <t>971559020650</t>
  </si>
  <si>
    <t>Comments: Interested in a 1BR as investment</t>
  </si>
  <si>
    <t>Sama</t>
  </si>
  <si>
    <t>fathima mohamed</t>
  </si>
  <si>
    <t>drfathima2001@hotmail.com</t>
  </si>
  <si>
    <t>Mobile Number: 505919683</t>
  </si>
  <si>
    <t>Comments: studio</t>
  </si>
  <si>
    <t>Habibbhatti</t>
  </si>
  <si>
    <t>Habibbhatti@hotmail.vom</t>
  </si>
  <si>
    <t xml:space="preserve"> Comments: 1 bed and 2 bed please</t>
  </si>
  <si>
    <t xml:space="preserve">Bluewaters Building 2
</t>
  </si>
  <si>
    <t xml:space="preserve"> Dr. Lina Kouatly</t>
  </si>
  <si>
    <t>lina@lunatus-me.com</t>
  </si>
  <si>
    <t>Message: Can you give me an idea on price/ foot?</t>
  </si>
  <si>
    <t>email</t>
  </si>
  <si>
    <t>Fiona</t>
  </si>
  <si>
    <t>fiona1601@gmail.com</t>
  </si>
  <si>
    <t>Mobile Number: ----</t>
  </si>
  <si>
    <t>I am interested in this project what</t>
  </si>
  <si>
    <t>gmail</t>
  </si>
  <si>
    <t>Ahmed Alfalasi</t>
  </si>
  <si>
    <t>basit1383@gmail.com</t>
  </si>
  <si>
    <t>97150-6597666</t>
  </si>
  <si>
    <t>CITYWALK</t>
  </si>
  <si>
    <t>Name: Ahmed Al Amri</t>
  </si>
  <si>
    <t>Email: oneandonly2002@gmail.com</t>
  </si>
  <si>
    <t>Mobile: 971562623823</t>
  </si>
  <si>
    <t>CENTRAL PARK</t>
  </si>
  <si>
    <t>Name: AD</t>
  </si>
  <si>
    <t>Email: ad@alrams.com</t>
  </si>
  <si>
    <t>Message: Cheapest u have us what one or 2 bed and</t>
  </si>
  <si>
    <t>Bluewaters Inquiry</t>
  </si>
  <si>
    <t>outlook</t>
  </si>
  <si>
    <t>Name: bedi</t>
  </si>
  <si>
    <t>Email: bedi.jagmohan@gmail.com</t>
  </si>
  <si>
    <t>Message: We would like to know th price of one bed room flat</t>
  </si>
  <si>
    <t>Client for Asayel</t>
  </si>
  <si>
    <t xml:space="preserve"> Hitesh Bhatia</t>
  </si>
  <si>
    <t>Email: hiteshbhatia@eim.ae</t>
  </si>
  <si>
    <t>Mobile Number: 055 8807956</t>
  </si>
  <si>
    <t>Comments: La Rosa. Villa Nova. Interested in seeing the location and model home</t>
  </si>
  <si>
    <t>La Rosa by DP</t>
  </si>
  <si>
    <t>24/10/2018</t>
  </si>
  <si>
    <t>Feroz Fazlulhaque</t>
  </si>
  <si>
    <t>fxferoze@hotmail.com</t>
  </si>
  <si>
    <t>0504692557</t>
  </si>
  <si>
    <t>I am interested in 3BHK at Emaar Hills</t>
  </si>
  <si>
    <t>Amir</t>
  </si>
  <si>
    <t>ft2349@yahoo.com</t>
  </si>
  <si>
    <t>PROJECT: camelia</t>
  </si>
  <si>
    <t>Name:Marie</t>
  </si>
  <si>
    <t>Email: mrsmmd@hotmail.com</t>
  </si>
  <si>
    <t>971564802630</t>
  </si>
  <si>
    <t>PROJECT: Arabian Ranches 2 by Emaar</t>
  </si>
  <si>
    <t xml:space="preserve"> Niaz Ahmad</t>
  </si>
  <si>
    <t xml:space="preserve"> nahmad1519@aol.com</t>
  </si>
  <si>
    <t>+447557406010</t>
  </si>
  <si>
    <t>PROJECT: MJL by Dubai Holdings</t>
  </si>
  <si>
    <t>djeijn dobric</t>
  </si>
  <si>
    <t xml:space="preserve"> lazzard@hotmail.com</t>
  </si>
  <si>
    <t>00469919549835</t>
  </si>
  <si>
    <t>SHANE</t>
  </si>
  <si>
    <t>Turbellaria</t>
  </si>
  <si>
    <t>victor12_3889@hotmail.com</t>
  </si>
  <si>
    <t xml:space="preserve"> 12252680343</t>
  </si>
  <si>
    <t xml:space="preserve"> Emaar Property.</t>
  </si>
  <si>
    <t xml:space="preserve"> Chris Goodwin</t>
  </si>
  <si>
    <t>chrisgoodwin@resultsdrivengroup.co.uk</t>
  </si>
  <si>
    <t xml:space="preserve"> +44 845 094 0587</t>
  </si>
  <si>
    <t>PROJECT: La Cote by Meraas</t>
  </si>
  <si>
    <t>: JooceBab</t>
  </si>
  <si>
    <t xml:space="preserve"> rtzpcgamb@burjnet.ru</t>
  </si>
  <si>
    <t>83458721261</t>
  </si>
  <si>
    <t>Comments: casino online usa</t>
  </si>
  <si>
    <t>Spam</t>
  </si>
  <si>
    <t>Sheinal Bhuralal</t>
  </si>
  <si>
    <t xml:space="preserve"> sheinal.bhuralal@gmail.com</t>
  </si>
  <si>
    <t xml:space="preserve"> +6591282479</t>
  </si>
  <si>
    <t>PROJECT: Arabian Ranches Promo</t>
  </si>
  <si>
    <t>gfdgfd</t>
  </si>
  <si>
    <t>fgdfg@gmail.com</t>
  </si>
  <si>
    <t>125614564156</t>
  </si>
  <si>
    <t>PROJECT: Burj Royale by Emaar</t>
  </si>
  <si>
    <t>VACHHANI ASHOK KUMAR</t>
  </si>
  <si>
    <t>vachhani.ashok@gmail.com</t>
  </si>
  <si>
    <t>0505587509</t>
  </si>
  <si>
    <t>ansar ahmad</t>
  </si>
  <si>
    <t xml:space="preserve"> ansarahmad5024@hotmail.com</t>
  </si>
  <si>
    <t xml:space="preserve"> Ahmad</t>
  </si>
  <si>
    <t>temcoauh@hotmail.com</t>
  </si>
  <si>
    <t>0557766989</t>
  </si>
  <si>
    <t>JAMAL KHALAF</t>
  </si>
  <si>
    <t xml:space="preserve"> jamal.khalaf@hotmail.com</t>
  </si>
  <si>
    <t>Project: EXPO Gulf Villas</t>
  </si>
  <si>
    <t>C zee</t>
  </si>
  <si>
    <t>czee@hotmail.co.uk</t>
  </si>
  <si>
    <t>Akinwumi S. Ajayi</t>
  </si>
  <si>
    <t>akinajayi@yahoo.com</t>
  </si>
  <si>
    <t>+2348177770285</t>
  </si>
  <si>
    <t>waqas /tommy</t>
  </si>
  <si>
    <t>Haitham khalid</t>
  </si>
  <si>
    <t xml:space="preserve"> haithamk@uaeu.ac.ae</t>
  </si>
  <si>
    <t>0507865592</t>
  </si>
  <si>
    <t>PROJECT: Collective 2.0 by Emaar</t>
  </si>
  <si>
    <t>Khalil foulathi</t>
  </si>
  <si>
    <t>KFOULATHI@GMAIL.COM</t>
  </si>
  <si>
    <t xml:space="preserve"> 971556213141</t>
  </si>
  <si>
    <t>EMILY /HEDIYEH</t>
  </si>
  <si>
    <t xml:space="preserve"> info23</t>
  </si>
  <si>
    <t>info23@cantatic.com</t>
  </si>
  <si>
    <t>PROJECT: Emaar - COLLECTIVE</t>
  </si>
  <si>
    <t>Chanel Gan</t>
  </si>
  <si>
    <t>chanel.gan@hotmail.com</t>
  </si>
  <si>
    <t>PROJECT: China Investment Week/Singapore</t>
  </si>
  <si>
    <t>Suvidha</t>
  </si>
  <si>
    <t>Lynne Lee</t>
  </si>
  <si>
    <t>lynnelee.sh@gmail.con</t>
  </si>
  <si>
    <t>85006968</t>
  </si>
  <si>
    <t>PROJECT: chinainvestmentweek.com/singapore</t>
  </si>
  <si>
    <t xml:space="preserve"> Wendy</t>
  </si>
  <si>
    <t>lohwendy@gmail.com</t>
  </si>
  <si>
    <t>83114818</t>
  </si>
  <si>
    <t xml:space="preserve"> Raj</t>
  </si>
  <si>
    <t xml:space="preserve"> sgeventsg@gmail.com</t>
  </si>
  <si>
    <t xml:space="preserve"> 91002222</t>
  </si>
  <si>
    <t>ADELINE YEO</t>
  </si>
  <si>
    <t>adeline.yeo@iproperty.com.sg</t>
  </si>
  <si>
    <t xml:space="preserve"> Cynthia</t>
  </si>
  <si>
    <t>cynthia.ybl@gmail.com</t>
  </si>
  <si>
    <t>82880806</t>
  </si>
  <si>
    <t>info23</t>
  </si>
  <si>
    <t xml:space="preserve"> info23@cantatic.com</t>
  </si>
  <si>
    <t>PROJECT: chinainvestment/singapore</t>
  </si>
  <si>
    <t>Name: Mr. Mohammed Sheikh-Sobeh</t>
  </si>
  <si>
    <t>msobeh@hotmail.com</t>
  </si>
  <si>
    <t>+971507471057</t>
  </si>
  <si>
    <t>PROJECT: Bluewaters by Meraas</t>
  </si>
  <si>
    <t>Mark Soh</t>
  </si>
  <si>
    <t xml:space="preserve"> marksph8@yahoo.com.sg</t>
  </si>
  <si>
    <t>94562847</t>
  </si>
  <si>
    <t>Jonny Yeow</t>
  </si>
  <si>
    <t>jonnyyeowproperties@gmail.com</t>
  </si>
  <si>
    <t xml:space="preserve"> 90222289</t>
  </si>
  <si>
    <t>Olivier Zanette</t>
  </si>
  <si>
    <t xml:space="preserve"> ozanette@gmail.com</t>
  </si>
  <si>
    <t xml:space="preserve"> + 971 50 770 5882</t>
  </si>
  <si>
    <t>Project:  MERAAS AMALFI Villas via Offplan Dubai</t>
  </si>
  <si>
    <t xml:space="preserve"> Miusa</t>
  </si>
  <si>
    <t>sykon_llc@yahoo.com</t>
  </si>
  <si>
    <t>0561090900</t>
  </si>
  <si>
    <t>PROJECT: Amalfi</t>
  </si>
  <si>
    <t>Aziz Alammari</t>
  </si>
  <si>
    <t>azizalammari@yahoo.com</t>
  </si>
  <si>
    <t xml:space="preserve"> Mandy</t>
  </si>
  <si>
    <t>eisone.property@gmail.com</t>
  </si>
  <si>
    <t>82260620</t>
  </si>
  <si>
    <t>JAGANNATHAN</t>
  </si>
  <si>
    <t>jagachitra@gmail.com</t>
  </si>
  <si>
    <t>Sky cheng</t>
  </si>
  <si>
    <t>syberian_cheng@hotmail.com</t>
  </si>
  <si>
    <t>091268541</t>
  </si>
  <si>
    <t>Jacklyne ong</t>
  </si>
  <si>
    <t xml:space="preserve"> jacklyne.ong@gmail.com</t>
  </si>
  <si>
    <t>Vanita Fernandes</t>
  </si>
  <si>
    <t xml:space="preserve"> vanitaf28@gmail.com</t>
  </si>
  <si>
    <t xml:space="preserve"> Arena Othman</t>
  </si>
  <si>
    <t xml:space="preserve"> arena.othman@gmail.com</t>
  </si>
  <si>
    <t>SAMSON SCHUBERT d'silva</t>
  </si>
  <si>
    <t>schubert411@yahoo.com</t>
  </si>
  <si>
    <t>0504513574</t>
  </si>
  <si>
    <t>Laves Goh</t>
  </si>
  <si>
    <t>lavesgoh@gmail.com</t>
  </si>
  <si>
    <t>093635117</t>
  </si>
  <si>
    <t>Franz gonzales</t>
  </si>
  <si>
    <t xml:space="preserve"> gonzalesfranz@yahoo.com</t>
  </si>
  <si>
    <t xml:space="preserve"> 98799511</t>
  </si>
  <si>
    <t>Warren Kok</t>
  </si>
  <si>
    <t>warrenkok@gmail.com</t>
  </si>
  <si>
    <t>98218433</t>
  </si>
  <si>
    <t>Anderson Jonathan Long</t>
  </si>
  <si>
    <t>icreativeinnovation@yahoo.com.sg</t>
  </si>
  <si>
    <t>87481320</t>
  </si>
  <si>
    <t>Stella khaw</t>
  </si>
  <si>
    <t>stella.khaw@gmail.com</t>
  </si>
  <si>
    <t>96807333</t>
  </si>
  <si>
    <t>Brian Han</t>
  </si>
  <si>
    <t xml:space="preserve"> han_brian@hotmail.com</t>
  </si>
  <si>
    <t>82684511</t>
  </si>
  <si>
    <t xml:space="preserve"> Yusri</t>
  </si>
  <si>
    <t>yusri7822@gmail.com</t>
  </si>
  <si>
    <t>6598459159</t>
  </si>
  <si>
    <t xml:space="preserve"> Mohammad.</t>
  </si>
  <si>
    <t>Please send me the information about the price?Thanks:Mohammad</t>
  </si>
  <si>
    <t>Project: Client for MJL</t>
  </si>
  <si>
    <t xml:space="preserve"> Muhammad Salim Jandula</t>
  </si>
  <si>
    <t>salimjandulla@yahoo.com</t>
  </si>
  <si>
    <t>Project: Client for Bluewaters</t>
  </si>
  <si>
    <t>Muhammed Shakir</t>
  </si>
  <si>
    <t>mshakir167@gmail.com</t>
  </si>
  <si>
    <t>0506590375</t>
  </si>
  <si>
    <t>PROJECT: Bellevue by Dubai Properties</t>
  </si>
  <si>
    <t>Masood Ahmed</t>
  </si>
  <si>
    <t>geneous_leo01@hotmail.com</t>
  </si>
  <si>
    <t>+971556475182</t>
  </si>
  <si>
    <t>PROJECT: DP Cityscape Offer</t>
  </si>
  <si>
    <t xml:space="preserve"> Jenny Tan</t>
  </si>
  <si>
    <t xml:space="preserve"> Adeep Gupta</t>
  </si>
  <si>
    <t>adeepgupta@gmail.com</t>
  </si>
  <si>
    <t>88339970</t>
  </si>
  <si>
    <t xml:space="preserve"> Samir Kumar</t>
  </si>
  <si>
    <t>samdbg1@gmail.com</t>
  </si>
  <si>
    <t>91829094</t>
  </si>
  <si>
    <t>pick E-Li</t>
  </si>
  <si>
    <t>sushi2001sg@yahoo.com.sg</t>
  </si>
  <si>
    <t>96930120</t>
  </si>
  <si>
    <t>Client for Dubai Property Offer</t>
  </si>
  <si>
    <t>Joan De Leon-Tabinas</t>
  </si>
  <si>
    <t>arjoantabinas.uap@gmai.com</t>
  </si>
  <si>
    <t>82996960</t>
  </si>
  <si>
    <t xml:space="preserve"> t.s.sahni@gmail.com</t>
  </si>
  <si>
    <t>Rachit Luthra</t>
  </si>
  <si>
    <t>rachit.luthra@gmail.com</t>
  </si>
  <si>
    <t>85228844</t>
  </si>
  <si>
    <t xml:space="preserve"> rachit.luthra@gmail.com</t>
  </si>
  <si>
    <t>Mohamed Alfalahi</t>
  </si>
  <si>
    <t>m_alfalahi@mofa.gov.ae</t>
  </si>
  <si>
    <t>96759205</t>
  </si>
  <si>
    <t>Subodh</t>
  </si>
  <si>
    <t>subodh_rawat@hotmail.com</t>
  </si>
  <si>
    <t>97892637</t>
  </si>
  <si>
    <t>Ferhad and Jasmine Patel</t>
  </si>
  <si>
    <t>ferhadpatel@gmail.com</t>
  </si>
  <si>
    <t>+6592216808</t>
  </si>
  <si>
    <t>Abdullah Shamsan</t>
  </si>
  <si>
    <t>shamsan2000@yahoo.com</t>
  </si>
  <si>
    <t>971505592566</t>
  </si>
  <si>
    <t>Pierfrancesco Palmieri</t>
  </si>
  <si>
    <t>pierfrancesco.palmieri@hotmail.it</t>
  </si>
  <si>
    <t>PROJECT: Arabella 3 by Dubai Properties</t>
  </si>
  <si>
    <t>Nishant Patel</t>
  </si>
  <si>
    <t>nishant.patel@gmail.com</t>
  </si>
  <si>
    <t>9062 6056</t>
  </si>
  <si>
    <t>كمال Kamal</t>
  </si>
  <si>
    <t>mohammedalmansore@gmail.com</t>
  </si>
  <si>
    <t>2ry8oj</t>
  </si>
  <si>
    <t>Sherman</t>
  </si>
  <si>
    <t>zxy8888@yahoo.com</t>
  </si>
  <si>
    <t>+65 96235987</t>
  </si>
  <si>
    <t>send mail</t>
  </si>
  <si>
    <t>zupash imran</t>
  </si>
  <si>
    <t>imranzupash@yahoo.com</t>
  </si>
  <si>
    <t>Andrew Koh</t>
  </si>
  <si>
    <t>andrewkohmw@yahoo.com.sg</t>
  </si>
  <si>
    <t xml:space="preserve"> 97895666</t>
  </si>
  <si>
    <t>PROJECT: Martin / Singapore</t>
  </si>
  <si>
    <t>Ian tan</t>
  </si>
  <si>
    <t>tan.kh.ian@gmail.com</t>
  </si>
  <si>
    <t xml:space="preserve"> 94598480</t>
  </si>
  <si>
    <t>Frank meo</t>
  </si>
  <si>
    <t>meoreps@aol.com</t>
  </si>
  <si>
    <t>973 218 1263</t>
  </si>
  <si>
    <t>Mario Ng</t>
  </si>
  <si>
    <t>ahaau84@gmail.com</t>
  </si>
  <si>
    <t>+6282180026666</t>
  </si>
  <si>
    <t>Gunalan</t>
  </si>
  <si>
    <t>gunalan_m@yahoo.co.uk</t>
  </si>
  <si>
    <t>97619122</t>
  </si>
  <si>
    <t>Ankur Bhandari</t>
  </si>
  <si>
    <t>ankur.bhandari@yahoo.com</t>
  </si>
  <si>
    <t>96515401</t>
  </si>
  <si>
    <t>Vaisak</t>
  </si>
  <si>
    <t>vaisak.c@gmail.com</t>
  </si>
  <si>
    <t>93211471</t>
  </si>
  <si>
    <t>Jerry Yeo</t>
  </si>
  <si>
    <t>jerryyeo88777@hotmail.com</t>
  </si>
  <si>
    <t>93274327</t>
  </si>
  <si>
    <t>Cui Taian</t>
  </si>
  <si>
    <t>tacui@sina.com</t>
  </si>
  <si>
    <t>91469609</t>
  </si>
  <si>
    <t>Tina sutinah</t>
  </si>
  <si>
    <t>tinastnh@yahoo.com.sg</t>
  </si>
  <si>
    <t>90478379</t>
  </si>
  <si>
    <t xml:space="preserve"> Jk</t>
  </si>
  <si>
    <t xml:space="preserve"> vjslogin@yahoo.com</t>
  </si>
  <si>
    <t xml:space="preserve"> 93396854</t>
  </si>
  <si>
    <t xml:space="preserve"> Salah Hashem Mohammed</t>
  </si>
  <si>
    <t>sh16779@hotmail.com</t>
  </si>
  <si>
    <t>+201270255546</t>
  </si>
  <si>
    <t>Aryanysukarseh@gmail.com</t>
  </si>
  <si>
    <t>aryanysukarseh@gmail.com</t>
  </si>
  <si>
    <t>+6590539583</t>
  </si>
  <si>
    <t xml:space="preserve"> JONATHAN YAP</t>
  </si>
  <si>
    <t>BUAYASG@YAHOO.COM</t>
  </si>
  <si>
    <t>96799702</t>
  </si>
  <si>
    <t xml:space="preserve"> El</t>
  </si>
  <si>
    <t>akll09@yahoo.com.sg</t>
  </si>
  <si>
    <t>91339359</t>
  </si>
  <si>
    <t>phill seah</t>
  </si>
  <si>
    <t>seahhphill@yahoo.com.sg</t>
  </si>
  <si>
    <t>64724746</t>
  </si>
  <si>
    <t>Haroon mulla</t>
  </si>
  <si>
    <t>sirfz@yahoo.com</t>
  </si>
  <si>
    <t>97433005</t>
  </si>
  <si>
    <t>PROJECT: Martin /Sinagapore</t>
  </si>
  <si>
    <t>Ashraf</t>
  </si>
  <si>
    <t>ash_baku@yahoo.com</t>
  </si>
  <si>
    <t>Habib</t>
  </si>
  <si>
    <t>?</t>
  </si>
  <si>
    <t>Jennifer Lee</t>
  </si>
  <si>
    <t xml:space="preserve"> jennvic2002@yahoo.com</t>
  </si>
  <si>
    <t>98698539</t>
  </si>
  <si>
    <t>PROJECT: Martin</t>
  </si>
  <si>
    <t>Moheb</t>
  </si>
  <si>
    <t>ahmed_moheb@outlook.com</t>
  </si>
  <si>
    <t xml:space="preserve"> 13054440238</t>
  </si>
  <si>
    <t>PROJECT: chinainvestmentweek.com/china</t>
  </si>
  <si>
    <r>
      <rPr>
        <rFont val="Arial"/>
        <color rgb="FF0000FF"/>
      </rPr>
      <t>Aysel</t>
    </r>
    <r>
      <rPr>
        <rFont val="Arial"/>
        <color theme="1"/>
      </rPr>
      <t xml:space="preserve"> / Suvi</t>
    </r>
  </si>
  <si>
    <t>Cathy Liu</t>
  </si>
  <si>
    <t>yinniliu666@yahoo.com</t>
  </si>
  <si>
    <t>＋8613726764086</t>
  </si>
  <si>
    <t>Tong</t>
  </si>
  <si>
    <t>Diane Thorson</t>
  </si>
  <si>
    <t>dbthorson@aol.com</t>
  </si>
  <si>
    <t xml:space="preserve"> +1-720-329-0623</t>
  </si>
  <si>
    <t>Mardig</t>
  </si>
  <si>
    <t>mardig.jansezian@samirgroup.com</t>
  </si>
  <si>
    <t>966505848001</t>
  </si>
  <si>
    <t>Habib Ali</t>
  </si>
  <si>
    <t>Habib1696@gmail.com</t>
  </si>
  <si>
    <t>Liuliguo</t>
  </si>
  <si>
    <t>hayadycathy6@outlook.com</t>
  </si>
  <si>
    <t>13726764086</t>
  </si>
  <si>
    <t>ShawnTruch</t>
  </si>
  <si>
    <t>a.dm.in@moukrest.ru</t>
  </si>
  <si>
    <t>83632593834</t>
  </si>
  <si>
    <t>spam</t>
  </si>
  <si>
    <t>Molly Yang</t>
  </si>
  <si>
    <t>molly.yang@navitas.com</t>
  </si>
  <si>
    <t>18673129532</t>
  </si>
  <si>
    <t>Faheem</t>
  </si>
  <si>
    <t>faheem4008@gmail.com</t>
  </si>
  <si>
    <t>Peace Clarke</t>
  </si>
  <si>
    <t>peacefulpeaceclarke@gmail.com</t>
  </si>
  <si>
    <t xml:space="preserve"> 8026841284</t>
  </si>
  <si>
    <t>PROJECT: chinainvestmentweek.com/nigeria</t>
  </si>
  <si>
    <t>5bf3feb529393</t>
  </si>
  <si>
    <t>michaelparedes777@gmail.com</t>
  </si>
  <si>
    <t>5bf40af050b3c</t>
  </si>
  <si>
    <t>poemshj@gmail.com</t>
  </si>
  <si>
    <t>5bf4095989de0</t>
  </si>
  <si>
    <t>supporto.relax@bancofiorentino.it</t>
  </si>
  <si>
    <t>8026841284</t>
  </si>
  <si>
    <t>PROJECT: chinainvestmentweek.com/Nigeria</t>
  </si>
  <si>
    <t>5bf4737f776bf</t>
  </si>
  <si>
    <t>anthony.petecca@gmail.com</t>
  </si>
  <si>
    <t xml:space="preserve"> 5bf473167721d</t>
  </si>
  <si>
    <t>omgbbq133@gmail.com</t>
  </si>
  <si>
    <t>5bf467ac49f22</t>
  </si>
  <si>
    <t>league_of_draven@gmx.de</t>
  </si>
  <si>
    <t>5bf456286f6e1</t>
  </si>
  <si>
    <t>bigrbart@gmail.com</t>
  </si>
  <si>
    <t>5bf41f3c49fd1</t>
  </si>
  <si>
    <t>gulzar@compuaddons.com</t>
  </si>
  <si>
    <t>5bf51969868f2</t>
  </si>
  <si>
    <t>taitancards@gmail.com</t>
  </si>
  <si>
    <t>Dr. Monir Emara</t>
  </si>
  <si>
    <t>moniremara@yahoo.com</t>
  </si>
  <si>
    <t>From: Client for DP Offer</t>
  </si>
  <si>
    <t>5bf62fb89b688</t>
  </si>
  <si>
    <t>lifepatterns.barb@gmail.com</t>
  </si>
  <si>
    <t>5bf5e97b838b3</t>
  </si>
  <si>
    <t>mramoscatdenas@gmail.com</t>
  </si>
  <si>
    <t>5bf5e11a50f95</t>
  </si>
  <si>
    <t>sharon.pickett54@yahoo.com</t>
  </si>
  <si>
    <t xml:space="preserve"> 5bf5d0cb8895c</t>
  </si>
  <si>
    <t>5bf5a7779691d</t>
  </si>
  <si>
    <t>rufinopadiya@gmail.com</t>
  </si>
  <si>
    <t>5bf5a39ee37c1</t>
  </si>
  <si>
    <t>nikki.moorer@yahoo.com</t>
  </si>
  <si>
    <t>5bf5a303bfb7e</t>
  </si>
  <si>
    <t>jangirl8275@aol.com</t>
  </si>
  <si>
    <t>5bf6691d18e54</t>
  </si>
  <si>
    <t>b.liang.96@gmail.com</t>
  </si>
  <si>
    <t xml:space="preserve">Aysel  </t>
  </si>
  <si>
    <t>5bf6590198c3c</t>
  </si>
  <si>
    <t>tonipiccinini@yahoo.com</t>
  </si>
  <si>
    <t>5bf6a0e3962f7</t>
  </si>
  <si>
    <t>gabrielharris77@gmail.com</t>
  </si>
  <si>
    <t>Daniyal Paracha</t>
  </si>
  <si>
    <t>daniyaljp@yahoo.co.uk</t>
  </si>
  <si>
    <t>923000200898</t>
  </si>
  <si>
    <t>PROJECT: Golf Suites by Emaar</t>
  </si>
  <si>
    <t xml:space="preserve">aysel  </t>
  </si>
  <si>
    <t>5bf8acf72e03f</t>
  </si>
  <si>
    <t>smithbailey2004@gmail.com</t>
  </si>
  <si>
    <t>5bf8901a4b795</t>
  </si>
  <si>
    <t>erica_sitepu@yahoo.com</t>
  </si>
  <si>
    <t>5bf883768b146</t>
  </si>
  <si>
    <t>rainydaze1215@aol.com</t>
  </si>
  <si>
    <t>5bf880d0bb1a7</t>
  </si>
  <si>
    <t>wanghui.ustc@gmail.com</t>
  </si>
  <si>
    <t>5bf84d971e6a4</t>
  </si>
  <si>
    <t>securekzwsecure@gmail.com</t>
  </si>
  <si>
    <t>5bf833bbb28a2</t>
  </si>
  <si>
    <t>wgriffing98921@gmail.com</t>
  </si>
  <si>
    <t>5bf7f2f80b0f9</t>
  </si>
  <si>
    <t>stephenbrown@zycrypto.com</t>
  </si>
  <si>
    <t>5bf7f19ba9216</t>
  </si>
  <si>
    <t>nfang73@yahoo.com</t>
  </si>
  <si>
    <t>5bf7a402eaf88</t>
  </si>
  <si>
    <t>trovescott@gmail.com</t>
  </si>
  <si>
    <t>5bf759b6e24d8</t>
  </si>
  <si>
    <t>navarrodavid1@aol.com</t>
  </si>
  <si>
    <t>5bf743fb8b87a</t>
  </si>
  <si>
    <t>chimpy_13@yahoo.com</t>
  </si>
  <si>
    <t>5bf7384a71a6a</t>
  </si>
  <si>
    <t>christianleitz@gmx.de</t>
  </si>
  <si>
    <t>5bf71ad9ef650</t>
  </si>
  <si>
    <t>nmacia17@gmail.com</t>
  </si>
  <si>
    <t>5bf7091875549</t>
  </si>
  <si>
    <t>kwaldropt@gmail.com</t>
  </si>
  <si>
    <t>5bf6efcb31033</t>
  </si>
  <si>
    <t>cvincent@lccc.us.com</t>
  </si>
  <si>
    <t>Name: Sajith Antony</t>
  </si>
  <si>
    <t>aonetech@eim.ae</t>
  </si>
  <si>
    <t>0501277255</t>
  </si>
  <si>
    <t>Rabih roumman</t>
  </si>
  <si>
    <t>rabih@purplebeeme.com</t>
  </si>
  <si>
    <t>0504417908</t>
  </si>
  <si>
    <t>Julian Kemp</t>
  </si>
  <si>
    <t>julian.bookharvest@gmail.com</t>
  </si>
  <si>
    <t>+44 7747 845542</t>
  </si>
  <si>
    <t>PROJECT: Sunset by Emaar</t>
  </si>
  <si>
    <t>Al Karim Somji</t>
  </si>
  <si>
    <t>asomji@mac.com</t>
  </si>
  <si>
    <t>16046168833</t>
  </si>
  <si>
    <t>PROJECT: Golf Suites by Emaar-Constant</t>
  </si>
  <si>
    <t>Farah tukan</t>
  </si>
  <si>
    <t>fdtukan@gmail.com</t>
  </si>
  <si>
    <t>00971567180498</t>
  </si>
  <si>
    <t>Gary Segesdy</t>
  </si>
  <si>
    <t>gary@bigfishrecruitment.ae</t>
  </si>
  <si>
    <t>0505579069</t>
  </si>
  <si>
    <t xml:space="preserve"> احمد الكردي</t>
  </si>
  <si>
    <t>ahmad.alkordi@hotmail.com</t>
  </si>
  <si>
    <t>0505991736</t>
  </si>
  <si>
    <t>Moosa Ali Almazrouei</t>
  </si>
  <si>
    <t>lovelymoon91@Yahoo.com</t>
  </si>
  <si>
    <t>0505158677</t>
  </si>
  <si>
    <t xml:space="preserve"> Jayaraj Menon</t>
  </si>
  <si>
    <t>Jayarajbm@gmail.com</t>
  </si>
  <si>
    <t>0556025003</t>
  </si>
  <si>
    <t xml:space="preserve"> Loay</t>
  </si>
  <si>
    <t>michelleandloay@gmail.com</t>
  </si>
  <si>
    <t>Phone: 0505588174</t>
  </si>
  <si>
    <t xml:space="preserve"> farkhanda</t>
  </si>
  <si>
    <t>farkhandaj@gmail.com</t>
  </si>
  <si>
    <t>Phone: 0551061890</t>
  </si>
  <si>
    <t>LailaMohd</t>
  </si>
  <si>
    <t>lailasuhail@gmail.com</t>
  </si>
  <si>
    <t>0505527559</t>
  </si>
  <si>
    <t>Chris Goodwin</t>
  </si>
  <si>
    <t>7951212186</t>
  </si>
  <si>
    <t>PROJECT: Sunset by Emaar-(i)Contact</t>
  </si>
  <si>
    <t>Catriona</t>
  </si>
  <si>
    <t>catrionamcdevitt@hotmail.com</t>
  </si>
  <si>
    <t>0506685331</t>
  </si>
  <si>
    <t>PROJECT: Emaar Promo</t>
  </si>
  <si>
    <t>Sara albraik</t>
  </si>
  <si>
    <t>alsarriuae@gmail.com</t>
  </si>
  <si>
    <t xml:space="preserve"> +971557777281</t>
  </si>
  <si>
    <t>PROJECT: 90210 Villas</t>
  </si>
  <si>
    <t>Omar Farook KHAN</t>
  </si>
  <si>
    <t>ofkdubai@gmail.com</t>
  </si>
  <si>
    <t>0505504549</t>
  </si>
  <si>
    <t>Client interested in City Walk.</t>
  </si>
  <si>
    <t>Aijaz</t>
  </si>
  <si>
    <t>aijaz.zameer@gmail.com</t>
  </si>
  <si>
    <t>0505000380</t>
  </si>
  <si>
    <t>علي الكعبي</t>
  </si>
  <si>
    <t>Alirashed.alkaabi@outlook.com</t>
  </si>
  <si>
    <t>00971596669997</t>
  </si>
  <si>
    <t>Mustafa turab</t>
  </si>
  <si>
    <t>turabbhai@live.com</t>
  </si>
  <si>
    <t>0505053799</t>
  </si>
  <si>
    <t>ahmed Alblooshi</t>
  </si>
  <si>
    <t>uaeboy21@hotmail.com</t>
  </si>
  <si>
    <t xml:space="preserve"> 0543366664</t>
  </si>
  <si>
    <t>ZAKI SIDDIQUI</t>
  </si>
  <si>
    <t>gmadubai@eim.ae</t>
  </si>
  <si>
    <t>+971 4 341 5900</t>
  </si>
  <si>
    <t>From: Email -Ready Property</t>
  </si>
  <si>
    <t>Abdullah A Alhussayen</t>
  </si>
  <si>
    <t>alhussayen@yahoo.com</t>
  </si>
  <si>
    <t>+971504913829</t>
  </si>
  <si>
    <t>Tylercof</t>
  </si>
  <si>
    <t>josefin.thor@stendahls.se</t>
  </si>
  <si>
    <t>Spam delete</t>
  </si>
  <si>
    <t>Manohar Lahori</t>
  </si>
  <si>
    <t>Mmlahori@gmail.com</t>
  </si>
  <si>
    <t>Please let me know the price .. PSF</t>
  </si>
  <si>
    <t>mohamed omer</t>
  </si>
  <si>
    <t>mohdleim@yahoo.com</t>
  </si>
  <si>
    <t>+966555308174</t>
  </si>
  <si>
    <t>Ali Alyafei</t>
  </si>
  <si>
    <t>ali.alyafei@yahoo.com</t>
  </si>
  <si>
    <t>Phone: +971523333399</t>
  </si>
  <si>
    <t>Mr Frederic</t>
  </si>
  <si>
    <t>fselhami@yahoo.fr</t>
  </si>
  <si>
    <t>Client interested in City Walk</t>
  </si>
  <si>
    <t xml:space="preserve"> M.Farooghuddin</t>
  </si>
  <si>
    <t>mdfarooq@eim.ae</t>
  </si>
  <si>
    <t>Client interested in Dubai Wharf</t>
  </si>
  <si>
    <t xml:space="preserve"> Jitendra Singam</t>
  </si>
  <si>
    <t>Jitu_singam@yahoo.com</t>
  </si>
  <si>
    <t>0509658511</t>
  </si>
  <si>
    <t>aman</t>
  </si>
  <si>
    <t>mobile: 0506580120</t>
  </si>
  <si>
    <t>Client interested in Manazel Al Khor</t>
  </si>
  <si>
    <t>saira</t>
  </si>
  <si>
    <t xml:space="preserve"> Ali Ansari</t>
  </si>
  <si>
    <t xml:space="preserve"> Eng_a.ansari@yahoo.com</t>
  </si>
  <si>
    <t>0401654532</t>
  </si>
  <si>
    <t>Edgar Dsa</t>
  </si>
  <si>
    <t>dsaedgar@hotmail.com</t>
  </si>
  <si>
    <t>+971566914180. 0556468516</t>
  </si>
  <si>
    <t>suvi / julia</t>
  </si>
  <si>
    <t>Alaa Shammout</t>
  </si>
  <si>
    <t>ashammout@me.com</t>
  </si>
  <si>
    <t xml:space="preserve"> 0545611111</t>
  </si>
  <si>
    <t>suvi / emily</t>
  </si>
  <si>
    <t>Wassim Labban</t>
  </si>
  <si>
    <t>wlabban@yahoo.com</t>
  </si>
  <si>
    <t xml:space="preserve"> 0551111537</t>
  </si>
  <si>
    <t>Registration City Walk</t>
  </si>
  <si>
    <t>Waleed</t>
  </si>
  <si>
    <t>Waleed778@hotmail.com</t>
  </si>
  <si>
    <t>0503336557</t>
  </si>
  <si>
    <t>Ashref</t>
  </si>
  <si>
    <t>ashrefdxb@gmail.com</t>
  </si>
  <si>
    <t>+971555964898</t>
  </si>
  <si>
    <t>4 BR Townhouses</t>
  </si>
  <si>
    <t>esref temel</t>
  </si>
  <si>
    <t>esreftemel@gmail.com</t>
  </si>
  <si>
    <t>0527611555</t>
  </si>
  <si>
    <t>I am interested in City Walk project and Bluewaters project possible for more than one unit. Can you please e-mail me the price list and the floor plans?</t>
  </si>
  <si>
    <t>Abdulla</t>
  </si>
  <si>
    <t>Binabdulla@hotmail.com</t>
  </si>
  <si>
    <t>0506410777</t>
  </si>
  <si>
    <t>Mehmet emin haksever</t>
  </si>
  <si>
    <t>mehalsever@gmail.com</t>
  </si>
  <si>
    <t>00905333776277</t>
  </si>
  <si>
    <t>Ahmed Maher Khalifa</t>
  </si>
  <si>
    <t>Ahmedmaherk@gmail.com</t>
  </si>
  <si>
    <t>0564992284</t>
  </si>
  <si>
    <t>Rove citywalk</t>
  </si>
  <si>
    <t>Emaar Rove-Constant</t>
  </si>
  <si>
    <t xml:space="preserve"> Tariq</t>
  </si>
  <si>
    <t>Tariqmoi@hotmail.com</t>
  </si>
  <si>
    <t>0509991500</t>
  </si>
  <si>
    <t>Mira Oasis</t>
  </si>
  <si>
    <t>Muhammad saad</t>
  </si>
  <si>
    <t>Saadi706@outlook.com</t>
  </si>
  <si>
    <t xml:space="preserve"> 0096550077140</t>
  </si>
  <si>
    <t>I am intrested in the rove city walk project will like to know more details once its available</t>
  </si>
  <si>
    <t>John</t>
  </si>
  <si>
    <t>0588315321</t>
  </si>
  <si>
    <t>Inquiry: Mira Oasis</t>
  </si>
  <si>
    <t>asaad hadad</t>
  </si>
  <si>
    <t>haddadasaad@hotmail.com</t>
  </si>
  <si>
    <t>+38977763110</t>
  </si>
  <si>
    <t>Message : Im interested in...  what will be the price please ? and if you can send me more details of the revenue shares yearly and the other expenses of the unites !!!</t>
  </si>
  <si>
    <t>Project Bluewaters</t>
  </si>
  <si>
    <t>Steve Glykys</t>
  </si>
  <si>
    <t>Saglykys@icloud.com</t>
  </si>
  <si>
    <t>0529961292</t>
  </si>
  <si>
    <t>Im interested in...  Investor</t>
  </si>
  <si>
    <t>Ashraf Mahmoud</t>
  </si>
  <si>
    <t>abiddah@gmail.com</t>
  </si>
  <si>
    <t xml:space="preserve"> 0507636202</t>
  </si>
  <si>
    <t>Project:  Bluewaters</t>
  </si>
  <si>
    <t>Karim Al Falasi</t>
  </si>
  <si>
    <t>karimalfalasi@gmail.com</t>
  </si>
  <si>
    <t>0508522852</t>
  </si>
  <si>
    <t>Johnson Ezisi</t>
  </si>
  <si>
    <t>talk2johnsonez@gmail.com</t>
  </si>
  <si>
    <t>07035299955</t>
  </si>
  <si>
    <t>Bilal Jibril</t>
  </si>
  <si>
    <t>bilaljibril@live.com</t>
  </si>
  <si>
    <t>08030427258</t>
  </si>
  <si>
    <t>PROJECT: chinainvestmentweek.com/*nigeria*</t>
  </si>
  <si>
    <t>Abdul Hameed</t>
  </si>
  <si>
    <t>ghhameed@hotmail.com</t>
  </si>
  <si>
    <t>0091 9108849006</t>
  </si>
  <si>
    <t>Like to express my interest. I am resident of UAE but in india currently.</t>
  </si>
  <si>
    <t>Project Rove City Walk</t>
  </si>
  <si>
    <t>SVSBoida</t>
  </si>
  <si>
    <t>mlobov@svs-samara.ru</t>
  </si>
  <si>
    <t xml:space="preserve"> 89653353675</t>
  </si>
  <si>
    <t>Многочисленные из скважин после завершения выполнения восстановительного комплекса мероприятий могут быть снова введены в применение. Тем более что сумма данных выполненных работ в десять раз ниже Обеспечено повышение сбыта водозаборной скважины не менее 30 процентов от имеющегося на момент запуска дел.</t>
  </si>
  <si>
    <t xml:space="preserve"> OMAR ALMALLAH</t>
  </si>
  <si>
    <t>o_mallah83@hotmail.com</t>
  </si>
  <si>
    <t>0567893149</t>
  </si>
  <si>
    <t xml:space="preserve"> two bedroom apartment</t>
  </si>
  <si>
    <t xml:space="preserve"> Abdulrazzaque Meeran</t>
  </si>
  <si>
    <t>Ameeran2@gmail.com</t>
  </si>
  <si>
    <t xml:space="preserve"> 1 bedroom ready to move in City Walk. My budget is between 500000/- 600000/=</t>
  </si>
  <si>
    <t>Khalil</t>
  </si>
  <si>
    <t>a.saa@elc.com</t>
  </si>
  <si>
    <t>+96599342658</t>
  </si>
  <si>
    <t xml:space="preserve"> خليل</t>
  </si>
  <si>
    <t>A.A@elc.com</t>
  </si>
  <si>
    <t xml:space="preserve"> 0096599342658</t>
  </si>
  <si>
    <t>victor Uruakpa</t>
  </si>
  <si>
    <t>victoruruakpa@yahoo.com</t>
  </si>
  <si>
    <t xml:space="preserve"> 08038106479</t>
  </si>
  <si>
    <t>JAGMOHAN BEDI</t>
  </si>
  <si>
    <t>bedi.jagmohan@gmail.com</t>
  </si>
  <si>
    <t>+919810108989</t>
  </si>
  <si>
    <t>I WOULD LIKE TO KNOW TH DETAILS ON ONE BED APPARTMENT</t>
  </si>
  <si>
    <t>Ali Abbas</t>
  </si>
  <si>
    <t>aliabbas18@hotmail.com</t>
  </si>
  <si>
    <t>0400402388</t>
  </si>
  <si>
    <t>Comments: I need more details please. Most importantly the service fees. No calls please just email.</t>
  </si>
  <si>
    <t>saba /aysel</t>
  </si>
  <si>
    <t>Prosper torkuma agoon</t>
  </si>
  <si>
    <t>prosperagoon@yahoo.com</t>
  </si>
  <si>
    <t>08091441744</t>
  </si>
  <si>
    <t>Basheer Kyari Muhammad</t>
  </si>
  <si>
    <t>basheerkyari13@gmail.com</t>
  </si>
  <si>
    <t>07035785491</t>
  </si>
  <si>
    <t>Coral Goddard</t>
  </si>
  <si>
    <t>coral.goddard@gmail.com</t>
  </si>
  <si>
    <t>0566563300</t>
  </si>
  <si>
    <t>Hi I am interested in two bedroom property</t>
  </si>
  <si>
    <t>iuliia</t>
  </si>
  <si>
    <t xml:space="preserve"> Coral Goddard</t>
  </si>
  <si>
    <t>khaled.h@adlinemedia.net</t>
  </si>
  <si>
    <t> 403671522</t>
  </si>
  <si>
    <t>Im interested in...  2 bed apartment please</t>
  </si>
  <si>
    <t>Chinonyerem Nwadighoha</t>
  </si>
  <si>
    <t>nwadighohapaul@gmail.com</t>
  </si>
  <si>
    <t>Charles Onyemakonor</t>
  </si>
  <si>
    <t>charles@ibicexchange.com</t>
  </si>
  <si>
    <t>08035941750</t>
  </si>
  <si>
    <t>What is the price for 3 bed?</t>
  </si>
  <si>
    <t>From:    Web mail Rahaal- MJL</t>
  </si>
  <si>
    <t>Amin Jamal</t>
  </si>
  <si>
    <t>amin.jamal@gmail.com</t>
  </si>
  <si>
    <t xml:space="preserve"> '2123803228</t>
  </si>
  <si>
    <t>Project: Rove City Walk</t>
  </si>
  <si>
    <t>Wrong number</t>
  </si>
  <si>
    <t>WayneNig</t>
  </si>
  <si>
    <t>erik.hallgren@bofolder.se</t>
  </si>
  <si>
    <t>231427557</t>
  </si>
  <si>
    <t xml:space="preserve">Hi a goodoffering Are you in?  </t>
  </si>
  <si>
    <t>Massoud Kuhdari</t>
  </si>
  <si>
    <t>massoudkuhdari@yahoo.com</t>
  </si>
  <si>
    <t>055 2251279</t>
  </si>
  <si>
    <t>Registration for Restaurant for Sale</t>
  </si>
  <si>
    <t>Jamiel</t>
  </si>
  <si>
    <t>Rashid Ahmad</t>
  </si>
  <si>
    <t>Hir_bros@yahoo.com1</t>
  </si>
  <si>
    <t>0044737474463</t>
  </si>
  <si>
    <t>Salons 800.000  rent</t>
  </si>
  <si>
    <t>From: Go daddy   / Registration for Restaurant for Sale</t>
  </si>
  <si>
    <t>Amit</t>
  </si>
  <si>
    <t>akaushik001@yahoo.com</t>
  </si>
  <si>
    <t>0555008506</t>
  </si>
  <si>
    <t>MIRA OASIS VILLA FOR SALE / Selling Price 1.55 Million AED /Ready to Move-in</t>
  </si>
  <si>
    <t>Go daddy  /Mira Oasis</t>
  </si>
  <si>
    <t>Baber Iftikhar Ahmed Khan</t>
  </si>
  <si>
    <t>khanbaber@yahoo.com</t>
  </si>
  <si>
    <t>+61418634352</t>
  </si>
  <si>
    <t>Registration Golf Links by Emaar</t>
  </si>
  <si>
    <t>Abdulrazzaque Meeran</t>
  </si>
  <si>
    <t>N/A</t>
  </si>
  <si>
    <t>1 bedroom ready to move in City Walk. My budget is between 500000/- 600000</t>
  </si>
  <si>
    <t>Yahya Kassab</t>
  </si>
  <si>
    <t>Yakassab@yahoo.com</t>
  </si>
  <si>
    <t>+971554536613</t>
  </si>
  <si>
    <t>Remon Refaat</t>
  </si>
  <si>
    <t>rrwarefaat@yahoo.com</t>
  </si>
  <si>
    <t xml:space="preserve"> 0506004226</t>
  </si>
  <si>
    <t>Mira</t>
  </si>
  <si>
    <t>Go Daddy Mira Oasis</t>
  </si>
  <si>
    <t xml:space="preserve"> Dinesh Singh</t>
  </si>
  <si>
    <t>dinesh.singh@quantumauditing.com</t>
  </si>
  <si>
    <t>0554145900</t>
  </si>
  <si>
    <t>Pls share details for the Pearl Project.. 2 0r 3 bedroom Apartment or villa. Thanks.</t>
  </si>
  <si>
    <t>Omar</t>
  </si>
  <si>
    <t>omater@hotmail.com</t>
  </si>
  <si>
    <t>0507131114</t>
  </si>
  <si>
    <t>Sabire</t>
  </si>
  <si>
    <t xml:space="preserve"> Aziz</t>
  </si>
  <si>
    <t>azizmb@gmail.com</t>
  </si>
  <si>
    <t xml:space="preserve"> 0552201733</t>
  </si>
  <si>
    <t>sabire</t>
  </si>
  <si>
    <t>Nisreen Shahin</t>
  </si>
  <si>
    <t>nisreen_shahin80@yahoo.com</t>
  </si>
  <si>
    <t>0506769300</t>
  </si>
  <si>
    <t>Nikki beach residence</t>
  </si>
  <si>
    <t>jamal.khalaf@hotmail.com</t>
  </si>
  <si>
    <t>Message: hello please tell me the price</t>
  </si>
  <si>
    <t>Client for Rahaal MJL</t>
  </si>
  <si>
    <t>Feras Salibi</t>
  </si>
  <si>
    <t>ferassalibi@gmail.com</t>
  </si>
  <si>
    <t>+971551006559</t>
  </si>
  <si>
    <t>I am interested in One bedrooms apartment</t>
  </si>
  <si>
    <t>Mohanad jalal alsamier</t>
  </si>
  <si>
    <t>Mohanad@rozainterior.net</t>
  </si>
  <si>
    <t xml:space="preserve"> 0529822444</t>
  </si>
  <si>
    <t>One Bedroom</t>
  </si>
  <si>
    <r>
      <rPr>
        <rFont val="Arial"/>
        <color rgb="FF0000FF"/>
      </rPr>
      <t>Asif</t>
    </r>
    <r>
      <rPr>
        <rFont val="Arial"/>
        <color rgb="FF0000FF"/>
      </rPr>
      <t xml:space="preserve"> /saba</t>
    </r>
  </si>
  <si>
    <t>/</t>
  </si>
  <si>
    <t>Ameen Nassar</t>
  </si>
  <si>
    <t>a.nassar@mas-me.com</t>
  </si>
  <si>
    <t>City Walk Residence</t>
  </si>
  <si>
    <t>Ali / Aysel</t>
  </si>
  <si>
    <t>Jaics Joseph</t>
  </si>
  <si>
    <t>performancedubai@yahoo.com</t>
  </si>
  <si>
    <t>+971506745072</t>
  </si>
  <si>
    <t>Dubai Hills</t>
  </si>
  <si>
    <t>EMAAR Offer 2018 Constant</t>
  </si>
  <si>
    <t>Hediyeh /Ali</t>
  </si>
  <si>
    <t>Waleed Alaryan</t>
  </si>
  <si>
    <t>walaryan@gmail.com</t>
  </si>
  <si>
    <t>0543218888</t>
  </si>
  <si>
    <t>EMAAR Arabian Ranches Offer</t>
  </si>
  <si>
    <t>Majed Almusalli</t>
  </si>
  <si>
    <t>majed.almusalli@gmail.com</t>
  </si>
  <si>
    <t>0504446605</t>
  </si>
  <si>
    <t>I am interested in Rasha 4 bedrooms or 5 bedrooms</t>
  </si>
  <si>
    <t>Andrew Ali Williams</t>
  </si>
  <si>
    <t>0582129913</t>
  </si>
  <si>
    <t>I'm looking forward to rent a 2bed room apartment with my family in any good Cities areas in dubai or abu dhabi. My budget within the range of 200,000AED to 250,000AED par year in one cheque.</t>
  </si>
  <si>
    <t>Direct Mail</t>
  </si>
  <si>
    <t>Dr. Mohamed H. Newera</t>
  </si>
  <si>
    <t>mhnewera@gmail.com</t>
  </si>
  <si>
    <t>+971508115866</t>
  </si>
  <si>
    <t>Client for Emaar Downtown Offer</t>
  </si>
  <si>
    <t>Fawaz</t>
  </si>
  <si>
    <t>fn@nafa.net</t>
  </si>
  <si>
    <t>+966555411616</t>
  </si>
  <si>
    <t>Interested in your offer  for Forti. I already have 2 apartments and i will like to switch payment plant as per your offer and take advantage also of 5 years free services</t>
  </si>
  <si>
    <t>Project:  Downtown Dubai</t>
  </si>
  <si>
    <t>Ayham Al Homesh</t>
  </si>
  <si>
    <t>engayham@hotmail.com</t>
  </si>
  <si>
    <t>00971563991916</t>
  </si>
  <si>
    <t>I am interested in Nikki beach project and city walk project</t>
  </si>
  <si>
    <t>Narsi</t>
  </si>
  <si>
    <t>Profilefeb@gmail.com</t>
  </si>
  <si>
    <t>+971559546292</t>
  </si>
  <si>
    <t>3 bed room require</t>
  </si>
  <si>
    <t>Kamran Tork</t>
  </si>
  <si>
    <t>k_tork2002@yahoo.ca</t>
  </si>
  <si>
    <t>0501053636</t>
  </si>
  <si>
    <t>Can you pls send me info regarding 1 bedroom at Nikki Beach price range.</t>
  </si>
  <si>
    <t>Haidi</t>
  </si>
  <si>
    <t>Kelmono</t>
  </si>
  <si>
    <t>kelzoop@emaill.host</t>
  </si>
  <si>
    <t>Le Viagra Chinois</t>
  </si>
  <si>
    <t>MARTHA BAKER</t>
  </si>
  <si>
    <t>martha.m.baker@shell.com</t>
  </si>
  <si>
    <t>971 50 6561158</t>
  </si>
  <si>
    <t>I am interested in the project LACOTE but all depends on the figure you quote</t>
  </si>
  <si>
    <t>Omar Farook Khan</t>
  </si>
  <si>
    <t>One bedroom</t>
  </si>
  <si>
    <t>Manohar</t>
  </si>
  <si>
    <t>971557455776'</t>
  </si>
  <si>
    <t xml:space="preserve"> Need 2 villas side by side</t>
  </si>
  <si>
    <t>Gautam</t>
  </si>
  <si>
    <t>g.siyal@sterling.ae</t>
  </si>
  <si>
    <t>0555203389</t>
  </si>
  <si>
    <t>Int in 1bed small size good facing</t>
  </si>
  <si>
    <t>Harshendu Shah</t>
  </si>
  <si>
    <t>harshendu.shah1@gmail.com</t>
  </si>
  <si>
    <t xml:space="preserve"> +968 99316978</t>
  </si>
  <si>
    <t>Interested in 6  or 7 bedroom villas</t>
  </si>
  <si>
    <t>EMAAR Arabian Ranches Offer-MTA</t>
  </si>
  <si>
    <t>DR Psych</t>
  </si>
  <si>
    <t>info@medpsych.at</t>
  </si>
  <si>
    <t xml:space="preserve"> 0155563530</t>
  </si>
  <si>
    <t>Project: Emaar Dubai Hills Offer</t>
  </si>
  <si>
    <t>Ihab</t>
  </si>
  <si>
    <t xml:space="preserve"> Inaazs@yahoo.com</t>
  </si>
  <si>
    <t>+966503494860</t>
  </si>
  <si>
    <t>Project: EMAAR Arabian Ranches Offer</t>
  </si>
  <si>
    <t xml:space="preserve"> k_murtaza@hotmail.com</t>
  </si>
  <si>
    <t>What is the rate . What is payment terms</t>
  </si>
  <si>
    <t>Project Rahaal</t>
  </si>
  <si>
    <t>Saba</t>
  </si>
  <si>
    <t>Hassan AboulHoda</t>
  </si>
  <si>
    <t>hassan.aboulhoda@gmail.com</t>
  </si>
  <si>
    <t>971504655085</t>
  </si>
  <si>
    <t>3 bedrooms</t>
  </si>
  <si>
    <t>Project: Meraas Special Offer - City Walk</t>
  </si>
  <si>
    <t>Hassan ahmed</t>
  </si>
  <si>
    <t>h.maisari@yahoo.com</t>
  </si>
  <si>
    <t>00966504344020</t>
  </si>
  <si>
    <t>mohamed omer ibrahim</t>
  </si>
  <si>
    <t>mohdleim@hotmail.com</t>
  </si>
  <si>
    <t>0555799559</t>
  </si>
  <si>
    <t>2 or 3 bedrooms</t>
  </si>
  <si>
    <t>Magel</t>
  </si>
  <si>
    <t xml:space="preserve"> 00966555065767</t>
  </si>
  <si>
    <t>Project: Samana Greens</t>
  </si>
  <si>
    <t>Direct call</t>
  </si>
  <si>
    <t>Pierre Jean De Vonarkha-Varnak</t>
  </si>
  <si>
    <t>pierre.devonarkha-varnak@hotmail.com</t>
  </si>
  <si>
    <t>971567108042</t>
  </si>
  <si>
    <t xml:space="preserve"> Please starting 2019 for a visit.</t>
  </si>
  <si>
    <t>Project: Arabian ranches Offer - La Avenida</t>
  </si>
  <si>
    <t xml:space="preserve">Mohammad Al usman </t>
  </si>
  <si>
    <t>00966581404449</t>
  </si>
  <si>
    <t xml:space="preserve">4BR </t>
  </si>
  <si>
    <t xml:space="preserve">Project: Citywalk </t>
  </si>
  <si>
    <t>fahad</t>
  </si>
  <si>
    <t>Lutfi Jamal Ali Jaber</t>
  </si>
  <si>
    <t>lutfi.jamal@gmail.com</t>
  </si>
  <si>
    <t>+971555566170</t>
  </si>
  <si>
    <t>Please send me all details, price and expected service charges.</t>
  </si>
  <si>
    <t>Ayman Hassan</t>
  </si>
  <si>
    <t>aymanhassanlge@gmail.com</t>
  </si>
  <si>
    <t>+971561456622</t>
  </si>
  <si>
    <t>Mayank</t>
  </si>
  <si>
    <t>mvatsonline@gmail.com</t>
  </si>
  <si>
    <t>0562247007</t>
  </si>
  <si>
    <t>what's the best price. I am looking for good female beautician for the job in ayurvedic centre</t>
  </si>
  <si>
    <t>Karl</t>
  </si>
  <si>
    <t>pen68@live.com</t>
  </si>
  <si>
    <t>0000000000</t>
  </si>
  <si>
    <t>AgustinfloaX</t>
  </si>
  <si>
    <t>mattresse1@gmail.com</t>
  </si>
  <si>
    <t>83563393442</t>
  </si>
  <si>
    <t>Comments: generic viagra how long does it last &lt;a =https://fortunegraphite.com/&gt;fortunegraphite.com&lt;/a&gt; generic viagra tablet &lt;a =https://fortunegraphite.com/&gt;hop over to this website&lt;/a&gt;</t>
  </si>
  <si>
    <t>Spam box</t>
  </si>
  <si>
    <t>NITIN MUNOT</t>
  </si>
  <si>
    <t>GLOBAL LAND BANK</t>
  </si>
  <si>
    <t>+91 9828211010</t>
  </si>
  <si>
    <t>DIRECTOR</t>
  </si>
  <si>
    <t>AHMEDABAD INDIA</t>
  </si>
  <si>
    <t>I HAVE LOTS OF investors WHO CAN INVEST IN YOUR PROJECT. I REQUEST YOU PLEASE SEND ME MORE INFORMATION ABOUT YOUR PROJECTS.</t>
  </si>
  <si>
    <t>Baha</t>
  </si>
  <si>
    <t>engbaha@yahoo.com</t>
  </si>
  <si>
    <t>0505336221</t>
  </si>
  <si>
    <t>EMAAR 2018 Offer</t>
  </si>
  <si>
    <t>Send me the info for 2 and 3 bed plus payment plan please</t>
  </si>
  <si>
    <t>Ranjita</t>
  </si>
  <si>
    <t>ariranjita@gmail.com</t>
  </si>
  <si>
    <t>0556464953</t>
  </si>
  <si>
    <t>James Kilcullen</t>
  </si>
  <si>
    <t>Jameskilcullen@live.ie</t>
  </si>
  <si>
    <t>0502556716</t>
  </si>
  <si>
    <t>Message:When is it available for viewing? Thanks. I’m looking for a retail unit in JLT, the unit should match the below requests 3000 Sqft plus 120 KV power plus Gas connection or possible to add Gas Square/ rectangular unit Available to rent 
 something that matches the above please do let me knowimmediately If you have</t>
  </si>
  <si>
    <t>Propertyfinder</t>
  </si>
  <si>
    <t>First Name: Abdur Rahman</t>
  </si>
  <si>
    <t>Email: abdur48@hotmail.com</t>
  </si>
  <si>
    <t>Mobile Number: 9282144884</t>
  </si>
  <si>
    <t>Comments: Please ask to call</t>
  </si>
  <si>
    <t>Naresh Talwar</t>
  </si>
  <si>
    <t>+971506311892</t>
  </si>
  <si>
    <t>Pls call me @0506311892</t>
  </si>
  <si>
    <t>Project: Dubai Hills</t>
  </si>
  <si>
    <t>Sajith</t>
  </si>
  <si>
    <t>sajraj@gmail.com</t>
  </si>
  <si>
    <t>Alfonso</t>
  </si>
  <si>
    <t>Project: Dubai Wharf</t>
  </si>
  <si>
    <t>One bed room apartment</t>
  </si>
  <si>
    <t>abraham</t>
  </si>
  <si>
    <t>abedubai@hotmail.com</t>
  </si>
  <si>
    <t>0506457241</t>
  </si>
  <si>
    <t>let me know the details of the apartment , layout, sizes and per.sq.ft rates for Nikki Beach project</t>
  </si>
  <si>
    <t>Giuseppe Netti</t>
  </si>
  <si>
    <t>giuseppenetti@hotmail.it</t>
  </si>
  <si>
    <t>+971565539020</t>
  </si>
  <si>
    <t>Interested in properties ready to move in with attractive payment plans. Main interest is city walk. Please contwct me via email only. Thanks</t>
  </si>
  <si>
    <t>Project:  City Walk</t>
  </si>
  <si>
    <t>Nauman</t>
  </si>
  <si>
    <t>naumanhasan@hotmail.com</t>
  </si>
  <si>
    <t xml:space="preserve"> Interested only in amazing deals in Citywalk.</t>
  </si>
  <si>
    <t>Alaa</t>
  </si>
  <si>
    <t>Alaa_am@hotmail.com</t>
  </si>
  <si>
    <t>+971555011331</t>
  </si>
  <si>
    <t xml:space="preserve"> interested in...  2 bedroom. Need to know availability, details, and price.</t>
  </si>
  <si>
    <t>Project:  *Bluewaters*</t>
  </si>
  <si>
    <t>ONE BEDROOM UNIT</t>
  </si>
  <si>
    <t>registraion</t>
  </si>
  <si>
    <t>I am interesting in 3bhk</t>
  </si>
  <si>
    <t xml:space="preserve"> City walk  Dubai I’m interested</t>
  </si>
  <si>
    <t>A 2 Bed apartment in City walk</t>
  </si>
  <si>
    <t>Price of 1 Bedroom</t>
  </si>
  <si>
    <t>Please let me know the price for 2 bedrooms flat, floor plan &amp; payment plan via mail before calling on mobile. If this suit my budget I will call you back.</t>
  </si>
  <si>
    <t>City walk</t>
  </si>
  <si>
    <t>First Name: Ahmed Maher Khalifa</t>
  </si>
  <si>
    <t>Email: Ahmedmaherk@gmail.com</t>
  </si>
  <si>
    <t>Mobile Number: 0564992284</t>
  </si>
  <si>
    <t>Comments: Rove citywalk</t>
  </si>
  <si>
    <t>First Name: SALEM KASSA</t>
  </si>
  <si>
    <t>Email: SALEMKASSA@GMAIL.COM</t>
  </si>
  <si>
    <t>Mobile Number: 0503792606</t>
  </si>
  <si>
    <t>Comments: I am interested in the rove city walk</t>
  </si>
  <si>
    <t>First Name: Patrick Fernandes</t>
  </si>
  <si>
    <t>Email: PFernandes@munichre.com</t>
  </si>
  <si>
    <t>Mobile Number: +971 50 4544035</t>
  </si>
  <si>
    <t>Comments: ROVE city Walk</t>
  </si>
  <si>
    <t xml:space="preserve">November </t>
  </si>
  <si>
    <t>Adewole Oyedele</t>
  </si>
  <si>
    <t>wole.s@live.com</t>
  </si>
  <si>
    <t>Nilgeria Event</t>
  </si>
  <si>
    <t>Alhaji Isah Ibrahim Ibrahim</t>
  </si>
  <si>
    <t>isabrassngltd@gmail.com</t>
  </si>
  <si>
    <t>Dahunsi Kunle</t>
  </si>
  <si>
    <t>kunlaybody@yahoo.com</t>
  </si>
  <si>
    <t>Etieka Ituen-Umanah</t>
  </si>
  <si>
    <t>80akae2n@gmail.com</t>
  </si>
  <si>
    <t>Patience Oladele</t>
  </si>
  <si>
    <t>patmooreola2@yahoo.com</t>
  </si>
  <si>
    <t>Ifeanyi Okafor</t>
  </si>
  <si>
    <t>albify2001@yahoo.com</t>
  </si>
  <si>
    <t>Bishir Attiku</t>
  </si>
  <si>
    <t>basharuattiku@gmail.com</t>
  </si>
  <si>
    <t>Tokunbo Aboyade</t>
  </si>
  <si>
    <t>toxaboy@yahoo.com</t>
  </si>
  <si>
    <t>Goke Daniel</t>
  </si>
  <si>
    <t>yemisogbesan@gmail.com</t>
  </si>
  <si>
    <t>Oluwaseyi Amusa Bashiru</t>
  </si>
  <si>
    <t>seyireal2@gmail.com</t>
  </si>
  <si>
    <t>Felix Omosule</t>
  </si>
  <si>
    <t>f273_o@yahoo.com</t>
  </si>
  <si>
    <t>Oloye-benson Olatunbosun</t>
  </si>
  <si>
    <t>otunba.debest@gmail.com</t>
  </si>
  <si>
    <t>Oladele Oluwatobi Victor</t>
  </si>
  <si>
    <t>tobvic4real@yahoo.com</t>
  </si>
  <si>
    <t>Babatunde Koleowo</t>
  </si>
  <si>
    <t>babatundekoleowo1979@gmail.com</t>
  </si>
  <si>
    <t>Motayo Idowu</t>
  </si>
  <si>
    <t>tiwa.idowu@gmail.com</t>
  </si>
  <si>
    <t>Akindele Oluwatimiro</t>
  </si>
  <si>
    <t>oakindele2017@gmail.com</t>
  </si>
  <si>
    <t>Andre Ayodeji Oni</t>
  </si>
  <si>
    <t>humbleguru2010@yahoo.com</t>
  </si>
  <si>
    <t>Steve Umoh</t>
  </si>
  <si>
    <t>steveumoh2@gmail.com</t>
  </si>
  <si>
    <t>Mariam Shola Oyefusi</t>
  </si>
  <si>
    <t>oyefusishola@gmail.com</t>
  </si>
  <si>
    <t>Aliyu Mohammed Yaro</t>
  </si>
  <si>
    <t>zaznig@yahoo.com</t>
  </si>
  <si>
    <t>Proflife Uwoma</t>
  </si>
  <si>
    <t>proflifeuwoma@gmail.com</t>
  </si>
  <si>
    <t>Sodipo David Olasunkanmi</t>
  </si>
  <si>
    <t>sodipodavidolasunkanmi@gmail.com</t>
  </si>
  <si>
    <t>Ibrahim Niyi</t>
  </si>
  <si>
    <t>usbnigeria@yahoo.com</t>
  </si>
  <si>
    <t>Bolaji Tirmidhi Sheikh</t>
  </si>
  <si>
    <t>shehutirmidhibolaji@yahoo.com</t>
  </si>
  <si>
    <t>Changeagent Tunde Gbolahan Aborisade</t>
  </si>
  <si>
    <t>boristuns009@hotmail.com</t>
  </si>
  <si>
    <t>Ike Nweke</t>
  </si>
  <si>
    <t>iknweke23@yahoo.com</t>
  </si>
  <si>
    <t>Adam Kaka</t>
  </si>
  <si>
    <t>akaka8402@gmail.com</t>
  </si>
  <si>
    <t>Elah Freeman Narh</t>
  </si>
  <si>
    <t>elah4luv@yahoo.ca</t>
  </si>
  <si>
    <t>Babary Bobory</t>
  </si>
  <si>
    <t>oluwapamilerinsunday@yahoo.com</t>
  </si>
  <si>
    <t>Arisekola Murtala</t>
  </si>
  <si>
    <t>arisekolamuritala@gmail.com</t>
  </si>
  <si>
    <t>Owoeye Micheal Adelaja</t>
  </si>
  <si>
    <t>owoeyemicael@gmail.com</t>
  </si>
  <si>
    <t>Gbenga Abudiore</t>
  </si>
  <si>
    <t>gbenga_abudiore@yahoo.com</t>
  </si>
  <si>
    <t>Eugene Idemoh</t>
  </si>
  <si>
    <t>id_eugene@yahoo.com</t>
  </si>
  <si>
    <t>Stephen Okenna</t>
  </si>
  <si>
    <t>stephene2018@gmail.com</t>
  </si>
  <si>
    <t>Blessing Ibor William</t>
  </si>
  <si>
    <t>obalibor@yahoo.com</t>
  </si>
  <si>
    <t>Sunday Abefe Jimi-Adeife</t>
  </si>
  <si>
    <t>jimabef1@yahoo.com</t>
  </si>
  <si>
    <t>Jimoh Sunday</t>
  </si>
  <si>
    <t>sunnytechroofingsystem@yahoo.com</t>
  </si>
  <si>
    <t>Rukayat Adebimpe Atunnishe</t>
  </si>
  <si>
    <t>loladefunmilola3@gmail.com</t>
  </si>
  <si>
    <t>LiL Chubzi</t>
  </si>
  <si>
    <t>blackhole-100013264718501-1472034931@devnull.facebook.com</t>
  </si>
  <si>
    <t>Erhurhu Paul Ogheneovo</t>
  </si>
  <si>
    <t>erhurhupaul@gmail.com</t>
  </si>
  <si>
    <t>Elizabeth Oluwaniyi Fredrick</t>
  </si>
  <si>
    <t>elizafredrick@yahoo.com</t>
  </si>
  <si>
    <t>musa garba</t>
  </si>
  <si>
    <t>garbamusa3176@gmail.com</t>
  </si>
  <si>
    <t>Pine Benjamin</t>
  </si>
  <si>
    <t>pinebenjamin@yahoo.com</t>
  </si>
  <si>
    <t>Akinyemi Olalekan</t>
  </si>
  <si>
    <t>lexzy4u@yahoo.com</t>
  </si>
  <si>
    <t>Dimeji Emmanuel B</t>
  </si>
  <si>
    <t>edenconceptng@gmail.com</t>
  </si>
  <si>
    <t>Awwal Khalifa</t>
  </si>
  <si>
    <t>awwalkhalifa69@gmail.com</t>
  </si>
  <si>
    <t>Sammy Joel</t>
  </si>
  <si>
    <t>sammyjoelpanwal@gmail.com</t>
  </si>
  <si>
    <t>Godhand Made</t>
  </si>
  <si>
    <t>sparklinggaint@gmail.com</t>
  </si>
  <si>
    <t>Obianuju Okonkwo</t>
  </si>
  <si>
    <t>obianujuokonkwo32@gmail.com</t>
  </si>
  <si>
    <t>Ngozi Okwusogu</t>
  </si>
  <si>
    <t>ng83okwusogu@yahoo.com</t>
  </si>
  <si>
    <t>Kayode Babatunde</t>
  </si>
  <si>
    <t>kayzluv2u@yahoo.com</t>
  </si>
  <si>
    <t>Okesonjo Ayoola N</t>
  </si>
  <si>
    <t>omoola20022003@yahoo.com</t>
  </si>
  <si>
    <t>Adelegan Ayobolu</t>
  </si>
  <si>
    <t>ayobolu1@yahoo.comm</t>
  </si>
  <si>
    <t>Emmanuel Ezeanya</t>
  </si>
  <si>
    <t>nuelan4reel@yahoo.com</t>
  </si>
  <si>
    <t>Akinbode Taiwo Oluwatoyin</t>
  </si>
  <si>
    <t>taiwoincrease@gmail.com</t>
  </si>
  <si>
    <t>Saidu Bello</t>
  </si>
  <si>
    <t>sbbello20@yahoo.com</t>
  </si>
  <si>
    <t>Ace A A Rasheed</t>
  </si>
  <si>
    <t>adsbjrash@gmail.com</t>
  </si>
  <si>
    <t>Latifat Olanrewaju</t>
  </si>
  <si>
    <t>latifat.olanrewaju@gmail.com</t>
  </si>
  <si>
    <t>Adeniyi Kehinde</t>
  </si>
  <si>
    <t>kennotech@yahoo.com</t>
  </si>
  <si>
    <t>Victor Ogbeta</t>
  </si>
  <si>
    <t>victorogbeta@yahoo.com</t>
  </si>
  <si>
    <t>Nsikak David Tom Udo</t>
  </si>
  <si>
    <t>tomdavo2010@yahoo.com</t>
  </si>
  <si>
    <t>Lizzy Nweke Williams</t>
  </si>
  <si>
    <t>elizabethnweke68@yahoo.com</t>
  </si>
  <si>
    <t>Lekan Esho</t>
  </si>
  <si>
    <t>lekans007@yahoo.com</t>
  </si>
  <si>
    <t>Akinsanya Adewale Idris</t>
  </si>
  <si>
    <t>idprofadewale18@yahoo.com</t>
  </si>
  <si>
    <t>Themithorpe Salokun</t>
  </si>
  <si>
    <t>nheanhklgh@yopmail.org</t>
  </si>
  <si>
    <t>Doris Setima-Benebo</t>
  </si>
  <si>
    <t>onyx03us@yahoo.com</t>
  </si>
  <si>
    <t>Priscilla Akpabio</t>
  </si>
  <si>
    <t>priscillaakpabio@yahoo.com</t>
  </si>
  <si>
    <t>Asabe Ibrahim</t>
  </si>
  <si>
    <t>Kbabaibrahim@yahoo.com</t>
  </si>
  <si>
    <t>Joshua Oluwaniyi Handee</t>
  </si>
  <si>
    <t>handeejosh@gmail.com</t>
  </si>
  <si>
    <t>Salma Bush</t>
  </si>
  <si>
    <t>salmabush@yahoo.com</t>
  </si>
  <si>
    <t>Adewumi Michealdino Horrla</t>
  </si>
  <si>
    <t>olamilekanomotosho58@gmail.com</t>
  </si>
  <si>
    <t>Awele Anegbe</t>
  </si>
  <si>
    <t>awelendu28@yahoo.com</t>
  </si>
  <si>
    <t>Able Onyeka</t>
  </si>
  <si>
    <t>info@ableconceptz.com</t>
  </si>
  <si>
    <t>Vivian Ify</t>
  </si>
  <si>
    <t>ifyinec@yahoo.com</t>
  </si>
  <si>
    <t>Felix Airiemiokhae Okhide</t>
  </si>
  <si>
    <t>felixokhide@gmail.com</t>
  </si>
  <si>
    <t>Bola Oloyede</t>
  </si>
  <si>
    <t>b_oloyede@yahoo.com</t>
  </si>
  <si>
    <t>Yusuf Eric</t>
  </si>
  <si>
    <t>yusuferic8@gmail.com</t>
  </si>
  <si>
    <t>sola</t>
  </si>
  <si>
    <t>mailsoladaniel@gmail.com</t>
  </si>
  <si>
    <t>Paul Dowells</t>
  </si>
  <si>
    <t>dowellspaul@gmail.com</t>
  </si>
  <si>
    <t>Bukola Mordi</t>
  </si>
  <si>
    <t>bukky22a@gmail.com</t>
  </si>
  <si>
    <t>Sanusi Galadima</t>
  </si>
  <si>
    <t>smgprince@yahoo.com</t>
  </si>
  <si>
    <t>علي حسان محمد</t>
  </si>
  <si>
    <t>nagabaka009@gmail.com</t>
  </si>
  <si>
    <t>Okey Ngene</t>
  </si>
  <si>
    <t>okechukwungene17@gmail.com</t>
  </si>
  <si>
    <t>Moji Davids</t>
  </si>
  <si>
    <t>mojidavids@gmail.com</t>
  </si>
  <si>
    <t>Clem J Di</t>
  </si>
  <si>
    <t>jodivaz8@gmail.com</t>
  </si>
  <si>
    <t>Irina Alekseevna</t>
  </si>
  <si>
    <t>iralex2010@gmail.com</t>
  </si>
  <si>
    <t>Muh'd Sani Abbas</t>
  </si>
  <si>
    <t>abbassani62@yahoo.comi</t>
  </si>
  <si>
    <t>Jennifer Ezeoke B</t>
  </si>
  <si>
    <t>jzokes247@yahoo.com</t>
  </si>
  <si>
    <t>Enude Francis</t>
  </si>
  <si>
    <t>frankaigenude@yahoo.com</t>
  </si>
  <si>
    <t>Shamsudeen Alao Femi</t>
  </si>
  <si>
    <t>shamtell444@yahoo.com</t>
  </si>
  <si>
    <t>Uthman Bello</t>
  </si>
  <si>
    <t>ubahmad@gmail.com</t>
  </si>
  <si>
    <t>Elizabeth Lekwuwa</t>
  </si>
  <si>
    <t>lizo262000@yahoo.co.uk</t>
  </si>
  <si>
    <t>Uzor Jesse</t>
  </si>
  <si>
    <t>dukevinlimited82@gmail.com</t>
  </si>
  <si>
    <t>Fatai Olabisi Adebayo</t>
  </si>
  <si>
    <t>ola24a@yahoo.com</t>
  </si>
  <si>
    <t>Nuhu Ibrahim</t>
  </si>
  <si>
    <t>mubarakatluv@yahoo.com</t>
  </si>
  <si>
    <t>Musa Ali</t>
  </si>
  <si>
    <t>hpmusaalitatta22@gmail.com</t>
  </si>
  <si>
    <t>John Inegbedion</t>
  </si>
  <si>
    <t>jigbedion365@yahoo.com</t>
  </si>
  <si>
    <t>Mojisola Banjo</t>
  </si>
  <si>
    <t>ireshola45@gmail.com</t>
  </si>
  <si>
    <t>Donald Agaba Ogboji</t>
  </si>
  <si>
    <t>ogbojidonald@gmail.com</t>
  </si>
  <si>
    <t>Vincent Friday</t>
  </si>
  <si>
    <t>vicoladipo@gmail.com</t>
  </si>
  <si>
    <t>Salau Liadi Tunde</t>
  </si>
  <si>
    <t>ltsalau@fptb.edu.ng</t>
  </si>
  <si>
    <t>Ibrahim Ajibola Muyideen</t>
  </si>
  <si>
    <t>ajibolamuyideen@yahoo.com</t>
  </si>
  <si>
    <t>Bakare Monsuru</t>
  </si>
  <si>
    <t>bmonsuru@yahoo.com</t>
  </si>
  <si>
    <t>Hamisu Yakub</t>
  </si>
  <si>
    <t>stormyb200@gmail.com</t>
  </si>
  <si>
    <t>Ifemayowa Omotunde-Bank</t>
  </si>
  <si>
    <t>thebannergroup@yahoo.com</t>
  </si>
  <si>
    <t>Chuba Chukwurah</t>
  </si>
  <si>
    <t>chukwurahchuba@yahoo.com</t>
  </si>
  <si>
    <t>Nanna Cirman Amos</t>
  </si>
  <si>
    <t>cirnan@yahoo.com</t>
  </si>
  <si>
    <t>Victorine Iris</t>
  </si>
  <si>
    <t>Dviairis@gmail.com</t>
  </si>
  <si>
    <t>Murtadho OlaKhunlay Badmus</t>
  </si>
  <si>
    <t>muraino4life@gmail.com</t>
  </si>
  <si>
    <t>Barth Ibrahim</t>
  </si>
  <si>
    <t>barthshoshan@yahoo.com</t>
  </si>
  <si>
    <t>Mohammed Sani</t>
  </si>
  <si>
    <t>mohammedsani05@hotmail.com</t>
  </si>
  <si>
    <t>Wumilove Ajayi</t>
  </si>
  <si>
    <t>talktolovejay@yahoo.co.uk</t>
  </si>
  <si>
    <t>Ufuoma Origbo</t>
  </si>
  <si>
    <t>ufuo4reality@yahoo.com</t>
  </si>
  <si>
    <t>Gouton Samuel</t>
  </si>
  <si>
    <t>skereman2003@yahoo.com</t>
  </si>
  <si>
    <t>Ogbonna Godshorseman Chinedu</t>
  </si>
  <si>
    <t>edunko@yahoo.com</t>
  </si>
  <si>
    <t>Victor Ekekwe</t>
  </si>
  <si>
    <t>victorekekwe@gmail.com</t>
  </si>
  <si>
    <t>Bala Ibrahim Magaji</t>
  </si>
  <si>
    <t>balamagaji77@gmail.com</t>
  </si>
  <si>
    <t>Emmanuel Orhosere</t>
  </si>
  <si>
    <t>abramemmy@yahoo.com</t>
  </si>
  <si>
    <t>Adeyinka Solomon Brimoh-Igbo</t>
  </si>
  <si>
    <t>adeyinkabrimohigbo1@yahoo.com</t>
  </si>
  <si>
    <t>Taiwo Sanwo</t>
  </si>
  <si>
    <t>t_sanwo79@uymail.com</t>
  </si>
  <si>
    <t>Ezeobi Celestine Oguejiofor</t>
  </si>
  <si>
    <t>oezeobi76@gmail.com</t>
  </si>
  <si>
    <t>Dan-Anyiam Nnamdi Otolorin Addy</t>
  </si>
  <si>
    <t>otolorin.nda@gmail.com</t>
  </si>
  <si>
    <t>Zaleeya Ali</t>
  </si>
  <si>
    <t>Zaliya4real@gmail.com</t>
  </si>
  <si>
    <t>Ofoluwafo Rolizwrld Rolisilvasm</t>
  </si>
  <si>
    <t>rolisilvasm@gmail.com</t>
  </si>
  <si>
    <t>Emmanuel Chukwumeh</t>
  </si>
  <si>
    <t>upright.don.chuks@gmail.com</t>
  </si>
  <si>
    <t>Yakubu Michika</t>
  </si>
  <si>
    <t>sasuwamy@yahoo.co.uk</t>
  </si>
  <si>
    <t>Tunmise Ajayi</t>
  </si>
  <si>
    <t>oluwagbamila90@gmail.com</t>
  </si>
  <si>
    <t>Adeyinka Adeniran</t>
  </si>
  <si>
    <t>ade200341@yahoo.com</t>
  </si>
  <si>
    <t>Atkin Obodago</t>
  </si>
  <si>
    <t>atkin4life@yahoo.com</t>
  </si>
  <si>
    <t>Shuaib Blesyn</t>
  </si>
  <si>
    <t>valuer4life@yahoo.com</t>
  </si>
  <si>
    <t>Ahmed Courage</t>
  </si>
  <si>
    <t>sobe2813@gmail.com</t>
  </si>
  <si>
    <t>Bunmi Aworo</t>
  </si>
  <si>
    <t>princessbunmi85@yahoo.com</t>
  </si>
  <si>
    <t>Ogechukwu Agu</t>
  </si>
  <si>
    <t>o_geemart@yahoo.com</t>
  </si>
  <si>
    <t>Poribet Michael Ibrahim</t>
  </si>
  <si>
    <t>poribetmike@gmail.com</t>
  </si>
  <si>
    <t>Adam Umar abubakar</t>
  </si>
  <si>
    <t>adamumarabubakar1@gmail.com</t>
  </si>
  <si>
    <t>Mustapha Mohammed</t>
  </si>
  <si>
    <t>mmraajii@gmail.com</t>
  </si>
  <si>
    <t>Taiwo Emmanuel Amokade</t>
  </si>
  <si>
    <t>amoktai@yahoo.com</t>
  </si>
  <si>
    <t>Shalom E. Aondugu Victor</t>
  </si>
  <si>
    <t>shalom_2005@yahoo.com</t>
  </si>
  <si>
    <t>Chichi Nnamdi</t>
  </si>
  <si>
    <t>nnamdichizy@yahoo.com</t>
  </si>
  <si>
    <t>Okanlawon Adewale</t>
  </si>
  <si>
    <t>ade145wale@yahoo.com</t>
  </si>
  <si>
    <t>Joshua oladeji</t>
  </si>
  <si>
    <t>olani4josh112@yahoo.com</t>
  </si>
  <si>
    <t>Omoawokoyaadeleke Adeleke</t>
  </si>
  <si>
    <t>toyinawokoya12345@gmail.com</t>
  </si>
  <si>
    <t>Nnamdi Okafor</t>
  </si>
  <si>
    <t>okafor4christ2009@gmail.com</t>
  </si>
  <si>
    <t>Lawal Ak</t>
  </si>
  <si>
    <t>isholalawles2122@gmail.com</t>
  </si>
  <si>
    <t>Nwanguma David</t>
  </si>
  <si>
    <t>rexezra@yahoo.com</t>
  </si>
  <si>
    <t>Kamal Wahab</t>
  </si>
  <si>
    <t>wahaba.kamal@gmail.com</t>
  </si>
  <si>
    <t>Lukman Apata</t>
  </si>
  <si>
    <t>Lukman.apata@yahoo.com</t>
  </si>
  <si>
    <t>Matt Tsado</t>
  </si>
  <si>
    <t>motsadojnr@yahoo.com</t>
  </si>
  <si>
    <t>Engr Abdulfatah Salman Shinaolami</t>
  </si>
  <si>
    <t>Abdulfataishinaolami@gmail.com</t>
  </si>
  <si>
    <t>Korede Ogunola</t>
  </si>
  <si>
    <t>koredeogunola1@gmail.com</t>
  </si>
  <si>
    <t>salami ibrahim</t>
  </si>
  <si>
    <t>salamiibrahim000@gmail.com</t>
  </si>
  <si>
    <t>makinde olasunkanmi oladele</t>
  </si>
  <si>
    <t>olasunkanmimakinde1@gmail.com</t>
  </si>
  <si>
    <t>Michael Nkulo</t>
  </si>
  <si>
    <t>makapolodedon@yahoo.com</t>
  </si>
  <si>
    <t>Olafimihan Tomori</t>
  </si>
  <si>
    <t>olafimihantomori@gmail.com</t>
  </si>
  <si>
    <t>Saliu Eniola Olaniran</t>
  </si>
  <si>
    <t>Reacheniola@gmail.com</t>
  </si>
  <si>
    <t>Akintunde Paul Adebowale</t>
  </si>
  <si>
    <t>akintundepaul001@yahoo.com</t>
  </si>
  <si>
    <t>Adebola Olusanya</t>
  </si>
  <si>
    <t>bolasanya@yahoo.com</t>
  </si>
  <si>
    <t>Yomi Saheed</t>
  </si>
  <si>
    <t>yomisaheed742@yahoo.com</t>
  </si>
  <si>
    <t>Otunla Oluwatoyin Philips</t>
  </si>
  <si>
    <t>hortunlapey05@gmail.com</t>
  </si>
  <si>
    <t>Onabanjo Florence</t>
  </si>
  <si>
    <t>fmonabanjo@yahoo.com</t>
  </si>
  <si>
    <t>Isaac Adekunle</t>
  </si>
  <si>
    <t>isaacadekunle@hotmail.com</t>
  </si>
  <si>
    <t>Omogoye Adekunle</t>
  </si>
  <si>
    <t>kunle4life2020@yahoo.com</t>
  </si>
  <si>
    <t>Raymond Ikhaz</t>
  </si>
  <si>
    <t>raymondikhaz76@gmail.com</t>
  </si>
  <si>
    <t>Matt Johnson</t>
  </si>
  <si>
    <t>matthias_john@yahoo.com</t>
  </si>
  <si>
    <t>Bolu Andrews</t>
  </si>
  <si>
    <t>bolu.andrews@acpil.com.ng</t>
  </si>
  <si>
    <t>Millaz.kaftan Fashionista</t>
  </si>
  <si>
    <t>babawale.absolute@gmail.com</t>
  </si>
  <si>
    <t>Prince Lucky Omozuapo</t>
  </si>
  <si>
    <t>somozuapo777@gmail.com</t>
  </si>
  <si>
    <t>Abubakar A Ardo</t>
  </si>
  <si>
    <t>a3ardo412@gmail.coma</t>
  </si>
  <si>
    <t>Emma-Achim E.</t>
  </si>
  <si>
    <t>emmaproject5k1@gmail.com</t>
  </si>
  <si>
    <t>Chuks Stanley Christopher</t>
  </si>
  <si>
    <t>chukwuebukaenechi@yahoo.com</t>
  </si>
  <si>
    <t>Abiodun Surajudeen Oseni</t>
  </si>
  <si>
    <t>abiodunsurajudeenoseni@yahoo.com</t>
  </si>
  <si>
    <t>Ade Adebomi</t>
  </si>
  <si>
    <t>omos234@yahoo.com</t>
  </si>
  <si>
    <t>Oluwaseyi Fadare</t>
  </si>
  <si>
    <t>fadaosun2013@yahoo.com</t>
  </si>
  <si>
    <t>Adim Anslem</t>
  </si>
  <si>
    <t>coolpavillion@gmail.com</t>
  </si>
  <si>
    <t>Ayilara Taiwo</t>
  </si>
  <si>
    <t>sapalusteelresources@gmail.com</t>
  </si>
  <si>
    <t>Yemisi Ademokoya</t>
  </si>
  <si>
    <t>mocchaberry@yahoo.com</t>
  </si>
  <si>
    <t>Akubueze Onyinyechi Anita</t>
  </si>
  <si>
    <t>jazz4real2003@yahoo.com</t>
  </si>
  <si>
    <t>Prince Oluwatoyin Shodipo</t>
  </si>
  <si>
    <t>deshoproperty@gmail.com</t>
  </si>
  <si>
    <t>Adeleke Nadi</t>
  </si>
  <si>
    <t>edwardadelekenadi@gmail.com</t>
  </si>
  <si>
    <t>Mustapha A Tahir</t>
  </si>
  <si>
    <t>muscov6@gmail.com</t>
  </si>
  <si>
    <t>Soleye Oladunni George</t>
  </si>
  <si>
    <t>dsoleye@yahoo.com</t>
  </si>
  <si>
    <t>Aniebonam Chinyere</t>
  </si>
  <si>
    <t>chi.aniebonam@gmail.com</t>
  </si>
  <si>
    <t>Abel Joseph</t>
  </si>
  <si>
    <t>ugwujoseph97@yahoo.com</t>
  </si>
  <si>
    <t>Adetoun Suleodu</t>
  </si>
  <si>
    <t>hardeyfikky@yahoo.com</t>
  </si>
  <si>
    <t>Abba Hashim</t>
  </si>
  <si>
    <t>abbahashim@yahoo.com</t>
  </si>
  <si>
    <t>Emenike Hilary</t>
  </si>
  <si>
    <t>emenikehilary51@gmail.com</t>
  </si>
  <si>
    <t>Bello Ayoola</t>
  </si>
  <si>
    <t>belloayoola55@gmail.com</t>
  </si>
  <si>
    <t>Peace Edet Enosegbe</t>
  </si>
  <si>
    <t>peaceenosegbe@yahoo.com</t>
  </si>
  <si>
    <t>Pagewillies Owoicho</t>
  </si>
  <si>
    <t>pagewillies@gmail.com</t>
  </si>
  <si>
    <t>Akintoye Omidiji</t>
  </si>
  <si>
    <t>akintoye.omidiji@yahoo.co.uk</t>
  </si>
  <si>
    <t>Olukunmi Abiala</t>
  </si>
  <si>
    <t>olu_abiala@yahoo.com</t>
  </si>
  <si>
    <t>Adewale Tijani</t>
  </si>
  <si>
    <t>tijani.sadiq@yahoo.com</t>
  </si>
  <si>
    <t>Oluwaseun Aranmonise</t>
  </si>
  <si>
    <t>aranmonise93@yahoo.com</t>
  </si>
  <si>
    <t>Michael Enyinna</t>
  </si>
  <si>
    <t>mkasarach@gmail.com</t>
  </si>
  <si>
    <t>Nojeem Jimoh</t>
  </si>
  <si>
    <t>jimohade@yahoo.com</t>
  </si>
  <si>
    <t>Solaja Abidemi</t>
  </si>
  <si>
    <t>abideksprintnaija@yahoo.com</t>
  </si>
  <si>
    <t>Oderinu Amos Damilola</t>
  </si>
  <si>
    <t>reignethglobal@gmail.com</t>
  </si>
  <si>
    <t>Richard Ehichioya Ineomon</t>
  </si>
  <si>
    <t>eromo361@aol.com</t>
  </si>
  <si>
    <t>Muyeetech Aluminum Company</t>
  </si>
  <si>
    <t>muyeetechaluminum@gmail.com</t>
  </si>
  <si>
    <t>Toriola Emmanuel Adewale</t>
  </si>
  <si>
    <t>toriolaadewale1@gmail.com</t>
  </si>
  <si>
    <t>Dolue Nnabuike</t>
  </si>
  <si>
    <t>dolue26@yahoo.com</t>
  </si>
  <si>
    <t>Ajakaiye James</t>
  </si>
  <si>
    <t>sajems81@gmail.com</t>
  </si>
  <si>
    <t>Ayodeji cloud</t>
  </si>
  <si>
    <t>omojesugreenfieldfarm1@gmail.com</t>
  </si>
  <si>
    <t>Yetunde Shitu</t>
  </si>
  <si>
    <t>yettysms@yahoo.com</t>
  </si>
  <si>
    <t>Emmanuel Taiwo Peter</t>
  </si>
  <si>
    <t>emmnueltaiwo@gmail.com</t>
  </si>
  <si>
    <t>Umesh Malik</t>
  </si>
  <si>
    <t>umesh.malik17@gmail.com</t>
  </si>
  <si>
    <t>Olamilekan Rahman</t>
  </si>
  <si>
    <t>olamiramon@gmail.com</t>
  </si>
  <si>
    <t>Modupeoluwa</t>
  </si>
  <si>
    <t>candyztravelandtours@yahoo.com</t>
  </si>
  <si>
    <t>Prince A. Adetayo</t>
  </si>
  <si>
    <t>barr.tayo@gmail.com</t>
  </si>
  <si>
    <t>Mayo Olatemiju</t>
  </si>
  <si>
    <t>Mosesmayo2018@gmail.com</t>
  </si>
  <si>
    <t>Temitope Olukunle</t>
  </si>
  <si>
    <t>otemitopeconnie@yahoo.com</t>
  </si>
  <si>
    <t>Cynthia Arinze</t>
  </si>
  <si>
    <t>kelechiahize83@gmail.com</t>
  </si>
  <si>
    <t>Abdulazeez O. Enilari</t>
  </si>
  <si>
    <t>azenilari@yahoo.co.uk</t>
  </si>
  <si>
    <t>Joseph Ineye Mike</t>
  </si>
  <si>
    <t>joesexie@gmail.com</t>
  </si>
  <si>
    <t>Stanley Mbanugo</t>
  </si>
  <si>
    <t>stanley.mbanugo@yahoo.com</t>
  </si>
  <si>
    <t>Rakiya Kore</t>
  </si>
  <si>
    <t>rakiyakore@gmail.com</t>
  </si>
  <si>
    <t>Said Adoh</t>
  </si>
  <si>
    <t>saidadoh@gmail.com</t>
  </si>
  <si>
    <t>Ibiso Tom Alege</t>
  </si>
  <si>
    <t>tomalege@gmail.com</t>
  </si>
  <si>
    <t>Mercy Orjiakor</t>
  </si>
  <si>
    <t>ogbonnaifeanyi45@gmail.com</t>
  </si>
  <si>
    <t>Theo Chinonso</t>
  </si>
  <si>
    <t>obialotc@gmail.com</t>
  </si>
  <si>
    <t>Emmanuel Obinna</t>
  </si>
  <si>
    <t>emmanualobinna@gmail.com</t>
  </si>
  <si>
    <t>Mustapha Abdulraman Dullah</t>
  </si>
  <si>
    <t>ramanushakur@yahoo.com</t>
  </si>
  <si>
    <t>Sunday Olagunju</t>
  </si>
  <si>
    <t>olagunjus480@gmail.com</t>
  </si>
  <si>
    <t>Adekola Austin Adeyemi</t>
  </si>
  <si>
    <t>adekolaaustin@yahoo.com</t>
  </si>
  <si>
    <t>Shobhit Pandey</t>
  </si>
  <si>
    <t>shobhitpandey82@gmail.com</t>
  </si>
  <si>
    <t>Atere Oduntan Femi</t>
  </si>
  <si>
    <t>yommy4sure@yahoo.com</t>
  </si>
  <si>
    <t>Flora Attoni</t>
  </si>
  <si>
    <t>florattoni1@gmail.com</t>
  </si>
  <si>
    <t>Olaoluwa Ladipo</t>
  </si>
  <si>
    <t>olaoluwalababa@yahoo.com</t>
  </si>
  <si>
    <t>Tahir S Waziri</t>
  </si>
  <si>
    <t>taheersuleywazeeree@gmail.com</t>
  </si>
  <si>
    <t>Abbati Shehu Timta</t>
  </si>
  <si>
    <t>timtamohammed@yahoo.com</t>
  </si>
  <si>
    <t>Wahab Jimoh</t>
  </si>
  <si>
    <t>opeyemiatanda001@gmail.com</t>
  </si>
  <si>
    <t>Zainab M. Adedamola</t>
  </si>
  <si>
    <t>tunrayohaddi06@yahoo.com</t>
  </si>
  <si>
    <t>Anofiu Ahmed olayinka</t>
  </si>
  <si>
    <t>imampope63@gmail.com</t>
  </si>
  <si>
    <t>Muhammad Lawal Hassan</t>
  </si>
  <si>
    <t>alafiya011@gmail.com</t>
  </si>
  <si>
    <t>olawore oladimeji</t>
  </si>
  <si>
    <t>olaworeoladimeji@gmail.com</t>
  </si>
  <si>
    <t>Idowu Omoniyi Emmanuel</t>
  </si>
  <si>
    <t>idowuomoniyi@yahoo.com</t>
  </si>
  <si>
    <t>Chukwudi Uche</t>
  </si>
  <si>
    <t>chuksuche11@gmail.com</t>
  </si>
  <si>
    <t>Steve Dovizia</t>
  </si>
  <si>
    <t>stevedovizia@gmail.com</t>
  </si>
  <si>
    <t>Sunday Chukwuebuka Agbo</t>
  </si>
  <si>
    <t>cebuka54@yahoo.com</t>
  </si>
  <si>
    <t>Abbakar Sadiq</t>
  </si>
  <si>
    <t>abubakarsuleiman65@gmail.com</t>
  </si>
  <si>
    <t>Dotun Kehinde</t>
  </si>
  <si>
    <t>dotunkehinde@gmail.com</t>
  </si>
  <si>
    <t>Babatunde Quadri</t>
  </si>
  <si>
    <t>babsqua@yahoo.com</t>
  </si>
  <si>
    <t>Adekunle Akerele</t>
  </si>
  <si>
    <t>adekunleme@yahoo.com</t>
  </si>
  <si>
    <t>Ifeanyi Frank Odume</t>
  </si>
  <si>
    <t>ify.odume@yahoo.com</t>
  </si>
  <si>
    <t>Ifcc Oladele</t>
  </si>
  <si>
    <t>royalchaplaincy@gmail.com</t>
  </si>
  <si>
    <t>Hadiza Muhammad</t>
  </si>
  <si>
    <t>aminatuyasmeen@yahoo.com</t>
  </si>
  <si>
    <t>Kewulere Damilola</t>
  </si>
  <si>
    <t>kewuleredamilola@gmail.com</t>
  </si>
  <si>
    <t>Olubiyi Emmanuel Oluwagbemiga</t>
  </si>
  <si>
    <t>emmyolu@yahoo.com</t>
  </si>
  <si>
    <t>Sulieman Adamu</t>
  </si>
  <si>
    <t>munaa7618@gmail.com</t>
  </si>
  <si>
    <t>Seun Malomo</t>
  </si>
  <si>
    <t>phalanxsolicitors@yahoo.com</t>
  </si>
  <si>
    <t>Tosin Bakare</t>
  </si>
  <si>
    <t>psalm91babe@gmail.com</t>
  </si>
  <si>
    <t>Nkiruka G Onwuchekwa</t>
  </si>
  <si>
    <t>nkirukagonwuchekwa@gmail.com</t>
  </si>
  <si>
    <t>Morufat Giwa Adedeji</t>
  </si>
  <si>
    <t>mmgoldcatering@gmail.com</t>
  </si>
  <si>
    <t>Musah Abdul</t>
  </si>
  <si>
    <t>musabdul70@gmail.com</t>
  </si>
  <si>
    <t>Bonny Oriarehu</t>
  </si>
  <si>
    <t>bonnyj20032003@yahoo.com</t>
  </si>
  <si>
    <t>Dada Adesola Adesina</t>
  </si>
  <si>
    <t>dadaoluwaseunadesola@yahoo.com</t>
  </si>
  <si>
    <t>Ezekiel Andrew</t>
  </si>
  <si>
    <t>ezekielandrew35@gmail.com</t>
  </si>
  <si>
    <t>Zuenat Yesufu</t>
  </si>
  <si>
    <t>zuenatyesufu@yahoo.com</t>
  </si>
  <si>
    <t>Rommel Nengi Wakama</t>
  </si>
  <si>
    <t>sterlingcooperng@mail.com</t>
  </si>
  <si>
    <t>Yetunde Glory</t>
  </si>
  <si>
    <t>yetundeglory7@gmail.com</t>
  </si>
  <si>
    <t>Friday Micheal Ebute</t>
  </si>
  <si>
    <t>michaelle988@gmail.com</t>
  </si>
  <si>
    <t>Salim Hadi</t>
  </si>
  <si>
    <t>hadisalim60@gmail.com</t>
  </si>
  <si>
    <t>Bose Idegbesor</t>
  </si>
  <si>
    <t>bossmy2k@yahoo.com</t>
  </si>
  <si>
    <t>John Akpan</t>
  </si>
  <si>
    <t>dttsnews@yahoo.com</t>
  </si>
  <si>
    <t>Kemi Folayan Ajayi</t>
  </si>
  <si>
    <t>kemaj46@gmail.com</t>
  </si>
  <si>
    <t>Joyce Sim Bala</t>
  </si>
  <si>
    <t>providencewithjoyce@gmail.com</t>
  </si>
  <si>
    <t>Ngozi Ebisike</t>
  </si>
  <si>
    <t>ngoziebisike111@gmail.com</t>
  </si>
  <si>
    <t>Lawale Alatis</t>
  </si>
  <si>
    <t>dpsy36@gmail.com</t>
  </si>
  <si>
    <t>Mohammed Hamzat</t>
  </si>
  <si>
    <t>Mouh.hamzat@gmail.com</t>
  </si>
  <si>
    <t>Jennifer Igbene</t>
  </si>
  <si>
    <t>jennyigbene@yahoo.com</t>
  </si>
  <si>
    <t>Musa Arab</t>
  </si>
  <si>
    <t>ibnabubakar01@gmail.com</t>
  </si>
  <si>
    <t>Ayihi Odoba Siyaka</t>
  </si>
  <si>
    <t>onigloconcept@yahoo.com</t>
  </si>
  <si>
    <t>Oyedare Oluwasegun Oluwaseun</t>
  </si>
  <si>
    <t>darseg@yahoo.com</t>
  </si>
  <si>
    <t>Maikudi Usman</t>
  </si>
  <si>
    <t>maikudiusman80@gmail.com</t>
  </si>
  <si>
    <t>Mide Carter Williams</t>
  </si>
  <si>
    <t>Midewilliams23@gmail.com</t>
  </si>
  <si>
    <t>Suleiman Abubakar</t>
  </si>
  <si>
    <t>suliemanabu26@gmail.com</t>
  </si>
  <si>
    <t>Jessica Luchi</t>
  </si>
  <si>
    <t>jessiluchiskin.c@gmail.com</t>
  </si>
  <si>
    <t>Jim Efekodo</t>
  </si>
  <si>
    <t>jim.efekodo@gmail.com</t>
  </si>
  <si>
    <t>Michael Abimbola Oduntan</t>
  </si>
  <si>
    <t>abimbolamichael@rocketmail.com</t>
  </si>
  <si>
    <t>Seyi Popula</t>
  </si>
  <si>
    <t>lolapomag@yahoo.com</t>
  </si>
  <si>
    <t>Olumide Omotayo</t>
  </si>
  <si>
    <t>olumideomotayo0@gmail.com</t>
  </si>
  <si>
    <t>John Paull</t>
  </si>
  <si>
    <t>johnpaull1986@yahoo.com</t>
  </si>
  <si>
    <t>Charles Chidi Paradise</t>
  </si>
  <si>
    <t>wpripeacenugget@gmail.com</t>
  </si>
  <si>
    <t>Arc Nura Alhaji Gambo</t>
  </si>
  <si>
    <t>archynooradeen@yahoo.com</t>
  </si>
  <si>
    <t>Egesi Marcus</t>
  </si>
  <si>
    <t>egesinwagbara@yahoo.com</t>
  </si>
  <si>
    <t>Stephen Omokhoa</t>
  </si>
  <si>
    <t>stevenomokhoa@gmail.com</t>
  </si>
  <si>
    <t>Williams Adeleke</t>
  </si>
  <si>
    <t>adelekewilliams15@gmail.com</t>
  </si>
  <si>
    <t>Popoola Olalekan Mansoor</t>
  </si>
  <si>
    <t>apmahzoor1987@yahoo.com</t>
  </si>
  <si>
    <t>Frank Henshaw</t>
  </si>
  <si>
    <t>frank_inim@yahoo.com</t>
  </si>
  <si>
    <t>Bamgbose Oluwadamilola Adebisi</t>
  </si>
  <si>
    <t>bisiphat2182@gmail.com</t>
  </si>
  <si>
    <t>Rasheed sunmola</t>
  </si>
  <si>
    <t>rasheedsunmola2000@gmail.com</t>
  </si>
  <si>
    <t>Lukman Olajuwon Logunleko</t>
  </si>
  <si>
    <t>primelocationestate@rocketmail.com</t>
  </si>
  <si>
    <t>Yakubu Hussaini</t>
  </si>
  <si>
    <t>yaakubu001@gmail.com</t>
  </si>
  <si>
    <t>Benjamin Okoye</t>
  </si>
  <si>
    <t>twochange661@gmail.com</t>
  </si>
  <si>
    <t>Eniola Oluwashola.</t>
  </si>
  <si>
    <t>eniola_pumpin@yahoo.com</t>
  </si>
  <si>
    <t>Taofeeq Ahmed</t>
  </si>
  <si>
    <t>ahmedtaofeeq9@gmail.com</t>
  </si>
  <si>
    <t>Hamdalat Ayinde</t>
  </si>
  <si>
    <t>thebabyeve@gmail.com</t>
  </si>
  <si>
    <t>Erulo Peace Chiguzorom</t>
  </si>
  <si>
    <t>peaceerulo@gmail.com</t>
  </si>
  <si>
    <t>Snow Sales Online Shop</t>
  </si>
  <si>
    <t>snowdollars@yahoo.com</t>
  </si>
  <si>
    <t>Samson Aliu</t>
  </si>
  <si>
    <t>samson.aliu@gmtshipping.com</t>
  </si>
  <si>
    <t>Easyicee Isaiah Daniel</t>
  </si>
  <si>
    <t>easyicee@yahoo.com</t>
  </si>
  <si>
    <t>Hon Shola Eletu Odibo</t>
  </si>
  <si>
    <t>sholalateef01@gmail.com</t>
  </si>
  <si>
    <t>Rabiat Isiaka</t>
  </si>
  <si>
    <t>rabiisiaka@gmail.com</t>
  </si>
  <si>
    <t>James Ehidiamen</t>
  </si>
  <si>
    <t>king3don@yahoo.com</t>
  </si>
  <si>
    <t>Nwaolu Kingsley</t>
  </si>
  <si>
    <t>kginikanwaolu@yahoo.com</t>
  </si>
  <si>
    <t>Ambassadorr James Blossom AwayeJones</t>
  </si>
  <si>
    <t>bloprecious3000@yahoo.co.uk</t>
  </si>
  <si>
    <t>Naskii Mania</t>
  </si>
  <si>
    <t>tundesanni10@gmail.com</t>
  </si>
  <si>
    <t>Abdulhakeem Abdullahi</t>
  </si>
  <si>
    <t>papalee4u@Gmail.Com</t>
  </si>
  <si>
    <t>Gilbert Kwame</t>
  </si>
  <si>
    <t>gilbertquatre@gmail.com</t>
  </si>
  <si>
    <t>Musa Ghambo Gambo</t>
  </si>
  <si>
    <t>gmg2011@ymail.com</t>
  </si>
  <si>
    <t>abimbola bello</t>
  </si>
  <si>
    <t>mojidbello57@gmail.com</t>
  </si>
  <si>
    <t>Olukotun Olayinka omotola</t>
  </si>
  <si>
    <t>yinkaolukotun@yahoo.com</t>
  </si>
  <si>
    <t>Dorisca Adaeze</t>
  </si>
  <si>
    <t>doriscadaze@gmail.com</t>
  </si>
  <si>
    <t>Sunday Ohini</t>
  </si>
  <si>
    <t>ohinisunday@yahoo.com</t>
  </si>
  <si>
    <t>Abdulhadi Ahmed</t>
  </si>
  <si>
    <t>abdulhadisaidu14@gmail.com</t>
  </si>
  <si>
    <t>Nosike Ezenwa</t>
  </si>
  <si>
    <t>nosikea17@gmail.com</t>
  </si>
  <si>
    <t>Isaac Ososaodion Ikpekhue</t>
  </si>
  <si>
    <t>osazilky@gmail.com</t>
  </si>
  <si>
    <t>Lawal Yusuf Ola</t>
  </si>
  <si>
    <t>vic4tor24@gmail.com</t>
  </si>
  <si>
    <t>Bashir Abubakar Moriki</t>
  </si>
  <si>
    <t>bashmoriki@gmail.com</t>
  </si>
  <si>
    <t>Oluwaseun Adaramola</t>
  </si>
  <si>
    <t>rinreluv@yahoo.com</t>
  </si>
  <si>
    <t>Falilat Olakunle Olaotan Adenuga</t>
  </si>
  <si>
    <t>folaothan@yahoo.com</t>
  </si>
  <si>
    <t>adeleke</t>
  </si>
  <si>
    <t>adeleke.nigeriagas@gmail.com</t>
  </si>
  <si>
    <t>Akanbi Olanrewaju Kazeem</t>
  </si>
  <si>
    <t>addisababas001@yahoo.com</t>
  </si>
  <si>
    <t>Sunny Enem</t>
  </si>
  <si>
    <t>enemconigltd200@gmail.com</t>
  </si>
  <si>
    <t>Princess Stella Moyinoluwa</t>
  </si>
  <si>
    <t>stebim4767@gmail.com</t>
  </si>
  <si>
    <t>Awotundekeke Stephen</t>
  </si>
  <si>
    <t>awotundekeke123@gmail.com</t>
  </si>
  <si>
    <t>Okodike Monica</t>
  </si>
  <si>
    <t>monicaokodike@hotmail.com</t>
  </si>
  <si>
    <t>Hardeydokhun Hardeygborlar</t>
  </si>
  <si>
    <t>mdee0211@gmail.com</t>
  </si>
  <si>
    <t>Tosin Oyinloye</t>
  </si>
  <si>
    <t>blackhole-100025589712748-1536884574@devnull.facebook.com</t>
  </si>
  <si>
    <t>nuru</t>
  </si>
  <si>
    <t>nbulama@gmail.com</t>
  </si>
  <si>
    <t>Olusegun Saheed</t>
  </si>
  <si>
    <t>tunji.segun2013@gmail.com</t>
  </si>
  <si>
    <t>Yahaya Shaibu</t>
  </si>
  <si>
    <t>yahayashaibu99@yahoo.com</t>
  </si>
  <si>
    <t>Shakiru Olalekan Durojaiye</t>
  </si>
  <si>
    <t>Shakirudurojaiye456@gmail.com</t>
  </si>
  <si>
    <t>Adepoju Akinkunmi</t>
  </si>
  <si>
    <t>akinadepoju@yahoo.com</t>
  </si>
  <si>
    <t>Yemi Faith Ojotipe</t>
  </si>
  <si>
    <t>ayoola_yemi@yahoo.com</t>
  </si>
  <si>
    <t>Evalsam Azogo</t>
  </si>
  <si>
    <t>henryspike4real@yahoo.com</t>
  </si>
  <si>
    <t>Usher</t>
  </si>
  <si>
    <t>empireofcreativityhob@gmail.com</t>
  </si>
  <si>
    <t>Odeh Jeffrey</t>
  </si>
  <si>
    <t>jffrylev@gmail.com</t>
  </si>
  <si>
    <t>Saint Sami Jnr</t>
  </si>
  <si>
    <t>sleem001@yahoo.com</t>
  </si>
  <si>
    <t>Sonia Manuel</t>
  </si>
  <si>
    <t>news.realty@yahoo.com</t>
  </si>
  <si>
    <t>Mohammed Hassan Dangote</t>
  </si>
  <si>
    <t>instant.visa.now@gmail.com</t>
  </si>
  <si>
    <t>Albert Nse</t>
  </si>
  <si>
    <t>albertnse7@gmail.com</t>
  </si>
  <si>
    <t>Doowuese Ben-Bulaun</t>
  </si>
  <si>
    <t>doowueseagber@yahoo.co.uk</t>
  </si>
  <si>
    <t>Patrick Chidi</t>
  </si>
  <si>
    <t>akanuno@yahoo.com</t>
  </si>
  <si>
    <t>Olatunde Adewale</t>
  </si>
  <si>
    <t>olatundeadewale@yahoo.com</t>
  </si>
  <si>
    <t>Enaholo Keme</t>
  </si>
  <si>
    <t>odamahson@gmai.com</t>
  </si>
  <si>
    <t>Gabby Ajabor</t>
  </si>
  <si>
    <t>gabbyeajabor@yahoo.com</t>
  </si>
  <si>
    <t>Abimiku Asheadzi Ruth</t>
  </si>
  <si>
    <t>excellasheadzi@gmail.com</t>
  </si>
  <si>
    <t>Hon Ajayi</t>
  </si>
  <si>
    <t>honsdeleajayi@googlemail.com</t>
  </si>
  <si>
    <t>Samuel Niyi Ojo</t>
  </si>
  <si>
    <t>niyiojo1202@yahoo.com</t>
  </si>
  <si>
    <t>debotrendy</t>
  </si>
  <si>
    <t>adebowale.adeyemo1@gmail.com</t>
  </si>
  <si>
    <t>Henry Chigozie Ogujiofor</t>
  </si>
  <si>
    <t>chigoziem4us@yahoo.com</t>
  </si>
  <si>
    <t>Uche Grace</t>
  </si>
  <si>
    <t>uchegrace.grace@gmail.com</t>
  </si>
  <si>
    <t>Warfunda Bitrus Kaigama</t>
  </si>
  <si>
    <t>warfgn@yahoo.com</t>
  </si>
  <si>
    <t>Is'haq Adeyinka</t>
  </si>
  <si>
    <t>adeyinkahishaq@yahoo.com</t>
  </si>
  <si>
    <t>Tony Omuada</t>
  </si>
  <si>
    <t>tonyomuada@yahoo.co.uk</t>
  </si>
  <si>
    <t>munir idris</t>
  </si>
  <si>
    <t>angonaminaone@gmail.com</t>
  </si>
  <si>
    <t>Chioma Christy</t>
  </si>
  <si>
    <t>cbatmus@yahoo.com</t>
  </si>
  <si>
    <t>Waqas Ahmed Malik</t>
  </si>
  <si>
    <t>waqasahmed700@hotmail.com</t>
  </si>
  <si>
    <t>Adeshina Adedokun</t>
  </si>
  <si>
    <t>jargua101@yahoo.com</t>
  </si>
  <si>
    <t>Ibidun Dokubo</t>
  </si>
  <si>
    <t>ibdokubo@yahoo.com</t>
  </si>
  <si>
    <t>Nenye Ezenwine</t>
  </si>
  <si>
    <t>nenyejustina0207@gmail.com</t>
  </si>
  <si>
    <t>Jey Martins</t>
  </si>
  <si>
    <t>jeydmartins79@gmail.com</t>
  </si>
  <si>
    <t>Henry Harrison</t>
  </si>
  <si>
    <t>harrisonhenry10@yahoo.com</t>
  </si>
  <si>
    <t>Segun Simeon Jinadu</t>
  </si>
  <si>
    <t>cla4sim@yahoo.com</t>
  </si>
  <si>
    <t>Ada Gift</t>
  </si>
  <si>
    <t>adagift84@yahoo.com</t>
  </si>
  <si>
    <t>David Uzodinma</t>
  </si>
  <si>
    <t>daviduzo@yahoo.com</t>
  </si>
  <si>
    <t>Akintunde Omotolani Samuel</t>
  </si>
  <si>
    <t>akins_tola@yahoo.com</t>
  </si>
  <si>
    <t>Tarkende John Tersoo</t>
  </si>
  <si>
    <t>johntarkende2020@gmail.com</t>
  </si>
  <si>
    <t>Hon Hephziba Gbenga Aboge</t>
  </si>
  <si>
    <t>gbengaaboge@yahoo.com</t>
  </si>
  <si>
    <t>Diana Adesuwa</t>
  </si>
  <si>
    <t>adesuwaghedo@yahoo.com</t>
  </si>
  <si>
    <t>Adenike Afeke</t>
  </si>
  <si>
    <t>adenikeajidagba@gmail.com</t>
  </si>
  <si>
    <t>Abiodun Ogunkeye</t>
  </si>
  <si>
    <t>oluwakeye@yahoo.com</t>
  </si>
  <si>
    <t>Oguntade Olugbenga</t>
  </si>
  <si>
    <t>gbengatade@yahoo.com</t>
  </si>
  <si>
    <t>Arjun Sabat</t>
  </si>
  <si>
    <t>arjun.sabat@gmail.com</t>
  </si>
  <si>
    <t>Aliyu Buba Karagari</t>
  </si>
  <si>
    <t>abkaragari@gmail.com</t>
  </si>
  <si>
    <t>Ogechukwu Okereke Obioma</t>
  </si>
  <si>
    <t>begechi@yahoo.com</t>
  </si>
  <si>
    <t>Solomon Ofoh</t>
  </si>
  <si>
    <t>ofohsolomon@gmail.com</t>
  </si>
  <si>
    <t>Emmanuel Nnamdi</t>
  </si>
  <si>
    <t>nanueo2000@yahoo.com</t>
  </si>
  <si>
    <t>King Chatta</t>
  </si>
  <si>
    <t>chattaking@gmail.com</t>
  </si>
  <si>
    <t>samsonadewaleokunowo</t>
  </si>
  <si>
    <t>samdok@ymail.com</t>
  </si>
  <si>
    <t>Gabriel Opara</t>
  </si>
  <si>
    <t>greatopara757@yahoo.co.uk</t>
  </si>
  <si>
    <t>Afolayan Dayo Paul</t>
  </si>
  <si>
    <t>afolayanpaul5@gmail.com</t>
  </si>
  <si>
    <t>Taofeek Muhammed</t>
  </si>
  <si>
    <t>tee.key90@yahoo.com</t>
  </si>
  <si>
    <t>Ojumah Prince Patrick</t>
  </si>
  <si>
    <t>rogerprince81@yahoo.com</t>
  </si>
  <si>
    <t>Popoola John</t>
  </si>
  <si>
    <t>popoolajohn18@gmail.com</t>
  </si>
  <si>
    <t>Ogundoju Olarewaju</t>
  </si>
  <si>
    <t>lanre.bright@yahoo.com</t>
  </si>
  <si>
    <t>Olayinka Agunbiade</t>
  </si>
  <si>
    <t>mailyinkanow@yahoo.com</t>
  </si>
  <si>
    <t>Akaje Shola</t>
  </si>
  <si>
    <t>akajeola@yahoo.com</t>
  </si>
  <si>
    <t>Suzy Mo</t>
  </si>
  <si>
    <t>suzy_moyin@yahoo.com</t>
  </si>
  <si>
    <t>Altine Mafwil Idu</t>
  </si>
  <si>
    <t>fmafwil@yahoo.com</t>
  </si>
  <si>
    <t>Kayode Ebenezer Feranmola</t>
  </si>
  <si>
    <t>realtybrokerng@gmail.com</t>
  </si>
  <si>
    <t>Kolawole Olohundare</t>
  </si>
  <si>
    <t>tsrcapacity@yahoo.com</t>
  </si>
  <si>
    <t>Omon Bodmas Isibor</t>
  </si>
  <si>
    <t>isiboromon12@gmail.com</t>
  </si>
  <si>
    <t>Ejiofor Veronica Nkiruka</t>
  </si>
  <si>
    <t>eji_vero@yahoo.com</t>
  </si>
  <si>
    <t>Kenneth Emeka</t>
  </si>
  <si>
    <t>kennethcool4real@yahoo.com</t>
  </si>
  <si>
    <t>Francisco Laz</t>
  </si>
  <si>
    <t>frinched@gmail.com</t>
  </si>
  <si>
    <t>Dr. Sa'id Kori</t>
  </si>
  <si>
    <t>saidalkali@gmail.com</t>
  </si>
  <si>
    <t>Yusuf Wasiu</t>
  </si>
  <si>
    <t>yusufwasiu342@yahoo.com</t>
  </si>
  <si>
    <t>Tijani Kemi</t>
  </si>
  <si>
    <t>tijanikemmyzinot@gmail.com</t>
  </si>
  <si>
    <t>Malvi Ikoku</t>
  </si>
  <si>
    <t>malvi.ikoku@gmail.com</t>
  </si>
  <si>
    <t>Ejeagwu Walter Chigbo</t>
  </si>
  <si>
    <t>icsint@yahoo.co.uk</t>
  </si>
  <si>
    <t>Rekia Nya</t>
  </si>
  <si>
    <t>nyarekia@gmail.com</t>
  </si>
  <si>
    <t>Ashiru Muideen Adekunle</t>
  </si>
  <si>
    <t>kunlex60@yahoo.com</t>
  </si>
  <si>
    <t>Olakunbi Janet</t>
  </si>
  <si>
    <t>talk2jane83@yahoo.com</t>
  </si>
  <si>
    <t>Sarki Kabir</t>
  </si>
  <si>
    <t>kexykb@gmail.com</t>
  </si>
  <si>
    <t>Kareem Arigbabu</t>
  </si>
  <si>
    <t>arryscope@yahoo.com</t>
  </si>
  <si>
    <t>Auwal Kani</t>
  </si>
  <si>
    <t>auwalkani@yahoo.com</t>
  </si>
  <si>
    <t>Ibrahim Abdulahi</t>
  </si>
  <si>
    <t>ibromatic70@gmail.com</t>
  </si>
  <si>
    <t>Olanrewaju Taofeek Alao</t>
  </si>
  <si>
    <t>goriolaintact505@yahoo.com</t>
  </si>
  <si>
    <t>Ola'bosun Temidire Lasisi</t>
  </si>
  <si>
    <t>bosun.lasisi@yahoo.com</t>
  </si>
  <si>
    <t>Kalio Ibuomi</t>
  </si>
  <si>
    <t>Oilwell.swift77@gmail.com</t>
  </si>
  <si>
    <t>Owhigho Odize</t>
  </si>
  <si>
    <t>owhighocris@yahoo.com</t>
  </si>
  <si>
    <t>Chidiebere Bruno</t>
  </si>
  <si>
    <t>nwachukwuchidi4@yahoo.com</t>
  </si>
  <si>
    <t>Quidic Mack Mujasca</t>
  </si>
  <si>
    <t>quidic@hotmail.com</t>
  </si>
  <si>
    <t>Kenneth Nwachukwu</t>
  </si>
  <si>
    <t>iykemultiple8@gmail.com</t>
  </si>
  <si>
    <t>Edmond Nwabara</t>
  </si>
  <si>
    <t>nwagbara.e@gmail.com</t>
  </si>
  <si>
    <t>Taslim Sadiq</t>
  </si>
  <si>
    <t>t4taslim@hotmail.com</t>
  </si>
  <si>
    <t>Adegoke Hakeem</t>
  </si>
  <si>
    <t>hakeemadegoke@yahoo.com</t>
  </si>
  <si>
    <t>Godwin Ushie</t>
  </si>
  <si>
    <t>godwinushie174@gmail.com</t>
  </si>
  <si>
    <t>Godwin Joseph</t>
  </si>
  <si>
    <t>jg6343140@gmail.com</t>
  </si>
  <si>
    <t>Njira Din</t>
  </si>
  <si>
    <t>nunga.seth@gmail.com</t>
  </si>
  <si>
    <t>Abiola Olowolagba</t>
  </si>
  <si>
    <t>abiolatide@yahoo.com</t>
  </si>
  <si>
    <t>Naija IRepresent</t>
  </si>
  <si>
    <t>hakeemola@yahoo.com</t>
  </si>
  <si>
    <t>Isele Oke Kelvin</t>
  </si>
  <si>
    <t>kelmax2010@yahoo.com</t>
  </si>
  <si>
    <t>Adesanya Abdulmalik Adekunle</t>
  </si>
  <si>
    <t>kml2u3000@yahoo.com</t>
  </si>
  <si>
    <t>Igboanua Kingsley</t>
  </si>
  <si>
    <t>maduhkins1@yahoo.com</t>
  </si>
  <si>
    <t>Toyin Akanni pedro</t>
  </si>
  <si>
    <t>qafy.toyin@gmail.com</t>
  </si>
  <si>
    <t>Henry Ejiks Nwabuko</t>
  </si>
  <si>
    <t>ejiks042@gmail.com</t>
  </si>
  <si>
    <t>Kelechi De Richanto Madubuko</t>
  </si>
  <si>
    <t>kaycee_cross@yahoo.com</t>
  </si>
  <si>
    <t>Aminu Coomassie</t>
  </si>
  <si>
    <t>bussinessresult@gmail.com</t>
  </si>
  <si>
    <t>abdulmumin mobolaji alliu-iwonlanwe</t>
  </si>
  <si>
    <t>mobolajiayinde@rocketmail.com</t>
  </si>
  <si>
    <t>Olaiya Jelilat Bolanle</t>
  </si>
  <si>
    <t>olaiya.bola@isaluhospitals.com</t>
  </si>
  <si>
    <t>Uche Ugboajah</t>
  </si>
  <si>
    <t>cugboajah@yahoo.com</t>
  </si>
  <si>
    <t>Ndubuisi Mgbedo</t>
  </si>
  <si>
    <t>geraldndubuisi60@gmail.com</t>
  </si>
  <si>
    <t>Abdulkareem Kenny</t>
  </si>
  <si>
    <t>feel4real2016@gmail.com</t>
  </si>
  <si>
    <t>Al Nasir Owen</t>
  </si>
  <si>
    <t>nasirboy101@yahoo.com</t>
  </si>
  <si>
    <t>Festus David Chika</t>
  </si>
  <si>
    <t>festus247@yahoo.com</t>
  </si>
  <si>
    <t>Mofoluwaso Ibigbami</t>
  </si>
  <si>
    <t>folusoi@yahoo.com</t>
  </si>
  <si>
    <t>Engr Comrade Ben-Osy Okoh</t>
  </si>
  <si>
    <t>iykebenosy@gmail.com</t>
  </si>
  <si>
    <t>Tosynebunano Tosyn</t>
  </si>
  <si>
    <t>bunano67@gmail.com</t>
  </si>
  <si>
    <t>Ogunde Felix Oluwafemi</t>
  </si>
  <si>
    <t>adrit777@yahoo.com</t>
  </si>
  <si>
    <t>Abba Sadeeq</t>
  </si>
  <si>
    <t>abbasadeeq17@gmail.com</t>
  </si>
  <si>
    <t>Abubakar</t>
  </si>
  <si>
    <t>otaruabu@gmail.com</t>
  </si>
  <si>
    <t>Oluwaseun Joseph</t>
  </si>
  <si>
    <t>oluwaseunjoseph08@gmail.com</t>
  </si>
  <si>
    <t>Ambrose UNOJE</t>
  </si>
  <si>
    <t>ambrose.unoje@yahoo.com</t>
  </si>
  <si>
    <t>Uchenna chukwu</t>
  </si>
  <si>
    <t>dorouchechukwu@gmail.com</t>
  </si>
  <si>
    <t>Tunde King</t>
  </si>
  <si>
    <t>tundeobani@yahoo.com</t>
  </si>
  <si>
    <t>Prince Adeleke Hassan Aloko</t>
  </si>
  <si>
    <t>hassan4jesus@yahoo.com</t>
  </si>
  <si>
    <t>Teni Adesanya</t>
  </si>
  <si>
    <t>tenyolahy2k@yahoo.com</t>
  </si>
  <si>
    <t>Taiwo Toritse Armon</t>
  </si>
  <si>
    <t>t_toritse@yahoo.com</t>
  </si>
  <si>
    <t>Joseph Ocheme</t>
  </si>
  <si>
    <t>ochemejoseph90@gmail.com</t>
  </si>
  <si>
    <t>Hasheem Muhammad</t>
  </si>
  <si>
    <t>hashidodo@gmail.com</t>
  </si>
  <si>
    <t>Augustine Odhesa</t>
  </si>
  <si>
    <t>austinobrown22@gmail.com</t>
  </si>
  <si>
    <t>Funsho Peters</t>
  </si>
  <si>
    <t>pfunsho@hotmail.com</t>
  </si>
  <si>
    <t>Clement Sampson Udo</t>
  </si>
  <si>
    <t>clementudo40@gmail.com</t>
  </si>
  <si>
    <t>Valentine Amauche Duru</t>
  </si>
  <si>
    <t>amauchevalentine@gmail.com</t>
  </si>
  <si>
    <t>Njoku Ijeoma Awurum</t>
  </si>
  <si>
    <t>tuk2ijnow@yahoo.com</t>
  </si>
  <si>
    <t>Adebayo Olubiyi</t>
  </si>
  <si>
    <t>Joszenas@gmail.com</t>
  </si>
  <si>
    <t>Adetula Emmanuel Adedotun</t>
  </si>
  <si>
    <t>greatadetula@gmail.com</t>
  </si>
  <si>
    <t>Mervin Simon</t>
  </si>
  <si>
    <t>mervinsimon36@yahoo.com</t>
  </si>
  <si>
    <t>Someshwar Shinde</t>
  </si>
  <si>
    <t>someshwarshinde@rediffmail.com</t>
  </si>
  <si>
    <t>Abraham Sunday</t>
  </si>
  <si>
    <t>abrahamsunday.abacha@gmail.com</t>
  </si>
  <si>
    <t>Prince Bobby</t>
  </si>
  <si>
    <t>donbobbykb2@gmail.com</t>
  </si>
  <si>
    <t>Nicholas Adheji</t>
  </si>
  <si>
    <t>adheji@yahoo.com</t>
  </si>
  <si>
    <t>Oluwalogbon Oluwalomo Oluwaloni</t>
  </si>
  <si>
    <t>oluwastine@yahoo.com</t>
  </si>
  <si>
    <t>GoodFortune Albert</t>
  </si>
  <si>
    <t>fortunesmission@gmail.com</t>
  </si>
  <si>
    <t>Rotimi Awofala</t>
  </si>
  <si>
    <t>rotimiawofala@gmail.com</t>
  </si>
  <si>
    <t>Abiodun Alabi</t>
  </si>
  <si>
    <t>abiodunalabi777@gmail.com</t>
  </si>
  <si>
    <t>Solomon Onome Susan</t>
  </si>
  <si>
    <t>latoyaono4@yahoo.com</t>
  </si>
  <si>
    <t>Samuel Jacob Aminu Momoh</t>
  </si>
  <si>
    <t>jamubglobal@yahoo.com</t>
  </si>
  <si>
    <t>Marie Ogim Chen</t>
  </si>
  <si>
    <t>mariegims@yahoo.co.uk</t>
  </si>
  <si>
    <t>Adedotun Daniels</t>
  </si>
  <si>
    <t>dotun.adio@gmail.com</t>
  </si>
  <si>
    <t>Nzeka Malachy</t>
  </si>
  <si>
    <t>nzeka.ifeoma2@gmail.com</t>
  </si>
  <si>
    <t>Otunba Abiola Olaoye Shofolahan</t>
  </si>
  <si>
    <t>Abiolashofolahan75@yahoo.com</t>
  </si>
  <si>
    <t>Junaid Ajibola Abdul</t>
  </si>
  <si>
    <t>royalpropertysolutions2011@gmail.com</t>
  </si>
  <si>
    <t>Oluwole Italoye</t>
  </si>
  <si>
    <t>wole.italoye@gmail.com</t>
  </si>
  <si>
    <t>Princewill Ejiogu</t>
  </si>
  <si>
    <t>princemaker4love@yahoo.com</t>
  </si>
  <si>
    <t>baba @2324</t>
  </si>
  <si>
    <t>talk2abuwasi2003@yahoo.com</t>
  </si>
  <si>
    <t>Temitope Banjo</t>
  </si>
  <si>
    <t>oaklahoma212@yahoo.com</t>
  </si>
  <si>
    <t>Adeyinka S. Adebayo</t>
  </si>
  <si>
    <t>yinkafirst@gmail.com</t>
  </si>
  <si>
    <t>Oyekan Bolaji</t>
  </si>
  <si>
    <t>oyekanmobolaji@gmail.com</t>
  </si>
  <si>
    <t>Baba A G Aliyu</t>
  </si>
  <si>
    <t>babaagliyu@yahoo.com</t>
  </si>
  <si>
    <t>Chinwe Blessing</t>
  </si>
  <si>
    <t>chinweblessing75@yahoo.com</t>
  </si>
  <si>
    <t>Folake Martins</t>
  </si>
  <si>
    <t>aflakkyvmartins@yahoo.com</t>
  </si>
  <si>
    <t>Omotayo Jayteedollar</t>
  </si>
  <si>
    <t>jteemoney4sure@yahoo.com</t>
  </si>
  <si>
    <t>Oluwafemi Olatujoye</t>
  </si>
  <si>
    <t>femolism@yahoo.com</t>
  </si>
  <si>
    <t>Emmanuel Chukwu Emmanuel</t>
  </si>
  <si>
    <t>blessedchukwu2017@gmail.com</t>
  </si>
  <si>
    <t>Sina Sosanwo</t>
  </si>
  <si>
    <t>sosanworeuben@gmail.com</t>
  </si>
  <si>
    <t>Hilekaan Terkura Emmanuel</t>
  </si>
  <si>
    <t>hilekaan@yahoo.com</t>
  </si>
  <si>
    <t>Paul Aidelokhai</t>
  </si>
  <si>
    <t>paulaidi23@gmail.com</t>
  </si>
  <si>
    <t>David Ibe</t>
  </si>
  <si>
    <t>aiodave4real60@gmail.com</t>
  </si>
  <si>
    <t>Ezeonwumelu Eucharia Nkeiruka</t>
  </si>
  <si>
    <t>nkykares@yahoo.com</t>
  </si>
  <si>
    <t>Mike Nwanneka</t>
  </si>
  <si>
    <t>mickokoro400@gmail.com</t>
  </si>
  <si>
    <t>Bertha Chidozie</t>
  </si>
  <si>
    <t>ahamchez@yahoo.com</t>
  </si>
  <si>
    <t>Siraj</t>
  </si>
  <si>
    <t>sirajishaaq30@gmail.com</t>
  </si>
  <si>
    <t>Adekunle Adebanjo</t>
  </si>
  <si>
    <t>adehkunleh@gmail.com</t>
  </si>
  <si>
    <t>Kashif Opeyemi okewole</t>
  </si>
  <si>
    <t>meettalkingtoms@gmail.com</t>
  </si>
  <si>
    <t>Yinka Adeniran</t>
  </si>
  <si>
    <t>yinkadeniran@gmail.com</t>
  </si>
  <si>
    <t>Tayo Amuko</t>
  </si>
  <si>
    <t>tayoamuko@yahoo.com</t>
  </si>
  <si>
    <t>Raphael Adeyemi</t>
  </si>
  <si>
    <t>qsrafeli2005@yahoo.com</t>
  </si>
  <si>
    <t>Gospel Tuwatimi</t>
  </si>
  <si>
    <t>tuwatimigospel@gmail.com</t>
  </si>
  <si>
    <t>Hassan Abdulsalam</t>
  </si>
  <si>
    <t>k_hazzan@yahoo.com</t>
  </si>
  <si>
    <t>Adele Prinz Tunde</t>
  </si>
  <si>
    <t>tunzad.heritagebuilders@realtyagent.com</t>
  </si>
  <si>
    <t>Tobi Adewusi</t>
  </si>
  <si>
    <t>ola_mi12@yahoo.com</t>
  </si>
  <si>
    <t>Omobolanle Benco Aturu</t>
  </si>
  <si>
    <t>patbenco@yahoo.com</t>
  </si>
  <si>
    <t>Ajodo Odokina</t>
  </si>
  <si>
    <t>odokina.ajodo@gmail.com</t>
  </si>
  <si>
    <t>Muyiwa Afolabi</t>
  </si>
  <si>
    <t>moonyiwa7nov@yahoo.com</t>
  </si>
  <si>
    <t>Yunana Damina</t>
  </si>
  <si>
    <t>daminadamina985@gmail.com</t>
  </si>
  <si>
    <t>Gomina Nike</t>
  </si>
  <si>
    <t>gominanikwkudirat@yahoo.com</t>
  </si>
  <si>
    <t>Olufemi Hammedion</t>
  </si>
  <si>
    <t>olufemihammedion@gmail.com</t>
  </si>
  <si>
    <t>Esv Nnaeto Okonkwo</t>
  </si>
  <si>
    <t>okonkwonnaedozie@gmail.com</t>
  </si>
  <si>
    <t>George Champ Willicor</t>
  </si>
  <si>
    <t>champsolutions2017@gmail.com</t>
  </si>
  <si>
    <t>Wale Adekunle Oripeloye</t>
  </si>
  <si>
    <t>waleoripe@gmail.com</t>
  </si>
  <si>
    <t>Boma Braide</t>
  </si>
  <si>
    <t>bomabraide@gmail.com</t>
  </si>
  <si>
    <t>Haav Gabriel</t>
  </si>
  <si>
    <t>gabrielhaav@yahoo.com</t>
  </si>
  <si>
    <t>Nonso Onwuanibe</t>
  </si>
  <si>
    <t>nonsoo2001@yahoo.com</t>
  </si>
  <si>
    <t>Terry Agbo</t>
  </si>
  <si>
    <t>terryaagbo@yahoo.com</t>
  </si>
  <si>
    <t>Toni Falade</t>
  </si>
  <si>
    <t>tonifaith5@gmail.com</t>
  </si>
  <si>
    <t>Emem John</t>
  </si>
  <si>
    <t>ememjohn16@yahoo.com</t>
  </si>
  <si>
    <t>David Ajakaye</t>
  </si>
  <si>
    <t>olakayedsm@gmail.com</t>
  </si>
  <si>
    <t>Hillary Ataguba</t>
  </si>
  <si>
    <t>hillaryataguba@yahoo.com</t>
  </si>
  <si>
    <t>Murtala Malami</t>
  </si>
  <si>
    <t>malamsskf@gmail.com</t>
  </si>
  <si>
    <t>Ayodele Welding Bending</t>
  </si>
  <si>
    <t>ayafoos207@gmail.com</t>
  </si>
  <si>
    <t>Dunn Fish</t>
  </si>
  <si>
    <t>dunnilawal1@yahoo.com</t>
  </si>
  <si>
    <t>Engr Abdulsalam Kilawa</t>
  </si>
  <si>
    <t>abdulsalehkilawa@gmail.com</t>
  </si>
  <si>
    <t>Linus Opara</t>
  </si>
  <si>
    <t>linusuche.71@gmail.com</t>
  </si>
  <si>
    <t>Chidi Henry Odike</t>
  </si>
  <si>
    <t>henryodike@yahoo.com</t>
  </si>
  <si>
    <t>PENUEL JOELINX</t>
  </si>
  <si>
    <t>penueljoelinx@gmail.com</t>
  </si>
  <si>
    <t>Adefila Olufemi Victor</t>
  </si>
  <si>
    <t>princefemi2real@gmail.com</t>
  </si>
  <si>
    <t>Adebayor Daniel Adeniyi</t>
  </si>
  <si>
    <t>adeniyiadebayosunday23@yahoo.com</t>
  </si>
  <si>
    <t>Omolola Ajoke Omotoso</t>
  </si>
  <si>
    <t>omotosho_omolola@yahoo.com</t>
  </si>
  <si>
    <t>Sydney Reo Okoduwa</t>
  </si>
  <si>
    <t>xucessful@gmail.com</t>
  </si>
  <si>
    <t>Komolafe Michael Oluyemi</t>
  </si>
  <si>
    <t>mikekomoyemi@gmail.com</t>
  </si>
  <si>
    <t>Gbola Oki</t>
  </si>
  <si>
    <t>gbolalink1s@yahoo.com.br</t>
  </si>
  <si>
    <t>Prince Adeyemi Erinle</t>
  </si>
  <si>
    <t>erinleadeyemi7@gmail.com</t>
  </si>
  <si>
    <t>Laguda Hakeem</t>
  </si>
  <si>
    <t>skumarry@yahoo.com</t>
  </si>
  <si>
    <t>Oyeniyi Nathaniel</t>
  </si>
  <si>
    <t>nathanieloyeniyi@gmail.com</t>
  </si>
  <si>
    <t>Vincent Shamsudeen</t>
  </si>
  <si>
    <t>shamsudeenvincent@gmail.com</t>
  </si>
  <si>
    <t>John Nwayen</t>
  </si>
  <si>
    <t>john_nwayen@yahoo.com</t>
  </si>
  <si>
    <t>Richard Skaf</t>
  </si>
  <si>
    <t>richardskaf@hotmail.com</t>
  </si>
  <si>
    <t>Frederick Adewale</t>
  </si>
  <si>
    <t>ffrederickadewale@gmail.com</t>
  </si>
  <si>
    <t>Vanen Hule</t>
  </si>
  <si>
    <t>sunhule20@yahoo.co.uk</t>
  </si>
  <si>
    <t>Emmanuel Silas</t>
  </si>
  <si>
    <t>emmanuelsilas409@yahoo.com</t>
  </si>
  <si>
    <t>Sam Udo Obioma</t>
  </si>
  <si>
    <t>usa774u@yahoo.com</t>
  </si>
  <si>
    <t>Ibukunoluwa Oyedokun</t>
  </si>
  <si>
    <t>oyedokunibukunoluwa@gmail.com</t>
  </si>
  <si>
    <t>Tony Okure</t>
  </si>
  <si>
    <t>okureanthony@yahoo.com</t>
  </si>
  <si>
    <t>Adewale Idowu</t>
  </si>
  <si>
    <t>ade.idowu36@yahoo.com</t>
  </si>
  <si>
    <t>Ishaya Banu</t>
  </si>
  <si>
    <t>marshishaya@gmail.com</t>
  </si>
  <si>
    <t>Susan Joseph</t>
  </si>
  <si>
    <t>suzzanph@gmail.com</t>
  </si>
  <si>
    <t>Ken Ekekwe</t>
  </si>
  <si>
    <t>kenekekwe@gmail.com</t>
  </si>
  <si>
    <t>Joseph Adedapo</t>
  </si>
  <si>
    <t>adedapoadeniran@yahoo.com</t>
  </si>
  <si>
    <t>Prince Afolabi Oladapo Wahab</t>
  </si>
  <si>
    <t>afoladipupo10@yahoo.com</t>
  </si>
  <si>
    <t>Emilia Jonathan</t>
  </si>
  <si>
    <t>jonathanemilia@yahoo.com</t>
  </si>
  <si>
    <t>ola3</t>
  </si>
  <si>
    <t>yuskam2006@gmail.com</t>
  </si>
  <si>
    <t>Babalola Moses</t>
  </si>
  <si>
    <t>mbabalola44@gmail.com</t>
  </si>
  <si>
    <t>Kabir Abdul</t>
  </si>
  <si>
    <t>abdulkabir808@gmail.com</t>
  </si>
  <si>
    <t>Ilamosi Fredricka</t>
  </si>
  <si>
    <t>iladamy@yahoo.com</t>
  </si>
  <si>
    <t>Shedrack Joseph Teko</t>
  </si>
  <si>
    <t>tranquiljoe6@gmail.com</t>
  </si>
  <si>
    <t>Chinenye Emeka</t>
  </si>
  <si>
    <t>chinenyemk@yahoo.com</t>
  </si>
  <si>
    <t>Kunlire Segun Harbimbola Israel</t>
  </si>
  <si>
    <t>Abimbola_segun@yahoo.com</t>
  </si>
  <si>
    <t>Joshua Hassan</t>
  </si>
  <si>
    <t>joshua_hassan@ymail.com</t>
  </si>
  <si>
    <t>Elaye Offeh</t>
  </si>
  <si>
    <t>elaye_offeh2000@yahoo.com</t>
  </si>
  <si>
    <t>Yingi Sarah</t>
  </si>
  <si>
    <t>sarahyingi47@gmail.com</t>
  </si>
  <si>
    <t>Gloria Jome</t>
  </si>
  <si>
    <t>jomegloria@yahoo.com</t>
  </si>
  <si>
    <t>Ola Charles Obagade</t>
  </si>
  <si>
    <t>obagadecharles@gmail.com</t>
  </si>
  <si>
    <t>James Saleh</t>
  </si>
  <si>
    <t>sharmajames70@yahoo.com</t>
  </si>
  <si>
    <t>beatricpel</t>
  </si>
  <si>
    <t>beatricejose59@yahoo.com</t>
  </si>
  <si>
    <t>Oshipitan Faruk</t>
  </si>
  <si>
    <t>franklinsp202@yahoo.co.uk</t>
  </si>
  <si>
    <t>Adeniyi Alao</t>
  </si>
  <si>
    <t>neyosky@yahoo.com</t>
  </si>
  <si>
    <t>Ogunmola Sunday Tunde</t>
  </si>
  <si>
    <t>regisunny2012@yahoo.com</t>
  </si>
  <si>
    <t>Micheal Olatunji Ayodele</t>
  </si>
  <si>
    <t>tjalways4u@yahoo.com</t>
  </si>
  <si>
    <t>Ann Ameh</t>
  </si>
  <si>
    <t>annie201173@yahoo.com</t>
  </si>
  <si>
    <t>Uzodinma Michael Onyema</t>
  </si>
  <si>
    <t>onyemauzomike@gmail.com</t>
  </si>
  <si>
    <t>Folakemi Adeogun Olu-Alabi</t>
  </si>
  <si>
    <t>folakeadeogun@yahoo.com</t>
  </si>
  <si>
    <t>Adanna Shalom</t>
  </si>
  <si>
    <t>Adannashalom101@gmail.com</t>
  </si>
  <si>
    <t>Olusegun Seun</t>
  </si>
  <si>
    <t>onuelskonsult@yahoo.com</t>
  </si>
  <si>
    <t>Raymond Onwualo</t>
  </si>
  <si>
    <t>onwualo@yahoo.com</t>
  </si>
  <si>
    <t>Daniel Okereke</t>
  </si>
  <si>
    <t>nodanoke@yahoo.com</t>
  </si>
  <si>
    <t>Monday Osawaru</t>
  </si>
  <si>
    <t>mandaybuldo@gmail.com</t>
  </si>
  <si>
    <t>Aliu Bolaji Wahab Mma</t>
  </si>
  <si>
    <t>bolaji_aliu01@yahoo.com</t>
  </si>
  <si>
    <t>Olalekan Adewale</t>
  </si>
  <si>
    <t>waleolalekan2014@gmail.com</t>
  </si>
  <si>
    <t>Innocent Abah</t>
  </si>
  <si>
    <t>ifycent.abah@gmail.com</t>
  </si>
  <si>
    <t>Meira</t>
  </si>
  <si>
    <t>elo_o@yahoo.com</t>
  </si>
  <si>
    <t>Chidi Chinekwe Chukwudi</t>
  </si>
  <si>
    <t>chidichinekwe@yahoo.com</t>
  </si>
  <si>
    <t>Dayo Oyedele</t>
  </si>
  <si>
    <t>kpi4good@gmail.com</t>
  </si>
  <si>
    <t>Samauel Gual</t>
  </si>
  <si>
    <t>gbengaolaleye06@gmail.com</t>
  </si>
  <si>
    <t>Nazeer Bashir</t>
  </si>
  <si>
    <t>nazirbashir60@gmail.com</t>
  </si>
  <si>
    <t>3PLE T CONCEPTS</t>
  </si>
  <si>
    <t>tripletayo@gmail.com</t>
  </si>
  <si>
    <t>San Agbolahun</t>
  </si>
  <si>
    <t>sangbola@gmail.com</t>
  </si>
  <si>
    <t>Kingsley N. Okoli</t>
  </si>
  <si>
    <t>kingsleymarketingcompany@gmail.com</t>
  </si>
  <si>
    <t>Isioma Cynthia Nwaoboshi</t>
  </si>
  <si>
    <t>isiomacynthianwaoboshi@gmail.com</t>
  </si>
  <si>
    <t>Mbazor J Chris</t>
  </si>
  <si>
    <t>jchris53abp@gmail.com</t>
  </si>
  <si>
    <t>Adewale Osoba</t>
  </si>
  <si>
    <t>adewale_osoba@yahoo.com</t>
  </si>
  <si>
    <t>Nero Pat</t>
  </si>
  <si>
    <t>okorosunday80@gmail.com</t>
  </si>
  <si>
    <t>Andrew Adama</t>
  </si>
  <si>
    <t>Andreams.globalltd@yahoo.com</t>
  </si>
  <si>
    <t>Olayinka Waky O</t>
  </si>
  <si>
    <t>oladokun.olayinka@yahoo.com</t>
  </si>
  <si>
    <t>Adeolu Ojekunle</t>
  </si>
  <si>
    <t>deolubravo_2raya@yahoo.com</t>
  </si>
  <si>
    <t>Bishi Oluwatoyin Kazeem</t>
  </si>
  <si>
    <t>oluwatoyin.bishi@gmail.com</t>
  </si>
  <si>
    <t>Ajah Joseph Whitey</t>
  </si>
  <si>
    <t>joewhitey91@gmail.com</t>
  </si>
  <si>
    <t>Joshua Olufemmy</t>
  </si>
  <si>
    <t>jolufemmy@gmail.com</t>
  </si>
  <si>
    <t>Akpua Jude</t>
  </si>
  <si>
    <t>judeak2@yahoo.com</t>
  </si>
  <si>
    <t>Samson Olatundun George</t>
  </si>
  <si>
    <t>georgyshelterpropertyltd@gmail.com</t>
  </si>
  <si>
    <t>Khadijat Abdulsalam</t>
  </si>
  <si>
    <t>imransal462@gmail.com</t>
  </si>
  <si>
    <t>Abayomi Obasa</t>
  </si>
  <si>
    <t>abayomiobasa22@yahoo.com</t>
  </si>
  <si>
    <t>Nurudeen Oketade</t>
  </si>
  <si>
    <t>nurudeenoketade97@gmail.com</t>
  </si>
  <si>
    <t>Gabriel Abraham</t>
  </si>
  <si>
    <t>abrahamgmlove@yahoo.com</t>
  </si>
  <si>
    <t>Prince Chris Ede</t>
  </si>
  <si>
    <t>chrisede35@yahoo.co.uk</t>
  </si>
  <si>
    <t>Kofi Akoto</t>
  </si>
  <si>
    <t>kofiakoto@yahoo.com</t>
  </si>
  <si>
    <t>Oyewole Bamidele Peter</t>
  </si>
  <si>
    <t>oyewolepeter6@gmail.com</t>
  </si>
  <si>
    <t>Olamide Michael</t>
  </si>
  <si>
    <t>olamikeprojectslimited@gmail.com</t>
  </si>
  <si>
    <t>Obawa John</t>
  </si>
  <si>
    <t>jobawa900@gmail.com</t>
  </si>
  <si>
    <t>Michael okolo</t>
  </si>
  <si>
    <t>kestproperties@gmail.com</t>
  </si>
  <si>
    <t>Kathy</t>
  </si>
  <si>
    <t>mzbrowm911@gmail.com</t>
  </si>
  <si>
    <t>Olayinka Haroun Animashaun</t>
  </si>
  <si>
    <t>buzzysaint@yahoo.com</t>
  </si>
  <si>
    <t>Steve Kizito</t>
  </si>
  <si>
    <t>stephen2rhyme@yahoo.com</t>
  </si>
  <si>
    <t>Pauline Esther</t>
  </si>
  <si>
    <t>paulineesther23@gmail.com</t>
  </si>
  <si>
    <t>Tao Alamutu</t>
  </si>
  <si>
    <t>taoalamutu@yahoo.com</t>
  </si>
  <si>
    <t>Mena Glory</t>
  </si>
  <si>
    <t>menaglory5050@gmail.com</t>
  </si>
  <si>
    <t>Medley Olasunbo</t>
  </si>
  <si>
    <t>hammedayanshina@yahoo.com</t>
  </si>
  <si>
    <t>Akinya Blessing</t>
  </si>
  <si>
    <t>sagesbutik@yahoo.com</t>
  </si>
  <si>
    <t>Michael Adeneye</t>
  </si>
  <si>
    <t>amazingmike030@gmail.com</t>
  </si>
  <si>
    <t>Babangida Yusuf</t>
  </si>
  <si>
    <t>babangidayusuf96@gmail.com</t>
  </si>
  <si>
    <t>Leo Ayomikulehin Dada</t>
  </si>
  <si>
    <t>dada.musiliu@yahoo.com</t>
  </si>
  <si>
    <t>Mgboh Felix</t>
  </si>
  <si>
    <t>felixmgboh14@gmail.com</t>
  </si>
  <si>
    <t>Honourable Habeeb Tiamiyu</t>
  </si>
  <si>
    <t>lastbborn2003@yahoo.com</t>
  </si>
  <si>
    <t>Olaleye Bolaji Joseph</t>
  </si>
  <si>
    <t>joseke57@yahoo.com</t>
  </si>
  <si>
    <t>Okejayi Olammy Rasheed</t>
  </si>
  <si>
    <t>okejayirasheedolamilekan@yahoo.com</t>
  </si>
  <si>
    <t>Adekumbi Carmen Tuakli-Lawson</t>
  </si>
  <si>
    <t>kahkli@yahoo.co.uk</t>
  </si>
  <si>
    <t>Adesina Akowonjo</t>
  </si>
  <si>
    <t>ms_adesina@yahoo.com</t>
  </si>
  <si>
    <t>Emmanuel Oyebade</t>
  </si>
  <si>
    <t>oyebade_emmanuel@yahoo.com</t>
  </si>
  <si>
    <t>peaceclarke@yahoo.com</t>
  </si>
  <si>
    <t>Edwards Nse Solomon</t>
  </si>
  <si>
    <t>ultimatelagos@yahoo.com</t>
  </si>
  <si>
    <t>Lynda Udodirim Ukeje-Idemudia</t>
  </si>
  <si>
    <t>udoukeje@yahoo.com</t>
  </si>
  <si>
    <t>Kabiru Mudi</t>
  </si>
  <si>
    <t>auua4.km@gmail.com</t>
  </si>
  <si>
    <t>Sam Ella's Creative Concept</t>
  </si>
  <si>
    <t>thenowgenerationyouth@gmail.com</t>
  </si>
  <si>
    <t>Ajijola Bukola Iwere</t>
  </si>
  <si>
    <t>ajijolar2@yahoo.com</t>
  </si>
  <si>
    <t>Rita Abutu</t>
  </si>
  <si>
    <t>ritaabutu@rocketmail.com</t>
  </si>
  <si>
    <t>Joseph Imobioh</t>
  </si>
  <si>
    <t>bigggiebro@yahoo.co.uk</t>
  </si>
  <si>
    <t>Chidi Christian J. Ezeoke</t>
  </si>
  <si>
    <t>ezechidi@gmail.com</t>
  </si>
  <si>
    <t>Olubanjo Abdulhakeem Olu</t>
  </si>
  <si>
    <t>olubanjokeem@yahoo.com</t>
  </si>
  <si>
    <t>Olawale Sherif</t>
  </si>
  <si>
    <t>olawalesherif74@yahoo.com</t>
  </si>
  <si>
    <t>Anselm Addeh</t>
  </si>
  <si>
    <t>ansyfortune@yahoo.com</t>
  </si>
  <si>
    <t>Godson Obiano</t>
  </si>
  <si>
    <t>obigodsonus@yahoo.com</t>
  </si>
  <si>
    <t>Ikede Uzezi</t>
  </si>
  <si>
    <t>ikedeuzezi@yahoo.com</t>
  </si>
  <si>
    <t>Prince Jumbo</t>
  </si>
  <si>
    <t>pjgodwill@gmail.com</t>
  </si>
  <si>
    <t>Olamilekan Olawale</t>
  </si>
  <si>
    <t>akeemajasa9@gmail.com</t>
  </si>
  <si>
    <t>Greatstaint Elmass</t>
  </si>
  <si>
    <t>greatsaint18@gmail.com</t>
  </si>
  <si>
    <t>Adeyemi Temitope</t>
  </si>
  <si>
    <t>topbrains_temitope@yahoo.com</t>
  </si>
  <si>
    <t>Onyeador Nicholas</t>
  </si>
  <si>
    <t>nonyeador@yahoo.com</t>
  </si>
  <si>
    <t>Joseph Ekpo</t>
  </si>
  <si>
    <t>josephekpoogar@gmail.com</t>
  </si>
  <si>
    <t>Camylux Chyneme</t>
  </si>
  <si>
    <t>kamyluxmail@gmail.com</t>
  </si>
  <si>
    <t>Amara Nnebedum</t>
  </si>
  <si>
    <t>amynebs@gmail.com</t>
  </si>
  <si>
    <t>Akeem Omo Lasisi</t>
  </si>
  <si>
    <t>lasisiakeem70@gmail.com</t>
  </si>
  <si>
    <t>Ahmed Abubakar Nasiru</t>
  </si>
  <si>
    <t>nasmad1967@gmail.com</t>
  </si>
  <si>
    <t>Moyosore Flourish</t>
  </si>
  <si>
    <t>moyoajao333@gmail.com</t>
  </si>
  <si>
    <t>Abiodun Etti</t>
  </si>
  <si>
    <t>abiodunetti@gmail.com</t>
  </si>
  <si>
    <t>igbsc limited</t>
  </si>
  <si>
    <t>igbscltd@gmail.com</t>
  </si>
  <si>
    <t>Yimika Ketiku</t>
  </si>
  <si>
    <t>yimika_2000@yahoo.com</t>
  </si>
  <si>
    <t>Adegbenro Adisa Azeez</t>
  </si>
  <si>
    <t>ogogo_az28@yahoo.com</t>
  </si>
  <si>
    <t>Coşkun Çakır</t>
  </si>
  <si>
    <t>coskunbulut1@hotmail.com</t>
  </si>
  <si>
    <t>Rosemary Udeh</t>
  </si>
  <si>
    <t>nwajesus770@gmail.com</t>
  </si>
  <si>
    <t>Ibrahim Ibrahim Elkondakly</t>
  </si>
  <si>
    <t>ibrahim_elkondakly@yahoo.com</t>
  </si>
  <si>
    <t>Olawore Kazeem</t>
  </si>
  <si>
    <t>talk2memunat@gmail.com</t>
  </si>
  <si>
    <t>Adesanya Kunle Daniels</t>
  </si>
  <si>
    <t>kunleadesanyang@gmail.com</t>
  </si>
  <si>
    <t>Olubiyi Oluwatudimu</t>
  </si>
  <si>
    <t>ooluwatudimu@yahoo.com</t>
  </si>
  <si>
    <t>Balarabe Ibrahim Garba</t>
  </si>
  <si>
    <t>balarabe@gmail.com</t>
  </si>
  <si>
    <t>Perjikins Lawani</t>
  </si>
  <si>
    <t>perjikinsconsulting@gmail.com</t>
  </si>
  <si>
    <t>Ahmed Tijjani Al Muharibi</t>
  </si>
  <si>
    <t>tijjaniahmed77@yahoo.com</t>
  </si>
  <si>
    <t>Titilayo Jubril</t>
  </si>
  <si>
    <t>titilayojubril@gmail.com</t>
  </si>
  <si>
    <t>Adeleye Davies Adeoye</t>
  </si>
  <si>
    <t>adeleye_a3@yahoo.com</t>
  </si>
  <si>
    <t>Kabiru Haliru Gidankwano</t>
  </si>
  <si>
    <t>kbrhaliru@gmail.com</t>
  </si>
  <si>
    <t>koyinsola Babalola</t>
  </si>
  <si>
    <t>babalolakoyinsola@gmail.com</t>
  </si>
  <si>
    <t>Daniel Jerry</t>
  </si>
  <si>
    <t>ayankabasi@gmail.com</t>
  </si>
  <si>
    <t>Ndako Babatunde</t>
  </si>
  <si>
    <t>bndako@ymail.com</t>
  </si>
  <si>
    <t>Shittu ibrahim</t>
  </si>
  <si>
    <t>ibraheem.shittu@yahoo.com</t>
  </si>
  <si>
    <t>king valour</t>
  </si>
  <si>
    <t>chimarokeonyeaghala9@gmail.com</t>
  </si>
  <si>
    <t>Anjolaoluwa Oladeji</t>
  </si>
  <si>
    <t>anjjy.oladeji@gmail.com</t>
  </si>
  <si>
    <t>Brooksville Apartments</t>
  </si>
  <si>
    <t>thebrooksville@gmail.com</t>
  </si>
  <si>
    <t>Grace Augustine Egemba</t>
  </si>
  <si>
    <t>gchi80@yahoo.com</t>
  </si>
  <si>
    <t>Nok Ali Shedrack</t>
  </si>
  <si>
    <t>snokali@yahoo.com</t>
  </si>
  <si>
    <t>Bode Oyesola</t>
  </si>
  <si>
    <t>bodeoyez@yahoo.com</t>
  </si>
  <si>
    <t>Bio Fela</t>
  </si>
  <si>
    <t>fela4real@hotmail.com</t>
  </si>
  <si>
    <t>Peter Ezeh</t>
  </si>
  <si>
    <t>kpakpakpa73@yahoo.com</t>
  </si>
  <si>
    <t>IBADAN HERO</t>
  </si>
  <si>
    <t>karheem@aol.com</t>
  </si>
  <si>
    <t>Wuraola Adeyemi</t>
  </si>
  <si>
    <t>wuraolayemi@yahoo.com</t>
  </si>
  <si>
    <t>Segun Ajibola</t>
  </si>
  <si>
    <t>wcisltd@yahoo.com</t>
  </si>
  <si>
    <t>Dennis Okoidigun</t>
  </si>
  <si>
    <t>deniezo9@gmail.com</t>
  </si>
  <si>
    <t>Saviour Ikpi</t>
  </si>
  <si>
    <t>ikpisaviour@gmail.com</t>
  </si>
  <si>
    <t>Abubakar Ahmad</t>
  </si>
  <si>
    <t>abubakarahmadbugawa377@gmail.com</t>
  </si>
  <si>
    <t>The BigName Hub</t>
  </si>
  <si>
    <t>bignamehub@yahoo.com</t>
  </si>
  <si>
    <t>MA's Ud Mahammad</t>
  </si>
  <si>
    <t>abdullahimasudmuhammad@gmail.com</t>
  </si>
  <si>
    <t>Babatunde Adedapo</t>
  </si>
  <si>
    <t>b_adedapo@yahoo.com</t>
  </si>
  <si>
    <t>Ukpai Kalu</t>
  </si>
  <si>
    <t>ukpai14@gmail.com</t>
  </si>
  <si>
    <t>Shoppers Arena Ng</t>
  </si>
  <si>
    <t>info4shoppersarena@gmail.com</t>
  </si>
  <si>
    <t>Odus Ahmeed Adewale Ahmeed</t>
  </si>
  <si>
    <t>lamedaibeji@yahoo.com</t>
  </si>
  <si>
    <t>Jude Amiegbereta</t>
  </si>
  <si>
    <t>judeamie@gmail.com</t>
  </si>
  <si>
    <t>Yemi Alade</t>
  </si>
  <si>
    <t>yhemieflow@gmail.com</t>
  </si>
  <si>
    <t>Elochukwu ububa</t>
  </si>
  <si>
    <t>Ububaelochukwucynthia@gmail.com</t>
  </si>
  <si>
    <t>Sarah Blaq</t>
  </si>
  <si>
    <t>sarahblaq.sba@gmail.com</t>
  </si>
  <si>
    <t>Rita Ike</t>
  </si>
  <si>
    <t>ujuike16@yahoo.com</t>
  </si>
  <si>
    <t>M A Malik Makanjuola</t>
  </si>
  <si>
    <t>maliklaroo9@gmail.com</t>
  </si>
  <si>
    <t>Bunmi Johnson</t>
  </si>
  <si>
    <t>bunmi_son@yahoo.com</t>
  </si>
  <si>
    <t>Solomon Lagi</t>
  </si>
  <si>
    <t>lagisight@yahoo.co.uk</t>
  </si>
  <si>
    <t>Adamu Mako</t>
  </si>
  <si>
    <t>mako014u@yahoo.com</t>
  </si>
  <si>
    <t>Lohfa Nanpak</t>
  </si>
  <si>
    <t>lohfananpak@gmail.com</t>
  </si>
  <si>
    <t>Henry Aisabokhae</t>
  </si>
  <si>
    <t>heyosa2005@yahoo.com</t>
  </si>
  <si>
    <t>Lawal Tunde</t>
  </si>
  <si>
    <t>tundelaw89@gmail.com</t>
  </si>
  <si>
    <t>Joseph Adeiye</t>
  </si>
  <si>
    <t>crystalgoldafrica@gmail.com</t>
  </si>
  <si>
    <t>Femi David Aworinde</t>
  </si>
  <si>
    <t>femiaworinde45@yahoo.com</t>
  </si>
  <si>
    <t>Suleiman Rabiu</t>
  </si>
  <si>
    <t>Suleimanrabiu@gmail.com</t>
  </si>
  <si>
    <t>Clement Emenike Ugwuanyi</t>
  </si>
  <si>
    <t>emenikeclementu@g6mail.com</t>
  </si>
  <si>
    <t>Nlhil Hardink Salami</t>
  </si>
  <si>
    <t>hardink2011@yahoo.com</t>
  </si>
  <si>
    <t>Hassan Abdul</t>
  </si>
  <si>
    <t>habdul488@gmail.com</t>
  </si>
  <si>
    <t>Satish kwatra</t>
  </si>
  <si>
    <t>skwatra2003@yahoo.com</t>
  </si>
  <si>
    <t>Chidiebere Nwosu</t>
  </si>
  <si>
    <t>Princenwosu.chidi@gmail.com</t>
  </si>
  <si>
    <t>Uche Edoga</t>
  </si>
  <si>
    <t>ucheedoga@yahoo.com</t>
  </si>
  <si>
    <t>Momonu Sulyman Adekunle</t>
  </si>
  <si>
    <t>sly4real84@gmail.com</t>
  </si>
  <si>
    <t>Aliu Oluwakemi Serifat</t>
  </si>
  <si>
    <t>aliuoluwakemi4@gmail.com</t>
  </si>
  <si>
    <t>Gregg Okehi</t>
  </si>
  <si>
    <t>gokehi@yahoo.com</t>
  </si>
  <si>
    <t>Bala Funu</t>
  </si>
  <si>
    <t>balafenu@yahoo.com</t>
  </si>
  <si>
    <t>Evans Umolo</t>
  </si>
  <si>
    <t>evans4mike@gmail.com</t>
  </si>
  <si>
    <t>kevwe</t>
  </si>
  <si>
    <t>sponkybabe2000@yahoo.com</t>
  </si>
  <si>
    <t>Eze Kingsley Odenigbo</t>
  </si>
  <si>
    <t>ezekingsley51@gmail.com</t>
  </si>
  <si>
    <t>Joke Enakirerhi</t>
  </si>
  <si>
    <t>etruthful@gmail.com</t>
  </si>
  <si>
    <t>Awonuga Ttp Temitope</t>
  </si>
  <si>
    <t>temitopeawonuga@yahoo.com</t>
  </si>
  <si>
    <t>Ibraheem Daranijo</t>
  </si>
  <si>
    <t>ibraheemdaranijo@gmail.com</t>
  </si>
  <si>
    <t>Mojisola Olurotimi👸</t>
  </si>
  <si>
    <t>mojisoladebanjo@gmail.com</t>
  </si>
  <si>
    <t>Zubair Ahmed Shehu</t>
  </si>
  <si>
    <t>zubairahmadshehu@gmail.com</t>
  </si>
  <si>
    <t>Hon Lookman Omobolanle Thomas</t>
  </si>
  <si>
    <t>lookmanthomas@gmail.com</t>
  </si>
  <si>
    <t>Noah O. Francis</t>
  </si>
  <si>
    <t>de_arkum@yahoo.com</t>
  </si>
  <si>
    <t>Adebisi Adeniyi</t>
  </si>
  <si>
    <t>abiscoj@yahoo.com</t>
  </si>
  <si>
    <t>Chuks Chukwu</t>
  </si>
  <si>
    <t>cchuks@msn.com</t>
  </si>
  <si>
    <t>Michael Inyang</t>
  </si>
  <si>
    <t>bigmikel4rael@yahoo.com</t>
  </si>
  <si>
    <t>Engr Kadiri Suleiman Mohammed</t>
  </si>
  <si>
    <t>mkadiri1064@yahoo.com</t>
  </si>
  <si>
    <t>Olatunde Oyeluyi</t>
  </si>
  <si>
    <t>oyeluyiolatunde@gmail.com</t>
  </si>
  <si>
    <t>Stephen Okeke</t>
  </si>
  <si>
    <t>stephenforreal@gmail.com</t>
  </si>
  <si>
    <t>Rahmon Ohlanrewaju Jamiu</t>
  </si>
  <si>
    <t>jamiurahmon@gmail.com</t>
  </si>
  <si>
    <t>Farouk Shogo</t>
  </si>
  <si>
    <t>farouklemat@yahoo.com</t>
  </si>
  <si>
    <t>Dapo Famuyiwa</t>
  </si>
  <si>
    <t>dapovilla@yahoo.com</t>
  </si>
  <si>
    <t>Oluwatoyin Eni</t>
  </si>
  <si>
    <t>oluwatoyineni03@gmail.com</t>
  </si>
  <si>
    <t>Olabintan Adekunle Yinka</t>
  </si>
  <si>
    <t>olabintanadekunle@yahoo.com</t>
  </si>
  <si>
    <t>Metu Nonso</t>
  </si>
  <si>
    <t>chibestmetu2@gmail.com</t>
  </si>
  <si>
    <t>Soarstudio</t>
  </si>
  <si>
    <t>soarstudiomedia@gmail.com</t>
  </si>
  <si>
    <t>Benjamin Chibuzor Legend</t>
  </si>
  <si>
    <t>chibuzorlegend@gmail.com</t>
  </si>
  <si>
    <t>Tochi Okeke Emmanuel</t>
  </si>
  <si>
    <t>tochiemmanuel009@gmail.com</t>
  </si>
  <si>
    <t>Emmanuel Ereh</t>
  </si>
  <si>
    <t>sly4rex@gmail.com</t>
  </si>
  <si>
    <t>Diamond Igwe Nwaokocha</t>
  </si>
  <si>
    <t>nwaokocha2012@gmail.com</t>
  </si>
  <si>
    <t>Hamza Umar Dukku</t>
  </si>
  <si>
    <t>uhamza35@yahoo.com</t>
  </si>
  <si>
    <t>محمد الفاتح</t>
  </si>
  <si>
    <t>muhammadalfateeh@gmail.com</t>
  </si>
  <si>
    <t>Oyewale Kolawole</t>
  </si>
  <si>
    <t>kolawoleoyewale82@gmail.com</t>
  </si>
  <si>
    <t>Adejimi Foluso</t>
  </si>
  <si>
    <t>folujimi27@gmail.com</t>
  </si>
  <si>
    <t>Gospel Obolo</t>
  </si>
  <si>
    <t>renewentertainment@gmail.com</t>
  </si>
  <si>
    <t>Salisu Yakubu</t>
  </si>
  <si>
    <t>smalami20@yahoo.co.uk</t>
  </si>
  <si>
    <t>Asombo Shadrach Toryila</t>
  </si>
  <si>
    <t>torasombo07@gmail.com</t>
  </si>
  <si>
    <t>Olufemi Makinde</t>
  </si>
  <si>
    <t>femak4real01@yahoo.com</t>
  </si>
  <si>
    <t>Yusuf Rabiu</t>
  </si>
  <si>
    <t>Olayusuf496@gmail.com</t>
  </si>
  <si>
    <t>Prosper Nero</t>
  </si>
  <si>
    <t>piduku@yahoo.com</t>
  </si>
  <si>
    <t>Ajiboye Temitope</t>
  </si>
  <si>
    <t>tajiboye59@gmail.com</t>
  </si>
  <si>
    <t>Samer Hassoun</t>
  </si>
  <si>
    <t>missam8@mail.ru</t>
  </si>
  <si>
    <t>Jimoh Saheed Gbolahan</t>
  </si>
  <si>
    <t>jimohsaheedgbolahan@rocketmail.com</t>
  </si>
  <si>
    <t>Samuel Anyanwu</t>
  </si>
  <si>
    <t>heaven.envoys@gmail.com</t>
  </si>
  <si>
    <t>Prince Ajayi Taofeek Akorede</t>
  </si>
  <si>
    <t>taofeekajayi@gmail.com</t>
  </si>
  <si>
    <t>Otunba Adebayo Toheeb</t>
  </si>
  <si>
    <t>toheeb_raji53@yahoo.com</t>
  </si>
  <si>
    <t>Ogunjimi Ifeoluwa</t>
  </si>
  <si>
    <t>Arewaifeoluwa@gmail.com</t>
  </si>
  <si>
    <t>Olawoyin Temidayo Flexi</t>
  </si>
  <si>
    <t>deewonflexi@gmail.com</t>
  </si>
  <si>
    <t>Bishop Solomon Ibironke</t>
  </si>
  <si>
    <t>pstfaithway@yahoo.com</t>
  </si>
  <si>
    <t>Muhamed Mai Bosho Mnazeer</t>
  </si>
  <si>
    <t>nazirouabdoulaye@yahoo.fr</t>
  </si>
  <si>
    <t>Aliyuda Yusuf</t>
  </si>
  <si>
    <t>aliyuudaa@yahoo.com</t>
  </si>
  <si>
    <t>Rabiu Rabiu</t>
  </si>
  <si>
    <t>firstmag.2015@gmail.com</t>
  </si>
  <si>
    <t>Ndee Victor</t>
  </si>
  <si>
    <t>mrvictorndee@yahoo.com</t>
  </si>
  <si>
    <t>Leonard Udondem</t>
  </si>
  <si>
    <t>intra_pentagon@yahoo.com</t>
  </si>
  <si>
    <t>Ighagbon Maxwell</t>
  </si>
  <si>
    <t>ibechopper@yahoo.co.uk</t>
  </si>
  <si>
    <t>Ochuko Sheila Obakoro</t>
  </si>
  <si>
    <t>sheilaochuko@yahoo.com</t>
  </si>
  <si>
    <t>Umar Aminu Kano</t>
  </si>
  <si>
    <t>umaraminukano@yahoo.com</t>
  </si>
  <si>
    <t>Oyindamola Tosin Falokun</t>
  </si>
  <si>
    <t>stopeefaldams101@yahoo.com</t>
  </si>
  <si>
    <t>Ejiro Bemigho-Abuwa</t>
  </si>
  <si>
    <t>ejiroabuwa@yahoo.com</t>
  </si>
  <si>
    <t>Saidu Buba</t>
  </si>
  <si>
    <t>bubams2000@gmail.com</t>
  </si>
  <si>
    <t>Sway Ebuka</t>
  </si>
  <si>
    <t>ijezienelson@gmail.com</t>
  </si>
  <si>
    <t>Mufutau Wasiu Ishola</t>
  </si>
  <si>
    <t>mufwas2014@gmail.com</t>
  </si>
  <si>
    <t>Sammy Andrews</t>
  </si>
  <si>
    <t>agiamahsamuel@gmail.com</t>
  </si>
  <si>
    <t>Mike Ugo Ihejirika</t>
  </si>
  <si>
    <t>mikeise2003@yahoo.com</t>
  </si>
  <si>
    <t>Alhassan Sodiq</t>
  </si>
  <si>
    <t>abiodunmusodiq05@gmail.com</t>
  </si>
  <si>
    <t>Jibrin Mohammed</t>
  </si>
  <si>
    <t>jibrinmohammed777@gmail.com</t>
  </si>
  <si>
    <t>Monsuru Oladosu</t>
  </si>
  <si>
    <t>foluwasho111@gmail.com</t>
  </si>
  <si>
    <t>Ojo Samuel a oluwafemi</t>
  </si>
  <si>
    <t>ojo6869@gmail.com</t>
  </si>
  <si>
    <t>Shafiu Aminu Kode</t>
  </si>
  <si>
    <t>shafiuakode@gmail.com</t>
  </si>
  <si>
    <t>Sadeeq Abubakar M Selem</t>
  </si>
  <si>
    <t>sadeeqmuhammad392@gmail.com</t>
  </si>
  <si>
    <t>Paulo Stevens Steven</t>
  </si>
  <si>
    <t>stivsmart@gmail.com</t>
  </si>
  <si>
    <t>Temitope Ogunniyi</t>
  </si>
  <si>
    <t>toluogunniyi01@yahoo.com</t>
  </si>
  <si>
    <t>Fagoyinbo Samuel Sunday</t>
  </si>
  <si>
    <t>fagoyinbosamuel@gmail.com</t>
  </si>
  <si>
    <t>Ray Amaebi-Okoro</t>
  </si>
  <si>
    <t>ray_integrars@yahoo.com</t>
  </si>
  <si>
    <t>Nasril Jay Jay Adeyemi</t>
  </si>
  <si>
    <t>jjsnas2000@yahoo.com</t>
  </si>
  <si>
    <t>Adelowo Adeniyi</t>
  </si>
  <si>
    <t>niyilowo@yahoo.com</t>
  </si>
  <si>
    <t>Donald Sebastien</t>
  </si>
  <si>
    <t>maradonaobed@yahoo.com</t>
  </si>
  <si>
    <t>Nelson Obioma Ogbonna</t>
  </si>
  <si>
    <t>capitalconcelptart@gmail.com</t>
  </si>
  <si>
    <t>Victor Olabisi Tolani</t>
  </si>
  <si>
    <t>uptownguy07@yahoo.com</t>
  </si>
  <si>
    <t>Abdulrahman Murtala Muhammed</t>
  </si>
  <si>
    <t>abdulola2001@yahoo.com</t>
  </si>
  <si>
    <t>Ibrahim Sani Muhammad</t>
  </si>
  <si>
    <t>ims2005ada@gmail.com</t>
  </si>
  <si>
    <t>Adegbola Temitope</t>
  </si>
  <si>
    <t>adegbolasolomon73@gmail.com</t>
  </si>
  <si>
    <t>saninadada@gmail.com</t>
  </si>
  <si>
    <t>Yusuf Muhammad Tukur</t>
  </si>
  <si>
    <t>muhdyt@yahoo.com</t>
  </si>
  <si>
    <t>Mazi Abubakar Saidu Dansadau</t>
  </si>
  <si>
    <t>asdansadau@gmail.com</t>
  </si>
  <si>
    <t>Adelabu Gbenga</t>
  </si>
  <si>
    <t>adelabugbemga@gmail.com</t>
  </si>
  <si>
    <t>Abdulrasheed Adamu Sunkani</t>
  </si>
  <si>
    <t>abdulsunkani@gmail.com</t>
  </si>
  <si>
    <t>Ayodeji Ogunwale Salako</t>
  </si>
  <si>
    <t>ayodeji4sure@yahoo.com</t>
  </si>
  <si>
    <t>Iyas Terhemen</t>
  </si>
  <si>
    <t>iyasdavid@yahoo.com</t>
  </si>
  <si>
    <t>Ogunleye Moses</t>
  </si>
  <si>
    <t>rachmosfineboy@rocketmail.com</t>
  </si>
  <si>
    <t>Adeyanju Adeyemo</t>
  </si>
  <si>
    <t>adeyemowilliams1@gmail.com</t>
  </si>
  <si>
    <t>Atanuiro Secondus</t>
  </si>
  <si>
    <t>Atanuiro@gmail.com</t>
  </si>
  <si>
    <t>Chigbo Samson Nkemdilim</t>
  </si>
  <si>
    <t>okeyokoye797@yahoo.com</t>
  </si>
  <si>
    <t>Uthman Sulaimon</t>
  </si>
  <si>
    <t>sulaimon_u@yahoo.com</t>
  </si>
  <si>
    <t>Onyebuchi Ehiz de Moore</t>
  </si>
  <si>
    <t>mikkyjoe1990@yahoo.com</t>
  </si>
  <si>
    <t>Lawal Saheed</t>
  </si>
  <si>
    <t>sintex@gmail.com</t>
  </si>
  <si>
    <t>Omoworare A Umar</t>
  </si>
  <si>
    <t>omoworarenigerialtd@gmail.com</t>
  </si>
  <si>
    <t>Elojah Elowhite</t>
  </si>
  <si>
    <t>uzomaelochukwu@gmail.com</t>
  </si>
  <si>
    <t>Akolade Olasupo</t>
  </si>
  <si>
    <t>jeliliolasupo4real@gmail.com</t>
  </si>
  <si>
    <t>Bola Basorun</t>
  </si>
  <si>
    <t>linkoba2001@yahoo.com</t>
  </si>
  <si>
    <t>Shodiya Oluwaseyi Rasaq</t>
  </si>
  <si>
    <t>rasaq_shodiya@yahoo.com</t>
  </si>
  <si>
    <t>Godwin Arepade Abariko</t>
  </si>
  <si>
    <t>gabariko@yahoo.com</t>
  </si>
  <si>
    <t>Gabriel Omooba Eleyineko</t>
  </si>
  <si>
    <t>adewaleeleyineko@gmail.com</t>
  </si>
  <si>
    <t>Otto Ikpe</t>
  </si>
  <si>
    <t>budgetlights@yahoo.com</t>
  </si>
  <si>
    <t>Bisic</t>
  </si>
  <si>
    <t>obayomibisola8@gmail.com</t>
  </si>
  <si>
    <t>Olayinka Ebenezer Banjo</t>
  </si>
  <si>
    <t>banjoolayinka@gmail.com</t>
  </si>
  <si>
    <t>Victor Obika</t>
  </si>
  <si>
    <t>victorobika@gmail.com</t>
  </si>
  <si>
    <t>Baba Kura Abba Ngala</t>
  </si>
  <si>
    <t>Bkabba0@gmail.com</t>
  </si>
  <si>
    <t>Ayantunde Jacob Oluwaseyi</t>
  </si>
  <si>
    <t>syfavour@gmail.com</t>
  </si>
  <si>
    <t>Dr Yusuf Sulaiman Yarima</t>
  </si>
  <si>
    <t>dryersuzamayi@yahoo.co.uk</t>
  </si>
  <si>
    <t>Abubakar Oloye</t>
  </si>
  <si>
    <t>abubakarolaitan@yahoo.com</t>
  </si>
  <si>
    <t>Usman Shehu P</t>
  </si>
  <si>
    <t>ualhajiusman@yahoo.com</t>
  </si>
  <si>
    <t>Mubarak Bello</t>
  </si>
  <si>
    <t>affanmbmg@gmail.com</t>
  </si>
  <si>
    <t>Chuck Lazarus</t>
  </si>
  <si>
    <t>lazarusdrgeorge@gmail.com</t>
  </si>
  <si>
    <t>Olisa Owolabi</t>
  </si>
  <si>
    <t>olisalee1984@gmail.com</t>
  </si>
  <si>
    <t>Prince Ganiyu Adegbola Oyetunji</t>
  </si>
  <si>
    <t>lagman4life@yahoo.com</t>
  </si>
  <si>
    <t>Robert Lawrence</t>
  </si>
  <si>
    <t>lawrencerbrt@yahoo.com</t>
  </si>
  <si>
    <t>Olomada Fatai Bolakale</t>
  </si>
  <si>
    <t>bolakaleakanbi@yahoo.com</t>
  </si>
  <si>
    <t>Samuel femi precious</t>
  </si>
  <si>
    <t>bolusam6@gmail.com</t>
  </si>
  <si>
    <t>Engr Micheal Ashaye</t>
  </si>
  <si>
    <t>micheal.ashaye@yahoo.com</t>
  </si>
  <si>
    <t>Okwudili A. Chuks</t>
  </si>
  <si>
    <t>attahboy001@gmail.com</t>
  </si>
  <si>
    <t>Tijjani Mohammed</t>
  </si>
  <si>
    <t>tijjani3rd@gmail.com</t>
  </si>
  <si>
    <t>Isah Abuh Yousouf</t>
  </si>
  <si>
    <t>sahinve@gmail.com</t>
  </si>
  <si>
    <t>Oyeyemi Ololade Ogundokun</t>
  </si>
  <si>
    <t>oyemy@yahoo.com</t>
  </si>
  <si>
    <t>Isikalu Oluwaseun Sunday</t>
  </si>
  <si>
    <t>sunthey4real@yahoo.com</t>
  </si>
  <si>
    <t>Amina Lamido</t>
  </si>
  <si>
    <t>aminalamido8@gmail.com</t>
  </si>
  <si>
    <t>Yusuf Rasak Adisa</t>
  </si>
  <si>
    <t>yusuf4sure2001@yahoo.co.uk</t>
  </si>
  <si>
    <t>Tapha Abayomi-Bork</t>
  </si>
  <si>
    <t>walebork@gmail.com</t>
  </si>
  <si>
    <t>Aishah Nana Ndaman</t>
  </si>
  <si>
    <t>ndaman41@gmail.com</t>
  </si>
  <si>
    <t>Adaeze Ogbulafor</t>
  </si>
  <si>
    <t>ad29decem@yahoo.com</t>
  </si>
  <si>
    <t>ESEMA EMMANUEL ESSIEN</t>
  </si>
  <si>
    <t>jakky_limite@yahoo.com</t>
  </si>
  <si>
    <t>Oby Nnodim</t>
  </si>
  <si>
    <t>obynnodim2015@gmail.com</t>
  </si>
  <si>
    <t>Oladele Adebayo</t>
  </si>
  <si>
    <t>oladele.samuel05@gmail.com</t>
  </si>
  <si>
    <t>Noble Mishael</t>
  </si>
  <si>
    <t>noblemisha@gmail.com</t>
  </si>
  <si>
    <t>Chibuzo Abana</t>
  </si>
  <si>
    <t>buzubana@gmail.com</t>
  </si>
  <si>
    <t>Ibrahim Salisu Balarabe</t>
  </si>
  <si>
    <t>salisubally84@yahoo.com</t>
  </si>
  <si>
    <t>Phina Blossom</t>
  </si>
  <si>
    <t>phina_u@yahoo.com</t>
  </si>
  <si>
    <t>Daniel Ubeke</t>
  </si>
  <si>
    <t>Danielubeke10@gmail.com</t>
  </si>
  <si>
    <t>Shedrack Nwobi</t>
  </si>
  <si>
    <t>shedracknwobi@rocketmail.com</t>
  </si>
  <si>
    <t>Makanjuola Ayo</t>
  </si>
  <si>
    <t>makojuolaayomide@gmail.com</t>
  </si>
  <si>
    <t>Chibuzor Agha Amarachukwu</t>
  </si>
  <si>
    <t>chibuzoragha311@gmail.com</t>
  </si>
  <si>
    <t>Igbagbo Tiamiyu</t>
  </si>
  <si>
    <t>igbagbtiamiyu@gmail.com</t>
  </si>
  <si>
    <t>Grace Nkwormen</t>
  </si>
  <si>
    <t>melvise.grace@gmail.com</t>
  </si>
  <si>
    <t>Dapo Alaba</t>
  </si>
  <si>
    <t>jerryleadintlltd@gmail.com</t>
  </si>
  <si>
    <t>Joy Chinedu</t>
  </si>
  <si>
    <t>joyfultee69@yahoo.com</t>
  </si>
  <si>
    <t>Jio Maxwell</t>
  </si>
  <si>
    <t>jiomaxwell752@gmail.com</t>
  </si>
  <si>
    <t>Osho Idris</t>
  </si>
  <si>
    <t>idris168osho@gmail.com</t>
  </si>
  <si>
    <t>Abikoye soji sunday</t>
  </si>
  <si>
    <t>sojabikoms@yahoo.com</t>
  </si>
  <si>
    <t>Julius Adelakun</t>
  </si>
  <si>
    <t>adeadelakun555@gmail.com</t>
  </si>
  <si>
    <t>George Yomi</t>
  </si>
  <si>
    <t>wemyogproperties@yahoo.com</t>
  </si>
  <si>
    <t>Mosebolatan Saheed</t>
  </si>
  <si>
    <t>saheed.mosebolatan@gmail.com</t>
  </si>
  <si>
    <t>Stanley Agomuo</t>
  </si>
  <si>
    <t>agomuostanley@yahoo.co.uk</t>
  </si>
  <si>
    <t>Chukwudi Nwanmuo</t>
  </si>
  <si>
    <t>chukwudiagaga1@gmail.com</t>
  </si>
  <si>
    <t>Olori Ishababe</t>
  </si>
  <si>
    <t>temitopealle@yahoo.com</t>
  </si>
  <si>
    <t>Emmanuel P Okey</t>
  </si>
  <si>
    <t>okeyprofx35@gmail.com</t>
  </si>
  <si>
    <t>Ben Tam</t>
  </si>
  <si>
    <t>ben.tam45@yahoo.com</t>
  </si>
  <si>
    <t>Spike Jiggy</t>
  </si>
  <si>
    <t>imam.tunde@gmail.com</t>
  </si>
  <si>
    <t>Adedoyin Femmy</t>
  </si>
  <si>
    <t>femiadedoyin260@gmail.com</t>
  </si>
  <si>
    <t>Otis Umukolo</t>
  </si>
  <si>
    <t>otis.umukolo@unilever.com</t>
  </si>
  <si>
    <t>Stanley Oghenemavwe</t>
  </si>
  <si>
    <t>stan4al@gmail.com</t>
  </si>
  <si>
    <t>Emmanuel Udonte</t>
  </si>
  <si>
    <t>engremmante@yahoo.com</t>
  </si>
  <si>
    <t>Ayodeji Adepoju</t>
  </si>
  <si>
    <t>ayodeji.adepoju@gmail.com</t>
  </si>
  <si>
    <t>Mary-Jane</t>
  </si>
  <si>
    <t>maryjaneilozor@yahoo.com</t>
  </si>
  <si>
    <t>Joseph Onyema</t>
  </si>
  <si>
    <t>sagoe723@yahoo.com</t>
  </si>
  <si>
    <t>Otti Olawale</t>
  </si>
  <si>
    <t>waleotti@yahoo.com</t>
  </si>
  <si>
    <t>Una Ogbonnaya</t>
  </si>
  <si>
    <t>usnock2@yahoo.com</t>
  </si>
  <si>
    <t>fagbemi</t>
  </si>
  <si>
    <t>lasebikanfagbemiomo61@yahoo.com</t>
  </si>
  <si>
    <t>Murtala Abdullahi</t>
  </si>
  <si>
    <t>husnagems@yahoo.com</t>
  </si>
  <si>
    <t>Samuel Lawal</t>
  </si>
  <si>
    <t>lawalsamuel01@gmail.com</t>
  </si>
  <si>
    <t>Sulelman Yakubu</t>
  </si>
  <si>
    <t>sulelmanjohn310@gmail.com</t>
  </si>
  <si>
    <t>Ogaba Gabriel</t>
  </si>
  <si>
    <t>gabies4real@yahoo.com</t>
  </si>
  <si>
    <t>Abiodun Taiwo</t>
  </si>
  <si>
    <t>abioduntaiwo2010@yahoo.com</t>
  </si>
  <si>
    <t>Voke Onovughe</t>
  </si>
  <si>
    <t>ask4voke2k5@yahoo.com</t>
  </si>
  <si>
    <t>Bankole Adewale Emmanuel</t>
  </si>
  <si>
    <t>bankoleeman@yahoo.com</t>
  </si>
  <si>
    <t>Kolade Abdulateef</t>
  </si>
  <si>
    <t>ddream4latcom@yahoo.com</t>
  </si>
  <si>
    <t>Christopher Tor-tilley</t>
  </si>
  <si>
    <t>tortilley@gmail.com</t>
  </si>
  <si>
    <t>Abubakar Chiroma</t>
  </si>
  <si>
    <t>abcatex@yahoo.com</t>
  </si>
  <si>
    <t>Ilesanmi Olabode James</t>
  </si>
  <si>
    <t>dwayolabode1@gmail.com</t>
  </si>
  <si>
    <t>Olonisola Mayor-medupin</t>
  </si>
  <si>
    <t>olonijoh@gmail.com</t>
  </si>
  <si>
    <t>Oluwatobiloba Ebinumolise Aghenu</t>
  </si>
  <si>
    <t>tobey.gold007@yahoo.com</t>
  </si>
  <si>
    <t>Oladele Oguns</t>
  </si>
  <si>
    <t>ogunbiyidele@yahoo.com</t>
  </si>
  <si>
    <t>Agbonighale Elvis</t>
  </si>
  <si>
    <t>eromosele.agbonighale@gmail.com</t>
  </si>
  <si>
    <t>Daniel Dipo</t>
  </si>
  <si>
    <t>danieladesanya3@gmail.com</t>
  </si>
  <si>
    <t>Kamal Dikko</t>
  </si>
  <si>
    <t>kamaldikko@yahoo.com</t>
  </si>
  <si>
    <t>Kehinde Osoba</t>
  </si>
  <si>
    <t>Kehindeosoba83@gmail.c</t>
  </si>
  <si>
    <t>Samson Ayomide</t>
  </si>
  <si>
    <t>samsonayomide20@yahoo.com</t>
  </si>
  <si>
    <t>Diran Onifade</t>
  </si>
  <si>
    <t>diranx@msn.com</t>
  </si>
  <si>
    <t>Yusuf Umar</t>
  </si>
  <si>
    <t>aayuussuuff@gmail.com</t>
  </si>
  <si>
    <t>Alabi Adekunle</t>
  </si>
  <si>
    <t>akudada51@yahoo.com</t>
  </si>
  <si>
    <t>Adelekan Solomon</t>
  </si>
  <si>
    <t>adelekanadebowale21@gmail.com</t>
  </si>
  <si>
    <t>Baeka Mark</t>
  </si>
  <si>
    <t>markbaeka@gmail.com</t>
  </si>
  <si>
    <t>Hassan Grema</t>
  </si>
  <si>
    <t>hassangrema@yahoo.com</t>
  </si>
  <si>
    <t>Elijah Ajonye</t>
  </si>
  <si>
    <t>elijahajonye@gmail.com</t>
  </si>
  <si>
    <t>Mustapha Tijani Kudirat</t>
  </si>
  <si>
    <t>tijanikudirat2411@gmail.com</t>
  </si>
  <si>
    <t>Inyingierefa Diri Ejike</t>
  </si>
  <si>
    <t>gierefa@yahoo.com</t>
  </si>
  <si>
    <t>Temi Tópé</t>
  </si>
  <si>
    <t>viewtope@gmail.com</t>
  </si>
  <si>
    <t>Oluriotimi Oguntoye</t>
  </si>
  <si>
    <t>oguntoyeolurotimi@yahoo.com</t>
  </si>
  <si>
    <t>Lateef Adewunmi-Adeniyi</t>
  </si>
  <si>
    <t>larts2000@yahoo.com</t>
  </si>
  <si>
    <t>Godwin Anayo</t>
  </si>
  <si>
    <t>kenrow18@gmail.com</t>
  </si>
  <si>
    <t>Daniel Diyaolu</t>
  </si>
  <si>
    <t>diyaolu2@gmail.com</t>
  </si>
  <si>
    <t>Patience Tabugbo</t>
  </si>
  <si>
    <t>pattb.love@yahoo.com</t>
  </si>
  <si>
    <t>Dorcas Odumade</t>
  </si>
  <si>
    <t>dorcasodumade@gmail.com</t>
  </si>
  <si>
    <t>Sageer Dan Alkali</t>
  </si>
  <si>
    <t>sagiralkaliibrahim@gmail.com</t>
  </si>
  <si>
    <t>Halimatu Abubakar Abdullahi</t>
  </si>
  <si>
    <t>haleematuabdullahi122@gmail.com</t>
  </si>
  <si>
    <t>David Abubaka</t>
  </si>
  <si>
    <t>Daudatech@gmail.com</t>
  </si>
  <si>
    <t>Alli Nas Ohere</t>
  </si>
  <si>
    <t>allihayesluv@gmail.com</t>
  </si>
  <si>
    <t>Awaisu Ibrahim</t>
  </si>
  <si>
    <t>awaisuibrahim32@gmail.com</t>
  </si>
  <si>
    <t>Olatunji Khalfa Babatunde</t>
  </si>
  <si>
    <t>olatunjison2@yahoo.com</t>
  </si>
  <si>
    <t>Ali Abdullahi</t>
  </si>
  <si>
    <t>aliyu5052@yahoo.com</t>
  </si>
  <si>
    <t>Kayode Oludele Olukunle</t>
  </si>
  <si>
    <t>kayyem2001@yahoo.com</t>
  </si>
  <si>
    <t>Otunba Tunde Babs</t>
  </si>
  <si>
    <t>faniransulaiman@gmail.com</t>
  </si>
  <si>
    <t>Isaac Abimbade</t>
  </si>
  <si>
    <t>izzoonnet@yahoo.co.uk</t>
  </si>
  <si>
    <t>Edidiong Akpanah</t>
  </si>
  <si>
    <t>edidiongakpanah2017@gmail.com</t>
  </si>
  <si>
    <t>Linus Onyebuchi Onwu</t>
  </si>
  <si>
    <t>linusonwu@gmail.com</t>
  </si>
  <si>
    <t>Prince Marshal Nwauzi</t>
  </si>
  <si>
    <t>princemarshal75@yahoo.com</t>
  </si>
  <si>
    <t>Sooraj Jega</t>
  </si>
  <si>
    <t>surajoamadu2018@gmail.com</t>
  </si>
  <si>
    <t>Alhaji Modu Ngaji</t>
  </si>
  <si>
    <t>modungaji@gmail.com</t>
  </si>
  <si>
    <t>Kehinde Lanre</t>
  </si>
  <si>
    <t>olatuji_20@yahoo.com</t>
  </si>
  <si>
    <t>Ibrahim B. Usman</t>
  </si>
  <si>
    <t>ibusman470@yahoo.com</t>
  </si>
  <si>
    <t>Ojugbele Peter</t>
  </si>
  <si>
    <t>ojugbelepeter@yahoo.com</t>
  </si>
  <si>
    <t>Buchi Anozie</t>
  </si>
  <si>
    <t>on_mcsonlove@yahoo.co.uk</t>
  </si>
  <si>
    <t>Abdusalam Abubakar</t>
  </si>
  <si>
    <t>technomartabdul@hotmail.com</t>
  </si>
  <si>
    <t>Pahad Mohd</t>
  </si>
  <si>
    <t>pahadmohd166@yahoo.com</t>
  </si>
  <si>
    <t>Koppe Sylvanus Jospeh</t>
  </si>
  <si>
    <t>koppesylvanus@yahoo.com</t>
  </si>
  <si>
    <t>Holarpoju Holardokun Holardayo</t>
  </si>
  <si>
    <t>dayoadepoju04@gmail.com</t>
  </si>
  <si>
    <t>Ezekiel Inah</t>
  </si>
  <si>
    <t>ezekielinah@gmail.com</t>
  </si>
  <si>
    <t>Okoro Chibuzor Prosper</t>
  </si>
  <si>
    <t>chibuzorprosperokoro@yahoo.com</t>
  </si>
  <si>
    <t>Prince Mko Oshikoya</t>
  </si>
  <si>
    <t>info.savingspirits@gmail.com</t>
  </si>
  <si>
    <t>Akonde Ebenezer</t>
  </si>
  <si>
    <t>benezer.akonde@gmail.com</t>
  </si>
  <si>
    <t>Itz Usman Babio</t>
  </si>
  <si>
    <t>dr.usman.babio@gmail.com</t>
  </si>
  <si>
    <t>Prince Adeolu O Oyeniran</t>
  </si>
  <si>
    <t>adexpowerlink1983.com@gmail.com</t>
  </si>
  <si>
    <t>Chris</t>
  </si>
  <si>
    <t>christopher-sinky@hotmail.co.uk</t>
  </si>
  <si>
    <t>Bashir Musa Ibrahim</t>
  </si>
  <si>
    <t>abuafnan01@yahoo.com</t>
  </si>
  <si>
    <t>Dr. Iheanyi Okwakpam</t>
  </si>
  <si>
    <t>iokwakpam@yahoo.com</t>
  </si>
  <si>
    <t>Bolanle Musliu</t>
  </si>
  <si>
    <t>sadiq75bola40@gmail.com</t>
  </si>
  <si>
    <t>Abdullahi Kulliwater</t>
  </si>
  <si>
    <t>kulliwater@yahoo.com</t>
  </si>
  <si>
    <t>PrinAdebayo Adewale Oluwayemi</t>
  </si>
  <si>
    <t>adebayoadewale1983@gmail.com</t>
  </si>
  <si>
    <t>Bashir Saidu Abe</t>
  </si>
  <si>
    <t>sirabebashir@gmail.com</t>
  </si>
  <si>
    <t>IJalade Sunkanmi Mıcheal</t>
  </si>
  <si>
    <t>ijaladem@yahoo.com</t>
  </si>
  <si>
    <t>Medinat Akanbi</t>
  </si>
  <si>
    <t>medinatakanbi2@yahoo.com</t>
  </si>
  <si>
    <t>Paul Tipson</t>
  </si>
  <si>
    <t>paultipson120@gmail.com</t>
  </si>
  <si>
    <t>Doe Kure</t>
  </si>
  <si>
    <t>doe.kure@gmail.com</t>
  </si>
  <si>
    <t>Kenneth Lokosi</t>
  </si>
  <si>
    <t>babakento4real@yahoo.com</t>
  </si>
  <si>
    <t>Kazeem Balogun</t>
  </si>
  <si>
    <t>carsimtosin@yahoo.com</t>
  </si>
  <si>
    <t>Mercy Ben Nelson</t>
  </si>
  <si>
    <t>mescoa@yahoo.com</t>
  </si>
  <si>
    <t>Muhammad Sani Ibrahim</t>
  </si>
  <si>
    <t>emess26@gmail.com</t>
  </si>
  <si>
    <t>Suleiman Fitted</t>
  </si>
  <si>
    <t>zynab536@gmail.com</t>
  </si>
  <si>
    <t>Taiwo Animasaun Folarin</t>
  </si>
  <si>
    <t>taiwofolarin2016@gmail.com</t>
  </si>
  <si>
    <t>Bankole Akinfolarin</t>
  </si>
  <si>
    <t>bankyfolarin@gmail.com</t>
  </si>
  <si>
    <t>Mohammed Adamu Garba</t>
  </si>
  <si>
    <t>unclemomeh@yahoo.com</t>
  </si>
  <si>
    <t>Clement Jacob</t>
  </si>
  <si>
    <t>clejmie@yahoo.com</t>
  </si>
  <si>
    <t>Aliblag Monatan</t>
  </si>
  <si>
    <t>popson1010@gmail.com</t>
  </si>
  <si>
    <t>Banire Buniyamin Alalaye</t>
  </si>
  <si>
    <t>drbanire@yahoo.com</t>
  </si>
  <si>
    <t>Tosin Isaac</t>
  </si>
  <si>
    <t>oluwatosinisaac21@yahoo.com</t>
  </si>
  <si>
    <t>Agbaje Taofeek Ayobami</t>
  </si>
  <si>
    <t>ayobamiagbaje19@gmail.com</t>
  </si>
  <si>
    <t>Bosun Kayode Lawal</t>
  </si>
  <si>
    <t>kayodelawal62@yahoo.com</t>
  </si>
  <si>
    <t>Tunde Abereowo</t>
  </si>
  <si>
    <t>abereowotunde@yahoo.com</t>
  </si>
  <si>
    <t>Sunusi Mamuda</t>
  </si>
  <si>
    <t>Sunusimamuda5@gmail.com</t>
  </si>
  <si>
    <t>Micheal Emmy Amana</t>
  </si>
  <si>
    <t>emmanuelamana37@gmail.com</t>
  </si>
  <si>
    <t>Mufutau Ola</t>
  </si>
  <si>
    <t>momtech4u@gmail.com</t>
  </si>
  <si>
    <t>Chinyere Idam</t>
  </si>
  <si>
    <t>chinyereidam1@gmail.com</t>
  </si>
  <si>
    <t>Habibu Yahaya</t>
  </si>
  <si>
    <t>habibuyahaya8@gmail.com</t>
  </si>
  <si>
    <t>John Faosheke</t>
  </si>
  <si>
    <t>keystonetour@yahoo.com</t>
  </si>
  <si>
    <t>Shodehinde Shola Anuoluwapo</t>
  </si>
  <si>
    <t>sholaolutade@yahoo.com</t>
  </si>
  <si>
    <t>Jafar Umar Karkarku</t>
  </si>
  <si>
    <t>umarjafark3@gmail.com</t>
  </si>
  <si>
    <t>Maryam Danjaki</t>
  </si>
  <si>
    <t>mdanjaki@gmail.com</t>
  </si>
  <si>
    <t>Kayode Kusoro</t>
  </si>
  <si>
    <t>kayodekusoro@gmail.com</t>
  </si>
  <si>
    <t>Tosin Olorunsola</t>
  </si>
  <si>
    <t>olorunsolatosin15@gmail.com</t>
  </si>
  <si>
    <t>Daniel Ekpa</t>
  </si>
  <si>
    <t>daniel_ekpa@yahoo.com</t>
  </si>
  <si>
    <t>Abdulhafeez Bajulaiye</t>
  </si>
  <si>
    <t>abdulhafeezbajulaiye52@gmail.com</t>
  </si>
  <si>
    <t>Deola Rasaq</t>
  </si>
  <si>
    <t>deolarasaq83@gmall.com</t>
  </si>
  <si>
    <t>James Olusegun Oke</t>
  </si>
  <si>
    <t>jooke72@yahoo.com</t>
  </si>
  <si>
    <t>Yusuf Garba Maitaya</t>
  </si>
  <si>
    <t>maitayagarbayusuf@gmail.com</t>
  </si>
  <si>
    <t>Solomon Babatunde Amos</t>
  </si>
  <si>
    <t>babastevo26@gmail.com</t>
  </si>
  <si>
    <t>Mbnet Muhammad Busiree</t>
  </si>
  <si>
    <t>busiree@yahoo.com</t>
  </si>
  <si>
    <t>Koughna Msugh</t>
  </si>
  <si>
    <t>designgroup31@gmail.com</t>
  </si>
  <si>
    <t>Simon Dachung</t>
  </si>
  <si>
    <t>dachungsimon@gmail.com</t>
  </si>
  <si>
    <t>Florence Amaka</t>
  </si>
  <si>
    <t>florenceamaka09@gmail.com</t>
  </si>
  <si>
    <t>Peter Ifeanyi Osadebe</t>
  </si>
  <si>
    <t>princekelly2010@gmail.com</t>
  </si>
  <si>
    <t>Ozioma Uzot</t>
  </si>
  <si>
    <t>oziomauzor6@gmail.com</t>
  </si>
  <si>
    <t>Abdullahi Abubakar Kurawa</t>
  </si>
  <si>
    <t>kurawa77@gmail.com</t>
  </si>
  <si>
    <t>Daramola Comfort</t>
  </si>
  <si>
    <t>comfortdaagbolo@gmail.com</t>
  </si>
  <si>
    <t>Benson Idoro</t>
  </si>
  <si>
    <t>bensonidoro@gmail.com</t>
  </si>
  <si>
    <t>Hafsat Aminu</t>
  </si>
  <si>
    <t>haphcy@hotmail.com</t>
  </si>
  <si>
    <t>Nuel Zenos Izu</t>
  </si>
  <si>
    <t>nuelzenosizu@gmail.com</t>
  </si>
  <si>
    <t>Nwatu Sunday Anosike</t>
  </si>
  <si>
    <t>anosikebrown@gmail.com</t>
  </si>
  <si>
    <t>Àjànàkú Amos</t>
  </si>
  <si>
    <t>ar.ajanaku@yahoo.com</t>
  </si>
  <si>
    <t>Emma Itam</t>
  </si>
  <si>
    <t>emmaitam@yahoo.com</t>
  </si>
  <si>
    <t>Alh Buhari Bawa Kamba</t>
  </si>
  <si>
    <t>bkamba60@gmail.com</t>
  </si>
  <si>
    <t>Jafar Abdulsemiu</t>
  </si>
  <si>
    <t>jabdulsemiu@gmail.com</t>
  </si>
  <si>
    <t>Justice Osesmaxy Eromokhodion</t>
  </si>
  <si>
    <t>maxossy1@gmail.com</t>
  </si>
  <si>
    <t>Aminu Suleiman</t>
  </si>
  <si>
    <t>mondialinter@yahoo.com</t>
  </si>
  <si>
    <t>James Rubotoba</t>
  </si>
  <si>
    <t>jamesrubotoba@yahoo.com</t>
  </si>
  <si>
    <t>Samson Ugbedeojo Anthony</t>
  </si>
  <si>
    <t>serm4christ39@yahoo.com</t>
  </si>
  <si>
    <t>Aghedo Clement</t>
  </si>
  <si>
    <t>Aghedoclement39@gmail.com</t>
  </si>
  <si>
    <t>Ibrahim Isa Buba</t>
  </si>
  <si>
    <t>ibrahimisahbuba@gmail.com</t>
  </si>
  <si>
    <t>Prince Chris Muye</t>
  </si>
  <si>
    <t>cmuye1@yahoo.co.uk</t>
  </si>
  <si>
    <t>Obed Okonji</t>
  </si>
  <si>
    <t>obedokonji2018@gmail.com</t>
  </si>
  <si>
    <t>Labaran Kura</t>
  </si>
  <si>
    <t>lbnakura@yahoo.com</t>
  </si>
  <si>
    <t>Nellyjane Amaka Nwakasi</t>
  </si>
  <si>
    <t>nellyjaneamakanwakai@gmail.com</t>
  </si>
  <si>
    <t>Aminu Ibrahim</t>
  </si>
  <si>
    <t>aminuibrahim19@yahoo.com</t>
  </si>
  <si>
    <t>Aro-lambo Olakunle Omofolawe</t>
  </si>
  <si>
    <t>tfash25@yahoo.com</t>
  </si>
  <si>
    <t>Inuwa Dawha</t>
  </si>
  <si>
    <t>dawhainuwa83@gmail.com</t>
  </si>
  <si>
    <t>Alimi Afeez</t>
  </si>
  <si>
    <t>afeezalimi01@outlook.com</t>
  </si>
  <si>
    <t>Giwa Farouk Adedeji</t>
  </si>
  <si>
    <t>tundefarouk@yahoo.com</t>
  </si>
  <si>
    <t>Jephthah Buba</t>
  </si>
  <si>
    <t>bubajephthah@gmail.com</t>
  </si>
  <si>
    <t>Murtala Mohammed</t>
  </si>
  <si>
    <t>murmo23@yahoo.com</t>
  </si>
  <si>
    <t>Ibraheem Kabeer Yahya</t>
  </si>
  <si>
    <t>ibrahimkabiryahaya@gmail.com</t>
  </si>
  <si>
    <t>Kamilu Saidu</t>
  </si>
  <si>
    <t>kamilusaidu@gmail.com</t>
  </si>
  <si>
    <t>Baballe Saeed</t>
  </si>
  <si>
    <t>sanisaeed24@gmail.com</t>
  </si>
  <si>
    <t>Dalhat Idris Babandady</t>
  </si>
  <si>
    <t>dammama2009@yahoo.com</t>
  </si>
  <si>
    <t>Aminu Umar</t>
  </si>
  <si>
    <t>Abbanislam656@gamil.com</t>
  </si>
  <si>
    <t>Ibrahim Ali Pindar</t>
  </si>
  <si>
    <t>ali4ibraim@gmail.com</t>
  </si>
  <si>
    <t>Andy Nwabunwanne</t>
  </si>
  <si>
    <t>andyanikpe2@gmail.com</t>
  </si>
  <si>
    <t>Musa Bilkisu Bilado</t>
  </si>
  <si>
    <t>bilado4gold@gmail.com</t>
  </si>
  <si>
    <t>Buhari Sani Muhammad</t>
  </si>
  <si>
    <t>mbsani77@gmail.com</t>
  </si>
  <si>
    <t>Oluwaseun Femi Owoeye</t>
  </si>
  <si>
    <t>akandeashanti@yahoo.com</t>
  </si>
  <si>
    <t>Ibrahim Ali Kachalla</t>
  </si>
  <si>
    <t>alikachallaibrahim@yahoo.com</t>
  </si>
  <si>
    <t>Ariyo Oluvictor</t>
  </si>
  <si>
    <t>arivic2@yahoo.com</t>
  </si>
  <si>
    <t>Adams Bitrus</t>
  </si>
  <si>
    <t>adamsbitrusadams@gmail.com</t>
  </si>
  <si>
    <t>Ibrahim Sani</t>
  </si>
  <si>
    <t>babajisani10@gmail.com</t>
  </si>
  <si>
    <t>Timothy Opeyemi</t>
  </si>
  <si>
    <t>olowobesetimothy@yhool.com</t>
  </si>
  <si>
    <t>Prince Adewunmi Lawal</t>
  </si>
  <si>
    <t>wunmilove007@gmail.com</t>
  </si>
  <si>
    <t>Muhammad Gaddafi</t>
  </si>
  <si>
    <t>mgaddafi053@gmail.com</t>
  </si>
  <si>
    <t>Emmanuel Iranyang Yakubu</t>
  </si>
  <si>
    <t>iranyangy@yahoo.com</t>
  </si>
  <si>
    <t>Ukweneze Princewill</t>
  </si>
  <si>
    <t>ukwenezeprincewill@yahoo.com</t>
  </si>
  <si>
    <t>Innocent Obam</t>
  </si>
  <si>
    <t>obaminnocent@yahoo.com</t>
  </si>
  <si>
    <t>Awoniyi Isiaq Jimoh</t>
  </si>
  <si>
    <t>awoniyiisiaq101@gmail.com</t>
  </si>
  <si>
    <t>Olawunmi Ibraheem Omoyayi</t>
  </si>
  <si>
    <t>olawunmiibraheem@yahoo.com</t>
  </si>
  <si>
    <t>Okorie Ugochukwu</t>
  </si>
  <si>
    <t>okorieugochukwu2020@gmail.com</t>
  </si>
  <si>
    <t>Tella Ayodeji</t>
  </si>
  <si>
    <t>tella_ayodeji@yahoo.com</t>
  </si>
  <si>
    <t>Abdallah Dawud</t>
  </si>
  <si>
    <t>abdollahidauda442@gmail.com</t>
  </si>
  <si>
    <t>Bash Temitope</t>
  </si>
  <si>
    <t>cleopatra968@yahoo.com</t>
  </si>
  <si>
    <t>Rabiu Garba</t>
  </si>
  <si>
    <t>rgarba12@gmail.com</t>
  </si>
  <si>
    <t>Umar Muhammad Katamba</t>
  </si>
  <si>
    <t>katambaumaralfarooq@gmail.com</t>
  </si>
  <si>
    <t>Saidu Alhassan</t>
  </si>
  <si>
    <t>alhassandeba@yahoo.com</t>
  </si>
  <si>
    <t>Abubakar Ibrahim</t>
  </si>
  <si>
    <t>aiheemad@gmail.com</t>
  </si>
  <si>
    <t>Suwaiba Makarfi</t>
  </si>
  <si>
    <t>suwaibamakarfi@gmail.com</t>
  </si>
  <si>
    <t>Ezioma Ugonna</t>
  </si>
  <si>
    <t>onyenaliezioma4@gmail.com</t>
  </si>
  <si>
    <t>Akintubuwa Joseph</t>
  </si>
  <si>
    <t>josima90@gmail.com</t>
  </si>
  <si>
    <t>Akin Abimbola</t>
  </si>
  <si>
    <t>akinbimbo@yahoo.com</t>
  </si>
  <si>
    <t>Abdulkadir Imam</t>
  </si>
  <si>
    <t>abdulkadirusmanimam@gmail.com</t>
  </si>
  <si>
    <t>Zakariya'u Idris Adam</t>
  </si>
  <si>
    <t>ibnuidris57@gmail.com</t>
  </si>
  <si>
    <t>Bishop Ayobami Afolabi</t>
  </si>
  <si>
    <t>sonthol2009@yahoo.com</t>
  </si>
  <si>
    <t>Lade Crown Akingbade</t>
  </si>
  <si>
    <t>ladsonconsult@gmail.com</t>
  </si>
  <si>
    <t>Dave Nwonye</t>
  </si>
  <si>
    <t>nwonyed@gmail.com</t>
  </si>
  <si>
    <t>Khalil Idris</t>
  </si>
  <si>
    <t>khalilidris2025@gmail.com</t>
  </si>
  <si>
    <t>Agada Levi Paul</t>
  </si>
  <si>
    <t>agaschegbe@yahoo.com</t>
  </si>
  <si>
    <t>Mamman Mivanyi</t>
  </si>
  <si>
    <t>mmivanyi@gmail.com</t>
  </si>
  <si>
    <t>Ikeoha Frankzeal</t>
  </si>
  <si>
    <t>frankzeal@gmail.com</t>
  </si>
  <si>
    <t>Franklyn Ayobo sunny</t>
  </si>
  <si>
    <t>skynetfas@gmail.com</t>
  </si>
  <si>
    <t>Bamidele Olumide Olagoke</t>
  </si>
  <si>
    <t>superdbest2004@yahoo.com</t>
  </si>
  <si>
    <t>Kayode Adedeji</t>
  </si>
  <si>
    <t>jaykaynext@yahoo.com</t>
  </si>
  <si>
    <t>Adeyemi Dickson Adeniyi</t>
  </si>
  <si>
    <t>addickad2002@yahoo.com</t>
  </si>
  <si>
    <t>Niyi Oregbemi</t>
  </si>
  <si>
    <t>niyioregbemi@gmail.com</t>
  </si>
  <si>
    <t>Ahmad M Kaka</t>
  </si>
  <si>
    <t>kahmadm09@gmail.com</t>
  </si>
  <si>
    <t>Fakanbi Afolabi Abayomi</t>
  </si>
  <si>
    <t>ogefolafunmi@yahoo.com</t>
  </si>
  <si>
    <t>Mohd Ahmad Wabi</t>
  </si>
  <si>
    <t>abbajamaare@yahoo.com</t>
  </si>
  <si>
    <t>Emeka Jude Adogu</t>
  </si>
  <si>
    <t>jumeklink@gmail.com</t>
  </si>
  <si>
    <t>Angel Michael</t>
  </si>
  <si>
    <t>jokediamond0123@gmail.com</t>
  </si>
  <si>
    <t>Jamiu Ayo</t>
  </si>
  <si>
    <t>jamiu7113@gmail.com</t>
  </si>
  <si>
    <t>Muhammad Adamu Fari</t>
  </si>
  <si>
    <t>muhammadadamu40@yahoo.com</t>
  </si>
  <si>
    <t>Kubura Orukpe</t>
  </si>
  <si>
    <t>kubsy.orukpe@yahoo.com</t>
  </si>
  <si>
    <t>Adegoke Anthony Ronald</t>
  </si>
  <si>
    <t>tonimansnal@yahoo.com</t>
  </si>
  <si>
    <t>Jamil Tall</t>
  </si>
  <si>
    <t>jamiljiddantall@gmail.com</t>
  </si>
  <si>
    <t>Harbidemi Harderemi Kamoru Sodiq</t>
  </si>
  <si>
    <t>kamoruabidemi78@gmail.com</t>
  </si>
  <si>
    <t>Bashar Shamaki</t>
  </si>
  <si>
    <t>bshamaki1@yahoo.com</t>
  </si>
  <si>
    <t>Sani Ado Muhammad</t>
  </si>
  <si>
    <t>adomskk14@gmail.com</t>
  </si>
  <si>
    <t>Bashar Maianguwa</t>
  </si>
  <si>
    <t>basharmaianguwa@gmail.com</t>
  </si>
  <si>
    <t>Omotayo Williams</t>
  </si>
  <si>
    <t>omotayo_willy@yahoo.com</t>
  </si>
  <si>
    <t>Lulu Okotie</t>
  </si>
  <si>
    <t>lulukotie@yahoo.com</t>
  </si>
  <si>
    <t>Ugonma Raymond</t>
  </si>
  <si>
    <t>ugonmar@gmail.com</t>
  </si>
  <si>
    <t>Ifeoluwa Timothy Adeyemi</t>
  </si>
  <si>
    <t>loveadeyemi@yahoo.com</t>
  </si>
  <si>
    <t>Abdulhamid Saida Saidu</t>
  </si>
  <si>
    <t>hamidawa100@gmail.com</t>
  </si>
  <si>
    <t>Adewale J Oluwasegun</t>
  </si>
  <si>
    <t>walexinvestment@yahoo.co.uk</t>
  </si>
  <si>
    <t>Abubakar S. Bazuka</t>
  </si>
  <si>
    <t>asbazukassg@yahoo.com</t>
  </si>
  <si>
    <t>Hezeal James</t>
  </si>
  <si>
    <t>angeljames96@yahoo.com</t>
  </si>
  <si>
    <t>Ireyefoju Godwin</t>
  </si>
  <si>
    <t>gireyefoju@yahoo.com</t>
  </si>
  <si>
    <t>Andre Enyinnaya Agbai</t>
  </si>
  <si>
    <t>andreagbai@gmail.com</t>
  </si>
  <si>
    <t>Ismaila Rasaki</t>
  </si>
  <si>
    <t>ismailarasaki1973@gmail.com</t>
  </si>
  <si>
    <t>Mallal Bembe Jalloh</t>
  </si>
  <si>
    <t>jallohmallal@hotmail.com</t>
  </si>
  <si>
    <t>Bunmi Adeola</t>
  </si>
  <si>
    <t>bunmyy2k@yahoo.co.uk</t>
  </si>
  <si>
    <t>Isma'eel Khan Al-gezawy</t>
  </si>
  <si>
    <t>ismaeelkhan57@yahoo.com</t>
  </si>
  <si>
    <t>Simepiriye Samuel</t>
  </si>
  <si>
    <t>simesam65@gmail.com</t>
  </si>
  <si>
    <t>Elusanmi Isaac Olakunle</t>
  </si>
  <si>
    <t>elusanmiisaac@yahoo.com</t>
  </si>
  <si>
    <t>Bimbola Ogunshina Adelanwa</t>
  </si>
  <si>
    <t>bogunshina@yahoo.com</t>
  </si>
  <si>
    <t>Engr Nwankwor Toochukwu JP</t>
  </si>
  <si>
    <t>worldbizlink@gmail.com</t>
  </si>
  <si>
    <t>Patrick Ugan</t>
  </si>
  <si>
    <t>copipapy@yahoo.co.uk</t>
  </si>
  <si>
    <t>Richard Odafe</t>
  </si>
  <si>
    <t>richiereal48@yahoo.com</t>
  </si>
  <si>
    <t>Bernard Ofoma</t>
  </si>
  <si>
    <t>ofomabernard0@gmail.com</t>
  </si>
  <si>
    <t>Aliyu Garba Nura</t>
  </si>
  <si>
    <t>aliyugarba63@yahoo.com</t>
  </si>
  <si>
    <t>Okonkwo Chuks Bigboyh</t>
  </si>
  <si>
    <t>chukso919@gmail.com</t>
  </si>
  <si>
    <t>Obaroara Emorere Obaroara</t>
  </si>
  <si>
    <t>rounadavis@gmail.com</t>
  </si>
  <si>
    <t>Goodluck Omosco Innih</t>
  </si>
  <si>
    <t>goodluckomoscoinnih@gmail.com</t>
  </si>
  <si>
    <t>Mohammed Yunusa</t>
  </si>
  <si>
    <t>mohammedyunusaliman@gmil.com</t>
  </si>
  <si>
    <t>Raju Kutty</t>
  </si>
  <si>
    <t>Rajukutty@elalam.com</t>
  </si>
  <si>
    <t>Lawal Abimbola Abidemi</t>
  </si>
  <si>
    <t>trainozzini73@gmail.com</t>
  </si>
  <si>
    <t>Fayemi Gbenga</t>
  </si>
  <si>
    <t>gbenga.fayemi188@gmail.com</t>
  </si>
  <si>
    <t>David George</t>
  </si>
  <si>
    <t>donhero2g2@gmail.com</t>
  </si>
  <si>
    <t>Liman A Goje</t>
  </si>
  <si>
    <t>limangoje@gmail.com</t>
  </si>
  <si>
    <t>Osho Olawale</t>
  </si>
  <si>
    <t>olawaleosho65@gmail.com</t>
  </si>
  <si>
    <t>Lanre Ogunnoiki</t>
  </si>
  <si>
    <t>ogunnoiki@yahoo.com</t>
  </si>
  <si>
    <t>Jonathan Olakunle Olanlokun</t>
  </si>
  <si>
    <t>jonithechangeagent@gmail.com</t>
  </si>
  <si>
    <t>Ayo Segilola</t>
  </si>
  <si>
    <t>oatsegilola@gmail.com</t>
  </si>
  <si>
    <t>Ridwan Olalekan</t>
  </si>
  <si>
    <t>ridwanolalekan90@gmail.com</t>
  </si>
  <si>
    <t>Adamu Sabo Baba</t>
  </si>
  <si>
    <t>abbanumma1988@gmail.com</t>
  </si>
  <si>
    <t>Olusegun Tony Akintelure</t>
  </si>
  <si>
    <t>shigogous@yahoo.com</t>
  </si>
  <si>
    <t>Deacon James Olabamidele</t>
  </si>
  <si>
    <t>ola2233445@gmail.com</t>
  </si>
  <si>
    <t>Prince Danjuma Akut</t>
  </si>
  <si>
    <t>danjumaakut@ymail.com</t>
  </si>
  <si>
    <t>Balogun Olawale Kazeem</t>
  </si>
  <si>
    <t>whalelink2614@gmail.com</t>
  </si>
  <si>
    <t>Prince Celestine Okechukwu</t>
  </si>
  <si>
    <t>princecelestine86@gmail.com</t>
  </si>
  <si>
    <t>Peter Jewel</t>
  </si>
  <si>
    <t>jimarmstrong36@yahoo.com</t>
  </si>
  <si>
    <t>Awotipe Stephen</t>
  </si>
  <si>
    <t>awotipestephen@yahoo.com</t>
  </si>
  <si>
    <t>Abraham Olumese</t>
  </si>
  <si>
    <t>drabrahamolumese@yahoo.com</t>
  </si>
  <si>
    <t>Sarah Ogundokun</t>
  </si>
  <si>
    <t>omobayoogundokun@gmail.com</t>
  </si>
  <si>
    <t>Adeyinka Holuwasegun Joe</t>
  </si>
  <si>
    <t>Joeadeyinka@gmail.com</t>
  </si>
  <si>
    <t>Chioma Nickky</t>
  </si>
  <si>
    <t>kchigal@yahoo.com</t>
  </si>
  <si>
    <t>Hussain Kolawole S</t>
  </si>
  <si>
    <t>salaudeenhussain@gmail.com</t>
  </si>
  <si>
    <t>Dauda Lamaran</t>
  </si>
  <si>
    <t>dlamaran001@gmail.com</t>
  </si>
  <si>
    <t>Okworogwo Chiedozie Solomon</t>
  </si>
  <si>
    <t>pankadee@gmail.com</t>
  </si>
  <si>
    <t>Mohammed Abubakar</t>
  </si>
  <si>
    <t>mohammedabubakar605@gmail.com</t>
  </si>
  <si>
    <t>Otun Idris</t>
  </si>
  <si>
    <t>citysideinvestment@gmail.com</t>
  </si>
  <si>
    <t>Yahaya Abdulsalam Sakwa</t>
  </si>
  <si>
    <t>yahayasakwa66@outlook.com</t>
  </si>
  <si>
    <t>Charles Owagbemi</t>
  </si>
  <si>
    <t>charles_infotech11@yahoo.com</t>
  </si>
  <si>
    <t>Moses Oyarekhua Omokpo</t>
  </si>
  <si>
    <t>mosesoyarekhuaomokpo@gmail.com</t>
  </si>
  <si>
    <t>Jamiu Oladimji</t>
  </si>
  <si>
    <t>olamiola77@gmail.com</t>
  </si>
  <si>
    <t>Mansur Musa Jega</t>
  </si>
  <si>
    <t>jegamansir@gmail.com</t>
  </si>
  <si>
    <t>Temitope Ayodeji</t>
  </si>
  <si>
    <t>temitopeayodeji86@gmail.com</t>
  </si>
  <si>
    <t>Gbolahan Olatunji</t>
  </si>
  <si>
    <t>gbolahantunji309@gmail.com</t>
  </si>
  <si>
    <t>Ifeanyichukwu Abaelu</t>
  </si>
  <si>
    <t>charlesgabb1@yahoo.com</t>
  </si>
  <si>
    <t>Omeke Daniel Ekene</t>
  </si>
  <si>
    <t>Omekedaniele@gmail.com</t>
  </si>
  <si>
    <t>Nwachukwu Nicolas</t>
  </si>
  <si>
    <t>nwachukwunicolas@yahoo.com</t>
  </si>
  <si>
    <t>Benjamin Onigbinde</t>
  </si>
  <si>
    <t>onigbindebenj@yahoo.com</t>
  </si>
  <si>
    <t>Olajumoke Kazeem</t>
  </si>
  <si>
    <t>olakas2010@yahoo.com</t>
  </si>
  <si>
    <t>Omonowo Onimisi Pms</t>
  </si>
  <si>
    <t>onixland@yahoo.com</t>
  </si>
  <si>
    <t>Mr Michael E S Kpogbara</t>
  </si>
  <si>
    <t>triedstone1@gmail.com</t>
  </si>
  <si>
    <t>M Abubakar M DS</t>
  </si>
  <si>
    <t>agrokt@yahoo.com</t>
  </si>
  <si>
    <t>Geoffrey N Akam</t>
  </si>
  <si>
    <t>ntomtonako@yahoo.com</t>
  </si>
  <si>
    <t>Oluwafunmilayo Peace Oladapo</t>
  </si>
  <si>
    <t>funmiolad@yahoo.com</t>
  </si>
  <si>
    <t>Agim Chibueze Chisco</t>
  </si>
  <si>
    <t>chiscocurtains@yahoo.com</t>
  </si>
  <si>
    <t>Muktar Isa</t>
  </si>
  <si>
    <t>plannerisa@yahoo.com</t>
  </si>
  <si>
    <t>Oladayo Dyson Ogunbanwo</t>
  </si>
  <si>
    <t>okeyemif@gmail.com</t>
  </si>
  <si>
    <t>Muhammad Abdu Mustapha</t>
  </si>
  <si>
    <t>muhdmust27@gmail.com</t>
  </si>
  <si>
    <t>Hajara Garba-Omotosho</t>
  </si>
  <si>
    <t>hajo_01@yahoo.com</t>
  </si>
  <si>
    <t>Kellu Abuna Jidda</t>
  </si>
  <si>
    <t>abunakellu@gmail.com</t>
  </si>
  <si>
    <t>Malami Waziri</t>
  </si>
  <si>
    <t>malamsbg@gmail.com</t>
  </si>
  <si>
    <t>Miswar Lawan</t>
  </si>
  <si>
    <t>Muswarulawan@gmail.com</t>
  </si>
  <si>
    <t>Experiencekaduna TVshow</t>
  </si>
  <si>
    <t>experiencekaduna@gmail.com</t>
  </si>
  <si>
    <t>Solomon Margima Nyamdus</t>
  </si>
  <si>
    <t>nyamdus@gmail.com</t>
  </si>
  <si>
    <t>Engr Okey Irechukwu</t>
  </si>
  <si>
    <t>okeysonsteel@gmail.com</t>
  </si>
  <si>
    <t>Prince Apata Samson Nunayon</t>
  </si>
  <si>
    <t>honapatasamson@gmail.com</t>
  </si>
  <si>
    <t>Halliru Musa Usman</t>
  </si>
  <si>
    <t>khidirmusa57@yahoo.com</t>
  </si>
  <si>
    <t>Fadeyi Biola</t>
  </si>
  <si>
    <t>hayobiola@gmail.com</t>
  </si>
  <si>
    <t>Lawal Olawale Taofik</t>
  </si>
  <si>
    <t>lawalolawaletaofik@gmail.com</t>
  </si>
  <si>
    <t>Joel Yerima Ahmadu</t>
  </si>
  <si>
    <t>joelhurp743@gmail.com</t>
  </si>
  <si>
    <t>Jerry Weltar</t>
  </si>
  <si>
    <t>jerryweltar@yahoo.com</t>
  </si>
  <si>
    <t>Olalere Babatunde Damacoss</t>
  </si>
  <si>
    <t>Samsontunde1986@gmail.com</t>
  </si>
  <si>
    <t>Shodunke Abiodun Edward</t>
  </si>
  <si>
    <t>shodunkeabiodun2013@gmail.com</t>
  </si>
  <si>
    <t>Muritala Abiola Amole</t>
  </si>
  <si>
    <t>Muritalamole77@gmail.com</t>
  </si>
  <si>
    <t>Richard Oyeola</t>
  </si>
  <si>
    <t>richola1@rocketmail.com</t>
  </si>
  <si>
    <t>Benslick Ewa Ukam</t>
  </si>
  <si>
    <t>benslickewa@yahoo.com</t>
  </si>
  <si>
    <t>Ajayi Eben</t>
  </si>
  <si>
    <t>ebenezeajayi81@gmail.com</t>
  </si>
  <si>
    <t>Abbas Aliyu Tafida</t>
  </si>
  <si>
    <t>tafidaa@gmail.com</t>
  </si>
  <si>
    <t>Bashir Dalhatu</t>
  </si>
  <si>
    <t>Bashds82@gmail.com</t>
  </si>
  <si>
    <t>Jeremy Desmond Woyens-Ymm</t>
  </si>
  <si>
    <t>woyens@gmail.com</t>
  </si>
  <si>
    <t>Real Auwal Abdul</t>
  </si>
  <si>
    <t>aauwalu17@gmail.com</t>
  </si>
  <si>
    <t>Ogunwoye Jamiu Olabode</t>
  </si>
  <si>
    <t>jamiuogunwoye2@yahoo.com</t>
  </si>
  <si>
    <t>Akin-dada Oladoyin</t>
  </si>
  <si>
    <t>doyen777@yahoo.com</t>
  </si>
  <si>
    <t>Omobolaji Adebayo Kasumu</t>
  </si>
  <si>
    <t>adebayokasumu@yahoo.com</t>
  </si>
  <si>
    <t>Sophia Angel Khan</t>
  </si>
  <si>
    <t>sophi004@yahoo.com</t>
  </si>
  <si>
    <t>Ayobami Timilehin John</t>
  </si>
  <si>
    <t>asodat500@yahoo.com</t>
  </si>
  <si>
    <t>Omorowa Henry Heron</t>
  </si>
  <si>
    <t>davhenry4clints@gmail.com</t>
  </si>
  <si>
    <t>Sarheedy Harjanny</t>
  </si>
  <si>
    <t>sao4suo@gmail.com</t>
  </si>
  <si>
    <t>Samson Anthoyny</t>
  </si>
  <si>
    <t>samrock4fun@yahoo.com</t>
  </si>
  <si>
    <t>Toyosi Azeez</t>
  </si>
  <si>
    <t>toyosiazeez47@gmail.com</t>
  </si>
  <si>
    <t>Sabiu Abdullahi</t>
  </si>
  <si>
    <t>sabiu44@gmail.com</t>
  </si>
  <si>
    <t>Abubakar Suleiman</t>
  </si>
  <si>
    <t>Ayoola david Oladipupo</t>
  </si>
  <si>
    <t>ayooladavid373@yahoo.com</t>
  </si>
  <si>
    <t>Ogedengbe Ayodele Monday</t>
  </si>
  <si>
    <t>lordmonday1@yahoo.com</t>
  </si>
  <si>
    <t>Yusuf Makadas Ishaku</t>
  </si>
  <si>
    <t>yusuf30agric1980@gmail.com</t>
  </si>
  <si>
    <t>Muttaqa Almustapha</t>
  </si>
  <si>
    <t>malmustapha180@gmail.com</t>
  </si>
  <si>
    <t>Gabriel Hope Idy</t>
  </si>
  <si>
    <t>hope_pel@yahoo.com</t>
  </si>
  <si>
    <t>Sunil Bhardwaj</t>
  </si>
  <si>
    <t>callmesunny@gmail.com</t>
  </si>
  <si>
    <t>Igbokwe Onyedikachi Michael</t>
  </si>
  <si>
    <t>bboy260@yahoo.com</t>
  </si>
  <si>
    <t>Rose Itoko Amadi</t>
  </si>
  <si>
    <t>itokorose@gmail.com</t>
  </si>
  <si>
    <t>Franck Cédric</t>
  </si>
  <si>
    <t>ckame@hotmail.fr</t>
  </si>
  <si>
    <t>Edward Ademu Prince</t>
  </si>
  <si>
    <t>prince24eddy@gmail.com</t>
  </si>
  <si>
    <t>Anacodike Word Wide</t>
  </si>
  <si>
    <t>anacodike3@gmail.com</t>
  </si>
  <si>
    <t>emanchuks@yahoo.com</t>
  </si>
  <si>
    <t>Edward Oko Odey</t>
  </si>
  <si>
    <t>eddymanapril@gmail.com</t>
  </si>
  <si>
    <t>Nasir Garba Goronyo</t>
  </si>
  <si>
    <t>abubakarn622@mail.com</t>
  </si>
  <si>
    <t>Bukola Olayemi Mariam</t>
  </si>
  <si>
    <t>bukolaolayemi82@gmail.com</t>
  </si>
  <si>
    <t>George H Emmanuel</t>
  </si>
  <si>
    <t>jshanges_nigltd@yahoo.com</t>
  </si>
  <si>
    <t>Samuel Olanrewaju Bill</t>
  </si>
  <si>
    <t>samolabill@gmail.com</t>
  </si>
  <si>
    <t>Ade Mich</t>
  </si>
  <si>
    <t>seyeade8@gmail.com</t>
  </si>
  <si>
    <t>Bassey Smith</t>
  </si>
  <si>
    <t>basseysmith.s36@gmail.com</t>
  </si>
  <si>
    <t>Oyelude Oyefemi Maruff</t>
  </si>
  <si>
    <t>korreharmonynigltd@gmail.com</t>
  </si>
  <si>
    <t>Abiola Oluwafemi Micheal</t>
  </si>
  <si>
    <t>otunbabiola@yahoo.com</t>
  </si>
  <si>
    <t>Fabeke Douglas</t>
  </si>
  <si>
    <t>fbkdouglas@yahoo.com</t>
  </si>
  <si>
    <t>Olutope Olufisayo</t>
  </si>
  <si>
    <t>payment.comm@yahoo.com</t>
  </si>
  <si>
    <t>Azeez Ismail Arekemase</t>
  </si>
  <si>
    <t>a.arekemase@yahoo.com</t>
  </si>
  <si>
    <t>Abubakar Sadiq Ahmad</t>
  </si>
  <si>
    <t>karasuwa292@gmail.com</t>
  </si>
  <si>
    <t>Olanrewaju S Olaoluwa Razaq</t>
  </si>
  <si>
    <t>razaqsanni40@gmail.com</t>
  </si>
  <si>
    <t>Emmanuel Okoroafor</t>
  </si>
  <si>
    <t>yongbills@gmail.com</t>
  </si>
  <si>
    <t>Nwankwo Ekene</t>
  </si>
  <si>
    <t>ekenekenneth186@yahoo.com</t>
  </si>
  <si>
    <t>Isa Maruf Abiodun</t>
  </si>
  <si>
    <t>murphy_slot@yahoo.com</t>
  </si>
  <si>
    <t>Munis Munis Temidayo</t>
  </si>
  <si>
    <t>temidayomunis7@yahoo.com</t>
  </si>
  <si>
    <t>Dasola Aregbesola</t>
  </si>
  <si>
    <t>dasolaaregbesola@gmail.com</t>
  </si>
  <si>
    <t>Howells Adeyinka</t>
  </si>
  <si>
    <t>lifeslesson2000@yahoo.com</t>
  </si>
  <si>
    <t>Oluso Agboola Babalola</t>
  </si>
  <si>
    <t>olushobabalola11@gmail.com</t>
  </si>
  <si>
    <t>Kabir Ali Muhammed</t>
  </si>
  <si>
    <t>kabirumali@yahoo.com</t>
  </si>
  <si>
    <t>Sanjo Alausa</t>
  </si>
  <si>
    <t>sanjoadewale18@gmail.com</t>
  </si>
  <si>
    <t>Bose vafeidis</t>
  </si>
  <si>
    <t>bosule52@gmail.com</t>
  </si>
  <si>
    <t>Al Amin Oteda</t>
  </si>
  <si>
    <t>ameengo15@gmail.com</t>
  </si>
  <si>
    <t>Ahmed</t>
  </si>
  <si>
    <t>ahmedbello862@gmail.com</t>
  </si>
  <si>
    <t>Olugbenga Samuel Ogunsanmi</t>
  </si>
  <si>
    <t>olugbengasamuel44@gmail.com</t>
  </si>
  <si>
    <t>Adedeji Adedire</t>
  </si>
  <si>
    <t>adedireadedeji1@gmail.com</t>
  </si>
  <si>
    <t>Abraham Kwamta Namaski</t>
  </si>
  <si>
    <t>abrahamnamaski28@gmail.com</t>
  </si>
  <si>
    <t>Ashley Nwachukwu</t>
  </si>
  <si>
    <t>nwachukwuuzo24@gmail.com</t>
  </si>
  <si>
    <t>Anuoluwapo Agbeye Adelowo</t>
  </si>
  <si>
    <t>aanuchristy@yahoo.com</t>
  </si>
  <si>
    <t>Kosoko Temitope</t>
  </si>
  <si>
    <t>kosokoabdulganiyu@gmail.com</t>
  </si>
  <si>
    <t>Blessings Dozie</t>
  </si>
  <si>
    <t>bebepals@yahoo.com</t>
  </si>
  <si>
    <t>Ethel Chidinma Udemba</t>
  </si>
  <si>
    <t>udembaethel@gmail.com</t>
  </si>
  <si>
    <t>Ahmed Ladan-Baki</t>
  </si>
  <si>
    <t>ladanbaki@hotmail.com</t>
  </si>
  <si>
    <t>Ndagimba Ruth</t>
  </si>
  <si>
    <t>ndagimbajumi@gmail.com</t>
  </si>
  <si>
    <t>Miftah Adesina</t>
  </si>
  <si>
    <t>miftahziz@yahoo.co.uk</t>
  </si>
  <si>
    <t>Aminu Adamu</t>
  </si>
  <si>
    <t>alaminsheikh1976@gmail.com</t>
  </si>
  <si>
    <t>Folashade Faleke Eyong</t>
  </si>
  <si>
    <t>shadyflk@yahoo.co.uk</t>
  </si>
  <si>
    <t>Maigari Shedrack Dominic</t>
  </si>
  <si>
    <t>maigari_wahala@yahoo.com</t>
  </si>
  <si>
    <t>Olusoji Taiwo and co</t>
  </si>
  <si>
    <t>infoolusojitaiwoandco@gmail.com</t>
  </si>
  <si>
    <t>Godson Nnamdi</t>
  </si>
  <si>
    <t>nnamdigodson765@gmail.com</t>
  </si>
  <si>
    <t>Dominick Osim</t>
  </si>
  <si>
    <t>dochuna@yahoo.com</t>
  </si>
  <si>
    <t>Chioma Dikeocha</t>
  </si>
  <si>
    <t>dscsandra90@gmail.com</t>
  </si>
  <si>
    <t>Md Abiodun Lawal</t>
  </si>
  <si>
    <t>otunba1101@yahoo.com</t>
  </si>
  <si>
    <t>Shadrach Peter</t>
  </si>
  <si>
    <t>shadrachpeter290@gmail.com</t>
  </si>
  <si>
    <t>Adefowora Malik</t>
  </si>
  <si>
    <t>tundeadefowora@yahoo.com</t>
  </si>
  <si>
    <t>Kenneth Obinna</t>
  </si>
  <si>
    <t>kennihansum@gmail.com</t>
  </si>
  <si>
    <t>Joel Yaduma</t>
  </si>
  <si>
    <t>Yaduma64@gmail.com</t>
  </si>
  <si>
    <t>Olorunlambe Adekunle</t>
  </si>
  <si>
    <t>obabami2010@yahoo.com</t>
  </si>
  <si>
    <t>bamiro michael adeoye joseph</t>
  </si>
  <si>
    <t>michaelbamiro@yahoo.com</t>
  </si>
  <si>
    <t>Tahir Aliyu</t>
  </si>
  <si>
    <t>tahiraliyu@gmail.com</t>
  </si>
  <si>
    <t>Igwe Juliet</t>
  </si>
  <si>
    <t>cutiehappiness@gmail.com</t>
  </si>
  <si>
    <t>Adepoju Adeola Taiwo</t>
  </si>
  <si>
    <t>ibidun1980@gmail.com</t>
  </si>
  <si>
    <t>Jimoh Lateef</t>
  </si>
  <si>
    <t>jimlathotel@yahoo.com</t>
  </si>
  <si>
    <t>Irene Onuoha</t>
  </si>
  <si>
    <t>ireneonuoha230@yahoo.com</t>
  </si>
  <si>
    <t>Mairo Habib</t>
  </si>
  <si>
    <t>mairohabib@yahoo.com</t>
  </si>
  <si>
    <t>Jamilu Ishaq</t>
  </si>
  <si>
    <t>jemil848@gmail.com</t>
  </si>
  <si>
    <t>Ameenat Shehu Usman Hamza</t>
  </si>
  <si>
    <t>ameenat_usman@yahoo.com</t>
  </si>
  <si>
    <t>Leye Afolabi</t>
  </si>
  <si>
    <t>leyeafolabi80@yahoo.com</t>
  </si>
  <si>
    <t>Erude Peace Ifeoma</t>
  </si>
  <si>
    <t>erudeifeoma3@gmail.com</t>
  </si>
  <si>
    <t>Chime Dukelington</t>
  </si>
  <si>
    <t>dmoneygrand@gmail.com</t>
  </si>
  <si>
    <t>Uju Success</t>
  </si>
  <si>
    <t>successsweet88@gmail.com</t>
  </si>
  <si>
    <t>Alli Bola</t>
  </si>
  <si>
    <t>bolaalli200@yahoo.com</t>
  </si>
  <si>
    <t>Okoh Clement</t>
  </si>
  <si>
    <t>clemokoh@gmail.com</t>
  </si>
  <si>
    <t>ThankGod Emenike</t>
  </si>
  <si>
    <t>kelly4sweet@gmail.com</t>
  </si>
  <si>
    <t>Ademola Taiwo</t>
  </si>
  <si>
    <t>ademolataiwo2012@yahoo.com</t>
  </si>
  <si>
    <t>Ann Ebere</t>
  </si>
  <si>
    <t>ebereann360@gmail.com</t>
  </si>
  <si>
    <t>pst_chibuzor@yahoo.com</t>
  </si>
  <si>
    <t>Muhammad Ibrahim</t>
  </si>
  <si>
    <t>momeib16@gmail.com</t>
  </si>
  <si>
    <t>Zainab Suleiman Baba</t>
  </si>
  <si>
    <t>zainabsbaba@gmail.com</t>
  </si>
  <si>
    <t>Jaycorb Kingniwa</t>
  </si>
  <si>
    <t>jacobbayoobaniwa@yahoo.com</t>
  </si>
  <si>
    <t>Eucharia Iche Awolegan</t>
  </si>
  <si>
    <t>uk4christ2k5@yahoo.com</t>
  </si>
  <si>
    <t>Christabel Ogechi</t>
  </si>
  <si>
    <t>christabeluvsbaby@yahoo.com</t>
  </si>
  <si>
    <t>Yahaya Abdulkadir</t>
  </si>
  <si>
    <t>midala431@gmail.com</t>
  </si>
  <si>
    <t>Evans Mccleon Carlton</t>
  </si>
  <si>
    <t>evansnosakha2@gmail.com</t>
  </si>
  <si>
    <t>James Naomi</t>
  </si>
  <si>
    <t>jamesnaomi745@yahoo.com</t>
  </si>
  <si>
    <t>Abu Tijani</t>
  </si>
  <si>
    <t>saidabu_tj@yahoo.com</t>
  </si>
  <si>
    <t>Emy Ben</t>
  </si>
  <si>
    <t>emyben97@gmail.com</t>
  </si>
  <si>
    <t>Kabiru Iliyasu Abdurrahman</t>
  </si>
  <si>
    <t>mkiglobalinvestment@gmail.com</t>
  </si>
  <si>
    <t>Racare Ahmed</t>
  </si>
  <si>
    <t>racareahmed@yahoo.com</t>
  </si>
  <si>
    <t>Dawodu Olaoluwa Olugbenro</t>
  </si>
  <si>
    <t>olaoluwa_3000@yahoo.com</t>
  </si>
  <si>
    <t>Henry Carsey Unuavworeyeya</t>
  </si>
  <si>
    <t>unuefehenry@yahoo.com</t>
  </si>
  <si>
    <t>Emmanuel Ezeocha</t>
  </si>
  <si>
    <t>circuitonme@yahoo.com</t>
  </si>
  <si>
    <t>Sadeeq Umar</t>
  </si>
  <si>
    <t>aumar9047@gmail.com</t>
  </si>
  <si>
    <t>Awojobi Ambali Abolore</t>
  </si>
  <si>
    <t>ifemi_80@yahoo.com</t>
  </si>
  <si>
    <t>Engr Oloyede Bamidele</t>
  </si>
  <si>
    <t>Oloyedebamidele1059@gmail.com</t>
  </si>
  <si>
    <t>Jonah Urang-york</t>
  </si>
  <si>
    <t>stepperskingdom@gmail.com</t>
  </si>
  <si>
    <t>Busayri Ismaeel</t>
  </si>
  <si>
    <t>busmail2016@gmail.com</t>
  </si>
  <si>
    <t>Godstime Ibhagbosoria</t>
  </si>
  <si>
    <t>godstimeceramics@yahoo.com</t>
  </si>
  <si>
    <t>Ifeanyi Amaraizu</t>
  </si>
  <si>
    <t>amaraizui@gmail.com</t>
  </si>
  <si>
    <t>Isaac Laughter</t>
  </si>
  <si>
    <t>laughterisaac377@gmail.com</t>
  </si>
  <si>
    <t>Idris Sardauna Musa</t>
  </si>
  <si>
    <t>sardauna322@gmail.com</t>
  </si>
  <si>
    <t>Banic Danamic Ragolis</t>
  </si>
  <si>
    <t>olarotimidauda@yahoo.com</t>
  </si>
  <si>
    <t>Muhammad Salisu Dahiru</t>
  </si>
  <si>
    <t>msdabuja@gmail.com</t>
  </si>
  <si>
    <t>Amenze Izeko</t>
  </si>
  <si>
    <t>mezekgood@yahoo.com</t>
  </si>
  <si>
    <t>Olawuyi Olushola David</t>
  </si>
  <si>
    <t>olawuyi_shola@yahoo.com</t>
  </si>
  <si>
    <t>Adekanmi Damilare Johnson</t>
  </si>
  <si>
    <t>damilarejohnson46@gmail.com</t>
  </si>
  <si>
    <t>Adejumo Adekunle Akeem</t>
  </si>
  <si>
    <t>a2zmulti@live.com</t>
  </si>
  <si>
    <t>Godspower Olanrewaju</t>
  </si>
  <si>
    <t>successdigitals@yahoo.com</t>
  </si>
  <si>
    <t>Ngozichukwu Umunna</t>
  </si>
  <si>
    <t>cocoanutcandle@gmail.com</t>
  </si>
  <si>
    <t>Khan Abdul Ghaffar Khan</t>
  </si>
  <si>
    <t>khan.abdull2011@gmail.com</t>
  </si>
  <si>
    <t>Arowojolu Banji</t>
  </si>
  <si>
    <t>stephen.arowojolu@yahoo.com</t>
  </si>
  <si>
    <t>Yahaya Jibrin</t>
  </si>
  <si>
    <t>chediyah2@gmail.com</t>
  </si>
  <si>
    <t>Ibrahim Baba</t>
  </si>
  <si>
    <t>babahussaini875@yahoo.com</t>
  </si>
  <si>
    <t>Orji Alexander Chinedu</t>
  </si>
  <si>
    <t>alexorji@yahoo.com</t>
  </si>
  <si>
    <t>Rasak Raji</t>
  </si>
  <si>
    <t>rasakraji1@gmail.com</t>
  </si>
  <si>
    <t>Oladimeji Ismail</t>
  </si>
  <si>
    <t>ismolad@gmail.com</t>
  </si>
  <si>
    <t>Onobruchere Oke Wise</t>
  </si>
  <si>
    <t>wizdavidson@yahoo.com</t>
  </si>
  <si>
    <t>Ify George</t>
  </si>
  <si>
    <t>lizhalainteriors@gmail.com</t>
  </si>
  <si>
    <t>Adefunke Akinyemi</t>
  </si>
  <si>
    <t>samkofo@gmail.com</t>
  </si>
  <si>
    <t>Henry Etim</t>
  </si>
  <si>
    <t>etimscorporate@gmail.com</t>
  </si>
  <si>
    <t>Toyin Lanre</t>
  </si>
  <si>
    <t>toyinajibewa@yahoo.com</t>
  </si>
  <si>
    <t>Onwumah Jude</t>
  </si>
  <si>
    <t>Smithhenry37419@yahoo.com</t>
  </si>
  <si>
    <t>Bartholomew Barthy</t>
  </si>
  <si>
    <t>barthybarthy53@yahoo.co.uk</t>
  </si>
  <si>
    <t>Odunuga Precious</t>
  </si>
  <si>
    <t>odunugaprecious@gmail.com</t>
  </si>
  <si>
    <t>Okewu Justina</t>
  </si>
  <si>
    <t>okewujustina@gmail.com</t>
  </si>
  <si>
    <t>Yemi Shitta</t>
  </si>
  <si>
    <t>yem4toy@yahoo.com</t>
  </si>
  <si>
    <t>Hardeker Hadijah Buldi</t>
  </si>
  <si>
    <t>kim.hardeker@yahoo.com</t>
  </si>
  <si>
    <t>Tijani Olayinka</t>
  </si>
  <si>
    <t>tijanioolayinka93@gmail.com</t>
  </si>
  <si>
    <t>Obe Clement Olanrewaju</t>
  </si>
  <si>
    <t>obeysco@yahoo.com</t>
  </si>
  <si>
    <t>Jittama Irimiya</t>
  </si>
  <si>
    <t>jittamma73@yahoo.com</t>
  </si>
  <si>
    <t>Dare Ojelade Dray</t>
  </si>
  <si>
    <t>ojeqoweey@gmail.com</t>
  </si>
  <si>
    <t>Victor Peter Akpan</t>
  </si>
  <si>
    <t>pstvictor177@yahoo.com</t>
  </si>
  <si>
    <t>Alao Kamil</t>
  </si>
  <si>
    <t>alaokamil76@gmail.com</t>
  </si>
  <si>
    <t>Abdulmalik Abbas Ahmad</t>
  </si>
  <si>
    <t>abbasahmedabdulmalik@yahoo.com</t>
  </si>
  <si>
    <t>Abdulraheem Ganiyu Abiodun</t>
  </si>
  <si>
    <t>moralistgarneeu@gmail.com</t>
  </si>
  <si>
    <t>Esther Oritsegbubemi Ashe</t>
  </si>
  <si>
    <t>estyrolis@yahoo.co.uk</t>
  </si>
  <si>
    <t>Umar Aliyu Daneji</t>
  </si>
  <si>
    <t>umaraliyudaneji@yahoo.com</t>
  </si>
  <si>
    <t>Jude Usifo</t>
  </si>
  <si>
    <t>usifojude@gmail.com</t>
  </si>
  <si>
    <t>Bukky Helen Tijani</t>
  </si>
  <si>
    <t>bukkyhelen@yahoo.com</t>
  </si>
  <si>
    <t>Aver Ann Atsaga</t>
  </si>
  <si>
    <t>atsagaaver@gmail.com</t>
  </si>
  <si>
    <t>Boniface Bonaventure Ochigbo</t>
  </si>
  <si>
    <t>bonavoxgt@yahoo.com</t>
  </si>
  <si>
    <t>Gbalipre Tytus</t>
  </si>
  <si>
    <t>wasog2016@gmail.com</t>
  </si>
  <si>
    <t>Francis Amara</t>
  </si>
  <si>
    <t>srpharnenterpruses@yahoo.com</t>
  </si>
  <si>
    <t>Rotkang Job</t>
  </si>
  <si>
    <t>rotg4jesus@yahoo.com</t>
  </si>
  <si>
    <t>Adeoye Kehinde</t>
  </si>
  <si>
    <t>khnadeoye@yahoo.com</t>
  </si>
  <si>
    <t>Patricia Rios</t>
  </si>
  <si>
    <t>pelaez.patricia70@gmail.com</t>
  </si>
  <si>
    <t>Timothy Chuks Obi</t>
  </si>
  <si>
    <t>devte94@yahoo.com</t>
  </si>
  <si>
    <t>Isaiah Oghenemaro Umude</t>
  </si>
  <si>
    <t>isaiahumude@yahoo.com</t>
  </si>
  <si>
    <t>Olukoyi Prince Joel</t>
  </si>
  <si>
    <t>olukoyijoel@gmail.com</t>
  </si>
  <si>
    <t>Engr Hamfat Halilu</t>
  </si>
  <si>
    <t>hamfat_r@yahoo.com</t>
  </si>
  <si>
    <t>Tunde Rasheed</t>
  </si>
  <si>
    <t>rayshbat@yahoo.com</t>
  </si>
  <si>
    <t>Marouf Ayinde</t>
  </si>
  <si>
    <t>ayinde_maruf@yahoo.com</t>
  </si>
  <si>
    <t>Agboola Olajide Oladotun</t>
  </si>
  <si>
    <t>dotmanjogo@yahoo.com</t>
  </si>
  <si>
    <t>Ahmad Bako</t>
  </si>
  <si>
    <t>ahmadbako2012@gmail.com</t>
  </si>
  <si>
    <t>Tunde Kehinde</t>
  </si>
  <si>
    <t>kehindetunde26@gmail.com</t>
  </si>
  <si>
    <t>Adesola Serah Adetomiwa</t>
  </si>
  <si>
    <t>adesolaadetomiwa@gmail.com</t>
  </si>
  <si>
    <t>Adediran Paul</t>
  </si>
  <si>
    <t>adediranpaul7@gmail.com</t>
  </si>
  <si>
    <t>Olakojo Adebayo</t>
  </si>
  <si>
    <t>adebayoolakojo5@gmail.com</t>
  </si>
  <si>
    <t>Opeagbe Hereytyohluwah Samuel</t>
  </si>
  <si>
    <t>babs2_care_4all@yahoo.com</t>
  </si>
  <si>
    <t>Salami Dolapo</t>
  </si>
  <si>
    <t>dolaposalami30@gmail.com</t>
  </si>
  <si>
    <t>Ammar Pop Gama</t>
  </si>
  <si>
    <t>ammar.yahaya@yahoo.com</t>
  </si>
  <si>
    <t>Blessing Sylvanus Nyoyoko</t>
  </si>
  <si>
    <t>ekasexzy@gmail.com</t>
  </si>
  <si>
    <t>Inuwa Shuaib Farouq</t>
  </si>
  <si>
    <t>inuwafarouq@yahoo.com</t>
  </si>
  <si>
    <t>Mansur Kangiwa</t>
  </si>
  <si>
    <t>Usmanmansurkgw@gmail.com</t>
  </si>
  <si>
    <t>Aderonke Adeyeye Olaniyi</t>
  </si>
  <si>
    <t>rhonkeyeye@yahoo.com</t>
  </si>
  <si>
    <t>Donald Dozie</t>
  </si>
  <si>
    <t>omnioceansimpex@gmail.com</t>
  </si>
  <si>
    <t>Prince Dan Shubby</t>
  </si>
  <si>
    <t>harkinkunmy80@gmail.com</t>
  </si>
  <si>
    <t>Friday Okpanachi</t>
  </si>
  <si>
    <t>okpanasco@gmail.com</t>
  </si>
  <si>
    <t>Eniola Raheem</t>
  </si>
  <si>
    <t>Enny198474@gmail.com</t>
  </si>
  <si>
    <t>Ayanniyi Abeeb Olalekan</t>
  </si>
  <si>
    <t>ayanniyiabeebolalekan@yahoo.com</t>
  </si>
  <si>
    <t>Nimota Aduke</t>
  </si>
  <si>
    <t>nimotaduke1@yahoo.com</t>
  </si>
  <si>
    <t>Onakoya Tonia</t>
  </si>
  <si>
    <t>whitedove4tonia@yahoo.com</t>
  </si>
  <si>
    <t>Gracy Temi-Tee</t>
  </si>
  <si>
    <t>gracetemitee@gmail.com</t>
  </si>
  <si>
    <t>Sleiman Adeiza Adams</t>
  </si>
  <si>
    <t>suleimana90@gmail.com</t>
  </si>
  <si>
    <t>Deborah Titilayo Waleola</t>
  </si>
  <si>
    <t>debbywll305@yahoo.com</t>
  </si>
  <si>
    <t>Lois Moyegun</t>
  </si>
  <si>
    <t>lois.moyegun@gmail.com</t>
  </si>
  <si>
    <t>Issa hammed olatunji</t>
  </si>
  <si>
    <t>hammed.badmus@yahoo.com</t>
  </si>
  <si>
    <t>Inji Makya Mustapha</t>
  </si>
  <si>
    <t>ahmedmustapha916@gmail.com</t>
  </si>
  <si>
    <t>Charles Chinazo Okoronkwo</t>
  </si>
  <si>
    <t>charlesokoronkwo6@gmail.com</t>
  </si>
  <si>
    <t>Teddy Okumakube</t>
  </si>
  <si>
    <t>teddyokumakube@yahoo.com</t>
  </si>
  <si>
    <t>Faculty Ukpe</t>
  </si>
  <si>
    <t>davidominyi13@gmail.com</t>
  </si>
  <si>
    <t>Adesina Oluwaseyi Bolaji</t>
  </si>
  <si>
    <t>folusobolaji4000@gmail.com</t>
  </si>
  <si>
    <t>Zeenat Galadima</t>
  </si>
  <si>
    <t>razinat999@gmail.com</t>
  </si>
  <si>
    <t>Sheikh Quadri Babatunde</t>
  </si>
  <si>
    <t>bobzico07@yahoo.com</t>
  </si>
  <si>
    <t>Emmanuel Eze</t>
  </si>
  <si>
    <t>mczino123@yahoo.com</t>
  </si>
  <si>
    <t>Christian Onyinye</t>
  </si>
  <si>
    <t>eginichristianonyinye@yahoo.com</t>
  </si>
  <si>
    <t>Mukhtar Umar</t>
  </si>
  <si>
    <t>mukhtarumargusau@gmail.com</t>
  </si>
  <si>
    <t>Daniel Olatunde</t>
  </si>
  <si>
    <t>oladanholdings@gmail.com</t>
  </si>
  <si>
    <t>Kayode Adetunji Oyekunle</t>
  </si>
  <si>
    <t>matthusy2k2@yahoo.com</t>
  </si>
  <si>
    <t>Umar Kaulaha</t>
  </si>
  <si>
    <t>umarzubee@yahoo.com</t>
  </si>
  <si>
    <t>Ochuehi Anslem</t>
  </si>
  <si>
    <t>future22all@gmail.com</t>
  </si>
  <si>
    <t>Kuti Adamu</t>
  </si>
  <si>
    <t>kutiadamug@gmail.com</t>
  </si>
  <si>
    <t>Taofeeq Oladiti</t>
  </si>
  <si>
    <t>taoladiti47@gmail.com</t>
  </si>
  <si>
    <t>-Anunobi Valentine Peterson</t>
  </si>
  <si>
    <t>chatwithval247@gmail.com</t>
  </si>
  <si>
    <t>Oyinkansola Umar</t>
  </si>
  <si>
    <t>umaromotolani@gmail.com</t>
  </si>
  <si>
    <t>DADA ANN MARIE</t>
  </si>
  <si>
    <t>anndadauae@gmail.com</t>
  </si>
  <si>
    <t>Ayodeji Gbenga Daniel</t>
  </si>
  <si>
    <t>otunsco@yahoo.com</t>
  </si>
  <si>
    <t>Todowede Oluwaseun</t>
  </si>
  <si>
    <t>todowede.oluseun@gmail.com</t>
  </si>
  <si>
    <t>Johnbest Ogbuefi</t>
  </si>
  <si>
    <t>johnbestogbueffi10@gmail.com</t>
  </si>
  <si>
    <t>Prince Iguma Aras</t>
  </si>
  <si>
    <t>ericiguma@yahoo.com</t>
  </si>
  <si>
    <t>banga301@hotmail.com</t>
  </si>
  <si>
    <t>Abednego Joseph</t>
  </si>
  <si>
    <t>josephabednego46@gmail.com</t>
  </si>
  <si>
    <t>Engr Abdulrasheed musa g.</t>
  </si>
  <si>
    <t>rashidmusaa@gmail.com</t>
  </si>
  <si>
    <t>Solomon Johnny</t>
  </si>
  <si>
    <t>donpipper@yahoo.com</t>
  </si>
  <si>
    <t>Amidu Ahmed</t>
  </si>
  <si>
    <t>isholaprep@gmail.com</t>
  </si>
  <si>
    <t>Obi Cosmas</t>
  </si>
  <si>
    <t>Cosmas.obiasogu@yahoo.com</t>
  </si>
  <si>
    <t>Usen Ukpong</t>
  </si>
  <si>
    <t>usenukpong@hotmail.co.uk</t>
  </si>
  <si>
    <t>Ife Banquet</t>
  </si>
  <si>
    <t>osepadeoluifeoluwa@gmail.com</t>
  </si>
  <si>
    <t>Saleh Kabir</t>
  </si>
  <si>
    <t>kabirsaleh009@gmail.com</t>
  </si>
  <si>
    <t>Nwaiku Endurance</t>
  </si>
  <si>
    <t>nwaikue@gmail.com</t>
  </si>
  <si>
    <t>Sanusi Imran</t>
  </si>
  <si>
    <t>imransanusi2@gmail.com</t>
  </si>
  <si>
    <t>Olushola Daniel</t>
  </si>
  <si>
    <t>blueskycityent@gmail.com</t>
  </si>
  <si>
    <t>Ernest D Ernest</t>
  </si>
  <si>
    <t>ernestdernest@gmail.com</t>
  </si>
  <si>
    <t>Oluwapelumi Abiola Emem-Newsong</t>
  </si>
  <si>
    <t>pelumi.ememnewsong@gmail.com</t>
  </si>
  <si>
    <t>Olawuyi Samuel</t>
  </si>
  <si>
    <t>samtun20@yahoo.com</t>
  </si>
  <si>
    <t>Izuchukwu Richard</t>
  </si>
  <si>
    <t>riches2007y2k@yahoo.com</t>
  </si>
  <si>
    <t>Aisha Gombe Abdulkadir</t>
  </si>
  <si>
    <t>mamashatu12@gmail.com</t>
  </si>
  <si>
    <t>Bernard Olagoke</t>
  </si>
  <si>
    <t>bernard_olagokeomoruyi@yahoo.com</t>
  </si>
  <si>
    <t>Amb Suleiman Abdulkadir</t>
  </si>
  <si>
    <t>raki.dikko5@gmail.com</t>
  </si>
  <si>
    <t>Tobi Sanyaolu</t>
  </si>
  <si>
    <t>tobbylincon2@yahoo.com</t>
  </si>
  <si>
    <t>Sunday John</t>
  </si>
  <si>
    <t>sunexjoh@yahoo.com</t>
  </si>
  <si>
    <t>Akindele Adesodun</t>
  </si>
  <si>
    <t>akin.adesodun2013@gmail.com</t>
  </si>
  <si>
    <t>Muftahu Abdullah Abara</t>
  </si>
  <si>
    <t>babansadiq27@gmail.com</t>
  </si>
  <si>
    <t>Eghosa Aideyan</t>
  </si>
  <si>
    <t>eghosaaideyan@gmail.com</t>
  </si>
  <si>
    <t>Muhammad Lawan Ibrahim</t>
  </si>
  <si>
    <t>ibrahimlawanmuhd1@gmail.com</t>
  </si>
  <si>
    <t>Daniel Bagshaw</t>
  </si>
  <si>
    <t>dotdanielsteel@yahoo.com</t>
  </si>
  <si>
    <t>Sani Adam</t>
  </si>
  <si>
    <t>saniadam87@gmail.com</t>
  </si>
  <si>
    <t>Mai Arabi</t>
  </si>
  <si>
    <t>maiarabi@yahoo.com</t>
  </si>
  <si>
    <t>Hauwa Abdullahi</t>
  </si>
  <si>
    <t>hauwaabdullahi2@gmail.com</t>
  </si>
  <si>
    <t>Oputubonye Gibson</t>
  </si>
  <si>
    <t>oputubonye@gmail.com</t>
  </si>
  <si>
    <t>Ebenezer Ibikunle Oluwajana</t>
  </si>
  <si>
    <t>sirebin21@yahoo.com</t>
  </si>
  <si>
    <t>Lateef Olawale Ayanfe Afolabi</t>
  </si>
  <si>
    <t>lateefola660@gmail.com</t>
  </si>
  <si>
    <t>Rasheed AJIBOYE</t>
  </si>
  <si>
    <t>Serikimal@gmail.com</t>
  </si>
  <si>
    <t>Ibrahim Funtua</t>
  </si>
  <si>
    <t>evrahem@gmail.com</t>
  </si>
  <si>
    <t>Dalhatu Muhammad Tilde</t>
  </si>
  <si>
    <t>tilde0072000@yahoo.com</t>
  </si>
  <si>
    <t>Charles Enabulele</t>
  </si>
  <si>
    <t>charlesenabulele77@gmail.c</t>
  </si>
  <si>
    <t>Bolarinwa Michael</t>
  </si>
  <si>
    <t>dreamline1212@gmail.com</t>
  </si>
  <si>
    <t>Prince Sulaimon Sanni</t>
  </si>
  <si>
    <t>lanroak@yahoo.com</t>
  </si>
  <si>
    <t>Samtus Igbom</t>
  </si>
  <si>
    <t>igbomsamtus@yahoo.com</t>
  </si>
  <si>
    <t>Deborah Sauta Musa</t>
  </si>
  <si>
    <t>debohsauta@yahoo.com</t>
  </si>
  <si>
    <t>Oyagbinrin Wale Amos</t>
  </si>
  <si>
    <t>oyagbinrinwaleamos@yahoo.com</t>
  </si>
  <si>
    <t>Mukhtar Muhammed Yusuf</t>
  </si>
  <si>
    <t>mn.yusman43@gmail.com</t>
  </si>
  <si>
    <t>Kabiru Alhaji Saidu</t>
  </si>
  <si>
    <t>nidoasnidonid1@gmail.com</t>
  </si>
  <si>
    <t>ikechukwu emmanuel dominic</t>
  </si>
  <si>
    <t>mattnwaogbe1988@gmail.com</t>
  </si>
  <si>
    <t>Aliyu Ibrahim</t>
  </si>
  <si>
    <t>catchdgist@yahoo.com</t>
  </si>
  <si>
    <t>Emmanuel Id</t>
  </si>
  <si>
    <t>didonlawal2002@yahoo.com</t>
  </si>
  <si>
    <t>Akeem Amusa</t>
  </si>
  <si>
    <t>believeakeemamusabelieve@outlook.com</t>
  </si>
  <si>
    <t>Sadiq Hamza Ahmed Danpullo</t>
  </si>
  <si>
    <t>sadiqdanpullo72@gmail.com</t>
  </si>
  <si>
    <t>Mubasheer Ummar</t>
  </si>
  <si>
    <t>bashirumaryy87@yahoo.co</t>
  </si>
  <si>
    <t>Oliveson Ikechukwu</t>
  </si>
  <si>
    <t>mroliveson@yahoo.com</t>
  </si>
  <si>
    <t>Prince Omilana</t>
  </si>
  <si>
    <t>ominiyi1@gmail.com</t>
  </si>
  <si>
    <t>Djwatt Olawale Ola</t>
  </si>
  <si>
    <t>olawaleazeez22@gmail.com</t>
  </si>
  <si>
    <t>Roseline Y. Karfe</t>
  </si>
  <si>
    <t>roseyusuf6689@gmail.com</t>
  </si>
  <si>
    <t>Edward Ngam</t>
  </si>
  <si>
    <t>siryoungbarister@gmail.com</t>
  </si>
  <si>
    <t>Tahir Maihulah</t>
  </si>
  <si>
    <t>bigmaihulah@gmail.com</t>
  </si>
  <si>
    <t>Victor Legend Etukinyang</t>
  </si>
  <si>
    <t>legendvictorlive@gmail.com</t>
  </si>
  <si>
    <t>Anjorin Wole</t>
  </si>
  <si>
    <t>temiotan@yahoo.com</t>
  </si>
  <si>
    <t>George Pamma</t>
  </si>
  <si>
    <t>pammageorge@ymail.com</t>
  </si>
  <si>
    <t>Israel Adedigba</t>
  </si>
  <si>
    <t>kingsconcept01@gmail.com</t>
  </si>
  <si>
    <t>Seriki Bobby Arsenal Olar</t>
  </si>
  <si>
    <t>walexy2k16@gmail.com</t>
  </si>
  <si>
    <t>Yusha Mohammed</t>
  </si>
  <si>
    <t>ymboto57@gmail.com</t>
  </si>
  <si>
    <t>Ogah Abraham</t>
  </si>
  <si>
    <t>ogaabraham@yahoo.com</t>
  </si>
  <si>
    <t>Shina Rufai</t>
  </si>
  <si>
    <t>moleleda@gmail.com</t>
  </si>
  <si>
    <t>Ogbonnaya Okoro</t>
  </si>
  <si>
    <t>winnerogbonna@gmail.com</t>
  </si>
  <si>
    <t>Hussain Mohammad Lamin</t>
  </si>
  <si>
    <t>hussainlamin66@gmail.com</t>
  </si>
  <si>
    <t>Abdulwahid Ismail Abu-Fatima</t>
  </si>
  <si>
    <t>abdulwahedism@yahoo.com</t>
  </si>
  <si>
    <t>Moses Agbor</t>
  </si>
  <si>
    <t>pepcymoses1534@yahoo.com</t>
  </si>
  <si>
    <t>Minkai'l Nurudden</t>
  </si>
  <si>
    <t>nuramikail@yahoo.com</t>
  </si>
  <si>
    <t>Aderinoye Eniola Lateef</t>
  </si>
  <si>
    <t>abdullateefaderinoye@gmail.com</t>
  </si>
  <si>
    <t>Princess Folarin Folashade Latyphat</t>
  </si>
  <si>
    <t>sadebabeforever@yahoo.com</t>
  </si>
  <si>
    <t>Hassan Hassan</t>
  </si>
  <si>
    <t>danhassanjega@gmail.cin</t>
  </si>
  <si>
    <t>AbdulGaniy Jamiu</t>
  </si>
  <si>
    <t>alaleemcomputer@gmail.com</t>
  </si>
  <si>
    <t>Princess Onanuga</t>
  </si>
  <si>
    <t>lade4lov@yahoo.com</t>
  </si>
  <si>
    <t>Mustapha Ilyasu Garba</t>
  </si>
  <si>
    <t>aminuahmadadam1@gmail.com</t>
  </si>
  <si>
    <t>Yakubu Lawal</t>
  </si>
  <si>
    <t>lawalyakubu@yhoo.com</t>
  </si>
  <si>
    <t>Adejumo Owolabi Muh'Taofeek</t>
  </si>
  <si>
    <t>labbyfx@gmail.com</t>
  </si>
  <si>
    <t>Ayuba Shekari</t>
  </si>
  <si>
    <t>ayubashekari@yahoo.com</t>
  </si>
  <si>
    <t>Soyinka Samuel Soji</t>
  </si>
  <si>
    <t>soyinkasamuel.soj09@yahoo.com</t>
  </si>
  <si>
    <t>Engr Cyprian Obinna</t>
  </si>
  <si>
    <t>cyprainobinna@yahoo.com</t>
  </si>
  <si>
    <t>Joy Abayomi Nantap Dave</t>
  </si>
  <si>
    <t>joysdanjuma@gmail.com</t>
  </si>
  <si>
    <t>Diala Dominic</t>
  </si>
  <si>
    <t>christandial@gmail.com</t>
  </si>
  <si>
    <t>Folasade Aina</t>
  </si>
  <si>
    <t>Folasadejummy@gmail.com</t>
  </si>
  <si>
    <t>f</t>
  </si>
  <si>
    <t>Odesola Victor Odeyeye</t>
  </si>
  <si>
    <t>yeyevic2002@yahoo.com</t>
  </si>
  <si>
    <t>stephen nwojiji alo</t>
  </si>
  <si>
    <t>nwojijistephen@yahoo.com</t>
  </si>
  <si>
    <t>Augustine Nnaemeka Ezechukwu</t>
  </si>
  <si>
    <t>mascotwinscompany@gmail.com</t>
  </si>
  <si>
    <t>Helen Raymond</t>
  </si>
  <si>
    <t>raymondhelen722@gmail.com</t>
  </si>
  <si>
    <t>Chinemer Angela</t>
  </si>
  <si>
    <t>angelachinemer@yahoo.com</t>
  </si>
  <si>
    <t>Fatima Zara</t>
  </si>
  <si>
    <t>fatsal2010@yahoo.com</t>
  </si>
  <si>
    <t>Giftyluv Theophilus</t>
  </si>
  <si>
    <t>giftyluv2013@gmail.com</t>
  </si>
  <si>
    <t>Oluyemi Abiodun Femi</t>
  </si>
  <si>
    <t>Oluyemiabiodunfemi@yahoo.com</t>
  </si>
  <si>
    <t>Joy Prettydamsel John</t>
  </si>
  <si>
    <t>joyberry.2012@yahoo.com</t>
  </si>
  <si>
    <t>Egbon L. E. Kenneth</t>
  </si>
  <si>
    <t>kennethegbon33@gmail.com</t>
  </si>
  <si>
    <t>Inza'kafadi Fadi Gaskiya</t>
  </si>
  <si>
    <t>Sanusizazzagawamuhammad@gmail.com</t>
  </si>
  <si>
    <t>Ugwuanyi Sunday Bright</t>
  </si>
  <si>
    <t>brightsunny117@gmail.com</t>
  </si>
  <si>
    <t>Ugochukwu Brown Ugba</t>
  </si>
  <si>
    <t>ugobora@yahoo.com</t>
  </si>
  <si>
    <t>Mohammed A Abdullahi</t>
  </si>
  <si>
    <t>mohammedawal848@yahoo.com</t>
  </si>
  <si>
    <t>Izunwanne Michael</t>
  </si>
  <si>
    <t>arcizu@yahoo.com</t>
  </si>
  <si>
    <t>Folorunsho Ayodele</t>
  </si>
  <si>
    <t>ayod65.com@gmail.com</t>
  </si>
  <si>
    <t>Bamaza Youth-leader</t>
  </si>
  <si>
    <t>ismailabamaza1984@gmail.com</t>
  </si>
  <si>
    <t>Elohor Afishetu Sheidu</t>
  </si>
  <si>
    <t>Covenantworks17@gmail.com</t>
  </si>
  <si>
    <t>Suleiman Bala Idris</t>
  </si>
  <si>
    <t>balasuley22@gmail.com</t>
  </si>
  <si>
    <t>Onuh Monday</t>
  </si>
  <si>
    <t>onuh4life@gmail.com</t>
  </si>
  <si>
    <t>Kelechi Okwor</t>
  </si>
  <si>
    <t>kelechiokwor42@gmail.com</t>
  </si>
  <si>
    <t>Ogunleye Olakunle</t>
  </si>
  <si>
    <t>oolanrewaju70@yahoo.com</t>
  </si>
  <si>
    <t>Abdussamad Abubakar Alhassan</t>
  </si>
  <si>
    <t>elsermad@outlook.com</t>
  </si>
  <si>
    <t>Simeon Wills</t>
  </si>
  <si>
    <t>wosarogie@gmail.com</t>
  </si>
  <si>
    <t>Akhi Ahmad</t>
  </si>
  <si>
    <t>Ahmadibrahim1745@gmail.com</t>
  </si>
  <si>
    <t>Peru Kc</t>
  </si>
  <si>
    <t>kcperu03@gmail.com</t>
  </si>
  <si>
    <t>Fadare Tunde</t>
  </si>
  <si>
    <t>comrade4real@yahoo.com</t>
  </si>
  <si>
    <t>Ojo Babatunde Gabriel</t>
  </si>
  <si>
    <t>babatundegabriel8@gmail.com</t>
  </si>
  <si>
    <t>Modestus Udoh</t>
  </si>
  <si>
    <t>chimod2009@yahoo.com</t>
  </si>
  <si>
    <t>Popoola Babatunde</t>
  </si>
  <si>
    <t>popoolatunde11@yahoo.com</t>
  </si>
  <si>
    <t>Nuhu Haruna Gombe</t>
  </si>
  <si>
    <t>nuhuharuna8@gmail.com</t>
  </si>
  <si>
    <t>Sobowale Omotunde</t>
  </si>
  <si>
    <t>omotunde984@yahoo.com</t>
  </si>
  <si>
    <t>Adeyinka Walter</t>
  </si>
  <si>
    <t>watersintergrated@hotmail.com</t>
  </si>
  <si>
    <t>Goodnews Bintu</t>
  </si>
  <si>
    <t>afolabifatimah@yahoo.co.uk</t>
  </si>
  <si>
    <t>Victoria Chidimma</t>
  </si>
  <si>
    <t>vchidimma1993@gmail.com</t>
  </si>
  <si>
    <t>Aminu Hassan Ali</t>
  </si>
  <si>
    <t>aminuali93@yahoo.com</t>
  </si>
  <si>
    <t>Adedayo Oginni</t>
  </si>
  <si>
    <t>aoginni28@yahoo.com</t>
  </si>
  <si>
    <t>Isyaka A Shehu Chula</t>
  </si>
  <si>
    <t>isyakaashehu@gmail.com</t>
  </si>
  <si>
    <t>Orieru Jude</t>
  </si>
  <si>
    <t>jorieru@yahoo.com</t>
  </si>
  <si>
    <t>Subair Akintayo Muali</t>
  </si>
  <si>
    <t>sakintayomuali@yahoo.co.uk</t>
  </si>
  <si>
    <t>Faruq Sani Maigoro</t>
  </si>
  <si>
    <t>faruq.sani@yahoo.com</t>
  </si>
  <si>
    <t>Folorunsho Martns</t>
  </si>
  <si>
    <t>olanrewajumicheal3@yahoo.com</t>
  </si>
  <si>
    <t>Titus Obed</t>
  </si>
  <si>
    <t>obedtitus@yahoo.com</t>
  </si>
  <si>
    <t>Owen Mba</t>
  </si>
  <si>
    <t>mbaowen@yahoo.com</t>
  </si>
  <si>
    <t>Mohammad Anwar Mazhar</t>
  </si>
  <si>
    <t>aasna786@gmail.com</t>
  </si>
  <si>
    <t>Tofi Sese Zoe</t>
  </si>
  <si>
    <t>sewuesetofi@yahoo.co.uk</t>
  </si>
  <si>
    <t>Eniola Akinfenwa</t>
  </si>
  <si>
    <t>akinfenwa.eniola@yahoo.com</t>
  </si>
  <si>
    <t>Suleiman Mohammed</t>
  </si>
  <si>
    <t>olorungbebesule@yahoo.com</t>
  </si>
  <si>
    <t>Younguche Udensi</t>
  </si>
  <si>
    <t>youngucheudensi@yahoo.com</t>
  </si>
  <si>
    <t>Chris Charlx</t>
  </si>
  <si>
    <t>charlesnelly78@gmail.com</t>
  </si>
  <si>
    <t>Sabiu Muhammad</t>
  </si>
  <si>
    <t>sabiuamuhammad@yahoo.com</t>
  </si>
  <si>
    <t>Peace Egwu</t>
  </si>
  <si>
    <t>peaceegwu@ymail.com</t>
  </si>
  <si>
    <t>Victor Uduoba Okosun</t>
  </si>
  <si>
    <t>vic25may@yahoo.co.uk</t>
  </si>
  <si>
    <t>Rufai Hussain</t>
  </si>
  <si>
    <t>hussainrufai@gmail.com</t>
  </si>
  <si>
    <t>Babalola Oluwafemi Ayobami</t>
  </si>
  <si>
    <t>babalolaayobami@ymail.com</t>
  </si>
  <si>
    <t>Femi Ademola</t>
  </si>
  <si>
    <t>metroy4x@yahoo.com</t>
  </si>
  <si>
    <t>Josephine Saidu</t>
  </si>
  <si>
    <t>josephinesaidu9@gmail.com</t>
  </si>
  <si>
    <t>es</t>
  </si>
  <si>
    <t>Samuel Ojo</t>
  </si>
  <si>
    <t>samojo@live.com</t>
  </si>
  <si>
    <t>Okoro Ikenna</t>
  </si>
  <si>
    <t>ike_genius1@yahoo.com</t>
  </si>
  <si>
    <t>Olorunfemi Festus Okpa</t>
  </si>
  <si>
    <t>afestoproduction@gmail.com</t>
  </si>
  <si>
    <t>Sanuth S Adebola</t>
  </si>
  <si>
    <t>bsanuth2404@gmail.com</t>
  </si>
  <si>
    <t>Rufus Okoro</t>
  </si>
  <si>
    <t>okororufus@gmail.com</t>
  </si>
  <si>
    <t>Jant Dervidon</t>
  </si>
  <si>
    <t>nelugotuplay@yahoo.co.uk</t>
  </si>
  <si>
    <t>Omozusi Ese Terry</t>
  </si>
  <si>
    <t>zuse4real@yahoo.com</t>
  </si>
  <si>
    <t>Long Live The King 👑</t>
  </si>
  <si>
    <t>uglydazzle@yahoo.com</t>
  </si>
  <si>
    <t>Musa Olawale Moshood</t>
  </si>
  <si>
    <t>nicemm008@yahoo.com</t>
  </si>
  <si>
    <t>Mark Charles</t>
  </si>
  <si>
    <t>micmarksado@gmail.com</t>
  </si>
  <si>
    <t>Awoniyi Johnson</t>
  </si>
  <si>
    <t>awoniyi.johnson@yahoo.com</t>
  </si>
  <si>
    <t>Mayowa Ubakanma</t>
  </si>
  <si>
    <t>mayoubaka20@gmail.com</t>
  </si>
  <si>
    <t>Mike Umoh</t>
  </si>
  <si>
    <t>engrmike2020@gmail.com</t>
  </si>
  <si>
    <t>David Vincent Manjei</t>
  </si>
  <si>
    <t>davidsonvincent1@gmail.com</t>
  </si>
  <si>
    <t>Babangida Habib</t>
  </si>
  <si>
    <t>awalhabibmusa@gmail.com</t>
  </si>
  <si>
    <t>Joshua Agu</t>
  </si>
  <si>
    <t>joagujosh@gmail.com</t>
  </si>
  <si>
    <t>Monday Ezekiel</t>
  </si>
  <si>
    <t>mondayezekiel86@gmail.com</t>
  </si>
  <si>
    <t>Engr Ayodele Ovien Okhai</t>
  </si>
  <si>
    <t>ayoovien@yahoo.com</t>
  </si>
  <si>
    <t>Oliver Adukumben</t>
  </si>
  <si>
    <t>oliveradukumben@yahoo.com</t>
  </si>
  <si>
    <t>abrahamWINGS Design+Build</t>
  </si>
  <si>
    <t>abrahamwingsdecor@gmail.com</t>
  </si>
  <si>
    <t>Kehinde Johnson</t>
  </si>
  <si>
    <t>kehinde.johnson778@gmail.com</t>
  </si>
  <si>
    <t>Stephen Ohaka</t>
  </si>
  <si>
    <t>stephen_ohaka@yahoo.com</t>
  </si>
  <si>
    <t>Femi Ayilara</t>
  </si>
  <si>
    <t>ayilarafemi@yahoo.com</t>
  </si>
  <si>
    <t>Aminu Abubakar</t>
  </si>
  <si>
    <t>aminudansarki@yahoo.com</t>
  </si>
  <si>
    <t>Akinwunmi Akanji</t>
  </si>
  <si>
    <t>akinwunmiakanji@yahoo.com</t>
  </si>
  <si>
    <t>Andy Ola Obanegha</t>
  </si>
  <si>
    <t>andyolaus@gmail.com</t>
  </si>
  <si>
    <t>Mustapha Sodeeq</t>
  </si>
  <si>
    <t>sodiqmustapha71@gmail.com</t>
  </si>
  <si>
    <t>Uche Nweke</t>
  </si>
  <si>
    <t>uchegold2@yahoo.com</t>
  </si>
  <si>
    <t>Ajayi Dele</t>
  </si>
  <si>
    <t>oludeleajayi6@gmail.com</t>
  </si>
  <si>
    <t>Vincent Ojimadu</t>
  </si>
  <si>
    <t>vincentojimadu0@gmail.com</t>
  </si>
  <si>
    <t>Olayemi Johnson</t>
  </si>
  <si>
    <t>bjolayemi@unionbankng.com</t>
  </si>
  <si>
    <t>Eboh Oghenetine</t>
  </si>
  <si>
    <t>tine.eboh@alphamead.com</t>
  </si>
  <si>
    <t>Florence Ehiozuwa</t>
  </si>
  <si>
    <t>floxy2forchrist@yahoo.com</t>
  </si>
  <si>
    <t>Prashant Shroff</t>
  </si>
  <si>
    <t>shroff.prashant@rediffmail.com</t>
  </si>
  <si>
    <t>Ijeoma Mary</t>
  </si>
  <si>
    <t>mary.asonye@yahoo.com</t>
  </si>
  <si>
    <t>Abdganiy Aliy</t>
  </si>
  <si>
    <t>fnislamic@yahoo.com</t>
  </si>
  <si>
    <t>Keyoma Favour Ikogho</t>
  </si>
  <si>
    <t>keyomaikogho@yahoo.com</t>
  </si>
  <si>
    <t>Hon Frederick Atams</t>
  </si>
  <si>
    <t>frederickatams@gmail.com</t>
  </si>
  <si>
    <t>Samuel Akinleye</t>
  </si>
  <si>
    <t>chipconsult2007@yahoo.com</t>
  </si>
  <si>
    <t>Chika Ngene Ajuruchi</t>
  </si>
  <si>
    <t>chika_choc@yahoo.co.uk</t>
  </si>
  <si>
    <t>Bhagu Chugani</t>
  </si>
  <si>
    <t>Bhaguchugani@hotmail.com</t>
  </si>
  <si>
    <t>Leo Oluseye Somide</t>
  </si>
  <si>
    <t>somidelo@yahoo.com</t>
  </si>
  <si>
    <t>Chris Onyebula</t>
  </si>
  <si>
    <t>krisonyegbula1957@gmail.com</t>
  </si>
  <si>
    <t>Omoniyi Akeremale</t>
  </si>
  <si>
    <t>niyimalazy@yahoo.com</t>
  </si>
  <si>
    <t>Henry Angulu</t>
  </si>
  <si>
    <t>henryangul@gmail.com</t>
  </si>
  <si>
    <t>Ogodo Joseph Adi</t>
  </si>
  <si>
    <t>ogodojoseph1@gmail.com</t>
  </si>
  <si>
    <t>Isa Nafiu</t>
  </si>
  <si>
    <t>isanafiu@yahoo.com</t>
  </si>
  <si>
    <t>Boniface Nnamdi Olisakwe</t>
  </si>
  <si>
    <t>bonifacennamdiolisakwe@yahoo.com</t>
  </si>
  <si>
    <t>Haruna Yahaya</t>
  </si>
  <si>
    <t>charmingyahi@yahoo.com</t>
  </si>
  <si>
    <t>Olugbenga Emmanuel</t>
  </si>
  <si>
    <t>delanagbenga@gmail.com</t>
  </si>
  <si>
    <t>Ifeanyi Gerald Onwudinjo</t>
  </si>
  <si>
    <t>gerald.ify@gmail.com</t>
  </si>
  <si>
    <t>Imran Zubairu</t>
  </si>
  <si>
    <t>imranbashirknk@gmail.com</t>
  </si>
  <si>
    <t>Prince Babatunde Olufowobi Adeboye</t>
  </si>
  <si>
    <t>babat_adeboye@yahoo.com</t>
  </si>
  <si>
    <t>Debby Lawrence</t>
  </si>
  <si>
    <t>uchdeby@yahoo.com</t>
  </si>
  <si>
    <t>Orions Fortress Orions</t>
  </si>
  <si>
    <t>mbahamzat@live.com</t>
  </si>
  <si>
    <t>Chuka Okolo</t>
  </si>
  <si>
    <t>chuokolo@yahoo.com</t>
  </si>
  <si>
    <t>Rotimi J. Ayodele</t>
  </si>
  <si>
    <t>ayodelejr@yahoo.com</t>
  </si>
  <si>
    <t>Omoniyi Jeje</t>
  </si>
  <si>
    <t>omoniyijeje@yahoo.com</t>
  </si>
  <si>
    <t>Stephen Okhenaiye</t>
  </si>
  <si>
    <t>okstephen2000@yahoo.com</t>
  </si>
  <si>
    <t>Abibu Antony Alao</t>
  </si>
  <si>
    <t>amuobonose@yahoo.com</t>
  </si>
  <si>
    <t>Abdullahi Akeeb</t>
  </si>
  <si>
    <t>abdullahiakeeb.worldwideglobal1@gmail.com</t>
  </si>
  <si>
    <t>Joel Afolabi</t>
  </si>
  <si>
    <t>joelafolabi@ymail.com</t>
  </si>
  <si>
    <t>Olusola Sarah</t>
  </si>
  <si>
    <t>olusolasarah85@gmail.com</t>
  </si>
  <si>
    <t>Nicholas Azuka Ogbedo</t>
  </si>
  <si>
    <t>nicholasy2k2002@yahoo.com</t>
  </si>
  <si>
    <t>Amina Giwa</t>
  </si>
  <si>
    <t>giwamilat@gmail.com</t>
  </si>
  <si>
    <t>Olajide Ajana</t>
  </si>
  <si>
    <t>oajana@yahoo.com</t>
  </si>
  <si>
    <t>Vincent Ameh</t>
  </si>
  <si>
    <t>vincentameh@yahoo.com</t>
  </si>
  <si>
    <t>job momoh okee</t>
  </si>
  <si>
    <t>Okeejob@yahoo.com</t>
  </si>
  <si>
    <t>henry Ugochukwu Orji</t>
  </si>
  <si>
    <t>huorji@gmail.com</t>
  </si>
  <si>
    <t>Oladoke Olamilekan</t>
  </si>
  <si>
    <t>oladoke25@gmail.com</t>
  </si>
  <si>
    <t>Malachi Tope Babatunde</t>
  </si>
  <si>
    <t>tbmalachi@yahoo.co.uk</t>
  </si>
  <si>
    <t>Ubong Akpan</t>
  </si>
  <si>
    <t>Ub400007@gmail.com</t>
  </si>
  <si>
    <t>Jheneral Lucius Na'andem Kungmi</t>
  </si>
  <si>
    <t>lucius2016@gmail.com</t>
  </si>
  <si>
    <t>Betty Idahosa</t>
  </si>
  <si>
    <t>bettycharles1977@gmail.com</t>
  </si>
  <si>
    <t>Oluremi Olusanya</t>
  </si>
  <si>
    <t>olukunleoluremi@yahoo.com</t>
  </si>
  <si>
    <t>Bamidele Olusegun</t>
  </si>
  <si>
    <t>segur4real@yahoo.com</t>
  </si>
  <si>
    <t>Aliu Sulaiman</t>
  </si>
  <si>
    <t>ajaisulaimanaliu62@gmail.com</t>
  </si>
  <si>
    <t>Uzochukwu Charles Igbasi</t>
  </si>
  <si>
    <t>donlams@yahoo.com</t>
  </si>
  <si>
    <t>kachi marine</t>
  </si>
  <si>
    <t>samchuuu2434@gmail.com</t>
  </si>
  <si>
    <t>Eludoyin Ajayi</t>
  </si>
  <si>
    <t>eludoyinajayi1949@gmail.com</t>
  </si>
  <si>
    <t>Mohammed Yunusa Sanuyu</t>
  </si>
  <si>
    <t>mdyunus3436@gmail.com</t>
  </si>
  <si>
    <t>Glk Resources</t>
  </si>
  <si>
    <t>glkglk17@yahoo.com</t>
  </si>
  <si>
    <t>Glo</t>
  </si>
  <si>
    <t>blessedone01@gmail.com</t>
  </si>
  <si>
    <t>Ifedinma</t>
  </si>
  <si>
    <t>ifyprofessionallady@gmail.com</t>
  </si>
  <si>
    <t>Faith Johnny</t>
  </si>
  <si>
    <t>Faithjohnny033@gmail.com</t>
  </si>
  <si>
    <t>Akinyemi Adesina</t>
  </si>
  <si>
    <t>adesina005@yahoo.com</t>
  </si>
  <si>
    <t>Adetola Oremosu</t>
  </si>
  <si>
    <t>manteeorem@yahoo.com</t>
  </si>
  <si>
    <t>Ikuyeju Taiwo Moses</t>
  </si>
  <si>
    <t>ballackjimmy2@gmail.com</t>
  </si>
  <si>
    <t>Abubakar Tayi</t>
  </si>
  <si>
    <t>tayiabubakar700@gmail.com</t>
  </si>
  <si>
    <t>Sabiu Ali Elsab</t>
  </si>
  <si>
    <t>sabiualiahmadelsabdbt@gmail.com</t>
  </si>
  <si>
    <t>Olanrewaju Lawal</t>
  </si>
  <si>
    <t>lawal_olanrewaju@yahoo.co.uk</t>
  </si>
  <si>
    <t>Odumosu Sadeeq Idowu</t>
  </si>
  <si>
    <t>idowu_sodiq@yahoo.com</t>
  </si>
  <si>
    <t>Solomon Ewuga</t>
  </si>
  <si>
    <t>soolomonewuga@gmail.com</t>
  </si>
  <si>
    <t>Tanko Medugu Gulak</t>
  </si>
  <si>
    <t>tkmedugu@yahoo.com</t>
  </si>
  <si>
    <t>Sam Enyuma</t>
  </si>
  <si>
    <t>omaguenyuma@yahoo.com</t>
  </si>
  <si>
    <t>Akinsanya Olaolu</t>
  </si>
  <si>
    <t>samakinsanya2@gmail.com</t>
  </si>
  <si>
    <t>Abubakar Malah Umar</t>
  </si>
  <si>
    <t>amalaumar@yahoo.co.uk</t>
  </si>
  <si>
    <t>Badmus Waliu</t>
  </si>
  <si>
    <t>badmus4real2008@yahoo.com</t>
  </si>
  <si>
    <t>Ahmed Shittu</t>
  </si>
  <si>
    <t>sitamed@gmail.com</t>
  </si>
  <si>
    <t>Akatu jennifer</t>
  </si>
  <si>
    <t>blindlyinlovewityou@yahoo.com</t>
  </si>
  <si>
    <t>Prince Kelvin David</t>
  </si>
  <si>
    <t>kayodeademisoye@gmail.com</t>
  </si>
  <si>
    <t>Jibril Hamza</t>
  </si>
  <si>
    <t>hamzahbj@gmail.com</t>
  </si>
  <si>
    <t>ahmadibrahim1745@gmail.com</t>
  </si>
  <si>
    <t>Goni Mustapha</t>
  </si>
  <si>
    <t>gonimustapha2016@gmail.com</t>
  </si>
  <si>
    <t>ToyinMoh'd Todae</t>
  </si>
  <si>
    <t>todaytelecomnigltd@gmail.com</t>
  </si>
  <si>
    <t>Morenike Favour</t>
  </si>
  <si>
    <t>more9ike4mom@yahoo.com</t>
  </si>
  <si>
    <t>Taıwo Ayobamı</t>
  </si>
  <si>
    <t>ayubataiwo320@gmail.com</t>
  </si>
  <si>
    <t>Oluwaseun Sam Akindoyeni</t>
  </si>
  <si>
    <t>samoonchi@yahoo.com</t>
  </si>
  <si>
    <t>Olusegun Abiodun Onafowokan</t>
  </si>
  <si>
    <t>olusege@yahoo.com</t>
  </si>
  <si>
    <t>abdulbasit idris</t>
  </si>
  <si>
    <t>abdulbasit.idris@yahoo.com</t>
  </si>
  <si>
    <t>Adeyemi Olufemi</t>
  </si>
  <si>
    <t>olufemiadeyemi18@yahoo.com</t>
  </si>
  <si>
    <t>Abraham Agada</t>
  </si>
  <si>
    <t>agadajnr@yahoo.com</t>
  </si>
  <si>
    <t>Casey Dubem Edeogu</t>
  </si>
  <si>
    <t>caseydubem@gmail.com</t>
  </si>
  <si>
    <t>Magnus Johnson Oluwafemi</t>
  </si>
  <si>
    <t>ayobamidele206@yahoo.com</t>
  </si>
  <si>
    <t>Usman Aliyu</t>
  </si>
  <si>
    <t>aliyuu861@gmail.com</t>
  </si>
  <si>
    <t>Obedat Titilope Raheem</t>
  </si>
  <si>
    <t>obey4us@yahoo.com</t>
  </si>
  <si>
    <t>Juliet Ogbonna Charm-Williams</t>
  </si>
  <si>
    <t>julietfy@yahoo.com</t>
  </si>
  <si>
    <t>Kauthar Olanrewaju Durosimi</t>
  </si>
  <si>
    <t>kdurosimi@yahoo.co.uk</t>
  </si>
  <si>
    <t>Michael Ikechukwu</t>
  </si>
  <si>
    <t>ikemike814@gmail.com</t>
  </si>
  <si>
    <t>Olatowo Babs</t>
  </si>
  <si>
    <t>olatowojamiu7@yahoo.com</t>
  </si>
  <si>
    <t>Francis Iroakazi</t>
  </si>
  <si>
    <t>iroakazifrancis@gmail.com</t>
  </si>
  <si>
    <t>Josiah Ejiofor</t>
  </si>
  <si>
    <t>centrepointagency2012@yahoo.com</t>
  </si>
  <si>
    <t>Serah Okoro</t>
  </si>
  <si>
    <t>serahruby@gmail.com</t>
  </si>
  <si>
    <t>Oluwatoba Ebenezer</t>
  </si>
  <si>
    <t>oluwatobabunmi@gmail.com</t>
  </si>
  <si>
    <t>Ayoola Taiwo Ayoyemi</t>
  </si>
  <si>
    <t>larry.diplo@yahoo.com</t>
  </si>
  <si>
    <t>Alonge Ayobami</t>
  </si>
  <si>
    <t>alongeboss2017@gmail.com</t>
  </si>
  <si>
    <t>Collins Akpotu Othihiwa</t>
  </si>
  <si>
    <t>collinsnet360@yahoo.com</t>
  </si>
  <si>
    <t>Ogunmodede Naheem</t>
  </si>
  <si>
    <t>morakinyo49680@gmail.com</t>
  </si>
  <si>
    <t>BELKALID CONSULTS RC:1510218</t>
  </si>
  <si>
    <t>belkalid@gmail.com</t>
  </si>
  <si>
    <t>Suleiman Jibrin</t>
  </si>
  <si>
    <t>jibrinsuleiman9@gmail.com</t>
  </si>
  <si>
    <t>Orban Benjamin Benedict Agav</t>
  </si>
  <si>
    <t>benz3135@yahoo.com</t>
  </si>
  <si>
    <t>Emmanuel Onyekachi</t>
  </si>
  <si>
    <t>onyekachi4all@yahoo.com</t>
  </si>
  <si>
    <t>Abba Saleh Lawan</t>
  </si>
  <si>
    <t>abbamairitaya69@gmail.com</t>
  </si>
  <si>
    <t>Imaobong Festus</t>
  </si>
  <si>
    <t>ima3f@yahoo.com</t>
  </si>
  <si>
    <t>Kelvin Ike Ifeanyi</t>
  </si>
  <si>
    <t>kelvinike.if@gmail.com</t>
  </si>
  <si>
    <t>New Dawn</t>
  </si>
  <si>
    <t>rubenasuquo1@yahoo.com</t>
  </si>
  <si>
    <t>tosin</t>
  </si>
  <si>
    <t>bendorham@hotmail.com</t>
  </si>
  <si>
    <t>Musa Usman Bala Nguru</t>
  </si>
  <si>
    <t>bamalumnguru01@gmail.com</t>
  </si>
  <si>
    <t>Mona Ali</t>
  </si>
  <si>
    <t>monali5658@gmail.com</t>
  </si>
  <si>
    <t>Emeka Egbuna Emmyi Eshee</t>
  </si>
  <si>
    <t>nwaodo4u@gmail.com</t>
  </si>
  <si>
    <t>Siddiqa Saweeda Ibraheem</t>
  </si>
  <si>
    <t>ibrahimsawida4@gmail.com</t>
  </si>
  <si>
    <t>AWE MICHAEL OLUWASEUN</t>
  </si>
  <si>
    <t>mawe30@yahoo.com</t>
  </si>
  <si>
    <t>Bryan Achile Isah</t>
  </si>
  <si>
    <t>bryan2020dreams@yahoo.com</t>
  </si>
  <si>
    <t>Bilya Musa</t>
  </si>
  <si>
    <t>maannasmaliyu@gmail.com</t>
  </si>
  <si>
    <t>Minister Olisa Onwumar</t>
  </si>
  <si>
    <t>ministeronwumarolisa@yahoo.com</t>
  </si>
  <si>
    <t>Timothy Aderinola-Edward</t>
  </si>
  <si>
    <t>timothy.aderinola@yahoo.co.uk</t>
  </si>
  <si>
    <t>Tunde Iroko</t>
  </si>
  <si>
    <t>larryirk@gmail.com</t>
  </si>
  <si>
    <t>Rasheed Olaitan</t>
  </si>
  <si>
    <t>rasheedolaitan46@yahoo.com</t>
  </si>
  <si>
    <t>Ogunbona Samusideen</t>
  </si>
  <si>
    <t>sambona2006@yahoo.co.uk</t>
  </si>
  <si>
    <t>Odedele Mariam Busayo</t>
  </si>
  <si>
    <t>odedele15010311116@gmail.com</t>
  </si>
  <si>
    <t>Egotech Comput</t>
  </si>
  <si>
    <t>nicecee4all@yahoo.com</t>
  </si>
  <si>
    <t>Yemi Bakare</t>
  </si>
  <si>
    <t>yemibakare09@yahoo.com</t>
  </si>
  <si>
    <t>Joseph Horla</t>
  </si>
  <si>
    <t>josephhorla@gmail.com</t>
  </si>
  <si>
    <t>Adeyeye Abasz</t>
  </si>
  <si>
    <t>a.microservices@yahoo.com</t>
  </si>
  <si>
    <t>Ayuba Sunday Phemmy</t>
  </si>
  <si>
    <t>ayubasundayphemmy@gmail.com</t>
  </si>
  <si>
    <t>Moore Ayodeji</t>
  </si>
  <si>
    <t>hayodeji13@gmail.com</t>
  </si>
  <si>
    <t>Shehu Ibrahim</t>
  </si>
  <si>
    <t>shehu4real2007@yahoo.com</t>
  </si>
  <si>
    <t>Auwal Muazu</t>
  </si>
  <si>
    <t>auwalmuazu20@gmail.com</t>
  </si>
  <si>
    <t>Akinremi Oprah Horkpeholuwar</t>
  </si>
  <si>
    <t>segunsm2@yahoo.com</t>
  </si>
  <si>
    <t>Urch Nwaibe</t>
  </si>
  <si>
    <t>uchennanwaibe@yahoo.com</t>
  </si>
  <si>
    <t>Irem Chidi</t>
  </si>
  <si>
    <t>iremchidi@gmail.com</t>
  </si>
  <si>
    <t>Asemota Frank</t>
  </si>
  <si>
    <t>asemota.frank@yahoo.com</t>
  </si>
  <si>
    <t>Jully Morry</t>
  </si>
  <si>
    <t>jullymorry@gmail.com</t>
  </si>
  <si>
    <t>Salihu Maibeni</t>
  </si>
  <si>
    <t>salihumaibeni@gmail.com</t>
  </si>
  <si>
    <t>Salman Bamidele Taofik</t>
  </si>
  <si>
    <t>salmantaofik@gmail.com.com</t>
  </si>
  <si>
    <t>Chris Ezeike</t>
  </si>
  <si>
    <t>echikechris@gmail.com</t>
  </si>
  <si>
    <t>Hon Isah Ahmed Abubakar</t>
  </si>
  <si>
    <t>hon.isahahmedabubakar@gmail.com</t>
  </si>
  <si>
    <t>Naziru Salisu Ismail</t>
  </si>
  <si>
    <t>nazirusalisuismail@gmail.com</t>
  </si>
  <si>
    <t>Musa Abdullahi</t>
  </si>
  <si>
    <t>pemaal4rill@gmail.com</t>
  </si>
  <si>
    <t>Chris Ibemere</t>
  </si>
  <si>
    <t>ccibemere@gmail.com</t>
  </si>
  <si>
    <t>Adamu Aliyu</t>
  </si>
  <si>
    <t>adamsportw3@yahoo.com</t>
  </si>
  <si>
    <t>Levelx Moyinoluwa Adetunji</t>
  </si>
  <si>
    <t>levelxworldproductiin@gmail.com</t>
  </si>
  <si>
    <t>Falomo Taiwo Oladiran</t>
  </si>
  <si>
    <t>tai_oldrn@yahoo.com</t>
  </si>
  <si>
    <t>Yusuf Suleiman</t>
  </si>
  <si>
    <t>yusufduleiman@gmail.com</t>
  </si>
  <si>
    <t>Nasiru Abbas Aliyu</t>
  </si>
  <si>
    <t>nasiru.abbasaliyu@gmail.com</t>
  </si>
  <si>
    <t>Esther Owolabi</t>
  </si>
  <si>
    <t>estherowolabi633@yahoo.com</t>
  </si>
  <si>
    <t>Elugbadebo Mobolaji</t>
  </si>
  <si>
    <t>moreneo8879@gmail.com</t>
  </si>
  <si>
    <t>Adebayo Olamilekan</t>
  </si>
  <si>
    <t>adebayosisqooo9@yahoo.com</t>
  </si>
  <si>
    <t>Joshua Equere</t>
  </si>
  <si>
    <t>joshuaequere@yahoo.com</t>
  </si>
  <si>
    <t>Yomi Cashrule</t>
  </si>
  <si>
    <t>jimoh.oriyomi@yahoo.com</t>
  </si>
  <si>
    <t>Taiwo Sikiru Adeyinka</t>
  </si>
  <si>
    <t>sikiruadeyinkataiwo@gmail.com</t>
  </si>
  <si>
    <t>Sarah Elmahi Elsharif</t>
  </si>
  <si>
    <t>shahira_ahmed2008@yahoo.com</t>
  </si>
  <si>
    <t>Adam Yacim</t>
  </si>
  <si>
    <t>Adamsyacim@gmail.com</t>
  </si>
  <si>
    <t>Salisu Mainasara</t>
  </si>
  <si>
    <t>salisumainagusau@gmail.com</t>
  </si>
  <si>
    <t>Saidu Akhalu</t>
  </si>
  <si>
    <t>saiduakhalu@gmail.com</t>
  </si>
  <si>
    <t>Akinfenwa Ajiboye Ola</t>
  </si>
  <si>
    <t>ajiboyeola@yahoo.com</t>
  </si>
  <si>
    <t>Promise Nwachukwu</t>
  </si>
  <si>
    <t>Ptwoinchrist@gmail.com</t>
  </si>
  <si>
    <t>Lawal Olanrewaju Galex</t>
  </si>
  <si>
    <t>ganiulawal@yahoo.com</t>
  </si>
  <si>
    <t>Onyeka A.K. Christopher</t>
  </si>
  <si>
    <t>conceptdredge@gmail.com</t>
  </si>
  <si>
    <t>Sagir Umar Yana</t>
  </si>
  <si>
    <t>sagiryana@yahoo.com</t>
  </si>
  <si>
    <t>Zainab Atoba</t>
  </si>
  <si>
    <t>zainabatoba@gmail.com</t>
  </si>
  <si>
    <t>Caleb Success Idoko</t>
  </si>
  <si>
    <t>idokocaleb4@gmail.com</t>
  </si>
  <si>
    <t>Omotoyosi Bankole</t>
  </si>
  <si>
    <t>toastpartypacks419@yahoo.com</t>
  </si>
  <si>
    <t>Babatunde Sholanke Abiodun</t>
  </si>
  <si>
    <t>tsholanke23@gmail.com</t>
  </si>
  <si>
    <t>Kay Wealthy</t>
  </si>
  <si>
    <t>omoyeleakoredekayode@gmail.com</t>
  </si>
  <si>
    <t>Oyadeyi Abiodun Kayode</t>
  </si>
  <si>
    <t>abeylicon4199@gmail.com</t>
  </si>
  <si>
    <t>Victor Dalhatu</t>
  </si>
  <si>
    <t>dalhatuv@yahoo.com</t>
  </si>
  <si>
    <t>Sauban Y. Khalid</t>
  </si>
  <si>
    <t>Saubanykhalid4real@gmail.com</t>
  </si>
  <si>
    <t>Oluwa Alubarika Moni</t>
  </si>
  <si>
    <t>tayoabdul324@gmail.com</t>
  </si>
  <si>
    <t>Adeolu Oluwasegun</t>
  </si>
  <si>
    <t>adeoluoluwasegun@yahoo.com</t>
  </si>
  <si>
    <t>Okidi Victor</t>
  </si>
  <si>
    <t>okidiav@gmail.com</t>
  </si>
  <si>
    <t>ProPaul Oluwatosin</t>
  </si>
  <si>
    <t>pillarsmission@gmail.com</t>
  </si>
  <si>
    <t>Dambam A. Suleiman</t>
  </si>
  <si>
    <t>walididambam@gmail.com</t>
  </si>
  <si>
    <t>Falana Victor</t>
  </si>
  <si>
    <t>victorkayode78@yahoo.com</t>
  </si>
  <si>
    <t>Herbert Innocent</t>
  </si>
  <si>
    <t>herbertdboylee@yahoo.com</t>
  </si>
  <si>
    <t>Alh Lukman Akin</t>
  </si>
  <si>
    <t>omoalhaja123@yahoo.com</t>
  </si>
  <si>
    <t>Precious Oluwafemi Jegede</t>
  </si>
  <si>
    <t>raphfem@gmail.com</t>
  </si>
  <si>
    <t>Rasheed Yussuf Harbolorey</t>
  </si>
  <si>
    <t>fykayo700@gmail.com</t>
  </si>
  <si>
    <t>Mohd Auwal Btr</t>
  </si>
  <si>
    <t>mrawwal80@yahoo.com</t>
  </si>
  <si>
    <t>David George Umouyo</t>
  </si>
  <si>
    <t>truckaffairs@yahoo.com</t>
  </si>
  <si>
    <t>Fawumi Ademola Samuel</t>
  </si>
  <si>
    <t>fawumiademolasanfer@gmail.com</t>
  </si>
  <si>
    <t>Etekamba Eyo</t>
  </si>
  <si>
    <t>princemayorb@yahoo.com</t>
  </si>
  <si>
    <t>Allahu Anobi</t>
  </si>
  <si>
    <t>daudhumu@gmail.com</t>
  </si>
  <si>
    <t>Salisu Zayya</t>
  </si>
  <si>
    <t>salisuzayya@gmail.com</t>
  </si>
  <si>
    <t>Abubakar Muazu Yahaya</t>
  </si>
  <si>
    <t>abubakar1089@yahoo.com</t>
  </si>
  <si>
    <t>Safiyanu Dantala Jobawa</t>
  </si>
  <si>
    <t>sdjobawa@gmail.com</t>
  </si>
  <si>
    <t>Damilare Phillips</t>
  </si>
  <si>
    <t>apsngn@yahoo.com</t>
  </si>
  <si>
    <t>Elijah Eziaku Ezibiam Eni</t>
  </si>
  <si>
    <t>elijaheni@yahoo.com</t>
  </si>
  <si>
    <t>Ochong Peter</t>
  </si>
  <si>
    <t>ochongpeter@gmail.com</t>
  </si>
  <si>
    <t>Angela Igbagri Ala</t>
  </si>
  <si>
    <t>kiddieslibrary@gmail.com</t>
  </si>
  <si>
    <t>Akin Collins</t>
  </si>
  <si>
    <t>femidoe71@gmail.com</t>
  </si>
  <si>
    <t>Habeeb Omo-nla</t>
  </si>
  <si>
    <t>osunrantihabeeb1@gmail.com</t>
  </si>
  <si>
    <t>Clem Beetseh</t>
  </si>
  <si>
    <t>cnbeetseh@gmail.com</t>
  </si>
  <si>
    <t>Esang Ubong</t>
  </si>
  <si>
    <t>esangubong1.eu@gmail.com</t>
  </si>
  <si>
    <t>Obongvictoriyke Ogbudibia O Egbuta</t>
  </si>
  <si>
    <t>egbutaikechukwu@yahoo.com</t>
  </si>
  <si>
    <t>Itz Steph Godwin</t>
  </si>
  <si>
    <t>stephgodwin1995@gmail.com</t>
  </si>
  <si>
    <t>Yahaya Shuaibu</t>
  </si>
  <si>
    <t>yahayabinshuaibu@yahoo.com</t>
  </si>
  <si>
    <t>Akinola Tajudeen</t>
  </si>
  <si>
    <t>akinola.tajudeen@yahoo.com</t>
  </si>
  <si>
    <t>Raheem Kafilat</t>
  </si>
  <si>
    <t>raheemkafilat100@gmail.com</t>
  </si>
  <si>
    <t>Igbinosa Obasuyi</t>
  </si>
  <si>
    <t>huanzozo7@hot-mail.tk</t>
  </si>
  <si>
    <t>Irikefe Emmanuel</t>
  </si>
  <si>
    <t>karoemmanuel11@gmail.com</t>
  </si>
  <si>
    <t>Ada Owoicho</t>
  </si>
  <si>
    <t>perrtyada1212@gmail.com</t>
  </si>
  <si>
    <t>Musaone Donny</t>
  </si>
  <si>
    <t>musaone68@yahoo.com</t>
  </si>
  <si>
    <t>Victor Oleh</t>
  </si>
  <si>
    <t>chinenyevictor@yahoo.com</t>
  </si>
  <si>
    <t>Maureen Ike Nwaneri</t>
  </si>
  <si>
    <t>ojiugomaureen@yahoo.com</t>
  </si>
  <si>
    <t>Abby Akinrinade</t>
  </si>
  <si>
    <t>abbysign.integratedconcepts@gmail.com</t>
  </si>
  <si>
    <t>Habu Habib</t>
  </si>
  <si>
    <t>habuhabib@ymail.com</t>
  </si>
  <si>
    <t>Alh Hammed Olore</t>
  </si>
  <si>
    <t>hammedolore@gmail.com</t>
  </si>
  <si>
    <t>Umar Ibrahim Dungu</t>
  </si>
  <si>
    <t>umardunguu@gmail.com</t>
  </si>
  <si>
    <t>Joshua O.Falade</t>
  </si>
  <si>
    <t>josbisf@yahoo.com</t>
  </si>
  <si>
    <t>Oluwaseyi Shaola Oriola</t>
  </si>
  <si>
    <t>seyi42010@yahoo.com</t>
  </si>
  <si>
    <t>Ebute Wallace</t>
  </si>
  <si>
    <t>tellwallace@gmail.com</t>
  </si>
  <si>
    <t>Solomon Bala Okoh</t>
  </si>
  <si>
    <t>solookoh@yahoo.com</t>
  </si>
  <si>
    <t>Niyi Olajide</t>
  </si>
  <si>
    <t>niyiola22@yahoo.com</t>
  </si>
  <si>
    <t>Onwudimegwu Joe Ifeanyichukwu</t>
  </si>
  <si>
    <t>onwudimegwujoseph@gmail.com</t>
  </si>
  <si>
    <t>Steve Okoro-sokoh</t>
  </si>
  <si>
    <t>steveokorosokoh@yahoo.com</t>
  </si>
  <si>
    <t>Philip Oluwaseun</t>
  </si>
  <si>
    <t>oduntanphilipoluwaseun@gmail.com</t>
  </si>
  <si>
    <t>Omo's Ndi</t>
  </si>
  <si>
    <t>ndidiomorodion@gmail.com</t>
  </si>
  <si>
    <t>Kaoje Bala Bawa</t>
  </si>
  <si>
    <t>bbbkaoje@gmail.com</t>
  </si>
  <si>
    <t>Mubarak Yusuf</t>
  </si>
  <si>
    <t>mubaraqyusuf@rocketmail.com</t>
  </si>
  <si>
    <t>Dr Abowaba Johnson Idowu Kings</t>
  </si>
  <si>
    <t>drajikings@gmail.com</t>
  </si>
  <si>
    <t>Auwal Musa</t>
  </si>
  <si>
    <t>auwaluishaaqa@gmail.com</t>
  </si>
  <si>
    <t>Imani Olawale</t>
  </si>
  <si>
    <t>imanidaniel39@yahoo.com</t>
  </si>
  <si>
    <t>Emperior Cherry</t>
  </si>
  <si>
    <t>emperorexpress1414@gmail.com</t>
  </si>
  <si>
    <t>Nsikak Ibanga</t>
  </si>
  <si>
    <t>nsikakibanga@yahoo.co.uk</t>
  </si>
  <si>
    <t>Omuye Ajiri Moses</t>
  </si>
  <si>
    <t>omuyemoses@gmail.com</t>
  </si>
  <si>
    <t>Zechariah Adamz</t>
  </si>
  <si>
    <t>zakadamszak@gmail.com</t>
  </si>
  <si>
    <t>Buloye Somade</t>
  </si>
  <si>
    <t>buloyesomade77@yahoo.com</t>
  </si>
  <si>
    <t>Olatunji Awe Rotimi</t>
  </si>
  <si>
    <t>aweorepo@gmail.com</t>
  </si>
  <si>
    <t>Durojaiye Oladapo Adeshina</t>
  </si>
  <si>
    <t>tenfeet4life@yahoo.com</t>
  </si>
  <si>
    <t>Adetilehin Ayodele</t>
  </si>
  <si>
    <t>adetilehin@yahoo.com</t>
  </si>
  <si>
    <t>Shambee Mlf</t>
  </si>
  <si>
    <t>shambee4elteema@yahoo.co.uk</t>
  </si>
  <si>
    <t>Victor Makadi</t>
  </si>
  <si>
    <t>vicglad2002@yahoo.com</t>
  </si>
  <si>
    <t>Martins Megbon</t>
  </si>
  <si>
    <t>princemartins1@yahoo.com</t>
  </si>
  <si>
    <t>Dossy Helen Nnamdi Ben</t>
  </si>
  <si>
    <t>valuelips4christ@gmail.com</t>
  </si>
  <si>
    <t>Ebere Mike</t>
  </si>
  <si>
    <t>ebyalbech@yahoo.com</t>
  </si>
  <si>
    <t>Peterfemi Odebiyi</t>
  </si>
  <si>
    <t>drpeterodebiyi@gmail.com</t>
  </si>
  <si>
    <t>Arinde O. Joel</t>
  </si>
  <si>
    <t>arindeojoel@gmail.com</t>
  </si>
  <si>
    <t>Dare Segun</t>
  </si>
  <si>
    <t>daresegunco@outlook.com</t>
  </si>
  <si>
    <t>Isyku Musa</t>
  </si>
  <si>
    <t>isyakumusa35@gmail.com</t>
  </si>
  <si>
    <t>Aleakhue Ikhanoba</t>
  </si>
  <si>
    <t>felixikhanoba@gmail.com</t>
  </si>
  <si>
    <t>Aideyan Idusogie</t>
  </si>
  <si>
    <t>aidey44@gmail.com</t>
  </si>
  <si>
    <t>SIMON ISHAKU</t>
  </si>
  <si>
    <t>dassahselna@yahoo.com</t>
  </si>
  <si>
    <t>+234 702 677 6262</t>
  </si>
  <si>
    <t>es Linked in</t>
  </si>
  <si>
    <t>segun</t>
  </si>
  <si>
    <t>segunakogun@yahoo.co.uk</t>
  </si>
  <si>
    <t>+234 803 374 6114</t>
  </si>
  <si>
    <t>Abraham</t>
  </si>
  <si>
    <t>abrahamdurosawo@gmail.com</t>
  </si>
  <si>
    <t>8060000000</t>
  </si>
  <si>
    <t>Ajudua</t>
  </si>
  <si>
    <t>chambersajudua28@gmail.com</t>
  </si>
  <si>
    <t>+234 809 238 5131</t>
  </si>
  <si>
    <t>AFOSI</t>
  </si>
  <si>
    <t>patriotoluseun@gmail.com</t>
  </si>
  <si>
    <t>+234 703 330 2046</t>
  </si>
  <si>
    <t>Olushola</t>
  </si>
  <si>
    <t>olusegunolushola1@gmail.com</t>
  </si>
  <si>
    <t>2350000000000</t>
  </si>
  <si>
    <t>iabubakar123@gmail.com</t>
  </si>
  <si>
    <t>+234 903 766 5883</t>
  </si>
  <si>
    <t>Gabriel</t>
  </si>
  <si>
    <t>nworahgabriel@gmail.com</t>
  </si>
  <si>
    <t>+234 809 955 5261</t>
  </si>
  <si>
    <t>Awaiz</t>
  </si>
  <si>
    <t>uwaisp@gmail.com</t>
  </si>
  <si>
    <t>+966 50 156 4011</t>
  </si>
  <si>
    <t>Adebola</t>
  </si>
  <si>
    <t>adebolay@yahoo.com</t>
  </si>
  <si>
    <t>8020000000</t>
  </si>
  <si>
    <t>Dotun</t>
  </si>
  <si>
    <t>dotun15@yahoo.com</t>
  </si>
  <si>
    <t>9060000000</t>
  </si>
  <si>
    <t>Christopher</t>
  </si>
  <si>
    <t>christofamous@gmail.com</t>
  </si>
  <si>
    <t>+234 806 568 7626</t>
  </si>
  <si>
    <t>Tobenna</t>
  </si>
  <si>
    <t>tobennaokoli@gmail.com</t>
  </si>
  <si>
    <t>AKEEM</t>
  </si>
  <si>
    <t>spunak.sa@gmail.com</t>
  </si>
  <si>
    <t>RICHEAL</t>
  </si>
  <si>
    <t>richywhite4u@yahoo.com</t>
  </si>
  <si>
    <t>8100000000</t>
  </si>
  <si>
    <t>Rabih</t>
  </si>
  <si>
    <t>sader.rabih@gmail.com</t>
  </si>
  <si>
    <t>+234 817 710 0001</t>
  </si>
  <si>
    <t>TUNDE</t>
  </si>
  <si>
    <t>sirtuler@gmail.com</t>
  </si>
  <si>
    <t>7070000000</t>
  </si>
  <si>
    <t>Justin</t>
  </si>
  <si>
    <t>justin4see@yahoo.com</t>
  </si>
  <si>
    <t>8170000000</t>
  </si>
  <si>
    <t>Oludotun</t>
  </si>
  <si>
    <t>loveworld45@yahoo.com</t>
  </si>
  <si>
    <t>Tunde</t>
  </si>
  <si>
    <t>embayng@yahoo.co.uk</t>
  </si>
  <si>
    <t>confidence</t>
  </si>
  <si>
    <t>achodoconfidence@gmail.com</t>
  </si>
  <si>
    <t>+234 706 061 4389</t>
  </si>
  <si>
    <t>Temidayo Joseph</t>
  </si>
  <si>
    <t>temidayo003@gmail.com</t>
  </si>
  <si>
    <t>+234 706 497 3913</t>
  </si>
  <si>
    <t>Adebisi</t>
  </si>
  <si>
    <t>Jonesadebisi@yahoo.com</t>
  </si>
  <si>
    <t>+234 703 346 2440</t>
  </si>
  <si>
    <t>Matthew A.</t>
  </si>
  <si>
    <t>matt.aigbe@gmail.com</t>
  </si>
  <si>
    <t>+234 806 689 4422</t>
  </si>
  <si>
    <t>Jimmy</t>
  </si>
  <si>
    <t>sijglolimited@hotmail.com</t>
  </si>
  <si>
    <t>8189499999</t>
  </si>
  <si>
    <t>Kalu</t>
  </si>
  <si>
    <t>okorigwo@yahoo.com</t>
  </si>
  <si>
    <t>8141942818</t>
  </si>
  <si>
    <t>Owolabi</t>
  </si>
  <si>
    <t>olatunjee@gmail.com</t>
  </si>
  <si>
    <t>+234 803 251 8824</t>
  </si>
  <si>
    <t>Henry</t>
  </si>
  <si>
    <t>crusader4laif@yahoo.com</t>
  </si>
  <si>
    <t>+234 818 989 8960</t>
  </si>
  <si>
    <t>Abiodun</t>
  </si>
  <si>
    <t>bodubola2003@yahoo.com</t>
  </si>
  <si>
    <t>+234 808 584 3606</t>
  </si>
  <si>
    <t>Fanny</t>
  </si>
  <si>
    <t>efeiced@yahoo.com</t>
  </si>
  <si>
    <t>8040000000</t>
  </si>
  <si>
    <t>Engr.</t>
  </si>
  <si>
    <t>7040000000</t>
  </si>
  <si>
    <t>USMAN</t>
  </si>
  <si>
    <t>globaloverseasstudyagency@gmail.com</t>
  </si>
  <si>
    <t>+234 816 299 8304</t>
  </si>
  <si>
    <t>Stephen</t>
  </si>
  <si>
    <t>speedmate@yahoo.com</t>
  </si>
  <si>
    <t>+234 802 070 3755</t>
  </si>
  <si>
    <t>William</t>
  </si>
  <si>
    <t>wjs.voc@gmail.com</t>
  </si>
  <si>
    <t>+7 921 869-80-09</t>
  </si>
  <si>
    <t>Abdulkareem</t>
  </si>
  <si>
    <t>abdulkareem_201368@yahoo.com</t>
  </si>
  <si>
    <t>8030000000</t>
  </si>
  <si>
    <t>olawumi</t>
  </si>
  <si>
    <t>olawumiheavens@yahoo.com</t>
  </si>
  <si>
    <t>8110000000</t>
  </si>
  <si>
    <t>Oluwasanmi</t>
  </si>
  <si>
    <t>oluwasanmi.og@gmail.com</t>
  </si>
  <si>
    <t>Bilal</t>
  </si>
  <si>
    <t>+234 803 656 2788</t>
  </si>
  <si>
    <t>Yusuf</t>
  </si>
  <si>
    <t>yusufiyimoga78@yahoo.co.uk</t>
  </si>
  <si>
    <t>+93 70 080 5019</t>
  </si>
  <si>
    <t>Iyafokhai</t>
  </si>
  <si>
    <t>rossey_gal@yahoo.com</t>
  </si>
  <si>
    <t>bichisadeeq@yahoo.com</t>
  </si>
  <si>
    <t>+234 813 333 6518</t>
  </si>
  <si>
    <t>Oluwatobi Abike</t>
  </si>
  <si>
    <t>abikehairservices@gmail.com</t>
  </si>
  <si>
    <t>7020000000</t>
  </si>
  <si>
    <t>Osagie</t>
  </si>
  <si>
    <t>osagiealfred1@gmail.com</t>
  </si>
  <si>
    <t>Olukunmi</t>
  </si>
  <si>
    <t>+234 803 569 6625</t>
  </si>
  <si>
    <t>Aminu</t>
  </si>
  <si>
    <t>aashehu@gmail.com</t>
  </si>
  <si>
    <t>+234 803 559 7660</t>
  </si>
  <si>
    <t>Abdul</t>
  </si>
  <si>
    <t>griafrica@gmail.com</t>
  </si>
  <si>
    <t>+234 803 657 4144</t>
  </si>
  <si>
    <t>Gegele</t>
  </si>
  <si>
    <t>gegeleolushola07@gmail.com</t>
  </si>
  <si>
    <t>8070000000</t>
  </si>
  <si>
    <t>Davido</t>
  </si>
  <si>
    <t>davidoayomide@gmail.com</t>
  </si>
  <si>
    <t>+234 817 963 8425</t>
  </si>
  <si>
    <t>DAPO</t>
  </si>
  <si>
    <t>cmtnigltd@gmail.com</t>
  </si>
  <si>
    <t>+234 805 275 5348</t>
  </si>
  <si>
    <t>Victor</t>
  </si>
  <si>
    <t>aniebiet01@yahoo.com</t>
  </si>
  <si>
    <t>+234 803 582 7747</t>
  </si>
  <si>
    <t>Moufick</t>
  </si>
  <si>
    <t>olabidounmoufick@gmail.com</t>
  </si>
  <si>
    <t>23000000000</t>
  </si>
  <si>
    <t>Hassa</t>
  </si>
  <si>
    <t>hassanmtahir@yahoo.com</t>
  </si>
  <si>
    <t>+234 803 865 5239</t>
  </si>
  <si>
    <t>Norbert</t>
  </si>
  <si>
    <t>norbert.oleah@gmail.com</t>
  </si>
  <si>
    <t>+234808 580 4650</t>
  </si>
  <si>
    <t>Tayo</t>
  </si>
  <si>
    <t>adeyinka.anthony@gmail.com</t>
  </si>
  <si>
    <t>+1 809-955-2917</t>
  </si>
  <si>
    <t>Dozie</t>
  </si>
  <si>
    <t>dozieabajue@gmail.com</t>
  </si>
  <si>
    <t>+234 802 223 4206</t>
  </si>
  <si>
    <t>ADESINA</t>
  </si>
  <si>
    <t>florida1004@yahoo.com</t>
  </si>
  <si>
    <t>+234 8057826996</t>
  </si>
  <si>
    <t>Samuel</t>
  </si>
  <si>
    <t>honestsam131@gmail.com</t>
  </si>
  <si>
    <t>+234 806 233 4411</t>
  </si>
  <si>
    <t>ESHEMOKHAI</t>
  </si>
  <si>
    <t>shemoakpene@gmail.com</t>
  </si>
  <si>
    <t>8080000000</t>
  </si>
  <si>
    <t>Dapo</t>
  </si>
  <si>
    <t>oladapoeludire@gmail.com</t>
  </si>
  <si>
    <t>804000000</t>
  </si>
  <si>
    <t>Chidiadi</t>
  </si>
  <si>
    <t>diadichi@yahoo.com</t>
  </si>
  <si>
    <t>+234 818 329 5296</t>
  </si>
  <si>
    <t>IHEKORONYE</t>
  </si>
  <si>
    <t>ichimaobi76@gmail.com</t>
  </si>
  <si>
    <t>+234 802 244 4118</t>
  </si>
  <si>
    <t>Durotimi</t>
  </si>
  <si>
    <t>rotimiogungbamila@yahoo.com</t>
  </si>
  <si>
    <t>+234 803 705 5846</t>
  </si>
  <si>
    <t>Esther</t>
  </si>
  <si>
    <t>esther.oyewole@aiesec.net</t>
  </si>
  <si>
    <t>Assumpta</t>
  </si>
  <si>
    <t>Assumptaejims@gmail.com</t>
  </si>
  <si>
    <t>+234 813 563 0881</t>
  </si>
  <si>
    <t>âœ§BABATUNDE</t>
  </si>
  <si>
    <t>tunde_imam@yahoo.com</t>
  </si>
  <si>
    <t>+234 809 593 3592</t>
  </si>
  <si>
    <t>Adefemi</t>
  </si>
  <si>
    <t>adegitefemi@gmail.com</t>
  </si>
  <si>
    <t>+234 808 029 5331</t>
  </si>
  <si>
    <t>A.H</t>
  </si>
  <si>
    <t>info@depenglobal.com</t>
  </si>
  <si>
    <t>9030000000</t>
  </si>
  <si>
    <t>Wealth</t>
  </si>
  <si>
    <t>capitalsteelfabcement@gmail.com</t>
  </si>
  <si>
    <t>8189408404</t>
  </si>
  <si>
    <t>Yvonne</t>
  </si>
  <si>
    <t>yvonnemordi@yahoo.com</t>
  </si>
  <si>
    <t>2347030000000</t>
  </si>
  <si>
    <t>Onuaja</t>
  </si>
  <si>
    <t>ogboaja@yahoo.com</t>
  </si>
  <si>
    <t>+234 803 933 6607</t>
  </si>
  <si>
    <t>Olufemi</t>
  </si>
  <si>
    <t>olufemidavid160@gmail.com</t>
  </si>
  <si>
    <t>7065949183</t>
  </si>
  <si>
    <t>Umar</t>
  </si>
  <si>
    <t>danbakanoo@gmail.com</t>
  </si>
  <si>
    <t>8064880093</t>
  </si>
  <si>
    <t>Isa</t>
  </si>
  <si>
    <t>aliyushata@yahoo.com</t>
  </si>
  <si>
    <t>+234 909 966 2378</t>
  </si>
  <si>
    <t>Olatunde</t>
  </si>
  <si>
    <t>olatundeayeleru@gmail.com</t>
  </si>
  <si>
    <t>8064934021</t>
  </si>
  <si>
    <t>Matthias</t>
  </si>
  <si>
    <t>ogwuchemateene0@gmail.com</t>
  </si>
  <si>
    <t>234 905 764 7562</t>
  </si>
  <si>
    <t>Daniel</t>
  </si>
  <si>
    <t>daniel.udoh@duopensource.com</t>
  </si>
  <si>
    <t>234 803 916 3770</t>
  </si>
  <si>
    <t>Anthony</t>
  </si>
  <si>
    <t>ashishler@gmail.com</t>
  </si>
  <si>
    <t>2348140000000</t>
  </si>
  <si>
    <t>HAMZA</t>
  </si>
  <si>
    <t>thehamza@yahoo.com</t>
  </si>
  <si>
    <t>8036344760</t>
  </si>
  <si>
    <t>Joseph</t>
  </si>
  <si>
    <t>joseph@yourbudgit.com</t>
  </si>
  <si>
    <t>+234 703 618 8527</t>
  </si>
  <si>
    <t>Lanreautosng@gmail.com</t>
  </si>
  <si>
    <t>234 809 688 6859</t>
  </si>
  <si>
    <t>Ikechukwu</t>
  </si>
  <si>
    <t>concretebusinessproperties@gmail.com</t>
  </si>
  <si>
    <t>234 803 587 3846</t>
  </si>
  <si>
    <t>OLUWAKEMI</t>
  </si>
  <si>
    <t>chermie.a@gmail.com</t>
  </si>
  <si>
    <t>8099449654</t>
  </si>
  <si>
    <t>Ade</t>
  </si>
  <si>
    <t>adeoseni@gmail.com</t>
  </si>
  <si>
    <t>aftermathsolicitors@gmail.com</t>
  </si>
  <si>
    <t>+234 803 766 6241</t>
  </si>
  <si>
    <t>Kehinde</t>
  </si>
  <si>
    <t>kenmakerm@yahoo.com</t>
  </si>
  <si>
    <t>+234 802 380 0292</t>
  </si>
  <si>
    <t>George</t>
  </si>
  <si>
    <t>cartmailservices@gmail.com</t>
  </si>
  <si>
    <t>Ricketts</t>
  </si>
  <si>
    <t>taiworicketts@gmail.com</t>
  </si>
  <si>
    <t>8180000000</t>
  </si>
  <si>
    <t>Ayomide</t>
  </si>
  <si>
    <t>akindeledavid0016@gmail.com</t>
  </si>
  <si>
    <t>0809 649 3021</t>
  </si>
  <si>
    <t>Basheer</t>
  </si>
  <si>
    <t>Prosper</t>
  </si>
  <si>
    <t>prosperagoon1@gmail.com</t>
  </si>
  <si>
    <t>8090000000</t>
  </si>
  <si>
    <t>Chief Oladimeji</t>
  </si>
  <si>
    <t>oladimejiakinyemi@yahoo.com</t>
  </si>
  <si>
    <t>+234 802 057 0959</t>
  </si>
  <si>
    <t>8190000000</t>
  </si>
  <si>
    <t>+234 905 764 7562</t>
  </si>
  <si>
    <t>+234 803 916 3770</t>
  </si>
  <si>
    <t>Oyeyemi</t>
  </si>
  <si>
    <t>+234 811 083 2512</t>
  </si>
  <si>
    <t>Nwadighoha</t>
  </si>
  <si>
    <t>+234 806 477 5363</t>
  </si>
  <si>
    <t>Sideh-Chris</t>
  </si>
  <si>
    <t>samsoki43@gmail.com</t>
  </si>
  <si>
    <t>234 706 319 8076</t>
  </si>
  <si>
    <t>Olatunde Jimmy</t>
  </si>
  <si>
    <t>sobayo.jimi@yahoo.com</t>
  </si>
  <si>
    <t>+234 909 997 5233</t>
  </si>
  <si>
    <t>albertodeliro@gmail.com</t>
  </si>
  <si>
    <t>Akinkuotu</t>
  </si>
  <si>
    <t>ahenryekundayo@gmail.com</t>
  </si>
  <si>
    <t>+234 703 917 7214</t>
  </si>
  <si>
    <t>oladeletor@gmail.com</t>
  </si>
  <si>
    <t>234 903 565 2346</t>
  </si>
  <si>
    <t>Kolawole</t>
  </si>
  <si>
    <t>lekkiadvantage@yahoo.com</t>
  </si>
  <si>
    <t>+234 803 467 0305</t>
  </si>
  <si>
    <t>shola Jonathan</t>
  </si>
  <si>
    <t>sholajayi90@gmail.com</t>
  </si>
  <si>
    <t>+234 703 057 9633</t>
  </si>
  <si>
    <t>Jamal</t>
  </si>
  <si>
    <t>jamalsanda7@gmail.com</t>
  </si>
  <si>
    <t>+234 803 770 6368</t>
  </si>
  <si>
    <t>Akano</t>
  </si>
  <si>
    <t>crystalgateinv.ltd@gmail.com</t>
  </si>
  <si>
    <t>+234 803 229 3006</t>
  </si>
  <si>
    <t>Oluwatosin</t>
  </si>
  <si>
    <t>dadus_tosin@live.com</t>
  </si>
  <si>
    <t>+234 802 492 6700</t>
  </si>
  <si>
    <t>Gbadegeshin</t>
  </si>
  <si>
    <t>dagsoftcad@gmail.com</t>
  </si>
  <si>
    <t>+234 703 551 6512</t>
  </si>
  <si>
    <t>12/13/0208</t>
  </si>
  <si>
    <t>Mayowa</t>
  </si>
  <si>
    <t>mayowani@gmail.com</t>
  </si>
  <si>
    <t>Maurice</t>
  </si>
  <si>
    <t>moibie@yahoo.com</t>
  </si>
  <si>
    <t>+234 8057386575</t>
  </si>
  <si>
    <t>Ruth</t>
  </si>
  <si>
    <t>ruthowoeye@ymail.com</t>
  </si>
  <si>
    <t>2347080000000</t>
  </si>
  <si>
    <t>victor.seun.meddy@gmail.com</t>
  </si>
  <si>
    <t>+234 8137010870</t>
  </si>
  <si>
    <t>hagambaza@yahoo.com</t>
  </si>
  <si>
    <t>+234 802 230 1263</t>
  </si>
  <si>
    <t>Jimmy Aronokhale</t>
  </si>
  <si>
    <t>aronokhale.jimmy@gmail.com</t>
  </si>
  <si>
    <t>+234 905 291 0812</t>
  </si>
  <si>
    <t>ADEBAYO</t>
  </si>
  <si>
    <t>generichomes@gmail.com</t>
  </si>
  <si>
    <t>+234 8186219002</t>
  </si>
  <si>
    <t>Emeka</t>
  </si>
  <si>
    <t>ac_emeka@yahoo.com</t>
  </si>
  <si>
    <t>+234 909 126 3860</t>
  </si>
  <si>
    <t>shekinahconltd17@gmail.com</t>
  </si>
  <si>
    <t>+234 806 673 3686</t>
  </si>
  <si>
    <t>Ola</t>
  </si>
  <si>
    <t>olan1000@yahoo.com</t>
  </si>
  <si>
    <t>8033750536</t>
  </si>
  <si>
    <t>Omobolanle</t>
  </si>
  <si>
    <t>Sheyi.luvs@gmail.com</t>
  </si>
  <si>
    <t>8166327916</t>
  </si>
  <si>
    <t>Joy</t>
  </si>
  <si>
    <t>joyvicktor@gmail.com</t>
  </si>
  <si>
    <t>Jide</t>
  </si>
  <si>
    <t>oyekunleolujide@gmail.com</t>
  </si>
  <si>
    <t>234(0)8037620798</t>
  </si>
  <si>
    <t>Olanrewaju</t>
  </si>
  <si>
    <t>lanre.jolaoso@yahoo.com</t>
  </si>
  <si>
    <t>ndubisi</t>
  </si>
  <si>
    <t>ndubisiezenobi@gmail.com</t>
  </si>
  <si>
    <t>amina</t>
  </si>
  <si>
    <t>salihuamina41@yahoo.com</t>
  </si>
  <si>
    <t>Oghale</t>
  </si>
  <si>
    <t>komerero@gmail.com</t>
  </si>
  <si>
    <t>stevejonas26@gmail.com</t>
  </si>
  <si>
    <t>Charles</t>
  </si>
  <si>
    <t>onyemakonorcharles@gmail.com</t>
  </si>
  <si>
    <t>+234 803 594 1750</t>
  </si>
  <si>
    <t>Ikechukwu Adedayo</t>
  </si>
  <si>
    <t>ikechukwu.osuya@gmail.com</t>
  </si>
  <si>
    <t>+234 812 385 1283</t>
  </si>
  <si>
    <t>Fidelis</t>
  </si>
  <si>
    <t>ugwufidelis73@gmail.com</t>
  </si>
  <si>
    <t>+234 703 289 3249</t>
  </si>
  <si>
    <t>marc bola</t>
  </si>
  <si>
    <t>marcbolaopaleye@hotmail.com</t>
  </si>
  <si>
    <t>afesumi</t>
  </si>
  <si>
    <t>afesumisamuel@gmail.com</t>
  </si>
  <si>
    <t>IBITOYE</t>
  </si>
  <si>
    <t>ibitoyeadeshola@gmail.com</t>
  </si>
  <si>
    <t>fortune</t>
  </si>
  <si>
    <t>wachukwufortune@yahoo.com</t>
  </si>
  <si>
    <t>8150000000</t>
  </si>
  <si>
    <t>Eli</t>
  </si>
  <si>
    <t>ellywilson123@gmail.com</t>
  </si>
  <si>
    <t>7090000000</t>
  </si>
  <si>
    <t>Jennifer</t>
  </si>
  <si>
    <t>jjohnson004@hotmail.com</t>
  </si>
  <si>
    <t>Awofisoye</t>
  </si>
  <si>
    <t>oluseunawofisoye@yahoo.com</t>
  </si>
  <si>
    <t>Developer</t>
  </si>
  <si>
    <t>Agents</t>
  </si>
  <si>
    <t>Bara Tax</t>
  </si>
  <si>
    <t>ata.xxxx@yahoo.com</t>
  </si>
  <si>
    <t xml:space="preserve">China Events </t>
  </si>
  <si>
    <t>Ernest Kangwa</t>
  </si>
  <si>
    <t>kangwaernest@yahoo.com</t>
  </si>
  <si>
    <t>Rajeev Tripathi</t>
  </si>
  <si>
    <t>rajivtripathi@rediffmail.com</t>
  </si>
  <si>
    <t>JianBo Gao</t>
  </si>
  <si>
    <t>gjb20151@163.com</t>
  </si>
  <si>
    <t>Mostafa Moses</t>
  </si>
  <si>
    <t>world1shine@yahoo.com</t>
  </si>
  <si>
    <t>Johnson O. Esua</t>
  </si>
  <si>
    <t>johnson.esua@gmail.com</t>
  </si>
  <si>
    <t>Benbrahim Reda</t>
  </si>
  <si>
    <t>maktarisltd@gmail.com</t>
  </si>
  <si>
    <t>Ben Zhang</t>
  </si>
  <si>
    <t>shaobin8822@gmail.com</t>
  </si>
  <si>
    <t>Adil Ahmed</t>
  </si>
  <si>
    <t>leisuresoul@gmail.com</t>
  </si>
  <si>
    <t>裴言诺</t>
  </si>
  <si>
    <t>770544368@qq.com</t>
  </si>
  <si>
    <t>Ahmed Abd Ahmed</t>
  </si>
  <si>
    <t>amd200@126.com</t>
  </si>
  <si>
    <t>Zahoor Ali</t>
  </si>
  <si>
    <t>zahoorbni@yahoo.com</t>
  </si>
  <si>
    <t>Syed Mashkoor Hussain</t>
  </si>
  <si>
    <t>shahkorea@yahoo.com</t>
  </si>
  <si>
    <t>李智</t>
  </si>
  <si>
    <t>leaserster@gmail.com</t>
  </si>
  <si>
    <t>Amelia Kyambadde</t>
  </si>
  <si>
    <t>kyambadde.amelia@gmail.com</t>
  </si>
  <si>
    <t>Harish Tikyani</t>
  </si>
  <si>
    <t>harisht166@gmail.com</t>
  </si>
  <si>
    <t>Don Kanawati</t>
  </si>
  <si>
    <t>ammar.kanawati@gmail.com</t>
  </si>
  <si>
    <t>Sekou Kally</t>
  </si>
  <si>
    <t>sekoukally@gmail.com</t>
  </si>
  <si>
    <t>Nancy Beck Rounds</t>
  </si>
  <si>
    <t>nancybrounds@gmail.com</t>
  </si>
  <si>
    <t>Jawad Rafique</t>
  </si>
  <si>
    <t>international381@yahoo.com</t>
  </si>
  <si>
    <t>AMJAD</t>
  </si>
  <si>
    <t>amjad.a.n@hotmail.com</t>
  </si>
  <si>
    <t>Arif Hussain Magsi</t>
  </si>
  <si>
    <t>ahmagsi@sau.edu.pk</t>
  </si>
  <si>
    <t>Md Eusup</t>
  </si>
  <si>
    <t>mdeusupbablu347@gmail.com</t>
  </si>
  <si>
    <t>11/17/0208</t>
  </si>
  <si>
    <t>Fan Yang</t>
  </si>
  <si>
    <t>349949274@qq.com</t>
  </si>
  <si>
    <t>柏高</t>
  </si>
  <si>
    <t>13802785171@163.com</t>
  </si>
  <si>
    <t>Stephen Shen</t>
  </si>
  <si>
    <t>stephen6262371@hotmail.com</t>
  </si>
  <si>
    <t>Mahone-Katchitava Nolan</t>
  </si>
  <si>
    <t>banny-ch1988@hotmail.com</t>
  </si>
  <si>
    <t>Pheyock</t>
  </si>
  <si>
    <t>sudalyanto_anto@yahoo.co.id</t>
  </si>
  <si>
    <t>Dr. HUSSEIN ALI ABDULLAH</t>
  </si>
  <si>
    <t>2366481873@qq.com</t>
  </si>
  <si>
    <t>Imran G</t>
  </si>
  <si>
    <t>imranjmc@yahoo.co.in</t>
  </si>
  <si>
    <t>Kevy Lu</t>
  </si>
  <si>
    <t>kevyaa@hotmail.com</t>
  </si>
  <si>
    <t>Mati Ullah Khan</t>
  </si>
  <si>
    <t>pearlmati222@gmail.com</t>
  </si>
  <si>
    <t>Yunfei Li</t>
  </si>
  <si>
    <t>lyf54321@qq.com</t>
  </si>
  <si>
    <t>Terry Tam</t>
  </si>
  <si>
    <t>terry@chunau.com.hk</t>
  </si>
  <si>
    <t>Zou Qian</t>
  </si>
  <si>
    <t>chinafuguo@gmail.com</t>
  </si>
  <si>
    <t>Matt Hwang</t>
  </si>
  <si>
    <t>hkwangh7@hanmail.net</t>
  </si>
  <si>
    <t>Hassan Waizani</t>
  </si>
  <si>
    <t>waizani1965@hotmail.com</t>
  </si>
  <si>
    <t>Jurgen Oldenburg</t>
  </si>
  <si>
    <t>jholdenburgsn@gmail.com</t>
  </si>
  <si>
    <t>Pdlc Cn</t>
  </si>
  <si>
    <t>jodieqi@yahoo.com</t>
  </si>
  <si>
    <t>William Chan</t>
  </si>
  <si>
    <t>18516180084@163.com</t>
  </si>
  <si>
    <t>Nordine Badaoui</t>
  </si>
  <si>
    <t>anakine_82@hotmail.fr</t>
  </si>
  <si>
    <t>Muhammad Yousaf Qadri</t>
  </si>
  <si>
    <t>hayyanhayyan968@gmail.com</t>
  </si>
  <si>
    <t>Jack Yeh</t>
  </si>
  <si>
    <t>jackyeh1030@gmail.com</t>
  </si>
  <si>
    <t>朱福东</t>
  </si>
  <si>
    <t>zhufudong1955@gmail.com</t>
  </si>
  <si>
    <t>Ben Fredj Ezzeddine</t>
  </si>
  <si>
    <t>ezzedine@dreamnegoce.com</t>
  </si>
  <si>
    <t>周正鑫</t>
  </si>
  <si>
    <t>wdjadmin@126.com</t>
  </si>
  <si>
    <t>Samo Idlibi</t>
  </si>
  <si>
    <t>Osaamaidlibi@gmail.com</t>
  </si>
  <si>
    <t>Gilberto Ribeiro</t>
  </si>
  <si>
    <t>agrogilca@hotmail.com</t>
  </si>
  <si>
    <t>Habib Wazir</t>
  </si>
  <si>
    <t>Wazir5064@gmail.com</t>
  </si>
  <si>
    <t>Menbere Awalom</t>
  </si>
  <si>
    <t>crossartcenter72@gmail.com</t>
  </si>
  <si>
    <t>Asmie Birlie</t>
  </si>
  <si>
    <t>asmiebirlie@yahoo.com</t>
  </si>
  <si>
    <t>Osman Issa</t>
  </si>
  <si>
    <t>issa_china2011@yahoo.com</t>
  </si>
  <si>
    <t>Bright Animley</t>
  </si>
  <si>
    <t>bright_animley@yahoo.com</t>
  </si>
  <si>
    <t>GeorGe Wong</t>
  </si>
  <si>
    <t>gwong.pure@icloud.com</t>
  </si>
  <si>
    <t>سامي عبدالوهاب</t>
  </si>
  <si>
    <t>Sami-whab@hotmail.com</t>
  </si>
  <si>
    <t>Juan Mojica</t>
  </si>
  <si>
    <t>jdmf20@gmail.com</t>
  </si>
  <si>
    <t>Hendy Phiri</t>
  </si>
  <si>
    <t>handyphiri@gmail.com</t>
  </si>
  <si>
    <t>Jason Ding</t>
  </si>
  <si>
    <t>tcgenuo@gmail.com</t>
  </si>
  <si>
    <t>Egbayelo Idowu Francis Adeola</t>
  </si>
  <si>
    <t>egbayelo.francis@yahoo.com</t>
  </si>
  <si>
    <t>Garry Ganiman</t>
  </si>
  <si>
    <t>ganiman_i@mail.ru</t>
  </si>
  <si>
    <t>Ducaysane Aden</t>
  </si>
  <si>
    <t>baashebma@hotmail.com</t>
  </si>
  <si>
    <t>Abir Saguer</t>
  </si>
  <si>
    <t>abir241@hotmail.com</t>
  </si>
  <si>
    <t>林书蔚</t>
  </si>
  <si>
    <t>zineb_roudani@yahoo.com</t>
  </si>
  <si>
    <t>楊塵子</t>
  </si>
  <si>
    <t>359689793@qq.com</t>
  </si>
  <si>
    <t>Châu Hải Khánh</t>
  </si>
  <si>
    <t>camvankhanhi@icloud.com</t>
  </si>
  <si>
    <t>Ma Ling Jun</t>
  </si>
  <si>
    <t>malingjun@cnyunxing.com</t>
  </si>
  <si>
    <t>Christine R Pehrson</t>
  </si>
  <si>
    <t>arisfox@icloud.com</t>
  </si>
  <si>
    <t>马兵</t>
  </si>
  <si>
    <t>103304687@qq.com</t>
  </si>
  <si>
    <t>Anand Saria</t>
  </si>
  <si>
    <t>saria_anand@hotmail.com</t>
  </si>
  <si>
    <t>Khorram Mostafa</t>
  </si>
  <si>
    <t>farsgtrd@gmail.com</t>
  </si>
  <si>
    <t>Loi Xiao</t>
  </si>
  <si>
    <t>loi.xiao@fidinam.com.hk</t>
  </si>
  <si>
    <t>Rakesh Goyal</t>
  </si>
  <si>
    <t>goyalrakesh100@gmail.com</t>
  </si>
  <si>
    <t>Татьяна Онуфриева</t>
  </si>
  <si>
    <t>oti3177@yandex.ru</t>
  </si>
  <si>
    <t>XIAOYAN ZHOU</t>
  </si>
  <si>
    <t>atc.jenny@autotec.com.cn</t>
  </si>
  <si>
    <t>Somsak Pattanadee</t>
  </si>
  <si>
    <t>yingpatana96@gmail.com</t>
  </si>
  <si>
    <t>Alan Ramchandani</t>
  </si>
  <si>
    <t>geniuskrishgz@gmail.com</t>
  </si>
  <si>
    <t>Fazal Hussain Awan</t>
  </si>
  <si>
    <t>fazalawan354@gmail.com</t>
  </si>
  <si>
    <t>فوزي عبدالوهاب النباش</t>
  </si>
  <si>
    <t>faozialmashwali@hotmail.com</t>
  </si>
  <si>
    <t>Dinesh Pujara</t>
  </si>
  <si>
    <t>dineshpujara@hotmail.com</t>
  </si>
  <si>
    <t>H J Kan</t>
  </si>
  <si>
    <t>hjk888hk@gmail.com</t>
  </si>
  <si>
    <t>张生良</t>
  </si>
  <si>
    <t>zhangbruce2016@gmail.com</t>
  </si>
  <si>
    <t>Samson Ngai</t>
  </si>
  <si>
    <t>samson.ngai@hotmail.com</t>
  </si>
  <si>
    <t>Stanalie richertille M kifouani</t>
  </si>
  <si>
    <t>Stanaliekif@gmail.com</t>
  </si>
  <si>
    <t>Riza Navarro Agena</t>
  </si>
  <si>
    <t>riz_agena@yahoo.com</t>
  </si>
  <si>
    <t>Mostafa Soltan</t>
  </si>
  <si>
    <t>mossultan@yahoo.com</t>
  </si>
  <si>
    <t>Nurah Nurainy</t>
  </si>
  <si>
    <t>nurainy919@gmail.com</t>
  </si>
  <si>
    <t>Misbahul Ulum</t>
  </si>
  <si>
    <t>ulumm511@gmail.com</t>
  </si>
  <si>
    <t>Zac Tan</t>
  </si>
  <si>
    <t>zac96329730@yahoo.com.sg</t>
  </si>
  <si>
    <t>Cho Cartrite Tenthani Banda</t>
  </si>
  <si>
    <t>cholwebanda32@gmail.com</t>
  </si>
  <si>
    <t>MOHAMED H A ARHIM</t>
  </si>
  <si>
    <t>ensaxi@hotmail.com</t>
  </si>
  <si>
    <t>Chris Chow</t>
  </si>
  <si>
    <t>qqpasd@gmail.com</t>
  </si>
  <si>
    <t>MD Al Mamun</t>
  </si>
  <si>
    <t>www.almamun01785@gmail.com</t>
  </si>
  <si>
    <t>Samuel Ho</t>
  </si>
  <si>
    <t>samuelho@126.com</t>
  </si>
  <si>
    <t>Ishfaq</t>
  </si>
  <si>
    <t>Ishfaqlnu.se@gmail.com</t>
  </si>
  <si>
    <t>Ouedraogo Ousmane</t>
  </si>
  <si>
    <t>ladjineema@gmail.com</t>
  </si>
  <si>
    <t>Liu Zhujian</t>
  </si>
  <si>
    <t>cksissc@gmail.com</t>
  </si>
  <si>
    <t>Faris Mohamed</t>
  </si>
  <si>
    <t>farisemmv@gmail.com</t>
  </si>
  <si>
    <t>胡光亮</t>
  </si>
  <si>
    <t>6450190@qq.com</t>
  </si>
  <si>
    <t>8613910900432</t>
  </si>
  <si>
    <t>+231770492194</t>
  </si>
  <si>
    <t>From: Facebook/ China event</t>
  </si>
  <si>
    <t>Patricia Diaz</t>
  </si>
  <si>
    <t>diaflorpat1@yahoo.com.mx</t>
  </si>
  <si>
    <t>Ch Mohsin</t>
  </si>
  <si>
    <t>Hassankhan1988@outlook.com</t>
  </si>
  <si>
    <t>Jimmy Sarkis</t>
  </si>
  <si>
    <t>djimmysarkis@hotmail.com</t>
  </si>
  <si>
    <t>Albert Leong</t>
  </si>
  <si>
    <t>albertleong31@yahoo.com</t>
  </si>
  <si>
    <t>Niyazi Haciyev</t>
  </si>
  <si>
    <t>oupu.niyazi@gmail.com</t>
  </si>
  <si>
    <t>Hussein Alshammary</t>
  </si>
  <si>
    <t>melanhussein@yahoo.com</t>
  </si>
  <si>
    <t>Romy Jan</t>
  </si>
  <si>
    <t>romyjaan2002@yahoo.com</t>
  </si>
  <si>
    <t>Farwa Zaheer</t>
  </si>
  <si>
    <t>farwanurjis@yahoo.com</t>
  </si>
  <si>
    <t>Chiran Dewkota</t>
  </si>
  <si>
    <t>chirandewkota@gmail.com</t>
  </si>
  <si>
    <t>Landy Wong</t>
  </si>
  <si>
    <t>landywong76@yahoo.com.hk</t>
  </si>
  <si>
    <t>Monica Lok</t>
  </si>
  <si>
    <t>a-choilok@hotmail.com</t>
  </si>
  <si>
    <t>Francesca Patti</t>
  </si>
  <si>
    <t>francescapatti@hotmail.it</t>
  </si>
  <si>
    <t>Well Dias</t>
  </si>
  <si>
    <t>welliktus@gmail.com</t>
  </si>
  <si>
    <t>Hadi Ur Rahman Hadi</t>
  </si>
  <si>
    <t>hadi_khosti@yahoo.com</t>
  </si>
  <si>
    <t>Muhammed Saleem P M</t>
  </si>
  <si>
    <t>saleem3pm@yahoo.co.in</t>
  </si>
  <si>
    <t>Kenneth Amanor Tetteh</t>
  </si>
  <si>
    <t>kenteh27@yahoo.com</t>
  </si>
  <si>
    <t>Limbu Roshan Kumar</t>
  </si>
  <si>
    <t>limburoshan74@gmail.com</t>
  </si>
  <si>
    <t>Abdullahi Faadhyoon</t>
  </si>
  <si>
    <t>faadhyoon@hotmail.com</t>
  </si>
  <si>
    <t>Fares Elalia</t>
  </si>
  <si>
    <t>elalia.fares@yahoo.fr</t>
  </si>
  <si>
    <t>Pier Casaletto</t>
  </si>
  <si>
    <t>piercasaletto@gmail.com</t>
  </si>
  <si>
    <t>393336652491</t>
  </si>
  <si>
    <t>AGents</t>
  </si>
  <si>
    <t>Agrippa Damba</t>
  </si>
  <si>
    <t>agrippa.damba@gmail.com</t>
  </si>
  <si>
    <t>5_bedrooms</t>
  </si>
  <si>
    <t xml:space="preserve">Amalfi Villa </t>
  </si>
  <si>
    <t>Girish Agarwal</t>
  </si>
  <si>
    <t>ga@aegis-overseas.com</t>
  </si>
  <si>
    <t>Khalid Alkhamees</t>
  </si>
  <si>
    <t>kutg2003@yahoo.com</t>
  </si>
  <si>
    <t>Wadee Manasrah</t>
  </si>
  <si>
    <t>wadee780@hotmail.com</t>
  </si>
  <si>
    <t>Ghaith Al Nahar</t>
  </si>
  <si>
    <t>keith.nahar@gmail.com</t>
  </si>
  <si>
    <t>4_bedrooms</t>
  </si>
  <si>
    <t>Sak Khan</t>
  </si>
  <si>
    <t>sak_org@yahoo.com</t>
  </si>
  <si>
    <t>Mousa Howari</t>
  </si>
  <si>
    <t>drhowari@gmail.com</t>
  </si>
  <si>
    <t>haide</t>
  </si>
  <si>
    <t>billy khan</t>
  </si>
  <si>
    <t>billykhan@gmail.com</t>
  </si>
  <si>
    <t>Dina boqamber</t>
  </si>
  <si>
    <t>dween69@hotmail.com</t>
  </si>
  <si>
    <t>سامر سامر</t>
  </si>
  <si>
    <t>fjgu676@gmail.com</t>
  </si>
  <si>
    <t>riyam</t>
  </si>
  <si>
    <t>Amjad Azim</t>
  </si>
  <si>
    <t>amjad.azim00966@gmail.com</t>
  </si>
  <si>
    <t>Fuzael Ahmed</t>
  </si>
  <si>
    <t>fuzael.aanvee@gmail.com</t>
  </si>
  <si>
    <t>Abdurahim Ahemedin</t>
  </si>
  <si>
    <t>abdnze@yahoo.com</t>
  </si>
  <si>
    <t>Mohammed Rashid</t>
  </si>
  <si>
    <t>mohammedrashid838@gmail.com</t>
  </si>
  <si>
    <t>Sagar Sunar</t>
  </si>
  <si>
    <t>sunarsagar76@gmail.com</t>
  </si>
  <si>
    <t>Umar Malik</t>
  </si>
  <si>
    <t>umar.ayubi@yahoo.com</t>
  </si>
  <si>
    <t>Jamir Ali</t>
  </si>
  <si>
    <t>mrsiam89@gmail.com</t>
  </si>
  <si>
    <t>Amjad Afridi</t>
  </si>
  <si>
    <t>amjadafridi2010@hotmail.com</t>
  </si>
  <si>
    <t>Fung Km</t>
  </si>
  <si>
    <t>kitmunf@gmail.com</t>
  </si>
  <si>
    <t>Facebook / Singapore</t>
  </si>
  <si>
    <t>Vincent Khoo</t>
  </si>
  <si>
    <t>vincentkhoo225@yahoo.com</t>
  </si>
  <si>
    <t>Hormuzd R Karanjia</t>
  </si>
  <si>
    <t>searth63@yahoo.com · +6597117810</t>
  </si>
  <si>
    <t>Wayne Wong</t>
  </si>
  <si>
    <t xml:space="preserve">searth63@yahoo.com </t>
  </si>
  <si>
    <t>Wendy Loh</t>
  </si>
  <si>
    <t xml:space="preserve">lohwendy@gmail.com </t>
  </si>
  <si>
    <t>David Cheong</t>
  </si>
  <si>
    <t>rikyrich@yahoo.com</t>
  </si>
  <si>
    <t>Mumtaz Begum</t>
  </si>
  <si>
    <t>mumtazb_77@yahoo.com</t>
  </si>
  <si>
    <t>Leong Yong Fei</t>
  </si>
  <si>
    <t>leongyf_sg@yahoo.com ·</t>
  </si>
  <si>
    <t>Rajen Rajen</t>
  </si>
  <si>
    <t>kumar196892@gmail.com</t>
  </si>
  <si>
    <t>Mohamad Sarman</t>
  </si>
  <si>
    <t>kautsarwealth@gmail.com</t>
  </si>
  <si>
    <t>Wendy VY</t>
  </si>
  <si>
    <t>the_wonder_cloud@yahoo.com</t>
  </si>
  <si>
    <t>Parry Tiwari</t>
  </si>
  <si>
    <t>parryt@singnet.com.sg</t>
  </si>
  <si>
    <t>Arun Ahluwalia</t>
  </si>
  <si>
    <t>arunshob@singnet.com.sg</t>
  </si>
  <si>
    <t>Bhavya Kaushal</t>
  </si>
  <si>
    <t>kaushal.bhavya@gmail.com</t>
  </si>
  <si>
    <t>Pinghua Jacq</t>
  </si>
  <si>
    <t>jacklyne.ong@gmail.com</t>
  </si>
  <si>
    <t>Krystal Khor Su-ping</t>
  </si>
  <si>
    <t xml:space="preserve">floppym@singnet.com.sg </t>
  </si>
  <si>
    <t>Haslinna Jaaman</t>
  </si>
  <si>
    <t xml:space="preserve">pocahontas_vs_tankgirl@hotmail.com </t>
  </si>
  <si>
    <t>hab Eldessouky</t>
  </si>
  <si>
    <t>ihab.eldessouky@dynapac.com</t>
  </si>
  <si>
    <t>Selgum Savitha</t>
  </si>
  <si>
    <t>amozonia_landscape@hotmail.com</t>
  </si>
  <si>
    <t>Leonard Nathan</t>
  </si>
  <si>
    <t xml:space="preserve">leonardnathan@gmail.com </t>
  </si>
  <si>
    <t>Jagannathan Gopalan</t>
  </si>
  <si>
    <t xml:space="preserve">jaganchitra@gmail.com </t>
  </si>
  <si>
    <t>梁 文欣</t>
  </si>
  <si>
    <t>maeisone1023@gmail.com</t>
  </si>
  <si>
    <t>Meheraj Neesha</t>
  </si>
  <si>
    <t>meherajneesha@hotmail.com</t>
  </si>
  <si>
    <t>Guan Meng Kong</t>
  </si>
  <si>
    <t>disneykon08@yahoo.com</t>
  </si>
  <si>
    <t>Michael Lim</t>
  </si>
  <si>
    <t>mikelimcw@gmail.com</t>
  </si>
  <si>
    <t>Mala Kumar</t>
  </si>
  <si>
    <t>mala16k@hotmail.com</t>
  </si>
  <si>
    <t>E-Li Pick</t>
  </si>
  <si>
    <t>Arena Dino</t>
  </si>
  <si>
    <t>arena.othman@gmail.com</t>
  </si>
  <si>
    <t>Sara El Awadey</t>
  </si>
  <si>
    <t>drsaraawady@yahoo.com</t>
  </si>
  <si>
    <t>Jitin Kukreja</t>
  </si>
  <si>
    <t>kukreja_jitin@yahoo.co.in</t>
  </si>
  <si>
    <t>Lachlan Figtree</t>
  </si>
  <si>
    <t xml:space="preserve">lkfigtree@gmail.com · </t>
  </si>
  <si>
    <t>Loo Lee</t>
  </si>
  <si>
    <t>oneequity_estate@yahoo.com.sg</t>
  </si>
  <si>
    <t>Yulia Lee</t>
  </si>
  <si>
    <t>yulialinandjaja@gmail.com</t>
  </si>
  <si>
    <t>Patricia Diniz</t>
  </si>
  <si>
    <t xml:space="preserve">souto.patydiniz@gmail.com </t>
  </si>
  <si>
    <t>Siivareddy Chavva</t>
  </si>
  <si>
    <t xml:space="preserve">sivareddy.chavva@gmail.com </t>
  </si>
  <si>
    <t>+918897811291</t>
  </si>
  <si>
    <t>Alexander Carlson Johanssen</t>
  </si>
  <si>
    <t>Manish Kumar Garg</t>
  </si>
  <si>
    <t>manish900@gmail.com</t>
  </si>
  <si>
    <t>Darli Nge</t>
  </si>
  <si>
    <t>nge.darli@gmail.com</t>
  </si>
  <si>
    <t>William Ringer</t>
  </si>
  <si>
    <t>williamringerweb@hotmail.com</t>
  </si>
  <si>
    <t>Mahesh Sahu</t>
  </si>
  <si>
    <t>Mahesh.rsahu4@gmail.com</t>
  </si>
  <si>
    <t>Shem Mosta</t>
  </si>
  <si>
    <t>mostofa_soapamah@yahoo.com</t>
  </si>
  <si>
    <t>Sean Rudge</t>
  </si>
  <si>
    <t>seanrudge@gmail.com</t>
  </si>
  <si>
    <t>Agnes Goh</t>
  </si>
  <si>
    <t>Agnesgohmh@gmail.com</t>
  </si>
  <si>
    <t>Arti Aima Dikshit</t>
  </si>
  <si>
    <t>Artidikshit@gmail.com</t>
  </si>
  <si>
    <t>Traveen Smor</t>
  </si>
  <si>
    <t>traveen.g@gmail.com</t>
  </si>
  <si>
    <t>Poey Keng Lim</t>
  </si>
  <si>
    <t>pk395@yahoo.com</t>
  </si>
  <si>
    <t>Prasanna Shanmugam</t>
  </si>
  <si>
    <t xml:space="preserve">s.presanna@gmail.com </t>
  </si>
  <si>
    <t>Eric Ma</t>
  </si>
  <si>
    <t xml:space="preserve">ericma007@hotmail.com · </t>
  </si>
  <si>
    <t>Annu Khurana</t>
  </si>
  <si>
    <t xml:space="preserve">annu2k1@yahoo.com · </t>
  </si>
  <si>
    <t>Ian Holahan</t>
  </si>
  <si>
    <t>ian@mastersfootball.asia</t>
  </si>
  <si>
    <t>escano</t>
  </si>
  <si>
    <t>ဝင္း ေဟ မာ</t>
  </si>
  <si>
    <t>Winmyint5678@gmail.com</t>
  </si>
  <si>
    <t>Adeep Gupta</t>
  </si>
  <si>
    <t>adeepgupta@hotmail.com</t>
  </si>
  <si>
    <t>shikinyazid</t>
  </si>
  <si>
    <t>shikin7007@yahoo.com.sg</t>
  </si>
  <si>
    <t>Fran ng</t>
  </si>
  <si>
    <t>Whitemoonlight@gmail.com</t>
  </si>
  <si>
    <t>Gwendolin Tan</t>
  </si>
  <si>
    <t>gwendolin_tan@hotmail.com</t>
  </si>
  <si>
    <t>Kuldeep</t>
  </si>
  <si>
    <t>Bkmsathi@gmail.com</t>
  </si>
  <si>
    <t>Piush Kansal</t>
  </si>
  <si>
    <t>piushkansal29@gmail.com</t>
  </si>
  <si>
    <t>YJ Tan</t>
  </si>
  <si>
    <t>Cj@cjculinary.com</t>
  </si>
  <si>
    <t>Mariam Rawi</t>
  </si>
  <si>
    <t>indah_mariam@hotmail.com</t>
  </si>
  <si>
    <t>Deepak K P</t>
  </si>
  <si>
    <t>deepakkalmahally@gmail.com</t>
  </si>
  <si>
    <t>Norman Tien</t>
  </si>
  <si>
    <t>norman@neuromathacademy.com</t>
  </si>
  <si>
    <t>Anwar Hossain</t>
  </si>
  <si>
    <t>benstarbd@yahoo.com</t>
  </si>
  <si>
    <t>Arun Thiruvengadam</t>
  </si>
  <si>
    <t>udhayaarun_2000@yahoo.com</t>
  </si>
  <si>
    <t>Abdul Rahman Sheriff</t>
  </si>
  <si>
    <t xml:space="preserve">arms_international@yahoo.com.sg </t>
  </si>
  <si>
    <t>628161808093</t>
  </si>
  <si>
    <t>Alison Lim</t>
  </si>
  <si>
    <t xml:space="preserve">globe_capital@singnet.com </t>
  </si>
  <si>
    <t>Henrik Wahlgren</t>
  </si>
  <si>
    <t>henrikwahlgren@hotmail.com</t>
  </si>
  <si>
    <t>Paras Bhansali</t>
  </si>
  <si>
    <t>pcbhansali@hotmail.com</t>
  </si>
  <si>
    <t>Joie Poh</t>
  </si>
  <si>
    <t>lemovine@hotmail.com</t>
  </si>
  <si>
    <t>Viveananth Krishna</t>
  </si>
  <si>
    <t xml:space="preserve">vivek.krishna1981@gmail.com </t>
  </si>
  <si>
    <t>Catherine Ng</t>
  </si>
  <si>
    <t>catraytee@yahoo.com</t>
  </si>
  <si>
    <t>Jon Wood</t>
  </si>
  <si>
    <t>jonathan.wood007@yahoo.com</t>
  </si>
  <si>
    <t>Kalyani Goda</t>
  </si>
  <si>
    <t>krgoda_71@yahoo.com</t>
  </si>
  <si>
    <t>Lisa Draper</t>
  </si>
  <si>
    <t>lisadraper75@yahoo.com.sg</t>
  </si>
  <si>
    <t>Anil Manglani</t>
  </si>
  <si>
    <t>anil.manglani@gmail.com</t>
  </si>
  <si>
    <t>Eileen Tham</t>
  </si>
  <si>
    <t>eileentham@yahoo.com.sg</t>
  </si>
  <si>
    <t>Dinesh Nigam</t>
  </si>
  <si>
    <t>dineshkrnigam@hotmail.com</t>
  </si>
  <si>
    <t>Dhanya Dayalan</t>
  </si>
  <si>
    <t>dhanya.dayalan@gmail.com</t>
  </si>
  <si>
    <t>Elaine Lee Li Li</t>
  </si>
  <si>
    <t>amandalee6977@gmail.com</t>
  </si>
  <si>
    <t>Feby Francis Pereira</t>
  </si>
  <si>
    <t>feby_pereira@yahoo.com.sg</t>
  </si>
  <si>
    <t>Mimi Anwar</t>
  </si>
  <si>
    <t>simsa_464@hotmail.com</t>
  </si>
  <si>
    <t>Chris Ng</t>
  </si>
  <si>
    <t>chris_carter2@hotmail.com</t>
  </si>
  <si>
    <t>Mohammad Yusuf Hussain</t>
  </si>
  <si>
    <t>yusuf.talk786@gmail.com</t>
  </si>
  <si>
    <t>Sarah Castanha</t>
  </si>
  <si>
    <t>sazcastanha@hotmail.com</t>
  </si>
  <si>
    <t>Mia Sara</t>
  </si>
  <si>
    <t>ummiwatie445@gmail.com</t>
  </si>
  <si>
    <t>Rosini Haniff</t>
  </si>
  <si>
    <t>rosehusref2710@gmail.com</t>
  </si>
  <si>
    <t>Alex Chandra</t>
  </si>
  <si>
    <t>alex@progreen.com.sg</t>
  </si>
  <si>
    <t>Raphael Walhdrën</t>
  </si>
  <si>
    <t>walhdrenraphael@gmail.com</t>
  </si>
  <si>
    <t>Ramesh kannan</t>
  </si>
  <si>
    <t>omramkan@gmail.com</t>
  </si>
  <si>
    <t>Nisar Ibrahim Ramanthali</t>
  </si>
  <si>
    <t xml:space="preserve"> nisfayi@hotmail.com </t>
  </si>
  <si>
    <t>Remarks</t>
  </si>
  <si>
    <t>Ishaq Anjum</t>
  </si>
  <si>
    <t>ishaq_anjum@yahoo.com</t>
  </si>
  <si>
    <t>Creek towers - South T1 1903</t>
  </si>
  <si>
    <t>Maryam Olusola Akanmode</t>
  </si>
  <si>
    <t>234-8033116982</t>
  </si>
  <si>
    <t>akanmodemaryam@yahoo.co.uk</t>
  </si>
  <si>
    <t>DD Vida Mall T1-38-3801</t>
  </si>
  <si>
    <t>Kudirat Moji Awa-Ibraheem</t>
  </si>
  <si>
    <t>234-064526209</t>
  </si>
  <si>
    <t>EH The Hills A2-3-305</t>
  </si>
  <si>
    <t>Mahesh Sadhu Phulwani</t>
  </si>
  <si>
    <t>234-80999999786</t>
  </si>
  <si>
    <t>maheshphulwani@aol.com</t>
  </si>
  <si>
    <t>EH The Hills B1-9-904</t>
  </si>
  <si>
    <t>Vimal Chaudhary</t>
  </si>
  <si>
    <t>234-8185685779</t>
  </si>
  <si>
    <t>vimalch81@gmail.com</t>
  </si>
  <si>
    <t>DC DXBCreekResidences North T1-39-3902</t>
  </si>
  <si>
    <t>Augustine Chinedum Emelobe</t>
  </si>
  <si>
    <t>234-8025889070</t>
  </si>
  <si>
    <t>acemelobe@hotmail.com</t>
  </si>
  <si>
    <t>DC Dxb Creek Residences North T2-10-1005</t>
  </si>
  <si>
    <t>Mr. Chibueze Patrick Ikechukwu</t>
  </si>
  <si>
    <t xml:space="preserve">+234 80333-47039 /+234 1 266-9970
</t>
  </si>
  <si>
    <t>Ivory II</t>
  </si>
  <si>
    <t>Tafabayo Balogun</t>
  </si>
  <si>
    <t>Shams 4 - Apartment</t>
  </si>
  <si>
    <t>(UP2/GD005)</t>
  </si>
  <si>
    <t>Faten Fawzi</t>
  </si>
  <si>
    <t>23417761 909</t>
  </si>
  <si>
    <t>drvir@hotmail.com</t>
  </si>
  <si>
    <t>Rimal 3 - Apartment</t>
  </si>
  <si>
    <t>Bennedikter China Molokwu</t>
  </si>
  <si>
    <t>234 805 5446677</t>
  </si>
  <si>
    <t>molo11@hotmail.com</t>
  </si>
  <si>
    <t>Bahar 1 - Aparment</t>
  </si>
  <si>
    <t>Joseph Wilson Chungath</t>
  </si>
  <si>
    <t>234803329 2545</t>
  </si>
  <si>
    <t>wilree@hotmail.com</t>
  </si>
  <si>
    <t>Sadaf 7 - Apartment</t>
  </si>
  <si>
    <t>Sandeep Bhowmick &amp; Elvira Bhowmick</t>
  </si>
  <si>
    <t>00234-8020-7786-27</t>
  </si>
  <si>
    <t>decorindo@hotmail.com</t>
  </si>
  <si>
    <t xml:space="preserve">Royal Oceanic </t>
  </si>
  <si>
    <t>Temitayo Oludare Akomolede</t>
  </si>
  <si>
    <t>234-80-39052458</t>
  </si>
  <si>
    <t>Temi.akom@gmail.com</t>
  </si>
  <si>
    <t>Al Reem II</t>
  </si>
  <si>
    <t>RGaAl Reem II-TH-153</t>
  </si>
  <si>
    <t>n/a</t>
  </si>
  <si>
    <t xml:space="preserve"> 2348027782653</t>
  </si>
  <si>
    <t>bays</t>
  </si>
  <si>
    <t>Abubakar Danlami Sule</t>
  </si>
  <si>
    <t>234-80-23526989</t>
  </si>
  <si>
    <t>danlamis@yahoo.com</t>
  </si>
  <si>
    <t>BD Blvd Central 1-24-2401</t>
  </si>
  <si>
    <t>Adeniyi Ibraheem Makanjuola</t>
  </si>
  <si>
    <t>234-803-4003900</t>
  </si>
  <si>
    <t>niyi@caverton-helicopters.com</t>
  </si>
  <si>
    <t>BD Tall Tower Zone 2B-36-3610</t>
  </si>
  <si>
    <t>Benjamin Orubon Wilcox</t>
  </si>
  <si>
    <t>234-805-5118612</t>
  </si>
  <si>
    <t>ben.o.wilcox@gmail.com</t>
  </si>
  <si>
    <t>BD 8 Blvd Walk-18-1803</t>
  </si>
  <si>
    <t>Dorcas Ochuko Banu</t>
  </si>
  <si>
    <t>234-803-3258282</t>
  </si>
  <si>
    <t>sapelgold@yahoo.com</t>
  </si>
  <si>
    <t>BD 29 Blvd T2-21-2111</t>
  </si>
  <si>
    <t>Elusanmi Oladipo Claude Eludoyin</t>
  </si>
  <si>
    <t>234-80-33037794</t>
  </si>
  <si>
    <t>samyclaude@aol.com</t>
  </si>
  <si>
    <t>BD Standpoint B-12-1210</t>
  </si>
  <si>
    <t>Lola Patricia Olorunfemi-Edwards</t>
  </si>
  <si>
    <t>234-703-8933255</t>
  </si>
  <si>
    <t>lola.edwards@yahoo.ca</t>
  </si>
  <si>
    <t>BD 29 Blvd T2-22-2209</t>
  </si>
  <si>
    <t>Manoj Kewalram Jagtiani</t>
  </si>
  <si>
    <t>234--8057755755</t>
  </si>
  <si>
    <t>macenigeria@gmail.com</t>
  </si>
  <si>
    <t>BD Lake Hotel-35-3504</t>
  </si>
  <si>
    <t>Olabode Kalejaye</t>
  </si>
  <si>
    <t>234-80-3305933</t>
  </si>
  <si>
    <t>olabodekalejaye@gmail.com</t>
  </si>
  <si>
    <t>BD South Ridge 4-1-101</t>
  </si>
  <si>
    <t>BD T3 The ResidencesII-39-3902</t>
  </si>
  <si>
    <t>Olubunmi Adetola Akingba</t>
  </si>
  <si>
    <t>234-8-034021145</t>
  </si>
  <si>
    <t>bunmi@fluidmanagementservices.com</t>
  </si>
  <si>
    <t>BD Lofts-L2-L206</t>
  </si>
  <si>
    <t>Sudhir Sudhakar Adarkar</t>
  </si>
  <si>
    <t>234-802-7927843</t>
  </si>
  <si>
    <t>ssadarkar@yahoo.co.in</t>
  </si>
  <si>
    <t>BD South Ridge 3-17-1705</t>
  </si>
  <si>
    <t>Afolabi Tajudeen Adeola</t>
  </si>
  <si>
    <t>234--8027786000</t>
  </si>
  <si>
    <t>folaadeola@aol.com</t>
  </si>
  <si>
    <t>DM Mesk Phase 1-36-3602</t>
  </si>
  <si>
    <t>Dubai Marina JAN 2014</t>
  </si>
  <si>
    <t>Ahmed Almustapha</t>
  </si>
  <si>
    <t>234-803-9658147</t>
  </si>
  <si>
    <t>ahmed@ahmedalmustapha.com</t>
  </si>
  <si>
    <t>DM 1 Al Sahab-21-2102</t>
  </si>
  <si>
    <t>Djamel Idri</t>
  </si>
  <si>
    <t>234-803-4070366</t>
  </si>
  <si>
    <t>didri@slb.com</t>
  </si>
  <si>
    <t>DM X2 Attessa-13-1303</t>
  </si>
  <si>
    <t>Lamba Zannah</t>
  </si>
  <si>
    <t>234-803-3059616</t>
  </si>
  <si>
    <t>zannahlamba@yahoo.com</t>
  </si>
  <si>
    <t>DM 2 Al Sahab-4-403</t>
  </si>
  <si>
    <t>Moyosola Morilat Kuku</t>
  </si>
  <si>
    <t>234-802-3012661</t>
  </si>
  <si>
    <t>yosolak01@yahoo.com</t>
  </si>
  <si>
    <t>DM Quay West-2-208</t>
  </si>
  <si>
    <t>Olajide Oladapo Rosiji</t>
  </si>
  <si>
    <t>234-80-22909087</t>
  </si>
  <si>
    <t>rosiji2000@yahoo.com</t>
  </si>
  <si>
    <t>DM Mall Hotel SR-35-3512</t>
  </si>
  <si>
    <t>DM Mall Hotel SR-15-1501</t>
  </si>
  <si>
    <t>Olufunke Olayemi Opeke</t>
  </si>
  <si>
    <t>234-806-6667110</t>
  </si>
  <si>
    <t>kathyopeke@yahoo.com</t>
  </si>
  <si>
    <t>DM 9R Blakely-23-2305</t>
  </si>
  <si>
    <t>Satish Kumar Ramchand Gehani</t>
  </si>
  <si>
    <t>234-80-32458324</t>
  </si>
  <si>
    <t>gehanisatish@yahoo.com</t>
  </si>
  <si>
    <t>DM 9T Bonaire-23-2305</t>
  </si>
  <si>
    <t>TSE Stevedoring Nig.Ltd</t>
  </si>
  <si>
    <t>234-807-3733400</t>
  </si>
  <si>
    <t>mantu_703@yahoo.com</t>
  </si>
  <si>
    <t>DM Quay West-28-2804</t>
  </si>
  <si>
    <t>Emaar 2015</t>
  </si>
  <si>
    <t>emaar stock list</t>
  </si>
  <si>
    <t>Abdu Garba Dantata</t>
  </si>
  <si>
    <t>234-177-48117</t>
  </si>
  <si>
    <t>abdudantata@yahoo.com</t>
  </si>
  <si>
    <t>DM Quay West-25-2508</t>
  </si>
  <si>
    <t>Dauzia Loya Etete</t>
  </si>
  <si>
    <t>234-70-66617473</t>
  </si>
  <si>
    <t>chiefdle@aol.com</t>
  </si>
  <si>
    <t>EH Land Sale-P-E136</t>
  </si>
  <si>
    <t>Emirates Livng 2014</t>
  </si>
  <si>
    <t>Mariam Nneamaka Ali DR</t>
  </si>
  <si>
    <t>234-80-531169335</t>
  </si>
  <si>
    <t>TL Deema4-V-206</t>
  </si>
  <si>
    <t>Yunusa Yakubu</t>
  </si>
  <si>
    <t>234-803-3299791</t>
  </si>
  <si>
    <t>ahmed_vasi@hotmail.com</t>
  </si>
  <si>
    <t>TL Ghadeer-V-28</t>
  </si>
  <si>
    <t>TL Ghadeer-V-17</t>
  </si>
  <si>
    <t>Bashir Ahmad El Rufai</t>
  </si>
  <si>
    <t>234-1-4709000</t>
  </si>
  <si>
    <t>belrufai@yahoo.com</t>
  </si>
  <si>
    <t>M 2-V-347</t>
  </si>
  <si>
    <t>Nwaigwe Anthony Chuku,.</t>
  </si>
  <si>
    <t>23484232784,+234805856585,</t>
  </si>
  <si>
    <t>Dubai Arch Apartment 2401, DUBAI, DUBAI, JLT</t>
  </si>
  <si>
    <t>Patrick Chukwuma, Onyebuchi</t>
  </si>
  <si>
    <t>2348055000823,</t>
  </si>
  <si>
    <t>chuks_onyebuchi@hotmail.com</t>
  </si>
  <si>
    <t>Dubai Arch Apartment 2405, DUBAI, DUBAI, JLT</t>
  </si>
  <si>
    <t>Aboh, John Oche</t>
  </si>
  <si>
    <t>2348022901905,</t>
  </si>
  <si>
    <t>john.o.aboh@firstbanknigeria.com</t>
  </si>
  <si>
    <t>Dubai Arch Apartment 2806, DUBAI, DUBAI, JLT</t>
  </si>
  <si>
    <t>Mr.Joseph NdubisiObiago</t>
  </si>
  <si>
    <t>234-12622137 /234-8034021900</t>
  </si>
  <si>
    <t>jobiago@globalenergyco.com</t>
  </si>
  <si>
    <t>index list</t>
  </si>
  <si>
    <t>Kanamkudam Thomas John</t>
  </si>
  <si>
    <t>00234 8034 021253</t>
  </si>
  <si>
    <t>00234 84231004</t>
  </si>
  <si>
    <t>kt.john@gmail.com</t>
  </si>
  <si>
    <t>Abdulrazaq, F.K</t>
  </si>
  <si>
    <t>fabdulrazaq@yahoo.co.uk</t>
  </si>
  <si>
    <t>Lake View Tower Apartment 1905, DUBAI, DUBAI, JLT</t>
  </si>
  <si>
    <t>Ibrahim Folorunsho Barrister Jimoh</t>
  </si>
  <si>
    <t>janeto_ibru@hotmail.com</t>
  </si>
  <si>
    <t>DGB080-MEDV-203</t>
  </si>
  <si>
    <t>DGB080-MEDV-204</t>
  </si>
  <si>
    <t>DGB080-MEDV-205</t>
  </si>
  <si>
    <t>DGB080-MEDV-206</t>
  </si>
  <si>
    <t>DGB080-MEDV-207</t>
  </si>
  <si>
    <t>DGB080-MEDV-208</t>
  </si>
  <si>
    <t>DGB080-MEDV-210</t>
  </si>
  <si>
    <t>DGB080-MEDV-507</t>
  </si>
  <si>
    <t>DGB080-MEDV-508</t>
  </si>
  <si>
    <t>DGB080-MEDV-510</t>
  </si>
  <si>
    <t>DGB080-MEDV-511</t>
  </si>
  <si>
    <t>DGB080-MEDV-512</t>
  </si>
  <si>
    <t>DGB080-MEDV-513</t>
  </si>
  <si>
    <t>DGB080-MEDV-514</t>
  </si>
  <si>
    <t>DGB080-MEDV-515</t>
  </si>
  <si>
    <t>DGB080-MEDV-409</t>
  </si>
  <si>
    <t>DGB080-MEDV-411</t>
  </si>
  <si>
    <t>DGB080-MEDV-412</t>
  </si>
  <si>
    <t>DGB080-MEDV-413</t>
  </si>
  <si>
    <t>DGB080-MEDV-414</t>
  </si>
  <si>
    <t>DGB080-MEDV-416</t>
  </si>
  <si>
    <t>DGB080-MEDV-417</t>
  </si>
  <si>
    <t>DGB080-MEDV-401</t>
  </si>
  <si>
    <t>DGB080-MEDV-402</t>
  </si>
  <si>
    <t>DGB080-MEDV-405</t>
  </si>
  <si>
    <t>DGB080-MEDV-406</t>
  </si>
  <si>
    <t>DGB080-MEDV-407</t>
  </si>
  <si>
    <t>DGB080-MEDV-408</t>
  </si>
  <si>
    <t>DGB080-MEDV-504</t>
  </si>
  <si>
    <t>DGB080-MEDV-505</t>
  </si>
  <si>
    <t>DGB080-MEDV-506</t>
  </si>
  <si>
    <t>joloms2005@yahoo.com</t>
  </si>
  <si>
    <t>DGB073-MEDV-317</t>
  </si>
  <si>
    <t>Felicia Omayemi Arenyeka</t>
  </si>
  <si>
    <t>DGB073-MEDV-113</t>
  </si>
  <si>
    <t>Toyin Williams Akanle</t>
  </si>
  <si>
    <t>DGB067-MEDV-313</t>
  </si>
  <si>
    <t>ERIC DAABOUL</t>
  </si>
  <si>
    <t>DGB056-MEDU-109</t>
  </si>
  <si>
    <t>Aliyu Kalgo Abubakar</t>
  </si>
  <si>
    <t>234803665 0459</t>
  </si>
  <si>
    <t>aakalgo@yahoo.com</t>
  </si>
  <si>
    <t>DGB204-MOGV-317</t>
  </si>
  <si>
    <t>Taofick Olusegun Okoya</t>
  </si>
  <si>
    <t>International City Phase I</t>
  </si>
  <si>
    <t>Rebecca Danladi</t>
  </si>
  <si>
    <t>Ombo Clinton Harry</t>
  </si>
  <si>
    <t>pcgmanagementservices@yahoo.com</t>
  </si>
  <si>
    <t>Safiya Labaran Kago</t>
  </si>
  <si>
    <t>slk242@hotmail.com</t>
  </si>
  <si>
    <t>Khalifa Ali Ahmed Abdul Fathi</t>
  </si>
  <si>
    <t>aliyu12002@yahoo.com</t>
  </si>
  <si>
    <t>Dr. Olusegun Adeyemi</t>
  </si>
  <si>
    <t>Isa Muhammad Ari</t>
  </si>
  <si>
    <t>arimuhasa@yahoo.co.uk</t>
  </si>
  <si>
    <t>Nkadi Gabriel Osakwe</t>
  </si>
  <si>
    <t>gnosakwe@metrong.com</t>
  </si>
  <si>
    <t>tuji_adeshina@yahoo.com</t>
  </si>
  <si>
    <t>Austine Charles Olisa Asianya</t>
  </si>
  <si>
    <t>Olumuyiwa Olawale Sunday Asaba</t>
  </si>
  <si>
    <t>oluasaba1@yahoo.com</t>
  </si>
  <si>
    <t>Jonathan Chukwudi Okoakih</t>
  </si>
  <si>
    <t>Ayeverhuvwu Oduvesiri Ibru</t>
  </si>
  <si>
    <t>vivibru@hotmail.com</t>
  </si>
  <si>
    <t>Rukaiyatu Abubakar Atiku</t>
  </si>
  <si>
    <t>mustyatiku@hotmail.com</t>
  </si>
  <si>
    <t>azutambata@yahoo.com</t>
  </si>
  <si>
    <t>Augustine Okere</t>
  </si>
  <si>
    <t>austine.okere@cwlgroup.net</t>
  </si>
  <si>
    <t>onionsandspices@yahoo.com</t>
  </si>
  <si>
    <t>Mahdi Jaber Abdel Rahim Albarakat</t>
  </si>
  <si>
    <t>mehdibarakat@hotmail.com</t>
  </si>
  <si>
    <t>Hilmi Mohamad Salem Rifai</t>
  </si>
  <si>
    <t>hilmir@eim.ae</t>
  </si>
  <si>
    <t>Samer Zaher Aoun</t>
  </si>
  <si>
    <t>234803 535 1344</t>
  </si>
  <si>
    <t>samer.aoun@saipem.eni.it</t>
  </si>
  <si>
    <t>Srinivas Gupta Goturu</t>
  </si>
  <si>
    <t>9198480 23458</t>
  </si>
  <si>
    <t>guptahomeo@yahoo.com</t>
  </si>
  <si>
    <t>Olasunkanmi Sakirudeen Olabinjo</t>
  </si>
  <si>
    <t>olabinjo@yahoo.com</t>
  </si>
  <si>
    <t>GUIFENG LU</t>
  </si>
  <si>
    <t>gyace_2008812@yahoo.cn</t>
  </si>
  <si>
    <t>ICL1</t>
  </si>
  <si>
    <t>RAWAD BURHAN ALDEEN</t>
  </si>
  <si>
    <t>rawadshaker@yahoo.com</t>
  </si>
  <si>
    <t>2342348033163950</t>
  </si>
  <si>
    <t>Akbar Zahid Mirza</t>
  </si>
  <si>
    <t>akbar_mirza@yahoo.com</t>
  </si>
  <si>
    <t>Zainab Ahmed Dasuki</t>
  </si>
  <si>
    <t>Adams Yakubu-Concern</t>
  </si>
  <si>
    <t>Mohammed Aliyu</t>
  </si>
  <si>
    <t>mohammedaliyu@hotmail.com</t>
  </si>
  <si>
    <t>Junaid Ahmed Merchant</t>
  </si>
  <si>
    <t>md@idealhomesrealty.ae</t>
  </si>
  <si>
    <t>Ekanem Ejindu</t>
  </si>
  <si>
    <t>f_ejindu@yahoo.com</t>
  </si>
  <si>
    <t>Ngozi Anyaegbunam</t>
  </si>
  <si>
    <t>awwalmange@gmail.com</t>
  </si>
  <si>
    <t>Abayomi Adebayo Oloko</t>
  </si>
  <si>
    <t>access@msn.com</t>
  </si>
  <si>
    <t>Olutayo Andy Ayeni</t>
  </si>
  <si>
    <t>Folashade Adebayo-Fari</t>
  </si>
  <si>
    <t>shadefari@yahoo.com</t>
  </si>
  <si>
    <t>Oluwakemi Aminat Adekeye</t>
  </si>
  <si>
    <t>lari5000@yahoo.com</t>
  </si>
  <si>
    <t>Adebola Oluseye Abiodun</t>
  </si>
  <si>
    <t>dapoabiodun5@yahoo.com</t>
  </si>
  <si>
    <t>Omolara Muslimat Adekeye</t>
  </si>
  <si>
    <t>Adewale Folowosele</t>
  </si>
  <si>
    <t>Adedapo Oluseun Abiodun</t>
  </si>
  <si>
    <t>Olukemi Bosede Eruosanyin</t>
  </si>
  <si>
    <t>kemikoyejo@yahoo.com</t>
  </si>
  <si>
    <t>Adenike Temitope Egunjobi</t>
  </si>
  <si>
    <t>temitopeegunjoibi@yahoo.com</t>
  </si>
  <si>
    <t>Victor Olabisi Raji</t>
  </si>
  <si>
    <t>rahmanesene@yahoo.com</t>
  </si>
  <si>
    <t>yusuf_awari@hotmail.com</t>
  </si>
  <si>
    <t>Arshdeep Singh Chadha</t>
  </si>
  <si>
    <t>234-1-7752999</t>
  </si>
  <si>
    <t>arshi@infinitytyres.com</t>
  </si>
  <si>
    <t>Rsav-V-27</t>
  </si>
  <si>
    <t>Company</t>
  </si>
  <si>
    <t>interested in</t>
  </si>
  <si>
    <t>Suvi</t>
  </si>
  <si>
    <t>leads</t>
  </si>
  <si>
    <t>1bed</t>
  </si>
  <si>
    <t xml:space="preserve">1bed </t>
  </si>
  <si>
    <t>1bed/2bed</t>
  </si>
  <si>
    <t>1bed  / budget $500k</t>
  </si>
  <si>
    <t>2bed / apartment</t>
  </si>
  <si>
    <t>1bed /2bed /budget 500k - 1M</t>
  </si>
  <si>
    <t>budget /1Million $ or 2.6 million aed</t>
  </si>
  <si>
    <t>Investment</t>
  </si>
  <si>
    <t>none leads:</t>
  </si>
  <si>
    <t xml:space="preserve">Jay Yuva </t>
  </si>
  <si>
    <t>mrjayyoon@gmail.m</t>
  </si>
  <si>
    <t>6582880600</t>
  </si>
  <si>
    <t>walk in</t>
  </si>
  <si>
    <t>2bed</t>
  </si>
  <si>
    <t>Hua Tye Swee</t>
  </si>
  <si>
    <t>huatyeswee@gmail.com</t>
  </si>
  <si>
    <t>6590078811</t>
  </si>
  <si>
    <t>Desmond Ting</t>
  </si>
  <si>
    <t>tinglsdesmond@gmail.com</t>
  </si>
  <si>
    <t>Rohan</t>
  </si>
  <si>
    <t>rohan_geo@yahoo.com</t>
  </si>
  <si>
    <t>87984270</t>
  </si>
  <si>
    <t>Muhd. Aman Aboobucker</t>
  </si>
  <si>
    <t>aman_aboobucker@yahoo.co.uk</t>
  </si>
  <si>
    <t>1bed /2bed</t>
  </si>
  <si>
    <t>Ferhan Patel</t>
  </si>
  <si>
    <t>ferhanpatel@gmail.com</t>
  </si>
  <si>
    <t>6592216808</t>
  </si>
  <si>
    <t>looking fot camelia  4bed</t>
  </si>
  <si>
    <t>Andre Lee</t>
  </si>
  <si>
    <t>andre.lee9519@gmail.com</t>
  </si>
  <si>
    <t>92221366</t>
  </si>
  <si>
    <t>2bed aparment /  villa</t>
  </si>
  <si>
    <t>Ramasamy Vetri Selvam</t>
  </si>
  <si>
    <t>petvepdr@singnet.com.sg</t>
  </si>
  <si>
    <t>6596743262</t>
  </si>
  <si>
    <t xml:space="preserve">2 bed need to upgarde 4bed </t>
  </si>
  <si>
    <t>Girish</t>
  </si>
  <si>
    <t>1bed Burj royale</t>
  </si>
  <si>
    <t xml:space="preserve">dr. Chen deah </t>
  </si>
  <si>
    <t>dcchen@gmail.com</t>
  </si>
  <si>
    <t>dee Ashar</t>
  </si>
  <si>
    <t>ashardeven@gmail.com</t>
  </si>
  <si>
    <t>6596405094</t>
  </si>
  <si>
    <t>3bed burj royale 4509</t>
  </si>
  <si>
    <t>Adnan</t>
  </si>
  <si>
    <t>sanjay</t>
  </si>
  <si>
    <t>SINGAPORE EVENTS</t>
  </si>
  <si>
    <t>all</t>
  </si>
  <si>
    <t>Property</t>
  </si>
  <si>
    <t>Properties and Investmenr</t>
  </si>
  <si>
    <t>Luxury Real Estate Properties</t>
  </si>
  <si>
    <t>Kindly send me the details of ready units not of plane either flats or villas /5 Yrs Post Handover and 100% DLD Waiver Property Offer - No Finance Needed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</si>
</sst>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mm/dd/yyyy"/>
    <numFmt numFmtId="166" formatCode="m/d/yyyy"/>
    <numFmt numFmtId="167" formatCode="d-mmm-yy"/>
    <numFmt numFmtId="168" formatCode="yyyy-mmmm"/>
  </numFmts>
  <fonts count="52">
    <font>
      <sz val="10.0"/>
      <color rgb="FF000000"/>
      <name val="Arial"/>
      <scheme val="minor"/>
    </font>
    <font>
      <b/>
      <color theme="1"/>
      <name val="Arial"/>
      <scheme val="minor"/>
    </font>
    <font>
      <b/>
      <u/>
      <color theme="1"/>
      <name val="Arial"/>
      <scheme val="minor"/>
    </font>
    <font>
      <color theme="1"/>
      <name val="Arial"/>
      <scheme val="minor"/>
    </font>
    <font>
      <strike/>
      <color theme="1"/>
      <name val="Arial"/>
      <scheme val="minor"/>
    </font>
    <font>
      <color rgb="FF000000"/>
      <name val="Roboto"/>
    </font>
    <font>
      <color rgb="FF0000FF"/>
      <name val="Arial"/>
      <scheme val="minor"/>
    </font>
    <font>
      <color theme="1"/>
      <name val="Arial"/>
    </font>
    <font>
      <color rgb="FF222222"/>
      <name val="Arial"/>
    </font>
    <font>
      <strike/>
      <color theme="1"/>
      <name val="Arial"/>
    </font>
    <font>
      <sz val="11.0"/>
      <color rgb="FF000000"/>
      <name val="Calibri"/>
    </font>
    <font>
      <b/>
      <sz val="11.0"/>
      <color rgb="FF000000"/>
      <name val="Calibri"/>
    </font>
    <font>
      <u/>
      <color rgb="FF0000FF"/>
    </font>
    <font>
      <b/>
      <color rgb="FF222222"/>
      <name val="Arial"/>
    </font>
    <font>
      <b/>
      <color theme="1"/>
      <name val="Arial"/>
    </font>
    <font>
      <b/>
      <u/>
      <color rgb="FF222222"/>
      <name val="Arial"/>
    </font>
    <font>
      <sz val="11.0"/>
      <color theme="1"/>
      <name val="Calibri"/>
    </font>
    <font>
      <color rgb="FF0000FF"/>
      <name val="Arial"/>
    </font>
    <font>
      <u/>
      <color rgb="FF1155CC"/>
      <name val="Arial"/>
    </font>
    <font>
      <u/>
      <sz val="11.0"/>
      <color rgb="FF0563C1"/>
      <name val="Calibri"/>
    </font>
    <font>
      <sz val="8.0"/>
      <color rgb="FF222222"/>
      <name val="Arial"/>
    </font>
    <font>
      <color rgb="FF000000"/>
      <name val="Arial"/>
    </font>
    <font>
      <u/>
      <color rgb="FF222222"/>
      <name val="Arial"/>
    </font>
    <font>
      <sz val="11.0"/>
      <color rgb="FF000000"/>
      <name val="Inconsolata"/>
    </font>
    <font>
      <color rgb="FF000000"/>
      <name val="Arial"/>
      <scheme val="minor"/>
    </font>
    <font>
      <b/>
      <color rgb="FF0000FF"/>
      <name val="Arial"/>
      <scheme val="minor"/>
    </font>
    <font>
      <sz val="12.0"/>
      <color theme="1"/>
      <name val="Arial"/>
    </font>
    <font>
      <b/>
      <color rgb="FFFF0000"/>
      <name val="Arial"/>
      <scheme val="minor"/>
    </font>
    <font>
      <b/>
      <color rgb="FFFF0000"/>
      <name val="Arial"/>
    </font>
    <font>
      <b/>
      <sz val="12.0"/>
      <color rgb="FFFF0000"/>
      <name val="Arial"/>
    </font>
    <font>
      <strike/>
      <sz val="11.0"/>
      <color rgb="FF000000"/>
      <name val="Calibri"/>
    </font>
    <font>
      <sz val="12.0"/>
      <color theme="1"/>
      <name val="Times New Roman"/>
    </font>
    <font>
      <color theme="1"/>
      <name val="Verdana"/>
    </font>
    <font>
      <b/>
      <color theme="1"/>
      <name val="Verdana"/>
    </font>
    <font>
      <color rgb="FF222222"/>
      <name val="Arial"/>
      <scheme val="minor"/>
    </font>
    <font>
      <color rgb="FF222222"/>
      <name val="Verdana"/>
    </font>
    <font>
      <color rgb="FF00FF00"/>
      <name val="Arial"/>
      <scheme val="minor"/>
    </font>
    <font>
      <color rgb="FF000000"/>
      <name val="Verdana"/>
    </font>
    <font>
      <b/>
      <color rgb="FF222222"/>
      <name val="Arial"/>
      <scheme val="minor"/>
    </font>
    <font>
      <strike/>
      <color rgb="FF222222"/>
      <name val="Arial"/>
      <scheme val="minor"/>
    </font>
    <font>
      <sz val="12.0"/>
      <color theme="1"/>
      <name val="Calibri"/>
    </font>
    <font>
      <sz val="11.0"/>
      <color rgb="FF000000"/>
      <name val="Arial"/>
    </font>
    <font>
      <color rgb="FFFF0000"/>
      <name val="Verdana"/>
    </font>
    <font>
      <color rgb="FFFF0000"/>
      <name val="Arial"/>
      <scheme val="minor"/>
    </font>
    <font>
      <u/>
      <color rgb="FF1155CC"/>
      <name val="Arial"/>
    </font>
    <font>
      <sz val="11.0"/>
      <color rgb="FF000000"/>
      <name val="Cambria"/>
    </font>
    <font>
      <sz val="12.0"/>
      <color rgb="FF000000"/>
      <name val="Calibri"/>
    </font>
    <font>
      <color rgb="FF000000"/>
      <name val="Calibri"/>
    </font>
    <font>
      <sz val="8.0"/>
      <color theme="1"/>
      <name val="Arial"/>
    </font>
    <font>
      <sz val="8.0"/>
      <color rgb="FF000000"/>
      <name val="Arial"/>
    </font>
    <font>
      <sz val="8.0"/>
      <color rgb="FFFF0000"/>
      <name val="Arial"/>
    </font>
    <font>
      <b/>
      <sz val="10.0"/>
      <color theme="1"/>
      <name val="Arial"/>
      <scheme val="minor"/>
    </font>
  </fonts>
  <fills count="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FFFF00"/>
        <bgColor rgb="FFFFFF00"/>
      </patternFill>
    </fill>
    <fill>
      <patternFill patternType="solid">
        <fgColor rgb="FFCCCCCC"/>
        <bgColor rgb="FFCCCCCC"/>
      </patternFill>
    </fill>
    <fill>
      <patternFill patternType="solid">
        <fgColor rgb="FFE69138"/>
        <bgColor rgb="FFE69138"/>
      </patternFill>
    </fill>
    <fill>
      <patternFill patternType="solid">
        <fgColor rgb="FFFF9900"/>
        <bgColor rgb="FFFF9900"/>
      </patternFill>
    </fill>
  </fills>
  <borders count="3">
    <border/>
    <border>
      <right style="thin">
        <color rgb="FF000000"/>
      </right>
    </border>
    <border>
      <right/>
    </border>
  </borders>
  <cellStyleXfs count="1">
    <xf borderId="0" fillId="0" fontId="0" numFmtId="0" applyAlignment="1" applyFont="1"/>
  </cellStyleXfs>
  <cellXfs count="234">
    <xf borderId="0" fillId="0" fontId="0" numFmtId="0" xfId="0" applyAlignment="1" applyFont="1">
      <alignment readingOrder="0" shrinkToFit="0" vertical="bottom" wrapText="0"/>
    </xf>
    <xf borderId="0" fillId="0" fontId="1" numFmtId="164" xfId="0" applyAlignment="1" applyFont="1" applyNumberFormat="1">
      <alignment horizontal="left"/>
    </xf>
    <xf borderId="0" fillId="0" fontId="1" numFmtId="0" xfId="0" applyAlignment="1" applyFont="1">
      <alignment horizontal="left"/>
    </xf>
    <xf borderId="0" fillId="0" fontId="2" numFmtId="0" xfId="0" applyAlignment="1" applyFont="1">
      <alignment horizontal="left"/>
    </xf>
    <xf borderId="0" fillId="0" fontId="1" numFmtId="0" xfId="0" applyFont="1"/>
    <xf borderId="0" fillId="0" fontId="3" numFmtId="164" xfId="0" applyAlignment="1" applyFont="1" applyNumberFormat="1">
      <alignment horizontal="left"/>
    </xf>
    <xf borderId="0" fillId="0" fontId="3" numFmtId="0" xfId="0" applyFont="1"/>
    <xf quotePrefix="1" borderId="0" fillId="0" fontId="3" numFmtId="0" xfId="0" applyFont="1"/>
    <xf borderId="0" fillId="0" fontId="4" numFmtId="0" xfId="0" applyFont="1"/>
    <xf borderId="0" fillId="2" fontId="5" numFmtId="0" xfId="0" applyFill="1" applyFont="1"/>
    <xf borderId="0" fillId="0" fontId="6" numFmtId="0" xfId="0" applyFont="1"/>
    <xf borderId="0" fillId="3" fontId="7" numFmtId="164" xfId="0" applyAlignment="1" applyFill="1" applyFont="1" applyNumberFormat="1">
      <alignment horizontal="left" vertical="bottom"/>
    </xf>
    <xf borderId="0" fillId="0" fontId="8" numFmtId="0" xfId="0" applyAlignment="1" applyFont="1">
      <alignment horizontal="left"/>
    </xf>
    <xf quotePrefix="1" borderId="0" fillId="0" fontId="8" numFmtId="0" xfId="0" applyAlignment="1" applyFont="1">
      <alignment horizontal="left"/>
    </xf>
    <xf borderId="0" fillId="3" fontId="7" numFmtId="0" xfId="0" applyAlignment="1" applyFont="1">
      <alignment horizontal="left" shrinkToFit="0" vertical="bottom" wrapText="0"/>
    </xf>
    <xf borderId="0" fillId="3" fontId="7" numFmtId="0" xfId="0" applyAlignment="1" applyFont="1">
      <alignment horizontal="left" vertical="bottom"/>
    </xf>
    <xf borderId="0" fillId="3" fontId="9" numFmtId="0" xfId="0" applyAlignment="1" applyFont="1">
      <alignment horizontal="left" vertical="bottom"/>
    </xf>
    <xf borderId="0" fillId="0" fontId="10" numFmtId="164" xfId="0" applyAlignment="1" applyFont="1" applyNumberFormat="1">
      <alignment horizontal="left" shrinkToFit="0" vertical="bottom" wrapText="0"/>
    </xf>
    <xf borderId="0" fillId="0" fontId="10" numFmtId="0" xfId="0" applyAlignment="1" applyFont="1">
      <alignment horizontal="left" shrinkToFit="0" vertical="bottom" wrapText="0"/>
    </xf>
    <xf quotePrefix="1" borderId="0" fillId="0" fontId="10" numFmtId="0" xfId="0" applyAlignment="1" applyFont="1">
      <alignment horizontal="left" shrinkToFit="0" vertical="bottom" wrapText="0"/>
    </xf>
    <xf borderId="0" fillId="0" fontId="10" numFmtId="0" xfId="0" applyAlignment="1" applyFont="1">
      <alignment shrinkToFit="0" vertical="bottom" wrapText="0"/>
    </xf>
    <xf borderId="0" fillId="0" fontId="11" numFmtId="0" xfId="0" applyAlignment="1" applyFont="1">
      <alignment horizontal="left" shrinkToFit="0" vertical="bottom" wrapText="0"/>
    </xf>
    <xf borderId="0" fillId="0" fontId="12" numFmtId="0" xfId="0" applyFont="1"/>
    <xf borderId="0" fillId="0" fontId="13" numFmtId="0" xfId="0" applyAlignment="1" applyFont="1">
      <alignment horizontal="left"/>
    </xf>
    <xf quotePrefix="1" borderId="0" fillId="0" fontId="13" numFmtId="0" xfId="0" applyAlignment="1" applyFont="1">
      <alignment horizontal="left"/>
    </xf>
    <xf quotePrefix="1" borderId="0" fillId="0" fontId="1" numFmtId="0" xfId="0" applyAlignment="1" applyFont="1">
      <alignment horizontal="left"/>
    </xf>
    <xf borderId="0" fillId="0" fontId="14" numFmtId="164" xfId="0" applyAlignment="1" applyFont="1" applyNumberFormat="1">
      <alignment horizontal="left" vertical="bottom"/>
    </xf>
    <xf borderId="0" fillId="0" fontId="13" numFmtId="0" xfId="0" applyAlignment="1" applyFont="1">
      <alignment horizontal="left" vertical="bottom"/>
    </xf>
    <xf borderId="0" fillId="0" fontId="15" numFmtId="0" xfId="0" applyAlignment="1" applyFont="1">
      <alignment horizontal="left" vertical="bottom"/>
    </xf>
    <xf borderId="0" fillId="0" fontId="14" numFmtId="0" xfId="0" applyAlignment="1" applyFont="1">
      <alignment horizontal="left" vertical="bottom"/>
    </xf>
    <xf borderId="0" fillId="0" fontId="13" numFmtId="0" xfId="0" applyAlignment="1" applyFont="1">
      <alignment horizontal="left" shrinkToFit="0" vertical="bottom" wrapText="0"/>
    </xf>
    <xf borderId="0" fillId="0" fontId="16" numFmtId="0" xfId="0" applyAlignment="1" applyFont="1">
      <alignment horizontal="left" shrinkToFit="0" vertical="bottom" wrapText="0"/>
    </xf>
    <xf borderId="0" fillId="0" fontId="6" numFmtId="164" xfId="0" applyAlignment="1" applyFont="1" applyNumberFormat="1">
      <alignment horizontal="left"/>
    </xf>
    <xf borderId="0" fillId="0" fontId="17" numFmtId="0" xfId="0" applyAlignment="1" applyFont="1">
      <alignment horizontal="left"/>
    </xf>
    <xf quotePrefix="1" borderId="0" fillId="0" fontId="17" numFmtId="0" xfId="0" applyAlignment="1" applyFont="1">
      <alignment horizontal="left"/>
    </xf>
    <xf borderId="0" fillId="3" fontId="10" numFmtId="164" xfId="0" applyAlignment="1" applyFont="1" applyNumberFormat="1">
      <alignment horizontal="left" shrinkToFit="0" vertical="bottom" wrapText="0"/>
    </xf>
    <xf borderId="0" fillId="3" fontId="10" numFmtId="0" xfId="0" applyAlignment="1" applyFont="1">
      <alignment horizontal="left" shrinkToFit="0" vertical="bottom" wrapText="0"/>
    </xf>
    <xf borderId="1" fillId="0" fontId="10" numFmtId="0" xfId="0" applyAlignment="1" applyBorder="1" applyFont="1">
      <alignment horizontal="left" shrinkToFit="0" vertical="bottom" wrapText="0"/>
    </xf>
    <xf borderId="0" fillId="0" fontId="18" numFmtId="0" xfId="0" applyAlignment="1" applyFont="1">
      <alignment horizontal="left"/>
    </xf>
    <xf borderId="0" fillId="0" fontId="3" numFmtId="0" xfId="0" applyAlignment="1" applyFont="1">
      <alignment horizontal="left"/>
    </xf>
    <xf borderId="0" fillId="0" fontId="19" numFmtId="0" xfId="0" applyAlignment="1" applyFont="1">
      <alignment horizontal="left" shrinkToFit="0" vertical="bottom" wrapText="0"/>
    </xf>
    <xf borderId="0" fillId="0" fontId="7" numFmtId="164" xfId="0" applyAlignment="1" applyFont="1" applyNumberFormat="1">
      <alignment horizontal="left" vertical="bottom"/>
    </xf>
    <xf borderId="0" fillId="0" fontId="7" numFmtId="0" xfId="0" applyAlignment="1" applyFont="1">
      <alignment vertical="bottom"/>
    </xf>
    <xf borderId="0" fillId="0" fontId="7" numFmtId="0" xfId="0" applyAlignment="1" applyFont="1">
      <alignment shrinkToFit="0" vertical="bottom" wrapText="0"/>
    </xf>
    <xf borderId="2" fillId="3" fontId="7" numFmtId="0" xfId="0" applyAlignment="1" applyBorder="1" applyFont="1">
      <alignment shrinkToFit="0" vertical="bottom" wrapText="0"/>
    </xf>
    <xf borderId="0" fillId="3" fontId="7" numFmtId="0" xfId="0" applyAlignment="1" applyFont="1">
      <alignment vertical="bottom"/>
    </xf>
    <xf borderId="0" fillId="3" fontId="3" numFmtId="0" xfId="0" applyAlignment="1" applyFont="1">
      <alignment horizontal="left"/>
    </xf>
    <xf borderId="0" fillId="2" fontId="10" numFmtId="0" xfId="0" applyAlignment="1" applyFont="1">
      <alignment shrinkToFit="0" vertical="bottom" wrapText="0"/>
    </xf>
    <xf borderId="0" fillId="2" fontId="3" numFmtId="0" xfId="0" applyAlignment="1" applyFont="1">
      <alignment horizontal="left"/>
    </xf>
    <xf borderId="0" fillId="2" fontId="8" numFmtId="0" xfId="0" applyAlignment="1" applyFont="1">
      <alignment horizontal="left"/>
    </xf>
    <xf borderId="0" fillId="3" fontId="8" numFmtId="0" xfId="0" applyAlignment="1" applyFont="1">
      <alignment horizontal="left"/>
    </xf>
    <xf borderId="0" fillId="2" fontId="3" numFmtId="0" xfId="0" applyFont="1"/>
    <xf borderId="0" fillId="3" fontId="3" numFmtId="0" xfId="0" applyFont="1"/>
    <xf borderId="0" fillId="0" fontId="20" numFmtId="0" xfId="0" applyAlignment="1" applyFont="1">
      <alignment horizontal="left" shrinkToFit="0" vertical="bottom" wrapText="0"/>
    </xf>
    <xf borderId="0" fillId="3" fontId="20" numFmtId="0" xfId="0" applyAlignment="1" applyFont="1">
      <alignment horizontal="left" shrinkToFit="0" vertical="bottom" wrapText="0"/>
    </xf>
    <xf quotePrefix="1" borderId="0" fillId="0" fontId="7" numFmtId="0" xfId="0" applyAlignment="1" applyFont="1">
      <alignment vertical="bottom"/>
    </xf>
    <xf borderId="0" fillId="4" fontId="3" numFmtId="164" xfId="0" applyAlignment="1" applyFill="1" applyFont="1" applyNumberFormat="1">
      <alignment horizontal="left"/>
    </xf>
    <xf borderId="0" fillId="4" fontId="3" numFmtId="0" xfId="0" applyFont="1"/>
    <xf borderId="0" fillId="4" fontId="3" numFmtId="0" xfId="0" applyAlignment="1" applyFont="1">
      <alignment horizontal="left"/>
    </xf>
    <xf quotePrefix="1" borderId="0" fillId="4" fontId="3" numFmtId="0" xfId="0" applyFont="1"/>
    <xf borderId="0" fillId="4" fontId="10" numFmtId="164" xfId="0" applyAlignment="1" applyFont="1" applyNumberFormat="1">
      <alignment horizontal="left" shrinkToFit="0" vertical="bottom" wrapText="0"/>
    </xf>
    <xf borderId="0" fillId="4" fontId="10" numFmtId="0" xfId="0" applyAlignment="1" applyFont="1">
      <alignment horizontal="left" shrinkToFit="0" vertical="bottom" wrapText="0"/>
    </xf>
    <xf quotePrefix="1" borderId="0" fillId="4" fontId="10" numFmtId="0" xfId="0" applyAlignment="1" applyFont="1">
      <alignment horizontal="left" shrinkToFit="0" vertical="bottom" wrapText="0"/>
    </xf>
    <xf borderId="0" fillId="4" fontId="10" numFmtId="0" xfId="0" applyAlignment="1" applyFont="1">
      <alignment shrinkToFit="0" vertical="bottom" wrapText="0"/>
    </xf>
    <xf borderId="0" fillId="4" fontId="7" numFmtId="164" xfId="0" applyAlignment="1" applyFont="1" applyNumberFormat="1">
      <alignment horizontal="left" vertical="bottom"/>
    </xf>
    <xf borderId="0" fillId="4" fontId="7" numFmtId="0" xfId="0" applyAlignment="1" applyFont="1">
      <alignment vertical="bottom"/>
    </xf>
    <xf quotePrefix="1" borderId="0" fillId="4" fontId="7" numFmtId="0" xfId="0" applyAlignment="1" applyFont="1">
      <alignment vertical="bottom"/>
    </xf>
    <xf borderId="2" fillId="4" fontId="7" numFmtId="0" xfId="0" applyAlignment="1" applyBorder="1" applyFont="1">
      <alignment shrinkToFit="0" vertical="bottom" wrapText="0"/>
    </xf>
    <xf borderId="0" fillId="2" fontId="7" numFmtId="0" xfId="0" applyAlignment="1" applyFont="1">
      <alignment vertical="bottom"/>
    </xf>
    <xf borderId="0" fillId="2" fontId="21" numFmtId="0" xfId="0" applyAlignment="1" applyFont="1">
      <alignment horizontal="left"/>
    </xf>
    <xf borderId="0" fillId="5" fontId="3" numFmtId="164" xfId="0" applyAlignment="1" applyFill="1" applyFont="1" applyNumberFormat="1">
      <alignment horizontal="left"/>
    </xf>
    <xf borderId="0" fillId="5" fontId="3" numFmtId="0" xfId="0" applyFont="1"/>
    <xf borderId="0" fillId="0" fontId="10" numFmtId="0" xfId="0" applyAlignment="1" applyFont="1">
      <alignment vertical="bottom"/>
    </xf>
    <xf quotePrefix="1" borderId="0" fillId="0" fontId="7" numFmtId="0" xfId="0" applyAlignment="1" applyFont="1">
      <alignment shrinkToFit="0" vertical="bottom" wrapText="0"/>
    </xf>
    <xf borderId="0" fillId="2" fontId="5" numFmtId="0" xfId="0" applyAlignment="1" applyFont="1">
      <alignment horizontal="left"/>
    </xf>
    <xf quotePrefix="1" borderId="0" fillId="0" fontId="3" numFmtId="0" xfId="0" applyAlignment="1" applyFont="1">
      <alignment horizontal="left"/>
    </xf>
    <xf borderId="0" fillId="0" fontId="6" numFmtId="0" xfId="0" applyAlignment="1" applyFont="1">
      <alignment horizontal="left"/>
    </xf>
    <xf borderId="0" fillId="0" fontId="3" numFmtId="165" xfId="0" applyAlignment="1" applyFont="1" applyNumberFormat="1">
      <alignment horizontal="left"/>
    </xf>
    <xf borderId="0" fillId="0" fontId="22" numFmtId="0" xfId="0" applyAlignment="1" applyFont="1">
      <alignment horizontal="left"/>
    </xf>
    <xf borderId="0" fillId="4" fontId="3" numFmtId="165" xfId="0" applyAlignment="1" applyFont="1" applyNumberFormat="1">
      <alignment horizontal="left"/>
    </xf>
    <xf quotePrefix="1" borderId="0" fillId="4" fontId="3" numFmtId="0" xfId="0" applyAlignment="1" applyFont="1">
      <alignment horizontal="left"/>
    </xf>
    <xf borderId="0" fillId="0" fontId="3" numFmtId="166" xfId="0" applyAlignment="1" applyFont="1" applyNumberFormat="1">
      <alignment horizontal="left"/>
    </xf>
    <xf borderId="0" fillId="4" fontId="3" numFmtId="166" xfId="0" applyAlignment="1" applyFont="1" applyNumberFormat="1">
      <alignment horizontal="left"/>
    </xf>
    <xf borderId="0" fillId="2" fontId="23" numFmtId="0" xfId="0" applyAlignment="1" applyFont="1">
      <alignment horizontal="left"/>
    </xf>
    <xf borderId="0" fillId="0" fontId="3" numFmtId="0" xfId="0" applyAlignment="1" applyFont="1">
      <alignment horizontal="left" readingOrder="0"/>
    </xf>
    <xf borderId="0" fillId="0" fontId="4" numFmtId="0" xfId="0" applyAlignment="1" applyFont="1">
      <alignment horizontal="left"/>
    </xf>
    <xf borderId="0" fillId="4" fontId="24" numFmtId="166" xfId="0" applyAlignment="1" applyFont="1" applyNumberFormat="1">
      <alignment horizontal="left"/>
    </xf>
    <xf borderId="0" fillId="4" fontId="21" numFmtId="0" xfId="0" applyAlignment="1" applyFont="1">
      <alignment horizontal="left"/>
    </xf>
    <xf quotePrefix="1" borderId="0" fillId="4" fontId="21" numFmtId="0" xfId="0" applyAlignment="1" applyFont="1">
      <alignment horizontal="left"/>
    </xf>
    <xf borderId="0" fillId="4" fontId="24" numFmtId="0" xfId="0" applyAlignment="1" applyFont="1">
      <alignment horizontal="left"/>
    </xf>
    <xf borderId="0" fillId="0" fontId="25" numFmtId="166" xfId="0" applyAlignment="1" applyFont="1" applyNumberFormat="1">
      <alignment horizontal="left"/>
    </xf>
    <xf borderId="0" fillId="0" fontId="25" numFmtId="0" xfId="0" applyAlignment="1" applyFont="1">
      <alignment horizontal="left"/>
    </xf>
    <xf quotePrefix="1" borderId="0" fillId="0" fontId="25" numFmtId="0" xfId="0" applyAlignment="1" applyFont="1">
      <alignment horizontal="left"/>
    </xf>
    <xf borderId="0" fillId="0" fontId="25" numFmtId="0" xfId="0" applyFont="1"/>
    <xf borderId="0" fillId="0" fontId="26" numFmtId="0" xfId="0" applyAlignment="1" applyFont="1">
      <alignment horizontal="left"/>
    </xf>
    <xf borderId="0" fillId="0" fontId="7" numFmtId="166" xfId="0" applyAlignment="1" applyFont="1" applyNumberFormat="1">
      <alignment horizontal="left" vertical="bottom"/>
    </xf>
    <xf borderId="0" fillId="0" fontId="7" numFmtId="0" xfId="0" applyAlignment="1" applyFont="1">
      <alignment horizontal="left" vertical="bottom"/>
    </xf>
    <xf borderId="0" fillId="0" fontId="27" numFmtId="166" xfId="0" applyAlignment="1" applyFont="1" applyNumberFormat="1">
      <alignment horizontal="left"/>
    </xf>
    <xf borderId="0" fillId="0" fontId="27" numFmtId="0" xfId="0" applyAlignment="1" applyFont="1">
      <alignment horizontal="left"/>
    </xf>
    <xf quotePrefix="1" borderId="0" fillId="0" fontId="27" numFmtId="0" xfId="0" applyAlignment="1" applyFont="1">
      <alignment horizontal="left"/>
    </xf>
    <xf borderId="0" fillId="0" fontId="27" numFmtId="0" xfId="0" applyAlignment="1" applyFont="1">
      <alignment horizontal="left" readingOrder="0"/>
    </xf>
    <xf borderId="0" fillId="0" fontId="27" numFmtId="165" xfId="0" applyAlignment="1" applyFont="1" applyNumberFormat="1">
      <alignment horizontal="left"/>
    </xf>
    <xf borderId="0" fillId="0" fontId="28" numFmtId="0" xfId="0" applyAlignment="1" applyFont="1">
      <alignment horizontal="left"/>
    </xf>
    <xf borderId="0" fillId="0" fontId="29" numFmtId="0" xfId="0" applyAlignment="1" applyFont="1">
      <alignment horizontal="left"/>
    </xf>
    <xf quotePrefix="1" borderId="0" fillId="0" fontId="6" numFmtId="0" xfId="0" applyAlignment="1" applyFont="1">
      <alignment horizontal="left"/>
    </xf>
    <xf borderId="0" fillId="0" fontId="25" numFmtId="165" xfId="0" applyAlignment="1" applyFont="1" applyNumberFormat="1">
      <alignment horizontal="left"/>
    </xf>
    <xf borderId="0" fillId="0" fontId="17" numFmtId="0" xfId="0" applyAlignment="1" applyFont="1">
      <alignment horizontal="left" vertical="bottom"/>
    </xf>
    <xf borderId="0" fillId="0" fontId="27" numFmtId="0" xfId="0" applyFont="1"/>
    <xf borderId="0" fillId="0" fontId="24" numFmtId="0" xfId="0" applyFont="1"/>
    <xf quotePrefix="1" borderId="0" fillId="0" fontId="24" numFmtId="0" xfId="0" applyFont="1"/>
    <xf borderId="0" fillId="3" fontId="7" numFmtId="166" xfId="0" applyAlignment="1" applyFont="1" applyNumberFormat="1">
      <alignment horizontal="left" vertical="bottom"/>
    </xf>
    <xf quotePrefix="1" borderId="0" fillId="3" fontId="7" numFmtId="0" xfId="0" applyAlignment="1" applyFont="1">
      <alignment vertical="bottom"/>
    </xf>
    <xf borderId="2" fillId="3" fontId="7" numFmtId="0" xfId="0" applyAlignment="1" applyBorder="1" applyFont="1">
      <alignment vertical="bottom"/>
    </xf>
    <xf borderId="2" fillId="3" fontId="9" numFmtId="0" xfId="0" applyAlignment="1" applyBorder="1" applyFont="1">
      <alignment vertical="bottom"/>
    </xf>
    <xf borderId="0" fillId="2" fontId="7" numFmtId="166" xfId="0" applyAlignment="1" applyFont="1" applyNumberFormat="1">
      <alignment horizontal="left" vertical="bottom"/>
    </xf>
    <xf quotePrefix="1" borderId="0" fillId="2" fontId="3" numFmtId="0" xfId="0" applyFont="1"/>
    <xf borderId="0" fillId="2" fontId="7" numFmtId="0" xfId="0" applyAlignment="1" applyFont="1">
      <alignment horizontal="left" vertical="bottom"/>
    </xf>
    <xf borderId="0" fillId="2" fontId="9" numFmtId="0" xfId="0" applyAlignment="1" applyFont="1">
      <alignment horizontal="left" vertical="bottom"/>
    </xf>
    <xf quotePrefix="1" borderId="0" fillId="3" fontId="3" numFmtId="0" xfId="0" applyFont="1"/>
    <xf borderId="0" fillId="3" fontId="17" numFmtId="0" xfId="0" applyAlignment="1" applyFont="1">
      <alignment horizontal="left" vertical="bottom"/>
    </xf>
    <xf borderId="0" fillId="2" fontId="17" numFmtId="0" xfId="0" applyAlignment="1" applyFont="1">
      <alignment horizontal="left" vertical="bottom"/>
    </xf>
    <xf quotePrefix="1" borderId="0" fillId="3" fontId="3" numFmtId="0" xfId="0" applyAlignment="1" applyFont="1">
      <alignment horizontal="left"/>
    </xf>
    <xf borderId="0" fillId="3" fontId="10" numFmtId="0" xfId="0" applyAlignment="1" applyFont="1">
      <alignment vertical="bottom"/>
    </xf>
    <xf borderId="2" fillId="3" fontId="10" numFmtId="0" xfId="0" applyAlignment="1" applyBorder="1" applyFont="1">
      <alignment shrinkToFit="0" vertical="bottom" wrapText="0"/>
    </xf>
    <xf borderId="0" fillId="3" fontId="30" numFmtId="0" xfId="0" applyAlignment="1" applyFont="1">
      <alignment vertical="bottom"/>
    </xf>
    <xf quotePrefix="1" borderId="0" fillId="2" fontId="10" numFmtId="0" xfId="0" applyAlignment="1" applyFont="1">
      <alignment shrinkToFit="0" vertical="bottom" wrapText="0"/>
    </xf>
    <xf borderId="0" fillId="3" fontId="7" numFmtId="167" xfId="0" applyAlignment="1" applyFont="1" applyNumberFormat="1">
      <alignment horizontal="left" vertical="bottom"/>
    </xf>
    <xf borderId="0" fillId="3" fontId="4" numFmtId="0" xfId="0" applyFont="1"/>
    <xf borderId="0" fillId="2" fontId="7" numFmtId="167" xfId="0" applyAlignment="1" applyFont="1" applyNumberFormat="1">
      <alignment horizontal="left" vertical="bottom"/>
    </xf>
    <xf borderId="0" fillId="2" fontId="7" numFmtId="0" xfId="0" applyAlignment="1" applyFont="1">
      <alignment horizontal="left" shrinkToFit="0" vertical="bottom" wrapText="0"/>
    </xf>
    <xf borderId="0" fillId="3" fontId="28" numFmtId="167" xfId="0" applyAlignment="1" applyFont="1" applyNumberFormat="1">
      <alignment horizontal="left" vertical="bottom"/>
    </xf>
    <xf borderId="0" fillId="3" fontId="27" numFmtId="0" xfId="0" applyFont="1"/>
    <xf quotePrefix="1" borderId="0" fillId="3" fontId="27" numFmtId="0" xfId="0" applyFont="1"/>
    <xf borderId="0" fillId="3" fontId="28" numFmtId="0" xfId="0" applyAlignment="1" applyFont="1">
      <alignment horizontal="left" vertical="bottom"/>
    </xf>
    <xf borderId="0" fillId="3" fontId="7" numFmtId="166" xfId="0" applyAlignment="1" applyFont="1" applyNumberFormat="1">
      <alignment horizontal="right" vertical="bottom"/>
    </xf>
    <xf borderId="0" fillId="2" fontId="7" numFmtId="166" xfId="0" applyAlignment="1" applyFont="1" applyNumberFormat="1">
      <alignment horizontal="right" vertical="bottom"/>
    </xf>
    <xf quotePrefix="1" borderId="0" fillId="2" fontId="7" numFmtId="0" xfId="0" applyAlignment="1" applyFont="1">
      <alignment vertical="bottom"/>
    </xf>
    <xf borderId="0" fillId="3" fontId="7" numFmtId="0" xfId="0" applyAlignment="1" applyFont="1">
      <alignment readingOrder="0" vertical="bottom"/>
    </xf>
    <xf borderId="0" fillId="2" fontId="7" numFmtId="165" xfId="0" applyAlignment="1" applyFont="1" applyNumberFormat="1">
      <alignment horizontal="right" vertical="bottom"/>
    </xf>
    <xf borderId="2" fillId="2" fontId="7" numFmtId="0" xfId="0" applyAlignment="1" applyBorder="1" applyFont="1">
      <alignment shrinkToFit="0" vertical="bottom" wrapText="0"/>
    </xf>
    <xf borderId="0" fillId="3" fontId="7" numFmtId="165" xfId="0" applyAlignment="1" applyFont="1" applyNumberFormat="1">
      <alignment horizontal="right" vertical="bottom"/>
    </xf>
    <xf borderId="0" fillId="2" fontId="8" numFmtId="0" xfId="0" applyAlignment="1" applyFont="1">
      <alignment vertical="bottom"/>
    </xf>
    <xf borderId="2" fillId="2" fontId="8" numFmtId="0" xfId="0" applyAlignment="1" applyBorder="1" applyFont="1">
      <alignment vertical="bottom"/>
    </xf>
    <xf borderId="0" fillId="3" fontId="31" numFmtId="0" xfId="0" applyAlignment="1" applyFont="1">
      <alignment vertical="bottom"/>
    </xf>
    <xf borderId="0" fillId="3" fontId="31" numFmtId="0" xfId="0" applyAlignment="1" applyFont="1">
      <alignment horizontal="right" vertical="bottom"/>
    </xf>
    <xf borderId="2" fillId="3" fontId="31" numFmtId="0" xfId="0" applyAlignment="1" applyBorder="1" applyFont="1">
      <alignment shrinkToFit="0" vertical="bottom" wrapText="0"/>
    </xf>
    <xf borderId="2" fillId="2" fontId="7" numFmtId="0" xfId="0" applyAlignment="1" applyBorder="1" applyFont="1">
      <alignment vertical="bottom"/>
    </xf>
    <xf quotePrefix="1" borderId="2" fillId="3" fontId="7" numFmtId="0" xfId="0" applyAlignment="1" applyBorder="1" applyFont="1">
      <alignment vertical="bottom"/>
    </xf>
    <xf borderId="0" fillId="2" fontId="7" numFmtId="167" xfId="0" applyAlignment="1" applyFont="1" applyNumberFormat="1">
      <alignment horizontal="right" vertical="bottom"/>
    </xf>
    <xf borderId="0" fillId="0" fontId="3" numFmtId="0" xfId="0" applyAlignment="1" applyFont="1">
      <alignment horizontal="left" readingOrder="2" shrinkToFit="0" wrapText="0"/>
    </xf>
    <xf borderId="0" fillId="0" fontId="3" numFmtId="166" xfId="0" applyFont="1" applyNumberFormat="1"/>
    <xf borderId="0" fillId="0" fontId="32" numFmtId="0" xfId="0" applyAlignment="1" applyFont="1">
      <alignment horizontal="left" shrinkToFit="0" vertical="bottom" wrapText="0"/>
    </xf>
    <xf borderId="0" fillId="0" fontId="32" numFmtId="0" xfId="0" applyAlignment="1" applyFont="1">
      <alignment horizontal="left" readingOrder="0" shrinkToFit="0" vertical="bottom" wrapText="0"/>
    </xf>
    <xf quotePrefix="1" borderId="0" fillId="0" fontId="32" numFmtId="0" xfId="0" applyAlignment="1" applyFont="1">
      <alignment horizontal="left" shrinkToFit="0" vertical="bottom" wrapText="0"/>
    </xf>
    <xf borderId="0" fillId="0" fontId="33" numFmtId="0" xfId="0" applyAlignment="1" applyFont="1">
      <alignment horizontal="left" shrinkToFit="0" vertical="bottom" wrapText="0"/>
    </xf>
    <xf borderId="0" fillId="0" fontId="3" numFmtId="165" xfId="0" applyFont="1" applyNumberFormat="1"/>
    <xf borderId="0" fillId="0" fontId="10" numFmtId="0" xfId="0" applyAlignment="1" applyFont="1">
      <alignment horizontal="right" shrinkToFit="0" vertical="bottom" wrapText="0"/>
    </xf>
    <xf borderId="0" fillId="0" fontId="11" numFmtId="0" xfId="0" applyAlignment="1" applyFont="1">
      <alignment shrinkToFit="0" vertical="bottom" wrapText="0"/>
    </xf>
    <xf quotePrefix="1" borderId="0" fillId="0" fontId="10" numFmtId="0" xfId="0" applyAlignment="1" applyFont="1">
      <alignment shrinkToFit="0" vertical="bottom" wrapText="0"/>
    </xf>
    <xf quotePrefix="1" borderId="0" fillId="0" fontId="10" numFmtId="0" xfId="0" applyAlignment="1" applyFont="1">
      <alignment horizontal="right" shrinkToFit="0" vertical="bottom" wrapText="0"/>
    </xf>
    <xf borderId="0" fillId="0" fontId="34" numFmtId="166" xfId="0" applyFont="1" applyNumberFormat="1"/>
    <xf borderId="0" fillId="0" fontId="35" numFmtId="0" xfId="0" applyAlignment="1" applyFont="1">
      <alignment horizontal="left" shrinkToFit="0" vertical="bottom" wrapText="0"/>
    </xf>
    <xf borderId="0" fillId="0" fontId="34" numFmtId="0" xfId="0" applyFont="1"/>
    <xf borderId="0" fillId="0" fontId="36" numFmtId="0" xfId="0" applyFont="1"/>
    <xf borderId="0" fillId="0" fontId="37" numFmtId="0" xfId="0" applyAlignment="1" applyFont="1">
      <alignment horizontal="left" shrinkToFit="0" vertical="bottom" wrapText="0"/>
    </xf>
    <xf borderId="0" fillId="0" fontId="38" numFmtId="166" xfId="0" applyFont="1" applyNumberFormat="1"/>
    <xf borderId="0" fillId="0" fontId="35" numFmtId="0" xfId="0" applyAlignment="1" applyFont="1">
      <alignment horizontal="left" readingOrder="0" shrinkToFit="0" vertical="bottom" wrapText="0"/>
    </xf>
    <xf quotePrefix="1" borderId="0" fillId="0" fontId="34" numFmtId="0" xfId="0" applyFont="1"/>
    <xf borderId="0" fillId="0" fontId="39" numFmtId="0" xfId="0" applyFont="1"/>
    <xf borderId="0" fillId="0" fontId="40" numFmtId="0" xfId="0" applyAlignment="1" applyFont="1">
      <alignment horizontal="left" shrinkToFit="0" vertical="bottom" wrapText="0"/>
    </xf>
    <xf borderId="0" fillId="4" fontId="24" numFmtId="165" xfId="0" applyFont="1" applyNumberFormat="1"/>
    <xf borderId="0" fillId="4" fontId="24" numFmtId="0" xfId="0" applyFont="1"/>
    <xf borderId="0" fillId="2" fontId="41" numFmtId="0" xfId="0" applyFont="1"/>
    <xf borderId="0" fillId="2" fontId="23" numFmtId="0" xfId="0" applyFont="1"/>
    <xf borderId="0" fillId="0" fontId="3" numFmtId="0" xfId="0" applyFont="1"/>
    <xf borderId="0" fillId="4" fontId="3" numFmtId="166" xfId="0" applyFont="1" applyNumberFormat="1"/>
    <xf borderId="0" fillId="4" fontId="5" numFmtId="0" xfId="0" applyFont="1"/>
    <xf quotePrefix="1" borderId="0" fillId="2" fontId="5" numFmtId="0" xfId="0" applyFont="1"/>
    <xf borderId="0" fillId="4" fontId="23" numFmtId="0" xfId="0" applyFont="1"/>
    <xf borderId="0" fillId="4" fontId="42" numFmtId="0" xfId="0" applyAlignment="1" applyFont="1">
      <alignment horizontal="left" shrinkToFit="0" vertical="bottom" wrapText="0"/>
    </xf>
    <xf borderId="0" fillId="4" fontId="32" numFmtId="0" xfId="0" applyAlignment="1" applyFont="1">
      <alignment horizontal="left" shrinkToFit="0" vertical="bottom" wrapText="0"/>
    </xf>
    <xf borderId="0" fillId="0" fontId="42" numFmtId="0" xfId="0" applyAlignment="1" applyFont="1">
      <alignment horizontal="left" shrinkToFit="0" vertical="bottom" wrapText="0"/>
    </xf>
    <xf borderId="0" fillId="4" fontId="24" numFmtId="166" xfId="0" applyFont="1" applyNumberFormat="1"/>
    <xf borderId="0" fillId="4" fontId="37" numFmtId="0" xfId="0" applyAlignment="1" applyFont="1">
      <alignment horizontal="left" shrinkToFit="0" vertical="bottom" wrapText="0"/>
    </xf>
    <xf quotePrefix="1" borderId="0" fillId="2" fontId="41" numFmtId="0" xfId="0" applyFont="1"/>
    <xf borderId="0" fillId="0" fontId="43" numFmtId="0" xfId="0" applyFont="1"/>
    <xf borderId="0" fillId="4" fontId="1" numFmtId="0" xfId="0" applyFont="1"/>
    <xf borderId="0" fillId="0" fontId="24" numFmtId="166" xfId="0" applyFont="1" applyNumberFormat="1"/>
    <xf borderId="0" fillId="0" fontId="14" numFmtId="0" xfId="0" applyAlignment="1" applyFont="1">
      <alignment vertical="bottom"/>
    </xf>
    <xf borderId="0" fillId="0" fontId="7" numFmtId="166" xfId="0" applyAlignment="1" applyFont="1" applyNumberFormat="1">
      <alignment horizontal="right" vertical="bottom"/>
    </xf>
    <xf borderId="0" fillId="0" fontId="44" numFmtId="0" xfId="0" applyAlignment="1" applyFont="1">
      <alignment shrinkToFit="0" vertical="bottom" wrapText="0"/>
    </xf>
    <xf borderId="0" fillId="0" fontId="45" numFmtId="0" xfId="0" applyAlignment="1" applyFont="1">
      <alignment vertical="bottom"/>
    </xf>
    <xf quotePrefix="1" borderId="0" fillId="0" fontId="45" numFmtId="0" xfId="0" applyAlignment="1" applyFont="1">
      <alignment vertical="bottom"/>
    </xf>
    <xf borderId="0" fillId="2" fontId="21" numFmtId="0" xfId="0" applyAlignment="1" applyFont="1">
      <alignment vertical="bottom"/>
    </xf>
    <xf borderId="0" fillId="2" fontId="21" numFmtId="0" xfId="0" applyAlignment="1" applyFont="1">
      <alignment horizontal="right" vertical="bottom"/>
    </xf>
    <xf borderId="0" fillId="2" fontId="46" numFmtId="0" xfId="0" applyAlignment="1" applyFont="1">
      <alignment vertical="bottom"/>
    </xf>
    <xf borderId="2" fillId="2" fontId="21" numFmtId="0" xfId="0" applyAlignment="1" applyBorder="1" applyFont="1">
      <alignment shrinkToFit="0" vertical="bottom" wrapText="0"/>
    </xf>
    <xf borderId="0" fillId="0" fontId="47" numFmtId="0" xfId="0" applyAlignment="1" applyFont="1">
      <alignment vertical="bottom"/>
    </xf>
    <xf quotePrefix="1" borderId="0" fillId="0" fontId="48" numFmtId="0" xfId="0" applyAlignment="1" applyFont="1">
      <alignment vertical="bottom"/>
    </xf>
    <xf borderId="0" fillId="2" fontId="21" numFmtId="166" xfId="0" applyAlignment="1" applyFont="1" applyNumberFormat="1">
      <alignment horizontal="right" vertical="bottom"/>
    </xf>
    <xf borderId="0" fillId="2" fontId="10" numFmtId="0" xfId="0" applyAlignment="1" applyFont="1">
      <alignment vertical="bottom"/>
    </xf>
    <xf borderId="2" fillId="2" fontId="10" numFmtId="0" xfId="0" applyAlignment="1" applyBorder="1" applyFont="1">
      <alignment shrinkToFit="0" vertical="bottom" wrapText="0"/>
    </xf>
    <xf borderId="0" fillId="0" fontId="10" numFmtId="0" xfId="0" applyAlignment="1" applyFont="1">
      <alignment horizontal="right" vertical="bottom"/>
    </xf>
    <xf borderId="0" fillId="0" fontId="40" numFmtId="0" xfId="0" applyAlignment="1" applyFont="1">
      <alignment vertical="bottom"/>
    </xf>
    <xf borderId="0" fillId="0" fontId="40" numFmtId="0" xfId="0" applyAlignment="1" applyFont="1">
      <alignment shrinkToFit="0" vertical="bottom" wrapText="0"/>
    </xf>
    <xf borderId="0" fillId="0" fontId="49" numFmtId="0" xfId="0" applyAlignment="1" applyFont="1">
      <alignment vertical="bottom"/>
    </xf>
    <xf borderId="0" fillId="0" fontId="50" numFmtId="0" xfId="0" applyAlignment="1" applyFont="1">
      <alignment vertical="bottom"/>
    </xf>
    <xf borderId="0" fillId="0" fontId="31" numFmtId="0" xfId="0" applyAlignment="1" applyFont="1">
      <alignment vertical="bottom"/>
    </xf>
    <xf borderId="0" fillId="0" fontId="31" numFmtId="0" xfId="0" applyAlignment="1" applyFont="1">
      <alignment shrinkToFit="0" vertical="bottom" wrapText="0"/>
    </xf>
    <xf borderId="0" fillId="6" fontId="7" numFmtId="166" xfId="0" applyAlignment="1" applyFill="1" applyFont="1" applyNumberFormat="1">
      <alignment horizontal="right" vertical="bottom"/>
    </xf>
    <xf borderId="0" fillId="6" fontId="10" numFmtId="0" xfId="0" applyAlignment="1" applyFont="1">
      <alignment vertical="bottom"/>
    </xf>
    <xf borderId="0" fillId="6" fontId="10" numFmtId="0" xfId="0" applyAlignment="1" applyFont="1">
      <alignment horizontal="right" vertical="bottom"/>
    </xf>
    <xf borderId="2" fillId="6" fontId="10" numFmtId="0" xfId="0" applyAlignment="1" applyBorder="1" applyFont="1">
      <alignment shrinkToFit="0" vertical="bottom" wrapText="0"/>
    </xf>
    <xf borderId="0" fillId="6" fontId="7" numFmtId="0" xfId="0" applyAlignment="1" applyFont="1">
      <alignment vertical="bottom"/>
    </xf>
    <xf borderId="0" fillId="6" fontId="31" numFmtId="0" xfId="0" applyAlignment="1" applyFont="1">
      <alignment vertical="bottom"/>
    </xf>
    <xf borderId="0" fillId="7" fontId="7" numFmtId="166" xfId="0" applyAlignment="1" applyFill="1" applyFont="1" applyNumberFormat="1">
      <alignment horizontal="right" vertical="bottom"/>
    </xf>
    <xf borderId="0" fillId="7" fontId="10" numFmtId="0" xfId="0" applyAlignment="1" applyFont="1">
      <alignment vertical="bottom"/>
    </xf>
    <xf borderId="0" fillId="7" fontId="7" numFmtId="0" xfId="0" applyAlignment="1" applyFont="1">
      <alignment vertical="bottom"/>
    </xf>
    <xf borderId="0" fillId="7" fontId="10" numFmtId="0" xfId="0" applyAlignment="1" applyFont="1">
      <alignment horizontal="right" vertical="bottom"/>
    </xf>
    <xf borderId="2" fillId="7" fontId="10" numFmtId="0" xfId="0" applyAlignment="1" applyBorder="1" applyFont="1">
      <alignment shrinkToFit="0" vertical="bottom" wrapText="0"/>
    </xf>
    <xf borderId="2" fillId="7" fontId="10" numFmtId="0" xfId="0" applyAlignment="1" applyBorder="1" applyFont="1">
      <alignment vertical="bottom"/>
    </xf>
    <xf quotePrefix="1" borderId="0" fillId="0" fontId="10" numFmtId="0" xfId="0" applyAlignment="1" applyFont="1">
      <alignment vertical="bottom"/>
    </xf>
    <xf borderId="2" fillId="2" fontId="41" numFmtId="0" xfId="0" applyAlignment="1" applyBorder="1" applyFont="1">
      <alignment vertical="top"/>
    </xf>
    <xf borderId="0" fillId="2" fontId="41" numFmtId="0" xfId="0" applyAlignment="1" applyFont="1">
      <alignment vertical="top"/>
    </xf>
    <xf borderId="2" fillId="2" fontId="41" numFmtId="0" xfId="0" applyAlignment="1" applyBorder="1" applyFont="1">
      <alignment shrinkToFit="0" vertical="top" wrapText="0"/>
    </xf>
    <xf borderId="0" fillId="2" fontId="41" numFmtId="0" xfId="0" applyAlignment="1" applyFont="1">
      <alignment horizontal="right" vertical="top"/>
    </xf>
    <xf borderId="0" fillId="4" fontId="3" numFmtId="165" xfId="0" applyFont="1" applyNumberFormat="1"/>
    <xf borderId="0" fillId="4" fontId="7" numFmtId="166" xfId="0" applyAlignment="1" applyFont="1" applyNumberFormat="1">
      <alignment horizontal="right" vertical="bottom"/>
    </xf>
    <xf borderId="0" fillId="4" fontId="42" numFmtId="0" xfId="0" applyAlignment="1" applyFont="1">
      <alignment vertical="bottom"/>
    </xf>
    <xf borderId="0" fillId="4" fontId="32" numFmtId="0" xfId="0" applyAlignment="1" applyFont="1">
      <alignment vertical="bottom"/>
    </xf>
    <xf borderId="0" fillId="4" fontId="8" numFmtId="0" xfId="0" applyAlignment="1" applyFont="1">
      <alignment horizontal="left"/>
    </xf>
    <xf quotePrefix="1" borderId="0" fillId="4" fontId="8" numFmtId="0" xfId="0" applyAlignment="1" applyFont="1">
      <alignment horizontal="left"/>
    </xf>
    <xf borderId="0" fillId="0" fontId="51" numFmtId="0" xfId="0" applyFont="1"/>
    <xf borderId="0" fillId="0" fontId="51" numFmtId="168"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r-z-r.ru" TargetMode="External"/><Relationship Id="rId2" Type="http://schemas.openxmlformats.org/officeDocument/2006/relationships/hyperlink" Target="mailto:thomas.tougaard@hotmail.com" TargetMode="External"/><Relationship Id="rId3" Type="http://schemas.openxmlformats.org/officeDocument/2006/relationships/hyperlink" Target="https://buyreadybusiness.com/" TargetMode="External"/><Relationship Id="rId4" Type="http://schemas.openxmlformats.org/officeDocument/2006/relationships/hyperlink" Target="mailto:Saeed.bassem@yahoo.com" TargetMode="External"/><Relationship Id="rId5" Type="http://schemas.openxmlformats.org/officeDocument/2006/relationships/hyperlink" Target="mailto:Altyn@gmail.com"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mrsmmd@hotmail.com" TargetMode="External"/><Relationship Id="rId2" Type="http://schemas.openxmlformats.org/officeDocument/2006/relationships/hyperlink" Target="http://chinainvestmentweek.com/china" TargetMode="External"/><Relationship Id="rId3" Type="http://schemas.openxmlformats.org/officeDocument/2006/relationships/hyperlink" Target="http://chinainvestmentweek.com/china"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mailto:ishaq_anjum@yahoo.com" TargetMode="External"/><Relationship Id="rId2" Type="http://schemas.openxmlformats.org/officeDocument/2006/relationships/hyperlink" Target="mailto:akanmodemaryam@yahoo.co.uk" TargetMode="External"/><Relationship Id="rId3" Type="http://schemas.openxmlformats.org/officeDocument/2006/relationships/hyperlink" Target="mailto:maheshphulwani@aol.com" TargetMode="External"/><Relationship Id="rId4" Type="http://schemas.openxmlformats.org/officeDocument/2006/relationships/hyperlink" Target="mailto:vimalch81@gmail.com" TargetMode="External"/><Relationship Id="rId5" Type="http://schemas.openxmlformats.org/officeDocument/2006/relationships/hyperlink" Target="mailto:acemelobe@hotmail.com" TargetMode="External"/><Relationship Id="rId6" Type="http://schemas.openxmlformats.org/officeDocument/2006/relationships/hyperlink" Target="mailto:decorindo@hotmail.com" TargetMode="Externa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0"/>
  <cols>
    <col customWidth="1" min="1" max="1" width="14.75"/>
    <col customWidth="1" min="2" max="2" width="34.25"/>
    <col customWidth="1" min="3" max="3" width="37.88"/>
    <col customWidth="1" min="4" max="4" width="29.0"/>
    <col customWidth="1" min="5" max="5" width="12.13"/>
    <col customWidth="1" min="6" max="6" width="55.0"/>
    <col customWidth="1" min="7" max="7" width="16.38"/>
    <col customWidth="1" min="8" max="8" width="6.63"/>
    <col customWidth="1" min="9" max="9" width="9.13"/>
    <col customWidth="1" min="10" max="34" width="14.38"/>
  </cols>
  <sheetData>
    <row r="1" ht="15.75" customHeight="1">
      <c r="A1" s="1" t="s">
        <v>0</v>
      </c>
      <c r="B1" s="2" t="s">
        <v>1</v>
      </c>
      <c r="C1" s="2" t="s">
        <v>2</v>
      </c>
      <c r="D1" s="2" t="s">
        <v>3</v>
      </c>
      <c r="E1" s="2" t="s">
        <v>4</v>
      </c>
      <c r="F1" s="2"/>
      <c r="G1" s="3" t="s">
        <v>5</v>
      </c>
      <c r="H1" s="2"/>
      <c r="I1" s="2" t="s">
        <v>6</v>
      </c>
      <c r="J1" s="4" t="s">
        <v>7</v>
      </c>
      <c r="K1" s="4"/>
      <c r="L1" s="4"/>
      <c r="M1" s="4"/>
      <c r="N1" s="4"/>
      <c r="O1" s="4"/>
      <c r="P1" s="4"/>
      <c r="Q1" s="4"/>
      <c r="R1" s="4"/>
      <c r="S1" s="4"/>
      <c r="T1" s="4"/>
      <c r="U1" s="4"/>
      <c r="V1" s="4"/>
      <c r="W1" s="4"/>
      <c r="X1" s="4"/>
      <c r="Y1" s="4"/>
      <c r="Z1" s="4"/>
      <c r="AA1" s="4"/>
      <c r="AB1" s="4"/>
      <c r="AC1" s="4"/>
      <c r="AD1" s="4"/>
      <c r="AE1" s="4"/>
    </row>
    <row r="2" ht="15.75" customHeight="1">
      <c r="A2" s="5">
        <v>43467.0</v>
      </c>
      <c r="B2" s="6" t="s">
        <v>8</v>
      </c>
      <c r="C2" s="6" t="s">
        <v>9</v>
      </c>
      <c r="D2" s="7" t="s">
        <v>10</v>
      </c>
      <c r="E2" s="6" t="s">
        <v>11</v>
      </c>
      <c r="G2" s="6" t="s">
        <v>12</v>
      </c>
      <c r="I2" s="8" t="s">
        <v>13</v>
      </c>
      <c r="J2" s="6" t="s">
        <v>14</v>
      </c>
    </row>
    <row r="3" ht="15.75" customHeight="1">
      <c r="A3" s="5">
        <v>43467.0</v>
      </c>
      <c r="B3" s="6" t="s">
        <v>15</v>
      </c>
      <c r="D3" s="7" t="s">
        <v>16</v>
      </c>
      <c r="F3" s="6" t="s">
        <v>17</v>
      </c>
      <c r="G3" s="9" t="s">
        <v>18</v>
      </c>
      <c r="H3" s="6" t="s">
        <v>19</v>
      </c>
      <c r="I3" s="8" t="s">
        <v>20</v>
      </c>
      <c r="J3" s="6" t="s">
        <v>14</v>
      </c>
    </row>
    <row r="4" ht="15.75" customHeight="1">
      <c r="A4" s="5">
        <v>43468.0</v>
      </c>
      <c r="B4" s="6" t="s">
        <v>21</v>
      </c>
      <c r="C4" s="6" t="s">
        <v>22</v>
      </c>
      <c r="D4" s="7" t="s">
        <v>23</v>
      </c>
      <c r="F4" s="6" t="s">
        <v>24</v>
      </c>
      <c r="G4" s="6" t="s">
        <v>25</v>
      </c>
      <c r="I4" s="10" t="s">
        <v>26</v>
      </c>
      <c r="J4" s="6" t="s">
        <v>14</v>
      </c>
    </row>
    <row r="5" ht="15.75" customHeight="1">
      <c r="A5" s="5">
        <v>43468.0</v>
      </c>
      <c r="B5" s="6" t="s">
        <v>27</v>
      </c>
      <c r="C5" s="6" t="s">
        <v>28</v>
      </c>
      <c r="G5" s="6" t="s">
        <v>29</v>
      </c>
      <c r="I5" s="10" t="s">
        <v>26</v>
      </c>
      <c r="J5" s="6" t="s">
        <v>14</v>
      </c>
    </row>
    <row r="6" ht="15.75" customHeight="1">
      <c r="A6" s="5">
        <v>43468.0</v>
      </c>
      <c r="B6" s="6" t="s">
        <v>30</v>
      </c>
      <c r="C6" s="6" t="s">
        <v>31</v>
      </c>
      <c r="E6" s="6" t="s">
        <v>32</v>
      </c>
      <c r="G6" s="6" t="s">
        <v>33</v>
      </c>
      <c r="I6" s="8" t="s">
        <v>20</v>
      </c>
      <c r="J6" s="6" t="s">
        <v>14</v>
      </c>
    </row>
    <row r="7" ht="15.75" customHeight="1">
      <c r="A7" s="5">
        <v>43470.0</v>
      </c>
      <c r="B7" s="6" t="s">
        <v>34</v>
      </c>
      <c r="C7" s="6" t="s">
        <v>35</v>
      </c>
      <c r="D7" s="7" t="s">
        <v>36</v>
      </c>
      <c r="E7" s="6" t="s">
        <v>37</v>
      </c>
      <c r="G7" s="6" t="s">
        <v>38</v>
      </c>
      <c r="I7" s="10" t="s">
        <v>39</v>
      </c>
      <c r="J7" s="6" t="s">
        <v>40</v>
      </c>
    </row>
    <row r="8" ht="15.75" customHeight="1">
      <c r="A8" s="5">
        <v>43470.0</v>
      </c>
      <c r="B8" s="6" t="s">
        <v>41</v>
      </c>
      <c r="C8" s="6" t="s">
        <v>42</v>
      </c>
      <c r="D8" s="7" t="s">
        <v>43</v>
      </c>
      <c r="E8" s="6" t="s">
        <v>44</v>
      </c>
      <c r="G8" s="6" t="s">
        <v>38</v>
      </c>
      <c r="I8" s="10" t="s">
        <v>39</v>
      </c>
      <c r="J8" s="6" t="s">
        <v>40</v>
      </c>
    </row>
    <row r="9" ht="15.75" customHeight="1">
      <c r="A9" s="11">
        <v>43471.0</v>
      </c>
      <c r="B9" s="12" t="s">
        <v>45</v>
      </c>
      <c r="C9" s="12" t="s">
        <v>46</v>
      </c>
      <c r="D9" s="13" t="s">
        <v>47</v>
      </c>
      <c r="E9" s="14"/>
      <c r="F9" s="12" t="s">
        <v>48</v>
      </c>
      <c r="G9" s="12" t="s">
        <v>49</v>
      </c>
      <c r="H9" s="15"/>
      <c r="I9" s="16" t="s">
        <v>50</v>
      </c>
      <c r="J9" s="6" t="s">
        <v>40</v>
      </c>
    </row>
    <row r="10" ht="15.75" customHeight="1">
      <c r="A10" s="11">
        <v>43471.0</v>
      </c>
      <c r="B10" s="6" t="s">
        <v>51</v>
      </c>
      <c r="C10" s="6" t="s">
        <v>52</v>
      </c>
      <c r="E10" s="6" t="s">
        <v>53</v>
      </c>
      <c r="G10" s="6" t="s">
        <v>54</v>
      </c>
      <c r="I10" s="8" t="s">
        <v>55</v>
      </c>
      <c r="J10" s="6" t="s">
        <v>40</v>
      </c>
    </row>
    <row r="11" ht="15.75" customHeight="1">
      <c r="A11" s="11">
        <v>43471.0</v>
      </c>
      <c r="B11" s="12" t="s">
        <v>56</v>
      </c>
      <c r="C11" s="12" t="s">
        <v>57</v>
      </c>
      <c r="D11" s="13" t="s">
        <v>58</v>
      </c>
      <c r="E11" s="12" t="s">
        <v>59</v>
      </c>
      <c r="G11" s="12" t="s">
        <v>49</v>
      </c>
      <c r="I11" s="10" t="s">
        <v>60</v>
      </c>
      <c r="J11" s="6" t="s">
        <v>40</v>
      </c>
    </row>
    <row r="12" ht="15.75" customHeight="1">
      <c r="A12" s="5">
        <v>43472.0</v>
      </c>
      <c r="B12" s="12" t="s">
        <v>61</v>
      </c>
      <c r="C12" s="6" t="s">
        <v>62</v>
      </c>
      <c r="D12" s="7" t="s">
        <v>63</v>
      </c>
      <c r="E12" s="6" t="s">
        <v>64</v>
      </c>
      <c r="I12" s="8" t="s">
        <v>65</v>
      </c>
      <c r="J12" s="6" t="s">
        <v>20</v>
      </c>
      <c r="K12" s="6" t="s">
        <v>66</v>
      </c>
    </row>
    <row r="13" ht="15.75" customHeight="1">
      <c r="A13" s="5">
        <v>43472.0</v>
      </c>
      <c r="B13" s="6" t="s">
        <v>67</v>
      </c>
      <c r="C13" s="6" t="s">
        <v>68</v>
      </c>
      <c r="D13" s="7" t="s">
        <v>69</v>
      </c>
      <c r="E13" s="6" t="s">
        <v>70</v>
      </c>
      <c r="G13" s="6" t="s">
        <v>71</v>
      </c>
      <c r="I13" s="6" t="s">
        <v>72</v>
      </c>
      <c r="J13" s="6" t="s">
        <v>20</v>
      </c>
      <c r="K13" s="6" t="s">
        <v>66</v>
      </c>
    </row>
    <row r="14" ht="15.75" customHeight="1">
      <c r="A14" s="17">
        <v>43472.0</v>
      </c>
      <c r="B14" s="18" t="s">
        <v>73</v>
      </c>
      <c r="C14" s="18" t="s">
        <v>74</v>
      </c>
      <c r="D14" s="19" t="s">
        <v>75</v>
      </c>
      <c r="E14" s="18" t="s">
        <v>76</v>
      </c>
      <c r="G14" s="18" t="s">
        <v>71</v>
      </c>
      <c r="H14" s="18"/>
      <c r="I14" s="18" t="s">
        <v>77</v>
      </c>
      <c r="J14" s="6" t="s">
        <v>20</v>
      </c>
      <c r="K14" s="6" t="s">
        <v>66</v>
      </c>
    </row>
    <row r="15" ht="15.75" customHeight="1">
      <c r="A15" s="17">
        <v>43472.0</v>
      </c>
      <c r="B15" s="6" t="s">
        <v>78</v>
      </c>
      <c r="C15" s="6" t="s">
        <v>79</v>
      </c>
      <c r="D15" s="7" t="s">
        <v>80</v>
      </c>
      <c r="E15" s="6" t="s">
        <v>81</v>
      </c>
      <c r="G15" s="6" t="s">
        <v>38</v>
      </c>
      <c r="I15" s="6" t="s">
        <v>60</v>
      </c>
      <c r="J15" s="6" t="s">
        <v>20</v>
      </c>
      <c r="K15" s="6" t="s">
        <v>66</v>
      </c>
    </row>
    <row r="16" ht="15.75" customHeight="1">
      <c r="A16" s="5">
        <v>43473.0</v>
      </c>
      <c r="B16" s="12" t="s">
        <v>82</v>
      </c>
      <c r="C16" s="12" t="s">
        <v>83</v>
      </c>
      <c r="D16" s="13" t="s">
        <v>84</v>
      </c>
      <c r="E16" s="12" t="s">
        <v>85</v>
      </c>
      <c r="G16" s="12" t="s">
        <v>25</v>
      </c>
      <c r="I16" s="6" t="s">
        <v>86</v>
      </c>
      <c r="J16" s="6" t="s">
        <v>20</v>
      </c>
      <c r="K16" s="6" t="s">
        <v>66</v>
      </c>
    </row>
    <row r="17" ht="15.75" customHeight="1">
      <c r="A17" s="5">
        <v>43474.0</v>
      </c>
      <c r="B17" s="6" t="s">
        <v>87</v>
      </c>
      <c r="C17" s="6" t="s">
        <v>88</v>
      </c>
      <c r="D17" s="7" t="s">
        <v>89</v>
      </c>
      <c r="E17" s="6" t="s">
        <v>90</v>
      </c>
      <c r="G17" s="12" t="s">
        <v>71</v>
      </c>
      <c r="I17" s="6" t="s">
        <v>91</v>
      </c>
      <c r="J17" s="6" t="s">
        <v>92</v>
      </c>
    </row>
    <row r="18" ht="15.75" customHeight="1">
      <c r="A18" s="5">
        <v>43474.0</v>
      </c>
      <c r="B18" s="6" t="s">
        <v>93</v>
      </c>
      <c r="C18" s="6" t="s">
        <v>94</v>
      </c>
      <c r="D18" s="7" t="s">
        <v>95</v>
      </c>
      <c r="F18" s="6" t="s">
        <v>96</v>
      </c>
      <c r="G18" s="6" t="s">
        <v>71</v>
      </c>
      <c r="I18" s="6" t="s">
        <v>97</v>
      </c>
      <c r="J18" s="6" t="s">
        <v>92</v>
      </c>
    </row>
    <row r="19" ht="15.75" customHeight="1">
      <c r="A19" s="5">
        <v>43474.0</v>
      </c>
      <c r="B19" s="6" t="s">
        <v>98</v>
      </c>
      <c r="C19" s="6" t="s">
        <v>99</v>
      </c>
      <c r="D19" s="7" t="s">
        <v>100</v>
      </c>
      <c r="E19" s="6" t="s">
        <v>101</v>
      </c>
      <c r="G19" s="6" t="s">
        <v>71</v>
      </c>
      <c r="I19" s="6" t="s">
        <v>102</v>
      </c>
      <c r="J19" s="6" t="s">
        <v>92</v>
      </c>
    </row>
    <row r="20" ht="15.75" customHeight="1">
      <c r="A20" s="5">
        <v>43474.0</v>
      </c>
      <c r="B20" s="6" t="s">
        <v>103</v>
      </c>
      <c r="C20" s="6" t="s">
        <v>104</v>
      </c>
      <c r="D20" s="7" t="s">
        <v>105</v>
      </c>
      <c r="G20" s="6" t="s">
        <v>71</v>
      </c>
      <c r="I20" s="6" t="s">
        <v>106</v>
      </c>
      <c r="J20" s="6" t="s">
        <v>92</v>
      </c>
    </row>
    <row r="21" ht="15.75" customHeight="1">
      <c r="A21" s="5">
        <v>43475.0</v>
      </c>
      <c r="B21" s="6" t="s">
        <v>107</v>
      </c>
      <c r="C21" s="6" t="s">
        <v>108</v>
      </c>
      <c r="D21" s="7" t="s">
        <v>109</v>
      </c>
      <c r="E21" s="6" t="s">
        <v>110</v>
      </c>
      <c r="G21" s="6" t="s">
        <v>12</v>
      </c>
      <c r="I21" s="6" t="s">
        <v>72</v>
      </c>
      <c r="J21" s="6" t="s">
        <v>92</v>
      </c>
    </row>
    <row r="22" ht="15.0" customHeight="1">
      <c r="A22" s="5">
        <v>43475.0</v>
      </c>
      <c r="B22" s="6" t="s">
        <v>111</v>
      </c>
      <c r="C22" s="6" t="s">
        <v>112</v>
      </c>
      <c r="D22" s="7" t="s">
        <v>113</v>
      </c>
      <c r="E22" s="6" t="s">
        <v>114</v>
      </c>
      <c r="G22" s="6" t="s">
        <v>115</v>
      </c>
      <c r="I22" s="6" t="s">
        <v>26</v>
      </c>
      <c r="J22" s="6" t="s">
        <v>116</v>
      </c>
    </row>
    <row r="23" ht="15.75" customHeight="1">
      <c r="A23" s="5">
        <v>43475.0</v>
      </c>
      <c r="B23" s="6" t="s">
        <v>117</v>
      </c>
      <c r="C23" s="6" t="s">
        <v>118</v>
      </c>
      <c r="D23" s="7" t="s">
        <v>119</v>
      </c>
      <c r="F23" s="6" t="s">
        <v>120</v>
      </c>
      <c r="G23" s="6" t="s">
        <v>71</v>
      </c>
      <c r="I23" s="6" t="s">
        <v>121</v>
      </c>
      <c r="J23" s="6" t="s">
        <v>116</v>
      </c>
    </row>
    <row r="24" ht="15.75" customHeight="1">
      <c r="A24" s="5">
        <v>43475.0</v>
      </c>
      <c r="B24" s="6" t="s">
        <v>122</v>
      </c>
      <c r="C24" s="6" t="s">
        <v>123</v>
      </c>
      <c r="D24" s="7" t="s">
        <v>124</v>
      </c>
      <c r="F24" s="6" t="s">
        <v>125</v>
      </c>
      <c r="G24" s="6" t="s">
        <v>126</v>
      </c>
      <c r="I24" s="6" t="s">
        <v>127</v>
      </c>
      <c r="J24" s="6" t="s">
        <v>116</v>
      </c>
    </row>
    <row r="25" ht="15.75" customHeight="1">
      <c r="A25" s="17">
        <v>43475.0</v>
      </c>
      <c r="B25" s="18" t="s">
        <v>128</v>
      </c>
      <c r="C25" s="18" t="s">
        <v>129</v>
      </c>
      <c r="D25" s="19" t="s">
        <v>130</v>
      </c>
      <c r="E25" s="20"/>
      <c r="F25" s="18" t="s">
        <v>131</v>
      </c>
      <c r="G25" s="18" t="s">
        <v>126</v>
      </c>
      <c r="H25" s="20"/>
      <c r="I25" s="21" t="s">
        <v>102</v>
      </c>
      <c r="J25" s="6" t="s">
        <v>116</v>
      </c>
    </row>
    <row r="26" ht="15.75" customHeight="1">
      <c r="A26" s="17">
        <v>43475.0</v>
      </c>
      <c r="B26" s="18" t="s">
        <v>132</v>
      </c>
      <c r="C26" s="18" t="s">
        <v>133</v>
      </c>
      <c r="D26" s="19" t="s">
        <v>134</v>
      </c>
      <c r="E26" s="20"/>
      <c r="F26" s="18" t="s">
        <v>135</v>
      </c>
      <c r="G26" s="18" t="s">
        <v>126</v>
      </c>
      <c r="H26" s="20"/>
      <c r="I26" s="21" t="s">
        <v>102</v>
      </c>
      <c r="J26" s="6" t="s">
        <v>116</v>
      </c>
    </row>
    <row r="27" ht="15.75" customHeight="1">
      <c r="A27" s="5">
        <v>43477.0</v>
      </c>
      <c r="B27" s="6" t="s">
        <v>136</v>
      </c>
      <c r="C27" s="6" t="s">
        <v>137</v>
      </c>
      <c r="D27" s="7" t="s">
        <v>138</v>
      </c>
      <c r="G27" s="6" t="s">
        <v>126</v>
      </c>
      <c r="I27" s="6" t="s">
        <v>102</v>
      </c>
      <c r="J27" s="6" t="s">
        <v>139</v>
      </c>
    </row>
    <row r="28" ht="15.75" customHeight="1">
      <c r="A28" s="5">
        <v>43477.0</v>
      </c>
      <c r="B28" s="6" t="s">
        <v>140</v>
      </c>
      <c r="C28" s="6" t="s">
        <v>141</v>
      </c>
      <c r="D28" s="7" t="s">
        <v>142</v>
      </c>
      <c r="E28" s="6" t="s">
        <v>143</v>
      </c>
      <c r="G28" s="6" t="s">
        <v>144</v>
      </c>
      <c r="I28" s="6" t="s">
        <v>72</v>
      </c>
      <c r="J28" s="6" t="s">
        <v>139</v>
      </c>
    </row>
    <row r="29" ht="15.75" customHeight="1">
      <c r="A29" s="5">
        <v>43477.0</v>
      </c>
      <c r="B29" s="6" t="s">
        <v>145</v>
      </c>
      <c r="C29" s="6" t="s">
        <v>146</v>
      </c>
      <c r="D29" s="7" t="s">
        <v>147</v>
      </c>
      <c r="G29" s="6" t="s">
        <v>126</v>
      </c>
      <c r="I29" s="6" t="s">
        <v>60</v>
      </c>
      <c r="J29" s="6" t="s">
        <v>139</v>
      </c>
    </row>
    <row r="30" ht="15.75" customHeight="1">
      <c r="A30" s="5">
        <v>43477.0</v>
      </c>
      <c r="B30" s="6" t="s">
        <v>148</v>
      </c>
      <c r="C30" s="6" t="s">
        <v>149</v>
      </c>
      <c r="D30" s="7" t="s">
        <v>150</v>
      </c>
      <c r="G30" s="6" t="s">
        <v>126</v>
      </c>
      <c r="I30" s="6" t="s">
        <v>151</v>
      </c>
      <c r="J30" s="6" t="s">
        <v>139</v>
      </c>
    </row>
    <row r="31" ht="15.75" customHeight="1">
      <c r="A31" s="5">
        <v>43477.0</v>
      </c>
      <c r="B31" s="22" t="s">
        <v>152</v>
      </c>
      <c r="C31" s="6" t="s">
        <v>153</v>
      </c>
      <c r="D31" s="7" t="s">
        <v>154</v>
      </c>
      <c r="E31" s="6" t="s">
        <v>155</v>
      </c>
      <c r="G31" s="6" t="s">
        <v>156</v>
      </c>
      <c r="I31" s="6" t="s">
        <v>151</v>
      </c>
      <c r="J31" s="6" t="s">
        <v>139</v>
      </c>
    </row>
    <row r="32" ht="15.75" customHeight="1">
      <c r="A32" s="1">
        <v>43477.0</v>
      </c>
      <c r="B32" s="23" t="s">
        <v>157</v>
      </c>
      <c r="C32" s="23" t="s">
        <v>158</v>
      </c>
      <c r="D32" s="24" t="s">
        <v>159</v>
      </c>
      <c r="E32" s="23" t="s">
        <v>160</v>
      </c>
      <c r="F32" s="2"/>
      <c r="G32" s="23" t="s">
        <v>161</v>
      </c>
      <c r="H32" s="2"/>
      <c r="I32" s="2" t="s">
        <v>162</v>
      </c>
      <c r="J32" s="2" t="s">
        <v>163</v>
      </c>
    </row>
    <row r="33" ht="15.75" customHeight="1">
      <c r="A33" s="1">
        <v>43478.0</v>
      </c>
      <c r="B33" s="2" t="s">
        <v>164</v>
      </c>
      <c r="C33" s="2" t="s">
        <v>165</v>
      </c>
      <c r="D33" s="25" t="s">
        <v>166</v>
      </c>
      <c r="E33" s="2" t="s">
        <v>167</v>
      </c>
      <c r="F33" s="2"/>
      <c r="G33" s="23" t="s">
        <v>161</v>
      </c>
      <c r="H33" s="2"/>
      <c r="I33" s="2" t="s">
        <v>168</v>
      </c>
      <c r="J33" s="2" t="s">
        <v>163</v>
      </c>
    </row>
    <row r="34" ht="15.75" customHeight="1">
      <c r="A34" s="1">
        <v>43478.0</v>
      </c>
      <c r="B34" s="2" t="s">
        <v>169</v>
      </c>
      <c r="C34" s="2" t="s">
        <v>170</v>
      </c>
      <c r="D34" s="2"/>
      <c r="E34" s="2" t="s">
        <v>171</v>
      </c>
      <c r="F34" s="2"/>
      <c r="G34" s="2" t="s">
        <v>172</v>
      </c>
      <c r="H34" s="2"/>
      <c r="I34" s="2" t="s">
        <v>91</v>
      </c>
      <c r="J34" s="2" t="s">
        <v>163</v>
      </c>
    </row>
    <row r="35" ht="15.75" customHeight="1">
      <c r="A35" s="26">
        <v>43479.0</v>
      </c>
      <c r="B35" s="27" t="s">
        <v>173</v>
      </c>
      <c r="C35" s="28" t="s">
        <v>174</v>
      </c>
      <c r="D35" s="27">
        <v>8.613022263377E12</v>
      </c>
      <c r="E35" s="27" t="s">
        <v>175</v>
      </c>
      <c r="F35" s="29"/>
      <c r="G35" s="30" t="s">
        <v>176</v>
      </c>
      <c r="H35" s="29"/>
      <c r="I35" s="2" t="s">
        <v>162</v>
      </c>
      <c r="J35" s="2" t="s">
        <v>163</v>
      </c>
    </row>
    <row r="36" ht="15.75" customHeight="1">
      <c r="A36" s="26">
        <v>43479.0</v>
      </c>
      <c r="B36" s="27" t="s">
        <v>177</v>
      </c>
      <c r="C36" s="27" t="s">
        <v>178</v>
      </c>
      <c r="D36" s="27">
        <v>8.2614377657E10</v>
      </c>
      <c r="E36" s="29"/>
      <c r="F36" s="29"/>
      <c r="G36" s="30" t="s">
        <v>25</v>
      </c>
      <c r="H36" s="29"/>
      <c r="I36" s="2" t="s">
        <v>179</v>
      </c>
      <c r="J36" s="2" t="s">
        <v>163</v>
      </c>
    </row>
    <row r="37" ht="17.25" customHeight="1">
      <c r="A37" s="5">
        <v>43481.0</v>
      </c>
      <c r="B37" s="6" t="s">
        <v>180</v>
      </c>
      <c r="C37" s="6" t="s">
        <v>181</v>
      </c>
      <c r="E37" s="7" t="s">
        <v>182</v>
      </c>
      <c r="G37" s="6" t="s">
        <v>183</v>
      </c>
      <c r="I37" s="31" t="s">
        <v>151</v>
      </c>
      <c r="J37" s="6" t="s">
        <v>139</v>
      </c>
    </row>
    <row r="38" ht="15.75" customHeight="1">
      <c r="A38" s="5">
        <v>43481.0</v>
      </c>
      <c r="B38" s="6" t="s">
        <v>184</v>
      </c>
      <c r="C38" s="6" t="s">
        <v>185</v>
      </c>
      <c r="E38" s="7" t="s">
        <v>186</v>
      </c>
      <c r="G38" s="6" t="s">
        <v>183</v>
      </c>
      <c r="I38" s="31" t="s">
        <v>151</v>
      </c>
      <c r="J38" s="6" t="s">
        <v>139</v>
      </c>
    </row>
    <row r="39" ht="15.75" customHeight="1">
      <c r="A39" s="5">
        <v>43481.0</v>
      </c>
      <c r="B39" s="12" t="s">
        <v>187</v>
      </c>
      <c r="C39" s="12" t="s">
        <v>188</v>
      </c>
      <c r="E39" s="13" t="s">
        <v>189</v>
      </c>
      <c r="F39" s="12" t="s">
        <v>190</v>
      </c>
      <c r="G39" s="12" t="s">
        <v>33</v>
      </c>
      <c r="I39" s="31" t="s">
        <v>179</v>
      </c>
      <c r="J39" s="6" t="s">
        <v>139</v>
      </c>
    </row>
    <row r="40" ht="15.75" customHeight="1">
      <c r="A40" s="5">
        <v>43481.0</v>
      </c>
      <c r="B40" s="12" t="s">
        <v>191</v>
      </c>
      <c r="C40" s="12" t="s">
        <v>192</v>
      </c>
      <c r="D40" s="13" t="s">
        <v>193</v>
      </c>
      <c r="F40" s="12" t="s">
        <v>194</v>
      </c>
      <c r="G40" s="12" t="s">
        <v>33</v>
      </c>
      <c r="I40" s="31" t="s">
        <v>195</v>
      </c>
      <c r="J40" s="6" t="s">
        <v>139</v>
      </c>
    </row>
    <row r="41" ht="15.75" customHeight="1">
      <c r="A41" s="5">
        <v>43481.0</v>
      </c>
      <c r="B41" s="12" t="s">
        <v>196</v>
      </c>
      <c r="C41" s="12" t="s">
        <v>197</v>
      </c>
      <c r="D41" s="13" t="s">
        <v>198</v>
      </c>
      <c r="F41" s="12" t="s">
        <v>199</v>
      </c>
      <c r="G41" s="12" t="s">
        <v>126</v>
      </c>
      <c r="I41" s="6" t="s">
        <v>91</v>
      </c>
      <c r="J41" s="6" t="s">
        <v>139</v>
      </c>
    </row>
    <row r="42" ht="15.75" customHeight="1">
      <c r="A42" s="5">
        <v>43481.0</v>
      </c>
      <c r="B42" s="6" t="s">
        <v>200</v>
      </c>
      <c r="C42" s="6" t="s">
        <v>2</v>
      </c>
      <c r="D42" s="7" t="s">
        <v>201</v>
      </c>
      <c r="F42" s="6" t="s">
        <v>202</v>
      </c>
      <c r="G42" s="6" t="s">
        <v>203</v>
      </c>
      <c r="I42" s="6" t="s">
        <v>97</v>
      </c>
    </row>
    <row r="43" ht="15.75" customHeight="1">
      <c r="A43" s="5">
        <v>43482.0</v>
      </c>
      <c r="B43" s="6" t="s">
        <v>204</v>
      </c>
      <c r="C43" s="6" t="s">
        <v>205</v>
      </c>
      <c r="D43" s="7" t="s">
        <v>206</v>
      </c>
      <c r="E43" s="6" t="s">
        <v>81</v>
      </c>
      <c r="G43" s="6" t="s">
        <v>207</v>
      </c>
      <c r="I43" s="6" t="s">
        <v>162</v>
      </c>
    </row>
    <row r="44" ht="15.75" customHeight="1">
      <c r="A44" s="5">
        <v>43482.0</v>
      </c>
      <c r="B44" s="12" t="s">
        <v>208</v>
      </c>
      <c r="C44" s="12" t="s">
        <v>209</v>
      </c>
      <c r="D44" s="12" t="s">
        <v>210</v>
      </c>
      <c r="F44" s="12" t="s">
        <v>211</v>
      </c>
      <c r="G44" s="12" t="s">
        <v>33</v>
      </c>
      <c r="I44" s="6" t="s">
        <v>179</v>
      </c>
    </row>
    <row r="45" ht="15.75" customHeight="1">
      <c r="A45" s="5">
        <v>43482.0</v>
      </c>
      <c r="B45" s="6" t="s">
        <v>212</v>
      </c>
      <c r="C45" s="6" t="s">
        <v>213</v>
      </c>
      <c r="D45" s="6" t="s">
        <v>214</v>
      </c>
      <c r="F45" s="6" t="s">
        <v>215</v>
      </c>
      <c r="G45" s="12" t="s">
        <v>216</v>
      </c>
      <c r="I45" s="6" t="s">
        <v>217</v>
      </c>
    </row>
    <row r="46" ht="15.75" customHeight="1">
      <c r="A46" s="5">
        <v>43482.0</v>
      </c>
      <c r="B46" s="12" t="s">
        <v>218</v>
      </c>
      <c r="C46" s="12" t="s">
        <v>219</v>
      </c>
      <c r="D46" s="13" t="s">
        <v>220</v>
      </c>
      <c r="F46" s="12" t="s">
        <v>221</v>
      </c>
      <c r="G46" s="12" t="s">
        <v>33</v>
      </c>
      <c r="I46" s="6" t="s">
        <v>222</v>
      </c>
    </row>
    <row r="47" ht="15.75" customHeight="1">
      <c r="A47" s="5">
        <v>43482.0</v>
      </c>
      <c r="B47" s="6" t="s">
        <v>223</v>
      </c>
      <c r="C47" s="6" t="s">
        <v>224</v>
      </c>
      <c r="D47" s="7" t="s">
        <v>225</v>
      </c>
      <c r="F47" s="6" t="s">
        <v>226</v>
      </c>
      <c r="G47" s="6" t="s">
        <v>227</v>
      </c>
      <c r="I47" s="6" t="s">
        <v>228</v>
      </c>
    </row>
    <row r="48" ht="15.75" customHeight="1">
      <c r="A48" s="5">
        <v>43482.0</v>
      </c>
      <c r="B48" s="12" t="s">
        <v>229</v>
      </c>
      <c r="C48" s="12" t="s">
        <v>230</v>
      </c>
      <c r="D48" s="13" t="s">
        <v>231</v>
      </c>
      <c r="F48" s="12" t="s">
        <v>232</v>
      </c>
      <c r="G48" s="12" t="s">
        <v>33</v>
      </c>
      <c r="I48" s="6" t="s">
        <v>217</v>
      </c>
    </row>
    <row r="49" ht="15.75" customHeight="1">
      <c r="A49" s="5">
        <v>43485.0</v>
      </c>
      <c r="B49" s="12" t="s">
        <v>233</v>
      </c>
      <c r="C49" s="12" t="s">
        <v>234</v>
      </c>
      <c r="D49" s="13" t="s">
        <v>235</v>
      </c>
      <c r="F49" s="12" t="s">
        <v>236</v>
      </c>
      <c r="G49" s="12" t="s">
        <v>71</v>
      </c>
      <c r="I49" s="6" t="s">
        <v>60</v>
      </c>
    </row>
    <row r="50" ht="15.75" customHeight="1">
      <c r="A50" s="5">
        <v>43485.0</v>
      </c>
      <c r="B50" s="12" t="s">
        <v>237</v>
      </c>
      <c r="C50" s="12" t="s">
        <v>238</v>
      </c>
      <c r="D50" s="13" t="s">
        <v>239</v>
      </c>
      <c r="E50" s="6">
        <v>0.0</v>
      </c>
      <c r="F50" s="12" t="s">
        <v>240</v>
      </c>
      <c r="G50" s="12" t="s">
        <v>49</v>
      </c>
      <c r="I50" s="6" t="s">
        <v>151</v>
      </c>
    </row>
    <row r="51" ht="15.75" customHeight="1">
      <c r="A51" s="32">
        <v>43485.0</v>
      </c>
      <c r="B51" s="33" t="s">
        <v>241</v>
      </c>
      <c r="C51" s="33" t="s">
        <v>242</v>
      </c>
      <c r="D51" s="34" t="s">
        <v>243</v>
      </c>
      <c r="E51" s="10"/>
      <c r="F51" s="33" t="s">
        <v>244</v>
      </c>
      <c r="G51" s="33" t="s">
        <v>245</v>
      </c>
      <c r="H51" s="10"/>
      <c r="I51" s="10" t="s">
        <v>92</v>
      </c>
    </row>
    <row r="52" ht="15.75" customHeight="1">
      <c r="A52" s="5">
        <v>43485.0</v>
      </c>
      <c r="B52" s="12" t="s">
        <v>246</v>
      </c>
      <c r="C52" s="12" t="s">
        <v>247</v>
      </c>
      <c r="D52" s="12">
        <v>5.66959099E8</v>
      </c>
      <c r="F52" s="12" t="s">
        <v>248</v>
      </c>
      <c r="G52" s="12" t="s">
        <v>249</v>
      </c>
      <c r="I52" s="6" t="s">
        <v>228</v>
      </c>
    </row>
    <row r="53" ht="15.75" customHeight="1">
      <c r="A53" s="5">
        <v>43485.0</v>
      </c>
      <c r="B53" s="6" t="s">
        <v>250</v>
      </c>
      <c r="C53" s="6" t="s">
        <v>251</v>
      </c>
      <c r="D53" s="6" t="s">
        <v>252</v>
      </c>
      <c r="F53" s="6" t="s">
        <v>253</v>
      </c>
      <c r="G53" s="12" t="s">
        <v>249</v>
      </c>
      <c r="I53" s="6" t="s">
        <v>228</v>
      </c>
    </row>
    <row r="54" ht="15.75" customHeight="1">
      <c r="A54" s="5">
        <v>43485.0</v>
      </c>
      <c r="B54" s="12" t="s">
        <v>254</v>
      </c>
      <c r="C54" s="12" t="s">
        <v>255</v>
      </c>
      <c r="D54" s="13" t="s">
        <v>256</v>
      </c>
      <c r="F54" s="12" t="s">
        <v>257</v>
      </c>
      <c r="G54" s="12" t="s">
        <v>249</v>
      </c>
      <c r="I54" s="6" t="s">
        <v>228</v>
      </c>
    </row>
    <row r="55" ht="15.75" customHeight="1">
      <c r="A55" s="35">
        <v>43485.0</v>
      </c>
      <c r="B55" s="36" t="s">
        <v>258</v>
      </c>
      <c r="C55" s="36" t="s">
        <v>259</v>
      </c>
      <c r="D55" s="36" t="s">
        <v>260</v>
      </c>
      <c r="E55" s="36"/>
      <c r="F55" s="36" t="s">
        <v>261</v>
      </c>
      <c r="G55" s="36" t="s">
        <v>262</v>
      </c>
      <c r="H55" s="20"/>
      <c r="I55" s="37" t="s">
        <v>263</v>
      </c>
    </row>
    <row r="56" ht="15.75" customHeight="1">
      <c r="A56" s="32">
        <v>43485.0</v>
      </c>
      <c r="B56" s="33" t="s">
        <v>264</v>
      </c>
      <c r="C56" s="33" t="s">
        <v>265</v>
      </c>
      <c r="D56" s="34" t="s">
        <v>266</v>
      </c>
      <c r="E56" s="10"/>
      <c r="F56" s="10"/>
      <c r="G56" s="33" t="s">
        <v>245</v>
      </c>
      <c r="H56" s="10"/>
      <c r="I56" s="10" t="s">
        <v>228</v>
      </c>
    </row>
    <row r="57" ht="15.75" customHeight="1">
      <c r="A57" s="32">
        <v>43485.0</v>
      </c>
      <c r="B57" s="33" t="s">
        <v>267</v>
      </c>
      <c r="C57" s="33" t="s">
        <v>268</v>
      </c>
      <c r="D57" s="34" t="s">
        <v>269</v>
      </c>
      <c r="E57" s="10"/>
      <c r="F57" s="10"/>
      <c r="G57" s="33" t="s">
        <v>245</v>
      </c>
      <c r="H57" s="10"/>
      <c r="I57" s="10" t="s">
        <v>60</v>
      </c>
    </row>
    <row r="58" ht="15.75" customHeight="1">
      <c r="A58" s="5">
        <v>43489.0</v>
      </c>
      <c r="B58" s="6" t="s">
        <v>270</v>
      </c>
      <c r="C58" s="6" t="s">
        <v>271</v>
      </c>
      <c r="D58" s="6" t="s">
        <v>272</v>
      </c>
      <c r="G58" s="12" t="s">
        <v>273</v>
      </c>
      <c r="I58" s="6" t="s">
        <v>274</v>
      </c>
    </row>
    <row r="59" ht="15.75" customHeight="1">
      <c r="A59" s="5">
        <v>43489.0</v>
      </c>
      <c r="B59" s="7" t="s">
        <v>275</v>
      </c>
      <c r="C59" s="12" t="s">
        <v>276</v>
      </c>
      <c r="D59" s="6" t="s">
        <v>277</v>
      </c>
      <c r="F59" s="6" t="s">
        <v>278</v>
      </c>
      <c r="G59" s="6" t="s">
        <v>279</v>
      </c>
      <c r="I59" s="6" t="s">
        <v>66</v>
      </c>
    </row>
    <row r="60" ht="15.75" customHeight="1">
      <c r="A60" s="5">
        <v>43489.0</v>
      </c>
      <c r="B60" s="13" t="s">
        <v>280</v>
      </c>
      <c r="C60" s="12" t="s">
        <v>281</v>
      </c>
      <c r="D60" s="13" t="s">
        <v>282</v>
      </c>
      <c r="F60" s="38" t="s">
        <v>283</v>
      </c>
      <c r="G60" s="12" t="s">
        <v>284</v>
      </c>
      <c r="I60" s="6" t="s">
        <v>92</v>
      </c>
    </row>
    <row r="61" ht="15.75" customHeight="1">
      <c r="A61" s="5">
        <v>43491.0</v>
      </c>
      <c r="B61" s="12" t="s">
        <v>285</v>
      </c>
      <c r="C61" s="12" t="s">
        <v>286</v>
      </c>
      <c r="D61" s="12"/>
      <c r="F61" s="12" t="s">
        <v>287</v>
      </c>
      <c r="G61" s="12" t="s">
        <v>279</v>
      </c>
      <c r="I61" s="6" t="s">
        <v>288</v>
      </c>
    </row>
    <row r="62" ht="15.75" customHeight="1">
      <c r="A62" s="5">
        <v>43491.0</v>
      </c>
      <c r="B62" s="6" t="s">
        <v>289</v>
      </c>
      <c r="C62" s="6" t="s">
        <v>290</v>
      </c>
      <c r="D62" s="6" t="s">
        <v>291</v>
      </c>
      <c r="F62" s="6" t="s">
        <v>292</v>
      </c>
      <c r="G62" s="12" t="s">
        <v>71</v>
      </c>
      <c r="I62" s="6" t="s">
        <v>217</v>
      </c>
    </row>
    <row r="63" ht="15.75" customHeight="1">
      <c r="A63" s="17">
        <v>43492.0</v>
      </c>
      <c r="B63" s="18" t="s">
        <v>293</v>
      </c>
      <c r="C63" s="18" t="s">
        <v>294</v>
      </c>
      <c r="D63" s="18">
        <v>9.71506667964E11</v>
      </c>
      <c r="E63" s="18"/>
      <c r="F63" s="18" t="s">
        <v>295</v>
      </c>
      <c r="H63" s="18" t="s">
        <v>296</v>
      </c>
      <c r="I63" s="18" t="s">
        <v>297</v>
      </c>
      <c r="J63" s="39"/>
      <c r="K63" s="39"/>
      <c r="L63" s="39"/>
      <c r="M63" s="39"/>
      <c r="N63" s="39"/>
      <c r="O63" s="39"/>
      <c r="P63" s="39"/>
      <c r="Q63" s="39"/>
      <c r="R63" s="39"/>
      <c r="S63" s="39"/>
      <c r="T63" s="39"/>
      <c r="U63" s="39"/>
      <c r="V63" s="39"/>
      <c r="W63" s="39"/>
      <c r="X63" s="39"/>
      <c r="Y63" s="39"/>
      <c r="Z63" s="39"/>
      <c r="AA63" s="39"/>
      <c r="AB63" s="39"/>
      <c r="AC63" s="39"/>
      <c r="AD63" s="39"/>
      <c r="AE63" s="39"/>
    </row>
    <row r="64" ht="15.75" customHeight="1">
      <c r="A64" s="17">
        <v>43492.0</v>
      </c>
      <c r="B64" s="18" t="s">
        <v>298</v>
      </c>
      <c r="C64" s="18" t="s">
        <v>299</v>
      </c>
      <c r="D64" s="18" t="s">
        <v>300</v>
      </c>
      <c r="E64" s="18"/>
      <c r="F64" s="18" t="s">
        <v>301</v>
      </c>
      <c r="H64" s="18" t="s">
        <v>296</v>
      </c>
      <c r="I64" s="18" t="s">
        <v>217</v>
      </c>
      <c r="J64" s="39"/>
      <c r="K64" s="39"/>
      <c r="L64" s="39"/>
      <c r="M64" s="39"/>
      <c r="N64" s="39"/>
      <c r="O64" s="39"/>
      <c r="P64" s="39"/>
      <c r="Q64" s="39"/>
      <c r="R64" s="39"/>
      <c r="S64" s="39"/>
      <c r="T64" s="39"/>
      <c r="U64" s="39"/>
      <c r="V64" s="39"/>
      <c r="W64" s="39"/>
      <c r="X64" s="39"/>
      <c r="Y64" s="39"/>
      <c r="Z64" s="39"/>
      <c r="AA64" s="39"/>
      <c r="AB64" s="39"/>
      <c r="AC64" s="39"/>
      <c r="AD64" s="39"/>
      <c r="AE64" s="39"/>
    </row>
    <row r="65" ht="15.75" customHeight="1">
      <c r="A65" s="17">
        <v>43493.0</v>
      </c>
      <c r="B65" s="18" t="s">
        <v>302</v>
      </c>
      <c r="C65" s="40" t="s">
        <v>303</v>
      </c>
      <c r="D65" s="18">
        <v>9.62798206206E11</v>
      </c>
      <c r="E65" s="18" t="s">
        <v>304</v>
      </c>
      <c r="F65" s="18"/>
      <c r="G65" s="18" t="s">
        <v>305</v>
      </c>
      <c r="H65" s="18" t="s">
        <v>306</v>
      </c>
      <c r="I65" s="39" t="s">
        <v>307</v>
      </c>
      <c r="J65" s="39"/>
      <c r="K65" s="39"/>
      <c r="L65" s="39"/>
      <c r="M65" s="39"/>
      <c r="N65" s="39"/>
      <c r="O65" s="39"/>
      <c r="P65" s="39"/>
      <c r="Q65" s="39"/>
      <c r="R65" s="39"/>
      <c r="S65" s="39"/>
      <c r="T65" s="39"/>
      <c r="U65" s="39"/>
      <c r="V65" s="39"/>
      <c r="W65" s="39"/>
      <c r="X65" s="39"/>
      <c r="Y65" s="39"/>
      <c r="Z65" s="39"/>
      <c r="AA65" s="39"/>
      <c r="AB65" s="39"/>
      <c r="AC65" s="39"/>
      <c r="AD65" s="39"/>
      <c r="AE65" s="39"/>
    </row>
    <row r="66" ht="15.75" customHeight="1">
      <c r="A66" s="41">
        <v>43525.0</v>
      </c>
      <c r="B66" s="42" t="s">
        <v>308</v>
      </c>
      <c r="C66" s="42" t="s">
        <v>309</v>
      </c>
      <c r="D66" s="43" t="s">
        <v>310</v>
      </c>
      <c r="E66" s="42"/>
      <c r="F66" s="42" t="s">
        <v>311</v>
      </c>
      <c r="G66" s="44" t="s">
        <v>312</v>
      </c>
      <c r="H66" s="45"/>
      <c r="I66" s="45" t="s">
        <v>306</v>
      </c>
      <c r="J66" s="46"/>
      <c r="K66" s="46"/>
      <c r="L66" s="46"/>
      <c r="M66" s="46"/>
    </row>
    <row r="67" ht="15.75" customHeight="1">
      <c r="A67" s="5">
        <v>43500.0</v>
      </c>
      <c r="B67" s="20" t="s">
        <v>313</v>
      </c>
      <c r="C67" s="18" t="s">
        <v>314</v>
      </c>
      <c r="D67" s="19" t="s">
        <v>315</v>
      </c>
      <c r="E67" s="39"/>
      <c r="F67" s="20" t="s">
        <v>316</v>
      </c>
      <c r="G67" s="47" t="s">
        <v>317</v>
      </c>
      <c r="H67" s="48"/>
      <c r="I67" s="48" t="s">
        <v>26</v>
      </c>
      <c r="J67" s="48"/>
      <c r="K67" s="48"/>
      <c r="L67" s="48"/>
      <c r="M67" s="48"/>
      <c r="N67" s="39"/>
      <c r="O67" s="39"/>
      <c r="P67" s="39"/>
      <c r="Q67" s="39"/>
      <c r="R67" s="39"/>
      <c r="S67" s="39"/>
      <c r="T67" s="39"/>
      <c r="U67" s="39"/>
      <c r="V67" s="39"/>
      <c r="W67" s="39"/>
      <c r="X67" s="39"/>
      <c r="Y67" s="39"/>
      <c r="Z67" s="39"/>
      <c r="AA67" s="39"/>
      <c r="AB67" s="39"/>
      <c r="AC67" s="39"/>
      <c r="AD67" s="39"/>
      <c r="AE67" s="39"/>
    </row>
    <row r="68" ht="15.75" customHeight="1">
      <c r="A68" s="5">
        <v>43500.0</v>
      </c>
      <c r="B68" s="6" t="s">
        <v>318</v>
      </c>
      <c r="C68" s="6" t="s">
        <v>319</v>
      </c>
      <c r="D68" s="7" t="s">
        <v>320</v>
      </c>
      <c r="E68" s="39"/>
      <c r="F68" s="6" t="s">
        <v>321</v>
      </c>
      <c r="G68" s="36" t="s">
        <v>126</v>
      </c>
      <c r="H68" s="46"/>
      <c r="I68" s="46" t="s">
        <v>102</v>
      </c>
      <c r="J68" s="46"/>
      <c r="K68" s="46"/>
      <c r="L68" s="46"/>
      <c r="M68" s="46"/>
      <c r="N68" s="39"/>
      <c r="O68" s="39"/>
      <c r="P68" s="39"/>
      <c r="Q68" s="39"/>
      <c r="R68" s="39"/>
      <c r="S68" s="39"/>
      <c r="T68" s="39"/>
      <c r="U68" s="39"/>
      <c r="V68" s="39"/>
      <c r="W68" s="39"/>
      <c r="X68" s="39"/>
      <c r="Y68" s="39"/>
      <c r="Z68" s="39"/>
      <c r="AA68" s="39"/>
      <c r="AB68" s="39"/>
      <c r="AC68" s="39"/>
      <c r="AD68" s="39"/>
      <c r="AE68" s="39"/>
    </row>
    <row r="69" ht="15.75" customHeight="1">
      <c r="A69" s="5">
        <v>43500.0</v>
      </c>
      <c r="B69" s="12" t="s">
        <v>322</v>
      </c>
      <c r="C69" s="12" t="s">
        <v>323</v>
      </c>
      <c r="D69" s="12" t="s">
        <v>324</v>
      </c>
      <c r="F69" s="12" t="s">
        <v>325</v>
      </c>
      <c r="G69" s="49" t="s">
        <v>317</v>
      </c>
      <c r="H69" s="48"/>
      <c r="I69" s="48" t="s">
        <v>168</v>
      </c>
      <c r="J69" s="48"/>
      <c r="K69" s="48"/>
      <c r="L69" s="48"/>
      <c r="M69" s="48"/>
    </row>
    <row r="70" ht="15.75" customHeight="1">
      <c r="A70" s="5">
        <v>43500.0</v>
      </c>
      <c r="B70" s="6" t="s">
        <v>326</v>
      </c>
      <c r="C70" s="6" t="s">
        <v>327</v>
      </c>
      <c r="D70" s="6" t="s">
        <v>328</v>
      </c>
      <c r="F70" s="6" t="s">
        <v>329</v>
      </c>
      <c r="G70" s="50" t="s">
        <v>330</v>
      </c>
      <c r="H70" s="46"/>
      <c r="I70" s="46" t="s">
        <v>331</v>
      </c>
      <c r="J70" s="46"/>
      <c r="K70" s="46"/>
      <c r="L70" s="46"/>
      <c r="M70" s="46"/>
    </row>
    <row r="71" ht="15.75" customHeight="1">
      <c r="A71" s="5">
        <v>43501.0</v>
      </c>
      <c r="B71" s="6" t="s">
        <v>332</v>
      </c>
      <c r="C71" s="7" t="s">
        <v>333</v>
      </c>
      <c r="D71" s="6" t="s">
        <v>334</v>
      </c>
      <c r="F71" s="6" t="s">
        <v>335</v>
      </c>
      <c r="G71" s="51" t="s">
        <v>216</v>
      </c>
      <c r="H71" s="48"/>
      <c r="I71" s="48" t="s">
        <v>331</v>
      </c>
      <c r="J71" s="48"/>
      <c r="K71" s="48"/>
      <c r="L71" s="48"/>
      <c r="M71" s="48"/>
    </row>
    <row r="72" ht="15.75" customHeight="1">
      <c r="A72" s="5">
        <v>43501.0</v>
      </c>
      <c r="B72" s="6" t="s">
        <v>336</v>
      </c>
      <c r="C72" s="6" t="s">
        <v>337</v>
      </c>
      <c r="G72" s="52" t="s">
        <v>338</v>
      </c>
      <c r="H72" s="52" t="s">
        <v>339</v>
      </c>
      <c r="I72" s="46" t="s">
        <v>288</v>
      </c>
      <c r="J72" s="46"/>
      <c r="K72" s="46"/>
      <c r="L72" s="46"/>
      <c r="M72" s="46"/>
    </row>
    <row r="73" ht="15.75" customHeight="1">
      <c r="A73" s="5">
        <v>43501.0</v>
      </c>
      <c r="B73" s="6" t="s">
        <v>340</v>
      </c>
      <c r="C73" s="6" t="s">
        <v>341</v>
      </c>
      <c r="G73" s="51" t="s">
        <v>338</v>
      </c>
      <c r="H73" s="51" t="s">
        <v>342</v>
      </c>
      <c r="I73" s="48" t="s">
        <v>343</v>
      </c>
      <c r="J73" s="48"/>
      <c r="K73" s="48"/>
      <c r="L73" s="48"/>
      <c r="M73" s="48"/>
    </row>
    <row r="74" ht="15.75" customHeight="1">
      <c r="A74" s="5">
        <v>43501.0</v>
      </c>
      <c r="B74" s="6" t="s">
        <v>344</v>
      </c>
      <c r="C74" s="6" t="s">
        <v>255</v>
      </c>
      <c r="G74" s="52" t="s">
        <v>338</v>
      </c>
      <c r="H74" s="52" t="s">
        <v>345</v>
      </c>
      <c r="I74" s="46" t="s">
        <v>343</v>
      </c>
      <c r="J74" s="46"/>
      <c r="K74" s="46"/>
      <c r="L74" s="46"/>
      <c r="M74" s="46"/>
    </row>
    <row r="75" ht="15.75" customHeight="1">
      <c r="A75" s="5">
        <v>43501.0</v>
      </c>
      <c r="B75" s="6" t="s">
        <v>346</v>
      </c>
      <c r="C75" s="6" t="s">
        <v>347</v>
      </c>
      <c r="G75" s="51" t="s">
        <v>338</v>
      </c>
      <c r="H75" s="51" t="s">
        <v>348</v>
      </c>
      <c r="I75" s="48" t="s">
        <v>288</v>
      </c>
      <c r="J75" s="48"/>
      <c r="K75" s="48"/>
      <c r="L75" s="48"/>
      <c r="M75" s="48"/>
    </row>
    <row r="76" ht="15.75" customHeight="1">
      <c r="A76" s="5">
        <v>43502.0</v>
      </c>
      <c r="B76" s="6" t="s">
        <v>349</v>
      </c>
      <c r="C76" s="6" t="s">
        <v>350</v>
      </c>
      <c r="D76" s="7" t="s">
        <v>351</v>
      </c>
      <c r="F76" s="6" t="s">
        <v>352</v>
      </c>
      <c r="G76" s="52" t="s">
        <v>317</v>
      </c>
      <c r="H76" s="46"/>
      <c r="I76" s="46" t="s">
        <v>331</v>
      </c>
      <c r="J76" s="46"/>
      <c r="K76" s="46"/>
      <c r="L76" s="46"/>
      <c r="M76" s="46"/>
    </row>
    <row r="77" ht="15.75" customHeight="1">
      <c r="A77" s="5">
        <v>43503.0</v>
      </c>
      <c r="B77" s="6" t="s">
        <v>353</v>
      </c>
      <c r="C77" s="6" t="s">
        <v>354</v>
      </c>
      <c r="D77" s="6">
        <v>50.0</v>
      </c>
      <c r="F77" s="6" t="s">
        <v>240</v>
      </c>
      <c r="G77" s="51" t="s">
        <v>71</v>
      </c>
      <c r="H77" s="48"/>
      <c r="I77" s="48" t="s">
        <v>97</v>
      </c>
      <c r="J77" s="48"/>
      <c r="K77" s="48"/>
      <c r="L77" s="48"/>
      <c r="M77" s="48"/>
    </row>
    <row r="78" ht="15.75" customHeight="1">
      <c r="A78" s="17">
        <v>43503.0</v>
      </c>
      <c r="B78" s="53" t="s">
        <v>355</v>
      </c>
      <c r="C78" s="40" t="s">
        <v>356</v>
      </c>
      <c r="D78" s="53" t="s">
        <v>357</v>
      </c>
      <c r="F78" s="53" t="s">
        <v>358</v>
      </c>
      <c r="G78" s="54" t="s">
        <v>71</v>
      </c>
      <c r="I78" s="46" t="s">
        <v>26</v>
      </c>
      <c r="J78" s="46"/>
      <c r="K78" s="46"/>
      <c r="L78" s="46"/>
      <c r="M78" s="46"/>
    </row>
    <row r="79" ht="15.75" customHeight="1">
      <c r="A79" s="17">
        <v>43503.0</v>
      </c>
      <c r="B79" s="12" t="s">
        <v>30</v>
      </c>
      <c r="C79" s="12" t="s">
        <v>359</v>
      </c>
      <c r="D79" s="12" t="s">
        <v>360</v>
      </c>
      <c r="F79" s="12" t="s">
        <v>240</v>
      </c>
      <c r="G79" s="49" t="s">
        <v>71</v>
      </c>
      <c r="H79" s="48"/>
      <c r="I79" s="48" t="s">
        <v>91</v>
      </c>
      <c r="J79" s="48"/>
      <c r="K79" s="48"/>
      <c r="L79" s="48"/>
      <c r="M79" s="48"/>
    </row>
    <row r="80" ht="15.75" customHeight="1">
      <c r="A80" s="17">
        <v>43503.0</v>
      </c>
      <c r="B80" s="12" t="s">
        <v>98</v>
      </c>
      <c r="C80" s="12" t="s">
        <v>99</v>
      </c>
      <c r="D80" s="12" t="s">
        <v>361</v>
      </c>
      <c r="G80" s="50" t="s">
        <v>71</v>
      </c>
      <c r="H80" s="46"/>
      <c r="I80" s="46" t="s">
        <v>91</v>
      </c>
      <c r="J80" s="46"/>
      <c r="K80" s="46"/>
      <c r="L80" s="46"/>
      <c r="M80" s="46"/>
    </row>
    <row r="81" ht="15.75" customHeight="1">
      <c r="A81" s="5">
        <v>43505.0</v>
      </c>
      <c r="B81" s="6" t="s">
        <v>362</v>
      </c>
      <c r="C81" s="6" t="s">
        <v>363</v>
      </c>
      <c r="F81" s="6" t="s">
        <v>364</v>
      </c>
      <c r="G81" s="49" t="s">
        <v>365</v>
      </c>
      <c r="H81" s="48"/>
      <c r="I81" s="48" t="s">
        <v>366</v>
      </c>
      <c r="J81" s="48"/>
      <c r="K81" s="48"/>
      <c r="L81" s="48"/>
      <c r="M81" s="48"/>
    </row>
    <row r="82" ht="15.75" customHeight="1">
      <c r="A82" s="5">
        <v>43505.0</v>
      </c>
      <c r="B82" s="6" t="s">
        <v>367</v>
      </c>
      <c r="C82" s="6" t="s">
        <v>112</v>
      </c>
      <c r="F82" s="6" t="s">
        <v>368</v>
      </c>
      <c r="G82" s="52" t="s">
        <v>365</v>
      </c>
      <c r="H82" s="46"/>
      <c r="I82" s="46" t="s">
        <v>217</v>
      </c>
      <c r="J82" s="46"/>
      <c r="K82" s="46"/>
      <c r="L82" s="46"/>
      <c r="M82" s="46"/>
    </row>
    <row r="83" ht="15.75" customHeight="1">
      <c r="A83" s="5">
        <v>43505.0</v>
      </c>
      <c r="B83" s="6" t="s">
        <v>369</v>
      </c>
      <c r="C83" s="6" t="s">
        <v>370</v>
      </c>
      <c r="F83" s="6" t="s">
        <v>371</v>
      </c>
      <c r="G83" s="51" t="s">
        <v>365</v>
      </c>
      <c r="H83" s="48"/>
      <c r="I83" s="48" t="s">
        <v>274</v>
      </c>
      <c r="J83" s="48"/>
      <c r="K83" s="48"/>
      <c r="L83" s="48"/>
      <c r="M83" s="48"/>
    </row>
    <row r="84" ht="15.75" customHeight="1">
      <c r="A84" s="5">
        <v>43505.0</v>
      </c>
      <c r="B84" s="6" t="s">
        <v>372</v>
      </c>
      <c r="C84" s="6" t="s">
        <v>373</v>
      </c>
      <c r="F84" s="6" t="s">
        <v>374</v>
      </c>
      <c r="G84" s="52" t="s">
        <v>365</v>
      </c>
      <c r="H84" s="46"/>
      <c r="I84" s="46" t="s">
        <v>86</v>
      </c>
      <c r="J84" s="46"/>
      <c r="K84" s="46"/>
      <c r="L84" s="46"/>
      <c r="M84" s="46"/>
    </row>
    <row r="85" ht="15.75" customHeight="1">
      <c r="A85" s="5">
        <v>43505.0</v>
      </c>
      <c r="B85" s="6" t="s">
        <v>375</v>
      </c>
      <c r="C85" s="6" t="s">
        <v>376</v>
      </c>
      <c r="F85" s="6" t="s">
        <v>377</v>
      </c>
      <c r="G85" s="51" t="s">
        <v>365</v>
      </c>
      <c r="H85" s="48"/>
      <c r="I85" s="48" t="s">
        <v>228</v>
      </c>
      <c r="J85" s="48"/>
      <c r="K85" s="48"/>
      <c r="L85" s="48"/>
      <c r="M85" s="48"/>
    </row>
    <row r="86" ht="15.75" customHeight="1">
      <c r="A86" s="41">
        <v>43512.0</v>
      </c>
      <c r="B86" s="42" t="s">
        <v>378</v>
      </c>
      <c r="C86" s="42" t="s">
        <v>379</v>
      </c>
      <c r="D86" s="55" t="s">
        <v>380</v>
      </c>
      <c r="E86" s="42"/>
      <c r="F86" s="42"/>
      <c r="G86" s="45" t="s">
        <v>381</v>
      </c>
      <c r="H86" s="45" t="s">
        <v>382</v>
      </c>
      <c r="I86" s="45" t="s">
        <v>306</v>
      </c>
      <c r="J86" s="46"/>
      <c r="K86" s="46"/>
      <c r="L86" s="46"/>
      <c r="M86" s="46"/>
    </row>
    <row r="87" ht="15.75" customHeight="1">
      <c r="A87" s="56">
        <v>43512.0</v>
      </c>
      <c r="B87" s="57" t="s">
        <v>383</v>
      </c>
      <c r="C87" s="57" t="s">
        <v>384</v>
      </c>
      <c r="D87" s="57" t="s">
        <v>385</v>
      </c>
      <c r="E87" s="57"/>
      <c r="F87" s="57" t="s">
        <v>386</v>
      </c>
      <c r="G87" s="57" t="s">
        <v>284</v>
      </c>
      <c r="H87" s="58"/>
      <c r="I87" s="58" t="s">
        <v>139</v>
      </c>
      <c r="J87" s="48"/>
      <c r="K87" s="48"/>
      <c r="L87" s="48"/>
      <c r="M87" s="48"/>
    </row>
    <row r="88" ht="15.75" customHeight="1">
      <c r="A88" s="56">
        <v>43512.0</v>
      </c>
      <c r="B88" s="57" t="s">
        <v>387</v>
      </c>
      <c r="C88" s="57" t="s">
        <v>388</v>
      </c>
      <c r="D88" s="59" t="s">
        <v>389</v>
      </c>
      <c r="E88" s="57"/>
      <c r="F88" s="57" t="s">
        <v>390</v>
      </c>
      <c r="G88" s="57" t="s">
        <v>391</v>
      </c>
      <c r="H88" s="58"/>
      <c r="I88" s="58" t="s">
        <v>139</v>
      </c>
      <c r="J88" s="46"/>
      <c r="K88" s="46"/>
      <c r="L88" s="46"/>
      <c r="M88" s="46"/>
    </row>
    <row r="89" ht="15.75" customHeight="1">
      <c r="A89" s="56">
        <v>43512.0</v>
      </c>
      <c r="B89" s="57" t="s">
        <v>387</v>
      </c>
      <c r="C89" s="57" t="s">
        <v>388</v>
      </c>
      <c r="D89" s="59" t="s">
        <v>389</v>
      </c>
      <c r="E89" s="57"/>
      <c r="F89" s="57" t="s">
        <v>390</v>
      </c>
      <c r="G89" s="57" t="s">
        <v>216</v>
      </c>
      <c r="H89" s="58"/>
      <c r="I89" s="58" t="s">
        <v>139</v>
      </c>
      <c r="J89" s="48"/>
      <c r="K89" s="48"/>
      <c r="L89" s="48"/>
      <c r="M89" s="48"/>
    </row>
    <row r="90" ht="15.75" customHeight="1">
      <c r="A90" s="56">
        <v>43512.0</v>
      </c>
      <c r="B90" s="57" t="s">
        <v>387</v>
      </c>
      <c r="C90" s="57" t="s">
        <v>388</v>
      </c>
      <c r="D90" s="59" t="s">
        <v>389</v>
      </c>
      <c r="E90" s="57"/>
      <c r="F90" s="57" t="s">
        <v>390</v>
      </c>
      <c r="G90" s="57" t="s">
        <v>392</v>
      </c>
      <c r="H90" s="58"/>
      <c r="I90" s="58" t="s">
        <v>139</v>
      </c>
      <c r="J90" s="46"/>
      <c r="K90" s="46"/>
      <c r="L90" s="46"/>
      <c r="M90" s="46"/>
    </row>
    <row r="91" ht="15.75" customHeight="1">
      <c r="A91" s="56">
        <v>43515.0</v>
      </c>
      <c r="B91" s="57" t="s">
        <v>393</v>
      </c>
      <c r="C91" s="57" t="s">
        <v>394</v>
      </c>
      <c r="D91" s="59" t="s">
        <v>395</v>
      </c>
      <c r="E91" s="57"/>
      <c r="F91" s="57" t="s">
        <v>396</v>
      </c>
      <c r="G91" s="57" t="s">
        <v>397</v>
      </c>
      <c r="H91" s="58"/>
      <c r="I91" s="58" t="s">
        <v>398</v>
      </c>
      <c r="J91" s="48"/>
      <c r="K91" s="48"/>
      <c r="L91" s="48"/>
      <c r="M91" s="48"/>
    </row>
    <row r="92" ht="15.75" customHeight="1">
      <c r="A92" s="56">
        <v>43515.0</v>
      </c>
      <c r="B92" s="57" t="s">
        <v>399</v>
      </c>
      <c r="C92" s="57" t="s">
        <v>400</v>
      </c>
      <c r="D92" s="59" t="s">
        <v>401</v>
      </c>
      <c r="E92" s="57"/>
      <c r="F92" s="57" t="s">
        <v>396</v>
      </c>
      <c r="G92" s="57" t="s">
        <v>397</v>
      </c>
      <c r="H92" s="58"/>
      <c r="I92" s="58" t="s">
        <v>398</v>
      </c>
      <c r="J92" s="46"/>
      <c r="K92" s="46"/>
      <c r="L92" s="46"/>
      <c r="M92" s="46"/>
    </row>
    <row r="93" ht="15.75" customHeight="1">
      <c r="A93" s="56">
        <v>43515.0</v>
      </c>
      <c r="B93" s="57" t="s">
        <v>402</v>
      </c>
      <c r="C93" s="57" t="s">
        <v>403</v>
      </c>
      <c r="D93" s="57" t="s">
        <v>404</v>
      </c>
      <c r="E93" s="57"/>
      <c r="F93" s="57" t="s">
        <v>405</v>
      </c>
      <c r="G93" s="57" t="s">
        <v>406</v>
      </c>
      <c r="H93" s="58"/>
      <c r="I93" s="58" t="s">
        <v>217</v>
      </c>
      <c r="J93" s="48"/>
      <c r="K93" s="48"/>
      <c r="L93" s="48"/>
      <c r="M93" s="48"/>
    </row>
    <row r="94" ht="15.75" customHeight="1">
      <c r="A94" s="56">
        <v>43515.0</v>
      </c>
      <c r="B94" s="57" t="s">
        <v>407</v>
      </c>
      <c r="C94" s="57" t="s">
        <v>408</v>
      </c>
      <c r="D94" s="57" t="s">
        <v>409</v>
      </c>
      <c r="E94" s="57"/>
      <c r="F94" s="57" t="s">
        <v>410</v>
      </c>
      <c r="G94" s="57" t="s">
        <v>406</v>
      </c>
      <c r="H94" s="58"/>
      <c r="I94" s="58" t="s">
        <v>217</v>
      </c>
      <c r="J94" s="46"/>
      <c r="K94" s="46"/>
      <c r="L94" s="46"/>
      <c r="M94" s="46"/>
    </row>
    <row r="95" ht="15.75" customHeight="1">
      <c r="A95" s="56">
        <v>43516.0</v>
      </c>
      <c r="B95" s="57" t="s">
        <v>411</v>
      </c>
      <c r="C95" s="57" t="s">
        <v>412</v>
      </c>
      <c r="D95" s="57" t="s">
        <v>413</v>
      </c>
      <c r="E95" s="57"/>
      <c r="F95" s="57" t="s">
        <v>396</v>
      </c>
      <c r="G95" s="57" t="s">
        <v>414</v>
      </c>
      <c r="H95" s="58"/>
      <c r="I95" s="58" t="s">
        <v>415</v>
      </c>
      <c r="J95" s="48"/>
      <c r="K95" s="48"/>
      <c r="L95" s="48"/>
      <c r="M95" s="48"/>
    </row>
    <row r="96" ht="15.75" customHeight="1">
      <c r="A96" s="56">
        <v>43516.0</v>
      </c>
      <c r="B96" s="57" t="s">
        <v>416</v>
      </c>
      <c r="C96" s="57" t="s">
        <v>417</v>
      </c>
      <c r="D96" s="57" t="s">
        <v>418</v>
      </c>
      <c r="E96" s="57"/>
      <c r="F96" s="57"/>
      <c r="G96" s="57" t="s">
        <v>419</v>
      </c>
      <c r="H96" s="58"/>
      <c r="I96" s="58" t="s">
        <v>60</v>
      </c>
      <c r="J96" s="46"/>
      <c r="K96" s="46"/>
      <c r="L96" s="46"/>
      <c r="M96" s="46"/>
    </row>
    <row r="97" ht="15.75" customHeight="1">
      <c r="A97" s="56">
        <v>43516.0</v>
      </c>
      <c r="B97" s="57" t="s">
        <v>420</v>
      </c>
      <c r="C97" s="57" t="s">
        <v>421</v>
      </c>
      <c r="D97" s="57" t="s">
        <v>422</v>
      </c>
      <c r="E97" s="57"/>
      <c r="F97" s="57" t="s">
        <v>423</v>
      </c>
      <c r="G97" s="57" t="s">
        <v>419</v>
      </c>
      <c r="H97" s="58"/>
      <c r="I97" s="58" t="s">
        <v>66</v>
      </c>
      <c r="J97" s="48"/>
      <c r="K97" s="48"/>
      <c r="L97" s="48"/>
      <c r="M97" s="48"/>
    </row>
    <row r="98" ht="15.75" customHeight="1">
      <c r="A98" s="56">
        <v>43516.0</v>
      </c>
      <c r="B98" s="57" t="s">
        <v>424</v>
      </c>
      <c r="C98" s="57" t="s">
        <v>425</v>
      </c>
      <c r="D98" s="57" t="s">
        <v>426</v>
      </c>
      <c r="E98" s="57"/>
      <c r="F98" s="57" t="s">
        <v>396</v>
      </c>
      <c r="G98" s="57" t="s">
        <v>414</v>
      </c>
      <c r="H98" s="58"/>
      <c r="I98" s="58" t="s">
        <v>427</v>
      </c>
      <c r="J98" s="46"/>
      <c r="K98" s="46"/>
      <c r="L98" s="46"/>
      <c r="M98" s="46"/>
    </row>
    <row r="99" ht="15.75" customHeight="1">
      <c r="A99" s="56">
        <v>43516.0</v>
      </c>
      <c r="B99" s="57" t="s">
        <v>428</v>
      </c>
      <c r="C99" s="57" t="s">
        <v>429</v>
      </c>
      <c r="D99" s="57" t="s">
        <v>430</v>
      </c>
      <c r="E99" s="57"/>
      <c r="F99" s="57" t="s">
        <v>396</v>
      </c>
      <c r="G99" s="57" t="s">
        <v>414</v>
      </c>
      <c r="H99" s="58"/>
      <c r="I99" s="58" t="s">
        <v>398</v>
      </c>
      <c r="J99" s="48"/>
      <c r="K99" s="48"/>
      <c r="L99" s="48"/>
      <c r="M99" s="48"/>
    </row>
    <row r="100" ht="15.75" customHeight="1">
      <c r="A100" s="56">
        <v>43516.0</v>
      </c>
      <c r="B100" s="57" t="s">
        <v>431</v>
      </c>
      <c r="C100" s="57" t="s">
        <v>432</v>
      </c>
      <c r="D100" s="57" t="s">
        <v>433</v>
      </c>
      <c r="E100" s="57"/>
      <c r="F100" s="57" t="s">
        <v>396</v>
      </c>
      <c r="G100" s="57" t="s">
        <v>414</v>
      </c>
      <c r="H100" s="58"/>
      <c r="I100" s="58" t="s">
        <v>427</v>
      </c>
      <c r="J100" s="46"/>
      <c r="K100" s="46"/>
      <c r="L100" s="46"/>
      <c r="M100" s="46"/>
    </row>
    <row r="101" ht="15.75" customHeight="1">
      <c r="A101" s="56">
        <v>43517.0</v>
      </c>
      <c r="B101" s="57" t="s">
        <v>434</v>
      </c>
      <c r="C101" s="57" t="s">
        <v>435</v>
      </c>
      <c r="D101" s="57" t="s">
        <v>436</v>
      </c>
      <c r="E101" s="57"/>
      <c r="F101" s="57" t="s">
        <v>396</v>
      </c>
      <c r="G101" s="57" t="s">
        <v>414</v>
      </c>
      <c r="H101" s="58"/>
      <c r="I101" s="58" t="s">
        <v>398</v>
      </c>
      <c r="J101" s="48"/>
      <c r="K101" s="48"/>
      <c r="L101" s="48"/>
      <c r="M101" s="48"/>
    </row>
    <row r="102" ht="15.75" customHeight="1">
      <c r="A102" s="56">
        <v>43517.0</v>
      </c>
      <c r="B102" s="57" t="s">
        <v>434</v>
      </c>
      <c r="C102" s="57" t="s">
        <v>435</v>
      </c>
      <c r="D102" s="59" t="s">
        <v>437</v>
      </c>
      <c r="E102" s="57"/>
      <c r="F102" s="57"/>
      <c r="G102" s="57" t="s">
        <v>414</v>
      </c>
      <c r="H102" s="58"/>
      <c r="I102" s="58" t="s">
        <v>398</v>
      </c>
      <c r="J102" s="46"/>
      <c r="K102" s="46"/>
      <c r="L102" s="46"/>
      <c r="M102" s="46"/>
    </row>
    <row r="103" ht="15.75" customHeight="1">
      <c r="A103" s="56">
        <v>43517.0</v>
      </c>
      <c r="B103" s="57" t="s">
        <v>438</v>
      </c>
      <c r="C103" s="57" t="s">
        <v>439</v>
      </c>
      <c r="D103" s="59" t="s">
        <v>440</v>
      </c>
      <c r="E103" s="57"/>
      <c r="F103" s="57" t="s">
        <v>396</v>
      </c>
      <c r="G103" s="57" t="s">
        <v>414</v>
      </c>
      <c r="H103" s="58"/>
      <c r="I103" s="58" t="s">
        <v>441</v>
      </c>
      <c r="J103" s="48"/>
      <c r="K103" s="48"/>
      <c r="L103" s="48"/>
      <c r="M103" s="48"/>
    </row>
    <row r="104" ht="15.75" customHeight="1">
      <c r="A104" s="56">
        <v>43517.0</v>
      </c>
      <c r="B104" s="57" t="s">
        <v>442</v>
      </c>
      <c r="C104" s="57" t="s">
        <v>443</v>
      </c>
      <c r="D104" s="59" t="s">
        <v>444</v>
      </c>
      <c r="E104" s="57"/>
      <c r="F104" s="57"/>
      <c r="G104" s="57" t="s">
        <v>445</v>
      </c>
      <c r="H104" s="58"/>
      <c r="I104" s="58" t="s">
        <v>97</v>
      </c>
      <c r="J104" s="46"/>
      <c r="K104" s="46"/>
      <c r="L104" s="46"/>
      <c r="M104" s="46"/>
    </row>
    <row r="105" ht="15.75" customHeight="1">
      <c r="A105" s="60">
        <v>43520.0</v>
      </c>
      <c r="B105" s="61" t="s">
        <v>446</v>
      </c>
      <c r="C105" s="61" t="s">
        <v>447</v>
      </c>
      <c r="D105" s="62" t="s">
        <v>448</v>
      </c>
      <c r="E105" s="61" t="s">
        <v>396</v>
      </c>
      <c r="F105" s="61" t="s">
        <v>414</v>
      </c>
      <c r="G105" s="63"/>
      <c r="H105" s="63"/>
      <c r="I105" s="61" t="s">
        <v>398</v>
      </c>
      <c r="K105" s="48"/>
      <c r="L105" s="48"/>
      <c r="M105" s="48"/>
    </row>
    <row r="106" ht="15.75" customHeight="1">
      <c r="A106" s="60">
        <v>43520.0</v>
      </c>
      <c r="B106" s="61" t="s">
        <v>449</v>
      </c>
      <c r="C106" s="61" t="s">
        <v>450</v>
      </c>
      <c r="D106" s="62" t="s">
        <v>451</v>
      </c>
      <c r="E106" s="61" t="s">
        <v>396</v>
      </c>
      <c r="F106" s="61" t="s">
        <v>414</v>
      </c>
      <c r="G106" s="63"/>
      <c r="H106" s="63"/>
      <c r="I106" s="61" t="s">
        <v>452</v>
      </c>
      <c r="K106" s="46"/>
      <c r="L106" s="46"/>
      <c r="M106" s="46"/>
    </row>
    <row r="107" ht="15.75" customHeight="1">
      <c r="A107" s="60">
        <v>43520.0</v>
      </c>
      <c r="B107" s="61" t="s">
        <v>453</v>
      </c>
      <c r="C107" s="61" t="s">
        <v>454</v>
      </c>
      <c r="D107" s="62" t="s">
        <v>455</v>
      </c>
      <c r="E107" s="61" t="s">
        <v>456</v>
      </c>
      <c r="F107" s="61" t="s">
        <v>457</v>
      </c>
      <c r="G107" s="63"/>
      <c r="H107" s="63"/>
      <c r="I107" s="61" t="s">
        <v>26</v>
      </c>
      <c r="K107" s="48"/>
      <c r="L107" s="48"/>
      <c r="M107" s="48"/>
    </row>
    <row r="108" ht="15.75" customHeight="1">
      <c r="A108" s="64">
        <v>43524.0</v>
      </c>
      <c r="B108" s="65" t="s">
        <v>458</v>
      </c>
      <c r="C108" s="65" t="s">
        <v>459</v>
      </c>
      <c r="D108" s="66" t="s">
        <v>460</v>
      </c>
      <c r="E108" s="65"/>
      <c r="F108" s="65" t="s">
        <v>461</v>
      </c>
      <c r="G108" s="67" t="s">
        <v>312</v>
      </c>
      <c r="H108" s="65"/>
      <c r="I108" s="65" t="s">
        <v>306</v>
      </c>
      <c r="J108" s="46"/>
      <c r="K108" s="46"/>
      <c r="L108" s="46"/>
      <c r="M108" s="46"/>
    </row>
    <row r="109" ht="15.75" customHeight="1">
      <c r="A109" s="56">
        <v>43537.0</v>
      </c>
      <c r="B109" s="57" t="s">
        <v>462</v>
      </c>
      <c r="C109" s="57" t="s">
        <v>463</v>
      </c>
      <c r="D109" s="59" t="s">
        <v>464</v>
      </c>
      <c r="E109" s="57" t="s">
        <v>465</v>
      </c>
      <c r="F109" s="57"/>
      <c r="G109" s="57" t="s">
        <v>466</v>
      </c>
      <c r="H109" s="58"/>
      <c r="I109" s="58" t="s">
        <v>467</v>
      </c>
      <c r="K109" s="48"/>
      <c r="L109" s="48"/>
      <c r="M109" s="48"/>
    </row>
    <row r="110" ht="15.75" customHeight="1">
      <c r="A110" s="5">
        <v>43545.0</v>
      </c>
      <c r="B110" s="6" t="s">
        <v>468</v>
      </c>
      <c r="C110" s="6" t="s">
        <v>469</v>
      </c>
      <c r="D110" s="7" t="s">
        <v>470</v>
      </c>
      <c r="G110" s="52" t="s">
        <v>471</v>
      </c>
      <c r="H110" s="52" t="s">
        <v>472</v>
      </c>
      <c r="I110" s="52" t="s">
        <v>55</v>
      </c>
    </row>
    <row r="111" ht="15.75" customHeight="1">
      <c r="A111" s="5">
        <v>43548.0</v>
      </c>
      <c r="B111" s="6" t="s">
        <v>473</v>
      </c>
      <c r="C111" s="6" t="s">
        <v>474</v>
      </c>
      <c r="D111" s="7" t="s">
        <v>475</v>
      </c>
      <c r="F111" s="6" t="s">
        <v>476</v>
      </c>
      <c r="G111" s="51" t="s">
        <v>477</v>
      </c>
      <c r="H111" s="51" t="s">
        <v>478</v>
      </c>
    </row>
    <row r="112" ht="15.75" customHeight="1">
      <c r="A112" s="5">
        <v>43548.0</v>
      </c>
      <c r="B112" s="6" t="s">
        <v>479</v>
      </c>
      <c r="C112" s="6" t="s">
        <v>480</v>
      </c>
      <c r="D112" s="7" t="s">
        <v>481</v>
      </c>
      <c r="F112" s="6" t="s">
        <v>396</v>
      </c>
      <c r="G112" s="52" t="s">
        <v>482</v>
      </c>
      <c r="H112" s="52" t="s">
        <v>483</v>
      </c>
      <c r="I112" s="52"/>
      <c r="J112" s="52"/>
      <c r="K112" s="52"/>
      <c r="L112" s="52"/>
      <c r="M112" s="52"/>
    </row>
    <row r="113" ht="15.75" customHeight="1">
      <c r="A113" s="5">
        <v>43548.0</v>
      </c>
      <c r="B113" s="6" t="s">
        <v>484</v>
      </c>
      <c r="C113" s="6" t="s">
        <v>485</v>
      </c>
      <c r="D113" s="7" t="s">
        <v>486</v>
      </c>
      <c r="G113" s="51" t="s">
        <v>487</v>
      </c>
      <c r="H113" s="68" t="s">
        <v>488</v>
      </c>
      <c r="I113" s="51"/>
      <c r="J113" s="51"/>
      <c r="K113" s="51"/>
      <c r="L113" s="51"/>
      <c r="M113" s="51"/>
    </row>
    <row r="114" ht="15.75" customHeight="1">
      <c r="A114" s="5">
        <v>43548.0</v>
      </c>
      <c r="B114" s="6" t="s">
        <v>489</v>
      </c>
      <c r="C114" s="6" t="s">
        <v>490</v>
      </c>
      <c r="D114" s="7" t="s">
        <v>491</v>
      </c>
      <c r="G114" s="52" t="s">
        <v>25</v>
      </c>
      <c r="H114" s="52" t="s">
        <v>492</v>
      </c>
      <c r="I114" s="52"/>
      <c r="J114" s="52"/>
      <c r="K114" s="52"/>
      <c r="L114" s="52"/>
      <c r="M114" s="52"/>
    </row>
    <row r="115" ht="15.75" customHeight="1">
      <c r="A115" s="5">
        <v>43548.0</v>
      </c>
      <c r="B115" s="6" t="s">
        <v>493</v>
      </c>
      <c r="C115" s="6" t="s">
        <v>494</v>
      </c>
      <c r="D115" s="7" t="s">
        <v>495</v>
      </c>
      <c r="G115" s="51" t="s">
        <v>496</v>
      </c>
      <c r="H115" s="51" t="s">
        <v>240</v>
      </c>
    </row>
    <row r="116" ht="15.75" customHeight="1">
      <c r="A116" s="5">
        <v>43548.0</v>
      </c>
      <c r="B116" s="6" t="s">
        <v>497</v>
      </c>
      <c r="C116" s="40" t="s">
        <v>498</v>
      </c>
      <c r="D116" s="7" t="s">
        <v>499</v>
      </c>
      <c r="G116" s="52" t="s">
        <v>500</v>
      </c>
      <c r="H116" s="52" t="s">
        <v>240</v>
      </c>
      <c r="I116" s="52"/>
      <c r="J116" s="52"/>
      <c r="K116" s="52"/>
      <c r="L116" s="52"/>
      <c r="M116" s="52"/>
    </row>
    <row r="117" ht="15.75" customHeight="1">
      <c r="A117" s="5">
        <v>43548.0</v>
      </c>
      <c r="B117" s="6" t="s">
        <v>501</v>
      </c>
      <c r="C117" s="6" t="s">
        <v>502</v>
      </c>
      <c r="D117" s="7" t="s">
        <v>503</v>
      </c>
      <c r="G117" s="6" t="s">
        <v>477</v>
      </c>
      <c r="H117" s="6" t="s">
        <v>504</v>
      </c>
      <c r="I117" s="6"/>
      <c r="J117" s="6"/>
    </row>
    <row r="118" ht="15.75" customHeight="1">
      <c r="A118" s="5">
        <v>43548.0</v>
      </c>
      <c r="B118" s="6" t="s">
        <v>505</v>
      </c>
      <c r="C118" s="6" t="s">
        <v>506</v>
      </c>
      <c r="D118" s="7" t="s">
        <v>507</v>
      </c>
      <c r="F118" s="6" t="s">
        <v>396</v>
      </c>
      <c r="G118" s="6" t="s">
        <v>482</v>
      </c>
      <c r="I118" s="6" t="s">
        <v>508</v>
      </c>
      <c r="J118" s="6"/>
    </row>
    <row r="119" ht="15.75" customHeight="1">
      <c r="A119" s="5">
        <v>43548.0</v>
      </c>
      <c r="B119" s="6" t="s">
        <v>509</v>
      </c>
      <c r="C119" s="6" t="s">
        <v>510</v>
      </c>
      <c r="D119" s="7" t="s">
        <v>511</v>
      </c>
      <c r="G119" s="6" t="s">
        <v>482</v>
      </c>
      <c r="H119" s="6" t="s">
        <v>512</v>
      </c>
      <c r="I119" s="6" t="s">
        <v>508</v>
      </c>
      <c r="J119" s="6"/>
    </row>
    <row r="120" ht="15.75" customHeight="1">
      <c r="A120" s="5">
        <v>43548.0</v>
      </c>
      <c r="B120" s="6" t="s">
        <v>513</v>
      </c>
      <c r="C120" s="6" t="s">
        <v>514</v>
      </c>
      <c r="D120" s="7" t="s">
        <v>515</v>
      </c>
      <c r="G120" s="6" t="s">
        <v>516</v>
      </c>
      <c r="H120" s="6" t="s">
        <v>517</v>
      </c>
      <c r="I120" s="6" t="s">
        <v>92</v>
      </c>
      <c r="J120" s="6"/>
    </row>
    <row r="121" ht="15.75" customHeight="1">
      <c r="A121" s="5">
        <v>43548.0</v>
      </c>
      <c r="B121" s="6" t="s">
        <v>518</v>
      </c>
      <c r="C121" s="6" t="s">
        <v>519</v>
      </c>
      <c r="D121" s="7" t="s">
        <v>520</v>
      </c>
      <c r="G121" s="6" t="s">
        <v>521</v>
      </c>
      <c r="H121" s="6" t="s">
        <v>522</v>
      </c>
      <c r="I121" s="6" t="s">
        <v>86</v>
      </c>
      <c r="J121" s="6"/>
    </row>
    <row r="122" ht="15.75" customHeight="1">
      <c r="A122" s="5">
        <v>43548.0</v>
      </c>
      <c r="B122" s="6" t="s">
        <v>523</v>
      </c>
      <c r="C122" s="6" t="s">
        <v>524</v>
      </c>
      <c r="D122" s="7" t="s">
        <v>525</v>
      </c>
      <c r="F122" s="6" t="s">
        <v>526</v>
      </c>
      <c r="G122" s="6" t="s">
        <v>482</v>
      </c>
      <c r="I122" s="6" t="s">
        <v>508</v>
      </c>
    </row>
    <row r="123" ht="15.75" customHeight="1">
      <c r="A123" s="5">
        <v>43548.0</v>
      </c>
      <c r="B123" s="6" t="s">
        <v>527</v>
      </c>
      <c r="C123" s="6" t="s">
        <v>528</v>
      </c>
      <c r="F123" s="6" t="s">
        <v>529</v>
      </c>
      <c r="G123" s="6" t="s">
        <v>530</v>
      </c>
      <c r="I123" s="6" t="s">
        <v>222</v>
      </c>
    </row>
    <row r="124" ht="15.75" customHeight="1">
      <c r="A124" s="5">
        <v>43549.0</v>
      </c>
      <c r="B124" s="6" t="s">
        <v>531</v>
      </c>
      <c r="C124" s="6" t="s">
        <v>532</v>
      </c>
      <c r="D124" s="7" t="s">
        <v>533</v>
      </c>
      <c r="F124" s="6" t="s">
        <v>534</v>
      </c>
      <c r="G124" s="6" t="s">
        <v>535</v>
      </c>
      <c r="I124" s="6" t="s">
        <v>116</v>
      </c>
    </row>
    <row r="125" ht="15.75" customHeight="1">
      <c r="A125" s="5">
        <v>43549.0</v>
      </c>
      <c r="B125" s="6" t="s">
        <v>536</v>
      </c>
      <c r="C125" s="6" t="s">
        <v>537</v>
      </c>
      <c r="D125" s="7" t="s">
        <v>538</v>
      </c>
      <c r="F125" s="6" t="s">
        <v>539</v>
      </c>
      <c r="G125" s="6" t="s">
        <v>535</v>
      </c>
      <c r="I125" s="6" t="s">
        <v>222</v>
      </c>
    </row>
    <row r="126" ht="15.75" customHeight="1">
      <c r="A126" s="5">
        <v>43549.0</v>
      </c>
      <c r="B126" s="6" t="s">
        <v>540</v>
      </c>
      <c r="C126" s="6" t="s">
        <v>541</v>
      </c>
      <c r="D126" s="7" t="s">
        <v>542</v>
      </c>
      <c r="F126" s="6" t="s">
        <v>543</v>
      </c>
      <c r="G126" s="6" t="s">
        <v>279</v>
      </c>
      <c r="I126" s="6" t="s">
        <v>544</v>
      </c>
    </row>
    <row r="127" ht="15.75" customHeight="1">
      <c r="A127" s="5">
        <v>43550.0</v>
      </c>
      <c r="B127" s="6" t="s">
        <v>545</v>
      </c>
      <c r="C127" s="6" t="s">
        <v>546</v>
      </c>
      <c r="D127" s="7" t="s">
        <v>547</v>
      </c>
      <c r="F127" s="6" t="s">
        <v>240</v>
      </c>
      <c r="G127" s="6" t="s">
        <v>279</v>
      </c>
      <c r="I127" s="6" t="s">
        <v>548</v>
      </c>
    </row>
    <row r="128" ht="15.75" customHeight="1">
      <c r="A128" s="5">
        <v>43550.0</v>
      </c>
      <c r="B128" s="6" t="s">
        <v>549</v>
      </c>
      <c r="C128" s="6" t="s">
        <v>550</v>
      </c>
      <c r="D128" s="7" t="s">
        <v>551</v>
      </c>
      <c r="F128" s="6" t="s">
        <v>552</v>
      </c>
      <c r="G128" s="6" t="s">
        <v>317</v>
      </c>
      <c r="I128" s="6" t="s">
        <v>553</v>
      </c>
    </row>
    <row r="129" ht="15.75" customHeight="1">
      <c r="A129" s="5">
        <v>43550.0</v>
      </c>
      <c r="B129" s="6" t="s">
        <v>554</v>
      </c>
      <c r="C129" s="6" t="s">
        <v>555</v>
      </c>
      <c r="D129" s="7" t="s">
        <v>556</v>
      </c>
      <c r="F129" s="6" t="s">
        <v>557</v>
      </c>
      <c r="G129" s="6" t="s">
        <v>317</v>
      </c>
      <c r="I129" s="6" t="s">
        <v>92</v>
      </c>
    </row>
    <row r="130" ht="15.75" customHeight="1">
      <c r="A130" s="5">
        <v>43550.0</v>
      </c>
      <c r="B130" s="6" t="s">
        <v>558</v>
      </c>
      <c r="C130" s="6" t="s">
        <v>559</v>
      </c>
      <c r="D130" s="7" t="s">
        <v>560</v>
      </c>
      <c r="F130" s="6" t="s">
        <v>561</v>
      </c>
      <c r="G130" s="6" t="s">
        <v>317</v>
      </c>
      <c r="I130" s="6" t="s">
        <v>562</v>
      </c>
    </row>
    <row r="131" ht="15.75" customHeight="1">
      <c r="A131" s="5">
        <v>43551.0</v>
      </c>
      <c r="B131" s="6" t="s">
        <v>563</v>
      </c>
      <c r="C131" s="6" t="s">
        <v>564</v>
      </c>
      <c r="D131" s="7" t="s">
        <v>565</v>
      </c>
      <c r="E131" s="6" t="s">
        <v>240</v>
      </c>
      <c r="F131" s="6" t="s">
        <v>25</v>
      </c>
    </row>
    <row r="132" ht="15.75" customHeight="1">
      <c r="A132" s="5">
        <v>43551.0</v>
      </c>
      <c r="B132" s="6" t="s">
        <v>566</v>
      </c>
      <c r="C132" s="6" t="s">
        <v>567</v>
      </c>
      <c r="F132" s="6" t="s">
        <v>568</v>
      </c>
      <c r="G132" s="6" t="s">
        <v>569</v>
      </c>
    </row>
    <row r="133" ht="15.75" customHeight="1">
      <c r="A133" s="5">
        <v>43551.0</v>
      </c>
      <c r="B133" s="6" t="s">
        <v>570</v>
      </c>
      <c r="C133" s="6" t="s">
        <v>571</v>
      </c>
      <c r="D133" s="7" t="s">
        <v>572</v>
      </c>
      <c r="F133" s="6" t="s">
        <v>240</v>
      </c>
      <c r="G133" s="6" t="s">
        <v>25</v>
      </c>
    </row>
    <row r="134" ht="15.75" customHeight="1">
      <c r="A134" s="5">
        <v>43551.0</v>
      </c>
      <c r="B134" s="6" t="s">
        <v>573</v>
      </c>
      <c r="C134" s="6" t="s">
        <v>574</v>
      </c>
      <c r="D134" s="7" t="s">
        <v>575</v>
      </c>
      <c r="F134" s="6" t="s">
        <v>240</v>
      </c>
      <c r="G134" s="6" t="s">
        <v>25</v>
      </c>
    </row>
    <row r="135" ht="15.75" customHeight="1">
      <c r="A135" s="5">
        <v>43552.0</v>
      </c>
      <c r="B135" s="6" t="s">
        <v>576</v>
      </c>
      <c r="C135" s="6" t="s">
        <v>577</v>
      </c>
      <c r="D135" s="6" t="s">
        <v>578</v>
      </c>
      <c r="F135" s="6" t="s">
        <v>240</v>
      </c>
      <c r="G135" s="6" t="s">
        <v>25</v>
      </c>
      <c r="I135" s="6" t="s">
        <v>91</v>
      </c>
    </row>
    <row r="136" ht="15.75" customHeight="1">
      <c r="A136" s="5">
        <v>43552.0</v>
      </c>
      <c r="B136" s="6" t="s">
        <v>579</v>
      </c>
      <c r="C136" s="6" t="s">
        <v>580</v>
      </c>
      <c r="D136" s="6" t="s">
        <v>581</v>
      </c>
      <c r="F136" s="6" t="s">
        <v>240</v>
      </c>
      <c r="G136" s="6" t="s">
        <v>25</v>
      </c>
      <c r="I136" s="6" t="s">
        <v>91</v>
      </c>
    </row>
    <row r="137" ht="15.75" customHeight="1">
      <c r="A137" s="5">
        <v>43552.0</v>
      </c>
      <c r="B137" s="6" t="s">
        <v>582</v>
      </c>
      <c r="C137" s="6" t="s">
        <v>583</v>
      </c>
      <c r="D137" s="6" t="s">
        <v>584</v>
      </c>
      <c r="F137" s="6" t="s">
        <v>240</v>
      </c>
      <c r="G137" s="6" t="s">
        <v>25</v>
      </c>
      <c r="I137" s="6" t="s">
        <v>585</v>
      </c>
    </row>
    <row r="138" ht="15.75" customHeight="1">
      <c r="A138" s="5">
        <v>43552.0</v>
      </c>
      <c r="B138" s="6" t="s">
        <v>586</v>
      </c>
      <c r="C138" s="6" t="s">
        <v>587</v>
      </c>
      <c r="D138" s="6" t="s">
        <v>588</v>
      </c>
      <c r="F138" s="6" t="s">
        <v>240</v>
      </c>
      <c r="G138" s="6" t="s">
        <v>25</v>
      </c>
      <c r="I138" s="6" t="s">
        <v>585</v>
      </c>
    </row>
    <row r="139" ht="15.75" customHeight="1">
      <c r="A139" s="5">
        <v>43552.0</v>
      </c>
      <c r="B139" s="6" t="s">
        <v>589</v>
      </c>
      <c r="C139" s="6" t="s">
        <v>590</v>
      </c>
      <c r="D139" s="6" t="s">
        <v>591</v>
      </c>
      <c r="F139" s="6" t="s">
        <v>240</v>
      </c>
      <c r="G139" s="6" t="s">
        <v>25</v>
      </c>
    </row>
    <row r="140" ht="15.75" customHeight="1">
      <c r="A140" s="5">
        <v>43552.0</v>
      </c>
      <c r="B140" s="6" t="s">
        <v>592</v>
      </c>
      <c r="C140" s="6" t="s">
        <v>593</v>
      </c>
      <c r="D140" s="6" t="s">
        <v>594</v>
      </c>
      <c r="F140" s="6" t="s">
        <v>595</v>
      </c>
      <c r="G140" s="6" t="s">
        <v>465</v>
      </c>
    </row>
    <row r="141" ht="15.75" customHeight="1">
      <c r="A141" s="5">
        <v>43554.0</v>
      </c>
      <c r="B141" s="69" t="s">
        <v>596</v>
      </c>
      <c r="C141" s="6" t="s">
        <v>597</v>
      </c>
      <c r="D141" s="6" t="s">
        <v>598</v>
      </c>
      <c r="F141" s="6" t="s">
        <v>240</v>
      </c>
      <c r="G141" s="6" t="s">
        <v>25</v>
      </c>
    </row>
    <row r="142" ht="15.75" customHeight="1">
      <c r="A142" s="5">
        <v>43554.0</v>
      </c>
      <c r="B142" s="69" t="s">
        <v>599</v>
      </c>
      <c r="C142" s="6" t="s">
        <v>600</v>
      </c>
      <c r="D142" s="6" t="s">
        <v>601</v>
      </c>
      <c r="F142" s="6" t="s">
        <v>240</v>
      </c>
      <c r="G142" s="6" t="s">
        <v>25</v>
      </c>
    </row>
    <row r="143" ht="15.75" customHeight="1">
      <c r="A143" s="5">
        <v>43554.0</v>
      </c>
      <c r="B143" s="69" t="s">
        <v>602</v>
      </c>
      <c r="C143" s="6" t="s">
        <v>603</v>
      </c>
      <c r="D143" s="6" t="s">
        <v>604</v>
      </c>
      <c r="F143" s="6" t="s">
        <v>240</v>
      </c>
      <c r="G143" s="6" t="s">
        <v>25</v>
      </c>
    </row>
    <row r="144" ht="15.75" customHeight="1">
      <c r="A144" s="5">
        <v>43554.0</v>
      </c>
      <c r="B144" s="6" t="s">
        <v>605</v>
      </c>
      <c r="C144" s="6" t="s">
        <v>606</v>
      </c>
      <c r="D144" s="6" t="s">
        <v>607</v>
      </c>
      <c r="F144" s="6" t="s">
        <v>240</v>
      </c>
      <c r="G144" s="6" t="s">
        <v>25</v>
      </c>
    </row>
    <row r="145" ht="15.75" customHeight="1">
      <c r="A145" s="5">
        <v>43554.0</v>
      </c>
      <c r="B145" s="6" t="s">
        <v>608</v>
      </c>
      <c r="C145" s="6" t="s">
        <v>600</v>
      </c>
      <c r="D145" s="6" t="s">
        <v>609</v>
      </c>
      <c r="F145" s="6" t="s">
        <v>81</v>
      </c>
      <c r="G145" s="6" t="s">
        <v>25</v>
      </c>
    </row>
    <row r="146" ht="15.75" customHeight="1">
      <c r="A146" s="5">
        <v>43554.0</v>
      </c>
      <c r="B146" s="6" t="s">
        <v>610</v>
      </c>
      <c r="C146" s="6" t="s">
        <v>611</v>
      </c>
      <c r="D146" s="6" t="s">
        <v>612</v>
      </c>
      <c r="F146" s="6" t="s">
        <v>613</v>
      </c>
      <c r="G146" s="6" t="s">
        <v>614</v>
      </c>
    </row>
    <row r="147" ht="15.75" customHeight="1">
      <c r="A147" s="70"/>
      <c r="B147" s="71"/>
      <c r="C147" s="71"/>
      <c r="D147" s="71"/>
      <c r="E147" s="71"/>
      <c r="F147" s="6" t="s">
        <v>615</v>
      </c>
      <c r="G147" s="6" t="s">
        <v>279</v>
      </c>
    </row>
    <row r="148" ht="15.75" customHeight="1">
      <c r="A148" s="70"/>
      <c r="B148" s="71"/>
      <c r="C148" s="71"/>
      <c r="D148" s="71"/>
      <c r="E148" s="71"/>
      <c r="F148" s="6" t="s">
        <v>616</v>
      </c>
      <c r="G148" s="6" t="s">
        <v>317</v>
      </c>
    </row>
    <row r="149" ht="15.75" customHeight="1">
      <c r="A149" s="5">
        <v>43554.0</v>
      </c>
      <c r="B149" s="6" t="s">
        <v>617</v>
      </c>
      <c r="C149" s="6" t="s">
        <v>618</v>
      </c>
      <c r="D149" s="6" t="s">
        <v>619</v>
      </c>
      <c r="F149" s="6" t="s">
        <v>620</v>
      </c>
      <c r="G149" s="6" t="s">
        <v>621</v>
      </c>
    </row>
    <row r="150" ht="15.75" customHeight="1">
      <c r="A150" s="5">
        <v>43554.0</v>
      </c>
      <c r="B150" s="6" t="s">
        <v>622</v>
      </c>
      <c r="C150" s="7" t="s">
        <v>623</v>
      </c>
      <c r="D150" s="7" t="s">
        <v>624</v>
      </c>
      <c r="F150" s="6" t="s">
        <v>625</v>
      </c>
      <c r="G150" s="6" t="s">
        <v>626</v>
      </c>
      <c r="I150" s="69" t="s">
        <v>627</v>
      </c>
    </row>
    <row r="151" ht="15.75" customHeight="1">
      <c r="A151" s="5"/>
    </row>
    <row r="152" ht="15.75" customHeight="1">
      <c r="A152" s="5">
        <v>43554.0</v>
      </c>
      <c r="B152" s="6" t="s">
        <v>628</v>
      </c>
      <c r="C152" s="6" t="s">
        <v>629</v>
      </c>
      <c r="D152" s="7" t="s">
        <v>630</v>
      </c>
      <c r="F152" s="6" t="s">
        <v>631</v>
      </c>
      <c r="G152" s="6" t="s">
        <v>632</v>
      </c>
      <c r="I152" s="6" t="s">
        <v>151</v>
      </c>
    </row>
    <row r="153" ht="15.75" customHeight="1">
      <c r="A153" s="5">
        <v>43555.0</v>
      </c>
      <c r="B153" s="6" t="s">
        <v>545</v>
      </c>
      <c r="C153" s="6" t="s">
        <v>546</v>
      </c>
      <c r="D153" s="7" t="s">
        <v>547</v>
      </c>
      <c r="F153" s="6" t="s">
        <v>240</v>
      </c>
      <c r="G153" s="6" t="s">
        <v>633</v>
      </c>
      <c r="I153" s="72" t="s">
        <v>297</v>
      </c>
    </row>
    <row r="154" ht="15.75" customHeight="1">
      <c r="A154" s="5">
        <v>43555.0</v>
      </c>
      <c r="B154" s="6" t="s">
        <v>634</v>
      </c>
      <c r="C154" s="6" t="s">
        <v>635</v>
      </c>
      <c r="D154" s="7" t="s">
        <v>636</v>
      </c>
      <c r="F154" s="6" t="s">
        <v>240</v>
      </c>
      <c r="G154" s="6" t="s">
        <v>633</v>
      </c>
      <c r="I154" s="72" t="s">
        <v>217</v>
      </c>
    </row>
    <row r="155" ht="15.75" customHeight="1">
      <c r="A155" s="5">
        <v>43555.0</v>
      </c>
      <c r="B155" s="6" t="s">
        <v>637</v>
      </c>
      <c r="C155" s="6" t="s">
        <v>638</v>
      </c>
      <c r="D155" s="7" t="s">
        <v>639</v>
      </c>
      <c r="F155" s="6" t="s">
        <v>240</v>
      </c>
      <c r="G155" s="6" t="s">
        <v>633</v>
      </c>
      <c r="I155" s="72" t="s">
        <v>640</v>
      </c>
    </row>
    <row r="156" ht="15.75" customHeight="1">
      <c r="A156" s="5">
        <v>43555.0</v>
      </c>
      <c r="B156" s="6" t="s">
        <v>641</v>
      </c>
      <c r="C156" s="6" t="s">
        <v>642</v>
      </c>
      <c r="D156" s="7" t="s">
        <v>643</v>
      </c>
      <c r="F156" s="6" t="s">
        <v>240</v>
      </c>
      <c r="G156" s="6" t="s">
        <v>633</v>
      </c>
      <c r="I156" s="72" t="s">
        <v>222</v>
      </c>
    </row>
    <row r="157" ht="15.75" customHeight="1">
      <c r="A157" s="5">
        <v>43555.0</v>
      </c>
      <c r="B157" s="6" t="s">
        <v>644</v>
      </c>
      <c r="C157" s="6" t="s">
        <v>645</v>
      </c>
      <c r="D157" s="7" t="s">
        <v>646</v>
      </c>
      <c r="F157" s="6" t="s">
        <v>647</v>
      </c>
      <c r="G157" s="6" t="s">
        <v>633</v>
      </c>
      <c r="I157" s="72" t="s">
        <v>151</v>
      </c>
    </row>
    <row r="158" ht="15.75" customHeight="1">
      <c r="A158" s="5">
        <v>43556.0</v>
      </c>
      <c r="B158" s="6" t="s">
        <v>648</v>
      </c>
      <c r="C158" s="6" t="s">
        <v>649</v>
      </c>
      <c r="D158" s="7" t="s">
        <v>650</v>
      </c>
      <c r="F158" s="6" t="s">
        <v>651</v>
      </c>
      <c r="G158" s="6" t="s">
        <v>652</v>
      </c>
    </row>
    <row r="159" ht="15.75" customHeight="1">
      <c r="A159" s="5">
        <v>43556.0</v>
      </c>
      <c r="B159" s="6" t="s">
        <v>653</v>
      </c>
      <c r="C159" s="6" t="s">
        <v>654</v>
      </c>
      <c r="D159" s="7" t="s">
        <v>655</v>
      </c>
      <c r="F159" s="6" t="s">
        <v>656</v>
      </c>
      <c r="G159" s="6" t="s">
        <v>535</v>
      </c>
    </row>
    <row r="160" ht="15.75" customHeight="1">
      <c r="A160" s="5">
        <v>43556.0</v>
      </c>
      <c r="B160" s="6" t="s">
        <v>657</v>
      </c>
      <c r="C160" s="6" t="s">
        <v>658</v>
      </c>
      <c r="D160" s="7" t="s">
        <v>659</v>
      </c>
      <c r="F160" s="6" t="s">
        <v>660</v>
      </c>
      <c r="G160" s="6" t="s">
        <v>633</v>
      </c>
    </row>
    <row r="161" ht="15.75" customHeight="1">
      <c r="A161" s="5">
        <v>43556.0</v>
      </c>
      <c r="B161" s="6" t="s">
        <v>661</v>
      </c>
      <c r="C161" s="6" t="s">
        <v>662</v>
      </c>
      <c r="D161" s="6" t="s">
        <v>663</v>
      </c>
      <c r="F161" s="6" t="s">
        <v>240</v>
      </c>
      <c r="G161" s="6" t="s">
        <v>664</v>
      </c>
    </row>
    <row r="162" ht="15.75" customHeight="1">
      <c r="A162" s="5">
        <v>43556.0</v>
      </c>
      <c r="B162" s="6" t="s">
        <v>665</v>
      </c>
      <c r="C162" s="6" t="s">
        <v>666</v>
      </c>
      <c r="D162" s="6" t="s">
        <v>667</v>
      </c>
      <c r="F162" s="6" t="s">
        <v>240</v>
      </c>
      <c r="G162" s="6" t="s">
        <v>664</v>
      </c>
    </row>
    <row r="163" ht="15.75" customHeight="1">
      <c r="A163" s="5">
        <v>43556.0</v>
      </c>
      <c r="B163" s="6" t="s">
        <v>668</v>
      </c>
      <c r="C163" s="6" t="s">
        <v>669</v>
      </c>
      <c r="D163" s="6" t="s">
        <v>670</v>
      </c>
      <c r="G163" s="6" t="s">
        <v>530</v>
      </c>
    </row>
    <row r="164" ht="15.75" customHeight="1">
      <c r="A164" s="5">
        <v>43556.0</v>
      </c>
      <c r="B164" s="6" t="s">
        <v>671</v>
      </c>
      <c r="C164" s="6" t="s">
        <v>672</v>
      </c>
      <c r="D164" s="6" t="s">
        <v>673</v>
      </c>
      <c r="G164" s="6" t="s">
        <v>674</v>
      </c>
    </row>
    <row r="165" ht="15.75" customHeight="1">
      <c r="A165" s="41">
        <v>43557.0</v>
      </c>
      <c r="B165" s="42" t="s">
        <v>675</v>
      </c>
      <c r="C165" s="42" t="s">
        <v>676</v>
      </c>
      <c r="D165" s="73" t="s">
        <v>677</v>
      </c>
      <c r="E165" s="42"/>
      <c r="F165" s="42" t="s">
        <v>81</v>
      </c>
      <c r="G165" s="42" t="s">
        <v>678</v>
      </c>
      <c r="H165" s="42" t="s">
        <v>679</v>
      </c>
    </row>
    <row r="166" ht="15.75" customHeight="1">
      <c r="A166" s="41">
        <v>43557.0</v>
      </c>
      <c r="B166" s="6" t="s">
        <v>680</v>
      </c>
      <c r="C166" s="6" t="s">
        <v>681</v>
      </c>
      <c r="D166" s="6" t="s">
        <v>682</v>
      </c>
      <c r="F166" s="6" t="s">
        <v>240</v>
      </c>
      <c r="G166" s="6" t="s">
        <v>633</v>
      </c>
    </row>
    <row r="167" ht="15.75" customHeight="1">
      <c r="A167" s="5">
        <v>43558.0</v>
      </c>
      <c r="B167" s="6" t="s">
        <v>683</v>
      </c>
      <c r="C167" s="6" t="s">
        <v>684</v>
      </c>
      <c r="D167" s="7" t="s">
        <v>685</v>
      </c>
      <c r="F167" s="6" t="s">
        <v>686</v>
      </c>
      <c r="G167" s="6" t="s">
        <v>687</v>
      </c>
    </row>
    <row r="168" ht="15.75" customHeight="1">
      <c r="A168" s="5">
        <v>43559.0</v>
      </c>
      <c r="B168" s="6" t="s">
        <v>688</v>
      </c>
      <c r="C168" s="6" t="s">
        <v>689</v>
      </c>
      <c r="D168" s="6" t="s">
        <v>690</v>
      </c>
      <c r="E168" s="42"/>
      <c r="F168" s="6" t="s">
        <v>691</v>
      </c>
      <c r="G168" s="42"/>
      <c r="I168" s="42" t="s">
        <v>692</v>
      </c>
    </row>
    <row r="169" ht="15.75" customHeight="1">
      <c r="A169" s="5">
        <v>43561.0</v>
      </c>
      <c r="B169" s="6" t="s">
        <v>693</v>
      </c>
      <c r="C169" s="6" t="s">
        <v>694</v>
      </c>
      <c r="D169" s="7" t="s">
        <v>695</v>
      </c>
      <c r="F169" s="6" t="s">
        <v>696</v>
      </c>
      <c r="G169" s="6" t="s">
        <v>697</v>
      </c>
      <c r="I169" s="6" t="s">
        <v>698</v>
      </c>
    </row>
    <row r="170" ht="15.75" customHeight="1">
      <c r="A170" s="5">
        <v>43561.0</v>
      </c>
      <c r="B170" s="6" t="s">
        <v>699</v>
      </c>
      <c r="C170" s="6" t="s">
        <v>700</v>
      </c>
      <c r="D170" s="7" t="s">
        <v>701</v>
      </c>
      <c r="F170" s="6" t="s">
        <v>240</v>
      </c>
      <c r="G170" s="6" t="s">
        <v>702</v>
      </c>
      <c r="I170" s="6" t="s">
        <v>91</v>
      </c>
    </row>
    <row r="171" ht="15.75" customHeight="1">
      <c r="A171" s="5">
        <v>43561.0</v>
      </c>
      <c r="B171" s="6" t="s">
        <v>703</v>
      </c>
      <c r="C171" s="6" t="s">
        <v>704</v>
      </c>
      <c r="D171" s="7" t="s">
        <v>705</v>
      </c>
      <c r="F171" s="6" t="s">
        <v>240</v>
      </c>
      <c r="G171" s="6" t="s">
        <v>702</v>
      </c>
      <c r="I171" s="6" t="s">
        <v>55</v>
      </c>
    </row>
    <row r="172" ht="15.75" customHeight="1">
      <c r="A172" s="5">
        <v>43561.0</v>
      </c>
      <c r="B172" s="6" t="s">
        <v>706</v>
      </c>
      <c r="C172" s="6" t="s">
        <v>707</v>
      </c>
      <c r="D172" s="7" t="s">
        <v>708</v>
      </c>
      <c r="F172" s="6" t="s">
        <v>709</v>
      </c>
      <c r="G172" s="6" t="s">
        <v>697</v>
      </c>
      <c r="I172" s="6" t="s">
        <v>710</v>
      </c>
    </row>
    <row r="173" ht="15.75" customHeight="1">
      <c r="A173" s="5">
        <v>43561.0</v>
      </c>
      <c r="B173" s="7" t="s">
        <v>703</v>
      </c>
      <c r="C173" s="6" t="s">
        <v>704</v>
      </c>
      <c r="D173" s="7" t="s">
        <v>705</v>
      </c>
      <c r="F173" s="6" t="s">
        <v>240</v>
      </c>
      <c r="G173" s="6" t="s">
        <v>487</v>
      </c>
      <c r="I173" s="6" t="s">
        <v>55</v>
      </c>
    </row>
    <row r="174" ht="15.75" customHeight="1">
      <c r="A174" s="5">
        <v>43562.0</v>
      </c>
      <c r="B174" s="6" t="s">
        <v>711</v>
      </c>
      <c r="C174" s="6" t="s">
        <v>712</v>
      </c>
      <c r="F174" s="6" t="s">
        <v>713</v>
      </c>
      <c r="G174" s="6" t="s">
        <v>714</v>
      </c>
      <c r="I174" s="6" t="s">
        <v>91</v>
      </c>
    </row>
    <row r="175" ht="15.75" customHeight="1">
      <c r="A175" s="5">
        <v>43564.0</v>
      </c>
      <c r="B175" s="6" t="s">
        <v>715</v>
      </c>
      <c r="C175" s="6" t="s">
        <v>716</v>
      </c>
      <c r="D175" s="7" t="s">
        <v>717</v>
      </c>
      <c r="F175" s="6" t="s">
        <v>240</v>
      </c>
      <c r="G175" s="6" t="s">
        <v>702</v>
      </c>
      <c r="I175" s="6" t="s">
        <v>91</v>
      </c>
    </row>
    <row r="176" ht="15.75" customHeight="1">
      <c r="A176" s="5">
        <v>43564.0</v>
      </c>
      <c r="B176" s="6" t="s">
        <v>718</v>
      </c>
      <c r="C176" s="6" t="s">
        <v>719</v>
      </c>
      <c r="D176" s="7" t="s">
        <v>720</v>
      </c>
      <c r="F176" s="6" t="s">
        <v>721</v>
      </c>
      <c r="G176" s="6" t="s">
        <v>702</v>
      </c>
      <c r="I176" s="6" t="s">
        <v>102</v>
      </c>
    </row>
    <row r="177" ht="15.75" customHeight="1">
      <c r="A177" s="5">
        <v>43565.0</v>
      </c>
      <c r="B177" s="6" t="s">
        <v>722</v>
      </c>
      <c r="C177" s="6" t="s">
        <v>723</v>
      </c>
      <c r="D177" s="6" t="s">
        <v>724</v>
      </c>
      <c r="G177" s="6" t="s">
        <v>725</v>
      </c>
      <c r="I177" s="6" t="s">
        <v>343</v>
      </c>
    </row>
    <row r="178" ht="15.75" customHeight="1">
      <c r="A178" s="5">
        <v>43565.0</v>
      </c>
      <c r="B178" s="6" t="s">
        <v>726</v>
      </c>
      <c r="C178" s="6" t="s">
        <v>727</v>
      </c>
      <c r="D178" s="6" t="s">
        <v>728</v>
      </c>
      <c r="G178" s="6" t="s">
        <v>725</v>
      </c>
      <c r="I178" s="6" t="s">
        <v>72</v>
      </c>
    </row>
    <row r="179" ht="15.75" customHeight="1">
      <c r="A179" s="5">
        <v>43566.0</v>
      </c>
      <c r="B179" s="6" t="s">
        <v>729</v>
      </c>
      <c r="C179" s="6" t="s">
        <v>730</v>
      </c>
      <c r="D179" s="7" t="s">
        <v>731</v>
      </c>
      <c r="F179" s="6" t="s">
        <v>732</v>
      </c>
      <c r="G179" s="6" t="s">
        <v>633</v>
      </c>
      <c r="I179" s="6" t="s">
        <v>733</v>
      </c>
    </row>
    <row r="180" ht="15.75" customHeight="1">
      <c r="A180" s="5">
        <v>43566.0</v>
      </c>
      <c r="B180" s="6" t="s">
        <v>734</v>
      </c>
      <c r="C180" s="6" t="s">
        <v>735</v>
      </c>
      <c r="D180" s="7" t="s">
        <v>736</v>
      </c>
      <c r="F180" s="6" t="s">
        <v>737</v>
      </c>
      <c r="G180" s="6" t="s">
        <v>633</v>
      </c>
      <c r="I180" s="6" t="s">
        <v>72</v>
      </c>
    </row>
    <row r="181" ht="15.75" customHeight="1">
      <c r="A181" s="5">
        <v>43568.0</v>
      </c>
      <c r="B181" s="6" t="s">
        <v>738</v>
      </c>
      <c r="C181" s="6" t="s">
        <v>739</v>
      </c>
      <c r="D181" s="69" t="s">
        <v>740</v>
      </c>
      <c r="F181" s="6" t="s">
        <v>741</v>
      </c>
      <c r="G181" s="6" t="s">
        <v>742</v>
      </c>
      <c r="I181" s="6" t="s">
        <v>55</v>
      </c>
    </row>
    <row r="182" ht="15.75" customHeight="1">
      <c r="A182" s="5">
        <v>43568.0</v>
      </c>
      <c r="B182" s="6" t="s">
        <v>743</v>
      </c>
      <c r="C182" s="6" t="s">
        <v>744</v>
      </c>
      <c r="D182" s="7" t="s">
        <v>745</v>
      </c>
      <c r="F182" s="6" t="s">
        <v>746</v>
      </c>
      <c r="G182" s="6" t="s">
        <v>614</v>
      </c>
      <c r="H182" s="6" t="s">
        <v>306</v>
      </c>
      <c r="I182" s="6" t="s">
        <v>747</v>
      </c>
    </row>
    <row r="183" ht="15.75" customHeight="1">
      <c r="A183" s="5">
        <v>43570.0</v>
      </c>
      <c r="B183" s="6" t="s">
        <v>748</v>
      </c>
      <c r="C183" s="6" t="s">
        <v>749</v>
      </c>
      <c r="D183" s="6" t="s">
        <v>750</v>
      </c>
      <c r="F183" s="6" t="s">
        <v>751</v>
      </c>
      <c r="G183" s="6" t="s">
        <v>614</v>
      </c>
      <c r="H183" s="6" t="s">
        <v>306</v>
      </c>
      <c r="I183" s="6" t="s">
        <v>710</v>
      </c>
    </row>
    <row r="184" ht="17.25" customHeight="1">
      <c r="A184" s="5">
        <v>43570.0</v>
      </c>
      <c r="B184" s="69" t="s">
        <v>752</v>
      </c>
      <c r="C184" s="6" t="s">
        <v>753</v>
      </c>
      <c r="D184" s="69">
        <v>7.956842387E9</v>
      </c>
      <c r="F184" s="6" t="s">
        <v>754</v>
      </c>
      <c r="G184" s="6" t="s">
        <v>755</v>
      </c>
      <c r="H184" s="6" t="s">
        <v>306</v>
      </c>
      <c r="I184" s="6" t="s">
        <v>710</v>
      </c>
    </row>
    <row r="185" ht="15.75" customHeight="1">
      <c r="A185" s="5">
        <v>43570.0</v>
      </c>
      <c r="B185" s="6" t="s">
        <v>756</v>
      </c>
      <c r="C185" s="6" t="s">
        <v>757</v>
      </c>
      <c r="F185" s="6" t="s">
        <v>758</v>
      </c>
      <c r="G185" s="6" t="s">
        <v>530</v>
      </c>
      <c r="H185" s="6" t="s">
        <v>759</v>
      </c>
    </row>
    <row r="186" ht="15.75" customHeight="1">
      <c r="A186" s="5">
        <v>43571.0</v>
      </c>
      <c r="B186" s="6" t="s">
        <v>760</v>
      </c>
      <c r="C186" s="6" t="s">
        <v>761</v>
      </c>
      <c r="D186" s="6" t="s">
        <v>762</v>
      </c>
      <c r="F186" s="6" t="s">
        <v>763</v>
      </c>
      <c r="G186" s="6" t="s">
        <v>697</v>
      </c>
      <c r="H186" s="6" t="s">
        <v>764</v>
      </c>
    </row>
    <row r="187" ht="15.75" customHeight="1">
      <c r="A187" s="5">
        <v>43571.0</v>
      </c>
      <c r="B187" s="6" t="s">
        <v>765</v>
      </c>
      <c r="C187" s="6" t="s">
        <v>766</v>
      </c>
      <c r="D187" s="7" t="s">
        <v>767</v>
      </c>
      <c r="G187" s="6" t="s">
        <v>768</v>
      </c>
      <c r="H187" s="6" t="s">
        <v>764</v>
      </c>
    </row>
    <row r="188" ht="15.75" customHeight="1">
      <c r="A188" s="5">
        <v>43571.0</v>
      </c>
      <c r="B188" s="6" t="s">
        <v>769</v>
      </c>
      <c r="C188" s="6" t="s">
        <v>770</v>
      </c>
      <c r="D188" s="6" t="s">
        <v>771</v>
      </c>
      <c r="G188" s="6" t="s">
        <v>772</v>
      </c>
      <c r="H188" s="6" t="s">
        <v>764</v>
      </c>
    </row>
    <row r="189" ht="15.75" customHeight="1">
      <c r="A189" s="5">
        <v>43571.0</v>
      </c>
      <c r="B189" s="6" t="s">
        <v>773</v>
      </c>
      <c r="C189" s="6" t="s">
        <v>774</v>
      </c>
      <c r="F189" s="6" t="s">
        <v>775</v>
      </c>
      <c r="G189" s="6" t="s">
        <v>776</v>
      </c>
      <c r="H189" s="6" t="s">
        <v>777</v>
      </c>
    </row>
    <row r="190" ht="15.75" customHeight="1">
      <c r="A190" s="5">
        <v>43572.0</v>
      </c>
      <c r="B190" s="6" t="s">
        <v>778</v>
      </c>
      <c r="C190" s="6" t="s">
        <v>779</v>
      </c>
      <c r="F190" s="6" t="s">
        <v>780</v>
      </c>
      <c r="G190" s="6" t="s">
        <v>781</v>
      </c>
      <c r="H190" s="6" t="s">
        <v>777</v>
      </c>
    </row>
    <row r="191" ht="15.75" customHeight="1">
      <c r="A191" s="5">
        <v>43575.0</v>
      </c>
      <c r="B191" s="6" t="s">
        <v>782</v>
      </c>
      <c r="C191" s="6" t="s">
        <v>783</v>
      </c>
      <c r="D191" s="6" t="s">
        <v>784</v>
      </c>
      <c r="F191" s="6" t="s">
        <v>785</v>
      </c>
      <c r="G191" s="6" t="s">
        <v>786</v>
      </c>
      <c r="H191" s="6" t="s">
        <v>764</v>
      </c>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c r="A221" s="5"/>
    </row>
    <row r="222" ht="15.75" customHeight="1">
      <c r="A222" s="5"/>
    </row>
    <row r="223" ht="15.75" customHeight="1">
      <c r="A223" s="5"/>
    </row>
    <row r="224" ht="15.75" customHeight="1">
      <c r="A224" s="5"/>
    </row>
    <row r="225" ht="15.75" customHeight="1">
      <c r="A225" s="5"/>
    </row>
    <row r="226" ht="15.75" customHeight="1">
      <c r="A226" s="5"/>
    </row>
    <row r="227" ht="15.75" customHeight="1">
      <c r="A227" s="5"/>
    </row>
    <row r="228" ht="15.75" customHeight="1">
      <c r="A228" s="5"/>
    </row>
    <row r="229" ht="15.75" customHeight="1">
      <c r="A229" s="5"/>
    </row>
    <row r="230" ht="15.75" customHeight="1">
      <c r="A230" s="5"/>
    </row>
    <row r="231" ht="15.75" customHeight="1">
      <c r="A231" s="5"/>
    </row>
    <row r="232" ht="15.75" customHeight="1">
      <c r="A232" s="5"/>
    </row>
    <row r="233" ht="15.75" customHeight="1">
      <c r="A233" s="5"/>
    </row>
    <row r="234" ht="15.75" customHeight="1">
      <c r="A234" s="5"/>
    </row>
    <row r="235" ht="15.75" customHeight="1">
      <c r="A235" s="5"/>
    </row>
    <row r="236" ht="15.75" customHeight="1">
      <c r="A236" s="5"/>
    </row>
    <row r="237" ht="15.75" customHeight="1">
      <c r="A237" s="5"/>
    </row>
    <row r="238" ht="15.75" customHeight="1">
      <c r="A238" s="5"/>
    </row>
    <row r="239" ht="15.75" customHeight="1">
      <c r="A239" s="5"/>
    </row>
    <row r="240" ht="15.75" customHeight="1">
      <c r="A240" s="5"/>
    </row>
    <row r="241" ht="15.75" customHeight="1">
      <c r="A241" s="5"/>
    </row>
    <row r="242" ht="15.75" customHeight="1">
      <c r="A242" s="5"/>
    </row>
    <row r="243" ht="15.75" customHeight="1">
      <c r="A243" s="5"/>
    </row>
    <row r="244" ht="15.75" customHeight="1">
      <c r="A244" s="5"/>
    </row>
    <row r="245" ht="15.75" customHeight="1">
      <c r="A245" s="5"/>
    </row>
    <row r="246" ht="15.75" customHeight="1">
      <c r="A246" s="5"/>
    </row>
    <row r="247" ht="15.75" customHeight="1">
      <c r="A247" s="5"/>
    </row>
    <row r="248" ht="15.75" customHeight="1">
      <c r="A248" s="5"/>
    </row>
    <row r="249" ht="15.75" customHeight="1">
      <c r="A249" s="5"/>
    </row>
    <row r="250" ht="15.75" customHeight="1">
      <c r="A250" s="5"/>
    </row>
    <row r="251" ht="15.75" customHeight="1">
      <c r="A251" s="5"/>
    </row>
    <row r="252" ht="15.75" customHeight="1">
      <c r="A252" s="5"/>
    </row>
    <row r="253" ht="15.75" customHeight="1">
      <c r="A253" s="5"/>
    </row>
    <row r="254" ht="15.75" customHeight="1">
      <c r="A254" s="5"/>
    </row>
    <row r="255" ht="15.75" customHeight="1">
      <c r="A255" s="5"/>
    </row>
    <row r="256" ht="15.75" customHeight="1">
      <c r="A256" s="5"/>
    </row>
    <row r="257" ht="15.75" customHeight="1">
      <c r="A257" s="5"/>
    </row>
    <row r="258" ht="15.75" customHeight="1">
      <c r="A258" s="5"/>
    </row>
    <row r="259" ht="15.75" customHeight="1">
      <c r="A259" s="5"/>
    </row>
    <row r="260" ht="15.75" customHeight="1">
      <c r="A260" s="5"/>
    </row>
    <row r="261" ht="15.75" customHeight="1">
      <c r="A261" s="5"/>
    </row>
    <row r="262" ht="15.75" customHeight="1">
      <c r="A262" s="5"/>
    </row>
    <row r="263" ht="15.75" customHeight="1">
      <c r="A263" s="5"/>
    </row>
    <row r="264" ht="15.75" customHeight="1">
      <c r="A264" s="5"/>
    </row>
    <row r="265" ht="15.75" customHeight="1">
      <c r="A265" s="5"/>
    </row>
    <row r="266" ht="15.75" customHeight="1">
      <c r="A266" s="5"/>
    </row>
    <row r="267" ht="15.75" customHeight="1">
      <c r="A267" s="5"/>
    </row>
    <row r="268" ht="15.75" customHeight="1">
      <c r="A268" s="5"/>
    </row>
    <row r="269" ht="15.75" customHeight="1">
      <c r="A269" s="5"/>
    </row>
    <row r="270" ht="15.75" customHeight="1">
      <c r="A270" s="5"/>
    </row>
    <row r="271" ht="15.75" customHeight="1">
      <c r="A271" s="5"/>
    </row>
    <row r="272" ht="15.75" customHeight="1">
      <c r="A272" s="5"/>
    </row>
    <row r="273" ht="15.75" customHeight="1">
      <c r="A273" s="5"/>
    </row>
    <row r="274" ht="15.75" customHeight="1">
      <c r="A274" s="5"/>
    </row>
    <row r="275" ht="15.75" customHeight="1">
      <c r="A275" s="5"/>
    </row>
    <row r="276" ht="15.75" customHeight="1">
      <c r="A276" s="5"/>
    </row>
    <row r="277" ht="15.75" customHeight="1">
      <c r="A277" s="5"/>
    </row>
    <row r="278" ht="15.75" customHeight="1">
      <c r="A278" s="5"/>
    </row>
    <row r="279" ht="15.75" customHeight="1">
      <c r="A279" s="5"/>
    </row>
    <row r="280" ht="15.75" customHeight="1">
      <c r="A280" s="5"/>
    </row>
    <row r="281" ht="15.75" customHeight="1">
      <c r="A281" s="5"/>
    </row>
    <row r="282" ht="15.75" customHeight="1">
      <c r="A282" s="5"/>
    </row>
    <row r="283" ht="15.75" customHeight="1">
      <c r="A283" s="5"/>
    </row>
    <row r="284" ht="15.75" customHeight="1">
      <c r="A284" s="5"/>
    </row>
    <row r="285" ht="15.75" customHeight="1">
      <c r="A285" s="5"/>
    </row>
    <row r="286" ht="15.75" customHeight="1">
      <c r="A286" s="5"/>
    </row>
    <row r="287" ht="15.75" customHeight="1">
      <c r="A287" s="5"/>
    </row>
    <row r="288" ht="15.75" customHeight="1">
      <c r="A288" s="5"/>
    </row>
    <row r="289" ht="15.75" customHeight="1">
      <c r="A289" s="5"/>
    </row>
    <row r="290" ht="15.75" customHeight="1">
      <c r="A290" s="5"/>
    </row>
    <row r="291" ht="15.75" customHeight="1">
      <c r="A291" s="5"/>
    </row>
    <row r="292" ht="15.75" customHeight="1">
      <c r="A292" s="5"/>
    </row>
    <row r="293" ht="15.75" customHeight="1">
      <c r="A293" s="5"/>
    </row>
    <row r="294" ht="15.75" customHeight="1">
      <c r="A294" s="5"/>
    </row>
    <row r="295" ht="15.75" customHeight="1">
      <c r="A295" s="5"/>
    </row>
    <row r="296" ht="15.75" customHeight="1">
      <c r="A296" s="5"/>
    </row>
    <row r="297" ht="15.75" customHeight="1">
      <c r="A297" s="5"/>
    </row>
    <row r="298" ht="15.75" customHeight="1">
      <c r="A298" s="5"/>
    </row>
    <row r="299" ht="15.75" customHeight="1">
      <c r="A299" s="5"/>
    </row>
    <row r="300" ht="15.75" customHeight="1">
      <c r="A300" s="5"/>
    </row>
    <row r="301" ht="15.75" customHeight="1">
      <c r="A301" s="5"/>
    </row>
    <row r="302" ht="15.75" customHeight="1">
      <c r="A302" s="5"/>
    </row>
    <row r="303" ht="15.75" customHeight="1">
      <c r="A303" s="5"/>
    </row>
    <row r="304" ht="15.75" customHeight="1">
      <c r="A304" s="5"/>
    </row>
    <row r="305" ht="15.75" customHeight="1">
      <c r="A305" s="5"/>
    </row>
    <row r="306" ht="15.75" customHeight="1">
      <c r="A306" s="5"/>
    </row>
    <row r="307" ht="15.75" customHeight="1">
      <c r="A307" s="5"/>
    </row>
    <row r="308" ht="15.75" customHeight="1">
      <c r="A308" s="5"/>
    </row>
    <row r="309" ht="15.75" customHeight="1">
      <c r="A309" s="5"/>
    </row>
    <row r="310" ht="15.75" customHeight="1">
      <c r="A310" s="5"/>
    </row>
    <row r="311" ht="15.75" customHeight="1">
      <c r="A311" s="5"/>
    </row>
    <row r="312" ht="15.75" customHeight="1">
      <c r="A312" s="5"/>
    </row>
    <row r="313" ht="15.75" customHeight="1">
      <c r="A313" s="5"/>
    </row>
    <row r="314" ht="15.75" customHeight="1">
      <c r="A314" s="5"/>
    </row>
    <row r="315" ht="15.75" customHeight="1">
      <c r="A315" s="5"/>
    </row>
    <row r="316" ht="15.75" customHeight="1">
      <c r="A316" s="5"/>
    </row>
    <row r="317" ht="15.75" customHeight="1">
      <c r="A317" s="5"/>
    </row>
    <row r="318" ht="15.75" customHeight="1">
      <c r="A318" s="5"/>
    </row>
    <row r="319" ht="15.75" customHeight="1">
      <c r="A319" s="5"/>
    </row>
    <row r="320" ht="15.75" customHeight="1">
      <c r="A320" s="5"/>
    </row>
    <row r="321" ht="15.75" customHeight="1">
      <c r="A321" s="5"/>
    </row>
    <row r="322" ht="15.75" customHeight="1">
      <c r="A322" s="5"/>
    </row>
    <row r="323" ht="15.75" customHeight="1">
      <c r="A323" s="5"/>
    </row>
    <row r="324" ht="15.75" customHeight="1">
      <c r="A324" s="5"/>
    </row>
    <row r="325" ht="15.75" customHeight="1">
      <c r="A325" s="5"/>
    </row>
    <row r="326" ht="15.75" customHeight="1">
      <c r="A326" s="5"/>
    </row>
    <row r="327" ht="15.75" customHeight="1">
      <c r="A327" s="5"/>
    </row>
    <row r="328" ht="15.75" customHeight="1">
      <c r="A328" s="5"/>
    </row>
    <row r="329" ht="15.75" customHeight="1">
      <c r="A329" s="5"/>
    </row>
    <row r="330" ht="15.75" customHeight="1">
      <c r="A330" s="5"/>
    </row>
    <row r="331" ht="15.75" customHeight="1">
      <c r="A331" s="5"/>
    </row>
    <row r="332" ht="15.75" customHeight="1">
      <c r="A332" s="5"/>
    </row>
    <row r="333" ht="15.75" customHeight="1">
      <c r="A333" s="5"/>
    </row>
    <row r="334" ht="15.75" customHeight="1">
      <c r="A334" s="5"/>
    </row>
    <row r="335" ht="15.75" customHeight="1">
      <c r="A335" s="5"/>
    </row>
    <row r="336" ht="15.75" customHeight="1">
      <c r="A336" s="5"/>
    </row>
    <row r="337" ht="15.75" customHeight="1">
      <c r="A337" s="5"/>
    </row>
    <row r="338" ht="15.75" customHeight="1">
      <c r="A338" s="5"/>
    </row>
    <row r="339" ht="15.75" customHeight="1">
      <c r="A339" s="5"/>
    </row>
    <row r="340" ht="15.75" customHeight="1">
      <c r="A340" s="5"/>
    </row>
    <row r="341" ht="15.75" customHeight="1">
      <c r="A341" s="5"/>
    </row>
    <row r="342" ht="15.75" customHeight="1">
      <c r="A342" s="5"/>
    </row>
    <row r="343" ht="15.75" customHeight="1">
      <c r="A343" s="5"/>
    </row>
    <row r="344" ht="15.75" customHeight="1">
      <c r="A344" s="5"/>
    </row>
    <row r="345" ht="15.75" customHeight="1">
      <c r="A345" s="5"/>
    </row>
    <row r="346" ht="15.75" customHeight="1">
      <c r="A346" s="5"/>
    </row>
    <row r="347" ht="15.75" customHeight="1">
      <c r="A347" s="5"/>
    </row>
    <row r="348" ht="15.75" customHeight="1">
      <c r="A348" s="5"/>
    </row>
    <row r="349" ht="15.75" customHeight="1">
      <c r="A349" s="5"/>
    </row>
    <row r="350" ht="15.75" customHeight="1">
      <c r="A350" s="5"/>
    </row>
    <row r="351" ht="15.75" customHeight="1">
      <c r="A351" s="5"/>
    </row>
    <row r="352" ht="15.75" customHeight="1">
      <c r="A352" s="5"/>
    </row>
    <row r="353" ht="15.75" customHeight="1">
      <c r="A353" s="5"/>
    </row>
    <row r="354" ht="15.75" customHeight="1">
      <c r="A354" s="5"/>
    </row>
    <row r="355" ht="15.75" customHeight="1">
      <c r="A355" s="5"/>
    </row>
    <row r="356" ht="15.75" customHeight="1">
      <c r="A356" s="5"/>
    </row>
    <row r="357" ht="15.75" customHeight="1">
      <c r="A357" s="5"/>
    </row>
    <row r="358" ht="15.75" customHeight="1">
      <c r="A358" s="5"/>
    </row>
    <row r="359" ht="15.75" customHeight="1">
      <c r="A359" s="5"/>
    </row>
    <row r="360" ht="15.75" customHeight="1">
      <c r="A360" s="5"/>
    </row>
    <row r="361" ht="15.75" customHeight="1">
      <c r="A361" s="5"/>
    </row>
    <row r="362" ht="15.75" customHeight="1">
      <c r="A362" s="5"/>
    </row>
    <row r="363" ht="15.75" customHeight="1">
      <c r="A363" s="5"/>
    </row>
    <row r="364" ht="15.75" customHeight="1">
      <c r="A364" s="5"/>
    </row>
    <row r="365" ht="15.75" customHeight="1">
      <c r="A365" s="5"/>
    </row>
    <row r="366" ht="15.75" customHeight="1">
      <c r="A366" s="5"/>
    </row>
    <row r="367" ht="15.75" customHeight="1">
      <c r="A367" s="5"/>
    </row>
    <row r="368" ht="15.75" customHeight="1">
      <c r="A368" s="5"/>
    </row>
    <row r="369" ht="15.75" customHeight="1">
      <c r="A369" s="5"/>
    </row>
    <row r="370" ht="15.75" customHeight="1">
      <c r="A370" s="5"/>
    </row>
    <row r="371" ht="15.75" customHeight="1">
      <c r="A371" s="5"/>
    </row>
    <row r="372" ht="15.75" customHeight="1">
      <c r="A372" s="5"/>
    </row>
    <row r="373" ht="15.75" customHeight="1">
      <c r="A373" s="5"/>
    </row>
    <row r="374" ht="15.75" customHeight="1">
      <c r="A374" s="5"/>
    </row>
    <row r="375" ht="15.75" customHeight="1">
      <c r="A375" s="5"/>
    </row>
    <row r="376" ht="15.75" customHeight="1">
      <c r="A376" s="5"/>
    </row>
    <row r="377" ht="15.75" customHeight="1">
      <c r="A377" s="5"/>
    </row>
    <row r="378" ht="15.75" customHeight="1">
      <c r="A378" s="5"/>
    </row>
    <row r="379" ht="15.75" customHeight="1">
      <c r="A379" s="5"/>
    </row>
    <row r="380" ht="15.75" customHeight="1">
      <c r="A380" s="5"/>
    </row>
    <row r="381" ht="15.75" customHeight="1">
      <c r="A381" s="5"/>
    </row>
    <row r="382" ht="15.75" customHeight="1">
      <c r="A382" s="5"/>
    </row>
    <row r="383" ht="15.75" customHeight="1">
      <c r="A383" s="5"/>
    </row>
    <row r="384" ht="15.75" customHeight="1">
      <c r="A384" s="5"/>
    </row>
    <row r="385" ht="15.75" customHeight="1">
      <c r="A385" s="5"/>
    </row>
    <row r="386" ht="15.75" customHeight="1">
      <c r="A386" s="5"/>
    </row>
    <row r="387" ht="15.75" customHeight="1">
      <c r="A387" s="5"/>
    </row>
    <row r="388" ht="15.75" customHeight="1">
      <c r="A388" s="5"/>
    </row>
    <row r="389" ht="15.75" customHeight="1">
      <c r="A389" s="5"/>
    </row>
    <row r="390" ht="15.75" customHeight="1">
      <c r="A390" s="5"/>
    </row>
    <row r="391" ht="15.75" customHeight="1">
      <c r="A391" s="5"/>
    </row>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H$150"/>
  <customSheetViews>
    <customSheetView guid="{12CB2CCC-8D27-44DB-9F40-633793C33FFC}" filter="1" showAutoFilter="1">
      <autoFilter ref="$A$1:$AH$150"/>
      <extLst>
        <ext uri="GoogleSheetsCustomDataVersion1">
          <go:sheetsCustomData xmlns:go="http://customooxmlschemas.google.com/" filterViewId="325414726"/>
        </ext>
      </extLst>
    </customSheetView>
    <customSheetView guid="{E3432889-4B8C-4A16-BA7C-BA7887E47210}" filter="1" showAutoFilter="1">
      <autoFilter ref="$A$1:$AH$196"/>
      <extLst>
        <ext uri="GoogleSheetsCustomDataVersion1">
          <go:sheetsCustomData xmlns:go="http://customooxmlschemas.google.com/" filterViewId="563901601"/>
        </ext>
      </extLst>
    </customSheetView>
    <customSheetView guid="{A7FEB666-445D-48CC-9CDF-55921C2C9E74}" filter="1" showAutoFilter="1">
      <autoFilter ref="$A$1:$J$150"/>
      <extLst>
        <ext uri="GoogleSheetsCustomDataVersion1">
          <go:sheetsCustomData xmlns:go="http://customooxmlschemas.google.com/" filterViewId="690330691"/>
        </ext>
      </extLst>
    </customSheetView>
  </customSheetViews>
  <mergeCells count="5">
    <mergeCell ref="E14:F14"/>
    <mergeCell ref="F63:G63"/>
    <mergeCell ref="F64:G64"/>
    <mergeCell ref="D78:E78"/>
    <mergeCell ref="G78:H78"/>
  </mergeCells>
  <hyperlinks>
    <hyperlink r:id="rId1" ref="B31"/>
    <hyperlink r:id="rId2" ref="C35"/>
    <hyperlink r:id="rId3" ref="F60"/>
    <hyperlink r:id="rId4" ref="C65"/>
    <hyperlink r:id="rId5" ref="C116"/>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xSplit="13.0" topLeftCell="N1" activePane="topRight" state="frozen"/>
      <selection activeCell="O2" sqref="O2" pane="topRight"/>
    </sheetView>
  </sheetViews>
  <sheetFormatPr customHeight="1" defaultColWidth="12.63" defaultRowHeight="15.0"/>
  <cols>
    <col customWidth="1" min="1" max="1" width="14.38"/>
    <col customWidth="1" min="2" max="2" width="22.38"/>
    <col customWidth="1" min="3" max="3" width="34.13"/>
    <col customWidth="1" min="4" max="4" width="14.38"/>
    <col customWidth="1" min="5" max="5" width="4.88"/>
    <col customWidth="1" min="6" max="6" width="14.38"/>
    <col customWidth="1" min="7" max="7" width="35.88"/>
    <col customWidth="1" min="8" max="8" width="14.0"/>
    <col customWidth="1" min="9" max="34" width="14.38"/>
  </cols>
  <sheetData>
    <row r="1" ht="15.75" customHeight="1">
      <c r="A1" s="2" t="s">
        <v>0</v>
      </c>
      <c r="B1" s="2" t="s">
        <v>1</v>
      </c>
      <c r="C1" s="2" t="s">
        <v>2</v>
      </c>
      <c r="D1" s="2" t="s">
        <v>3</v>
      </c>
      <c r="E1" s="2" t="s">
        <v>4</v>
      </c>
      <c r="F1" s="2"/>
      <c r="G1" s="2" t="s">
        <v>5</v>
      </c>
      <c r="H1" s="2"/>
      <c r="I1" s="2" t="s">
        <v>6</v>
      </c>
      <c r="J1" s="4"/>
      <c r="K1" s="4"/>
      <c r="L1" s="4"/>
      <c r="M1" s="4"/>
      <c r="N1" s="4"/>
      <c r="O1" s="4"/>
      <c r="P1" s="4"/>
      <c r="Q1" s="4"/>
      <c r="R1" s="4"/>
      <c r="S1" s="4"/>
      <c r="T1" s="4"/>
      <c r="U1" s="4"/>
      <c r="V1" s="4"/>
      <c r="W1" s="4"/>
      <c r="X1" s="4"/>
      <c r="Y1" s="4"/>
      <c r="Z1" s="4"/>
      <c r="AA1" s="4"/>
      <c r="AB1" s="4"/>
      <c r="AC1" s="4"/>
      <c r="AD1" s="4"/>
    </row>
    <row r="2" ht="15.75" customHeight="1">
      <c r="A2" s="39" t="s">
        <v>787</v>
      </c>
      <c r="B2" s="74" t="s">
        <v>788</v>
      </c>
      <c r="C2" s="74" t="s">
        <v>789</v>
      </c>
      <c r="D2" s="75" t="s">
        <v>790</v>
      </c>
      <c r="E2" s="74" t="s">
        <v>791</v>
      </c>
      <c r="F2" s="39"/>
      <c r="G2" s="39"/>
      <c r="H2" s="39"/>
      <c r="I2" s="39" t="s">
        <v>20</v>
      </c>
    </row>
    <row r="3" ht="15.75" customHeight="1">
      <c r="B3" s="76" t="s">
        <v>792</v>
      </c>
      <c r="C3" s="76" t="s">
        <v>793</v>
      </c>
      <c r="D3" s="76"/>
      <c r="E3" s="76"/>
      <c r="F3" s="10"/>
      <c r="G3" s="76" t="s">
        <v>794</v>
      </c>
      <c r="H3" s="39"/>
      <c r="I3" s="6" t="s">
        <v>60</v>
      </c>
    </row>
    <row r="4" ht="15.75" customHeight="1">
      <c r="A4" s="77">
        <v>43757.0</v>
      </c>
      <c r="B4" s="39" t="s">
        <v>795</v>
      </c>
      <c r="C4" s="78" t="s">
        <v>796</v>
      </c>
      <c r="D4" s="13" t="s">
        <v>797</v>
      </c>
      <c r="F4" s="39"/>
      <c r="G4" s="39" t="s">
        <v>798</v>
      </c>
      <c r="H4" s="39"/>
      <c r="I4" s="76" t="s">
        <v>86</v>
      </c>
    </row>
    <row r="5" ht="15.75" customHeight="1">
      <c r="A5" s="77">
        <v>43405.0</v>
      </c>
      <c r="B5" s="39" t="s">
        <v>799</v>
      </c>
      <c r="C5" s="39" t="s">
        <v>800</v>
      </c>
      <c r="D5" s="75" t="s">
        <v>801</v>
      </c>
      <c r="F5" s="39"/>
      <c r="G5" s="39" t="s">
        <v>802</v>
      </c>
      <c r="H5" s="39"/>
      <c r="I5" s="76" t="s">
        <v>50</v>
      </c>
    </row>
    <row r="6" ht="15.75" customHeight="1">
      <c r="A6" s="77">
        <v>43405.0</v>
      </c>
      <c r="B6" s="39" t="s">
        <v>803</v>
      </c>
      <c r="C6" s="39" t="s">
        <v>804</v>
      </c>
      <c r="D6" s="75" t="s">
        <v>805</v>
      </c>
      <c r="F6" s="39"/>
      <c r="G6" s="39" t="s">
        <v>802</v>
      </c>
      <c r="H6" s="39"/>
      <c r="I6" s="39" t="s">
        <v>806</v>
      </c>
    </row>
    <row r="7" ht="15.75" customHeight="1">
      <c r="A7" s="77">
        <v>43406.0</v>
      </c>
      <c r="B7" s="39" t="s">
        <v>803</v>
      </c>
      <c r="C7" s="39" t="s">
        <v>804</v>
      </c>
      <c r="D7" s="39">
        <v>4.369919549835E12</v>
      </c>
      <c r="F7" s="39"/>
      <c r="G7" s="39" t="s">
        <v>802</v>
      </c>
      <c r="H7" s="39"/>
      <c r="I7" s="39"/>
    </row>
    <row r="8" ht="15.75" customHeight="1">
      <c r="A8" s="77">
        <v>43407.0</v>
      </c>
      <c r="B8" s="39" t="s">
        <v>807</v>
      </c>
      <c r="C8" s="39" t="s">
        <v>808</v>
      </c>
      <c r="D8" s="75" t="s">
        <v>809</v>
      </c>
      <c r="F8" s="39"/>
      <c r="G8" s="39" t="s">
        <v>810</v>
      </c>
      <c r="H8" s="39"/>
      <c r="I8" s="39"/>
    </row>
    <row r="9" ht="15.75" customHeight="1">
      <c r="A9" s="77">
        <v>43407.0</v>
      </c>
      <c r="B9" s="39" t="s">
        <v>811</v>
      </c>
      <c r="C9" s="39" t="s">
        <v>812</v>
      </c>
      <c r="D9" s="75" t="s">
        <v>813</v>
      </c>
      <c r="F9" s="39"/>
      <c r="G9" s="39" t="s">
        <v>814</v>
      </c>
      <c r="H9" s="39"/>
      <c r="I9" s="39" t="s">
        <v>806</v>
      </c>
    </row>
    <row r="10" ht="15.75" customHeight="1">
      <c r="A10" s="77">
        <v>43407.0</v>
      </c>
      <c r="B10" s="39" t="s">
        <v>815</v>
      </c>
      <c r="C10" s="39" t="s">
        <v>816</v>
      </c>
      <c r="D10" s="75" t="s">
        <v>817</v>
      </c>
      <c r="F10" s="39" t="s">
        <v>818</v>
      </c>
      <c r="G10" s="39"/>
      <c r="H10" s="39" t="s">
        <v>819</v>
      </c>
      <c r="I10" s="39"/>
    </row>
    <row r="11" ht="15.75" customHeight="1">
      <c r="A11" s="77">
        <v>43409.0</v>
      </c>
      <c r="B11" s="39" t="s">
        <v>820</v>
      </c>
      <c r="C11" s="39" t="s">
        <v>821</v>
      </c>
      <c r="D11" s="75" t="s">
        <v>822</v>
      </c>
      <c r="F11" s="39"/>
      <c r="G11" s="39" t="s">
        <v>823</v>
      </c>
      <c r="H11" s="39"/>
      <c r="I11" s="39"/>
    </row>
    <row r="12" ht="15.75" customHeight="1">
      <c r="A12" s="77">
        <v>43409.0</v>
      </c>
      <c r="B12" s="39" t="s">
        <v>824</v>
      </c>
      <c r="C12" s="39" t="s">
        <v>825</v>
      </c>
      <c r="D12" s="75" t="s">
        <v>826</v>
      </c>
      <c r="F12" s="39"/>
      <c r="G12" s="39" t="s">
        <v>827</v>
      </c>
      <c r="H12" s="39"/>
      <c r="I12" s="39" t="s">
        <v>97</v>
      </c>
    </row>
    <row r="13" ht="15.75" customHeight="1">
      <c r="A13" s="77">
        <v>43409.0</v>
      </c>
      <c r="B13" s="39" t="s">
        <v>828</v>
      </c>
      <c r="C13" s="39" t="s">
        <v>829</v>
      </c>
      <c r="D13" s="75" t="s">
        <v>830</v>
      </c>
      <c r="F13" s="39"/>
      <c r="G13" s="39" t="s">
        <v>827</v>
      </c>
      <c r="H13" s="39"/>
      <c r="I13" s="76" t="s">
        <v>86</v>
      </c>
    </row>
    <row r="14" ht="15.75" customHeight="1">
      <c r="A14" s="77">
        <v>43409.0</v>
      </c>
      <c r="B14" s="39" t="s">
        <v>831</v>
      </c>
      <c r="C14" s="39" t="s">
        <v>832</v>
      </c>
      <c r="D14" s="39">
        <v>6.476069592E9</v>
      </c>
      <c r="F14" s="39"/>
      <c r="G14" s="39" t="s">
        <v>827</v>
      </c>
      <c r="H14" s="39"/>
      <c r="I14" s="76" t="s">
        <v>50</v>
      </c>
    </row>
    <row r="15" ht="15.75" customHeight="1">
      <c r="A15" s="77">
        <v>43409.0</v>
      </c>
      <c r="B15" s="39" t="s">
        <v>833</v>
      </c>
      <c r="C15" s="39" t="s">
        <v>834</v>
      </c>
      <c r="D15" s="75" t="s">
        <v>835</v>
      </c>
      <c r="F15" s="39"/>
      <c r="G15" s="39" t="s">
        <v>827</v>
      </c>
      <c r="H15" s="39"/>
      <c r="I15" s="76" t="s">
        <v>60</v>
      </c>
    </row>
    <row r="16" ht="15.75" customHeight="1">
      <c r="A16" s="77">
        <v>43409.0</v>
      </c>
      <c r="B16" s="39" t="s">
        <v>836</v>
      </c>
      <c r="C16" s="39" t="s">
        <v>837</v>
      </c>
      <c r="D16" s="39"/>
      <c r="F16" s="39"/>
      <c r="G16" s="39" t="s">
        <v>838</v>
      </c>
      <c r="H16" s="39"/>
      <c r="I16" s="76" t="s">
        <v>168</v>
      </c>
    </row>
    <row r="17" ht="15.75" customHeight="1">
      <c r="A17" s="77">
        <v>43409.0</v>
      </c>
      <c r="B17" s="39" t="s">
        <v>839</v>
      </c>
      <c r="C17" s="39" t="s">
        <v>840</v>
      </c>
      <c r="D17" s="39"/>
      <c r="F17" s="39"/>
      <c r="G17" s="39"/>
      <c r="H17" s="39"/>
      <c r="I17" s="39" t="s">
        <v>97</v>
      </c>
    </row>
    <row r="18" ht="15.75" customHeight="1">
      <c r="A18" s="77">
        <v>43410.0</v>
      </c>
      <c r="B18" s="39" t="s">
        <v>841</v>
      </c>
      <c r="C18" s="39" t="s">
        <v>842</v>
      </c>
      <c r="D18" s="75" t="s">
        <v>843</v>
      </c>
      <c r="F18" s="39"/>
      <c r="G18" s="39" t="s">
        <v>161</v>
      </c>
      <c r="H18" s="39"/>
      <c r="I18" s="39" t="s">
        <v>844</v>
      </c>
    </row>
    <row r="19" ht="15.75" customHeight="1">
      <c r="A19" s="77">
        <v>43411.0</v>
      </c>
      <c r="B19" s="39" t="s">
        <v>845</v>
      </c>
      <c r="C19" s="39" t="s">
        <v>846</v>
      </c>
      <c r="D19" s="75" t="s">
        <v>847</v>
      </c>
      <c r="F19" s="39"/>
      <c r="G19" s="39" t="s">
        <v>848</v>
      </c>
      <c r="H19" s="39"/>
      <c r="I19" s="39"/>
    </row>
    <row r="20" ht="15.75" customHeight="1">
      <c r="A20" s="77">
        <v>43412.0</v>
      </c>
      <c r="B20" s="39" t="s">
        <v>849</v>
      </c>
      <c r="C20" s="39" t="s">
        <v>850</v>
      </c>
      <c r="D20" s="75" t="s">
        <v>851</v>
      </c>
      <c r="F20" s="39"/>
      <c r="G20" s="39" t="s">
        <v>802</v>
      </c>
      <c r="H20" s="39"/>
      <c r="I20" s="76" t="s">
        <v>852</v>
      </c>
    </row>
    <row r="21" ht="15.75" customHeight="1">
      <c r="A21" s="77">
        <v>43412.0</v>
      </c>
      <c r="B21" s="39" t="s">
        <v>853</v>
      </c>
      <c r="C21" s="39" t="s">
        <v>854</v>
      </c>
      <c r="D21" s="39"/>
      <c r="F21" s="39"/>
      <c r="G21" s="39" t="s">
        <v>855</v>
      </c>
      <c r="H21" s="39"/>
      <c r="I21" s="76" t="s">
        <v>86</v>
      </c>
    </row>
    <row r="22" ht="15.75" customHeight="1">
      <c r="A22" s="77">
        <v>43412.0</v>
      </c>
      <c r="B22" s="39" t="s">
        <v>856</v>
      </c>
      <c r="C22" s="39" t="s">
        <v>857</v>
      </c>
      <c r="D22" s="39">
        <v>9.1464922E7</v>
      </c>
      <c r="F22" s="39"/>
      <c r="G22" s="39" t="s">
        <v>858</v>
      </c>
      <c r="H22" s="39"/>
      <c r="I22" s="39" t="s">
        <v>859</v>
      </c>
    </row>
    <row r="23" ht="15.75" customHeight="1">
      <c r="A23" s="79">
        <v>43413.0</v>
      </c>
      <c r="B23" s="58" t="s">
        <v>860</v>
      </c>
      <c r="C23" s="58" t="s">
        <v>861</v>
      </c>
      <c r="D23" s="80" t="s">
        <v>862</v>
      </c>
      <c r="F23" s="58"/>
      <c r="G23" s="58" t="s">
        <v>863</v>
      </c>
      <c r="H23" s="58"/>
      <c r="I23" s="39" t="s">
        <v>859</v>
      </c>
    </row>
    <row r="24" ht="15.75" customHeight="1">
      <c r="A24" s="77">
        <v>43413.0</v>
      </c>
      <c r="B24" s="39" t="s">
        <v>864</v>
      </c>
      <c r="C24" s="39" t="s">
        <v>865</v>
      </c>
      <c r="D24" s="75" t="s">
        <v>866</v>
      </c>
      <c r="F24" s="39"/>
      <c r="G24" s="39" t="s">
        <v>863</v>
      </c>
      <c r="H24" s="39"/>
      <c r="I24" s="39" t="s">
        <v>859</v>
      </c>
    </row>
    <row r="25" ht="15.75" customHeight="1">
      <c r="A25" s="79">
        <v>43413.0</v>
      </c>
      <c r="B25" s="58" t="s">
        <v>867</v>
      </c>
      <c r="C25" s="58" t="s">
        <v>868</v>
      </c>
      <c r="D25" s="80" t="s">
        <v>869</v>
      </c>
      <c r="F25" s="58"/>
      <c r="G25" s="58" t="s">
        <v>863</v>
      </c>
      <c r="H25" s="58"/>
      <c r="I25" s="39" t="s">
        <v>859</v>
      </c>
    </row>
    <row r="26" ht="15.75" customHeight="1">
      <c r="A26" s="77">
        <v>43413.0</v>
      </c>
      <c r="B26" s="39" t="s">
        <v>870</v>
      </c>
      <c r="C26" s="39" t="s">
        <v>871</v>
      </c>
      <c r="D26" s="39">
        <v>9.2323661E7</v>
      </c>
      <c r="F26" s="39"/>
      <c r="G26" s="39" t="s">
        <v>863</v>
      </c>
      <c r="H26" s="39"/>
      <c r="I26" s="39" t="s">
        <v>859</v>
      </c>
    </row>
    <row r="27" ht="15.75" customHeight="1">
      <c r="A27" s="77">
        <v>43413.0</v>
      </c>
      <c r="B27" s="39" t="s">
        <v>872</v>
      </c>
      <c r="C27" s="75" t="s">
        <v>873</v>
      </c>
      <c r="D27" s="75" t="s">
        <v>874</v>
      </c>
      <c r="F27" s="39"/>
      <c r="G27" s="39" t="s">
        <v>863</v>
      </c>
      <c r="H27" s="39"/>
      <c r="I27" s="39" t="s">
        <v>859</v>
      </c>
    </row>
    <row r="28" ht="15.75" customHeight="1">
      <c r="A28" s="81">
        <v>43414.0</v>
      </c>
      <c r="B28" s="39" t="s">
        <v>875</v>
      </c>
      <c r="C28" s="39" t="s">
        <v>876</v>
      </c>
      <c r="D28" s="39"/>
      <c r="F28" s="39"/>
      <c r="G28" s="39" t="s">
        <v>877</v>
      </c>
      <c r="H28" s="39"/>
      <c r="I28" s="39" t="s">
        <v>859</v>
      </c>
    </row>
    <row r="29" ht="15.75" customHeight="1">
      <c r="A29" s="81">
        <v>43414.0</v>
      </c>
      <c r="B29" s="39" t="s">
        <v>878</v>
      </c>
      <c r="C29" s="39" t="s">
        <v>879</v>
      </c>
      <c r="D29" s="75" t="s">
        <v>880</v>
      </c>
      <c r="F29" s="39"/>
      <c r="G29" s="39" t="s">
        <v>881</v>
      </c>
      <c r="H29" s="39"/>
      <c r="I29" s="39" t="s">
        <v>20</v>
      </c>
    </row>
    <row r="30" ht="15.75" customHeight="1">
      <c r="A30" s="81">
        <v>43414.0</v>
      </c>
      <c r="B30" s="39" t="s">
        <v>882</v>
      </c>
      <c r="C30" s="39" t="s">
        <v>883</v>
      </c>
      <c r="D30" s="75" t="s">
        <v>884</v>
      </c>
      <c r="F30" s="39"/>
      <c r="G30" s="39" t="s">
        <v>863</v>
      </c>
      <c r="H30" s="39"/>
      <c r="I30" s="39" t="s">
        <v>859</v>
      </c>
    </row>
    <row r="31" ht="15.75" customHeight="1">
      <c r="A31" s="81">
        <v>43414.0</v>
      </c>
      <c r="B31" s="39" t="s">
        <v>885</v>
      </c>
      <c r="C31" s="39" t="s">
        <v>886</v>
      </c>
      <c r="D31" s="75" t="s">
        <v>887</v>
      </c>
      <c r="F31" s="39"/>
      <c r="G31" s="39" t="s">
        <v>863</v>
      </c>
      <c r="H31" s="39"/>
      <c r="I31" s="39" t="s">
        <v>859</v>
      </c>
    </row>
    <row r="32" ht="15.75" customHeight="1">
      <c r="A32" s="81">
        <v>43415.0</v>
      </c>
      <c r="B32" s="39" t="s">
        <v>888</v>
      </c>
      <c r="C32" s="39" t="s">
        <v>889</v>
      </c>
      <c r="D32" s="39" t="s">
        <v>890</v>
      </c>
      <c r="F32" s="39"/>
      <c r="G32" s="39" t="s">
        <v>891</v>
      </c>
      <c r="H32" s="39"/>
      <c r="I32" s="76" t="s">
        <v>50</v>
      </c>
    </row>
    <row r="33" ht="15.75" customHeight="1">
      <c r="A33" s="81">
        <v>43415.0</v>
      </c>
      <c r="B33" s="39" t="s">
        <v>892</v>
      </c>
      <c r="C33" s="39" t="s">
        <v>893</v>
      </c>
      <c r="D33" s="75" t="s">
        <v>894</v>
      </c>
      <c r="F33" s="39"/>
      <c r="G33" s="39" t="s">
        <v>895</v>
      </c>
      <c r="H33" s="39"/>
      <c r="I33" s="39"/>
    </row>
    <row r="34" ht="15.75" customHeight="1">
      <c r="A34" s="81">
        <v>43415.0</v>
      </c>
      <c r="B34" s="39" t="s">
        <v>896</v>
      </c>
      <c r="C34" s="39" t="s">
        <v>897</v>
      </c>
      <c r="D34" s="39">
        <v>9.66551230066E11</v>
      </c>
      <c r="F34" s="39"/>
      <c r="G34" s="39" t="s">
        <v>881</v>
      </c>
      <c r="H34" s="39"/>
      <c r="I34" s="39" t="s">
        <v>20</v>
      </c>
    </row>
    <row r="35" ht="15.75" customHeight="1">
      <c r="A35" s="81">
        <v>43415.0</v>
      </c>
      <c r="B35" s="39" t="s">
        <v>898</v>
      </c>
      <c r="C35" s="39" t="s">
        <v>899</v>
      </c>
      <c r="D35" s="75" t="s">
        <v>900</v>
      </c>
      <c r="F35" s="39"/>
      <c r="G35" s="39" t="s">
        <v>863</v>
      </c>
      <c r="H35" s="39"/>
      <c r="I35" s="39" t="s">
        <v>859</v>
      </c>
    </row>
    <row r="36" ht="15.75" customHeight="1">
      <c r="A36" s="81">
        <v>43415.0</v>
      </c>
      <c r="B36" s="39" t="s">
        <v>901</v>
      </c>
      <c r="C36" s="39" t="s">
        <v>902</v>
      </c>
      <c r="D36" s="39">
        <v>8.742894E7</v>
      </c>
      <c r="F36" s="39"/>
      <c r="G36" s="39" t="s">
        <v>863</v>
      </c>
      <c r="H36" s="39"/>
      <c r="I36" s="39" t="s">
        <v>859</v>
      </c>
    </row>
    <row r="37" ht="15.75" customHeight="1">
      <c r="A37" s="81">
        <v>43415.0</v>
      </c>
      <c r="B37" s="39" t="s">
        <v>903</v>
      </c>
      <c r="C37" s="39" t="s">
        <v>904</v>
      </c>
      <c r="D37" s="75" t="s">
        <v>905</v>
      </c>
      <c r="F37" s="39"/>
      <c r="G37" s="39" t="s">
        <v>863</v>
      </c>
      <c r="H37" s="39"/>
      <c r="I37" s="39" t="s">
        <v>859</v>
      </c>
    </row>
    <row r="38" ht="15.75" customHeight="1">
      <c r="A38" s="81">
        <v>43415.0</v>
      </c>
      <c r="B38" s="39" t="s">
        <v>906</v>
      </c>
      <c r="C38" s="39" t="s">
        <v>907</v>
      </c>
      <c r="D38" s="39">
        <v>8.5418439E7</v>
      </c>
      <c r="F38" s="39"/>
      <c r="G38" s="39" t="s">
        <v>863</v>
      </c>
      <c r="H38" s="39"/>
      <c r="I38" s="39" t="s">
        <v>859</v>
      </c>
    </row>
    <row r="39" ht="15.75" customHeight="1">
      <c r="A39" s="81">
        <v>43415.0</v>
      </c>
      <c r="B39" s="39" t="s">
        <v>908</v>
      </c>
      <c r="C39" s="39" t="s">
        <v>909</v>
      </c>
      <c r="D39" s="39">
        <v>5.06523293E8</v>
      </c>
      <c r="F39" s="39"/>
      <c r="G39" s="39" t="s">
        <v>802</v>
      </c>
      <c r="H39" s="39"/>
      <c r="I39" s="76" t="s">
        <v>50</v>
      </c>
    </row>
    <row r="40" ht="15.75" customHeight="1">
      <c r="A40" s="81">
        <v>43416.0</v>
      </c>
      <c r="B40" s="39" t="s">
        <v>910</v>
      </c>
      <c r="C40" s="39" t="s">
        <v>911</v>
      </c>
      <c r="D40" s="39">
        <v>9.1799832E7</v>
      </c>
      <c r="F40" s="39"/>
      <c r="G40" s="39" t="s">
        <v>863</v>
      </c>
      <c r="H40" s="39"/>
      <c r="I40" s="39" t="s">
        <v>859</v>
      </c>
    </row>
    <row r="41" ht="15.75" customHeight="1">
      <c r="A41" s="81">
        <v>43416.0</v>
      </c>
      <c r="B41" s="39" t="s">
        <v>912</v>
      </c>
      <c r="C41" s="39" t="s">
        <v>913</v>
      </c>
      <c r="D41" s="75" t="s">
        <v>914</v>
      </c>
      <c r="F41" s="39"/>
      <c r="G41" s="39" t="s">
        <v>848</v>
      </c>
      <c r="H41" s="39"/>
      <c r="I41" s="76" t="s">
        <v>86</v>
      </c>
    </row>
    <row r="42" ht="15.75" customHeight="1">
      <c r="A42" s="82">
        <v>43416.0</v>
      </c>
      <c r="B42" s="58" t="s">
        <v>915</v>
      </c>
      <c r="C42" s="58" t="s">
        <v>916</v>
      </c>
      <c r="D42" s="80" t="s">
        <v>917</v>
      </c>
      <c r="F42" s="58"/>
      <c r="G42" s="58" t="s">
        <v>863</v>
      </c>
      <c r="H42" s="58"/>
      <c r="I42" s="39" t="s">
        <v>859</v>
      </c>
    </row>
    <row r="43" ht="15.75" customHeight="1">
      <c r="A43" s="81">
        <v>43416.0</v>
      </c>
      <c r="B43" s="39" t="s">
        <v>918</v>
      </c>
      <c r="C43" s="39" t="s">
        <v>919</v>
      </c>
      <c r="D43" s="75" t="s">
        <v>920</v>
      </c>
      <c r="F43" s="39"/>
      <c r="G43" s="39" t="s">
        <v>863</v>
      </c>
      <c r="H43" s="39"/>
      <c r="I43" s="39" t="s">
        <v>859</v>
      </c>
    </row>
    <row r="44" ht="15.75" customHeight="1">
      <c r="A44" s="81">
        <v>43416.0</v>
      </c>
      <c r="B44" s="39" t="s">
        <v>921</v>
      </c>
      <c r="C44" s="39" t="s">
        <v>922</v>
      </c>
      <c r="D44" s="75" t="s">
        <v>923</v>
      </c>
      <c r="F44" s="39"/>
      <c r="G44" s="39" t="s">
        <v>863</v>
      </c>
      <c r="H44" s="39"/>
      <c r="I44" s="39" t="s">
        <v>859</v>
      </c>
    </row>
    <row r="45" ht="15.75" customHeight="1">
      <c r="A45" s="81">
        <v>43416.0</v>
      </c>
      <c r="B45" s="39" t="s">
        <v>924</v>
      </c>
      <c r="C45" s="39" t="s">
        <v>925</v>
      </c>
      <c r="D45" s="75" t="s">
        <v>926</v>
      </c>
      <c r="F45" s="39"/>
      <c r="G45" s="39" t="s">
        <v>863</v>
      </c>
      <c r="H45" s="39"/>
      <c r="I45" s="39" t="s">
        <v>859</v>
      </c>
    </row>
    <row r="46" ht="15.75" customHeight="1">
      <c r="A46" s="81">
        <v>43416.0</v>
      </c>
      <c r="B46" s="39" t="s">
        <v>927</v>
      </c>
      <c r="C46" s="39" t="s">
        <v>928</v>
      </c>
      <c r="D46" s="75" t="s">
        <v>929</v>
      </c>
      <c r="F46" s="39"/>
      <c r="G46" s="39" t="s">
        <v>863</v>
      </c>
      <c r="H46" s="39"/>
      <c r="I46" s="39" t="s">
        <v>859</v>
      </c>
    </row>
    <row r="47" ht="15.75" customHeight="1">
      <c r="A47" s="82">
        <v>43417.0</v>
      </c>
      <c r="B47" s="58" t="s">
        <v>930</v>
      </c>
      <c r="C47" s="58" t="s">
        <v>931</v>
      </c>
      <c r="D47" s="80" t="s">
        <v>932</v>
      </c>
      <c r="F47" s="58"/>
      <c r="G47" s="58" t="s">
        <v>863</v>
      </c>
      <c r="H47" s="58"/>
      <c r="I47" s="39" t="s">
        <v>859</v>
      </c>
    </row>
    <row r="48" ht="15.75" customHeight="1">
      <c r="A48" s="82">
        <v>43417.0</v>
      </c>
      <c r="B48" s="58" t="s">
        <v>933</v>
      </c>
      <c r="C48" s="58" t="s">
        <v>934</v>
      </c>
      <c r="D48" s="80" t="s">
        <v>935</v>
      </c>
      <c r="F48" s="58"/>
      <c r="G48" s="58" t="s">
        <v>863</v>
      </c>
      <c r="H48" s="58"/>
      <c r="I48" s="39" t="s">
        <v>859</v>
      </c>
    </row>
    <row r="49" ht="15.75" customHeight="1">
      <c r="A49" s="81">
        <v>43417.0</v>
      </c>
      <c r="B49" s="39" t="s">
        <v>936</v>
      </c>
      <c r="C49" s="39" t="s">
        <v>567</v>
      </c>
      <c r="D49" s="39"/>
      <c r="F49" s="39" t="s">
        <v>937</v>
      </c>
      <c r="G49" s="39" t="s">
        <v>938</v>
      </c>
      <c r="H49" s="39"/>
      <c r="I49" s="76" t="s">
        <v>86</v>
      </c>
    </row>
    <row r="50" ht="15.75" customHeight="1">
      <c r="A50" s="81">
        <v>43417.0</v>
      </c>
      <c r="B50" s="39" t="s">
        <v>939</v>
      </c>
      <c r="C50" s="39" t="s">
        <v>940</v>
      </c>
      <c r="D50" s="39"/>
      <c r="F50" s="39"/>
      <c r="G50" s="39" t="s">
        <v>941</v>
      </c>
      <c r="H50" s="39"/>
      <c r="I50" s="39" t="s">
        <v>97</v>
      </c>
    </row>
    <row r="51" ht="15.75" customHeight="1">
      <c r="A51" s="81">
        <v>43417.0</v>
      </c>
      <c r="B51" s="39" t="s">
        <v>942</v>
      </c>
      <c r="C51" s="39" t="s">
        <v>943</v>
      </c>
      <c r="D51" s="75" t="s">
        <v>944</v>
      </c>
      <c r="F51" s="39"/>
      <c r="G51" s="39" t="s">
        <v>945</v>
      </c>
      <c r="H51" s="39"/>
      <c r="I51" s="39"/>
    </row>
    <row r="52" ht="15.75" customHeight="1">
      <c r="A52" s="81">
        <v>43417.0</v>
      </c>
      <c r="B52" s="39" t="s">
        <v>946</v>
      </c>
      <c r="C52" s="39" t="s">
        <v>947</v>
      </c>
      <c r="D52" s="75" t="s">
        <v>948</v>
      </c>
      <c r="F52" s="39"/>
      <c r="G52" s="39" t="s">
        <v>949</v>
      </c>
      <c r="H52" s="39"/>
      <c r="I52" s="76" t="s">
        <v>50</v>
      </c>
    </row>
    <row r="53" ht="15.75" customHeight="1">
      <c r="A53" s="81">
        <v>43417.0</v>
      </c>
      <c r="B53" s="39" t="s">
        <v>950</v>
      </c>
      <c r="C53" s="39" t="s">
        <v>137</v>
      </c>
      <c r="D53" s="75" t="s">
        <v>138</v>
      </c>
      <c r="F53" s="39"/>
      <c r="G53" s="39" t="s">
        <v>863</v>
      </c>
      <c r="H53" s="39"/>
      <c r="I53" s="39" t="s">
        <v>859</v>
      </c>
    </row>
    <row r="54" ht="15.75" customHeight="1">
      <c r="A54" s="81">
        <v>43417.0</v>
      </c>
      <c r="B54" s="39" t="s">
        <v>951</v>
      </c>
      <c r="C54" s="39" t="s">
        <v>952</v>
      </c>
      <c r="D54" s="75" t="s">
        <v>953</v>
      </c>
      <c r="F54" s="39"/>
      <c r="G54" s="39" t="s">
        <v>863</v>
      </c>
      <c r="H54" s="39"/>
      <c r="I54" s="39" t="s">
        <v>859</v>
      </c>
    </row>
    <row r="55" ht="15.75" customHeight="1">
      <c r="A55" s="81">
        <v>43417.0</v>
      </c>
      <c r="B55" s="39" t="s">
        <v>954</v>
      </c>
      <c r="C55" s="39" t="s">
        <v>955</v>
      </c>
      <c r="D55" s="75" t="s">
        <v>956</v>
      </c>
      <c r="F55" s="39"/>
      <c r="G55" s="39" t="s">
        <v>863</v>
      </c>
      <c r="H55" s="39"/>
      <c r="I55" s="39" t="s">
        <v>859</v>
      </c>
    </row>
    <row r="56" ht="15.75" customHeight="1">
      <c r="A56" s="81">
        <v>43417.0</v>
      </c>
      <c r="B56" s="39" t="s">
        <v>957</v>
      </c>
      <c r="C56" s="39" t="s">
        <v>958</v>
      </c>
      <c r="D56" s="75" t="s">
        <v>959</v>
      </c>
      <c r="F56" s="39"/>
      <c r="G56" s="39" t="s">
        <v>863</v>
      </c>
      <c r="H56" s="39"/>
      <c r="I56" s="39" t="s">
        <v>859</v>
      </c>
    </row>
    <row r="57" ht="15.75" customHeight="1">
      <c r="A57" s="81">
        <v>43417.0</v>
      </c>
      <c r="B57" s="39" t="s">
        <v>170</v>
      </c>
      <c r="C57" s="39" t="s">
        <v>170</v>
      </c>
      <c r="D57" s="39"/>
      <c r="F57" s="39"/>
      <c r="G57" s="39" t="s">
        <v>960</v>
      </c>
      <c r="H57" s="39"/>
      <c r="I57" s="39" t="s">
        <v>20</v>
      </c>
    </row>
    <row r="58" ht="15.75" customHeight="1">
      <c r="A58" s="81">
        <v>43417.0</v>
      </c>
      <c r="B58" s="39" t="s">
        <v>961</v>
      </c>
      <c r="C58" s="75" t="s">
        <v>962</v>
      </c>
      <c r="D58" s="75" t="s">
        <v>963</v>
      </c>
      <c r="F58" s="39"/>
      <c r="G58" s="39" t="s">
        <v>863</v>
      </c>
      <c r="H58" s="39"/>
      <c r="I58" s="39" t="s">
        <v>859</v>
      </c>
    </row>
    <row r="59" ht="15.75" customHeight="1">
      <c r="A59" s="81">
        <v>43417.0</v>
      </c>
      <c r="B59" s="39" t="s">
        <v>107</v>
      </c>
      <c r="C59" s="39" t="s">
        <v>964</v>
      </c>
      <c r="D59" s="75" t="s">
        <v>109</v>
      </c>
      <c r="F59" s="39"/>
      <c r="G59" s="39" t="s">
        <v>895</v>
      </c>
      <c r="H59" s="39"/>
      <c r="I59" s="39"/>
    </row>
    <row r="60" ht="15.75" customHeight="1">
      <c r="A60" s="81">
        <v>43418.0</v>
      </c>
      <c r="B60" s="39" t="s">
        <v>965</v>
      </c>
      <c r="C60" s="39" t="s">
        <v>966</v>
      </c>
      <c r="D60" s="75" t="s">
        <v>967</v>
      </c>
      <c r="F60" s="39"/>
      <c r="G60" s="39" t="s">
        <v>863</v>
      </c>
      <c r="H60" s="39"/>
      <c r="I60" s="39" t="s">
        <v>859</v>
      </c>
    </row>
    <row r="61" ht="15.75" customHeight="1">
      <c r="A61" s="81">
        <v>43418.0</v>
      </c>
      <c r="B61" s="39" t="s">
        <v>965</v>
      </c>
      <c r="C61" s="39" t="s">
        <v>968</v>
      </c>
      <c r="D61" s="75" t="s">
        <v>967</v>
      </c>
      <c r="F61" s="39"/>
      <c r="G61" s="39" t="s">
        <v>863</v>
      </c>
      <c r="H61" s="39"/>
      <c r="I61" s="39" t="s">
        <v>859</v>
      </c>
    </row>
    <row r="62" ht="15.75" customHeight="1">
      <c r="A62" s="81">
        <v>43419.0</v>
      </c>
      <c r="B62" s="74" t="s">
        <v>969</v>
      </c>
      <c r="C62" s="39" t="s">
        <v>970</v>
      </c>
      <c r="D62" s="75" t="s">
        <v>971</v>
      </c>
      <c r="F62" s="39"/>
      <c r="G62" s="39" t="s">
        <v>863</v>
      </c>
      <c r="H62" s="39"/>
      <c r="I62" s="39" t="s">
        <v>859</v>
      </c>
    </row>
    <row r="63" ht="15.75" customHeight="1">
      <c r="A63" s="81">
        <v>43419.0</v>
      </c>
      <c r="B63" s="74" t="s">
        <v>972</v>
      </c>
      <c r="C63" s="74" t="s">
        <v>973</v>
      </c>
      <c r="D63" s="75" t="s">
        <v>974</v>
      </c>
      <c r="F63" s="39"/>
      <c r="G63" s="39" t="s">
        <v>863</v>
      </c>
      <c r="H63" s="39"/>
      <c r="I63" s="39" t="s">
        <v>859</v>
      </c>
    </row>
    <row r="64" ht="15.75" customHeight="1">
      <c r="A64" s="81">
        <v>43419.0</v>
      </c>
      <c r="B64" s="39" t="s">
        <v>975</v>
      </c>
      <c r="C64" s="39" t="s">
        <v>976</v>
      </c>
      <c r="D64" s="75" t="s">
        <v>977</v>
      </c>
      <c r="F64" s="39"/>
      <c r="G64" s="39" t="s">
        <v>863</v>
      </c>
      <c r="H64" s="39"/>
      <c r="I64" s="39" t="s">
        <v>859</v>
      </c>
    </row>
    <row r="65" ht="15.75" customHeight="1">
      <c r="A65" s="81">
        <v>43419.0</v>
      </c>
      <c r="B65" s="39" t="s">
        <v>978</v>
      </c>
      <c r="C65" s="39" t="s">
        <v>979</v>
      </c>
      <c r="D65" s="75" t="s">
        <v>980</v>
      </c>
      <c r="F65" s="39"/>
      <c r="G65" s="39" t="s">
        <v>945</v>
      </c>
      <c r="H65" s="39"/>
      <c r="I65" s="39" t="s">
        <v>97</v>
      </c>
    </row>
    <row r="66" ht="15.75" customHeight="1">
      <c r="A66" s="81">
        <v>43419.0</v>
      </c>
      <c r="B66" s="83" t="s">
        <v>981</v>
      </c>
      <c r="C66" s="12" t="s">
        <v>982</v>
      </c>
      <c r="D66" s="12">
        <v>9.71555011025E11</v>
      </c>
      <c r="F66" s="39"/>
      <c r="G66" s="12" t="s">
        <v>983</v>
      </c>
      <c r="H66" s="39"/>
      <c r="I66" s="39" t="s">
        <v>97</v>
      </c>
    </row>
    <row r="67" ht="15.75" customHeight="1">
      <c r="A67" s="81">
        <v>43419.0</v>
      </c>
      <c r="B67" s="12" t="s">
        <v>984</v>
      </c>
      <c r="C67" s="39" t="s">
        <v>985</v>
      </c>
      <c r="D67" s="75" t="s">
        <v>986</v>
      </c>
      <c r="F67" s="39"/>
      <c r="G67" s="12" t="s">
        <v>863</v>
      </c>
      <c r="H67" s="39"/>
      <c r="I67" s="39" t="s">
        <v>859</v>
      </c>
    </row>
    <row r="68" ht="15.75" customHeight="1">
      <c r="A68" s="81">
        <v>43419.0</v>
      </c>
      <c r="B68" s="84" t="s">
        <v>987</v>
      </c>
      <c r="C68" s="39" t="s">
        <v>988</v>
      </c>
      <c r="D68" s="39" t="s">
        <v>989</v>
      </c>
      <c r="F68" s="39"/>
      <c r="G68" s="39" t="s">
        <v>895</v>
      </c>
      <c r="H68" s="39"/>
      <c r="I68" s="39"/>
    </row>
    <row r="69" ht="15.75" customHeight="1">
      <c r="A69" s="82">
        <v>43419.0</v>
      </c>
      <c r="B69" s="58" t="s">
        <v>990</v>
      </c>
      <c r="C69" s="58" t="s">
        <v>991</v>
      </c>
      <c r="D69" s="80" t="s">
        <v>992</v>
      </c>
      <c r="F69" s="58"/>
      <c r="G69" s="58" t="s">
        <v>863</v>
      </c>
      <c r="H69" s="58"/>
      <c r="I69" s="39" t="s">
        <v>859</v>
      </c>
      <c r="J69" s="57" t="s">
        <v>993</v>
      </c>
    </row>
    <row r="70" ht="15.75" customHeight="1">
      <c r="A70" s="81">
        <v>43419.0</v>
      </c>
      <c r="B70" s="39" t="s">
        <v>994</v>
      </c>
      <c r="C70" s="39" t="s">
        <v>995</v>
      </c>
      <c r="D70" s="39">
        <v>9.71566374533E11</v>
      </c>
      <c r="F70" s="39"/>
      <c r="G70" s="39" t="s">
        <v>949</v>
      </c>
      <c r="H70" s="39"/>
      <c r="I70" s="39"/>
    </row>
    <row r="71" ht="15.75" customHeight="1">
      <c r="A71" s="81">
        <v>43419.0</v>
      </c>
      <c r="B71" s="39" t="s">
        <v>996</v>
      </c>
      <c r="C71" s="39" t="s">
        <v>997</v>
      </c>
      <c r="D71" s="75" t="s">
        <v>998</v>
      </c>
      <c r="F71" s="39"/>
      <c r="G71" s="39" t="s">
        <v>999</v>
      </c>
      <c r="H71" s="39"/>
      <c r="I71" s="39" t="s">
        <v>859</v>
      </c>
      <c r="J71" s="6" t="s">
        <v>993</v>
      </c>
    </row>
    <row r="72" ht="15.75" customHeight="1">
      <c r="A72" s="82">
        <v>43419.0</v>
      </c>
      <c r="B72" s="58" t="s">
        <v>1000</v>
      </c>
      <c r="C72" s="58" t="s">
        <v>1001</v>
      </c>
      <c r="D72" s="80" t="s">
        <v>1002</v>
      </c>
      <c r="F72" s="58"/>
      <c r="G72" s="58" t="s">
        <v>999</v>
      </c>
      <c r="H72" s="58"/>
      <c r="I72" s="39" t="s">
        <v>859</v>
      </c>
      <c r="J72" s="57" t="s">
        <v>993</v>
      </c>
    </row>
    <row r="73" ht="15.75" customHeight="1">
      <c r="A73" s="81">
        <v>43419.0</v>
      </c>
      <c r="B73" s="39" t="s">
        <v>1003</v>
      </c>
      <c r="C73" s="39" t="s">
        <v>1004</v>
      </c>
      <c r="D73" s="75" t="s">
        <v>1005</v>
      </c>
      <c r="F73" s="39"/>
      <c r="G73" s="39" t="s">
        <v>999</v>
      </c>
      <c r="H73" s="39"/>
      <c r="I73" s="39" t="s">
        <v>859</v>
      </c>
      <c r="J73" s="6" t="s">
        <v>993</v>
      </c>
    </row>
    <row r="74" ht="15.75" customHeight="1">
      <c r="A74" s="81">
        <v>43419.0</v>
      </c>
      <c r="B74" s="39" t="s">
        <v>1006</v>
      </c>
      <c r="C74" s="39" t="s">
        <v>1007</v>
      </c>
      <c r="D74" s="75" t="s">
        <v>1008</v>
      </c>
      <c r="F74" s="39"/>
      <c r="G74" s="39" t="s">
        <v>999</v>
      </c>
      <c r="H74" s="39"/>
      <c r="I74" s="39" t="s">
        <v>859</v>
      </c>
      <c r="J74" s="6" t="s">
        <v>993</v>
      </c>
    </row>
    <row r="75" ht="15.75" customHeight="1">
      <c r="A75" s="81">
        <v>43419.0</v>
      </c>
      <c r="B75" s="39" t="s">
        <v>1009</v>
      </c>
      <c r="C75" s="39" t="s">
        <v>1010</v>
      </c>
      <c r="D75" s="75" t="s">
        <v>1011</v>
      </c>
      <c r="F75" s="39"/>
      <c r="G75" s="39" t="s">
        <v>999</v>
      </c>
      <c r="H75" s="39"/>
      <c r="I75" s="39" t="s">
        <v>859</v>
      </c>
      <c r="J75" s="6" t="s">
        <v>993</v>
      </c>
    </row>
    <row r="76" ht="15.75" customHeight="1">
      <c r="A76" s="81">
        <v>43419.0</v>
      </c>
      <c r="B76" s="39" t="s">
        <v>1012</v>
      </c>
      <c r="C76" s="39" t="s">
        <v>1013</v>
      </c>
      <c r="D76" s="75" t="s">
        <v>1014</v>
      </c>
      <c r="F76" s="39"/>
      <c r="G76" s="39" t="s">
        <v>863</v>
      </c>
      <c r="H76" s="39"/>
      <c r="I76" s="39" t="s">
        <v>859</v>
      </c>
      <c r="J76" s="6" t="s">
        <v>993</v>
      </c>
    </row>
    <row r="77" ht="15.75" customHeight="1">
      <c r="A77" s="81">
        <v>43419.0</v>
      </c>
      <c r="B77" s="39" t="s">
        <v>1015</v>
      </c>
      <c r="C77" s="39" t="s">
        <v>1016</v>
      </c>
      <c r="D77" s="75" t="s">
        <v>1017</v>
      </c>
      <c r="F77" s="39"/>
      <c r="G77" s="39" t="s">
        <v>863</v>
      </c>
      <c r="H77" s="39"/>
      <c r="I77" s="39" t="s">
        <v>859</v>
      </c>
      <c r="J77" s="6" t="s">
        <v>993</v>
      </c>
    </row>
    <row r="78" ht="15.75" customHeight="1">
      <c r="A78" s="81">
        <v>43419.0</v>
      </c>
      <c r="B78" s="39" t="s">
        <v>1018</v>
      </c>
      <c r="C78" s="39" t="s">
        <v>1019</v>
      </c>
      <c r="D78" s="75" t="s">
        <v>1020</v>
      </c>
      <c r="F78" s="39"/>
      <c r="G78" s="39" t="s">
        <v>863</v>
      </c>
      <c r="H78" s="39"/>
      <c r="I78" s="39" t="s">
        <v>859</v>
      </c>
      <c r="J78" s="6" t="s">
        <v>993</v>
      </c>
    </row>
    <row r="79" ht="15.75" customHeight="1">
      <c r="A79" s="82">
        <v>43420.0</v>
      </c>
      <c r="B79" s="58" t="s">
        <v>1021</v>
      </c>
      <c r="C79" s="58" t="s">
        <v>1022</v>
      </c>
      <c r="D79" s="80" t="s">
        <v>1023</v>
      </c>
      <c r="F79" s="58"/>
      <c r="G79" s="58" t="s">
        <v>999</v>
      </c>
      <c r="H79" s="58"/>
      <c r="I79" s="39" t="s">
        <v>859</v>
      </c>
      <c r="J79" s="57" t="s">
        <v>993</v>
      </c>
    </row>
    <row r="80" ht="15.75" customHeight="1">
      <c r="A80" s="81">
        <v>43420.0</v>
      </c>
      <c r="B80" s="39" t="s">
        <v>1024</v>
      </c>
      <c r="C80" s="39" t="s">
        <v>1025</v>
      </c>
      <c r="D80" s="75" t="s">
        <v>1026</v>
      </c>
      <c r="F80" s="39"/>
      <c r="G80" s="39" t="s">
        <v>999</v>
      </c>
      <c r="H80" s="39"/>
      <c r="I80" s="39" t="s">
        <v>859</v>
      </c>
      <c r="J80" s="6" t="s">
        <v>993</v>
      </c>
    </row>
    <row r="81" ht="15.75" customHeight="1">
      <c r="A81" s="81">
        <v>43420.0</v>
      </c>
      <c r="B81" s="39" t="s">
        <v>1027</v>
      </c>
      <c r="C81" s="39" t="s">
        <v>1028</v>
      </c>
      <c r="D81" s="75" t="s">
        <v>1029</v>
      </c>
      <c r="F81" s="39"/>
      <c r="G81" s="39" t="s">
        <v>863</v>
      </c>
      <c r="H81" s="39"/>
      <c r="I81" s="39" t="s">
        <v>859</v>
      </c>
      <c r="J81" s="6" t="s">
        <v>993</v>
      </c>
    </row>
    <row r="82" ht="15.75" customHeight="1">
      <c r="A82" s="81">
        <v>43420.0</v>
      </c>
      <c r="B82" s="39" t="s">
        <v>1030</v>
      </c>
      <c r="C82" s="39" t="s">
        <v>1031</v>
      </c>
      <c r="D82" s="75" t="s">
        <v>1032</v>
      </c>
      <c r="F82" s="39"/>
      <c r="G82" s="39" t="s">
        <v>999</v>
      </c>
      <c r="H82" s="39"/>
      <c r="I82" s="39" t="s">
        <v>859</v>
      </c>
      <c r="J82" s="6" t="s">
        <v>993</v>
      </c>
    </row>
    <row r="83" ht="15.75" customHeight="1">
      <c r="A83" s="81">
        <v>43421.0</v>
      </c>
      <c r="B83" s="39" t="s">
        <v>1033</v>
      </c>
      <c r="C83" s="39" t="s">
        <v>1034</v>
      </c>
      <c r="D83" s="75" t="s">
        <v>1035</v>
      </c>
      <c r="F83" s="39"/>
      <c r="G83" s="39" t="s">
        <v>863</v>
      </c>
      <c r="H83" s="39"/>
      <c r="I83" s="39" t="s">
        <v>859</v>
      </c>
      <c r="J83" s="6" t="s">
        <v>993</v>
      </c>
    </row>
    <row r="84" ht="15.75" customHeight="1">
      <c r="A84" s="81">
        <v>43421.0</v>
      </c>
      <c r="B84" s="39" t="s">
        <v>1036</v>
      </c>
      <c r="C84" s="39" t="s">
        <v>1037</v>
      </c>
      <c r="D84" s="75" t="s">
        <v>1038</v>
      </c>
      <c r="F84" s="39"/>
      <c r="G84" s="39" t="s">
        <v>999</v>
      </c>
      <c r="H84" s="39"/>
      <c r="I84" s="39" t="s">
        <v>859</v>
      </c>
      <c r="J84" s="6" t="s">
        <v>993</v>
      </c>
    </row>
    <row r="85" ht="15.75" customHeight="1">
      <c r="A85" s="81">
        <v>43421.0</v>
      </c>
      <c r="B85" s="39" t="s">
        <v>1039</v>
      </c>
      <c r="C85" s="39" t="s">
        <v>1040</v>
      </c>
      <c r="D85" s="75" t="s">
        <v>1041</v>
      </c>
      <c r="F85" s="39"/>
      <c r="G85" s="39" t="s">
        <v>999</v>
      </c>
      <c r="H85" s="39"/>
      <c r="I85" s="39" t="s">
        <v>859</v>
      </c>
      <c r="J85" s="6" t="s">
        <v>993</v>
      </c>
    </row>
    <row r="86" ht="15.75" customHeight="1">
      <c r="A86" s="81">
        <v>43421.0</v>
      </c>
      <c r="B86" s="39" t="s">
        <v>1042</v>
      </c>
      <c r="C86" s="39" t="s">
        <v>1043</v>
      </c>
      <c r="D86" s="75" t="s">
        <v>1044</v>
      </c>
      <c r="F86" s="39"/>
      <c r="G86" s="39" t="s">
        <v>999</v>
      </c>
      <c r="H86" s="39"/>
      <c r="I86" s="39" t="s">
        <v>859</v>
      </c>
      <c r="J86" s="6" t="s">
        <v>993</v>
      </c>
    </row>
    <row r="87" ht="15.75" customHeight="1">
      <c r="A87" s="81">
        <v>43421.0</v>
      </c>
      <c r="B87" s="39" t="s">
        <v>1045</v>
      </c>
      <c r="C87" s="39" t="s">
        <v>1046</v>
      </c>
      <c r="D87" s="75" t="s">
        <v>1047</v>
      </c>
      <c r="F87" s="39"/>
      <c r="G87" s="39" t="s">
        <v>1048</v>
      </c>
      <c r="H87" s="39"/>
      <c r="I87" s="39" t="s">
        <v>859</v>
      </c>
      <c r="J87" s="6" t="s">
        <v>993</v>
      </c>
    </row>
    <row r="88" ht="15.75" customHeight="1">
      <c r="A88" s="81">
        <v>43421.0</v>
      </c>
      <c r="B88" s="39" t="s">
        <v>1049</v>
      </c>
      <c r="C88" s="39" t="s">
        <v>1050</v>
      </c>
      <c r="D88" s="39" t="s">
        <v>1051</v>
      </c>
      <c r="F88" s="39"/>
      <c r="G88" s="39" t="s">
        <v>949</v>
      </c>
      <c r="H88" s="39"/>
      <c r="I88" s="85" t="s">
        <v>1052</v>
      </c>
    </row>
    <row r="89" ht="15.75" customHeight="1">
      <c r="A89" s="86">
        <v>43421.0</v>
      </c>
      <c r="B89" s="87" t="s">
        <v>1053</v>
      </c>
      <c r="C89" s="87" t="s">
        <v>1054</v>
      </c>
      <c r="D89" s="88" t="s">
        <v>1055</v>
      </c>
      <c r="F89" s="89"/>
      <c r="G89" s="87" t="s">
        <v>1056</v>
      </c>
      <c r="H89" s="89"/>
      <c r="I89" s="39" t="s">
        <v>859</v>
      </c>
      <c r="J89" s="6" t="s">
        <v>993</v>
      </c>
    </row>
    <row r="90" ht="15.75" customHeight="1">
      <c r="A90" s="81">
        <v>43421.0</v>
      </c>
      <c r="B90" s="12" t="s">
        <v>1057</v>
      </c>
      <c r="C90" s="12" t="s">
        <v>1058</v>
      </c>
      <c r="D90" s="13" t="s">
        <v>1059</v>
      </c>
      <c r="F90" s="39"/>
      <c r="G90" s="78" t="s">
        <v>1060</v>
      </c>
      <c r="H90" s="39"/>
      <c r="I90" s="39" t="s">
        <v>1061</v>
      </c>
    </row>
    <row r="91" ht="15.75" customHeight="1">
      <c r="A91" s="81">
        <v>43421.0</v>
      </c>
      <c r="B91" s="12" t="s">
        <v>1062</v>
      </c>
      <c r="C91" s="12" t="s">
        <v>1063</v>
      </c>
      <c r="D91" s="13" t="s">
        <v>1064</v>
      </c>
      <c r="F91" s="39"/>
      <c r="G91" s="78" t="s">
        <v>1060</v>
      </c>
      <c r="H91" s="39"/>
      <c r="I91" s="39" t="s">
        <v>1065</v>
      </c>
    </row>
    <row r="92" ht="15.75" customHeight="1">
      <c r="A92" s="81">
        <v>43422.0</v>
      </c>
      <c r="B92" s="12" t="s">
        <v>1066</v>
      </c>
      <c r="C92" s="12" t="s">
        <v>1067</v>
      </c>
      <c r="D92" s="75" t="s">
        <v>1068</v>
      </c>
      <c r="F92" s="39"/>
      <c r="G92" s="12" t="s">
        <v>802</v>
      </c>
      <c r="H92" s="39"/>
      <c r="I92" s="39" t="s">
        <v>102</v>
      </c>
    </row>
    <row r="93" ht="15.75" customHeight="1">
      <c r="A93" s="81">
        <v>43422.0</v>
      </c>
      <c r="B93" s="39" t="s">
        <v>1069</v>
      </c>
      <c r="C93" s="39" t="s">
        <v>1070</v>
      </c>
      <c r="D93" s="75" t="s">
        <v>1071</v>
      </c>
      <c r="F93" s="39"/>
      <c r="G93" s="12" t="s">
        <v>945</v>
      </c>
      <c r="H93" s="39"/>
      <c r="I93" s="39" t="s">
        <v>20</v>
      </c>
    </row>
    <row r="94" ht="15.0" customHeight="1">
      <c r="A94" s="81">
        <v>43422.0</v>
      </c>
      <c r="B94" s="39" t="s">
        <v>1072</v>
      </c>
      <c r="C94" s="39" t="s">
        <v>1073</v>
      </c>
      <c r="D94" s="39">
        <v>5.06549747E8</v>
      </c>
      <c r="F94" s="39"/>
      <c r="G94" s="39" t="s">
        <v>823</v>
      </c>
      <c r="H94" s="39"/>
      <c r="I94" s="39" t="s">
        <v>102</v>
      </c>
    </row>
    <row r="95" ht="15.75" customHeight="1">
      <c r="A95" s="81">
        <v>43423.0</v>
      </c>
      <c r="B95" s="39" t="s">
        <v>1074</v>
      </c>
      <c r="C95" s="39" t="s">
        <v>1075</v>
      </c>
      <c r="D95" s="75" t="s">
        <v>1076</v>
      </c>
      <c r="F95" s="39"/>
      <c r="G95" s="39" t="s">
        <v>1060</v>
      </c>
      <c r="H95" s="39"/>
      <c r="I95" s="39" t="s">
        <v>427</v>
      </c>
    </row>
    <row r="96" ht="15.75" customHeight="1">
      <c r="A96" s="81">
        <v>43423.0</v>
      </c>
      <c r="B96" s="39" t="s">
        <v>1077</v>
      </c>
      <c r="C96" s="39" t="s">
        <v>1078</v>
      </c>
      <c r="D96" s="75" t="s">
        <v>1079</v>
      </c>
      <c r="F96" s="39"/>
      <c r="G96" s="39" t="s">
        <v>156</v>
      </c>
      <c r="H96" s="39"/>
      <c r="I96" s="85" t="s">
        <v>1080</v>
      </c>
    </row>
    <row r="97" ht="15.75" customHeight="1">
      <c r="A97" s="81">
        <v>43423.0</v>
      </c>
      <c r="B97" s="39" t="s">
        <v>1081</v>
      </c>
      <c r="C97" s="39" t="s">
        <v>1082</v>
      </c>
      <c r="D97" s="75" t="s">
        <v>1083</v>
      </c>
      <c r="F97" s="39"/>
      <c r="G97" s="39" t="s">
        <v>1060</v>
      </c>
      <c r="H97" s="39"/>
      <c r="I97" s="39" t="s">
        <v>427</v>
      </c>
    </row>
    <row r="98" ht="15.75" customHeight="1">
      <c r="A98" s="81">
        <v>43424.0</v>
      </c>
      <c r="B98" s="39" t="s">
        <v>1084</v>
      </c>
      <c r="C98" s="39" t="s">
        <v>1085</v>
      </c>
      <c r="D98" s="39">
        <v>5.0732362E8</v>
      </c>
      <c r="F98" s="39"/>
      <c r="G98" s="39" t="s">
        <v>823</v>
      </c>
      <c r="H98" s="39"/>
      <c r="I98" s="39" t="s">
        <v>102</v>
      </c>
    </row>
    <row r="99" ht="15.75" customHeight="1">
      <c r="A99" s="90">
        <v>43425.0</v>
      </c>
      <c r="B99" s="91" t="s">
        <v>1086</v>
      </c>
      <c r="C99" s="91" t="s">
        <v>1087</v>
      </c>
      <c r="D99" s="92" t="s">
        <v>1088</v>
      </c>
      <c r="F99" s="91"/>
      <c r="G99" s="91" t="s">
        <v>1089</v>
      </c>
      <c r="H99" s="91"/>
      <c r="I99" s="91" t="s">
        <v>168</v>
      </c>
      <c r="J99" s="93"/>
      <c r="K99" s="93"/>
      <c r="L99" s="93"/>
      <c r="M99" s="93"/>
      <c r="N99" s="93"/>
      <c r="O99" s="93"/>
      <c r="P99" s="93"/>
      <c r="Q99" s="93"/>
      <c r="R99" s="93"/>
      <c r="S99" s="93"/>
      <c r="T99" s="93"/>
      <c r="U99" s="93"/>
      <c r="V99" s="93"/>
      <c r="W99" s="93"/>
      <c r="X99" s="93"/>
      <c r="Y99" s="93"/>
      <c r="Z99" s="93"/>
      <c r="AA99" s="93"/>
      <c r="AB99" s="93"/>
      <c r="AC99" s="93"/>
      <c r="AD99" s="93"/>
    </row>
    <row r="100" ht="15.75" customHeight="1">
      <c r="A100" s="81">
        <v>43425.0</v>
      </c>
      <c r="B100" s="39" t="s">
        <v>1090</v>
      </c>
      <c r="C100" s="39" t="s">
        <v>1091</v>
      </c>
      <c r="D100" s="39"/>
      <c r="F100" s="39"/>
      <c r="G100" s="39" t="s">
        <v>855</v>
      </c>
      <c r="H100" s="39"/>
      <c r="I100" s="76" t="s">
        <v>86</v>
      </c>
    </row>
    <row r="101" ht="15.75" customHeight="1">
      <c r="A101" s="81">
        <v>43425.0</v>
      </c>
      <c r="B101" s="39" t="s">
        <v>1092</v>
      </c>
      <c r="C101" s="39" t="s">
        <v>1093</v>
      </c>
      <c r="D101" s="39"/>
      <c r="F101" s="39"/>
      <c r="G101" s="39" t="s">
        <v>855</v>
      </c>
      <c r="H101" s="39"/>
      <c r="I101" s="76" t="s">
        <v>86</v>
      </c>
    </row>
    <row r="102" ht="15.75" customHeight="1">
      <c r="A102" s="81">
        <v>43425.0</v>
      </c>
      <c r="B102" s="39" t="s">
        <v>1094</v>
      </c>
      <c r="C102" s="39" t="s">
        <v>1095</v>
      </c>
      <c r="D102" s="39"/>
      <c r="F102" s="39"/>
      <c r="G102" s="39" t="s">
        <v>855</v>
      </c>
      <c r="H102" s="39"/>
      <c r="I102" s="76" t="s">
        <v>86</v>
      </c>
    </row>
    <row r="103" ht="15.75" customHeight="1">
      <c r="A103" s="90">
        <v>43425.0</v>
      </c>
      <c r="B103" s="91" t="s">
        <v>1086</v>
      </c>
      <c r="C103" s="91" t="s">
        <v>1087</v>
      </c>
      <c r="D103" s="92" t="s">
        <v>1096</v>
      </c>
      <c r="F103" s="91"/>
      <c r="G103" s="91" t="s">
        <v>1097</v>
      </c>
      <c r="H103" s="91"/>
      <c r="I103" s="91" t="s">
        <v>168</v>
      </c>
      <c r="J103" s="93"/>
      <c r="K103" s="93"/>
      <c r="L103" s="93"/>
      <c r="M103" s="93"/>
      <c r="N103" s="93"/>
      <c r="O103" s="93"/>
      <c r="P103" s="93"/>
      <c r="Q103" s="93"/>
      <c r="R103" s="93"/>
      <c r="S103" s="93"/>
      <c r="T103" s="93"/>
      <c r="U103" s="93"/>
      <c r="V103" s="93"/>
      <c r="W103" s="93"/>
      <c r="X103" s="93"/>
      <c r="Y103" s="93"/>
      <c r="Z103" s="93"/>
      <c r="AA103" s="93"/>
      <c r="AB103" s="93"/>
      <c r="AC103" s="93"/>
      <c r="AD103" s="93"/>
    </row>
    <row r="104" ht="15.75" customHeight="1">
      <c r="A104" s="81">
        <v>43425.0</v>
      </c>
      <c r="B104" s="39" t="s">
        <v>1098</v>
      </c>
      <c r="C104" s="39" t="s">
        <v>1099</v>
      </c>
      <c r="D104" s="39"/>
      <c r="F104" s="39"/>
      <c r="G104" s="39" t="s">
        <v>855</v>
      </c>
      <c r="H104" s="39"/>
      <c r="I104" s="76" t="s">
        <v>86</v>
      </c>
    </row>
    <row r="105" ht="15.75" customHeight="1">
      <c r="A105" s="81">
        <v>43425.0</v>
      </c>
      <c r="B105" s="39" t="s">
        <v>1100</v>
      </c>
      <c r="C105" s="39" t="s">
        <v>1101</v>
      </c>
      <c r="D105" s="39"/>
      <c r="F105" s="39"/>
      <c r="G105" s="39" t="s">
        <v>855</v>
      </c>
      <c r="H105" s="39"/>
      <c r="I105" s="76" t="s">
        <v>86</v>
      </c>
    </row>
    <row r="106" ht="15.75" customHeight="1">
      <c r="A106" s="81">
        <v>43425.0</v>
      </c>
      <c r="B106" s="39" t="s">
        <v>1102</v>
      </c>
      <c r="C106" s="39" t="s">
        <v>1103</v>
      </c>
      <c r="D106" s="39"/>
      <c r="F106" s="39"/>
      <c r="G106" s="39" t="s">
        <v>855</v>
      </c>
      <c r="H106" s="39"/>
      <c r="I106" s="76" t="s">
        <v>86</v>
      </c>
    </row>
    <row r="107" ht="15.75" customHeight="1">
      <c r="A107" s="81">
        <v>43425.0</v>
      </c>
      <c r="B107" s="39" t="s">
        <v>1104</v>
      </c>
      <c r="C107" s="39" t="s">
        <v>1105</v>
      </c>
      <c r="D107" s="39"/>
      <c r="F107" s="39"/>
      <c r="G107" s="39" t="s">
        <v>855</v>
      </c>
      <c r="H107" s="39"/>
      <c r="I107" s="76" t="s">
        <v>86</v>
      </c>
    </row>
    <row r="108" ht="15.75" customHeight="1">
      <c r="A108" s="81">
        <v>43425.0</v>
      </c>
      <c r="B108" s="39" t="s">
        <v>1106</v>
      </c>
      <c r="C108" s="39" t="s">
        <v>1107</v>
      </c>
      <c r="D108" s="39"/>
      <c r="F108" s="39"/>
      <c r="G108" s="39" t="s">
        <v>855</v>
      </c>
      <c r="H108" s="39"/>
      <c r="I108" s="76" t="s">
        <v>86</v>
      </c>
    </row>
    <row r="109" ht="15.75" customHeight="1">
      <c r="A109" s="81">
        <v>43425.0</v>
      </c>
      <c r="B109" s="94" t="s">
        <v>1108</v>
      </c>
      <c r="C109" s="94" t="s">
        <v>1109</v>
      </c>
      <c r="D109" s="39"/>
      <c r="F109" s="39"/>
      <c r="G109" s="39" t="s">
        <v>855</v>
      </c>
      <c r="H109" s="39"/>
      <c r="I109" s="76" t="s">
        <v>86</v>
      </c>
    </row>
    <row r="110" ht="15.75" customHeight="1">
      <c r="A110" s="81">
        <v>43425.0</v>
      </c>
      <c r="B110" s="39" t="s">
        <v>1110</v>
      </c>
      <c r="C110" s="39" t="s">
        <v>1111</v>
      </c>
      <c r="D110" s="39"/>
      <c r="F110" s="39"/>
      <c r="G110" s="94" t="s">
        <v>1112</v>
      </c>
      <c r="H110" s="39"/>
      <c r="I110" s="39" t="s">
        <v>20</v>
      </c>
    </row>
    <row r="111" ht="15.75" customHeight="1">
      <c r="A111" s="81">
        <v>43426.0</v>
      </c>
      <c r="B111" s="94" t="s">
        <v>1113</v>
      </c>
      <c r="C111" s="94" t="s">
        <v>1114</v>
      </c>
      <c r="D111" s="39"/>
      <c r="F111" s="39"/>
      <c r="G111" s="39" t="s">
        <v>855</v>
      </c>
      <c r="H111" s="39"/>
      <c r="I111" s="76" t="s">
        <v>86</v>
      </c>
    </row>
    <row r="112" ht="15.75" customHeight="1">
      <c r="A112" s="95">
        <v>43426.0</v>
      </c>
      <c r="B112" s="94" t="s">
        <v>1115</v>
      </c>
      <c r="C112" s="94" t="s">
        <v>1116</v>
      </c>
      <c r="D112" s="39"/>
      <c r="F112" s="39"/>
      <c r="G112" s="39" t="s">
        <v>855</v>
      </c>
      <c r="H112" s="39"/>
      <c r="I112" s="76" t="s">
        <v>86</v>
      </c>
    </row>
    <row r="113" ht="15.75" customHeight="1">
      <c r="A113" s="95">
        <v>43426.0</v>
      </c>
      <c r="B113" s="94" t="s">
        <v>1117</v>
      </c>
      <c r="C113" s="94" t="s">
        <v>1118</v>
      </c>
      <c r="D113" s="39"/>
      <c r="F113" s="39"/>
      <c r="G113" s="39" t="s">
        <v>855</v>
      </c>
      <c r="H113" s="39"/>
      <c r="I113" s="76" t="s">
        <v>86</v>
      </c>
    </row>
    <row r="114" ht="15.75" customHeight="1">
      <c r="A114" s="95">
        <v>43426.0</v>
      </c>
      <c r="B114" s="39" t="s">
        <v>1119</v>
      </c>
      <c r="C114" s="94" t="s">
        <v>1116</v>
      </c>
      <c r="D114" s="39"/>
      <c r="F114" s="39"/>
      <c r="G114" s="39" t="s">
        <v>855</v>
      </c>
      <c r="H114" s="39"/>
      <c r="I114" s="76" t="s">
        <v>86</v>
      </c>
    </row>
    <row r="115" ht="15.75" customHeight="1">
      <c r="A115" s="95">
        <v>43426.0</v>
      </c>
      <c r="B115" s="39" t="s">
        <v>1120</v>
      </c>
      <c r="C115" s="94" t="s">
        <v>1121</v>
      </c>
      <c r="D115" s="39"/>
      <c r="F115" s="39"/>
      <c r="G115" s="39" t="s">
        <v>855</v>
      </c>
      <c r="H115" s="39"/>
      <c r="I115" s="76" t="s">
        <v>86</v>
      </c>
    </row>
    <row r="116" ht="15.75" customHeight="1">
      <c r="A116" s="95">
        <v>43426.0</v>
      </c>
      <c r="B116" s="39" t="s">
        <v>1122</v>
      </c>
      <c r="C116" s="39" t="s">
        <v>1123</v>
      </c>
      <c r="D116" s="39"/>
      <c r="F116" s="39"/>
      <c r="G116" s="39" t="s">
        <v>855</v>
      </c>
      <c r="H116" s="39"/>
      <c r="I116" s="76" t="s">
        <v>86</v>
      </c>
    </row>
    <row r="117" ht="15.75" customHeight="1">
      <c r="A117" s="95">
        <v>43426.0</v>
      </c>
      <c r="B117" s="39" t="s">
        <v>1124</v>
      </c>
      <c r="C117" s="39" t="s">
        <v>1125</v>
      </c>
      <c r="D117" s="39"/>
      <c r="F117" s="39"/>
      <c r="G117" s="39" t="s">
        <v>855</v>
      </c>
      <c r="H117" s="39"/>
      <c r="I117" s="76" t="s">
        <v>86</v>
      </c>
    </row>
    <row r="118" ht="15.75" customHeight="1">
      <c r="A118" s="95">
        <v>43426.0</v>
      </c>
      <c r="B118" s="39" t="s">
        <v>1126</v>
      </c>
      <c r="C118" s="39" t="s">
        <v>1127</v>
      </c>
      <c r="D118" s="39"/>
      <c r="F118" s="39"/>
      <c r="G118" s="39" t="s">
        <v>855</v>
      </c>
      <c r="H118" s="39"/>
      <c r="I118" s="76" t="s">
        <v>1128</v>
      </c>
    </row>
    <row r="119" ht="15.75" customHeight="1">
      <c r="A119" s="95">
        <v>43426.0</v>
      </c>
      <c r="B119" s="94" t="s">
        <v>1129</v>
      </c>
      <c r="C119" s="94" t="s">
        <v>1130</v>
      </c>
      <c r="D119" s="39"/>
      <c r="F119" s="39"/>
      <c r="G119" s="39" t="s">
        <v>855</v>
      </c>
      <c r="H119" s="39"/>
      <c r="I119" s="76" t="s">
        <v>1128</v>
      </c>
    </row>
    <row r="120" ht="15.75" customHeight="1">
      <c r="A120" s="95">
        <v>43426.0</v>
      </c>
      <c r="B120" s="39" t="s">
        <v>1131</v>
      </c>
      <c r="C120" s="39" t="s">
        <v>1132</v>
      </c>
      <c r="D120" s="39"/>
      <c r="F120" s="39"/>
      <c r="G120" s="39" t="s">
        <v>855</v>
      </c>
      <c r="H120" s="39"/>
      <c r="I120" s="76" t="s">
        <v>1128</v>
      </c>
    </row>
    <row r="121" ht="15.75" customHeight="1">
      <c r="A121" s="95">
        <v>43426.0</v>
      </c>
      <c r="B121" s="39" t="s">
        <v>1133</v>
      </c>
      <c r="C121" s="94" t="s">
        <v>1134</v>
      </c>
      <c r="D121" s="75" t="s">
        <v>1135</v>
      </c>
      <c r="F121" s="39"/>
      <c r="G121" s="39" t="s">
        <v>1136</v>
      </c>
      <c r="H121" s="39"/>
      <c r="I121" s="76" t="s">
        <v>1137</v>
      </c>
    </row>
    <row r="122" ht="15.75" customHeight="1">
      <c r="A122" s="81">
        <v>43428.0</v>
      </c>
      <c r="B122" s="39" t="s">
        <v>1138</v>
      </c>
      <c r="C122" s="39" t="s">
        <v>1139</v>
      </c>
      <c r="D122" s="39"/>
      <c r="F122" s="39"/>
      <c r="G122" s="39" t="s">
        <v>855</v>
      </c>
      <c r="H122" s="39"/>
      <c r="I122" s="76" t="s">
        <v>1128</v>
      </c>
    </row>
    <row r="123" ht="15.75" customHeight="1">
      <c r="A123" s="81">
        <v>43428.0</v>
      </c>
      <c r="B123" s="39" t="s">
        <v>1140</v>
      </c>
      <c r="C123" s="39" t="s">
        <v>1141</v>
      </c>
      <c r="D123" s="39"/>
      <c r="F123" s="39"/>
      <c r="G123" s="39" t="s">
        <v>855</v>
      </c>
      <c r="H123" s="39"/>
      <c r="I123" s="76" t="s">
        <v>1128</v>
      </c>
    </row>
    <row r="124" ht="15.75" customHeight="1">
      <c r="A124" s="81">
        <v>43428.0</v>
      </c>
      <c r="B124" s="94" t="s">
        <v>1142</v>
      </c>
      <c r="C124" s="94" t="s">
        <v>1143</v>
      </c>
      <c r="D124" s="39"/>
      <c r="F124" s="39"/>
      <c r="G124" s="39" t="s">
        <v>855</v>
      </c>
      <c r="H124" s="39"/>
      <c r="I124" s="76" t="s">
        <v>1128</v>
      </c>
    </row>
    <row r="125" ht="15.75" customHeight="1">
      <c r="A125" s="81">
        <v>43428.0</v>
      </c>
      <c r="B125" s="39" t="s">
        <v>1144</v>
      </c>
      <c r="C125" s="39" t="s">
        <v>1145</v>
      </c>
      <c r="D125" s="39"/>
      <c r="F125" s="39"/>
      <c r="G125" s="39" t="s">
        <v>855</v>
      </c>
      <c r="H125" s="39"/>
      <c r="I125" s="76" t="s">
        <v>1128</v>
      </c>
    </row>
    <row r="126" ht="15.75" customHeight="1">
      <c r="A126" s="81">
        <v>43428.0</v>
      </c>
      <c r="B126" s="39" t="s">
        <v>1146</v>
      </c>
      <c r="C126" s="94" t="s">
        <v>1147</v>
      </c>
      <c r="D126" s="39"/>
      <c r="F126" s="39"/>
      <c r="G126" s="39" t="s">
        <v>855</v>
      </c>
      <c r="H126" s="39"/>
      <c r="I126" s="76" t="s">
        <v>1128</v>
      </c>
    </row>
    <row r="127" ht="15.75" customHeight="1">
      <c r="A127" s="81">
        <v>43428.0</v>
      </c>
      <c r="B127" s="39" t="s">
        <v>1148</v>
      </c>
      <c r="C127" s="39" t="s">
        <v>1149</v>
      </c>
      <c r="D127" s="39"/>
      <c r="F127" s="39"/>
      <c r="G127" s="39" t="s">
        <v>855</v>
      </c>
      <c r="H127" s="39"/>
      <c r="I127" s="76" t="s">
        <v>1128</v>
      </c>
    </row>
    <row r="128" ht="15.75" customHeight="1">
      <c r="A128" s="81">
        <v>43428.0</v>
      </c>
      <c r="B128" s="39" t="s">
        <v>1150</v>
      </c>
      <c r="C128" s="39" t="s">
        <v>1151</v>
      </c>
      <c r="D128" s="39"/>
      <c r="F128" s="39"/>
      <c r="G128" s="39" t="s">
        <v>855</v>
      </c>
      <c r="H128" s="39"/>
      <c r="I128" s="76" t="s">
        <v>1128</v>
      </c>
    </row>
    <row r="129" ht="15.75" customHeight="1">
      <c r="A129" s="81">
        <v>43428.0</v>
      </c>
      <c r="B129" s="39" t="s">
        <v>1152</v>
      </c>
      <c r="C129" s="39" t="s">
        <v>1153</v>
      </c>
      <c r="D129" s="39"/>
      <c r="F129" s="39"/>
      <c r="G129" s="39" t="s">
        <v>855</v>
      </c>
      <c r="H129" s="39"/>
      <c r="I129" s="76" t="s">
        <v>1128</v>
      </c>
    </row>
    <row r="130" ht="15.75" customHeight="1">
      <c r="A130" s="81">
        <v>43428.0</v>
      </c>
      <c r="B130" s="94" t="s">
        <v>1154</v>
      </c>
      <c r="C130" s="94" t="s">
        <v>1155</v>
      </c>
      <c r="D130" s="39"/>
      <c r="F130" s="39"/>
      <c r="G130" s="39" t="s">
        <v>855</v>
      </c>
      <c r="H130" s="39"/>
      <c r="I130" s="76" t="s">
        <v>1128</v>
      </c>
    </row>
    <row r="131" ht="15.75" customHeight="1">
      <c r="A131" s="81">
        <v>43428.0</v>
      </c>
      <c r="B131" s="39" t="s">
        <v>1156</v>
      </c>
      <c r="C131" s="94" t="s">
        <v>1157</v>
      </c>
      <c r="D131" s="39"/>
      <c r="F131" s="39"/>
      <c r="G131" s="39" t="s">
        <v>855</v>
      </c>
      <c r="H131" s="39"/>
      <c r="I131" s="76" t="s">
        <v>1128</v>
      </c>
    </row>
    <row r="132" ht="15.75" customHeight="1">
      <c r="A132" s="81">
        <v>43428.0</v>
      </c>
      <c r="B132" s="39" t="s">
        <v>1158</v>
      </c>
      <c r="C132" s="94" t="s">
        <v>1159</v>
      </c>
      <c r="D132" s="39"/>
      <c r="F132" s="39"/>
      <c r="G132" s="39" t="s">
        <v>855</v>
      </c>
      <c r="H132" s="39"/>
      <c r="I132" s="76" t="s">
        <v>1128</v>
      </c>
    </row>
    <row r="133" ht="15.75" customHeight="1">
      <c r="A133" s="81">
        <v>43428.0</v>
      </c>
      <c r="B133" s="39" t="s">
        <v>1160</v>
      </c>
      <c r="C133" s="39" t="s">
        <v>1161</v>
      </c>
      <c r="D133" s="39"/>
      <c r="F133" s="39"/>
      <c r="G133" s="39" t="s">
        <v>855</v>
      </c>
      <c r="H133" s="39"/>
      <c r="I133" s="76" t="s">
        <v>1128</v>
      </c>
    </row>
    <row r="134" ht="15.75" customHeight="1">
      <c r="A134" s="81">
        <v>43428.0</v>
      </c>
      <c r="B134" s="39" t="s">
        <v>1162</v>
      </c>
      <c r="C134" s="39" t="s">
        <v>1163</v>
      </c>
      <c r="D134" s="39"/>
      <c r="F134" s="39"/>
      <c r="G134" s="39" t="s">
        <v>855</v>
      </c>
      <c r="H134" s="39"/>
      <c r="I134" s="76" t="s">
        <v>1128</v>
      </c>
    </row>
    <row r="135" ht="15.75" customHeight="1">
      <c r="A135" s="81">
        <v>43428.0</v>
      </c>
      <c r="B135" s="39" t="s">
        <v>1164</v>
      </c>
      <c r="C135" s="39" t="s">
        <v>1165</v>
      </c>
      <c r="D135" s="39"/>
      <c r="F135" s="39"/>
      <c r="G135" s="39" t="s">
        <v>855</v>
      </c>
      <c r="H135" s="39"/>
      <c r="I135" s="76" t="s">
        <v>1128</v>
      </c>
    </row>
    <row r="136" ht="15.75" customHeight="1">
      <c r="A136" s="81">
        <v>43428.0</v>
      </c>
      <c r="B136" s="39" t="s">
        <v>1166</v>
      </c>
      <c r="C136" s="39" t="s">
        <v>1167</v>
      </c>
      <c r="D136" s="39"/>
      <c r="F136" s="39"/>
      <c r="G136" s="39" t="s">
        <v>855</v>
      </c>
      <c r="H136" s="39"/>
      <c r="I136" s="76" t="s">
        <v>1128</v>
      </c>
    </row>
    <row r="137" ht="15.75" customHeight="1">
      <c r="A137" s="81">
        <v>43428.0</v>
      </c>
      <c r="B137" s="39" t="s">
        <v>1168</v>
      </c>
      <c r="C137" s="39" t="s">
        <v>1169</v>
      </c>
      <c r="D137" s="75" t="s">
        <v>1170</v>
      </c>
      <c r="F137" s="39"/>
      <c r="G137" s="39" t="s">
        <v>823</v>
      </c>
      <c r="H137" s="39"/>
      <c r="I137" s="39" t="s">
        <v>859</v>
      </c>
    </row>
    <row r="138" ht="15.75" customHeight="1">
      <c r="A138" s="81">
        <v>43429.0</v>
      </c>
      <c r="B138" s="39" t="s">
        <v>1171</v>
      </c>
      <c r="C138" s="39" t="s">
        <v>1172</v>
      </c>
      <c r="D138" s="75" t="s">
        <v>1173</v>
      </c>
      <c r="F138" s="39"/>
      <c r="G138" s="39" t="s">
        <v>1136</v>
      </c>
      <c r="H138" s="39"/>
      <c r="I138" s="39" t="s">
        <v>151</v>
      </c>
    </row>
    <row r="139" ht="15.75" customHeight="1">
      <c r="A139" s="81">
        <v>43430.0</v>
      </c>
      <c r="B139" s="12" t="s">
        <v>1174</v>
      </c>
      <c r="C139" s="12" t="s">
        <v>1175</v>
      </c>
      <c r="D139" s="13" t="s">
        <v>1176</v>
      </c>
      <c r="F139" s="39"/>
      <c r="G139" s="12" t="s">
        <v>1177</v>
      </c>
      <c r="H139" s="39"/>
      <c r="I139" s="39" t="s">
        <v>859</v>
      </c>
    </row>
    <row r="140" ht="15.75" customHeight="1">
      <c r="A140" s="81">
        <v>43430.0</v>
      </c>
      <c r="B140" s="39" t="s">
        <v>1178</v>
      </c>
      <c r="C140" s="39" t="s">
        <v>1179</v>
      </c>
      <c r="D140" s="75" t="s">
        <v>1180</v>
      </c>
      <c r="F140" s="39"/>
      <c r="G140" s="12" t="s">
        <v>1181</v>
      </c>
      <c r="H140" s="39"/>
      <c r="I140" s="76" t="s">
        <v>50</v>
      </c>
    </row>
    <row r="141" ht="15.75" customHeight="1">
      <c r="A141" s="81">
        <v>43430.0</v>
      </c>
      <c r="B141" s="39" t="s">
        <v>1182</v>
      </c>
      <c r="C141" s="39" t="s">
        <v>1183</v>
      </c>
      <c r="D141" s="75" t="s">
        <v>1184</v>
      </c>
      <c r="F141" s="39"/>
      <c r="G141" s="39" t="s">
        <v>1181</v>
      </c>
      <c r="H141" s="39"/>
      <c r="I141" s="76" t="s">
        <v>50</v>
      </c>
    </row>
    <row r="142" ht="15.75" customHeight="1">
      <c r="A142" s="81">
        <v>43430.0</v>
      </c>
      <c r="B142" s="39" t="s">
        <v>1185</v>
      </c>
      <c r="C142" s="39" t="s">
        <v>1186</v>
      </c>
      <c r="D142" s="75" t="s">
        <v>1187</v>
      </c>
      <c r="F142" s="39"/>
      <c r="G142" s="39" t="s">
        <v>1181</v>
      </c>
      <c r="H142" s="39"/>
      <c r="I142" s="76" t="s">
        <v>86</v>
      </c>
    </row>
    <row r="143" ht="15.75" customHeight="1">
      <c r="A143" s="81">
        <v>43430.0</v>
      </c>
      <c r="B143" s="84" t="s">
        <v>1188</v>
      </c>
      <c r="C143" s="39" t="s">
        <v>1189</v>
      </c>
      <c r="D143" s="75" t="s">
        <v>1190</v>
      </c>
      <c r="F143" s="39"/>
      <c r="G143" s="39" t="s">
        <v>1181</v>
      </c>
      <c r="H143" s="39"/>
      <c r="I143" s="39" t="s">
        <v>102</v>
      </c>
    </row>
    <row r="144" ht="15.75" customHeight="1">
      <c r="A144" s="81">
        <v>43430.0</v>
      </c>
      <c r="B144" s="39" t="s">
        <v>1191</v>
      </c>
      <c r="C144" s="39" t="s">
        <v>1192</v>
      </c>
      <c r="D144" s="75" t="s">
        <v>1193</v>
      </c>
      <c r="F144" s="39"/>
      <c r="G144" s="39" t="s">
        <v>1181</v>
      </c>
      <c r="H144" s="39"/>
      <c r="I144" s="39" t="s">
        <v>859</v>
      </c>
    </row>
    <row r="145" ht="15.75" customHeight="1">
      <c r="A145" s="81">
        <v>43430.0</v>
      </c>
      <c r="B145" s="39" t="s">
        <v>1194</v>
      </c>
      <c r="C145" s="39" t="s">
        <v>1195</v>
      </c>
      <c r="D145" s="75" t="s">
        <v>1196</v>
      </c>
      <c r="F145" s="39"/>
      <c r="G145" s="39" t="s">
        <v>1181</v>
      </c>
      <c r="H145" s="39"/>
      <c r="I145" s="39" t="s">
        <v>97</v>
      </c>
    </row>
    <row r="146" ht="15.75" customHeight="1">
      <c r="A146" s="81">
        <v>43430.0</v>
      </c>
      <c r="B146" s="39" t="s">
        <v>1197</v>
      </c>
      <c r="C146" s="39" t="s">
        <v>1198</v>
      </c>
      <c r="D146" s="39" t="s">
        <v>1199</v>
      </c>
      <c r="F146" s="39"/>
      <c r="G146" s="39" t="s">
        <v>1181</v>
      </c>
      <c r="H146" s="39"/>
      <c r="I146" s="96" t="s">
        <v>106</v>
      </c>
    </row>
    <row r="147" ht="15.75" customHeight="1">
      <c r="A147" s="81">
        <v>43430.0</v>
      </c>
      <c r="B147" s="39" t="s">
        <v>1200</v>
      </c>
      <c r="C147" s="39" t="s">
        <v>1201</v>
      </c>
      <c r="D147" s="39" t="s">
        <v>1202</v>
      </c>
      <c r="F147" s="39"/>
      <c r="G147" s="39" t="s">
        <v>1181</v>
      </c>
      <c r="H147" s="39"/>
      <c r="I147" s="76" t="s">
        <v>168</v>
      </c>
    </row>
    <row r="148" ht="15.75" customHeight="1">
      <c r="A148" s="81">
        <v>43431.0</v>
      </c>
      <c r="B148" s="39" t="s">
        <v>1203</v>
      </c>
      <c r="C148" s="39" t="s">
        <v>1204</v>
      </c>
      <c r="D148" s="75" t="s">
        <v>1205</v>
      </c>
      <c r="F148" s="39"/>
      <c r="G148" s="39" t="s">
        <v>1181</v>
      </c>
      <c r="H148" s="39"/>
      <c r="I148" s="76" t="s">
        <v>86</v>
      </c>
    </row>
    <row r="149" ht="15.75" customHeight="1">
      <c r="A149" s="81">
        <v>43432.0</v>
      </c>
      <c r="B149" s="39" t="s">
        <v>1206</v>
      </c>
      <c r="C149" s="39" t="s">
        <v>812</v>
      </c>
      <c r="D149" s="75" t="s">
        <v>1207</v>
      </c>
      <c r="F149" s="39"/>
      <c r="G149" s="39" t="s">
        <v>1208</v>
      </c>
      <c r="H149" s="39"/>
      <c r="I149" s="39" t="s">
        <v>222</v>
      </c>
    </row>
    <row r="150" ht="15.75" customHeight="1">
      <c r="A150" s="81">
        <v>43433.0</v>
      </c>
      <c r="B150" s="39" t="s">
        <v>1209</v>
      </c>
      <c r="C150" s="39" t="s">
        <v>1210</v>
      </c>
      <c r="D150" s="75" t="s">
        <v>1211</v>
      </c>
      <c r="F150" s="39"/>
      <c r="G150" s="39" t="s">
        <v>1212</v>
      </c>
      <c r="H150" s="39"/>
      <c r="I150" s="76" t="s">
        <v>86</v>
      </c>
    </row>
    <row r="151" ht="15.75" customHeight="1">
      <c r="A151" s="81">
        <v>43433.0</v>
      </c>
      <c r="B151" s="39" t="s">
        <v>1213</v>
      </c>
      <c r="C151" s="39" t="s">
        <v>1214</v>
      </c>
      <c r="D151" s="75" t="s">
        <v>1215</v>
      </c>
      <c r="F151" s="39"/>
      <c r="G151" s="39" t="s">
        <v>1216</v>
      </c>
      <c r="H151" s="39"/>
      <c r="I151" s="76" t="s">
        <v>331</v>
      </c>
    </row>
    <row r="152" ht="15.75" customHeight="1">
      <c r="A152" s="97">
        <v>43434.0</v>
      </c>
      <c r="B152" s="98" t="s">
        <v>1217</v>
      </c>
      <c r="C152" s="98" t="s">
        <v>1218</v>
      </c>
      <c r="D152" s="99" t="s">
        <v>1219</v>
      </c>
      <c r="F152" s="98"/>
      <c r="G152" s="98" t="s">
        <v>1220</v>
      </c>
      <c r="H152" s="39" t="s">
        <v>60</v>
      </c>
      <c r="I152" s="39" t="s">
        <v>102</v>
      </c>
    </row>
    <row r="153" ht="15.75" customHeight="1">
      <c r="A153" s="97">
        <v>43434.0</v>
      </c>
      <c r="B153" s="98" t="s">
        <v>1221</v>
      </c>
      <c r="C153" s="98" t="s">
        <v>1222</v>
      </c>
      <c r="D153" s="99" t="s">
        <v>1223</v>
      </c>
      <c r="F153" s="98"/>
      <c r="G153" s="98" t="s">
        <v>1220</v>
      </c>
      <c r="H153" s="39" t="s">
        <v>228</v>
      </c>
      <c r="I153" s="76" t="s">
        <v>50</v>
      </c>
    </row>
    <row r="154" ht="15.75" customHeight="1">
      <c r="A154" s="97">
        <v>43434.0</v>
      </c>
      <c r="B154" s="100" t="s">
        <v>1224</v>
      </c>
      <c r="C154" s="98" t="s">
        <v>1225</v>
      </c>
      <c r="D154" s="99" t="s">
        <v>1226</v>
      </c>
      <c r="F154" s="98"/>
      <c r="G154" s="98" t="s">
        <v>1220</v>
      </c>
      <c r="H154" s="39" t="s">
        <v>228</v>
      </c>
      <c r="I154" s="76" t="s">
        <v>50</v>
      </c>
    </row>
    <row r="155" ht="15.75" customHeight="1">
      <c r="A155" s="101">
        <v>43435.0</v>
      </c>
      <c r="B155" s="98" t="s">
        <v>1227</v>
      </c>
      <c r="C155" s="98" t="s">
        <v>1228</v>
      </c>
      <c r="D155" s="99" t="s">
        <v>1229</v>
      </c>
      <c r="F155" s="98"/>
      <c r="G155" s="98" t="s">
        <v>1220</v>
      </c>
      <c r="H155" s="39" t="s">
        <v>228</v>
      </c>
      <c r="I155" s="76" t="s">
        <v>86</v>
      </c>
    </row>
    <row r="156" ht="15.75" customHeight="1">
      <c r="A156" s="101">
        <v>43435.0</v>
      </c>
      <c r="B156" s="98" t="s">
        <v>1230</v>
      </c>
      <c r="C156" s="98" t="s">
        <v>1231</v>
      </c>
      <c r="D156" s="99" t="s">
        <v>1232</v>
      </c>
      <c r="F156" s="98"/>
      <c r="G156" s="98" t="s">
        <v>1220</v>
      </c>
      <c r="H156" s="39" t="s">
        <v>86</v>
      </c>
      <c r="I156" s="76" t="s">
        <v>86</v>
      </c>
    </row>
    <row r="157" ht="14.25" customHeight="1">
      <c r="A157" s="77">
        <v>43435.0</v>
      </c>
      <c r="B157" s="39" t="s">
        <v>1233</v>
      </c>
      <c r="C157" s="39" t="s">
        <v>1234</v>
      </c>
      <c r="D157" s="75" t="s">
        <v>1235</v>
      </c>
      <c r="F157" s="39"/>
      <c r="G157" s="39" t="s">
        <v>1236</v>
      </c>
      <c r="H157" s="39"/>
      <c r="I157" s="76" t="s">
        <v>288</v>
      </c>
    </row>
    <row r="158" ht="15.75" customHeight="1">
      <c r="A158" s="77">
        <v>43435.0</v>
      </c>
      <c r="B158" s="39" t="s">
        <v>1237</v>
      </c>
      <c r="C158" s="39" t="s">
        <v>1238</v>
      </c>
      <c r="D158" s="75" t="s">
        <v>1239</v>
      </c>
      <c r="F158" s="39"/>
      <c r="G158" s="39" t="s">
        <v>1212</v>
      </c>
      <c r="H158" s="39"/>
      <c r="I158" s="76" t="s">
        <v>168</v>
      </c>
    </row>
    <row r="159" ht="15.75" customHeight="1">
      <c r="A159" s="77">
        <v>43437.0</v>
      </c>
      <c r="B159" s="39" t="s">
        <v>1240</v>
      </c>
      <c r="C159" s="39" t="s">
        <v>1241</v>
      </c>
      <c r="D159" s="39">
        <v>2.11385531E8</v>
      </c>
      <c r="F159" s="39"/>
      <c r="G159" s="39" t="s">
        <v>156</v>
      </c>
      <c r="H159" s="39"/>
      <c r="I159" s="39" t="s">
        <v>1242</v>
      </c>
    </row>
    <row r="160" ht="15.75" customHeight="1">
      <c r="A160" s="101">
        <v>43437.0</v>
      </c>
      <c r="B160" s="102" t="s">
        <v>1243</v>
      </c>
      <c r="C160" s="102" t="s">
        <v>1244</v>
      </c>
      <c r="D160" s="102"/>
      <c r="F160" s="102" t="s">
        <v>1245</v>
      </c>
      <c r="G160" s="102" t="s">
        <v>1220</v>
      </c>
      <c r="H160" s="39" t="s">
        <v>195</v>
      </c>
      <c r="I160" s="39" t="s">
        <v>20</v>
      </c>
    </row>
    <row r="161" ht="15.75" customHeight="1">
      <c r="A161" s="77">
        <v>43437.0</v>
      </c>
      <c r="B161" s="39" t="s">
        <v>1246</v>
      </c>
      <c r="C161" s="39" t="s">
        <v>1247</v>
      </c>
      <c r="D161" s="75" t="s">
        <v>1248</v>
      </c>
      <c r="F161" s="39"/>
      <c r="G161" s="12" t="s">
        <v>1212</v>
      </c>
      <c r="H161" s="39"/>
      <c r="I161" s="76" t="s">
        <v>86</v>
      </c>
    </row>
    <row r="162" ht="15.75" customHeight="1">
      <c r="A162" s="77">
        <v>43437.0</v>
      </c>
      <c r="B162" s="39" t="s">
        <v>1249</v>
      </c>
      <c r="C162" s="39" t="s">
        <v>1250</v>
      </c>
      <c r="D162" s="39" t="s">
        <v>1251</v>
      </c>
      <c r="F162" s="39"/>
      <c r="G162" s="12" t="s">
        <v>1212</v>
      </c>
      <c r="H162" s="39"/>
      <c r="I162" s="39" t="s">
        <v>97</v>
      </c>
    </row>
    <row r="163" ht="15.75" customHeight="1">
      <c r="A163" s="101">
        <v>43437.0</v>
      </c>
      <c r="B163" s="103" t="s">
        <v>1252</v>
      </c>
      <c r="C163" s="103" t="s">
        <v>1253</v>
      </c>
      <c r="D163" s="103">
        <v>5.06246004E8</v>
      </c>
      <c r="F163" s="98"/>
      <c r="G163" s="103" t="s">
        <v>1254</v>
      </c>
      <c r="H163" s="39" t="s">
        <v>222</v>
      </c>
      <c r="I163" s="39" t="s">
        <v>222</v>
      </c>
    </row>
    <row r="164" ht="15.75" customHeight="1">
      <c r="A164" s="77">
        <v>43437.0</v>
      </c>
      <c r="B164" s="39" t="s">
        <v>1255</v>
      </c>
      <c r="C164" s="39" t="s">
        <v>1256</v>
      </c>
      <c r="D164" s="39">
        <v>5.06540674E8</v>
      </c>
      <c r="F164" s="39"/>
      <c r="G164" s="39" t="s">
        <v>1257</v>
      </c>
      <c r="H164" s="39"/>
      <c r="I164" s="39" t="s">
        <v>97</v>
      </c>
    </row>
    <row r="165" ht="15.75" customHeight="1">
      <c r="A165" s="101">
        <v>43437.0</v>
      </c>
      <c r="B165" s="98" t="s">
        <v>1258</v>
      </c>
      <c r="C165" s="98" t="s">
        <v>1259</v>
      </c>
      <c r="D165" s="99" t="s">
        <v>1260</v>
      </c>
      <c r="F165" s="98"/>
      <c r="G165" s="98" t="s">
        <v>1254</v>
      </c>
      <c r="H165" s="39" t="s">
        <v>1261</v>
      </c>
      <c r="I165" s="39" t="s">
        <v>20</v>
      </c>
    </row>
    <row r="166" ht="15.75" customHeight="1">
      <c r="A166" s="77">
        <v>43437.0</v>
      </c>
      <c r="B166" s="39" t="s">
        <v>164</v>
      </c>
      <c r="C166" s="39" t="s">
        <v>165</v>
      </c>
      <c r="D166" s="39" t="s">
        <v>1262</v>
      </c>
      <c r="F166" s="39"/>
      <c r="G166" s="39" t="s">
        <v>1263</v>
      </c>
      <c r="H166" s="39"/>
      <c r="I166" s="39" t="s">
        <v>1264</v>
      </c>
    </row>
    <row r="167" ht="15.75" customHeight="1">
      <c r="A167" s="77">
        <v>43437.0</v>
      </c>
      <c r="B167" s="39" t="s">
        <v>1265</v>
      </c>
      <c r="C167" s="39" t="s">
        <v>1266</v>
      </c>
      <c r="D167" s="75" t="s">
        <v>1267</v>
      </c>
      <c r="F167" s="39"/>
      <c r="G167" s="39" t="s">
        <v>1257</v>
      </c>
      <c r="H167" s="39"/>
      <c r="I167" s="96" t="s">
        <v>106</v>
      </c>
    </row>
    <row r="168" ht="15.75" customHeight="1">
      <c r="A168" s="77">
        <v>43438.0</v>
      </c>
      <c r="B168" s="39" t="s">
        <v>1268</v>
      </c>
      <c r="C168" s="39" t="s">
        <v>1269</v>
      </c>
      <c r="D168" s="75" t="s">
        <v>1270</v>
      </c>
      <c r="F168" s="39"/>
      <c r="G168" s="39" t="s">
        <v>71</v>
      </c>
      <c r="H168" s="39"/>
      <c r="I168" s="85" t="s">
        <v>1271</v>
      </c>
    </row>
    <row r="169" ht="15.75" customHeight="1">
      <c r="A169" s="77">
        <v>43438.0</v>
      </c>
      <c r="B169" s="12" t="s">
        <v>1272</v>
      </c>
      <c r="C169" s="12" t="s">
        <v>1273</v>
      </c>
      <c r="D169" s="13" t="s">
        <v>1274</v>
      </c>
      <c r="F169" s="39"/>
      <c r="G169" s="12" t="s">
        <v>71</v>
      </c>
      <c r="H169" s="39"/>
      <c r="I169" s="76" t="s">
        <v>1275</v>
      </c>
    </row>
    <row r="170" ht="15.75" customHeight="1">
      <c r="A170" s="101">
        <v>43438.0</v>
      </c>
      <c r="B170" s="98" t="s">
        <v>1276</v>
      </c>
      <c r="C170" s="98" t="s">
        <v>1277</v>
      </c>
      <c r="D170" s="99" t="s">
        <v>1278</v>
      </c>
      <c r="F170" s="98"/>
      <c r="G170" s="102" t="s">
        <v>1279</v>
      </c>
      <c r="H170" s="39" t="s">
        <v>228</v>
      </c>
      <c r="I170" s="76" t="s">
        <v>50</v>
      </c>
    </row>
    <row r="171" ht="15.75" customHeight="1">
      <c r="A171" s="77">
        <v>43438.0</v>
      </c>
      <c r="B171" s="39" t="s">
        <v>1280</v>
      </c>
      <c r="C171" s="39" t="s">
        <v>1281</v>
      </c>
      <c r="D171" s="75" t="s">
        <v>1282</v>
      </c>
      <c r="F171" s="39"/>
      <c r="G171" s="39" t="s">
        <v>71</v>
      </c>
      <c r="H171" s="39"/>
      <c r="I171" s="39" t="s">
        <v>91</v>
      </c>
    </row>
    <row r="172" ht="15.75" customHeight="1">
      <c r="B172" s="76" t="s">
        <v>1283</v>
      </c>
      <c r="C172" s="76" t="s">
        <v>1284</v>
      </c>
      <c r="D172" s="104" t="s">
        <v>1285</v>
      </c>
      <c r="E172" s="104" t="s">
        <v>1286</v>
      </c>
      <c r="F172" s="76" t="s">
        <v>794</v>
      </c>
      <c r="G172" s="76" t="s">
        <v>794</v>
      </c>
      <c r="H172" s="39"/>
      <c r="I172" s="39" t="s">
        <v>859</v>
      </c>
      <c r="J172" s="6" t="s">
        <v>60</v>
      </c>
    </row>
    <row r="173" ht="15.75" customHeight="1">
      <c r="A173" s="77">
        <v>43439.0</v>
      </c>
      <c r="B173" s="39" t="s">
        <v>1287</v>
      </c>
      <c r="C173" s="39" t="s">
        <v>1288</v>
      </c>
      <c r="D173" s="75" t="s">
        <v>1289</v>
      </c>
      <c r="E173" s="39" t="s">
        <v>1290</v>
      </c>
      <c r="F173" s="39"/>
      <c r="G173" s="39" t="s">
        <v>71</v>
      </c>
      <c r="H173" s="39"/>
      <c r="I173" s="76" t="s">
        <v>60</v>
      </c>
    </row>
    <row r="174" ht="15.75" customHeight="1">
      <c r="A174" s="77">
        <v>43439.0</v>
      </c>
      <c r="B174" s="12" t="s">
        <v>1291</v>
      </c>
      <c r="C174" s="12" t="s">
        <v>1292</v>
      </c>
      <c r="D174" s="13" t="s">
        <v>1293</v>
      </c>
      <c r="E174" s="39"/>
      <c r="F174" s="39"/>
      <c r="G174" s="12" t="s">
        <v>71</v>
      </c>
      <c r="H174" s="39"/>
      <c r="I174" s="76" t="s">
        <v>331</v>
      </c>
    </row>
    <row r="175" ht="15.75" customHeight="1">
      <c r="A175" s="77">
        <v>43440.0</v>
      </c>
      <c r="B175" s="39" t="s">
        <v>1294</v>
      </c>
      <c r="C175" s="39" t="s">
        <v>1295</v>
      </c>
      <c r="D175" s="75" t="s">
        <v>1296</v>
      </c>
      <c r="E175" s="39"/>
      <c r="F175" s="39"/>
      <c r="G175" s="12" t="s">
        <v>1181</v>
      </c>
      <c r="H175" s="39"/>
      <c r="I175" s="39" t="s">
        <v>859</v>
      </c>
    </row>
    <row r="176" ht="15.75" customHeight="1">
      <c r="A176" s="77">
        <v>43440.0</v>
      </c>
      <c r="B176" s="39" t="s">
        <v>1297</v>
      </c>
      <c r="C176" s="39" t="s">
        <v>1298</v>
      </c>
      <c r="D176" s="13" t="s">
        <v>1299</v>
      </c>
      <c r="E176" s="39" t="s">
        <v>1300</v>
      </c>
      <c r="F176" s="39"/>
      <c r="G176" s="39" t="s">
        <v>1301</v>
      </c>
      <c r="H176" s="39"/>
      <c r="I176" s="76" t="s">
        <v>86</v>
      </c>
    </row>
    <row r="177" ht="15.75" customHeight="1">
      <c r="A177" s="77">
        <v>43442.0</v>
      </c>
      <c r="B177" s="39" t="s">
        <v>1302</v>
      </c>
      <c r="C177" s="39" t="s">
        <v>1303</v>
      </c>
      <c r="D177" s="75" t="s">
        <v>1304</v>
      </c>
      <c r="E177" s="39"/>
      <c r="F177" s="39"/>
      <c r="G177" s="39" t="s">
        <v>1305</v>
      </c>
      <c r="H177" s="39"/>
      <c r="I177" s="76" t="s">
        <v>288</v>
      </c>
    </row>
    <row r="178" ht="15.75" customHeight="1">
      <c r="A178" s="77">
        <v>43442.0</v>
      </c>
      <c r="B178" s="39" t="s">
        <v>1306</v>
      </c>
      <c r="C178" s="39" t="s">
        <v>1307</v>
      </c>
      <c r="D178" s="75" t="s">
        <v>1308</v>
      </c>
      <c r="E178" s="39" t="s">
        <v>1309</v>
      </c>
      <c r="F178" s="39"/>
      <c r="G178" s="39" t="s">
        <v>1301</v>
      </c>
      <c r="H178" s="39"/>
      <c r="I178" s="39" t="s">
        <v>102</v>
      </c>
    </row>
    <row r="179" ht="15.75" customHeight="1">
      <c r="A179" s="77">
        <v>43442.0</v>
      </c>
      <c r="B179" s="39" t="s">
        <v>1310</v>
      </c>
      <c r="C179" s="39"/>
      <c r="D179" s="75" t="s">
        <v>1311</v>
      </c>
      <c r="E179" s="39"/>
      <c r="F179" s="39"/>
      <c r="G179" s="39" t="s">
        <v>19</v>
      </c>
      <c r="H179" s="39" t="s">
        <v>1312</v>
      </c>
      <c r="I179" s="76" t="s">
        <v>288</v>
      </c>
    </row>
    <row r="180" ht="15.75" customHeight="1">
      <c r="A180" s="77">
        <v>43442.0</v>
      </c>
      <c r="B180" s="39" t="s">
        <v>1313</v>
      </c>
      <c r="C180" s="39" t="s">
        <v>1314</v>
      </c>
      <c r="D180" s="75" t="s">
        <v>1315</v>
      </c>
      <c r="E180" s="39" t="s">
        <v>1316</v>
      </c>
      <c r="F180" s="39"/>
      <c r="G180" s="39" t="s">
        <v>1317</v>
      </c>
      <c r="H180" s="39"/>
      <c r="I180" s="76" t="s">
        <v>60</v>
      </c>
    </row>
    <row r="181" ht="15.75" customHeight="1">
      <c r="A181" s="77">
        <v>43442.0</v>
      </c>
      <c r="B181" s="39" t="s">
        <v>1318</v>
      </c>
      <c r="C181" s="39" t="s">
        <v>1319</v>
      </c>
      <c r="D181" s="75" t="s">
        <v>1320</v>
      </c>
      <c r="E181" s="39" t="s">
        <v>1321</v>
      </c>
      <c r="F181" s="39"/>
      <c r="G181" s="39" t="s">
        <v>1317</v>
      </c>
      <c r="H181" s="39"/>
      <c r="I181" s="39" t="s">
        <v>102</v>
      </c>
    </row>
    <row r="182" ht="15.75" customHeight="1">
      <c r="A182" s="77">
        <v>43442.0</v>
      </c>
      <c r="B182" s="39" t="s">
        <v>1322</v>
      </c>
      <c r="C182" s="39" t="s">
        <v>1323</v>
      </c>
      <c r="D182" s="75" t="s">
        <v>1324</v>
      </c>
      <c r="E182" s="39"/>
      <c r="F182" s="39"/>
      <c r="G182" s="39" t="s">
        <v>1325</v>
      </c>
      <c r="H182" s="39"/>
      <c r="I182" s="76" t="s">
        <v>86</v>
      </c>
    </row>
    <row r="183" ht="15.75" customHeight="1">
      <c r="A183" s="77">
        <v>43443.0</v>
      </c>
      <c r="B183" s="39" t="s">
        <v>1326</v>
      </c>
      <c r="C183" s="39" t="s">
        <v>1327</v>
      </c>
      <c r="D183" s="75" t="s">
        <v>1328</v>
      </c>
      <c r="E183" s="39"/>
      <c r="F183" s="39"/>
      <c r="G183" s="39" t="s">
        <v>1325</v>
      </c>
      <c r="H183" s="39"/>
      <c r="I183" s="76" t="s">
        <v>288</v>
      </c>
    </row>
    <row r="184" ht="15.75" customHeight="1">
      <c r="A184" s="77">
        <v>43443.0</v>
      </c>
      <c r="B184" s="39" t="s">
        <v>1329</v>
      </c>
      <c r="C184" s="39" t="s">
        <v>1330</v>
      </c>
      <c r="D184" s="75" t="s">
        <v>1331</v>
      </c>
      <c r="E184" s="39"/>
      <c r="F184" s="39"/>
      <c r="G184" s="39" t="s">
        <v>1305</v>
      </c>
      <c r="H184" s="39"/>
      <c r="I184" s="76" t="s">
        <v>288</v>
      </c>
    </row>
    <row r="185" ht="15.75" customHeight="1">
      <c r="A185" s="77">
        <v>43443.0</v>
      </c>
      <c r="B185" s="39" t="s">
        <v>1332</v>
      </c>
      <c r="C185" s="39" t="s">
        <v>1333</v>
      </c>
      <c r="D185" s="75" t="s">
        <v>1334</v>
      </c>
      <c r="E185" s="39"/>
      <c r="F185" s="39"/>
      <c r="G185" s="39" t="s">
        <v>1335</v>
      </c>
      <c r="H185" s="39"/>
      <c r="I185" s="76" t="s">
        <v>168</v>
      </c>
    </row>
    <row r="186" ht="15.75" customHeight="1">
      <c r="A186" s="77">
        <v>43443.0</v>
      </c>
      <c r="B186" s="39" t="s">
        <v>1336</v>
      </c>
      <c r="C186" s="39" t="s">
        <v>1337</v>
      </c>
      <c r="D186" s="75" t="s">
        <v>1338</v>
      </c>
      <c r="E186" s="39" t="s">
        <v>1339</v>
      </c>
      <c r="F186" s="39"/>
      <c r="G186" s="39" t="s">
        <v>1340</v>
      </c>
      <c r="H186" s="39"/>
      <c r="I186" s="76" t="s">
        <v>86</v>
      </c>
    </row>
    <row r="187" ht="15.75" customHeight="1">
      <c r="A187" s="77">
        <v>43444.0</v>
      </c>
      <c r="B187" s="39" t="s">
        <v>1341</v>
      </c>
      <c r="C187" s="39" t="s">
        <v>1342</v>
      </c>
      <c r="D187" s="75" t="s">
        <v>1343</v>
      </c>
      <c r="E187" s="39" t="s">
        <v>1344</v>
      </c>
      <c r="F187" s="39"/>
      <c r="G187" s="39" t="s">
        <v>156</v>
      </c>
      <c r="H187" s="39"/>
      <c r="I187" s="39" t="s">
        <v>151</v>
      </c>
    </row>
    <row r="188" ht="15.75" customHeight="1">
      <c r="A188" s="77">
        <v>43444.0</v>
      </c>
      <c r="B188" s="39" t="s">
        <v>1345</v>
      </c>
      <c r="C188" s="39" t="s">
        <v>1346</v>
      </c>
      <c r="D188" s="75" t="s">
        <v>1347</v>
      </c>
      <c r="E188" s="39" t="s">
        <v>1348</v>
      </c>
      <c r="F188" s="39"/>
      <c r="G188" s="39" t="s">
        <v>71</v>
      </c>
      <c r="H188" s="39"/>
      <c r="I188" s="39" t="s">
        <v>97</v>
      </c>
    </row>
    <row r="189" ht="15.75" customHeight="1">
      <c r="A189" s="77">
        <v>43444.0</v>
      </c>
      <c r="B189" s="39" t="s">
        <v>1349</v>
      </c>
      <c r="C189" s="39" t="s">
        <v>1350</v>
      </c>
      <c r="D189" s="39"/>
      <c r="E189" s="39" t="s">
        <v>1351</v>
      </c>
      <c r="F189" s="39"/>
      <c r="G189" s="39" t="s">
        <v>71</v>
      </c>
      <c r="H189" s="39"/>
      <c r="I189" s="76" t="s">
        <v>331</v>
      </c>
    </row>
    <row r="190" ht="15.75" customHeight="1">
      <c r="A190" s="77">
        <v>43445.0</v>
      </c>
      <c r="B190" s="39" t="s">
        <v>1352</v>
      </c>
      <c r="C190" s="39" t="s">
        <v>1353</v>
      </c>
      <c r="D190" s="75" t="s">
        <v>1354</v>
      </c>
      <c r="E190" s="39"/>
      <c r="F190" s="39"/>
      <c r="G190" s="39" t="s">
        <v>71</v>
      </c>
      <c r="H190" s="39"/>
      <c r="I190" s="76" t="s">
        <v>86</v>
      </c>
    </row>
    <row r="191" ht="15.75" customHeight="1">
      <c r="A191" s="77">
        <v>43445.0</v>
      </c>
      <c r="B191" s="84" t="s">
        <v>1355</v>
      </c>
      <c r="C191" s="39" t="s">
        <v>1356</v>
      </c>
      <c r="D191" s="75" t="s">
        <v>1357</v>
      </c>
      <c r="E191" s="39"/>
      <c r="F191" s="39"/>
      <c r="G191" s="39" t="s">
        <v>49</v>
      </c>
      <c r="H191" s="39"/>
      <c r="I191" s="76" t="s">
        <v>86</v>
      </c>
    </row>
    <row r="192" ht="15.75" customHeight="1">
      <c r="A192" s="105">
        <v>43445.0</v>
      </c>
      <c r="B192" s="91" t="s">
        <v>1358</v>
      </c>
      <c r="C192" s="91" t="s">
        <v>1359</v>
      </c>
      <c r="D192" s="92" t="s">
        <v>1360</v>
      </c>
      <c r="E192" s="91"/>
      <c r="F192" s="91"/>
      <c r="G192" s="91" t="s">
        <v>1089</v>
      </c>
      <c r="H192" s="91"/>
      <c r="I192" s="91" t="s">
        <v>168</v>
      </c>
      <c r="J192" s="93" t="s">
        <v>274</v>
      </c>
      <c r="K192" s="93"/>
      <c r="L192" s="93"/>
      <c r="M192" s="93"/>
      <c r="N192" s="93"/>
      <c r="O192" s="93"/>
      <c r="P192" s="93"/>
      <c r="Q192" s="93"/>
      <c r="R192" s="93"/>
      <c r="S192" s="93"/>
      <c r="T192" s="93"/>
      <c r="U192" s="93"/>
      <c r="V192" s="93"/>
      <c r="W192" s="93"/>
      <c r="X192" s="93"/>
      <c r="Y192" s="93"/>
      <c r="Z192" s="93"/>
      <c r="AA192" s="93"/>
      <c r="AB192" s="93"/>
      <c r="AC192" s="93"/>
      <c r="AD192" s="93"/>
      <c r="AE192" s="93"/>
      <c r="AF192" s="93"/>
      <c r="AG192" s="93"/>
      <c r="AH192" s="93"/>
    </row>
    <row r="193" ht="15.75" customHeight="1">
      <c r="A193" s="77">
        <v>43445.0</v>
      </c>
      <c r="B193" s="12" t="s">
        <v>1361</v>
      </c>
      <c r="C193" s="13" t="s">
        <v>1362</v>
      </c>
      <c r="D193" s="13" t="s">
        <v>1363</v>
      </c>
      <c r="E193" s="12" t="s">
        <v>1364</v>
      </c>
      <c r="F193" s="39"/>
      <c r="G193" s="12" t="s">
        <v>49</v>
      </c>
      <c r="H193" s="39"/>
      <c r="I193" s="76" t="s">
        <v>86</v>
      </c>
      <c r="J193" s="93" t="s">
        <v>274</v>
      </c>
    </row>
    <row r="194" ht="15.75" customHeight="1">
      <c r="A194" s="77">
        <v>43445.0</v>
      </c>
      <c r="B194" s="39" t="s">
        <v>1365</v>
      </c>
      <c r="C194" s="39" t="s">
        <v>1366</v>
      </c>
      <c r="D194" s="75" t="s">
        <v>1367</v>
      </c>
      <c r="E194" s="39" t="s">
        <v>1368</v>
      </c>
      <c r="F194" s="39"/>
      <c r="G194" s="12" t="s">
        <v>71</v>
      </c>
      <c r="H194" s="39"/>
      <c r="I194" s="76" t="s">
        <v>1369</v>
      </c>
      <c r="J194" s="93" t="s">
        <v>274</v>
      </c>
    </row>
    <row r="195" ht="15.75" customHeight="1">
      <c r="A195" s="105">
        <v>43446.0</v>
      </c>
      <c r="B195" s="91" t="s">
        <v>1370</v>
      </c>
      <c r="C195" s="91" t="s">
        <v>1371</v>
      </c>
      <c r="D195" s="92" t="s">
        <v>1372</v>
      </c>
      <c r="E195" s="91"/>
      <c r="F195" s="91"/>
      <c r="G195" s="91" t="s">
        <v>1089</v>
      </c>
      <c r="H195" s="91"/>
      <c r="I195" s="91" t="s">
        <v>168</v>
      </c>
      <c r="J195" s="93" t="s">
        <v>274</v>
      </c>
      <c r="K195" s="93"/>
      <c r="L195" s="93"/>
      <c r="M195" s="93"/>
      <c r="N195" s="93"/>
      <c r="O195" s="93"/>
      <c r="P195" s="93"/>
      <c r="Q195" s="93"/>
      <c r="R195" s="93"/>
      <c r="S195" s="93"/>
      <c r="T195" s="93"/>
      <c r="U195" s="93"/>
      <c r="V195" s="93"/>
      <c r="W195" s="93"/>
      <c r="X195" s="93"/>
      <c r="Y195" s="93"/>
      <c r="Z195" s="93"/>
      <c r="AA195" s="93"/>
      <c r="AB195" s="93"/>
      <c r="AC195" s="93"/>
      <c r="AD195" s="93"/>
      <c r="AE195" s="93"/>
      <c r="AF195" s="93"/>
      <c r="AG195" s="93"/>
      <c r="AH195" s="93"/>
    </row>
    <row r="196" ht="15.75" customHeight="1">
      <c r="A196" s="105">
        <v>43446.0</v>
      </c>
      <c r="B196" s="91" t="s">
        <v>1373</v>
      </c>
      <c r="C196" s="91" t="s">
        <v>1374</v>
      </c>
      <c r="D196" s="92" t="s">
        <v>1375</v>
      </c>
      <c r="E196" s="91"/>
      <c r="F196" s="91"/>
      <c r="G196" s="91" t="s">
        <v>1089</v>
      </c>
      <c r="H196" s="91"/>
      <c r="I196" s="91" t="s">
        <v>168</v>
      </c>
      <c r="J196" s="93" t="s">
        <v>274</v>
      </c>
      <c r="K196" s="93"/>
      <c r="L196" s="93"/>
      <c r="M196" s="93"/>
      <c r="N196" s="93"/>
      <c r="O196" s="93"/>
      <c r="P196" s="93"/>
      <c r="Q196" s="93"/>
      <c r="R196" s="93"/>
      <c r="S196" s="93"/>
      <c r="T196" s="93"/>
      <c r="U196" s="93"/>
      <c r="V196" s="93"/>
      <c r="W196" s="93"/>
      <c r="X196" s="93"/>
      <c r="Y196" s="93"/>
      <c r="Z196" s="93"/>
      <c r="AA196" s="93"/>
      <c r="AB196" s="93"/>
      <c r="AC196" s="93"/>
      <c r="AD196" s="93"/>
      <c r="AE196" s="93"/>
      <c r="AF196" s="93"/>
      <c r="AG196" s="93"/>
      <c r="AH196" s="93"/>
    </row>
    <row r="197" ht="15.75" customHeight="1">
      <c r="A197" s="77">
        <v>43446.0</v>
      </c>
      <c r="B197" s="39" t="s">
        <v>1376</v>
      </c>
      <c r="C197" s="39" t="s">
        <v>1377</v>
      </c>
      <c r="D197" s="75" t="s">
        <v>1378</v>
      </c>
      <c r="E197" s="39" t="s">
        <v>1379</v>
      </c>
      <c r="F197" s="39"/>
      <c r="G197" s="39" t="s">
        <v>183</v>
      </c>
      <c r="H197" s="39"/>
      <c r="I197" s="76" t="s">
        <v>55</v>
      </c>
      <c r="J197" s="6" t="s">
        <v>1380</v>
      </c>
    </row>
    <row r="198" ht="15.75" customHeight="1">
      <c r="A198" s="77">
        <v>43446.0</v>
      </c>
      <c r="B198" s="39" t="s">
        <v>1381</v>
      </c>
      <c r="C198" s="39" t="s">
        <v>1382</v>
      </c>
      <c r="D198" s="75" t="s">
        <v>1383</v>
      </c>
      <c r="E198" s="39" t="s">
        <v>1384</v>
      </c>
      <c r="F198" s="39"/>
      <c r="G198" s="39" t="s">
        <v>183</v>
      </c>
      <c r="H198" s="39"/>
      <c r="I198" s="76" t="s">
        <v>55</v>
      </c>
      <c r="J198" s="6" t="s">
        <v>1380</v>
      </c>
    </row>
    <row r="199" ht="15.75" customHeight="1">
      <c r="A199" s="105">
        <v>43446.0</v>
      </c>
      <c r="B199" s="91" t="s">
        <v>1385</v>
      </c>
      <c r="C199" s="91" t="s">
        <v>1386</v>
      </c>
      <c r="D199" s="91">
        <v>8.064775363E9</v>
      </c>
      <c r="E199" s="91"/>
      <c r="F199" s="91"/>
      <c r="G199" s="91" t="s">
        <v>1089</v>
      </c>
      <c r="H199" s="91"/>
      <c r="I199" s="91" t="s">
        <v>168</v>
      </c>
      <c r="J199" s="6" t="s">
        <v>1380</v>
      </c>
      <c r="K199" s="93"/>
      <c r="L199" s="93"/>
      <c r="M199" s="93"/>
      <c r="N199" s="93"/>
      <c r="O199" s="93"/>
      <c r="P199" s="93"/>
      <c r="Q199" s="93"/>
      <c r="R199" s="93"/>
      <c r="S199" s="93"/>
      <c r="T199" s="93"/>
      <c r="U199" s="93"/>
      <c r="V199" s="93"/>
      <c r="W199" s="93"/>
      <c r="X199" s="93"/>
      <c r="Y199" s="93"/>
      <c r="Z199" s="93"/>
      <c r="AA199" s="93"/>
      <c r="AB199" s="93"/>
      <c r="AC199" s="93"/>
      <c r="AD199" s="93"/>
      <c r="AE199" s="93"/>
      <c r="AF199" s="93"/>
      <c r="AG199" s="93"/>
      <c r="AH199" s="93"/>
    </row>
    <row r="200" ht="15.0" customHeight="1">
      <c r="A200" s="105">
        <v>43447.0</v>
      </c>
      <c r="B200" s="91" t="s">
        <v>1387</v>
      </c>
      <c r="C200" s="91" t="s">
        <v>1388</v>
      </c>
      <c r="D200" s="92" t="s">
        <v>1389</v>
      </c>
      <c r="E200" s="91"/>
      <c r="F200" s="91"/>
      <c r="G200" s="91" t="s">
        <v>1089</v>
      </c>
      <c r="H200" s="91"/>
      <c r="I200" s="91" t="s">
        <v>168</v>
      </c>
      <c r="J200" s="6" t="s">
        <v>1380</v>
      </c>
      <c r="K200" s="93"/>
      <c r="L200" s="93"/>
      <c r="M200" s="93"/>
      <c r="N200" s="93"/>
      <c r="O200" s="93"/>
      <c r="P200" s="93"/>
      <c r="Q200" s="93"/>
      <c r="R200" s="93"/>
      <c r="S200" s="93"/>
      <c r="T200" s="93"/>
      <c r="U200" s="93"/>
      <c r="V200" s="93"/>
      <c r="W200" s="93"/>
      <c r="X200" s="93"/>
      <c r="Y200" s="93"/>
      <c r="Z200" s="93"/>
      <c r="AA200" s="93"/>
      <c r="AB200" s="93"/>
      <c r="AC200" s="93"/>
      <c r="AD200" s="93"/>
      <c r="AE200" s="93"/>
      <c r="AF200" s="93"/>
      <c r="AG200" s="93"/>
      <c r="AH200" s="93"/>
    </row>
    <row r="201" ht="15.75" customHeight="1">
      <c r="A201" s="77">
        <v>43447.0</v>
      </c>
      <c r="B201" s="6" t="s">
        <v>27</v>
      </c>
      <c r="C201" s="6" t="s">
        <v>28</v>
      </c>
      <c r="D201" s="39"/>
      <c r="E201" s="39" t="s">
        <v>1390</v>
      </c>
      <c r="F201" s="39"/>
      <c r="G201" s="6" t="s">
        <v>1391</v>
      </c>
      <c r="H201" s="39"/>
      <c r="I201" s="76" t="s">
        <v>86</v>
      </c>
      <c r="J201" s="6" t="s">
        <v>1380</v>
      </c>
    </row>
    <row r="202" ht="15.75" customHeight="1">
      <c r="A202" s="77">
        <v>43449.0</v>
      </c>
      <c r="B202" s="6" t="s">
        <v>1392</v>
      </c>
      <c r="C202" s="6" t="s">
        <v>1393</v>
      </c>
      <c r="D202" s="39" t="s">
        <v>1394</v>
      </c>
      <c r="E202" s="39"/>
      <c r="F202" s="39"/>
      <c r="G202" s="6" t="s">
        <v>1395</v>
      </c>
      <c r="H202" s="39" t="s">
        <v>819</v>
      </c>
      <c r="I202" s="85" t="s">
        <v>1396</v>
      </c>
    </row>
    <row r="203" ht="15.75" customHeight="1">
      <c r="A203" s="77">
        <v>43449.0</v>
      </c>
      <c r="B203" s="7" t="s">
        <v>1397</v>
      </c>
      <c r="C203" s="6" t="s">
        <v>1398</v>
      </c>
      <c r="D203" s="75" t="s">
        <v>1399</v>
      </c>
      <c r="E203" s="39" t="s">
        <v>1400</v>
      </c>
      <c r="F203" s="39"/>
      <c r="G203" s="6" t="s">
        <v>284</v>
      </c>
      <c r="H203" s="39" t="s">
        <v>819</v>
      </c>
      <c r="I203" s="85" t="s">
        <v>819</v>
      </c>
    </row>
    <row r="204" ht="15.75" customHeight="1">
      <c r="A204" s="77">
        <v>43449.0</v>
      </c>
      <c r="B204" s="6" t="s">
        <v>1401</v>
      </c>
      <c r="C204" s="6" t="s">
        <v>1402</v>
      </c>
      <c r="D204" s="39" t="s">
        <v>1403</v>
      </c>
      <c r="E204" s="39"/>
      <c r="F204" s="39"/>
      <c r="G204" s="6" t="s">
        <v>1404</v>
      </c>
      <c r="H204" s="39"/>
      <c r="I204" s="76" t="s">
        <v>1405</v>
      </c>
    </row>
    <row r="205" ht="15.75" customHeight="1">
      <c r="A205" s="77">
        <v>43449.0</v>
      </c>
      <c r="B205" s="6" t="s">
        <v>1406</v>
      </c>
      <c r="C205" s="6" t="s">
        <v>1407</v>
      </c>
      <c r="D205" s="75" t="s">
        <v>1408</v>
      </c>
      <c r="E205" s="39" t="s">
        <v>1409</v>
      </c>
      <c r="F205" s="39"/>
      <c r="G205" s="6" t="s">
        <v>1410</v>
      </c>
      <c r="H205" s="39"/>
      <c r="I205" s="76" t="s">
        <v>1405</v>
      </c>
    </row>
    <row r="206" ht="15.75" customHeight="1">
      <c r="A206" s="77">
        <v>43449.0</v>
      </c>
      <c r="B206" s="39" t="s">
        <v>1411</v>
      </c>
      <c r="C206" s="39" t="s">
        <v>1412</v>
      </c>
      <c r="D206" s="75" t="s">
        <v>1413</v>
      </c>
      <c r="E206" s="39" t="s">
        <v>1414</v>
      </c>
      <c r="F206" s="39"/>
      <c r="G206" s="6" t="s">
        <v>1415</v>
      </c>
      <c r="H206" s="39"/>
      <c r="I206" s="76" t="s">
        <v>288</v>
      </c>
    </row>
    <row r="207" ht="15.75" customHeight="1">
      <c r="A207" s="77">
        <v>43449.0</v>
      </c>
      <c r="B207" s="6" t="s">
        <v>1416</v>
      </c>
      <c r="C207" s="6" t="s">
        <v>1417</v>
      </c>
      <c r="D207" s="7" t="s">
        <v>1418</v>
      </c>
      <c r="E207" s="39"/>
      <c r="F207" s="39"/>
      <c r="G207" s="6" t="s">
        <v>1419</v>
      </c>
      <c r="H207" s="39"/>
      <c r="I207" s="76" t="s">
        <v>86</v>
      </c>
    </row>
    <row r="208" ht="15.75" customHeight="1">
      <c r="A208" s="77">
        <v>43449.0</v>
      </c>
      <c r="B208" s="6" t="s">
        <v>1420</v>
      </c>
      <c r="C208" s="6" t="s">
        <v>1350</v>
      </c>
      <c r="D208" s="39" t="s">
        <v>1421</v>
      </c>
      <c r="E208" s="6" t="s">
        <v>1422</v>
      </c>
      <c r="F208" s="39"/>
      <c r="G208" s="6" t="s">
        <v>1419</v>
      </c>
      <c r="H208" s="39"/>
      <c r="I208" s="39" t="s">
        <v>151</v>
      </c>
    </row>
    <row r="209" ht="15.75" customHeight="1">
      <c r="A209" s="77">
        <v>43449.0</v>
      </c>
      <c r="B209" s="6" t="s">
        <v>1423</v>
      </c>
      <c r="C209" s="39" t="s">
        <v>1424</v>
      </c>
      <c r="D209" s="75" t="s">
        <v>1425</v>
      </c>
      <c r="E209" s="39"/>
      <c r="F209" s="39"/>
      <c r="G209" s="6" t="s">
        <v>1419</v>
      </c>
      <c r="H209" s="39"/>
      <c r="I209" s="39" t="s">
        <v>151</v>
      </c>
    </row>
    <row r="210" ht="15.75" customHeight="1">
      <c r="A210" s="77">
        <v>43449.0</v>
      </c>
      <c r="B210" s="39" t="s">
        <v>1426</v>
      </c>
      <c r="C210" s="6" t="s">
        <v>1427</v>
      </c>
      <c r="D210" s="7" t="s">
        <v>1428</v>
      </c>
      <c r="E210" s="6" t="s">
        <v>1429</v>
      </c>
      <c r="F210" s="39"/>
      <c r="G210" s="6" t="s">
        <v>1430</v>
      </c>
      <c r="H210" s="39"/>
      <c r="I210" s="76" t="s">
        <v>288</v>
      </c>
    </row>
    <row r="211" ht="15.75" customHeight="1">
      <c r="A211" s="77">
        <v>43449.0</v>
      </c>
      <c r="B211" s="12" t="s">
        <v>1431</v>
      </c>
      <c r="C211" s="12" t="s">
        <v>1432</v>
      </c>
      <c r="D211" s="13" t="s">
        <v>1433</v>
      </c>
      <c r="E211" s="12" t="s">
        <v>1434</v>
      </c>
      <c r="F211" s="39"/>
      <c r="G211" s="12" t="s">
        <v>71</v>
      </c>
      <c r="H211" s="39"/>
      <c r="I211" s="76" t="s">
        <v>13</v>
      </c>
    </row>
    <row r="212" ht="15.75" customHeight="1">
      <c r="A212" s="77">
        <v>43449.0</v>
      </c>
      <c r="B212" s="6" t="s">
        <v>1435</v>
      </c>
      <c r="C212" s="6" t="s">
        <v>1436</v>
      </c>
      <c r="D212" s="13" t="s">
        <v>1437</v>
      </c>
      <c r="E212" s="39"/>
      <c r="F212" s="39"/>
      <c r="G212" s="12" t="s">
        <v>115</v>
      </c>
      <c r="H212" s="39"/>
      <c r="I212" s="76" t="s">
        <v>1438</v>
      </c>
    </row>
    <row r="213" ht="15.75" customHeight="1">
      <c r="A213" s="77">
        <v>43449.0</v>
      </c>
      <c r="B213" s="6" t="s">
        <v>1439</v>
      </c>
      <c r="C213" s="6" t="s">
        <v>1440</v>
      </c>
      <c r="D213" s="7" t="s">
        <v>1441</v>
      </c>
      <c r="E213" s="39"/>
      <c r="F213" s="39"/>
      <c r="G213" s="6" t="s">
        <v>115</v>
      </c>
      <c r="H213" s="39"/>
      <c r="I213" s="76" t="s">
        <v>1442</v>
      </c>
    </row>
    <row r="214" ht="15.75" customHeight="1">
      <c r="A214" s="77">
        <v>43449.0</v>
      </c>
      <c r="B214" s="6" t="s">
        <v>1443</v>
      </c>
      <c r="C214" s="6" t="s">
        <v>1444</v>
      </c>
      <c r="D214" s="7" t="s">
        <v>1445</v>
      </c>
      <c r="E214" s="6" t="s">
        <v>1446</v>
      </c>
      <c r="F214" s="39"/>
      <c r="G214" s="6" t="s">
        <v>115</v>
      </c>
      <c r="H214" s="39"/>
      <c r="I214" s="76" t="s">
        <v>331</v>
      </c>
    </row>
    <row r="215" ht="15.75" customHeight="1">
      <c r="A215" s="77">
        <v>43449.0</v>
      </c>
      <c r="B215" s="6" t="s">
        <v>836</v>
      </c>
      <c r="C215" s="6" t="s">
        <v>1447</v>
      </c>
      <c r="D215" s="39"/>
      <c r="E215" s="6" t="s">
        <v>1448</v>
      </c>
      <c r="F215" s="39"/>
      <c r="G215" s="6" t="s">
        <v>1449</v>
      </c>
      <c r="H215" s="39"/>
      <c r="I215" s="76" t="s">
        <v>168</v>
      </c>
    </row>
    <row r="216" ht="15.75" customHeight="1">
      <c r="A216" s="77">
        <v>43451.0</v>
      </c>
      <c r="B216" s="6" t="s">
        <v>1450</v>
      </c>
      <c r="C216" s="6" t="s">
        <v>1451</v>
      </c>
      <c r="D216" s="75" t="s">
        <v>1452</v>
      </c>
      <c r="E216" s="39" t="s">
        <v>1453</v>
      </c>
      <c r="F216" s="39"/>
      <c r="G216" s="6" t="s">
        <v>71</v>
      </c>
      <c r="H216" s="39"/>
      <c r="I216" s="76" t="s">
        <v>60</v>
      </c>
    </row>
    <row r="217" ht="15.75" customHeight="1">
      <c r="A217" s="77">
        <v>43451.0</v>
      </c>
      <c r="B217" s="6" t="s">
        <v>1454</v>
      </c>
      <c r="C217" s="6" t="s">
        <v>1455</v>
      </c>
      <c r="D217" s="7" t="s">
        <v>1456</v>
      </c>
      <c r="E217" s="39" t="s">
        <v>1457</v>
      </c>
      <c r="F217" s="39"/>
      <c r="G217" s="6" t="s">
        <v>33</v>
      </c>
      <c r="H217" s="39"/>
      <c r="I217" s="76" t="s">
        <v>1458</v>
      </c>
      <c r="AG217" s="6" t="s">
        <v>1459</v>
      </c>
      <c r="AH217" s="6"/>
    </row>
    <row r="218" ht="15.75" customHeight="1">
      <c r="A218" s="77">
        <v>43451.0</v>
      </c>
      <c r="B218" s="6" t="s">
        <v>1460</v>
      </c>
      <c r="C218" s="6" t="s">
        <v>1461</v>
      </c>
      <c r="D218" s="6">
        <v>5.06366188E8</v>
      </c>
      <c r="E218" s="39" t="s">
        <v>1462</v>
      </c>
      <c r="F218" s="39"/>
      <c r="G218" s="6" t="s">
        <v>71</v>
      </c>
      <c r="H218" s="39"/>
      <c r="I218" s="76" t="s">
        <v>1463</v>
      </c>
    </row>
    <row r="219" ht="15.75" customHeight="1">
      <c r="A219" s="77">
        <v>43451.0</v>
      </c>
      <c r="B219" s="6" t="s">
        <v>1464</v>
      </c>
      <c r="C219" s="6" t="s">
        <v>1465</v>
      </c>
      <c r="D219" s="7" t="s">
        <v>1466</v>
      </c>
      <c r="E219" s="6" t="s">
        <v>1467</v>
      </c>
      <c r="F219" s="39"/>
      <c r="G219" s="6" t="s">
        <v>1468</v>
      </c>
      <c r="H219" s="39"/>
      <c r="I219" s="76" t="s">
        <v>1469</v>
      </c>
    </row>
    <row r="220" ht="15.75" customHeight="1">
      <c r="A220" s="77">
        <v>43451.0</v>
      </c>
      <c r="B220" s="6" t="s">
        <v>1470</v>
      </c>
      <c r="C220" s="6" t="s">
        <v>1471</v>
      </c>
      <c r="D220" s="75" t="s">
        <v>1472</v>
      </c>
      <c r="E220" s="39"/>
      <c r="F220" s="39"/>
      <c r="G220" s="6" t="s">
        <v>1473</v>
      </c>
      <c r="H220" s="39"/>
      <c r="I220" s="76" t="s">
        <v>288</v>
      </c>
    </row>
    <row r="221" ht="15.75" customHeight="1">
      <c r="A221" s="77">
        <v>43451.0</v>
      </c>
      <c r="B221" s="6" t="s">
        <v>1474</v>
      </c>
      <c r="C221" s="6" t="s">
        <v>1475</v>
      </c>
      <c r="D221" s="7" t="s">
        <v>1476</v>
      </c>
      <c r="E221" s="39" t="s">
        <v>1477</v>
      </c>
      <c r="F221" s="39"/>
      <c r="G221" s="6" t="s">
        <v>1473</v>
      </c>
      <c r="H221" s="39"/>
      <c r="I221" s="76" t="s">
        <v>288</v>
      </c>
    </row>
    <row r="222" ht="15.75" customHeight="1">
      <c r="A222" s="77">
        <v>43451.0</v>
      </c>
      <c r="B222" s="6" t="s">
        <v>1478</v>
      </c>
      <c r="C222" s="7" t="s">
        <v>1479</v>
      </c>
      <c r="D222" s="7" t="s">
        <v>1479</v>
      </c>
      <c r="E222" s="6" t="s">
        <v>1480</v>
      </c>
      <c r="F222" s="39"/>
      <c r="G222" s="6" t="s">
        <v>1481</v>
      </c>
      <c r="H222" s="39"/>
      <c r="I222" s="85" t="s">
        <v>288</v>
      </c>
    </row>
    <row r="223" ht="15.75" customHeight="1">
      <c r="A223" s="77">
        <v>43451.0</v>
      </c>
      <c r="B223" s="6" t="s">
        <v>1482</v>
      </c>
      <c r="C223" s="6" t="s">
        <v>1483</v>
      </c>
      <c r="D223" s="75" t="s">
        <v>1484</v>
      </c>
      <c r="E223" s="39"/>
      <c r="F223" s="39"/>
      <c r="G223" s="6" t="s">
        <v>1485</v>
      </c>
      <c r="H223" s="39"/>
      <c r="I223" s="76" t="s">
        <v>55</v>
      </c>
    </row>
    <row r="224" ht="15.75" customHeight="1">
      <c r="A224" s="77">
        <v>43452.0</v>
      </c>
      <c r="B224" s="6" t="s">
        <v>1486</v>
      </c>
      <c r="C224" s="6" t="s">
        <v>1487</v>
      </c>
      <c r="D224" s="75" t="s">
        <v>1488</v>
      </c>
      <c r="E224" s="39" t="s">
        <v>1489</v>
      </c>
      <c r="F224" s="39"/>
      <c r="G224" s="6" t="s">
        <v>1490</v>
      </c>
      <c r="H224" s="39"/>
      <c r="I224" s="76" t="s">
        <v>55</v>
      </c>
    </row>
    <row r="225" ht="15.75" customHeight="1">
      <c r="A225" s="77">
        <v>43452.0</v>
      </c>
      <c r="B225" s="6" t="s">
        <v>1491</v>
      </c>
      <c r="C225" s="6" t="s">
        <v>1492</v>
      </c>
      <c r="D225" s="7" t="s">
        <v>1493</v>
      </c>
      <c r="E225" s="6" t="s">
        <v>1494</v>
      </c>
      <c r="F225" s="39"/>
      <c r="G225" s="6" t="s">
        <v>71</v>
      </c>
      <c r="H225" s="39"/>
      <c r="I225" s="76" t="s">
        <v>55</v>
      </c>
    </row>
    <row r="226" ht="15.75" customHeight="1">
      <c r="A226" s="81">
        <v>43453.0</v>
      </c>
      <c r="B226" s="6" t="s">
        <v>1495</v>
      </c>
      <c r="C226" s="6" t="s">
        <v>1496</v>
      </c>
      <c r="D226" s="75" t="s">
        <v>1497</v>
      </c>
      <c r="E226" s="39" t="s">
        <v>1498</v>
      </c>
      <c r="F226" s="39"/>
      <c r="G226" s="6" t="s">
        <v>71</v>
      </c>
      <c r="H226" s="39"/>
      <c r="I226" s="76" t="s">
        <v>50</v>
      </c>
    </row>
    <row r="227" ht="15.75" customHeight="1">
      <c r="A227" s="81">
        <v>43453.0</v>
      </c>
      <c r="B227" s="6" t="s">
        <v>1499</v>
      </c>
      <c r="C227" s="6" t="s">
        <v>1500</v>
      </c>
      <c r="D227" s="7" t="s">
        <v>1501</v>
      </c>
      <c r="E227" s="6" t="s">
        <v>1502</v>
      </c>
      <c r="F227" s="39"/>
      <c r="G227" s="6" t="s">
        <v>115</v>
      </c>
      <c r="H227" s="39"/>
      <c r="I227" s="85" t="s">
        <v>1503</v>
      </c>
    </row>
    <row r="228" ht="15.75" customHeight="1">
      <c r="A228" s="81">
        <v>43453.0</v>
      </c>
      <c r="B228" s="6" t="s">
        <v>1504</v>
      </c>
      <c r="C228" s="6" t="s">
        <v>1505</v>
      </c>
      <c r="D228" s="6">
        <v>8.8977831546E10</v>
      </c>
      <c r="E228" s="39" t="s">
        <v>1506</v>
      </c>
      <c r="F228" s="39"/>
      <c r="G228" s="6" t="s">
        <v>126</v>
      </c>
      <c r="H228" s="39"/>
      <c r="I228" s="106" t="s">
        <v>60</v>
      </c>
    </row>
    <row r="229" ht="15.75" customHeight="1">
      <c r="A229" s="81">
        <v>43453.0</v>
      </c>
      <c r="B229" s="6" t="s">
        <v>1507</v>
      </c>
      <c r="C229" s="6" t="s">
        <v>1508</v>
      </c>
      <c r="D229" s="75" t="s">
        <v>1509</v>
      </c>
      <c r="E229" s="39" t="s">
        <v>1510</v>
      </c>
      <c r="F229" s="39"/>
      <c r="G229" s="6" t="s">
        <v>25</v>
      </c>
      <c r="H229" s="39"/>
      <c r="I229" s="85" t="s">
        <v>1503</v>
      </c>
    </row>
    <row r="230" ht="15.75" customHeight="1">
      <c r="A230" s="81">
        <v>43454.0</v>
      </c>
      <c r="B230" s="13" t="s">
        <v>1511</v>
      </c>
      <c r="C230" s="12" t="s">
        <v>1218</v>
      </c>
      <c r="D230" s="13" t="s">
        <v>1219</v>
      </c>
      <c r="E230" s="13" t="s">
        <v>1512</v>
      </c>
      <c r="F230" s="39"/>
      <c r="G230" s="12" t="s">
        <v>25</v>
      </c>
      <c r="H230" s="39"/>
      <c r="I230" s="76" t="s">
        <v>60</v>
      </c>
    </row>
    <row r="231" ht="15.75" customHeight="1">
      <c r="A231" s="81">
        <v>43454.0</v>
      </c>
      <c r="B231" s="12" t="s">
        <v>1513</v>
      </c>
      <c r="C231" s="12" t="s">
        <v>1244</v>
      </c>
      <c r="D231" s="12" t="s">
        <v>1514</v>
      </c>
      <c r="E231" s="13" t="s">
        <v>1515</v>
      </c>
      <c r="F231" s="39"/>
      <c r="G231" s="12" t="s">
        <v>1473</v>
      </c>
      <c r="H231" s="39"/>
      <c r="I231" s="76" t="s">
        <v>60</v>
      </c>
    </row>
    <row r="232" ht="15.75" customHeight="1">
      <c r="A232" s="81">
        <v>43456.0</v>
      </c>
      <c r="B232" s="6" t="s">
        <v>1516</v>
      </c>
      <c r="C232" s="6" t="s">
        <v>1517</v>
      </c>
      <c r="D232" s="7" t="s">
        <v>1518</v>
      </c>
      <c r="E232" s="39" t="s">
        <v>1519</v>
      </c>
      <c r="F232" s="39"/>
      <c r="G232" s="12" t="s">
        <v>25</v>
      </c>
      <c r="H232" s="39"/>
      <c r="I232" s="76" t="s">
        <v>60</v>
      </c>
    </row>
    <row r="233" ht="15.75" customHeight="1">
      <c r="A233" s="81">
        <v>43456.0</v>
      </c>
      <c r="B233" s="6" t="s">
        <v>1520</v>
      </c>
      <c r="C233" s="6" t="s">
        <v>1521</v>
      </c>
      <c r="D233" s="6" t="s">
        <v>1522</v>
      </c>
      <c r="E233" s="39" t="s">
        <v>1523</v>
      </c>
      <c r="F233" s="39"/>
      <c r="G233" s="6" t="s">
        <v>1524</v>
      </c>
      <c r="H233" s="39"/>
      <c r="I233" s="76" t="s">
        <v>60</v>
      </c>
    </row>
    <row r="234" ht="15.75" customHeight="1">
      <c r="A234" s="81">
        <v>43456.0</v>
      </c>
      <c r="B234" s="6" t="s">
        <v>1525</v>
      </c>
      <c r="C234" s="6" t="s">
        <v>1526</v>
      </c>
      <c r="D234" s="7" t="s">
        <v>1527</v>
      </c>
      <c r="E234" s="39"/>
      <c r="F234" s="39"/>
      <c r="G234" s="6" t="s">
        <v>1528</v>
      </c>
      <c r="H234" s="39"/>
      <c r="I234" s="76" t="s">
        <v>60</v>
      </c>
    </row>
    <row r="235" ht="15.75" customHeight="1">
      <c r="A235" s="81">
        <v>43456.0</v>
      </c>
      <c r="B235" s="6" t="s">
        <v>1529</v>
      </c>
      <c r="C235" s="6" t="s">
        <v>1530</v>
      </c>
      <c r="D235" s="7" t="s">
        <v>1531</v>
      </c>
      <c r="E235" s="39"/>
      <c r="F235" s="39"/>
      <c r="G235" s="6" t="s">
        <v>1532</v>
      </c>
      <c r="H235" s="39"/>
      <c r="I235" s="76" t="s">
        <v>60</v>
      </c>
    </row>
    <row r="236" ht="15.75" customHeight="1">
      <c r="A236" s="81">
        <v>43456.0</v>
      </c>
      <c r="B236" s="6" t="s">
        <v>27</v>
      </c>
      <c r="C236" s="6" t="s">
        <v>1533</v>
      </c>
      <c r="D236" s="39"/>
      <c r="E236" s="39" t="s">
        <v>1534</v>
      </c>
      <c r="F236" s="39"/>
      <c r="G236" s="6" t="s">
        <v>1535</v>
      </c>
      <c r="H236" s="39"/>
      <c r="I236" s="76" t="s">
        <v>1536</v>
      </c>
    </row>
    <row r="237" ht="15.75" customHeight="1">
      <c r="A237" s="97">
        <v>43457.0</v>
      </c>
      <c r="B237" s="107" t="s">
        <v>1537</v>
      </c>
      <c r="C237" s="98" t="s">
        <v>1538</v>
      </c>
      <c r="D237" s="99" t="s">
        <v>1539</v>
      </c>
      <c r="E237" s="98" t="s">
        <v>1540</v>
      </c>
      <c r="F237" s="98"/>
      <c r="G237" s="107" t="s">
        <v>1541</v>
      </c>
      <c r="H237" s="39" t="s">
        <v>86</v>
      </c>
      <c r="I237" s="76" t="s">
        <v>86</v>
      </c>
    </row>
    <row r="238" ht="15.75" customHeight="1">
      <c r="A238" s="81">
        <v>43457.0</v>
      </c>
      <c r="B238" s="108" t="s">
        <v>1542</v>
      </c>
      <c r="C238" s="108" t="s">
        <v>1543</v>
      </c>
      <c r="D238" s="109" t="s">
        <v>1544</v>
      </c>
      <c r="E238" s="108" t="s">
        <v>240</v>
      </c>
      <c r="F238" s="39"/>
      <c r="G238" s="108" t="s">
        <v>1473</v>
      </c>
      <c r="H238" s="39"/>
      <c r="I238" s="85" t="s">
        <v>55</v>
      </c>
    </row>
    <row r="239" ht="15.75" customHeight="1">
      <c r="A239" s="81">
        <v>43457.0</v>
      </c>
      <c r="B239" s="12" t="s">
        <v>1545</v>
      </c>
      <c r="C239" s="12" t="s">
        <v>1546</v>
      </c>
      <c r="D239" s="13" t="s">
        <v>1547</v>
      </c>
      <c r="E239" s="12" t="s">
        <v>1548</v>
      </c>
      <c r="F239" s="39"/>
      <c r="G239" s="12" t="s">
        <v>49</v>
      </c>
      <c r="H239" s="39"/>
      <c r="I239" s="76" t="s">
        <v>331</v>
      </c>
    </row>
    <row r="240" ht="15.75" customHeight="1">
      <c r="A240" s="81">
        <v>43457.0</v>
      </c>
      <c r="B240" s="6" t="s">
        <v>1549</v>
      </c>
      <c r="C240" s="39"/>
      <c r="D240" s="7" t="s">
        <v>1550</v>
      </c>
      <c r="E240" s="39"/>
      <c r="F240" s="39"/>
      <c r="G240" s="12" t="s">
        <v>1551</v>
      </c>
      <c r="H240" s="39" t="s">
        <v>1552</v>
      </c>
      <c r="I240" s="85" t="s">
        <v>106</v>
      </c>
    </row>
    <row r="241" ht="15.75" customHeight="1">
      <c r="A241" s="81">
        <v>43457.0</v>
      </c>
      <c r="B241" s="6" t="s">
        <v>1553</v>
      </c>
      <c r="C241" s="6" t="s">
        <v>1554</v>
      </c>
      <c r="D241" s="7" t="s">
        <v>1555</v>
      </c>
      <c r="E241" s="39" t="s">
        <v>1556</v>
      </c>
      <c r="F241" s="39"/>
      <c r="G241" s="6" t="s">
        <v>1557</v>
      </c>
      <c r="H241" s="39"/>
      <c r="I241" s="85" t="s">
        <v>97</v>
      </c>
    </row>
    <row r="242" ht="15.75" customHeight="1">
      <c r="A242" s="97">
        <v>43458.0</v>
      </c>
      <c r="B242" s="98" t="s">
        <v>1558</v>
      </c>
      <c r="C242" s="98"/>
      <c r="D242" s="99" t="s">
        <v>1559</v>
      </c>
      <c r="E242" s="98"/>
      <c r="F242" s="98" t="s">
        <v>1560</v>
      </c>
      <c r="G242" s="107" t="s">
        <v>1561</v>
      </c>
      <c r="H242" s="39"/>
      <c r="I242" s="85" t="s">
        <v>1562</v>
      </c>
    </row>
    <row r="243" ht="15.75" customHeight="1">
      <c r="A243" s="81">
        <v>43459.0</v>
      </c>
      <c r="B243" s="6" t="s">
        <v>1563</v>
      </c>
      <c r="C243" s="6" t="s">
        <v>1564</v>
      </c>
      <c r="D243" s="7" t="s">
        <v>1565</v>
      </c>
      <c r="E243" s="6" t="s">
        <v>1566</v>
      </c>
      <c r="F243" s="39"/>
      <c r="G243" s="6" t="s">
        <v>1557</v>
      </c>
      <c r="H243" s="39"/>
      <c r="I243" s="85" t="s">
        <v>39</v>
      </c>
    </row>
    <row r="244" ht="15.75" customHeight="1">
      <c r="A244" s="81">
        <v>43459.0</v>
      </c>
      <c r="B244" s="39" t="s">
        <v>1567</v>
      </c>
      <c r="C244" s="39" t="s">
        <v>1568</v>
      </c>
      <c r="D244" s="75" t="s">
        <v>1569</v>
      </c>
      <c r="E244" s="39"/>
      <c r="F244" s="39"/>
      <c r="G244" s="6" t="s">
        <v>1404</v>
      </c>
      <c r="H244" s="39"/>
      <c r="I244" s="85" t="s">
        <v>1405</v>
      </c>
    </row>
    <row r="245" ht="15.75" customHeight="1">
      <c r="A245" s="81">
        <v>43460.0</v>
      </c>
      <c r="B245" s="39" t="s">
        <v>1570</v>
      </c>
      <c r="C245" s="39" t="s">
        <v>1571</v>
      </c>
      <c r="D245" s="75" t="s">
        <v>1572</v>
      </c>
      <c r="E245" s="39" t="s">
        <v>1573</v>
      </c>
      <c r="F245" s="39"/>
      <c r="G245" s="6" t="s">
        <v>1404</v>
      </c>
      <c r="H245" s="39"/>
      <c r="I245" s="85" t="s">
        <v>1405</v>
      </c>
    </row>
    <row r="246" ht="15.75" customHeight="1">
      <c r="A246" s="81">
        <v>43460.0</v>
      </c>
      <c r="B246" s="12" t="s">
        <v>1574</v>
      </c>
      <c r="C246" s="12" t="s">
        <v>1575</v>
      </c>
      <c r="D246" s="13" t="s">
        <v>1576</v>
      </c>
      <c r="E246" s="12" t="s">
        <v>240</v>
      </c>
      <c r="F246" s="39"/>
      <c r="G246" s="12" t="s">
        <v>1404</v>
      </c>
      <c r="H246" s="39"/>
      <c r="I246" s="85" t="s">
        <v>1405</v>
      </c>
    </row>
    <row r="247" ht="15.75" customHeight="1">
      <c r="A247" s="110">
        <v>43461.0</v>
      </c>
      <c r="B247" s="45" t="s">
        <v>1577</v>
      </c>
      <c r="C247" s="45" t="s">
        <v>1578</v>
      </c>
      <c r="D247" s="111" t="s">
        <v>1579</v>
      </c>
      <c r="E247" s="44" t="s">
        <v>1580</v>
      </c>
      <c r="F247" s="45" t="s">
        <v>284</v>
      </c>
      <c r="H247" s="112" t="s">
        <v>1581</v>
      </c>
      <c r="I247" s="113" t="s">
        <v>179</v>
      </c>
      <c r="J247" s="113"/>
      <c r="K247" s="42"/>
      <c r="L247" s="42"/>
      <c r="M247" s="42"/>
      <c r="N247" s="42"/>
      <c r="O247" s="42"/>
      <c r="P247" s="42"/>
      <c r="Q247" s="42"/>
      <c r="R247" s="42"/>
      <c r="S247" s="42"/>
      <c r="T247" s="42"/>
      <c r="U247" s="42"/>
      <c r="V247" s="42"/>
      <c r="W247" s="42"/>
      <c r="X247" s="42"/>
      <c r="Y247" s="42"/>
      <c r="Z247" s="42"/>
      <c r="AA247" s="42"/>
      <c r="AB247" s="42"/>
      <c r="AC247" s="42"/>
      <c r="AD247" s="42"/>
      <c r="AE247" s="42"/>
      <c r="AF247" s="42"/>
      <c r="AG247" s="42"/>
      <c r="AH247" s="42"/>
    </row>
    <row r="248" ht="15.75" customHeight="1">
      <c r="A248" s="114">
        <v>43461.0</v>
      </c>
      <c r="B248" s="51" t="s">
        <v>1582</v>
      </c>
      <c r="C248" s="51" t="s">
        <v>1583</v>
      </c>
      <c r="D248" s="115" t="s">
        <v>1584</v>
      </c>
      <c r="E248" s="51" t="s">
        <v>1585</v>
      </c>
      <c r="F248" s="51" t="s">
        <v>1586</v>
      </c>
      <c r="G248" s="51" t="s">
        <v>1587</v>
      </c>
      <c r="H248" s="116"/>
      <c r="I248" s="117" t="s">
        <v>179</v>
      </c>
      <c r="J248" s="117"/>
    </row>
    <row r="249" ht="15.75" customHeight="1">
      <c r="A249" s="110">
        <v>43461.0</v>
      </c>
      <c r="B249" s="52" t="s">
        <v>1588</v>
      </c>
      <c r="C249" s="52" t="s">
        <v>1589</v>
      </c>
      <c r="D249" s="118" t="s">
        <v>1590</v>
      </c>
      <c r="E249" s="52">
        <v>3.0</v>
      </c>
      <c r="F249" s="15"/>
      <c r="G249" s="52" t="s">
        <v>1591</v>
      </c>
      <c r="H249" s="15"/>
      <c r="I249" s="119" t="s">
        <v>39</v>
      </c>
      <c r="J249" s="119"/>
    </row>
    <row r="250" ht="15.75" customHeight="1">
      <c r="A250" s="114">
        <v>43461.0</v>
      </c>
      <c r="B250" s="51" t="s">
        <v>978</v>
      </c>
      <c r="C250" s="51" t="s">
        <v>979</v>
      </c>
      <c r="D250" s="51" t="s">
        <v>667</v>
      </c>
      <c r="E250" s="51" t="s">
        <v>1592</v>
      </c>
      <c r="F250" s="116"/>
      <c r="G250" s="51" t="s">
        <v>1591</v>
      </c>
      <c r="H250" s="116"/>
      <c r="I250" s="120" t="s">
        <v>39</v>
      </c>
      <c r="J250" s="120"/>
    </row>
    <row r="251" ht="15.75" customHeight="1">
      <c r="A251" s="110">
        <v>43461.0</v>
      </c>
      <c r="B251" s="52" t="s">
        <v>1593</v>
      </c>
      <c r="C251" s="52" t="s">
        <v>1594</v>
      </c>
      <c r="D251" s="121" t="s">
        <v>1595</v>
      </c>
      <c r="E251" s="14"/>
      <c r="F251" s="15"/>
      <c r="G251" s="52" t="s">
        <v>1591</v>
      </c>
      <c r="H251" s="15"/>
      <c r="I251" s="16" t="s">
        <v>331</v>
      </c>
      <c r="J251" s="16"/>
    </row>
    <row r="252" ht="12.75" customHeight="1">
      <c r="A252" s="114">
        <v>43464.0</v>
      </c>
      <c r="B252" s="51" t="s">
        <v>1596</v>
      </c>
      <c r="C252" s="51" t="s">
        <v>1597</v>
      </c>
      <c r="D252" s="115" t="s">
        <v>1598</v>
      </c>
      <c r="E252" s="48" t="s">
        <v>1599</v>
      </c>
      <c r="F252" s="116"/>
      <c r="G252" s="51" t="s">
        <v>1600</v>
      </c>
      <c r="H252" s="116"/>
      <c r="I252" s="117" t="s">
        <v>1405</v>
      </c>
      <c r="J252" s="117"/>
    </row>
    <row r="253" ht="15.75" customHeight="1">
      <c r="A253" s="110">
        <v>43464.0</v>
      </c>
      <c r="B253" s="122" t="s">
        <v>1601</v>
      </c>
      <c r="C253" s="122" t="s">
        <v>1602</v>
      </c>
      <c r="D253" s="122" t="s">
        <v>1603</v>
      </c>
      <c r="E253" s="122" t="s">
        <v>1604</v>
      </c>
      <c r="G253" s="123" t="s">
        <v>1591</v>
      </c>
      <c r="H253" s="122"/>
      <c r="I253" s="124" t="s">
        <v>86</v>
      </c>
      <c r="J253" s="124"/>
    </row>
    <row r="254" ht="15.75" customHeight="1">
      <c r="A254" s="114">
        <v>43464.0</v>
      </c>
      <c r="B254" s="47" t="s">
        <v>1605</v>
      </c>
      <c r="C254" s="47"/>
      <c r="D254" s="125" t="s">
        <v>1606</v>
      </c>
      <c r="E254" s="47" t="s">
        <v>1607</v>
      </c>
      <c r="G254" s="47" t="s">
        <v>1608</v>
      </c>
      <c r="H254" s="47"/>
      <c r="I254" s="117" t="s">
        <v>179</v>
      </c>
      <c r="J254" s="117"/>
    </row>
    <row r="255" ht="15.75" customHeight="1">
      <c r="A255" s="126">
        <v>43464.0</v>
      </c>
      <c r="B255" s="15" t="s">
        <v>1609</v>
      </c>
      <c r="C255" s="14" t="s">
        <v>1610</v>
      </c>
      <c r="D255" s="15">
        <v>5.05593823E8</v>
      </c>
      <c r="F255" s="15" t="s">
        <v>240</v>
      </c>
      <c r="G255" s="52" t="s">
        <v>1473</v>
      </c>
      <c r="H255" s="15"/>
      <c r="I255" s="127" t="s">
        <v>60</v>
      </c>
      <c r="J255" s="16"/>
    </row>
    <row r="256" ht="15.75" customHeight="1">
      <c r="A256" s="128">
        <v>43464.0</v>
      </c>
      <c r="B256" s="116" t="s">
        <v>1611</v>
      </c>
      <c r="C256" s="116"/>
      <c r="D256" s="116">
        <v>5.53136815E8</v>
      </c>
      <c r="E256" s="129"/>
      <c r="F256" s="116" t="s">
        <v>19</v>
      </c>
      <c r="G256" s="48" t="s">
        <v>1612</v>
      </c>
      <c r="H256" s="116"/>
      <c r="I256" s="117" t="s">
        <v>86</v>
      </c>
      <c r="J256" s="116"/>
    </row>
    <row r="257" ht="15.75" customHeight="1">
      <c r="A257" s="126">
        <v>43465.0</v>
      </c>
      <c r="B257" s="46" t="s">
        <v>1511</v>
      </c>
      <c r="C257" s="46" t="s">
        <v>1218</v>
      </c>
      <c r="D257" s="121" t="s">
        <v>1219</v>
      </c>
      <c r="E257" s="14"/>
      <c r="F257" s="46" t="s">
        <v>1613</v>
      </c>
      <c r="G257" s="46" t="s">
        <v>71</v>
      </c>
      <c r="H257" s="15"/>
      <c r="I257" s="16" t="s">
        <v>60</v>
      </c>
      <c r="J257" s="15"/>
    </row>
    <row r="258" ht="15.75" customHeight="1">
      <c r="A258" s="128">
        <v>43465.0</v>
      </c>
      <c r="B258" s="51" t="s">
        <v>1614</v>
      </c>
      <c r="C258" s="51" t="s">
        <v>1615</v>
      </c>
      <c r="D258" s="115" t="s">
        <v>1616</v>
      </c>
      <c r="E258" s="129"/>
      <c r="F258" s="48" t="s">
        <v>1617</v>
      </c>
      <c r="G258" s="48" t="s">
        <v>71</v>
      </c>
      <c r="H258" s="116"/>
      <c r="I258" s="117" t="s">
        <v>60</v>
      </c>
      <c r="J258" s="116"/>
    </row>
    <row r="259" ht="15.75" customHeight="1">
      <c r="A259" s="130">
        <v>43465.0</v>
      </c>
      <c r="B259" s="131" t="s">
        <v>1618</v>
      </c>
      <c r="C259" s="131" t="s">
        <v>1619</v>
      </c>
      <c r="D259" s="132" t="s">
        <v>1620</v>
      </c>
      <c r="E259" s="131" t="s">
        <v>1621</v>
      </c>
      <c r="F259" s="133"/>
      <c r="G259" s="131" t="s">
        <v>1622</v>
      </c>
      <c r="H259" s="15" t="s">
        <v>1264</v>
      </c>
      <c r="I259" s="16" t="s">
        <v>1264</v>
      </c>
      <c r="J259" s="15"/>
    </row>
    <row r="260" ht="15.75" customHeight="1">
      <c r="A260" s="128">
        <v>43465.0</v>
      </c>
      <c r="B260" s="51" t="s">
        <v>1623</v>
      </c>
      <c r="C260" s="51" t="s">
        <v>1624</v>
      </c>
      <c r="D260" s="116"/>
      <c r="E260" s="129"/>
      <c r="F260" s="48" t="s">
        <v>1625</v>
      </c>
      <c r="G260" s="51" t="s">
        <v>71</v>
      </c>
      <c r="H260" s="116"/>
      <c r="I260" s="117" t="s">
        <v>60</v>
      </c>
      <c r="J260" s="116"/>
    </row>
    <row r="261" ht="15.75" customHeight="1">
      <c r="A261" s="126">
        <v>43465.0</v>
      </c>
      <c r="B261" s="52" t="s">
        <v>1626</v>
      </c>
      <c r="C261" s="52" t="s">
        <v>1627</v>
      </c>
      <c r="D261" s="118" t="s">
        <v>1628</v>
      </c>
      <c r="E261" s="46" t="s">
        <v>1629</v>
      </c>
      <c r="F261" s="15"/>
      <c r="G261" s="52" t="s">
        <v>1630</v>
      </c>
      <c r="H261" s="15"/>
      <c r="I261" s="16" t="s">
        <v>1264</v>
      </c>
      <c r="J261" s="15"/>
    </row>
    <row r="262" ht="15.75" customHeight="1"/>
    <row r="263" ht="15.75" customHeight="1">
      <c r="A263" s="134">
        <v>43434.0</v>
      </c>
      <c r="B263" s="45" t="s">
        <v>1217</v>
      </c>
      <c r="C263" s="45" t="s">
        <v>1218</v>
      </c>
      <c r="D263" s="111" t="s">
        <v>1219</v>
      </c>
      <c r="E263" s="45"/>
      <c r="F263" s="44" t="s">
        <v>1631</v>
      </c>
      <c r="G263" s="45"/>
      <c r="H263" s="45" t="s">
        <v>1220</v>
      </c>
      <c r="I263" s="45"/>
      <c r="J263" s="45" t="s">
        <v>222</v>
      </c>
    </row>
    <row r="264" ht="15.75" customHeight="1">
      <c r="A264" s="135">
        <v>43434.0</v>
      </c>
      <c r="B264" s="68" t="s">
        <v>1221</v>
      </c>
      <c r="C264" s="68" t="s">
        <v>1222</v>
      </c>
      <c r="D264" s="136" t="s">
        <v>1223</v>
      </c>
      <c r="E264" s="68"/>
      <c r="F264" s="68"/>
      <c r="G264" s="68"/>
      <c r="H264" s="68" t="s">
        <v>1220</v>
      </c>
      <c r="I264" s="68" t="s">
        <v>1632</v>
      </c>
      <c r="J264" s="68" t="s">
        <v>222</v>
      </c>
    </row>
    <row r="265" ht="15.75" customHeight="1">
      <c r="A265" s="134">
        <v>43434.0</v>
      </c>
      <c r="B265" s="137" t="s">
        <v>1224</v>
      </c>
      <c r="C265" s="45" t="s">
        <v>1225</v>
      </c>
      <c r="D265" s="111" t="s">
        <v>1226</v>
      </c>
      <c r="E265" s="45"/>
      <c r="F265" s="44" t="s">
        <v>1633</v>
      </c>
      <c r="G265" s="45"/>
      <c r="H265" s="45" t="s">
        <v>1220</v>
      </c>
      <c r="I265" s="45" t="s">
        <v>1632</v>
      </c>
      <c r="J265" s="45" t="s">
        <v>222</v>
      </c>
    </row>
    <row r="266" ht="15.75" customHeight="1">
      <c r="A266" s="138">
        <v>43435.0</v>
      </c>
      <c r="B266" s="68" t="s">
        <v>1227</v>
      </c>
      <c r="C266" s="68" t="s">
        <v>1228</v>
      </c>
      <c r="D266" s="136" t="s">
        <v>1229</v>
      </c>
      <c r="E266" s="68"/>
      <c r="F266" s="139" t="s">
        <v>1633</v>
      </c>
      <c r="G266" s="68"/>
      <c r="H266" s="68" t="s">
        <v>1220</v>
      </c>
      <c r="I266" s="68" t="s">
        <v>1632</v>
      </c>
      <c r="J266" s="68" t="s">
        <v>222</v>
      </c>
    </row>
    <row r="267" ht="15.75" customHeight="1">
      <c r="A267" s="140">
        <v>43435.0</v>
      </c>
      <c r="B267" s="45" t="s">
        <v>1230</v>
      </c>
      <c r="C267" s="45" t="s">
        <v>1231</v>
      </c>
      <c r="D267" s="111" t="s">
        <v>1232</v>
      </c>
      <c r="E267" s="45"/>
      <c r="F267" s="44" t="s">
        <v>1634</v>
      </c>
      <c r="G267" s="45"/>
      <c r="H267" s="45" t="s">
        <v>1220</v>
      </c>
      <c r="I267" s="45" t="s">
        <v>1632</v>
      </c>
      <c r="J267" s="45" t="s">
        <v>222</v>
      </c>
    </row>
    <row r="268" ht="15.75" customHeight="1">
      <c r="A268" s="138">
        <v>43437.0</v>
      </c>
      <c r="B268" s="141" t="s">
        <v>1243</v>
      </c>
      <c r="C268" s="142" t="s">
        <v>1244</v>
      </c>
      <c r="D268" s="68"/>
      <c r="E268" s="68"/>
      <c r="F268" s="141" t="s">
        <v>1635</v>
      </c>
      <c r="G268" s="142" t="s">
        <v>1245</v>
      </c>
      <c r="H268" s="68" t="s">
        <v>1220</v>
      </c>
      <c r="I268" s="68" t="s">
        <v>1632</v>
      </c>
      <c r="J268" s="116"/>
    </row>
    <row r="269" ht="15.75" customHeight="1">
      <c r="A269" s="140">
        <v>43437.0</v>
      </c>
      <c r="B269" s="143" t="s">
        <v>1252</v>
      </c>
      <c r="C269" s="143" t="s">
        <v>1253</v>
      </c>
      <c r="D269" s="144">
        <v>5.06246004E8</v>
      </c>
      <c r="E269" s="45"/>
      <c r="F269" s="145" t="s">
        <v>1636</v>
      </c>
      <c r="G269" s="45"/>
      <c r="H269" s="143" t="s">
        <v>1254</v>
      </c>
      <c r="I269" s="45" t="s">
        <v>1632</v>
      </c>
      <c r="J269" s="15"/>
    </row>
    <row r="270" ht="15.75" customHeight="1">
      <c r="A270" s="138">
        <v>43437.0</v>
      </c>
      <c r="B270" s="68" t="s">
        <v>1258</v>
      </c>
      <c r="C270" s="68" t="s">
        <v>1259</v>
      </c>
      <c r="D270" s="136" t="s">
        <v>1260</v>
      </c>
      <c r="E270" s="68"/>
      <c r="F270" s="139" t="s">
        <v>1637</v>
      </c>
      <c r="G270" s="146"/>
      <c r="H270" s="68" t="s">
        <v>1254</v>
      </c>
      <c r="I270" s="68" t="s">
        <v>1632</v>
      </c>
      <c r="J270" s="116"/>
    </row>
    <row r="271" ht="15.75" customHeight="1">
      <c r="A271" s="140">
        <v>43438.0</v>
      </c>
      <c r="B271" s="45" t="s">
        <v>1276</v>
      </c>
      <c r="C271" s="45" t="s">
        <v>1277</v>
      </c>
      <c r="D271" s="111" t="s">
        <v>1278</v>
      </c>
      <c r="E271" s="45"/>
      <c r="F271" s="45" t="s">
        <v>1638</v>
      </c>
      <c r="G271" s="45"/>
      <c r="H271" s="45" t="s">
        <v>1279</v>
      </c>
      <c r="I271" s="45" t="s">
        <v>1632</v>
      </c>
      <c r="J271" s="15"/>
    </row>
    <row r="272" ht="15.75" customHeight="1">
      <c r="A272" s="135">
        <v>43457.0</v>
      </c>
      <c r="B272" s="68" t="s">
        <v>1537</v>
      </c>
      <c r="C272" s="68" t="s">
        <v>1538</v>
      </c>
      <c r="D272" s="136" t="s">
        <v>1539</v>
      </c>
      <c r="E272" s="68"/>
      <c r="F272" s="68" t="s">
        <v>1540</v>
      </c>
      <c r="G272" s="68"/>
      <c r="H272" s="68" t="s">
        <v>1541</v>
      </c>
      <c r="I272" s="68" t="s">
        <v>1632</v>
      </c>
      <c r="J272" s="116"/>
    </row>
    <row r="273" ht="15.75" customHeight="1">
      <c r="A273" s="134">
        <v>43458.0</v>
      </c>
      <c r="B273" s="45" t="s">
        <v>1558</v>
      </c>
      <c r="C273" s="45"/>
      <c r="D273" s="147" t="s">
        <v>1559</v>
      </c>
      <c r="E273" s="45"/>
      <c r="F273" s="45"/>
      <c r="G273" s="45" t="s">
        <v>1560</v>
      </c>
      <c r="H273" s="45" t="s">
        <v>1561</v>
      </c>
      <c r="I273" s="45" t="s">
        <v>1632</v>
      </c>
      <c r="J273" s="15"/>
    </row>
    <row r="274" ht="15.75" customHeight="1">
      <c r="A274" s="148">
        <v>43465.0</v>
      </c>
      <c r="B274" s="68" t="s">
        <v>1618</v>
      </c>
      <c r="C274" s="68" t="s">
        <v>1619</v>
      </c>
      <c r="D274" s="136" t="s">
        <v>1620</v>
      </c>
      <c r="E274" s="68"/>
      <c r="F274" s="139" t="s">
        <v>1621</v>
      </c>
      <c r="G274" s="146"/>
      <c r="H274" s="68" t="s">
        <v>1622</v>
      </c>
      <c r="I274" s="68" t="s">
        <v>1632</v>
      </c>
      <c r="J274" s="116"/>
    </row>
    <row r="275" ht="15.75" customHeight="1">
      <c r="A275" s="39"/>
      <c r="B275" s="39"/>
      <c r="C275" s="39"/>
      <c r="D275" s="39"/>
      <c r="E275" s="39"/>
      <c r="F275" s="39"/>
      <c r="G275" s="39"/>
      <c r="H275" s="39"/>
      <c r="I275" s="39"/>
    </row>
    <row r="276" ht="15.75" customHeight="1">
      <c r="A276" s="39"/>
      <c r="B276" s="39"/>
      <c r="C276" s="39"/>
      <c r="D276" s="39"/>
      <c r="E276" s="39"/>
      <c r="F276" s="39"/>
      <c r="G276" s="39"/>
      <c r="H276" s="39"/>
      <c r="I276" s="39"/>
    </row>
    <row r="277" ht="15.75" customHeight="1">
      <c r="A277" s="39"/>
      <c r="B277" s="39"/>
      <c r="C277" s="149"/>
      <c r="D277" s="39"/>
      <c r="E277" s="39"/>
      <c r="F277" s="39"/>
      <c r="G277" s="39"/>
      <c r="H277" s="39"/>
      <c r="I277" s="39"/>
    </row>
    <row r="278" ht="15.75" customHeight="1">
      <c r="A278" s="39"/>
      <c r="B278" s="39"/>
      <c r="C278" s="39"/>
      <c r="D278" s="39"/>
      <c r="E278" s="39"/>
      <c r="F278" s="39"/>
      <c r="G278" s="39"/>
      <c r="H278" s="39"/>
      <c r="I278" s="39"/>
    </row>
    <row r="279" ht="15.75" customHeight="1">
      <c r="A279" s="39"/>
      <c r="B279" s="39"/>
      <c r="C279" s="39"/>
      <c r="D279" s="39"/>
      <c r="E279" s="39"/>
      <c r="F279" s="39"/>
      <c r="G279" s="39"/>
      <c r="H279" s="39"/>
      <c r="I279" s="39"/>
    </row>
    <row r="280" ht="15.75" customHeight="1">
      <c r="A280" s="39"/>
      <c r="B280" s="39"/>
      <c r="C280" s="39"/>
      <c r="D280" s="39"/>
      <c r="E280" s="39"/>
      <c r="F280" s="39"/>
      <c r="G280" s="39"/>
      <c r="H280" s="39"/>
      <c r="I280" s="39"/>
    </row>
    <row r="281" ht="15.75" customHeight="1">
      <c r="A281" s="39"/>
      <c r="B281" s="39"/>
      <c r="C281" s="39"/>
      <c r="D281" s="39"/>
      <c r="E281" s="39"/>
      <c r="F281" s="39"/>
      <c r="G281" s="39"/>
      <c r="H281" s="39"/>
      <c r="I281" s="39"/>
    </row>
    <row r="282" ht="15.75" customHeight="1">
      <c r="A282" s="39"/>
      <c r="B282" s="39"/>
      <c r="C282" s="39"/>
      <c r="D282" s="39"/>
      <c r="E282" s="39"/>
      <c r="F282" s="39"/>
      <c r="G282" s="39"/>
      <c r="H282" s="39"/>
      <c r="I282" s="39"/>
    </row>
    <row r="283" ht="15.75" customHeight="1">
      <c r="A283" s="39"/>
      <c r="B283" s="39"/>
      <c r="C283" s="39"/>
      <c r="D283" s="39"/>
      <c r="E283" s="39"/>
      <c r="F283" s="39"/>
      <c r="G283" s="39"/>
      <c r="H283" s="39"/>
      <c r="I283" s="39"/>
    </row>
    <row r="284" ht="15.75" customHeight="1">
      <c r="A284" s="39"/>
      <c r="B284" s="39"/>
      <c r="C284" s="39"/>
      <c r="D284" s="39"/>
      <c r="E284" s="39"/>
      <c r="F284" s="39"/>
      <c r="G284" s="39"/>
      <c r="H284" s="39"/>
      <c r="I284" s="39"/>
    </row>
    <row r="285" ht="15.75" customHeight="1">
      <c r="A285" s="39"/>
      <c r="B285" s="39"/>
      <c r="C285" s="39"/>
      <c r="D285" s="39"/>
      <c r="E285" s="39"/>
      <c r="F285" s="39"/>
      <c r="G285" s="39"/>
      <c r="H285" s="39"/>
      <c r="I285" s="39"/>
    </row>
    <row r="286" ht="15.75" customHeight="1">
      <c r="A286" s="39"/>
      <c r="B286" s="39"/>
      <c r="C286" s="39"/>
      <c r="D286" s="39"/>
      <c r="E286" s="39"/>
      <c r="F286" s="39"/>
      <c r="G286" s="39"/>
      <c r="H286" s="39"/>
      <c r="I286" s="39"/>
    </row>
    <row r="287" ht="15.75" customHeight="1">
      <c r="A287" s="39"/>
      <c r="B287" s="39"/>
      <c r="C287" s="39"/>
      <c r="D287" s="39"/>
      <c r="E287" s="39"/>
      <c r="F287" s="39"/>
      <c r="G287" s="39"/>
      <c r="H287" s="39"/>
      <c r="I287" s="39"/>
    </row>
    <row r="288" ht="15.75" customHeight="1">
      <c r="A288" s="39"/>
      <c r="B288" s="39"/>
      <c r="C288" s="39"/>
      <c r="D288" s="39"/>
      <c r="E288" s="39"/>
      <c r="F288" s="39"/>
      <c r="G288" s="39"/>
      <c r="H288" s="39"/>
      <c r="I288" s="39"/>
    </row>
    <row r="289" ht="15.75" customHeight="1">
      <c r="A289" s="39"/>
      <c r="B289" s="39"/>
      <c r="C289" s="39"/>
      <c r="D289" s="39"/>
      <c r="E289" s="39"/>
      <c r="F289" s="39"/>
      <c r="G289" s="39"/>
      <c r="H289" s="39"/>
      <c r="I289" s="39"/>
    </row>
    <row r="290" ht="15.75" customHeight="1">
      <c r="A290" s="39"/>
      <c r="B290" s="39"/>
      <c r="C290" s="39"/>
      <c r="D290" s="39"/>
      <c r="E290" s="39"/>
      <c r="F290" s="39"/>
      <c r="G290" s="39"/>
      <c r="H290" s="39"/>
      <c r="I290" s="39"/>
    </row>
    <row r="291" ht="15.75" customHeight="1">
      <c r="A291" s="39"/>
      <c r="B291" s="39"/>
      <c r="C291" s="39"/>
      <c r="D291" s="39"/>
      <c r="E291" s="39"/>
      <c r="F291" s="39"/>
      <c r="G291" s="39"/>
      <c r="H291" s="39"/>
      <c r="I291" s="39"/>
    </row>
    <row r="292" ht="15.75" customHeight="1">
      <c r="A292" s="39"/>
      <c r="B292" s="39"/>
      <c r="C292" s="39"/>
      <c r="D292" s="39"/>
      <c r="E292" s="39"/>
      <c r="F292" s="39"/>
      <c r="G292" s="39"/>
      <c r="H292" s="39"/>
      <c r="I292" s="39"/>
    </row>
    <row r="293" ht="15.75" customHeight="1">
      <c r="A293" s="39"/>
      <c r="B293" s="39"/>
      <c r="C293" s="39"/>
      <c r="D293" s="39"/>
      <c r="E293" s="39"/>
      <c r="F293" s="39"/>
      <c r="G293" s="39"/>
      <c r="H293" s="39"/>
      <c r="I293" s="39"/>
    </row>
    <row r="294" ht="15.75" customHeight="1">
      <c r="A294" s="39"/>
      <c r="B294" s="39"/>
      <c r="C294" s="39"/>
      <c r="D294" s="39"/>
      <c r="E294" s="39"/>
      <c r="F294" s="39"/>
      <c r="G294" s="39"/>
      <c r="H294" s="39"/>
      <c r="I294" s="39"/>
    </row>
    <row r="295" ht="15.75" customHeight="1">
      <c r="A295" s="39"/>
      <c r="B295" s="39"/>
      <c r="C295" s="39"/>
      <c r="D295" s="39"/>
      <c r="E295" s="39"/>
      <c r="F295" s="39"/>
      <c r="G295" s="39"/>
      <c r="H295" s="39"/>
      <c r="I295" s="39"/>
    </row>
    <row r="296" ht="15.75" customHeight="1">
      <c r="A296" s="39"/>
      <c r="B296" s="39"/>
      <c r="C296" s="39"/>
      <c r="D296" s="39"/>
      <c r="E296" s="39"/>
      <c r="F296" s="39"/>
      <c r="G296" s="39"/>
      <c r="H296" s="39"/>
      <c r="I296" s="39"/>
    </row>
    <row r="297" ht="15.75" customHeight="1">
      <c r="A297" s="39"/>
      <c r="B297" s="39"/>
      <c r="C297" s="39"/>
      <c r="D297" s="39"/>
      <c r="E297" s="39"/>
      <c r="F297" s="39"/>
      <c r="G297" s="39"/>
      <c r="H297" s="39"/>
      <c r="I297" s="39"/>
    </row>
    <row r="298" ht="15.75" customHeight="1">
      <c r="A298" s="39"/>
      <c r="B298" s="39"/>
      <c r="C298" s="39"/>
      <c r="D298" s="39"/>
      <c r="E298" s="39"/>
      <c r="F298" s="39"/>
      <c r="G298" s="39"/>
      <c r="H298" s="39"/>
      <c r="I298" s="39"/>
    </row>
    <row r="299" ht="15.75" customHeight="1">
      <c r="A299" s="39"/>
      <c r="B299" s="39"/>
      <c r="C299" s="39"/>
      <c r="D299" s="39"/>
      <c r="E299" s="39"/>
      <c r="F299" s="39"/>
      <c r="G299" s="39"/>
      <c r="H299" s="39"/>
      <c r="I299" s="39"/>
    </row>
    <row r="300" ht="15.75" customHeight="1">
      <c r="A300" s="39"/>
      <c r="B300" s="39"/>
      <c r="C300" s="39"/>
      <c r="D300" s="39"/>
      <c r="E300" s="39"/>
      <c r="F300" s="39"/>
      <c r="G300" s="39"/>
      <c r="H300" s="39"/>
      <c r="I300" s="39"/>
    </row>
    <row r="301" ht="15.75" customHeight="1">
      <c r="A301" s="39"/>
      <c r="B301" s="39"/>
      <c r="C301" s="39"/>
      <c r="D301" s="39"/>
      <c r="E301" s="39"/>
      <c r="F301" s="39"/>
      <c r="G301" s="39"/>
      <c r="H301" s="39"/>
      <c r="I301" s="39"/>
    </row>
    <row r="302" ht="15.75" customHeight="1">
      <c r="A302" s="39"/>
      <c r="B302" s="39"/>
      <c r="C302" s="39"/>
      <c r="D302" s="39"/>
      <c r="E302" s="39"/>
      <c r="F302" s="39"/>
      <c r="G302" s="39"/>
      <c r="H302" s="39"/>
      <c r="I302" s="39"/>
    </row>
    <row r="303" ht="15.75" customHeight="1">
      <c r="A303" s="39"/>
      <c r="B303" s="39"/>
      <c r="C303" s="39"/>
      <c r="D303" s="39"/>
      <c r="E303" s="39"/>
      <c r="F303" s="39"/>
      <c r="G303" s="39"/>
      <c r="H303" s="39"/>
      <c r="I303" s="39"/>
    </row>
    <row r="304" ht="15.75" customHeight="1">
      <c r="A304" s="39"/>
      <c r="B304" s="39"/>
      <c r="C304" s="39"/>
      <c r="D304" s="39"/>
      <c r="E304" s="39"/>
      <c r="F304" s="39"/>
      <c r="G304" s="39"/>
      <c r="H304" s="39"/>
      <c r="I304" s="39"/>
    </row>
    <row r="305" ht="15.75" customHeight="1">
      <c r="A305" s="39"/>
      <c r="B305" s="39"/>
      <c r="C305" s="39"/>
      <c r="D305" s="39"/>
      <c r="E305" s="39"/>
      <c r="F305" s="39"/>
      <c r="G305" s="39"/>
      <c r="H305" s="39"/>
      <c r="I305" s="39"/>
    </row>
    <row r="306" ht="15.75" customHeight="1">
      <c r="A306" s="39"/>
      <c r="B306" s="39"/>
      <c r="C306" s="39"/>
      <c r="D306" s="39"/>
      <c r="E306" s="39"/>
      <c r="F306" s="39"/>
      <c r="G306" s="39"/>
      <c r="H306" s="39"/>
      <c r="I306" s="39"/>
    </row>
    <row r="307" ht="15.75" customHeight="1">
      <c r="A307" s="39"/>
      <c r="B307" s="39"/>
      <c r="C307" s="39"/>
      <c r="D307" s="39"/>
      <c r="E307" s="39"/>
      <c r="F307" s="39"/>
      <c r="G307" s="39"/>
      <c r="H307" s="39"/>
      <c r="I307" s="39"/>
    </row>
    <row r="308" ht="15.75" customHeight="1">
      <c r="A308" s="39"/>
      <c r="B308" s="39"/>
      <c r="C308" s="39"/>
      <c r="D308" s="39"/>
      <c r="E308" s="39"/>
      <c r="F308" s="39"/>
      <c r="G308" s="39"/>
      <c r="H308" s="39"/>
      <c r="I308" s="39"/>
    </row>
    <row r="309" ht="15.75" customHeight="1">
      <c r="A309" s="39"/>
      <c r="B309" s="39"/>
      <c r="C309" s="39"/>
      <c r="D309" s="39"/>
      <c r="E309" s="39"/>
      <c r="F309" s="39"/>
      <c r="G309" s="39"/>
      <c r="H309" s="39"/>
      <c r="I309" s="39"/>
    </row>
    <row r="310" ht="15.75" customHeight="1">
      <c r="A310" s="39"/>
      <c r="B310" s="39"/>
      <c r="C310" s="39"/>
      <c r="D310" s="39"/>
      <c r="E310" s="39"/>
      <c r="F310" s="39"/>
      <c r="G310" s="39"/>
      <c r="H310" s="39"/>
      <c r="I310" s="39"/>
    </row>
    <row r="311" ht="15.75" customHeight="1">
      <c r="A311" s="39"/>
      <c r="B311" s="39"/>
      <c r="C311" s="39"/>
      <c r="D311" s="39"/>
      <c r="E311" s="39"/>
      <c r="F311" s="39"/>
      <c r="G311" s="39"/>
      <c r="H311" s="39"/>
      <c r="I311" s="39"/>
    </row>
    <row r="312" ht="15.75" customHeight="1">
      <c r="A312" s="39"/>
      <c r="B312" s="39"/>
      <c r="C312" s="39"/>
      <c r="D312" s="39"/>
      <c r="E312" s="39"/>
      <c r="F312" s="39"/>
      <c r="G312" s="39"/>
      <c r="H312" s="39"/>
      <c r="I312" s="39"/>
    </row>
    <row r="313" ht="15.75" customHeight="1">
      <c r="A313" s="39"/>
      <c r="B313" s="39"/>
      <c r="C313" s="39"/>
      <c r="D313" s="39"/>
      <c r="E313" s="39"/>
      <c r="F313" s="39"/>
      <c r="G313" s="39"/>
      <c r="H313" s="39"/>
      <c r="I313" s="39"/>
    </row>
    <row r="314" ht="15.75" customHeight="1">
      <c r="A314" s="39"/>
      <c r="B314" s="39"/>
      <c r="C314" s="39"/>
      <c r="D314" s="39"/>
      <c r="E314" s="39"/>
      <c r="F314" s="39"/>
      <c r="G314" s="39"/>
      <c r="H314" s="39"/>
      <c r="I314" s="39"/>
    </row>
    <row r="315" ht="15.75" customHeight="1">
      <c r="A315" s="39"/>
      <c r="B315" s="39"/>
      <c r="C315" s="39"/>
      <c r="D315" s="39"/>
      <c r="E315" s="39"/>
      <c r="F315" s="39"/>
      <c r="G315" s="39"/>
      <c r="H315" s="39"/>
      <c r="I315" s="39"/>
    </row>
    <row r="316" ht="15.75" customHeight="1">
      <c r="A316" s="39"/>
      <c r="B316" s="39"/>
      <c r="C316" s="39"/>
      <c r="D316" s="39"/>
      <c r="E316" s="39"/>
      <c r="F316" s="39"/>
      <c r="G316" s="39"/>
      <c r="H316" s="39"/>
      <c r="I316" s="39"/>
    </row>
    <row r="317" ht="15.75" customHeight="1">
      <c r="A317" s="39"/>
      <c r="B317" s="39"/>
      <c r="C317" s="39"/>
      <c r="D317" s="39"/>
      <c r="E317" s="39"/>
      <c r="F317" s="39"/>
      <c r="G317" s="39"/>
      <c r="H317" s="39"/>
      <c r="I317" s="39"/>
    </row>
    <row r="318" ht="15.75" customHeight="1">
      <c r="A318" s="39"/>
      <c r="B318" s="39"/>
      <c r="C318" s="39"/>
      <c r="D318" s="39"/>
      <c r="E318" s="39"/>
      <c r="F318" s="39"/>
      <c r="G318" s="39"/>
      <c r="H318" s="39"/>
      <c r="I318" s="39"/>
    </row>
    <row r="319" ht="15.75" customHeight="1">
      <c r="A319" s="39"/>
      <c r="B319" s="39"/>
      <c r="C319" s="39"/>
      <c r="D319" s="39"/>
      <c r="E319" s="39"/>
      <c r="F319" s="39"/>
      <c r="G319" s="39"/>
      <c r="H319" s="39"/>
      <c r="I319" s="39"/>
    </row>
    <row r="320" ht="15.75" customHeight="1">
      <c r="A320" s="39"/>
      <c r="B320" s="39"/>
      <c r="C320" s="39"/>
      <c r="D320" s="39"/>
      <c r="E320" s="39"/>
      <c r="F320" s="39"/>
      <c r="G320" s="39"/>
      <c r="H320" s="39"/>
      <c r="I320" s="39"/>
    </row>
    <row r="321" ht="15.75" customHeight="1">
      <c r="A321" s="39"/>
      <c r="B321" s="39"/>
      <c r="C321" s="39"/>
      <c r="D321" s="39"/>
      <c r="E321" s="39"/>
      <c r="F321" s="39"/>
      <c r="G321" s="39"/>
      <c r="H321" s="39"/>
      <c r="I321" s="39"/>
    </row>
    <row r="322" ht="15.75" customHeight="1">
      <c r="A322" s="39"/>
      <c r="B322" s="39"/>
      <c r="C322" s="39"/>
      <c r="D322" s="39"/>
      <c r="E322" s="39"/>
      <c r="F322" s="39"/>
      <c r="G322" s="39"/>
      <c r="H322" s="39"/>
      <c r="I322" s="39"/>
    </row>
    <row r="323" ht="15.75" customHeight="1">
      <c r="A323" s="39"/>
      <c r="B323" s="39"/>
      <c r="C323" s="39"/>
      <c r="D323" s="39"/>
      <c r="E323" s="39"/>
      <c r="F323" s="39"/>
      <c r="G323" s="39"/>
      <c r="H323" s="39"/>
      <c r="I323" s="39"/>
    </row>
    <row r="324" ht="15.75" customHeight="1">
      <c r="A324" s="39"/>
      <c r="B324" s="39"/>
      <c r="C324" s="39"/>
      <c r="D324" s="39"/>
      <c r="E324" s="39"/>
      <c r="F324" s="39"/>
      <c r="G324" s="39"/>
      <c r="H324" s="39"/>
      <c r="I324" s="39"/>
    </row>
    <row r="325" ht="15.75" customHeight="1">
      <c r="A325" s="39"/>
      <c r="B325" s="39"/>
      <c r="C325" s="39"/>
      <c r="D325" s="39"/>
      <c r="E325" s="39"/>
      <c r="F325" s="39"/>
      <c r="G325" s="39"/>
      <c r="H325" s="39"/>
      <c r="I325" s="39"/>
    </row>
    <row r="326" ht="15.75" customHeight="1">
      <c r="A326" s="39"/>
      <c r="B326" s="39"/>
      <c r="C326" s="39"/>
      <c r="D326" s="39"/>
      <c r="E326" s="39"/>
      <c r="F326" s="39"/>
      <c r="G326" s="39"/>
      <c r="H326" s="39"/>
      <c r="I326" s="39"/>
    </row>
    <row r="327" ht="15.75" customHeight="1">
      <c r="A327" s="39"/>
      <c r="B327" s="39"/>
      <c r="C327" s="39"/>
      <c r="D327" s="39"/>
      <c r="E327" s="39"/>
      <c r="F327" s="39"/>
      <c r="G327" s="39"/>
      <c r="H327" s="39"/>
      <c r="I327" s="39"/>
    </row>
    <row r="328" ht="15.75" customHeight="1">
      <c r="A328" s="39"/>
      <c r="B328" s="39"/>
      <c r="C328" s="39"/>
      <c r="D328" s="39"/>
      <c r="E328" s="39"/>
      <c r="F328" s="39"/>
      <c r="G328" s="39"/>
      <c r="H328" s="39"/>
      <c r="I328" s="39"/>
    </row>
    <row r="329" ht="15.75" customHeight="1">
      <c r="A329" s="39"/>
      <c r="B329" s="39"/>
      <c r="C329" s="39"/>
      <c r="D329" s="39"/>
      <c r="E329" s="39"/>
      <c r="F329" s="39"/>
      <c r="G329" s="39"/>
      <c r="H329" s="39"/>
      <c r="I329" s="39"/>
    </row>
    <row r="330" ht="15.75" customHeight="1">
      <c r="A330" s="39"/>
      <c r="B330" s="39"/>
      <c r="C330" s="39"/>
      <c r="D330" s="39"/>
      <c r="E330" s="39"/>
      <c r="F330" s="39"/>
      <c r="G330" s="39"/>
      <c r="H330" s="39"/>
      <c r="I330" s="39"/>
    </row>
    <row r="331" ht="15.75" customHeight="1">
      <c r="A331" s="39"/>
      <c r="B331" s="39"/>
      <c r="C331" s="39"/>
      <c r="D331" s="39"/>
      <c r="E331" s="39"/>
      <c r="F331" s="39"/>
      <c r="G331" s="39"/>
      <c r="H331" s="39"/>
      <c r="I331" s="39"/>
    </row>
    <row r="332" ht="15.75" customHeight="1">
      <c r="A332" s="39"/>
      <c r="B332" s="39"/>
      <c r="C332" s="39"/>
      <c r="D332" s="39"/>
      <c r="E332" s="39"/>
      <c r="F332" s="39"/>
      <c r="G332" s="39"/>
      <c r="H332" s="39"/>
      <c r="I332" s="39"/>
    </row>
    <row r="333" ht="15.75" customHeight="1">
      <c r="A333" s="39"/>
      <c r="B333" s="39"/>
      <c r="C333" s="39"/>
      <c r="D333" s="39"/>
      <c r="E333" s="39"/>
      <c r="F333" s="39"/>
      <c r="G333" s="39"/>
      <c r="H333" s="39"/>
      <c r="I333" s="39"/>
    </row>
    <row r="334" ht="15.75" customHeight="1">
      <c r="A334" s="39"/>
      <c r="B334" s="39"/>
      <c r="C334" s="39"/>
      <c r="D334" s="39"/>
      <c r="E334" s="39"/>
      <c r="F334" s="39"/>
      <c r="G334" s="39"/>
      <c r="H334" s="39"/>
      <c r="I334" s="39"/>
    </row>
    <row r="335" ht="15.75" customHeight="1">
      <c r="A335" s="39"/>
      <c r="B335" s="39"/>
      <c r="C335" s="39"/>
      <c r="D335" s="39"/>
      <c r="E335" s="39"/>
      <c r="F335" s="39"/>
      <c r="G335" s="39"/>
      <c r="H335" s="39"/>
      <c r="I335" s="39"/>
    </row>
    <row r="336" ht="15.75" customHeight="1">
      <c r="A336" s="39"/>
      <c r="B336" s="39"/>
      <c r="C336" s="39"/>
      <c r="D336" s="39"/>
      <c r="E336" s="39"/>
      <c r="F336" s="39"/>
      <c r="G336" s="39"/>
      <c r="H336" s="39"/>
      <c r="I336" s="39"/>
    </row>
    <row r="337" ht="15.75" customHeight="1">
      <c r="A337" s="39"/>
      <c r="B337" s="39"/>
      <c r="C337" s="39"/>
      <c r="D337" s="39"/>
      <c r="E337" s="39"/>
      <c r="F337" s="39"/>
      <c r="G337" s="39"/>
      <c r="H337" s="39"/>
      <c r="I337" s="39"/>
    </row>
    <row r="338" ht="15.75" customHeight="1">
      <c r="A338" s="39"/>
      <c r="B338" s="39"/>
      <c r="C338" s="39"/>
      <c r="D338" s="39"/>
      <c r="E338" s="39"/>
      <c r="F338" s="39"/>
      <c r="G338" s="39"/>
      <c r="H338" s="39"/>
      <c r="I338" s="39"/>
    </row>
    <row r="339" ht="15.75" customHeight="1">
      <c r="A339" s="39"/>
      <c r="B339" s="39"/>
      <c r="C339" s="39"/>
      <c r="D339" s="39"/>
      <c r="E339" s="39"/>
      <c r="F339" s="39"/>
      <c r="G339" s="39"/>
      <c r="H339" s="39"/>
      <c r="I339" s="39"/>
    </row>
    <row r="340" ht="15.75" customHeight="1">
      <c r="A340" s="39"/>
      <c r="B340" s="39"/>
      <c r="C340" s="39"/>
      <c r="D340" s="39"/>
      <c r="E340" s="39"/>
      <c r="F340" s="39"/>
      <c r="G340" s="39"/>
      <c r="H340" s="39"/>
      <c r="I340" s="39"/>
    </row>
    <row r="341" ht="15.75" customHeight="1">
      <c r="A341" s="39"/>
      <c r="B341" s="39"/>
      <c r="C341" s="39"/>
      <c r="D341" s="39"/>
      <c r="E341" s="39"/>
      <c r="F341" s="39"/>
      <c r="G341" s="39"/>
      <c r="H341" s="39"/>
      <c r="I341" s="39"/>
    </row>
    <row r="342" ht="15.75" customHeight="1">
      <c r="A342" s="39"/>
      <c r="B342" s="39"/>
      <c r="C342" s="39"/>
      <c r="D342" s="39"/>
      <c r="E342" s="39"/>
      <c r="F342" s="39"/>
      <c r="G342" s="39"/>
      <c r="H342" s="39"/>
      <c r="I342" s="39"/>
    </row>
    <row r="343" ht="15.75" customHeight="1">
      <c r="A343" s="39"/>
      <c r="B343" s="39"/>
      <c r="C343" s="39"/>
      <c r="D343" s="39"/>
      <c r="E343" s="39"/>
      <c r="F343" s="39"/>
      <c r="G343" s="39"/>
      <c r="H343" s="39"/>
      <c r="I343" s="39"/>
    </row>
    <row r="344" ht="15.75" customHeight="1">
      <c r="A344" s="39"/>
      <c r="B344" s="39"/>
      <c r="C344" s="39"/>
      <c r="D344" s="39"/>
      <c r="E344" s="39"/>
      <c r="F344" s="39"/>
      <c r="G344" s="39"/>
      <c r="H344" s="39"/>
      <c r="I344" s="39"/>
    </row>
    <row r="345" ht="15.75" customHeight="1">
      <c r="A345" s="39"/>
      <c r="B345" s="39"/>
      <c r="C345" s="39"/>
      <c r="D345" s="39"/>
      <c r="E345" s="39"/>
      <c r="F345" s="39"/>
      <c r="G345" s="39"/>
      <c r="H345" s="39"/>
      <c r="I345" s="39"/>
    </row>
    <row r="346" ht="15.75" customHeight="1">
      <c r="A346" s="39"/>
      <c r="B346" s="39"/>
      <c r="C346" s="39"/>
      <c r="D346" s="39"/>
      <c r="E346" s="39"/>
      <c r="F346" s="39"/>
      <c r="G346" s="39"/>
      <c r="H346" s="39"/>
      <c r="I346" s="39"/>
    </row>
    <row r="347" ht="15.75" customHeight="1">
      <c r="A347" s="39"/>
      <c r="B347" s="39"/>
      <c r="C347" s="39"/>
      <c r="D347" s="39"/>
      <c r="E347" s="39"/>
      <c r="F347" s="39"/>
      <c r="G347" s="39"/>
      <c r="H347" s="39"/>
      <c r="I347" s="39"/>
    </row>
    <row r="348" ht="15.75" customHeight="1">
      <c r="A348" s="39"/>
      <c r="B348" s="39"/>
      <c r="C348" s="39"/>
      <c r="D348" s="39"/>
      <c r="E348" s="39"/>
      <c r="F348" s="39"/>
      <c r="G348" s="39"/>
      <c r="H348" s="39"/>
      <c r="I348" s="39"/>
    </row>
    <row r="349" ht="15.75" customHeight="1">
      <c r="A349" s="39"/>
      <c r="B349" s="39"/>
      <c r="C349" s="39"/>
      <c r="D349" s="39"/>
      <c r="E349" s="39"/>
      <c r="F349" s="39"/>
      <c r="G349" s="39"/>
      <c r="H349" s="39"/>
      <c r="I349" s="39"/>
    </row>
    <row r="350" ht="15.75" customHeight="1">
      <c r="A350" s="39"/>
      <c r="B350" s="39"/>
      <c r="C350" s="39"/>
      <c r="D350" s="39"/>
      <c r="E350" s="39"/>
      <c r="F350" s="39"/>
      <c r="G350" s="39"/>
      <c r="H350" s="39"/>
      <c r="I350" s="39"/>
    </row>
    <row r="351" ht="15.75" customHeight="1">
      <c r="A351" s="39"/>
      <c r="B351" s="39"/>
      <c r="C351" s="39"/>
      <c r="D351" s="39"/>
      <c r="E351" s="39"/>
      <c r="F351" s="39"/>
      <c r="G351" s="39"/>
      <c r="H351" s="39"/>
      <c r="I351" s="39"/>
    </row>
    <row r="352" ht="15.75" customHeight="1">
      <c r="A352" s="39"/>
      <c r="B352" s="39"/>
      <c r="C352" s="39"/>
      <c r="D352" s="39"/>
      <c r="E352" s="39"/>
      <c r="F352" s="39"/>
      <c r="G352" s="39"/>
      <c r="H352" s="39"/>
      <c r="I352" s="39"/>
    </row>
    <row r="353" ht="15.75" customHeight="1">
      <c r="A353" s="39"/>
      <c r="B353" s="39"/>
      <c r="C353" s="39"/>
      <c r="D353" s="39"/>
      <c r="E353" s="39"/>
      <c r="F353" s="39"/>
      <c r="G353" s="39"/>
      <c r="H353" s="39"/>
      <c r="I353" s="39"/>
    </row>
    <row r="354" ht="15.75" customHeight="1">
      <c r="A354" s="39"/>
      <c r="B354" s="39"/>
      <c r="C354" s="39"/>
      <c r="D354" s="39"/>
      <c r="E354" s="39"/>
      <c r="F354" s="39"/>
      <c r="G354" s="39"/>
      <c r="H354" s="39"/>
      <c r="I354" s="39"/>
    </row>
    <row r="355" ht="15.75" customHeight="1">
      <c r="A355" s="39"/>
      <c r="B355" s="39"/>
      <c r="C355" s="39"/>
      <c r="D355" s="39"/>
      <c r="E355" s="39"/>
      <c r="F355" s="39"/>
      <c r="G355" s="39"/>
      <c r="H355" s="39"/>
      <c r="I355" s="39"/>
    </row>
    <row r="356" ht="15.75" customHeight="1">
      <c r="A356" s="39"/>
      <c r="B356" s="39"/>
      <c r="C356" s="39"/>
      <c r="D356" s="39"/>
      <c r="E356" s="39"/>
      <c r="F356" s="39"/>
      <c r="G356" s="39"/>
      <c r="H356" s="39"/>
      <c r="I356" s="39"/>
    </row>
    <row r="357" ht="15.75" customHeight="1">
      <c r="A357" s="39"/>
      <c r="B357" s="39"/>
      <c r="C357" s="39"/>
      <c r="D357" s="39"/>
      <c r="E357" s="39"/>
      <c r="F357" s="39"/>
      <c r="G357" s="39"/>
      <c r="H357" s="39"/>
      <c r="I357" s="39"/>
    </row>
    <row r="358" ht="15.75" customHeight="1">
      <c r="A358" s="39"/>
      <c r="B358" s="39"/>
      <c r="C358" s="39"/>
      <c r="D358" s="39"/>
      <c r="E358" s="39"/>
      <c r="F358" s="39"/>
      <c r="G358" s="39"/>
      <c r="H358" s="39"/>
      <c r="I358" s="39"/>
    </row>
    <row r="359" ht="15.75" customHeight="1">
      <c r="A359" s="39"/>
      <c r="B359" s="39"/>
      <c r="C359" s="39"/>
      <c r="D359" s="39"/>
      <c r="E359" s="39"/>
      <c r="F359" s="39"/>
      <c r="G359" s="39"/>
      <c r="H359" s="39"/>
      <c r="I359" s="39"/>
    </row>
    <row r="360" ht="15.75" customHeight="1">
      <c r="A360" s="39"/>
      <c r="B360" s="39"/>
      <c r="C360" s="39"/>
      <c r="D360" s="39"/>
      <c r="E360" s="39"/>
      <c r="F360" s="39"/>
      <c r="G360" s="39"/>
      <c r="H360" s="39"/>
      <c r="I360" s="39"/>
    </row>
    <row r="361" ht="15.75" customHeight="1">
      <c r="A361" s="39"/>
      <c r="B361" s="39"/>
      <c r="C361" s="39"/>
      <c r="D361" s="39"/>
      <c r="E361" s="39"/>
      <c r="F361" s="39"/>
      <c r="G361" s="39"/>
      <c r="H361" s="39"/>
      <c r="I361" s="39"/>
    </row>
    <row r="362" ht="15.75" customHeight="1">
      <c r="A362" s="39"/>
      <c r="B362" s="39"/>
      <c r="C362" s="39"/>
      <c r="D362" s="39"/>
      <c r="E362" s="39"/>
      <c r="F362" s="39"/>
      <c r="G362" s="39"/>
      <c r="H362" s="39"/>
      <c r="I362" s="39"/>
    </row>
    <row r="363" ht="15.75" customHeight="1">
      <c r="A363" s="39"/>
      <c r="B363" s="39"/>
      <c r="C363" s="39"/>
      <c r="D363" s="39"/>
      <c r="E363" s="39"/>
      <c r="F363" s="39"/>
      <c r="G363" s="39"/>
      <c r="H363" s="39"/>
      <c r="I363" s="39"/>
    </row>
    <row r="364" ht="15.75" customHeight="1">
      <c r="A364" s="39"/>
      <c r="B364" s="39"/>
      <c r="C364" s="39"/>
      <c r="D364" s="39"/>
      <c r="E364" s="39"/>
      <c r="F364" s="39"/>
      <c r="G364" s="39"/>
      <c r="H364" s="39"/>
      <c r="I364" s="39"/>
    </row>
    <row r="365" ht="15.75" customHeight="1">
      <c r="A365" s="39"/>
      <c r="B365" s="39"/>
      <c r="C365" s="39"/>
      <c r="D365" s="39"/>
      <c r="E365" s="39"/>
      <c r="F365" s="39"/>
      <c r="G365" s="39"/>
      <c r="H365" s="39"/>
      <c r="I365" s="39"/>
    </row>
    <row r="366" ht="15.75" customHeight="1">
      <c r="A366" s="39"/>
      <c r="B366" s="39"/>
      <c r="C366" s="39"/>
      <c r="D366" s="39"/>
      <c r="E366" s="39"/>
      <c r="F366" s="39"/>
      <c r="G366" s="39"/>
      <c r="H366" s="39"/>
      <c r="I366" s="39"/>
    </row>
    <row r="367" ht="15.75" customHeight="1">
      <c r="A367" s="39"/>
      <c r="B367" s="39"/>
      <c r="C367" s="39"/>
      <c r="D367" s="39"/>
      <c r="E367" s="39"/>
      <c r="F367" s="39"/>
      <c r="G367" s="39"/>
      <c r="H367" s="39"/>
      <c r="I367" s="39"/>
    </row>
    <row r="368" ht="15.75" customHeight="1">
      <c r="A368" s="39"/>
      <c r="B368" s="39"/>
      <c r="C368" s="39"/>
      <c r="D368" s="39"/>
      <c r="E368" s="39"/>
      <c r="F368" s="39"/>
      <c r="G368" s="39"/>
      <c r="H368" s="39"/>
      <c r="I368" s="39"/>
    </row>
    <row r="369" ht="15.75" customHeight="1">
      <c r="A369" s="39"/>
      <c r="B369" s="39"/>
      <c r="C369" s="39"/>
      <c r="D369" s="39"/>
      <c r="E369" s="39"/>
      <c r="F369" s="39"/>
      <c r="G369" s="39"/>
      <c r="H369" s="39"/>
      <c r="I369" s="39"/>
    </row>
    <row r="370" ht="15.75" customHeight="1">
      <c r="A370" s="39"/>
      <c r="B370" s="39"/>
      <c r="C370" s="39"/>
      <c r="D370" s="39"/>
      <c r="E370" s="39"/>
      <c r="F370" s="39"/>
      <c r="G370" s="39"/>
      <c r="H370" s="39"/>
      <c r="I370" s="39"/>
    </row>
    <row r="371" ht="15.75" customHeight="1">
      <c r="A371" s="39"/>
      <c r="B371" s="39"/>
      <c r="C371" s="39"/>
      <c r="D371" s="39"/>
      <c r="E371" s="39"/>
      <c r="F371" s="39"/>
      <c r="G371" s="39"/>
      <c r="H371" s="39"/>
      <c r="I371" s="39"/>
    </row>
    <row r="372" ht="15.75" customHeight="1">
      <c r="A372" s="39"/>
      <c r="B372" s="39"/>
      <c r="C372" s="39"/>
      <c r="D372" s="39"/>
      <c r="E372" s="39"/>
      <c r="F372" s="39"/>
      <c r="G372" s="39"/>
      <c r="H372" s="39"/>
      <c r="I372" s="39"/>
    </row>
    <row r="373" ht="15.75" customHeight="1">
      <c r="A373" s="39"/>
      <c r="B373" s="39"/>
      <c r="C373" s="39"/>
      <c r="D373" s="39"/>
      <c r="E373" s="39"/>
      <c r="F373" s="39"/>
      <c r="G373" s="39"/>
      <c r="H373" s="39"/>
      <c r="I373" s="39"/>
    </row>
    <row r="374" ht="15.75" customHeight="1">
      <c r="A374" s="39"/>
      <c r="B374" s="39"/>
      <c r="C374" s="39"/>
      <c r="D374" s="39"/>
      <c r="E374" s="39"/>
      <c r="F374" s="39"/>
      <c r="G374" s="39"/>
      <c r="H374" s="39"/>
      <c r="I374" s="39"/>
    </row>
    <row r="375" ht="15.75" customHeight="1">
      <c r="A375" s="39"/>
      <c r="B375" s="39"/>
      <c r="C375" s="39"/>
      <c r="D375" s="39"/>
      <c r="E375" s="39"/>
      <c r="F375" s="39"/>
      <c r="G375" s="39"/>
      <c r="H375" s="39"/>
      <c r="I375" s="39"/>
    </row>
    <row r="376" ht="15.75" customHeight="1">
      <c r="A376" s="39"/>
      <c r="B376" s="39"/>
      <c r="C376" s="39"/>
      <c r="D376" s="39"/>
      <c r="E376" s="39"/>
      <c r="F376" s="39"/>
      <c r="G376" s="39"/>
      <c r="H376" s="39"/>
      <c r="I376" s="39"/>
    </row>
    <row r="377" ht="15.75" customHeight="1">
      <c r="A377" s="39"/>
      <c r="B377" s="39"/>
      <c r="C377" s="39"/>
      <c r="D377" s="39"/>
      <c r="E377" s="39"/>
      <c r="F377" s="39"/>
      <c r="G377" s="39"/>
      <c r="H377" s="39"/>
      <c r="I377" s="39"/>
    </row>
    <row r="378" ht="15.75" customHeight="1">
      <c r="A378" s="39"/>
      <c r="B378" s="39"/>
      <c r="C378" s="39"/>
      <c r="D378" s="39"/>
      <c r="E378" s="39"/>
      <c r="F378" s="39"/>
      <c r="G378" s="39"/>
      <c r="H378" s="39"/>
      <c r="I378" s="39"/>
    </row>
    <row r="379" ht="15.75" customHeight="1">
      <c r="A379" s="39"/>
      <c r="B379" s="39"/>
      <c r="C379" s="39"/>
      <c r="D379" s="39"/>
      <c r="E379" s="39"/>
      <c r="F379" s="39"/>
      <c r="G379" s="39"/>
      <c r="H379" s="39"/>
      <c r="I379" s="39"/>
    </row>
    <row r="380" ht="15.75" customHeight="1">
      <c r="A380" s="39"/>
      <c r="B380" s="39"/>
      <c r="C380" s="39"/>
      <c r="D380" s="39"/>
      <c r="E380" s="39"/>
      <c r="F380" s="39"/>
      <c r="G380" s="39"/>
      <c r="H380" s="39"/>
      <c r="I380" s="39"/>
    </row>
    <row r="381" ht="15.75" customHeight="1">
      <c r="A381" s="39"/>
      <c r="B381" s="39"/>
      <c r="C381" s="39"/>
      <c r="D381" s="39"/>
      <c r="E381" s="39"/>
      <c r="F381" s="39"/>
      <c r="G381" s="39"/>
      <c r="H381" s="39"/>
      <c r="I381" s="39"/>
    </row>
    <row r="382" ht="15.75" customHeight="1">
      <c r="A382" s="39"/>
      <c r="B382" s="39"/>
      <c r="C382" s="39"/>
      <c r="D382" s="39"/>
      <c r="E382" s="39"/>
      <c r="F382" s="39"/>
      <c r="G382" s="39"/>
      <c r="H382" s="39"/>
      <c r="I382" s="39"/>
    </row>
    <row r="383" ht="15.75" customHeight="1">
      <c r="A383" s="39"/>
      <c r="B383" s="39"/>
      <c r="C383" s="39"/>
      <c r="D383" s="39"/>
      <c r="E383" s="39"/>
      <c r="F383" s="39"/>
      <c r="G383" s="39"/>
      <c r="H383" s="39"/>
      <c r="I383" s="39"/>
    </row>
    <row r="384" ht="15.75" customHeight="1">
      <c r="A384" s="39"/>
      <c r="B384" s="39"/>
      <c r="C384" s="39"/>
      <c r="D384" s="39"/>
      <c r="E384" s="39"/>
      <c r="F384" s="39"/>
      <c r="G384" s="39"/>
      <c r="H384" s="39"/>
      <c r="I384" s="39"/>
    </row>
    <row r="385" ht="15.75" customHeight="1">
      <c r="A385" s="39"/>
      <c r="B385" s="39"/>
      <c r="C385" s="39"/>
      <c r="D385" s="39"/>
      <c r="E385" s="39"/>
      <c r="F385" s="39"/>
      <c r="G385" s="39"/>
      <c r="H385" s="39"/>
      <c r="I385" s="39"/>
    </row>
    <row r="386" ht="15.75" customHeight="1">
      <c r="A386" s="39"/>
      <c r="B386" s="39"/>
      <c r="C386" s="39"/>
      <c r="D386" s="39"/>
      <c r="E386" s="39"/>
      <c r="F386" s="39"/>
      <c r="G386" s="39"/>
      <c r="H386" s="39"/>
      <c r="I386" s="39"/>
    </row>
    <row r="387" ht="15.75" customHeight="1">
      <c r="A387" s="39"/>
      <c r="B387" s="39"/>
      <c r="C387" s="39"/>
      <c r="D387" s="39"/>
      <c r="E387" s="39"/>
      <c r="F387" s="39"/>
      <c r="G387" s="39"/>
      <c r="H387" s="39"/>
      <c r="I387" s="39"/>
    </row>
    <row r="388" ht="15.75" customHeight="1">
      <c r="A388" s="39"/>
      <c r="B388" s="39"/>
      <c r="C388" s="39"/>
      <c r="D388" s="39"/>
      <c r="E388" s="39"/>
      <c r="F388" s="39"/>
      <c r="G388" s="39"/>
      <c r="H388" s="39"/>
      <c r="I388" s="39"/>
    </row>
    <row r="389" ht="15.75" customHeight="1">
      <c r="A389" s="39"/>
      <c r="B389" s="39"/>
      <c r="C389" s="39"/>
      <c r="D389" s="39"/>
      <c r="E389" s="39"/>
      <c r="F389" s="39"/>
      <c r="G389" s="39"/>
      <c r="H389" s="39"/>
      <c r="I389" s="39"/>
    </row>
    <row r="390" ht="15.75" customHeight="1">
      <c r="A390" s="39"/>
      <c r="B390" s="39"/>
      <c r="C390" s="39"/>
      <c r="D390" s="39"/>
      <c r="E390" s="39"/>
      <c r="F390" s="39"/>
      <c r="G390" s="39"/>
      <c r="H390" s="39"/>
      <c r="I390" s="39"/>
    </row>
    <row r="391" ht="15.75" customHeight="1">
      <c r="A391" s="39"/>
      <c r="B391" s="39"/>
      <c r="C391" s="39"/>
      <c r="D391" s="39"/>
      <c r="E391" s="39"/>
      <c r="F391" s="39"/>
      <c r="G391" s="39"/>
      <c r="H391" s="39"/>
      <c r="I391" s="39"/>
    </row>
    <row r="392" ht="15.75" customHeight="1">
      <c r="A392" s="39"/>
      <c r="B392" s="39"/>
      <c r="C392" s="39"/>
      <c r="D392" s="39"/>
      <c r="E392" s="39"/>
      <c r="F392" s="39"/>
      <c r="G392" s="39"/>
      <c r="H392" s="39"/>
      <c r="I392" s="39"/>
    </row>
    <row r="393" ht="15.75" customHeight="1">
      <c r="A393" s="39"/>
      <c r="B393" s="39"/>
      <c r="C393" s="39"/>
      <c r="D393" s="39"/>
      <c r="E393" s="39"/>
      <c r="F393" s="39"/>
      <c r="G393" s="39"/>
      <c r="H393" s="39"/>
      <c r="I393" s="39"/>
    </row>
    <row r="394" ht="15.75" customHeight="1">
      <c r="A394" s="39"/>
      <c r="B394" s="39"/>
      <c r="C394" s="39"/>
      <c r="D394" s="39"/>
      <c r="E394" s="39"/>
      <c r="F394" s="39"/>
      <c r="G394" s="39"/>
      <c r="H394" s="39"/>
      <c r="I394" s="39"/>
    </row>
    <row r="395" ht="15.75" customHeight="1">
      <c r="A395" s="39"/>
      <c r="B395" s="39"/>
      <c r="C395" s="39"/>
      <c r="D395" s="39"/>
      <c r="E395" s="39"/>
      <c r="F395" s="39"/>
      <c r="G395" s="39"/>
      <c r="H395" s="39"/>
      <c r="I395" s="39"/>
    </row>
    <row r="396" ht="15.75" customHeight="1">
      <c r="A396" s="39"/>
      <c r="B396" s="39"/>
      <c r="C396" s="39"/>
      <c r="D396" s="39"/>
      <c r="E396" s="39"/>
      <c r="F396" s="39"/>
      <c r="G396" s="39"/>
      <c r="H396" s="39"/>
      <c r="I396" s="39"/>
    </row>
    <row r="397" ht="15.75" customHeight="1">
      <c r="A397" s="39"/>
      <c r="B397" s="39"/>
      <c r="C397" s="39"/>
      <c r="D397" s="39"/>
      <c r="E397" s="39"/>
      <c r="F397" s="39"/>
      <c r="G397" s="39"/>
      <c r="H397" s="39"/>
      <c r="I397" s="39"/>
    </row>
    <row r="398" ht="15.75" customHeight="1">
      <c r="A398" s="39"/>
      <c r="B398" s="39"/>
      <c r="C398" s="39"/>
      <c r="D398" s="39"/>
      <c r="E398" s="39"/>
      <c r="F398" s="39"/>
      <c r="G398" s="39"/>
      <c r="H398" s="39"/>
      <c r="I398" s="39"/>
    </row>
    <row r="399" ht="15.75" customHeight="1">
      <c r="A399" s="39"/>
      <c r="B399" s="39"/>
      <c r="C399" s="39"/>
      <c r="D399" s="39"/>
      <c r="E399" s="39"/>
      <c r="F399" s="39"/>
      <c r="G399" s="39"/>
      <c r="H399" s="39"/>
      <c r="I399" s="39"/>
    </row>
    <row r="400" ht="15.75" customHeight="1">
      <c r="A400" s="39"/>
      <c r="B400" s="39"/>
      <c r="C400" s="39"/>
      <c r="D400" s="39"/>
      <c r="E400" s="39"/>
      <c r="F400" s="39"/>
      <c r="G400" s="39"/>
      <c r="H400" s="39"/>
      <c r="I400" s="39"/>
    </row>
    <row r="401" ht="15.75" customHeight="1">
      <c r="A401" s="39"/>
      <c r="B401" s="39"/>
      <c r="C401" s="39"/>
      <c r="D401" s="39"/>
      <c r="E401" s="39"/>
      <c r="F401" s="39"/>
      <c r="G401" s="39"/>
      <c r="H401" s="39"/>
      <c r="I401" s="39"/>
    </row>
    <row r="402" ht="15.75" customHeight="1">
      <c r="A402" s="39"/>
      <c r="B402" s="39"/>
      <c r="C402" s="39"/>
      <c r="D402" s="39"/>
      <c r="E402" s="39"/>
      <c r="F402" s="39"/>
      <c r="G402" s="39"/>
      <c r="H402" s="39"/>
      <c r="I402" s="39"/>
    </row>
    <row r="403" ht="15.75" customHeight="1">
      <c r="A403" s="39"/>
      <c r="B403" s="39"/>
      <c r="C403" s="39"/>
      <c r="D403" s="39"/>
      <c r="E403" s="39"/>
      <c r="F403" s="39"/>
      <c r="G403" s="39"/>
      <c r="H403" s="39"/>
      <c r="I403" s="39"/>
    </row>
    <row r="404" ht="15.75" customHeight="1">
      <c r="A404" s="39"/>
      <c r="B404" s="39"/>
      <c r="C404" s="39"/>
      <c r="D404" s="39"/>
      <c r="E404" s="39"/>
      <c r="F404" s="39"/>
      <c r="G404" s="39"/>
      <c r="H404" s="39"/>
      <c r="I404" s="39"/>
    </row>
    <row r="405" ht="15.75" customHeight="1">
      <c r="A405" s="39"/>
      <c r="B405" s="39"/>
      <c r="C405" s="39"/>
      <c r="D405" s="39"/>
      <c r="E405" s="39"/>
      <c r="F405" s="39"/>
      <c r="G405" s="39"/>
      <c r="H405" s="39"/>
      <c r="I405" s="39"/>
    </row>
    <row r="406" ht="15.75" customHeight="1">
      <c r="A406" s="39"/>
      <c r="B406" s="39"/>
      <c r="C406" s="39"/>
      <c r="D406" s="39"/>
      <c r="E406" s="39"/>
      <c r="F406" s="39"/>
      <c r="G406" s="39"/>
      <c r="H406" s="39"/>
      <c r="I406" s="39"/>
    </row>
    <row r="407" ht="15.75" customHeight="1">
      <c r="A407" s="39"/>
      <c r="B407" s="39"/>
      <c r="C407" s="39"/>
      <c r="D407" s="39"/>
      <c r="E407" s="39"/>
      <c r="F407" s="39"/>
      <c r="G407" s="39"/>
      <c r="H407" s="39"/>
      <c r="I407" s="39"/>
    </row>
    <row r="408" ht="15.75" customHeight="1">
      <c r="A408" s="39"/>
      <c r="B408" s="39"/>
      <c r="C408" s="39"/>
      <c r="D408" s="39"/>
      <c r="E408" s="39"/>
      <c r="F408" s="39"/>
      <c r="G408" s="39"/>
      <c r="H408" s="39"/>
      <c r="I408" s="39"/>
    </row>
    <row r="409" ht="15.75" customHeight="1">
      <c r="A409" s="39"/>
      <c r="B409" s="39"/>
      <c r="C409" s="39"/>
      <c r="D409" s="39"/>
      <c r="E409" s="39"/>
      <c r="F409" s="39"/>
      <c r="G409" s="39"/>
      <c r="H409" s="39"/>
      <c r="I409" s="39"/>
    </row>
    <row r="410" ht="15.75" customHeight="1">
      <c r="A410" s="39"/>
      <c r="B410" s="39"/>
      <c r="C410" s="39"/>
      <c r="D410" s="39"/>
      <c r="E410" s="39"/>
      <c r="F410" s="39"/>
      <c r="G410" s="39"/>
      <c r="H410" s="39"/>
      <c r="I410" s="39"/>
    </row>
    <row r="411" ht="15.75" customHeight="1">
      <c r="A411" s="39"/>
      <c r="B411" s="39"/>
      <c r="C411" s="39"/>
      <c r="D411" s="39"/>
      <c r="E411" s="39"/>
      <c r="F411" s="39"/>
      <c r="G411" s="39"/>
      <c r="H411" s="39"/>
      <c r="I411" s="39"/>
    </row>
    <row r="412" ht="15.75" customHeight="1">
      <c r="A412" s="39"/>
      <c r="B412" s="39"/>
      <c r="C412" s="39"/>
      <c r="D412" s="39"/>
      <c r="E412" s="39"/>
      <c r="F412" s="39"/>
      <c r="G412" s="39"/>
      <c r="H412" s="39"/>
      <c r="I412" s="39"/>
    </row>
    <row r="413" ht="15.75" customHeight="1">
      <c r="A413" s="39"/>
      <c r="B413" s="39"/>
      <c r="C413" s="39"/>
      <c r="D413" s="39"/>
      <c r="E413" s="39"/>
      <c r="F413" s="39"/>
      <c r="G413" s="39"/>
      <c r="H413" s="39"/>
      <c r="I413" s="39"/>
    </row>
    <row r="414" ht="15.75" customHeight="1">
      <c r="A414" s="39"/>
      <c r="B414" s="39"/>
      <c r="C414" s="39"/>
      <c r="D414" s="39"/>
      <c r="E414" s="39"/>
      <c r="F414" s="39"/>
      <c r="G414" s="39"/>
      <c r="H414" s="39"/>
      <c r="I414" s="39"/>
    </row>
    <row r="415" ht="15.75" customHeight="1">
      <c r="A415" s="39"/>
      <c r="B415" s="39"/>
      <c r="C415" s="39"/>
      <c r="D415" s="39"/>
      <c r="E415" s="39"/>
      <c r="F415" s="39"/>
      <c r="G415" s="39"/>
      <c r="H415" s="39"/>
      <c r="I415" s="39"/>
    </row>
    <row r="416" ht="15.75" customHeight="1">
      <c r="A416" s="39"/>
      <c r="B416" s="39"/>
      <c r="C416" s="39"/>
      <c r="D416" s="39"/>
      <c r="E416" s="39"/>
      <c r="F416" s="39"/>
      <c r="G416" s="39"/>
      <c r="H416" s="39"/>
      <c r="I416" s="39"/>
    </row>
    <row r="417" ht="15.75" customHeight="1">
      <c r="A417" s="39"/>
      <c r="B417" s="39"/>
      <c r="C417" s="39"/>
      <c r="D417" s="39"/>
      <c r="E417" s="39"/>
      <c r="F417" s="39"/>
      <c r="G417" s="39"/>
      <c r="H417" s="39"/>
      <c r="I417" s="39"/>
    </row>
    <row r="418" ht="15.75" customHeight="1">
      <c r="A418" s="39"/>
      <c r="B418" s="39"/>
      <c r="C418" s="39"/>
      <c r="D418" s="39"/>
      <c r="E418" s="39"/>
      <c r="F418" s="39"/>
      <c r="G418" s="39"/>
      <c r="H418" s="39"/>
      <c r="I418" s="39"/>
    </row>
    <row r="419" ht="15.75" customHeight="1">
      <c r="A419" s="39"/>
      <c r="B419" s="39"/>
      <c r="C419" s="39"/>
      <c r="D419" s="39"/>
      <c r="E419" s="39"/>
      <c r="F419" s="39"/>
      <c r="G419" s="39"/>
      <c r="H419" s="39"/>
      <c r="I419" s="39"/>
    </row>
    <row r="420" ht="15.75" customHeight="1">
      <c r="A420" s="39"/>
      <c r="B420" s="39"/>
      <c r="C420" s="39"/>
      <c r="D420" s="39"/>
      <c r="E420" s="39"/>
      <c r="F420" s="39"/>
      <c r="G420" s="39"/>
      <c r="H420" s="39"/>
      <c r="I420" s="39"/>
    </row>
    <row r="421" ht="15.75" customHeight="1">
      <c r="A421" s="39"/>
      <c r="B421" s="39"/>
      <c r="C421" s="39"/>
      <c r="D421" s="39"/>
      <c r="E421" s="39"/>
      <c r="F421" s="39"/>
      <c r="G421" s="39"/>
      <c r="H421" s="39"/>
      <c r="I421" s="39"/>
    </row>
    <row r="422" ht="15.75" customHeight="1">
      <c r="A422" s="39"/>
      <c r="B422" s="39"/>
      <c r="C422" s="39"/>
      <c r="D422" s="39"/>
      <c r="E422" s="39"/>
      <c r="F422" s="39"/>
      <c r="G422" s="39"/>
      <c r="H422" s="39"/>
      <c r="I422" s="39"/>
    </row>
    <row r="423" ht="15.75" customHeight="1">
      <c r="A423" s="39"/>
      <c r="B423" s="39"/>
      <c r="C423" s="39"/>
      <c r="D423" s="39"/>
      <c r="E423" s="39"/>
      <c r="F423" s="39"/>
      <c r="G423" s="39"/>
      <c r="H423" s="39"/>
      <c r="I423" s="39"/>
    </row>
    <row r="424" ht="15.75" customHeight="1">
      <c r="A424" s="39"/>
      <c r="B424" s="39"/>
      <c r="C424" s="39"/>
      <c r="D424" s="39"/>
      <c r="E424" s="39"/>
      <c r="F424" s="39"/>
      <c r="G424" s="39"/>
      <c r="H424" s="39"/>
      <c r="I424" s="39"/>
    </row>
    <row r="425" ht="15.75" customHeight="1">
      <c r="A425" s="39"/>
      <c r="B425" s="39"/>
      <c r="C425" s="39"/>
      <c r="D425" s="39"/>
      <c r="E425" s="39"/>
      <c r="F425" s="39"/>
      <c r="G425" s="39"/>
      <c r="H425" s="39"/>
      <c r="I425" s="39"/>
    </row>
    <row r="426" ht="15.75" customHeight="1">
      <c r="A426" s="39"/>
      <c r="B426" s="39"/>
      <c r="C426" s="39"/>
      <c r="D426" s="39"/>
      <c r="E426" s="39"/>
      <c r="F426" s="39"/>
      <c r="G426" s="39"/>
      <c r="H426" s="39"/>
      <c r="I426" s="39"/>
    </row>
    <row r="427" ht="15.75" customHeight="1">
      <c r="A427" s="39"/>
      <c r="B427" s="39"/>
      <c r="C427" s="39"/>
      <c r="D427" s="39"/>
      <c r="E427" s="39"/>
      <c r="F427" s="39"/>
      <c r="G427" s="39"/>
      <c r="H427" s="39"/>
      <c r="I427" s="39"/>
    </row>
    <row r="428" ht="15.75" customHeight="1">
      <c r="A428" s="39"/>
      <c r="B428" s="39"/>
      <c r="C428" s="39"/>
      <c r="D428" s="39"/>
      <c r="E428" s="39"/>
      <c r="F428" s="39"/>
      <c r="G428" s="39"/>
      <c r="H428" s="39"/>
      <c r="I428" s="39"/>
    </row>
    <row r="429" ht="15.75" customHeight="1">
      <c r="A429" s="39"/>
      <c r="B429" s="39"/>
      <c r="C429" s="39"/>
      <c r="D429" s="39"/>
      <c r="E429" s="39"/>
      <c r="F429" s="39"/>
      <c r="G429" s="39"/>
      <c r="H429" s="39"/>
      <c r="I429" s="39"/>
    </row>
    <row r="430" ht="15.75" customHeight="1">
      <c r="A430" s="39"/>
      <c r="B430" s="39"/>
      <c r="C430" s="39"/>
      <c r="D430" s="39"/>
      <c r="E430" s="39"/>
      <c r="F430" s="39"/>
      <c r="G430" s="39"/>
      <c r="H430" s="39"/>
      <c r="I430" s="39"/>
    </row>
    <row r="431" ht="15.75" customHeight="1">
      <c r="A431" s="39"/>
      <c r="B431" s="39"/>
      <c r="C431" s="39"/>
      <c r="D431" s="39"/>
      <c r="E431" s="39"/>
      <c r="F431" s="39"/>
      <c r="G431" s="39"/>
      <c r="H431" s="39"/>
      <c r="I431" s="39"/>
    </row>
    <row r="432" ht="15.75" customHeight="1">
      <c r="A432" s="39"/>
      <c r="B432" s="39"/>
      <c r="C432" s="39"/>
      <c r="D432" s="39"/>
      <c r="E432" s="39"/>
      <c r="F432" s="39"/>
      <c r="G432" s="39"/>
      <c r="H432" s="39"/>
      <c r="I432" s="39"/>
    </row>
    <row r="433" ht="15.75" customHeight="1">
      <c r="A433" s="39"/>
      <c r="B433" s="39"/>
      <c r="C433" s="39"/>
      <c r="D433" s="39"/>
      <c r="E433" s="39"/>
      <c r="F433" s="39"/>
      <c r="G433" s="39"/>
      <c r="H433" s="39"/>
      <c r="I433" s="39"/>
    </row>
    <row r="434" ht="15.75" customHeight="1">
      <c r="A434" s="39"/>
      <c r="B434" s="39"/>
      <c r="C434" s="39"/>
      <c r="D434" s="39"/>
      <c r="E434" s="39"/>
      <c r="F434" s="39"/>
      <c r="G434" s="39"/>
      <c r="H434" s="39"/>
      <c r="I434" s="39"/>
    </row>
    <row r="435" ht="15.75" customHeight="1">
      <c r="A435" s="39"/>
      <c r="B435" s="39"/>
      <c r="C435" s="39"/>
      <c r="D435" s="39"/>
      <c r="E435" s="39"/>
      <c r="F435" s="39"/>
      <c r="G435" s="39"/>
      <c r="H435" s="39"/>
      <c r="I435" s="39"/>
    </row>
    <row r="436" ht="15.75" customHeight="1">
      <c r="A436" s="39"/>
      <c r="B436" s="39"/>
      <c r="C436" s="39"/>
      <c r="D436" s="39"/>
      <c r="E436" s="39"/>
      <c r="F436" s="39"/>
      <c r="G436" s="39"/>
      <c r="H436" s="39"/>
      <c r="I436" s="39"/>
    </row>
    <row r="437" ht="15.75" customHeight="1">
      <c r="A437" s="39"/>
      <c r="B437" s="39"/>
      <c r="C437" s="39"/>
      <c r="D437" s="39"/>
      <c r="E437" s="39"/>
      <c r="F437" s="39"/>
      <c r="G437" s="39"/>
      <c r="H437" s="39"/>
      <c r="I437" s="39"/>
    </row>
    <row r="438" ht="15.75" customHeight="1">
      <c r="A438" s="39"/>
      <c r="B438" s="39"/>
      <c r="C438" s="39"/>
      <c r="D438" s="39"/>
      <c r="E438" s="39"/>
      <c r="F438" s="39"/>
      <c r="G438" s="39"/>
      <c r="H438" s="39"/>
      <c r="I438" s="39"/>
    </row>
    <row r="439" ht="15.75" customHeight="1">
      <c r="A439" s="39"/>
      <c r="B439" s="39"/>
      <c r="C439" s="39"/>
      <c r="D439" s="39"/>
      <c r="E439" s="39"/>
      <c r="F439" s="39"/>
      <c r="G439" s="39"/>
      <c r="H439" s="39"/>
      <c r="I439" s="39"/>
    </row>
    <row r="440" ht="15.75" customHeight="1">
      <c r="A440" s="39"/>
      <c r="B440" s="39"/>
      <c r="C440" s="39"/>
      <c r="D440" s="39"/>
      <c r="E440" s="39"/>
      <c r="F440" s="39"/>
      <c r="G440" s="39"/>
      <c r="H440" s="39"/>
      <c r="I440" s="39"/>
    </row>
    <row r="441" ht="15.75" customHeight="1">
      <c r="A441" s="39"/>
      <c r="B441" s="39"/>
      <c r="C441" s="39"/>
      <c r="D441" s="39"/>
      <c r="E441" s="39"/>
      <c r="F441" s="39"/>
      <c r="G441" s="39"/>
      <c r="H441" s="39"/>
      <c r="I441" s="39"/>
    </row>
    <row r="442" ht="15.75" customHeight="1">
      <c r="A442" s="39"/>
      <c r="B442" s="39"/>
      <c r="C442" s="39"/>
      <c r="D442" s="39"/>
      <c r="E442" s="39"/>
      <c r="F442" s="39"/>
      <c r="G442" s="39"/>
      <c r="H442" s="39"/>
      <c r="I442" s="39"/>
    </row>
    <row r="443" ht="15.75" customHeight="1">
      <c r="A443" s="39"/>
      <c r="B443" s="39"/>
      <c r="C443" s="39"/>
      <c r="D443" s="39"/>
      <c r="E443" s="39"/>
      <c r="F443" s="39"/>
      <c r="G443" s="39"/>
      <c r="H443" s="39"/>
      <c r="I443" s="39"/>
    </row>
    <row r="444" ht="15.75" customHeight="1">
      <c r="A444" s="39"/>
      <c r="B444" s="39"/>
      <c r="C444" s="39"/>
      <c r="D444" s="39"/>
      <c r="E444" s="39"/>
      <c r="F444" s="39"/>
      <c r="G444" s="39"/>
      <c r="H444" s="39"/>
      <c r="I444" s="39"/>
    </row>
    <row r="445" ht="15.75" customHeight="1">
      <c r="A445" s="39"/>
      <c r="B445" s="39"/>
      <c r="C445" s="39"/>
      <c r="D445" s="39"/>
      <c r="E445" s="39"/>
      <c r="F445" s="39"/>
      <c r="G445" s="39"/>
      <c r="H445" s="39"/>
      <c r="I445" s="39"/>
    </row>
    <row r="446" ht="15.75" customHeight="1">
      <c r="A446" s="39"/>
      <c r="B446" s="39"/>
      <c r="C446" s="39"/>
      <c r="D446" s="39"/>
      <c r="E446" s="39"/>
      <c r="F446" s="39"/>
      <c r="G446" s="39"/>
      <c r="H446" s="39"/>
      <c r="I446" s="39"/>
    </row>
    <row r="447" ht="15.75" customHeight="1">
      <c r="A447" s="39"/>
      <c r="B447" s="39"/>
      <c r="C447" s="39"/>
      <c r="D447" s="39"/>
      <c r="E447" s="39"/>
      <c r="F447" s="39"/>
      <c r="G447" s="39"/>
      <c r="H447" s="39"/>
      <c r="I447" s="39"/>
    </row>
    <row r="448" ht="15.75" customHeight="1">
      <c r="A448" s="39"/>
      <c r="B448" s="39"/>
      <c r="C448" s="39"/>
      <c r="D448" s="39"/>
      <c r="E448" s="39"/>
      <c r="F448" s="39"/>
      <c r="G448" s="39"/>
      <c r="H448" s="39"/>
      <c r="I448" s="39"/>
    </row>
    <row r="449" ht="15.75" customHeight="1">
      <c r="A449" s="39"/>
      <c r="B449" s="39"/>
      <c r="C449" s="39"/>
      <c r="D449" s="39"/>
      <c r="E449" s="39"/>
      <c r="F449" s="39"/>
      <c r="G449" s="39"/>
      <c r="H449" s="39"/>
      <c r="I449" s="39"/>
    </row>
    <row r="450" ht="15.75" customHeight="1">
      <c r="A450" s="39"/>
      <c r="B450" s="39"/>
      <c r="C450" s="39"/>
      <c r="D450" s="39"/>
      <c r="E450" s="39"/>
      <c r="F450" s="39"/>
      <c r="G450" s="39"/>
      <c r="H450" s="39"/>
      <c r="I450" s="39"/>
    </row>
    <row r="451" ht="15.75" customHeight="1">
      <c r="A451" s="39"/>
      <c r="B451" s="39"/>
      <c r="C451" s="39"/>
      <c r="D451" s="39"/>
      <c r="E451" s="39"/>
      <c r="F451" s="39"/>
      <c r="G451" s="39"/>
      <c r="H451" s="39"/>
      <c r="I451" s="39"/>
    </row>
    <row r="452" ht="15.75" customHeight="1">
      <c r="A452" s="39"/>
      <c r="B452" s="39"/>
      <c r="C452" s="39"/>
      <c r="D452" s="39"/>
      <c r="E452" s="39"/>
      <c r="F452" s="39"/>
      <c r="G452" s="39"/>
      <c r="H452" s="39"/>
      <c r="I452" s="39"/>
    </row>
    <row r="453" ht="15.75" customHeight="1">
      <c r="A453" s="39"/>
      <c r="B453" s="39"/>
      <c r="C453" s="39"/>
      <c r="D453" s="39"/>
      <c r="E453" s="39"/>
      <c r="F453" s="39"/>
      <c r="G453" s="39"/>
      <c r="H453" s="39"/>
      <c r="I453" s="39"/>
    </row>
    <row r="454" ht="15.75" customHeight="1">
      <c r="A454" s="39"/>
      <c r="B454" s="39"/>
      <c r="C454" s="39"/>
      <c r="D454" s="39"/>
      <c r="E454" s="39"/>
      <c r="F454" s="39"/>
      <c r="G454" s="39"/>
      <c r="H454" s="39"/>
      <c r="I454" s="39"/>
    </row>
    <row r="455" ht="15.75" customHeight="1">
      <c r="A455" s="39"/>
      <c r="B455" s="39"/>
      <c r="C455" s="39"/>
      <c r="D455" s="39"/>
      <c r="E455" s="39"/>
      <c r="F455" s="39"/>
      <c r="G455" s="39"/>
      <c r="H455" s="39"/>
      <c r="I455" s="39"/>
    </row>
    <row r="456" ht="15.75" customHeight="1">
      <c r="A456" s="39"/>
      <c r="B456" s="39"/>
      <c r="C456" s="39"/>
      <c r="D456" s="39"/>
      <c r="E456" s="39"/>
      <c r="F456" s="39"/>
      <c r="G456" s="39"/>
      <c r="H456" s="39"/>
      <c r="I456" s="39"/>
    </row>
    <row r="457" ht="15.75" customHeight="1">
      <c r="A457" s="39"/>
      <c r="B457" s="39"/>
      <c r="C457" s="39"/>
      <c r="D457" s="39"/>
      <c r="E457" s="39"/>
      <c r="F457" s="39"/>
      <c r="G457" s="39"/>
      <c r="H457" s="39"/>
      <c r="I457" s="39"/>
    </row>
    <row r="458" ht="15.75" customHeight="1">
      <c r="A458" s="39"/>
      <c r="B458" s="39"/>
      <c r="C458" s="39"/>
      <c r="D458" s="39"/>
      <c r="E458" s="39"/>
      <c r="F458" s="39"/>
      <c r="G458" s="39"/>
      <c r="H458" s="39"/>
      <c r="I458" s="39"/>
    </row>
    <row r="459" ht="15.75" customHeight="1">
      <c r="A459" s="39"/>
      <c r="B459" s="39"/>
      <c r="C459" s="39"/>
      <c r="D459" s="39"/>
      <c r="E459" s="39"/>
      <c r="F459" s="39"/>
      <c r="G459" s="39"/>
      <c r="H459" s="39"/>
      <c r="I459" s="39"/>
    </row>
    <row r="460" ht="15.75" customHeight="1">
      <c r="A460" s="39"/>
      <c r="B460" s="39"/>
      <c r="C460" s="39"/>
      <c r="D460" s="39"/>
      <c r="E460" s="39"/>
      <c r="F460" s="39"/>
      <c r="G460" s="39"/>
      <c r="H460" s="39"/>
      <c r="I460" s="39"/>
    </row>
    <row r="461" ht="15.75" customHeight="1">
      <c r="A461" s="39"/>
      <c r="B461" s="39"/>
      <c r="C461" s="39"/>
      <c r="D461" s="39"/>
      <c r="E461" s="39"/>
      <c r="F461" s="39"/>
      <c r="G461" s="39"/>
      <c r="H461" s="39"/>
      <c r="I461" s="39"/>
    </row>
    <row r="462" ht="15.75" customHeight="1">
      <c r="A462" s="39"/>
      <c r="B462" s="39"/>
      <c r="C462" s="39"/>
      <c r="D462" s="39"/>
      <c r="E462" s="39"/>
      <c r="F462" s="39"/>
      <c r="G462" s="39"/>
      <c r="H462" s="39"/>
      <c r="I462" s="39"/>
    </row>
    <row r="463" ht="15.75" customHeight="1">
      <c r="A463" s="39"/>
      <c r="B463" s="39"/>
      <c r="C463" s="39"/>
      <c r="D463" s="39"/>
      <c r="E463" s="39"/>
      <c r="F463" s="39"/>
      <c r="G463" s="39"/>
      <c r="H463" s="39"/>
      <c r="I463" s="39"/>
    </row>
    <row r="464" ht="15.75" customHeight="1">
      <c r="A464" s="39"/>
      <c r="B464" s="39"/>
      <c r="C464" s="39"/>
      <c r="D464" s="39"/>
      <c r="E464" s="39"/>
      <c r="F464" s="39"/>
      <c r="G464" s="39"/>
      <c r="H464" s="39"/>
      <c r="I464" s="39"/>
    </row>
    <row r="465" ht="15.75" customHeight="1">
      <c r="A465" s="39"/>
      <c r="B465" s="39"/>
      <c r="C465" s="39"/>
      <c r="D465" s="39"/>
      <c r="E465" s="39"/>
      <c r="F465" s="39"/>
      <c r="G465" s="39"/>
      <c r="H465" s="39"/>
      <c r="I465" s="39"/>
    </row>
    <row r="466" ht="15.75" customHeight="1">
      <c r="A466" s="39"/>
      <c r="B466" s="39"/>
      <c r="C466" s="39"/>
      <c r="D466" s="39"/>
      <c r="E466" s="39"/>
      <c r="F466" s="39"/>
      <c r="G466" s="39"/>
      <c r="H466" s="39"/>
      <c r="I466" s="39"/>
    </row>
    <row r="467" ht="15.75" customHeight="1">
      <c r="A467" s="39"/>
      <c r="B467" s="39"/>
      <c r="C467" s="39"/>
      <c r="D467" s="39"/>
      <c r="E467" s="39"/>
      <c r="F467" s="39"/>
      <c r="G467" s="39"/>
      <c r="H467" s="39"/>
      <c r="I467" s="39"/>
    </row>
    <row r="468" ht="15.75" customHeight="1">
      <c r="A468" s="39"/>
      <c r="B468" s="39"/>
      <c r="C468" s="39"/>
      <c r="D468" s="39"/>
      <c r="E468" s="39"/>
      <c r="F468" s="39"/>
      <c r="G468" s="39"/>
      <c r="H468" s="39"/>
      <c r="I468" s="39"/>
    </row>
    <row r="469" ht="15.75" customHeight="1">
      <c r="A469" s="39"/>
      <c r="B469" s="39"/>
      <c r="C469" s="39"/>
      <c r="D469" s="39"/>
      <c r="E469" s="39"/>
      <c r="F469" s="39"/>
      <c r="G469" s="39"/>
      <c r="H469" s="39"/>
      <c r="I469" s="39"/>
    </row>
    <row r="470" ht="15.75" customHeight="1">
      <c r="A470" s="39"/>
      <c r="B470" s="39"/>
      <c r="C470" s="39"/>
      <c r="D470" s="39"/>
      <c r="E470" s="39"/>
      <c r="F470" s="39"/>
      <c r="G470" s="39"/>
      <c r="H470" s="39"/>
      <c r="I470" s="39"/>
    </row>
    <row r="471" ht="15.75" customHeight="1">
      <c r="A471" s="39"/>
      <c r="B471" s="39"/>
      <c r="C471" s="39"/>
      <c r="D471" s="39"/>
      <c r="E471" s="39"/>
      <c r="F471" s="39"/>
      <c r="G471" s="39"/>
      <c r="H471" s="39"/>
      <c r="I471" s="39"/>
    </row>
    <row r="472" ht="15.75" customHeight="1">
      <c r="A472" s="39"/>
      <c r="B472" s="39"/>
      <c r="C472" s="39"/>
      <c r="D472" s="39"/>
      <c r="E472" s="39"/>
      <c r="F472" s="39"/>
      <c r="G472" s="39"/>
      <c r="H472" s="39"/>
      <c r="I472" s="39"/>
    </row>
    <row r="473" ht="15.75" customHeight="1">
      <c r="A473" s="39"/>
      <c r="B473" s="39"/>
      <c r="C473" s="39"/>
      <c r="D473" s="39"/>
      <c r="E473" s="39"/>
      <c r="F473" s="39"/>
      <c r="G473" s="39"/>
      <c r="H473" s="39"/>
      <c r="I473" s="39"/>
    </row>
    <row r="474" ht="15.75" customHeight="1">
      <c r="A474" s="39"/>
      <c r="B474" s="39"/>
      <c r="C474" s="39"/>
      <c r="D474" s="39"/>
      <c r="E474" s="39"/>
      <c r="F474" s="39"/>
      <c r="G474" s="39"/>
      <c r="H474" s="39"/>
      <c r="I474" s="39"/>
    </row>
    <row r="475" ht="15.75" customHeight="1">
      <c r="A475" s="39"/>
      <c r="B475" s="39"/>
      <c r="C475" s="39"/>
      <c r="D475" s="39"/>
      <c r="E475" s="39"/>
      <c r="F475" s="39"/>
      <c r="G475" s="39"/>
      <c r="H475" s="39"/>
      <c r="I475" s="39"/>
    </row>
    <row r="476" ht="15.75" customHeight="1">
      <c r="A476" s="39"/>
      <c r="B476" s="39"/>
      <c r="C476" s="39"/>
      <c r="D476" s="39"/>
      <c r="E476" s="39"/>
      <c r="F476" s="39"/>
      <c r="G476" s="39"/>
      <c r="H476" s="39"/>
      <c r="I476" s="39"/>
    </row>
    <row r="477" ht="15.75" customHeight="1">
      <c r="A477" s="39"/>
      <c r="B477" s="39"/>
      <c r="C477" s="39"/>
      <c r="D477" s="39"/>
      <c r="E477" s="39"/>
      <c r="F477" s="39"/>
      <c r="G477" s="39"/>
      <c r="H477" s="39"/>
      <c r="I477" s="39"/>
    </row>
    <row r="478" ht="15.75" customHeight="1">
      <c r="A478" s="39"/>
      <c r="B478" s="39"/>
      <c r="C478" s="39"/>
      <c r="D478" s="39"/>
      <c r="E478" s="39"/>
      <c r="F478" s="39"/>
      <c r="G478" s="39"/>
      <c r="H478" s="39"/>
      <c r="I478" s="39"/>
    </row>
    <row r="479" ht="15.75" customHeight="1">
      <c r="A479" s="39"/>
      <c r="B479" s="39"/>
      <c r="C479" s="39"/>
      <c r="D479" s="39"/>
      <c r="E479" s="39"/>
      <c r="F479" s="39"/>
      <c r="G479" s="39"/>
      <c r="H479" s="39"/>
      <c r="I479" s="39"/>
    </row>
    <row r="480" ht="15.75" customHeight="1">
      <c r="A480" s="39"/>
      <c r="B480" s="39"/>
      <c r="C480" s="39"/>
      <c r="D480" s="39"/>
      <c r="E480" s="39"/>
      <c r="F480" s="39"/>
      <c r="G480" s="39"/>
      <c r="H480" s="39"/>
      <c r="I480" s="39"/>
    </row>
    <row r="481" ht="15.75" customHeight="1">
      <c r="A481" s="39"/>
      <c r="B481" s="39"/>
      <c r="C481" s="39"/>
      <c r="D481" s="39"/>
      <c r="E481" s="39"/>
      <c r="F481" s="39"/>
      <c r="G481" s="39"/>
      <c r="H481" s="39"/>
      <c r="I481" s="39"/>
    </row>
    <row r="482" ht="15.75" customHeight="1">
      <c r="A482" s="39"/>
      <c r="B482" s="39"/>
      <c r="C482" s="39"/>
      <c r="D482" s="39"/>
      <c r="E482" s="39"/>
      <c r="F482" s="39"/>
      <c r="G482" s="39"/>
      <c r="H482" s="39"/>
      <c r="I482" s="39"/>
    </row>
    <row r="483" ht="15.75" customHeight="1">
      <c r="A483" s="39"/>
      <c r="B483" s="39"/>
      <c r="C483" s="39"/>
      <c r="D483" s="39"/>
      <c r="E483" s="39"/>
      <c r="F483" s="39"/>
      <c r="G483" s="39"/>
      <c r="H483" s="39"/>
      <c r="I483" s="39"/>
    </row>
    <row r="484" ht="15.75" customHeight="1">
      <c r="A484" s="39"/>
      <c r="B484" s="39"/>
      <c r="C484" s="39"/>
      <c r="D484" s="39"/>
      <c r="E484" s="39"/>
      <c r="F484" s="39"/>
      <c r="G484" s="39"/>
      <c r="H484" s="39"/>
      <c r="I484" s="39"/>
    </row>
    <row r="485" ht="15.75" customHeight="1">
      <c r="A485" s="39"/>
      <c r="B485" s="39"/>
      <c r="C485" s="39"/>
      <c r="D485" s="39"/>
      <c r="E485" s="39"/>
      <c r="F485" s="39"/>
      <c r="G485" s="39"/>
      <c r="H485" s="39"/>
      <c r="I485" s="39"/>
    </row>
    <row r="486" ht="15.75" customHeight="1">
      <c r="A486" s="39"/>
      <c r="B486" s="39"/>
      <c r="C486" s="39"/>
      <c r="D486" s="39"/>
      <c r="E486" s="39"/>
      <c r="F486" s="39"/>
      <c r="G486" s="39"/>
      <c r="H486" s="39"/>
      <c r="I486" s="39"/>
    </row>
    <row r="487" ht="15.75" customHeight="1">
      <c r="A487" s="39"/>
      <c r="B487" s="39"/>
      <c r="C487" s="39"/>
      <c r="D487" s="39"/>
      <c r="E487" s="39"/>
      <c r="F487" s="39"/>
      <c r="G487" s="39"/>
      <c r="H487" s="39"/>
      <c r="I487" s="39"/>
    </row>
    <row r="488" ht="15.75" customHeight="1">
      <c r="A488" s="39"/>
      <c r="B488" s="39"/>
      <c r="C488" s="39"/>
      <c r="D488" s="39"/>
      <c r="E488" s="39"/>
      <c r="F488" s="39"/>
      <c r="G488" s="39"/>
      <c r="H488" s="39"/>
      <c r="I488" s="39"/>
    </row>
    <row r="489" ht="15.75" customHeight="1">
      <c r="A489" s="39"/>
      <c r="B489" s="39"/>
      <c r="C489" s="39"/>
      <c r="D489" s="39"/>
      <c r="E489" s="39"/>
      <c r="F489" s="39"/>
      <c r="G489" s="39"/>
      <c r="H489" s="39"/>
      <c r="I489" s="39"/>
    </row>
    <row r="490" ht="15.75" customHeight="1">
      <c r="A490" s="39"/>
      <c r="B490" s="39"/>
      <c r="C490" s="39"/>
      <c r="D490" s="39"/>
      <c r="E490" s="39"/>
      <c r="F490" s="39"/>
      <c r="G490" s="39"/>
      <c r="H490" s="39"/>
      <c r="I490" s="39"/>
    </row>
    <row r="491" ht="15.75" customHeight="1">
      <c r="A491" s="39"/>
      <c r="B491" s="39"/>
      <c r="C491" s="39"/>
      <c r="D491" s="39"/>
      <c r="E491" s="39"/>
      <c r="F491" s="39"/>
      <c r="G491" s="39"/>
      <c r="H491" s="39"/>
      <c r="I491" s="39"/>
    </row>
    <row r="492" ht="15.75" customHeight="1">
      <c r="A492" s="39"/>
      <c r="B492" s="39"/>
      <c r="C492" s="39"/>
      <c r="D492" s="39"/>
      <c r="E492" s="39"/>
      <c r="F492" s="39"/>
      <c r="G492" s="39"/>
      <c r="H492" s="39"/>
      <c r="I492" s="39"/>
    </row>
    <row r="493" ht="15.75" customHeight="1">
      <c r="A493" s="39"/>
      <c r="B493" s="39"/>
      <c r="C493" s="39"/>
      <c r="D493" s="39"/>
      <c r="E493" s="39"/>
      <c r="F493" s="39"/>
      <c r="G493" s="39"/>
      <c r="H493" s="39"/>
      <c r="I493" s="39"/>
    </row>
    <row r="494" ht="15.75" customHeight="1">
      <c r="A494" s="39"/>
      <c r="B494" s="39"/>
      <c r="C494" s="39"/>
      <c r="D494" s="39"/>
      <c r="E494" s="39"/>
      <c r="F494" s="39"/>
      <c r="G494" s="39"/>
      <c r="H494" s="39"/>
      <c r="I494" s="39"/>
    </row>
    <row r="495" ht="15.75" customHeight="1">
      <c r="A495" s="39"/>
      <c r="B495" s="39"/>
      <c r="C495" s="39"/>
      <c r="D495" s="39"/>
      <c r="E495" s="39"/>
      <c r="F495" s="39"/>
      <c r="G495" s="39"/>
      <c r="H495" s="39"/>
      <c r="I495" s="39"/>
    </row>
    <row r="496" ht="15.75" customHeight="1">
      <c r="A496" s="39"/>
      <c r="B496" s="39"/>
      <c r="C496" s="39"/>
      <c r="D496" s="39"/>
      <c r="E496" s="39"/>
      <c r="F496" s="39"/>
      <c r="G496" s="39"/>
      <c r="H496" s="39"/>
      <c r="I496" s="39"/>
    </row>
    <row r="497" ht="15.75" customHeight="1">
      <c r="A497" s="39"/>
      <c r="B497" s="39"/>
      <c r="C497" s="39"/>
      <c r="D497" s="39"/>
      <c r="E497" s="39"/>
      <c r="F497" s="39"/>
      <c r="G497" s="39"/>
      <c r="H497" s="39"/>
      <c r="I497" s="39"/>
    </row>
    <row r="498" ht="15.75" customHeight="1">
      <c r="A498" s="39"/>
      <c r="B498" s="39"/>
      <c r="C498" s="39"/>
      <c r="D498" s="39"/>
      <c r="E498" s="39"/>
      <c r="F498" s="39"/>
      <c r="G498" s="39"/>
      <c r="H498" s="39"/>
      <c r="I498" s="39"/>
    </row>
    <row r="499" ht="15.75" customHeight="1">
      <c r="A499" s="39"/>
      <c r="B499" s="39"/>
      <c r="C499" s="39"/>
      <c r="D499" s="39"/>
      <c r="E499" s="39"/>
      <c r="F499" s="39"/>
      <c r="G499" s="39"/>
      <c r="H499" s="39"/>
      <c r="I499" s="39"/>
    </row>
    <row r="500" ht="15.75" customHeight="1">
      <c r="A500" s="39"/>
      <c r="B500" s="39"/>
      <c r="C500" s="39"/>
      <c r="D500" s="39"/>
      <c r="E500" s="39"/>
      <c r="F500" s="39"/>
      <c r="G500" s="39"/>
      <c r="H500" s="39"/>
      <c r="I500" s="39"/>
    </row>
    <row r="501" ht="15.75" customHeight="1">
      <c r="A501" s="39"/>
      <c r="B501" s="39"/>
      <c r="C501" s="39"/>
      <c r="D501" s="39"/>
      <c r="E501" s="39"/>
      <c r="F501" s="39"/>
      <c r="G501" s="39"/>
      <c r="H501" s="39"/>
      <c r="I501" s="39"/>
    </row>
    <row r="502" ht="15.75" customHeight="1">
      <c r="A502" s="39"/>
      <c r="B502" s="39"/>
      <c r="C502" s="39"/>
      <c r="D502" s="39"/>
      <c r="E502" s="39"/>
      <c r="F502" s="39"/>
      <c r="G502" s="39"/>
      <c r="H502" s="39"/>
      <c r="I502" s="39"/>
    </row>
    <row r="503" ht="15.75" customHeight="1">
      <c r="A503" s="39"/>
      <c r="B503" s="39"/>
      <c r="C503" s="39"/>
      <c r="D503" s="39"/>
      <c r="E503" s="39"/>
      <c r="F503" s="39"/>
      <c r="G503" s="39"/>
      <c r="H503" s="39"/>
      <c r="I503" s="39"/>
    </row>
    <row r="504" ht="15.75" customHeight="1">
      <c r="A504" s="39"/>
      <c r="B504" s="39"/>
      <c r="C504" s="39"/>
      <c r="D504" s="39"/>
      <c r="E504" s="39"/>
      <c r="F504" s="39"/>
      <c r="G504" s="39"/>
      <c r="H504" s="39"/>
      <c r="I504" s="39"/>
    </row>
    <row r="505" ht="15.75" customHeight="1">
      <c r="A505" s="39"/>
      <c r="B505" s="39"/>
      <c r="C505" s="39"/>
      <c r="D505" s="39"/>
      <c r="E505" s="39"/>
      <c r="F505" s="39"/>
      <c r="G505" s="39"/>
      <c r="H505" s="39"/>
      <c r="I505" s="39"/>
    </row>
    <row r="506" ht="15.75" customHeight="1">
      <c r="A506" s="39"/>
      <c r="B506" s="39"/>
      <c r="C506" s="39"/>
      <c r="D506" s="39"/>
      <c r="E506" s="39"/>
      <c r="F506" s="39"/>
      <c r="G506" s="39"/>
      <c r="H506" s="39"/>
      <c r="I506" s="39"/>
    </row>
    <row r="507" ht="15.75" customHeight="1">
      <c r="A507" s="39"/>
      <c r="B507" s="39"/>
      <c r="C507" s="39"/>
      <c r="D507" s="39"/>
      <c r="E507" s="39"/>
      <c r="F507" s="39"/>
      <c r="G507" s="39"/>
      <c r="H507" s="39"/>
      <c r="I507" s="39"/>
    </row>
    <row r="508" ht="15.75" customHeight="1">
      <c r="A508" s="39"/>
      <c r="B508" s="39"/>
      <c r="C508" s="39"/>
      <c r="D508" s="39"/>
      <c r="E508" s="39"/>
      <c r="F508" s="39"/>
      <c r="G508" s="39"/>
      <c r="H508" s="39"/>
      <c r="I508" s="39"/>
    </row>
    <row r="509" ht="15.75" customHeight="1">
      <c r="A509" s="39"/>
      <c r="B509" s="39"/>
      <c r="C509" s="39"/>
      <c r="D509" s="39"/>
      <c r="E509" s="39"/>
      <c r="F509" s="39"/>
      <c r="G509" s="39"/>
      <c r="H509" s="39"/>
      <c r="I509" s="39"/>
    </row>
    <row r="510" ht="15.75" customHeight="1">
      <c r="A510" s="39"/>
      <c r="B510" s="39"/>
      <c r="C510" s="39"/>
      <c r="D510" s="39"/>
      <c r="E510" s="39"/>
      <c r="F510" s="39"/>
      <c r="G510" s="39"/>
      <c r="H510" s="39"/>
      <c r="I510" s="39"/>
    </row>
    <row r="511" ht="15.75" customHeight="1">
      <c r="A511" s="39"/>
      <c r="B511" s="39"/>
      <c r="C511" s="39"/>
      <c r="D511" s="39"/>
      <c r="E511" s="39"/>
      <c r="F511" s="39"/>
      <c r="G511" s="39"/>
      <c r="H511" s="39"/>
      <c r="I511" s="39"/>
    </row>
    <row r="512" ht="15.75" customHeight="1">
      <c r="A512" s="39"/>
      <c r="B512" s="39"/>
      <c r="C512" s="39"/>
      <c r="D512" s="39"/>
      <c r="E512" s="39"/>
      <c r="F512" s="39"/>
      <c r="G512" s="39"/>
      <c r="H512" s="39"/>
      <c r="I512" s="39"/>
    </row>
    <row r="513" ht="15.75" customHeight="1">
      <c r="A513" s="39"/>
      <c r="B513" s="39"/>
      <c r="C513" s="39"/>
      <c r="D513" s="39"/>
      <c r="E513" s="39"/>
      <c r="F513" s="39"/>
      <c r="G513" s="39"/>
      <c r="H513" s="39"/>
      <c r="I513" s="39"/>
    </row>
    <row r="514" ht="15.75" customHeight="1">
      <c r="A514" s="39"/>
      <c r="B514" s="39"/>
      <c r="C514" s="39"/>
      <c r="D514" s="39"/>
      <c r="E514" s="39"/>
      <c r="F514" s="39"/>
      <c r="G514" s="39"/>
      <c r="H514" s="39"/>
      <c r="I514" s="39"/>
    </row>
    <row r="515" ht="15.75" customHeight="1">
      <c r="A515" s="39"/>
      <c r="B515" s="39"/>
      <c r="C515" s="39"/>
      <c r="D515" s="39"/>
      <c r="E515" s="39"/>
      <c r="F515" s="39"/>
      <c r="G515" s="39"/>
      <c r="H515" s="39"/>
      <c r="I515" s="39"/>
    </row>
    <row r="516" ht="15.75" customHeight="1">
      <c r="A516" s="39"/>
      <c r="B516" s="39"/>
      <c r="C516" s="39"/>
      <c r="D516" s="39"/>
      <c r="E516" s="39"/>
      <c r="F516" s="39"/>
      <c r="G516" s="39"/>
      <c r="H516" s="39"/>
      <c r="I516" s="39"/>
    </row>
    <row r="517" ht="15.75" customHeight="1">
      <c r="A517" s="39"/>
      <c r="B517" s="39"/>
      <c r="C517" s="39"/>
      <c r="D517" s="39"/>
      <c r="E517" s="39"/>
      <c r="F517" s="39"/>
      <c r="G517" s="39"/>
      <c r="H517" s="39"/>
      <c r="I517" s="39"/>
    </row>
    <row r="518" ht="15.75" customHeight="1">
      <c r="A518" s="39"/>
      <c r="B518" s="39"/>
      <c r="C518" s="39"/>
      <c r="D518" s="39"/>
      <c r="E518" s="39"/>
      <c r="F518" s="39"/>
      <c r="G518" s="39"/>
      <c r="H518" s="39"/>
      <c r="I518" s="39"/>
    </row>
    <row r="519" ht="15.75" customHeight="1">
      <c r="A519" s="39"/>
      <c r="B519" s="39"/>
      <c r="C519" s="39"/>
      <c r="D519" s="39"/>
      <c r="E519" s="39"/>
      <c r="F519" s="39"/>
      <c r="G519" s="39"/>
      <c r="H519" s="39"/>
      <c r="I519" s="39"/>
    </row>
    <row r="520" ht="15.75" customHeight="1">
      <c r="A520" s="39"/>
      <c r="B520" s="39"/>
      <c r="C520" s="39"/>
      <c r="D520" s="39"/>
      <c r="E520" s="39"/>
      <c r="F520" s="39"/>
      <c r="G520" s="39"/>
      <c r="H520" s="39"/>
      <c r="I520" s="39"/>
    </row>
    <row r="521" ht="15.75" customHeight="1">
      <c r="A521" s="39"/>
      <c r="B521" s="39"/>
      <c r="C521" s="39"/>
      <c r="D521" s="39"/>
      <c r="E521" s="39"/>
      <c r="F521" s="39"/>
      <c r="G521" s="39"/>
      <c r="H521" s="39"/>
      <c r="I521" s="39"/>
    </row>
    <row r="522" ht="15.75" customHeight="1">
      <c r="A522" s="39"/>
      <c r="B522" s="39"/>
      <c r="C522" s="39"/>
      <c r="D522" s="39"/>
      <c r="E522" s="39"/>
      <c r="F522" s="39"/>
      <c r="G522" s="39"/>
      <c r="H522" s="39"/>
      <c r="I522" s="39"/>
    </row>
    <row r="523" ht="15.75" customHeight="1">
      <c r="A523" s="39"/>
      <c r="B523" s="39"/>
      <c r="C523" s="39"/>
      <c r="D523" s="39"/>
      <c r="E523" s="39"/>
      <c r="F523" s="39"/>
      <c r="G523" s="39"/>
      <c r="H523" s="39"/>
      <c r="I523" s="39"/>
    </row>
    <row r="524" ht="15.75" customHeight="1">
      <c r="A524" s="39"/>
      <c r="B524" s="39"/>
      <c r="C524" s="39"/>
      <c r="D524" s="39"/>
      <c r="E524" s="39"/>
      <c r="F524" s="39"/>
      <c r="G524" s="39"/>
      <c r="H524" s="39"/>
      <c r="I524" s="39"/>
    </row>
    <row r="525" ht="15.75" customHeight="1">
      <c r="A525" s="39"/>
      <c r="B525" s="39"/>
      <c r="C525" s="39"/>
      <c r="D525" s="39"/>
      <c r="E525" s="39"/>
      <c r="F525" s="39"/>
      <c r="G525" s="39"/>
      <c r="H525" s="39"/>
      <c r="I525" s="39"/>
    </row>
    <row r="526" ht="15.75" customHeight="1">
      <c r="A526" s="39"/>
      <c r="B526" s="39"/>
      <c r="C526" s="39"/>
      <c r="D526" s="39"/>
      <c r="E526" s="39"/>
      <c r="F526" s="39"/>
      <c r="G526" s="39"/>
      <c r="H526" s="39"/>
      <c r="I526" s="39"/>
    </row>
    <row r="527" ht="15.75" customHeight="1">
      <c r="A527" s="39"/>
      <c r="B527" s="39"/>
      <c r="C527" s="39"/>
      <c r="D527" s="39"/>
      <c r="E527" s="39"/>
      <c r="F527" s="39"/>
      <c r="G527" s="39"/>
      <c r="H527" s="39"/>
      <c r="I527" s="39"/>
    </row>
    <row r="528" ht="15.75" customHeight="1">
      <c r="A528" s="39"/>
      <c r="B528" s="39"/>
      <c r="C528" s="39"/>
      <c r="D528" s="39"/>
      <c r="E528" s="39"/>
      <c r="F528" s="39"/>
      <c r="G528" s="39"/>
      <c r="H528" s="39"/>
      <c r="I528" s="39"/>
    </row>
    <row r="529" ht="15.75" customHeight="1">
      <c r="A529" s="39"/>
      <c r="B529" s="39"/>
      <c r="C529" s="39"/>
      <c r="D529" s="39"/>
      <c r="E529" s="39"/>
      <c r="F529" s="39"/>
      <c r="G529" s="39"/>
      <c r="H529" s="39"/>
      <c r="I529" s="39"/>
    </row>
    <row r="530" ht="15.75" customHeight="1">
      <c r="A530" s="39"/>
      <c r="B530" s="39"/>
      <c r="C530" s="39"/>
      <c r="D530" s="39"/>
      <c r="E530" s="39"/>
      <c r="F530" s="39"/>
      <c r="G530" s="39"/>
      <c r="H530" s="39"/>
      <c r="I530" s="39"/>
    </row>
    <row r="531" ht="15.75" customHeight="1">
      <c r="A531" s="39"/>
      <c r="B531" s="39"/>
      <c r="C531" s="39"/>
      <c r="D531" s="39"/>
      <c r="E531" s="39"/>
      <c r="F531" s="39"/>
      <c r="G531" s="39"/>
      <c r="H531" s="39"/>
      <c r="I531" s="39"/>
    </row>
    <row r="532" ht="15.75" customHeight="1">
      <c r="A532" s="39"/>
      <c r="B532" s="39"/>
      <c r="C532" s="39"/>
      <c r="D532" s="39"/>
      <c r="E532" s="39"/>
      <c r="F532" s="39"/>
      <c r="G532" s="39"/>
      <c r="H532" s="39"/>
      <c r="I532" s="39"/>
    </row>
    <row r="533" ht="15.75" customHeight="1">
      <c r="A533" s="39"/>
      <c r="B533" s="39"/>
      <c r="C533" s="39"/>
      <c r="D533" s="39"/>
      <c r="E533" s="39"/>
      <c r="F533" s="39"/>
      <c r="G533" s="39"/>
      <c r="H533" s="39"/>
      <c r="I533" s="39"/>
    </row>
    <row r="534" ht="15.75" customHeight="1">
      <c r="A534" s="39"/>
      <c r="B534" s="39"/>
      <c r="C534" s="39"/>
      <c r="D534" s="39"/>
      <c r="E534" s="39"/>
      <c r="F534" s="39"/>
      <c r="G534" s="39"/>
      <c r="H534" s="39"/>
      <c r="I534" s="39"/>
    </row>
    <row r="535" ht="15.75" customHeight="1">
      <c r="A535" s="39"/>
      <c r="B535" s="39"/>
      <c r="C535" s="39"/>
      <c r="D535" s="39"/>
      <c r="E535" s="39"/>
      <c r="F535" s="39"/>
      <c r="G535" s="39"/>
      <c r="H535" s="39"/>
      <c r="I535" s="39"/>
    </row>
    <row r="536" ht="15.75" customHeight="1">
      <c r="A536" s="39"/>
      <c r="B536" s="39"/>
      <c r="C536" s="39"/>
      <c r="D536" s="39"/>
      <c r="E536" s="39"/>
      <c r="F536" s="39"/>
      <c r="G536" s="39"/>
      <c r="H536" s="39"/>
      <c r="I536" s="39"/>
    </row>
    <row r="537" ht="15.75" customHeight="1">
      <c r="A537" s="39"/>
      <c r="B537" s="39"/>
      <c r="C537" s="39"/>
      <c r="D537" s="39"/>
      <c r="E537" s="39"/>
      <c r="F537" s="39"/>
      <c r="G537" s="39"/>
      <c r="H537" s="39"/>
      <c r="I537" s="39"/>
    </row>
    <row r="538" ht="15.75" customHeight="1">
      <c r="A538" s="39"/>
      <c r="B538" s="39"/>
      <c r="C538" s="39"/>
      <c r="D538" s="39"/>
      <c r="E538" s="39"/>
      <c r="F538" s="39"/>
      <c r="G538" s="39"/>
      <c r="H538" s="39"/>
      <c r="I538" s="39"/>
    </row>
    <row r="539" ht="15.75" customHeight="1">
      <c r="A539" s="39"/>
      <c r="B539" s="39"/>
      <c r="C539" s="39"/>
      <c r="D539" s="39"/>
      <c r="E539" s="39"/>
      <c r="F539" s="39"/>
      <c r="G539" s="39"/>
      <c r="H539" s="39"/>
      <c r="I539" s="39"/>
    </row>
    <row r="540" ht="15.75" customHeight="1">
      <c r="A540" s="39"/>
      <c r="B540" s="39"/>
      <c r="C540" s="39"/>
      <c r="D540" s="39"/>
      <c r="E540" s="39"/>
      <c r="F540" s="39"/>
      <c r="G540" s="39"/>
      <c r="H540" s="39"/>
      <c r="I540" s="39"/>
    </row>
    <row r="541" ht="15.75" customHeight="1">
      <c r="A541" s="39"/>
      <c r="B541" s="39"/>
      <c r="C541" s="39"/>
      <c r="D541" s="39"/>
      <c r="E541" s="39"/>
      <c r="F541" s="39"/>
      <c r="G541" s="39"/>
      <c r="H541" s="39"/>
      <c r="I541" s="39"/>
    </row>
    <row r="542" ht="15.75" customHeight="1">
      <c r="A542" s="39"/>
      <c r="B542" s="39"/>
      <c r="C542" s="39"/>
      <c r="D542" s="39"/>
      <c r="E542" s="39"/>
      <c r="F542" s="39"/>
      <c r="G542" s="39"/>
      <c r="H542" s="39"/>
      <c r="I542" s="39"/>
    </row>
    <row r="543" ht="15.75" customHeight="1">
      <c r="A543" s="39"/>
      <c r="B543" s="39"/>
      <c r="C543" s="39"/>
      <c r="D543" s="39"/>
      <c r="E543" s="39"/>
      <c r="F543" s="39"/>
      <c r="G543" s="39"/>
      <c r="H543" s="39"/>
      <c r="I543" s="39"/>
    </row>
    <row r="544" ht="15.75" customHeight="1">
      <c r="A544" s="39"/>
      <c r="B544" s="39"/>
      <c r="C544" s="39"/>
      <c r="D544" s="39"/>
      <c r="E544" s="39"/>
      <c r="F544" s="39"/>
      <c r="G544" s="39"/>
      <c r="H544" s="39"/>
      <c r="I544" s="39"/>
    </row>
    <row r="545" ht="15.75" customHeight="1">
      <c r="A545" s="39"/>
      <c r="B545" s="39"/>
      <c r="C545" s="39"/>
      <c r="D545" s="39"/>
      <c r="E545" s="39"/>
      <c r="F545" s="39"/>
      <c r="G545" s="39"/>
      <c r="H545" s="39"/>
      <c r="I545" s="39"/>
    </row>
    <row r="546" ht="15.75" customHeight="1">
      <c r="A546" s="39"/>
      <c r="B546" s="39"/>
      <c r="C546" s="39"/>
      <c r="D546" s="39"/>
      <c r="E546" s="39"/>
      <c r="F546" s="39"/>
      <c r="G546" s="39"/>
      <c r="H546" s="39"/>
      <c r="I546" s="39"/>
    </row>
    <row r="547" ht="15.75" customHeight="1">
      <c r="A547" s="39"/>
      <c r="B547" s="39"/>
      <c r="C547" s="39"/>
      <c r="D547" s="39"/>
      <c r="E547" s="39"/>
      <c r="F547" s="39"/>
      <c r="G547" s="39"/>
      <c r="H547" s="39"/>
      <c r="I547" s="39"/>
    </row>
    <row r="548" ht="15.75" customHeight="1">
      <c r="A548" s="39"/>
      <c r="B548" s="39"/>
      <c r="C548" s="39"/>
      <c r="D548" s="39"/>
      <c r="E548" s="39"/>
      <c r="F548" s="39"/>
      <c r="G548" s="39"/>
      <c r="H548" s="39"/>
      <c r="I548" s="39"/>
    </row>
    <row r="549" ht="15.75" customHeight="1">
      <c r="A549" s="39"/>
      <c r="B549" s="39"/>
      <c r="C549" s="39"/>
      <c r="D549" s="39"/>
      <c r="E549" s="39"/>
      <c r="F549" s="39"/>
      <c r="G549" s="39"/>
      <c r="H549" s="39"/>
      <c r="I549" s="39"/>
    </row>
    <row r="550" ht="15.75" customHeight="1">
      <c r="A550" s="39"/>
      <c r="B550" s="39"/>
      <c r="C550" s="39"/>
      <c r="D550" s="39"/>
      <c r="E550" s="39"/>
      <c r="F550" s="39"/>
      <c r="G550" s="39"/>
      <c r="H550" s="39"/>
      <c r="I550" s="39"/>
    </row>
    <row r="551" ht="15.75" customHeight="1">
      <c r="A551" s="39"/>
      <c r="B551" s="39"/>
      <c r="C551" s="39"/>
      <c r="D551" s="39"/>
      <c r="E551" s="39"/>
      <c r="F551" s="39"/>
      <c r="G551" s="39"/>
      <c r="H551" s="39"/>
      <c r="I551" s="39"/>
    </row>
    <row r="552" ht="15.75" customHeight="1">
      <c r="A552" s="39"/>
      <c r="B552" s="39"/>
      <c r="C552" s="39"/>
      <c r="D552" s="39"/>
      <c r="E552" s="39"/>
      <c r="F552" s="39"/>
      <c r="G552" s="39"/>
      <c r="H552" s="39"/>
      <c r="I552" s="39"/>
    </row>
    <row r="553" ht="15.75" customHeight="1">
      <c r="A553" s="39"/>
      <c r="B553" s="39"/>
      <c r="C553" s="39"/>
      <c r="D553" s="39"/>
      <c r="E553" s="39"/>
      <c r="F553" s="39"/>
      <c r="G553" s="39"/>
      <c r="H553" s="39"/>
      <c r="I553" s="39"/>
    </row>
    <row r="554" ht="15.75" customHeight="1">
      <c r="A554" s="39"/>
      <c r="B554" s="39"/>
      <c r="C554" s="39"/>
      <c r="D554" s="39"/>
      <c r="E554" s="39"/>
      <c r="F554" s="39"/>
      <c r="G554" s="39"/>
      <c r="H554" s="39"/>
      <c r="I554" s="39"/>
    </row>
    <row r="555" ht="15.75" customHeight="1">
      <c r="A555" s="39"/>
      <c r="B555" s="39"/>
      <c r="C555" s="39"/>
      <c r="D555" s="39"/>
      <c r="E555" s="39"/>
      <c r="F555" s="39"/>
      <c r="G555" s="39"/>
      <c r="H555" s="39"/>
      <c r="I555" s="39"/>
    </row>
    <row r="556" ht="15.75" customHeight="1">
      <c r="A556" s="39"/>
      <c r="B556" s="39"/>
      <c r="C556" s="39"/>
      <c r="D556" s="39"/>
      <c r="E556" s="39"/>
      <c r="F556" s="39"/>
      <c r="G556" s="39"/>
      <c r="H556" s="39"/>
      <c r="I556" s="39"/>
    </row>
    <row r="557" ht="15.75" customHeight="1">
      <c r="A557" s="39"/>
      <c r="B557" s="39"/>
      <c r="C557" s="39"/>
      <c r="D557" s="39"/>
      <c r="E557" s="39"/>
      <c r="F557" s="39"/>
      <c r="G557" s="39"/>
      <c r="H557" s="39"/>
      <c r="I557" s="39"/>
    </row>
    <row r="558" ht="15.75" customHeight="1">
      <c r="A558" s="39"/>
      <c r="B558" s="39"/>
      <c r="C558" s="39"/>
      <c r="D558" s="39"/>
      <c r="E558" s="39"/>
      <c r="F558" s="39"/>
      <c r="G558" s="39"/>
      <c r="H558" s="39"/>
      <c r="I558" s="39"/>
    </row>
    <row r="559" ht="15.75" customHeight="1">
      <c r="A559" s="39"/>
      <c r="B559" s="39"/>
      <c r="C559" s="39"/>
      <c r="D559" s="39"/>
      <c r="E559" s="39"/>
      <c r="F559" s="39"/>
      <c r="G559" s="39"/>
      <c r="H559" s="39"/>
      <c r="I559" s="39"/>
    </row>
    <row r="560" ht="15.75" customHeight="1">
      <c r="A560" s="39"/>
      <c r="B560" s="39"/>
      <c r="C560" s="39"/>
      <c r="D560" s="39"/>
      <c r="E560" s="39"/>
      <c r="F560" s="39"/>
      <c r="G560" s="39"/>
      <c r="H560" s="39"/>
      <c r="I560" s="39"/>
    </row>
    <row r="561" ht="15.75" customHeight="1">
      <c r="A561" s="39"/>
      <c r="B561" s="39"/>
      <c r="C561" s="39"/>
      <c r="D561" s="39"/>
      <c r="E561" s="39"/>
      <c r="F561" s="39"/>
      <c r="G561" s="39"/>
      <c r="H561" s="39"/>
      <c r="I561" s="39"/>
    </row>
    <row r="562" ht="15.75" customHeight="1">
      <c r="A562" s="39"/>
      <c r="B562" s="39"/>
      <c r="C562" s="39"/>
      <c r="D562" s="39"/>
      <c r="E562" s="39"/>
      <c r="F562" s="39"/>
      <c r="G562" s="39"/>
      <c r="H562" s="39"/>
      <c r="I562" s="39"/>
    </row>
    <row r="563" ht="15.75" customHeight="1">
      <c r="A563" s="39"/>
      <c r="B563" s="39"/>
      <c r="C563" s="39"/>
      <c r="D563" s="39"/>
      <c r="E563" s="39"/>
      <c r="F563" s="39"/>
      <c r="G563" s="39"/>
      <c r="H563" s="39"/>
      <c r="I563" s="39"/>
    </row>
    <row r="564" ht="15.75" customHeight="1">
      <c r="A564" s="39"/>
      <c r="B564" s="39"/>
      <c r="C564" s="39"/>
      <c r="D564" s="39"/>
      <c r="E564" s="39"/>
      <c r="F564" s="39"/>
      <c r="G564" s="39"/>
      <c r="H564" s="39"/>
      <c r="I564" s="39"/>
    </row>
    <row r="565" ht="15.75" customHeight="1">
      <c r="A565" s="39"/>
      <c r="B565" s="39"/>
      <c r="C565" s="39"/>
      <c r="D565" s="39"/>
      <c r="E565" s="39"/>
      <c r="F565" s="39"/>
      <c r="G565" s="39"/>
      <c r="H565" s="39"/>
      <c r="I565" s="39"/>
    </row>
    <row r="566" ht="15.75" customHeight="1">
      <c r="A566" s="39"/>
      <c r="B566" s="39"/>
      <c r="C566" s="39"/>
      <c r="D566" s="39"/>
      <c r="E566" s="39"/>
      <c r="F566" s="39"/>
      <c r="G566" s="39"/>
      <c r="H566" s="39"/>
      <c r="I566" s="39"/>
    </row>
    <row r="567" ht="15.75" customHeight="1">
      <c r="A567" s="39"/>
      <c r="B567" s="39"/>
      <c r="C567" s="39"/>
      <c r="D567" s="39"/>
      <c r="E567" s="39"/>
      <c r="F567" s="39"/>
      <c r="G567" s="39"/>
      <c r="H567" s="39"/>
      <c r="I567" s="39"/>
    </row>
    <row r="568" ht="15.75" customHeight="1">
      <c r="A568" s="39"/>
      <c r="B568" s="39"/>
      <c r="C568" s="39"/>
      <c r="D568" s="39"/>
      <c r="E568" s="39"/>
      <c r="F568" s="39"/>
      <c r="G568" s="39"/>
      <c r="H568" s="39"/>
      <c r="I568" s="39"/>
    </row>
    <row r="569" ht="15.75" customHeight="1">
      <c r="A569" s="39"/>
      <c r="B569" s="39"/>
      <c r="C569" s="39"/>
      <c r="D569" s="39"/>
      <c r="E569" s="39"/>
      <c r="F569" s="39"/>
      <c r="G569" s="39"/>
      <c r="H569" s="39"/>
      <c r="I569" s="39"/>
    </row>
    <row r="570" ht="15.75" customHeight="1">
      <c r="A570" s="39"/>
      <c r="B570" s="39"/>
      <c r="C570" s="39"/>
      <c r="D570" s="39"/>
      <c r="E570" s="39"/>
      <c r="F570" s="39"/>
      <c r="G570" s="39"/>
      <c r="H570" s="39"/>
      <c r="I570" s="39"/>
    </row>
    <row r="571" ht="15.75" customHeight="1">
      <c r="A571" s="39"/>
      <c r="B571" s="39"/>
      <c r="C571" s="39"/>
      <c r="D571" s="39"/>
      <c r="E571" s="39"/>
      <c r="F571" s="39"/>
      <c r="G571" s="39"/>
      <c r="H571" s="39"/>
      <c r="I571" s="39"/>
    </row>
    <row r="572" ht="15.75" customHeight="1">
      <c r="A572" s="39"/>
      <c r="B572" s="39"/>
      <c r="C572" s="39"/>
      <c r="D572" s="39"/>
      <c r="E572" s="39"/>
      <c r="F572" s="39"/>
      <c r="G572" s="39"/>
      <c r="H572" s="39"/>
      <c r="I572" s="39"/>
    </row>
    <row r="573" ht="15.75" customHeight="1">
      <c r="A573" s="39"/>
      <c r="B573" s="39"/>
      <c r="C573" s="39"/>
      <c r="D573" s="39"/>
      <c r="E573" s="39"/>
      <c r="F573" s="39"/>
      <c r="G573" s="39"/>
      <c r="H573" s="39"/>
      <c r="I573" s="39"/>
    </row>
    <row r="574" ht="15.75" customHeight="1">
      <c r="A574" s="39"/>
      <c r="B574" s="39"/>
      <c r="C574" s="39"/>
      <c r="D574" s="39"/>
      <c r="E574" s="39"/>
      <c r="F574" s="39"/>
      <c r="G574" s="39"/>
      <c r="H574" s="39"/>
      <c r="I574" s="39"/>
    </row>
    <row r="575" ht="15.75" customHeight="1">
      <c r="A575" s="39"/>
      <c r="B575" s="39"/>
      <c r="C575" s="39"/>
      <c r="D575" s="39"/>
      <c r="E575" s="39"/>
      <c r="F575" s="39"/>
      <c r="G575" s="39"/>
      <c r="H575" s="39"/>
      <c r="I575" s="39"/>
    </row>
    <row r="576" ht="15.75" customHeight="1">
      <c r="A576" s="39"/>
      <c r="B576" s="39"/>
      <c r="C576" s="39"/>
      <c r="D576" s="39"/>
      <c r="E576" s="39"/>
      <c r="F576" s="39"/>
      <c r="G576" s="39"/>
      <c r="H576" s="39"/>
      <c r="I576" s="39"/>
    </row>
    <row r="577" ht="15.75" customHeight="1">
      <c r="A577" s="39"/>
      <c r="B577" s="39"/>
      <c r="C577" s="39"/>
      <c r="D577" s="39"/>
      <c r="E577" s="39"/>
      <c r="F577" s="39"/>
      <c r="G577" s="39"/>
      <c r="H577" s="39"/>
      <c r="I577" s="39"/>
    </row>
    <row r="578" ht="15.75" customHeight="1">
      <c r="A578" s="39"/>
      <c r="B578" s="39"/>
      <c r="C578" s="39"/>
      <c r="D578" s="39"/>
      <c r="E578" s="39"/>
      <c r="F578" s="39"/>
      <c r="G578" s="39"/>
      <c r="H578" s="39"/>
      <c r="I578" s="39"/>
    </row>
    <row r="579" ht="15.75" customHeight="1">
      <c r="A579" s="39"/>
      <c r="B579" s="39"/>
      <c r="C579" s="39"/>
      <c r="D579" s="39"/>
      <c r="E579" s="39"/>
      <c r="F579" s="39"/>
      <c r="G579" s="39"/>
      <c r="H579" s="39"/>
      <c r="I579" s="39"/>
    </row>
    <row r="580" ht="15.75" customHeight="1">
      <c r="A580" s="39"/>
      <c r="B580" s="39"/>
      <c r="C580" s="39"/>
      <c r="D580" s="39"/>
      <c r="E580" s="39"/>
      <c r="F580" s="39"/>
      <c r="G580" s="39"/>
      <c r="H580" s="39"/>
      <c r="I580" s="39"/>
    </row>
    <row r="581" ht="15.75" customHeight="1">
      <c r="A581" s="39"/>
      <c r="B581" s="39"/>
      <c r="C581" s="39"/>
      <c r="D581" s="39"/>
      <c r="E581" s="39"/>
      <c r="F581" s="39"/>
      <c r="G581" s="39"/>
      <c r="H581" s="39"/>
      <c r="I581" s="39"/>
    </row>
    <row r="582" ht="15.75" customHeight="1">
      <c r="A582" s="39"/>
      <c r="B582" s="39"/>
      <c r="C582" s="39"/>
      <c r="D582" s="39"/>
      <c r="E582" s="39"/>
      <c r="F582" s="39"/>
      <c r="G582" s="39"/>
      <c r="H582" s="39"/>
      <c r="I582" s="39"/>
    </row>
    <row r="583" ht="15.75" customHeight="1">
      <c r="A583" s="39"/>
      <c r="B583" s="39"/>
      <c r="C583" s="39"/>
      <c r="D583" s="39"/>
      <c r="E583" s="39"/>
      <c r="F583" s="39"/>
      <c r="G583" s="39"/>
      <c r="H583" s="39"/>
      <c r="I583" s="39"/>
    </row>
    <row r="584" ht="15.75" customHeight="1">
      <c r="A584" s="39"/>
      <c r="B584" s="39"/>
      <c r="C584" s="39"/>
      <c r="D584" s="39"/>
      <c r="E584" s="39"/>
      <c r="F584" s="39"/>
      <c r="G584" s="39"/>
      <c r="H584" s="39"/>
      <c r="I584" s="39"/>
    </row>
    <row r="585" ht="15.75" customHeight="1">
      <c r="A585" s="39"/>
      <c r="B585" s="39"/>
      <c r="C585" s="39"/>
      <c r="D585" s="39"/>
      <c r="E585" s="39"/>
      <c r="F585" s="39"/>
      <c r="G585" s="39"/>
      <c r="H585" s="39"/>
      <c r="I585" s="39"/>
    </row>
    <row r="586" ht="15.75" customHeight="1">
      <c r="A586" s="39"/>
      <c r="B586" s="39"/>
      <c r="C586" s="39"/>
      <c r="D586" s="39"/>
      <c r="E586" s="39"/>
      <c r="F586" s="39"/>
      <c r="G586" s="39"/>
      <c r="H586" s="39"/>
      <c r="I586" s="39"/>
    </row>
    <row r="587" ht="15.75" customHeight="1">
      <c r="A587" s="39"/>
      <c r="B587" s="39"/>
      <c r="C587" s="39"/>
      <c r="D587" s="39"/>
      <c r="E587" s="39"/>
      <c r="F587" s="39"/>
      <c r="G587" s="39"/>
      <c r="H587" s="39"/>
      <c r="I587" s="39"/>
    </row>
    <row r="588" ht="15.75" customHeight="1">
      <c r="A588" s="39"/>
      <c r="B588" s="39"/>
      <c r="C588" s="39"/>
      <c r="D588" s="39"/>
      <c r="E588" s="39"/>
      <c r="F588" s="39"/>
      <c r="G588" s="39"/>
      <c r="H588" s="39"/>
      <c r="I588" s="39"/>
    </row>
    <row r="589" ht="15.75" customHeight="1">
      <c r="A589" s="39"/>
      <c r="B589" s="39"/>
      <c r="C589" s="39"/>
      <c r="D589" s="39"/>
      <c r="E589" s="39"/>
      <c r="F589" s="39"/>
      <c r="G589" s="39"/>
      <c r="H589" s="39"/>
      <c r="I589" s="39"/>
    </row>
    <row r="590" ht="15.75" customHeight="1">
      <c r="A590" s="39"/>
      <c r="B590" s="39"/>
      <c r="C590" s="39"/>
      <c r="D590" s="39"/>
      <c r="E590" s="39"/>
      <c r="F590" s="39"/>
      <c r="G590" s="39"/>
      <c r="H590" s="39"/>
      <c r="I590" s="39"/>
    </row>
    <row r="591" ht="15.75" customHeight="1">
      <c r="A591" s="39"/>
      <c r="B591" s="39"/>
      <c r="C591" s="39"/>
      <c r="D591" s="39"/>
      <c r="E591" s="39"/>
      <c r="F591" s="39"/>
      <c r="G591" s="39"/>
      <c r="H591" s="39"/>
      <c r="I591" s="39"/>
    </row>
    <row r="592" ht="15.75" customHeight="1">
      <c r="A592" s="39"/>
      <c r="B592" s="39"/>
      <c r="C592" s="39"/>
      <c r="D592" s="39"/>
      <c r="E592" s="39"/>
      <c r="F592" s="39"/>
      <c r="G592" s="39"/>
      <c r="H592" s="39"/>
      <c r="I592" s="39"/>
    </row>
    <row r="593" ht="15.75" customHeight="1">
      <c r="A593" s="39"/>
      <c r="B593" s="39"/>
      <c r="C593" s="39"/>
      <c r="D593" s="39"/>
      <c r="E593" s="39"/>
      <c r="F593" s="39"/>
      <c r="G593" s="39"/>
      <c r="H593" s="39"/>
      <c r="I593" s="39"/>
    </row>
    <row r="594" ht="15.75" customHeight="1">
      <c r="A594" s="39"/>
      <c r="B594" s="39"/>
      <c r="C594" s="39"/>
      <c r="D594" s="39"/>
      <c r="E594" s="39"/>
      <c r="F594" s="39"/>
      <c r="G594" s="39"/>
      <c r="H594" s="39"/>
      <c r="I594" s="39"/>
    </row>
    <row r="595" ht="15.75" customHeight="1">
      <c r="A595" s="39"/>
      <c r="B595" s="39"/>
      <c r="C595" s="39"/>
      <c r="D595" s="39"/>
      <c r="E595" s="39"/>
      <c r="F595" s="39"/>
      <c r="G595" s="39"/>
      <c r="H595" s="39"/>
      <c r="I595" s="39"/>
    </row>
    <row r="596" ht="15.75" customHeight="1">
      <c r="A596" s="39"/>
      <c r="B596" s="39"/>
      <c r="C596" s="39"/>
      <c r="D596" s="39"/>
      <c r="E596" s="39"/>
      <c r="F596" s="39"/>
      <c r="G596" s="39"/>
      <c r="H596" s="39"/>
      <c r="I596" s="39"/>
    </row>
    <row r="597" ht="15.75" customHeight="1">
      <c r="A597" s="39"/>
      <c r="B597" s="39"/>
      <c r="C597" s="39"/>
      <c r="D597" s="39"/>
      <c r="E597" s="39"/>
      <c r="F597" s="39"/>
      <c r="G597" s="39"/>
      <c r="H597" s="39"/>
      <c r="I597" s="39"/>
    </row>
    <row r="598" ht="15.75" customHeight="1">
      <c r="A598" s="39"/>
      <c r="B598" s="39"/>
      <c r="C598" s="39"/>
      <c r="D598" s="39"/>
      <c r="E598" s="39"/>
      <c r="F598" s="39"/>
      <c r="G598" s="39"/>
      <c r="H598" s="39"/>
      <c r="I598" s="39"/>
    </row>
    <row r="599" ht="15.75" customHeight="1">
      <c r="A599" s="39"/>
      <c r="B599" s="39"/>
      <c r="C599" s="39"/>
      <c r="D599" s="39"/>
      <c r="E599" s="39"/>
      <c r="F599" s="39"/>
      <c r="G599" s="39"/>
      <c r="H599" s="39"/>
      <c r="I599" s="39"/>
    </row>
    <row r="600" ht="15.75" customHeight="1">
      <c r="A600" s="39"/>
      <c r="B600" s="39"/>
      <c r="C600" s="39"/>
      <c r="D600" s="39"/>
      <c r="E600" s="39"/>
      <c r="F600" s="39"/>
      <c r="G600" s="39"/>
      <c r="H600" s="39"/>
      <c r="I600" s="39"/>
    </row>
    <row r="601" ht="15.75" customHeight="1">
      <c r="A601" s="39"/>
      <c r="B601" s="39"/>
      <c r="C601" s="39"/>
      <c r="D601" s="39"/>
      <c r="E601" s="39"/>
      <c r="F601" s="39"/>
      <c r="G601" s="39"/>
      <c r="H601" s="39"/>
      <c r="I601" s="39"/>
    </row>
    <row r="602" ht="15.75" customHeight="1">
      <c r="A602" s="39"/>
      <c r="B602" s="39"/>
      <c r="C602" s="39"/>
      <c r="D602" s="39"/>
      <c r="E602" s="39"/>
      <c r="F602" s="39"/>
      <c r="G602" s="39"/>
      <c r="H602" s="39"/>
      <c r="I602" s="39"/>
    </row>
    <row r="603" ht="15.75" customHeight="1">
      <c r="A603" s="39"/>
      <c r="B603" s="39"/>
      <c r="C603" s="39"/>
      <c r="D603" s="39"/>
      <c r="E603" s="39"/>
      <c r="F603" s="39"/>
      <c r="G603" s="39"/>
      <c r="H603" s="39"/>
      <c r="I603" s="39"/>
    </row>
    <row r="604" ht="15.75" customHeight="1">
      <c r="A604" s="39"/>
      <c r="B604" s="39"/>
      <c r="C604" s="39"/>
      <c r="D604" s="39"/>
      <c r="E604" s="39"/>
      <c r="F604" s="39"/>
      <c r="G604" s="39"/>
      <c r="H604" s="39"/>
      <c r="I604" s="39"/>
    </row>
    <row r="605" ht="15.75" customHeight="1">
      <c r="A605" s="39"/>
      <c r="B605" s="39"/>
      <c r="C605" s="39"/>
      <c r="D605" s="39"/>
      <c r="E605" s="39"/>
      <c r="F605" s="39"/>
      <c r="G605" s="39"/>
      <c r="H605" s="39"/>
      <c r="I605" s="39"/>
    </row>
    <row r="606" ht="15.75" customHeight="1">
      <c r="A606" s="39"/>
      <c r="B606" s="39"/>
      <c r="C606" s="39"/>
      <c r="D606" s="39"/>
      <c r="E606" s="39"/>
      <c r="F606" s="39"/>
      <c r="G606" s="39"/>
      <c r="H606" s="39"/>
      <c r="I606" s="39"/>
    </row>
    <row r="607" ht="15.75" customHeight="1">
      <c r="A607" s="39"/>
      <c r="B607" s="39"/>
      <c r="C607" s="39"/>
      <c r="D607" s="39"/>
      <c r="E607" s="39"/>
      <c r="F607" s="39"/>
      <c r="G607" s="39"/>
      <c r="H607" s="39"/>
      <c r="I607" s="39"/>
    </row>
    <row r="608" ht="15.75" customHeight="1">
      <c r="A608" s="39"/>
      <c r="B608" s="39"/>
      <c r="C608" s="39"/>
      <c r="D608" s="39"/>
      <c r="E608" s="39"/>
      <c r="F608" s="39"/>
      <c r="G608" s="39"/>
      <c r="H608" s="39"/>
      <c r="I608" s="39"/>
    </row>
    <row r="609" ht="15.75" customHeight="1">
      <c r="A609" s="39"/>
      <c r="B609" s="39"/>
      <c r="C609" s="39"/>
      <c r="D609" s="39"/>
      <c r="E609" s="39"/>
      <c r="F609" s="39"/>
      <c r="G609" s="39"/>
      <c r="H609" s="39"/>
      <c r="I609" s="39"/>
    </row>
    <row r="610" ht="15.75" customHeight="1">
      <c r="A610" s="39"/>
      <c r="B610" s="39"/>
      <c r="C610" s="39"/>
      <c r="D610" s="39"/>
      <c r="E610" s="39"/>
      <c r="F610" s="39"/>
      <c r="G610" s="39"/>
      <c r="H610" s="39"/>
      <c r="I610" s="39"/>
    </row>
    <row r="611" ht="15.75" customHeight="1">
      <c r="A611" s="39"/>
      <c r="B611" s="39"/>
      <c r="C611" s="39"/>
      <c r="D611" s="39"/>
      <c r="E611" s="39"/>
      <c r="F611" s="39"/>
      <c r="G611" s="39"/>
      <c r="H611" s="39"/>
      <c r="I611" s="39"/>
    </row>
    <row r="612" ht="15.75" customHeight="1">
      <c r="A612" s="39"/>
      <c r="B612" s="39"/>
      <c r="C612" s="39"/>
      <c r="D612" s="39"/>
      <c r="E612" s="39"/>
      <c r="F612" s="39"/>
      <c r="G612" s="39"/>
      <c r="H612" s="39"/>
      <c r="I612" s="39"/>
    </row>
    <row r="613" ht="15.75" customHeight="1">
      <c r="A613" s="39"/>
      <c r="B613" s="39"/>
      <c r="C613" s="39"/>
      <c r="D613" s="39"/>
      <c r="E613" s="39"/>
      <c r="F613" s="39"/>
      <c r="G613" s="39"/>
      <c r="H613" s="39"/>
      <c r="I613" s="39"/>
    </row>
    <row r="614" ht="15.75" customHeight="1">
      <c r="A614" s="39"/>
      <c r="B614" s="39"/>
      <c r="C614" s="39"/>
      <c r="D614" s="39"/>
      <c r="E614" s="39"/>
      <c r="F614" s="39"/>
      <c r="G614" s="39"/>
      <c r="H614" s="39"/>
      <c r="I614" s="39"/>
    </row>
    <row r="615" ht="15.75" customHeight="1">
      <c r="A615" s="39"/>
      <c r="B615" s="39"/>
      <c r="C615" s="39"/>
      <c r="D615" s="39"/>
      <c r="E615" s="39"/>
      <c r="F615" s="39"/>
      <c r="G615" s="39"/>
      <c r="H615" s="39"/>
      <c r="I615" s="39"/>
    </row>
    <row r="616" ht="15.75" customHeight="1">
      <c r="A616" s="39"/>
      <c r="B616" s="39"/>
      <c r="C616" s="39"/>
      <c r="D616" s="39"/>
      <c r="E616" s="39"/>
      <c r="F616" s="39"/>
      <c r="G616" s="39"/>
      <c r="H616" s="39"/>
      <c r="I616" s="39"/>
    </row>
    <row r="617" ht="15.75" customHeight="1">
      <c r="A617" s="39"/>
      <c r="B617" s="39"/>
      <c r="C617" s="39"/>
      <c r="D617" s="39"/>
      <c r="E617" s="39"/>
      <c r="F617" s="39"/>
      <c r="G617" s="39"/>
      <c r="H617" s="39"/>
      <c r="I617" s="39"/>
    </row>
    <row r="618" ht="15.75" customHeight="1">
      <c r="A618" s="39"/>
      <c r="B618" s="39"/>
      <c r="C618" s="39"/>
      <c r="D618" s="39"/>
      <c r="E618" s="39"/>
      <c r="F618" s="39"/>
      <c r="G618" s="39"/>
      <c r="H618" s="39"/>
      <c r="I618" s="39"/>
    </row>
    <row r="619" ht="15.75" customHeight="1">
      <c r="A619" s="39"/>
      <c r="B619" s="39"/>
      <c r="C619" s="39"/>
      <c r="D619" s="39"/>
      <c r="E619" s="39"/>
      <c r="F619" s="39"/>
      <c r="G619" s="39"/>
      <c r="H619" s="39"/>
      <c r="I619" s="39"/>
    </row>
    <row r="620" ht="15.75" customHeight="1">
      <c r="A620" s="39"/>
      <c r="B620" s="39"/>
      <c r="C620" s="39"/>
      <c r="D620" s="39"/>
      <c r="E620" s="39"/>
      <c r="F620" s="39"/>
      <c r="G620" s="39"/>
      <c r="H620" s="39"/>
      <c r="I620" s="39"/>
    </row>
    <row r="621" ht="15.75" customHeight="1">
      <c r="A621" s="39"/>
      <c r="B621" s="39"/>
      <c r="C621" s="39"/>
      <c r="D621" s="39"/>
      <c r="E621" s="39"/>
      <c r="F621" s="39"/>
      <c r="G621" s="39"/>
      <c r="H621" s="39"/>
      <c r="I621" s="39"/>
    </row>
    <row r="622" ht="15.75" customHeight="1">
      <c r="A622" s="39"/>
      <c r="B622" s="39"/>
      <c r="C622" s="39"/>
      <c r="D622" s="39"/>
      <c r="E622" s="39"/>
      <c r="F622" s="39"/>
      <c r="G622" s="39"/>
      <c r="H622" s="39"/>
      <c r="I622" s="39"/>
    </row>
    <row r="623" ht="15.75" customHeight="1">
      <c r="A623" s="39"/>
      <c r="B623" s="39"/>
      <c r="C623" s="39"/>
      <c r="D623" s="39"/>
      <c r="E623" s="39"/>
      <c r="F623" s="39"/>
      <c r="G623" s="39"/>
      <c r="H623" s="39"/>
      <c r="I623" s="39"/>
    </row>
    <row r="624" ht="15.75" customHeight="1">
      <c r="A624" s="39"/>
      <c r="B624" s="39"/>
      <c r="C624" s="39"/>
      <c r="D624" s="39"/>
      <c r="E624" s="39"/>
      <c r="F624" s="39"/>
      <c r="G624" s="39"/>
      <c r="H624" s="39"/>
      <c r="I624" s="39"/>
    </row>
    <row r="625" ht="15.75" customHeight="1">
      <c r="A625" s="39"/>
      <c r="B625" s="39"/>
      <c r="C625" s="39"/>
      <c r="D625" s="39"/>
      <c r="E625" s="39"/>
      <c r="F625" s="39"/>
      <c r="G625" s="39"/>
      <c r="H625" s="39"/>
      <c r="I625" s="39"/>
    </row>
    <row r="626" ht="15.75" customHeight="1">
      <c r="A626" s="39"/>
      <c r="B626" s="39"/>
      <c r="C626" s="39"/>
      <c r="D626" s="39"/>
      <c r="E626" s="39"/>
      <c r="F626" s="39"/>
      <c r="G626" s="39"/>
      <c r="H626" s="39"/>
      <c r="I626" s="39"/>
    </row>
    <row r="627" ht="15.75" customHeight="1">
      <c r="A627" s="39"/>
      <c r="B627" s="39"/>
      <c r="C627" s="39"/>
      <c r="D627" s="39"/>
      <c r="E627" s="39"/>
      <c r="F627" s="39"/>
      <c r="G627" s="39"/>
      <c r="H627" s="39"/>
      <c r="I627" s="39"/>
    </row>
    <row r="628" ht="15.75" customHeight="1">
      <c r="A628" s="39"/>
      <c r="B628" s="39"/>
      <c r="C628" s="39"/>
      <c r="D628" s="39"/>
      <c r="E628" s="39"/>
      <c r="F628" s="39"/>
      <c r="G628" s="39"/>
      <c r="H628" s="39"/>
      <c r="I628" s="39"/>
    </row>
    <row r="629" ht="15.75" customHeight="1">
      <c r="A629" s="39"/>
      <c r="B629" s="39"/>
      <c r="C629" s="39"/>
      <c r="D629" s="39"/>
      <c r="E629" s="39"/>
      <c r="F629" s="39"/>
      <c r="G629" s="39"/>
      <c r="H629" s="39"/>
      <c r="I629" s="39"/>
    </row>
    <row r="630" ht="15.75" customHeight="1">
      <c r="A630" s="39"/>
      <c r="B630" s="39"/>
      <c r="C630" s="39"/>
      <c r="D630" s="39"/>
      <c r="E630" s="39"/>
      <c r="F630" s="39"/>
      <c r="G630" s="39"/>
      <c r="H630" s="39"/>
      <c r="I630" s="39"/>
    </row>
    <row r="631" ht="15.75" customHeight="1">
      <c r="A631" s="39"/>
      <c r="B631" s="39"/>
      <c r="C631" s="39"/>
      <c r="D631" s="39"/>
      <c r="E631" s="39"/>
      <c r="F631" s="39"/>
      <c r="G631" s="39"/>
      <c r="H631" s="39"/>
      <c r="I631" s="39"/>
    </row>
    <row r="632" ht="15.75" customHeight="1">
      <c r="A632" s="39"/>
      <c r="B632" s="39"/>
      <c r="C632" s="39"/>
      <c r="D632" s="39"/>
      <c r="E632" s="39"/>
      <c r="F632" s="39"/>
      <c r="G632" s="39"/>
      <c r="H632" s="39"/>
      <c r="I632" s="39"/>
    </row>
    <row r="633" ht="15.75" customHeight="1">
      <c r="A633" s="39"/>
      <c r="B633" s="39"/>
      <c r="C633" s="39"/>
      <c r="D633" s="39"/>
      <c r="E633" s="39"/>
      <c r="F633" s="39"/>
      <c r="G633" s="39"/>
      <c r="H633" s="39"/>
      <c r="I633" s="39"/>
    </row>
    <row r="634" ht="15.75" customHeight="1">
      <c r="A634" s="39"/>
      <c r="B634" s="39"/>
      <c r="C634" s="39"/>
      <c r="D634" s="39"/>
      <c r="E634" s="39"/>
      <c r="F634" s="39"/>
      <c r="G634" s="39"/>
      <c r="H634" s="39"/>
      <c r="I634" s="39"/>
    </row>
    <row r="635" ht="15.75" customHeight="1">
      <c r="A635" s="39"/>
      <c r="B635" s="39"/>
      <c r="C635" s="39"/>
      <c r="D635" s="39"/>
      <c r="E635" s="39"/>
      <c r="F635" s="39"/>
      <c r="G635" s="39"/>
      <c r="H635" s="39"/>
      <c r="I635" s="39"/>
    </row>
    <row r="636" ht="15.75" customHeight="1">
      <c r="A636" s="39"/>
      <c r="B636" s="39"/>
      <c r="C636" s="39"/>
      <c r="D636" s="39"/>
      <c r="E636" s="39"/>
      <c r="F636" s="39"/>
      <c r="G636" s="39"/>
      <c r="H636" s="39"/>
      <c r="I636" s="39"/>
    </row>
    <row r="637" ht="15.75" customHeight="1">
      <c r="A637" s="39"/>
      <c r="B637" s="39"/>
      <c r="C637" s="39"/>
      <c r="D637" s="39"/>
      <c r="E637" s="39"/>
      <c r="F637" s="39"/>
      <c r="G637" s="39"/>
      <c r="H637" s="39"/>
      <c r="I637" s="39"/>
    </row>
    <row r="638" ht="15.75" customHeight="1">
      <c r="A638" s="39"/>
      <c r="B638" s="39"/>
      <c r="C638" s="39"/>
      <c r="D638" s="39"/>
      <c r="E638" s="39"/>
      <c r="F638" s="39"/>
      <c r="G638" s="39"/>
      <c r="H638" s="39"/>
      <c r="I638" s="39"/>
    </row>
    <row r="639" ht="15.75" customHeight="1">
      <c r="A639" s="39"/>
      <c r="B639" s="39"/>
      <c r="C639" s="39"/>
      <c r="D639" s="39"/>
      <c r="E639" s="39"/>
      <c r="F639" s="39"/>
      <c r="G639" s="39"/>
      <c r="H639" s="39"/>
      <c r="I639" s="39"/>
    </row>
    <row r="640" ht="15.75" customHeight="1">
      <c r="A640" s="39"/>
      <c r="B640" s="39"/>
      <c r="C640" s="39"/>
      <c r="D640" s="39"/>
      <c r="E640" s="39"/>
      <c r="F640" s="39"/>
      <c r="G640" s="39"/>
      <c r="H640" s="39"/>
      <c r="I640" s="39"/>
    </row>
    <row r="641" ht="15.75" customHeight="1">
      <c r="A641" s="39"/>
      <c r="B641" s="39"/>
      <c r="C641" s="39"/>
      <c r="D641" s="39"/>
      <c r="E641" s="39"/>
      <c r="F641" s="39"/>
      <c r="G641" s="39"/>
      <c r="H641" s="39"/>
      <c r="I641" s="39"/>
    </row>
    <row r="642" ht="15.75" customHeight="1">
      <c r="A642" s="39"/>
      <c r="B642" s="39"/>
      <c r="C642" s="39"/>
      <c r="D642" s="39"/>
      <c r="E642" s="39"/>
      <c r="F642" s="39"/>
      <c r="G642" s="39"/>
      <c r="H642" s="39"/>
      <c r="I642" s="39"/>
    </row>
    <row r="643" ht="15.75" customHeight="1">
      <c r="A643" s="39"/>
      <c r="B643" s="39"/>
      <c r="C643" s="39"/>
      <c r="D643" s="39"/>
      <c r="E643" s="39"/>
      <c r="F643" s="39"/>
      <c r="G643" s="39"/>
      <c r="H643" s="39"/>
      <c r="I643" s="39"/>
    </row>
    <row r="644" ht="15.75" customHeight="1">
      <c r="A644" s="39"/>
      <c r="B644" s="39"/>
      <c r="C644" s="39"/>
      <c r="D644" s="39"/>
      <c r="E644" s="39"/>
      <c r="F644" s="39"/>
      <c r="G644" s="39"/>
      <c r="H644" s="39"/>
      <c r="I644" s="39"/>
    </row>
    <row r="645" ht="15.75" customHeight="1">
      <c r="A645" s="39"/>
      <c r="B645" s="39"/>
      <c r="C645" s="39"/>
      <c r="D645" s="39"/>
      <c r="E645" s="39"/>
      <c r="F645" s="39"/>
      <c r="G645" s="39"/>
      <c r="H645" s="39"/>
      <c r="I645" s="39"/>
    </row>
    <row r="646" ht="15.75" customHeight="1">
      <c r="A646" s="39"/>
      <c r="B646" s="39"/>
      <c r="C646" s="39"/>
      <c r="D646" s="39"/>
      <c r="E646" s="39"/>
      <c r="F646" s="39"/>
      <c r="G646" s="39"/>
      <c r="H646" s="39"/>
      <c r="I646" s="39"/>
    </row>
    <row r="647" ht="15.75" customHeight="1">
      <c r="A647" s="39"/>
      <c r="B647" s="39"/>
      <c r="C647" s="39"/>
      <c r="D647" s="39"/>
      <c r="E647" s="39"/>
      <c r="F647" s="39"/>
      <c r="G647" s="39"/>
      <c r="H647" s="39"/>
      <c r="I647" s="39"/>
    </row>
    <row r="648" ht="15.75" customHeight="1">
      <c r="A648" s="39"/>
      <c r="B648" s="39"/>
      <c r="C648" s="39"/>
      <c r="D648" s="39"/>
      <c r="E648" s="39"/>
      <c r="F648" s="39"/>
      <c r="G648" s="39"/>
      <c r="H648" s="39"/>
      <c r="I648" s="39"/>
    </row>
    <row r="649" ht="15.75" customHeight="1">
      <c r="A649" s="39"/>
      <c r="B649" s="39"/>
      <c r="C649" s="39"/>
      <c r="D649" s="39"/>
      <c r="E649" s="39"/>
      <c r="F649" s="39"/>
      <c r="G649" s="39"/>
      <c r="H649" s="39"/>
      <c r="I649" s="39"/>
    </row>
    <row r="650" ht="15.75" customHeight="1">
      <c r="A650" s="39"/>
      <c r="B650" s="39"/>
      <c r="C650" s="39"/>
      <c r="D650" s="39"/>
      <c r="E650" s="39"/>
      <c r="F650" s="39"/>
      <c r="G650" s="39"/>
      <c r="H650" s="39"/>
      <c r="I650" s="39"/>
    </row>
    <row r="651" ht="15.75" customHeight="1">
      <c r="A651" s="39"/>
      <c r="B651" s="39"/>
      <c r="C651" s="39"/>
      <c r="D651" s="39"/>
      <c r="E651" s="39"/>
      <c r="F651" s="39"/>
      <c r="G651" s="39"/>
      <c r="H651" s="39"/>
      <c r="I651" s="39"/>
    </row>
    <row r="652" ht="15.75" customHeight="1">
      <c r="A652" s="39"/>
      <c r="B652" s="39"/>
      <c r="C652" s="39"/>
      <c r="D652" s="39"/>
      <c r="E652" s="39"/>
      <c r="F652" s="39"/>
      <c r="G652" s="39"/>
      <c r="H652" s="39"/>
      <c r="I652" s="39"/>
    </row>
    <row r="653" ht="15.75" customHeight="1">
      <c r="A653" s="39"/>
      <c r="B653" s="39"/>
      <c r="C653" s="39"/>
      <c r="D653" s="39"/>
      <c r="E653" s="39"/>
      <c r="F653" s="39"/>
      <c r="G653" s="39"/>
      <c r="H653" s="39"/>
      <c r="I653" s="39"/>
    </row>
    <row r="654" ht="15.75" customHeight="1">
      <c r="A654" s="39"/>
      <c r="B654" s="39"/>
      <c r="C654" s="39"/>
      <c r="D654" s="39"/>
      <c r="E654" s="39"/>
      <c r="F654" s="39"/>
      <c r="G654" s="39"/>
      <c r="H654" s="39"/>
      <c r="I654" s="39"/>
    </row>
    <row r="655" ht="15.75" customHeight="1">
      <c r="A655" s="39"/>
      <c r="B655" s="39"/>
      <c r="C655" s="39"/>
      <c r="D655" s="39"/>
      <c r="E655" s="39"/>
      <c r="F655" s="39"/>
      <c r="G655" s="39"/>
      <c r="H655" s="39"/>
      <c r="I655" s="39"/>
    </row>
    <row r="656" ht="15.75" customHeight="1">
      <c r="A656" s="39"/>
      <c r="B656" s="39"/>
      <c r="C656" s="39"/>
      <c r="D656" s="39"/>
      <c r="E656" s="39"/>
      <c r="F656" s="39"/>
      <c r="G656" s="39"/>
      <c r="H656" s="39"/>
      <c r="I656" s="39"/>
    </row>
    <row r="657" ht="15.75" customHeight="1">
      <c r="A657" s="39"/>
      <c r="B657" s="39"/>
      <c r="C657" s="39"/>
      <c r="D657" s="39"/>
      <c r="E657" s="39"/>
      <c r="F657" s="39"/>
      <c r="G657" s="39"/>
      <c r="H657" s="39"/>
      <c r="I657" s="39"/>
    </row>
    <row r="658" ht="15.75" customHeight="1">
      <c r="A658" s="39"/>
      <c r="B658" s="39"/>
      <c r="C658" s="39"/>
      <c r="D658" s="39"/>
      <c r="E658" s="39"/>
      <c r="F658" s="39"/>
      <c r="G658" s="39"/>
      <c r="H658" s="39"/>
      <c r="I658" s="39"/>
    </row>
    <row r="659" ht="15.75" customHeight="1">
      <c r="A659" s="39"/>
      <c r="B659" s="39"/>
      <c r="C659" s="39"/>
      <c r="D659" s="39"/>
      <c r="E659" s="39"/>
      <c r="F659" s="39"/>
      <c r="G659" s="39"/>
      <c r="H659" s="39"/>
      <c r="I659" s="39"/>
    </row>
    <row r="660" ht="15.75" customHeight="1">
      <c r="A660" s="39"/>
      <c r="B660" s="39"/>
      <c r="C660" s="39"/>
      <c r="D660" s="39"/>
      <c r="E660" s="39"/>
      <c r="F660" s="39"/>
      <c r="G660" s="39"/>
      <c r="H660" s="39"/>
      <c r="I660" s="39"/>
    </row>
    <row r="661" ht="15.75" customHeight="1">
      <c r="A661" s="39"/>
      <c r="B661" s="39"/>
      <c r="C661" s="39"/>
      <c r="D661" s="39"/>
      <c r="E661" s="39"/>
      <c r="F661" s="39"/>
      <c r="G661" s="39"/>
      <c r="H661" s="39"/>
      <c r="I661" s="39"/>
    </row>
    <row r="662" ht="15.75" customHeight="1">
      <c r="A662" s="39"/>
      <c r="B662" s="39"/>
      <c r="C662" s="39"/>
      <c r="D662" s="39"/>
      <c r="E662" s="39"/>
      <c r="F662" s="39"/>
      <c r="G662" s="39"/>
      <c r="H662" s="39"/>
      <c r="I662" s="39"/>
    </row>
    <row r="663" ht="15.75" customHeight="1">
      <c r="A663" s="39"/>
      <c r="B663" s="39"/>
      <c r="C663" s="39"/>
      <c r="D663" s="39"/>
      <c r="E663" s="39"/>
      <c r="F663" s="39"/>
      <c r="G663" s="39"/>
      <c r="H663" s="39"/>
      <c r="I663" s="39"/>
    </row>
    <row r="664" ht="15.75" customHeight="1">
      <c r="A664" s="39"/>
      <c r="B664" s="39"/>
      <c r="C664" s="39"/>
      <c r="D664" s="39"/>
      <c r="E664" s="39"/>
      <c r="F664" s="39"/>
      <c r="G664" s="39"/>
      <c r="H664" s="39"/>
      <c r="I664" s="39"/>
    </row>
    <row r="665" ht="15.75" customHeight="1">
      <c r="A665" s="39"/>
      <c r="B665" s="39"/>
      <c r="C665" s="39"/>
      <c r="D665" s="39"/>
      <c r="E665" s="39"/>
      <c r="F665" s="39"/>
      <c r="G665" s="39"/>
      <c r="H665" s="39"/>
      <c r="I665" s="39"/>
    </row>
    <row r="666" ht="15.75" customHeight="1">
      <c r="A666" s="39"/>
      <c r="B666" s="39"/>
      <c r="C666" s="39"/>
      <c r="D666" s="39"/>
      <c r="E666" s="39"/>
      <c r="F666" s="39"/>
      <c r="G666" s="39"/>
      <c r="H666" s="39"/>
      <c r="I666" s="39"/>
    </row>
    <row r="667" ht="15.75" customHeight="1">
      <c r="A667" s="39"/>
      <c r="B667" s="39"/>
      <c r="C667" s="39"/>
      <c r="D667" s="39"/>
      <c r="E667" s="39"/>
      <c r="F667" s="39"/>
      <c r="G667" s="39"/>
      <c r="H667" s="39"/>
      <c r="I667" s="39"/>
    </row>
    <row r="668" ht="15.75" customHeight="1">
      <c r="A668" s="39"/>
      <c r="B668" s="39"/>
      <c r="C668" s="39"/>
      <c r="D668" s="39"/>
      <c r="E668" s="39"/>
      <c r="F668" s="39"/>
      <c r="G668" s="39"/>
      <c r="H668" s="39"/>
      <c r="I668" s="39"/>
    </row>
    <row r="669" ht="15.75" customHeight="1">
      <c r="A669" s="39"/>
      <c r="B669" s="39"/>
      <c r="C669" s="39"/>
      <c r="D669" s="39"/>
      <c r="E669" s="39"/>
      <c r="F669" s="39"/>
      <c r="G669" s="39"/>
      <c r="H669" s="39"/>
      <c r="I669" s="39"/>
    </row>
    <row r="670" ht="15.75" customHeight="1">
      <c r="A670" s="39"/>
      <c r="B670" s="39"/>
      <c r="C670" s="39"/>
      <c r="D670" s="39"/>
      <c r="E670" s="39"/>
      <c r="F670" s="39"/>
      <c r="G670" s="39"/>
      <c r="H670" s="39"/>
      <c r="I670" s="39"/>
    </row>
    <row r="671" ht="15.75" customHeight="1">
      <c r="A671" s="39"/>
      <c r="B671" s="39"/>
      <c r="C671" s="39"/>
      <c r="D671" s="39"/>
      <c r="E671" s="39"/>
      <c r="F671" s="39"/>
      <c r="G671" s="39"/>
      <c r="H671" s="39"/>
      <c r="I671" s="39"/>
    </row>
    <row r="672" ht="15.75" customHeight="1">
      <c r="A672" s="39"/>
      <c r="B672" s="39"/>
      <c r="C672" s="39"/>
      <c r="D672" s="39"/>
      <c r="E672" s="39"/>
      <c r="F672" s="39"/>
      <c r="G672" s="39"/>
      <c r="H672" s="39"/>
      <c r="I672" s="39"/>
    </row>
    <row r="673" ht="15.75" customHeight="1">
      <c r="A673" s="39"/>
      <c r="B673" s="39"/>
      <c r="C673" s="39"/>
      <c r="D673" s="39"/>
      <c r="E673" s="39"/>
      <c r="F673" s="39"/>
      <c r="G673" s="39"/>
      <c r="H673" s="39"/>
      <c r="I673" s="39"/>
    </row>
    <row r="674" ht="15.75" customHeight="1">
      <c r="A674" s="39"/>
      <c r="B674" s="39"/>
      <c r="C674" s="39"/>
      <c r="D674" s="39"/>
      <c r="E674" s="39"/>
      <c r="F674" s="39"/>
      <c r="G674" s="39"/>
      <c r="H674" s="39"/>
      <c r="I674" s="39"/>
    </row>
    <row r="675" ht="15.75" customHeight="1">
      <c r="A675" s="39"/>
      <c r="B675" s="39"/>
      <c r="C675" s="39"/>
      <c r="D675" s="39"/>
      <c r="E675" s="39"/>
      <c r="F675" s="39"/>
      <c r="G675" s="39"/>
      <c r="H675" s="39"/>
      <c r="I675" s="39"/>
    </row>
    <row r="676" ht="15.75" customHeight="1">
      <c r="A676" s="39"/>
      <c r="B676" s="39"/>
      <c r="C676" s="39"/>
      <c r="D676" s="39"/>
      <c r="E676" s="39"/>
      <c r="F676" s="39"/>
      <c r="G676" s="39"/>
      <c r="H676" s="39"/>
      <c r="I676" s="39"/>
    </row>
    <row r="677" ht="15.75" customHeight="1">
      <c r="A677" s="39"/>
      <c r="B677" s="39"/>
      <c r="C677" s="39"/>
      <c r="D677" s="39"/>
      <c r="E677" s="39"/>
      <c r="F677" s="39"/>
      <c r="G677" s="39"/>
      <c r="H677" s="39"/>
      <c r="I677" s="39"/>
    </row>
    <row r="678" ht="15.75" customHeight="1">
      <c r="A678" s="39"/>
      <c r="B678" s="39"/>
      <c r="C678" s="39"/>
      <c r="D678" s="39"/>
      <c r="E678" s="39"/>
      <c r="F678" s="39"/>
      <c r="G678" s="39"/>
      <c r="H678" s="39"/>
      <c r="I678" s="39"/>
    </row>
    <row r="679" ht="15.75" customHeight="1">
      <c r="A679" s="39"/>
      <c r="B679" s="39"/>
      <c r="C679" s="39"/>
      <c r="D679" s="39"/>
      <c r="E679" s="39"/>
      <c r="F679" s="39"/>
      <c r="G679" s="39"/>
      <c r="H679" s="39"/>
      <c r="I679" s="39"/>
    </row>
    <row r="680" ht="15.75" customHeight="1">
      <c r="A680" s="39"/>
      <c r="B680" s="39"/>
      <c r="C680" s="39"/>
      <c r="D680" s="39"/>
      <c r="E680" s="39"/>
      <c r="F680" s="39"/>
      <c r="G680" s="39"/>
      <c r="H680" s="39"/>
      <c r="I680" s="39"/>
    </row>
    <row r="681" ht="15.75" customHeight="1">
      <c r="A681" s="39"/>
      <c r="B681" s="39"/>
      <c r="C681" s="39"/>
      <c r="D681" s="39"/>
      <c r="E681" s="39"/>
      <c r="F681" s="39"/>
      <c r="G681" s="39"/>
      <c r="H681" s="39"/>
      <c r="I681" s="39"/>
    </row>
    <row r="682" ht="15.75" customHeight="1">
      <c r="A682" s="39"/>
      <c r="B682" s="39"/>
      <c r="C682" s="39"/>
      <c r="D682" s="39"/>
      <c r="E682" s="39"/>
      <c r="F682" s="39"/>
      <c r="G682" s="39"/>
      <c r="H682" s="39"/>
      <c r="I682" s="39"/>
    </row>
    <row r="683" ht="15.75" customHeight="1">
      <c r="A683" s="39"/>
      <c r="B683" s="39"/>
      <c r="C683" s="39"/>
      <c r="D683" s="39"/>
      <c r="E683" s="39"/>
      <c r="F683" s="39"/>
      <c r="G683" s="39"/>
      <c r="H683" s="39"/>
      <c r="I683" s="39"/>
    </row>
    <row r="684" ht="15.75" customHeight="1">
      <c r="A684" s="39"/>
      <c r="B684" s="39"/>
      <c r="C684" s="39"/>
      <c r="D684" s="39"/>
      <c r="E684" s="39"/>
      <c r="F684" s="39"/>
      <c r="G684" s="39"/>
      <c r="H684" s="39"/>
      <c r="I684" s="39"/>
    </row>
    <row r="685" ht="15.75" customHeight="1">
      <c r="A685" s="39"/>
      <c r="B685" s="39"/>
      <c r="C685" s="39"/>
      <c r="D685" s="39"/>
      <c r="E685" s="39"/>
      <c r="F685" s="39"/>
      <c r="G685" s="39"/>
      <c r="H685" s="39"/>
      <c r="I685" s="39"/>
    </row>
    <row r="686" ht="15.75" customHeight="1">
      <c r="A686" s="39"/>
      <c r="B686" s="39"/>
      <c r="C686" s="39"/>
      <c r="D686" s="39"/>
      <c r="E686" s="39"/>
      <c r="F686" s="39"/>
      <c r="G686" s="39"/>
      <c r="H686" s="39"/>
      <c r="I686" s="39"/>
    </row>
    <row r="687" ht="15.75" customHeight="1">
      <c r="A687" s="39"/>
      <c r="B687" s="39"/>
      <c r="C687" s="39"/>
      <c r="D687" s="39"/>
      <c r="E687" s="39"/>
      <c r="F687" s="39"/>
      <c r="G687" s="39"/>
      <c r="H687" s="39"/>
      <c r="I687" s="39"/>
    </row>
    <row r="688" ht="15.75" customHeight="1">
      <c r="A688" s="39"/>
      <c r="B688" s="39"/>
      <c r="C688" s="39"/>
      <c r="D688" s="39"/>
      <c r="E688" s="39"/>
      <c r="F688" s="39"/>
      <c r="G688" s="39"/>
      <c r="H688" s="39"/>
      <c r="I688" s="39"/>
    </row>
    <row r="689" ht="15.75" customHeight="1">
      <c r="A689" s="39"/>
      <c r="B689" s="39"/>
      <c r="C689" s="39"/>
      <c r="D689" s="39"/>
      <c r="E689" s="39"/>
      <c r="F689" s="39"/>
      <c r="G689" s="39"/>
      <c r="H689" s="39"/>
      <c r="I689" s="39"/>
    </row>
    <row r="690" ht="15.75" customHeight="1">
      <c r="A690" s="39"/>
      <c r="B690" s="39"/>
      <c r="C690" s="39"/>
      <c r="D690" s="39"/>
      <c r="E690" s="39"/>
      <c r="F690" s="39"/>
      <c r="G690" s="39"/>
      <c r="H690" s="39"/>
      <c r="I690" s="39"/>
    </row>
    <row r="691" ht="15.75" customHeight="1">
      <c r="A691" s="39"/>
      <c r="B691" s="39"/>
      <c r="C691" s="39"/>
      <c r="D691" s="39"/>
      <c r="E691" s="39"/>
      <c r="F691" s="39"/>
      <c r="G691" s="39"/>
      <c r="H691" s="39"/>
      <c r="I691" s="39"/>
    </row>
    <row r="692" ht="15.75" customHeight="1">
      <c r="A692" s="39"/>
      <c r="B692" s="39"/>
      <c r="C692" s="39"/>
      <c r="D692" s="39"/>
      <c r="E692" s="39"/>
      <c r="F692" s="39"/>
      <c r="G692" s="39"/>
      <c r="H692" s="39"/>
      <c r="I692" s="39"/>
    </row>
    <row r="693" ht="15.75" customHeight="1">
      <c r="A693" s="39"/>
      <c r="B693" s="39"/>
      <c r="C693" s="39"/>
      <c r="D693" s="39"/>
      <c r="E693" s="39"/>
      <c r="F693" s="39"/>
      <c r="G693" s="39"/>
      <c r="H693" s="39"/>
      <c r="I693" s="39"/>
    </row>
    <row r="694" ht="15.75" customHeight="1">
      <c r="A694" s="39"/>
      <c r="B694" s="39"/>
      <c r="C694" s="39"/>
      <c r="D694" s="39"/>
      <c r="E694" s="39"/>
      <c r="F694" s="39"/>
      <c r="G694" s="39"/>
      <c r="H694" s="39"/>
      <c r="I694" s="39"/>
    </row>
    <row r="695" ht="15.75" customHeight="1">
      <c r="A695" s="39"/>
      <c r="B695" s="39"/>
      <c r="C695" s="39"/>
      <c r="D695" s="39"/>
      <c r="E695" s="39"/>
      <c r="F695" s="39"/>
      <c r="G695" s="39"/>
      <c r="H695" s="39"/>
      <c r="I695" s="39"/>
    </row>
    <row r="696" ht="15.75" customHeight="1">
      <c r="A696" s="39"/>
      <c r="B696" s="39"/>
      <c r="C696" s="39"/>
      <c r="D696" s="39"/>
      <c r="E696" s="39"/>
      <c r="F696" s="39"/>
      <c r="G696" s="39"/>
      <c r="H696" s="39"/>
      <c r="I696" s="39"/>
    </row>
    <row r="697" ht="15.75" customHeight="1">
      <c r="A697" s="39"/>
      <c r="B697" s="39"/>
      <c r="C697" s="39"/>
      <c r="D697" s="39"/>
      <c r="E697" s="39"/>
      <c r="F697" s="39"/>
      <c r="G697" s="39"/>
      <c r="H697" s="39"/>
      <c r="I697" s="39"/>
    </row>
    <row r="698" ht="15.75" customHeight="1">
      <c r="A698" s="39"/>
      <c r="B698" s="39"/>
      <c r="C698" s="39"/>
      <c r="D698" s="39"/>
      <c r="E698" s="39"/>
      <c r="F698" s="39"/>
      <c r="G698" s="39"/>
      <c r="H698" s="39"/>
      <c r="I698" s="39"/>
    </row>
    <row r="699" ht="15.75" customHeight="1">
      <c r="A699" s="39"/>
      <c r="B699" s="39"/>
      <c r="C699" s="39"/>
      <c r="D699" s="39"/>
      <c r="E699" s="39"/>
      <c r="F699" s="39"/>
      <c r="G699" s="39"/>
      <c r="H699" s="39"/>
      <c r="I699" s="39"/>
    </row>
    <row r="700" ht="15.75" customHeight="1">
      <c r="A700" s="39"/>
      <c r="B700" s="39"/>
      <c r="C700" s="39"/>
      <c r="D700" s="39"/>
      <c r="E700" s="39"/>
      <c r="F700" s="39"/>
      <c r="G700" s="39"/>
      <c r="H700" s="39"/>
      <c r="I700" s="39"/>
    </row>
    <row r="701" ht="15.75" customHeight="1">
      <c r="A701" s="39"/>
      <c r="B701" s="39"/>
      <c r="C701" s="39"/>
      <c r="D701" s="39"/>
      <c r="E701" s="39"/>
      <c r="F701" s="39"/>
      <c r="G701" s="39"/>
      <c r="H701" s="39"/>
      <c r="I701" s="39"/>
    </row>
    <row r="702" ht="15.75" customHeight="1">
      <c r="A702" s="39"/>
      <c r="B702" s="39"/>
      <c r="C702" s="39"/>
      <c r="D702" s="39"/>
      <c r="E702" s="39"/>
      <c r="F702" s="39"/>
      <c r="G702" s="39"/>
      <c r="H702" s="39"/>
      <c r="I702" s="39"/>
    </row>
    <row r="703" ht="15.75" customHeight="1">
      <c r="A703" s="39"/>
      <c r="B703" s="39"/>
      <c r="C703" s="39"/>
      <c r="D703" s="39"/>
      <c r="E703" s="39"/>
      <c r="F703" s="39"/>
      <c r="G703" s="39"/>
      <c r="H703" s="39"/>
      <c r="I703" s="39"/>
    </row>
    <row r="704" ht="15.75" customHeight="1">
      <c r="A704" s="39"/>
      <c r="B704" s="39"/>
      <c r="C704" s="39"/>
      <c r="D704" s="39"/>
      <c r="E704" s="39"/>
      <c r="F704" s="39"/>
      <c r="G704" s="39"/>
      <c r="H704" s="39"/>
      <c r="I704" s="39"/>
    </row>
    <row r="705" ht="15.75" customHeight="1">
      <c r="A705" s="39"/>
      <c r="B705" s="39"/>
      <c r="C705" s="39"/>
      <c r="D705" s="39"/>
      <c r="E705" s="39"/>
      <c r="F705" s="39"/>
      <c r="G705" s="39"/>
      <c r="H705" s="39"/>
      <c r="I705" s="39"/>
    </row>
    <row r="706" ht="15.75" customHeight="1">
      <c r="A706" s="39"/>
      <c r="B706" s="39"/>
      <c r="C706" s="39"/>
      <c r="D706" s="39"/>
      <c r="E706" s="39"/>
      <c r="F706" s="39"/>
      <c r="G706" s="39"/>
      <c r="H706" s="39"/>
      <c r="I706" s="39"/>
    </row>
    <row r="707" ht="15.75" customHeight="1">
      <c r="A707" s="39"/>
      <c r="B707" s="39"/>
      <c r="C707" s="39"/>
      <c r="D707" s="39"/>
      <c r="E707" s="39"/>
      <c r="F707" s="39"/>
      <c r="G707" s="39"/>
      <c r="H707" s="39"/>
      <c r="I707" s="39"/>
    </row>
    <row r="708" ht="15.75" customHeight="1">
      <c r="A708" s="39"/>
      <c r="B708" s="39"/>
      <c r="C708" s="39"/>
      <c r="D708" s="39"/>
      <c r="E708" s="39"/>
      <c r="F708" s="39"/>
      <c r="G708" s="39"/>
      <c r="H708" s="39"/>
      <c r="I708" s="39"/>
    </row>
    <row r="709" ht="15.75" customHeight="1">
      <c r="A709" s="39"/>
      <c r="B709" s="39"/>
      <c r="C709" s="39"/>
      <c r="D709" s="39"/>
      <c r="E709" s="39"/>
      <c r="F709" s="39"/>
      <c r="G709" s="39"/>
      <c r="H709" s="39"/>
      <c r="I709" s="39"/>
    </row>
    <row r="710" ht="15.75" customHeight="1">
      <c r="A710" s="39"/>
      <c r="B710" s="39"/>
      <c r="C710" s="39"/>
      <c r="D710" s="39"/>
      <c r="E710" s="39"/>
      <c r="F710" s="39"/>
      <c r="G710" s="39"/>
      <c r="H710" s="39"/>
      <c r="I710" s="39"/>
    </row>
    <row r="711" ht="15.75" customHeight="1">
      <c r="A711" s="39"/>
      <c r="B711" s="39"/>
      <c r="C711" s="39"/>
      <c r="D711" s="39"/>
      <c r="E711" s="39"/>
      <c r="F711" s="39"/>
      <c r="G711" s="39"/>
      <c r="H711" s="39"/>
      <c r="I711" s="39"/>
    </row>
    <row r="712" ht="15.75" customHeight="1">
      <c r="A712" s="39"/>
      <c r="B712" s="39"/>
      <c r="C712" s="39"/>
      <c r="D712" s="39"/>
      <c r="E712" s="39"/>
      <c r="F712" s="39"/>
      <c r="G712" s="39"/>
      <c r="H712" s="39"/>
      <c r="I712" s="39"/>
    </row>
    <row r="713" ht="15.75" customHeight="1">
      <c r="A713" s="39"/>
      <c r="B713" s="39"/>
      <c r="C713" s="39"/>
      <c r="D713" s="39"/>
      <c r="E713" s="39"/>
      <c r="F713" s="39"/>
      <c r="G713" s="39"/>
      <c r="H713" s="39"/>
      <c r="I713" s="39"/>
    </row>
    <row r="714" ht="15.75" customHeight="1">
      <c r="A714" s="39"/>
      <c r="B714" s="39"/>
      <c r="C714" s="39"/>
      <c r="D714" s="39"/>
      <c r="E714" s="39"/>
      <c r="F714" s="39"/>
      <c r="G714" s="39"/>
      <c r="H714" s="39"/>
      <c r="I714" s="39"/>
    </row>
    <row r="715" ht="15.75" customHeight="1">
      <c r="A715" s="39"/>
      <c r="B715" s="39"/>
      <c r="C715" s="39"/>
      <c r="D715" s="39"/>
      <c r="E715" s="39"/>
      <c r="F715" s="39"/>
      <c r="G715" s="39"/>
      <c r="H715" s="39"/>
      <c r="I715" s="39"/>
    </row>
    <row r="716" ht="15.75" customHeight="1">
      <c r="A716" s="39"/>
      <c r="B716" s="39"/>
      <c r="C716" s="39"/>
      <c r="D716" s="39"/>
      <c r="E716" s="39"/>
      <c r="F716" s="39"/>
      <c r="G716" s="39"/>
      <c r="H716" s="39"/>
      <c r="I716" s="39"/>
    </row>
    <row r="717" ht="15.75" customHeight="1">
      <c r="A717" s="39"/>
      <c r="B717" s="39"/>
      <c r="C717" s="39"/>
      <c r="D717" s="39"/>
      <c r="E717" s="39"/>
      <c r="F717" s="39"/>
      <c r="G717" s="39"/>
      <c r="H717" s="39"/>
      <c r="I717" s="39"/>
    </row>
    <row r="718" ht="15.75" customHeight="1">
      <c r="A718" s="39"/>
      <c r="B718" s="39"/>
      <c r="C718" s="39"/>
      <c r="D718" s="39"/>
      <c r="E718" s="39"/>
      <c r="F718" s="39"/>
      <c r="G718" s="39"/>
      <c r="H718" s="39"/>
      <c r="I718" s="39"/>
    </row>
    <row r="719" ht="15.75" customHeight="1">
      <c r="A719" s="39"/>
      <c r="B719" s="39"/>
      <c r="C719" s="39"/>
      <c r="D719" s="39"/>
      <c r="E719" s="39"/>
      <c r="F719" s="39"/>
      <c r="G719" s="39"/>
      <c r="H719" s="39"/>
      <c r="I719" s="39"/>
    </row>
    <row r="720" ht="15.75" customHeight="1">
      <c r="A720" s="39"/>
      <c r="B720" s="39"/>
      <c r="C720" s="39"/>
      <c r="D720" s="39"/>
      <c r="E720" s="39"/>
      <c r="F720" s="39"/>
      <c r="G720" s="39"/>
      <c r="H720" s="39"/>
      <c r="I720" s="39"/>
    </row>
    <row r="721" ht="15.75" customHeight="1">
      <c r="A721" s="39"/>
      <c r="B721" s="39"/>
      <c r="C721" s="39"/>
      <c r="D721" s="39"/>
      <c r="E721" s="39"/>
      <c r="F721" s="39"/>
      <c r="G721" s="39"/>
      <c r="H721" s="39"/>
      <c r="I721" s="39"/>
    </row>
    <row r="722" ht="15.75" customHeight="1">
      <c r="A722" s="39"/>
      <c r="B722" s="39"/>
      <c r="C722" s="39"/>
      <c r="D722" s="39"/>
      <c r="E722" s="39"/>
      <c r="F722" s="39"/>
      <c r="G722" s="39"/>
      <c r="H722" s="39"/>
      <c r="I722" s="39"/>
    </row>
    <row r="723" ht="15.75" customHeight="1">
      <c r="A723" s="39"/>
      <c r="B723" s="39"/>
      <c r="C723" s="39"/>
      <c r="D723" s="39"/>
      <c r="E723" s="39"/>
      <c r="F723" s="39"/>
      <c r="G723" s="39"/>
      <c r="H723" s="39"/>
      <c r="I723" s="39"/>
    </row>
    <row r="724" ht="15.75" customHeight="1">
      <c r="A724" s="39"/>
      <c r="B724" s="39"/>
      <c r="C724" s="39"/>
      <c r="D724" s="39"/>
      <c r="E724" s="39"/>
      <c r="F724" s="39"/>
      <c r="G724" s="39"/>
      <c r="H724" s="39"/>
      <c r="I724" s="39"/>
    </row>
    <row r="725" ht="15.75" customHeight="1">
      <c r="A725" s="39"/>
      <c r="B725" s="39"/>
      <c r="C725" s="39"/>
      <c r="D725" s="39"/>
      <c r="E725" s="39"/>
      <c r="F725" s="39"/>
      <c r="G725" s="39"/>
      <c r="H725" s="39"/>
      <c r="I725" s="39"/>
    </row>
    <row r="726" ht="15.75" customHeight="1">
      <c r="A726" s="39"/>
      <c r="B726" s="39"/>
      <c r="C726" s="39"/>
      <c r="D726" s="39"/>
      <c r="E726" s="39"/>
      <c r="F726" s="39"/>
      <c r="G726" s="39"/>
      <c r="H726" s="39"/>
      <c r="I726" s="39"/>
    </row>
    <row r="727" ht="15.75" customHeight="1">
      <c r="A727" s="39"/>
      <c r="B727" s="39"/>
      <c r="C727" s="39"/>
      <c r="D727" s="39"/>
      <c r="E727" s="39"/>
      <c r="F727" s="39"/>
      <c r="G727" s="39"/>
      <c r="H727" s="39"/>
      <c r="I727" s="39"/>
    </row>
    <row r="728" ht="15.75" customHeight="1">
      <c r="A728" s="39"/>
      <c r="B728" s="39"/>
      <c r="C728" s="39"/>
      <c r="D728" s="39"/>
      <c r="E728" s="39"/>
      <c r="F728" s="39"/>
      <c r="G728" s="39"/>
      <c r="H728" s="39"/>
      <c r="I728" s="39"/>
    </row>
    <row r="729" ht="15.75" customHeight="1">
      <c r="A729" s="39"/>
      <c r="B729" s="39"/>
      <c r="C729" s="39"/>
      <c r="D729" s="39"/>
      <c r="E729" s="39"/>
      <c r="F729" s="39"/>
      <c r="G729" s="39"/>
      <c r="H729" s="39"/>
      <c r="I729" s="39"/>
    </row>
    <row r="730" ht="15.75" customHeight="1">
      <c r="A730" s="39"/>
      <c r="B730" s="39"/>
      <c r="C730" s="39"/>
      <c r="D730" s="39"/>
      <c r="E730" s="39"/>
      <c r="F730" s="39"/>
      <c r="G730" s="39"/>
      <c r="H730" s="39"/>
      <c r="I730" s="39"/>
    </row>
    <row r="731" ht="15.75" customHeight="1">
      <c r="A731" s="39"/>
      <c r="B731" s="39"/>
      <c r="C731" s="39"/>
      <c r="D731" s="39"/>
      <c r="E731" s="39"/>
      <c r="F731" s="39"/>
      <c r="G731" s="39"/>
      <c r="H731" s="39"/>
      <c r="I731" s="39"/>
    </row>
    <row r="732" ht="15.75" customHeight="1">
      <c r="A732" s="39"/>
      <c r="B732" s="39"/>
      <c r="C732" s="39"/>
      <c r="D732" s="39"/>
      <c r="E732" s="39"/>
      <c r="F732" s="39"/>
      <c r="G732" s="39"/>
      <c r="H732" s="39"/>
      <c r="I732" s="39"/>
    </row>
    <row r="733" ht="15.75" customHeight="1">
      <c r="A733" s="39"/>
      <c r="B733" s="39"/>
      <c r="C733" s="39"/>
      <c r="D733" s="39"/>
      <c r="E733" s="39"/>
      <c r="F733" s="39"/>
      <c r="G733" s="39"/>
      <c r="H733" s="39"/>
      <c r="I733" s="39"/>
    </row>
    <row r="734" ht="15.75" customHeight="1">
      <c r="A734" s="39"/>
      <c r="B734" s="39"/>
      <c r="C734" s="39"/>
      <c r="D734" s="39"/>
      <c r="E734" s="39"/>
      <c r="F734" s="39"/>
      <c r="G734" s="39"/>
      <c r="H734" s="39"/>
      <c r="I734" s="39"/>
    </row>
    <row r="735" ht="15.75" customHeight="1">
      <c r="A735" s="39"/>
      <c r="B735" s="39"/>
      <c r="C735" s="39"/>
      <c r="D735" s="39"/>
      <c r="E735" s="39"/>
      <c r="F735" s="39"/>
      <c r="G735" s="39"/>
      <c r="H735" s="39"/>
      <c r="I735" s="39"/>
    </row>
    <row r="736" ht="15.75" customHeight="1">
      <c r="A736" s="39"/>
      <c r="B736" s="39"/>
      <c r="C736" s="39"/>
      <c r="D736" s="39"/>
      <c r="E736" s="39"/>
      <c r="F736" s="39"/>
      <c r="G736" s="39"/>
      <c r="H736" s="39"/>
      <c r="I736" s="39"/>
    </row>
    <row r="737" ht="15.75" customHeight="1">
      <c r="A737" s="39"/>
      <c r="B737" s="39"/>
      <c r="C737" s="39"/>
      <c r="D737" s="39"/>
      <c r="E737" s="39"/>
      <c r="F737" s="39"/>
      <c r="G737" s="39"/>
      <c r="H737" s="39"/>
      <c r="I737" s="39"/>
    </row>
    <row r="738" ht="15.75" customHeight="1">
      <c r="A738" s="39"/>
      <c r="B738" s="39"/>
      <c r="C738" s="39"/>
      <c r="D738" s="39"/>
      <c r="E738" s="39"/>
      <c r="F738" s="39"/>
      <c r="G738" s="39"/>
      <c r="H738" s="39"/>
      <c r="I738" s="39"/>
    </row>
    <row r="739" ht="15.75" customHeight="1">
      <c r="A739" s="39"/>
      <c r="B739" s="39"/>
      <c r="C739" s="39"/>
      <c r="D739" s="39"/>
      <c r="E739" s="39"/>
      <c r="F739" s="39"/>
      <c r="G739" s="39"/>
      <c r="H739" s="39"/>
      <c r="I739" s="39"/>
    </row>
    <row r="740" ht="15.75" customHeight="1">
      <c r="A740" s="39"/>
      <c r="B740" s="39"/>
      <c r="C740" s="39"/>
      <c r="D740" s="39"/>
      <c r="E740" s="39"/>
      <c r="F740" s="39"/>
      <c r="G740" s="39"/>
      <c r="H740" s="39"/>
      <c r="I740" s="39"/>
    </row>
    <row r="741" ht="15.75" customHeight="1">
      <c r="A741" s="39"/>
      <c r="B741" s="39"/>
      <c r="C741" s="39"/>
      <c r="D741" s="39"/>
      <c r="E741" s="39"/>
      <c r="F741" s="39"/>
      <c r="G741" s="39"/>
      <c r="H741" s="39"/>
      <c r="I741" s="39"/>
    </row>
    <row r="742" ht="15.75" customHeight="1">
      <c r="A742" s="39"/>
      <c r="B742" s="39"/>
      <c r="C742" s="39"/>
      <c r="D742" s="39"/>
      <c r="E742" s="39"/>
      <c r="F742" s="39"/>
      <c r="G742" s="39"/>
      <c r="H742" s="39"/>
      <c r="I742" s="39"/>
    </row>
    <row r="743" ht="15.75" customHeight="1">
      <c r="A743" s="39"/>
      <c r="B743" s="39"/>
      <c r="C743" s="39"/>
      <c r="D743" s="39"/>
      <c r="E743" s="39"/>
      <c r="F743" s="39"/>
      <c r="G743" s="39"/>
      <c r="H743" s="39"/>
      <c r="I743" s="39"/>
    </row>
    <row r="744" ht="15.75" customHeight="1">
      <c r="A744" s="39"/>
      <c r="B744" s="39"/>
      <c r="C744" s="39"/>
      <c r="D744" s="39"/>
      <c r="E744" s="39"/>
      <c r="F744" s="39"/>
      <c r="G744" s="39"/>
      <c r="H744" s="39"/>
      <c r="I744" s="39"/>
    </row>
    <row r="745" ht="15.75" customHeight="1">
      <c r="A745" s="39"/>
      <c r="B745" s="39"/>
      <c r="C745" s="39"/>
      <c r="D745" s="39"/>
      <c r="E745" s="39"/>
      <c r="F745" s="39"/>
      <c r="G745" s="39"/>
      <c r="H745" s="39"/>
      <c r="I745" s="39"/>
    </row>
    <row r="746" ht="15.75" customHeight="1">
      <c r="A746" s="39"/>
      <c r="B746" s="39"/>
      <c r="C746" s="39"/>
      <c r="D746" s="39"/>
      <c r="E746" s="39"/>
      <c r="F746" s="39"/>
      <c r="G746" s="39"/>
      <c r="H746" s="39"/>
      <c r="I746" s="39"/>
    </row>
    <row r="747" ht="15.75" customHeight="1">
      <c r="A747" s="39"/>
      <c r="B747" s="39"/>
      <c r="C747" s="39"/>
      <c r="D747" s="39"/>
      <c r="E747" s="39"/>
      <c r="F747" s="39"/>
      <c r="G747" s="39"/>
      <c r="H747" s="39"/>
      <c r="I747" s="39"/>
    </row>
    <row r="748" ht="15.75" customHeight="1">
      <c r="A748" s="39"/>
      <c r="B748" s="39"/>
      <c r="C748" s="39"/>
      <c r="D748" s="39"/>
      <c r="E748" s="39"/>
      <c r="F748" s="39"/>
      <c r="G748" s="39"/>
      <c r="H748" s="39"/>
      <c r="I748" s="39"/>
    </row>
    <row r="749" ht="15.75" customHeight="1">
      <c r="A749" s="39"/>
      <c r="B749" s="39"/>
      <c r="C749" s="39"/>
      <c r="D749" s="39"/>
      <c r="E749" s="39"/>
      <c r="F749" s="39"/>
      <c r="G749" s="39"/>
      <c r="H749" s="39"/>
      <c r="I749" s="39"/>
    </row>
    <row r="750" ht="15.75" customHeight="1">
      <c r="A750" s="39"/>
      <c r="B750" s="39"/>
      <c r="C750" s="39"/>
      <c r="D750" s="39"/>
      <c r="E750" s="39"/>
      <c r="F750" s="39"/>
      <c r="G750" s="39"/>
      <c r="H750" s="39"/>
      <c r="I750" s="39"/>
    </row>
    <row r="751" ht="15.75" customHeight="1">
      <c r="A751" s="39"/>
      <c r="B751" s="39"/>
      <c r="C751" s="39"/>
      <c r="D751" s="39"/>
      <c r="E751" s="39"/>
      <c r="F751" s="39"/>
      <c r="G751" s="39"/>
      <c r="H751" s="39"/>
      <c r="I751" s="39"/>
    </row>
    <row r="752" ht="15.75" customHeight="1">
      <c r="A752" s="39"/>
      <c r="B752" s="39"/>
      <c r="C752" s="39"/>
      <c r="D752" s="39"/>
      <c r="E752" s="39"/>
      <c r="F752" s="39"/>
      <c r="G752" s="39"/>
      <c r="H752" s="39"/>
      <c r="I752" s="39"/>
    </row>
    <row r="753" ht="15.75" customHeight="1">
      <c r="A753" s="39"/>
      <c r="B753" s="39"/>
      <c r="C753" s="39"/>
      <c r="D753" s="39"/>
      <c r="E753" s="39"/>
      <c r="F753" s="39"/>
      <c r="G753" s="39"/>
      <c r="H753" s="39"/>
      <c r="I753" s="39"/>
    </row>
    <row r="754" ht="15.75" customHeight="1">
      <c r="A754" s="39"/>
      <c r="B754" s="39"/>
      <c r="C754" s="39"/>
      <c r="D754" s="39"/>
      <c r="E754" s="39"/>
      <c r="F754" s="39"/>
      <c r="G754" s="39"/>
      <c r="H754" s="39"/>
      <c r="I754" s="39"/>
    </row>
    <row r="755" ht="15.75" customHeight="1">
      <c r="A755" s="39"/>
      <c r="B755" s="39"/>
      <c r="C755" s="39"/>
      <c r="D755" s="39"/>
      <c r="E755" s="39"/>
      <c r="F755" s="39"/>
      <c r="G755" s="39"/>
      <c r="H755" s="39"/>
      <c r="I755" s="39"/>
    </row>
    <row r="756" ht="15.75" customHeight="1">
      <c r="A756" s="39"/>
      <c r="B756" s="39"/>
      <c r="C756" s="39"/>
      <c r="D756" s="39"/>
      <c r="E756" s="39"/>
      <c r="F756" s="39"/>
      <c r="G756" s="39"/>
      <c r="H756" s="39"/>
      <c r="I756" s="39"/>
    </row>
    <row r="757" ht="15.75" customHeight="1">
      <c r="A757" s="39"/>
      <c r="B757" s="39"/>
      <c r="C757" s="39"/>
      <c r="D757" s="39"/>
      <c r="E757" s="39"/>
      <c r="F757" s="39"/>
      <c r="G757" s="39"/>
      <c r="H757" s="39"/>
      <c r="I757" s="39"/>
    </row>
    <row r="758" ht="15.75" customHeight="1">
      <c r="A758" s="39"/>
      <c r="B758" s="39"/>
      <c r="C758" s="39"/>
      <c r="D758" s="39"/>
      <c r="E758" s="39"/>
      <c r="F758" s="39"/>
      <c r="G758" s="39"/>
      <c r="H758" s="39"/>
      <c r="I758" s="39"/>
    </row>
    <row r="759" ht="15.75" customHeight="1">
      <c r="A759" s="39"/>
      <c r="B759" s="39"/>
      <c r="C759" s="39"/>
      <c r="D759" s="39"/>
      <c r="E759" s="39"/>
      <c r="F759" s="39"/>
      <c r="G759" s="39"/>
      <c r="H759" s="39"/>
      <c r="I759" s="39"/>
    </row>
    <row r="760" ht="15.75" customHeight="1">
      <c r="A760" s="39"/>
      <c r="B760" s="39"/>
      <c r="C760" s="39"/>
      <c r="D760" s="39"/>
      <c r="E760" s="39"/>
      <c r="F760" s="39"/>
      <c r="G760" s="39"/>
      <c r="H760" s="39"/>
      <c r="I760" s="39"/>
    </row>
    <row r="761" ht="15.75" customHeight="1">
      <c r="A761" s="39"/>
      <c r="B761" s="39"/>
      <c r="C761" s="39"/>
      <c r="D761" s="39"/>
      <c r="E761" s="39"/>
      <c r="F761" s="39"/>
      <c r="G761" s="39"/>
      <c r="H761" s="39"/>
      <c r="I761" s="39"/>
    </row>
    <row r="762" ht="15.75" customHeight="1">
      <c r="A762" s="39"/>
      <c r="B762" s="39"/>
      <c r="C762" s="39"/>
      <c r="D762" s="39"/>
      <c r="E762" s="39"/>
      <c r="F762" s="39"/>
      <c r="G762" s="39"/>
      <c r="H762" s="39"/>
      <c r="I762" s="39"/>
    </row>
    <row r="763" ht="15.75" customHeight="1">
      <c r="A763" s="39"/>
      <c r="B763" s="39"/>
      <c r="C763" s="39"/>
      <c r="D763" s="39"/>
      <c r="E763" s="39"/>
      <c r="F763" s="39"/>
      <c r="G763" s="39"/>
      <c r="H763" s="39"/>
      <c r="I763" s="39"/>
    </row>
    <row r="764" ht="15.75" customHeight="1">
      <c r="A764" s="39"/>
      <c r="B764" s="39"/>
      <c r="C764" s="39"/>
      <c r="D764" s="39"/>
      <c r="E764" s="39"/>
      <c r="F764" s="39"/>
      <c r="G764" s="39"/>
      <c r="H764" s="39"/>
      <c r="I764" s="39"/>
    </row>
    <row r="765" ht="15.75" customHeight="1">
      <c r="A765" s="39"/>
      <c r="B765" s="39"/>
      <c r="C765" s="39"/>
      <c r="D765" s="39"/>
      <c r="E765" s="39"/>
      <c r="F765" s="39"/>
      <c r="G765" s="39"/>
      <c r="H765" s="39"/>
      <c r="I765" s="39"/>
    </row>
    <row r="766" ht="15.75" customHeight="1">
      <c r="A766" s="39"/>
      <c r="B766" s="39"/>
      <c r="C766" s="39"/>
      <c r="D766" s="39"/>
      <c r="E766" s="39"/>
      <c r="F766" s="39"/>
      <c r="G766" s="39"/>
      <c r="H766" s="39"/>
      <c r="I766" s="39"/>
    </row>
    <row r="767" ht="15.75" customHeight="1">
      <c r="A767" s="39"/>
      <c r="B767" s="39"/>
      <c r="C767" s="39"/>
      <c r="D767" s="39"/>
      <c r="E767" s="39"/>
      <c r="F767" s="39"/>
      <c r="G767" s="39"/>
      <c r="H767" s="39"/>
      <c r="I767" s="39"/>
    </row>
    <row r="768" ht="15.75" customHeight="1">
      <c r="A768" s="39"/>
      <c r="B768" s="39"/>
      <c r="C768" s="39"/>
      <c r="D768" s="39"/>
      <c r="E768" s="39"/>
      <c r="F768" s="39"/>
      <c r="G768" s="39"/>
      <c r="H768" s="39"/>
      <c r="I768" s="39"/>
    </row>
    <row r="769" ht="15.75" customHeight="1">
      <c r="A769" s="39"/>
      <c r="B769" s="39"/>
      <c r="C769" s="39"/>
      <c r="D769" s="39"/>
      <c r="E769" s="39"/>
      <c r="F769" s="39"/>
      <c r="G769" s="39"/>
      <c r="H769" s="39"/>
      <c r="I769" s="39"/>
    </row>
    <row r="770" ht="15.75" customHeight="1">
      <c r="A770" s="39"/>
      <c r="B770" s="39"/>
      <c r="C770" s="39"/>
      <c r="D770" s="39"/>
      <c r="E770" s="39"/>
      <c r="F770" s="39"/>
      <c r="G770" s="39"/>
      <c r="H770" s="39"/>
      <c r="I770" s="39"/>
    </row>
    <row r="771" ht="15.75" customHeight="1">
      <c r="A771" s="39"/>
      <c r="B771" s="39"/>
      <c r="C771" s="39"/>
      <c r="D771" s="39"/>
      <c r="E771" s="39"/>
      <c r="F771" s="39"/>
      <c r="G771" s="39"/>
      <c r="H771" s="39"/>
      <c r="I771" s="39"/>
    </row>
    <row r="772" ht="15.75" customHeight="1">
      <c r="A772" s="39"/>
      <c r="B772" s="39"/>
      <c r="C772" s="39"/>
      <c r="D772" s="39"/>
      <c r="E772" s="39"/>
      <c r="F772" s="39"/>
      <c r="G772" s="39"/>
      <c r="H772" s="39"/>
      <c r="I772" s="39"/>
    </row>
    <row r="773" ht="15.75" customHeight="1">
      <c r="A773" s="39"/>
      <c r="B773" s="39"/>
      <c r="C773" s="39"/>
      <c r="D773" s="39"/>
      <c r="E773" s="39"/>
      <c r="F773" s="39"/>
      <c r="G773" s="39"/>
      <c r="H773" s="39"/>
      <c r="I773" s="39"/>
    </row>
    <row r="774" ht="15.75" customHeight="1">
      <c r="A774" s="39"/>
      <c r="B774" s="39"/>
      <c r="C774" s="39"/>
      <c r="D774" s="39"/>
      <c r="E774" s="39"/>
      <c r="F774" s="39"/>
      <c r="G774" s="39"/>
      <c r="H774" s="39"/>
      <c r="I774" s="39"/>
    </row>
    <row r="775" ht="15.75" customHeight="1">
      <c r="A775" s="39"/>
      <c r="B775" s="39"/>
      <c r="C775" s="39"/>
      <c r="D775" s="39"/>
      <c r="E775" s="39"/>
      <c r="F775" s="39"/>
      <c r="G775" s="39"/>
      <c r="H775" s="39"/>
      <c r="I775" s="39"/>
    </row>
    <row r="776" ht="15.75" customHeight="1">
      <c r="A776" s="39"/>
      <c r="B776" s="39"/>
      <c r="C776" s="39"/>
      <c r="D776" s="39"/>
      <c r="E776" s="39"/>
      <c r="F776" s="39"/>
      <c r="G776" s="39"/>
      <c r="H776" s="39"/>
      <c r="I776" s="39"/>
    </row>
    <row r="777" ht="15.75" customHeight="1">
      <c r="A777" s="39"/>
      <c r="B777" s="39"/>
      <c r="C777" s="39"/>
      <c r="D777" s="39"/>
      <c r="E777" s="39"/>
      <c r="F777" s="39"/>
      <c r="G777" s="39"/>
      <c r="H777" s="39"/>
      <c r="I777" s="39"/>
    </row>
    <row r="778" ht="15.75" customHeight="1">
      <c r="A778" s="39"/>
      <c r="B778" s="39"/>
      <c r="C778" s="39"/>
      <c r="D778" s="39"/>
      <c r="E778" s="39"/>
      <c r="F778" s="39"/>
      <c r="G778" s="39"/>
      <c r="H778" s="39"/>
      <c r="I778" s="39"/>
    </row>
    <row r="779" ht="15.75" customHeight="1">
      <c r="A779" s="39"/>
      <c r="B779" s="39"/>
      <c r="C779" s="39"/>
      <c r="D779" s="39"/>
      <c r="E779" s="39"/>
      <c r="F779" s="39"/>
      <c r="G779" s="39"/>
      <c r="H779" s="39"/>
      <c r="I779" s="39"/>
    </row>
    <row r="780" ht="15.75" customHeight="1">
      <c r="A780" s="39"/>
      <c r="B780" s="39"/>
      <c r="C780" s="39"/>
      <c r="D780" s="39"/>
      <c r="E780" s="39"/>
      <c r="F780" s="39"/>
      <c r="G780" s="39"/>
      <c r="H780" s="39"/>
      <c r="I780" s="39"/>
    </row>
    <row r="781" ht="15.75" customHeight="1">
      <c r="A781" s="39"/>
      <c r="B781" s="39"/>
      <c r="C781" s="39"/>
      <c r="D781" s="39"/>
      <c r="E781" s="39"/>
      <c r="F781" s="39"/>
      <c r="G781" s="39"/>
      <c r="H781" s="39"/>
      <c r="I781" s="39"/>
    </row>
    <row r="782" ht="15.75" customHeight="1">
      <c r="A782" s="39"/>
      <c r="B782" s="39"/>
      <c r="C782" s="39"/>
      <c r="D782" s="39"/>
      <c r="E782" s="39"/>
      <c r="F782" s="39"/>
      <c r="G782" s="39"/>
      <c r="H782" s="39"/>
      <c r="I782" s="39"/>
    </row>
    <row r="783" ht="15.75" customHeight="1">
      <c r="A783" s="39"/>
      <c r="B783" s="39"/>
      <c r="C783" s="39"/>
      <c r="D783" s="39"/>
      <c r="E783" s="39"/>
      <c r="F783" s="39"/>
      <c r="G783" s="39"/>
      <c r="H783" s="39"/>
      <c r="I783" s="39"/>
    </row>
    <row r="784" ht="15.75" customHeight="1">
      <c r="A784" s="39"/>
      <c r="B784" s="39"/>
      <c r="C784" s="39"/>
      <c r="D784" s="39"/>
      <c r="E784" s="39"/>
      <c r="F784" s="39"/>
      <c r="G784" s="39"/>
      <c r="H784" s="39"/>
      <c r="I784" s="39"/>
    </row>
    <row r="785" ht="15.75" customHeight="1">
      <c r="A785" s="39"/>
      <c r="B785" s="39"/>
      <c r="C785" s="39"/>
      <c r="D785" s="39"/>
      <c r="E785" s="39"/>
      <c r="F785" s="39"/>
      <c r="G785" s="39"/>
      <c r="H785" s="39"/>
      <c r="I785" s="39"/>
    </row>
    <row r="786" ht="15.75" customHeight="1">
      <c r="A786" s="39"/>
      <c r="B786" s="39"/>
      <c r="C786" s="39"/>
      <c r="D786" s="39"/>
      <c r="E786" s="39"/>
      <c r="F786" s="39"/>
      <c r="G786" s="39"/>
      <c r="H786" s="39"/>
      <c r="I786" s="39"/>
    </row>
    <row r="787" ht="15.75" customHeight="1">
      <c r="A787" s="39"/>
      <c r="B787" s="39"/>
      <c r="C787" s="39"/>
      <c r="D787" s="39"/>
      <c r="E787" s="39"/>
      <c r="F787" s="39"/>
      <c r="G787" s="39"/>
      <c r="H787" s="39"/>
      <c r="I787" s="39"/>
    </row>
    <row r="788" ht="15.75" customHeight="1">
      <c r="A788" s="39"/>
      <c r="B788" s="39"/>
      <c r="C788" s="39"/>
      <c r="D788" s="39"/>
      <c r="E788" s="39"/>
      <c r="F788" s="39"/>
      <c r="G788" s="39"/>
      <c r="H788" s="39"/>
      <c r="I788" s="39"/>
    </row>
    <row r="789" ht="15.75" customHeight="1">
      <c r="A789" s="39"/>
      <c r="B789" s="39"/>
      <c r="C789" s="39"/>
      <c r="D789" s="39"/>
      <c r="E789" s="39"/>
      <c r="F789" s="39"/>
      <c r="G789" s="39"/>
      <c r="H789" s="39"/>
      <c r="I789" s="39"/>
    </row>
    <row r="790" ht="15.75" customHeight="1">
      <c r="A790" s="39"/>
      <c r="B790" s="39"/>
      <c r="C790" s="39"/>
      <c r="D790" s="39"/>
      <c r="E790" s="39"/>
      <c r="F790" s="39"/>
      <c r="G790" s="39"/>
      <c r="H790" s="39"/>
      <c r="I790" s="39"/>
    </row>
    <row r="791" ht="15.75" customHeight="1">
      <c r="A791" s="39"/>
      <c r="B791" s="39"/>
      <c r="C791" s="39"/>
      <c r="D791" s="39"/>
      <c r="E791" s="39"/>
      <c r="F791" s="39"/>
      <c r="G791" s="39"/>
      <c r="H791" s="39"/>
      <c r="I791" s="39"/>
    </row>
    <row r="792" ht="15.75" customHeight="1">
      <c r="A792" s="39"/>
      <c r="B792" s="39"/>
      <c r="C792" s="39"/>
      <c r="D792" s="39"/>
      <c r="E792" s="39"/>
      <c r="F792" s="39"/>
      <c r="G792" s="39"/>
      <c r="H792" s="39"/>
      <c r="I792" s="39"/>
    </row>
    <row r="793" ht="15.75" customHeight="1">
      <c r="A793" s="39"/>
      <c r="B793" s="39"/>
      <c r="C793" s="39"/>
      <c r="D793" s="39"/>
      <c r="E793" s="39"/>
      <c r="F793" s="39"/>
      <c r="G793" s="39"/>
      <c r="H793" s="39"/>
      <c r="I793" s="39"/>
    </row>
    <row r="794" ht="15.75" customHeight="1">
      <c r="A794" s="39"/>
      <c r="B794" s="39"/>
      <c r="C794" s="39"/>
      <c r="D794" s="39"/>
      <c r="E794" s="39"/>
      <c r="F794" s="39"/>
      <c r="G794" s="39"/>
      <c r="H794" s="39"/>
      <c r="I794" s="39"/>
    </row>
    <row r="795" ht="15.75" customHeight="1">
      <c r="A795" s="39"/>
      <c r="B795" s="39"/>
      <c r="C795" s="39"/>
      <c r="D795" s="39"/>
      <c r="E795" s="39"/>
      <c r="F795" s="39"/>
      <c r="G795" s="39"/>
      <c r="H795" s="39"/>
      <c r="I795" s="39"/>
    </row>
    <row r="796" ht="15.75" customHeight="1">
      <c r="A796" s="39"/>
      <c r="B796" s="39"/>
      <c r="C796" s="39"/>
      <c r="D796" s="39"/>
      <c r="E796" s="39"/>
      <c r="F796" s="39"/>
      <c r="G796" s="39"/>
      <c r="H796" s="39"/>
      <c r="I796" s="39"/>
    </row>
    <row r="797" ht="15.75" customHeight="1">
      <c r="A797" s="39"/>
      <c r="B797" s="39"/>
      <c r="C797" s="39"/>
      <c r="D797" s="39"/>
      <c r="E797" s="39"/>
      <c r="F797" s="39"/>
      <c r="G797" s="39"/>
      <c r="H797" s="39"/>
      <c r="I797" s="39"/>
    </row>
    <row r="798" ht="15.75" customHeight="1">
      <c r="A798" s="39"/>
      <c r="B798" s="39"/>
      <c r="C798" s="39"/>
      <c r="D798" s="39"/>
      <c r="E798" s="39"/>
      <c r="F798" s="39"/>
      <c r="G798" s="39"/>
      <c r="H798" s="39"/>
      <c r="I798" s="39"/>
    </row>
    <row r="799" ht="15.75" customHeight="1">
      <c r="A799" s="39"/>
      <c r="B799" s="39"/>
      <c r="C799" s="39"/>
      <c r="D799" s="39"/>
      <c r="E799" s="39"/>
      <c r="F799" s="39"/>
      <c r="G799" s="39"/>
      <c r="H799" s="39"/>
      <c r="I799" s="39"/>
    </row>
    <row r="800" ht="15.75" customHeight="1">
      <c r="A800" s="39"/>
      <c r="B800" s="39"/>
      <c r="C800" s="39"/>
      <c r="D800" s="39"/>
      <c r="E800" s="39"/>
      <c r="F800" s="39"/>
      <c r="G800" s="39"/>
      <c r="H800" s="39"/>
      <c r="I800" s="39"/>
    </row>
    <row r="801" ht="15.75" customHeight="1">
      <c r="A801" s="39"/>
      <c r="B801" s="39"/>
      <c r="C801" s="39"/>
      <c r="D801" s="39"/>
      <c r="E801" s="39"/>
      <c r="F801" s="39"/>
      <c r="G801" s="39"/>
      <c r="H801" s="39"/>
      <c r="I801" s="39"/>
    </row>
    <row r="802" ht="15.75" customHeight="1">
      <c r="A802" s="39"/>
      <c r="B802" s="39"/>
      <c r="C802" s="39"/>
      <c r="D802" s="39"/>
      <c r="E802" s="39"/>
      <c r="F802" s="39"/>
      <c r="G802" s="39"/>
      <c r="H802" s="39"/>
      <c r="I802" s="39"/>
    </row>
    <row r="803" ht="15.75" customHeight="1">
      <c r="A803" s="39"/>
      <c r="B803" s="39"/>
      <c r="C803" s="39"/>
      <c r="D803" s="39"/>
      <c r="E803" s="39"/>
      <c r="F803" s="39"/>
      <c r="G803" s="39"/>
      <c r="H803" s="39"/>
      <c r="I803" s="39"/>
    </row>
    <row r="804" ht="15.75" customHeight="1">
      <c r="A804" s="39"/>
      <c r="B804" s="39"/>
      <c r="C804" s="39"/>
      <c r="D804" s="39"/>
      <c r="E804" s="39"/>
      <c r="F804" s="39"/>
      <c r="G804" s="39"/>
      <c r="H804" s="39"/>
      <c r="I804" s="39"/>
    </row>
    <row r="805" ht="15.75" customHeight="1">
      <c r="A805" s="39"/>
      <c r="B805" s="39"/>
      <c r="C805" s="39"/>
      <c r="D805" s="39"/>
      <c r="E805" s="39"/>
      <c r="F805" s="39"/>
      <c r="G805" s="39"/>
      <c r="H805" s="39"/>
      <c r="I805" s="39"/>
    </row>
    <row r="806" ht="15.75" customHeight="1">
      <c r="A806" s="39"/>
      <c r="B806" s="39"/>
      <c r="C806" s="39"/>
      <c r="D806" s="39"/>
      <c r="E806" s="39"/>
      <c r="F806" s="39"/>
      <c r="G806" s="39"/>
      <c r="H806" s="39"/>
      <c r="I806" s="39"/>
    </row>
    <row r="807" ht="15.75" customHeight="1">
      <c r="A807" s="39"/>
      <c r="B807" s="39"/>
      <c r="C807" s="39"/>
      <c r="D807" s="39"/>
      <c r="E807" s="39"/>
      <c r="F807" s="39"/>
      <c r="G807" s="39"/>
      <c r="H807" s="39"/>
      <c r="I807" s="39"/>
    </row>
    <row r="808" ht="15.75" customHeight="1">
      <c r="A808" s="39"/>
      <c r="B808" s="39"/>
      <c r="C808" s="39"/>
      <c r="D808" s="39"/>
      <c r="E808" s="39"/>
      <c r="F808" s="39"/>
      <c r="G808" s="39"/>
      <c r="H808" s="39"/>
      <c r="I808" s="39"/>
    </row>
    <row r="809" ht="15.75" customHeight="1">
      <c r="A809" s="39"/>
      <c r="B809" s="39"/>
      <c r="C809" s="39"/>
      <c r="D809" s="39"/>
      <c r="E809" s="39"/>
      <c r="F809" s="39"/>
      <c r="G809" s="39"/>
      <c r="H809" s="39"/>
      <c r="I809" s="39"/>
    </row>
    <row r="810" ht="15.75" customHeight="1">
      <c r="A810" s="39"/>
      <c r="B810" s="39"/>
      <c r="C810" s="39"/>
      <c r="D810" s="39"/>
      <c r="E810" s="39"/>
      <c r="F810" s="39"/>
      <c r="G810" s="39"/>
      <c r="H810" s="39"/>
      <c r="I810" s="39"/>
    </row>
    <row r="811" ht="15.75" customHeight="1">
      <c r="A811" s="39"/>
      <c r="B811" s="39"/>
      <c r="C811" s="39"/>
      <c r="D811" s="39"/>
      <c r="E811" s="39"/>
      <c r="F811" s="39"/>
      <c r="G811" s="39"/>
      <c r="H811" s="39"/>
      <c r="I811" s="39"/>
    </row>
    <row r="812" ht="15.75" customHeight="1">
      <c r="A812" s="39"/>
      <c r="B812" s="39"/>
      <c r="C812" s="39"/>
      <c r="D812" s="39"/>
      <c r="E812" s="39"/>
      <c r="F812" s="39"/>
      <c r="G812" s="39"/>
      <c r="H812" s="39"/>
      <c r="I812" s="39"/>
    </row>
    <row r="813" ht="15.75" customHeight="1">
      <c r="A813" s="39"/>
      <c r="B813" s="39"/>
      <c r="C813" s="39"/>
      <c r="D813" s="39"/>
      <c r="E813" s="39"/>
      <c r="F813" s="39"/>
      <c r="G813" s="39"/>
      <c r="H813" s="39"/>
      <c r="I813" s="39"/>
    </row>
    <row r="814" ht="15.75" customHeight="1">
      <c r="A814" s="39"/>
      <c r="B814" s="39"/>
      <c r="C814" s="39"/>
      <c r="D814" s="39"/>
      <c r="E814" s="39"/>
      <c r="F814" s="39"/>
      <c r="G814" s="39"/>
      <c r="H814" s="39"/>
      <c r="I814" s="39"/>
    </row>
    <row r="815" ht="15.75" customHeight="1">
      <c r="A815" s="39"/>
      <c r="B815" s="39"/>
      <c r="C815" s="39"/>
      <c r="D815" s="39"/>
      <c r="E815" s="39"/>
      <c r="F815" s="39"/>
      <c r="G815" s="39"/>
      <c r="H815" s="39"/>
      <c r="I815" s="39"/>
    </row>
    <row r="816" ht="15.75" customHeight="1">
      <c r="A816" s="39"/>
      <c r="B816" s="39"/>
      <c r="C816" s="39"/>
      <c r="D816" s="39"/>
      <c r="E816" s="39"/>
      <c r="F816" s="39"/>
      <c r="G816" s="39"/>
      <c r="H816" s="39"/>
      <c r="I816" s="39"/>
    </row>
    <row r="817" ht="15.75" customHeight="1">
      <c r="A817" s="39"/>
      <c r="B817" s="39"/>
      <c r="C817" s="39"/>
      <c r="D817" s="39"/>
      <c r="E817" s="39"/>
      <c r="F817" s="39"/>
      <c r="G817" s="39"/>
      <c r="H817" s="39"/>
      <c r="I817" s="39"/>
    </row>
    <row r="818" ht="15.75" customHeight="1">
      <c r="A818" s="39"/>
      <c r="B818" s="39"/>
      <c r="C818" s="39"/>
      <c r="D818" s="39"/>
      <c r="E818" s="39"/>
      <c r="F818" s="39"/>
      <c r="G818" s="39"/>
      <c r="H818" s="39"/>
      <c r="I818" s="39"/>
    </row>
    <row r="819" ht="15.75" customHeight="1">
      <c r="A819" s="39"/>
      <c r="B819" s="39"/>
      <c r="C819" s="39"/>
      <c r="D819" s="39"/>
      <c r="E819" s="39"/>
      <c r="F819" s="39"/>
      <c r="G819" s="39"/>
      <c r="H819" s="39"/>
      <c r="I819" s="39"/>
    </row>
    <row r="820" ht="15.75" customHeight="1">
      <c r="A820" s="39"/>
      <c r="B820" s="39"/>
      <c r="C820" s="39"/>
      <c r="D820" s="39"/>
      <c r="E820" s="39"/>
      <c r="F820" s="39"/>
      <c r="G820" s="39"/>
      <c r="H820" s="39"/>
      <c r="I820" s="39"/>
    </row>
    <row r="821" ht="15.75" customHeight="1">
      <c r="A821" s="39"/>
      <c r="B821" s="39"/>
      <c r="C821" s="39"/>
      <c r="D821" s="39"/>
      <c r="E821" s="39"/>
      <c r="F821" s="39"/>
      <c r="G821" s="39"/>
      <c r="H821" s="39"/>
      <c r="I821" s="39"/>
    </row>
    <row r="822" ht="15.75" customHeight="1">
      <c r="A822" s="39"/>
      <c r="B822" s="39"/>
      <c r="C822" s="39"/>
      <c r="D822" s="39"/>
      <c r="E822" s="39"/>
      <c r="F822" s="39"/>
      <c r="G822" s="39"/>
      <c r="H822" s="39"/>
      <c r="I822" s="39"/>
    </row>
    <row r="823" ht="15.75" customHeight="1">
      <c r="A823" s="39"/>
      <c r="B823" s="39"/>
      <c r="C823" s="39"/>
      <c r="D823" s="39"/>
      <c r="E823" s="39"/>
      <c r="F823" s="39"/>
      <c r="G823" s="39"/>
      <c r="H823" s="39"/>
      <c r="I823" s="39"/>
    </row>
    <row r="824" ht="15.75" customHeight="1">
      <c r="A824" s="39"/>
      <c r="B824" s="39"/>
      <c r="C824" s="39"/>
      <c r="D824" s="39"/>
      <c r="E824" s="39"/>
      <c r="F824" s="39"/>
      <c r="G824" s="39"/>
      <c r="H824" s="39"/>
      <c r="I824" s="39"/>
    </row>
    <row r="825" ht="15.75" customHeight="1">
      <c r="A825" s="39"/>
      <c r="B825" s="39"/>
      <c r="C825" s="39"/>
      <c r="D825" s="39"/>
      <c r="E825" s="39"/>
      <c r="F825" s="39"/>
      <c r="G825" s="39"/>
      <c r="H825" s="39"/>
      <c r="I825" s="39"/>
    </row>
    <row r="826" ht="15.75" customHeight="1">
      <c r="A826" s="39"/>
      <c r="B826" s="39"/>
      <c r="C826" s="39"/>
      <c r="D826" s="39"/>
      <c r="E826" s="39"/>
      <c r="F826" s="39"/>
      <c r="G826" s="39"/>
      <c r="H826" s="39"/>
      <c r="I826" s="39"/>
    </row>
    <row r="827" ht="15.75" customHeight="1">
      <c r="A827" s="39"/>
      <c r="B827" s="39"/>
      <c r="C827" s="39"/>
      <c r="D827" s="39"/>
      <c r="E827" s="39"/>
      <c r="F827" s="39"/>
      <c r="G827" s="39"/>
      <c r="H827" s="39"/>
      <c r="I827" s="39"/>
    </row>
    <row r="828" ht="15.75" customHeight="1">
      <c r="A828" s="39"/>
      <c r="B828" s="39"/>
      <c r="C828" s="39"/>
      <c r="D828" s="39"/>
      <c r="E828" s="39"/>
      <c r="F828" s="39"/>
      <c r="G828" s="39"/>
      <c r="H828" s="39"/>
      <c r="I828" s="39"/>
    </row>
    <row r="829" ht="15.75" customHeight="1">
      <c r="A829" s="39"/>
      <c r="B829" s="39"/>
      <c r="C829" s="39"/>
      <c r="D829" s="39"/>
      <c r="E829" s="39"/>
      <c r="F829" s="39"/>
      <c r="G829" s="39"/>
      <c r="H829" s="39"/>
      <c r="I829" s="39"/>
    </row>
    <row r="830" ht="15.75" customHeight="1">
      <c r="A830" s="39"/>
      <c r="B830" s="39"/>
      <c r="C830" s="39"/>
      <c r="D830" s="39"/>
      <c r="E830" s="39"/>
      <c r="F830" s="39"/>
      <c r="G830" s="39"/>
      <c r="H830" s="39"/>
      <c r="I830" s="39"/>
    </row>
    <row r="831" ht="15.75" customHeight="1">
      <c r="A831" s="39"/>
      <c r="B831" s="39"/>
      <c r="C831" s="39"/>
      <c r="D831" s="39"/>
      <c r="E831" s="39"/>
      <c r="F831" s="39"/>
      <c r="G831" s="39"/>
      <c r="H831" s="39"/>
      <c r="I831" s="39"/>
    </row>
    <row r="832" ht="15.75" customHeight="1">
      <c r="A832" s="39"/>
      <c r="B832" s="39"/>
      <c r="C832" s="39"/>
      <c r="D832" s="39"/>
      <c r="E832" s="39"/>
      <c r="F832" s="39"/>
      <c r="G832" s="39"/>
      <c r="H832" s="39"/>
      <c r="I832" s="39"/>
    </row>
    <row r="833" ht="15.75" customHeight="1">
      <c r="A833" s="39"/>
      <c r="B833" s="39"/>
      <c r="C833" s="39"/>
      <c r="D833" s="39"/>
      <c r="E833" s="39"/>
      <c r="F833" s="39"/>
      <c r="G833" s="39"/>
      <c r="H833" s="39"/>
      <c r="I833" s="39"/>
    </row>
    <row r="834" ht="15.75" customHeight="1">
      <c r="A834" s="39"/>
      <c r="B834" s="39"/>
      <c r="C834" s="39"/>
      <c r="D834" s="39"/>
      <c r="E834" s="39"/>
      <c r="F834" s="39"/>
      <c r="G834" s="39"/>
      <c r="H834" s="39"/>
      <c r="I834" s="39"/>
    </row>
    <row r="835" ht="15.75" customHeight="1">
      <c r="A835" s="39"/>
      <c r="B835" s="39"/>
      <c r="C835" s="39"/>
      <c r="D835" s="39"/>
      <c r="E835" s="39"/>
      <c r="F835" s="39"/>
      <c r="G835" s="39"/>
      <c r="H835" s="39"/>
      <c r="I835" s="39"/>
    </row>
    <row r="836" ht="15.75" customHeight="1">
      <c r="A836" s="39"/>
      <c r="B836" s="39"/>
      <c r="C836" s="39"/>
      <c r="D836" s="39"/>
      <c r="E836" s="39"/>
      <c r="F836" s="39"/>
      <c r="G836" s="39"/>
      <c r="H836" s="39"/>
      <c r="I836" s="39"/>
    </row>
    <row r="837" ht="15.75" customHeight="1">
      <c r="A837" s="39"/>
      <c r="B837" s="39"/>
      <c r="C837" s="39"/>
      <c r="D837" s="39"/>
      <c r="E837" s="39"/>
      <c r="F837" s="39"/>
      <c r="G837" s="39"/>
      <c r="H837" s="39"/>
      <c r="I837" s="39"/>
    </row>
    <row r="838" ht="15.75" customHeight="1">
      <c r="A838" s="39"/>
      <c r="B838" s="39"/>
      <c r="C838" s="39"/>
      <c r="D838" s="39"/>
      <c r="E838" s="39"/>
      <c r="F838" s="39"/>
      <c r="G838" s="39"/>
      <c r="H838" s="39"/>
      <c r="I838" s="39"/>
    </row>
    <row r="839" ht="15.75" customHeight="1">
      <c r="A839" s="39"/>
      <c r="B839" s="39"/>
      <c r="C839" s="39"/>
      <c r="D839" s="39"/>
      <c r="E839" s="39"/>
      <c r="F839" s="39"/>
      <c r="G839" s="39"/>
      <c r="H839" s="39"/>
      <c r="I839" s="39"/>
    </row>
    <row r="840" ht="15.75" customHeight="1">
      <c r="A840" s="39"/>
      <c r="B840" s="39"/>
      <c r="C840" s="39"/>
      <c r="D840" s="39"/>
      <c r="E840" s="39"/>
      <c r="F840" s="39"/>
      <c r="G840" s="39"/>
      <c r="H840" s="39"/>
      <c r="I840" s="39"/>
    </row>
    <row r="841" ht="15.75" customHeight="1">
      <c r="A841" s="39"/>
      <c r="B841" s="39"/>
      <c r="C841" s="39"/>
      <c r="D841" s="39"/>
      <c r="E841" s="39"/>
      <c r="F841" s="39"/>
      <c r="G841" s="39"/>
      <c r="H841" s="39"/>
      <c r="I841" s="39"/>
    </row>
    <row r="842" ht="15.75" customHeight="1">
      <c r="A842" s="39"/>
      <c r="B842" s="39"/>
      <c r="C842" s="39"/>
      <c r="D842" s="39"/>
      <c r="E842" s="39"/>
      <c r="F842" s="39"/>
      <c r="G842" s="39"/>
      <c r="H842" s="39"/>
      <c r="I842" s="39"/>
    </row>
    <row r="843" ht="15.75" customHeight="1">
      <c r="A843" s="39"/>
      <c r="B843" s="39"/>
      <c r="C843" s="39"/>
      <c r="D843" s="39"/>
      <c r="E843" s="39"/>
      <c r="F843" s="39"/>
      <c r="G843" s="39"/>
      <c r="H843" s="39"/>
      <c r="I843" s="39"/>
    </row>
    <row r="844" ht="15.75" customHeight="1">
      <c r="A844" s="39"/>
      <c r="B844" s="39"/>
      <c r="C844" s="39"/>
      <c r="D844" s="39"/>
      <c r="E844" s="39"/>
      <c r="F844" s="39"/>
      <c r="G844" s="39"/>
      <c r="H844" s="39"/>
      <c r="I844" s="39"/>
    </row>
    <row r="845" ht="15.75" customHeight="1">
      <c r="A845" s="39"/>
      <c r="B845" s="39"/>
      <c r="C845" s="39"/>
      <c r="D845" s="39"/>
      <c r="E845" s="39"/>
      <c r="F845" s="39"/>
      <c r="G845" s="39"/>
      <c r="H845" s="39"/>
      <c r="I845" s="39"/>
    </row>
    <row r="846" ht="15.75" customHeight="1">
      <c r="A846" s="39"/>
      <c r="B846" s="39"/>
      <c r="C846" s="39"/>
      <c r="D846" s="39"/>
      <c r="E846" s="39"/>
      <c r="F846" s="39"/>
      <c r="G846" s="39"/>
      <c r="H846" s="39"/>
      <c r="I846" s="39"/>
    </row>
    <row r="847" ht="15.75" customHeight="1">
      <c r="A847" s="39"/>
      <c r="B847" s="39"/>
      <c r="C847" s="39"/>
      <c r="D847" s="39"/>
      <c r="E847" s="39"/>
      <c r="F847" s="39"/>
      <c r="G847" s="39"/>
      <c r="H847" s="39"/>
      <c r="I847" s="39"/>
    </row>
    <row r="848" ht="15.75" customHeight="1">
      <c r="A848" s="39"/>
      <c r="B848" s="39"/>
      <c r="C848" s="39"/>
      <c r="D848" s="39"/>
      <c r="E848" s="39"/>
      <c r="F848" s="39"/>
      <c r="G848" s="39"/>
      <c r="H848" s="39"/>
      <c r="I848" s="39"/>
    </row>
    <row r="849" ht="15.75" customHeight="1">
      <c r="A849" s="39"/>
      <c r="B849" s="39"/>
      <c r="C849" s="39"/>
      <c r="D849" s="39"/>
      <c r="E849" s="39"/>
      <c r="F849" s="39"/>
      <c r="G849" s="39"/>
      <c r="H849" s="39"/>
      <c r="I849" s="39"/>
    </row>
    <row r="850" ht="15.75" customHeight="1">
      <c r="A850" s="39"/>
      <c r="B850" s="39"/>
      <c r="C850" s="39"/>
      <c r="D850" s="39"/>
      <c r="E850" s="39"/>
      <c r="F850" s="39"/>
      <c r="G850" s="39"/>
      <c r="H850" s="39"/>
      <c r="I850" s="39"/>
    </row>
    <row r="851" ht="15.75" customHeight="1">
      <c r="A851" s="39"/>
      <c r="B851" s="39"/>
      <c r="C851" s="39"/>
      <c r="D851" s="39"/>
      <c r="E851" s="39"/>
      <c r="F851" s="39"/>
      <c r="G851" s="39"/>
      <c r="H851" s="39"/>
      <c r="I851" s="39"/>
    </row>
    <row r="852" ht="15.75" customHeight="1">
      <c r="A852" s="39"/>
      <c r="B852" s="39"/>
      <c r="C852" s="39"/>
      <c r="D852" s="39"/>
      <c r="E852" s="39"/>
      <c r="F852" s="39"/>
      <c r="G852" s="39"/>
      <c r="H852" s="39"/>
      <c r="I852" s="39"/>
    </row>
    <row r="853" ht="15.75" customHeight="1">
      <c r="A853" s="39"/>
      <c r="B853" s="39"/>
      <c r="C853" s="39"/>
      <c r="D853" s="39"/>
      <c r="E853" s="39"/>
      <c r="F853" s="39"/>
      <c r="G853" s="39"/>
      <c r="H853" s="39"/>
      <c r="I853" s="39"/>
    </row>
    <row r="854" ht="15.75" customHeight="1">
      <c r="A854" s="39"/>
      <c r="B854" s="39"/>
      <c r="C854" s="39"/>
      <c r="D854" s="39"/>
      <c r="E854" s="39"/>
      <c r="F854" s="39"/>
      <c r="G854" s="39"/>
      <c r="H854" s="39"/>
      <c r="I854" s="39"/>
    </row>
    <row r="855" ht="15.75" customHeight="1">
      <c r="A855" s="39"/>
      <c r="B855" s="39"/>
      <c r="C855" s="39"/>
      <c r="D855" s="39"/>
      <c r="E855" s="39"/>
      <c r="F855" s="39"/>
      <c r="G855" s="39"/>
      <c r="H855" s="39"/>
      <c r="I855" s="39"/>
    </row>
    <row r="856" ht="15.75" customHeight="1">
      <c r="A856" s="39"/>
      <c r="B856" s="39"/>
      <c r="C856" s="39"/>
      <c r="D856" s="39"/>
      <c r="E856" s="39"/>
      <c r="F856" s="39"/>
      <c r="G856" s="39"/>
      <c r="H856" s="39"/>
      <c r="I856" s="39"/>
    </row>
    <row r="857" ht="15.75" customHeight="1">
      <c r="A857" s="39"/>
      <c r="B857" s="39"/>
      <c r="C857" s="39"/>
      <c r="D857" s="39"/>
      <c r="E857" s="39"/>
      <c r="F857" s="39"/>
      <c r="G857" s="39"/>
      <c r="H857" s="39"/>
      <c r="I857" s="39"/>
    </row>
    <row r="858" ht="15.75" customHeight="1">
      <c r="A858" s="39"/>
      <c r="B858" s="39"/>
      <c r="C858" s="39"/>
      <c r="D858" s="39"/>
      <c r="E858" s="39"/>
      <c r="F858" s="39"/>
      <c r="G858" s="39"/>
      <c r="H858" s="39"/>
      <c r="I858" s="39"/>
    </row>
    <row r="859" ht="15.75" customHeight="1">
      <c r="A859" s="39"/>
      <c r="B859" s="39"/>
      <c r="C859" s="39"/>
      <c r="D859" s="39"/>
      <c r="E859" s="39"/>
      <c r="F859" s="39"/>
      <c r="G859" s="39"/>
      <c r="H859" s="39"/>
      <c r="I859" s="39"/>
    </row>
    <row r="860" ht="15.75" customHeight="1">
      <c r="A860" s="39"/>
      <c r="B860" s="39"/>
      <c r="C860" s="39"/>
      <c r="D860" s="39"/>
      <c r="E860" s="39"/>
      <c r="F860" s="39"/>
      <c r="G860" s="39"/>
      <c r="H860" s="39"/>
      <c r="I860" s="39"/>
    </row>
    <row r="861" ht="15.75" customHeight="1">
      <c r="A861" s="39"/>
      <c r="B861" s="39"/>
      <c r="C861" s="39"/>
      <c r="D861" s="39"/>
      <c r="E861" s="39"/>
      <c r="F861" s="39"/>
      <c r="G861" s="39"/>
      <c r="H861" s="39"/>
      <c r="I861" s="39"/>
    </row>
    <row r="862" ht="15.75" customHeight="1">
      <c r="A862" s="39"/>
      <c r="B862" s="39"/>
      <c r="C862" s="39"/>
      <c r="D862" s="39"/>
      <c r="E862" s="39"/>
      <c r="F862" s="39"/>
      <c r="G862" s="39"/>
      <c r="H862" s="39"/>
      <c r="I862" s="39"/>
    </row>
    <row r="863" ht="15.75" customHeight="1">
      <c r="A863" s="39"/>
      <c r="B863" s="39"/>
      <c r="C863" s="39"/>
      <c r="D863" s="39"/>
      <c r="E863" s="39"/>
      <c r="F863" s="39"/>
      <c r="G863" s="39"/>
      <c r="H863" s="39"/>
      <c r="I863" s="39"/>
    </row>
    <row r="864" ht="15.75" customHeight="1">
      <c r="A864" s="39"/>
      <c r="B864" s="39"/>
      <c r="C864" s="39"/>
      <c r="D864" s="39"/>
      <c r="E864" s="39"/>
      <c r="F864" s="39"/>
      <c r="G864" s="39"/>
      <c r="H864" s="39"/>
      <c r="I864" s="39"/>
    </row>
    <row r="865" ht="15.75" customHeight="1">
      <c r="A865" s="39"/>
      <c r="B865" s="39"/>
      <c r="C865" s="39"/>
      <c r="D865" s="39"/>
      <c r="E865" s="39"/>
      <c r="F865" s="39"/>
      <c r="G865" s="39"/>
      <c r="H865" s="39"/>
      <c r="I865" s="39"/>
    </row>
    <row r="866" ht="15.75" customHeight="1">
      <c r="A866" s="39"/>
      <c r="B866" s="39"/>
      <c r="C866" s="39"/>
      <c r="D866" s="39"/>
      <c r="E866" s="39"/>
      <c r="F866" s="39"/>
      <c r="G866" s="39"/>
      <c r="H866" s="39"/>
      <c r="I866" s="39"/>
    </row>
    <row r="867" ht="15.75" customHeight="1">
      <c r="A867" s="39"/>
      <c r="B867" s="39"/>
      <c r="C867" s="39"/>
      <c r="D867" s="39"/>
      <c r="E867" s="39"/>
      <c r="F867" s="39"/>
      <c r="G867" s="39"/>
      <c r="H867" s="39"/>
      <c r="I867" s="39"/>
    </row>
    <row r="868" ht="15.75" customHeight="1">
      <c r="A868" s="39"/>
      <c r="B868" s="39"/>
      <c r="C868" s="39"/>
      <c r="D868" s="39"/>
      <c r="E868" s="39"/>
      <c r="F868" s="39"/>
      <c r="G868" s="39"/>
      <c r="H868" s="39"/>
      <c r="I868" s="39"/>
    </row>
    <row r="869" ht="15.75" customHeight="1">
      <c r="A869" s="39"/>
      <c r="B869" s="39"/>
      <c r="C869" s="39"/>
      <c r="D869" s="39"/>
      <c r="E869" s="39"/>
      <c r="F869" s="39"/>
      <c r="G869" s="39"/>
      <c r="H869" s="39"/>
      <c r="I869" s="39"/>
    </row>
    <row r="870" ht="15.75" customHeight="1">
      <c r="A870" s="39"/>
      <c r="B870" s="39"/>
      <c r="C870" s="39"/>
      <c r="D870" s="39"/>
      <c r="E870" s="39"/>
      <c r="F870" s="39"/>
      <c r="G870" s="39"/>
      <c r="H870" s="39"/>
      <c r="I870" s="39"/>
    </row>
    <row r="871" ht="15.75" customHeight="1">
      <c r="A871" s="39"/>
      <c r="B871" s="39"/>
      <c r="C871" s="39"/>
      <c r="D871" s="39"/>
      <c r="E871" s="39"/>
      <c r="F871" s="39"/>
      <c r="G871" s="39"/>
      <c r="H871" s="39"/>
      <c r="I871" s="39"/>
    </row>
    <row r="872" ht="15.75" customHeight="1">
      <c r="A872" s="39"/>
      <c r="B872" s="39"/>
      <c r="C872" s="39"/>
      <c r="D872" s="39"/>
      <c r="E872" s="39"/>
      <c r="F872" s="39"/>
      <c r="G872" s="39"/>
      <c r="H872" s="39"/>
      <c r="I872" s="39"/>
    </row>
    <row r="873" ht="15.75" customHeight="1">
      <c r="A873" s="39"/>
      <c r="B873" s="39"/>
      <c r="C873" s="39"/>
      <c r="D873" s="39"/>
      <c r="E873" s="39"/>
      <c r="F873" s="39"/>
      <c r="G873" s="39"/>
      <c r="H873" s="39"/>
      <c r="I873" s="39"/>
    </row>
    <row r="874" ht="15.75" customHeight="1">
      <c r="A874" s="39"/>
      <c r="B874" s="39"/>
      <c r="C874" s="39"/>
      <c r="D874" s="39"/>
      <c r="E874" s="39"/>
      <c r="F874" s="39"/>
      <c r="G874" s="39"/>
      <c r="H874" s="39"/>
      <c r="I874" s="39"/>
    </row>
    <row r="875" ht="15.75" customHeight="1">
      <c r="A875" s="39"/>
      <c r="B875" s="39"/>
      <c r="C875" s="39"/>
      <c r="D875" s="39"/>
      <c r="E875" s="39"/>
      <c r="F875" s="39"/>
      <c r="G875" s="39"/>
      <c r="H875" s="39"/>
      <c r="I875" s="39"/>
    </row>
    <row r="876" ht="15.75" customHeight="1">
      <c r="A876" s="39"/>
      <c r="B876" s="39"/>
      <c r="C876" s="39"/>
      <c r="D876" s="39"/>
      <c r="E876" s="39"/>
      <c r="F876" s="39"/>
      <c r="G876" s="39"/>
      <c r="H876" s="39"/>
      <c r="I876" s="39"/>
    </row>
    <row r="877" ht="15.75" customHeight="1">
      <c r="A877" s="39"/>
      <c r="B877" s="39"/>
      <c r="C877" s="39"/>
      <c r="D877" s="39"/>
      <c r="E877" s="39"/>
      <c r="F877" s="39"/>
      <c r="G877" s="39"/>
      <c r="H877" s="39"/>
      <c r="I877" s="39"/>
    </row>
    <row r="878" ht="15.75" customHeight="1">
      <c r="A878" s="39"/>
      <c r="B878" s="39"/>
      <c r="C878" s="39"/>
      <c r="D878" s="39"/>
      <c r="E878" s="39"/>
      <c r="F878" s="39"/>
      <c r="G878" s="39"/>
      <c r="H878" s="39"/>
      <c r="I878" s="39"/>
    </row>
    <row r="879" ht="15.75" customHeight="1">
      <c r="A879" s="39"/>
      <c r="B879" s="39"/>
      <c r="C879" s="39"/>
      <c r="D879" s="39"/>
      <c r="E879" s="39"/>
      <c r="F879" s="39"/>
      <c r="G879" s="39"/>
      <c r="H879" s="39"/>
      <c r="I879" s="39"/>
    </row>
    <row r="880" ht="15.75" customHeight="1">
      <c r="A880" s="39"/>
      <c r="B880" s="39"/>
      <c r="C880" s="39"/>
      <c r="D880" s="39"/>
      <c r="E880" s="39"/>
      <c r="F880" s="39"/>
      <c r="G880" s="39"/>
      <c r="H880" s="39"/>
      <c r="I880" s="39"/>
    </row>
    <row r="881" ht="15.75" customHeight="1">
      <c r="A881" s="39"/>
      <c r="B881" s="39"/>
      <c r="C881" s="39"/>
      <c r="D881" s="39"/>
      <c r="E881" s="39"/>
      <c r="F881" s="39"/>
      <c r="G881" s="39"/>
      <c r="H881" s="39"/>
      <c r="I881" s="39"/>
    </row>
    <row r="882" ht="15.75" customHeight="1">
      <c r="A882" s="39"/>
      <c r="B882" s="39"/>
      <c r="C882" s="39"/>
      <c r="D882" s="39"/>
      <c r="E882" s="39"/>
      <c r="F882" s="39"/>
      <c r="G882" s="39"/>
      <c r="H882" s="39"/>
      <c r="I882" s="39"/>
    </row>
    <row r="883" ht="15.75" customHeight="1">
      <c r="A883" s="39"/>
      <c r="B883" s="39"/>
      <c r="C883" s="39"/>
      <c r="D883" s="39"/>
      <c r="E883" s="39"/>
      <c r="F883" s="39"/>
      <c r="G883" s="39"/>
      <c r="H883" s="39"/>
      <c r="I883" s="39"/>
    </row>
    <row r="884" ht="15.75" customHeight="1">
      <c r="A884" s="39"/>
      <c r="B884" s="39"/>
      <c r="C884" s="39"/>
      <c r="D884" s="39"/>
      <c r="E884" s="39"/>
      <c r="F884" s="39"/>
      <c r="G884" s="39"/>
      <c r="H884" s="39"/>
      <c r="I884" s="39"/>
    </row>
    <row r="885" ht="15.75" customHeight="1">
      <c r="A885" s="39"/>
      <c r="B885" s="39"/>
      <c r="C885" s="39"/>
      <c r="D885" s="39"/>
      <c r="E885" s="39"/>
      <c r="F885" s="39"/>
      <c r="G885" s="39"/>
      <c r="H885" s="39"/>
      <c r="I885" s="39"/>
    </row>
    <row r="886" ht="15.75" customHeight="1">
      <c r="A886" s="39"/>
      <c r="B886" s="39"/>
      <c r="C886" s="39"/>
      <c r="D886" s="39"/>
      <c r="E886" s="39"/>
      <c r="F886" s="39"/>
      <c r="G886" s="39"/>
      <c r="H886" s="39"/>
      <c r="I886" s="39"/>
    </row>
    <row r="887" ht="15.75" customHeight="1">
      <c r="A887" s="39"/>
      <c r="B887" s="39"/>
      <c r="C887" s="39"/>
      <c r="D887" s="39"/>
      <c r="E887" s="39"/>
      <c r="F887" s="39"/>
      <c r="G887" s="39"/>
      <c r="H887" s="39"/>
      <c r="I887" s="39"/>
    </row>
    <row r="888" ht="15.75" customHeight="1">
      <c r="A888" s="39"/>
      <c r="B888" s="39"/>
      <c r="C888" s="39"/>
      <c r="D888" s="39"/>
      <c r="E888" s="39"/>
      <c r="F888" s="39"/>
      <c r="G888" s="39"/>
      <c r="H888" s="39"/>
      <c r="I888" s="39"/>
    </row>
    <row r="889" ht="15.75" customHeight="1">
      <c r="A889" s="39"/>
      <c r="B889" s="39"/>
      <c r="C889" s="39"/>
      <c r="D889" s="39"/>
      <c r="E889" s="39"/>
      <c r="F889" s="39"/>
      <c r="G889" s="39"/>
      <c r="H889" s="39"/>
      <c r="I889" s="39"/>
    </row>
    <row r="890" ht="15.75" customHeight="1">
      <c r="A890" s="39"/>
      <c r="B890" s="39"/>
      <c r="C890" s="39"/>
      <c r="D890" s="39"/>
      <c r="E890" s="39"/>
      <c r="F890" s="39"/>
      <c r="G890" s="39"/>
      <c r="H890" s="39"/>
      <c r="I890" s="39"/>
    </row>
    <row r="891" ht="15.75" customHeight="1">
      <c r="A891" s="39"/>
      <c r="B891" s="39"/>
      <c r="C891" s="39"/>
      <c r="D891" s="39"/>
      <c r="E891" s="39"/>
      <c r="F891" s="39"/>
      <c r="G891" s="39"/>
      <c r="H891" s="39"/>
      <c r="I891" s="39"/>
    </row>
    <row r="892" ht="15.75" customHeight="1">
      <c r="A892" s="39"/>
      <c r="B892" s="39"/>
      <c r="C892" s="39"/>
      <c r="D892" s="39"/>
      <c r="E892" s="39"/>
      <c r="F892" s="39"/>
      <c r="G892" s="39"/>
      <c r="H892" s="39"/>
      <c r="I892" s="39"/>
    </row>
    <row r="893" ht="15.75" customHeight="1">
      <c r="A893" s="39"/>
      <c r="B893" s="39"/>
      <c r="C893" s="39"/>
      <c r="D893" s="39"/>
      <c r="E893" s="39"/>
      <c r="F893" s="39"/>
      <c r="G893" s="39"/>
      <c r="H893" s="39"/>
      <c r="I893" s="39"/>
    </row>
    <row r="894" ht="15.75" customHeight="1">
      <c r="A894" s="39"/>
      <c r="B894" s="39"/>
      <c r="C894" s="39"/>
      <c r="D894" s="39"/>
      <c r="E894" s="39"/>
      <c r="F894" s="39"/>
      <c r="G894" s="39"/>
      <c r="H894" s="39"/>
      <c r="I894" s="39"/>
    </row>
    <row r="895" ht="15.75" customHeight="1">
      <c r="A895" s="39"/>
      <c r="B895" s="39"/>
      <c r="C895" s="39"/>
      <c r="D895" s="39"/>
      <c r="E895" s="39"/>
      <c r="F895" s="39"/>
      <c r="G895" s="39"/>
      <c r="H895" s="39"/>
      <c r="I895" s="39"/>
    </row>
    <row r="896" ht="15.75" customHeight="1">
      <c r="A896" s="39"/>
      <c r="B896" s="39"/>
      <c r="C896" s="39"/>
      <c r="D896" s="39"/>
      <c r="E896" s="39"/>
      <c r="F896" s="39"/>
      <c r="G896" s="39"/>
      <c r="H896" s="39"/>
      <c r="I896" s="39"/>
    </row>
    <row r="897" ht="15.75" customHeight="1">
      <c r="A897" s="39"/>
      <c r="B897" s="39"/>
      <c r="C897" s="39"/>
      <c r="D897" s="39"/>
      <c r="E897" s="39"/>
      <c r="F897" s="39"/>
      <c r="G897" s="39"/>
      <c r="H897" s="39"/>
      <c r="I897" s="39"/>
    </row>
    <row r="898" ht="15.75" customHeight="1">
      <c r="A898" s="39"/>
      <c r="B898" s="39"/>
      <c r="C898" s="39"/>
      <c r="D898" s="39"/>
      <c r="E898" s="39"/>
      <c r="F898" s="39"/>
      <c r="G898" s="39"/>
      <c r="H898" s="39"/>
      <c r="I898" s="39"/>
    </row>
    <row r="899" ht="15.75" customHeight="1">
      <c r="A899" s="39"/>
      <c r="B899" s="39"/>
      <c r="C899" s="39"/>
      <c r="D899" s="39"/>
      <c r="E899" s="39"/>
      <c r="F899" s="39"/>
      <c r="G899" s="39"/>
      <c r="H899" s="39"/>
      <c r="I899" s="39"/>
    </row>
    <row r="900" ht="15.75" customHeight="1">
      <c r="A900" s="39"/>
      <c r="B900" s="39"/>
      <c r="C900" s="39"/>
      <c r="D900" s="39"/>
      <c r="E900" s="39"/>
      <c r="F900" s="39"/>
      <c r="G900" s="39"/>
      <c r="H900" s="39"/>
      <c r="I900" s="39"/>
    </row>
    <row r="901" ht="15.75" customHeight="1">
      <c r="A901" s="39"/>
      <c r="B901" s="39"/>
      <c r="C901" s="39"/>
      <c r="D901" s="39"/>
      <c r="E901" s="39"/>
      <c r="F901" s="39"/>
      <c r="G901" s="39"/>
      <c r="H901" s="39"/>
      <c r="I901" s="39"/>
    </row>
    <row r="902" ht="15.75" customHeight="1">
      <c r="A902" s="39"/>
      <c r="B902" s="39"/>
      <c r="C902" s="39"/>
      <c r="D902" s="39"/>
      <c r="E902" s="39"/>
      <c r="F902" s="39"/>
      <c r="G902" s="39"/>
      <c r="H902" s="39"/>
      <c r="I902" s="39"/>
    </row>
    <row r="903" ht="15.75" customHeight="1">
      <c r="A903" s="39"/>
      <c r="B903" s="39"/>
      <c r="C903" s="39"/>
      <c r="D903" s="39"/>
      <c r="E903" s="39"/>
      <c r="F903" s="39"/>
      <c r="G903" s="39"/>
      <c r="H903" s="39"/>
      <c r="I903" s="39"/>
    </row>
    <row r="904" ht="15.75" customHeight="1">
      <c r="A904" s="39"/>
      <c r="B904" s="39"/>
      <c r="C904" s="39"/>
      <c r="D904" s="39"/>
      <c r="E904" s="39"/>
      <c r="F904" s="39"/>
      <c r="G904" s="39"/>
      <c r="H904" s="39"/>
      <c r="I904" s="39"/>
    </row>
    <row r="905" ht="15.75" customHeight="1">
      <c r="A905" s="39"/>
      <c r="B905" s="39"/>
      <c r="C905" s="39"/>
      <c r="D905" s="39"/>
      <c r="E905" s="39"/>
      <c r="F905" s="39"/>
      <c r="G905" s="39"/>
      <c r="H905" s="39"/>
      <c r="I905" s="39"/>
    </row>
    <row r="906" ht="15.75" customHeight="1">
      <c r="A906" s="39"/>
      <c r="B906" s="39"/>
      <c r="C906" s="39"/>
      <c r="D906" s="39"/>
      <c r="E906" s="39"/>
      <c r="F906" s="39"/>
      <c r="G906" s="39"/>
      <c r="H906" s="39"/>
      <c r="I906" s="39"/>
    </row>
    <row r="907" ht="15.75" customHeight="1">
      <c r="A907" s="39"/>
      <c r="B907" s="39"/>
      <c r="C907" s="39"/>
      <c r="D907" s="39"/>
      <c r="E907" s="39"/>
      <c r="F907" s="39"/>
      <c r="G907" s="39"/>
      <c r="H907" s="39"/>
      <c r="I907" s="39"/>
    </row>
    <row r="908" ht="15.75" customHeight="1">
      <c r="A908" s="39"/>
      <c r="B908" s="39"/>
      <c r="C908" s="39"/>
      <c r="D908" s="39"/>
      <c r="E908" s="39"/>
      <c r="F908" s="39"/>
      <c r="G908" s="39"/>
      <c r="H908" s="39"/>
      <c r="I908" s="39"/>
    </row>
    <row r="909" ht="15.75" customHeight="1">
      <c r="A909" s="39"/>
      <c r="B909" s="39"/>
      <c r="C909" s="39"/>
      <c r="D909" s="39"/>
      <c r="E909" s="39"/>
      <c r="F909" s="39"/>
      <c r="G909" s="39"/>
      <c r="H909" s="39"/>
      <c r="I909" s="39"/>
    </row>
    <row r="910" ht="15.75" customHeight="1">
      <c r="A910" s="39"/>
      <c r="B910" s="39"/>
      <c r="C910" s="39"/>
      <c r="D910" s="39"/>
      <c r="E910" s="39"/>
      <c r="F910" s="39"/>
      <c r="G910" s="39"/>
      <c r="H910" s="39"/>
      <c r="I910" s="39"/>
    </row>
    <row r="911" ht="15.75" customHeight="1">
      <c r="A911" s="39"/>
      <c r="B911" s="39"/>
      <c r="C911" s="39"/>
      <c r="D911" s="39"/>
      <c r="E911" s="39"/>
      <c r="F911" s="39"/>
      <c r="G911" s="39"/>
      <c r="H911" s="39"/>
      <c r="I911" s="39"/>
    </row>
    <row r="912" ht="15.75" customHeight="1">
      <c r="A912" s="39"/>
      <c r="B912" s="39"/>
      <c r="C912" s="39"/>
      <c r="D912" s="39"/>
      <c r="E912" s="39"/>
      <c r="F912" s="39"/>
      <c r="G912" s="39"/>
      <c r="H912" s="39"/>
      <c r="I912" s="39"/>
    </row>
    <row r="913" ht="15.75" customHeight="1">
      <c r="A913" s="39"/>
      <c r="B913" s="39"/>
      <c r="C913" s="39"/>
      <c r="D913" s="39"/>
      <c r="E913" s="39"/>
      <c r="F913" s="39"/>
      <c r="G913" s="39"/>
      <c r="H913" s="39"/>
      <c r="I913" s="39"/>
    </row>
    <row r="914" ht="15.75" customHeight="1">
      <c r="A914" s="39"/>
      <c r="B914" s="39"/>
      <c r="C914" s="39"/>
      <c r="D914" s="39"/>
      <c r="E914" s="39"/>
      <c r="F914" s="39"/>
      <c r="G914" s="39"/>
      <c r="H914" s="39"/>
      <c r="I914" s="39"/>
    </row>
    <row r="915" ht="15.75" customHeight="1">
      <c r="A915" s="39"/>
      <c r="B915" s="39"/>
      <c r="C915" s="39"/>
      <c r="D915" s="39"/>
      <c r="E915" s="39"/>
      <c r="F915" s="39"/>
      <c r="G915" s="39"/>
      <c r="H915" s="39"/>
      <c r="I915" s="39"/>
    </row>
    <row r="916" ht="15.75" customHeight="1">
      <c r="A916" s="39"/>
      <c r="B916" s="39"/>
      <c r="C916" s="39"/>
      <c r="D916" s="39"/>
      <c r="E916" s="39"/>
      <c r="F916" s="39"/>
      <c r="G916" s="39"/>
      <c r="H916" s="39"/>
      <c r="I916" s="39"/>
    </row>
    <row r="917" ht="15.75" customHeight="1">
      <c r="A917" s="39"/>
      <c r="B917" s="39"/>
      <c r="C917" s="39"/>
      <c r="D917" s="39"/>
      <c r="E917" s="39"/>
      <c r="F917" s="39"/>
      <c r="G917" s="39"/>
      <c r="H917" s="39"/>
      <c r="I917" s="39"/>
    </row>
    <row r="918" ht="15.75" customHeight="1">
      <c r="A918" s="39"/>
      <c r="B918" s="39"/>
      <c r="C918" s="39"/>
      <c r="D918" s="39"/>
      <c r="E918" s="39"/>
      <c r="F918" s="39"/>
      <c r="G918" s="39"/>
      <c r="H918" s="39"/>
      <c r="I918" s="39"/>
    </row>
    <row r="919" ht="15.75" customHeight="1">
      <c r="A919" s="39"/>
      <c r="B919" s="39"/>
      <c r="C919" s="39"/>
      <c r="D919" s="39"/>
      <c r="E919" s="39"/>
      <c r="F919" s="39"/>
      <c r="G919" s="39"/>
      <c r="H919" s="39"/>
      <c r="I919" s="39"/>
    </row>
    <row r="920" ht="15.75" customHeight="1">
      <c r="A920" s="39"/>
      <c r="B920" s="39"/>
      <c r="C920" s="39"/>
      <c r="D920" s="39"/>
      <c r="E920" s="39"/>
      <c r="F920" s="39"/>
      <c r="G920" s="39"/>
      <c r="H920" s="39"/>
      <c r="I920" s="39"/>
    </row>
    <row r="921" ht="15.75" customHeight="1">
      <c r="A921" s="39"/>
      <c r="B921" s="39"/>
      <c r="C921" s="39"/>
      <c r="D921" s="39"/>
      <c r="E921" s="39"/>
      <c r="F921" s="39"/>
      <c r="G921" s="39"/>
      <c r="H921" s="39"/>
      <c r="I921" s="39"/>
    </row>
    <row r="922" ht="15.75" customHeight="1">
      <c r="A922" s="39"/>
      <c r="B922" s="39"/>
      <c r="C922" s="39"/>
      <c r="D922" s="39"/>
      <c r="E922" s="39"/>
      <c r="F922" s="39"/>
      <c r="G922" s="39"/>
      <c r="H922" s="39"/>
      <c r="I922" s="39"/>
    </row>
    <row r="923" ht="15.75" customHeight="1">
      <c r="A923" s="39"/>
      <c r="B923" s="39"/>
      <c r="C923" s="39"/>
      <c r="D923" s="39"/>
      <c r="E923" s="39"/>
      <c r="F923" s="39"/>
      <c r="G923" s="39"/>
      <c r="H923" s="39"/>
      <c r="I923" s="39"/>
    </row>
    <row r="924" ht="15.75" customHeight="1">
      <c r="A924" s="39"/>
      <c r="B924" s="39"/>
      <c r="C924" s="39"/>
      <c r="D924" s="39"/>
      <c r="E924" s="39"/>
      <c r="F924" s="39"/>
      <c r="G924" s="39"/>
      <c r="H924" s="39"/>
      <c r="I924" s="39"/>
    </row>
    <row r="925" ht="15.75" customHeight="1">
      <c r="A925" s="39"/>
      <c r="B925" s="39"/>
      <c r="C925" s="39"/>
      <c r="D925" s="39"/>
      <c r="E925" s="39"/>
      <c r="F925" s="39"/>
      <c r="G925" s="39"/>
      <c r="H925" s="39"/>
      <c r="I925" s="39"/>
    </row>
    <row r="926" ht="15.75" customHeight="1">
      <c r="A926" s="39"/>
      <c r="B926" s="39"/>
      <c r="C926" s="39"/>
      <c r="D926" s="39"/>
      <c r="E926" s="39"/>
      <c r="F926" s="39"/>
      <c r="G926" s="39"/>
      <c r="H926" s="39"/>
      <c r="I926" s="39"/>
    </row>
    <row r="927" ht="15.75" customHeight="1">
      <c r="A927" s="39"/>
      <c r="B927" s="39"/>
      <c r="C927" s="39"/>
      <c r="D927" s="39"/>
      <c r="E927" s="39"/>
      <c r="F927" s="39"/>
      <c r="G927" s="39"/>
      <c r="H927" s="39"/>
      <c r="I927" s="39"/>
    </row>
    <row r="928" ht="15.75" customHeight="1">
      <c r="A928" s="39"/>
      <c r="B928" s="39"/>
      <c r="C928" s="39"/>
      <c r="D928" s="39"/>
      <c r="E928" s="39"/>
      <c r="F928" s="39"/>
      <c r="G928" s="39"/>
      <c r="H928" s="39"/>
      <c r="I928" s="39"/>
    </row>
    <row r="929" ht="15.75" customHeight="1">
      <c r="A929" s="39"/>
      <c r="B929" s="39"/>
      <c r="C929" s="39"/>
      <c r="D929" s="39"/>
      <c r="E929" s="39"/>
      <c r="F929" s="39"/>
      <c r="G929" s="39"/>
      <c r="H929" s="39"/>
      <c r="I929" s="39"/>
    </row>
    <row r="930" ht="15.75" customHeight="1">
      <c r="A930" s="39"/>
      <c r="B930" s="39"/>
      <c r="C930" s="39"/>
      <c r="D930" s="39"/>
      <c r="E930" s="39"/>
      <c r="F930" s="39"/>
      <c r="G930" s="39"/>
      <c r="H930" s="39"/>
      <c r="I930" s="39"/>
    </row>
    <row r="931" ht="15.75" customHeight="1">
      <c r="A931" s="39"/>
      <c r="B931" s="39"/>
      <c r="C931" s="39"/>
      <c r="D931" s="39"/>
      <c r="E931" s="39"/>
      <c r="F931" s="39"/>
      <c r="G931" s="39"/>
      <c r="H931" s="39"/>
      <c r="I931" s="39"/>
    </row>
    <row r="932" ht="15.75" customHeight="1">
      <c r="A932" s="39"/>
      <c r="B932" s="39"/>
      <c r="C932" s="39"/>
      <c r="D932" s="39"/>
      <c r="E932" s="39"/>
      <c r="F932" s="39"/>
      <c r="G932" s="39"/>
      <c r="H932" s="39"/>
      <c r="I932" s="39"/>
    </row>
    <row r="933" ht="15.75" customHeight="1">
      <c r="A933" s="39"/>
      <c r="B933" s="39"/>
      <c r="C933" s="39"/>
      <c r="D933" s="39"/>
      <c r="E933" s="39"/>
      <c r="F933" s="39"/>
      <c r="G933" s="39"/>
      <c r="H933" s="39"/>
      <c r="I933" s="39"/>
    </row>
    <row r="934" ht="15.75" customHeight="1">
      <c r="A934" s="39"/>
      <c r="B934" s="39"/>
      <c r="C934" s="39"/>
      <c r="D934" s="39"/>
      <c r="E934" s="39"/>
      <c r="F934" s="39"/>
      <c r="G934" s="39"/>
      <c r="H934" s="39"/>
      <c r="I934" s="39"/>
    </row>
    <row r="935" ht="15.75" customHeight="1">
      <c r="A935" s="39"/>
      <c r="B935" s="39"/>
      <c r="C935" s="39"/>
      <c r="D935" s="39"/>
      <c r="E935" s="39"/>
      <c r="F935" s="39"/>
      <c r="G935" s="39"/>
      <c r="H935" s="39"/>
      <c r="I935" s="39"/>
    </row>
    <row r="936" ht="15.75" customHeight="1">
      <c r="A936" s="39"/>
      <c r="B936" s="39"/>
      <c r="C936" s="39"/>
      <c r="D936" s="39"/>
      <c r="E936" s="39"/>
      <c r="F936" s="39"/>
      <c r="G936" s="39"/>
      <c r="H936" s="39"/>
      <c r="I936" s="39"/>
    </row>
    <row r="937" ht="15.75" customHeight="1">
      <c r="A937" s="39"/>
      <c r="B937" s="39"/>
      <c r="C937" s="39"/>
      <c r="D937" s="39"/>
      <c r="E937" s="39"/>
      <c r="F937" s="39"/>
      <c r="G937" s="39"/>
      <c r="H937" s="39"/>
      <c r="I937" s="39"/>
    </row>
    <row r="938" ht="15.75" customHeight="1">
      <c r="A938" s="39"/>
      <c r="B938" s="39"/>
      <c r="C938" s="39"/>
      <c r="D938" s="39"/>
      <c r="E938" s="39"/>
      <c r="F938" s="39"/>
      <c r="G938" s="39"/>
      <c r="H938" s="39"/>
      <c r="I938" s="39"/>
    </row>
    <row r="939" ht="15.75" customHeight="1">
      <c r="A939" s="39"/>
      <c r="B939" s="39"/>
      <c r="C939" s="39"/>
      <c r="D939" s="39"/>
      <c r="E939" s="39"/>
      <c r="F939" s="39"/>
      <c r="G939" s="39"/>
      <c r="H939" s="39"/>
      <c r="I939" s="39"/>
    </row>
    <row r="940" ht="15.75" customHeight="1">
      <c r="A940" s="39"/>
      <c r="B940" s="39"/>
      <c r="C940" s="39"/>
      <c r="D940" s="39"/>
      <c r="E940" s="39"/>
      <c r="F940" s="39"/>
      <c r="G940" s="39"/>
      <c r="H940" s="39"/>
      <c r="I940" s="39"/>
    </row>
    <row r="941" ht="15.75" customHeight="1">
      <c r="A941" s="39"/>
      <c r="B941" s="39"/>
      <c r="C941" s="39"/>
      <c r="D941" s="39"/>
      <c r="E941" s="39"/>
      <c r="F941" s="39"/>
      <c r="G941" s="39"/>
      <c r="H941" s="39"/>
      <c r="I941" s="39"/>
    </row>
    <row r="942" ht="15.75" customHeight="1">
      <c r="A942" s="39"/>
      <c r="B942" s="39"/>
      <c r="C942" s="39"/>
      <c r="D942" s="39"/>
      <c r="E942" s="39"/>
      <c r="F942" s="39"/>
      <c r="G942" s="39"/>
      <c r="H942" s="39"/>
      <c r="I942" s="39"/>
    </row>
    <row r="943" ht="15.75" customHeight="1">
      <c r="A943" s="39"/>
      <c r="B943" s="39"/>
      <c r="C943" s="39"/>
      <c r="D943" s="39"/>
      <c r="E943" s="39"/>
      <c r="F943" s="39"/>
      <c r="G943" s="39"/>
      <c r="H943" s="39"/>
      <c r="I943" s="39"/>
    </row>
    <row r="944" ht="15.75" customHeight="1">
      <c r="A944" s="39"/>
      <c r="B944" s="39"/>
      <c r="C944" s="39"/>
      <c r="D944" s="39"/>
      <c r="E944" s="39"/>
      <c r="F944" s="39"/>
      <c r="G944" s="39"/>
      <c r="H944" s="39"/>
      <c r="I944" s="39"/>
    </row>
    <row r="945" ht="15.75" customHeight="1">
      <c r="A945" s="39"/>
      <c r="B945" s="39"/>
      <c r="C945" s="39"/>
      <c r="D945" s="39"/>
      <c r="E945" s="39"/>
      <c r="F945" s="39"/>
      <c r="G945" s="39"/>
      <c r="H945" s="39"/>
      <c r="I945" s="39"/>
    </row>
    <row r="946" ht="15.75" customHeight="1">
      <c r="A946" s="39"/>
      <c r="B946" s="39"/>
      <c r="C946" s="39"/>
      <c r="D946" s="39"/>
      <c r="E946" s="39"/>
      <c r="F946" s="39"/>
      <c r="G946" s="39"/>
      <c r="H946" s="39"/>
      <c r="I946" s="39"/>
    </row>
    <row r="947" ht="15.75" customHeight="1">
      <c r="A947" s="39"/>
      <c r="B947" s="39"/>
      <c r="C947" s="39"/>
      <c r="D947" s="39"/>
      <c r="E947" s="39"/>
      <c r="F947" s="39"/>
      <c r="G947" s="39"/>
      <c r="H947" s="39"/>
      <c r="I947" s="39"/>
    </row>
    <row r="948" ht="15.75" customHeight="1">
      <c r="A948" s="39"/>
      <c r="B948" s="39"/>
      <c r="C948" s="39"/>
      <c r="D948" s="39"/>
      <c r="E948" s="39"/>
      <c r="F948" s="39"/>
      <c r="G948" s="39"/>
      <c r="H948" s="39"/>
      <c r="I948" s="39"/>
    </row>
    <row r="949" ht="15.75" customHeight="1">
      <c r="A949" s="39"/>
      <c r="B949" s="39"/>
      <c r="C949" s="39"/>
      <c r="D949" s="39"/>
      <c r="E949" s="39"/>
      <c r="F949" s="39"/>
      <c r="G949" s="39"/>
      <c r="H949" s="39"/>
      <c r="I949" s="39"/>
    </row>
    <row r="950" ht="15.75" customHeight="1">
      <c r="A950" s="39"/>
      <c r="B950" s="39"/>
      <c r="C950" s="39"/>
      <c r="D950" s="39"/>
      <c r="E950" s="39"/>
      <c r="F950" s="39"/>
      <c r="G950" s="39"/>
      <c r="H950" s="39"/>
      <c r="I950" s="39"/>
    </row>
    <row r="951" ht="15.75" customHeight="1">
      <c r="A951" s="39"/>
      <c r="B951" s="39"/>
      <c r="C951" s="39"/>
      <c r="D951" s="39"/>
      <c r="E951" s="39"/>
      <c r="F951" s="39"/>
      <c r="G951" s="39"/>
      <c r="H951" s="39"/>
      <c r="I951" s="39"/>
    </row>
    <row r="952" ht="15.75" customHeight="1">
      <c r="A952" s="39"/>
      <c r="B952" s="39"/>
      <c r="C952" s="39"/>
      <c r="D952" s="39"/>
      <c r="E952" s="39"/>
      <c r="F952" s="39"/>
      <c r="G952" s="39"/>
      <c r="H952" s="39"/>
      <c r="I952" s="39"/>
    </row>
    <row r="953" ht="15.75" customHeight="1">
      <c r="A953" s="39"/>
      <c r="B953" s="39"/>
      <c r="C953" s="39"/>
      <c r="D953" s="39"/>
      <c r="E953" s="39"/>
      <c r="F953" s="39"/>
      <c r="G953" s="39"/>
      <c r="H953" s="39"/>
      <c r="I953" s="39"/>
    </row>
    <row r="954" ht="15.75" customHeight="1">
      <c r="A954" s="39"/>
      <c r="B954" s="39"/>
      <c r="C954" s="39"/>
      <c r="D954" s="39"/>
      <c r="E954" s="39"/>
      <c r="F954" s="39"/>
      <c r="G954" s="39"/>
      <c r="H954" s="39"/>
      <c r="I954" s="39"/>
    </row>
    <row r="955" ht="15.75" customHeight="1">
      <c r="A955" s="39"/>
      <c r="B955" s="39"/>
      <c r="C955" s="39"/>
      <c r="D955" s="39"/>
      <c r="E955" s="39"/>
      <c r="F955" s="39"/>
      <c r="G955" s="39"/>
      <c r="H955" s="39"/>
      <c r="I955" s="39"/>
    </row>
    <row r="956" ht="15.75" customHeight="1">
      <c r="A956" s="39"/>
      <c r="B956" s="39"/>
      <c r="C956" s="39"/>
      <c r="D956" s="39"/>
      <c r="E956" s="39"/>
      <c r="F956" s="39"/>
      <c r="G956" s="39"/>
      <c r="H956" s="39"/>
      <c r="I956" s="39"/>
    </row>
    <row r="957" ht="15.75" customHeight="1">
      <c r="A957" s="39"/>
      <c r="B957" s="39"/>
      <c r="C957" s="39"/>
      <c r="D957" s="39"/>
      <c r="E957" s="39"/>
      <c r="F957" s="39"/>
      <c r="G957" s="39"/>
      <c r="H957" s="39"/>
      <c r="I957" s="39"/>
    </row>
    <row r="958" ht="15.75" customHeight="1">
      <c r="A958" s="39"/>
      <c r="B958" s="39"/>
      <c r="C958" s="39"/>
      <c r="D958" s="39"/>
      <c r="E958" s="39"/>
      <c r="F958" s="39"/>
      <c r="G958" s="39"/>
      <c r="H958" s="39"/>
      <c r="I958" s="39"/>
    </row>
    <row r="959" ht="15.75" customHeight="1">
      <c r="A959" s="39"/>
      <c r="B959" s="39"/>
      <c r="C959" s="39"/>
      <c r="D959" s="39"/>
      <c r="E959" s="39"/>
      <c r="F959" s="39"/>
      <c r="G959" s="39"/>
      <c r="H959" s="39"/>
      <c r="I959" s="39"/>
    </row>
    <row r="960" ht="15.75" customHeight="1">
      <c r="A960" s="39"/>
      <c r="B960" s="39"/>
      <c r="C960" s="39"/>
      <c r="D960" s="39"/>
      <c r="E960" s="39"/>
      <c r="F960" s="39"/>
      <c r="G960" s="39"/>
      <c r="H960" s="39"/>
      <c r="I960" s="39"/>
    </row>
    <row r="961" ht="15.75" customHeight="1">
      <c r="A961" s="39"/>
      <c r="B961" s="39"/>
      <c r="C961" s="39"/>
      <c r="D961" s="39"/>
      <c r="E961" s="39"/>
      <c r="F961" s="39"/>
      <c r="G961" s="39"/>
      <c r="H961" s="39"/>
      <c r="I961" s="39"/>
    </row>
    <row r="962" ht="15.75" customHeight="1">
      <c r="A962" s="39"/>
      <c r="B962" s="39"/>
      <c r="C962" s="39"/>
      <c r="D962" s="39"/>
      <c r="E962" s="39"/>
      <c r="F962" s="39"/>
      <c r="G962" s="39"/>
      <c r="H962" s="39"/>
      <c r="I962" s="39"/>
    </row>
    <row r="963" ht="15.75" customHeight="1">
      <c r="A963" s="39"/>
      <c r="B963" s="39"/>
      <c r="C963" s="39"/>
      <c r="D963" s="39"/>
      <c r="E963" s="39"/>
      <c r="F963" s="39"/>
      <c r="G963" s="39"/>
      <c r="H963" s="39"/>
      <c r="I963" s="39"/>
    </row>
    <row r="964" ht="15.75" customHeight="1">
      <c r="A964" s="39"/>
      <c r="B964" s="39"/>
      <c r="C964" s="39"/>
      <c r="D964" s="39"/>
      <c r="E964" s="39"/>
      <c r="F964" s="39"/>
      <c r="G964" s="39"/>
      <c r="H964" s="39"/>
      <c r="I964" s="39"/>
    </row>
    <row r="965" ht="15.75" customHeight="1">
      <c r="A965" s="39"/>
      <c r="B965" s="39"/>
      <c r="C965" s="39"/>
      <c r="D965" s="39"/>
      <c r="E965" s="39"/>
      <c r="F965" s="39"/>
      <c r="G965" s="39"/>
      <c r="H965" s="39"/>
      <c r="I965" s="39"/>
    </row>
    <row r="966" ht="15.75" customHeight="1">
      <c r="A966" s="39"/>
      <c r="B966" s="39"/>
      <c r="C966" s="39"/>
      <c r="D966" s="39"/>
      <c r="E966" s="39"/>
      <c r="F966" s="39"/>
      <c r="G966" s="39"/>
      <c r="H966" s="39"/>
      <c r="I966" s="39"/>
    </row>
    <row r="967" ht="15.75" customHeight="1">
      <c r="A967" s="39"/>
      <c r="B967" s="39"/>
      <c r="C967" s="39"/>
      <c r="D967" s="39"/>
      <c r="E967" s="39"/>
      <c r="F967" s="39"/>
      <c r="G967" s="39"/>
      <c r="H967" s="39"/>
      <c r="I967" s="39"/>
    </row>
    <row r="968" ht="15.75" customHeight="1">
      <c r="A968" s="39"/>
      <c r="B968" s="39"/>
      <c r="C968" s="39"/>
      <c r="D968" s="39"/>
      <c r="E968" s="39"/>
      <c r="F968" s="39"/>
      <c r="G968" s="39"/>
      <c r="H968" s="39"/>
      <c r="I968" s="39"/>
    </row>
    <row r="969" ht="15.75" customHeight="1">
      <c r="A969" s="39"/>
      <c r="B969" s="39"/>
      <c r="C969" s="39"/>
      <c r="D969" s="39"/>
      <c r="E969" s="39"/>
      <c r="F969" s="39"/>
      <c r="G969" s="39"/>
      <c r="H969" s="39"/>
      <c r="I969" s="39"/>
    </row>
    <row r="970" ht="15.75" customHeight="1">
      <c r="A970" s="39"/>
      <c r="B970" s="39"/>
      <c r="C970" s="39"/>
      <c r="D970" s="39"/>
      <c r="E970" s="39"/>
      <c r="F970" s="39"/>
      <c r="G970" s="39"/>
      <c r="H970" s="39"/>
      <c r="I970" s="39"/>
    </row>
    <row r="971" ht="15.75" customHeight="1">
      <c r="A971" s="39"/>
      <c r="B971" s="39"/>
      <c r="C971" s="39"/>
      <c r="D971" s="39"/>
      <c r="E971" s="39"/>
      <c r="F971" s="39"/>
      <c r="G971" s="39"/>
      <c r="H971" s="39"/>
      <c r="I971" s="39"/>
    </row>
    <row r="972" ht="15.75" customHeight="1">
      <c r="A972" s="39"/>
      <c r="B972" s="39"/>
      <c r="C972" s="39"/>
      <c r="D972" s="39"/>
      <c r="E972" s="39"/>
      <c r="F972" s="39"/>
      <c r="G972" s="39"/>
      <c r="H972" s="39"/>
      <c r="I972" s="39"/>
    </row>
    <row r="973" ht="15.75" customHeight="1">
      <c r="A973" s="39"/>
      <c r="B973" s="39"/>
      <c r="C973" s="39"/>
      <c r="D973" s="39"/>
      <c r="E973" s="39"/>
      <c r="F973" s="39"/>
      <c r="G973" s="39"/>
      <c r="H973" s="39"/>
      <c r="I973" s="39"/>
    </row>
    <row r="974" ht="15.75" customHeight="1">
      <c r="A974" s="39"/>
      <c r="B974" s="39"/>
      <c r="C974" s="39"/>
      <c r="D974" s="39"/>
      <c r="E974" s="39"/>
      <c r="F974" s="39"/>
      <c r="G974" s="39"/>
      <c r="H974" s="39"/>
      <c r="I974" s="39"/>
    </row>
    <row r="975" ht="15.75" customHeight="1">
      <c r="A975" s="39"/>
      <c r="B975" s="39"/>
      <c r="C975" s="39"/>
      <c r="D975" s="39"/>
      <c r="E975" s="39"/>
      <c r="F975" s="39"/>
      <c r="G975" s="39"/>
      <c r="H975" s="39"/>
      <c r="I975" s="39"/>
    </row>
    <row r="976" ht="15.75" customHeight="1">
      <c r="A976" s="39"/>
      <c r="B976" s="39"/>
      <c r="C976" s="39"/>
      <c r="D976" s="39"/>
      <c r="E976" s="39"/>
      <c r="F976" s="39"/>
      <c r="G976" s="39"/>
      <c r="H976" s="39"/>
      <c r="I976" s="39"/>
    </row>
    <row r="977" ht="15.75" customHeight="1">
      <c r="A977" s="39"/>
      <c r="B977" s="39"/>
      <c r="C977" s="39"/>
      <c r="D977" s="39"/>
      <c r="E977" s="39"/>
      <c r="F977" s="39"/>
      <c r="G977" s="39"/>
      <c r="H977" s="39"/>
      <c r="I977" s="39"/>
    </row>
    <row r="978" ht="15.75" customHeight="1">
      <c r="A978" s="39"/>
      <c r="B978" s="39"/>
      <c r="C978" s="39"/>
      <c r="D978" s="39"/>
      <c r="E978" s="39"/>
      <c r="F978" s="39"/>
      <c r="G978" s="39"/>
      <c r="H978" s="39"/>
      <c r="I978" s="39"/>
    </row>
    <row r="979" ht="15.75" customHeight="1">
      <c r="A979" s="39"/>
      <c r="B979" s="39"/>
      <c r="C979" s="39"/>
      <c r="D979" s="39"/>
      <c r="E979" s="39"/>
      <c r="F979" s="39"/>
      <c r="G979" s="39"/>
      <c r="H979" s="39"/>
      <c r="I979" s="39"/>
    </row>
    <row r="980" ht="15.75" customHeight="1">
      <c r="A980" s="39"/>
      <c r="B980" s="39"/>
      <c r="C980" s="39"/>
      <c r="D980" s="39"/>
      <c r="E980" s="39"/>
      <c r="F980" s="39"/>
      <c r="G980" s="39"/>
      <c r="H980" s="39"/>
      <c r="I980" s="39"/>
    </row>
    <row r="981" ht="15.75" customHeight="1">
      <c r="A981" s="39"/>
      <c r="B981" s="39"/>
      <c r="C981" s="39"/>
      <c r="D981" s="39"/>
      <c r="E981" s="39"/>
      <c r="F981" s="39"/>
      <c r="G981" s="39"/>
      <c r="H981" s="39"/>
      <c r="I981" s="39"/>
    </row>
    <row r="982" ht="15.75" customHeight="1">
      <c r="A982" s="39"/>
      <c r="B982" s="39"/>
      <c r="C982" s="39"/>
      <c r="D982" s="39"/>
      <c r="E982" s="39"/>
      <c r="F982" s="39"/>
      <c r="G982" s="39"/>
      <c r="H982" s="39"/>
      <c r="I982" s="39"/>
    </row>
    <row r="983" ht="15.75" customHeight="1">
      <c r="A983" s="39"/>
      <c r="B983" s="39"/>
      <c r="C983" s="39"/>
      <c r="D983" s="39"/>
      <c r="E983" s="39"/>
      <c r="F983" s="39"/>
      <c r="G983" s="39"/>
      <c r="H983" s="39"/>
      <c r="I983" s="39"/>
    </row>
    <row r="984" ht="15.75" customHeight="1">
      <c r="A984" s="39"/>
      <c r="B984" s="39"/>
      <c r="C984" s="39"/>
      <c r="D984" s="39"/>
      <c r="E984" s="39"/>
      <c r="F984" s="39"/>
      <c r="G984" s="39"/>
      <c r="H984" s="39"/>
      <c r="I984" s="39"/>
    </row>
    <row r="985" ht="15.75" customHeight="1">
      <c r="A985" s="39"/>
      <c r="B985" s="39"/>
      <c r="C985" s="39"/>
      <c r="D985" s="39"/>
      <c r="E985" s="39"/>
      <c r="F985" s="39"/>
      <c r="G985" s="39"/>
      <c r="H985" s="39"/>
      <c r="I985" s="39"/>
    </row>
    <row r="986" ht="15.75" customHeight="1">
      <c r="A986" s="39"/>
      <c r="B986" s="39"/>
      <c r="C986" s="39"/>
      <c r="D986" s="39"/>
      <c r="E986" s="39"/>
      <c r="F986" s="39"/>
      <c r="G986" s="39"/>
      <c r="H986" s="39"/>
      <c r="I986" s="39"/>
    </row>
    <row r="987" ht="15.75" customHeight="1">
      <c r="A987" s="39"/>
      <c r="B987" s="39"/>
      <c r="C987" s="39"/>
      <c r="D987" s="39"/>
      <c r="E987" s="39"/>
      <c r="F987" s="39"/>
      <c r="G987" s="39"/>
      <c r="H987" s="39"/>
      <c r="I987" s="39"/>
    </row>
    <row r="988" ht="15.75" customHeight="1">
      <c r="A988" s="39"/>
      <c r="B988" s="39"/>
      <c r="C988" s="39"/>
      <c r="D988" s="39"/>
      <c r="E988" s="39"/>
      <c r="F988" s="39"/>
      <c r="G988" s="39"/>
      <c r="H988" s="39"/>
      <c r="I988" s="39"/>
    </row>
    <row r="989" ht="15.75" customHeight="1">
      <c r="A989" s="39"/>
      <c r="B989" s="39"/>
      <c r="C989" s="39"/>
      <c r="D989" s="39"/>
      <c r="E989" s="39"/>
      <c r="F989" s="39"/>
      <c r="G989" s="39"/>
      <c r="H989" s="39"/>
      <c r="I989" s="39"/>
    </row>
    <row r="990" ht="15.75" customHeight="1">
      <c r="A990" s="39"/>
      <c r="B990" s="39"/>
      <c r="C990" s="39"/>
      <c r="D990" s="39"/>
      <c r="E990" s="39"/>
      <c r="F990" s="39"/>
      <c r="G990" s="39"/>
      <c r="H990" s="39"/>
      <c r="I990" s="39"/>
    </row>
    <row r="991" ht="15.75" customHeight="1">
      <c r="A991" s="39"/>
      <c r="B991" s="39"/>
      <c r="C991" s="39"/>
      <c r="D991" s="39"/>
      <c r="E991" s="39"/>
      <c r="F991" s="39"/>
      <c r="G991" s="39"/>
      <c r="H991" s="39"/>
      <c r="I991" s="39"/>
    </row>
    <row r="992" ht="15.75" customHeight="1">
      <c r="A992" s="39"/>
      <c r="B992" s="39"/>
      <c r="C992" s="39"/>
      <c r="D992" s="39"/>
      <c r="E992" s="39"/>
      <c r="F992" s="39"/>
      <c r="G992" s="39"/>
      <c r="H992" s="39"/>
      <c r="I992" s="39"/>
    </row>
    <row r="993" ht="15.75" customHeight="1">
      <c r="A993" s="39"/>
      <c r="B993" s="39"/>
      <c r="C993" s="39"/>
      <c r="D993" s="39"/>
      <c r="E993" s="39"/>
      <c r="F993" s="39"/>
      <c r="G993" s="39"/>
      <c r="H993" s="39"/>
      <c r="I993" s="39"/>
    </row>
    <row r="994" ht="15.75" customHeight="1">
      <c r="A994" s="39"/>
      <c r="B994" s="39"/>
      <c r="C994" s="39"/>
      <c r="D994" s="39"/>
      <c r="E994" s="39"/>
      <c r="F994" s="39"/>
      <c r="G994" s="39"/>
      <c r="H994" s="39"/>
      <c r="I994" s="39"/>
    </row>
    <row r="995" ht="15.75" customHeight="1">
      <c r="A995" s="39"/>
      <c r="B995" s="39"/>
      <c r="C995" s="39"/>
      <c r="D995" s="39"/>
      <c r="E995" s="39"/>
      <c r="F995" s="39"/>
      <c r="G995" s="39"/>
      <c r="H995" s="39"/>
      <c r="I995" s="39"/>
    </row>
    <row r="996" ht="15.75" customHeight="1">
      <c r="A996" s="39"/>
      <c r="B996" s="39"/>
      <c r="C996" s="39"/>
      <c r="D996" s="39"/>
      <c r="E996" s="39"/>
      <c r="F996" s="39"/>
      <c r="G996" s="39"/>
      <c r="H996" s="39"/>
      <c r="I996" s="39"/>
    </row>
    <row r="997" ht="15.75" customHeight="1">
      <c r="A997" s="39"/>
      <c r="B997" s="39"/>
      <c r="C997" s="39"/>
      <c r="D997" s="39"/>
      <c r="E997" s="39"/>
      <c r="F997" s="39"/>
      <c r="G997" s="39"/>
      <c r="H997" s="39"/>
      <c r="I997" s="39"/>
    </row>
    <row r="998" ht="15.75" customHeight="1">
      <c r="A998" s="39"/>
      <c r="B998" s="39"/>
      <c r="C998" s="39"/>
      <c r="D998" s="39"/>
      <c r="E998" s="39"/>
      <c r="F998" s="39"/>
      <c r="G998" s="39"/>
      <c r="H998" s="39"/>
      <c r="I998" s="39"/>
    </row>
    <row r="999" ht="15.75" customHeight="1">
      <c r="A999" s="77">
        <v>43443.0</v>
      </c>
      <c r="B999" s="39" t="s">
        <v>1639</v>
      </c>
      <c r="C999" s="39" t="s">
        <v>1640</v>
      </c>
      <c r="D999" s="39" t="s">
        <v>1641</v>
      </c>
      <c r="E999" s="39" t="s">
        <v>1642</v>
      </c>
      <c r="F999" s="39"/>
      <c r="G999" s="39" t="s">
        <v>1301</v>
      </c>
      <c r="H999" s="39"/>
      <c r="I999" s="39"/>
    </row>
    <row r="1000" ht="15.75" customHeight="1">
      <c r="A1000" s="77">
        <v>43443.0</v>
      </c>
      <c r="B1000" s="39" t="s">
        <v>1643</v>
      </c>
      <c r="C1000" s="39" t="s">
        <v>1644</v>
      </c>
      <c r="D1000" s="39" t="s">
        <v>1645</v>
      </c>
      <c r="E1000" s="39" t="s">
        <v>1646</v>
      </c>
      <c r="F1000" s="39"/>
      <c r="G1000" s="39" t="s">
        <v>1301</v>
      </c>
      <c r="H1000" s="39"/>
      <c r="I1000" s="39"/>
    </row>
    <row r="1001" ht="15.75" customHeight="1">
      <c r="A1001" s="77">
        <v>43443.0</v>
      </c>
      <c r="B1001" s="39" t="s">
        <v>1647</v>
      </c>
      <c r="C1001" s="39" t="s">
        <v>1648</v>
      </c>
      <c r="D1001" s="39" t="s">
        <v>1649</v>
      </c>
      <c r="E1001" s="39" t="s">
        <v>1650</v>
      </c>
      <c r="F1001" s="39"/>
      <c r="G1001" s="39" t="s">
        <v>1301</v>
      </c>
      <c r="H1001" s="39"/>
      <c r="I1001" s="39"/>
    </row>
    <row r="1002" ht="15.75" customHeight="1">
      <c r="A1002" s="39"/>
      <c r="B1002" s="39"/>
      <c r="C1002" s="39"/>
      <c r="D1002" s="39"/>
      <c r="E1002" s="39"/>
      <c r="F1002" s="39"/>
      <c r="G1002" s="39"/>
      <c r="H1002" s="39"/>
      <c r="I1002" s="39"/>
    </row>
    <row r="1003" ht="15.75" customHeight="1">
      <c r="A1003" s="39"/>
      <c r="B1003" s="39"/>
      <c r="C1003" s="39"/>
      <c r="D1003" s="39"/>
      <c r="E1003" s="39"/>
      <c r="F1003" s="39"/>
      <c r="G1003" s="39"/>
      <c r="H1003" s="39"/>
      <c r="I1003" s="39"/>
    </row>
    <row r="1004" ht="15.75" customHeight="1">
      <c r="A1004" s="39"/>
      <c r="B1004" s="39"/>
      <c r="C1004" s="39"/>
      <c r="D1004" s="39"/>
      <c r="E1004" s="39"/>
      <c r="F1004" s="39"/>
      <c r="G1004" s="39"/>
      <c r="H1004" s="39"/>
      <c r="I1004" s="39"/>
    </row>
    <row r="1005" ht="15.75" customHeight="1">
      <c r="A1005" s="39"/>
      <c r="B1005" s="39"/>
      <c r="C1005" s="39"/>
      <c r="D1005" s="39"/>
      <c r="E1005" s="39"/>
      <c r="F1005" s="39"/>
      <c r="G1005" s="39"/>
      <c r="H1005" s="39"/>
      <c r="I1005" s="39"/>
    </row>
    <row r="1006" ht="15.75" customHeight="1">
      <c r="A1006" s="39"/>
      <c r="B1006" s="39"/>
      <c r="C1006" s="39"/>
      <c r="D1006" s="39"/>
      <c r="E1006" s="39"/>
      <c r="F1006" s="39"/>
      <c r="G1006" s="39"/>
      <c r="H1006" s="39"/>
      <c r="I1006" s="39"/>
    </row>
    <row r="1007" ht="15.75" customHeight="1">
      <c r="A1007" s="39"/>
      <c r="B1007" s="39"/>
      <c r="C1007" s="39"/>
      <c r="D1007" s="39"/>
      <c r="E1007" s="39"/>
      <c r="F1007" s="39"/>
      <c r="G1007" s="39"/>
      <c r="H1007" s="39"/>
      <c r="I1007" s="39"/>
    </row>
    <row r="1008" ht="15.75" customHeight="1">
      <c r="A1008" s="39"/>
      <c r="B1008" s="39"/>
      <c r="C1008" s="39"/>
      <c r="D1008" s="39"/>
      <c r="E1008" s="39"/>
      <c r="F1008" s="39"/>
      <c r="G1008" s="39"/>
      <c r="H1008" s="39"/>
      <c r="I1008" s="39"/>
    </row>
    <row r="1009" ht="15.75" customHeight="1">
      <c r="A1009" s="39"/>
      <c r="B1009" s="39"/>
      <c r="C1009" s="39"/>
      <c r="D1009" s="39"/>
      <c r="E1009" s="39"/>
      <c r="F1009" s="39"/>
      <c r="G1009" s="39"/>
      <c r="H1009" s="39"/>
      <c r="I1009" s="39"/>
    </row>
    <row r="1010" ht="15.75" customHeight="1">
      <c r="A1010" s="39"/>
      <c r="B1010" s="39"/>
      <c r="C1010" s="39"/>
      <c r="D1010" s="39"/>
      <c r="E1010" s="39"/>
      <c r="F1010" s="39"/>
      <c r="G1010" s="39"/>
      <c r="H1010" s="39"/>
      <c r="I1010" s="39"/>
    </row>
    <row r="1011" ht="15.75" customHeight="1">
      <c r="A1011" s="39"/>
      <c r="B1011" s="39"/>
      <c r="C1011" s="39"/>
      <c r="D1011" s="39"/>
      <c r="E1011" s="39"/>
      <c r="F1011" s="39"/>
      <c r="G1011" s="39"/>
      <c r="H1011" s="39"/>
      <c r="I1011" s="39"/>
    </row>
    <row r="1012" ht="15.75" customHeight="1">
      <c r="A1012" s="39"/>
      <c r="B1012" s="39"/>
      <c r="C1012" s="39"/>
      <c r="D1012" s="39"/>
      <c r="E1012" s="39"/>
      <c r="F1012" s="39"/>
      <c r="G1012" s="39"/>
      <c r="H1012" s="39"/>
      <c r="I1012" s="39"/>
    </row>
    <row r="1013" ht="15.75" customHeight="1">
      <c r="A1013" s="39"/>
      <c r="B1013" s="39"/>
      <c r="C1013" s="39"/>
      <c r="D1013" s="39"/>
      <c r="E1013" s="39"/>
      <c r="F1013" s="39"/>
      <c r="G1013" s="39"/>
      <c r="H1013" s="39"/>
      <c r="I1013" s="39"/>
    </row>
    <row r="1014" ht="15.75" customHeight="1">
      <c r="A1014" s="39"/>
      <c r="B1014" s="39"/>
      <c r="C1014" s="39"/>
      <c r="D1014" s="39"/>
      <c r="E1014" s="39"/>
      <c r="F1014" s="39"/>
      <c r="G1014" s="39"/>
      <c r="H1014" s="39"/>
      <c r="I1014" s="39"/>
    </row>
    <row r="1015" ht="15.75" customHeight="1">
      <c r="A1015" s="39"/>
      <c r="B1015" s="39"/>
      <c r="C1015" s="39"/>
      <c r="D1015" s="39"/>
      <c r="E1015" s="39"/>
      <c r="F1015" s="39"/>
      <c r="G1015" s="39"/>
      <c r="H1015" s="39"/>
      <c r="I1015" s="39"/>
    </row>
    <row r="1016" ht="15.75" customHeight="1">
      <c r="A1016" s="39"/>
      <c r="B1016" s="39"/>
      <c r="C1016" s="39"/>
      <c r="D1016" s="39"/>
      <c r="E1016" s="39"/>
      <c r="F1016" s="39"/>
      <c r="G1016" s="39"/>
      <c r="H1016" s="39"/>
      <c r="I1016" s="39"/>
    </row>
    <row r="1017" ht="15.75" customHeight="1">
      <c r="A1017" s="39"/>
      <c r="B1017" s="39"/>
      <c r="C1017" s="39"/>
      <c r="D1017" s="39"/>
      <c r="E1017" s="39"/>
      <c r="F1017" s="39"/>
      <c r="G1017" s="39"/>
      <c r="H1017" s="39"/>
      <c r="I1017" s="39"/>
    </row>
    <row r="1018" ht="15.75" customHeight="1">
      <c r="A1018" s="39"/>
      <c r="B1018" s="39"/>
      <c r="C1018" s="39"/>
      <c r="D1018" s="39"/>
      <c r="E1018" s="39"/>
      <c r="F1018" s="39"/>
      <c r="G1018" s="39"/>
      <c r="H1018" s="39"/>
      <c r="I1018" s="39"/>
    </row>
    <row r="1019" ht="15.75" customHeight="1">
      <c r="A1019" s="39"/>
      <c r="B1019" s="39"/>
      <c r="C1019" s="39"/>
      <c r="D1019" s="39"/>
      <c r="E1019" s="39"/>
      <c r="F1019" s="39"/>
      <c r="G1019" s="39"/>
      <c r="H1019" s="39"/>
      <c r="I1019" s="39"/>
    </row>
    <row r="1020" ht="15.75" customHeight="1">
      <c r="A1020" s="39"/>
      <c r="B1020" s="39"/>
      <c r="C1020" s="39"/>
      <c r="D1020" s="39"/>
      <c r="E1020" s="39"/>
      <c r="F1020" s="39"/>
      <c r="G1020" s="39"/>
      <c r="H1020" s="39"/>
      <c r="I1020" s="39"/>
    </row>
    <row r="1021" ht="15.75" customHeight="1">
      <c r="A1021" s="39"/>
      <c r="B1021" s="39"/>
      <c r="C1021" s="39"/>
      <c r="D1021" s="39"/>
      <c r="E1021" s="39"/>
      <c r="F1021" s="39"/>
      <c r="G1021" s="39"/>
      <c r="H1021" s="39"/>
      <c r="I1021" s="39"/>
    </row>
    <row r="1022" ht="15.75" customHeight="1">
      <c r="A1022" s="39"/>
      <c r="B1022" s="39"/>
      <c r="C1022" s="39"/>
      <c r="D1022" s="39"/>
      <c r="E1022" s="39"/>
      <c r="F1022" s="39"/>
      <c r="G1022" s="39"/>
      <c r="H1022" s="39"/>
      <c r="I1022" s="39"/>
    </row>
    <row r="1023" ht="15.75" customHeight="1">
      <c r="A1023" s="39"/>
      <c r="B1023" s="39"/>
      <c r="C1023" s="39"/>
      <c r="D1023" s="39"/>
      <c r="E1023" s="39"/>
      <c r="F1023" s="39"/>
      <c r="G1023" s="39"/>
      <c r="H1023" s="39"/>
      <c r="I1023" s="39"/>
    </row>
    <row r="1024" ht="15.75" customHeight="1">
      <c r="A1024" s="39"/>
      <c r="B1024" s="39"/>
      <c r="C1024" s="39"/>
      <c r="D1024" s="39"/>
      <c r="E1024" s="39"/>
      <c r="F1024" s="39"/>
      <c r="G1024" s="39"/>
      <c r="H1024" s="39"/>
      <c r="I1024" s="39"/>
    </row>
    <row r="1025" ht="15.75" customHeight="1">
      <c r="A1025" s="39"/>
      <c r="B1025" s="39"/>
      <c r="C1025" s="39"/>
      <c r="D1025" s="39"/>
      <c r="E1025" s="39"/>
      <c r="F1025" s="39"/>
      <c r="G1025" s="39"/>
      <c r="H1025" s="39"/>
      <c r="I1025" s="39"/>
    </row>
    <row r="1026" ht="15.75" customHeight="1">
      <c r="A1026" s="39"/>
      <c r="B1026" s="39"/>
      <c r="C1026" s="39"/>
      <c r="D1026" s="39"/>
      <c r="E1026" s="39"/>
      <c r="F1026" s="39"/>
      <c r="G1026" s="39"/>
      <c r="H1026" s="39"/>
      <c r="I1026" s="39"/>
    </row>
    <row r="1027" ht="15.75" customHeight="1">
      <c r="A1027" s="39"/>
      <c r="B1027" s="39"/>
      <c r="C1027" s="39"/>
      <c r="D1027" s="39"/>
      <c r="E1027" s="39"/>
      <c r="F1027" s="39"/>
      <c r="G1027" s="39"/>
      <c r="H1027" s="39"/>
      <c r="I1027" s="39"/>
    </row>
    <row r="1028" ht="15.75" customHeight="1">
      <c r="A1028" s="39"/>
      <c r="B1028" s="39"/>
      <c r="C1028" s="39"/>
      <c r="D1028" s="39"/>
      <c r="E1028" s="39"/>
      <c r="F1028" s="39"/>
      <c r="G1028" s="39"/>
      <c r="H1028" s="39"/>
      <c r="I1028" s="39"/>
    </row>
    <row r="1029" ht="15.75" customHeight="1">
      <c r="A1029" s="39"/>
      <c r="B1029" s="39"/>
      <c r="C1029" s="39"/>
      <c r="D1029" s="39"/>
      <c r="E1029" s="39"/>
      <c r="F1029" s="39"/>
      <c r="G1029" s="39"/>
      <c r="H1029" s="39"/>
      <c r="I1029" s="39"/>
    </row>
    <row r="1030" ht="15.75" customHeight="1">
      <c r="A1030" s="39"/>
      <c r="B1030" s="39"/>
      <c r="C1030" s="39"/>
      <c r="D1030" s="39"/>
      <c r="E1030" s="39"/>
      <c r="F1030" s="39"/>
      <c r="G1030" s="39"/>
      <c r="H1030" s="39"/>
      <c r="I1030" s="39"/>
    </row>
    <row r="1031" ht="15.75" customHeight="1">
      <c r="A1031" s="39"/>
      <c r="B1031" s="39"/>
      <c r="C1031" s="39"/>
      <c r="D1031" s="39"/>
      <c r="E1031" s="39"/>
      <c r="F1031" s="39"/>
      <c r="G1031" s="39"/>
      <c r="H1031" s="39"/>
      <c r="I1031" s="39"/>
    </row>
    <row r="1032" ht="15.75" customHeight="1">
      <c r="A1032" s="39"/>
      <c r="B1032" s="39"/>
      <c r="C1032" s="39"/>
      <c r="D1032" s="39"/>
      <c r="E1032" s="39"/>
      <c r="F1032" s="39"/>
      <c r="G1032" s="39"/>
      <c r="H1032" s="39"/>
      <c r="I1032" s="39"/>
    </row>
    <row r="1033" ht="15.75" customHeight="1">
      <c r="A1033" s="39"/>
      <c r="B1033" s="39"/>
      <c r="C1033" s="39"/>
      <c r="D1033" s="39"/>
      <c r="E1033" s="39"/>
      <c r="F1033" s="39"/>
      <c r="G1033" s="39"/>
      <c r="H1033" s="39"/>
      <c r="I1033" s="39"/>
    </row>
    <row r="1034" ht="15.75" customHeight="1">
      <c r="A1034" s="39"/>
      <c r="B1034" s="39"/>
      <c r="C1034" s="39"/>
      <c r="D1034" s="39"/>
      <c r="E1034" s="39"/>
      <c r="F1034" s="39"/>
      <c r="G1034" s="39"/>
      <c r="H1034" s="39"/>
      <c r="I1034" s="39"/>
    </row>
    <row r="1035" ht="15.75" customHeight="1">
      <c r="A1035" s="39"/>
      <c r="B1035" s="39"/>
      <c r="C1035" s="39"/>
      <c r="D1035" s="39"/>
      <c r="E1035" s="39"/>
      <c r="F1035" s="39"/>
      <c r="G1035" s="39"/>
      <c r="H1035" s="39"/>
      <c r="I1035" s="39"/>
    </row>
    <row r="1036" ht="15.75" customHeight="1">
      <c r="A1036" s="39"/>
      <c r="B1036" s="39"/>
      <c r="C1036" s="39"/>
      <c r="D1036" s="39"/>
      <c r="E1036" s="39"/>
      <c r="F1036" s="39"/>
      <c r="G1036" s="39"/>
      <c r="H1036" s="39"/>
      <c r="I1036" s="39"/>
    </row>
    <row r="1037" ht="15.75" customHeight="1">
      <c r="A1037" s="39"/>
      <c r="B1037" s="39"/>
      <c r="C1037" s="39"/>
      <c r="D1037" s="39"/>
      <c r="E1037" s="39"/>
      <c r="F1037" s="39"/>
      <c r="G1037" s="39"/>
      <c r="H1037" s="39"/>
      <c r="I1037" s="39"/>
    </row>
    <row r="1038" ht="15.75" customHeight="1">
      <c r="A1038" s="39"/>
      <c r="B1038" s="39"/>
      <c r="C1038" s="39"/>
      <c r="D1038" s="39"/>
      <c r="E1038" s="39"/>
      <c r="F1038" s="39"/>
      <c r="G1038" s="39"/>
      <c r="H1038" s="39"/>
      <c r="I1038" s="39"/>
    </row>
    <row r="1039" ht="15.75" customHeight="1">
      <c r="A1039" s="39"/>
      <c r="B1039" s="39"/>
      <c r="C1039" s="39"/>
      <c r="D1039" s="39"/>
      <c r="E1039" s="39"/>
      <c r="F1039" s="39"/>
      <c r="G1039" s="39"/>
      <c r="H1039" s="39"/>
      <c r="I1039" s="39"/>
    </row>
    <row r="1040" ht="15.75" customHeight="1">
      <c r="A1040" s="39"/>
      <c r="B1040" s="39"/>
      <c r="C1040" s="39"/>
      <c r="D1040" s="39"/>
      <c r="E1040" s="39"/>
      <c r="F1040" s="39"/>
      <c r="G1040" s="39"/>
      <c r="H1040" s="39"/>
      <c r="I1040" s="39"/>
    </row>
    <row r="1041" ht="15.75" customHeight="1">
      <c r="A1041" s="39"/>
      <c r="B1041" s="39"/>
      <c r="C1041" s="39"/>
      <c r="D1041" s="39"/>
      <c r="E1041" s="39"/>
      <c r="F1041" s="39"/>
      <c r="G1041" s="39"/>
      <c r="H1041" s="39"/>
      <c r="I1041" s="39"/>
    </row>
    <row r="1042" ht="15.75" customHeight="1">
      <c r="A1042" s="39"/>
      <c r="B1042" s="39"/>
      <c r="C1042" s="39"/>
      <c r="D1042" s="39"/>
      <c r="E1042" s="39"/>
      <c r="F1042" s="39"/>
      <c r="G1042" s="39"/>
      <c r="H1042" s="39"/>
      <c r="I1042" s="39"/>
    </row>
    <row r="1043" ht="15.75" customHeight="1">
      <c r="A1043" s="39"/>
      <c r="B1043" s="39"/>
      <c r="C1043" s="39"/>
      <c r="D1043" s="39"/>
      <c r="E1043" s="39"/>
      <c r="F1043" s="39"/>
      <c r="G1043" s="39"/>
      <c r="H1043" s="39"/>
      <c r="I1043" s="39"/>
    </row>
    <row r="1044" ht="15.75" customHeight="1">
      <c r="A1044" s="39"/>
      <c r="B1044" s="39"/>
      <c r="C1044" s="39"/>
      <c r="D1044" s="39"/>
      <c r="E1044" s="39"/>
      <c r="F1044" s="39"/>
      <c r="G1044" s="39"/>
      <c r="H1044" s="39"/>
      <c r="I1044" s="39"/>
    </row>
    <row r="1045" ht="15.75" customHeight="1">
      <c r="A1045" s="39"/>
      <c r="B1045" s="39"/>
      <c r="C1045" s="39"/>
      <c r="D1045" s="39"/>
      <c r="E1045" s="39"/>
      <c r="F1045" s="39"/>
      <c r="G1045" s="39"/>
      <c r="H1045" s="39"/>
      <c r="I1045" s="39"/>
    </row>
    <row r="1046" ht="15.75" customHeight="1">
      <c r="A1046" s="39"/>
      <c r="B1046" s="39"/>
      <c r="C1046" s="39"/>
      <c r="D1046" s="39"/>
      <c r="E1046" s="39"/>
      <c r="F1046" s="39"/>
      <c r="G1046" s="39"/>
      <c r="H1046" s="39"/>
      <c r="I1046" s="39"/>
    </row>
    <row r="1047" ht="15.75" customHeight="1">
      <c r="A1047" s="39"/>
      <c r="B1047" s="39"/>
      <c r="C1047" s="39"/>
      <c r="D1047" s="39"/>
      <c r="E1047" s="39"/>
      <c r="F1047" s="39"/>
      <c r="G1047" s="39"/>
      <c r="H1047" s="39"/>
      <c r="I1047" s="39"/>
    </row>
    <row r="1048" ht="15.75" customHeight="1">
      <c r="A1048" s="39"/>
      <c r="B1048" s="39"/>
      <c r="C1048" s="39"/>
      <c r="D1048" s="39"/>
      <c r="E1048" s="39"/>
      <c r="F1048" s="39"/>
      <c r="G1048" s="39"/>
      <c r="H1048" s="39"/>
      <c r="I1048" s="39"/>
    </row>
    <row r="1049" ht="15.75" customHeight="1">
      <c r="A1049" s="39"/>
      <c r="B1049" s="39"/>
      <c r="C1049" s="39"/>
      <c r="D1049" s="39"/>
      <c r="E1049" s="39"/>
      <c r="F1049" s="39"/>
      <c r="G1049" s="39"/>
      <c r="H1049" s="39"/>
      <c r="I1049" s="39"/>
    </row>
    <row r="1050" ht="15.75" customHeight="1">
      <c r="A1050" s="39"/>
      <c r="B1050" s="39"/>
      <c r="C1050" s="39"/>
      <c r="D1050" s="39"/>
      <c r="E1050" s="39"/>
      <c r="F1050" s="39"/>
      <c r="G1050" s="39"/>
      <c r="H1050" s="39"/>
      <c r="I1050" s="39"/>
    </row>
    <row r="1051" ht="15.75" customHeight="1">
      <c r="A1051" s="39"/>
      <c r="B1051" s="39"/>
      <c r="C1051" s="39"/>
      <c r="D1051" s="39"/>
      <c r="E1051" s="39"/>
      <c r="F1051" s="39"/>
      <c r="G1051" s="39"/>
      <c r="H1051" s="39"/>
      <c r="I1051" s="39"/>
    </row>
    <row r="1052" ht="15.75" customHeight="1">
      <c r="A1052" s="39"/>
      <c r="B1052" s="39"/>
      <c r="C1052" s="39"/>
      <c r="D1052" s="39"/>
      <c r="E1052" s="39"/>
      <c r="F1052" s="39"/>
      <c r="G1052" s="39"/>
      <c r="H1052" s="39"/>
      <c r="I1052" s="39"/>
    </row>
    <row r="1053" ht="15.75" customHeight="1">
      <c r="A1053" s="39"/>
      <c r="B1053" s="39"/>
      <c r="C1053" s="39"/>
      <c r="D1053" s="39"/>
      <c r="E1053" s="39"/>
      <c r="F1053" s="39"/>
      <c r="G1053" s="39"/>
      <c r="H1053" s="39"/>
      <c r="I1053" s="39"/>
    </row>
    <row r="1054" ht="15.75" customHeight="1">
      <c r="A1054" s="39"/>
      <c r="B1054" s="39"/>
      <c r="C1054" s="39"/>
      <c r="D1054" s="39"/>
      <c r="E1054" s="39"/>
      <c r="F1054" s="39"/>
      <c r="G1054" s="39"/>
      <c r="H1054" s="39"/>
      <c r="I1054" s="39"/>
    </row>
    <row r="1055" ht="15.75" customHeight="1">
      <c r="A1055" s="39"/>
      <c r="B1055" s="39"/>
      <c r="C1055" s="39"/>
      <c r="D1055" s="39"/>
      <c r="E1055" s="39"/>
      <c r="F1055" s="39"/>
      <c r="G1055" s="39"/>
      <c r="H1055" s="39"/>
      <c r="I1055" s="39"/>
    </row>
    <row r="1056" ht="15.75" customHeight="1">
      <c r="A1056" s="39"/>
      <c r="B1056" s="39"/>
      <c r="C1056" s="39"/>
      <c r="D1056" s="39"/>
      <c r="E1056" s="39"/>
      <c r="F1056" s="39"/>
      <c r="G1056" s="39"/>
      <c r="H1056" s="39"/>
      <c r="I1056" s="39"/>
    </row>
    <row r="1057" ht="15.75" customHeight="1">
      <c r="A1057" s="39"/>
      <c r="B1057" s="39"/>
      <c r="C1057" s="39"/>
      <c r="D1057" s="39"/>
      <c r="E1057" s="39"/>
      <c r="F1057" s="39"/>
      <c r="G1057" s="39"/>
      <c r="H1057" s="39"/>
      <c r="I1057" s="39"/>
    </row>
    <row r="1058" ht="15.75" customHeight="1">
      <c r="A1058" s="39"/>
      <c r="B1058" s="39"/>
      <c r="C1058" s="39"/>
      <c r="D1058" s="39"/>
      <c r="E1058" s="39"/>
      <c r="F1058" s="39"/>
      <c r="G1058" s="39"/>
      <c r="H1058" s="39"/>
      <c r="I1058" s="39"/>
    </row>
    <row r="1059" ht="15.75" customHeight="1">
      <c r="A1059" s="39"/>
      <c r="B1059" s="39"/>
      <c r="C1059" s="39"/>
      <c r="D1059" s="39"/>
      <c r="E1059" s="39"/>
      <c r="F1059" s="39"/>
      <c r="G1059" s="39"/>
      <c r="H1059" s="39"/>
      <c r="I1059" s="39"/>
    </row>
    <row r="1060" ht="15.75" customHeight="1">
      <c r="A1060" s="39"/>
      <c r="B1060" s="39"/>
      <c r="C1060" s="39"/>
      <c r="D1060" s="39"/>
      <c r="E1060" s="39"/>
      <c r="F1060" s="39"/>
      <c r="G1060" s="39"/>
      <c r="H1060" s="39"/>
      <c r="I1060" s="39"/>
    </row>
    <row r="1061" ht="15.75" customHeight="1">
      <c r="A1061" s="39"/>
      <c r="B1061" s="39"/>
      <c r="C1061" s="39"/>
      <c r="D1061" s="39"/>
      <c r="E1061" s="39"/>
      <c r="F1061" s="39"/>
      <c r="G1061" s="39"/>
      <c r="H1061" s="39"/>
      <c r="I1061" s="39"/>
    </row>
    <row r="1062" ht="15.75" customHeight="1">
      <c r="A1062" s="39"/>
      <c r="B1062" s="39"/>
      <c r="C1062" s="39"/>
      <c r="D1062" s="39"/>
      <c r="E1062" s="39"/>
      <c r="F1062" s="39"/>
      <c r="G1062" s="39"/>
      <c r="H1062" s="39"/>
      <c r="I1062" s="39"/>
    </row>
    <row r="1063" ht="15.75" customHeight="1">
      <c r="A1063" s="39"/>
      <c r="B1063" s="39"/>
      <c r="C1063" s="39"/>
      <c r="D1063" s="39"/>
      <c r="E1063" s="39"/>
      <c r="F1063" s="39"/>
      <c r="G1063" s="39"/>
      <c r="H1063" s="39"/>
      <c r="I1063" s="39"/>
    </row>
    <row r="1064" ht="15.75" customHeight="1">
      <c r="A1064" s="39"/>
      <c r="B1064" s="39"/>
      <c r="C1064" s="39"/>
      <c r="D1064" s="39"/>
      <c r="E1064" s="39"/>
      <c r="F1064" s="39"/>
      <c r="G1064" s="39"/>
      <c r="H1064" s="39"/>
      <c r="I1064" s="39"/>
    </row>
    <row r="1065" ht="15.75" customHeight="1">
      <c r="A1065" s="39"/>
      <c r="B1065" s="39"/>
      <c r="C1065" s="39"/>
      <c r="D1065" s="39"/>
      <c r="E1065" s="39"/>
      <c r="F1065" s="39"/>
      <c r="G1065" s="39"/>
      <c r="H1065" s="39"/>
      <c r="I1065" s="39"/>
    </row>
    <row r="1066" ht="15.75" customHeight="1">
      <c r="A1066" s="39"/>
      <c r="B1066" s="39"/>
      <c r="C1066" s="39"/>
      <c r="D1066" s="39"/>
      <c r="E1066" s="39"/>
      <c r="F1066" s="39"/>
      <c r="G1066" s="39"/>
      <c r="H1066" s="39"/>
      <c r="I1066" s="39"/>
    </row>
    <row r="1067" ht="15.75" customHeight="1">
      <c r="A1067" s="39"/>
      <c r="B1067" s="39"/>
      <c r="C1067" s="39"/>
      <c r="D1067" s="39"/>
      <c r="E1067" s="39"/>
      <c r="F1067" s="39"/>
      <c r="G1067" s="39"/>
      <c r="H1067" s="39"/>
      <c r="I1067" s="39"/>
    </row>
    <row r="1068" ht="15.75" customHeight="1">
      <c r="A1068" s="39"/>
      <c r="B1068" s="39"/>
      <c r="C1068" s="39"/>
      <c r="D1068" s="39"/>
      <c r="E1068" s="39"/>
      <c r="F1068" s="39"/>
      <c r="G1068" s="39"/>
      <c r="H1068" s="39"/>
      <c r="I1068" s="39"/>
    </row>
    <row r="1069" ht="15.75" customHeight="1">
      <c r="A1069" s="39"/>
      <c r="B1069" s="39"/>
      <c r="C1069" s="39"/>
      <c r="D1069" s="39"/>
      <c r="E1069" s="39"/>
      <c r="F1069" s="39"/>
      <c r="G1069" s="39"/>
      <c r="H1069" s="39"/>
      <c r="I1069" s="39"/>
    </row>
    <row r="1070" ht="15.75" customHeight="1">
      <c r="A1070" s="39"/>
      <c r="B1070" s="39"/>
      <c r="C1070" s="39"/>
      <c r="D1070" s="39"/>
      <c r="E1070" s="39"/>
      <c r="F1070" s="39"/>
      <c r="G1070" s="39"/>
      <c r="H1070" s="39"/>
      <c r="I1070" s="39"/>
    </row>
    <row r="1071" ht="15.75" customHeight="1">
      <c r="A1071" s="39"/>
      <c r="B1071" s="39"/>
      <c r="C1071" s="39"/>
      <c r="D1071" s="39"/>
      <c r="E1071" s="39"/>
      <c r="F1071" s="39"/>
      <c r="G1071" s="39"/>
      <c r="H1071" s="39"/>
      <c r="I1071" s="39"/>
    </row>
    <row r="1072" ht="15.75" customHeight="1">
      <c r="A1072" s="39"/>
      <c r="B1072" s="39"/>
      <c r="C1072" s="39"/>
      <c r="D1072" s="39"/>
      <c r="E1072" s="39"/>
      <c r="F1072" s="39"/>
      <c r="G1072" s="39"/>
      <c r="H1072" s="39"/>
      <c r="I1072" s="39"/>
    </row>
    <row r="1073" ht="15.75" customHeight="1">
      <c r="A1073" s="39"/>
      <c r="B1073" s="39"/>
      <c r="C1073" s="39"/>
      <c r="D1073" s="39"/>
      <c r="E1073" s="39"/>
      <c r="F1073" s="39"/>
      <c r="G1073" s="39"/>
      <c r="H1073" s="39"/>
      <c r="I1073" s="39"/>
    </row>
    <row r="1074" ht="15.75" customHeight="1">
      <c r="A1074" s="39"/>
      <c r="B1074" s="39"/>
      <c r="C1074" s="39"/>
      <c r="D1074" s="39"/>
      <c r="E1074" s="39"/>
      <c r="F1074" s="39"/>
      <c r="G1074" s="39"/>
      <c r="H1074" s="39"/>
      <c r="I1074" s="39"/>
    </row>
    <row r="1075" ht="15.75" customHeight="1">
      <c r="A1075" s="39"/>
      <c r="B1075" s="39"/>
      <c r="C1075" s="39"/>
      <c r="D1075" s="39"/>
      <c r="E1075" s="39"/>
      <c r="F1075" s="39"/>
      <c r="G1075" s="39"/>
      <c r="H1075" s="39"/>
      <c r="I1075" s="39"/>
    </row>
    <row r="1076" ht="15.75" customHeight="1">
      <c r="A1076" s="39"/>
      <c r="B1076" s="39"/>
      <c r="C1076" s="39"/>
      <c r="D1076" s="39"/>
      <c r="E1076" s="39"/>
      <c r="F1076" s="39"/>
      <c r="G1076" s="39"/>
      <c r="H1076" s="39"/>
      <c r="I1076" s="39"/>
    </row>
    <row r="1077" ht="15.75" customHeight="1">
      <c r="A1077" s="39"/>
      <c r="B1077" s="39"/>
      <c r="C1077" s="39"/>
      <c r="D1077" s="39"/>
      <c r="E1077" s="39"/>
      <c r="F1077" s="39"/>
      <c r="G1077" s="39"/>
      <c r="H1077" s="39"/>
      <c r="I1077" s="39"/>
    </row>
    <row r="1078" ht="15.75" customHeight="1">
      <c r="A1078" s="39"/>
      <c r="B1078" s="39"/>
      <c r="C1078" s="39"/>
      <c r="D1078" s="39"/>
      <c r="E1078" s="39"/>
      <c r="F1078" s="39"/>
      <c r="G1078" s="39"/>
      <c r="H1078" s="39"/>
      <c r="I1078" s="39"/>
    </row>
    <row r="1079" ht="15.75" customHeight="1">
      <c r="A1079" s="39"/>
      <c r="B1079" s="39"/>
      <c r="C1079" s="39"/>
      <c r="D1079" s="39"/>
      <c r="E1079" s="39"/>
      <c r="F1079" s="39"/>
      <c r="G1079" s="39"/>
      <c r="H1079" s="39"/>
      <c r="I1079" s="39"/>
    </row>
    <row r="1080" ht="15.75" customHeight="1">
      <c r="A1080" s="39"/>
      <c r="B1080" s="39"/>
      <c r="C1080" s="39"/>
      <c r="D1080" s="39"/>
      <c r="E1080" s="39"/>
      <c r="F1080" s="39"/>
      <c r="G1080" s="39"/>
      <c r="H1080" s="39"/>
      <c r="I1080" s="39"/>
    </row>
    <row r="1081" ht="15.75" customHeight="1">
      <c r="A1081" s="39"/>
      <c r="B1081" s="39"/>
      <c r="C1081" s="39"/>
      <c r="D1081" s="39"/>
      <c r="E1081" s="39"/>
      <c r="F1081" s="39"/>
      <c r="G1081" s="39"/>
      <c r="H1081" s="39"/>
      <c r="I1081" s="39"/>
    </row>
    <row r="1082" ht="15.75" customHeight="1">
      <c r="A1082" s="39"/>
      <c r="B1082" s="39"/>
      <c r="C1082" s="39"/>
      <c r="D1082" s="39"/>
      <c r="E1082" s="39"/>
      <c r="F1082" s="39"/>
      <c r="G1082" s="39"/>
      <c r="H1082" s="39"/>
      <c r="I1082" s="39"/>
    </row>
    <row r="1083" ht="15.75" customHeight="1">
      <c r="A1083" s="39"/>
      <c r="B1083" s="39"/>
      <c r="C1083" s="39"/>
      <c r="D1083" s="39"/>
      <c r="E1083" s="39"/>
      <c r="F1083" s="39"/>
      <c r="G1083" s="39"/>
      <c r="H1083" s="39"/>
      <c r="I1083" s="39"/>
    </row>
    <row r="1084" ht="15.75" customHeight="1">
      <c r="A1084" s="39"/>
      <c r="B1084" s="39"/>
      <c r="C1084" s="39"/>
      <c r="D1084" s="39"/>
      <c r="E1084" s="39"/>
      <c r="F1084" s="39"/>
      <c r="G1084" s="39"/>
      <c r="H1084" s="39"/>
      <c r="I1084" s="39"/>
    </row>
    <row r="1085" ht="15.75" customHeight="1">
      <c r="A1085" s="39"/>
      <c r="B1085" s="39"/>
      <c r="C1085" s="39"/>
      <c r="D1085" s="39"/>
      <c r="E1085" s="39"/>
      <c r="F1085" s="39"/>
      <c r="G1085" s="39"/>
      <c r="H1085" s="39"/>
      <c r="I1085" s="39"/>
    </row>
    <row r="1086" ht="15.75" customHeight="1">
      <c r="A1086" s="39"/>
      <c r="B1086" s="39"/>
      <c r="C1086" s="39"/>
      <c r="D1086" s="39"/>
      <c r="E1086" s="39"/>
      <c r="F1086" s="39"/>
      <c r="G1086" s="39"/>
      <c r="H1086" s="39"/>
      <c r="I1086" s="39"/>
    </row>
    <row r="1087" ht="15.75" customHeight="1">
      <c r="A1087" s="39"/>
      <c r="B1087" s="39"/>
      <c r="C1087" s="39"/>
      <c r="D1087" s="39"/>
      <c r="E1087" s="39"/>
      <c r="F1087" s="39"/>
      <c r="G1087" s="39"/>
      <c r="H1087" s="39"/>
      <c r="I1087" s="39"/>
    </row>
    <row r="1088" ht="15.75" customHeight="1">
      <c r="A1088" s="39"/>
      <c r="B1088" s="39"/>
      <c r="C1088" s="39"/>
      <c r="D1088" s="39"/>
      <c r="E1088" s="39"/>
      <c r="F1088" s="39"/>
      <c r="G1088" s="39"/>
      <c r="H1088" s="39"/>
      <c r="I1088" s="39"/>
    </row>
    <row r="1089" ht="15.75" customHeight="1">
      <c r="A1089" s="39"/>
      <c r="B1089" s="39"/>
      <c r="C1089" s="39"/>
      <c r="D1089" s="39"/>
      <c r="E1089" s="39"/>
      <c r="F1089" s="39"/>
      <c r="G1089" s="39"/>
      <c r="H1089" s="39"/>
      <c r="I1089" s="39"/>
    </row>
    <row r="1090" ht="15.75" customHeight="1">
      <c r="A1090" s="39"/>
      <c r="B1090" s="39"/>
      <c r="C1090" s="39"/>
      <c r="D1090" s="39"/>
      <c r="E1090" s="39"/>
      <c r="F1090" s="39"/>
      <c r="G1090" s="39"/>
      <c r="H1090" s="39"/>
      <c r="I1090" s="39"/>
    </row>
    <row r="1091" ht="15.75" customHeight="1">
      <c r="A1091" s="39"/>
      <c r="B1091" s="39"/>
      <c r="C1091" s="39"/>
      <c r="D1091" s="39"/>
      <c r="E1091" s="39"/>
      <c r="F1091" s="39"/>
      <c r="G1091" s="39"/>
      <c r="H1091" s="39"/>
      <c r="I1091" s="39"/>
    </row>
    <row r="1092" ht="15.75" customHeight="1">
      <c r="A1092" s="39"/>
      <c r="B1092" s="39"/>
      <c r="C1092" s="39"/>
      <c r="D1092" s="39"/>
      <c r="E1092" s="39"/>
      <c r="F1092" s="39"/>
      <c r="G1092" s="39"/>
      <c r="H1092" s="39"/>
      <c r="I1092" s="39"/>
    </row>
    <row r="1093" ht="15.75" customHeight="1">
      <c r="A1093" s="39"/>
      <c r="B1093" s="39"/>
      <c r="C1093" s="39"/>
      <c r="D1093" s="39"/>
      <c r="E1093" s="39"/>
      <c r="F1093" s="39"/>
      <c r="G1093" s="39"/>
      <c r="H1093" s="39"/>
      <c r="I1093" s="39"/>
    </row>
    <row r="1094" ht="15.75" customHeight="1">
      <c r="A1094" s="39"/>
      <c r="B1094" s="39"/>
      <c r="C1094" s="39"/>
      <c r="D1094" s="39"/>
      <c r="E1094" s="39"/>
      <c r="F1094" s="39"/>
      <c r="G1094" s="39"/>
      <c r="H1094" s="39"/>
      <c r="I1094" s="39"/>
    </row>
    <row r="1095" ht="15.75" customHeight="1">
      <c r="A1095" s="39"/>
      <c r="B1095" s="39"/>
      <c r="C1095" s="39"/>
      <c r="D1095" s="39"/>
      <c r="E1095" s="39"/>
      <c r="F1095" s="39"/>
      <c r="G1095" s="39"/>
      <c r="H1095" s="39"/>
      <c r="I1095" s="39"/>
    </row>
    <row r="1096" ht="15.75" customHeight="1">
      <c r="A1096" s="39"/>
      <c r="B1096" s="39"/>
      <c r="C1096" s="39"/>
      <c r="D1096" s="39"/>
      <c r="E1096" s="39"/>
      <c r="F1096" s="39"/>
      <c r="G1096" s="39"/>
      <c r="H1096" s="39"/>
      <c r="I1096" s="39"/>
    </row>
    <row r="1097" ht="15.75" customHeight="1">
      <c r="A1097" s="39"/>
      <c r="B1097" s="39"/>
      <c r="C1097" s="39"/>
      <c r="D1097" s="39"/>
      <c r="E1097" s="39"/>
      <c r="F1097" s="39"/>
      <c r="G1097" s="39"/>
      <c r="H1097" s="39"/>
      <c r="I1097" s="39"/>
    </row>
    <row r="1098" ht="15.75" customHeight="1">
      <c r="A1098" s="39"/>
      <c r="B1098" s="39"/>
      <c r="C1098" s="39"/>
      <c r="D1098" s="39"/>
      <c r="E1098" s="39"/>
      <c r="F1098" s="39"/>
      <c r="G1098" s="39"/>
      <c r="H1098" s="39"/>
      <c r="I1098" s="39"/>
    </row>
    <row r="1099" ht="15.75" customHeight="1">
      <c r="A1099" s="39"/>
      <c r="B1099" s="39"/>
      <c r="C1099" s="39"/>
      <c r="D1099" s="39"/>
      <c r="E1099" s="39"/>
      <c r="F1099" s="39"/>
      <c r="G1099" s="39"/>
      <c r="H1099" s="39"/>
      <c r="I1099" s="39"/>
    </row>
    <row r="1100" ht="15.75" customHeight="1">
      <c r="A1100" s="39"/>
      <c r="B1100" s="39"/>
      <c r="C1100" s="39"/>
      <c r="D1100" s="39"/>
      <c r="E1100" s="39"/>
      <c r="F1100" s="39"/>
      <c r="G1100" s="39"/>
      <c r="H1100" s="39"/>
      <c r="I1100" s="39"/>
    </row>
    <row r="1101" ht="15.75" customHeight="1">
      <c r="A1101" s="39"/>
      <c r="B1101" s="39"/>
      <c r="C1101" s="39"/>
      <c r="D1101" s="39"/>
      <c r="E1101" s="39"/>
      <c r="F1101" s="39"/>
      <c r="G1101" s="39"/>
      <c r="H1101" s="39"/>
      <c r="I1101" s="39"/>
    </row>
    <row r="1102" ht="15.75" customHeight="1">
      <c r="A1102" s="39"/>
      <c r="B1102" s="39"/>
      <c r="C1102" s="39"/>
      <c r="D1102" s="39"/>
      <c r="E1102" s="39"/>
      <c r="F1102" s="39"/>
      <c r="G1102" s="39"/>
      <c r="H1102" s="39"/>
      <c r="I1102" s="39"/>
    </row>
    <row r="1103" ht="15.75" customHeight="1">
      <c r="A1103" s="39"/>
      <c r="B1103" s="39"/>
      <c r="C1103" s="39"/>
      <c r="D1103" s="39"/>
      <c r="E1103" s="39"/>
      <c r="F1103" s="39"/>
      <c r="G1103" s="39"/>
      <c r="H1103" s="39"/>
      <c r="I1103" s="39"/>
    </row>
    <row r="1104" ht="15.75" customHeight="1">
      <c r="A1104" s="39"/>
      <c r="B1104" s="39"/>
      <c r="C1104" s="39"/>
      <c r="D1104" s="39"/>
      <c r="E1104" s="39"/>
      <c r="F1104" s="39"/>
      <c r="G1104" s="39"/>
      <c r="H1104" s="39"/>
      <c r="I1104" s="39"/>
    </row>
    <row r="1105" ht="15.75" customHeight="1">
      <c r="A1105" s="39"/>
      <c r="B1105" s="39"/>
      <c r="C1105" s="39"/>
      <c r="D1105" s="39"/>
      <c r="E1105" s="39"/>
      <c r="F1105" s="39"/>
      <c r="G1105" s="39"/>
      <c r="H1105" s="39"/>
      <c r="I1105" s="39"/>
    </row>
    <row r="1106" ht="15.75" customHeight="1">
      <c r="A1106" s="39"/>
      <c r="B1106" s="39"/>
      <c r="C1106" s="39"/>
      <c r="D1106" s="39"/>
      <c r="E1106" s="39"/>
      <c r="F1106" s="39"/>
      <c r="G1106" s="39"/>
      <c r="H1106" s="39"/>
      <c r="I1106" s="39"/>
    </row>
    <row r="1107" ht="15.75" customHeight="1">
      <c r="A1107" s="39"/>
      <c r="B1107" s="39"/>
      <c r="C1107" s="39"/>
      <c r="D1107" s="39"/>
      <c r="E1107" s="39"/>
      <c r="F1107" s="39"/>
      <c r="G1107" s="39"/>
      <c r="H1107" s="39"/>
      <c r="I1107" s="39"/>
    </row>
    <row r="1108" ht="15.75" customHeight="1">
      <c r="A1108" s="39"/>
      <c r="B1108" s="39"/>
      <c r="C1108" s="39"/>
      <c r="D1108" s="39"/>
      <c r="E1108" s="39"/>
      <c r="F1108" s="39"/>
      <c r="G1108" s="39"/>
      <c r="H1108" s="39"/>
      <c r="I1108" s="39"/>
    </row>
    <row r="1109" ht="15.75" customHeight="1">
      <c r="A1109" s="39"/>
      <c r="B1109" s="39"/>
      <c r="C1109" s="39"/>
      <c r="D1109" s="39"/>
      <c r="E1109" s="39"/>
      <c r="F1109" s="39"/>
      <c r="G1109" s="39"/>
      <c r="H1109" s="39"/>
      <c r="I1109" s="39"/>
    </row>
    <row r="1110" ht="15.75" customHeight="1">
      <c r="A1110" s="39"/>
      <c r="B1110" s="39"/>
      <c r="C1110" s="39"/>
      <c r="D1110" s="39"/>
      <c r="E1110" s="39"/>
      <c r="F1110" s="39"/>
      <c r="G1110" s="39"/>
      <c r="H1110" s="39"/>
      <c r="I1110" s="39"/>
    </row>
    <row r="1111" ht="15.75" customHeight="1">
      <c r="A1111" s="39"/>
      <c r="B1111" s="39"/>
      <c r="C1111" s="39"/>
      <c r="D1111" s="39"/>
      <c r="E1111" s="39"/>
      <c r="F1111" s="39"/>
      <c r="G1111" s="39"/>
      <c r="H1111" s="39"/>
      <c r="I1111" s="39"/>
    </row>
    <row r="1112" ht="15.75" customHeight="1">
      <c r="A1112" s="39"/>
      <c r="B1112" s="39"/>
      <c r="C1112" s="39"/>
      <c r="D1112" s="39"/>
      <c r="E1112" s="39"/>
      <c r="F1112" s="39"/>
      <c r="G1112" s="39"/>
      <c r="H1112" s="39"/>
      <c r="I1112" s="39"/>
    </row>
    <row r="1113" ht="15.75" customHeight="1">
      <c r="A1113" s="39"/>
      <c r="B1113" s="39"/>
      <c r="C1113" s="39"/>
      <c r="D1113" s="39"/>
      <c r="E1113" s="39"/>
      <c r="F1113" s="39"/>
      <c r="G1113" s="39"/>
      <c r="H1113" s="39"/>
      <c r="I1113" s="39"/>
    </row>
    <row r="1114" ht="15.75" customHeight="1">
      <c r="A1114" s="39"/>
      <c r="B1114" s="39"/>
      <c r="C1114" s="39"/>
      <c r="D1114" s="39"/>
      <c r="E1114" s="39"/>
      <c r="F1114" s="39"/>
      <c r="G1114" s="39"/>
      <c r="H1114" s="39"/>
      <c r="I1114" s="39"/>
    </row>
    <row r="1115" ht="15.75" customHeight="1">
      <c r="A1115" s="39"/>
      <c r="B1115" s="39"/>
      <c r="C1115" s="39"/>
      <c r="D1115" s="39"/>
      <c r="E1115" s="39"/>
      <c r="F1115" s="39"/>
      <c r="G1115" s="39"/>
      <c r="H1115" s="39"/>
      <c r="I1115" s="39"/>
    </row>
    <row r="1116" ht="15.75" customHeight="1">
      <c r="A1116" s="39"/>
      <c r="B1116" s="39"/>
      <c r="C1116" s="39"/>
      <c r="D1116" s="39"/>
      <c r="E1116" s="39"/>
      <c r="F1116" s="39"/>
      <c r="G1116" s="39"/>
      <c r="H1116" s="39"/>
      <c r="I1116" s="39"/>
    </row>
    <row r="1117" ht="15.75" customHeight="1">
      <c r="A1117" s="39"/>
      <c r="B1117" s="39"/>
      <c r="C1117" s="39"/>
      <c r="D1117" s="39"/>
      <c r="E1117" s="39"/>
      <c r="F1117" s="39"/>
      <c r="G1117" s="39"/>
      <c r="H1117" s="39"/>
      <c r="I1117" s="39"/>
    </row>
    <row r="1118" ht="15.75" customHeight="1">
      <c r="A1118" s="39"/>
      <c r="B1118" s="39"/>
      <c r="C1118" s="39"/>
      <c r="D1118" s="39"/>
      <c r="E1118" s="39"/>
      <c r="F1118" s="39"/>
      <c r="G1118" s="39"/>
      <c r="H1118" s="39"/>
      <c r="I1118" s="39"/>
    </row>
    <row r="1119" ht="15.75" customHeight="1">
      <c r="A1119" s="39"/>
      <c r="B1119" s="39"/>
      <c r="C1119" s="39"/>
      <c r="D1119" s="39"/>
      <c r="E1119" s="39"/>
      <c r="F1119" s="39"/>
      <c r="G1119" s="39"/>
      <c r="H1119" s="39"/>
      <c r="I1119" s="39"/>
    </row>
    <row r="1120" ht="15.75" customHeight="1">
      <c r="A1120" s="39"/>
      <c r="B1120" s="39"/>
      <c r="C1120" s="39"/>
      <c r="D1120" s="39"/>
      <c r="E1120" s="39"/>
      <c r="F1120" s="39"/>
      <c r="G1120" s="39"/>
      <c r="H1120" s="39"/>
      <c r="I1120" s="39"/>
    </row>
    <row r="1121" ht="15.75" customHeight="1">
      <c r="A1121" s="39"/>
      <c r="B1121" s="39"/>
      <c r="C1121" s="39"/>
      <c r="D1121" s="39"/>
      <c r="E1121" s="39"/>
      <c r="F1121" s="39"/>
      <c r="G1121" s="39"/>
      <c r="H1121" s="39"/>
      <c r="I1121" s="39"/>
    </row>
    <row r="1122" ht="15.75" customHeight="1">
      <c r="A1122" s="39"/>
      <c r="B1122" s="39"/>
      <c r="C1122" s="39"/>
      <c r="D1122" s="39"/>
      <c r="E1122" s="39"/>
      <c r="F1122" s="39"/>
      <c r="G1122" s="39"/>
      <c r="H1122" s="39"/>
      <c r="I1122" s="39"/>
    </row>
    <row r="1123" ht="15.75" customHeight="1">
      <c r="A1123" s="39"/>
      <c r="B1123" s="39"/>
      <c r="C1123" s="39"/>
      <c r="D1123" s="39"/>
      <c r="E1123" s="39"/>
      <c r="F1123" s="39"/>
      <c r="G1123" s="39"/>
      <c r="H1123" s="39"/>
      <c r="I1123" s="39"/>
    </row>
    <row r="1124" ht="15.75" customHeight="1">
      <c r="A1124" s="39"/>
      <c r="B1124" s="39"/>
      <c r="C1124" s="39"/>
      <c r="D1124" s="39"/>
      <c r="E1124" s="39"/>
      <c r="F1124" s="39"/>
      <c r="G1124" s="39"/>
      <c r="H1124" s="39"/>
      <c r="I1124" s="39"/>
    </row>
    <row r="1125" ht="15.75" customHeight="1">
      <c r="A1125" s="39"/>
      <c r="B1125" s="39"/>
      <c r="C1125" s="39"/>
      <c r="D1125" s="39"/>
      <c r="E1125" s="39"/>
      <c r="F1125" s="39"/>
      <c r="G1125" s="39"/>
      <c r="H1125" s="39"/>
      <c r="I1125" s="39"/>
    </row>
    <row r="1126" ht="15.75" customHeight="1">
      <c r="A1126" s="39"/>
      <c r="B1126" s="39"/>
      <c r="C1126" s="39"/>
      <c r="D1126" s="39"/>
      <c r="E1126" s="39"/>
      <c r="F1126" s="39"/>
      <c r="G1126" s="39"/>
      <c r="H1126" s="39"/>
      <c r="I1126" s="39"/>
    </row>
    <row r="1127" ht="15.75" customHeight="1">
      <c r="A1127" s="39"/>
      <c r="B1127" s="39"/>
      <c r="C1127" s="39"/>
      <c r="D1127" s="39"/>
      <c r="E1127" s="39"/>
      <c r="F1127" s="39"/>
      <c r="G1127" s="39"/>
      <c r="H1127" s="39"/>
      <c r="I1127" s="39"/>
    </row>
    <row r="1128" ht="15.75" customHeight="1">
      <c r="A1128" s="39"/>
      <c r="B1128" s="39"/>
      <c r="C1128" s="39"/>
      <c r="D1128" s="39"/>
      <c r="E1128" s="39"/>
      <c r="F1128" s="39"/>
      <c r="G1128" s="39"/>
      <c r="H1128" s="39"/>
      <c r="I1128" s="39"/>
    </row>
    <row r="1129" ht="15.75" customHeight="1">
      <c r="A1129" s="39"/>
      <c r="B1129" s="39"/>
      <c r="C1129" s="39"/>
      <c r="D1129" s="39"/>
      <c r="E1129" s="39"/>
      <c r="F1129" s="39"/>
      <c r="G1129" s="39"/>
      <c r="H1129" s="39"/>
      <c r="I1129" s="39"/>
    </row>
    <row r="1130" ht="15.75" customHeight="1">
      <c r="A1130" s="39"/>
      <c r="B1130" s="39"/>
      <c r="C1130" s="39"/>
      <c r="D1130" s="39"/>
      <c r="E1130" s="39"/>
      <c r="F1130" s="39"/>
      <c r="G1130" s="39"/>
      <c r="H1130" s="39"/>
      <c r="I1130" s="39"/>
    </row>
    <row r="1131" ht="15.75" customHeight="1">
      <c r="A1131" s="39"/>
      <c r="B1131" s="39"/>
      <c r="C1131" s="39"/>
      <c r="D1131" s="39"/>
      <c r="E1131" s="39"/>
      <c r="F1131" s="39"/>
      <c r="G1131" s="39"/>
      <c r="H1131" s="39"/>
      <c r="I1131" s="39"/>
    </row>
    <row r="1132" ht="15.75" customHeight="1">
      <c r="A1132" s="39"/>
      <c r="B1132" s="39"/>
      <c r="C1132" s="39"/>
      <c r="D1132" s="39"/>
      <c r="E1132" s="39"/>
      <c r="F1132" s="39"/>
      <c r="G1132" s="39"/>
      <c r="H1132" s="39"/>
      <c r="I1132" s="39"/>
    </row>
    <row r="1133" ht="15.75" customHeight="1">
      <c r="A1133" s="39"/>
      <c r="B1133" s="39"/>
      <c r="C1133" s="39"/>
      <c r="D1133" s="39"/>
      <c r="E1133" s="39"/>
      <c r="F1133" s="39"/>
      <c r="G1133" s="39"/>
      <c r="H1133" s="39"/>
      <c r="I1133" s="39"/>
    </row>
    <row r="1134" ht="15.75" customHeight="1">
      <c r="A1134" s="39"/>
      <c r="B1134" s="39"/>
      <c r="C1134" s="39"/>
      <c r="D1134" s="39"/>
      <c r="E1134" s="39"/>
      <c r="F1134" s="39"/>
      <c r="G1134" s="39"/>
      <c r="H1134" s="39"/>
      <c r="I1134" s="39"/>
    </row>
    <row r="1135" ht="15.75" customHeight="1">
      <c r="A1135" s="39"/>
      <c r="B1135" s="39"/>
      <c r="C1135" s="39"/>
      <c r="D1135" s="39"/>
      <c r="E1135" s="39"/>
      <c r="F1135" s="39"/>
      <c r="G1135" s="39"/>
      <c r="H1135" s="39"/>
      <c r="I1135" s="39"/>
    </row>
    <row r="1136" ht="15.75" customHeight="1">
      <c r="A1136" s="39"/>
      <c r="B1136" s="39"/>
      <c r="C1136" s="39"/>
      <c r="D1136" s="39"/>
      <c r="E1136" s="39"/>
      <c r="F1136" s="39"/>
      <c r="G1136" s="39"/>
      <c r="H1136" s="39"/>
      <c r="I1136" s="39"/>
    </row>
    <row r="1137" ht="15.75" customHeight="1">
      <c r="A1137" s="39"/>
      <c r="B1137" s="39"/>
      <c r="C1137" s="39"/>
      <c r="D1137" s="39"/>
      <c r="E1137" s="39"/>
      <c r="F1137" s="39"/>
      <c r="G1137" s="39"/>
      <c r="H1137" s="39"/>
      <c r="I1137" s="39"/>
    </row>
    <row r="1138" ht="15.75" customHeight="1">
      <c r="A1138" s="39"/>
      <c r="B1138" s="39"/>
      <c r="C1138" s="39"/>
      <c r="D1138" s="39"/>
      <c r="E1138" s="39"/>
      <c r="F1138" s="39"/>
      <c r="G1138" s="39"/>
      <c r="H1138" s="39"/>
      <c r="I1138" s="39"/>
    </row>
    <row r="1139" ht="15.75" customHeight="1">
      <c r="A1139" s="39"/>
      <c r="B1139" s="39"/>
      <c r="C1139" s="39"/>
      <c r="D1139" s="39"/>
      <c r="E1139" s="39"/>
      <c r="F1139" s="39"/>
      <c r="G1139" s="39"/>
      <c r="H1139" s="39"/>
      <c r="I1139" s="39"/>
    </row>
    <row r="1140" ht="15.75" customHeight="1">
      <c r="A1140" s="39"/>
      <c r="B1140" s="39"/>
      <c r="C1140" s="39"/>
      <c r="D1140" s="39"/>
      <c r="E1140" s="39"/>
      <c r="F1140" s="39"/>
      <c r="G1140" s="39"/>
      <c r="H1140" s="39"/>
      <c r="I1140" s="39"/>
    </row>
    <row r="1141" ht="15.75" customHeight="1">
      <c r="A1141" s="39"/>
      <c r="B1141" s="39"/>
      <c r="C1141" s="39"/>
      <c r="D1141" s="39"/>
      <c r="E1141" s="39"/>
      <c r="F1141" s="39"/>
      <c r="G1141" s="39"/>
      <c r="H1141" s="39"/>
      <c r="I1141" s="39"/>
    </row>
    <row r="1142" ht="15.75" customHeight="1">
      <c r="A1142" s="39"/>
      <c r="B1142" s="39"/>
      <c r="C1142" s="39"/>
      <c r="D1142" s="39"/>
      <c r="E1142" s="39"/>
      <c r="F1142" s="39"/>
      <c r="G1142" s="39"/>
      <c r="H1142" s="39"/>
      <c r="I1142" s="39"/>
    </row>
    <row r="1143" ht="15.75" customHeight="1">
      <c r="A1143" s="39"/>
      <c r="B1143" s="39"/>
      <c r="C1143" s="39"/>
      <c r="D1143" s="39"/>
      <c r="E1143" s="39"/>
      <c r="F1143" s="39"/>
      <c r="G1143" s="39"/>
      <c r="H1143" s="39"/>
      <c r="I1143" s="39"/>
    </row>
    <row r="1144" ht="15.75" customHeight="1">
      <c r="A1144" s="39"/>
      <c r="B1144" s="39"/>
      <c r="C1144" s="39"/>
      <c r="D1144" s="39"/>
      <c r="E1144" s="39"/>
      <c r="F1144" s="39"/>
      <c r="G1144" s="39"/>
      <c r="H1144" s="39"/>
      <c r="I1144" s="39"/>
    </row>
    <row r="1145" ht="15.75" customHeight="1">
      <c r="A1145" s="39"/>
      <c r="B1145" s="39"/>
      <c r="C1145" s="39"/>
      <c r="D1145" s="39"/>
      <c r="E1145" s="39"/>
      <c r="F1145" s="39"/>
      <c r="G1145" s="39"/>
      <c r="H1145" s="39"/>
      <c r="I1145" s="39"/>
    </row>
    <row r="1146" ht="15.75" customHeight="1">
      <c r="A1146" s="39"/>
      <c r="B1146" s="39"/>
      <c r="C1146" s="39"/>
      <c r="D1146" s="39"/>
      <c r="E1146" s="39"/>
      <c r="F1146" s="39"/>
      <c r="G1146" s="39"/>
      <c r="H1146" s="39"/>
      <c r="I1146" s="39"/>
    </row>
    <row r="1147" ht="15.75" customHeight="1">
      <c r="A1147" s="39"/>
      <c r="B1147" s="39"/>
      <c r="C1147" s="39"/>
      <c r="D1147" s="39"/>
      <c r="E1147" s="39"/>
      <c r="F1147" s="39"/>
      <c r="G1147" s="39"/>
      <c r="H1147" s="39"/>
      <c r="I1147" s="39"/>
    </row>
    <row r="1148" ht="15.75" customHeight="1">
      <c r="A1148" s="39"/>
      <c r="B1148" s="39"/>
      <c r="C1148" s="39"/>
      <c r="D1148" s="39"/>
      <c r="E1148" s="39"/>
      <c r="F1148" s="39"/>
      <c r="G1148" s="39"/>
      <c r="H1148" s="39"/>
      <c r="I1148" s="39"/>
    </row>
    <row r="1149" ht="15.75" customHeight="1">
      <c r="A1149" s="39"/>
      <c r="B1149" s="39"/>
      <c r="C1149" s="39"/>
      <c r="D1149" s="39"/>
      <c r="E1149" s="39"/>
      <c r="F1149" s="39"/>
      <c r="G1149" s="39"/>
      <c r="H1149" s="39"/>
      <c r="I1149" s="39"/>
    </row>
    <row r="1150" ht="15.75" customHeight="1">
      <c r="A1150" s="39"/>
      <c r="B1150" s="39"/>
      <c r="C1150" s="39"/>
      <c r="D1150" s="39"/>
      <c r="E1150" s="39"/>
      <c r="F1150" s="39"/>
      <c r="G1150" s="39"/>
      <c r="H1150" s="39"/>
      <c r="I1150" s="39"/>
    </row>
    <row r="1151" ht="15.75" customHeight="1">
      <c r="A1151" s="39"/>
      <c r="B1151" s="39"/>
      <c r="C1151" s="39"/>
      <c r="D1151" s="39"/>
      <c r="E1151" s="39"/>
      <c r="F1151" s="39"/>
      <c r="G1151" s="39"/>
      <c r="H1151" s="39"/>
      <c r="I1151" s="39"/>
    </row>
    <row r="1152" ht="15.75" customHeight="1">
      <c r="A1152" s="39"/>
      <c r="B1152" s="39"/>
      <c r="C1152" s="39"/>
      <c r="D1152" s="39"/>
      <c r="E1152" s="39"/>
      <c r="F1152" s="39"/>
      <c r="G1152" s="39"/>
      <c r="H1152" s="39"/>
      <c r="I1152" s="39"/>
    </row>
    <row r="1153" ht="15.75" customHeight="1">
      <c r="A1153" s="39"/>
      <c r="B1153" s="39"/>
      <c r="C1153" s="39"/>
      <c r="D1153" s="39"/>
      <c r="E1153" s="39"/>
      <c r="F1153" s="39"/>
      <c r="G1153" s="39"/>
      <c r="H1153" s="39"/>
      <c r="I1153" s="39"/>
    </row>
    <row r="1154" ht="15.75" customHeight="1">
      <c r="A1154" s="39"/>
      <c r="B1154" s="39"/>
      <c r="C1154" s="39"/>
      <c r="D1154" s="39"/>
      <c r="E1154" s="39"/>
      <c r="F1154" s="39"/>
      <c r="G1154" s="39"/>
      <c r="H1154" s="39"/>
      <c r="I1154" s="39"/>
    </row>
    <row r="1155" ht="15.75" customHeight="1">
      <c r="A1155" s="39"/>
      <c r="B1155" s="39"/>
      <c r="C1155" s="39"/>
      <c r="D1155" s="39"/>
      <c r="E1155" s="39"/>
      <c r="F1155" s="39"/>
      <c r="G1155" s="39"/>
      <c r="H1155" s="39"/>
      <c r="I1155" s="39"/>
    </row>
    <row r="1156" ht="15.75" customHeight="1">
      <c r="A1156" s="39"/>
      <c r="B1156" s="39"/>
      <c r="C1156" s="39"/>
      <c r="D1156" s="39"/>
      <c r="E1156" s="39"/>
      <c r="F1156" s="39"/>
      <c r="G1156" s="39"/>
      <c r="H1156" s="39"/>
      <c r="I1156" s="39"/>
    </row>
    <row r="1157" ht="15.75" customHeight="1">
      <c r="A1157" s="39"/>
      <c r="B1157" s="39"/>
      <c r="C1157" s="39"/>
      <c r="D1157" s="39"/>
      <c r="E1157" s="39"/>
      <c r="F1157" s="39"/>
      <c r="G1157" s="39"/>
      <c r="H1157" s="39"/>
      <c r="I1157" s="39"/>
    </row>
    <row r="1158" ht="15.75" customHeight="1">
      <c r="A1158" s="39"/>
      <c r="B1158" s="39"/>
      <c r="C1158" s="39"/>
      <c r="D1158" s="39"/>
      <c r="E1158" s="39"/>
      <c r="F1158" s="39"/>
      <c r="G1158" s="39"/>
      <c r="H1158" s="39"/>
      <c r="I1158" s="39"/>
    </row>
    <row r="1159" ht="15.75" customHeight="1">
      <c r="A1159" s="39"/>
      <c r="B1159" s="39"/>
      <c r="C1159" s="39"/>
      <c r="D1159" s="39"/>
      <c r="E1159" s="39"/>
      <c r="F1159" s="39"/>
      <c r="G1159" s="39"/>
      <c r="H1159" s="39"/>
      <c r="I1159" s="39"/>
    </row>
    <row r="1160" ht="15.75" customHeight="1">
      <c r="A1160" s="39"/>
      <c r="B1160" s="39"/>
      <c r="C1160" s="39"/>
      <c r="D1160" s="39"/>
      <c r="E1160" s="39"/>
      <c r="F1160" s="39"/>
      <c r="G1160" s="39"/>
      <c r="H1160" s="39"/>
      <c r="I1160" s="39"/>
    </row>
    <row r="1161" ht="15.75" customHeight="1">
      <c r="A1161" s="39"/>
      <c r="B1161" s="39"/>
      <c r="C1161" s="39"/>
      <c r="D1161" s="39"/>
      <c r="E1161" s="39"/>
      <c r="F1161" s="39"/>
      <c r="G1161" s="39"/>
      <c r="H1161" s="39"/>
      <c r="I1161" s="39"/>
    </row>
    <row r="1162" ht="15.75" customHeight="1">
      <c r="A1162" s="39"/>
      <c r="B1162" s="39"/>
      <c r="C1162" s="39"/>
      <c r="D1162" s="39"/>
      <c r="E1162" s="39"/>
      <c r="F1162" s="39"/>
      <c r="G1162" s="39"/>
      <c r="H1162" s="39"/>
      <c r="I1162" s="39"/>
    </row>
    <row r="1163" ht="15.75" customHeight="1">
      <c r="A1163" s="39"/>
      <c r="B1163" s="39"/>
      <c r="C1163" s="39"/>
      <c r="D1163" s="39"/>
      <c r="E1163" s="39"/>
      <c r="F1163" s="39"/>
      <c r="G1163" s="39"/>
      <c r="H1163" s="39"/>
      <c r="I1163" s="39"/>
    </row>
    <row r="1164" ht="15.75" customHeight="1">
      <c r="A1164" s="39"/>
      <c r="B1164" s="39"/>
      <c r="C1164" s="39"/>
      <c r="D1164" s="39"/>
      <c r="E1164" s="39"/>
      <c r="F1164" s="39"/>
      <c r="G1164" s="39"/>
      <c r="H1164" s="39"/>
      <c r="I1164" s="39"/>
    </row>
    <row r="1165" ht="15.75" customHeight="1">
      <c r="A1165" s="39"/>
      <c r="B1165" s="39"/>
      <c r="C1165" s="39"/>
      <c r="D1165" s="39"/>
      <c r="E1165" s="39"/>
      <c r="F1165" s="39"/>
      <c r="G1165" s="39"/>
      <c r="H1165" s="39"/>
      <c r="I1165" s="39"/>
    </row>
    <row r="1166" ht="15.75" customHeight="1">
      <c r="A1166" s="39"/>
      <c r="B1166" s="39"/>
      <c r="C1166" s="39"/>
      <c r="D1166" s="39"/>
      <c r="E1166" s="39"/>
      <c r="F1166" s="39"/>
      <c r="G1166" s="39"/>
      <c r="H1166" s="39"/>
      <c r="I1166" s="39"/>
    </row>
    <row r="1167" ht="15.75" customHeight="1">
      <c r="A1167" s="39"/>
      <c r="B1167" s="39"/>
      <c r="C1167" s="39"/>
      <c r="D1167" s="39"/>
      <c r="E1167" s="39"/>
      <c r="F1167" s="39"/>
      <c r="G1167" s="39"/>
      <c r="H1167" s="39"/>
      <c r="I1167" s="39"/>
    </row>
    <row r="1168" ht="15.75" customHeight="1">
      <c r="A1168" s="39"/>
      <c r="B1168" s="39"/>
      <c r="C1168" s="39"/>
      <c r="D1168" s="39"/>
      <c r="E1168" s="39"/>
      <c r="F1168" s="39"/>
      <c r="G1168" s="39"/>
      <c r="H1168" s="39"/>
      <c r="I1168" s="39"/>
    </row>
    <row r="1169" ht="15.75" customHeight="1">
      <c r="A1169" s="39"/>
      <c r="B1169" s="39"/>
      <c r="C1169" s="39"/>
      <c r="D1169" s="39"/>
      <c r="E1169" s="39"/>
      <c r="F1169" s="39"/>
      <c r="G1169" s="39"/>
      <c r="H1169" s="39"/>
      <c r="I1169" s="39"/>
    </row>
    <row r="1170" ht="15.75" customHeight="1">
      <c r="A1170" s="39"/>
      <c r="B1170" s="39"/>
      <c r="C1170" s="39"/>
      <c r="D1170" s="39"/>
      <c r="E1170" s="39"/>
      <c r="F1170" s="39"/>
      <c r="G1170" s="39"/>
      <c r="H1170" s="39"/>
      <c r="I1170" s="39"/>
    </row>
    <row r="1171" ht="15.75" customHeight="1">
      <c r="A1171" s="39"/>
      <c r="B1171" s="39"/>
      <c r="C1171" s="39"/>
      <c r="D1171" s="39"/>
      <c r="E1171" s="39"/>
      <c r="F1171" s="39"/>
      <c r="G1171" s="39"/>
      <c r="H1171" s="39"/>
      <c r="I1171" s="39"/>
    </row>
    <row r="1172" ht="15.75" customHeight="1">
      <c r="A1172" s="39"/>
      <c r="B1172" s="39"/>
      <c r="C1172" s="39"/>
      <c r="D1172" s="39"/>
      <c r="E1172" s="39"/>
      <c r="F1172" s="39"/>
      <c r="G1172" s="39"/>
      <c r="H1172" s="39"/>
      <c r="I1172" s="39"/>
    </row>
    <row r="1173" ht="15.75" customHeight="1">
      <c r="A1173" s="39"/>
      <c r="B1173" s="39"/>
      <c r="C1173" s="39"/>
      <c r="D1173" s="39"/>
      <c r="E1173" s="39"/>
      <c r="F1173" s="39"/>
      <c r="G1173" s="39"/>
      <c r="H1173" s="39"/>
      <c r="I1173" s="39"/>
    </row>
    <row r="1174" ht="15.75" customHeight="1">
      <c r="A1174" s="39"/>
      <c r="B1174" s="39"/>
      <c r="C1174" s="39"/>
      <c r="D1174" s="39"/>
      <c r="E1174" s="39"/>
      <c r="F1174" s="39"/>
      <c r="G1174" s="39"/>
      <c r="H1174" s="39"/>
      <c r="I1174" s="39"/>
    </row>
    <row r="1175" ht="15.75" customHeight="1">
      <c r="A1175" s="39"/>
      <c r="B1175" s="39"/>
      <c r="C1175" s="39"/>
      <c r="D1175" s="39"/>
      <c r="E1175" s="39"/>
      <c r="F1175" s="39"/>
      <c r="G1175" s="39"/>
      <c r="H1175" s="39"/>
      <c r="I1175" s="39"/>
    </row>
    <row r="1176" ht="15.75" customHeight="1">
      <c r="A1176" s="39"/>
      <c r="B1176" s="39"/>
      <c r="C1176" s="39"/>
      <c r="D1176" s="39"/>
      <c r="E1176" s="39"/>
      <c r="F1176" s="39"/>
      <c r="G1176" s="39"/>
      <c r="H1176" s="39"/>
      <c r="I1176" s="39"/>
    </row>
    <row r="1177" ht="15.75" customHeight="1">
      <c r="A1177" s="39"/>
      <c r="B1177" s="39"/>
      <c r="C1177" s="39"/>
      <c r="D1177" s="39"/>
      <c r="E1177" s="39"/>
      <c r="F1177" s="39"/>
      <c r="G1177" s="39"/>
      <c r="H1177" s="39"/>
      <c r="I1177" s="39"/>
    </row>
    <row r="1178" ht="15.75" customHeight="1">
      <c r="A1178" s="39"/>
      <c r="B1178" s="39"/>
      <c r="C1178" s="39"/>
      <c r="D1178" s="39"/>
      <c r="E1178" s="39"/>
      <c r="F1178" s="39"/>
      <c r="G1178" s="39"/>
      <c r="H1178" s="39"/>
      <c r="I1178" s="39"/>
    </row>
    <row r="1179" ht="15.75" customHeight="1">
      <c r="A1179" s="39"/>
      <c r="B1179" s="39"/>
      <c r="C1179" s="39"/>
      <c r="D1179" s="39"/>
      <c r="E1179" s="39"/>
      <c r="F1179" s="39"/>
      <c r="G1179" s="39"/>
      <c r="H1179" s="39"/>
      <c r="I1179" s="39"/>
    </row>
    <row r="1180" ht="15.75" customHeight="1">
      <c r="A1180" s="39"/>
      <c r="B1180" s="39"/>
      <c r="C1180" s="39"/>
      <c r="D1180" s="39"/>
      <c r="E1180" s="39"/>
      <c r="F1180" s="39"/>
      <c r="G1180" s="39"/>
      <c r="H1180" s="39"/>
      <c r="I1180" s="39"/>
    </row>
    <row r="1181" ht="15.75" customHeight="1">
      <c r="A1181" s="39"/>
      <c r="B1181" s="39"/>
      <c r="C1181" s="39"/>
      <c r="D1181" s="39"/>
      <c r="E1181" s="39"/>
      <c r="F1181" s="39"/>
      <c r="G1181" s="39"/>
      <c r="H1181" s="39"/>
      <c r="I1181" s="39"/>
    </row>
    <row r="1182" ht="15.75" customHeight="1">
      <c r="A1182" s="39"/>
      <c r="B1182" s="39"/>
      <c r="C1182" s="39"/>
      <c r="D1182" s="39"/>
      <c r="E1182" s="39"/>
      <c r="F1182" s="39"/>
      <c r="G1182" s="39"/>
      <c r="H1182" s="39"/>
      <c r="I1182" s="39"/>
    </row>
    <row r="1183" ht="15.75" customHeight="1">
      <c r="A1183" s="39"/>
      <c r="B1183" s="39"/>
      <c r="C1183" s="39"/>
      <c r="D1183" s="39"/>
      <c r="E1183" s="39"/>
      <c r="F1183" s="39"/>
      <c r="G1183" s="39"/>
      <c r="H1183" s="39"/>
      <c r="I1183" s="39"/>
    </row>
    <row r="1184" ht="15.75" customHeight="1">
      <c r="A1184" s="39"/>
      <c r="B1184" s="39"/>
      <c r="C1184" s="39"/>
      <c r="D1184" s="39"/>
      <c r="E1184" s="39"/>
      <c r="F1184" s="39"/>
      <c r="G1184" s="39"/>
      <c r="H1184" s="39"/>
      <c r="I1184" s="39"/>
    </row>
    <row r="1185" ht="15.75" customHeight="1">
      <c r="A1185" s="39"/>
      <c r="B1185" s="39"/>
      <c r="C1185" s="39"/>
      <c r="D1185" s="39"/>
      <c r="E1185" s="39"/>
      <c r="F1185" s="39"/>
      <c r="G1185" s="39"/>
      <c r="H1185" s="39"/>
      <c r="I1185" s="39"/>
    </row>
    <row r="1186" ht="15.75" customHeight="1">
      <c r="A1186" s="39"/>
      <c r="B1186" s="39"/>
      <c r="C1186" s="39"/>
      <c r="D1186" s="39"/>
      <c r="E1186" s="39"/>
      <c r="F1186" s="39"/>
      <c r="G1186" s="39"/>
      <c r="H1186" s="39"/>
      <c r="I1186" s="39"/>
    </row>
    <row r="1187" ht="15.75" customHeight="1">
      <c r="A1187" s="39"/>
      <c r="B1187" s="39"/>
      <c r="C1187" s="39"/>
      <c r="D1187" s="39"/>
      <c r="E1187" s="39"/>
      <c r="F1187" s="39"/>
      <c r="G1187" s="39"/>
      <c r="H1187" s="39"/>
      <c r="I1187" s="39"/>
    </row>
    <row r="1188" ht="15.75" customHeight="1">
      <c r="A1188" s="39"/>
      <c r="B1188" s="39"/>
      <c r="C1188" s="39"/>
      <c r="D1188" s="39"/>
      <c r="E1188" s="39"/>
      <c r="F1188" s="39"/>
      <c r="G1188" s="39"/>
      <c r="H1188" s="39"/>
      <c r="I1188" s="39"/>
    </row>
    <row r="1189" ht="15.75" customHeight="1">
      <c r="A1189" s="39"/>
      <c r="B1189" s="39"/>
      <c r="C1189" s="39"/>
      <c r="D1189" s="39"/>
      <c r="E1189" s="39"/>
      <c r="F1189" s="39"/>
      <c r="G1189" s="39"/>
      <c r="H1189" s="39"/>
      <c r="I1189" s="39"/>
    </row>
    <row r="1190" ht="15.75" customHeight="1">
      <c r="A1190" s="39"/>
      <c r="B1190" s="39"/>
      <c r="C1190" s="39"/>
      <c r="D1190" s="39"/>
      <c r="E1190" s="39"/>
      <c r="F1190" s="39"/>
      <c r="G1190" s="39"/>
      <c r="H1190" s="39"/>
      <c r="I1190" s="39"/>
    </row>
    <row r="1191" ht="15.75" customHeight="1">
      <c r="A1191" s="39"/>
      <c r="B1191" s="39"/>
      <c r="C1191" s="39"/>
      <c r="D1191" s="39"/>
      <c r="E1191" s="39"/>
      <c r="F1191" s="39"/>
      <c r="G1191" s="39"/>
      <c r="H1191" s="39"/>
      <c r="I1191" s="39"/>
    </row>
    <row r="1192" ht="15.75" customHeight="1">
      <c r="A1192" s="39"/>
      <c r="B1192" s="39"/>
      <c r="C1192" s="39"/>
      <c r="D1192" s="39"/>
      <c r="E1192" s="39"/>
      <c r="F1192" s="39"/>
      <c r="G1192" s="39"/>
      <c r="H1192" s="39"/>
      <c r="I1192" s="39"/>
    </row>
    <row r="1193" ht="15.75" customHeight="1">
      <c r="A1193" s="39"/>
      <c r="B1193" s="39"/>
      <c r="C1193" s="39"/>
      <c r="D1193" s="39"/>
      <c r="E1193" s="39"/>
      <c r="F1193" s="39"/>
      <c r="G1193" s="39"/>
      <c r="H1193" s="39"/>
      <c r="I1193" s="39"/>
    </row>
    <row r="1194" ht="15.75" customHeight="1">
      <c r="A1194" s="39"/>
      <c r="B1194" s="39"/>
      <c r="C1194" s="39"/>
      <c r="D1194" s="39"/>
      <c r="E1194" s="39"/>
      <c r="F1194" s="39"/>
      <c r="G1194" s="39"/>
      <c r="H1194" s="39"/>
      <c r="I1194" s="39"/>
    </row>
    <row r="1195" ht="15.75" customHeight="1">
      <c r="A1195" s="39"/>
      <c r="B1195" s="39"/>
      <c r="C1195" s="39"/>
      <c r="D1195" s="39"/>
      <c r="E1195" s="39"/>
      <c r="F1195" s="39"/>
      <c r="G1195" s="39"/>
      <c r="H1195" s="39"/>
      <c r="I1195" s="39"/>
    </row>
    <row r="1196" ht="15.75" customHeight="1">
      <c r="A1196" s="39"/>
      <c r="B1196" s="39"/>
      <c r="C1196" s="39"/>
      <c r="D1196" s="39"/>
      <c r="E1196" s="39"/>
      <c r="F1196" s="39"/>
      <c r="G1196" s="39"/>
      <c r="H1196" s="39"/>
      <c r="I1196" s="39"/>
    </row>
    <row r="1197" ht="15.75" customHeight="1">
      <c r="A1197" s="39"/>
      <c r="B1197" s="39"/>
      <c r="C1197" s="39"/>
      <c r="D1197" s="39"/>
      <c r="E1197" s="39"/>
      <c r="F1197" s="39"/>
      <c r="G1197" s="39"/>
      <c r="H1197" s="39"/>
      <c r="I1197" s="39"/>
    </row>
    <row r="1198" ht="15.75" customHeight="1">
      <c r="A1198" s="39"/>
      <c r="B1198" s="39"/>
      <c r="C1198" s="39"/>
      <c r="D1198" s="39"/>
      <c r="E1198" s="39"/>
      <c r="F1198" s="39"/>
      <c r="G1198" s="39"/>
      <c r="H1198" s="39"/>
      <c r="I1198" s="39"/>
    </row>
    <row r="1199" ht="15.75" customHeight="1">
      <c r="A1199" s="39"/>
      <c r="B1199" s="39"/>
      <c r="C1199" s="39"/>
      <c r="D1199" s="39"/>
      <c r="E1199" s="39"/>
      <c r="F1199" s="39"/>
      <c r="G1199" s="39"/>
      <c r="H1199" s="39"/>
      <c r="I1199" s="39"/>
    </row>
    <row r="1200" ht="15.75" customHeight="1">
      <c r="A1200" s="39"/>
      <c r="B1200" s="39"/>
      <c r="C1200" s="39"/>
      <c r="D1200" s="39"/>
      <c r="E1200" s="39"/>
      <c r="F1200" s="39"/>
      <c r="G1200" s="39"/>
      <c r="H1200" s="39"/>
      <c r="I1200" s="39"/>
    </row>
    <row r="1201" ht="15.75" customHeight="1">
      <c r="A1201" s="39"/>
      <c r="B1201" s="39"/>
      <c r="C1201" s="39"/>
      <c r="D1201" s="39"/>
      <c r="E1201" s="39"/>
      <c r="F1201" s="39"/>
      <c r="G1201" s="39"/>
      <c r="H1201" s="39"/>
      <c r="I1201" s="39"/>
    </row>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75" customHeight="1"/>
    <row r="2010" ht="15.75" customHeight="1"/>
    <row r="2011" ht="15.75" customHeight="1"/>
    <row r="2012" ht="15.75" customHeight="1"/>
    <row r="2013" ht="15.75" customHeight="1"/>
    <row r="2014" ht="15.75" customHeight="1"/>
    <row r="2015" ht="15.75" customHeight="1"/>
    <row r="2016" ht="15.75" customHeight="1"/>
    <row r="2017" ht="15.75" customHeight="1"/>
    <row r="2018" ht="15.75" customHeight="1"/>
    <row r="2019" ht="15.75" customHeight="1"/>
    <row r="2020" ht="15.75" customHeight="1"/>
    <row r="2021" ht="15.75" customHeight="1"/>
    <row r="2022" ht="15.75" customHeight="1"/>
    <row r="2023" ht="15.75" customHeight="1"/>
    <row r="2024" ht="15.75" customHeight="1"/>
    <row r="2025" ht="15.75" customHeight="1"/>
    <row r="2026" ht="15.75" customHeight="1"/>
    <row r="2027" ht="15.75" customHeight="1"/>
    <row r="2028" ht="15.75" customHeight="1"/>
    <row r="2029" ht="15.75" customHeight="1"/>
    <row r="2030" ht="15.75" customHeight="1"/>
    <row r="2031" ht="15.75" customHeight="1"/>
    <row r="2032" ht="15.75" customHeight="1"/>
    <row r="2033" ht="15.75" customHeight="1"/>
    <row r="2034" ht="15.75" customHeight="1"/>
    <row r="2035" ht="15.75" customHeight="1"/>
    <row r="2036" ht="15.75" customHeight="1"/>
    <row r="2037" ht="15.75" customHeight="1"/>
    <row r="2038" ht="15.75" customHeight="1"/>
    <row r="2039" ht="15.75" customHeight="1"/>
    <row r="2040" ht="15.75" customHeight="1"/>
    <row r="2041" ht="15.75" customHeight="1"/>
    <row r="2042" ht="15.75" customHeight="1"/>
    <row r="2043" ht="15.75" customHeight="1"/>
    <row r="2044" ht="15.75" customHeight="1"/>
    <row r="2045" ht="15.75" customHeight="1"/>
    <row r="2046" ht="15.75" customHeight="1"/>
    <row r="2047" ht="15.75" customHeight="1"/>
    <row r="2048" ht="15.75" customHeight="1"/>
    <row r="2049" ht="15.75" customHeight="1"/>
    <row r="2050" ht="15.75" customHeight="1"/>
    <row r="2051" ht="15.75" customHeight="1"/>
    <row r="2052" ht="15.75" customHeight="1"/>
    <row r="2053" ht="15.75" customHeight="1"/>
    <row r="2054" ht="15.75" customHeight="1"/>
    <row r="2055" ht="15.75" customHeight="1"/>
    <row r="2056" ht="15.75" customHeight="1"/>
    <row r="2057" ht="15.75" customHeight="1"/>
    <row r="2058" ht="15.75" customHeight="1"/>
    <row r="2059" ht="15.75" customHeight="1"/>
    <row r="2060" ht="15.75" customHeight="1"/>
    <row r="2061" ht="15.75" customHeight="1"/>
    <row r="2062" ht="15.75" customHeight="1"/>
    <row r="2063" ht="15.75" customHeight="1"/>
    <row r="2064" ht="15.75" customHeight="1"/>
    <row r="2065" ht="15.75" customHeight="1"/>
    <row r="2066" ht="15.75" customHeight="1"/>
    <row r="2067" ht="15.75" customHeight="1"/>
    <row r="2068" ht="15.75" customHeight="1"/>
    <row r="2069" ht="15.75" customHeight="1"/>
    <row r="2070" ht="15.75" customHeight="1"/>
    <row r="2071" ht="15.75" customHeight="1"/>
    <row r="2072" ht="15.75" customHeight="1"/>
    <row r="2073" ht="15.75" customHeight="1"/>
    <row r="2074" ht="15.75" customHeight="1"/>
    <row r="2075" ht="15.75" customHeight="1"/>
    <row r="2076" ht="15.75" customHeight="1"/>
    <row r="2077" ht="15.75" customHeight="1"/>
    <row r="2078" ht="15.75" customHeight="1"/>
    <row r="2079" ht="15.75" customHeight="1"/>
    <row r="2080" ht="15.75" customHeight="1"/>
    <row r="2081" ht="15.75" customHeight="1"/>
    <row r="2082" ht="15.75" customHeight="1"/>
    <row r="2083" ht="15.75" customHeight="1"/>
    <row r="2084" ht="15.75" customHeight="1"/>
    <row r="2085" ht="15.75" customHeight="1"/>
    <row r="2086" ht="15.75" customHeight="1"/>
    <row r="2087" ht="15.75" customHeight="1"/>
    <row r="2088" ht="15.75" customHeight="1"/>
    <row r="2089" ht="15.75" customHeight="1"/>
    <row r="2090" ht="15.75" customHeight="1"/>
    <row r="2091" ht="15.75" customHeight="1"/>
    <row r="2092" ht="15.75" customHeight="1"/>
    <row r="2093" ht="15.75" customHeight="1"/>
    <row r="2094" ht="15.75" customHeight="1"/>
    <row r="2095" ht="15.75" customHeight="1"/>
    <row r="2096" ht="15.75" customHeight="1"/>
    <row r="2097" ht="15.75" customHeight="1"/>
    <row r="2098" ht="15.75" customHeight="1"/>
    <row r="2099" ht="15.75" customHeight="1"/>
    <row r="2100" ht="15.75" customHeight="1"/>
    <row r="2101" ht="15.75" customHeight="1"/>
    <row r="2102" ht="15.75" customHeight="1"/>
    <row r="2103" ht="15.75" customHeight="1"/>
    <row r="2104" ht="15.75" customHeight="1"/>
    <row r="2105" ht="15.75" customHeight="1"/>
    <row r="2106" ht="15.75" customHeight="1"/>
    <row r="2107" ht="15.75" customHeight="1"/>
    <row r="2108" ht="15.75" customHeight="1"/>
    <row r="2109" ht="15.75" customHeight="1"/>
    <row r="2110" ht="15.75" customHeight="1"/>
    <row r="2111" ht="15.75" customHeight="1"/>
    <row r="2112" ht="15.75" customHeight="1"/>
    <row r="2113" ht="15.75" customHeight="1"/>
    <row r="2114" ht="15.75" customHeight="1"/>
    <row r="2115" ht="15.75" customHeight="1"/>
    <row r="2116" ht="15.75" customHeight="1"/>
    <row r="2117" ht="15.75" customHeight="1"/>
    <row r="2118" ht="15.75" customHeight="1"/>
    <row r="2119" ht="15.75" customHeight="1"/>
    <row r="2120" ht="15.75" customHeight="1"/>
    <row r="2121" ht="15.75" customHeight="1"/>
    <row r="2122" ht="15.75" customHeight="1"/>
    <row r="2123" ht="15.75" customHeight="1"/>
    <row r="2124" ht="15.75" customHeight="1"/>
    <row r="2125" ht="15.75" customHeight="1"/>
    <row r="2126" ht="15.75" customHeight="1"/>
    <row r="2127" ht="15.75" customHeight="1"/>
    <row r="2128" ht="15.75" customHeight="1"/>
    <row r="2129" ht="15.75" customHeight="1"/>
    <row r="2130" ht="15.75" customHeight="1"/>
    <row r="2131" ht="15.75" customHeight="1"/>
    <row r="2132" ht="15.75" customHeight="1"/>
    <row r="2133" ht="15.75" customHeight="1"/>
    <row r="2134" ht="15.75" customHeight="1"/>
    <row r="2135" ht="15.75" customHeight="1"/>
    <row r="2136" ht="15.75" customHeight="1"/>
    <row r="2137" ht="15.75" customHeight="1"/>
    <row r="2138" ht="15.75" customHeight="1"/>
    <row r="2139" ht="15.75" customHeight="1"/>
    <row r="2140" ht="15.75" customHeight="1"/>
    <row r="2141" ht="15.75" customHeight="1"/>
    <row r="2142" ht="15.75" customHeight="1"/>
    <row r="2143" ht="15.75" customHeight="1"/>
    <row r="2144" ht="15.75" customHeight="1"/>
    <row r="2145" ht="15.75" customHeight="1"/>
    <row r="2146" ht="15.75" customHeight="1"/>
    <row r="2147" ht="15.75" customHeight="1"/>
    <row r="2148" ht="15.75" customHeight="1"/>
    <row r="2149" ht="15.75" customHeight="1"/>
    <row r="2150" ht="15.75" customHeight="1"/>
    <row r="2151" ht="15.75" customHeight="1"/>
    <row r="2152" ht="15.75" customHeight="1"/>
    <row r="2153" ht="15.75" customHeight="1"/>
    <row r="2154" ht="15.75" customHeight="1"/>
    <row r="2155" ht="15.75" customHeight="1"/>
    <row r="2156" ht="15.75" customHeight="1"/>
    <row r="2157" ht="15.75" customHeight="1"/>
    <row r="2158" ht="15.75" customHeight="1"/>
    <row r="2159" ht="15.75" customHeight="1"/>
    <row r="2160" ht="15.75" customHeight="1"/>
    <row r="2161" ht="15.75" customHeight="1"/>
    <row r="2162" ht="15.75" customHeight="1"/>
    <row r="2163" ht="15.75" customHeight="1"/>
    <row r="2164" ht="15.75" customHeight="1"/>
    <row r="2165" ht="15.75" customHeight="1"/>
    <row r="2166" ht="15.75" customHeight="1"/>
    <row r="2167" ht="15.75" customHeight="1"/>
    <row r="2168" ht="15.75" customHeight="1"/>
    <row r="2169" ht="15.75" customHeight="1"/>
    <row r="2170" ht="15.75" customHeight="1"/>
    <row r="2171" ht="15.75" customHeight="1"/>
    <row r="2172" ht="15.75" customHeight="1"/>
    <row r="2173" ht="15.75" customHeight="1"/>
    <row r="2174" ht="15.75" customHeight="1"/>
    <row r="2175" ht="15.75" customHeight="1"/>
    <row r="2176" ht="15.75" customHeight="1"/>
    <row r="2177" ht="15.75" customHeight="1"/>
    <row r="2178" ht="15.75" customHeight="1"/>
    <row r="2179" ht="15.75" customHeight="1"/>
    <row r="2180" ht="15.75" customHeight="1"/>
    <row r="2181" ht="15.75" customHeight="1"/>
    <row r="2182" ht="15.75" customHeight="1"/>
    <row r="2183" ht="15.75" customHeight="1"/>
    <row r="2184" ht="15.75" customHeight="1"/>
    <row r="2185" ht="15.75" customHeight="1"/>
    <row r="2186" ht="15.75" customHeight="1"/>
    <row r="2187" ht="15.75" customHeight="1"/>
    <row r="2188" ht="15.75" customHeight="1"/>
    <row r="2189" ht="15.75" customHeight="1"/>
    <row r="2190" ht="15.75" customHeight="1"/>
    <row r="2191" ht="15.75" customHeight="1"/>
    <row r="2192" ht="15.75" customHeight="1"/>
    <row r="2193" ht="15.75" customHeight="1"/>
    <row r="2194" ht="15.75" customHeight="1"/>
    <row r="2195" ht="15.75" customHeight="1"/>
    <row r="2196" ht="15.75" customHeight="1"/>
    <row r="2197" ht="15.75" customHeight="1"/>
    <row r="2198" ht="15.75" customHeight="1"/>
    <row r="2199" ht="15.75" customHeight="1"/>
    <row r="2200" ht="15.75" customHeight="1"/>
    <row r="2201" ht="15.75" customHeight="1"/>
    <row r="2202" ht="15.75" customHeight="1"/>
    <row r="2203" ht="15.75" customHeight="1"/>
    <row r="2204" ht="15.75" customHeight="1"/>
    <row r="2205" ht="15.75" customHeight="1"/>
    <row r="2206" ht="15.75" customHeight="1"/>
    <row r="2207" ht="15.75" customHeight="1"/>
    <row r="2208" ht="15.75" customHeight="1"/>
    <row r="2209" ht="15.75" customHeight="1"/>
    <row r="2210" ht="15.75" customHeight="1"/>
    <row r="2211" ht="15.75" customHeight="1"/>
    <row r="2212" ht="15.75" customHeight="1"/>
    <row r="2213" ht="15.75" customHeight="1"/>
    <row r="2214" ht="15.75" customHeight="1"/>
    <row r="2215" ht="15.75" customHeight="1"/>
    <row r="2216" ht="15.75" customHeight="1"/>
    <row r="2217" ht="15.75" customHeight="1"/>
    <row r="2218" ht="15.75" customHeight="1"/>
    <row r="2219" ht="15.75" customHeight="1"/>
    <row r="2220" ht="15.75" customHeight="1"/>
    <row r="2221" ht="15.75" customHeight="1"/>
    <row r="2222" ht="15.75" customHeight="1"/>
    <row r="2223" ht="15.75" customHeight="1"/>
    <row r="2224" ht="15.75" customHeight="1"/>
    <row r="2225" ht="15.75" customHeight="1"/>
    <row r="2226" ht="15.75" customHeight="1"/>
    <row r="2227" ht="15.75" customHeight="1"/>
    <row r="2228" ht="15.75" customHeight="1"/>
    <row r="2229" ht="15.75" customHeight="1"/>
    <row r="2230" ht="15.75" customHeight="1"/>
    <row r="2231" ht="15.75" customHeight="1"/>
    <row r="2232" ht="15.75" customHeight="1"/>
    <row r="2233" ht="15.75" customHeight="1"/>
    <row r="2234" ht="15.75" customHeight="1"/>
    <row r="2235" ht="15.75" customHeight="1"/>
    <row r="2236" ht="15.75" customHeight="1"/>
    <row r="2237" ht="15.75" customHeight="1"/>
    <row r="2238" ht="15.75" customHeight="1"/>
    <row r="2239" ht="15.75" customHeight="1"/>
    <row r="2240" ht="15.75" customHeight="1"/>
    <row r="2241" ht="15.75" customHeight="1"/>
    <row r="2242" ht="15.75" customHeight="1"/>
    <row r="2243" ht="15.75" customHeight="1"/>
    <row r="2244" ht="15.75" customHeight="1"/>
    <row r="2245" ht="15.75" customHeight="1"/>
    <row r="2246" ht="15.75" customHeight="1"/>
    <row r="2247" ht="15.75" customHeight="1"/>
    <row r="2248" ht="15.75" customHeight="1"/>
    <row r="2249" ht="15.75" customHeight="1"/>
    <row r="2250" ht="15.75" customHeight="1"/>
    <row r="2251" ht="15.75" customHeight="1"/>
    <row r="2252" ht="15.75" customHeight="1"/>
    <row r="2253" ht="15.75" customHeight="1"/>
    <row r="2254" ht="15.75" customHeight="1"/>
    <row r="2255" ht="15.75" customHeight="1"/>
    <row r="2256" ht="15.75" customHeight="1"/>
    <row r="2257" ht="15.75" customHeight="1"/>
    <row r="2258" ht="15.75" customHeight="1"/>
    <row r="2259" ht="15.75" customHeight="1"/>
    <row r="2260" ht="15.75" customHeight="1"/>
    <row r="2261" ht="15.75" customHeight="1"/>
    <row r="2262" ht="15.75" customHeight="1"/>
    <row r="2263" ht="15.75" customHeight="1"/>
    <row r="2264" ht="15.75" customHeight="1"/>
    <row r="2265" ht="15.75" customHeight="1"/>
    <row r="2266" ht="15.75" customHeight="1"/>
    <row r="2267" ht="15.75" customHeight="1"/>
    <row r="2268" ht="15.75" customHeight="1"/>
    <row r="2269" ht="15.75" customHeight="1"/>
    <row r="2270" ht="15.75" customHeight="1"/>
    <row r="2271" ht="15.75" customHeight="1"/>
    <row r="2272" ht="15.75" customHeight="1"/>
    <row r="2273" ht="15.75" customHeight="1"/>
    <row r="2274" ht="15.75" customHeight="1"/>
    <row r="2275" ht="15.75" customHeight="1"/>
    <row r="2276" ht="15.75" customHeight="1"/>
    <row r="2277" ht="15.75" customHeight="1"/>
    <row r="2278" ht="15.75" customHeight="1"/>
    <row r="2279" ht="15.75" customHeight="1"/>
    <row r="2280" ht="15.75" customHeight="1"/>
    <row r="2281" ht="15.75" customHeight="1"/>
    <row r="2282" ht="15.75" customHeight="1"/>
    <row r="2283" ht="15.75" customHeight="1"/>
    <row r="2284" ht="15.75" customHeight="1"/>
    <row r="2285" ht="15.75" customHeight="1"/>
    <row r="2286" ht="15.75" customHeight="1"/>
    <row r="2287" ht="15.75" customHeight="1"/>
    <row r="2288" ht="15.75" customHeight="1"/>
    <row r="2289" ht="15.75" customHeight="1"/>
    <row r="2290" ht="15.75" customHeight="1"/>
    <row r="2291" ht="15.75" customHeight="1"/>
    <row r="2292" ht="15.75" customHeight="1"/>
    <row r="2293" ht="15.75" customHeight="1"/>
    <row r="2294" ht="15.75" customHeight="1"/>
    <row r="2295" ht="15.75" customHeight="1"/>
    <row r="2296" ht="15.75" customHeight="1"/>
    <row r="2297" ht="15.75" customHeight="1"/>
    <row r="2298" ht="15.75" customHeight="1"/>
    <row r="2299" ht="15.75" customHeight="1"/>
    <row r="2300" ht="15.75" customHeight="1"/>
    <row r="2301" ht="15.75" customHeight="1"/>
    <row r="2302" ht="15.75" customHeight="1"/>
    <row r="2303" ht="15.75" customHeight="1"/>
    <row r="2304" ht="15.75" customHeight="1"/>
    <row r="2305" ht="15.75" customHeight="1"/>
    <row r="2306" ht="15.75" customHeight="1"/>
    <row r="2307" ht="15.75" customHeight="1"/>
    <row r="2308" ht="15.75" customHeight="1"/>
    <row r="2309" ht="15.75" customHeight="1"/>
    <row r="2310" ht="15.75" customHeight="1"/>
    <row r="2311" ht="15.75" customHeight="1"/>
    <row r="2312" ht="15.75" customHeight="1"/>
    <row r="2313" ht="15.75" customHeight="1"/>
    <row r="2314" ht="15.75" customHeight="1"/>
    <row r="2315" ht="15.75" customHeight="1"/>
    <row r="2316" ht="15.75" customHeight="1"/>
    <row r="2317" ht="15.75" customHeight="1"/>
    <row r="2318" ht="15.75" customHeight="1"/>
    <row r="2319" ht="15.75" customHeight="1"/>
    <row r="2320" ht="15.75" customHeight="1"/>
    <row r="2321" ht="15.75" customHeight="1"/>
    <row r="2322" ht="15.75" customHeight="1"/>
    <row r="2323" ht="15.75" customHeight="1"/>
    <row r="2324" ht="15.75" customHeight="1"/>
    <row r="2325" ht="15.75" customHeight="1"/>
    <row r="2326" ht="15.75" customHeight="1"/>
    <row r="2327" ht="15.75" customHeight="1"/>
    <row r="2328" ht="15.75" customHeight="1"/>
    <row r="2329" ht="15.75" customHeight="1"/>
    <row r="2330" ht="15.75" customHeight="1"/>
    <row r="2331" ht="15.75" customHeight="1"/>
    <row r="2332" ht="15.75" customHeight="1"/>
    <row r="2333" ht="15.75" customHeight="1"/>
    <row r="2334" ht="15.75" customHeight="1"/>
    <row r="2335" ht="15.75" customHeight="1"/>
    <row r="2336" ht="15.75" customHeight="1"/>
    <row r="2337" ht="15.75" customHeight="1"/>
    <row r="2338" ht="15.75" customHeight="1"/>
    <row r="2339" ht="15.75" customHeight="1"/>
    <row r="2340" ht="15.75" customHeight="1"/>
    <row r="2341" ht="15.75" customHeight="1"/>
    <row r="2342" ht="15.75" customHeight="1"/>
    <row r="2343" ht="15.75" customHeight="1"/>
    <row r="2344" ht="15.75" customHeight="1"/>
    <row r="2345" ht="15.75" customHeight="1"/>
    <row r="2346" ht="15.75" customHeight="1"/>
    <row r="2347" ht="15.75" customHeight="1"/>
    <row r="2348" ht="15.75" customHeight="1"/>
    <row r="2349" ht="15.75" customHeight="1"/>
    <row r="2350" ht="15.75" customHeight="1"/>
    <row r="2351" ht="15.75" customHeight="1"/>
    <row r="2352" ht="15.75" customHeight="1"/>
    <row r="2353" ht="15.75" customHeight="1"/>
    <row r="2354" ht="15.75" customHeight="1"/>
    <row r="2355" ht="15.75" customHeight="1"/>
    <row r="2356" ht="15.75" customHeight="1"/>
    <row r="2357" ht="15.75" customHeight="1"/>
    <row r="2358" ht="15.75" customHeight="1"/>
    <row r="2359" ht="15.75" customHeight="1"/>
    <row r="2360" ht="15.75" customHeight="1"/>
    <row r="2361" ht="15.75" customHeight="1"/>
    <row r="2362" ht="15.75" customHeight="1"/>
    <row r="2363" ht="15.75" customHeight="1"/>
    <row r="2364" ht="15.75" customHeight="1"/>
    <row r="2365" ht="15.75" customHeight="1"/>
    <row r="2366" ht="15.75" customHeight="1"/>
    <row r="2367" ht="15.75" customHeight="1"/>
    <row r="2368" ht="15.75" customHeight="1"/>
    <row r="2369" ht="15.75" customHeight="1"/>
    <row r="2370" ht="15.75" customHeight="1"/>
    <row r="2371" ht="15.75" customHeight="1"/>
    <row r="2372" ht="15.75" customHeight="1"/>
    <row r="2373" ht="15.75" customHeight="1"/>
    <row r="2374" ht="15.75" customHeight="1"/>
    <row r="2375" ht="15.75" customHeight="1"/>
    <row r="2376" ht="15.75" customHeight="1"/>
    <row r="2377" ht="15.75" customHeight="1"/>
    <row r="2378" ht="15.75" customHeight="1"/>
    <row r="2379" ht="15.75" customHeight="1"/>
    <row r="2380" ht="15.75" customHeight="1"/>
    <row r="2381" ht="15.75" customHeight="1"/>
    <row r="2382" ht="15.75" customHeight="1"/>
    <row r="2383" ht="15.75" customHeight="1"/>
    <row r="2384" ht="15.75" customHeight="1"/>
    <row r="2385" ht="15.75" customHeight="1"/>
    <row r="2386" ht="15.75" customHeight="1"/>
    <row r="2387" ht="15.75" customHeight="1"/>
    <row r="2388" ht="15.75" customHeight="1"/>
    <row r="2389" ht="15.75" customHeight="1"/>
    <row r="2390" ht="15.75" customHeight="1"/>
    <row r="2391" ht="15.75" customHeight="1"/>
    <row r="2392" ht="15.75" customHeight="1"/>
    <row r="2393" ht="15.75" customHeight="1"/>
    <row r="2394" ht="15.75" customHeight="1"/>
    <row r="2395" ht="15.75" customHeight="1"/>
    <row r="2396" ht="15.75" customHeight="1"/>
    <row r="2397" ht="15.75" customHeight="1"/>
    <row r="2398" ht="15.75" customHeight="1"/>
    <row r="2399" ht="15.75" customHeight="1"/>
    <row r="2400" ht="15.75" customHeight="1"/>
    <row r="2401" ht="15.75" customHeight="1"/>
    <row r="2402" ht="15.75" customHeight="1"/>
    <row r="2403" ht="15.75" customHeight="1"/>
    <row r="2404" ht="15.75" customHeight="1"/>
    <row r="2405" ht="15.75" customHeight="1"/>
    <row r="2406" ht="15.75" customHeight="1"/>
    <row r="2407" ht="15.75" customHeight="1"/>
    <row r="2408" ht="15.75" customHeight="1"/>
    <row r="2409" ht="15.75" customHeight="1"/>
    <row r="2410" ht="15.75" customHeight="1"/>
    <row r="2411" ht="15.75" customHeight="1"/>
    <row r="2412" ht="15.75" customHeight="1"/>
    <row r="2413" ht="15.75" customHeight="1"/>
    <row r="2414" ht="15.75" customHeight="1"/>
    <row r="2415" ht="15.75" customHeight="1"/>
    <row r="2416" ht="15.75" customHeight="1"/>
    <row r="2417" ht="15.75" customHeight="1"/>
    <row r="2418" ht="15.75" customHeight="1"/>
    <row r="2419" ht="15.75" customHeight="1"/>
    <row r="2420" ht="15.75" customHeight="1"/>
    <row r="2421" ht="15.75" customHeight="1"/>
    <row r="2422" ht="15.75" customHeight="1"/>
    <row r="2423" ht="15.75" customHeight="1"/>
    <row r="2424" ht="15.75" customHeight="1"/>
    <row r="2425" ht="15.75" customHeight="1"/>
    <row r="2426" ht="15.75" customHeight="1"/>
    <row r="2427" ht="15.75" customHeight="1"/>
    <row r="2428" ht="15.75" customHeight="1"/>
    <row r="2429" ht="15.75" customHeight="1"/>
    <row r="2430" ht="15.75" customHeight="1"/>
    <row r="2431" ht="15.75" customHeight="1"/>
    <row r="2432" ht="15.75" customHeight="1"/>
    <row r="2433" ht="15.75" customHeight="1"/>
    <row r="2434" ht="15.75" customHeight="1"/>
    <row r="2435" ht="15.75" customHeight="1"/>
    <row r="2436" ht="15.75" customHeight="1"/>
    <row r="2437" ht="15.75" customHeight="1"/>
    <row r="2438" ht="15.75" customHeight="1"/>
    <row r="2439" ht="15.75" customHeight="1"/>
    <row r="2440" ht="15.75" customHeight="1"/>
    <row r="2441" ht="15.75" customHeight="1"/>
    <row r="2442" ht="15.75" customHeight="1"/>
    <row r="2443" ht="15.75" customHeight="1"/>
    <row r="2444" ht="15.75" customHeight="1"/>
    <row r="2445" ht="15.75" customHeight="1"/>
    <row r="2446" ht="15.75" customHeight="1"/>
    <row r="2447" ht="15.75" customHeight="1"/>
    <row r="2448" ht="15.75" customHeight="1"/>
    <row r="2449" ht="15.75" customHeight="1"/>
    <row r="2450" ht="15.75" customHeight="1"/>
    <row r="2451" ht="15.75" customHeight="1"/>
    <row r="2452" ht="15.75" customHeight="1"/>
    <row r="2453" ht="15.75" customHeight="1"/>
    <row r="2454" ht="15.75" customHeight="1"/>
    <row r="2455" ht="15.75" customHeight="1"/>
    <row r="2456" ht="15.75" customHeight="1"/>
    <row r="2457" ht="15.75" customHeight="1"/>
    <row r="2458" ht="15.75" customHeight="1"/>
    <row r="2459" ht="15.75" customHeight="1"/>
    <row r="2460" ht="15.75" customHeight="1"/>
    <row r="2461" ht="15.75" customHeight="1"/>
    <row r="2462" ht="15.75" customHeight="1"/>
    <row r="2463" ht="15.75" customHeight="1"/>
    <row r="2464" ht="15.75" customHeight="1"/>
    <row r="2465" ht="15.75" customHeight="1"/>
    <row r="2466" ht="15.75" customHeight="1"/>
    <row r="2467" ht="15.75" customHeight="1"/>
    <row r="2468" ht="15.75" customHeight="1"/>
    <row r="2469" ht="15.75" customHeight="1"/>
    <row r="2470" ht="15.75" customHeight="1"/>
    <row r="2471" ht="15.75" customHeight="1"/>
    <row r="2472" ht="15.75" customHeight="1"/>
    <row r="2473" ht="15.75" customHeight="1"/>
    <row r="2474" ht="15.75" customHeight="1"/>
    <row r="2475" ht="15.75" customHeight="1"/>
    <row r="2476" ht="15.75" customHeight="1"/>
    <row r="2477" ht="15.75" customHeight="1"/>
    <row r="2478" ht="15.75" customHeight="1"/>
    <row r="2479" ht="15.75" customHeight="1"/>
    <row r="2480" ht="15.75" customHeight="1"/>
    <row r="2481" ht="15.75" customHeight="1"/>
    <row r="2482" ht="15.75" customHeight="1"/>
    <row r="2483" ht="15.75" customHeight="1"/>
    <row r="2484" ht="15.75" customHeight="1"/>
    <row r="2485" ht="15.75" customHeight="1"/>
    <row r="2486" ht="15.75" customHeight="1"/>
    <row r="2487" ht="15.75" customHeight="1"/>
    <row r="2488" ht="15.75" customHeight="1"/>
    <row r="2489" ht="15.75" customHeight="1"/>
    <row r="2490" ht="15.75" customHeight="1"/>
    <row r="2491" ht="15.75" customHeight="1"/>
    <row r="2492" ht="15.75" customHeight="1"/>
    <row r="2493" ht="15.75" customHeight="1"/>
    <row r="2494" ht="15.75" customHeight="1"/>
    <row r="2495" ht="15.75" customHeight="1"/>
    <row r="2496" ht="15.75" customHeight="1"/>
    <row r="2497" ht="15.75" customHeight="1"/>
    <row r="2498" ht="15.75" customHeight="1"/>
    <row r="2499" ht="15.75" customHeight="1"/>
    <row r="2500" ht="15.75" customHeight="1"/>
    <row r="2501" ht="15.75" customHeight="1"/>
    <row r="2502" ht="15.75" customHeight="1"/>
    <row r="2503" ht="15.75" customHeight="1"/>
    <row r="2504" ht="15.75" customHeight="1"/>
    <row r="2505" ht="15.75" customHeight="1"/>
    <row r="2506" ht="15.75" customHeight="1"/>
    <row r="2507" ht="15.75" customHeight="1"/>
    <row r="2508" ht="15.75" customHeight="1"/>
    <row r="2509" ht="15.75" customHeight="1"/>
    <row r="2510" ht="15.75" customHeight="1"/>
    <row r="2511" ht="15.75" customHeight="1"/>
    <row r="2512" ht="15.75" customHeight="1"/>
    <row r="2513" ht="15.75" customHeight="1"/>
    <row r="2514" ht="15.75" customHeight="1"/>
    <row r="2515" ht="15.75" customHeight="1"/>
    <row r="2516" ht="15.75" customHeight="1"/>
    <row r="2517" ht="15.75" customHeight="1"/>
    <row r="2518" ht="15.75" customHeight="1"/>
    <row r="2519" ht="15.75" customHeight="1"/>
    <row r="2520" ht="15.75" customHeight="1"/>
    <row r="2521" ht="15.75" customHeight="1"/>
    <row r="2522" ht="15.75" customHeight="1"/>
    <row r="2523" ht="15.75" customHeight="1"/>
    <row r="2524" ht="15.75" customHeight="1"/>
    <row r="2525" ht="15.75" customHeight="1"/>
    <row r="2526" ht="15.75" customHeight="1"/>
    <row r="2527" ht="15.75" customHeight="1"/>
    <row r="2528" ht="15.75" customHeight="1"/>
    <row r="2529" ht="15.75" customHeight="1"/>
    <row r="2530" ht="15.75" customHeight="1"/>
    <row r="2531" ht="15.75" customHeight="1"/>
    <row r="2532" ht="15.75" customHeight="1"/>
    <row r="2533" ht="15.75" customHeight="1"/>
    <row r="2534" ht="15.75" customHeight="1"/>
    <row r="2535" ht="15.75" customHeight="1"/>
    <row r="2536" ht="15.75" customHeight="1"/>
    <row r="2537" ht="15.75" customHeight="1"/>
    <row r="2538" ht="15.75" customHeight="1"/>
    <row r="2539" ht="15.75" customHeight="1"/>
    <row r="2540" ht="15.75" customHeight="1"/>
    <row r="2541" ht="15.75" customHeight="1"/>
    <row r="2542" ht="15.75" customHeight="1"/>
    <row r="2543" ht="15.75" customHeight="1"/>
    <row r="2544" ht="15.75" customHeight="1"/>
    <row r="2545" ht="15.75" customHeight="1"/>
    <row r="2546" ht="15.75" customHeight="1"/>
    <row r="2547" ht="15.75" customHeight="1"/>
    <row r="2548" ht="15.75" customHeight="1"/>
    <row r="2549" ht="15.75" customHeight="1"/>
    <row r="2550" ht="15.75" customHeight="1"/>
    <row r="2551" ht="15.75" customHeight="1"/>
    <row r="2552" ht="15.75" customHeight="1"/>
    <row r="2553" ht="15.75" customHeight="1"/>
    <row r="2554" ht="15.75" customHeight="1"/>
    <row r="2555" ht="15.75" customHeight="1"/>
    <row r="2556" ht="15.75" customHeight="1"/>
    <row r="2557" ht="15.75" customHeight="1"/>
    <row r="2558" ht="15.75" customHeight="1"/>
    <row r="2559" ht="15.75" customHeight="1"/>
    <row r="2560" ht="15.75" customHeight="1"/>
    <row r="2561" ht="15.75" customHeight="1"/>
    <row r="2562" ht="15.75" customHeight="1"/>
    <row r="2563" ht="15.75" customHeight="1"/>
    <row r="2564" ht="15.75" customHeight="1"/>
    <row r="2565" ht="15.75" customHeight="1"/>
    <row r="2566" ht="15.75" customHeight="1"/>
    <row r="2567" ht="15.75" customHeight="1"/>
    <row r="2568" ht="15.75" customHeight="1"/>
    <row r="2569" ht="15.75" customHeight="1"/>
    <row r="2570" ht="15.75" customHeight="1"/>
    <row r="2571" ht="15.75" customHeight="1"/>
    <row r="2572" ht="15.75" customHeight="1"/>
    <row r="2573" ht="15.75" customHeight="1"/>
    <row r="2574" ht="15.75" customHeight="1"/>
    <row r="2575" ht="15.75" customHeight="1"/>
    <row r="2576" ht="15.75" customHeight="1"/>
    <row r="2577" ht="15.75" customHeight="1"/>
    <row r="2578" ht="15.75" customHeight="1"/>
    <row r="2579" ht="15.75" customHeight="1"/>
    <row r="2580" ht="15.75" customHeight="1"/>
    <row r="2581" ht="15.75" customHeight="1"/>
    <row r="2582" ht="15.75" customHeight="1"/>
    <row r="2583" ht="15.75" customHeight="1"/>
    <row r="2584" ht="15.75" customHeight="1"/>
    <row r="2585" ht="15.75" customHeight="1"/>
    <row r="2586" ht="15.75" customHeight="1"/>
    <row r="2587" ht="15.75" customHeight="1"/>
    <row r="2588" ht="15.75" customHeight="1"/>
    <row r="2589" ht="15.75" customHeight="1"/>
    <row r="2590" ht="15.75" customHeight="1"/>
    <row r="2591" ht="15.75" customHeight="1"/>
    <row r="2592" ht="15.75" customHeight="1"/>
    <row r="2593" ht="15.75" customHeight="1"/>
    <row r="2594" ht="15.75" customHeight="1"/>
    <row r="2595" ht="15.75" customHeight="1"/>
    <row r="2596" ht="15.75" customHeight="1"/>
    <row r="2597" ht="15.75" customHeight="1"/>
    <row r="2598" ht="15.75" customHeight="1"/>
    <row r="2599" ht="15.75" customHeight="1"/>
    <row r="2600" ht="15.75" customHeight="1"/>
    <row r="2601" ht="15.75" customHeight="1"/>
    <row r="2602" ht="15.75" customHeight="1"/>
    <row r="2603" ht="15.75" customHeight="1"/>
    <row r="2604" ht="15.75" customHeight="1"/>
    <row r="2605" ht="15.75" customHeight="1"/>
    <row r="2606" ht="15.75" customHeight="1"/>
    <row r="2607" ht="15.75" customHeight="1"/>
    <row r="2608" ht="15.75" customHeight="1"/>
    <row r="2609" ht="15.75" customHeight="1"/>
    <row r="2610" ht="15.75" customHeight="1"/>
    <row r="2611" ht="15.75" customHeight="1"/>
    <row r="2612" ht="15.75" customHeight="1"/>
    <row r="2613" ht="15.75" customHeight="1"/>
    <row r="2614" ht="15.75" customHeight="1"/>
    <row r="2615" ht="15.75" customHeight="1"/>
    <row r="2616" ht="15.75" customHeight="1"/>
    <row r="2617" ht="15.75" customHeight="1"/>
    <row r="2618" ht="15.75" customHeight="1"/>
    <row r="2619" ht="15.75" customHeight="1"/>
    <row r="2620" ht="15.75" customHeight="1"/>
    <row r="2621" ht="15.75" customHeight="1"/>
    <row r="2622" ht="15.75" customHeight="1"/>
    <row r="2623" ht="15.75" customHeight="1"/>
    <row r="2624" ht="15.75" customHeight="1"/>
    <row r="2625" ht="15.75" customHeight="1"/>
    <row r="2626" ht="15.75" customHeight="1"/>
    <row r="2627" ht="15.75" customHeight="1"/>
    <row r="2628" ht="15.75" customHeight="1"/>
    <row r="2629" ht="15.75" customHeight="1"/>
    <row r="2630" ht="15.75" customHeight="1"/>
    <row r="2631" ht="15.75" customHeight="1"/>
    <row r="2632" ht="15.75" customHeight="1"/>
    <row r="2633" ht="15.75" customHeight="1"/>
    <row r="2634" ht="15.75" customHeight="1"/>
    <row r="2635" ht="15.75" customHeight="1"/>
    <row r="2636" ht="15.75" customHeight="1"/>
    <row r="2637" ht="15.75" customHeight="1"/>
    <row r="2638" ht="15.75" customHeight="1"/>
    <row r="2639" ht="15.75" customHeight="1"/>
    <row r="2640" ht="15.75" customHeight="1"/>
    <row r="2641" ht="15.75" customHeight="1"/>
    <row r="2642" ht="15.75" customHeight="1"/>
    <row r="2643" ht="15.75" customHeight="1"/>
    <row r="2644" ht="15.75" customHeight="1"/>
    <row r="2645" ht="15.75" customHeight="1"/>
    <row r="2646" ht="15.75" customHeight="1"/>
    <row r="2647" ht="15.75" customHeight="1"/>
    <row r="2648" ht="15.75" customHeight="1"/>
    <row r="2649" ht="15.75" customHeight="1"/>
    <row r="2650" ht="15.75" customHeight="1"/>
    <row r="2651" ht="15.75" customHeight="1"/>
    <row r="2652" ht="15.75" customHeight="1"/>
    <row r="2653" ht="15.75" customHeight="1"/>
    <row r="2654" ht="15.75" customHeight="1"/>
    <row r="2655" ht="15.75" customHeight="1"/>
    <row r="2656" ht="15.75" customHeight="1"/>
    <row r="2657" ht="15.75" customHeight="1"/>
    <row r="2658" ht="15.75" customHeight="1"/>
    <row r="2659" ht="15.75" customHeight="1"/>
    <row r="2660" ht="15.75" customHeight="1"/>
    <row r="2661" ht="15.75" customHeight="1"/>
    <row r="2662" ht="15.75" customHeight="1"/>
    <row r="2663" ht="15.75" customHeight="1"/>
    <row r="2664" ht="15.75" customHeight="1"/>
    <row r="2665" ht="15.75" customHeight="1"/>
    <row r="2666" ht="15.75" customHeight="1"/>
    <row r="2667" ht="15.75" customHeight="1"/>
    <row r="2668" ht="15.75" customHeight="1"/>
    <row r="2669" ht="15.75" customHeight="1"/>
    <row r="2670" ht="15.75" customHeight="1"/>
    <row r="2671" ht="15.75" customHeight="1"/>
    <row r="2672" ht="15.75" customHeight="1"/>
    <row r="2673" ht="15.75" customHeight="1"/>
    <row r="2674" ht="15.75" customHeight="1"/>
    <row r="2675" ht="15.75" customHeight="1"/>
    <row r="2676" ht="15.75" customHeight="1"/>
    <row r="2677" ht="15.75" customHeight="1"/>
    <row r="2678" ht="15.75" customHeight="1"/>
    <row r="2679" ht="15.75" customHeight="1"/>
    <row r="2680" ht="15.75" customHeight="1"/>
    <row r="2681" ht="15.75" customHeight="1"/>
    <row r="2682" ht="15.75" customHeight="1"/>
    <row r="2683" ht="15.75" customHeight="1"/>
    <row r="2684" ht="15.75" customHeight="1"/>
    <row r="2685" ht="15.75" customHeight="1"/>
    <row r="2686" ht="15.75" customHeight="1"/>
    <row r="2687" ht="15.75" customHeight="1"/>
    <row r="2688" ht="15.75" customHeight="1"/>
    <row r="2689" ht="15.75" customHeight="1"/>
    <row r="2690" ht="15.75" customHeight="1"/>
    <row r="2691" ht="15.75" customHeight="1"/>
    <row r="2692" ht="15.75" customHeight="1"/>
    <row r="2693" ht="15.75" customHeight="1"/>
    <row r="2694" ht="15.75" customHeight="1"/>
    <row r="2695" ht="15.75" customHeight="1"/>
    <row r="2696" ht="15.75" customHeight="1"/>
    <row r="2697" ht="15.75" customHeight="1"/>
    <row r="2698" ht="15.75" customHeight="1"/>
    <row r="2699" ht="15.75" customHeight="1"/>
    <row r="2700" ht="15.75" customHeight="1"/>
    <row r="2701" ht="15.75" customHeight="1"/>
    <row r="2702" ht="15.75" customHeight="1"/>
    <row r="2703" ht="15.75" customHeight="1"/>
    <row r="2704" ht="15.75" customHeight="1"/>
    <row r="2705" ht="15.75" customHeight="1"/>
    <row r="2706" ht="15.75" customHeight="1"/>
    <row r="2707" ht="15.75" customHeight="1"/>
    <row r="2708" ht="15.75" customHeight="1"/>
    <row r="2709" ht="15.75" customHeight="1"/>
    <row r="2710" ht="15.75" customHeight="1"/>
    <row r="2711" ht="15.75" customHeight="1"/>
    <row r="2712" ht="15.75" customHeight="1"/>
    <row r="2713" ht="15.75" customHeight="1"/>
    <row r="2714" ht="15.75" customHeight="1"/>
    <row r="2715" ht="15.75" customHeight="1"/>
    <row r="2716" ht="15.75" customHeight="1"/>
    <row r="2717" ht="15.75" customHeight="1"/>
    <row r="2718" ht="15.75" customHeight="1"/>
    <row r="2719" ht="15.75" customHeight="1"/>
    <row r="2720" ht="15.75" customHeight="1"/>
    <row r="2721" ht="15.75" customHeight="1"/>
    <row r="2722" ht="15.75" customHeight="1"/>
    <row r="2723" ht="15.75" customHeight="1"/>
    <row r="2724" ht="15.75" customHeight="1"/>
    <row r="2725" ht="15.75" customHeight="1"/>
    <row r="2726" ht="15.75" customHeight="1"/>
    <row r="2727" ht="15.75" customHeight="1"/>
    <row r="2728" ht="15.75" customHeight="1"/>
    <row r="2729" ht="15.75" customHeight="1"/>
    <row r="2730" ht="15.75" customHeight="1"/>
    <row r="2731" ht="15.75" customHeight="1"/>
    <row r="2732" ht="15.75" customHeight="1"/>
    <row r="2733" ht="15.75" customHeight="1"/>
    <row r="2734" ht="15.75" customHeight="1"/>
    <row r="2735" ht="15.75" customHeight="1"/>
    <row r="2736" ht="15.75" customHeight="1"/>
    <row r="2737" ht="15.75" customHeight="1"/>
    <row r="2738" ht="15.75" customHeight="1"/>
    <row r="2739" ht="15.75" customHeight="1"/>
    <row r="2740" ht="15.75" customHeight="1"/>
    <row r="2741" ht="15.75" customHeight="1"/>
    <row r="2742" ht="15.75" customHeight="1"/>
    <row r="2743" ht="15.75" customHeight="1"/>
    <row r="2744" ht="15.75" customHeight="1"/>
    <row r="2745" ht="15.75" customHeight="1"/>
    <row r="2746" ht="15.75" customHeight="1"/>
    <row r="2747" ht="15.75" customHeight="1"/>
    <row r="2748" ht="15.75" customHeight="1"/>
    <row r="2749" ht="15.75" customHeight="1"/>
    <row r="2750" ht="15.75" customHeight="1"/>
    <row r="2751" ht="15.75" customHeight="1"/>
    <row r="2752" ht="15.75" customHeight="1"/>
    <row r="2753" ht="15.75" customHeight="1"/>
    <row r="2754" ht="15.75" customHeight="1"/>
    <row r="2755" ht="15.75" customHeight="1"/>
    <row r="2756" ht="15.75" customHeight="1"/>
    <row r="2757" ht="15.75" customHeight="1"/>
    <row r="2758" ht="15.75" customHeight="1"/>
    <row r="2759" ht="15.75" customHeight="1"/>
    <row r="2760" ht="15.75" customHeight="1"/>
    <row r="2761" ht="15.75" customHeight="1"/>
    <row r="2762" ht="15.75" customHeight="1"/>
    <row r="2763" ht="15.75" customHeight="1"/>
    <row r="2764" ht="15.75" customHeight="1"/>
    <row r="2765" ht="15.75" customHeight="1"/>
    <row r="2766" ht="15.75" customHeight="1"/>
    <row r="2767" ht="15.75" customHeight="1"/>
    <row r="2768" ht="15.75" customHeight="1"/>
    <row r="2769" ht="15.75" customHeight="1"/>
    <row r="2770" ht="15.75" customHeight="1"/>
    <row r="2771" ht="15.75" customHeight="1"/>
    <row r="2772" ht="15.75" customHeight="1"/>
    <row r="2773" ht="15.75" customHeight="1"/>
    <row r="2774" ht="15.75" customHeight="1"/>
    <row r="2775" ht="15.75" customHeight="1"/>
    <row r="2776" ht="15.75" customHeight="1"/>
    <row r="2777" ht="15.75" customHeight="1"/>
    <row r="2778" ht="15.75" customHeight="1"/>
    <row r="2779" ht="15.75" customHeight="1"/>
    <row r="2780" ht="15.75" customHeight="1"/>
    <row r="2781" ht="15.75" customHeight="1"/>
    <row r="2782" ht="15.75" customHeight="1"/>
    <row r="2783" ht="15.75" customHeight="1"/>
    <row r="2784" ht="15.75" customHeight="1"/>
    <row r="2785" ht="15.75" customHeight="1"/>
    <row r="2786" ht="15.75" customHeight="1"/>
    <row r="2787" ht="15.75" customHeight="1"/>
    <row r="2788" ht="15.75" customHeight="1"/>
    <row r="2789" ht="15.75" customHeight="1"/>
    <row r="2790" ht="15.75" customHeight="1"/>
    <row r="2791" ht="15.75" customHeight="1"/>
    <row r="2792" ht="15.75" customHeight="1"/>
    <row r="2793" ht="15.75" customHeight="1"/>
    <row r="2794" ht="15.75" customHeight="1"/>
    <row r="2795" ht="15.75" customHeight="1"/>
    <row r="2796" ht="15.75" customHeight="1"/>
    <row r="2797" ht="15.75" customHeight="1"/>
    <row r="2798" ht="15.75" customHeight="1"/>
    <row r="2799" ht="15.75" customHeight="1"/>
    <row r="2800" ht="15.75" customHeight="1"/>
    <row r="2801" ht="15.75" customHeight="1"/>
    <row r="2802" ht="15.75" customHeight="1"/>
    <row r="2803" ht="15.75" customHeight="1"/>
    <row r="2804" ht="15.75" customHeight="1"/>
    <row r="2805" ht="15.75" customHeight="1"/>
    <row r="2806" ht="15.75" customHeight="1"/>
    <row r="2807" ht="15.75" customHeight="1"/>
    <row r="2808" ht="15.75" customHeight="1"/>
    <row r="2809" ht="15.75" customHeight="1"/>
    <row r="2810" ht="15.75" customHeight="1"/>
    <row r="2811" ht="15.75" customHeight="1"/>
    <row r="2812" ht="15.75" customHeight="1"/>
    <row r="2813" ht="15.75" customHeight="1"/>
    <row r="2814" ht="15.75" customHeight="1"/>
    <row r="2815" ht="15.75" customHeight="1"/>
    <row r="2816" ht="15.75" customHeight="1"/>
    <row r="2817" ht="15.75" customHeight="1"/>
    <row r="2818" ht="15.75" customHeight="1"/>
    <row r="2819" ht="15.75" customHeight="1"/>
    <row r="2820" ht="15.75" customHeight="1"/>
    <row r="2821" ht="15.75" customHeight="1"/>
    <row r="2822" ht="15.75" customHeight="1"/>
    <row r="2823" ht="15.75" customHeight="1"/>
    <row r="2824" ht="15.75" customHeight="1"/>
    <row r="2825" ht="15.75" customHeight="1"/>
    <row r="2826" ht="15.75" customHeight="1"/>
    <row r="2827" ht="15.75" customHeight="1"/>
    <row r="2828" ht="15.75" customHeight="1"/>
    <row r="2829" ht="15.75" customHeight="1"/>
    <row r="2830" ht="15.75" customHeight="1"/>
    <row r="2831" ht="15.75" customHeight="1"/>
    <row r="2832" ht="15.75" customHeight="1"/>
    <row r="2833" ht="15.75" customHeight="1"/>
    <row r="2834" ht="15.75" customHeight="1"/>
    <row r="2835" ht="15.75" customHeight="1"/>
    <row r="2836" ht="15.75" customHeight="1"/>
    <row r="2837" ht="15.75" customHeight="1"/>
    <row r="2838" ht="15.75" customHeight="1"/>
    <row r="2839" ht="15.75" customHeight="1"/>
    <row r="2840" ht="15.75" customHeight="1"/>
    <row r="2841" ht="15.75" customHeight="1"/>
    <row r="2842" ht="15.75" customHeight="1"/>
    <row r="2843" ht="15.75" customHeight="1"/>
    <row r="2844" ht="15.75" customHeight="1"/>
    <row r="2845" ht="15.75" customHeight="1"/>
    <row r="2846" ht="15.75" customHeight="1"/>
    <row r="2847" ht="15.75" customHeight="1"/>
    <row r="2848" ht="15.75" customHeight="1"/>
    <row r="2849" ht="15.75" customHeight="1"/>
    <row r="2850" ht="15.75" customHeight="1"/>
    <row r="2851" ht="15.75" customHeight="1"/>
    <row r="2852" ht="15.75" customHeight="1"/>
    <row r="2853" ht="15.75" customHeight="1"/>
    <row r="2854" ht="15.75" customHeight="1"/>
    <row r="2855" ht="15.75" customHeight="1"/>
    <row r="2856" ht="15.75" customHeight="1"/>
    <row r="2857" ht="15.75" customHeight="1"/>
    <row r="2858" ht="15.75" customHeight="1"/>
    <row r="2859" ht="15.75" customHeight="1"/>
    <row r="2860" ht="15.75" customHeight="1"/>
    <row r="2861" ht="15.75" customHeight="1"/>
    <row r="2862" ht="15.75" customHeight="1"/>
    <row r="2863" ht="15.75" customHeight="1"/>
    <row r="2864" ht="15.75" customHeight="1"/>
    <row r="2865" ht="15.75" customHeight="1"/>
    <row r="2866" ht="15.75" customHeight="1"/>
    <row r="2867" ht="15.75" customHeight="1"/>
    <row r="2868" ht="15.75" customHeight="1"/>
    <row r="2869" ht="15.75" customHeight="1"/>
    <row r="2870" ht="15.75" customHeight="1"/>
    <row r="2871" ht="15.75" customHeight="1"/>
    <row r="2872" ht="15.75" customHeight="1"/>
    <row r="2873" ht="15.75" customHeight="1"/>
    <row r="2874" ht="15.75" customHeight="1"/>
    <row r="2875" ht="15.75" customHeight="1"/>
    <row r="2876" ht="15.75" customHeight="1"/>
    <row r="2877" ht="15.75" customHeight="1"/>
    <row r="2878" ht="15.75" customHeight="1"/>
    <row r="2879" ht="15.75" customHeight="1"/>
    <row r="2880" ht="15.75" customHeight="1"/>
    <row r="2881" ht="15.75" customHeight="1"/>
    <row r="2882" ht="15.75" customHeight="1"/>
    <row r="2883" ht="15.75" customHeight="1"/>
    <row r="2884" ht="15.75" customHeight="1"/>
    <row r="2885" ht="15.75" customHeight="1"/>
    <row r="2886" ht="15.75" customHeight="1"/>
    <row r="2887" ht="15.75" customHeight="1"/>
    <row r="2888" ht="15.75" customHeight="1"/>
    <row r="2889" ht="15.75" customHeight="1"/>
    <row r="2890" ht="15.75" customHeight="1"/>
    <row r="2891" ht="15.75" customHeight="1"/>
    <row r="2892" ht="15.75" customHeight="1"/>
    <row r="2893" ht="15.75" customHeight="1"/>
    <row r="2894" ht="15.75" customHeight="1"/>
    <row r="2895" ht="15.75" customHeight="1"/>
    <row r="2896" ht="15.75" customHeight="1"/>
    <row r="2897" ht="15.75" customHeight="1"/>
    <row r="2898" ht="15.75" customHeight="1"/>
    <row r="2899" ht="15.75" customHeight="1"/>
    <row r="2900" ht="15.75" customHeight="1"/>
    <row r="2901" ht="15.75" customHeight="1"/>
    <row r="2902" ht="15.75" customHeight="1"/>
    <row r="2903" ht="15.75" customHeight="1"/>
    <row r="2904" ht="15.75" customHeight="1"/>
    <row r="2905" ht="15.75" customHeight="1"/>
    <row r="2906" ht="15.75" customHeight="1"/>
    <row r="2907" ht="15.75" customHeight="1"/>
    <row r="2908" ht="15.75" customHeight="1"/>
    <row r="2909" ht="15.75" customHeight="1"/>
    <row r="2910" ht="15.75" customHeight="1"/>
    <row r="2911" ht="15.75" customHeight="1"/>
    <row r="2912" ht="15.75" customHeight="1"/>
    <row r="2913" ht="15.75" customHeight="1"/>
    <row r="2914" ht="15.75" customHeight="1"/>
    <row r="2915" ht="15.75" customHeight="1"/>
    <row r="2916" ht="15.75" customHeight="1"/>
    <row r="2917" ht="15.75" customHeight="1"/>
    <row r="2918" ht="15.75" customHeight="1"/>
    <row r="2919" ht="15.75" customHeight="1"/>
    <row r="2920" ht="15.75" customHeight="1"/>
    <row r="2921" ht="15.75" customHeight="1"/>
    <row r="2922" ht="15.75" customHeight="1"/>
    <row r="2923" ht="15.75" customHeight="1"/>
    <row r="2924" ht="15.75" customHeight="1"/>
    <row r="2925" ht="15.75" customHeight="1"/>
    <row r="2926" ht="15.75" customHeight="1"/>
    <row r="2927" ht="15.75" customHeight="1"/>
    <row r="2928"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sheetData>
  <autoFilter ref="$D$1:$D$2998"/>
  <customSheetViews>
    <customSheetView guid="{907F8D9F-12E0-4B00-BEC1-FFF6D99478B6}" filter="1" showAutoFilter="1">
      <autoFilter ref="$I$1:$I$998"/>
      <extLst>
        <ext uri="GoogleSheetsCustomDataVersion1">
          <go:sheetsCustomData xmlns:go="http://customooxmlschemas.google.com/" filterViewId="1121252059"/>
        </ext>
      </extLst>
    </customSheetView>
    <customSheetView guid="{4D85D448-EB4E-4A1E-A47D-261D6EB3B089}" filter="1" showAutoFilter="1">
      <autoFilter ref="$I$1:$I$1998"/>
      <extLst>
        <ext uri="GoogleSheetsCustomDataVersion1">
          <go:sheetsCustomData xmlns:go="http://customooxmlschemas.google.com/" filterViewId="126963925"/>
        </ext>
      </extLst>
    </customSheetView>
    <customSheetView guid="{12CB2CCC-8D27-44DB-9F40-633793C33FFC}" filter="1" showAutoFilter="1">
      <autoFilter ref="$I$71:$J$138"/>
      <extLst>
        <ext uri="GoogleSheetsCustomDataVersion1">
          <go:sheetsCustomData xmlns:go="http://customooxmlschemas.google.com/" filterViewId="1435048834"/>
        </ext>
      </extLst>
    </customSheetView>
    <customSheetView guid="{FC93029B-24E2-47D4-8C46-8643EDEBABD3}" filter="1" showAutoFilter="1">
      <autoFilter ref="$A$1:$J$274">
        <filterColumn colId="8">
          <filters>
            <filter val="Spam delete"/>
            <filter val="shahrzad"/>
            <filter val="saira"/>
            <filter val="Aylar"/>
            <filter val="Jamiel"/>
            <filter val="sabire"/>
            <filter val="Saba"/>
            <filter val="registraion"/>
            <filter val="emily"/>
            <filter val="suvi / julia"/>
            <filter val="Spam"/>
            <filter val="Sabire"/>
            <filter val="Haidi"/>
            <filter val="Emily"/>
            <filter val="Hediyeh /Ali"/>
            <filter val="Wrong number"/>
            <filter val="suvi / emily"/>
            <filter val="EMILY /HEDIYEH"/>
            <filter val="saba /aysel"/>
            <filter val="waqas /tommy"/>
            <filter val="Ali / Aysel"/>
            <filter val="ali"/>
            <filter val="victoria"/>
            <filter val="shane"/>
            <filter val="Asif /saba"/>
            <filter val="aysel"/>
            <filter val="SHANE"/>
            <filter val="Julia"/>
            <filter val="Asif"/>
            <filter val="Suvidha"/>
            <filter val="Hediyeh"/>
            <filter val="saba"/>
            <filter val="fahad"/>
            <filter val="Ali"/>
          </filters>
        </filterColumn>
      </autoFilter>
      <extLst>
        <ext uri="GoogleSheetsCustomDataVersion1">
          <go:sheetsCustomData xmlns:go="http://customooxmlschemas.google.com/" filterViewId="1446049407"/>
        </ext>
      </extLst>
    </customSheetView>
    <customSheetView guid="{81861F5D-CB05-46E0-BCFB-BABE13E8E2F3}" filter="1" showAutoFilter="1">
      <autoFilter ref="$G$1:$G$1005">
        <filterColumn colId="0">
          <filters>
            <filter val="PROJECT: Golf Suites by Emaar-Constant"/>
            <filter val="PROJECT: chinainvestmentweek.com/Nigeria"/>
            <filter val="Registration Meraas Offer 2018"/>
            <filter val="Project:  Bluewaters"/>
            <filter val="4BR"/>
            <filter val="From: Email -Ready Property"/>
            <filter val="Emaar Rove-Constant"/>
            <filter val="Client interested in City Walk."/>
            <filter val="PROJECT: Emaar Promo"/>
            <filter val="Client interested in Dubai Wharf"/>
            <filter val="Project: EMAAR Arabian Ranches Offer"/>
            <filter val="EMAAR Arabian Ranches Offer-MTA"/>
            <filter val="Project: Dubai Hills"/>
            <filter val="Project Rove City Walk"/>
            <filter val="PROJECT: Sunset by Emaar"/>
            <filter val="Registration Golf Links by Emaar"/>
            <filter val="Direct Mail"/>
            <filter val="Registration Meraas Offer-Constant"/>
            <filter val="From: Go daddy   / Registration for Restaurant for Sale"/>
            <filter val="Client interested in City Walk"/>
            <filter val="Project:  City Walk"/>
            <filter val="PROJECT: chinainvestmentweek.com/*nigeria*"/>
            <filter val="Client interested in Nad Al Sheba Gardens"/>
            <filter val="Registration City Walk"/>
            <filter val="Emaar Property."/>
            <filter val="Lacote Registration"/>
            <filter val="Project Rahaal"/>
            <filter val="From:    Web mail Rahaal- MJL"/>
            <filter val="Project: Rove City Walk"/>
            <filter val="Project: Samana Greens"/>
            <filter val="Direct Call"/>
            <filter val="Client for Rahaal MJL"/>
            <filter val="I HAVE LOTS OF investors WHO CAN INVEST IN YOUR PROJECT. I REQUEST YOU PLEASE SEND ME MORE INFORMATION ABOUT YOUR PROJECTS."/>
            <filter val="Project: Arabian ranches Offer - La Avenida"/>
            <filter val="EMAAR 2018 Offer"/>
            <filter val="Go daddy  /Mira Oasis"/>
            <filter val="PROJECT: Emaar - COLLECTIVE"/>
            <filter val="Please let me know the price .. PSF"/>
            <filter val="EMAAR Offer 2018 Constant"/>
            <filter val="Propertyfinder"/>
            <filter val="Client for Emaar Downtown Offer"/>
            <filter val="Project: Meraas Special Offer - City Walk"/>
            <filter val="PROJECT: Arabian Ranches 2 by Emaar"/>
            <filter val="Project: Citywalk"/>
            <filter val="Project:  Downtown Dubai"/>
            <filter val="Client interested in Emaar Property."/>
            <filter val="Rahaal at MJL Constant"/>
            <filter val="Project: Emaar Dubai Hills Offer"/>
            <filter val="Client interested in Bluewaters-MTA"/>
            <filter val="Project:  *Bluewaters*"/>
            <filter val="Project: Dubai Wharf"/>
            <filter val="PROJECT: Sunset by Emaar-(i)Contact"/>
            <filter val="EMAAR Arabian Ranches Offer"/>
            <filter val="PROJECT: 90210 Villas"/>
            <filter val="Client interested in Manazel Al Khor"/>
            <filter val="Mira Oasis"/>
            <filter val="Registration for Restaurant for Sale"/>
            <filter val="Project Bluewaters"/>
            <filter val="Project: Rahaal MJL"/>
            <filter val="Go Daddy Mira Oasis"/>
          </filters>
        </filterColumn>
      </autoFilter>
      <extLst>
        <ext uri="GoogleSheetsCustomDataVersion1">
          <go:sheetsCustomData xmlns:go="http://customooxmlschemas.google.com/" filterViewId="1874382578"/>
        </ext>
      </extLst>
    </customSheetView>
    <customSheetView guid="{E3432889-4B8C-4A16-BA7C-BA7887E47210}" filter="1" showAutoFilter="1">
      <autoFilter ref="$A$1:$AG$1005">
        <filterColumn colId="8">
          <filters>
            <filter val="Spam delete"/>
            <filter val="shahrzad"/>
            <filter val="saira"/>
            <filter val="Aylar"/>
            <filter val="Jamiel"/>
            <filter val="sabire"/>
            <filter val="Saba"/>
            <filter val="registraion"/>
            <filter val="emily"/>
            <filter val="suvi / julia"/>
            <filter val="Aysel"/>
            <filter val="Spam"/>
            <filter val="Sabire"/>
            <filter val="Haidi"/>
            <filter val="Emily"/>
            <filter val="Hediyeh /Ali"/>
            <filter val="Wrong number"/>
            <filter val="suvi / emily"/>
            <filter val="EMILY /HEDIYEH"/>
            <filter val="saba /aysel"/>
            <filter val="waqas /tommy"/>
            <filter val="Ali / Aysel"/>
            <filter val="ali"/>
            <filter val="victoria"/>
            <filter val="waqas"/>
            <filter val="Aman"/>
            <filter val="shane"/>
            <filter val="tommy"/>
            <filter val="mary"/>
            <filter val="Asif /saba"/>
            <filter val="aysel"/>
            <filter val="SHANE"/>
            <filter val="Julia"/>
            <filter val="Asif"/>
            <filter val="Aysel / Suvi"/>
            <filter val="Tong"/>
            <filter val="Suvidha"/>
            <filter val="Hediyeh"/>
            <filter val="saba"/>
            <filter val="Shahrzad"/>
            <filter val="fahad"/>
            <filter val="spam"/>
            <filter val="?"/>
            <filter val="Ali"/>
          </filters>
        </filterColumn>
        <filterColumn colId="6">
          <filters>
            <filter val="PROJECT: chinainvestmentweek.com/Nigeria"/>
            <filter val="Registration Meraas Offer 2018"/>
            <filter val="Client for Dubai Property Offer"/>
            <filter val="4BR"/>
            <filter val="Project: EMAAR Arabian Ranches Offer"/>
            <filter val="EMAAR Arabian Ranches Offer-MTA"/>
            <filter val="Project: Dubai Hills"/>
            <filter val="Registration Golf Links by Emaar"/>
            <filter val="Direct Mail"/>
            <filter val="From: Go daddy   / Registration for Restaurant for Sale"/>
            <filter val="Project:  City Walk"/>
            <filter val="PROJECT: China Investment Week/Singapore"/>
            <filter val="Client interested in Nad Al Sheba Gardens"/>
            <filter val="Emaar Property."/>
            <filter val="Lacote Registration"/>
            <filter val="Project Rahaal"/>
            <filter val="PROJECT: Martin / Singapore"/>
            <filter val="From:    Web mail Rahaal- MJL"/>
            <filter val="Project: Rove City Walk"/>
            <filter val="Project: Samana Greens"/>
            <filter val="Client for Rahaal MJL"/>
            <filter val="I HAVE LOTS OF investors WHO CAN INVEST IN YOUR PROJECT. I REQUEST YOU PLEASE SEND ME MORE INFORMATION ABOUT YOUR PROJECTS."/>
            <filter val="Project: Arabian ranches Offer - La Avenida"/>
            <filter val="EMAAR 2018 Offer"/>
            <filter val="Go daddy  /Mira Oasis"/>
            <filter val="PROJECT: chinainvestmentweek.com/singapore"/>
            <filter val="Please let me know the price .. PSF"/>
            <filter val="EMAAR Offer 2018 Constant"/>
            <filter val="Propertyfinder"/>
            <filter val="Client for Emaar Downtown Offer"/>
            <filter val="PROJECT: chinainvestment/singapore"/>
            <filter val="Project: Meraas Special Offer - City Walk"/>
            <filter val="PROJECT: Arabian Ranches 2 by Emaar"/>
            <filter val="Project: Citywalk"/>
            <filter val="Project:  Downtown Dubai"/>
            <filter val="Client interested in Emaar Property."/>
            <filter val="Project: Emaar Dubai Hills Offer"/>
            <filter val="Client interested in Bluewaters-MTA"/>
            <filter val="Project:  *Bluewaters*"/>
            <filter val="Project: Dubai Wharf"/>
            <filter val="EMAAR Arabian Ranches Offer"/>
            <filter val="Registration for Restaurant for Sale"/>
            <filter val="Project: Rahaal MJL"/>
            <filter val="Go Daddy Mira Oasis"/>
          </filters>
        </filterColumn>
      </autoFilter>
      <extLst>
        <ext uri="GoogleSheetsCustomDataVersion1">
          <go:sheetsCustomData xmlns:go="http://customooxmlschemas.google.com/" filterViewId="1937347026"/>
        </ext>
      </extLst>
    </customSheetView>
    <customSheetView guid="{7D4F7E42-2FE6-4529-8405-C02FFB0C26F9}" filter="1" showAutoFilter="1">
      <autoFilter ref="$G$1:$G$1998">
        <filterColumn colId="0">
          <filters>
            <filter val="PROJECT: chinainvestmentweek.com/Nigeria"/>
            <filter val="Registration Meraas Offer 2018"/>
            <filter val="4BR"/>
            <filter val="Project: EMAAR Arabian Ranches Offer"/>
            <filter val="EMAAR Arabian Ranches Offer-MTA"/>
            <filter val="Project: Dubai Hills"/>
            <filter val="Registration Golf Links by Emaar"/>
            <filter val="Direct Mail"/>
            <filter val="From: Go daddy   / Registration for Restaurant for Sale"/>
            <filter val="Project:  City Walk"/>
            <filter val="PROJECT: China Investment Week/Singapore"/>
            <filter val="Client interested in Nad Al Sheba Gardens"/>
            <filter val="Emaar Property."/>
            <filter val="Lacote Registration"/>
            <filter val="Project Rahaal"/>
            <filter val="PROJECT: Martin / Singapore"/>
            <filter val="From:    Web mail Rahaal- MJL"/>
            <filter val="Project: Rove City Walk"/>
            <filter val="Project: Samana Greens"/>
            <filter val="Client for Rahaal MJL"/>
            <filter val="I HAVE LOTS OF investors WHO CAN INVEST IN YOUR PROJECT. I REQUEST YOU PLEASE SEND ME MORE INFORMATION ABOUT YOUR PROJECTS."/>
            <filter val="Project: Arabian ranches Offer - La Avenida"/>
            <filter val="EMAAR 2018 Offer"/>
            <filter val="Go daddy  /Mira Oasis"/>
            <filter val="PROJECT: chinainvestmentweek.com/singapore"/>
            <filter val="Please let me know the price .. PSF"/>
            <filter val="EMAAR Offer 2018 Constant"/>
            <filter val="Propertyfinder"/>
            <filter val="Client for Emaar Downtown Offer"/>
            <filter val="PROJECT: chinainvestment/singapore"/>
            <filter val="Project: Meraas Special Offer - City Walk"/>
            <filter val="PROJECT: Arabian Ranches 2 by Emaar"/>
            <filter val="Project: Citywalk"/>
            <filter val="Project:  Downtown Dubai"/>
            <filter val="Client interested in Emaar Property."/>
            <filter val="Project: Emaar Dubai Hills Offer"/>
            <filter val="Client interested in Bluewaters-MTA"/>
            <filter val="Project:  *Bluewaters*"/>
            <filter val="Project: Dubai Wharf"/>
            <filter val="EMAAR Arabian Ranches Offer"/>
            <filter val="Registration for Restaurant for Sale"/>
            <filter val="Go Daddy Mira Oasis"/>
          </filters>
        </filterColumn>
      </autoFilter>
      <extLst>
        <ext uri="GoogleSheetsCustomDataVersion1">
          <go:sheetsCustomData xmlns:go="http://customooxmlschemas.google.com/" filterViewId="2037833764"/>
        </ext>
      </extLst>
    </customSheetView>
    <customSheetView guid="{0A33DBFB-D2AC-4C25-8980-6A9987C81E82}" filter="1" showAutoFilter="1">
      <autoFilter ref="$G$1:$G$1998"/>
      <extLst>
        <ext uri="GoogleSheetsCustomDataVersion1">
          <go:sheetsCustomData xmlns:go="http://customooxmlschemas.google.com/" filterViewId="2099864543"/>
        </ext>
      </extLst>
    </customSheetView>
    <customSheetView guid="{341F73BF-F400-48DD-B434-4EDBF1053A5C}" filter="1" showAutoFilter="1">
      <autoFilter ref="$A$1:$AG$274">
        <filterColumn colId="8">
          <filters>
            <filter val="Spam delete"/>
            <filter val="shahrzad"/>
            <filter val="saira"/>
            <filter val="Aylar"/>
            <filter val="Jamiel"/>
            <filter val="sabire"/>
            <filter val="Saba"/>
            <filter val="registraion"/>
            <filter val="emily"/>
            <filter val="suvi / julia"/>
            <filter val="Aysel"/>
            <filter val="Spam"/>
            <filter val="Sabire"/>
            <filter val="Haidi"/>
            <filter val="Emily"/>
            <filter val="Hediyeh /Ali"/>
            <filter val="Wrong number"/>
            <filter val="suvi / emily"/>
            <filter val="EMILY /HEDIYEH"/>
            <filter val="saba /aysel"/>
            <filter val="waqas /tommy"/>
            <filter val="Ali / Aysel"/>
            <filter val="ali"/>
            <filter val="victoria"/>
            <filter val="shane"/>
            <filter val="mary"/>
            <filter val="Asif /saba"/>
            <filter val="aysel"/>
            <filter val="SHANE"/>
            <filter val="Julia"/>
            <filter val="Asif"/>
            <filter val="Suvidha"/>
            <filter val="Hediyeh"/>
            <filter val="saba"/>
            <filter val="fahad"/>
            <filter val="Ali"/>
          </filters>
        </filterColumn>
      </autoFilter>
      <extLst>
        <ext uri="GoogleSheetsCustomDataVersion1">
          <go:sheetsCustomData xmlns:go="http://customooxmlschemas.google.com/" filterViewId="2104289963"/>
        </ext>
      </extLst>
    </customSheetView>
    <customSheetView guid="{A7FEB666-445D-48CC-9CDF-55921C2C9E74}" filter="1" showAutoFilter="1">
      <autoFilter ref="$C$1:$C$998"/>
      <extLst>
        <ext uri="GoogleSheetsCustomDataVersion1">
          <go:sheetsCustomData xmlns:go="http://customooxmlschemas.google.com/" filterViewId="534902571"/>
        </ext>
      </extLst>
    </customSheetView>
    <customSheetView guid="{B2907CDC-987C-4526-A708-BA6757E701E3}" filter="1" showAutoFilter="1">
      <autoFilter ref="$I$1:$I$998"/>
      <extLst>
        <ext uri="GoogleSheetsCustomDataVersion1">
          <go:sheetsCustomData xmlns:go="http://customooxmlschemas.google.com/" filterViewId="807115704"/>
        </ext>
      </extLst>
    </customSheetView>
  </customSheetViews>
  <mergeCells count="2">
    <mergeCell ref="E253:F253"/>
    <mergeCell ref="E254:F254"/>
  </mergeCells>
  <hyperlinks>
    <hyperlink r:id="rId1" ref="C4"/>
    <hyperlink r:id="rId2" ref="G90"/>
    <hyperlink r:id="rId3" ref="G91"/>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0"/>
  <cols>
    <col customWidth="1" min="1" max="1" width="14.38"/>
    <col customWidth="1" min="2" max="2" width="31.63"/>
    <col customWidth="1" min="3" max="3" width="35.63"/>
    <col customWidth="1" min="4" max="4" width="19.13"/>
    <col customWidth="1" min="5" max="26" width="14.38"/>
  </cols>
  <sheetData>
    <row r="1" ht="15.75" customHeight="1">
      <c r="A1" s="4" t="s">
        <v>0</v>
      </c>
      <c r="B1" s="4" t="s">
        <v>1</v>
      </c>
      <c r="C1" s="4" t="s">
        <v>2</v>
      </c>
      <c r="D1" s="2" t="s">
        <v>3</v>
      </c>
      <c r="E1" s="4" t="s">
        <v>4</v>
      </c>
      <c r="F1" s="4" t="s">
        <v>6</v>
      </c>
      <c r="G1" s="4" t="s">
        <v>5</v>
      </c>
      <c r="H1" s="4" t="s">
        <v>1651</v>
      </c>
      <c r="I1" s="4"/>
      <c r="J1" s="4"/>
      <c r="K1" s="4"/>
      <c r="L1" s="4"/>
      <c r="M1" s="4"/>
      <c r="N1" s="4"/>
      <c r="O1" s="4"/>
      <c r="P1" s="4"/>
      <c r="Q1" s="4"/>
      <c r="R1" s="4"/>
      <c r="S1" s="4"/>
      <c r="T1" s="4"/>
      <c r="U1" s="4"/>
      <c r="V1" s="4"/>
      <c r="W1" s="4"/>
      <c r="X1" s="4"/>
      <c r="Y1" s="4"/>
      <c r="Z1" s="4"/>
    </row>
    <row r="2" ht="15.75" customHeight="1">
      <c r="A2" s="150">
        <v>43421.0</v>
      </c>
      <c r="B2" s="151" t="s">
        <v>1652</v>
      </c>
      <c r="C2" s="151" t="s">
        <v>1653</v>
      </c>
      <c r="D2" s="151">
        <f>+2348037155010</f>
        <v>2348037155010</v>
      </c>
      <c r="F2" s="6" t="s">
        <v>168</v>
      </c>
      <c r="G2" s="6" t="s">
        <v>1654</v>
      </c>
    </row>
    <row r="3" ht="15.75" customHeight="1">
      <c r="A3" s="150">
        <v>43421.0</v>
      </c>
      <c r="B3" s="151" t="s">
        <v>1655</v>
      </c>
      <c r="C3" s="151" t="s">
        <v>1656</v>
      </c>
      <c r="D3" s="151">
        <f>+2348033043927</f>
        <v>2348033043927</v>
      </c>
      <c r="F3" s="6" t="s">
        <v>168</v>
      </c>
      <c r="G3" s="6" t="s">
        <v>1654</v>
      </c>
    </row>
    <row r="4" ht="15.75" customHeight="1">
      <c r="A4" s="150">
        <v>43421.0</v>
      </c>
      <c r="B4" s="151" t="s">
        <v>1657</v>
      </c>
      <c r="C4" s="151" t="s">
        <v>1658</v>
      </c>
      <c r="D4" s="151">
        <f>+2348033332161</f>
        <v>2348033332161</v>
      </c>
      <c r="F4" s="6" t="s">
        <v>168</v>
      </c>
      <c r="G4" s="6" t="s">
        <v>1654</v>
      </c>
    </row>
    <row r="5" ht="15.75" customHeight="1">
      <c r="A5" s="150">
        <v>43421.0</v>
      </c>
      <c r="B5" s="151" t="s">
        <v>1659</v>
      </c>
      <c r="C5" s="151" t="s">
        <v>1660</v>
      </c>
      <c r="D5" s="151">
        <f>+2348036284550</f>
        <v>2348036284550</v>
      </c>
      <c r="F5" s="6" t="s">
        <v>168</v>
      </c>
      <c r="G5" s="6" t="s">
        <v>1654</v>
      </c>
    </row>
    <row r="6" ht="15.75" customHeight="1">
      <c r="A6" s="150">
        <v>43421.0</v>
      </c>
      <c r="B6" s="151" t="s">
        <v>1661</v>
      </c>
      <c r="C6" s="151" t="s">
        <v>1662</v>
      </c>
      <c r="D6" s="151">
        <f>+2347036499851</f>
        <v>2347036499851</v>
      </c>
      <c r="F6" s="6" t="s">
        <v>168</v>
      </c>
      <c r="G6" s="6" t="s">
        <v>1654</v>
      </c>
    </row>
    <row r="7" ht="15.75" customHeight="1">
      <c r="A7" s="150">
        <v>43421.0</v>
      </c>
      <c r="B7" s="151" t="s">
        <v>1663</v>
      </c>
      <c r="C7" s="151" t="s">
        <v>1664</v>
      </c>
      <c r="D7" s="151">
        <f>+23408025056152</f>
        <v>23408025056152</v>
      </c>
      <c r="F7" s="6" t="s">
        <v>168</v>
      </c>
      <c r="G7" s="6" t="s">
        <v>1654</v>
      </c>
    </row>
    <row r="8" ht="15.75" customHeight="1">
      <c r="A8" s="150">
        <v>43421.0</v>
      </c>
      <c r="B8" s="151" t="s">
        <v>1665</v>
      </c>
      <c r="C8" s="151" t="s">
        <v>1666</v>
      </c>
      <c r="D8" s="151">
        <f>+2348035044875</f>
        <v>2348035044875</v>
      </c>
      <c r="F8" s="6" t="s">
        <v>168</v>
      </c>
      <c r="G8" s="6" t="s">
        <v>1654</v>
      </c>
    </row>
    <row r="9" ht="15.75" customHeight="1">
      <c r="A9" s="150">
        <v>43421.0</v>
      </c>
      <c r="B9" s="151" t="s">
        <v>1667</v>
      </c>
      <c r="C9" s="151" t="s">
        <v>1668</v>
      </c>
      <c r="D9" s="151">
        <f>+2348023002672</f>
        <v>2348023002672</v>
      </c>
      <c r="F9" s="6" t="s">
        <v>168</v>
      </c>
      <c r="G9" s="6" t="s">
        <v>1654</v>
      </c>
    </row>
    <row r="10" ht="15.75" customHeight="1">
      <c r="A10" s="150">
        <v>43421.0</v>
      </c>
      <c r="B10" s="151" t="s">
        <v>1669</v>
      </c>
      <c r="C10" s="151" t="s">
        <v>1670</v>
      </c>
      <c r="D10" s="151">
        <f>+2348023304599</f>
        <v>2348023304599</v>
      </c>
      <c r="F10" s="6" t="s">
        <v>168</v>
      </c>
      <c r="G10" s="6" t="s">
        <v>1654</v>
      </c>
    </row>
    <row r="11" ht="15.75" customHeight="1">
      <c r="A11" s="150">
        <v>43421.0</v>
      </c>
      <c r="B11" s="151" t="s">
        <v>1671</v>
      </c>
      <c r="C11" s="151" t="s">
        <v>1672</v>
      </c>
      <c r="D11" s="151">
        <f>+2348085057901</f>
        <v>2348085057901</v>
      </c>
      <c r="F11" s="6" t="s">
        <v>168</v>
      </c>
      <c r="G11" s="6" t="s">
        <v>1654</v>
      </c>
    </row>
    <row r="12" ht="15.75" customHeight="1">
      <c r="A12" s="150">
        <v>43421.0</v>
      </c>
      <c r="B12" s="151" t="s">
        <v>1673</v>
      </c>
      <c r="C12" s="151" t="s">
        <v>1674</v>
      </c>
      <c r="D12" s="151">
        <f>+2348062216514</f>
        <v>2348062216514</v>
      </c>
      <c r="F12" s="6" t="s">
        <v>168</v>
      </c>
      <c r="G12" s="6" t="s">
        <v>1654</v>
      </c>
    </row>
    <row r="13" ht="15.75" customHeight="1">
      <c r="A13" s="150">
        <v>43421.0</v>
      </c>
      <c r="B13" s="151" t="s">
        <v>1675</v>
      </c>
      <c r="C13" s="151" t="s">
        <v>1676</v>
      </c>
      <c r="D13" s="151">
        <f>+2348107785162</f>
        <v>2348107785162</v>
      </c>
      <c r="F13" s="6" t="s">
        <v>168</v>
      </c>
      <c r="G13" s="6" t="s">
        <v>1654</v>
      </c>
    </row>
    <row r="14" ht="15.75" customHeight="1">
      <c r="A14" s="150">
        <v>43421.0</v>
      </c>
      <c r="B14" s="151" t="s">
        <v>1677</v>
      </c>
      <c r="C14" s="151" t="s">
        <v>1678</v>
      </c>
      <c r="D14" s="151">
        <f>+2348071479557</f>
        <v>2348071479557</v>
      </c>
      <c r="F14" s="6" t="s">
        <v>168</v>
      </c>
      <c r="G14" s="6" t="s">
        <v>1654</v>
      </c>
    </row>
    <row r="15" ht="15.75" customHeight="1">
      <c r="A15" s="150">
        <v>43421.0</v>
      </c>
      <c r="B15" s="151" t="s">
        <v>1679</v>
      </c>
      <c r="C15" s="151" t="s">
        <v>1680</v>
      </c>
      <c r="D15" s="151">
        <f>+2348128161734</f>
        <v>2348128161734</v>
      </c>
      <c r="F15" s="6" t="s">
        <v>168</v>
      </c>
      <c r="G15" s="6" t="s">
        <v>1654</v>
      </c>
    </row>
    <row r="16" ht="15.75" customHeight="1">
      <c r="A16" s="150">
        <v>43421.0</v>
      </c>
      <c r="B16" s="151" t="s">
        <v>1681</v>
      </c>
      <c r="C16" s="151" t="s">
        <v>1682</v>
      </c>
      <c r="D16" s="151">
        <f>+2347031686083</f>
        <v>2347031686083</v>
      </c>
      <c r="F16" s="6" t="s">
        <v>168</v>
      </c>
      <c r="G16" s="6" t="s">
        <v>1654</v>
      </c>
    </row>
    <row r="17" ht="15.75" customHeight="1">
      <c r="A17" s="150">
        <v>43421.0</v>
      </c>
      <c r="B17" s="151" t="s">
        <v>1683</v>
      </c>
      <c r="C17" s="151" t="s">
        <v>1684</v>
      </c>
      <c r="D17" s="151">
        <f>+2348023835709</f>
        <v>2348023835709</v>
      </c>
      <c r="F17" s="6" t="s">
        <v>168</v>
      </c>
      <c r="G17" s="6" t="s">
        <v>1654</v>
      </c>
    </row>
    <row r="18" ht="15.75" customHeight="1">
      <c r="A18" s="150">
        <v>43421.0</v>
      </c>
      <c r="B18" s="151" t="s">
        <v>1685</v>
      </c>
      <c r="C18" s="151" t="s">
        <v>1686</v>
      </c>
      <c r="D18" s="151">
        <f>+2347030442868</f>
        <v>2347030442868</v>
      </c>
      <c r="F18" s="6" t="s">
        <v>168</v>
      </c>
      <c r="G18" s="6" t="s">
        <v>1654</v>
      </c>
    </row>
    <row r="19" ht="15.75" customHeight="1">
      <c r="A19" s="150">
        <v>43421.0</v>
      </c>
      <c r="B19" s="151" t="s">
        <v>1687</v>
      </c>
      <c r="C19" s="151" t="s">
        <v>1688</v>
      </c>
      <c r="D19" s="151">
        <f>+2348022005400</f>
        <v>2348022005400</v>
      </c>
      <c r="F19" s="6" t="s">
        <v>168</v>
      </c>
      <c r="G19" s="6" t="s">
        <v>1654</v>
      </c>
    </row>
    <row r="20" ht="15.75" customHeight="1">
      <c r="A20" s="150">
        <v>43421.0</v>
      </c>
      <c r="B20" s="151" t="s">
        <v>1689</v>
      </c>
      <c r="C20" s="151" t="s">
        <v>1690</v>
      </c>
      <c r="D20" s="151">
        <f>+2348028021736</f>
        <v>2348028021736</v>
      </c>
      <c r="F20" s="6" t="s">
        <v>168</v>
      </c>
      <c r="G20" s="6" t="s">
        <v>1654</v>
      </c>
    </row>
    <row r="21" ht="15.75" customHeight="1">
      <c r="A21" s="150">
        <v>43421.0</v>
      </c>
      <c r="B21" s="151" t="s">
        <v>1691</v>
      </c>
      <c r="C21" s="151" t="s">
        <v>1692</v>
      </c>
      <c r="D21" s="151">
        <f>+2348033145142</f>
        <v>2348033145142</v>
      </c>
      <c r="F21" s="6" t="s">
        <v>168</v>
      </c>
      <c r="G21" s="6" t="s">
        <v>1654</v>
      </c>
    </row>
    <row r="22" ht="15.75" customHeight="1">
      <c r="A22" s="150">
        <v>43421.0</v>
      </c>
      <c r="B22" s="151" t="s">
        <v>1693</v>
      </c>
      <c r="C22" s="151" t="s">
        <v>1694</v>
      </c>
      <c r="D22" s="151">
        <f>+2347052019023</f>
        <v>2347052019023</v>
      </c>
      <c r="F22" s="6" t="s">
        <v>168</v>
      </c>
      <c r="G22" s="6" t="s">
        <v>1654</v>
      </c>
    </row>
    <row r="23" ht="15.75" customHeight="1">
      <c r="A23" s="150">
        <v>43421.0</v>
      </c>
      <c r="B23" s="151" t="s">
        <v>1695</v>
      </c>
      <c r="C23" s="151" t="s">
        <v>1696</v>
      </c>
      <c r="D23" s="151">
        <f>+2347017229709</f>
        <v>2347017229709</v>
      </c>
      <c r="F23" s="6" t="s">
        <v>168</v>
      </c>
      <c r="G23" s="6" t="s">
        <v>1654</v>
      </c>
    </row>
    <row r="24" ht="15.75" customHeight="1">
      <c r="A24" s="150">
        <v>43421.0</v>
      </c>
      <c r="B24" s="151" t="s">
        <v>1697</v>
      </c>
      <c r="C24" s="151" t="s">
        <v>1698</v>
      </c>
      <c r="D24" s="151">
        <f>+2348034207480</f>
        <v>2348034207480</v>
      </c>
      <c r="F24" s="6" t="s">
        <v>168</v>
      </c>
      <c r="G24" s="6" t="s">
        <v>1654</v>
      </c>
    </row>
    <row r="25" ht="15.75" customHeight="1">
      <c r="A25" s="150">
        <v>43421.0</v>
      </c>
      <c r="B25" s="151" t="s">
        <v>1699</v>
      </c>
      <c r="C25" s="151" t="s">
        <v>1700</v>
      </c>
      <c r="D25" s="151">
        <f>+2348104738176</f>
        <v>2348104738176</v>
      </c>
      <c r="F25" s="6" t="s">
        <v>168</v>
      </c>
      <c r="G25" s="6" t="s">
        <v>1654</v>
      </c>
    </row>
    <row r="26" ht="15.75" customHeight="1">
      <c r="A26" s="150">
        <v>43421.0</v>
      </c>
      <c r="B26" s="151" t="s">
        <v>1701</v>
      </c>
      <c r="C26" s="151" t="s">
        <v>1702</v>
      </c>
      <c r="D26" s="151">
        <f>+2348188603122</f>
        <v>2348188603122</v>
      </c>
      <c r="F26" s="6" t="s">
        <v>168</v>
      </c>
      <c r="G26" s="6" t="s">
        <v>1654</v>
      </c>
    </row>
    <row r="27" ht="15.75" customHeight="1">
      <c r="A27" s="150">
        <v>43421.0</v>
      </c>
      <c r="B27" s="151" t="s">
        <v>1703</v>
      </c>
      <c r="C27" s="151" t="s">
        <v>1704</v>
      </c>
      <c r="D27" s="151">
        <f>+2347033064423</f>
        <v>2347033064423</v>
      </c>
      <c r="F27" s="6" t="s">
        <v>168</v>
      </c>
      <c r="G27" s="6" t="s">
        <v>1654</v>
      </c>
    </row>
    <row r="28" ht="15.75" customHeight="1">
      <c r="A28" s="150">
        <v>43421.0</v>
      </c>
      <c r="B28" s="151" t="s">
        <v>1705</v>
      </c>
      <c r="C28" s="151" t="s">
        <v>1706</v>
      </c>
      <c r="D28" s="151">
        <f>+2348088693394</f>
        <v>2348088693394</v>
      </c>
      <c r="F28" s="6" t="s">
        <v>168</v>
      </c>
      <c r="G28" s="6" t="s">
        <v>1654</v>
      </c>
    </row>
    <row r="29" ht="15.75" customHeight="1">
      <c r="A29" s="150">
        <v>43421.0</v>
      </c>
      <c r="B29" s="151" t="s">
        <v>1707</v>
      </c>
      <c r="C29" s="151" t="s">
        <v>1708</v>
      </c>
      <c r="D29" s="151">
        <f>+2347057611745</f>
        <v>2347057611745</v>
      </c>
      <c r="F29" s="6" t="s">
        <v>168</v>
      </c>
      <c r="G29" s="6" t="s">
        <v>1654</v>
      </c>
    </row>
    <row r="30" ht="15.75" customHeight="1">
      <c r="A30" s="150">
        <v>43421.0</v>
      </c>
      <c r="B30" s="151" t="s">
        <v>1709</v>
      </c>
      <c r="C30" s="151" t="s">
        <v>1710</v>
      </c>
      <c r="D30" s="151">
        <f>+2348170513055</f>
        <v>2348170513055</v>
      </c>
      <c r="F30" s="6" t="s">
        <v>168</v>
      </c>
      <c r="G30" s="6" t="s">
        <v>1654</v>
      </c>
    </row>
    <row r="31" ht="15.75" customHeight="1">
      <c r="A31" s="150">
        <v>43421.0</v>
      </c>
      <c r="B31" s="151" t="s">
        <v>1711</v>
      </c>
      <c r="C31" s="151" t="s">
        <v>1712</v>
      </c>
      <c r="D31" s="151">
        <f>+2348101099452</f>
        <v>2348101099452</v>
      </c>
      <c r="F31" s="6" t="s">
        <v>168</v>
      </c>
      <c r="G31" s="6" t="s">
        <v>1654</v>
      </c>
    </row>
    <row r="32" ht="15.75" customHeight="1">
      <c r="A32" s="150">
        <v>43421.0</v>
      </c>
      <c r="B32" s="151" t="s">
        <v>1713</v>
      </c>
      <c r="C32" s="151" t="s">
        <v>1714</v>
      </c>
      <c r="D32" s="151">
        <f>+2348032093936</f>
        <v>2348032093936</v>
      </c>
      <c r="F32" s="6" t="s">
        <v>168</v>
      </c>
      <c r="G32" s="6" t="s">
        <v>1654</v>
      </c>
    </row>
    <row r="33" ht="15.75" customHeight="1">
      <c r="A33" s="150">
        <v>43421.0</v>
      </c>
      <c r="B33" s="151" t="s">
        <v>1715</v>
      </c>
      <c r="C33" s="151" t="s">
        <v>1716</v>
      </c>
      <c r="D33" s="151">
        <f>+2348075263722</f>
        <v>2348075263722</v>
      </c>
      <c r="F33" s="6" t="s">
        <v>168</v>
      </c>
      <c r="G33" s="6" t="s">
        <v>1654</v>
      </c>
    </row>
    <row r="34" ht="15.75" customHeight="1">
      <c r="A34" s="150">
        <v>43421.0</v>
      </c>
      <c r="B34" s="151" t="s">
        <v>1717</v>
      </c>
      <c r="C34" s="151" t="s">
        <v>1718</v>
      </c>
      <c r="D34" s="151">
        <f>+2348086648060</f>
        <v>2348086648060</v>
      </c>
      <c r="F34" s="6" t="s">
        <v>168</v>
      </c>
      <c r="G34" s="6" t="s">
        <v>1654</v>
      </c>
    </row>
    <row r="35" ht="15.75" customHeight="1">
      <c r="A35" s="150">
        <v>43421.0</v>
      </c>
      <c r="B35" s="151" t="s">
        <v>1719</v>
      </c>
      <c r="C35" s="151" t="s">
        <v>1720</v>
      </c>
      <c r="D35" s="151">
        <f>+2347036633903</f>
        <v>2347036633903</v>
      </c>
      <c r="F35" s="6" t="s">
        <v>168</v>
      </c>
      <c r="G35" s="6" t="s">
        <v>1654</v>
      </c>
    </row>
    <row r="36" ht="15.75" customHeight="1">
      <c r="A36" s="150">
        <v>43421.0</v>
      </c>
      <c r="B36" s="151" t="s">
        <v>1721</v>
      </c>
      <c r="C36" s="151" t="s">
        <v>1722</v>
      </c>
      <c r="D36" s="151">
        <f>+2347034519545</f>
        <v>2347034519545</v>
      </c>
      <c r="F36" s="6" t="s">
        <v>168</v>
      </c>
      <c r="G36" s="6" t="s">
        <v>1654</v>
      </c>
    </row>
    <row r="37" ht="15.75" customHeight="1">
      <c r="A37" s="150">
        <v>43421.0</v>
      </c>
      <c r="B37" s="151" t="s">
        <v>1723</v>
      </c>
      <c r="C37" s="151" t="s">
        <v>1724</v>
      </c>
      <c r="D37" s="151">
        <f>+2348023283512</f>
        <v>2348023283512</v>
      </c>
      <c r="F37" s="6" t="s">
        <v>168</v>
      </c>
      <c r="G37" s="6" t="s">
        <v>1654</v>
      </c>
    </row>
    <row r="38" ht="15.75" customHeight="1">
      <c r="A38" s="150">
        <v>43421.0</v>
      </c>
      <c r="B38" s="151" t="s">
        <v>1725</v>
      </c>
      <c r="C38" s="151" t="s">
        <v>1726</v>
      </c>
      <c r="D38" s="151">
        <f>+2348069468976</f>
        <v>2348069468976</v>
      </c>
      <c r="F38" s="6" t="s">
        <v>168</v>
      </c>
      <c r="G38" s="6" t="s">
        <v>1654</v>
      </c>
    </row>
    <row r="39" ht="15.75" customHeight="1">
      <c r="A39" s="150">
        <v>43421.0</v>
      </c>
      <c r="B39" s="151" t="s">
        <v>1727</v>
      </c>
      <c r="C39" s="151" t="s">
        <v>1728</v>
      </c>
      <c r="D39" s="151">
        <f>+2348179228334</f>
        <v>2348179228334</v>
      </c>
      <c r="F39" s="6" t="s">
        <v>168</v>
      </c>
      <c r="G39" s="6" t="s">
        <v>1654</v>
      </c>
    </row>
    <row r="40" ht="15.75" customHeight="1">
      <c r="A40" s="150">
        <v>43421.0</v>
      </c>
      <c r="B40" s="151" t="s">
        <v>1729</v>
      </c>
      <c r="C40" s="151" t="s">
        <v>1730</v>
      </c>
      <c r="D40" s="151">
        <f>+2348095874257</f>
        <v>2348095874257</v>
      </c>
      <c r="F40" s="6" t="s">
        <v>168</v>
      </c>
      <c r="G40" s="6" t="s">
        <v>1654</v>
      </c>
    </row>
    <row r="41" ht="15.75" customHeight="1">
      <c r="A41" s="150">
        <v>43421.0</v>
      </c>
      <c r="B41" s="151" t="s">
        <v>1731</v>
      </c>
      <c r="C41" s="151" t="s">
        <v>1732</v>
      </c>
      <c r="D41" s="151">
        <f>+2348030836300</f>
        <v>2348030836300</v>
      </c>
      <c r="F41" s="6" t="s">
        <v>168</v>
      </c>
      <c r="G41" s="6" t="s">
        <v>1654</v>
      </c>
    </row>
    <row r="42" ht="15.75" customHeight="1">
      <c r="A42" s="150">
        <v>43421.0</v>
      </c>
      <c r="B42" s="151" t="s">
        <v>1733</v>
      </c>
      <c r="C42" s="151" t="s">
        <v>1734</v>
      </c>
      <c r="D42" s="151">
        <f>+23408136546357</f>
        <v>23408136546357</v>
      </c>
      <c r="F42" s="6" t="s">
        <v>168</v>
      </c>
      <c r="G42" s="6" t="s">
        <v>1654</v>
      </c>
    </row>
    <row r="43" ht="15.75" customHeight="1">
      <c r="A43" s="150">
        <v>43421.0</v>
      </c>
      <c r="B43" s="151" t="s">
        <v>1735</v>
      </c>
      <c r="C43" s="151" t="s">
        <v>1736</v>
      </c>
      <c r="D43" s="151">
        <f>+23408136078632</f>
        <v>23408136078632</v>
      </c>
      <c r="F43" s="6" t="s">
        <v>168</v>
      </c>
      <c r="G43" s="6" t="s">
        <v>1654</v>
      </c>
    </row>
    <row r="44" ht="15.75" customHeight="1">
      <c r="A44" s="150">
        <v>43421.0</v>
      </c>
      <c r="B44" s="151" t="s">
        <v>1737</v>
      </c>
      <c r="C44" s="151" t="s">
        <v>1738</v>
      </c>
      <c r="D44" s="151">
        <f>+2348067718876</f>
        <v>2348067718876</v>
      </c>
      <c r="F44" s="6" t="s">
        <v>168</v>
      </c>
      <c r="G44" s="6" t="s">
        <v>1654</v>
      </c>
    </row>
    <row r="45" ht="15.75" customHeight="1">
      <c r="A45" s="150">
        <v>43421.0</v>
      </c>
      <c r="B45" s="151" t="s">
        <v>1739</v>
      </c>
      <c r="C45" s="151" t="s">
        <v>1740</v>
      </c>
      <c r="D45" s="151">
        <f>+2348029289640</f>
        <v>2348029289640</v>
      </c>
      <c r="F45" s="6" t="s">
        <v>168</v>
      </c>
      <c r="G45" s="6" t="s">
        <v>1654</v>
      </c>
    </row>
    <row r="46" ht="15.75" customHeight="1">
      <c r="A46" s="150">
        <v>43421.0</v>
      </c>
      <c r="B46" s="151" t="s">
        <v>1741</v>
      </c>
      <c r="C46" s="151" t="s">
        <v>1742</v>
      </c>
      <c r="D46" s="151">
        <f>+2348023800801</f>
        <v>2348023800801</v>
      </c>
      <c r="F46" s="6" t="s">
        <v>168</v>
      </c>
      <c r="G46" s="6" t="s">
        <v>1654</v>
      </c>
    </row>
    <row r="47" ht="15.75" customHeight="1">
      <c r="A47" s="150">
        <v>43421.0</v>
      </c>
      <c r="B47" s="151" t="s">
        <v>1743</v>
      </c>
      <c r="C47" s="151" t="s">
        <v>1744</v>
      </c>
      <c r="D47" s="151">
        <f>+2348148067999</f>
        <v>2348148067999</v>
      </c>
      <c r="F47" s="6" t="s">
        <v>168</v>
      </c>
      <c r="G47" s="6" t="s">
        <v>1654</v>
      </c>
    </row>
    <row r="48" ht="15.75" customHeight="1">
      <c r="A48" s="150">
        <v>43421.0</v>
      </c>
      <c r="B48" s="151" t="s">
        <v>1745</v>
      </c>
      <c r="C48" s="151" t="s">
        <v>1746</v>
      </c>
      <c r="D48" s="151">
        <f>+2348037471407</f>
        <v>2348037471407</v>
      </c>
      <c r="F48" s="6" t="s">
        <v>168</v>
      </c>
      <c r="G48" s="6" t="s">
        <v>1654</v>
      </c>
    </row>
    <row r="49" ht="15.75" customHeight="1">
      <c r="A49" s="150">
        <v>43421.0</v>
      </c>
      <c r="B49" s="151" t="s">
        <v>1747</v>
      </c>
      <c r="C49" s="151" t="s">
        <v>1748</v>
      </c>
      <c r="D49" s="151">
        <f>+2348024969384</f>
        <v>2348024969384</v>
      </c>
      <c r="F49" s="6" t="s">
        <v>168</v>
      </c>
      <c r="G49" s="6" t="s">
        <v>1654</v>
      </c>
    </row>
    <row r="50" ht="15.75" customHeight="1">
      <c r="A50" s="150">
        <v>43421.0</v>
      </c>
      <c r="B50" s="151" t="s">
        <v>1749</v>
      </c>
      <c r="C50" s="151" t="s">
        <v>1750</v>
      </c>
      <c r="D50" s="151">
        <f>+2348038958637</f>
        <v>2348038958637</v>
      </c>
      <c r="F50" s="6" t="s">
        <v>168</v>
      </c>
      <c r="G50" s="6" t="s">
        <v>1654</v>
      </c>
    </row>
    <row r="51" ht="15.75" customHeight="1">
      <c r="A51" s="150">
        <v>43421.0</v>
      </c>
      <c r="B51" s="151" t="s">
        <v>1751</v>
      </c>
      <c r="C51" s="151" t="s">
        <v>1752</v>
      </c>
      <c r="D51" s="151">
        <f>+2348033324171</f>
        <v>2348033324171</v>
      </c>
      <c r="F51" s="6" t="s">
        <v>168</v>
      </c>
      <c r="G51" s="6" t="s">
        <v>1654</v>
      </c>
    </row>
    <row r="52" ht="15.75" customHeight="1">
      <c r="A52" s="150">
        <v>43421.0</v>
      </c>
      <c r="B52" s="151" t="s">
        <v>1753</v>
      </c>
      <c r="C52" s="151" t="s">
        <v>1754</v>
      </c>
      <c r="D52" s="151">
        <f>+2348133006205</f>
        <v>2348133006205</v>
      </c>
      <c r="F52" s="6" t="s">
        <v>168</v>
      </c>
      <c r="G52" s="6" t="s">
        <v>1654</v>
      </c>
    </row>
    <row r="53" ht="15.75" customHeight="1">
      <c r="A53" s="150">
        <v>43421.0</v>
      </c>
      <c r="B53" s="151" t="s">
        <v>1755</v>
      </c>
      <c r="C53" s="151" t="s">
        <v>1756</v>
      </c>
      <c r="D53" s="151">
        <f>+2347082736278</f>
        <v>2347082736278</v>
      </c>
      <c r="F53" s="6" t="s">
        <v>168</v>
      </c>
      <c r="G53" s="6" t="s">
        <v>1654</v>
      </c>
    </row>
    <row r="54" ht="15.75" customHeight="1">
      <c r="A54" s="150">
        <v>43421.0</v>
      </c>
      <c r="B54" s="151" t="s">
        <v>1757</v>
      </c>
      <c r="C54" s="151" t="s">
        <v>1758</v>
      </c>
      <c r="D54" s="151">
        <f>+2348028851977</f>
        <v>2348028851977</v>
      </c>
      <c r="F54" s="6" t="s">
        <v>168</v>
      </c>
      <c r="G54" s="6" t="s">
        <v>1654</v>
      </c>
    </row>
    <row r="55" ht="15.75" customHeight="1">
      <c r="A55" s="150">
        <v>43421.0</v>
      </c>
      <c r="B55" s="151" t="s">
        <v>1759</v>
      </c>
      <c r="C55" s="151" t="s">
        <v>1760</v>
      </c>
      <c r="D55" s="151">
        <f>+2348166841998</f>
        <v>2348166841998</v>
      </c>
      <c r="F55" s="6" t="s">
        <v>168</v>
      </c>
      <c r="G55" s="6" t="s">
        <v>1654</v>
      </c>
    </row>
    <row r="56" ht="15.75" customHeight="1">
      <c r="A56" s="150">
        <v>43421.0</v>
      </c>
      <c r="B56" s="151" t="s">
        <v>1761</v>
      </c>
      <c r="C56" s="151" t="s">
        <v>1762</v>
      </c>
      <c r="D56" s="151">
        <f>+2348061553910</f>
        <v>2348061553910</v>
      </c>
      <c r="F56" s="6" t="s">
        <v>168</v>
      </c>
      <c r="G56" s="6" t="s">
        <v>1654</v>
      </c>
    </row>
    <row r="57" ht="15.75" customHeight="1">
      <c r="A57" s="150">
        <v>43421.0</v>
      </c>
      <c r="B57" s="151" t="s">
        <v>1763</v>
      </c>
      <c r="C57" s="151" t="s">
        <v>1764</v>
      </c>
      <c r="D57" s="151">
        <f>+2348037036083</f>
        <v>2348037036083</v>
      </c>
      <c r="F57" s="6" t="s">
        <v>168</v>
      </c>
      <c r="G57" s="6" t="s">
        <v>1654</v>
      </c>
    </row>
    <row r="58" ht="15.75" customHeight="1">
      <c r="A58" s="150">
        <v>43421.0</v>
      </c>
      <c r="B58" s="151" t="s">
        <v>1765</v>
      </c>
      <c r="C58" s="151" t="s">
        <v>1766</v>
      </c>
      <c r="D58" s="151">
        <f>+2347031277534</f>
        <v>2347031277534</v>
      </c>
      <c r="F58" s="6" t="s">
        <v>168</v>
      </c>
      <c r="G58" s="6" t="s">
        <v>1654</v>
      </c>
    </row>
    <row r="59" ht="15.75" customHeight="1">
      <c r="A59" s="150">
        <v>43421.0</v>
      </c>
      <c r="B59" s="151" t="s">
        <v>1767</v>
      </c>
      <c r="C59" s="151" t="s">
        <v>1768</v>
      </c>
      <c r="D59" s="151">
        <f>+2348136123034</f>
        <v>2348136123034</v>
      </c>
      <c r="F59" s="6" t="s">
        <v>168</v>
      </c>
      <c r="G59" s="6" t="s">
        <v>1654</v>
      </c>
    </row>
    <row r="60" ht="15.75" customHeight="1">
      <c r="A60" s="150">
        <v>43421.0</v>
      </c>
      <c r="B60" s="151" t="s">
        <v>1769</v>
      </c>
      <c r="C60" s="151" t="s">
        <v>1770</v>
      </c>
      <c r="D60" s="151">
        <f>+2348066021031</f>
        <v>2348066021031</v>
      </c>
      <c r="F60" s="6" t="s">
        <v>168</v>
      </c>
      <c r="G60" s="6" t="s">
        <v>1654</v>
      </c>
    </row>
    <row r="61" ht="15.75" customHeight="1">
      <c r="A61" s="150">
        <v>43421.0</v>
      </c>
      <c r="B61" s="151" t="s">
        <v>1771</v>
      </c>
      <c r="C61" s="151" t="s">
        <v>1772</v>
      </c>
      <c r="D61" s="151">
        <f>+2348166783237</f>
        <v>2348166783237</v>
      </c>
      <c r="F61" s="6" t="s">
        <v>168</v>
      </c>
      <c r="G61" s="6" t="s">
        <v>1654</v>
      </c>
    </row>
    <row r="62" ht="15.75" customHeight="1">
      <c r="A62" s="150">
        <v>43421.0</v>
      </c>
      <c r="B62" s="151" t="s">
        <v>1773</v>
      </c>
      <c r="C62" s="151" t="s">
        <v>1774</v>
      </c>
      <c r="D62" s="151">
        <f>+2348081375409</f>
        <v>2348081375409</v>
      </c>
      <c r="F62" s="6" t="s">
        <v>168</v>
      </c>
      <c r="G62" s="6" t="s">
        <v>1654</v>
      </c>
    </row>
    <row r="63" ht="15.75" customHeight="1">
      <c r="A63" s="150">
        <v>43421.0</v>
      </c>
      <c r="B63" s="151" t="s">
        <v>1775</v>
      </c>
      <c r="C63" s="151" t="s">
        <v>1776</v>
      </c>
      <c r="D63" s="151">
        <f>+23407052528205</f>
        <v>23407052528205</v>
      </c>
      <c r="F63" s="6" t="s">
        <v>168</v>
      </c>
      <c r="G63" s="6" t="s">
        <v>1654</v>
      </c>
    </row>
    <row r="64" ht="15.75" customHeight="1">
      <c r="A64" s="150">
        <v>43421.0</v>
      </c>
      <c r="B64" s="151" t="s">
        <v>1777</v>
      </c>
      <c r="C64" s="151" t="s">
        <v>1778</v>
      </c>
      <c r="D64" s="151">
        <f>+2348032400011</f>
        <v>2348032400011</v>
      </c>
      <c r="F64" s="6" t="s">
        <v>168</v>
      </c>
      <c r="G64" s="6" t="s">
        <v>1654</v>
      </c>
    </row>
    <row r="65" ht="15.75" customHeight="1">
      <c r="A65" s="150">
        <v>43421.0</v>
      </c>
      <c r="B65" s="151" t="s">
        <v>1779</v>
      </c>
      <c r="C65" s="151" t="s">
        <v>1780</v>
      </c>
      <c r="D65" s="151">
        <f>+2348083403650</f>
        <v>2348083403650</v>
      </c>
      <c r="F65" s="6" t="s">
        <v>168</v>
      </c>
      <c r="G65" s="6" t="s">
        <v>1654</v>
      </c>
    </row>
    <row r="66" ht="15.75" customHeight="1">
      <c r="A66" s="150">
        <v>43421.0</v>
      </c>
      <c r="B66" s="151" t="s">
        <v>1781</v>
      </c>
      <c r="C66" s="151" t="s">
        <v>1782</v>
      </c>
      <c r="D66" s="151">
        <f>+2349098927605</f>
        <v>2349098927605</v>
      </c>
      <c r="F66" s="6" t="s">
        <v>168</v>
      </c>
      <c r="G66" s="6" t="s">
        <v>1654</v>
      </c>
    </row>
    <row r="67" ht="15.75" customHeight="1">
      <c r="A67" s="150">
        <v>43421.0</v>
      </c>
      <c r="B67" s="151" t="s">
        <v>1783</v>
      </c>
      <c r="C67" s="151" t="s">
        <v>1784</v>
      </c>
      <c r="D67" s="151">
        <f>+2348030491095</f>
        <v>2348030491095</v>
      </c>
      <c r="F67" s="6" t="s">
        <v>168</v>
      </c>
      <c r="G67" s="6" t="s">
        <v>1654</v>
      </c>
    </row>
    <row r="68" ht="15.75" customHeight="1">
      <c r="A68" s="150">
        <v>43421.0</v>
      </c>
      <c r="B68" s="151" t="s">
        <v>1785</v>
      </c>
      <c r="C68" s="151" t="s">
        <v>1786</v>
      </c>
      <c r="D68" s="151">
        <f>+2347084304337</f>
        <v>2347084304337</v>
      </c>
      <c r="F68" s="6" t="s">
        <v>168</v>
      </c>
      <c r="G68" s="6" t="s">
        <v>1654</v>
      </c>
    </row>
    <row r="69" ht="15.75" customHeight="1">
      <c r="A69" s="150">
        <v>43421.0</v>
      </c>
      <c r="B69" s="151" t="s">
        <v>1787</v>
      </c>
      <c r="C69" s="151" t="s">
        <v>1788</v>
      </c>
      <c r="D69" s="151">
        <f>+2348033627229</f>
        <v>2348033627229</v>
      </c>
      <c r="F69" s="6" t="s">
        <v>168</v>
      </c>
      <c r="G69" s="6" t="s">
        <v>1654</v>
      </c>
    </row>
    <row r="70" ht="15.75" customHeight="1">
      <c r="A70" s="150">
        <v>43421.0</v>
      </c>
      <c r="B70" s="151" t="s">
        <v>1789</v>
      </c>
      <c r="C70" s="151" t="s">
        <v>1790</v>
      </c>
      <c r="D70" s="151">
        <f>+2348069333735</f>
        <v>2348069333735</v>
      </c>
      <c r="F70" s="6" t="s">
        <v>168</v>
      </c>
      <c r="G70" s="6" t="s">
        <v>1654</v>
      </c>
    </row>
    <row r="71" ht="15.75" customHeight="1">
      <c r="A71" s="150">
        <v>43421.0</v>
      </c>
      <c r="B71" s="151" t="s">
        <v>1791</v>
      </c>
      <c r="C71" s="151" t="s">
        <v>1792</v>
      </c>
      <c r="D71" s="151">
        <f>+2348036539498</f>
        <v>2348036539498</v>
      </c>
      <c r="F71" s="6" t="s">
        <v>168</v>
      </c>
      <c r="G71" s="6" t="s">
        <v>1654</v>
      </c>
    </row>
    <row r="72" ht="15.75" customHeight="1">
      <c r="A72" s="150">
        <v>43421.0</v>
      </c>
      <c r="B72" s="151" t="s">
        <v>1793</v>
      </c>
      <c r="C72" s="151" t="s">
        <v>1794</v>
      </c>
      <c r="D72" s="151">
        <f>+2348099439998</f>
        <v>2348099439998</v>
      </c>
      <c r="F72" s="6" t="s">
        <v>168</v>
      </c>
      <c r="G72" s="6" t="s">
        <v>1654</v>
      </c>
    </row>
    <row r="73" ht="15.75" customHeight="1">
      <c r="A73" s="150">
        <v>43421.0</v>
      </c>
      <c r="B73" s="151" t="s">
        <v>1795</v>
      </c>
      <c r="C73" s="151" t="s">
        <v>1796</v>
      </c>
      <c r="D73" s="151">
        <f>+2348060273588</f>
        <v>2348060273588</v>
      </c>
      <c r="F73" s="6" t="s">
        <v>168</v>
      </c>
      <c r="G73" s="6" t="s">
        <v>1654</v>
      </c>
    </row>
    <row r="74" ht="15.75" customHeight="1">
      <c r="A74" s="150">
        <v>43421.0</v>
      </c>
      <c r="B74" s="151" t="s">
        <v>1797</v>
      </c>
      <c r="C74" s="151" t="s">
        <v>1798</v>
      </c>
      <c r="D74" s="151">
        <f>+23408033261238</f>
        <v>23408033261238</v>
      </c>
      <c r="F74" s="6" t="s">
        <v>168</v>
      </c>
      <c r="G74" s="6" t="s">
        <v>1654</v>
      </c>
    </row>
    <row r="75" ht="15.75" customHeight="1">
      <c r="A75" s="150">
        <v>43421.0</v>
      </c>
      <c r="B75" s="151" t="s">
        <v>1799</v>
      </c>
      <c r="C75" s="151" t="s">
        <v>1800</v>
      </c>
      <c r="D75" s="151">
        <f>+2348060949629</f>
        <v>2348060949629</v>
      </c>
      <c r="F75" s="6" t="s">
        <v>168</v>
      </c>
      <c r="G75" s="6" t="s">
        <v>1654</v>
      </c>
    </row>
    <row r="76" ht="15.75" customHeight="1">
      <c r="A76" s="150">
        <v>43421.0</v>
      </c>
      <c r="B76" s="151" t="s">
        <v>1801</v>
      </c>
      <c r="C76" s="151" t="s">
        <v>1802</v>
      </c>
      <c r="D76" s="151">
        <f>+2348033003299</f>
        <v>2348033003299</v>
      </c>
      <c r="F76" s="6" t="s">
        <v>168</v>
      </c>
      <c r="G76" s="6" t="s">
        <v>1654</v>
      </c>
    </row>
    <row r="77" ht="15.75" customHeight="1">
      <c r="A77" s="150">
        <v>43421.0</v>
      </c>
      <c r="B77" s="151" t="s">
        <v>1803</v>
      </c>
      <c r="C77" s="151" t="s">
        <v>1804</v>
      </c>
      <c r="D77" s="151">
        <f>+2348033082437</f>
        <v>2348033082437</v>
      </c>
      <c r="F77" s="6" t="s">
        <v>168</v>
      </c>
      <c r="G77" s="6" t="s">
        <v>1654</v>
      </c>
    </row>
    <row r="78" ht="15.75" customHeight="1">
      <c r="A78" s="150">
        <v>43421.0</v>
      </c>
      <c r="B78" s="151" t="s">
        <v>1805</v>
      </c>
      <c r="C78" s="151" t="s">
        <v>1806</v>
      </c>
      <c r="D78" s="151">
        <f>+2348093904453</f>
        <v>2348093904453</v>
      </c>
      <c r="F78" s="6" t="s">
        <v>168</v>
      </c>
      <c r="G78" s="6" t="s">
        <v>1654</v>
      </c>
    </row>
    <row r="79" ht="15.75" customHeight="1">
      <c r="A79" s="150">
        <v>43421.0</v>
      </c>
      <c r="B79" s="151" t="s">
        <v>1807</v>
      </c>
      <c r="C79" s="151" t="s">
        <v>1808</v>
      </c>
      <c r="D79" s="151">
        <f>+2348059770443</f>
        <v>2348059770443</v>
      </c>
      <c r="F79" s="6" t="s">
        <v>168</v>
      </c>
      <c r="G79" s="6" t="s">
        <v>1654</v>
      </c>
    </row>
    <row r="80" ht="15.75" customHeight="1">
      <c r="A80" s="150">
        <v>43421.0</v>
      </c>
      <c r="B80" s="151" t="s">
        <v>1809</v>
      </c>
      <c r="C80" s="151" t="s">
        <v>1810</v>
      </c>
      <c r="D80" s="151">
        <f>+23408187179767</f>
        <v>23408187179767</v>
      </c>
      <c r="F80" s="6" t="s">
        <v>168</v>
      </c>
      <c r="G80" s="6" t="s">
        <v>1654</v>
      </c>
    </row>
    <row r="81" ht="15.75" customHeight="1">
      <c r="A81" s="150">
        <v>43421.0</v>
      </c>
      <c r="B81" s="151" t="s">
        <v>1811</v>
      </c>
      <c r="C81" s="151" t="s">
        <v>1812</v>
      </c>
      <c r="D81" s="151">
        <f>+23408034765374</f>
        <v>23408034765374</v>
      </c>
      <c r="F81" s="6" t="s">
        <v>168</v>
      </c>
      <c r="G81" s="6" t="s">
        <v>1654</v>
      </c>
    </row>
    <row r="82" ht="15.75" customHeight="1">
      <c r="A82" s="150">
        <v>43421.0</v>
      </c>
      <c r="B82" s="151" t="s">
        <v>1813</v>
      </c>
      <c r="C82" s="151" t="s">
        <v>1814</v>
      </c>
      <c r="D82" s="151">
        <f>+23408032900392</f>
        <v>23408032900392</v>
      </c>
      <c r="F82" s="6" t="s">
        <v>168</v>
      </c>
      <c r="G82" s="6" t="s">
        <v>1654</v>
      </c>
    </row>
    <row r="83" ht="15.75" customHeight="1">
      <c r="A83" s="150">
        <v>43421.0</v>
      </c>
      <c r="B83" s="152" t="s">
        <v>1815</v>
      </c>
      <c r="C83" s="151" t="s">
        <v>1816</v>
      </c>
      <c r="D83" s="151">
        <f>+2347084075142</f>
        <v>2347084075142</v>
      </c>
      <c r="F83" s="6" t="s">
        <v>168</v>
      </c>
      <c r="G83" s="6" t="s">
        <v>1654</v>
      </c>
    </row>
    <row r="84" ht="15.75" customHeight="1">
      <c r="A84" s="150">
        <v>43421.0</v>
      </c>
      <c r="B84" s="151" t="s">
        <v>1817</v>
      </c>
      <c r="C84" s="151" t="s">
        <v>1818</v>
      </c>
      <c r="D84" s="151">
        <f>+2347084847866</f>
        <v>2347084847866</v>
      </c>
      <c r="F84" s="6" t="s">
        <v>168</v>
      </c>
      <c r="G84" s="6" t="s">
        <v>1654</v>
      </c>
    </row>
    <row r="85" ht="15.75" customHeight="1">
      <c r="A85" s="150">
        <v>43421.0</v>
      </c>
      <c r="B85" s="151" t="s">
        <v>1819</v>
      </c>
      <c r="C85" s="151" t="s">
        <v>1820</v>
      </c>
      <c r="D85" s="151">
        <f>+2347088496478</f>
        <v>2347088496478</v>
      </c>
      <c r="F85" s="6" t="s">
        <v>168</v>
      </c>
      <c r="G85" s="6" t="s">
        <v>1654</v>
      </c>
    </row>
    <row r="86" ht="15.75" customHeight="1">
      <c r="A86" s="150">
        <v>43421.0</v>
      </c>
      <c r="B86" s="151" t="s">
        <v>1821</v>
      </c>
      <c r="C86" s="151" t="s">
        <v>1822</v>
      </c>
      <c r="D86" s="151">
        <f>+23408107257791</f>
        <v>23408107257791</v>
      </c>
      <c r="F86" s="6" t="s">
        <v>168</v>
      </c>
      <c r="G86" s="6" t="s">
        <v>1654</v>
      </c>
    </row>
    <row r="87" ht="15.75" customHeight="1">
      <c r="A87" s="150">
        <v>43421.0</v>
      </c>
      <c r="B87" s="151" t="s">
        <v>1823</v>
      </c>
      <c r="C87" s="151" t="s">
        <v>1824</v>
      </c>
      <c r="D87" s="151">
        <f>+2347066077030</f>
        <v>2347066077030</v>
      </c>
      <c r="F87" s="6" t="s">
        <v>168</v>
      </c>
      <c r="G87" s="6" t="s">
        <v>1654</v>
      </c>
    </row>
    <row r="88" ht="15.75" customHeight="1">
      <c r="A88" s="150">
        <v>43421.0</v>
      </c>
      <c r="B88" s="151" t="s">
        <v>1825</v>
      </c>
      <c r="C88" s="151" t="s">
        <v>1826</v>
      </c>
      <c r="D88" s="151">
        <f>+2348157857505</f>
        <v>2348157857505</v>
      </c>
      <c r="F88" s="6" t="s">
        <v>168</v>
      </c>
      <c r="G88" s="6" t="s">
        <v>1654</v>
      </c>
    </row>
    <row r="89" ht="15.75" customHeight="1">
      <c r="A89" s="150">
        <v>43421.0</v>
      </c>
      <c r="B89" s="151" t="s">
        <v>1827</v>
      </c>
      <c r="C89" s="151" t="s">
        <v>1828</v>
      </c>
      <c r="D89" s="151">
        <v>8.039668405E9</v>
      </c>
      <c r="F89" s="6" t="s">
        <v>168</v>
      </c>
      <c r="G89" s="6" t="s">
        <v>1654</v>
      </c>
    </row>
    <row r="90" ht="15.75" customHeight="1">
      <c r="A90" s="150">
        <v>43421.0</v>
      </c>
      <c r="B90" s="151" t="s">
        <v>1829</v>
      </c>
      <c r="C90" s="151" t="s">
        <v>1830</v>
      </c>
      <c r="D90" s="151">
        <f>+2348020642379</f>
        <v>2348020642379</v>
      </c>
      <c r="F90" s="6" t="s">
        <v>168</v>
      </c>
      <c r="G90" s="6" t="s">
        <v>1654</v>
      </c>
    </row>
    <row r="91" ht="15.75" customHeight="1">
      <c r="A91" s="150">
        <v>43421.0</v>
      </c>
      <c r="B91" s="151" t="s">
        <v>1831</v>
      </c>
      <c r="C91" s="151" t="s">
        <v>1832</v>
      </c>
      <c r="D91" s="151">
        <f>+2347085719484</f>
        <v>2347085719484</v>
      </c>
      <c r="F91" s="6" t="s">
        <v>168</v>
      </c>
      <c r="G91" s="6" t="s">
        <v>1654</v>
      </c>
    </row>
    <row r="92" ht="15.75" customHeight="1">
      <c r="A92" s="150">
        <v>43421.0</v>
      </c>
      <c r="B92" s="151" t="s">
        <v>1833</v>
      </c>
      <c r="C92" s="151" t="s">
        <v>1834</v>
      </c>
      <c r="D92" s="151">
        <f>+2348096385736</f>
        <v>2348096385736</v>
      </c>
      <c r="F92" s="6" t="s">
        <v>168</v>
      </c>
      <c r="G92" s="6" t="s">
        <v>1654</v>
      </c>
    </row>
    <row r="93" ht="15.75" customHeight="1">
      <c r="A93" s="150">
        <v>43421.0</v>
      </c>
      <c r="B93" s="151" t="s">
        <v>1835</v>
      </c>
      <c r="C93" s="151" t="s">
        <v>1836</v>
      </c>
      <c r="D93" s="151">
        <f>+23408036753111</f>
        <v>23408036753111</v>
      </c>
      <c r="F93" s="6" t="s">
        <v>168</v>
      </c>
      <c r="G93" s="6" t="s">
        <v>1654</v>
      </c>
    </row>
    <row r="94" ht="15.75" customHeight="1">
      <c r="A94" s="150">
        <v>43421.0</v>
      </c>
      <c r="B94" s="151" t="s">
        <v>1837</v>
      </c>
      <c r="C94" s="151" t="s">
        <v>1838</v>
      </c>
      <c r="D94" s="151">
        <f>+2348186056760</f>
        <v>2348186056760</v>
      </c>
      <c r="F94" s="6" t="s">
        <v>168</v>
      </c>
      <c r="G94" s="6" t="s">
        <v>1654</v>
      </c>
    </row>
    <row r="95" ht="15.75" customHeight="1">
      <c r="A95" s="150">
        <v>43421.0</v>
      </c>
      <c r="B95" s="151" t="s">
        <v>1839</v>
      </c>
      <c r="C95" s="151" t="s">
        <v>1840</v>
      </c>
      <c r="D95" s="151">
        <f>+2348139290229</f>
        <v>2348139290229</v>
      </c>
      <c r="F95" s="6" t="s">
        <v>168</v>
      </c>
      <c r="G95" s="6" t="s">
        <v>1654</v>
      </c>
    </row>
    <row r="96" ht="15.75" customHeight="1">
      <c r="A96" s="150">
        <v>43421.0</v>
      </c>
      <c r="B96" s="151" t="s">
        <v>1841</v>
      </c>
      <c r="C96" s="151" t="s">
        <v>1842</v>
      </c>
      <c r="D96" s="151">
        <f>+2348159117723</f>
        <v>2348159117723</v>
      </c>
      <c r="F96" s="6" t="s">
        <v>168</v>
      </c>
      <c r="G96" s="6" t="s">
        <v>1654</v>
      </c>
    </row>
    <row r="97" ht="15.75" customHeight="1">
      <c r="A97" s="150">
        <v>43421.0</v>
      </c>
      <c r="B97" s="151" t="s">
        <v>1843</v>
      </c>
      <c r="C97" s="151" t="s">
        <v>1844</v>
      </c>
      <c r="D97" s="151">
        <f>+2348037688834</f>
        <v>2348037688834</v>
      </c>
      <c r="F97" s="6" t="s">
        <v>168</v>
      </c>
      <c r="G97" s="6" t="s">
        <v>1654</v>
      </c>
    </row>
    <row r="98" ht="15.75" customHeight="1">
      <c r="A98" s="150">
        <v>43421.0</v>
      </c>
      <c r="B98" s="151" t="s">
        <v>1845</v>
      </c>
      <c r="C98" s="151" t="s">
        <v>1846</v>
      </c>
      <c r="D98" s="151">
        <f>+2348037501064</f>
        <v>2348037501064</v>
      </c>
      <c r="F98" s="6" t="s">
        <v>168</v>
      </c>
      <c r="G98" s="6" t="s">
        <v>1654</v>
      </c>
    </row>
    <row r="99" ht="15.75" customHeight="1">
      <c r="A99" s="150">
        <v>43421.0</v>
      </c>
      <c r="B99" s="151" t="s">
        <v>1847</v>
      </c>
      <c r="C99" s="151" t="s">
        <v>1848</v>
      </c>
      <c r="D99" s="151">
        <f>+2348033674916</f>
        <v>2348033674916</v>
      </c>
      <c r="F99" s="6" t="s">
        <v>168</v>
      </c>
      <c r="G99" s="6" t="s">
        <v>1654</v>
      </c>
    </row>
    <row r="100" ht="15.75" customHeight="1">
      <c r="A100" s="150">
        <v>43421.0</v>
      </c>
      <c r="B100" s="151" t="s">
        <v>1849</v>
      </c>
      <c r="C100" s="151" t="s">
        <v>1850</v>
      </c>
      <c r="D100" s="151">
        <f>+2347038159614</f>
        <v>2347038159614</v>
      </c>
      <c r="F100" s="6" t="s">
        <v>168</v>
      </c>
      <c r="G100" s="6" t="s">
        <v>1654</v>
      </c>
    </row>
    <row r="101" ht="15.75" customHeight="1">
      <c r="A101" s="150">
        <v>43421.0</v>
      </c>
      <c r="B101" s="151" t="s">
        <v>1851</v>
      </c>
      <c r="C101" s="151" t="s">
        <v>1852</v>
      </c>
      <c r="D101" s="151">
        <f>+2347033857491</f>
        <v>2347033857491</v>
      </c>
      <c r="F101" s="6" t="s">
        <v>168</v>
      </c>
      <c r="G101" s="6" t="s">
        <v>1654</v>
      </c>
    </row>
    <row r="102" ht="15.75" customHeight="1">
      <c r="A102" s="150">
        <v>43421.0</v>
      </c>
      <c r="B102" s="151" t="s">
        <v>1853</v>
      </c>
      <c r="C102" s="151" t="s">
        <v>1854</v>
      </c>
      <c r="D102" s="151">
        <f>+2348137778839</f>
        <v>2348137778839</v>
      </c>
      <c r="F102" s="6" t="s">
        <v>168</v>
      </c>
      <c r="G102" s="6" t="s">
        <v>1654</v>
      </c>
    </row>
    <row r="103" ht="15.75" customHeight="1">
      <c r="A103" s="150">
        <v>43421.0</v>
      </c>
      <c r="B103" s="151" t="s">
        <v>1855</v>
      </c>
      <c r="C103" s="151" t="s">
        <v>1856</v>
      </c>
      <c r="D103" s="151">
        <f>+23408022502386</f>
        <v>23408022502386</v>
      </c>
      <c r="F103" s="6" t="s">
        <v>168</v>
      </c>
      <c r="G103" s="6" t="s">
        <v>1654</v>
      </c>
    </row>
    <row r="104" ht="15.75" customHeight="1">
      <c r="A104" s="150">
        <v>43421.0</v>
      </c>
      <c r="B104" s="151" t="s">
        <v>1857</v>
      </c>
      <c r="C104" s="151" t="s">
        <v>1858</v>
      </c>
      <c r="D104" s="151">
        <f>+2347067779447</f>
        <v>2347067779447</v>
      </c>
      <c r="F104" s="6" t="s">
        <v>168</v>
      </c>
      <c r="G104" s="6" t="s">
        <v>1654</v>
      </c>
    </row>
    <row r="105" ht="15.75" customHeight="1">
      <c r="A105" s="150">
        <v>43421.0</v>
      </c>
      <c r="B105" s="151" t="s">
        <v>1859</v>
      </c>
      <c r="C105" s="151" t="s">
        <v>1860</v>
      </c>
      <c r="D105" s="151">
        <f>+2348137743119</f>
        <v>2348137743119</v>
      </c>
      <c r="F105" s="6" t="s">
        <v>168</v>
      </c>
      <c r="G105" s="6" t="s">
        <v>1654</v>
      </c>
    </row>
    <row r="106" ht="15.75" customHeight="1">
      <c r="A106" s="150">
        <v>43421.0</v>
      </c>
      <c r="B106" s="151" t="s">
        <v>1861</v>
      </c>
      <c r="C106" s="151" t="s">
        <v>1862</v>
      </c>
      <c r="D106" s="151">
        <f>+2348080372225</f>
        <v>2348080372225</v>
      </c>
      <c r="F106" s="6" t="s">
        <v>168</v>
      </c>
      <c r="G106" s="6" t="s">
        <v>1654</v>
      </c>
    </row>
    <row r="107" ht="15.75" customHeight="1">
      <c r="A107" s="150">
        <v>43421.0</v>
      </c>
      <c r="B107" s="151" t="s">
        <v>1863</v>
      </c>
      <c r="C107" s="151" t="s">
        <v>1864</v>
      </c>
      <c r="D107" s="151">
        <f>+2348030444740</f>
        <v>2348030444740</v>
      </c>
      <c r="F107" s="6" t="s">
        <v>168</v>
      </c>
      <c r="G107" s="6" t="s">
        <v>1654</v>
      </c>
    </row>
    <row r="108" ht="15.75" customHeight="1">
      <c r="A108" s="150">
        <v>43421.0</v>
      </c>
      <c r="B108" s="151" t="s">
        <v>1865</v>
      </c>
      <c r="C108" s="151" t="s">
        <v>1866</v>
      </c>
      <c r="D108" s="151">
        <f>+2348113794290</f>
        <v>2348113794290</v>
      </c>
      <c r="F108" s="6" t="s">
        <v>168</v>
      </c>
      <c r="G108" s="6" t="s">
        <v>1654</v>
      </c>
    </row>
    <row r="109" ht="15.75" customHeight="1">
      <c r="A109" s="150">
        <v>43421.0</v>
      </c>
      <c r="B109" s="151" t="s">
        <v>1867</v>
      </c>
      <c r="C109" s="151" t="s">
        <v>1868</v>
      </c>
      <c r="D109" s="151">
        <f>+2348033242182</f>
        <v>2348033242182</v>
      </c>
      <c r="F109" s="6" t="s">
        <v>168</v>
      </c>
      <c r="G109" s="6" t="s">
        <v>1654</v>
      </c>
    </row>
    <row r="110" ht="15.75" customHeight="1">
      <c r="A110" s="150">
        <v>43421.0</v>
      </c>
      <c r="B110" s="151" t="s">
        <v>1869</v>
      </c>
      <c r="C110" s="151" t="s">
        <v>1870</v>
      </c>
      <c r="D110" s="151">
        <f>+2348084332458</f>
        <v>2348084332458</v>
      </c>
      <c r="F110" s="6" t="s">
        <v>168</v>
      </c>
      <c r="G110" s="6" t="s">
        <v>1654</v>
      </c>
    </row>
    <row r="111" ht="15.75" customHeight="1">
      <c r="A111" s="150">
        <v>43421.0</v>
      </c>
      <c r="B111" s="151" t="s">
        <v>1871</v>
      </c>
      <c r="C111" s="151" t="s">
        <v>1872</v>
      </c>
      <c r="D111" s="151">
        <f>+2348033739118</f>
        <v>2348033739118</v>
      </c>
      <c r="F111" s="6" t="s">
        <v>168</v>
      </c>
      <c r="G111" s="6" t="s">
        <v>1654</v>
      </c>
    </row>
    <row r="112" ht="15.75" customHeight="1">
      <c r="A112" s="150">
        <v>43421.0</v>
      </c>
      <c r="B112" s="151" t="s">
        <v>1873</v>
      </c>
      <c r="C112" s="151" t="s">
        <v>1874</v>
      </c>
      <c r="D112" s="151">
        <f>+2348100000193</f>
        <v>2348100000193</v>
      </c>
      <c r="F112" s="6" t="s">
        <v>168</v>
      </c>
      <c r="G112" s="6" t="s">
        <v>1654</v>
      </c>
    </row>
    <row r="113" ht="15.75" customHeight="1">
      <c r="A113" s="150">
        <v>43421.0</v>
      </c>
      <c r="B113" s="151" t="s">
        <v>1875</v>
      </c>
      <c r="C113" s="151" t="s">
        <v>1876</v>
      </c>
      <c r="D113" s="151">
        <f>+2348067865338</f>
        <v>2348067865338</v>
      </c>
      <c r="F113" s="6" t="s">
        <v>168</v>
      </c>
      <c r="G113" s="6" t="s">
        <v>1654</v>
      </c>
    </row>
    <row r="114" ht="15.75" customHeight="1">
      <c r="A114" s="150">
        <v>43421.0</v>
      </c>
      <c r="B114" s="151" t="s">
        <v>1877</v>
      </c>
      <c r="C114" s="151" t="s">
        <v>1878</v>
      </c>
      <c r="D114" s="151">
        <f>+2349036642495</f>
        <v>2349036642495</v>
      </c>
      <c r="F114" s="6" t="s">
        <v>168</v>
      </c>
      <c r="G114" s="6" t="s">
        <v>1654</v>
      </c>
    </row>
    <row r="115" ht="15.75" customHeight="1">
      <c r="A115" s="150">
        <v>43421.0</v>
      </c>
      <c r="B115" s="151" t="s">
        <v>1879</v>
      </c>
      <c r="C115" s="151" t="s">
        <v>1880</v>
      </c>
      <c r="D115" s="151">
        <f>+2347035487952</f>
        <v>2347035487952</v>
      </c>
      <c r="F115" s="6" t="s">
        <v>168</v>
      </c>
      <c r="G115" s="6" t="s">
        <v>1654</v>
      </c>
    </row>
    <row r="116" ht="15.75" customHeight="1">
      <c r="A116" s="150">
        <v>43421.0</v>
      </c>
      <c r="B116" s="151" t="s">
        <v>1881</v>
      </c>
      <c r="C116" s="151" t="s">
        <v>1882</v>
      </c>
      <c r="D116" s="151">
        <f>+2348035881031</f>
        <v>2348035881031</v>
      </c>
      <c r="F116" s="6" t="s">
        <v>168</v>
      </c>
      <c r="G116" s="6" t="s">
        <v>1654</v>
      </c>
    </row>
    <row r="117" ht="15.75" customHeight="1">
      <c r="A117" s="150">
        <v>43421.0</v>
      </c>
      <c r="B117" s="151" t="s">
        <v>1883</v>
      </c>
      <c r="C117" s="151" t="s">
        <v>1884</v>
      </c>
      <c r="D117" s="151">
        <f>+2347061312064</f>
        <v>2347061312064</v>
      </c>
      <c r="F117" s="6" t="s">
        <v>168</v>
      </c>
      <c r="G117" s="6" t="s">
        <v>1654</v>
      </c>
    </row>
    <row r="118" ht="15.75" customHeight="1">
      <c r="A118" s="150">
        <v>43421.0</v>
      </c>
      <c r="B118" s="151" t="s">
        <v>1885</v>
      </c>
      <c r="C118" s="151" t="s">
        <v>1886</v>
      </c>
      <c r="D118" s="151">
        <f>+2348036209364</f>
        <v>2348036209364</v>
      </c>
      <c r="F118" s="6" t="s">
        <v>168</v>
      </c>
      <c r="G118" s="6" t="s">
        <v>1654</v>
      </c>
    </row>
    <row r="119" ht="15.75" customHeight="1">
      <c r="A119" s="150">
        <v>43421.0</v>
      </c>
      <c r="B119" s="151" t="s">
        <v>1887</v>
      </c>
      <c r="C119" s="151" t="s">
        <v>1888</v>
      </c>
      <c r="D119" s="151">
        <f>+2347064484610</f>
        <v>2347064484610</v>
      </c>
      <c r="F119" s="6" t="s">
        <v>168</v>
      </c>
      <c r="G119" s="6" t="s">
        <v>1654</v>
      </c>
    </row>
    <row r="120" ht="15.75" customHeight="1">
      <c r="A120" s="150">
        <v>43423.0</v>
      </c>
      <c r="B120" s="151" t="s">
        <v>1889</v>
      </c>
      <c r="C120" s="151" t="s">
        <v>1890</v>
      </c>
      <c r="D120" s="151">
        <f>+2347037957032</f>
        <v>2347037957032</v>
      </c>
      <c r="F120" s="20" t="s">
        <v>97</v>
      </c>
      <c r="G120" s="6" t="s">
        <v>1654</v>
      </c>
    </row>
    <row r="121" ht="15.75" customHeight="1">
      <c r="A121" s="150">
        <v>43423.0</v>
      </c>
      <c r="B121" s="151" t="s">
        <v>1891</v>
      </c>
      <c r="C121" s="151" t="s">
        <v>1892</v>
      </c>
      <c r="D121" s="151">
        <f>+2347066654376</f>
        <v>2347066654376</v>
      </c>
      <c r="F121" s="20" t="s">
        <v>97</v>
      </c>
      <c r="G121" s="6" t="s">
        <v>1654</v>
      </c>
    </row>
    <row r="122" ht="15.75" customHeight="1">
      <c r="A122" s="150">
        <v>43423.0</v>
      </c>
      <c r="B122" s="151" t="s">
        <v>1893</v>
      </c>
      <c r="C122" s="151" t="s">
        <v>1894</v>
      </c>
      <c r="D122" s="151">
        <f>+2349098648677</f>
        <v>2349098648677</v>
      </c>
      <c r="F122" s="20" t="s">
        <v>97</v>
      </c>
      <c r="G122" s="6" t="s">
        <v>1654</v>
      </c>
    </row>
    <row r="123" ht="15.75" customHeight="1">
      <c r="A123" s="150">
        <v>43423.0</v>
      </c>
      <c r="B123" s="151" t="s">
        <v>1895</v>
      </c>
      <c r="C123" s="151" t="s">
        <v>1896</v>
      </c>
      <c r="D123" s="151">
        <f>+2348035841937</f>
        <v>2348035841937</v>
      </c>
      <c r="F123" s="20" t="s">
        <v>97</v>
      </c>
      <c r="G123" s="6" t="s">
        <v>1654</v>
      </c>
    </row>
    <row r="124" ht="15.75" customHeight="1">
      <c r="A124" s="150">
        <v>43423.0</v>
      </c>
      <c r="B124" s="151" t="s">
        <v>1897</v>
      </c>
      <c r="C124" s="151" t="s">
        <v>1898</v>
      </c>
      <c r="D124" s="151">
        <f>+2348051115194</f>
        <v>2348051115194</v>
      </c>
      <c r="F124" s="20" t="s">
        <v>97</v>
      </c>
      <c r="G124" s="6" t="s">
        <v>1654</v>
      </c>
    </row>
    <row r="125" ht="15.75" customHeight="1">
      <c r="A125" s="150">
        <v>43423.0</v>
      </c>
      <c r="B125" s="151" t="s">
        <v>1899</v>
      </c>
      <c r="C125" s="151" t="s">
        <v>1900</v>
      </c>
      <c r="D125" s="151">
        <f>+2348032825804</f>
        <v>2348032825804</v>
      </c>
      <c r="F125" s="20" t="s">
        <v>97</v>
      </c>
      <c r="G125" s="6" t="s">
        <v>1654</v>
      </c>
    </row>
    <row r="126" ht="15.75" customHeight="1">
      <c r="A126" s="150">
        <v>43423.0</v>
      </c>
      <c r="B126" s="151" t="s">
        <v>1901</v>
      </c>
      <c r="C126" s="151" t="s">
        <v>1902</v>
      </c>
      <c r="D126" s="151">
        <f>+2348038850404</f>
        <v>2348038850404</v>
      </c>
      <c r="F126" s="20" t="s">
        <v>97</v>
      </c>
      <c r="G126" s="6" t="s">
        <v>1654</v>
      </c>
    </row>
    <row r="127" ht="15.75" customHeight="1">
      <c r="A127" s="150">
        <v>43423.0</v>
      </c>
      <c r="B127" s="151" t="s">
        <v>1903</v>
      </c>
      <c r="C127" s="151" t="s">
        <v>1904</v>
      </c>
      <c r="D127" s="151">
        <f>+2348051142992</f>
        <v>2348051142992</v>
      </c>
      <c r="F127" s="20" t="s">
        <v>97</v>
      </c>
      <c r="G127" s="6" t="s">
        <v>1654</v>
      </c>
    </row>
    <row r="128" ht="15.75" customHeight="1">
      <c r="A128" s="150">
        <v>43423.0</v>
      </c>
      <c r="B128" s="151" t="s">
        <v>1905</v>
      </c>
      <c r="C128" s="151" t="s">
        <v>1906</v>
      </c>
      <c r="D128" s="151">
        <f>+2347065995440</f>
        <v>2347065995440</v>
      </c>
      <c r="F128" s="20" t="s">
        <v>97</v>
      </c>
      <c r="G128" s="6" t="s">
        <v>1654</v>
      </c>
    </row>
    <row r="129" ht="15.75" customHeight="1">
      <c r="A129" s="150">
        <v>43423.0</v>
      </c>
      <c r="B129" s="151" t="s">
        <v>1907</v>
      </c>
      <c r="C129" s="151" t="s">
        <v>1908</v>
      </c>
      <c r="D129" s="151">
        <f>+2348037720730</f>
        <v>2348037720730</v>
      </c>
      <c r="F129" s="20" t="s">
        <v>97</v>
      </c>
      <c r="G129" s="6" t="s">
        <v>1654</v>
      </c>
    </row>
    <row r="130" ht="15.75" customHeight="1">
      <c r="A130" s="150">
        <v>43423.0</v>
      </c>
      <c r="B130" s="151" t="s">
        <v>1909</v>
      </c>
      <c r="C130" s="151" t="s">
        <v>1910</v>
      </c>
      <c r="D130" s="151">
        <f>+2348030966714</f>
        <v>2348030966714</v>
      </c>
      <c r="F130" s="20" t="s">
        <v>97</v>
      </c>
      <c r="G130" s="6" t="s">
        <v>1654</v>
      </c>
    </row>
    <row r="131" ht="15.75" customHeight="1">
      <c r="A131" s="150">
        <v>43423.0</v>
      </c>
      <c r="B131" s="151" t="s">
        <v>1911</v>
      </c>
      <c r="C131" s="151" t="s">
        <v>1912</v>
      </c>
      <c r="D131" s="151">
        <f>+2348059121524</f>
        <v>2348059121524</v>
      </c>
      <c r="F131" s="20" t="s">
        <v>97</v>
      </c>
      <c r="G131" s="6" t="s">
        <v>1654</v>
      </c>
    </row>
    <row r="132" ht="15.75" customHeight="1">
      <c r="A132" s="150">
        <v>43423.0</v>
      </c>
      <c r="B132" s="151" t="s">
        <v>1913</v>
      </c>
      <c r="C132" s="151" t="s">
        <v>1914</v>
      </c>
      <c r="D132" s="151">
        <f>+2348038698585</f>
        <v>2348038698585</v>
      </c>
      <c r="F132" s="20" t="s">
        <v>97</v>
      </c>
      <c r="G132" s="6" t="s">
        <v>1654</v>
      </c>
    </row>
    <row r="133" ht="15.75" customHeight="1">
      <c r="A133" s="150">
        <v>43423.0</v>
      </c>
      <c r="B133" s="151" t="s">
        <v>1915</v>
      </c>
      <c r="C133" s="151" t="s">
        <v>1916</v>
      </c>
      <c r="D133" s="151">
        <f>+2349097484531</f>
        <v>2349097484531</v>
      </c>
      <c r="F133" s="20" t="s">
        <v>97</v>
      </c>
      <c r="G133" s="6" t="s">
        <v>1654</v>
      </c>
    </row>
    <row r="134" ht="15.75" customHeight="1">
      <c r="A134" s="150">
        <v>43423.0</v>
      </c>
      <c r="B134" s="151" t="s">
        <v>1917</v>
      </c>
      <c r="C134" s="151" t="s">
        <v>1918</v>
      </c>
      <c r="D134" s="151">
        <f>+2348035288355</f>
        <v>2348035288355</v>
      </c>
      <c r="F134" s="20" t="s">
        <v>97</v>
      </c>
      <c r="G134" s="6" t="s">
        <v>1654</v>
      </c>
    </row>
    <row r="135" ht="15.75" customHeight="1">
      <c r="A135" s="150">
        <v>43423.0</v>
      </c>
      <c r="B135" s="151" t="s">
        <v>1919</v>
      </c>
      <c r="C135" s="151" t="s">
        <v>1920</v>
      </c>
      <c r="D135" s="151">
        <f>+2348067276285</f>
        <v>2348067276285</v>
      </c>
      <c r="F135" s="20" t="s">
        <v>97</v>
      </c>
      <c r="G135" s="6" t="s">
        <v>1654</v>
      </c>
    </row>
    <row r="136" ht="15.75" customHeight="1">
      <c r="A136" s="150">
        <v>43423.0</v>
      </c>
      <c r="B136" s="151" t="s">
        <v>1921</v>
      </c>
      <c r="C136" s="151" t="s">
        <v>1922</v>
      </c>
      <c r="D136" s="151">
        <f>+2348026155065</f>
        <v>2348026155065</v>
      </c>
      <c r="F136" s="20" t="s">
        <v>97</v>
      </c>
      <c r="G136" s="6" t="s">
        <v>1654</v>
      </c>
    </row>
    <row r="137" ht="15.75" customHeight="1">
      <c r="A137" s="150">
        <v>43423.0</v>
      </c>
      <c r="B137" s="151" t="s">
        <v>1923</v>
      </c>
      <c r="C137" s="151" t="s">
        <v>1924</v>
      </c>
      <c r="D137" s="151">
        <f>+2348032294601</f>
        <v>2348032294601</v>
      </c>
      <c r="F137" s="20" t="s">
        <v>97</v>
      </c>
      <c r="G137" s="6" t="s">
        <v>1654</v>
      </c>
    </row>
    <row r="138" ht="15.75" customHeight="1">
      <c r="A138" s="150">
        <v>43423.0</v>
      </c>
      <c r="B138" s="151" t="s">
        <v>1925</v>
      </c>
      <c r="C138" s="151" t="s">
        <v>1926</v>
      </c>
      <c r="D138" s="151">
        <f>+2348062888230</f>
        <v>2348062888230</v>
      </c>
      <c r="F138" s="20" t="s">
        <v>97</v>
      </c>
      <c r="G138" s="6" t="s">
        <v>1654</v>
      </c>
    </row>
    <row r="139" ht="15.75" customHeight="1">
      <c r="A139" s="150">
        <v>43423.0</v>
      </c>
      <c r="B139" s="151" t="s">
        <v>1927</v>
      </c>
      <c r="C139" s="151" t="s">
        <v>1928</v>
      </c>
      <c r="D139" s="151">
        <f>+2348067797599</f>
        <v>2348067797599</v>
      </c>
      <c r="F139" s="20" t="s">
        <v>97</v>
      </c>
      <c r="G139" s="6" t="s">
        <v>1654</v>
      </c>
    </row>
    <row r="140" ht="15.75" customHeight="1">
      <c r="A140" s="150">
        <v>43423.0</v>
      </c>
      <c r="B140" s="151" t="s">
        <v>1929</v>
      </c>
      <c r="C140" s="151" t="s">
        <v>1930</v>
      </c>
      <c r="D140" s="151">
        <f>+23407031681750</f>
        <v>23407031681750</v>
      </c>
      <c r="F140" s="20" t="s">
        <v>97</v>
      </c>
      <c r="G140" s="6" t="s">
        <v>1654</v>
      </c>
    </row>
    <row r="141" ht="15.75" customHeight="1">
      <c r="A141" s="150">
        <v>43423.0</v>
      </c>
      <c r="B141" s="151" t="s">
        <v>1931</v>
      </c>
      <c r="C141" s="151" t="s">
        <v>1932</v>
      </c>
      <c r="D141" s="151">
        <f>+2348034739350</f>
        <v>2348034739350</v>
      </c>
      <c r="F141" s="20" t="s">
        <v>97</v>
      </c>
      <c r="G141" s="6" t="s">
        <v>1654</v>
      </c>
    </row>
    <row r="142" ht="15.75" customHeight="1">
      <c r="A142" s="150">
        <v>43423.0</v>
      </c>
      <c r="B142" s="151" t="s">
        <v>1933</v>
      </c>
      <c r="C142" s="151" t="s">
        <v>1934</v>
      </c>
      <c r="D142" s="151">
        <f>+23407033567275</f>
        <v>23407033567275</v>
      </c>
      <c r="F142" s="20" t="s">
        <v>97</v>
      </c>
      <c r="G142" s="6" t="s">
        <v>1654</v>
      </c>
    </row>
    <row r="143" ht="15.75" customHeight="1">
      <c r="A143" s="150">
        <v>43423.0</v>
      </c>
      <c r="B143" s="151" t="s">
        <v>1935</v>
      </c>
      <c r="C143" s="151" t="s">
        <v>1936</v>
      </c>
      <c r="D143" s="151">
        <f>+2348080555980</f>
        <v>2348080555980</v>
      </c>
      <c r="F143" s="20" t="s">
        <v>97</v>
      </c>
      <c r="G143" s="6" t="s">
        <v>1654</v>
      </c>
    </row>
    <row r="144" ht="15.75" customHeight="1">
      <c r="A144" s="150">
        <v>43423.0</v>
      </c>
      <c r="B144" s="151" t="s">
        <v>1937</v>
      </c>
      <c r="C144" s="151" t="s">
        <v>1938</v>
      </c>
      <c r="D144" s="151">
        <f>+2348027034087</f>
        <v>2348027034087</v>
      </c>
      <c r="F144" s="20" t="s">
        <v>97</v>
      </c>
      <c r="G144" s="6" t="s">
        <v>1654</v>
      </c>
    </row>
    <row r="145" ht="15.75" customHeight="1">
      <c r="A145" s="150">
        <v>43423.0</v>
      </c>
      <c r="B145" s="151" t="s">
        <v>1939</v>
      </c>
      <c r="C145" s="151" t="s">
        <v>1940</v>
      </c>
      <c r="D145" s="151">
        <f>+2348135462122</f>
        <v>2348135462122</v>
      </c>
      <c r="F145" s="20" t="s">
        <v>97</v>
      </c>
      <c r="G145" s="6" t="s">
        <v>1654</v>
      </c>
    </row>
    <row r="146" ht="15.75" customHeight="1">
      <c r="A146" s="150">
        <v>43423.0</v>
      </c>
      <c r="B146" s="151" t="s">
        <v>1941</v>
      </c>
      <c r="C146" s="151" t="s">
        <v>1942</v>
      </c>
      <c r="D146" s="151">
        <f>+2348133441121</f>
        <v>2348133441121</v>
      </c>
      <c r="F146" s="20" t="s">
        <v>97</v>
      </c>
      <c r="G146" s="6" t="s">
        <v>1654</v>
      </c>
    </row>
    <row r="147" ht="15.75" customHeight="1">
      <c r="A147" s="150">
        <v>43423.0</v>
      </c>
      <c r="B147" s="151" t="s">
        <v>1943</v>
      </c>
      <c r="C147" s="151" t="s">
        <v>1944</v>
      </c>
      <c r="D147" s="151">
        <f>+2348023090847</f>
        <v>2348023090847</v>
      </c>
      <c r="F147" s="20" t="s">
        <v>97</v>
      </c>
      <c r="G147" s="6" t="s">
        <v>1654</v>
      </c>
    </row>
    <row r="148" ht="15.75" customHeight="1">
      <c r="A148" s="150">
        <v>43423.0</v>
      </c>
      <c r="B148" s="151" t="s">
        <v>1945</v>
      </c>
      <c r="C148" s="151" t="s">
        <v>1946</v>
      </c>
      <c r="D148" s="151">
        <f>+2348098630449</f>
        <v>2348098630449</v>
      </c>
      <c r="F148" s="20" t="s">
        <v>97</v>
      </c>
      <c r="G148" s="6" t="s">
        <v>1654</v>
      </c>
    </row>
    <row r="149" ht="15.75" customHeight="1">
      <c r="A149" s="150">
        <v>43423.0</v>
      </c>
      <c r="B149" s="151" t="s">
        <v>1947</v>
      </c>
      <c r="C149" s="151" t="s">
        <v>1948</v>
      </c>
      <c r="D149" s="151">
        <f>+2348034003343</f>
        <v>2348034003343</v>
      </c>
      <c r="F149" s="20" t="s">
        <v>97</v>
      </c>
      <c r="G149" s="6" t="s">
        <v>1654</v>
      </c>
    </row>
    <row r="150" ht="15.75" customHeight="1">
      <c r="A150" s="150">
        <v>43423.0</v>
      </c>
      <c r="B150" s="151" t="s">
        <v>1949</v>
      </c>
      <c r="C150" s="151" t="s">
        <v>1950</v>
      </c>
      <c r="D150" s="151">
        <f>+2347063940980</f>
        <v>2347063940980</v>
      </c>
      <c r="F150" s="20" t="s">
        <v>97</v>
      </c>
      <c r="G150" s="6" t="s">
        <v>1654</v>
      </c>
    </row>
    <row r="151" ht="15.75" customHeight="1">
      <c r="A151" s="150">
        <v>43423.0</v>
      </c>
      <c r="B151" s="151" t="s">
        <v>1951</v>
      </c>
      <c r="C151" s="151" t="s">
        <v>1952</v>
      </c>
      <c r="D151" s="151">
        <f>+2348073800007</f>
        <v>2348073800007</v>
      </c>
      <c r="F151" s="20" t="s">
        <v>97</v>
      </c>
      <c r="G151" s="6" t="s">
        <v>1654</v>
      </c>
    </row>
    <row r="152" ht="15.75" customHeight="1">
      <c r="A152" s="150">
        <v>43423.0</v>
      </c>
      <c r="B152" s="151" t="s">
        <v>1953</v>
      </c>
      <c r="C152" s="151" t="s">
        <v>1954</v>
      </c>
      <c r="D152" s="151">
        <f>+2348137959718</f>
        <v>2348137959718</v>
      </c>
      <c r="F152" s="20" t="s">
        <v>97</v>
      </c>
      <c r="G152" s="6" t="s">
        <v>1654</v>
      </c>
    </row>
    <row r="153" ht="15.75" customHeight="1">
      <c r="A153" s="150">
        <v>43423.0</v>
      </c>
      <c r="B153" s="151" t="s">
        <v>1955</v>
      </c>
      <c r="C153" s="151" t="s">
        <v>1956</v>
      </c>
      <c r="D153" s="151">
        <f>+2348090512224</f>
        <v>2348090512224</v>
      </c>
      <c r="F153" s="20" t="s">
        <v>97</v>
      </c>
      <c r="G153" s="6" t="s">
        <v>1654</v>
      </c>
    </row>
    <row r="154" ht="15.75" customHeight="1">
      <c r="A154" s="150">
        <v>43423.0</v>
      </c>
      <c r="B154" s="151" t="s">
        <v>1957</v>
      </c>
      <c r="C154" s="151" t="s">
        <v>1958</v>
      </c>
      <c r="D154" s="151">
        <f>+2348033352779</f>
        <v>2348033352779</v>
      </c>
      <c r="F154" s="20" t="s">
        <v>97</v>
      </c>
      <c r="G154" s="6" t="s">
        <v>1654</v>
      </c>
    </row>
    <row r="155" ht="15.75" customHeight="1">
      <c r="A155" s="150">
        <v>43423.0</v>
      </c>
      <c r="B155" s="151" t="s">
        <v>1959</v>
      </c>
      <c r="C155" s="151" t="s">
        <v>1960</v>
      </c>
      <c r="D155" s="151">
        <f>+2348108302395</f>
        <v>2348108302395</v>
      </c>
      <c r="F155" s="20" t="s">
        <v>97</v>
      </c>
      <c r="G155" s="6" t="s">
        <v>1654</v>
      </c>
    </row>
    <row r="156" ht="15.75" customHeight="1">
      <c r="A156" s="150">
        <v>43423.0</v>
      </c>
      <c r="B156" s="151" t="s">
        <v>1961</v>
      </c>
      <c r="C156" s="151" t="s">
        <v>1962</v>
      </c>
      <c r="D156" s="151">
        <f>+2348074080903</f>
        <v>2348074080903</v>
      </c>
      <c r="F156" s="20" t="s">
        <v>97</v>
      </c>
      <c r="G156" s="6" t="s">
        <v>1654</v>
      </c>
    </row>
    <row r="157" ht="15.75" customHeight="1">
      <c r="A157" s="150">
        <v>43423.0</v>
      </c>
      <c r="B157" s="151" t="s">
        <v>1963</v>
      </c>
      <c r="C157" s="151" t="s">
        <v>1964</v>
      </c>
      <c r="D157" s="151">
        <f>+2348035612369</f>
        <v>2348035612369</v>
      </c>
      <c r="F157" s="20" t="s">
        <v>97</v>
      </c>
      <c r="G157" s="6" t="s">
        <v>1654</v>
      </c>
    </row>
    <row r="158" ht="15.75" customHeight="1">
      <c r="A158" s="150">
        <v>43423.0</v>
      </c>
      <c r="B158" s="151" t="s">
        <v>1965</v>
      </c>
      <c r="C158" s="151" t="s">
        <v>1966</v>
      </c>
      <c r="D158" s="151">
        <f>+2348034820793</f>
        <v>2348034820793</v>
      </c>
      <c r="F158" s="20" t="s">
        <v>97</v>
      </c>
      <c r="G158" s="6" t="s">
        <v>1654</v>
      </c>
    </row>
    <row r="159" ht="15.75" customHeight="1">
      <c r="A159" s="150">
        <v>43423.0</v>
      </c>
      <c r="B159" s="151" t="s">
        <v>1967</v>
      </c>
      <c r="C159" s="151" t="s">
        <v>1968</v>
      </c>
      <c r="D159" s="151">
        <f>+23409090069205</f>
        <v>23409090069205</v>
      </c>
      <c r="F159" s="20" t="s">
        <v>97</v>
      </c>
      <c r="G159" s="6" t="s">
        <v>1654</v>
      </c>
    </row>
    <row r="160" ht="15.75" customHeight="1">
      <c r="A160" s="150">
        <v>43423.0</v>
      </c>
      <c r="B160" s="151" t="s">
        <v>1969</v>
      </c>
      <c r="C160" s="151" t="s">
        <v>1970</v>
      </c>
      <c r="D160" s="151">
        <f>+2348122058025</f>
        <v>2348122058025</v>
      </c>
      <c r="F160" s="20" t="s">
        <v>97</v>
      </c>
      <c r="G160" s="6" t="s">
        <v>1654</v>
      </c>
    </row>
    <row r="161" ht="15.75" customHeight="1">
      <c r="A161" s="150">
        <v>43423.0</v>
      </c>
      <c r="B161" s="151" t="s">
        <v>1971</v>
      </c>
      <c r="C161" s="151" t="s">
        <v>1972</v>
      </c>
      <c r="D161" s="151">
        <f>+2348036689382</f>
        <v>2348036689382</v>
      </c>
      <c r="F161" s="6" t="s">
        <v>168</v>
      </c>
      <c r="G161" s="6" t="s">
        <v>1654</v>
      </c>
    </row>
    <row r="162" ht="15.75" customHeight="1">
      <c r="A162" s="150">
        <v>43423.0</v>
      </c>
      <c r="B162" s="151" t="s">
        <v>1973</v>
      </c>
      <c r="C162" s="151" t="s">
        <v>1974</v>
      </c>
      <c r="D162" s="151">
        <f>+2347031883277</f>
        <v>2347031883277</v>
      </c>
      <c r="F162" s="6" t="s">
        <v>168</v>
      </c>
      <c r="G162" s="6" t="s">
        <v>1654</v>
      </c>
    </row>
    <row r="163" ht="15.75" customHeight="1">
      <c r="A163" s="150">
        <v>43423.0</v>
      </c>
      <c r="B163" s="151" t="s">
        <v>1975</v>
      </c>
      <c r="C163" s="151" t="s">
        <v>1976</v>
      </c>
      <c r="D163" s="151">
        <f>+2348053107812</f>
        <v>2348053107812</v>
      </c>
      <c r="F163" s="6" t="s">
        <v>168</v>
      </c>
      <c r="G163" s="6" t="s">
        <v>1654</v>
      </c>
    </row>
    <row r="164" ht="15.75" customHeight="1">
      <c r="A164" s="150">
        <v>43423.0</v>
      </c>
      <c r="B164" s="151" t="s">
        <v>1977</v>
      </c>
      <c r="C164" s="151" t="s">
        <v>1978</v>
      </c>
      <c r="D164" s="151">
        <f>+2347035560047</f>
        <v>2347035560047</v>
      </c>
      <c r="F164" s="6" t="s">
        <v>168</v>
      </c>
      <c r="G164" s="6" t="s">
        <v>1654</v>
      </c>
    </row>
    <row r="165" ht="15.75" customHeight="1">
      <c r="A165" s="150">
        <v>43423.0</v>
      </c>
      <c r="B165" s="151" t="s">
        <v>1979</v>
      </c>
      <c r="C165" s="151" t="s">
        <v>1980</v>
      </c>
      <c r="D165" s="151">
        <f>+2347064814592</f>
        <v>2347064814592</v>
      </c>
      <c r="F165" s="6" t="s">
        <v>168</v>
      </c>
      <c r="G165" s="6" t="s">
        <v>1654</v>
      </c>
    </row>
    <row r="166" ht="15.75" customHeight="1">
      <c r="A166" s="150">
        <v>43423.0</v>
      </c>
      <c r="B166" s="151" t="s">
        <v>1981</v>
      </c>
      <c r="C166" s="151" t="s">
        <v>1982</v>
      </c>
      <c r="D166" s="151">
        <f>+2348122271688</f>
        <v>2348122271688</v>
      </c>
      <c r="F166" s="6" t="s">
        <v>168</v>
      </c>
      <c r="G166" s="6" t="s">
        <v>1654</v>
      </c>
    </row>
    <row r="167" ht="15.75" customHeight="1">
      <c r="A167" s="150">
        <v>43423.0</v>
      </c>
      <c r="B167" s="151" t="s">
        <v>1983</v>
      </c>
      <c r="C167" s="151" t="s">
        <v>1984</v>
      </c>
      <c r="D167" s="151">
        <f>+2348145958920</f>
        <v>2348145958920</v>
      </c>
      <c r="F167" s="6" t="s">
        <v>168</v>
      </c>
      <c r="G167" s="6" t="s">
        <v>1654</v>
      </c>
    </row>
    <row r="168" ht="15.75" customHeight="1">
      <c r="A168" s="150">
        <v>43423.0</v>
      </c>
      <c r="B168" s="151" t="s">
        <v>1985</v>
      </c>
      <c r="C168" s="151" t="s">
        <v>1986</v>
      </c>
      <c r="D168" s="151">
        <f>+23408073805300</f>
        <v>23408073805300</v>
      </c>
      <c r="F168" s="6" t="s">
        <v>168</v>
      </c>
      <c r="G168" s="6" t="s">
        <v>1654</v>
      </c>
    </row>
    <row r="169" ht="15.75" customHeight="1">
      <c r="A169" s="150">
        <v>43423.0</v>
      </c>
      <c r="B169" s="151" t="s">
        <v>1987</v>
      </c>
      <c r="C169" s="151" t="s">
        <v>1988</v>
      </c>
      <c r="D169" s="151">
        <f>+2348075160860</f>
        <v>2348075160860</v>
      </c>
      <c r="F169" s="6" t="s">
        <v>168</v>
      </c>
      <c r="G169" s="6" t="s">
        <v>1654</v>
      </c>
    </row>
    <row r="170" ht="15.75" customHeight="1">
      <c r="A170" s="150">
        <v>43423.0</v>
      </c>
      <c r="B170" s="151" t="s">
        <v>1989</v>
      </c>
      <c r="C170" s="151" t="s">
        <v>1990</v>
      </c>
      <c r="D170" s="151">
        <f>+2347080131162</f>
        <v>2347080131162</v>
      </c>
      <c r="F170" s="6" t="s">
        <v>168</v>
      </c>
      <c r="G170" s="6" t="s">
        <v>1654</v>
      </c>
    </row>
    <row r="171" ht="15.75" customHeight="1">
      <c r="A171" s="150">
        <v>43423.0</v>
      </c>
      <c r="B171" s="151" t="s">
        <v>1991</v>
      </c>
      <c r="C171" s="151" t="s">
        <v>1992</v>
      </c>
      <c r="D171" s="151">
        <f>+2348038195993</f>
        <v>2348038195993</v>
      </c>
      <c r="F171" s="6" t="s">
        <v>168</v>
      </c>
      <c r="G171" s="6" t="s">
        <v>1654</v>
      </c>
    </row>
    <row r="172" ht="15.75" customHeight="1">
      <c r="A172" s="150">
        <v>43423.0</v>
      </c>
      <c r="B172" s="151" t="s">
        <v>1993</v>
      </c>
      <c r="C172" s="151" t="s">
        <v>1994</v>
      </c>
      <c r="D172" s="151">
        <f>+2348022636470</f>
        <v>2348022636470</v>
      </c>
      <c r="F172" s="6" t="s">
        <v>168</v>
      </c>
      <c r="G172" s="6" t="s">
        <v>1654</v>
      </c>
    </row>
    <row r="173" ht="15.75" customHeight="1">
      <c r="A173" s="150">
        <v>43423.0</v>
      </c>
      <c r="B173" s="151" t="s">
        <v>1995</v>
      </c>
      <c r="C173" s="151" t="s">
        <v>1996</v>
      </c>
      <c r="D173" s="151">
        <f>+2347031174428</f>
        <v>2347031174428</v>
      </c>
      <c r="F173" s="6" t="s">
        <v>168</v>
      </c>
      <c r="G173" s="6" t="s">
        <v>1654</v>
      </c>
    </row>
    <row r="174" ht="15.75" customHeight="1">
      <c r="A174" s="150">
        <v>43423.0</v>
      </c>
      <c r="B174" s="151" t="s">
        <v>1997</v>
      </c>
      <c r="C174" s="151" t="s">
        <v>1998</v>
      </c>
      <c r="D174" s="151">
        <f>+2348036362904</f>
        <v>2348036362904</v>
      </c>
      <c r="F174" s="6" t="s">
        <v>168</v>
      </c>
      <c r="G174" s="6" t="s">
        <v>1654</v>
      </c>
    </row>
    <row r="175" ht="15.75" customHeight="1">
      <c r="A175" s="150">
        <v>43423.0</v>
      </c>
      <c r="B175" s="151" t="s">
        <v>1999</v>
      </c>
      <c r="C175" s="151" t="s">
        <v>2000</v>
      </c>
      <c r="D175" s="151">
        <f>+2348133700770</f>
        <v>2348133700770</v>
      </c>
      <c r="F175" s="6" t="s">
        <v>168</v>
      </c>
      <c r="G175" s="6" t="s">
        <v>1654</v>
      </c>
    </row>
    <row r="176" ht="15.75" customHeight="1">
      <c r="A176" s="150">
        <v>43423.0</v>
      </c>
      <c r="B176" s="151" t="s">
        <v>2001</v>
      </c>
      <c r="C176" s="151" t="s">
        <v>2002</v>
      </c>
      <c r="D176" s="151">
        <f>+2348103608246</f>
        <v>2348103608246</v>
      </c>
      <c r="F176" s="6" t="s">
        <v>168</v>
      </c>
      <c r="G176" s="6" t="s">
        <v>1654</v>
      </c>
    </row>
    <row r="177" ht="15.75" customHeight="1">
      <c r="A177" s="150">
        <v>43423.0</v>
      </c>
      <c r="B177" s="151" t="s">
        <v>2003</v>
      </c>
      <c r="C177" s="151" t="s">
        <v>2004</v>
      </c>
      <c r="D177" s="151">
        <f>+2348156098201</f>
        <v>2348156098201</v>
      </c>
      <c r="F177" s="6" t="s">
        <v>168</v>
      </c>
      <c r="G177" s="6" t="s">
        <v>1654</v>
      </c>
    </row>
    <row r="178" ht="15.75" customHeight="1">
      <c r="A178" s="150">
        <v>43423.0</v>
      </c>
      <c r="B178" s="151" t="s">
        <v>2005</v>
      </c>
      <c r="C178" s="151" t="s">
        <v>2006</v>
      </c>
      <c r="D178" s="151">
        <f>+2348090611310</f>
        <v>2348090611310</v>
      </c>
      <c r="F178" s="6" t="s">
        <v>168</v>
      </c>
      <c r="G178" s="6" t="s">
        <v>1654</v>
      </c>
    </row>
    <row r="179" ht="15.75" customHeight="1">
      <c r="A179" s="150">
        <v>43423.0</v>
      </c>
      <c r="B179" s="151" t="s">
        <v>2007</v>
      </c>
      <c r="C179" s="151" t="s">
        <v>2008</v>
      </c>
      <c r="D179" s="151">
        <f>+2348169274744</f>
        <v>2348169274744</v>
      </c>
      <c r="F179" s="6" t="s">
        <v>168</v>
      </c>
      <c r="G179" s="6" t="s">
        <v>1654</v>
      </c>
    </row>
    <row r="180" ht="15.75" customHeight="1">
      <c r="A180" s="150">
        <v>43423.0</v>
      </c>
      <c r="B180" s="151" t="s">
        <v>2009</v>
      </c>
      <c r="C180" s="151" t="s">
        <v>2010</v>
      </c>
      <c r="D180" s="151">
        <f>+2348023072640</f>
        <v>2348023072640</v>
      </c>
      <c r="F180" s="6" t="s">
        <v>168</v>
      </c>
      <c r="G180" s="6" t="s">
        <v>1654</v>
      </c>
    </row>
    <row r="181" ht="15.75" customHeight="1">
      <c r="A181" s="150">
        <v>43423.0</v>
      </c>
      <c r="B181" s="151" t="s">
        <v>2011</v>
      </c>
      <c r="C181" s="151" t="s">
        <v>2012</v>
      </c>
      <c r="D181" s="151">
        <f>+2348053471716</f>
        <v>2348053471716</v>
      </c>
      <c r="F181" s="6" t="s">
        <v>168</v>
      </c>
      <c r="G181" s="6" t="s">
        <v>1654</v>
      </c>
    </row>
    <row r="182" ht="15.75" customHeight="1">
      <c r="A182" s="150">
        <v>43423.0</v>
      </c>
      <c r="B182" s="151" t="s">
        <v>2013</v>
      </c>
      <c r="C182" s="151" t="s">
        <v>2014</v>
      </c>
      <c r="D182" s="151">
        <f>+2348035613116</f>
        <v>2348035613116</v>
      </c>
      <c r="F182" s="6" t="s">
        <v>168</v>
      </c>
      <c r="G182" s="6" t="s">
        <v>1654</v>
      </c>
    </row>
    <row r="183" ht="15.75" customHeight="1">
      <c r="A183" s="150">
        <v>43423.0</v>
      </c>
      <c r="B183" s="151" t="s">
        <v>2015</v>
      </c>
      <c r="C183" s="151" t="s">
        <v>2016</v>
      </c>
      <c r="D183" s="151">
        <f>+2348038966928</f>
        <v>2348038966928</v>
      </c>
      <c r="F183" s="6" t="s">
        <v>168</v>
      </c>
      <c r="G183" s="6" t="s">
        <v>1654</v>
      </c>
    </row>
    <row r="184" ht="15.75" customHeight="1">
      <c r="A184" s="150">
        <v>43423.0</v>
      </c>
      <c r="B184" s="151" t="s">
        <v>2017</v>
      </c>
      <c r="C184" s="151" t="s">
        <v>2018</v>
      </c>
      <c r="D184" s="151">
        <f>+2348060905700</f>
        <v>2348060905700</v>
      </c>
      <c r="F184" s="6" t="s">
        <v>168</v>
      </c>
      <c r="G184" s="6" t="s">
        <v>1654</v>
      </c>
    </row>
    <row r="185" ht="15.75" customHeight="1">
      <c r="A185" s="150">
        <v>43423.0</v>
      </c>
      <c r="B185" s="151" t="s">
        <v>2019</v>
      </c>
      <c r="C185" s="151" t="s">
        <v>2020</v>
      </c>
      <c r="D185" s="151">
        <f>+2348063857749</f>
        <v>2348063857749</v>
      </c>
      <c r="F185" s="6" t="s">
        <v>168</v>
      </c>
      <c r="G185" s="6" t="s">
        <v>1654</v>
      </c>
    </row>
    <row r="186" ht="15.75" customHeight="1">
      <c r="A186" s="150">
        <v>43423.0</v>
      </c>
      <c r="B186" s="151" t="s">
        <v>2021</v>
      </c>
      <c r="C186" s="151" t="s">
        <v>2022</v>
      </c>
      <c r="D186" s="151">
        <f>+2348037581982</f>
        <v>2348037581982</v>
      </c>
      <c r="F186" s="6" t="s">
        <v>168</v>
      </c>
      <c r="G186" s="6" t="s">
        <v>1654</v>
      </c>
    </row>
    <row r="187" ht="15.75" customHeight="1">
      <c r="A187" s="150">
        <v>43423.0</v>
      </c>
      <c r="B187" s="151" t="s">
        <v>2023</v>
      </c>
      <c r="C187" s="151" t="s">
        <v>2024</v>
      </c>
      <c r="D187" s="151">
        <f>+2348038705770</f>
        <v>2348038705770</v>
      </c>
      <c r="F187" s="6" t="s">
        <v>168</v>
      </c>
      <c r="G187" s="6" t="s">
        <v>1654</v>
      </c>
    </row>
    <row r="188" ht="15.75" customHeight="1">
      <c r="A188" s="150">
        <v>43423.0</v>
      </c>
      <c r="B188" s="151" t="s">
        <v>2025</v>
      </c>
      <c r="C188" s="151" t="s">
        <v>2026</v>
      </c>
      <c r="D188" s="151">
        <f>+2348056080990</f>
        <v>2348056080990</v>
      </c>
      <c r="F188" s="6" t="s">
        <v>168</v>
      </c>
      <c r="G188" s="6" t="s">
        <v>1654</v>
      </c>
    </row>
    <row r="189" ht="15.75" customHeight="1">
      <c r="A189" s="150">
        <v>43423.0</v>
      </c>
      <c r="B189" s="151" t="s">
        <v>2027</v>
      </c>
      <c r="C189" s="151" t="s">
        <v>2028</v>
      </c>
      <c r="D189" s="151">
        <f>+2348028136189</f>
        <v>2348028136189</v>
      </c>
      <c r="F189" s="6" t="s">
        <v>168</v>
      </c>
      <c r="G189" s="6" t="s">
        <v>1654</v>
      </c>
    </row>
    <row r="190" ht="15.75" customHeight="1">
      <c r="A190" s="150">
        <v>43423.0</v>
      </c>
      <c r="B190" s="151" t="s">
        <v>2029</v>
      </c>
      <c r="C190" s="151" t="s">
        <v>2030</v>
      </c>
      <c r="D190" s="151">
        <f>+2347068625932</f>
        <v>2347068625932</v>
      </c>
      <c r="F190" s="6" t="s">
        <v>168</v>
      </c>
      <c r="G190" s="6" t="s">
        <v>1654</v>
      </c>
    </row>
    <row r="191" ht="15.75" customHeight="1">
      <c r="A191" s="150">
        <v>43423.0</v>
      </c>
      <c r="B191" s="151" t="s">
        <v>2031</v>
      </c>
      <c r="C191" s="151" t="s">
        <v>2032</v>
      </c>
      <c r="D191" s="151">
        <f>+2348184886498</f>
        <v>2348184886498</v>
      </c>
      <c r="F191" s="6" t="s">
        <v>168</v>
      </c>
      <c r="G191" s="6" t="s">
        <v>1654</v>
      </c>
    </row>
    <row r="192" ht="15.75" customHeight="1">
      <c r="A192" s="150">
        <v>43423.0</v>
      </c>
      <c r="B192" s="151" t="s">
        <v>2033</v>
      </c>
      <c r="C192" s="151" t="s">
        <v>2034</v>
      </c>
      <c r="D192" s="151">
        <f>+2348035696625</f>
        <v>2348035696625</v>
      </c>
      <c r="F192" s="6" t="s">
        <v>168</v>
      </c>
      <c r="G192" s="6" t="s">
        <v>1654</v>
      </c>
    </row>
    <row r="193" ht="15.75" customHeight="1">
      <c r="A193" s="150">
        <v>43423.0</v>
      </c>
      <c r="B193" s="151" t="s">
        <v>2035</v>
      </c>
      <c r="C193" s="151" t="s">
        <v>2036</v>
      </c>
      <c r="D193" s="151">
        <f>+23408035886001</f>
        <v>23408035886001</v>
      </c>
      <c r="F193" s="6" t="s">
        <v>168</v>
      </c>
      <c r="G193" s="6" t="s">
        <v>1654</v>
      </c>
    </row>
    <row r="194" ht="15.75" customHeight="1">
      <c r="A194" s="150">
        <v>43423.0</v>
      </c>
      <c r="B194" s="151" t="s">
        <v>2037</v>
      </c>
      <c r="C194" s="151" t="s">
        <v>2038</v>
      </c>
      <c r="D194" s="151">
        <f>+2348062939746</f>
        <v>2348062939746</v>
      </c>
      <c r="F194" s="6" t="s">
        <v>168</v>
      </c>
      <c r="G194" s="6" t="s">
        <v>1654</v>
      </c>
    </row>
    <row r="195" ht="15.75" customHeight="1">
      <c r="A195" s="150">
        <v>43423.0</v>
      </c>
      <c r="B195" s="151" t="s">
        <v>2039</v>
      </c>
      <c r="C195" s="151" t="s">
        <v>2040</v>
      </c>
      <c r="D195" s="151">
        <f>+2348023818964</f>
        <v>2348023818964</v>
      </c>
      <c r="F195" s="6" t="s">
        <v>168</v>
      </c>
      <c r="G195" s="6" t="s">
        <v>1654</v>
      </c>
    </row>
    <row r="196" ht="15.75" customHeight="1">
      <c r="A196" s="150">
        <v>43423.0</v>
      </c>
      <c r="B196" s="151" t="s">
        <v>2041</v>
      </c>
      <c r="C196" s="151" t="s">
        <v>2042</v>
      </c>
      <c r="D196" s="151">
        <f>+2348037080499</f>
        <v>2348037080499</v>
      </c>
      <c r="F196" s="6" t="s">
        <v>168</v>
      </c>
      <c r="G196" s="6" t="s">
        <v>1654</v>
      </c>
    </row>
    <row r="197" ht="15.75" customHeight="1">
      <c r="A197" s="150">
        <v>43423.0</v>
      </c>
      <c r="B197" s="151" t="s">
        <v>2043</v>
      </c>
      <c r="C197" s="151" t="s">
        <v>2044</v>
      </c>
      <c r="D197" s="151">
        <f>+2348023591101</f>
        <v>2348023591101</v>
      </c>
      <c r="F197" s="6" t="s">
        <v>168</v>
      </c>
      <c r="G197" s="6" t="s">
        <v>1654</v>
      </c>
    </row>
    <row r="198" ht="15.75" customHeight="1">
      <c r="A198" s="150">
        <v>43423.0</v>
      </c>
      <c r="B198" s="151" t="s">
        <v>2045</v>
      </c>
      <c r="C198" s="151" t="s">
        <v>2046</v>
      </c>
      <c r="D198" s="151">
        <f>+2348160288766</f>
        <v>2348160288766</v>
      </c>
      <c r="F198" s="6" t="s">
        <v>168</v>
      </c>
      <c r="G198" s="6" t="s">
        <v>1654</v>
      </c>
    </row>
    <row r="199" ht="15.75" customHeight="1">
      <c r="A199" s="150">
        <v>43423.0</v>
      </c>
      <c r="B199" s="151" t="s">
        <v>2047</v>
      </c>
      <c r="C199" s="151" t="s">
        <v>2048</v>
      </c>
      <c r="D199" s="151">
        <f>+2348070755955</f>
        <v>2348070755955</v>
      </c>
      <c r="F199" s="6" t="s">
        <v>168</v>
      </c>
      <c r="G199" s="6" t="s">
        <v>1654</v>
      </c>
    </row>
    <row r="200" ht="15.75" customHeight="1">
      <c r="A200" s="150">
        <v>43423.0</v>
      </c>
      <c r="B200" s="151" t="s">
        <v>2049</v>
      </c>
      <c r="C200" s="151" t="s">
        <v>2050</v>
      </c>
      <c r="D200" s="151">
        <f>+2348028101862</f>
        <v>2348028101862</v>
      </c>
      <c r="F200" s="6" t="s">
        <v>168</v>
      </c>
      <c r="G200" s="6" t="s">
        <v>1654</v>
      </c>
    </row>
    <row r="201" ht="15.75" customHeight="1">
      <c r="A201" s="150">
        <v>43423.0</v>
      </c>
      <c r="B201" s="151" t="s">
        <v>2051</v>
      </c>
      <c r="C201" s="151" t="s">
        <v>2052</v>
      </c>
      <c r="D201" s="151">
        <f>+971555645497</f>
        <v>971555645497</v>
      </c>
      <c r="F201" s="6" t="s">
        <v>168</v>
      </c>
      <c r="G201" s="6" t="s">
        <v>1654</v>
      </c>
    </row>
    <row r="202" ht="15.75" customHeight="1">
      <c r="A202" s="150">
        <v>43424.0</v>
      </c>
      <c r="B202" s="151" t="s">
        <v>2053</v>
      </c>
      <c r="C202" s="151" t="s">
        <v>2054</v>
      </c>
      <c r="D202" s="151">
        <f>+2347066353407</f>
        <v>2347066353407</v>
      </c>
      <c r="F202" s="6" t="s">
        <v>97</v>
      </c>
      <c r="G202" s="6" t="s">
        <v>1654</v>
      </c>
    </row>
    <row r="203" ht="15.75" customHeight="1">
      <c r="A203" s="150">
        <v>43424.0</v>
      </c>
      <c r="B203" s="151" t="s">
        <v>2055</v>
      </c>
      <c r="C203" s="151" t="s">
        <v>2056</v>
      </c>
      <c r="D203" s="151">
        <f>+2348064351171</f>
        <v>2348064351171</v>
      </c>
      <c r="F203" s="6" t="s">
        <v>97</v>
      </c>
      <c r="G203" s="6" t="s">
        <v>1654</v>
      </c>
    </row>
    <row r="204" ht="15.75" customHeight="1">
      <c r="A204" s="150">
        <v>43424.0</v>
      </c>
      <c r="B204" s="151" t="s">
        <v>2057</v>
      </c>
      <c r="C204" s="151" t="s">
        <v>2058</v>
      </c>
      <c r="D204" s="151">
        <f>+2347056660651</f>
        <v>2347056660651</v>
      </c>
      <c r="F204" s="6" t="s">
        <v>97</v>
      </c>
      <c r="G204" s="6" t="s">
        <v>1654</v>
      </c>
    </row>
    <row r="205" ht="15.75" customHeight="1">
      <c r="A205" s="150">
        <v>43424.0</v>
      </c>
      <c r="B205" s="151" t="s">
        <v>2059</v>
      </c>
      <c r="C205" s="151" t="s">
        <v>2060</v>
      </c>
      <c r="D205" s="151">
        <f>+2348033444650</f>
        <v>2348033444650</v>
      </c>
      <c r="F205" s="6" t="s">
        <v>97</v>
      </c>
      <c r="G205" s="6" t="s">
        <v>1654</v>
      </c>
    </row>
    <row r="206" ht="15.75" customHeight="1">
      <c r="A206" s="150">
        <v>43424.0</v>
      </c>
      <c r="B206" s="151" t="s">
        <v>2061</v>
      </c>
      <c r="C206" s="151" t="s">
        <v>2062</v>
      </c>
      <c r="D206" s="151">
        <f>+2348069665386</f>
        <v>2348069665386</v>
      </c>
      <c r="F206" s="6" t="s">
        <v>97</v>
      </c>
      <c r="G206" s="6" t="s">
        <v>1654</v>
      </c>
    </row>
    <row r="207" ht="15.75" customHeight="1">
      <c r="A207" s="150">
        <v>43424.0</v>
      </c>
      <c r="B207" s="151" t="s">
        <v>2063</v>
      </c>
      <c r="C207" s="151" t="s">
        <v>2064</v>
      </c>
      <c r="D207" s="151">
        <f>+9109880801100</f>
        <v>9109880801100</v>
      </c>
      <c r="F207" s="6" t="s">
        <v>97</v>
      </c>
      <c r="G207" s="6" t="s">
        <v>1654</v>
      </c>
    </row>
    <row r="208" ht="15.75" customHeight="1">
      <c r="A208" s="150">
        <v>43424.0</v>
      </c>
      <c r="B208" s="151" t="s">
        <v>2065</v>
      </c>
      <c r="C208" s="151" t="s">
        <v>2066</v>
      </c>
      <c r="D208" s="151">
        <f>+2349096852364</f>
        <v>2349096852364</v>
      </c>
      <c r="F208" s="6" t="s">
        <v>97</v>
      </c>
      <c r="G208" s="6" t="s">
        <v>1654</v>
      </c>
    </row>
    <row r="209" ht="15.75" customHeight="1">
      <c r="A209" s="150">
        <v>43424.0</v>
      </c>
      <c r="B209" s="151" t="s">
        <v>2067</v>
      </c>
      <c r="C209" s="151" t="s">
        <v>2068</v>
      </c>
      <c r="D209" s="151">
        <f>+2348035699921</f>
        <v>2348035699921</v>
      </c>
      <c r="F209" s="6" t="s">
        <v>97</v>
      </c>
      <c r="G209" s="6" t="s">
        <v>1654</v>
      </c>
    </row>
    <row r="210" ht="15.75" customHeight="1">
      <c r="A210" s="150">
        <v>43424.0</v>
      </c>
      <c r="B210" s="151" t="s">
        <v>2069</v>
      </c>
      <c r="C210" s="151" t="s">
        <v>2070</v>
      </c>
      <c r="D210" s="151">
        <f>+2348030435197</f>
        <v>2348030435197</v>
      </c>
      <c r="F210" s="6" t="s">
        <v>97</v>
      </c>
      <c r="G210" s="6" t="s">
        <v>1654</v>
      </c>
    </row>
    <row r="211" ht="15.75" customHeight="1">
      <c r="A211" s="150">
        <v>43424.0</v>
      </c>
      <c r="B211" s="151" t="s">
        <v>2071</v>
      </c>
      <c r="C211" s="151" t="s">
        <v>2072</v>
      </c>
      <c r="D211" s="151">
        <f>+23408127725780</f>
        <v>23408127725780</v>
      </c>
      <c r="F211" s="6" t="s">
        <v>97</v>
      </c>
      <c r="G211" s="6" t="s">
        <v>1654</v>
      </c>
    </row>
    <row r="212" ht="15.75" customHeight="1">
      <c r="A212" s="150">
        <v>43424.0</v>
      </c>
      <c r="B212" s="151" t="s">
        <v>2073</v>
      </c>
      <c r="C212" s="151" t="s">
        <v>2074</v>
      </c>
      <c r="D212" s="151">
        <f>+2347060690059</f>
        <v>2347060690059</v>
      </c>
      <c r="F212" s="6" t="s">
        <v>97</v>
      </c>
      <c r="G212" s="6" t="s">
        <v>1654</v>
      </c>
    </row>
    <row r="213" ht="15.75" customHeight="1">
      <c r="A213" s="150">
        <v>43424.0</v>
      </c>
      <c r="B213" s="151" t="s">
        <v>2075</v>
      </c>
      <c r="C213" s="151" t="s">
        <v>2076</v>
      </c>
      <c r="D213" s="151">
        <f>+2348033226831</f>
        <v>2348033226831</v>
      </c>
      <c r="F213" s="6" t="s">
        <v>97</v>
      </c>
      <c r="G213" s="6" t="s">
        <v>1654</v>
      </c>
    </row>
    <row r="214" ht="15.75" customHeight="1">
      <c r="A214" s="150">
        <v>43424.0</v>
      </c>
      <c r="B214" s="151" t="s">
        <v>2077</v>
      </c>
      <c r="C214" s="151" t="s">
        <v>2078</v>
      </c>
      <c r="D214" s="151">
        <f>+2348054051344</f>
        <v>2348054051344</v>
      </c>
      <c r="F214" s="6" t="s">
        <v>97</v>
      </c>
      <c r="G214" s="6" t="s">
        <v>1654</v>
      </c>
    </row>
    <row r="215" ht="15.75" customHeight="1">
      <c r="A215" s="150">
        <v>43424.0</v>
      </c>
      <c r="B215" s="151" t="s">
        <v>2079</v>
      </c>
      <c r="C215" s="151" t="s">
        <v>2080</v>
      </c>
      <c r="D215" s="151">
        <f>+2348066745555</f>
        <v>2348066745555</v>
      </c>
      <c r="F215" s="6" t="s">
        <v>97</v>
      </c>
      <c r="G215" s="6" t="s">
        <v>1654</v>
      </c>
    </row>
    <row r="216" ht="15.75" customHeight="1">
      <c r="A216" s="150">
        <v>43424.0</v>
      </c>
      <c r="B216" s="151" t="s">
        <v>2081</v>
      </c>
      <c r="C216" s="151" t="s">
        <v>2082</v>
      </c>
      <c r="D216" s="151">
        <f>+23407013789518</f>
        <v>23407013789518</v>
      </c>
      <c r="F216" s="6" t="s">
        <v>97</v>
      </c>
      <c r="G216" s="6" t="s">
        <v>1654</v>
      </c>
    </row>
    <row r="217" ht="15.75" customHeight="1">
      <c r="A217" s="150">
        <v>43424.0</v>
      </c>
      <c r="B217" s="151" t="s">
        <v>2083</v>
      </c>
      <c r="C217" s="151" t="s">
        <v>2084</v>
      </c>
      <c r="D217" s="151">
        <f>+2348036273880</f>
        <v>2348036273880</v>
      </c>
      <c r="F217" s="6" t="s">
        <v>97</v>
      </c>
      <c r="G217" s="6" t="s">
        <v>1654</v>
      </c>
    </row>
    <row r="218" ht="15.75" customHeight="1">
      <c r="A218" s="150">
        <v>43424.0</v>
      </c>
      <c r="B218" s="151" t="s">
        <v>2085</v>
      </c>
      <c r="C218" s="151" t="s">
        <v>2086</v>
      </c>
      <c r="D218" s="151">
        <f>+2348035872129</f>
        <v>2348035872129</v>
      </c>
      <c r="F218" s="6" t="s">
        <v>97</v>
      </c>
      <c r="G218" s="6" t="s">
        <v>1654</v>
      </c>
    </row>
    <row r="219" ht="15.75" customHeight="1">
      <c r="A219" s="150">
        <v>43424.0</v>
      </c>
      <c r="B219" s="151" t="s">
        <v>2087</v>
      </c>
      <c r="C219" s="151" t="s">
        <v>2088</v>
      </c>
      <c r="D219" s="151">
        <f>+2348023456520</f>
        <v>2348023456520</v>
      </c>
      <c r="F219" s="6" t="s">
        <v>97</v>
      </c>
      <c r="G219" s="6" t="s">
        <v>1654</v>
      </c>
    </row>
    <row r="220" ht="15.75" customHeight="1">
      <c r="A220" s="150">
        <v>43424.0</v>
      </c>
      <c r="B220" s="151" t="s">
        <v>2089</v>
      </c>
      <c r="C220" s="151" t="s">
        <v>2090</v>
      </c>
      <c r="D220" s="151">
        <f>+2349038200735</f>
        <v>2349038200735</v>
      </c>
      <c r="F220" s="6" t="s">
        <v>97</v>
      </c>
      <c r="G220" s="6" t="s">
        <v>1654</v>
      </c>
    </row>
    <row r="221" ht="15.75" customHeight="1">
      <c r="A221" s="150">
        <v>43424.0</v>
      </c>
      <c r="B221" s="151" t="s">
        <v>2091</v>
      </c>
      <c r="C221" s="151" t="s">
        <v>2092</v>
      </c>
      <c r="D221" s="151">
        <f>+2347030763076</f>
        <v>2347030763076</v>
      </c>
      <c r="F221" s="6" t="s">
        <v>97</v>
      </c>
      <c r="G221" s="6" t="s">
        <v>1654</v>
      </c>
    </row>
    <row r="222" ht="15.75" customHeight="1">
      <c r="A222" s="150">
        <v>43424.0</v>
      </c>
      <c r="B222" s="151" t="s">
        <v>2093</v>
      </c>
      <c r="C222" s="151" t="s">
        <v>2094</v>
      </c>
      <c r="D222" s="151">
        <f>+23407060448289</f>
        <v>23407060448289</v>
      </c>
      <c r="F222" s="6" t="s">
        <v>97</v>
      </c>
      <c r="G222" s="6" t="s">
        <v>1654</v>
      </c>
    </row>
    <row r="223" ht="15.75" customHeight="1">
      <c r="A223" s="150">
        <v>43424.0</v>
      </c>
      <c r="B223" s="151" t="s">
        <v>2095</v>
      </c>
      <c r="C223" s="151" t="s">
        <v>2096</v>
      </c>
      <c r="D223" s="151">
        <f>+2348110732317</f>
        <v>2348110732317</v>
      </c>
      <c r="F223" s="6" t="s">
        <v>97</v>
      </c>
      <c r="G223" s="6" t="s">
        <v>1654</v>
      </c>
    </row>
    <row r="224" ht="15.75" customHeight="1">
      <c r="A224" s="150">
        <v>43424.0</v>
      </c>
      <c r="B224" s="151" t="s">
        <v>2097</v>
      </c>
      <c r="C224" s="151" t="s">
        <v>2098</v>
      </c>
      <c r="D224" s="151">
        <f>+2348144916055</f>
        <v>2348144916055</v>
      </c>
      <c r="F224" s="6" t="s">
        <v>97</v>
      </c>
      <c r="G224" s="6" t="s">
        <v>1654</v>
      </c>
    </row>
    <row r="225" ht="15.75" customHeight="1">
      <c r="A225" s="150">
        <v>43424.0</v>
      </c>
      <c r="B225" s="151" t="s">
        <v>2099</v>
      </c>
      <c r="C225" s="151" t="s">
        <v>2100</v>
      </c>
      <c r="D225" s="151">
        <f>+2347032785254</f>
        <v>2347032785254</v>
      </c>
      <c r="F225" s="6" t="s">
        <v>97</v>
      </c>
      <c r="G225" s="6" t="s">
        <v>1654</v>
      </c>
    </row>
    <row r="226" ht="15.75" customHeight="1">
      <c r="A226" s="150">
        <v>43424.0</v>
      </c>
      <c r="B226" s="151" t="s">
        <v>2101</v>
      </c>
      <c r="C226" s="151" t="s">
        <v>2102</v>
      </c>
      <c r="D226" s="151">
        <f>+2349037811515</f>
        <v>2349037811515</v>
      </c>
      <c r="F226" s="6" t="s">
        <v>97</v>
      </c>
      <c r="G226" s="6" t="s">
        <v>1654</v>
      </c>
    </row>
    <row r="227" ht="15.75" customHeight="1">
      <c r="A227" s="150">
        <v>43424.0</v>
      </c>
      <c r="B227" s="151" t="s">
        <v>2103</v>
      </c>
      <c r="C227" s="151" t="s">
        <v>2104</v>
      </c>
      <c r="D227" s="151">
        <f>+2348098555359</f>
        <v>2348098555359</v>
      </c>
      <c r="F227" s="6" t="s">
        <v>97</v>
      </c>
      <c r="G227" s="6" t="s">
        <v>1654</v>
      </c>
    </row>
    <row r="228" ht="15.75" customHeight="1">
      <c r="A228" s="150">
        <v>43424.0</v>
      </c>
      <c r="B228" s="151" t="s">
        <v>2105</v>
      </c>
      <c r="C228" s="151" t="s">
        <v>2106</v>
      </c>
      <c r="D228" s="151">
        <f>+2348157776687</f>
        <v>2348157776687</v>
      </c>
      <c r="F228" s="6" t="s">
        <v>97</v>
      </c>
      <c r="G228" s="6" t="s">
        <v>1654</v>
      </c>
    </row>
    <row r="229" ht="15.75" customHeight="1">
      <c r="A229" s="150">
        <v>43424.0</v>
      </c>
      <c r="B229" s="151" t="s">
        <v>2107</v>
      </c>
      <c r="C229" s="151" t="s">
        <v>2108</v>
      </c>
      <c r="D229" s="151">
        <f>+2348066360491</f>
        <v>2348066360491</v>
      </c>
      <c r="F229" s="6" t="s">
        <v>97</v>
      </c>
      <c r="G229" s="6" t="s">
        <v>1654</v>
      </c>
    </row>
    <row r="230" ht="15.75" customHeight="1">
      <c r="A230" s="150">
        <v>43424.0</v>
      </c>
      <c r="B230" s="151" t="s">
        <v>2109</v>
      </c>
      <c r="C230" s="151" t="s">
        <v>2110</v>
      </c>
      <c r="D230" s="151">
        <f>+2347036392572</f>
        <v>2347036392572</v>
      </c>
      <c r="F230" s="6" t="s">
        <v>97</v>
      </c>
      <c r="G230" s="6" t="s">
        <v>1654</v>
      </c>
    </row>
    <row r="231" ht="15.75" customHeight="1">
      <c r="A231" s="150">
        <v>43424.0</v>
      </c>
      <c r="B231" s="151" t="s">
        <v>2111</v>
      </c>
      <c r="C231" s="151" t="s">
        <v>2112</v>
      </c>
      <c r="D231" s="151">
        <f>+2348038695603</f>
        <v>2348038695603</v>
      </c>
      <c r="F231" s="6" t="s">
        <v>97</v>
      </c>
      <c r="G231" s="6" t="s">
        <v>1654</v>
      </c>
    </row>
    <row r="232" ht="15.75" customHeight="1">
      <c r="A232" s="150">
        <v>43424.0</v>
      </c>
      <c r="B232" s="151" t="s">
        <v>2113</v>
      </c>
      <c r="C232" s="151" t="s">
        <v>2114</v>
      </c>
      <c r="D232" s="151">
        <f>+2348132142746</f>
        <v>2348132142746</v>
      </c>
      <c r="F232" s="6" t="s">
        <v>97</v>
      </c>
      <c r="G232" s="6" t="s">
        <v>1654</v>
      </c>
    </row>
    <row r="233" ht="15.75" customHeight="1">
      <c r="A233" s="150">
        <v>43424.0</v>
      </c>
      <c r="B233" s="151" t="s">
        <v>2115</v>
      </c>
      <c r="C233" s="151" t="s">
        <v>2116</v>
      </c>
      <c r="D233" s="151">
        <f>+2348032079170</f>
        <v>2348032079170</v>
      </c>
      <c r="F233" s="6" t="s">
        <v>97</v>
      </c>
      <c r="G233" s="6" t="s">
        <v>1654</v>
      </c>
    </row>
    <row r="234" ht="15.75" customHeight="1">
      <c r="A234" s="150">
        <v>43424.0</v>
      </c>
      <c r="B234" s="151" t="s">
        <v>2117</v>
      </c>
      <c r="C234" s="151" t="s">
        <v>2118</v>
      </c>
      <c r="D234" s="151">
        <f>+2348028356054</f>
        <v>2348028356054</v>
      </c>
      <c r="F234" s="6" t="s">
        <v>97</v>
      </c>
      <c r="G234" s="6" t="s">
        <v>1654</v>
      </c>
    </row>
    <row r="235" ht="15.75" customHeight="1">
      <c r="A235" s="150">
        <v>43424.0</v>
      </c>
      <c r="B235" s="151" t="s">
        <v>2119</v>
      </c>
      <c r="C235" s="151" t="s">
        <v>2120</v>
      </c>
      <c r="D235" s="151">
        <f>+2348033004689</f>
        <v>2348033004689</v>
      </c>
      <c r="F235" s="6" t="s">
        <v>97</v>
      </c>
      <c r="G235" s="6" t="s">
        <v>1654</v>
      </c>
    </row>
    <row r="236" ht="15.75" customHeight="1">
      <c r="A236" s="150">
        <v>43424.0</v>
      </c>
      <c r="B236" s="151" t="s">
        <v>2121</v>
      </c>
      <c r="C236" s="151" t="s">
        <v>2122</v>
      </c>
      <c r="D236" s="151">
        <f>+2348135655420</f>
        <v>2348135655420</v>
      </c>
      <c r="F236" s="6" t="s">
        <v>97</v>
      </c>
      <c r="G236" s="6" t="s">
        <v>1654</v>
      </c>
    </row>
    <row r="237" ht="15.75" customHeight="1">
      <c r="A237" s="150">
        <v>43424.0</v>
      </c>
      <c r="B237" s="151" t="s">
        <v>2123</v>
      </c>
      <c r="C237" s="151" t="s">
        <v>2124</v>
      </c>
      <c r="D237" s="151">
        <f>+2347030150740</f>
        <v>2347030150740</v>
      </c>
      <c r="F237" s="6" t="s">
        <v>97</v>
      </c>
      <c r="G237" s="6" t="s">
        <v>1654</v>
      </c>
    </row>
    <row r="238" ht="15.75" customHeight="1">
      <c r="A238" s="150">
        <v>43424.0</v>
      </c>
      <c r="B238" s="151" t="s">
        <v>2125</v>
      </c>
      <c r="C238" s="151" t="s">
        <v>2126</v>
      </c>
      <c r="D238" s="151">
        <f>+2348060129549</f>
        <v>2348060129549</v>
      </c>
      <c r="F238" s="6" t="s">
        <v>97</v>
      </c>
      <c r="G238" s="6" t="s">
        <v>1654</v>
      </c>
    </row>
    <row r="239" ht="15.75" customHeight="1">
      <c r="A239" s="150">
        <v>43424.0</v>
      </c>
      <c r="B239" s="151" t="s">
        <v>2127</v>
      </c>
      <c r="C239" s="151" t="s">
        <v>2128</v>
      </c>
      <c r="D239" s="151">
        <f>+23407010745701</f>
        <v>23407010745701</v>
      </c>
      <c r="F239" s="6" t="s">
        <v>168</v>
      </c>
      <c r="G239" s="6" t="s">
        <v>1654</v>
      </c>
    </row>
    <row r="240" ht="15.75" customHeight="1">
      <c r="A240" s="150">
        <v>43424.0</v>
      </c>
      <c r="B240" s="151" t="s">
        <v>2129</v>
      </c>
      <c r="C240" s="151" t="s">
        <v>2130</v>
      </c>
      <c r="D240" s="151">
        <f>+2347052101048</f>
        <v>2347052101048</v>
      </c>
      <c r="F240" s="6" t="s">
        <v>168</v>
      </c>
      <c r="G240" s="6" t="s">
        <v>1654</v>
      </c>
    </row>
    <row r="241" ht="15.75" customHeight="1">
      <c r="A241" s="150">
        <v>43424.0</v>
      </c>
      <c r="B241" s="151" t="s">
        <v>2131</v>
      </c>
      <c r="C241" s="151" t="s">
        <v>2132</v>
      </c>
      <c r="D241" s="151">
        <f>+23409030012080</f>
        <v>23409030012080</v>
      </c>
      <c r="F241" s="6" t="s">
        <v>168</v>
      </c>
      <c r="G241" s="6" t="s">
        <v>1654</v>
      </c>
    </row>
    <row r="242" ht="15.75" customHeight="1">
      <c r="A242" s="150">
        <v>43424.0</v>
      </c>
      <c r="B242" s="151" t="s">
        <v>2133</v>
      </c>
      <c r="C242" s="151" t="s">
        <v>2134</v>
      </c>
      <c r="D242" s="151">
        <f>+2348035909053</f>
        <v>2348035909053</v>
      </c>
      <c r="F242" s="6" t="s">
        <v>168</v>
      </c>
      <c r="G242" s="6" t="s">
        <v>1654</v>
      </c>
    </row>
    <row r="243" ht="15.75" customHeight="1">
      <c r="A243" s="150">
        <v>43424.0</v>
      </c>
      <c r="B243" s="151" t="s">
        <v>2135</v>
      </c>
      <c r="C243" s="151" t="s">
        <v>2136</v>
      </c>
      <c r="D243" s="151">
        <f>+23408182405102</f>
        <v>23408182405102</v>
      </c>
      <c r="F243" s="6" t="s">
        <v>168</v>
      </c>
      <c r="G243" s="6" t="s">
        <v>1654</v>
      </c>
    </row>
    <row r="244" ht="15.75" customHeight="1">
      <c r="A244" s="150">
        <v>43424.0</v>
      </c>
      <c r="B244" s="151" t="s">
        <v>2137</v>
      </c>
      <c r="C244" s="151" t="s">
        <v>2138</v>
      </c>
      <c r="D244" s="151">
        <f>+2347088767202</f>
        <v>2347088767202</v>
      </c>
      <c r="F244" s="6" t="s">
        <v>168</v>
      </c>
      <c r="G244" s="6" t="s">
        <v>1654</v>
      </c>
    </row>
    <row r="245" ht="15.75" customHeight="1">
      <c r="A245" s="150">
        <v>43424.0</v>
      </c>
      <c r="B245" s="151" t="s">
        <v>2139</v>
      </c>
      <c r="C245" s="151" t="s">
        <v>2140</v>
      </c>
      <c r="D245" s="151">
        <f>+2348036789434</f>
        <v>2348036789434</v>
      </c>
      <c r="F245" s="6" t="s">
        <v>168</v>
      </c>
      <c r="G245" s="6" t="s">
        <v>1654</v>
      </c>
    </row>
    <row r="246" ht="15.75" customHeight="1">
      <c r="A246" s="150">
        <v>43424.0</v>
      </c>
      <c r="B246" s="151" t="s">
        <v>2141</v>
      </c>
      <c r="C246" s="151" t="s">
        <v>2142</v>
      </c>
      <c r="D246" s="151">
        <f>+2348090714063</f>
        <v>2348090714063</v>
      </c>
      <c r="F246" s="6" t="s">
        <v>168</v>
      </c>
      <c r="G246" s="6" t="s">
        <v>1654</v>
      </c>
    </row>
    <row r="247" ht="15.75" customHeight="1">
      <c r="A247" s="150">
        <v>43424.0</v>
      </c>
      <c r="B247" s="151" t="s">
        <v>2143</v>
      </c>
      <c r="C247" s="151" t="s">
        <v>2144</v>
      </c>
      <c r="D247" s="151">
        <f>+2348098678874</f>
        <v>2348098678874</v>
      </c>
      <c r="F247" s="6" t="s">
        <v>168</v>
      </c>
      <c r="G247" s="6" t="s">
        <v>1654</v>
      </c>
    </row>
    <row r="248" ht="15.75" customHeight="1">
      <c r="A248" s="150">
        <v>43424.0</v>
      </c>
      <c r="B248" s="151" t="s">
        <v>2145</v>
      </c>
      <c r="C248" s="151" t="s">
        <v>2146</v>
      </c>
      <c r="D248" s="151">
        <f>+2348060795856</f>
        <v>2348060795856</v>
      </c>
      <c r="F248" s="6" t="s">
        <v>168</v>
      </c>
      <c r="G248" s="6" t="s">
        <v>1654</v>
      </c>
    </row>
    <row r="249" ht="15.75" customHeight="1">
      <c r="A249" s="150">
        <v>43424.0</v>
      </c>
      <c r="B249" s="151" t="s">
        <v>2147</v>
      </c>
      <c r="C249" s="151" t="s">
        <v>2148</v>
      </c>
      <c r="D249" s="151">
        <f>+23408028188293</f>
        <v>23408028188293</v>
      </c>
      <c r="F249" s="6" t="s">
        <v>168</v>
      </c>
      <c r="G249" s="6" t="s">
        <v>1654</v>
      </c>
    </row>
    <row r="250" ht="15.75" customHeight="1">
      <c r="A250" s="150">
        <v>43424.0</v>
      </c>
      <c r="B250" s="151" t="s">
        <v>2149</v>
      </c>
      <c r="C250" s="151" t="s">
        <v>2150</v>
      </c>
      <c r="D250" s="151">
        <f>+2348038605610</f>
        <v>2348038605610</v>
      </c>
      <c r="F250" s="6" t="s">
        <v>168</v>
      </c>
      <c r="G250" s="6" t="s">
        <v>1654</v>
      </c>
    </row>
    <row r="251" ht="15.75" customHeight="1">
      <c r="A251" s="150">
        <v>43424.0</v>
      </c>
      <c r="B251" s="151" t="s">
        <v>2151</v>
      </c>
      <c r="C251" s="151" t="s">
        <v>2152</v>
      </c>
      <c r="D251" s="151">
        <f>+2348023704444</f>
        <v>2348023704444</v>
      </c>
      <c r="F251" s="6" t="s">
        <v>168</v>
      </c>
      <c r="G251" s="6" t="s">
        <v>1654</v>
      </c>
    </row>
    <row r="252" ht="15.75" customHeight="1">
      <c r="A252" s="150">
        <v>43424.0</v>
      </c>
      <c r="B252" s="151" t="s">
        <v>2153</v>
      </c>
      <c r="C252" s="151" t="s">
        <v>2154</v>
      </c>
      <c r="D252" s="151">
        <f>+2348036638568</f>
        <v>2348036638568</v>
      </c>
      <c r="F252" s="6" t="s">
        <v>168</v>
      </c>
      <c r="G252" s="6" t="s">
        <v>1654</v>
      </c>
    </row>
    <row r="253" ht="15.75" customHeight="1">
      <c r="A253" s="150">
        <v>43424.0</v>
      </c>
      <c r="B253" s="151" t="s">
        <v>2155</v>
      </c>
      <c r="C253" s="151" t="s">
        <v>2156</v>
      </c>
      <c r="D253" s="151">
        <f>+2348131066971</f>
        <v>2348131066971</v>
      </c>
      <c r="F253" s="6" t="s">
        <v>168</v>
      </c>
      <c r="G253" s="6" t="s">
        <v>1654</v>
      </c>
    </row>
    <row r="254" ht="15.75" customHeight="1">
      <c r="A254" s="150">
        <v>43424.0</v>
      </c>
      <c r="B254" s="151" t="s">
        <v>2157</v>
      </c>
      <c r="C254" s="151" t="s">
        <v>2158</v>
      </c>
      <c r="D254" s="151">
        <f>+2348033832193</f>
        <v>2348033832193</v>
      </c>
      <c r="F254" s="6" t="s">
        <v>168</v>
      </c>
      <c r="G254" s="6" t="s">
        <v>1654</v>
      </c>
    </row>
    <row r="255" ht="15.75" customHeight="1">
      <c r="A255" s="150">
        <v>43424.0</v>
      </c>
      <c r="B255" s="151" t="s">
        <v>2159</v>
      </c>
      <c r="C255" s="151" t="s">
        <v>2160</v>
      </c>
      <c r="D255" s="151">
        <f>+23408033858419</f>
        <v>23408033858419</v>
      </c>
      <c r="F255" s="6" t="s">
        <v>168</v>
      </c>
      <c r="G255" s="6" t="s">
        <v>1654</v>
      </c>
    </row>
    <row r="256" ht="15.75" customHeight="1">
      <c r="A256" s="150">
        <v>43424.0</v>
      </c>
      <c r="B256" s="151" t="s">
        <v>2161</v>
      </c>
      <c r="C256" s="151" t="s">
        <v>2162</v>
      </c>
      <c r="D256" s="151">
        <f>+23408034176383</f>
        <v>23408034176383</v>
      </c>
      <c r="F256" s="6" t="s">
        <v>168</v>
      </c>
      <c r="G256" s="6" t="s">
        <v>1654</v>
      </c>
    </row>
    <row r="257" ht="15.75" customHeight="1">
      <c r="A257" s="150">
        <v>43424.0</v>
      </c>
      <c r="B257" s="151" t="s">
        <v>2163</v>
      </c>
      <c r="C257" s="151" t="s">
        <v>2164</v>
      </c>
      <c r="D257" s="151">
        <f>+2348075099942</f>
        <v>2348075099942</v>
      </c>
      <c r="F257" s="6" t="s">
        <v>168</v>
      </c>
      <c r="G257" s="6" t="s">
        <v>1654</v>
      </c>
    </row>
    <row r="258" ht="15.75" customHeight="1">
      <c r="A258" s="150">
        <v>43424.0</v>
      </c>
      <c r="B258" s="151" t="s">
        <v>2165</v>
      </c>
      <c r="C258" s="151" t="s">
        <v>2166</v>
      </c>
      <c r="D258" s="151">
        <f>+2348126288039</f>
        <v>2348126288039</v>
      </c>
      <c r="F258" s="6" t="s">
        <v>168</v>
      </c>
      <c r="G258" s="6" t="s">
        <v>1654</v>
      </c>
    </row>
    <row r="259" ht="15.75" customHeight="1">
      <c r="A259" s="150">
        <v>43424.0</v>
      </c>
      <c r="B259" s="151" t="s">
        <v>2167</v>
      </c>
      <c r="C259" s="151" t="s">
        <v>2168</v>
      </c>
      <c r="D259" s="151">
        <f>+2347010068184</f>
        <v>2347010068184</v>
      </c>
      <c r="F259" s="6" t="s">
        <v>168</v>
      </c>
      <c r="G259" s="6" t="s">
        <v>1654</v>
      </c>
    </row>
    <row r="260" ht="15.75" customHeight="1">
      <c r="A260" s="150">
        <v>43424.0</v>
      </c>
      <c r="B260" s="151" t="s">
        <v>2169</v>
      </c>
      <c r="C260" s="151" t="s">
        <v>2170</v>
      </c>
      <c r="D260" s="151">
        <f>+2348140666333</f>
        <v>2348140666333</v>
      </c>
      <c r="F260" s="6" t="s">
        <v>168</v>
      </c>
      <c r="G260" s="6" t="s">
        <v>1654</v>
      </c>
    </row>
    <row r="261" ht="15.75" customHeight="1">
      <c r="A261" s="150">
        <v>43424.0</v>
      </c>
      <c r="B261" s="151" t="s">
        <v>2171</v>
      </c>
      <c r="C261" s="151" t="s">
        <v>2172</v>
      </c>
      <c r="D261" s="151">
        <f>+2348027176532</f>
        <v>2348027176532</v>
      </c>
      <c r="F261" s="6" t="s">
        <v>168</v>
      </c>
      <c r="G261" s="6" t="s">
        <v>1654</v>
      </c>
    </row>
    <row r="262" ht="15.75" customHeight="1">
      <c r="A262" s="150">
        <v>43424.0</v>
      </c>
      <c r="B262" s="151" t="s">
        <v>2173</v>
      </c>
      <c r="C262" s="151" t="s">
        <v>2174</v>
      </c>
      <c r="D262" s="151">
        <f>+2348074061141</f>
        <v>2348074061141</v>
      </c>
      <c r="F262" s="6" t="s">
        <v>168</v>
      </c>
      <c r="G262" s="6" t="s">
        <v>1654</v>
      </c>
    </row>
    <row r="263" ht="15.75" customHeight="1">
      <c r="A263" s="150">
        <v>43424.0</v>
      </c>
      <c r="B263" s="151" t="s">
        <v>2175</v>
      </c>
      <c r="C263" s="151" t="s">
        <v>2176</v>
      </c>
      <c r="D263" s="151">
        <f>+2348032061367</f>
        <v>2348032061367</v>
      </c>
      <c r="F263" s="6" t="s">
        <v>168</v>
      </c>
      <c r="G263" s="6" t="s">
        <v>1654</v>
      </c>
    </row>
    <row r="264" ht="15.75" customHeight="1">
      <c r="A264" s="150">
        <v>43424.0</v>
      </c>
      <c r="B264" s="151" t="s">
        <v>2177</v>
      </c>
      <c r="C264" s="151" t="s">
        <v>2178</v>
      </c>
      <c r="D264" s="151">
        <f>+2348033578132</f>
        <v>2348033578132</v>
      </c>
      <c r="F264" s="6" t="s">
        <v>168</v>
      </c>
      <c r="G264" s="6" t="s">
        <v>1654</v>
      </c>
    </row>
    <row r="265" ht="15.75" customHeight="1">
      <c r="A265" s="150">
        <v>43424.0</v>
      </c>
      <c r="B265" s="151" t="s">
        <v>2179</v>
      </c>
      <c r="C265" s="151" t="s">
        <v>2180</v>
      </c>
      <c r="D265" s="151">
        <f>+2348028959605</f>
        <v>2348028959605</v>
      </c>
      <c r="F265" s="6" t="s">
        <v>168</v>
      </c>
      <c r="G265" s="6" t="s">
        <v>1654</v>
      </c>
    </row>
    <row r="266" ht="15.75" customHeight="1">
      <c r="A266" s="150">
        <v>43424.0</v>
      </c>
      <c r="B266" s="151" t="s">
        <v>2181</v>
      </c>
      <c r="C266" s="151" t="s">
        <v>2182</v>
      </c>
      <c r="D266" s="151">
        <f>+2348033204417</f>
        <v>2348033204417</v>
      </c>
      <c r="F266" s="6" t="s">
        <v>168</v>
      </c>
      <c r="G266" s="6" t="s">
        <v>1654</v>
      </c>
    </row>
    <row r="267" ht="15.75" customHeight="1">
      <c r="A267" s="150">
        <v>43424.0</v>
      </c>
      <c r="B267" s="151" t="s">
        <v>2183</v>
      </c>
      <c r="C267" s="151" t="s">
        <v>2184</v>
      </c>
      <c r="D267" s="151">
        <f>+2347061359493</f>
        <v>2347061359493</v>
      </c>
      <c r="F267" s="6" t="s">
        <v>168</v>
      </c>
      <c r="G267" s="6" t="s">
        <v>1654</v>
      </c>
    </row>
    <row r="268" ht="15.75" customHeight="1">
      <c r="A268" s="150">
        <v>43424.0</v>
      </c>
      <c r="B268" s="151" t="s">
        <v>2185</v>
      </c>
      <c r="C268" s="151" t="s">
        <v>2186</v>
      </c>
      <c r="D268" s="151">
        <f>+2348061340630</f>
        <v>2348061340630</v>
      </c>
      <c r="F268" s="6" t="s">
        <v>168</v>
      </c>
      <c r="G268" s="6" t="s">
        <v>1654</v>
      </c>
    </row>
    <row r="269" ht="15.75" customHeight="1">
      <c r="A269" s="150">
        <v>43424.0</v>
      </c>
      <c r="B269" s="151" t="s">
        <v>2187</v>
      </c>
      <c r="C269" s="151" t="s">
        <v>2188</v>
      </c>
      <c r="D269" s="151">
        <f>+2348030565805</f>
        <v>2348030565805</v>
      </c>
      <c r="F269" s="6" t="s">
        <v>168</v>
      </c>
      <c r="G269" s="6" t="s">
        <v>1654</v>
      </c>
    </row>
    <row r="270" ht="15.75" customHeight="1">
      <c r="A270" s="150">
        <v>43424.0</v>
      </c>
      <c r="B270" s="151" t="s">
        <v>2189</v>
      </c>
      <c r="C270" s="151" t="s">
        <v>2190</v>
      </c>
      <c r="D270" s="151">
        <f>+23408062144805</f>
        <v>23408062144805</v>
      </c>
      <c r="F270" s="6" t="s">
        <v>168</v>
      </c>
      <c r="G270" s="6" t="s">
        <v>1654</v>
      </c>
    </row>
    <row r="271" ht="15.75" customHeight="1">
      <c r="A271" s="150">
        <v>43424.0</v>
      </c>
      <c r="B271" s="151" t="s">
        <v>2191</v>
      </c>
      <c r="C271" s="151" t="s">
        <v>2192</v>
      </c>
      <c r="D271" s="151">
        <f>+2348099447233</f>
        <v>2348099447233</v>
      </c>
      <c r="F271" s="6" t="s">
        <v>168</v>
      </c>
      <c r="G271" s="6" t="s">
        <v>1654</v>
      </c>
    </row>
    <row r="272" ht="15.75" customHeight="1">
      <c r="A272" s="150">
        <v>43424.0</v>
      </c>
      <c r="B272" s="151" t="s">
        <v>2193</v>
      </c>
      <c r="C272" s="151" t="s">
        <v>2194</v>
      </c>
      <c r="D272" s="151">
        <f>+2348033084888</f>
        <v>2348033084888</v>
      </c>
      <c r="F272" s="6" t="s">
        <v>168</v>
      </c>
      <c r="G272" s="6" t="s">
        <v>1654</v>
      </c>
    </row>
    <row r="273" ht="15.75" customHeight="1">
      <c r="A273" s="150">
        <v>43424.0</v>
      </c>
      <c r="B273" s="151" t="s">
        <v>2195</v>
      </c>
      <c r="C273" s="151" t="s">
        <v>2196</v>
      </c>
      <c r="D273" s="151">
        <f>+2348098997008</f>
        <v>2348098997008</v>
      </c>
      <c r="F273" s="6" t="s">
        <v>168</v>
      </c>
      <c r="G273" s="6" t="s">
        <v>1654</v>
      </c>
    </row>
    <row r="274" ht="15.75" customHeight="1">
      <c r="A274" s="150">
        <v>43424.0</v>
      </c>
      <c r="B274" s="151" t="s">
        <v>2197</v>
      </c>
      <c r="C274" s="151" t="s">
        <v>2198</v>
      </c>
      <c r="D274" s="151">
        <f>+23408024588121</f>
        <v>23408024588121</v>
      </c>
      <c r="F274" s="6" t="s">
        <v>168</v>
      </c>
      <c r="G274" s="6" t="s">
        <v>1654</v>
      </c>
    </row>
    <row r="275" ht="15.75" customHeight="1">
      <c r="A275" s="150">
        <v>43424.0</v>
      </c>
      <c r="B275" s="151" t="s">
        <v>2199</v>
      </c>
      <c r="C275" s="151" t="s">
        <v>2200</v>
      </c>
      <c r="D275" s="151">
        <f>+2348026600071</f>
        <v>2348026600071</v>
      </c>
      <c r="F275" s="6" t="s">
        <v>168</v>
      </c>
      <c r="G275" s="6" t="s">
        <v>1654</v>
      </c>
    </row>
    <row r="276" ht="15.75" customHeight="1">
      <c r="A276" s="150">
        <v>43425.0</v>
      </c>
      <c r="B276" s="151" t="s">
        <v>2201</v>
      </c>
      <c r="C276" s="151" t="s">
        <v>2202</v>
      </c>
      <c r="D276" s="151">
        <f>+2348139756828</f>
        <v>2348139756828</v>
      </c>
      <c r="F276" s="6" t="s">
        <v>97</v>
      </c>
      <c r="G276" s="6" t="s">
        <v>1654</v>
      </c>
    </row>
    <row r="277" ht="15.75" customHeight="1">
      <c r="A277" s="150">
        <v>43425.0</v>
      </c>
      <c r="B277" s="151" t="s">
        <v>2203</v>
      </c>
      <c r="C277" s="151" t="s">
        <v>2204</v>
      </c>
      <c r="D277" s="151">
        <f>+2348131592360</f>
        <v>2348131592360</v>
      </c>
      <c r="F277" s="6" t="s">
        <v>97</v>
      </c>
      <c r="G277" s="6" t="s">
        <v>1654</v>
      </c>
    </row>
    <row r="278" ht="15.75" customHeight="1">
      <c r="A278" s="150">
        <v>43425.0</v>
      </c>
      <c r="B278" s="151" t="s">
        <v>2205</v>
      </c>
      <c r="C278" s="151" t="s">
        <v>2206</v>
      </c>
      <c r="D278" s="151">
        <f>+2348037062312</f>
        <v>2348037062312</v>
      </c>
      <c r="F278" s="6" t="s">
        <v>97</v>
      </c>
      <c r="G278" s="6" t="s">
        <v>1654</v>
      </c>
    </row>
    <row r="279" ht="15.75" customHeight="1">
      <c r="A279" s="150">
        <v>43425.0</v>
      </c>
      <c r="B279" s="151" t="s">
        <v>2207</v>
      </c>
      <c r="C279" s="151" t="s">
        <v>2208</v>
      </c>
      <c r="D279" s="151">
        <f>+2347045687252</f>
        <v>2347045687252</v>
      </c>
      <c r="F279" s="6" t="s">
        <v>97</v>
      </c>
      <c r="G279" s="6" t="s">
        <v>1654</v>
      </c>
    </row>
    <row r="280" ht="15.75" customHeight="1">
      <c r="A280" s="150">
        <v>43425.0</v>
      </c>
      <c r="B280" s="151" t="s">
        <v>2209</v>
      </c>
      <c r="C280" s="151" t="s">
        <v>2210</v>
      </c>
      <c r="D280" s="151">
        <f>+2348050709389</f>
        <v>2348050709389</v>
      </c>
      <c r="F280" s="6" t="s">
        <v>97</v>
      </c>
      <c r="G280" s="6" t="s">
        <v>1654</v>
      </c>
    </row>
    <row r="281" ht="15.75" customHeight="1">
      <c r="A281" s="150">
        <v>43425.0</v>
      </c>
      <c r="B281" s="151" t="s">
        <v>2211</v>
      </c>
      <c r="C281" s="151" t="s">
        <v>2212</v>
      </c>
      <c r="D281" s="151">
        <f>+2348037279668</f>
        <v>2348037279668</v>
      </c>
      <c r="F281" s="6" t="s">
        <v>97</v>
      </c>
      <c r="G281" s="6" t="s">
        <v>1654</v>
      </c>
    </row>
    <row r="282" ht="15.75" customHeight="1">
      <c r="A282" s="150">
        <v>43425.0</v>
      </c>
      <c r="B282" s="151" t="s">
        <v>2213</v>
      </c>
      <c r="C282" s="151" t="s">
        <v>2214</v>
      </c>
      <c r="D282" s="151">
        <f>+2348032771898</f>
        <v>2348032771898</v>
      </c>
      <c r="F282" s="6" t="s">
        <v>97</v>
      </c>
      <c r="G282" s="6" t="s">
        <v>1654</v>
      </c>
    </row>
    <row r="283" ht="15.75" customHeight="1">
      <c r="A283" s="150">
        <v>43425.0</v>
      </c>
      <c r="B283" s="151" t="s">
        <v>2215</v>
      </c>
      <c r="C283" s="151" t="s">
        <v>2216</v>
      </c>
      <c r="D283" s="151">
        <f>+2348132210561</f>
        <v>2348132210561</v>
      </c>
      <c r="F283" s="6" t="s">
        <v>97</v>
      </c>
      <c r="G283" s="6" t="s">
        <v>1654</v>
      </c>
    </row>
    <row r="284" ht="15.75" customHeight="1">
      <c r="A284" s="150">
        <v>43425.0</v>
      </c>
      <c r="B284" s="151" t="s">
        <v>2217</v>
      </c>
      <c r="C284" s="151" t="s">
        <v>2218</v>
      </c>
      <c r="D284" s="151">
        <f>+2349092223944</f>
        <v>2349092223944</v>
      </c>
      <c r="F284" s="6" t="s">
        <v>97</v>
      </c>
      <c r="G284" s="6" t="s">
        <v>1654</v>
      </c>
    </row>
    <row r="285" ht="15.75" customHeight="1">
      <c r="A285" s="150">
        <v>43425.0</v>
      </c>
      <c r="B285" s="151" t="s">
        <v>2219</v>
      </c>
      <c r="C285" s="151" t="s">
        <v>2220</v>
      </c>
      <c r="D285" s="151">
        <f>+2348060709602</f>
        <v>2348060709602</v>
      </c>
      <c r="F285" s="6" t="s">
        <v>97</v>
      </c>
      <c r="G285" s="6" t="s">
        <v>1654</v>
      </c>
    </row>
    <row r="286" ht="15.75" customHeight="1">
      <c r="A286" s="150">
        <v>43425.0</v>
      </c>
      <c r="B286" s="151" t="s">
        <v>2221</v>
      </c>
      <c r="C286" s="151" t="s">
        <v>2222</v>
      </c>
      <c r="D286" s="151">
        <f>+2348078620103</f>
        <v>2348078620103</v>
      </c>
      <c r="F286" s="6" t="s">
        <v>97</v>
      </c>
      <c r="G286" s="6" t="s">
        <v>1654</v>
      </c>
    </row>
    <row r="287" ht="15.75" customHeight="1">
      <c r="A287" s="150">
        <v>43425.0</v>
      </c>
      <c r="B287" s="151" t="s">
        <v>2223</v>
      </c>
      <c r="C287" s="151" t="s">
        <v>2224</v>
      </c>
      <c r="D287" s="151">
        <f>+2348033547340</f>
        <v>2348033547340</v>
      </c>
      <c r="F287" s="6" t="s">
        <v>97</v>
      </c>
      <c r="G287" s="6" t="s">
        <v>1654</v>
      </c>
    </row>
    <row r="288" ht="15.75" customHeight="1">
      <c r="A288" s="150">
        <v>43425.0</v>
      </c>
      <c r="B288" s="151" t="s">
        <v>2225</v>
      </c>
      <c r="C288" s="151" t="s">
        <v>2226</v>
      </c>
      <c r="D288" s="151">
        <f>+2348066674692</f>
        <v>2348066674692</v>
      </c>
      <c r="F288" s="6" t="s">
        <v>97</v>
      </c>
      <c r="G288" s="6" t="s">
        <v>1654</v>
      </c>
    </row>
    <row r="289" ht="15.75" customHeight="1">
      <c r="A289" s="150">
        <v>43425.0</v>
      </c>
      <c r="B289" s="151" t="s">
        <v>2227</v>
      </c>
      <c r="C289" s="151" t="s">
        <v>2228</v>
      </c>
      <c r="D289" s="151">
        <f>+2348118558137</f>
        <v>2348118558137</v>
      </c>
      <c r="F289" s="6" t="s">
        <v>97</v>
      </c>
      <c r="G289" s="6" t="s">
        <v>1654</v>
      </c>
    </row>
    <row r="290" ht="15.75" customHeight="1">
      <c r="A290" s="150">
        <v>43425.0</v>
      </c>
      <c r="B290" s="151" t="s">
        <v>2229</v>
      </c>
      <c r="C290" s="151" t="s">
        <v>2230</v>
      </c>
      <c r="D290" s="151">
        <f>+2347087068586</f>
        <v>2347087068586</v>
      </c>
      <c r="F290" s="6" t="s">
        <v>97</v>
      </c>
      <c r="G290" s="6" t="s">
        <v>1654</v>
      </c>
    </row>
    <row r="291" ht="15.75" customHeight="1">
      <c r="A291" s="150">
        <v>43425.0</v>
      </c>
      <c r="B291" s="151" t="s">
        <v>2231</v>
      </c>
      <c r="C291" s="151" t="s">
        <v>2232</v>
      </c>
      <c r="D291" s="151">
        <f>+2348028469422</f>
        <v>2348028469422</v>
      </c>
      <c r="F291" s="6" t="s">
        <v>97</v>
      </c>
      <c r="G291" s="6" t="s">
        <v>1654</v>
      </c>
    </row>
    <row r="292" ht="15.75" customHeight="1">
      <c r="A292" s="150">
        <v>43425.0</v>
      </c>
      <c r="B292" s="151" t="s">
        <v>2233</v>
      </c>
      <c r="C292" s="151" t="s">
        <v>2234</v>
      </c>
      <c r="D292" s="151">
        <f>+2348050378874</f>
        <v>2348050378874</v>
      </c>
      <c r="F292" s="6" t="s">
        <v>97</v>
      </c>
      <c r="G292" s="6" t="s">
        <v>1654</v>
      </c>
    </row>
    <row r="293" ht="15.75" customHeight="1">
      <c r="A293" s="150">
        <v>43425.0</v>
      </c>
      <c r="B293" s="151" t="s">
        <v>2235</v>
      </c>
      <c r="C293" s="151" t="s">
        <v>2236</v>
      </c>
      <c r="D293" s="151">
        <f>+2348096201075</f>
        <v>2348096201075</v>
      </c>
      <c r="F293" s="6" t="s">
        <v>97</v>
      </c>
      <c r="G293" s="6" t="s">
        <v>1654</v>
      </c>
    </row>
    <row r="294" ht="15.75" customHeight="1">
      <c r="A294" s="150">
        <v>43425.0</v>
      </c>
      <c r="B294" s="151" t="s">
        <v>2237</v>
      </c>
      <c r="C294" s="151" t="s">
        <v>2238</v>
      </c>
      <c r="D294" s="151">
        <f>+2348036217700</f>
        <v>2348036217700</v>
      </c>
      <c r="F294" s="6" t="s">
        <v>97</v>
      </c>
      <c r="G294" s="6" t="s">
        <v>1654</v>
      </c>
    </row>
    <row r="295" ht="15.75" customHeight="1">
      <c r="A295" s="150">
        <v>43425.0</v>
      </c>
      <c r="B295" s="151" t="s">
        <v>2239</v>
      </c>
      <c r="C295" s="151" t="s">
        <v>2240</v>
      </c>
      <c r="D295" s="151">
        <f>+2349034016218</f>
        <v>2349034016218</v>
      </c>
      <c r="F295" s="6" t="s">
        <v>97</v>
      </c>
      <c r="G295" s="6" t="s">
        <v>1654</v>
      </c>
    </row>
    <row r="296" ht="15.75" customHeight="1">
      <c r="A296" s="150">
        <v>43425.0</v>
      </c>
      <c r="B296" s="151" t="s">
        <v>2241</v>
      </c>
      <c r="C296" s="151" t="s">
        <v>2242</v>
      </c>
      <c r="D296" s="151">
        <f>+2348032977157</f>
        <v>2348032977157</v>
      </c>
      <c r="F296" s="6" t="s">
        <v>97</v>
      </c>
      <c r="G296" s="6" t="s">
        <v>1654</v>
      </c>
    </row>
    <row r="297" ht="15.75" customHeight="1">
      <c r="A297" s="150">
        <v>43425.0</v>
      </c>
      <c r="B297" s="151" t="s">
        <v>2243</v>
      </c>
      <c r="C297" s="151" t="s">
        <v>2244</v>
      </c>
      <c r="D297" s="151">
        <f>+23408032979000</f>
        <v>23408032979000</v>
      </c>
      <c r="F297" s="6" t="s">
        <v>97</v>
      </c>
      <c r="G297" s="6" t="s">
        <v>1654</v>
      </c>
    </row>
    <row r="298" ht="15.75" customHeight="1">
      <c r="A298" s="150">
        <v>43425.0</v>
      </c>
      <c r="B298" s="151" t="s">
        <v>2245</v>
      </c>
      <c r="C298" s="151" t="s">
        <v>2246</v>
      </c>
      <c r="D298" s="151">
        <f>+2348160093121</f>
        <v>2348160093121</v>
      </c>
      <c r="F298" s="6" t="s">
        <v>97</v>
      </c>
      <c r="G298" s="6" t="s">
        <v>1654</v>
      </c>
    </row>
    <row r="299" ht="15.75" customHeight="1">
      <c r="A299" s="150">
        <v>43425.0</v>
      </c>
      <c r="B299" s="151" t="s">
        <v>2247</v>
      </c>
      <c r="C299" s="151" t="s">
        <v>2248</v>
      </c>
      <c r="D299" s="151">
        <f>+2347061648264</f>
        <v>2347061648264</v>
      </c>
      <c r="F299" s="6" t="s">
        <v>97</v>
      </c>
      <c r="G299" s="6" t="s">
        <v>1654</v>
      </c>
    </row>
    <row r="300" ht="15.75" customHeight="1">
      <c r="A300" s="150">
        <v>43425.0</v>
      </c>
      <c r="B300" s="151" t="s">
        <v>2249</v>
      </c>
      <c r="C300" s="151" t="s">
        <v>2250</v>
      </c>
      <c r="D300" s="151">
        <f>+2348053436894</f>
        <v>2348053436894</v>
      </c>
      <c r="F300" s="6" t="s">
        <v>97</v>
      </c>
      <c r="G300" s="6" t="s">
        <v>1654</v>
      </c>
    </row>
    <row r="301" ht="15.75" customHeight="1">
      <c r="A301" s="150">
        <v>43425.0</v>
      </c>
      <c r="B301" s="151" t="s">
        <v>2251</v>
      </c>
      <c r="C301" s="151" t="s">
        <v>2252</v>
      </c>
      <c r="D301" s="151">
        <f>+2348033052800</f>
        <v>2348033052800</v>
      </c>
      <c r="F301" s="6" t="s">
        <v>97</v>
      </c>
      <c r="G301" s="6" t="s">
        <v>1654</v>
      </c>
    </row>
    <row r="302" ht="15.75" customHeight="1">
      <c r="A302" s="150">
        <v>43425.0</v>
      </c>
      <c r="B302" s="151" t="s">
        <v>2253</v>
      </c>
      <c r="C302" s="151" t="s">
        <v>2254</v>
      </c>
      <c r="D302" s="151">
        <f>+23408020753006</f>
        <v>23408020753006</v>
      </c>
      <c r="F302" s="6" t="s">
        <v>97</v>
      </c>
      <c r="G302" s="6" t="s">
        <v>1654</v>
      </c>
    </row>
    <row r="303" ht="15.75" customHeight="1">
      <c r="A303" s="150">
        <v>43425.0</v>
      </c>
      <c r="B303" s="151" t="s">
        <v>2255</v>
      </c>
      <c r="C303" s="151" t="s">
        <v>2256</v>
      </c>
      <c r="D303" s="151">
        <f>+2348021376220</f>
        <v>2348021376220</v>
      </c>
      <c r="F303" s="6" t="s">
        <v>97</v>
      </c>
      <c r="G303" s="6" t="s">
        <v>1654</v>
      </c>
    </row>
    <row r="304" ht="15.75" customHeight="1">
      <c r="A304" s="150">
        <v>43425.0</v>
      </c>
      <c r="B304" s="151" t="s">
        <v>2257</v>
      </c>
      <c r="C304" s="151" t="s">
        <v>2258</v>
      </c>
      <c r="D304" s="151">
        <f>+2348154454400</f>
        <v>2348154454400</v>
      </c>
      <c r="F304" s="6" t="s">
        <v>97</v>
      </c>
      <c r="G304" s="6" t="s">
        <v>1654</v>
      </c>
    </row>
    <row r="305" ht="15.75" customHeight="1">
      <c r="A305" s="150">
        <v>43425.0</v>
      </c>
      <c r="B305" s="151" t="s">
        <v>2259</v>
      </c>
      <c r="C305" s="151" t="s">
        <v>2260</v>
      </c>
      <c r="D305" s="151">
        <f>+2348062767844</f>
        <v>2348062767844</v>
      </c>
      <c r="F305" s="6" t="s">
        <v>168</v>
      </c>
      <c r="G305" s="6" t="s">
        <v>1654</v>
      </c>
    </row>
    <row r="306" ht="15.75" customHeight="1">
      <c r="A306" s="150">
        <v>43425.0</v>
      </c>
      <c r="B306" s="151" t="s">
        <v>2261</v>
      </c>
      <c r="C306" s="151" t="s">
        <v>2262</v>
      </c>
      <c r="D306" s="151">
        <f>+2348038007586</f>
        <v>2348038007586</v>
      </c>
      <c r="F306" s="6" t="s">
        <v>168</v>
      </c>
      <c r="G306" s="6" t="s">
        <v>1654</v>
      </c>
    </row>
    <row r="307" ht="15.75" customHeight="1">
      <c r="A307" s="150">
        <v>43425.0</v>
      </c>
      <c r="B307" s="151" t="s">
        <v>2263</v>
      </c>
      <c r="C307" s="151" t="s">
        <v>2264</v>
      </c>
      <c r="D307" s="151">
        <f>+2348062731719</f>
        <v>2348062731719</v>
      </c>
      <c r="F307" s="6" t="s">
        <v>168</v>
      </c>
      <c r="G307" s="6" t="s">
        <v>1654</v>
      </c>
    </row>
    <row r="308" ht="15.75" customHeight="1">
      <c r="A308" s="150">
        <v>43425.0</v>
      </c>
      <c r="B308" s="151" t="s">
        <v>2265</v>
      </c>
      <c r="C308" s="151" t="s">
        <v>2266</v>
      </c>
      <c r="D308" s="151">
        <f>+2349023326053</f>
        <v>2349023326053</v>
      </c>
      <c r="F308" s="6" t="s">
        <v>168</v>
      </c>
      <c r="G308" s="6" t="s">
        <v>1654</v>
      </c>
    </row>
    <row r="309" ht="15.75" customHeight="1">
      <c r="A309" s="150">
        <v>43425.0</v>
      </c>
      <c r="B309" s="151" t="s">
        <v>2267</v>
      </c>
      <c r="C309" s="151" t="s">
        <v>2268</v>
      </c>
      <c r="D309" s="151">
        <f>+2348064454408</f>
        <v>2348064454408</v>
      </c>
      <c r="F309" s="6" t="s">
        <v>168</v>
      </c>
      <c r="G309" s="6" t="s">
        <v>1654</v>
      </c>
    </row>
    <row r="310" ht="15.75" customHeight="1">
      <c r="A310" s="150">
        <v>43425.0</v>
      </c>
      <c r="B310" s="151" t="s">
        <v>2269</v>
      </c>
      <c r="C310" s="151" t="s">
        <v>2270</v>
      </c>
      <c r="D310" s="151">
        <f>+2349022556403</f>
        <v>2349022556403</v>
      </c>
      <c r="F310" s="6" t="s">
        <v>168</v>
      </c>
      <c r="G310" s="6" t="s">
        <v>1654</v>
      </c>
    </row>
    <row r="311" ht="15.75" customHeight="1">
      <c r="A311" s="150">
        <v>43425.0</v>
      </c>
      <c r="B311" s="151" t="s">
        <v>2271</v>
      </c>
      <c r="C311" s="151" t="s">
        <v>2272</v>
      </c>
      <c r="D311" s="151">
        <f>+2347066726445</f>
        <v>2347066726445</v>
      </c>
      <c r="F311" s="6" t="s">
        <v>168</v>
      </c>
      <c r="G311" s="6" t="s">
        <v>1654</v>
      </c>
    </row>
    <row r="312" ht="15.75" customHeight="1">
      <c r="A312" s="150">
        <v>43425.0</v>
      </c>
      <c r="B312" s="151" t="s">
        <v>2273</v>
      </c>
      <c r="C312" s="151" t="s">
        <v>2274</v>
      </c>
      <c r="D312" s="151">
        <f>+2348036547653</f>
        <v>2348036547653</v>
      </c>
      <c r="F312" s="6" t="s">
        <v>168</v>
      </c>
      <c r="G312" s="6" t="s">
        <v>1654</v>
      </c>
    </row>
    <row r="313" ht="15.75" customHeight="1">
      <c r="A313" s="150">
        <v>43425.0</v>
      </c>
      <c r="B313" s="151" t="s">
        <v>2275</v>
      </c>
      <c r="C313" s="151" t="s">
        <v>2276</v>
      </c>
      <c r="D313" s="151">
        <f>+2348030475890</f>
        <v>2348030475890</v>
      </c>
      <c r="F313" s="6" t="s">
        <v>168</v>
      </c>
      <c r="G313" s="6" t="s">
        <v>1654</v>
      </c>
    </row>
    <row r="314" ht="15.75" customHeight="1">
      <c r="A314" s="150">
        <v>43425.0</v>
      </c>
      <c r="B314" s="151" t="s">
        <v>2277</v>
      </c>
      <c r="C314" s="151" t="s">
        <v>2278</v>
      </c>
      <c r="D314" s="151">
        <f>+23408035954538</f>
        <v>23408035954538</v>
      </c>
      <c r="F314" s="6" t="s">
        <v>168</v>
      </c>
      <c r="G314" s="6" t="s">
        <v>1654</v>
      </c>
    </row>
    <row r="315" ht="15.75" customHeight="1">
      <c r="A315" s="150">
        <v>43425.0</v>
      </c>
      <c r="B315" s="151" t="s">
        <v>2279</v>
      </c>
      <c r="C315" s="151" t="s">
        <v>2280</v>
      </c>
      <c r="D315" s="151">
        <f>+2348027612119</f>
        <v>2348027612119</v>
      </c>
      <c r="F315" s="6" t="s">
        <v>168</v>
      </c>
      <c r="G315" s="6" t="s">
        <v>1654</v>
      </c>
    </row>
    <row r="316" ht="15.75" customHeight="1">
      <c r="A316" s="150">
        <v>43425.0</v>
      </c>
      <c r="B316" s="151" t="s">
        <v>2281</v>
      </c>
      <c r="C316" s="151" t="s">
        <v>2282</v>
      </c>
      <c r="D316" s="151">
        <f>+2348066856661</f>
        <v>2348066856661</v>
      </c>
      <c r="F316" s="6" t="s">
        <v>168</v>
      </c>
      <c r="G316" s="6" t="s">
        <v>1654</v>
      </c>
    </row>
    <row r="317" ht="15.75" customHeight="1">
      <c r="A317" s="150">
        <v>43425.0</v>
      </c>
      <c r="B317" s="151" t="s">
        <v>2283</v>
      </c>
      <c r="C317" s="151" t="s">
        <v>2284</v>
      </c>
      <c r="D317" s="151">
        <f>+2348063678438</f>
        <v>2348063678438</v>
      </c>
      <c r="F317" s="6" t="s">
        <v>168</v>
      </c>
      <c r="G317" s="6" t="s">
        <v>1654</v>
      </c>
    </row>
    <row r="318" ht="15.75" customHeight="1">
      <c r="A318" s="150">
        <v>43425.0</v>
      </c>
      <c r="B318" s="151" t="s">
        <v>2285</v>
      </c>
      <c r="C318" s="151" t="s">
        <v>2286</v>
      </c>
      <c r="D318" s="151">
        <f>+2348174951342</f>
        <v>2348174951342</v>
      </c>
      <c r="F318" s="6" t="s">
        <v>168</v>
      </c>
      <c r="G318" s="6" t="s">
        <v>1654</v>
      </c>
    </row>
    <row r="319" ht="15.75" customHeight="1">
      <c r="A319" s="150">
        <v>43425.0</v>
      </c>
      <c r="B319" s="151" t="s">
        <v>2287</v>
      </c>
      <c r="C319" s="151" t="s">
        <v>2288</v>
      </c>
      <c r="D319" s="151">
        <f>+2347061666022</f>
        <v>2347061666022</v>
      </c>
      <c r="F319" s="6" t="s">
        <v>168</v>
      </c>
      <c r="G319" s="6" t="s">
        <v>1654</v>
      </c>
    </row>
    <row r="320" ht="15.75" customHeight="1">
      <c r="A320" s="150">
        <v>43425.0</v>
      </c>
      <c r="B320" s="151" t="s">
        <v>2289</v>
      </c>
      <c r="C320" s="151" t="s">
        <v>2290</v>
      </c>
      <c r="D320" s="151">
        <f>+2348036518892</f>
        <v>2348036518892</v>
      </c>
      <c r="F320" s="6" t="s">
        <v>168</v>
      </c>
      <c r="G320" s="6" t="s">
        <v>1654</v>
      </c>
    </row>
    <row r="321" ht="15.75" customHeight="1">
      <c r="A321" s="150">
        <v>43425.0</v>
      </c>
      <c r="B321" s="151" t="s">
        <v>2291</v>
      </c>
      <c r="C321" s="151" t="s">
        <v>2292</v>
      </c>
      <c r="D321" s="151">
        <f>+2348034669833</f>
        <v>2348034669833</v>
      </c>
      <c r="F321" s="6" t="s">
        <v>168</v>
      </c>
      <c r="G321" s="6" t="s">
        <v>1654</v>
      </c>
    </row>
    <row r="322" ht="15.75" customHeight="1">
      <c r="A322" s="150">
        <v>43425.0</v>
      </c>
      <c r="B322" s="151" t="s">
        <v>2293</v>
      </c>
      <c r="C322" s="151" t="s">
        <v>2294</v>
      </c>
      <c r="D322" s="151">
        <f>+2348054351978</f>
        <v>2348054351978</v>
      </c>
      <c r="F322" s="6" t="s">
        <v>168</v>
      </c>
      <c r="G322" s="6" t="s">
        <v>1654</v>
      </c>
    </row>
    <row r="323" ht="15.75" customHeight="1">
      <c r="A323" s="150">
        <v>43425.0</v>
      </c>
      <c r="B323" s="151" t="s">
        <v>2295</v>
      </c>
      <c r="C323" s="151" t="s">
        <v>2296</v>
      </c>
      <c r="D323" s="151">
        <f>+2348055601355</f>
        <v>2348055601355</v>
      </c>
      <c r="F323" s="6" t="s">
        <v>168</v>
      </c>
      <c r="G323" s="6" t="s">
        <v>1654</v>
      </c>
    </row>
    <row r="324" ht="15.75" customHeight="1">
      <c r="A324" s="150">
        <v>43425.0</v>
      </c>
      <c r="B324" s="151" t="s">
        <v>2297</v>
      </c>
      <c r="C324" s="151" t="s">
        <v>2298</v>
      </c>
      <c r="D324" s="151">
        <f>+2348026882590</f>
        <v>2348026882590</v>
      </c>
      <c r="F324" s="6" t="s">
        <v>168</v>
      </c>
      <c r="G324" s="6" t="s">
        <v>1654</v>
      </c>
    </row>
    <row r="325" ht="15.75" customHeight="1">
      <c r="A325" s="150">
        <v>43425.0</v>
      </c>
      <c r="B325" s="151" t="s">
        <v>2299</v>
      </c>
      <c r="C325" s="151" t="s">
        <v>2300</v>
      </c>
      <c r="D325" s="151">
        <f>+2348033539552</f>
        <v>2348033539552</v>
      </c>
      <c r="F325" s="6" t="s">
        <v>168</v>
      </c>
      <c r="G325" s="6" t="s">
        <v>1654</v>
      </c>
    </row>
    <row r="326" ht="15.75" customHeight="1">
      <c r="A326" s="150">
        <v>43425.0</v>
      </c>
      <c r="B326" s="151" t="s">
        <v>2301</v>
      </c>
      <c r="C326" s="151" t="s">
        <v>2302</v>
      </c>
      <c r="D326" s="151">
        <f>+2348112443394</f>
        <v>2348112443394</v>
      </c>
      <c r="F326" s="6" t="s">
        <v>168</v>
      </c>
      <c r="G326" s="6" t="s">
        <v>1654</v>
      </c>
    </row>
    <row r="327" ht="15.75" customHeight="1">
      <c r="A327" s="150">
        <v>43425.0</v>
      </c>
      <c r="B327" s="151" t="s">
        <v>2303</v>
      </c>
      <c r="C327" s="151" t="s">
        <v>2304</v>
      </c>
      <c r="D327" s="151">
        <f>+2348032174347</f>
        <v>2348032174347</v>
      </c>
      <c r="F327" s="6" t="s">
        <v>168</v>
      </c>
      <c r="G327" s="6" t="s">
        <v>1654</v>
      </c>
    </row>
    <row r="328" ht="15.75" customHeight="1">
      <c r="A328" s="150">
        <v>43425.0</v>
      </c>
      <c r="B328" s="151" t="s">
        <v>2305</v>
      </c>
      <c r="C328" s="151" t="s">
        <v>2306</v>
      </c>
      <c r="D328" s="151">
        <f>+2348030750906</f>
        <v>2348030750906</v>
      </c>
      <c r="F328" s="6" t="s">
        <v>168</v>
      </c>
      <c r="G328" s="6" t="s">
        <v>1654</v>
      </c>
    </row>
    <row r="329" ht="15.75" customHeight="1">
      <c r="A329" s="150">
        <v>43425.0</v>
      </c>
      <c r="B329" s="151" t="s">
        <v>2307</v>
      </c>
      <c r="C329" s="151" t="s">
        <v>2308</v>
      </c>
      <c r="D329" s="151">
        <f>+2347033452215</f>
        <v>2347033452215</v>
      </c>
      <c r="F329" s="6" t="s">
        <v>168</v>
      </c>
      <c r="G329" s="6" t="s">
        <v>1654</v>
      </c>
    </row>
    <row r="330" ht="15.75" customHeight="1">
      <c r="A330" s="150">
        <v>43425.0</v>
      </c>
      <c r="B330" s="151" t="s">
        <v>2309</v>
      </c>
      <c r="C330" s="151" t="s">
        <v>2310</v>
      </c>
      <c r="D330" s="151">
        <f>+2348028494720</f>
        <v>2348028494720</v>
      </c>
      <c r="F330" s="6" t="s">
        <v>168</v>
      </c>
      <c r="G330" s="6" t="s">
        <v>1654</v>
      </c>
    </row>
    <row r="331" ht="15.75" customHeight="1">
      <c r="A331" s="150">
        <v>43425.0</v>
      </c>
      <c r="B331" s="151" t="s">
        <v>2311</v>
      </c>
      <c r="C331" s="151" t="s">
        <v>2312</v>
      </c>
      <c r="D331" s="151">
        <v>8.031908298E9</v>
      </c>
      <c r="F331" s="6" t="s">
        <v>168</v>
      </c>
      <c r="G331" s="6" t="s">
        <v>1654</v>
      </c>
    </row>
    <row r="332" ht="15.75" customHeight="1">
      <c r="A332" s="150">
        <v>43425.0</v>
      </c>
      <c r="B332" s="151" t="s">
        <v>2313</v>
      </c>
      <c r="C332" s="151" t="s">
        <v>2314</v>
      </c>
      <c r="D332" s="151">
        <f>+2348138348741</f>
        <v>2348138348741</v>
      </c>
      <c r="F332" s="6" t="s">
        <v>168</v>
      </c>
      <c r="G332" s="6" t="s">
        <v>1654</v>
      </c>
    </row>
    <row r="333" ht="15.75" customHeight="1">
      <c r="A333" s="150">
        <v>43425.0</v>
      </c>
      <c r="B333" s="151" t="s">
        <v>2315</v>
      </c>
      <c r="C333" s="151" t="s">
        <v>2316</v>
      </c>
      <c r="D333" s="151">
        <f>+2348182304831</f>
        <v>2348182304831</v>
      </c>
      <c r="F333" s="6" t="s">
        <v>168</v>
      </c>
      <c r="G333" s="6" t="s">
        <v>1654</v>
      </c>
    </row>
    <row r="334" ht="15.75" customHeight="1">
      <c r="A334" s="150">
        <v>43426.0</v>
      </c>
      <c r="B334" s="6" t="s">
        <v>2317</v>
      </c>
      <c r="C334" s="6" t="s">
        <v>2318</v>
      </c>
      <c r="D334" s="39">
        <f>+2348132455621</f>
        <v>2348132455621</v>
      </c>
      <c r="F334" s="6" t="s">
        <v>97</v>
      </c>
      <c r="G334" s="6" t="s">
        <v>1654</v>
      </c>
    </row>
    <row r="335" ht="15.75" customHeight="1">
      <c r="A335" s="150">
        <v>43426.0</v>
      </c>
      <c r="B335" s="6" t="s">
        <v>2319</v>
      </c>
      <c r="C335" s="6" t="s">
        <v>2320</v>
      </c>
      <c r="D335" s="39">
        <f>+2348034290693</f>
        <v>2348034290693</v>
      </c>
      <c r="F335" s="6" t="s">
        <v>97</v>
      </c>
      <c r="G335" s="6" t="s">
        <v>1654</v>
      </c>
    </row>
    <row r="336" ht="15.75" customHeight="1">
      <c r="A336" s="150">
        <v>43426.0</v>
      </c>
      <c r="B336" s="6" t="s">
        <v>2321</v>
      </c>
      <c r="C336" s="6" t="s">
        <v>2322</v>
      </c>
      <c r="D336" s="39">
        <f>+2348033672881</f>
        <v>2348033672881</v>
      </c>
      <c r="F336" s="6" t="s">
        <v>97</v>
      </c>
      <c r="G336" s="6" t="s">
        <v>1654</v>
      </c>
    </row>
    <row r="337" ht="15.75" customHeight="1">
      <c r="A337" s="150">
        <v>43426.0</v>
      </c>
      <c r="B337" s="6" t="s">
        <v>2323</v>
      </c>
      <c r="C337" s="6" t="s">
        <v>2324</v>
      </c>
      <c r="D337" s="39">
        <f>+918374215172</f>
        <v>918374215172</v>
      </c>
      <c r="F337" s="6" t="s">
        <v>97</v>
      </c>
      <c r="G337" s="6" t="s">
        <v>1654</v>
      </c>
    </row>
    <row r="338" ht="15.75" customHeight="1">
      <c r="A338" s="150">
        <v>43426.0</v>
      </c>
      <c r="B338" s="6" t="s">
        <v>2325</v>
      </c>
      <c r="C338" s="6" t="s">
        <v>2326</v>
      </c>
      <c r="D338" s="39">
        <f>+2348064282256</f>
        <v>2348064282256</v>
      </c>
      <c r="F338" s="6" t="s">
        <v>97</v>
      </c>
      <c r="G338" s="6" t="s">
        <v>1654</v>
      </c>
    </row>
    <row r="339" ht="15.75" customHeight="1">
      <c r="A339" s="150">
        <v>43426.0</v>
      </c>
      <c r="B339" s="6" t="s">
        <v>2327</v>
      </c>
      <c r="C339" s="6" t="s">
        <v>2328</v>
      </c>
      <c r="D339" s="39">
        <f>+2348069679670</f>
        <v>2348069679670</v>
      </c>
      <c r="F339" s="6" t="s">
        <v>97</v>
      </c>
      <c r="G339" s="6" t="s">
        <v>1654</v>
      </c>
    </row>
    <row r="340" ht="15.75" customHeight="1">
      <c r="A340" s="150">
        <v>43426.0</v>
      </c>
      <c r="B340" s="6" t="s">
        <v>2329</v>
      </c>
      <c r="C340" s="6" t="s">
        <v>2330</v>
      </c>
      <c r="D340" s="39">
        <f>+2348162842020</f>
        <v>2348162842020</v>
      </c>
      <c r="F340" s="6" t="s">
        <v>97</v>
      </c>
      <c r="G340" s="6" t="s">
        <v>1654</v>
      </c>
    </row>
    <row r="341" ht="15.75" customHeight="1">
      <c r="A341" s="150">
        <v>43426.0</v>
      </c>
      <c r="B341" s="6" t="s">
        <v>2331</v>
      </c>
      <c r="C341" s="6" t="s">
        <v>2332</v>
      </c>
      <c r="D341" s="39">
        <f>+2348038111032</f>
        <v>2348038111032</v>
      </c>
      <c r="F341" s="6" t="s">
        <v>97</v>
      </c>
      <c r="G341" s="6" t="s">
        <v>1654</v>
      </c>
    </row>
    <row r="342" ht="15.75" customHeight="1">
      <c r="A342" s="150">
        <v>43426.0</v>
      </c>
      <c r="B342" s="6" t="s">
        <v>2333</v>
      </c>
      <c r="C342" s="6" t="s">
        <v>2334</v>
      </c>
      <c r="D342" s="39">
        <f>+2347038711632</f>
        <v>2347038711632</v>
      </c>
      <c r="F342" s="6" t="s">
        <v>97</v>
      </c>
      <c r="G342" s="6" t="s">
        <v>1654</v>
      </c>
    </row>
    <row r="343" ht="15.75" customHeight="1">
      <c r="A343" s="150">
        <v>43426.0</v>
      </c>
      <c r="B343" s="6" t="s">
        <v>2335</v>
      </c>
      <c r="C343" s="6" t="s">
        <v>2336</v>
      </c>
      <c r="D343" s="39">
        <f>+2347064598967</f>
        <v>2347064598967</v>
      </c>
      <c r="F343" s="6" t="s">
        <v>97</v>
      </c>
      <c r="G343" s="6" t="s">
        <v>1654</v>
      </c>
    </row>
    <row r="344" ht="15.75" customHeight="1">
      <c r="A344" s="150">
        <v>43426.0</v>
      </c>
      <c r="B344" s="6" t="s">
        <v>2337</v>
      </c>
      <c r="C344" s="6" t="s">
        <v>2338</v>
      </c>
      <c r="D344" s="39">
        <f>+2348036108045</f>
        <v>2348036108045</v>
      </c>
      <c r="F344" s="6" t="s">
        <v>97</v>
      </c>
      <c r="G344" s="6" t="s">
        <v>1654</v>
      </c>
    </row>
    <row r="345" ht="15.75" customHeight="1">
      <c r="A345" s="150">
        <v>43426.0</v>
      </c>
      <c r="B345" s="6" t="s">
        <v>2339</v>
      </c>
      <c r="C345" s="6" t="s">
        <v>2340</v>
      </c>
      <c r="D345" s="39">
        <f>+2348029570535</f>
        <v>2348029570535</v>
      </c>
      <c r="F345" s="6" t="s">
        <v>97</v>
      </c>
      <c r="G345" s="6" t="s">
        <v>1654</v>
      </c>
    </row>
    <row r="346" ht="15.75" customHeight="1">
      <c r="A346" s="150">
        <v>43426.0</v>
      </c>
      <c r="B346" s="6" t="s">
        <v>2341</v>
      </c>
      <c r="C346" s="6" t="s">
        <v>2342</v>
      </c>
      <c r="D346" s="39">
        <f>+2348054428936</f>
        <v>2348054428936</v>
      </c>
      <c r="F346" s="6" t="s">
        <v>97</v>
      </c>
      <c r="G346" s="6" t="s">
        <v>1654</v>
      </c>
    </row>
    <row r="347" ht="15.75" customHeight="1">
      <c r="A347" s="150">
        <v>43426.0</v>
      </c>
      <c r="B347" s="6" t="s">
        <v>2343</v>
      </c>
      <c r="C347" s="6" t="s">
        <v>2344</v>
      </c>
      <c r="D347" s="39">
        <f>+2348157440804</f>
        <v>2348157440804</v>
      </c>
      <c r="F347" s="6" t="s">
        <v>97</v>
      </c>
      <c r="G347" s="6" t="s">
        <v>1654</v>
      </c>
    </row>
    <row r="348" ht="15.75" customHeight="1">
      <c r="A348" s="150">
        <v>43426.0</v>
      </c>
      <c r="B348" s="6" t="s">
        <v>2345</v>
      </c>
      <c r="C348" s="6" t="s">
        <v>2346</v>
      </c>
      <c r="D348" s="39">
        <f>+2348033883079</f>
        <v>2348033883079</v>
      </c>
      <c r="F348" s="6" t="s">
        <v>97</v>
      </c>
      <c r="G348" s="6" t="s">
        <v>1654</v>
      </c>
    </row>
    <row r="349" ht="15.75" customHeight="1">
      <c r="A349" s="150">
        <v>43426.0</v>
      </c>
      <c r="B349" s="6" t="s">
        <v>2347</v>
      </c>
      <c r="C349" s="6" t="s">
        <v>2348</v>
      </c>
      <c r="D349" s="39">
        <f>+2348033764344</f>
        <v>2348033764344</v>
      </c>
      <c r="F349" s="6" t="s">
        <v>97</v>
      </c>
      <c r="G349" s="6" t="s">
        <v>1654</v>
      </c>
    </row>
    <row r="350" ht="15.75" customHeight="1">
      <c r="A350" s="150">
        <v>43426.0</v>
      </c>
      <c r="B350" s="6" t="s">
        <v>2349</v>
      </c>
      <c r="C350" s="6" t="s">
        <v>2350</v>
      </c>
      <c r="D350" s="39">
        <f>+2348023087133</f>
        <v>2348023087133</v>
      </c>
      <c r="F350" s="6" t="s">
        <v>97</v>
      </c>
      <c r="G350" s="6" t="s">
        <v>1654</v>
      </c>
    </row>
    <row r="351" ht="15.75" customHeight="1">
      <c r="A351" s="150">
        <v>43426.0</v>
      </c>
      <c r="B351" s="6" t="s">
        <v>2351</v>
      </c>
      <c r="C351" s="6" t="s">
        <v>2352</v>
      </c>
      <c r="D351" s="39">
        <f>+2348027270345</f>
        <v>2348027270345</v>
      </c>
      <c r="F351" s="6" t="s">
        <v>97</v>
      </c>
      <c r="G351" s="6" t="s">
        <v>1654</v>
      </c>
    </row>
    <row r="352" ht="15.75" customHeight="1">
      <c r="A352" s="150">
        <v>43426.0</v>
      </c>
      <c r="B352" s="6" t="s">
        <v>2353</v>
      </c>
      <c r="C352" s="6" t="s">
        <v>2354</v>
      </c>
      <c r="D352" s="39">
        <f>+2349036362797</f>
        <v>2349036362797</v>
      </c>
      <c r="F352" s="6" t="s">
        <v>97</v>
      </c>
      <c r="G352" s="6" t="s">
        <v>1654</v>
      </c>
    </row>
    <row r="353" ht="15.75" customHeight="1">
      <c r="A353" s="150">
        <v>43426.0</v>
      </c>
      <c r="B353" s="6" t="s">
        <v>2355</v>
      </c>
      <c r="C353" s="6" t="s">
        <v>2356</v>
      </c>
      <c r="D353" s="39">
        <f>+2348029249721</f>
        <v>2348029249721</v>
      </c>
      <c r="F353" s="6" t="s">
        <v>97</v>
      </c>
      <c r="G353" s="6" t="s">
        <v>1654</v>
      </c>
    </row>
    <row r="354" ht="15.75" customHeight="1">
      <c r="A354" s="150">
        <v>43426.0</v>
      </c>
      <c r="B354" s="6" t="s">
        <v>2357</v>
      </c>
      <c r="C354" s="6" t="s">
        <v>2358</v>
      </c>
      <c r="D354" s="39">
        <f>+2348034748411</f>
        <v>2348034748411</v>
      </c>
      <c r="F354" s="6" t="s">
        <v>97</v>
      </c>
      <c r="G354" s="6" t="s">
        <v>1654</v>
      </c>
    </row>
    <row r="355" ht="15.75" customHeight="1">
      <c r="A355" s="150">
        <v>43426.0</v>
      </c>
      <c r="B355" s="6" t="s">
        <v>2359</v>
      </c>
      <c r="C355" s="6" t="s">
        <v>2360</v>
      </c>
      <c r="D355" s="39">
        <f>+2348069571690</f>
        <v>2348069571690</v>
      </c>
      <c r="F355" s="6" t="s">
        <v>97</v>
      </c>
      <c r="G355" s="6" t="s">
        <v>1654</v>
      </c>
    </row>
    <row r="356" ht="15.75" customHeight="1">
      <c r="A356" s="150">
        <v>43426.0</v>
      </c>
      <c r="B356" s="6" t="s">
        <v>2361</v>
      </c>
      <c r="C356" s="6" t="s">
        <v>2362</v>
      </c>
      <c r="D356" s="39">
        <f>+2348028263970</f>
        <v>2348028263970</v>
      </c>
      <c r="F356" s="6" t="s">
        <v>97</v>
      </c>
      <c r="G356" s="6" t="s">
        <v>1654</v>
      </c>
    </row>
    <row r="357" ht="15.75" customHeight="1">
      <c r="A357" s="150">
        <v>43426.0</v>
      </c>
      <c r="B357" s="6" t="s">
        <v>2363</v>
      </c>
      <c r="C357" s="6" t="s">
        <v>2364</v>
      </c>
      <c r="D357" s="39">
        <f>+2348035685124</f>
        <v>2348035685124</v>
      </c>
      <c r="F357" s="6" t="s">
        <v>97</v>
      </c>
      <c r="G357" s="6" t="s">
        <v>1654</v>
      </c>
    </row>
    <row r="358" ht="15.75" customHeight="1">
      <c r="A358" s="150">
        <v>43426.0</v>
      </c>
      <c r="B358" s="6" t="s">
        <v>2365</v>
      </c>
      <c r="C358" s="6" t="s">
        <v>2366</v>
      </c>
      <c r="D358" s="39">
        <f>+2347063353866</f>
        <v>2347063353866</v>
      </c>
      <c r="F358" s="6" t="s">
        <v>97</v>
      </c>
      <c r="G358" s="6" t="s">
        <v>1654</v>
      </c>
    </row>
    <row r="359" ht="15.75" customHeight="1">
      <c r="A359" s="150">
        <v>43426.0</v>
      </c>
      <c r="B359" s="6" t="s">
        <v>2367</v>
      </c>
      <c r="C359" s="6" t="s">
        <v>2368</v>
      </c>
      <c r="D359" s="39">
        <f>+2348035300050</f>
        <v>2348035300050</v>
      </c>
      <c r="F359" s="6" t="s">
        <v>97</v>
      </c>
      <c r="G359" s="6" t="s">
        <v>1654</v>
      </c>
    </row>
    <row r="360" ht="15.75" customHeight="1">
      <c r="A360" s="150">
        <v>43426.0</v>
      </c>
      <c r="B360" s="6" t="s">
        <v>2369</v>
      </c>
      <c r="C360" s="6" t="s">
        <v>2370</v>
      </c>
      <c r="D360" s="39">
        <f>+2347061073955</f>
        <v>2347061073955</v>
      </c>
      <c r="F360" s="6" t="s">
        <v>97</v>
      </c>
      <c r="G360" s="6" t="s">
        <v>1654</v>
      </c>
    </row>
    <row r="361" ht="15.75" customHeight="1">
      <c r="A361" s="150">
        <v>43426.0</v>
      </c>
      <c r="B361" s="6" t="s">
        <v>2371</v>
      </c>
      <c r="C361" s="6" t="s">
        <v>2372</v>
      </c>
      <c r="D361" s="39">
        <f>+2348027401741</f>
        <v>2348027401741</v>
      </c>
      <c r="F361" s="6" t="s">
        <v>97</v>
      </c>
      <c r="G361" s="6" t="s">
        <v>1654</v>
      </c>
    </row>
    <row r="362" ht="15.75" customHeight="1">
      <c r="A362" s="150">
        <v>43426.0</v>
      </c>
      <c r="B362" s="6" t="s">
        <v>2373</v>
      </c>
      <c r="C362" s="6" t="s">
        <v>2374</v>
      </c>
      <c r="D362" s="39">
        <f>+2348033126809</f>
        <v>2348033126809</v>
      </c>
      <c r="F362" s="6" t="s">
        <v>97</v>
      </c>
      <c r="G362" s="6" t="s">
        <v>1654</v>
      </c>
    </row>
    <row r="363" ht="15.75" customHeight="1">
      <c r="A363" s="150">
        <v>43426.0</v>
      </c>
      <c r="B363" s="6" t="s">
        <v>2375</v>
      </c>
      <c r="C363" s="6" t="s">
        <v>2376</v>
      </c>
      <c r="D363" s="39">
        <f>+2348035753857</f>
        <v>2348035753857</v>
      </c>
      <c r="F363" s="6" t="s">
        <v>97</v>
      </c>
      <c r="G363" s="6" t="s">
        <v>1654</v>
      </c>
    </row>
    <row r="364" ht="15.75" customHeight="1">
      <c r="A364" s="150">
        <v>43426.0</v>
      </c>
      <c r="B364" s="6" t="s">
        <v>2377</v>
      </c>
      <c r="C364" s="6" t="s">
        <v>2378</v>
      </c>
      <c r="D364" s="39">
        <f>+2348177288201</f>
        <v>2348177288201</v>
      </c>
      <c r="F364" s="6" t="s">
        <v>97</v>
      </c>
      <c r="G364" s="6" t="s">
        <v>1654</v>
      </c>
    </row>
    <row r="365" ht="15.75" customHeight="1">
      <c r="A365" s="150">
        <v>43426.0</v>
      </c>
      <c r="B365" s="6" t="s">
        <v>2379</v>
      </c>
      <c r="C365" s="6" t="s">
        <v>2380</v>
      </c>
      <c r="D365" s="39">
        <f>+2348059063725</f>
        <v>2348059063725</v>
      </c>
      <c r="F365" s="6" t="s">
        <v>97</v>
      </c>
      <c r="G365" s="6" t="s">
        <v>1654</v>
      </c>
    </row>
    <row r="366" ht="15.75" customHeight="1">
      <c r="A366" s="150">
        <v>43426.0</v>
      </c>
      <c r="B366" s="6" t="s">
        <v>2381</v>
      </c>
      <c r="C366" s="6" t="s">
        <v>2382</v>
      </c>
      <c r="D366" s="39">
        <f>+2348038405844</f>
        <v>2348038405844</v>
      </c>
      <c r="F366" s="6" t="s">
        <v>97</v>
      </c>
      <c r="G366" s="6" t="s">
        <v>1654</v>
      </c>
    </row>
    <row r="367" ht="15.75" customHeight="1">
      <c r="A367" s="150">
        <v>43426.0</v>
      </c>
      <c r="B367" s="6" t="s">
        <v>2383</v>
      </c>
      <c r="C367" s="6" t="s">
        <v>2384</v>
      </c>
      <c r="D367" s="39">
        <f>+2348039289781</f>
        <v>2348039289781</v>
      </c>
      <c r="F367" s="6" t="s">
        <v>97</v>
      </c>
      <c r="G367" s="6" t="s">
        <v>1654</v>
      </c>
    </row>
    <row r="368" ht="15.75" customHeight="1">
      <c r="A368" s="150">
        <v>43426.0</v>
      </c>
      <c r="B368" s="6" t="s">
        <v>2385</v>
      </c>
      <c r="C368" s="6" t="s">
        <v>2386</v>
      </c>
      <c r="D368" s="39">
        <f>+2348067891671</f>
        <v>2348067891671</v>
      </c>
      <c r="F368" s="6" t="s">
        <v>97</v>
      </c>
      <c r="G368" s="6" t="s">
        <v>1654</v>
      </c>
    </row>
    <row r="369" ht="15.75" customHeight="1">
      <c r="A369" s="150">
        <v>43426.0</v>
      </c>
      <c r="B369" s="6" t="s">
        <v>2387</v>
      </c>
      <c r="C369" s="6" t="s">
        <v>2388</v>
      </c>
      <c r="D369" s="39">
        <f>+23408101850853</f>
        <v>23408101850853</v>
      </c>
      <c r="F369" s="6" t="s">
        <v>97</v>
      </c>
      <c r="G369" s="6" t="s">
        <v>1654</v>
      </c>
    </row>
    <row r="370" ht="15.75" customHeight="1">
      <c r="A370" s="150">
        <v>43426.0</v>
      </c>
      <c r="B370" s="6" t="s">
        <v>2389</v>
      </c>
      <c r="C370" s="6" t="s">
        <v>2390</v>
      </c>
      <c r="D370" s="39">
        <f>+2347035727212</f>
        <v>2347035727212</v>
      </c>
      <c r="F370" s="6" t="s">
        <v>97</v>
      </c>
      <c r="G370" s="6" t="s">
        <v>1654</v>
      </c>
    </row>
    <row r="371" ht="15.75" customHeight="1">
      <c r="A371" s="150">
        <v>43426.0</v>
      </c>
      <c r="B371" s="6" t="s">
        <v>2391</v>
      </c>
      <c r="C371" s="6" t="s">
        <v>2392</v>
      </c>
      <c r="D371" s="39">
        <f>+2348062421268</f>
        <v>2348062421268</v>
      </c>
      <c r="F371" s="6" t="s">
        <v>97</v>
      </c>
      <c r="G371" s="6" t="s">
        <v>1654</v>
      </c>
    </row>
    <row r="372" ht="15.75" customHeight="1">
      <c r="A372" s="150">
        <v>43426.0</v>
      </c>
      <c r="B372" s="6" t="s">
        <v>2393</v>
      </c>
      <c r="C372" s="6" t="s">
        <v>2394</v>
      </c>
      <c r="D372" s="39">
        <f>+2348050655051</f>
        <v>2348050655051</v>
      </c>
      <c r="F372" s="6" t="s">
        <v>97</v>
      </c>
      <c r="G372" s="6" t="s">
        <v>1654</v>
      </c>
    </row>
    <row r="373" ht="15.75" customHeight="1">
      <c r="A373" s="150">
        <v>43426.0</v>
      </c>
      <c r="B373" s="6" t="s">
        <v>2395</v>
      </c>
      <c r="C373" s="6" t="s">
        <v>2396</v>
      </c>
      <c r="D373" s="39">
        <f>+2348023778878</f>
        <v>2348023778878</v>
      </c>
      <c r="F373" s="6" t="s">
        <v>97</v>
      </c>
      <c r="G373" s="6" t="s">
        <v>1654</v>
      </c>
    </row>
    <row r="374" ht="15.75" customHeight="1">
      <c r="A374" s="150">
        <v>43426.0</v>
      </c>
      <c r="B374" s="6" t="s">
        <v>2397</v>
      </c>
      <c r="C374" s="6" t="s">
        <v>2398</v>
      </c>
      <c r="D374" s="39">
        <f>+2349093622194</f>
        <v>2349093622194</v>
      </c>
      <c r="F374" s="6" t="s">
        <v>97</v>
      </c>
      <c r="G374" s="6" t="s">
        <v>1654</v>
      </c>
    </row>
    <row r="375" ht="15.75" customHeight="1">
      <c r="A375" s="150">
        <v>43426.0</v>
      </c>
      <c r="B375" s="6" t="s">
        <v>2399</v>
      </c>
      <c r="C375" s="6" t="s">
        <v>2400</v>
      </c>
      <c r="D375" s="39">
        <f>+9710529855237</f>
        <v>9710529855237</v>
      </c>
      <c r="F375" s="6" t="s">
        <v>97</v>
      </c>
      <c r="G375" s="6" t="s">
        <v>1654</v>
      </c>
    </row>
    <row r="376" ht="15.75" customHeight="1">
      <c r="A376" s="150">
        <v>43426.0</v>
      </c>
      <c r="B376" s="6" t="s">
        <v>2401</v>
      </c>
      <c r="C376" s="6" t="s">
        <v>2402</v>
      </c>
      <c r="D376" s="39">
        <f>+2348163034485</f>
        <v>2348163034485</v>
      </c>
      <c r="F376" s="6" t="s">
        <v>97</v>
      </c>
      <c r="G376" s="6" t="s">
        <v>1654</v>
      </c>
    </row>
    <row r="377" ht="15.75" customHeight="1">
      <c r="A377" s="150">
        <v>43426.0</v>
      </c>
      <c r="B377" s="6" t="s">
        <v>2403</v>
      </c>
      <c r="C377" s="6" t="s">
        <v>2404</v>
      </c>
      <c r="D377" s="39">
        <f>+2348032870654</f>
        <v>2348032870654</v>
      </c>
      <c r="F377" s="6" t="s">
        <v>97</v>
      </c>
      <c r="G377" s="6" t="s">
        <v>1654</v>
      </c>
    </row>
    <row r="378" ht="15.75" customHeight="1">
      <c r="A378" s="150">
        <v>43426.0</v>
      </c>
      <c r="B378" s="6" t="s">
        <v>2405</v>
      </c>
      <c r="C378" s="6" t="s">
        <v>2406</v>
      </c>
      <c r="D378" s="39">
        <f>+2348033801219</f>
        <v>2348033801219</v>
      </c>
      <c r="F378" s="6" t="s">
        <v>168</v>
      </c>
      <c r="G378" s="6" t="s">
        <v>1654</v>
      </c>
    </row>
    <row r="379" ht="15.75" customHeight="1">
      <c r="A379" s="150">
        <v>43426.0</v>
      </c>
      <c r="B379" s="6" t="s">
        <v>2407</v>
      </c>
      <c r="C379" s="6" t="s">
        <v>2408</v>
      </c>
      <c r="D379" s="39">
        <f>+2348063083635</f>
        <v>2348063083635</v>
      </c>
      <c r="F379" s="6" t="s">
        <v>168</v>
      </c>
      <c r="G379" s="6" t="s">
        <v>1654</v>
      </c>
    </row>
    <row r="380" ht="15.75" customHeight="1">
      <c r="A380" s="150">
        <v>43426.0</v>
      </c>
      <c r="B380" s="6" t="s">
        <v>2409</v>
      </c>
      <c r="C380" s="6" t="s">
        <v>2410</v>
      </c>
      <c r="D380" s="39">
        <f>+2348033136397</f>
        <v>2348033136397</v>
      </c>
      <c r="F380" s="6" t="s">
        <v>168</v>
      </c>
      <c r="G380" s="6" t="s">
        <v>1654</v>
      </c>
    </row>
    <row r="381" ht="15.75" customHeight="1">
      <c r="A381" s="150">
        <v>43426.0</v>
      </c>
      <c r="B381" s="6" t="s">
        <v>2411</v>
      </c>
      <c r="C381" s="6" t="s">
        <v>2412</v>
      </c>
      <c r="D381" s="39">
        <f>+2348033977818</f>
        <v>2348033977818</v>
      </c>
      <c r="F381" s="6" t="s">
        <v>168</v>
      </c>
      <c r="G381" s="6" t="s">
        <v>1654</v>
      </c>
    </row>
    <row r="382" ht="15.75" customHeight="1">
      <c r="A382" s="150">
        <v>43426.0</v>
      </c>
      <c r="B382" s="6" t="s">
        <v>2413</v>
      </c>
      <c r="C382" s="6" t="s">
        <v>2414</v>
      </c>
      <c r="D382" s="39">
        <f>+2348033292310</f>
        <v>2348033292310</v>
      </c>
      <c r="F382" s="6" t="s">
        <v>168</v>
      </c>
      <c r="G382" s="6" t="s">
        <v>1654</v>
      </c>
    </row>
    <row r="383" ht="15.75" customHeight="1">
      <c r="A383" s="150">
        <v>43426.0</v>
      </c>
      <c r="B383" s="6" t="s">
        <v>2415</v>
      </c>
      <c r="C383" s="6" t="s">
        <v>2416</v>
      </c>
      <c r="D383" s="39">
        <f>+2348023836286</f>
        <v>2348023836286</v>
      </c>
      <c r="F383" s="6" t="s">
        <v>168</v>
      </c>
      <c r="G383" s="6" t="s">
        <v>1654</v>
      </c>
    </row>
    <row r="384" ht="15.75" customHeight="1">
      <c r="A384" s="150">
        <v>43426.0</v>
      </c>
      <c r="B384" s="6" t="s">
        <v>2417</v>
      </c>
      <c r="C384" s="6" t="s">
        <v>2418</v>
      </c>
      <c r="D384" s="39">
        <f>+2348025939546</f>
        <v>2348025939546</v>
      </c>
      <c r="F384" s="6" t="s">
        <v>168</v>
      </c>
      <c r="G384" s="6" t="s">
        <v>1654</v>
      </c>
    </row>
    <row r="385" ht="15.75" customHeight="1">
      <c r="A385" s="150">
        <v>43426.0</v>
      </c>
      <c r="B385" s="6" t="s">
        <v>2419</v>
      </c>
      <c r="C385" s="6" t="s">
        <v>2420</v>
      </c>
      <c r="D385" s="39">
        <f>+2348028498302</f>
        <v>2348028498302</v>
      </c>
      <c r="F385" s="6" t="s">
        <v>168</v>
      </c>
      <c r="G385" s="6" t="s">
        <v>1654</v>
      </c>
    </row>
    <row r="386" ht="15.75" customHeight="1">
      <c r="A386" s="150">
        <v>43426.0</v>
      </c>
      <c r="B386" s="6" t="s">
        <v>2421</v>
      </c>
      <c r="C386" s="6" t="s">
        <v>2422</v>
      </c>
      <c r="D386" s="39">
        <f>+2348069045504</f>
        <v>2348069045504</v>
      </c>
      <c r="F386" s="6" t="s">
        <v>168</v>
      </c>
      <c r="G386" s="6" t="s">
        <v>1654</v>
      </c>
    </row>
    <row r="387" ht="15.75" customHeight="1">
      <c r="A387" s="150">
        <v>43426.0</v>
      </c>
      <c r="B387" s="6" t="s">
        <v>2423</v>
      </c>
      <c r="C387" s="6" t="s">
        <v>2424</v>
      </c>
      <c r="D387" s="39">
        <f>+2347082827757</f>
        <v>2347082827757</v>
      </c>
      <c r="F387" s="6" t="s">
        <v>168</v>
      </c>
      <c r="G387" s="6" t="s">
        <v>1654</v>
      </c>
    </row>
    <row r="388" ht="15.75" customHeight="1">
      <c r="A388" s="150">
        <v>43426.0</v>
      </c>
      <c r="B388" s="6" t="s">
        <v>2425</v>
      </c>
      <c r="C388" s="6" t="s">
        <v>2426</v>
      </c>
      <c r="D388" s="39">
        <f>+2348027421885</f>
        <v>2348027421885</v>
      </c>
      <c r="F388" s="6" t="s">
        <v>168</v>
      </c>
      <c r="G388" s="6" t="s">
        <v>1654</v>
      </c>
    </row>
    <row r="389" ht="15.75" customHeight="1">
      <c r="A389" s="150">
        <v>43426.0</v>
      </c>
      <c r="B389" s="6" t="s">
        <v>2427</v>
      </c>
      <c r="C389" s="6" t="s">
        <v>2428</v>
      </c>
      <c r="D389" s="39">
        <f>+2348034362195</f>
        <v>2348034362195</v>
      </c>
      <c r="F389" s="6" t="s">
        <v>168</v>
      </c>
      <c r="G389" s="6" t="s">
        <v>1654</v>
      </c>
    </row>
    <row r="390" ht="15.75" customHeight="1">
      <c r="A390" s="150">
        <v>43426.0</v>
      </c>
      <c r="B390" s="6" t="s">
        <v>2429</v>
      </c>
      <c r="C390" s="6" t="s">
        <v>2430</v>
      </c>
      <c r="D390" s="39">
        <f>+2348085857374</f>
        <v>2348085857374</v>
      </c>
      <c r="F390" s="6" t="s">
        <v>168</v>
      </c>
      <c r="G390" s="6" t="s">
        <v>1654</v>
      </c>
    </row>
    <row r="391" ht="15.75" customHeight="1">
      <c r="A391" s="150">
        <v>43426.0</v>
      </c>
      <c r="B391" s="6" t="s">
        <v>2431</v>
      </c>
      <c r="C391" s="6" t="s">
        <v>2432</v>
      </c>
      <c r="D391" s="39">
        <f>+2349099995860</f>
        <v>2349099995860</v>
      </c>
      <c r="F391" s="6" t="s">
        <v>168</v>
      </c>
      <c r="G391" s="6" t="s">
        <v>1654</v>
      </c>
    </row>
    <row r="392" ht="15.75" customHeight="1">
      <c r="A392" s="150">
        <v>43426.0</v>
      </c>
      <c r="B392" s="6" t="s">
        <v>2433</v>
      </c>
      <c r="C392" s="6" t="s">
        <v>2434</v>
      </c>
      <c r="D392" s="39">
        <f>+2348036593763</f>
        <v>2348036593763</v>
      </c>
      <c r="F392" s="6" t="s">
        <v>168</v>
      </c>
      <c r="G392" s="6" t="s">
        <v>1654</v>
      </c>
    </row>
    <row r="393" ht="15.75" customHeight="1">
      <c r="A393" s="150">
        <v>43426.0</v>
      </c>
      <c r="B393" s="6" t="s">
        <v>2435</v>
      </c>
      <c r="C393" s="6" t="s">
        <v>2436</v>
      </c>
      <c r="D393" s="39">
        <f>+2347013847180</f>
        <v>2347013847180</v>
      </c>
      <c r="F393" s="6" t="s">
        <v>168</v>
      </c>
      <c r="G393" s="6" t="s">
        <v>1654</v>
      </c>
    </row>
    <row r="394" ht="15.75" customHeight="1">
      <c r="A394" s="150">
        <v>43426.0</v>
      </c>
      <c r="B394" s="6" t="s">
        <v>2437</v>
      </c>
      <c r="C394" s="6" t="s">
        <v>2438</v>
      </c>
      <c r="D394" s="39">
        <f>+2348056623773</f>
        <v>2348056623773</v>
      </c>
      <c r="F394" s="6" t="s">
        <v>168</v>
      </c>
      <c r="G394" s="6" t="s">
        <v>1654</v>
      </c>
    </row>
    <row r="395" ht="15.75" customHeight="1">
      <c r="A395" s="150">
        <v>43426.0</v>
      </c>
      <c r="B395" s="6" t="s">
        <v>2439</v>
      </c>
      <c r="C395" s="6" t="s">
        <v>2440</v>
      </c>
      <c r="D395" s="39">
        <f>+2348034743739</f>
        <v>2348034743739</v>
      </c>
      <c r="F395" s="6" t="s">
        <v>168</v>
      </c>
      <c r="G395" s="6" t="s">
        <v>1654</v>
      </c>
    </row>
    <row r="396" ht="15.75" customHeight="1">
      <c r="A396" s="150">
        <v>43426.0</v>
      </c>
      <c r="B396" s="6" t="s">
        <v>2441</v>
      </c>
      <c r="C396" s="6" t="s">
        <v>2442</v>
      </c>
      <c r="D396" s="39">
        <f>+2347039129522</f>
        <v>2347039129522</v>
      </c>
      <c r="F396" s="6" t="s">
        <v>168</v>
      </c>
      <c r="G396" s="6" t="s">
        <v>1654</v>
      </c>
    </row>
    <row r="397" ht="15.75" customHeight="1">
      <c r="A397" s="150">
        <v>43426.0</v>
      </c>
      <c r="B397" s="6" t="s">
        <v>2443</v>
      </c>
      <c r="C397" s="6" t="s">
        <v>2444</v>
      </c>
      <c r="D397" s="39">
        <f>+2348065376559</f>
        <v>2348065376559</v>
      </c>
      <c r="F397" s="6" t="s">
        <v>168</v>
      </c>
      <c r="G397" s="6" t="s">
        <v>1654</v>
      </c>
    </row>
    <row r="398" ht="15.75" customHeight="1">
      <c r="A398" s="150">
        <v>43426.0</v>
      </c>
      <c r="B398" s="6" t="s">
        <v>2445</v>
      </c>
      <c r="C398" s="6" t="s">
        <v>2446</v>
      </c>
      <c r="D398" s="39">
        <f>+2348102909236</f>
        <v>2348102909236</v>
      </c>
      <c r="F398" s="6" t="s">
        <v>168</v>
      </c>
      <c r="G398" s="6" t="s">
        <v>1654</v>
      </c>
    </row>
    <row r="399" ht="15.75" customHeight="1">
      <c r="A399" s="150">
        <v>43426.0</v>
      </c>
      <c r="B399" s="6" t="s">
        <v>2447</v>
      </c>
      <c r="C399" s="6" t="s">
        <v>2448</v>
      </c>
      <c r="D399" s="39">
        <f>+447443149643</f>
        <v>447443149643</v>
      </c>
      <c r="F399" s="6" t="s">
        <v>168</v>
      </c>
      <c r="G399" s="6" t="s">
        <v>1654</v>
      </c>
    </row>
    <row r="400" ht="15.75" customHeight="1">
      <c r="A400" s="150">
        <v>43426.0</v>
      </c>
      <c r="B400" s="6" t="s">
        <v>2449</v>
      </c>
      <c r="C400" s="6" t="s">
        <v>2450</v>
      </c>
      <c r="D400" s="39">
        <f>+2348065681752</f>
        <v>2348065681752</v>
      </c>
      <c r="F400" s="6" t="s">
        <v>168</v>
      </c>
      <c r="G400" s="6" t="s">
        <v>1654</v>
      </c>
    </row>
    <row r="401" ht="15.75" customHeight="1">
      <c r="A401" s="150">
        <v>43426.0</v>
      </c>
      <c r="B401" s="6" t="s">
        <v>2451</v>
      </c>
      <c r="C401" s="6" t="s">
        <v>2452</v>
      </c>
      <c r="D401" s="39">
        <f>+2348081521893</f>
        <v>2348081521893</v>
      </c>
      <c r="F401" s="6" t="s">
        <v>168</v>
      </c>
      <c r="G401" s="6" t="s">
        <v>1654</v>
      </c>
    </row>
    <row r="402" ht="15.75" customHeight="1">
      <c r="A402" s="150">
        <v>43426.0</v>
      </c>
      <c r="B402" s="6" t="s">
        <v>2453</v>
      </c>
      <c r="C402" s="6" t="s">
        <v>2454</v>
      </c>
      <c r="D402" s="39">
        <v>8.030507314E9</v>
      </c>
      <c r="F402" s="6" t="s">
        <v>168</v>
      </c>
      <c r="G402" s="6" t="s">
        <v>1654</v>
      </c>
    </row>
    <row r="403" ht="15.75" customHeight="1">
      <c r="A403" s="150">
        <v>43426.0</v>
      </c>
      <c r="B403" s="6" t="s">
        <v>2455</v>
      </c>
      <c r="C403" s="6" t="s">
        <v>2456</v>
      </c>
      <c r="D403" s="39">
        <f>+2348038838895</f>
        <v>2348038838895</v>
      </c>
      <c r="F403" s="6" t="s">
        <v>168</v>
      </c>
      <c r="G403" s="6" t="s">
        <v>1654</v>
      </c>
    </row>
    <row r="404" ht="15.75" customHeight="1">
      <c r="A404" s="150">
        <v>43426.0</v>
      </c>
      <c r="B404" s="6" t="s">
        <v>2457</v>
      </c>
      <c r="C404" s="6" t="s">
        <v>2458</v>
      </c>
      <c r="D404" s="39">
        <f>+2348186727123</f>
        <v>2348186727123</v>
      </c>
      <c r="F404" s="6" t="s">
        <v>168</v>
      </c>
      <c r="G404" s="6" t="s">
        <v>1654</v>
      </c>
    </row>
    <row r="405" ht="15.75" customHeight="1">
      <c r="A405" s="150">
        <v>43426.0</v>
      </c>
      <c r="B405" s="6" t="s">
        <v>2459</v>
      </c>
      <c r="C405" s="6" t="s">
        <v>2460</v>
      </c>
      <c r="D405" s="39">
        <f>+2347034748777</f>
        <v>2347034748777</v>
      </c>
      <c r="F405" s="6" t="s">
        <v>168</v>
      </c>
      <c r="G405" s="6" t="s">
        <v>1654</v>
      </c>
    </row>
    <row r="406" ht="15.75" customHeight="1">
      <c r="A406" s="150">
        <v>43426.0</v>
      </c>
      <c r="B406" s="6" t="s">
        <v>2461</v>
      </c>
      <c r="C406" s="6" t="s">
        <v>2462</v>
      </c>
      <c r="D406" s="39">
        <f>+2348067406101</f>
        <v>2348067406101</v>
      </c>
      <c r="F406" s="6" t="s">
        <v>168</v>
      </c>
      <c r="G406" s="6" t="s">
        <v>1654</v>
      </c>
    </row>
    <row r="407" ht="15.75" customHeight="1">
      <c r="A407" s="150">
        <v>43426.0</v>
      </c>
      <c r="B407" s="6" t="s">
        <v>2463</v>
      </c>
      <c r="C407" s="6" t="s">
        <v>2464</v>
      </c>
      <c r="D407" s="39">
        <f>+2347069594600</f>
        <v>2347069594600</v>
      </c>
      <c r="F407" s="6" t="s">
        <v>168</v>
      </c>
      <c r="G407" s="6" t="s">
        <v>1654</v>
      </c>
    </row>
    <row r="408" ht="15.75" customHeight="1">
      <c r="A408" s="150">
        <v>43426.0</v>
      </c>
      <c r="B408" s="6" t="s">
        <v>2465</v>
      </c>
      <c r="C408" s="6" t="s">
        <v>2466</v>
      </c>
      <c r="D408" s="39">
        <f>+2348024240508</f>
        <v>2348024240508</v>
      </c>
      <c r="F408" s="6" t="s">
        <v>168</v>
      </c>
      <c r="G408" s="6" t="s">
        <v>1654</v>
      </c>
    </row>
    <row r="409" ht="15.75" customHeight="1">
      <c r="A409" s="150">
        <v>43426.0</v>
      </c>
      <c r="B409" s="6" t="s">
        <v>2467</v>
      </c>
      <c r="C409" s="6" t="s">
        <v>2468</v>
      </c>
      <c r="D409" s="39">
        <f>+2348035297136</f>
        <v>2348035297136</v>
      </c>
      <c r="F409" s="6" t="s">
        <v>168</v>
      </c>
      <c r="G409" s="6" t="s">
        <v>1654</v>
      </c>
    </row>
    <row r="410" ht="15.75" customHeight="1">
      <c r="A410" s="150">
        <v>43426.0</v>
      </c>
      <c r="B410" s="6" t="s">
        <v>2469</v>
      </c>
      <c r="C410" s="6" t="s">
        <v>2470</v>
      </c>
      <c r="D410" s="39">
        <f>+2347082970190</f>
        <v>2347082970190</v>
      </c>
      <c r="F410" s="6" t="s">
        <v>168</v>
      </c>
      <c r="G410" s="6" t="s">
        <v>1654</v>
      </c>
    </row>
    <row r="411" ht="15.75" customHeight="1">
      <c r="A411" s="150">
        <v>43426.0</v>
      </c>
      <c r="B411" s="6" t="s">
        <v>2471</v>
      </c>
      <c r="C411" s="6" t="s">
        <v>2472</v>
      </c>
      <c r="D411" s="39">
        <f>+2348034184864</f>
        <v>2348034184864</v>
      </c>
      <c r="F411" s="6" t="s">
        <v>168</v>
      </c>
      <c r="G411" s="6" t="s">
        <v>1654</v>
      </c>
    </row>
    <row r="412" ht="15.75" customHeight="1">
      <c r="A412" s="150">
        <v>43426.0</v>
      </c>
      <c r="B412" s="6" t="s">
        <v>2473</v>
      </c>
      <c r="C412" s="6" t="s">
        <v>2474</v>
      </c>
      <c r="D412" s="39">
        <f>+2348108561815</f>
        <v>2348108561815</v>
      </c>
      <c r="F412" s="6" t="s">
        <v>168</v>
      </c>
      <c r="G412" s="6" t="s">
        <v>1654</v>
      </c>
    </row>
    <row r="413" ht="15.75" customHeight="1">
      <c r="A413" s="150">
        <v>43426.0</v>
      </c>
      <c r="B413" s="6" t="s">
        <v>2475</v>
      </c>
      <c r="C413" s="6" t="s">
        <v>2476</v>
      </c>
      <c r="D413" s="39">
        <f>+2348061153657</f>
        <v>2348061153657</v>
      </c>
      <c r="F413" s="6" t="s">
        <v>168</v>
      </c>
      <c r="G413" s="6" t="s">
        <v>1654</v>
      </c>
    </row>
    <row r="414" ht="15.75" customHeight="1">
      <c r="A414" s="150">
        <v>43426.0</v>
      </c>
      <c r="B414" s="6" t="s">
        <v>2477</v>
      </c>
      <c r="C414" s="6" t="s">
        <v>2478</v>
      </c>
      <c r="D414" s="39">
        <f>+2348033732910</f>
        <v>2348033732910</v>
      </c>
      <c r="F414" s="6" t="s">
        <v>168</v>
      </c>
      <c r="G414" s="6" t="s">
        <v>1654</v>
      </c>
    </row>
    <row r="415" ht="15.75" customHeight="1">
      <c r="A415" s="150">
        <v>43426.0</v>
      </c>
      <c r="B415" s="6" t="s">
        <v>2479</v>
      </c>
      <c r="C415" s="6" t="s">
        <v>2480</v>
      </c>
      <c r="D415" s="39">
        <f>+23407014420034</f>
        <v>23407014420034</v>
      </c>
      <c r="F415" s="6" t="s">
        <v>168</v>
      </c>
      <c r="G415" s="6" t="s">
        <v>1654</v>
      </c>
    </row>
    <row r="416" ht="15.75" customHeight="1">
      <c r="A416" s="150">
        <v>43426.0</v>
      </c>
      <c r="B416" s="6" t="s">
        <v>2481</v>
      </c>
      <c r="C416" s="6" t="s">
        <v>2482</v>
      </c>
      <c r="D416" s="39">
        <f>+2348023976622</f>
        <v>2348023976622</v>
      </c>
      <c r="F416" s="6" t="s">
        <v>168</v>
      </c>
      <c r="G416" s="6" t="s">
        <v>1654</v>
      </c>
    </row>
    <row r="417" ht="15.75" customHeight="1">
      <c r="A417" s="150">
        <v>43426.0</v>
      </c>
      <c r="B417" s="6" t="s">
        <v>2483</v>
      </c>
      <c r="C417" s="6" t="s">
        <v>2484</v>
      </c>
      <c r="D417" s="39">
        <f>+971558294119</f>
        <v>971558294119</v>
      </c>
      <c r="F417" s="6" t="s">
        <v>168</v>
      </c>
      <c r="G417" s="6" t="s">
        <v>1654</v>
      </c>
    </row>
    <row r="418" ht="15.75" customHeight="1">
      <c r="A418" s="150">
        <v>43426.0</v>
      </c>
      <c r="B418" s="6" t="s">
        <v>2485</v>
      </c>
      <c r="C418" s="6" t="s">
        <v>2486</v>
      </c>
      <c r="D418" s="39">
        <f>+2348136086482</f>
        <v>2348136086482</v>
      </c>
      <c r="F418" s="6" t="s">
        <v>168</v>
      </c>
      <c r="G418" s="6" t="s">
        <v>1654</v>
      </c>
    </row>
    <row r="419" ht="15.75" customHeight="1">
      <c r="A419" s="150">
        <v>43426.0</v>
      </c>
      <c r="B419" s="6" t="s">
        <v>2487</v>
      </c>
      <c r="C419" s="6" t="s">
        <v>2488</v>
      </c>
      <c r="D419" s="39">
        <f>+2347010826496</f>
        <v>2347010826496</v>
      </c>
      <c r="F419" s="6" t="s">
        <v>168</v>
      </c>
      <c r="G419" s="6" t="s">
        <v>1654</v>
      </c>
    </row>
    <row r="420" ht="15.75" customHeight="1">
      <c r="A420" s="150">
        <v>43426.0</v>
      </c>
      <c r="B420" s="6" t="s">
        <v>2489</v>
      </c>
      <c r="C420" s="6" t="s">
        <v>2490</v>
      </c>
      <c r="D420" s="39">
        <f>+2348026092680</f>
        <v>2348026092680</v>
      </c>
      <c r="F420" s="6" t="s">
        <v>168</v>
      </c>
      <c r="G420" s="6" t="s">
        <v>1654</v>
      </c>
    </row>
    <row r="421" ht="15.75" customHeight="1">
      <c r="A421" s="150">
        <v>43426.0</v>
      </c>
      <c r="B421" s="6" t="s">
        <v>2491</v>
      </c>
      <c r="C421" s="6" t="s">
        <v>2492</v>
      </c>
      <c r="D421" s="39">
        <f>+2348023131547</f>
        <v>2348023131547</v>
      </c>
      <c r="F421" s="6" t="s">
        <v>168</v>
      </c>
      <c r="G421" s="6" t="s">
        <v>1654</v>
      </c>
    </row>
    <row r="422" ht="15.75" customHeight="1">
      <c r="A422" s="150">
        <v>43426.0</v>
      </c>
      <c r="B422" s="6" t="s">
        <v>2493</v>
      </c>
      <c r="C422" s="6" t="s">
        <v>2494</v>
      </c>
      <c r="D422" s="39">
        <f>+2348184249448</f>
        <v>2348184249448</v>
      </c>
      <c r="F422" s="6" t="s">
        <v>168</v>
      </c>
      <c r="G422" s="6" t="s">
        <v>1654</v>
      </c>
    </row>
    <row r="423" ht="15.75" customHeight="1">
      <c r="A423" s="150">
        <v>43429.0</v>
      </c>
      <c r="B423" s="151" t="s">
        <v>2495</v>
      </c>
      <c r="C423" s="151" t="s">
        <v>2496</v>
      </c>
      <c r="D423" s="151">
        <f>+2347065530664</f>
        <v>2347065530664</v>
      </c>
      <c r="F423" s="20" t="s">
        <v>97</v>
      </c>
      <c r="G423" s="6" t="s">
        <v>1654</v>
      </c>
    </row>
    <row r="424" ht="15.75" customHeight="1">
      <c r="A424" s="150">
        <v>43429.0</v>
      </c>
      <c r="B424" s="151" t="s">
        <v>2497</v>
      </c>
      <c r="C424" s="151" t="s">
        <v>2498</v>
      </c>
      <c r="D424" s="151">
        <f>+2348062439904</f>
        <v>2348062439904</v>
      </c>
      <c r="F424" s="20" t="s">
        <v>97</v>
      </c>
      <c r="G424" s="6" t="s">
        <v>1654</v>
      </c>
    </row>
    <row r="425" ht="15.75" customHeight="1">
      <c r="A425" s="150">
        <v>43429.0</v>
      </c>
      <c r="B425" s="151" t="s">
        <v>2499</v>
      </c>
      <c r="C425" s="151" t="s">
        <v>2500</v>
      </c>
      <c r="D425" s="151">
        <f>+2348097000404</f>
        <v>2348097000404</v>
      </c>
      <c r="F425" s="20" t="s">
        <v>97</v>
      </c>
      <c r="G425" s="6" t="s">
        <v>1654</v>
      </c>
    </row>
    <row r="426" ht="15.75" customHeight="1">
      <c r="A426" s="150">
        <v>43429.0</v>
      </c>
      <c r="B426" s="151" t="s">
        <v>2501</v>
      </c>
      <c r="C426" s="151" t="s">
        <v>2502</v>
      </c>
      <c r="D426" s="151">
        <f>+2347060437170</f>
        <v>2347060437170</v>
      </c>
      <c r="F426" s="20" t="s">
        <v>97</v>
      </c>
      <c r="G426" s="6" t="s">
        <v>1654</v>
      </c>
    </row>
    <row r="427" ht="15.75" customHeight="1">
      <c r="A427" s="150">
        <v>43429.0</v>
      </c>
      <c r="B427" s="151" t="s">
        <v>2503</v>
      </c>
      <c r="C427" s="151" t="s">
        <v>2504</v>
      </c>
      <c r="D427" s="151">
        <f>+2348034121474</f>
        <v>2348034121474</v>
      </c>
      <c r="F427" s="20" t="s">
        <v>97</v>
      </c>
      <c r="G427" s="6" t="s">
        <v>1654</v>
      </c>
    </row>
    <row r="428" ht="15.75" customHeight="1">
      <c r="A428" s="150">
        <v>43429.0</v>
      </c>
      <c r="B428" s="151" t="s">
        <v>2505</v>
      </c>
      <c r="C428" s="151" t="s">
        <v>2506</v>
      </c>
      <c r="D428" s="151">
        <f>+2348033093238</f>
        <v>2348033093238</v>
      </c>
      <c r="F428" s="20" t="s">
        <v>97</v>
      </c>
      <c r="G428" s="6" t="s">
        <v>1654</v>
      </c>
    </row>
    <row r="429" ht="15.75" customHeight="1">
      <c r="A429" s="150">
        <v>43429.0</v>
      </c>
      <c r="B429" s="151" t="s">
        <v>2507</v>
      </c>
      <c r="C429" s="151" t="s">
        <v>2508</v>
      </c>
      <c r="D429" s="151">
        <f>+2348033241634</f>
        <v>2348033241634</v>
      </c>
      <c r="F429" s="20" t="s">
        <v>97</v>
      </c>
      <c r="G429" s="6" t="s">
        <v>1654</v>
      </c>
    </row>
    <row r="430" ht="15.75" customHeight="1">
      <c r="A430" s="150">
        <v>43429.0</v>
      </c>
      <c r="B430" s="151" t="s">
        <v>2509</v>
      </c>
      <c r="C430" s="151" t="s">
        <v>2510</v>
      </c>
      <c r="D430" s="151">
        <f>+2348123080244</f>
        <v>2348123080244</v>
      </c>
      <c r="F430" s="20" t="s">
        <v>97</v>
      </c>
      <c r="G430" s="6" t="s">
        <v>1654</v>
      </c>
    </row>
    <row r="431" ht="15.75" customHeight="1">
      <c r="A431" s="150">
        <v>43429.0</v>
      </c>
      <c r="B431" s="151" t="s">
        <v>2511</v>
      </c>
      <c r="C431" s="151" t="s">
        <v>2512</v>
      </c>
      <c r="D431" s="151">
        <f>+2347030618398</f>
        <v>2347030618398</v>
      </c>
      <c r="F431" s="20" t="s">
        <v>97</v>
      </c>
      <c r="G431" s="6" t="s">
        <v>1654</v>
      </c>
    </row>
    <row r="432" ht="15.75" customHeight="1">
      <c r="A432" s="150">
        <v>43429.0</v>
      </c>
      <c r="B432" s="151" t="s">
        <v>2513</v>
      </c>
      <c r="C432" s="151" t="s">
        <v>2514</v>
      </c>
      <c r="D432" s="151">
        <f>+2348030546628</f>
        <v>2348030546628</v>
      </c>
      <c r="F432" s="20" t="s">
        <v>97</v>
      </c>
      <c r="G432" s="6" t="s">
        <v>1654</v>
      </c>
    </row>
    <row r="433" ht="15.75" customHeight="1">
      <c r="A433" s="150">
        <v>43429.0</v>
      </c>
      <c r="B433" s="151" t="s">
        <v>2515</v>
      </c>
      <c r="C433" s="151" t="s">
        <v>2516</v>
      </c>
      <c r="D433" s="151">
        <f>+2348099110087</f>
        <v>2348099110087</v>
      </c>
      <c r="F433" s="20" t="s">
        <v>97</v>
      </c>
      <c r="G433" s="6" t="s">
        <v>1654</v>
      </c>
    </row>
    <row r="434" ht="15.75" customHeight="1">
      <c r="A434" s="150">
        <v>43429.0</v>
      </c>
      <c r="B434" s="151" t="s">
        <v>2517</v>
      </c>
      <c r="C434" s="151" t="s">
        <v>2518</v>
      </c>
      <c r="D434" s="151">
        <f>+2348034735627</f>
        <v>2348034735627</v>
      </c>
      <c r="F434" s="20" t="s">
        <v>97</v>
      </c>
      <c r="G434" s="6" t="s">
        <v>1654</v>
      </c>
    </row>
    <row r="435" ht="15.75" customHeight="1">
      <c r="A435" s="150">
        <v>43429.0</v>
      </c>
      <c r="B435" s="151" t="s">
        <v>2519</v>
      </c>
      <c r="C435" s="151" t="s">
        <v>2520</v>
      </c>
      <c r="D435" s="151">
        <f>+2348033197167</f>
        <v>2348033197167</v>
      </c>
      <c r="F435" s="20" t="s">
        <v>97</v>
      </c>
      <c r="G435" s="6" t="s">
        <v>1654</v>
      </c>
    </row>
    <row r="436" ht="15.75" customHeight="1">
      <c r="A436" s="150">
        <v>43429.0</v>
      </c>
      <c r="B436" s="151" t="s">
        <v>2521</v>
      </c>
      <c r="C436" s="151" t="s">
        <v>2522</v>
      </c>
      <c r="D436" s="151">
        <f>+2348102078207</f>
        <v>2348102078207</v>
      </c>
      <c r="F436" s="20" t="s">
        <v>97</v>
      </c>
      <c r="G436" s="6" t="s">
        <v>1654</v>
      </c>
    </row>
    <row r="437" ht="15.75" customHeight="1">
      <c r="A437" s="150">
        <v>43429.0</v>
      </c>
      <c r="B437" s="151" t="s">
        <v>2523</v>
      </c>
      <c r="C437" s="151" t="s">
        <v>2524</v>
      </c>
      <c r="D437" s="151">
        <f>+2348099200554</f>
        <v>2348099200554</v>
      </c>
      <c r="F437" s="20" t="s">
        <v>97</v>
      </c>
      <c r="G437" s="6" t="s">
        <v>1654</v>
      </c>
    </row>
    <row r="438" ht="15.75" customHeight="1">
      <c r="A438" s="150">
        <v>43429.0</v>
      </c>
      <c r="B438" s="151" t="s">
        <v>2525</v>
      </c>
      <c r="C438" s="151" t="s">
        <v>2526</v>
      </c>
      <c r="D438" s="151">
        <f>+2347069396253</f>
        <v>2347069396253</v>
      </c>
      <c r="F438" s="20" t="s">
        <v>97</v>
      </c>
      <c r="G438" s="6" t="s">
        <v>1654</v>
      </c>
    </row>
    <row r="439" ht="15.75" customHeight="1">
      <c r="A439" s="150">
        <v>43429.0</v>
      </c>
      <c r="B439" s="151" t="s">
        <v>2527</v>
      </c>
      <c r="C439" s="151" t="s">
        <v>2528</v>
      </c>
      <c r="D439" s="151">
        <f>+2347036353701</f>
        <v>2347036353701</v>
      </c>
      <c r="F439" s="20" t="s">
        <v>97</v>
      </c>
      <c r="G439" s="6" t="s">
        <v>1654</v>
      </c>
    </row>
    <row r="440" ht="15.75" customHeight="1">
      <c r="A440" s="150">
        <v>43429.0</v>
      </c>
      <c r="B440" s="151" t="s">
        <v>2529</v>
      </c>
      <c r="C440" s="151" t="s">
        <v>2530</v>
      </c>
      <c r="D440" s="151">
        <f>+2348025752792</f>
        <v>2348025752792</v>
      </c>
      <c r="F440" s="20" t="s">
        <v>97</v>
      </c>
      <c r="G440" s="6" t="s">
        <v>1654</v>
      </c>
    </row>
    <row r="441" ht="15.75" customHeight="1">
      <c r="A441" s="150">
        <v>43429.0</v>
      </c>
      <c r="B441" s="151" t="s">
        <v>2531</v>
      </c>
      <c r="C441" s="151" t="s">
        <v>2532</v>
      </c>
      <c r="D441" s="151">
        <f>+2348060037227</f>
        <v>2348060037227</v>
      </c>
      <c r="F441" s="20" t="s">
        <v>97</v>
      </c>
      <c r="G441" s="6" t="s">
        <v>1654</v>
      </c>
    </row>
    <row r="442" ht="15.75" customHeight="1">
      <c r="A442" s="150">
        <v>43429.0</v>
      </c>
      <c r="B442" s="151" t="s">
        <v>2533</v>
      </c>
      <c r="C442" s="151" t="s">
        <v>2534</v>
      </c>
      <c r="D442" s="151">
        <f>+2348110749266</f>
        <v>2348110749266</v>
      </c>
      <c r="F442" s="20" t="s">
        <v>97</v>
      </c>
      <c r="G442" s="6" t="s">
        <v>1654</v>
      </c>
    </row>
    <row r="443" ht="15.75" customHeight="1">
      <c r="A443" s="150">
        <v>43429.0</v>
      </c>
      <c r="B443" s="151" t="s">
        <v>2535</v>
      </c>
      <c r="C443" s="151" t="s">
        <v>2536</v>
      </c>
      <c r="D443" s="151">
        <f>+2347057011960</f>
        <v>2347057011960</v>
      </c>
      <c r="F443" s="20" t="s">
        <v>97</v>
      </c>
      <c r="G443" s="6" t="s">
        <v>1654</v>
      </c>
    </row>
    <row r="444" ht="15.75" customHeight="1">
      <c r="A444" s="150">
        <v>43429.0</v>
      </c>
      <c r="B444" s="151" t="s">
        <v>2537</v>
      </c>
      <c r="C444" s="151" t="s">
        <v>2538</v>
      </c>
      <c r="D444" s="151">
        <f>+2348039491914</f>
        <v>2348039491914</v>
      </c>
      <c r="F444" s="20" t="s">
        <v>97</v>
      </c>
      <c r="G444" s="6" t="s">
        <v>1654</v>
      </c>
    </row>
    <row r="445" ht="15.75" customHeight="1">
      <c r="A445" s="150">
        <v>43429.0</v>
      </c>
      <c r="B445" s="151" t="s">
        <v>2539</v>
      </c>
      <c r="C445" s="151" t="s">
        <v>2540</v>
      </c>
      <c r="D445" s="151">
        <f>+2348037229871</f>
        <v>2348037229871</v>
      </c>
      <c r="F445" s="20" t="s">
        <v>97</v>
      </c>
      <c r="G445" s="6" t="s">
        <v>1654</v>
      </c>
    </row>
    <row r="446" ht="15.75" customHeight="1">
      <c r="A446" s="150">
        <v>43429.0</v>
      </c>
      <c r="B446" s="151" t="s">
        <v>2541</v>
      </c>
      <c r="C446" s="151" t="s">
        <v>2542</v>
      </c>
      <c r="D446" s="151">
        <f>+2348033328115</f>
        <v>2348033328115</v>
      </c>
      <c r="F446" s="20" t="s">
        <v>97</v>
      </c>
      <c r="G446" s="6" t="s">
        <v>1654</v>
      </c>
    </row>
    <row r="447" ht="15.75" customHeight="1">
      <c r="A447" s="150">
        <v>43429.0</v>
      </c>
      <c r="B447" s="151" t="s">
        <v>2543</v>
      </c>
      <c r="C447" s="151" t="s">
        <v>2544</v>
      </c>
      <c r="D447" s="151">
        <f>+2348023930575</f>
        <v>2348023930575</v>
      </c>
      <c r="F447" s="20" t="s">
        <v>97</v>
      </c>
      <c r="G447" s="6" t="s">
        <v>1654</v>
      </c>
    </row>
    <row r="448" ht="15.75" customHeight="1">
      <c r="A448" s="150">
        <v>43429.0</v>
      </c>
      <c r="B448" s="151" t="s">
        <v>2545</v>
      </c>
      <c r="C448" s="151" t="s">
        <v>2546</v>
      </c>
      <c r="D448" s="151">
        <f>+2348162285575</f>
        <v>2348162285575</v>
      </c>
      <c r="F448" s="20" t="s">
        <v>97</v>
      </c>
      <c r="G448" s="6" t="s">
        <v>1654</v>
      </c>
    </row>
    <row r="449" ht="15.75" customHeight="1">
      <c r="A449" s="150">
        <v>43429.0</v>
      </c>
      <c r="B449" s="151" t="s">
        <v>2547</v>
      </c>
      <c r="C449" s="151" t="s">
        <v>2548</v>
      </c>
      <c r="D449" s="151">
        <f>+2348038319530</f>
        <v>2348038319530</v>
      </c>
      <c r="F449" s="20" t="s">
        <v>97</v>
      </c>
      <c r="G449" s="6" t="s">
        <v>1654</v>
      </c>
    </row>
    <row r="450" ht="15.75" customHeight="1">
      <c r="A450" s="150">
        <v>43429.0</v>
      </c>
      <c r="B450" s="151" t="s">
        <v>2549</v>
      </c>
      <c r="C450" s="151" t="s">
        <v>2550</v>
      </c>
      <c r="D450" s="151">
        <f>+23407031968411</f>
        <v>23407031968411</v>
      </c>
      <c r="F450" s="20" t="s">
        <v>97</v>
      </c>
      <c r="G450" s="6" t="s">
        <v>1654</v>
      </c>
    </row>
    <row r="451" ht="15.75" customHeight="1">
      <c r="A451" s="150">
        <v>43429.0</v>
      </c>
      <c r="B451" s="151" t="s">
        <v>2551</v>
      </c>
      <c r="C451" s="151" t="s">
        <v>2552</v>
      </c>
      <c r="D451" s="151">
        <f>+2347088145059</f>
        <v>2347088145059</v>
      </c>
      <c r="F451" s="20" t="s">
        <v>97</v>
      </c>
      <c r="G451" s="6" t="s">
        <v>1654</v>
      </c>
    </row>
    <row r="452" ht="15.75" customHeight="1">
      <c r="A452" s="150">
        <v>43429.0</v>
      </c>
      <c r="B452" s="151" t="s">
        <v>2553</v>
      </c>
      <c r="C452" s="151" t="s">
        <v>2554</v>
      </c>
      <c r="D452" s="151">
        <f>+2348023175053</f>
        <v>2348023175053</v>
      </c>
      <c r="F452" s="20" t="s">
        <v>97</v>
      </c>
      <c r="G452" s="6" t="s">
        <v>1654</v>
      </c>
    </row>
    <row r="453" ht="15.75" customHeight="1">
      <c r="A453" s="150">
        <v>43429.0</v>
      </c>
      <c r="B453" s="151" t="s">
        <v>2555</v>
      </c>
      <c r="C453" s="151" t="s">
        <v>2556</v>
      </c>
      <c r="D453" s="151">
        <f>+23409022433915</f>
        <v>23409022433915</v>
      </c>
      <c r="F453" s="20" t="s">
        <v>97</v>
      </c>
      <c r="G453" s="6" t="s">
        <v>1654</v>
      </c>
    </row>
    <row r="454" ht="15.75" customHeight="1">
      <c r="A454" s="150">
        <v>43429.0</v>
      </c>
      <c r="B454" s="151" t="s">
        <v>2557</v>
      </c>
      <c r="C454" s="151" t="s">
        <v>2558</v>
      </c>
      <c r="D454" s="151">
        <f>+2348069062303</f>
        <v>2348069062303</v>
      </c>
      <c r="F454" s="20" t="s">
        <v>97</v>
      </c>
      <c r="G454" s="6" t="s">
        <v>1654</v>
      </c>
    </row>
    <row r="455" ht="15.75" customHeight="1">
      <c r="A455" s="150">
        <v>43429.0</v>
      </c>
      <c r="B455" s="151" t="s">
        <v>2559</v>
      </c>
      <c r="C455" s="151" t="s">
        <v>2560</v>
      </c>
      <c r="D455" s="151">
        <f>+2347033543853</f>
        <v>2347033543853</v>
      </c>
      <c r="F455" s="20" t="s">
        <v>97</v>
      </c>
      <c r="G455" s="6" t="s">
        <v>1654</v>
      </c>
    </row>
    <row r="456" ht="15.75" customHeight="1">
      <c r="A456" s="150">
        <v>43429.0</v>
      </c>
      <c r="B456" s="151" t="s">
        <v>2561</v>
      </c>
      <c r="C456" s="151" t="s">
        <v>2562</v>
      </c>
      <c r="D456" s="151">
        <f>+2348022457015</f>
        <v>2348022457015</v>
      </c>
      <c r="F456" s="20" t="s">
        <v>97</v>
      </c>
      <c r="G456" s="6" t="s">
        <v>1654</v>
      </c>
    </row>
    <row r="457" ht="15.75" customHeight="1">
      <c r="A457" s="150">
        <v>43429.0</v>
      </c>
      <c r="B457" s="151" t="s">
        <v>2563</v>
      </c>
      <c r="C457" s="151" t="s">
        <v>2564</v>
      </c>
      <c r="D457" s="151">
        <f>+23408112681833</f>
        <v>23408112681833</v>
      </c>
      <c r="F457" s="20" t="s">
        <v>97</v>
      </c>
      <c r="G457" s="6" t="s">
        <v>1654</v>
      </c>
    </row>
    <row r="458" ht="15.75" customHeight="1">
      <c r="A458" s="150">
        <v>43429.0</v>
      </c>
      <c r="B458" s="151" t="s">
        <v>2565</v>
      </c>
      <c r="C458" s="151" t="s">
        <v>2566</v>
      </c>
      <c r="D458" s="151">
        <f>+2347066000253</f>
        <v>2347066000253</v>
      </c>
      <c r="F458" s="20" t="s">
        <v>97</v>
      </c>
      <c r="G458" s="6" t="s">
        <v>1654</v>
      </c>
    </row>
    <row r="459" ht="15.75" customHeight="1">
      <c r="A459" s="150">
        <v>43429.0</v>
      </c>
      <c r="B459" s="151" t="s">
        <v>2567</v>
      </c>
      <c r="C459" s="151" t="s">
        <v>2568</v>
      </c>
      <c r="D459" s="151">
        <f>+2347067330200</f>
        <v>2347067330200</v>
      </c>
      <c r="F459" s="20" t="s">
        <v>97</v>
      </c>
      <c r="G459" s="6" t="s">
        <v>1654</v>
      </c>
    </row>
    <row r="460" ht="15.75" customHeight="1">
      <c r="A460" s="150">
        <v>43429.0</v>
      </c>
      <c r="B460" s="151" t="s">
        <v>2569</v>
      </c>
      <c r="C460" s="151" t="s">
        <v>2570</v>
      </c>
      <c r="D460" s="151">
        <f>+2348066318466</f>
        <v>2348066318466</v>
      </c>
      <c r="F460" s="20" t="s">
        <v>97</v>
      </c>
      <c r="G460" s="6" t="s">
        <v>1654</v>
      </c>
    </row>
    <row r="461" ht="15.75" customHeight="1">
      <c r="A461" s="150">
        <v>43429.0</v>
      </c>
      <c r="B461" s="151" t="s">
        <v>2571</v>
      </c>
      <c r="C461" s="151" t="s">
        <v>2572</v>
      </c>
      <c r="D461" s="151">
        <f>+2347065804412</f>
        <v>2347065804412</v>
      </c>
      <c r="F461" s="20" t="s">
        <v>97</v>
      </c>
      <c r="G461" s="6" t="s">
        <v>1654</v>
      </c>
    </row>
    <row r="462" ht="15.75" customHeight="1">
      <c r="A462" s="150">
        <v>43429.0</v>
      </c>
      <c r="B462" s="151" t="s">
        <v>2573</v>
      </c>
      <c r="C462" s="151" t="s">
        <v>2574</v>
      </c>
      <c r="D462" s="151">
        <f>+2347062414163</f>
        <v>2347062414163</v>
      </c>
      <c r="F462" s="20" t="s">
        <v>97</v>
      </c>
      <c r="G462" s="6" t="s">
        <v>1654</v>
      </c>
    </row>
    <row r="463" ht="15.75" customHeight="1">
      <c r="A463" s="150">
        <v>43429.0</v>
      </c>
      <c r="B463" s="151" t="s">
        <v>2575</v>
      </c>
      <c r="C463" s="151" t="s">
        <v>2576</v>
      </c>
      <c r="D463" s="151">
        <f>+2347017863264</f>
        <v>2347017863264</v>
      </c>
      <c r="F463" s="20" t="s">
        <v>97</v>
      </c>
      <c r="G463" s="6" t="s">
        <v>1654</v>
      </c>
    </row>
    <row r="464" ht="15.75" customHeight="1">
      <c r="A464" s="150">
        <v>43429.0</v>
      </c>
      <c r="B464" s="151" t="s">
        <v>2577</v>
      </c>
      <c r="C464" s="151" t="s">
        <v>2578</v>
      </c>
      <c r="D464" s="151">
        <f>+2348178600203</f>
        <v>2348178600203</v>
      </c>
      <c r="F464" s="20" t="s">
        <v>97</v>
      </c>
      <c r="G464" s="6" t="s">
        <v>1654</v>
      </c>
    </row>
    <row r="465" ht="15.75" customHeight="1">
      <c r="A465" s="150">
        <v>43429.0</v>
      </c>
      <c r="B465" s="151" t="s">
        <v>2579</v>
      </c>
      <c r="C465" s="151" t="s">
        <v>2580</v>
      </c>
      <c r="D465" s="151">
        <f>+2349020670059</f>
        <v>2349020670059</v>
      </c>
      <c r="F465" s="20" t="s">
        <v>97</v>
      </c>
      <c r="G465" s="6" t="s">
        <v>1654</v>
      </c>
    </row>
    <row r="466" ht="15.75" customHeight="1">
      <c r="A466" s="150">
        <v>43429.0</v>
      </c>
      <c r="B466" s="151" t="s">
        <v>2581</v>
      </c>
      <c r="C466" s="151" t="s">
        <v>2582</v>
      </c>
      <c r="D466" s="151">
        <f>+2348133553444</f>
        <v>2348133553444</v>
      </c>
      <c r="F466" s="20" t="s">
        <v>97</v>
      </c>
      <c r="G466" s="6" t="s">
        <v>1654</v>
      </c>
    </row>
    <row r="467" ht="15.75" customHeight="1">
      <c r="A467" s="150">
        <v>43429.0</v>
      </c>
      <c r="B467" s="151" t="s">
        <v>2583</v>
      </c>
      <c r="C467" s="151" t="s">
        <v>2584</v>
      </c>
      <c r="D467" s="151">
        <f>+2348099890508</f>
        <v>2348099890508</v>
      </c>
      <c r="F467" s="20" t="s">
        <v>168</v>
      </c>
      <c r="G467" s="6" t="s">
        <v>1654</v>
      </c>
    </row>
    <row r="468" ht="15.75" customHeight="1">
      <c r="A468" s="150">
        <v>43429.0</v>
      </c>
      <c r="B468" s="151" t="s">
        <v>2585</v>
      </c>
      <c r="C468" s="151" t="s">
        <v>2586</v>
      </c>
      <c r="D468" s="151">
        <f>+23407087993889</f>
        <v>23407087993889</v>
      </c>
      <c r="F468" s="20" t="s">
        <v>168</v>
      </c>
      <c r="G468" s="6" t="s">
        <v>1654</v>
      </c>
    </row>
    <row r="469" ht="15.75" customHeight="1">
      <c r="A469" s="150">
        <v>43429.0</v>
      </c>
      <c r="B469" s="151" t="s">
        <v>2587</v>
      </c>
      <c r="C469" s="151" t="s">
        <v>2588</v>
      </c>
      <c r="D469" s="151">
        <f>+2348056329593</f>
        <v>2348056329593</v>
      </c>
      <c r="F469" s="20" t="s">
        <v>168</v>
      </c>
      <c r="G469" s="6" t="s">
        <v>1654</v>
      </c>
    </row>
    <row r="470" ht="15.75" customHeight="1">
      <c r="A470" s="150">
        <v>43429.0</v>
      </c>
      <c r="B470" s="151" t="s">
        <v>2589</v>
      </c>
      <c r="C470" s="151" t="s">
        <v>2590</v>
      </c>
      <c r="D470" s="151">
        <f>+2348085358450</f>
        <v>2348085358450</v>
      </c>
      <c r="F470" s="20" t="s">
        <v>168</v>
      </c>
      <c r="G470" s="6" t="s">
        <v>1654</v>
      </c>
    </row>
    <row r="471" ht="15.75" customHeight="1">
      <c r="A471" s="150">
        <v>43429.0</v>
      </c>
      <c r="B471" s="151" t="s">
        <v>2591</v>
      </c>
      <c r="C471" s="151" t="s">
        <v>2592</v>
      </c>
      <c r="D471" s="151">
        <f>+2348135037387</f>
        <v>2348135037387</v>
      </c>
      <c r="F471" s="20" t="s">
        <v>168</v>
      </c>
      <c r="G471" s="6" t="s">
        <v>1654</v>
      </c>
    </row>
    <row r="472" ht="15.75" customHeight="1">
      <c r="A472" s="150">
        <v>43429.0</v>
      </c>
      <c r="B472" s="151" t="s">
        <v>2593</v>
      </c>
      <c r="C472" s="151" t="s">
        <v>2594</v>
      </c>
      <c r="D472" s="151">
        <f>+2348093613822</f>
        <v>2348093613822</v>
      </c>
      <c r="F472" s="20" t="s">
        <v>168</v>
      </c>
      <c r="G472" s="6" t="s">
        <v>1654</v>
      </c>
    </row>
    <row r="473" ht="15.75" customHeight="1">
      <c r="A473" s="150">
        <v>43429.0</v>
      </c>
      <c r="B473" s="151" t="s">
        <v>2595</v>
      </c>
      <c r="C473" s="151" t="s">
        <v>2596</v>
      </c>
      <c r="D473" s="151">
        <f>+2348033069134</f>
        <v>2348033069134</v>
      </c>
      <c r="F473" s="20" t="s">
        <v>168</v>
      </c>
      <c r="G473" s="6" t="s">
        <v>1654</v>
      </c>
    </row>
    <row r="474" ht="15.75" customHeight="1">
      <c r="A474" s="150">
        <v>43429.0</v>
      </c>
      <c r="B474" s="151" t="s">
        <v>2597</v>
      </c>
      <c r="C474" s="151" t="s">
        <v>2598</v>
      </c>
      <c r="D474" s="151">
        <f>+2348133604401</f>
        <v>2348133604401</v>
      </c>
      <c r="F474" s="20" t="s">
        <v>168</v>
      </c>
      <c r="G474" s="6" t="s">
        <v>1654</v>
      </c>
    </row>
    <row r="475" ht="15.75" customHeight="1">
      <c r="A475" s="150">
        <v>43429.0</v>
      </c>
      <c r="B475" s="151" t="s">
        <v>2599</v>
      </c>
      <c r="C475" s="151" t="s">
        <v>2600</v>
      </c>
      <c r="D475" s="151">
        <f>+2348037144433</f>
        <v>2348037144433</v>
      </c>
      <c r="F475" s="20" t="s">
        <v>168</v>
      </c>
      <c r="G475" s="6" t="s">
        <v>1654</v>
      </c>
    </row>
    <row r="476" ht="15.75" customHeight="1">
      <c r="A476" s="150">
        <v>43429.0</v>
      </c>
      <c r="B476" s="151" t="s">
        <v>2601</v>
      </c>
      <c r="C476" s="151" t="s">
        <v>2602</v>
      </c>
      <c r="D476" s="151">
        <f>+2348105589861</f>
        <v>2348105589861</v>
      </c>
      <c r="F476" s="20" t="s">
        <v>168</v>
      </c>
      <c r="G476" s="6" t="s">
        <v>1654</v>
      </c>
    </row>
    <row r="477" ht="15.75" customHeight="1">
      <c r="A477" s="150">
        <v>43429.0</v>
      </c>
      <c r="B477" s="151" t="s">
        <v>2603</v>
      </c>
      <c r="C477" s="151" t="s">
        <v>2604</v>
      </c>
      <c r="D477" s="151">
        <f>+2347066990217</f>
        <v>2347066990217</v>
      </c>
      <c r="F477" s="20" t="s">
        <v>168</v>
      </c>
      <c r="G477" s="6" t="s">
        <v>1654</v>
      </c>
    </row>
    <row r="478" ht="15.75" customHeight="1">
      <c r="A478" s="150">
        <v>43429.0</v>
      </c>
      <c r="B478" s="151" t="s">
        <v>2605</v>
      </c>
      <c r="C478" s="151" t="s">
        <v>2606</v>
      </c>
      <c r="D478" s="151">
        <f>+2348135470404</f>
        <v>2348135470404</v>
      </c>
      <c r="F478" s="20" t="s">
        <v>168</v>
      </c>
      <c r="G478" s="6" t="s">
        <v>1654</v>
      </c>
    </row>
    <row r="479" ht="15.75" customHeight="1">
      <c r="A479" s="150">
        <v>43429.0</v>
      </c>
      <c r="B479" s="151" t="s">
        <v>2607</v>
      </c>
      <c r="C479" s="151" t="s">
        <v>2608</v>
      </c>
      <c r="D479" s="151">
        <f>+2347035200021</f>
        <v>2347035200021</v>
      </c>
      <c r="F479" s="20" t="s">
        <v>168</v>
      </c>
      <c r="G479" s="6" t="s">
        <v>1654</v>
      </c>
    </row>
    <row r="480" ht="15.75" customHeight="1">
      <c r="A480" s="150">
        <v>43429.0</v>
      </c>
      <c r="B480" s="151" t="s">
        <v>2609</v>
      </c>
      <c r="C480" s="151" t="s">
        <v>2610</v>
      </c>
      <c r="D480" s="151">
        <f>+2348037974010</f>
        <v>2348037974010</v>
      </c>
      <c r="F480" s="20" t="s">
        <v>168</v>
      </c>
      <c r="G480" s="6" t="s">
        <v>1654</v>
      </c>
    </row>
    <row r="481" ht="15.75" customHeight="1">
      <c r="A481" s="150">
        <v>43429.0</v>
      </c>
      <c r="B481" s="151" t="s">
        <v>2611</v>
      </c>
      <c r="C481" s="151" t="s">
        <v>2612</v>
      </c>
      <c r="D481" s="151">
        <f>+2348027029128</f>
        <v>2348027029128</v>
      </c>
      <c r="F481" s="20" t="s">
        <v>168</v>
      </c>
      <c r="G481" s="6" t="s">
        <v>1654</v>
      </c>
    </row>
    <row r="482" ht="15.75" customHeight="1">
      <c r="A482" s="150">
        <v>43429.0</v>
      </c>
      <c r="B482" s="151" t="s">
        <v>2613</v>
      </c>
      <c r="C482" s="151" t="s">
        <v>2614</v>
      </c>
      <c r="D482" s="151">
        <f>+2348023426623</f>
        <v>2348023426623</v>
      </c>
      <c r="F482" s="20" t="s">
        <v>168</v>
      </c>
      <c r="G482" s="6" t="s">
        <v>1654</v>
      </c>
    </row>
    <row r="483" ht="15.75" customHeight="1">
      <c r="A483" s="150">
        <v>43429.0</v>
      </c>
      <c r="B483" s="151" t="s">
        <v>2615</v>
      </c>
      <c r="C483" s="151" t="s">
        <v>2616</v>
      </c>
      <c r="D483" s="151">
        <f>+2348051049489</f>
        <v>2348051049489</v>
      </c>
      <c r="F483" s="20" t="s">
        <v>168</v>
      </c>
      <c r="G483" s="6" t="s">
        <v>1654</v>
      </c>
    </row>
    <row r="484" ht="15.75" customHeight="1">
      <c r="A484" s="150">
        <v>43429.0</v>
      </c>
      <c r="B484" s="151" t="s">
        <v>2617</v>
      </c>
      <c r="C484" s="151" t="s">
        <v>2618</v>
      </c>
      <c r="D484" s="151">
        <f>+23407035987669</f>
        <v>23407035987669</v>
      </c>
      <c r="F484" s="20" t="s">
        <v>168</v>
      </c>
      <c r="G484" s="6" t="s">
        <v>1654</v>
      </c>
    </row>
    <row r="485" ht="15.75" customHeight="1">
      <c r="A485" s="150">
        <v>43429.0</v>
      </c>
      <c r="B485" s="151" t="s">
        <v>2619</v>
      </c>
      <c r="C485" s="151" t="s">
        <v>2620</v>
      </c>
      <c r="D485" s="151">
        <f>+2348035383441</f>
        <v>2348035383441</v>
      </c>
      <c r="F485" s="20" t="s">
        <v>168</v>
      </c>
      <c r="G485" s="6" t="s">
        <v>1654</v>
      </c>
    </row>
    <row r="486" ht="15.75" customHeight="1">
      <c r="A486" s="150">
        <v>43429.0</v>
      </c>
      <c r="B486" s="151" t="s">
        <v>2621</v>
      </c>
      <c r="C486" s="151" t="s">
        <v>2622</v>
      </c>
      <c r="D486" s="151">
        <f>+2348074796803</f>
        <v>2348074796803</v>
      </c>
      <c r="F486" s="20" t="s">
        <v>168</v>
      </c>
      <c r="G486" s="6" t="s">
        <v>1654</v>
      </c>
    </row>
    <row r="487" ht="15.75" customHeight="1">
      <c r="A487" s="150">
        <v>43429.0</v>
      </c>
      <c r="B487" s="151" t="s">
        <v>2623</v>
      </c>
      <c r="C487" s="151" t="s">
        <v>2624</v>
      </c>
      <c r="D487" s="151">
        <f>+2347030475466</f>
        <v>2347030475466</v>
      </c>
      <c r="F487" s="20" t="s">
        <v>168</v>
      </c>
      <c r="G487" s="6" t="s">
        <v>1654</v>
      </c>
    </row>
    <row r="488" ht="15.75" customHeight="1">
      <c r="A488" s="150">
        <v>43429.0</v>
      </c>
      <c r="B488" s="151" t="s">
        <v>2625</v>
      </c>
      <c r="C488" s="151" t="s">
        <v>2626</v>
      </c>
      <c r="D488" s="151">
        <f>+2348065593688</f>
        <v>2348065593688</v>
      </c>
      <c r="F488" s="20" t="s">
        <v>168</v>
      </c>
      <c r="G488" s="6" t="s">
        <v>1654</v>
      </c>
    </row>
    <row r="489" ht="15.75" customHeight="1">
      <c r="A489" s="150">
        <v>43429.0</v>
      </c>
      <c r="B489" s="151" t="s">
        <v>2627</v>
      </c>
      <c r="C489" s="151" t="s">
        <v>2628</v>
      </c>
      <c r="D489" s="151">
        <f>+2347062124796</f>
        <v>2347062124796</v>
      </c>
      <c r="F489" s="20" t="s">
        <v>168</v>
      </c>
      <c r="G489" s="6" t="s">
        <v>1654</v>
      </c>
    </row>
    <row r="490" ht="15.75" customHeight="1">
      <c r="A490" s="150">
        <v>43429.0</v>
      </c>
      <c r="B490" s="151" t="s">
        <v>2629</v>
      </c>
      <c r="C490" s="151" t="s">
        <v>2630</v>
      </c>
      <c r="D490" s="151">
        <f>+2348053070179</f>
        <v>2348053070179</v>
      </c>
      <c r="F490" s="20" t="s">
        <v>168</v>
      </c>
      <c r="G490" s="6" t="s">
        <v>1654</v>
      </c>
    </row>
    <row r="491" ht="15.75" customHeight="1">
      <c r="A491" s="150">
        <v>43429.0</v>
      </c>
      <c r="B491" s="151" t="s">
        <v>2631</v>
      </c>
      <c r="C491" s="151" t="s">
        <v>2632</v>
      </c>
      <c r="D491" s="151">
        <f>+2348027508448</f>
        <v>2348027508448</v>
      </c>
      <c r="F491" s="20" t="s">
        <v>168</v>
      </c>
      <c r="G491" s="6" t="s">
        <v>1654</v>
      </c>
    </row>
    <row r="492" ht="15.75" customHeight="1">
      <c r="A492" s="150">
        <v>43429.0</v>
      </c>
      <c r="B492" s="151" t="s">
        <v>2633</v>
      </c>
      <c r="C492" s="151" t="s">
        <v>2634</v>
      </c>
      <c r="D492" s="151">
        <f>+2348023874455</f>
        <v>2348023874455</v>
      </c>
      <c r="F492" s="20" t="s">
        <v>168</v>
      </c>
      <c r="G492" s="6" t="s">
        <v>1654</v>
      </c>
    </row>
    <row r="493" ht="15.75" customHeight="1">
      <c r="A493" s="150">
        <v>43429.0</v>
      </c>
      <c r="B493" s="151" t="s">
        <v>2635</v>
      </c>
      <c r="C493" s="151" t="s">
        <v>2636</v>
      </c>
      <c r="D493" s="151">
        <f>+2349092114339</f>
        <v>2349092114339</v>
      </c>
      <c r="F493" s="20" t="s">
        <v>168</v>
      </c>
      <c r="G493" s="6" t="s">
        <v>1654</v>
      </c>
    </row>
    <row r="494" ht="15.75" customHeight="1">
      <c r="A494" s="150">
        <v>43429.0</v>
      </c>
      <c r="B494" s="151" t="s">
        <v>2637</v>
      </c>
      <c r="C494" s="151" t="s">
        <v>2638</v>
      </c>
      <c r="D494" s="151">
        <f>+2348068357884</f>
        <v>2348068357884</v>
      </c>
      <c r="F494" s="20" t="s">
        <v>168</v>
      </c>
      <c r="G494" s="6" t="s">
        <v>1654</v>
      </c>
    </row>
    <row r="495" ht="15.75" customHeight="1">
      <c r="A495" s="150">
        <v>43429.0</v>
      </c>
      <c r="B495" s="151" t="s">
        <v>2639</v>
      </c>
      <c r="C495" s="151" t="s">
        <v>2640</v>
      </c>
      <c r="D495" s="151">
        <f>+2347065222400</f>
        <v>2347065222400</v>
      </c>
      <c r="F495" s="20" t="s">
        <v>168</v>
      </c>
      <c r="G495" s="6" t="s">
        <v>1654</v>
      </c>
    </row>
    <row r="496" ht="15.75" customHeight="1">
      <c r="A496" s="150">
        <v>43429.0</v>
      </c>
      <c r="B496" s="151" t="s">
        <v>2641</v>
      </c>
      <c r="C496" s="151" t="s">
        <v>2642</v>
      </c>
      <c r="D496" s="151">
        <f>+2348038952041</f>
        <v>2348038952041</v>
      </c>
      <c r="F496" s="20" t="s">
        <v>168</v>
      </c>
      <c r="G496" s="6" t="s">
        <v>1654</v>
      </c>
    </row>
    <row r="497" ht="15.75" customHeight="1">
      <c r="A497" s="150">
        <v>43429.0</v>
      </c>
      <c r="B497" s="151" t="s">
        <v>2643</v>
      </c>
      <c r="C497" s="151" t="s">
        <v>2644</v>
      </c>
      <c r="D497" s="151">
        <f>+2348033143340</f>
        <v>2348033143340</v>
      </c>
      <c r="F497" s="20" t="s">
        <v>168</v>
      </c>
      <c r="G497" s="6" t="s">
        <v>1654</v>
      </c>
    </row>
    <row r="498" ht="15.75" customHeight="1">
      <c r="A498" s="150">
        <v>43429.0</v>
      </c>
      <c r="B498" s="151" t="s">
        <v>2645</v>
      </c>
      <c r="C498" s="151" t="s">
        <v>2646</v>
      </c>
      <c r="D498" s="151">
        <f>+2348026322385</f>
        <v>2348026322385</v>
      </c>
      <c r="F498" s="20" t="s">
        <v>168</v>
      </c>
      <c r="G498" s="6" t="s">
        <v>1654</v>
      </c>
    </row>
    <row r="499" ht="15.75" customHeight="1">
      <c r="A499" s="150">
        <v>43429.0</v>
      </c>
      <c r="B499" s="151" t="s">
        <v>2647</v>
      </c>
      <c r="C499" s="151" t="s">
        <v>2648</v>
      </c>
      <c r="D499" s="151">
        <f>+2348163701851</f>
        <v>2348163701851</v>
      </c>
      <c r="F499" s="20" t="s">
        <v>168</v>
      </c>
      <c r="G499" s="6" t="s">
        <v>1654</v>
      </c>
    </row>
    <row r="500" ht="15.75" customHeight="1">
      <c r="A500" s="150">
        <v>43429.0</v>
      </c>
      <c r="B500" s="151" t="s">
        <v>2649</v>
      </c>
      <c r="C500" s="151" t="s">
        <v>2650</v>
      </c>
      <c r="D500" s="151">
        <f>+2348025637355</f>
        <v>2348025637355</v>
      </c>
      <c r="F500" s="20" t="s">
        <v>168</v>
      </c>
      <c r="G500" s="6" t="s">
        <v>1654</v>
      </c>
    </row>
    <row r="501" ht="15.75" customHeight="1">
      <c r="A501" s="150">
        <v>43429.0</v>
      </c>
      <c r="B501" s="151" t="s">
        <v>2651</v>
      </c>
      <c r="C501" s="151" t="s">
        <v>2652</v>
      </c>
      <c r="D501" s="151">
        <f>+2347061380757</f>
        <v>2347061380757</v>
      </c>
      <c r="F501" s="20" t="s">
        <v>168</v>
      </c>
      <c r="G501" s="6" t="s">
        <v>1654</v>
      </c>
    </row>
    <row r="502" ht="15.75" customHeight="1">
      <c r="A502" s="150">
        <v>43429.0</v>
      </c>
      <c r="B502" s="151" t="s">
        <v>2653</v>
      </c>
      <c r="C502" s="151" t="s">
        <v>2654</v>
      </c>
      <c r="D502" s="151">
        <f>+2348096501237</f>
        <v>2348096501237</v>
      </c>
      <c r="F502" s="20" t="s">
        <v>168</v>
      </c>
      <c r="G502" s="6" t="s">
        <v>1654</v>
      </c>
    </row>
    <row r="503" ht="15.75" customHeight="1">
      <c r="A503" s="150">
        <v>43429.0</v>
      </c>
      <c r="B503" s="151" t="s">
        <v>2655</v>
      </c>
      <c r="C503" s="151" t="s">
        <v>2656</v>
      </c>
      <c r="D503" s="151">
        <f>+2348058038608</f>
        <v>2348058038608</v>
      </c>
      <c r="F503" s="20" t="s">
        <v>168</v>
      </c>
      <c r="G503" s="6" t="s">
        <v>1654</v>
      </c>
    </row>
    <row r="504" ht="15.75" customHeight="1">
      <c r="A504" s="150">
        <v>43429.0</v>
      </c>
      <c r="B504" s="151" t="s">
        <v>2657</v>
      </c>
      <c r="C504" s="151" t="s">
        <v>2658</v>
      </c>
      <c r="D504" s="151">
        <f>+2347068325700</f>
        <v>2347068325700</v>
      </c>
      <c r="F504" s="20" t="s">
        <v>168</v>
      </c>
      <c r="G504" s="6" t="s">
        <v>1654</v>
      </c>
    </row>
    <row r="505" ht="15.75" customHeight="1">
      <c r="A505" s="150">
        <v>43429.0</v>
      </c>
      <c r="B505" s="151" t="s">
        <v>2659</v>
      </c>
      <c r="C505" s="151" t="s">
        <v>2660</v>
      </c>
      <c r="D505" s="151">
        <f>+2348039779429</f>
        <v>2348039779429</v>
      </c>
      <c r="F505" s="20" t="s">
        <v>168</v>
      </c>
      <c r="G505" s="6" t="s">
        <v>1654</v>
      </c>
    </row>
    <row r="506" ht="15.75" customHeight="1">
      <c r="A506" s="150">
        <v>43429.0</v>
      </c>
      <c r="B506" s="151" t="s">
        <v>2661</v>
      </c>
      <c r="C506" s="151" t="s">
        <v>2662</v>
      </c>
      <c r="D506" s="151">
        <f>+2347030334009</f>
        <v>2347030334009</v>
      </c>
      <c r="F506" s="20" t="s">
        <v>168</v>
      </c>
      <c r="G506" s="6" t="s">
        <v>1654</v>
      </c>
    </row>
    <row r="507" ht="15.75" customHeight="1">
      <c r="A507" s="150">
        <v>43429.0</v>
      </c>
      <c r="B507" s="151" t="s">
        <v>2663</v>
      </c>
      <c r="C507" s="151" t="s">
        <v>2664</v>
      </c>
      <c r="D507" s="151">
        <f>+2347081589785</f>
        <v>2347081589785</v>
      </c>
      <c r="F507" s="20" t="s">
        <v>168</v>
      </c>
      <c r="G507" s="6" t="s">
        <v>1654</v>
      </c>
    </row>
    <row r="508" ht="15.75" customHeight="1">
      <c r="A508" s="150">
        <v>43429.0</v>
      </c>
      <c r="B508" s="151" t="s">
        <v>2665</v>
      </c>
      <c r="C508" s="151" t="s">
        <v>2666</v>
      </c>
      <c r="D508" s="151">
        <f>+2348033303027</f>
        <v>2348033303027</v>
      </c>
      <c r="F508" s="20" t="s">
        <v>168</v>
      </c>
      <c r="G508" s="6" t="s">
        <v>1654</v>
      </c>
    </row>
    <row r="509" ht="15.75" customHeight="1">
      <c r="A509" s="150">
        <v>43429.0</v>
      </c>
      <c r="B509" s="151" t="s">
        <v>2667</v>
      </c>
      <c r="C509" s="151" t="s">
        <v>2668</v>
      </c>
      <c r="D509" s="151">
        <f>+2347030327593</f>
        <v>2347030327593</v>
      </c>
      <c r="F509" s="20" t="s">
        <v>168</v>
      </c>
      <c r="G509" s="6" t="s">
        <v>1654</v>
      </c>
    </row>
    <row r="510" ht="15.75" customHeight="1">
      <c r="A510" s="150">
        <v>43429.0</v>
      </c>
      <c r="B510" s="151" t="s">
        <v>2669</v>
      </c>
      <c r="C510" s="151" t="s">
        <v>2670</v>
      </c>
      <c r="D510" s="151">
        <f>+2348082165236</f>
        <v>2348082165236</v>
      </c>
      <c r="F510" s="20" t="s">
        <v>168</v>
      </c>
      <c r="G510" s="6" t="s">
        <v>1654</v>
      </c>
    </row>
    <row r="511" ht="15.75" customHeight="1">
      <c r="A511" s="150">
        <v>43429.0</v>
      </c>
      <c r="B511" s="151" t="s">
        <v>2671</v>
      </c>
      <c r="C511" s="151" t="s">
        <v>2672</v>
      </c>
      <c r="D511" s="151">
        <f>+2348037868611</f>
        <v>2348037868611</v>
      </c>
      <c r="F511" s="20" t="s">
        <v>168</v>
      </c>
      <c r="G511" s="6" t="s">
        <v>1654</v>
      </c>
    </row>
    <row r="512" ht="15.75" customHeight="1">
      <c r="A512" s="150">
        <v>43429.0</v>
      </c>
      <c r="B512" s="151" t="s">
        <v>2673</v>
      </c>
      <c r="C512" s="151" t="s">
        <v>2674</v>
      </c>
      <c r="D512" s="151">
        <f>+2348184483601</f>
        <v>2348184483601</v>
      </c>
      <c r="F512" s="20" t="s">
        <v>168</v>
      </c>
      <c r="G512" s="6" t="s">
        <v>1654</v>
      </c>
    </row>
    <row r="513" ht="15.75" customHeight="1">
      <c r="A513" s="150">
        <v>43430.0</v>
      </c>
      <c r="B513" s="151" t="s">
        <v>2675</v>
      </c>
      <c r="C513" s="151" t="s">
        <v>2676</v>
      </c>
      <c r="D513" s="151">
        <f>+23408035480993</f>
        <v>23408035480993</v>
      </c>
      <c r="F513" s="20" t="s">
        <v>168</v>
      </c>
      <c r="G513" s="6" t="s">
        <v>1654</v>
      </c>
    </row>
    <row r="514" ht="15.75" customHeight="1">
      <c r="A514" s="150">
        <v>43430.0</v>
      </c>
      <c r="B514" s="151" t="s">
        <v>2677</v>
      </c>
      <c r="C514" s="151" t="s">
        <v>2678</v>
      </c>
      <c r="D514" s="151">
        <f>+2349031566288</f>
        <v>2349031566288</v>
      </c>
      <c r="F514" s="20" t="s">
        <v>168</v>
      </c>
      <c r="G514" s="6" t="s">
        <v>1654</v>
      </c>
    </row>
    <row r="515" ht="15.75" customHeight="1">
      <c r="A515" s="150">
        <v>43430.0</v>
      </c>
      <c r="B515" s="151" t="s">
        <v>2679</v>
      </c>
      <c r="C515" s="151" t="s">
        <v>2680</v>
      </c>
      <c r="D515" s="151">
        <f>+2348034494917</f>
        <v>2348034494917</v>
      </c>
      <c r="F515" s="20" t="s">
        <v>168</v>
      </c>
      <c r="G515" s="6" t="s">
        <v>1654</v>
      </c>
    </row>
    <row r="516" ht="15.75" customHeight="1">
      <c r="A516" s="150">
        <v>43430.0</v>
      </c>
      <c r="B516" s="151" t="s">
        <v>2681</v>
      </c>
      <c r="C516" s="151" t="s">
        <v>2682</v>
      </c>
      <c r="D516" s="151">
        <f>+2349039151191</f>
        <v>2349039151191</v>
      </c>
      <c r="F516" s="20" t="s">
        <v>168</v>
      </c>
      <c r="G516" s="6" t="s">
        <v>1654</v>
      </c>
    </row>
    <row r="517" ht="15.75" customHeight="1">
      <c r="A517" s="150">
        <v>43430.0</v>
      </c>
      <c r="B517" s="151" t="s">
        <v>2683</v>
      </c>
      <c r="C517" s="151" t="s">
        <v>2684</v>
      </c>
      <c r="D517" s="151">
        <f>+2348065357467</f>
        <v>2348065357467</v>
      </c>
      <c r="F517" s="20" t="s">
        <v>168</v>
      </c>
      <c r="G517" s="6" t="s">
        <v>1654</v>
      </c>
    </row>
    <row r="518" ht="15.75" customHeight="1">
      <c r="A518" s="150">
        <v>43430.0</v>
      </c>
      <c r="B518" s="151" t="s">
        <v>2685</v>
      </c>
      <c r="C518" s="151" t="s">
        <v>2686</v>
      </c>
      <c r="D518" s="151">
        <f>+2348033117307</f>
        <v>2348033117307</v>
      </c>
      <c r="F518" s="20" t="s">
        <v>168</v>
      </c>
      <c r="G518" s="6" t="s">
        <v>1654</v>
      </c>
    </row>
    <row r="519" ht="15.75" customHeight="1">
      <c r="A519" s="150">
        <v>43430.0</v>
      </c>
      <c r="B519" s="151" t="s">
        <v>2687</v>
      </c>
      <c r="C519" s="151" t="s">
        <v>2688</v>
      </c>
      <c r="D519" s="151">
        <f>+2348037054254</f>
        <v>2348037054254</v>
      </c>
      <c r="F519" s="20" t="s">
        <v>168</v>
      </c>
      <c r="G519" s="6" t="s">
        <v>1654</v>
      </c>
    </row>
    <row r="520" ht="15.75" customHeight="1">
      <c r="A520" s="150">
        <v>43430.0</v>
      </c>
      <c r="B520" s="151" t="s">
        <v>2689</v>
      </c>
      <c r="C520" s="151" t="s">
        <v>2690</v>
      </c>
      <c r="D520" s="151">
        <f>+2348091403082</f>
        <v>2348091403082</v>
      </c>
      <c r="F520" s="20" t="s">
        <v>168</v>
      </c>
      <c r="G520" s="6" t="s">
        <v>1654</v>
      </c>
    </row>
    <row r="521" ht="15.75" customHeight="1">
      <c r="A521" s="150">
        <v>43430.0</v>
      </c>
      <c r="B521" s="151" t="s">
        <v>2691</v>
      </c>
      <c r="C521" s="151" t="s">
        <v>2692</v>
      </c>
      <c r="D521" s="151">
        <f>+2348029443326</f>
        <v>2348029443326</v>
      </c>
      <c r="F521" s="20" t="s">
        <v>168</v>
      </c>
      <c r="G521" s="6" t="s">
        <v>1654</v>
      </c>
    </row>
    <row r="522" ht="15.75" customHeight="1">
      <c r="A522" s="150">
        <v>43430.0</v>
      </c>
      <c r="B522" s="151" t="s">
        <v>2693</v>
      </c>
      <c r="C522" s="151" t="s">
        <v>2694</v>
      </c>
      <c r="D522" s="151">
        <f>+2348037377064</f>
        <v>2348037377064</v>
      </c>
      <c r="F522" s="20" t="s">
        <v>168</v>
      </c>
      <c r="G522" s="6" t="s">
        <v>1654</v>
      </c>
    </row>
    <row r="523" ht="15.75" customHeight="1">
      <c r="A523" s="150">
        <v>43430.0</v>
      </c>
      <c r="B523" s="151" t="s">
        <v>2695</v>
      </c>
      <c r="C523" s="151" t="s">
        <v>2696</v>
      </c>
      <c r="D523" s="151">
        <f>+2348058735589</f>
        <v>2348058735589</v>
      </c>
      <c r="F523" s="20" t="s">
        <v>168</v>
      </c>
      <c r="G523" s="6" t="s">
        <v>1654</v>
      </c>
    </row>
    <row r="524" ht="15.75" customHeight="1">
      <c r="A524" s="150">
        <v>43430.0</v>
      </c>
      <c r="B524" s="151" t="s">
        <v>2697</v>
      </c>
      <c r="C524" s="151" t="s">
        <v>2698</v>
      </c>
      <c r="D524" s="151">
        <f>+2347032883757</f>
        <v>2347032883757</v>
      </c>
      <c r="F524" s="20" t="s">
        <v>168</v>
      </c>
      <c r="G524" s="6" t="s">
        <v>1654</v>
      </c>
    </row>
    <row r="525" ht="15.75" customHeight="1">
      <c r="A525" s="150">
        <v>43430.0</v>
      </c>
      <c r="B525" s="151" t="s">
        <v>2699</v>
      </c>
      <c r="C525" s="151" t="s">
        <v>2700</v>
      </c>
      <c r="D525" s="151">
        <f>+2348082018294</f>
        <v>2348082018294</v>
      </c>
      <c r="F525" s="20" t="s">
        <v>168</v>
      </c>
      <c r="G525" s="6" t="s">
        <v>1654</v>
      </c>
    </row>
    <row r="526" ht="15.75" customHeight="1">
      <c r="A526" s="150">
        <v>43430.0</v>
      </c>
      <c r="B526" s="151" t="s">
        <v>2701</v>
      </c>
      <c r="C526" s="151" t="s">
        <v>2702</v>
      </c>
      <c r="D526" s="151">
        <f>+2348124521955</f>
        <v>2348124521955</v>
      </c>
      <c r="F526" s="20" t="s">
        <v>168</v>
      </c>
      <c r="G526" s="6" t="s">
        <v>1654</v>
      </c>
    </row>
    <row r="527" ht="15.75" customHeight="1">
      <c r="A527" s="150">
        <v>43430.0</v>
      </c>
      <c r="B527" s="151" t="s">
        <v>2703</v>
      </c>
      <c r="C527" s="151" t="s">
        <v>2704</v>
      </c>
      <c r="D527" s="151">
        <f>+23408069643428</f>
        <v>23408069643428</v>
      </c>
      <c r="F527" s="20" t="s">
        <v>168</v>
      </c>
      <c r="G527" s="6" t="s">
        <v>1654</v>
      </c>
    </row>
    <row r="528" ht="15.75" customHeight="1">
      <c r="A528" s="150">
        <v>43430.0</v>
      </c>
      <c r="B528" s="151" t="s">
        <v>2705</v>
      </c>
      <c r="C528" s="151" t="s">
        <v>2706</v>
      </c>
      <c r="D528" s="151">
        <f>+23408023179772</f>
        <v>23408023179772</v>
      </c>
      <c r="F528" s="20" t="s">
        <v>168</v>
      </c>
      <c r="G528" s="6" t="s">
        <v>1654</v>
      </c>
    </row>
    <row r="529" ht="15.75" customHeight="1">
      <c r="A529" s="150">
        <v>43430.0</v>
      </c>
      <c r="B529" s="151" t="s">
        <v>2707</v>
      </c>
      <c r="C529" s="151" t="s">
        <v>2708</v>
      </c>
      <c r="D529" s="151">
        <f>+2347062853396</f>
        <v>2347062853396</v>
      </c>
      <c r="F529" s="20" t="s">
        <v>168</v>
      </c>
      <c r="G529" s="6" t="s">
        <v>1654</v>
      </c>
    </row>
    <row r="530" ht="15.75" customHeight="1">
      <c r="A530" s="150">
        <v>43430.0</v>
      </c>
      <c r="B530" s="151" t="s">
        <v>2709</v>
      </c>
      <c r="C530" s="151" t="s">
        <v>2710</v>
      </c>
      <c r="D530" s="151">
        <f>+2348037243463</f>
        <v>2348037243463</v>
      </c>
      <c r="F530" s="20" t="s">
        <v>168</v>
      </c>
      <c r="G530" s="6" t="s">
        <v>1654</v>
      </c>
    </row>
    <row r="531" ht="15.75" customHeight="1">
      <c r="A531" s="150">
        <v>43430.0</v>
      </c>
      <c r="B531" s="151" t="s">
        <v>2711</v>
      </c>
      <c r="C531" s="151" t="s">
        <v>2712</v>
      </c>
      <c r="D531" s="151">
        <f>+2348055292390</f>
        <v>2348055292390</v>
      </c>
      <c r="F531" s="20" t="s">
        <v>168</v>
      </c>
      <c r="G531" s="6" t="s">
        <v>1654</v>
      </c>
    </row>
    <row r="532" ht="15.75" customHeight="1">
      <c r="A532" s="150">
        <v>43430.0</v>
      </c>
      <c r="B532" s="151" t="s">
        <v>2713</v>
      </c>
      <c r="C532" s="151" t="s">
        <v>2714</v>
      </c>
      <c r="D532" s="151">
        <f>+2348029655142</f>
        <v>2348029655142</v>
      </c>
      <c r="F532" s="20" t="s">
        <v>168</v>
      </c>
      <c r="G532" s="6" t="s">
        <v>1654</v>
      </c>
    </row>
    <row r="533" ht="15.75" customHeight="1">
      <c r="A533" s="150">
        <v>43430.0</v>
      </c>
      <c r="B533" s="151" t="s">
        <v>2715</v>
      </c>
      <c r="C533" s="151" t="s">
        <v>2716</v>
      </c>
      <c r="D533" s="151">
        <f>+2348022700069</f>
        <v>2348022700069</v>
      </c>
      <c r="F533" s="20" t="s">
        <v>168</v>
      </c>
      <c r="G533" s="6" t="s">
        <v>1654</v>
      </c>
    </row>
    <row r="534" ht="15.75" customHeight="1">
      <c r="A534" s="150">
        <v>43430.0</v>
      </c>
      <c r="B534" s="151" t="s">
        <v>2717</v>
      </c>
      <c r="C534" s="151" t="s">
        <v>2718</v>
      </c>
      <c r="D534" s="151">
        <f>+2347017029203</f>
        <v>2347017029203</v>
      </c>
      <c r="F534" s="20" t="s">
        <v>168</v>
      </c>
      <c r="G534" s="6" t="s">
        <v>1654</v>
      </c>
    </row>
    <row r="535" ht="15.75" customHeight="1">
      <c r="A535" s="150">
        <v>43430.0</v>
      </c>
      <c r="B535" s="151" t="s">
        <v>2719</v>
      </c>
      <c r="C535" s="151" t="s">
        <v>2720</v>
      </c>
      <c r="D535" s="151">
        <f>+2348033329033</f>
        <v>2348033329033</v>
      </c>
      <c r="F535" s="20" t="s">
        <v>168</v>
      </c>
      <c r="G535" s="6" t="s">
        <v>1654</v>
      </c>
    </row>
    <row r="536" ht="15.75" customHeight="1">
      <c r="A536" s="150">
        <v>43430.0</v>
      </c>
      <c r="B536" s="153" t="s">
        <v>2721</v>
      </c>
      <c r="C536" s="151" t="s">
        <v>2722</v>
      </c>
      <c r="D536" s="151">
        <f>+2348025110386</f>
        <v>2348025110386</v>
      </c>
      <c r="F536" s="20" t="s">
        <v>168</v>
      </c>
      <c r="G536" s="6" t="s">
        <v>1654</v>
      </c>
    </row>
    <row r="537" ht="15.75" customHeight="1">
      <c r="A537" s="150">
        <v>43430.0</v>
      </c>
      <c r="B537" s="151" t="s">
        <v>2723</v>
      </c>
      <c r="C537" s="151" t="s">
        <v>2724</v>
      </c>
      <c r="D537" s="151">
        <f>+23408039421901</f>
        <v>23408039421901</v>
      </c>
      <c r="F537" s="20" t="s">
        <v>168</v>
      </c>
      <c r="G537" s="6" t="s">
        <v>1654</v>
      </c>
    </row>
    <row r="538" ht="15.75" customHeight="1">
      <c r="A538" s="150">
        <v>43430.0</v>
      </c>
      <c r="B538" s="151" t="s">
        <v>2725</v>
      </c>
      <c r="C538" s="151" t="s">
        <v>2726</v>
      </c>
      <c r="D538" s="151">
        <f>+2348023100369</f>
        <v>2348023100369</v>
      </c>
      <c r="F538" s="20" t="s">
        <v>168</v>
      </c>
      <c r="G538" s="6" t="s">
        <v>1654</v>
      </c>
    </row>
    <row r="539" ht="15.75" customHeight="1">
      <c r="A539" s="150">
        <v>43430.0</v>
      </c>
      <c r="B539" s="151" t="s">
        <v>2727</v>
      </c>
      <c r="C539" s="151" t="s">
        <v>2728</v>
      </c>
      <c r="D539" s="151">
        <f>+2348172636544</f>
        <v>2348172636544</v>
      </c>
      <c r="F539" s="20" t="s">
        <v>168</v>
      </c>
      <c r="G539" s="6" t="s">
        <v>1654</v>
      </c>
    </row>
    <row r="540" ht="15.75" customHeight="1">
      <c r="A540" s="150">
        <v>43430.0</v>
      </c>
      <c r="B540" s="151" t="s">
        <v>2729</v>
      </c>
      <c r="C540" s="151" t="s">
        <v>2730</v>
      </c>
      <c r="D540" s="151">
        <f>+2349055468491</f>
        <v>2349055468491</v>
      </c>
      <c r="F540" s="20" t="s">
        <v>168</v>
      </c>
      <c r="G540" s="6" t="s">
        <v>1654</v>
      </c>
    </row>
    <row r="541" ht="15.75" customHeight="1">
      <c r="A541" s="150">
        <v>43430.0</v>
      </c>
      <c r="B541" s="151" t="s">
        <v>2731</v>
      </c>
      <c r="C541" s="151" t="s">
        <v>2732</v>
      </c>
      <c r="D541" s="151">
        <f>+2348072209768</f>
        <v>2348072209768</v>
      </c>
      <c r="F541" s="20" t="s">
        <v>168</v>
      </c>
      <c r="G541" s="6" t="s">
        <v>1654</v>
      </c>
    </row>
    <row r="542" ht="15.75" customHeight="1">
      <c r="A542" s="150">
        <v>43430.0</v>
      </c>
      <c r="B542" s="151" t="s">
        <v>2733</v>
      </c>
      <c r="C542" s="151" t="s">
        <v>2734</v>
      </c>
      <c r="D542" s="151">
        <f>+2348032662218</f>
        <v>2348032662218</v>
      </c>
      <c r="F542" s="20" t="s">
        <v>168</v>
      </c>
      <c r="G542" s="6" t="s">
        <v>1654</v>
      </c>
    </row>
    <row r="543" ht="15.75" customHeight="1">
      <c r="A543" s="150">
        <v>43430.0</v>
      </c>
      <c r="B543" s="151" t="s">
        <v>2735</v>
      </c>
      <c r="C543" s="151" t="s">
        <v>2736</v>
      </c>
      <c r="D543" s="151">
        <f>+2348022689171</f>
        <v>2348022689171</v>
      </c>
      <c r="F543" s="20" t="s">
        <v>168</v>
      </c>
      <c r="G543" s="6" t="s">
        <v>1654</v>
      </c>
    </row>
    <row r="544" ht="15.75" customHeight="1">
      <c r="A544" s="150">
        <v>43430.0</v>
      </c>
      <c r="B544" s="151" t="s">
        <v>2737</v>
      </c>
      <c r="C544" s="151" t="s">
        <v>2738</v>
      </c>
      <c r="D544" s="151">
        <f>+2348065313122</f>
        <v>2348065313122</v>
      </c>
      <c r="F544" s="20" t="s">
        <v>168</v>
      </c>
      <c r="G544" s="6" t="s">
        <v>1654</v>
      </c>
    </row>
    <row r="545" ht="15.75" customHeight="1">
      <c r="A545" s="150">
        <v>43430.0</v>
      </c>
      <c r="B545" s="151" t="s">
        <v>2739</v>
      </c>
      <c r="C545" s="151" t="s">
        <v>2740</v>
      </c>
      <c r="D545" s="151">
        <f>+2347068352954</f>
        <v>2347068352954</v>
      </c>
      <c r="F545" s="20" t="s">
        <v>168</v>
      </c>
      <c r="G545" s="6" t="s">
        <v>1654</v>
      </c>
    </row>
    <row r="546" ht="15.75" customHeight="1">
      <c r="A546" s="150">
        <v>43430.0</v>
      </c>
      <c r="B546" s="151" t="s">
        <v>2741</v>
      </c>
      <c r="C546" s="151" t="s">
        <v>2742</v>
      </c>
      <c r="D546" s="151">
        <f>+2347033850381</f>
        <v>2347033850381</v>
      </c>
      <c r="F546" s="20" t="s">
        <v>168</v>
      </c>
      <c r="G546" s="6" t="s">
        <v>1654</v>
      </c>
    </row>
    <row r="547" ht="15.75" customHeight="1">
      <c r="A547" s="150">
        <v>43430.0</v>
      </c>
      <c r="B547" s="151" t="s">
        <v>2743</v>
      </c>
      <c r="C547" s="151" t="s">
        <v>2744</v>
      </c>
      <c r="D547" s="151">
        <f>+2348035343607</f>
        <v>2348035343607</v>
      </c>
      <c r="F547" s="20" t="s">
        <v>168</v>
      </c>
      <c r="G547" s="6" t="s">
        <v>1654</v>
      </c>
    </row>
    <row r="548" ht="15.75" customHeight="1">
      <c r="A548" s="150">
        <v>43430.0</v>
      </c>
      <c r="B548" s="151" t="s">
        <v>2745</v>
      </c>
      <c r="C548" s="151" t="s">
        <v>2746</v>
      </c>
      <c r="D548" s="151">
        <f>+2348037620993</f>
        <v>2348037620993</v>
      </c>
      <c r="F548" s="20" t="s">
        <v>168</v>
      </c>
      <c r="G548" s="6" t="s">
        <v>1654</v>
      </c>
    </row>
    <row r="549" ht="15.75" customHeight="1">
      <c r="A549" s="150">
        <v>43430.0</v>
      </c>
      <c r="B549" s="151" t="s">
        <v>2747</v>
      </c>
      <c r="C549" s="151" t="s">
        <v>2748</v>
      </c>
      <c r="D549" s="151">
        <f>+2348024497828</f>
        <v>2348024497828</v>
      </c>
      <c r="F549" s="20" t="s">
        <v>168</v>
      </c>
      <c r="G549" s="6" t="s">
        <v>1654</v>
      </c>
    </row>
    <row r="550" ht="15.75" customHeight="1">
      <c r="A550" s="150">
        <v>43430.0</v>
      </c>
      <c r="B550" s="151" t="s">
        <v>2749</v>
      </c>
      <c r="C550" s="151" t="s">
        <v>2750</v>
      </c>
      <c r="D550" s="151">
        <f>+2348137999666</f>
        <v>2348137999666</v>
      </c>
      <c r="F550" s="20" t="s">
        <v>168</v>
      </c>
      <c r="G550" s="6" t="s">
        <v>1654</v>
      </c>
    </row>
    <row r="551" ht="15.75" customHeight="1">
      <c r="A551" s="150">
        <v>43430.0</v>
      </c>
      <c r="B551" s="151" t="s">
        <v>2751</v>
      </c>
      <c r="C551" s="151" t="s">
        <v>2752</v>
      </c>
      <c r="D551" s="151">
        <f>+2348030611265</f>
        <v>2348030611265</v>
      </c>
      <c r="F551" s="20" t="s">
        <v>168</v>
      </c>
      <c r="G551" s="6" t="s">
        <v>1654</v>
      </c>
    </row>
    <row r="552" ht="15.75" customHeight="1">
      <c r="A552" s="150">
        <v>43430.0</v>
      </c>
      <c r="B552" s="151" t="s">
        <v>2753</v>
      </c>
      <c r="C552" s="151" t="s">
        <v>2754</v>
      </c>
      <c r="D552" s="151">
        <f>+2348039366525</f>
        <v>2348039366525</v>
      </c>
      <c r="F552" s="20" t="s">
        <v>168</v>
      </c>
      <c r="G552" s="6" t="s">
        <v>1654</v>
      </c>
    </row>
    <row r="553" ht="15.75" customHeight="1">
      <c r="A553" s="150">
        <v>43430.0</v>
      </c>
      <c r="B553" s="151" t="s">
        <v>2755</v>
      </c>
      <c r="C553" s="151" t="s">
        <v>2756</v>
      </c>
      <c r="D553" s="151">
        <f>+2348068764893</f>
        <v>2348068764893</v>
      </c>
      <c r="F553" s="20" t="s">
        <v>168</v>
      </c>
      <c r="G553" s="6" t="s">
        <v>1654</v>
      </c>
    </row>
    <row r="554" ht="15.75" customHeight="1">
      <c r="A554" s="150">
        <v>43430.0</v>
      </c>
      <c r="B554" s="151" t="s">
        <v>2757</v>
      </c>
      <c r="C554" s="151" t="s">
        <v>2758</v>
      </c>
      <c r="D554" s="151">
        <f>+2348068489735</f>
        <v>2348068489735</v>
      </c>
      <c r="F554" s="20" t="s">
        <v>168</v>
      </c>
      <c r="G554" s="6" t="s">
        <v>1654</v>
      </c>
    </row>
    <row r="555" ht="15.75" customHeight="1">
      <c r="A555" s="150">
        <v>43430.0</v>
      </c>
      <c r="B555" s="151" t="s">
        <v>2759</v>
      </c>
      <c r="C555" s="151" t="s">
        <v>2760</v>
      </c>
      <c r="D555" s="151">
        <f>+2348034889161</f>
        <v>2348034889161</v>
      </c>
      <c r="F555" s="20" t="s">
        <v>168</v>
      </c>
      <c r="G555" s="6" t="s">
        <v>1654</v>
      </c>
    </row>
    <row r="556" ht="15.75" customHeight="1">
      <c r="A556" s="150">
        <v>43430.0</v>
      </c>
      <c r="B556" s="151" t="s">
        <v>2761</v>
      </c>
      <c r="C556" s="151" t="s">
        <v>2762</v>
      </c>
      <c r="D556" s="151">
        <f>+2347067664359</f>
        <v>2347067664359</v>
      </c>
      <c r="F556" s="20" t="s">
        <v>168</v>
      </c>
      <c r="G556" s="6" t="s">
        <v>1654</v>
      </c>
    </row>
    <row r="557" ht="15.75" customHeight="1">
      <c r="A557" s="150">
        <v>43430.0</v>
      </c>
      <c r="B557" s="151" t="s">
        <v>2763</v>
      </c>
      <c r="C557" s="151" t="s">
        <v>2764</v>
      </c>
      <c r="D557" s="151">
        <f>+2347045722445</f>
        <v>2347045722445</v>
      </c>
      <c r="F557" s="20" t="s">
        <v>168</v>
      </c>
      <c r="G557" s="6" t="s">
        <v>1654</v>
      </c>
    </row>
    <row r="558" ht="15.75" customHeight="1">
      <c r="A558" s="150">
        <v>43430.0</v>
      </c>
      <c r="B558" s="151" t="s">
        <v>2765</v>
      </c>
      <c r="C558" s="151" t="s">
        <v>2766</v>
      </c>
      <c r="D558" s="151">
        <f>+2348140280638</f>
        <v>2348140280638</v>
      </c>
      <c r="F558" s="6" t="s">
        <v>97</v>
      </c>
      <c r="G558" s="6" t="s">
        <v>1654</v>
      </c>
    </row>
    <row r="559" ht="15.75" customHeight="1">
      <c r="A559" s="150">
        <v>43430.0</v>
      </c>
      <c r="B559" s="151" t="s">
        <v>2767</v>
      </c>
      <c r="C559" s="151" t="s">
        <v>2768</v>
      </c>
      <c r="D559" s="151">
        <f>+2348035307364</f>
        <v>2348035307364</v>
      </c>
      <c r="F559" s="6" t="s">
        <v>97</v>
      </c>
      <c r="G559" s="6" t="s">
        <v>1654</v>
      </c>
    </row>
    <row r="560" ht="15.75" customHeight="1">
      <c r="A560" s="150">
        <v>43430.0</v>
      </c>
      <c r="B560" s="151" t="s">
        <v>2769</v>
      </c>
      <c r="C560" s="151" t="s">
        <v>2770</v>
      </c>
      <c r="D560" s="151">
        <f>+2348026006966</f>
        <v>2348026006966</v>
      </c>
      <c r="F560" s="6" t="s">
        <v>97</v>
      </c>
      <c r="G560" s="6" t="s">
        <v>1654</v>
      </c>
    </row>
    <row r="561" ht="15.75" customHeight="1">
      <c r="A561" s="150">
        <v>43430.0</v>
      </c>
      <c r="B561" s="151" t="s">
        <v>2771</v>
      </c>
      <c r="C561" s="151" t="s">
        <v>2772</v>
      </c>
      <c r="D561" s="151">
        <f>+2348103859022</f>
        <v>2348103859022</v>
      </c>
      <c r="F561" s="6" t="s">
        <v>97</v>
      </c>
      <c r="G561" s="6" t="s">
        <v>1654</v>
      </c>
    </row>
    <row r="562" ht="15.75" customHeight="1">
      <c r="A562" s="150">
        <v>43430.0</v>
      </c>
      <c r="B562" s="151" t="s">
        <v>2773</v>
      </c>
      <c r="C562" s="151" t="s">
        <v>2774</v>
      </c>
      <c r="D562" s="151">
        <f>+2348134990782</f>
        <v>2348134990782</v>
      </c>
      <c r="F562" s="6" t="s">
        <v>97</v>
      </c>
      <c r="G562" s="6" t="s">
        <v>1654</v>
      </c>
    </row>
    <row r="563" ht="15.75" customHeight="1">
      <c r="A563" s="150">
        <v>43430.0</v>
      </c>
      <c r="B563" s="151" t="s">
        <v>2775</v>
      </c>
      <c r="C563" s="151" t="s">
        <v>2776</v>
      </c>
      <c r="D563" s="151">
        <f>+2348174781550</f>
        <v>2348174781550</v>
      </c>
      <c r="F563" s="6" t="s">
        <v>97</v>
      </c>
      <c r="G563" s="6" t="s">
        <v>1654</v>
      </c>
    </row>
    <row r="564" ht="15.75" customHeight="1">
      <c r="A564" s="150">
        <v>43430.0</v>
      </c>
      <c r="B564" s="151" t="s">
        <v>2777</v>
      </c>
      <c r="C564" s="151" t="s">
        <v>2778</v>
      </c>
      <c r="D564" s="151">
        <f>+2348161117512</f>
        <v>2348161117512</v>
      </c>
      <c r="F564" s="6" t="s">
        <v>97</v>
      </c>
      <c r="G564" s="6" t="s">
        <v>1654</v>
      </c>
    </row>
    <row r="565" ht="15.75" customHeight="1">
      <c r="A565" s="150">
        <v>43430.0</v>
      </c>
      <c r="B565" s="151" t="s">
        <v>2779</v>
      </c>
      <c r="C565" s="151" t="s">
        <v>2780</v>
      </c>
      <c r="D565" s="151">
        <f>+2348065200682</f>
        <v>2348065200682</v>
      </c>
      <c r="F565" s="6" t="s">
        <v>97</v>
      </c>
      <c r="G565" s="6" t="s">
        <v>1654</v>
      </c>
    </row>
    <row r="566" ht="15.75" customHeight="1">
      <c r="A566" s="150">
        <v>43430.0</v>
      </c>
      <c r="B566" s="151" t="s">
        <v>2781</v>
      </c>
      <c r="C566" s="151" t="s">
        <v>2782</v>
      </c>
      <c r="D566" s="151">
        <f>+2347036309869</f>
        <v>2347036309869</v>
      </c>
      <c r="F566" s="6" t="s">
        <v>97</v>
      </c>
      <c r="G566" s="6" t="s">
        <v>1654</v>
      </c>
    </row>
    <row r="567" ht="15.75" customHeight="1">
      <c r="A567" s="150">
        <v>43430.0</v>
      </c>
      <c r="B567" s="151" t="s">
        <v>2783</v>
      </c>
      <c r="C567" s="151" t="s">
        <v>2784</v>
      </c>
      <c r="D567" s="151">
        <f>+2348023122209</f>
        <v>2348023122209</v>
      </c>
      <c r="F567" s="6" t="s">
        <v>97</v>
      </c>
      <c r="G567" s="6" t="s">
        <v>1654</v>
      </c>
    </row>
    <row r="568" ht="15.75" customHeight="1">
      <c r="A568" s="150">
        <v>43430.0</v>
      </c>
      <c r="B568" s="151" t="s">
        <v>2785</v>
      </c>
      <c r="C568" s="151" t="s">
        <v>2786</v>
      </c>
      <c r="D568" s="151">
        <f>+2347064962928</f>
        <v>2347064962928</v>
      </c>
      <c r="F568" s="6" t="s">
        <v>97</v>
      </c>
      <c r="G568" s="6" t="s">
        <v>1654</v>
      </c>
    </row>
    <row r="569" ht="15.75" customHeight="1">
      <c r="A569" s="150">
        <v>43430.0</v>
      </c>
      <c r="B569" s="151" t="s">
        <v>2787</v>
      </c>
      <c r="C569" s="151" t="s">
        <v>2788</v>
      </c>
      <c r="D569" s="151">
        <f>+2349097615588</f>
        <v>2349097615588</v>
      </c>
      <c r="F569" s="6" t="s">
        <v>97</v>
      </c>
      <c r="G569" s="6" t="s">
        <v>1654</v>
      </c>
    </row>
    <row r="570" ht="15.75" customHeight="1">
      <c r="A570" s="150">
        <v>43430.0</v>
      </c>
      <c r="B570" s="151" t="s">
        <v>2789</v>
      </c>
      <c r="C570" s="151" t="s">
        <v>2790</v>
      </c>
      <c r="D570" s="151">
        <f>+2348055607063</f>
        <v>2348055607063</v>
      </c>
      <c r="F570" s="6" t="s">
        <v>97</v>
      </c>
      <c r="G570" s="6" t="s">
        <v>1654</v>
      </c>
    </row>
    <row r="571" ht="15.75" customHeight="1">
      <c r="A571" s="150">
        <v>43430.0</v>
      </c>
      <c r="B571" s="151" t="s">
        <v>2791</v>
      </c>
      <c r="C571" s="151" t="s">
        <v>2792</v>
      </c>
      <c r="D571" s="151">
        <f>+2348032470303</f>
        <v>2348032470303</v>
      </c>
      <c r="F571" s="6" t="s">
        <v>97</v>
      </c>
      <c r="G571" s="6" t="s">
        <v>1654</v>
      </c>
    </row>
    <row r="572" ht="15.75" customHeight="1">
      <c r="A572" s="150">
        <v>43430.0</v>
      </c>
      <c r="B572" s="151" t="s">
        <v>2793</v>
      </c>
      <c r="C572" s="151" t="s">
        <v>2794</v>
      </c>
      <c r="D572" s="151">
        <f>+2347067834389</f>
        <v>2347067834389</v>
      </c>
      <c r="F572" s="6" t="s">
        <v>97</v>
      </c>
      <c r="G572" s="6" t="s">
        <v>1654</v>
      </c>
    </row>
    <row r="573" ht="15.75" customHeight="1">
      <c r="A573" s="150">
        <v>43430.0</v>
      </c>
      <c r="B573" s="151" t="s">
        <v>2795</v>
      </c>
      <c r="C573" s="151" t="s">
        <v>2796</v>
      </c>
      <c r="D573" s="151">
        <f>+2347066860126</f>
        <v>2347066860126</v>
      </c>
      <c r="F573" s="6" t="s">
        <v>97</v>
      </c>
      <c r="G573" s="6" t="s">
        <v>1654</v>
      </c>
    </row>
    <row r="574" ht="15.75" customHeight="1">
      <c r="A574" s="150">
        <v>43430.0</v>
      </c>
      <c r="B574" s="151" t="s">
        <v>2797</v>
      </c>
      <c r="C574" s="151" t="s">
        <v>2798</v>
      </c>
      <c r="D574" s="151">
        <f>+2348035141067</f>
        <v>2348035141067</v>
      </c>
      <c r="F574" s="6" t="s">
        <v>97</v>
      </c>
      <c r="G574" s="6" t="s">
        <v>1654</v>
      </c>
    </row>
    <row r="575" ht="15.75" customHeight="1">
      <c r="A575" s="150">
        <v>43430.0</v>
      </c>
      <c r="B575" s="151" t="s">
        <v>2799</v>
      </c>
      <c r="C575" s="151" t="s">
        <v>2800</v>
      </c>
      <c r="D575" s="151">
        <f>+2348077907955</f>
        <v>2348077907955</v>
      </c>
      <c r="F575" s="6" t="s">
        <v>97</v>
      </c>
      <c r="G575" s="6" t="s">
        <v>1654</v>
      </c>
    </row>
    <row r="576" ht="15.75" customHeight="1">
      <c r="A576" s="150">
        <v>43430.0</v>
      </c>
      <c r="B576" s="151" t="s">
        <v>2801</v>
      </c>
      <c r="C576" s="151" t="s">
        <v>2802</v>
      </c>
      <c r="D576" s="151">
        <f>+2348028310978</f>
        <v>2348028310978</v>
      </c>
      <c r="F576" s="6" t="s">
        <v>97</v>
      </c>
      <c r="G576" s="6" t="s">
        <v>1654</v>
      </c>
    </row>
    <row r="577" ht="15.75" customHeight="1">
      <c r="A577" s="150">
        <v>43430.0</v>
      </c>
      <c r="B577" s="151" t="s">
        <v>2803</v>
      </c>
      <c r="C577" s="151" t="s">
        <v>2804</v>
      </c>
      <c r="D577" s="151">
        <f>+18134743193</f>
        <v>18134743193</v>
      </c>
      <c r="F577" s="6" t="s">
        <v>97</v>
      </c>
      <c r="G577" s="6" t="s">
        <v>1654</v>
      </c>
    </row>
    <row r="578" ht="15.75" customHeight="1">
      <c r="A578" s="150">
        <v>43430.0</v>
      </c>
      <c r="B578" s="151" t="s">
        <v>2805</v>
      </c>
      <c r="C578" s="151" t="s">
        <v>2806</v>
      </c>
      <c r="D578" s="151">
        <f>+2348034926820</f>
        <v>2348034926820</v>
      </c>
      <c r="F578" s="6" t="s">
        <v>97</v>
      </c>
      <c r="G578" s="6" t="s">
        <v>1654</v>
      </c>
    </row>
    <row r="579" ht="15.75" customHeight="1">
      <c r="A579" s="150">
        <v>43430.0</v>
      </c>
      <c r="B579" s="151" t="s">
        <v>2807</v>
      </c>
      <c r="C579" s="151" t="s">
        <v>2808</v>
      </c>
      <c r="D579" s="151">
        <f>+2347069543506</f>
        <v>2347069543506</v>
      </c>
      <c r="F579" s="6" t="s">
        <v>97</v>
      </c>
      <c r="G579" s="6" t="s">
        <v>1654</v>
      </c>
    </row>
    <row r="580" ht="15.75" customHeight="1">
      <c r="A580" s="150">
        <v>43430.0</v>
      </c>
      <c r="B580" s="151" t="s">
        <v>2809</v>
      </c>
      <c r="C580" s="151" t="s">
        <v>2810</v>
      </c>
      <c r="D580" s="151">
        <f>+2348037225845</f>
        <v>2348037225845</v>
      </c>
      <c r="F580" s="6" t="s">
        <v>97</v>
      </c>
      <c r="G580" s="6" t="s">
        <v>1654</v>
      </c>
    </row>
    <row r="581" ht="15.75" customHeight="1">
      <c r="A581" s="150">
        <v>43430.0</v>
      </c>
      <c r="B581" s="151" t="s">
        <v>2811</v>
      </c>
      <c r="C581" s="151" t="s">
        <v>2812</v>
      </c>
      <c r="D581" s="151">
        <f>+2348028960508</f>
        <v>2348028960508</v>
      </c>
      <c r="F581" s="6" t="s">
        <v>97</v>
      </c>
      <c r="G581" s="6" t="s">
        <v>1654</v>
      </c>
    </row>
    <row r="582" ht="15.75" customHeight="1">
      <c r="A582" s="150">
        <v>43430.0</v>
      </c>
      <c r="B582" s="151" t="s">
        <v>2813</v>
      </c>
      <c r="C582" s="151" t="s">
        <v>2814</v>
      </c>
      <c r="D582" s="151">
        <f>+2348132360769</f>
        <v>2348132360769</v>
      </c>
      <c r="F582" s="6" t="s">
        <v>97</v>
      </c>
      <c r="G582" s="6" t="s">
        <v>1654</v>
      </c>
    </row>
    <row r="583" ht="15.75" customHeight="1">
      <c r="A583" s="150">
        <v>43430.0</v>
      </c>
      <c r="B583" s="151" t="s">
        <v>2815</v>
      </c>
      <c r="C583" s="151" t="s">
        <v>2816</v>
      </c>
      <c r="D583" s="151">
        <f>+2348060211800</f>
        <v>2348060211800</v>
      </c>
      <c r="F583" s="6" t="s">
        <v>97</v>
      </c>
      <c r="G583" s="6" t="s">
        <v>1654</v>
      </c>
    </row>
    <row r="584" ht="15.75" customHeight="1">
      <c r="A584" s="150">
        <v>43430.0</v>
      </c>
      <c r="B584" s="151" t="s">
        <v>2817</v>
      </c>
      <c r="C584" s="151" t="s">
        <v>2818</v>
      </c>
      <c r="D584" s="151">
        <f>+2348181321730</f>
        <v>2348181321730</v>
      </c>
      <c r="F584" s="6" t="s">
        <v>97</v>
      </c>
      <c r="G584" s="6" t="s">
        <v>1654</v>
      </c>
    </row>
    <row r="585" ht="15.75" customHeight="1">
      <c r="A585" s="150">
        <v>43430.0</v>
      </c>
      <c r="B585" s="151" t="s">
        <v>2819</v>
      </c>
      <c r="C585" s="151" t="s">
        <v>2820</v>
      </c>
      <c r="D585" s="151">
        <f>+2348091100544</f>
        <v>2348091100544</v>
      </c>
      <c r="F585" s="6" t="s">
        <v>97</v>
      </c>
      <c r="G585" s="6" t="s">
        <v>1654</v>
      </c>
    </row>
    <row r="586" ht="15.75" customHeight="1">
      <c r="A586" s="150">
        <v>43430.0</v>
      </c>
      <c r="B586" s="151" t="s">
        <v>2821</v>
      </c>
      <c r="C586" s="151" t="s">
        <v>2822</v>
      </c>
      <c r="D586" s="151">
        <f>+2348095493936</f>
        <v>2348095493936</v>
      </c>
      <c r="F586" s="6" t="s">
        <v>97</v>
      </c>
      <c r="G586" s="6" t="s">
        <v>1654</v>
      </c>
    </row>
    <row r="587" ht="15.75" customHeight="1">
      <c r="A587" s="150">
        <v>43430.0</v>
      </c>
      <c r="B587" s="151" t="s">
        <v>2823</v>
      </c>
      <c r="C587" s="151" t="s">
        <v>2824</v>
      </c>
      <c r="D587" s="151">
        <f>+2347064399920</f>
        <v>2347064399920</v>
      </c>
      <c r="F587" s="6" t="s">
        <v>97</v>
      </c>
      <c r="G587" s="6" t="s">
        <v>1654</v>
      </c>
    </row>
    <row r="588" ht="15.75" customHeight="1">
      <c r="A588" s="150">
        <v>43430.0</v>
      </c>
      <c r="B588" s="151" t="s">
        <v>2825</v>
      </c>
      <c r="C588" s="151" t="s">
        <v>2826</v>
      </c>
      <c r="D588" s="151">
        <f>+2348064312323</f>
        <v>2348064312323</v>
      </c>
      <c r="F588" s="6" t="s">
        <v>97</v>
      </c>
      <c r="G588" s="6" t="s">
        <v>1654</v>
      </c>
    </row>
    <row r="589" ht="15.75" customHeight="1">
      <c r="A589" s="150">
        <v>43430.0</v>
      </c>
      <c r="B589" s="151" t="s">
        <v>2827</v>
      </c>
      <c r="C589" s="151" t="s">
        <v>2828</v>
      </c>
      <c r="D589" s="151">
        <f>+2347013267816</f>
        <v>2347013267816</v>
      </c>
      <c r="F589" s="6" t="s">
        <v>97</v>
      </c>
      <c r="G589" s="6" t="s">
        <v>1654</v>
      </c>
    </row>
    <row r="590" ht="15.75" customHeight="1">
      <c r="A590" s="150">
        <v>43430.0</v>
      </c>
      <c r="B590" s="151" t="s">
        <v>2829</v>
      </c>
      <c r="C590" s="151" t="s">
        <v>2830</v>
      </c>
      <c r="D590" s="151">
        <f>+2349080442114</f>
        <v>2349080442114</v>
      </c>
      <c r="F590" s="6" t="s">
        <v>97</v>
      </c>
      <c r="G590" s="6" t="s">
        <v>1654</v>
      </c>
    </row>
    <row r="591" ht="15.75" customHeight="1">
      <c r="A591" s="150">
        <v>43430.0</v>
      </c>
      <c r="B591" s="151" t="s">
        <v>2831</v>
      </c>
      <c r="C591" s="151" t="s">
        <v>2832</v>
      </c>
      <c r="D591" s="151">
        <f>+2348053370090</f>
        <v>2348053370090</v>
      </c>
      <c r="F591" s="6" t="s">
        <v>97</v>
      </c>
      <c r="G591" s="6" t="s">
        <v>1654</v>
      </c>
    </row>
    <row r="592" ht="15.75" customHeight="1">
      <c r="A592" s="150">
        <v>43430.0</v>
      </c>
      <c r="B592" s="151" t="s">
        <v>2833</v>
      </c>
      <c r="C592" s="151" t="s">
        <v>2834</v>
      </c>
      <c r="D592" s="151">
        <f>+2348036338229</f>
        <v>2348036338229</v>
      </c>
      <c r="F592" s="6" t="s">
        <v>97</v>
      </c>
      <c r="G592" s="6" t="s">
        <v>1654</v>
      </c>
    </row>
    <row r="593" ht="15.75" customHeight="1">
      <c r="A593" s="150">
        <v>43430.0</v>
      </c>
      <c r="B593" s="151" t="s">
        <v>2835</v>
      </c>
      <c r="C593" s="151" t="s">
        <v>2836</v>
      </c>
      <c r="D593" s="151">
        <f>+2348037606150</f>
        <v>2348037606150</v>
      </c>
      <c r="F593" s="6" t="s">
        <v>97</v>
      </c>
      <c r="G593" s="6" t="s">
        <v>1654</v>
      </c>
    </row>
    <row r="594" ht="15.75" customHeight="1">
      <c r="A594" s="150">
        <v>43430.0</v>
      </c>
      <c r="B594" s="151" t="s">
        <v>2837</v>
      </c>
      <c r="C594" s="151" t="s">
        <v>2838</v>
      </c>
      <c r="D594" s="151">
        <f>+2348149924682</f>
        <v>2348149924682</v>
      </c>
      <c r="F594" s="6" t="s">
        <v>97</v>
      </c>
      <c r="G594" s="6" t="s">
        <v>1654</v>
      </c>
    </row>
    <row r="595" ht="15.75" customHeight="1">
      <c r="A595" s="150">
        <v>43430.0</v>
      </c>
      <c r="B595" s="151" t="s">
        <v>2839</v>
      </c>
      <c r="C595" s="151" t="s">
        <v>2840</v>
      </c>
      <c r="D595" s="151">
        <f>+23408122871661</f>
        <v>23408122871661</v>
      </c>
      <c r="F595" s="6" t="s">
        <v>97</v>
      </c>
      <c r="G595" s="6" t="s">
        <v>1654</v>
      </c>
    </row>
    <row r="596" ht="15.75" customHeight="1">
      <c r="A596" s="150">
        <v>43430.0</v>
      </c>
      <c r="B596" s="151" t="s">
        <v>2841</v>
      </c>
      <c r="C596" s="151" t="s">
        <v>2842</v>
      </c>
      <c r="D596" s="151">
        <f>+2348159276170</f>
        <v>2348159276170</v>
      </c>
      <c r="F596" s="6" t="s">
        <v>97</v>
      </c>
      <c r="G596" s="6" t="s">
        <v>1654</v>
      </c>
    </row>
    <row r="597" ht="15.75" customHeight="1">
      <c r="A597" s="150">
        <v>43430.0</v>
      </c>
      <c r="B597" s="151" t="s">
        <v>2843</v>
      </c>
      <c r="C597" s="151" t="s">
        <v>2844</v>
      </c>
      <c r="D597" s="151">
        <f>+2348065688946</f>
        <v>2348065688946</v>
      </c>
      <c r="F597" s="6" t="s">
        <v>97</v>
      </c>
      <c r="G597" s="6" t="s">
        <v>1654</v>
      </c>
    </row>
    <row r="598" ht="15.75" customHeight="1">
      <c r="A598" s="150">
        <v>43430.0</v>
      </c>
      <c r="B598" s="151" t="s">
        <v>2845</v>
      </c>
      <c r="C598" s="151" t="s">
        <v>2846</v>
      </c>
      <c r="D598" s="151">
        <f>+2347030177373</f>
        <v>2347030177373</v>
      </c>
      <c r="F598" s="6" t="s">
        <v>97</v>
      </c>
      <c r="G598" s="6" t="s">
        <v>1654</v>
      </c>
    </row>
    <row r="599" ht="15.75" customHeight="1">
      <c r="A599" s="150">
        <v>43430.0</v>
      </c>
      <c r="B599" s="151" t="s">
        <v>2847</v>
      </c>
      <c r="C599" s="151" t="s">
        <v>2848</v>
      </c>
      <c r="D599" s="151">
        <f>+2348056562827</f>
        <v>2348056562827</v>
      </c>
      <c r="F599" s="6" t="s">
        <v>97</v>
      </c>
      <c r="G599" s="6" t="s">
        <v>1654</v>
      </c>
    </row>
    <row r="600" ht="15.75" customHeight="1">
      <c r="A600" s="150">
        <v>43430.0</v>
      </c>
      <c r="B600" s="151" t="s">
        <v>2849</v>
      </c>
      <c r="C600" s="151" t="s">
        <v>2850</v>
      </c>
      <c r="D600" s="151">
        <f>+2348059872920</f>
        <v>2348059872920</v>
      </c>
      <c r="F600" s="6" t="s">
        <v>97</v>
      </c>
      <c r="G600" s="6" t="s">
        <v>1654</v>
      </c>
    </row>
    <row r="601" ht="15.75" customHeight="1">
      <c r="A601" s="150">
        <v>43430.0</v>
      </c>
      <c r="B601" s="151" t="s">
        <v>2851</v>
      </c>
      <c r="C601" s="151" t="s">
        <v>2852</v>
      </c>
      <c r="D601" s="151">
        <f>+23408189102274</f>
        <v>23408189102274</v>
      </c>
      <c r="F601" s="6" t="s">
        <v>97</v>
      </c>
      <c r="G601" s="6" t="s">
        <v>1654</v>
      </c>
    </row>
    <row r="602" ht="15.75" customHeight="1">
      <c r="A602" s="150">
        <v>43430.0</v>
      </c>
      <c r="B602" s="151" t="s">
        <v>2853</v>
      </c>
      <c r="C602" s="151" t="s">
        <v>2854</v>
      </c>
      <c r="D602" s="151">
        <f>+2347040966294</f>
        <v>2347040966294</v>
      </c>
      <c r="F602" s="6" t="s">
        <v>97</v>
      </c>
      <c r="G602" s="6" t="s">
        <v>1654</v>
      </c>
    </row>
    <row r="603" ht="15.75" customHeight="1">
      <c r="A603" s="150">
        <v>43430.0</v>
      </c>
      <c r="B603" s="151" t="s">
        <v>2855</v>
      </c>
      <c r="C603" s="151" t="s">
        <v>2856</v>
      </c>
      <c r="D603" s="151">
        <f>+2348033227060</f>
        <v>2348033227060</v>
      </c>
      <c r="F603" s="6" t="s">
        <v>97</v>
      </c>
      <c r="G603" s="6" t="s">
        <v>1654</v>
      </c>
    </row>
    <row r="604" ht="15.75" customHeight="1">
      <c r="A604" s="150">
        <v>43431.0</v>
      </c>
      <c r="B604" s="151" t="s">
        <v>2857</v>
      </c>
      <c r="C604" s="151" t="s">
        <v>2858</v>
      </c>
      <c r="D604" s="151">
        <f>+2348033901155</f>
        <v>2348033901155</v>
      </c>
      <c r="F604" s="6" t="s">
        <v>97</v>
      </c>
      <c r="G604" s="6" t="s">
        <v>1654</v>
      </c>
    </row>
    <row r="605" ht="15.75" customHeight="1">
      <c r="A605" s="150">
        <v>43431.0</v>
      </c>
      <c r="B605" s="151" t="s">
        <v>2859</v>
      </c>
      <c r="C605" s="151" t="s">
        <v>2860</v>
      </c>
      <c r="D605" s="151">
        <f>+2348032018479</f>
        <v>2348032018479</v>
      </c>
      <c r="F605" s="6" t="s">
        <v>97</v>
      </c>
      <c r="G605" s="6" t="s">
        <v>1654</v>
      </c>
    </row>
    <row r="606" ht="15.75" customHeight="1">
      <c r="A606" s="150">
        <v>43431.0</v>
      </c>
      <c r="B606" s="151" t="s">
        <v>2861</v>
      </c>
      <c r="C606" s="151" t="s">
        <v>2862</v>
      </c>
      <c r="D606" s="151">
        <f>+2349022839926</f>
        <v>2349022839926</v>
      </c>
      <c r="F606" s="6" t="s">
        <v>97</v>
      </c>
      <c r="G606" s="6" t="s">
        <v>1654</v>
      </c>
    </row>
    <row r="607" ht="15.75" customHeight="1">
      <c r="A607" s="150">
        <v>43431.0</v>
      </c>
      <c r="B607" s="151" t="s">
        <v>2863</v>
      </c>
      <c r="C607" s="151" t="s">
        <v>2864</v>
      </c>
      <c r="D607" s="151">
        <f>+27844425363</f>
        <v>27844425363</v>
      </c>
      <c r="F607" s="6" t="s">
        <v>97</v>
      </c>
      <c r="G607" s="6" t="s">
        <v>1654</v>
      </c>
    </row>
    <row r="608" ht="15.75" customHeight="1">
      <c r="A608" s="150">
        <v>43431.0</v>
      </c>
      <c r="B608" s="151" t="s">
        <v>2865</v>
      </c>
      <c r="C608" s="151" t="s">
        <v>2866</v>
      </c>
      <c r="D608" s="151">
        <f>+2348032494537</f>
        <v>2348032494537</v>
      </c>
      <c r="F608" s="6" t="s">
        <v>97</v>
      </c>
      <c r="G608" s="6" t="s">
        <v>1654</v>
      </c>
    </row>
    <row r="609" ht="15.75" customHeight="1">
      <c r="A609" s="150">
        <v>43431.0</v>
      </c>
      <c r="B609" s="151" t="s">
        <v>2867</v>
      </c>
      <c r="C609" s="151" t="s">
        <v>2868</v>
      </c>
      <c r="D609" s="151">
        <f>+2348162178492</f>
        <v>2348162178492</v>
      </c>
      <c r="F609" s="6" t="s">
        <v>97</v>
      </c>
      <c r="G609" s="6" t="s">
        <v>1654</v>
      </c>
    </row>
    <row r="610" ht="15.75" customHeight="1">
      <c r="A610" s="150">
        <v>43431.0</v>
      </c>
      <c r="B610" s="151" t="s">
        <v>2869</v>
      </c>
      <c r="C610" s="151" t="s">
        <v>2870</v>
      </c>
      <c r="D610" s="151">
        <f>+2348108934017</f>
        <v>2348108934017</v>
      </c>
      <c r="F610" s="6" t="s">
        <v>97</v>
      </c>
      <c r="G610" s="6" t="s">
        <v>1654</v>
      </c>
    </row>
    <row r="611" ht="15.75" customHeight="1">
      <c r="A611" s="150">
        <v>43431.0</v>
      </c>
      <c r="B611" s="151" t="s">
        <v>2871</v>
      </c>
      <c r="C611" s="151" t="s">
        <v>2872</v>
      </c>
      <c r="D611" s="151">
        <f>+2347063654968</f>
        <v>2347063654968</v>
      </c>
      <c r="F611" s="6" t="s">
        <v>97</v>
      </c>
      <c r="G611" s="6" t="s">
        <v>1654</v>
      </c>
    </row>
    <row r="612" ht="15.75" customHeight="1">
      <c r="A612" s="150">
        <v>43431.0</v>
      </c>
      <c r="B612" s="151" t="s">
        <v>2873</v>
      </c>
      <c r="C612" s="151" t="s">
        <v>2874</v>
      </c>
      <c r="D612" s="151">
        <f>+23407039095320</f>
        <v>23407039095320</v>
      </c>
      <c r="F612" s="6" t="s">
        <v>97</v>
      </c>
      <c r="G612" s="6" t="s">
        <v>1654</v>
      </c>
    </row>
    <row r="613" ht="15.75" customHeight="1">
      <c r="A613" s="150">
        <v>43431.0</v>
      </c>
      <c r="B613" s="151" t="s">
        <v>2875</v>
      </c>
      <c r="C613" s="151" t="s">
        <v>2876</v>
      </c>
      <c r="D613" s="151">
        <f>+2348051138655</f>
        <v>2348051138655</v>
      </c>
      <c r="F613" s="6" t="s">
        <v>97</v>
      </c>
      <c r="G613" s="6" t="s">
        <v>1654</v>
      </c>
    </row>
    <row r="614" ht="15.75" customHeight="1">
      <c r="A614" s="150">
        <v>43431.0</v>
      </c>
      <c r="B614" s="151" t="s">
        <v>2877</v>
      </c>
      <c r="C614" s="151" t="s">
        <v>2878</v>
      </c>
      <c r="D614" s="151">
        <f>+2348105293341</f>
        <v>2348105293341</v>
      </c>
      <c r="F614" s="6" t="s">
        <v>97</v>
      </c>
      <c r="G614" s="6" t="s">
        <v>1654</v>
      </c>
    </row>
    <row r="615" ht="15.75" customHeight="1">
      <c r="A615" s="150">
        <v>43431.0</v>
      </c>
      <c r="B615" s="151" t="s">
        <v>2879</v>
      </c>
      <c r="C615" s="151" t="s">
        <v>2880</v>
      </c>
      <c r="D615" s="151">
        <f>+2348123880204</f>
        <v>2348123880204</v>
      </c>
      <c r="F615" s="6" t="s">
        <v>97</v>
      </c>
      <c r="G615" s="6" t="s">
        <v>1654</v>
      </c>
    </row>
    <row r="616" ht="15.75" customHeight="1">
      <c r="A616" s="150">
        <v>43431.0</v>
      </c>
      <c r="B616" s="151" t="s">
        <v>2881</v>
      </c>
      <c r="C616" s="151" t="s">
        <v>2882</v>
      </c>
      <c r="D616" s="151">
        <f>+2348036022472</f>
        <v>2348036022472</v>
      </c>
      <c r="F616" s="6" t="s">
        <v>97</v>
      </c>
      <c r="G616" s="6" t="s">
        <v>1654</v>
      </c>
    </row>
    <row r="617" ht="15.75" customHeight="1">
      <c r="A617" s="150">
        <v>43431.0</v>
      </c>
      <c r="B617" s="151" t="s">
        <v>2883</v>
      </c>
      <c r="C617" s="151" t="s">
        <v>2884</v>
      </c>
      <c r="D617" s="151">
        <f>+23408033644773</f>
        <v>23408033644773</v>
      </c>
      <c r="F617" s="6" t="s">
        <v>97</v>
      </c>
      <c r="G617" s="6" t="s">
        <v>1654</v>
      </c>
    </row>
    <row r="618" ht="15.75" customHeight="1">
      <c r="A618" s="150">
        <v>43431.0</v>
      </c>
      <c r="B618" s="151" t="s">
        <v>2885</v>
      </c>
      <c r="C618" s="151" t="s">
        <v>2886</v>
      </c>
      <c r="D618" s="151">
        <f>+2348139201347</f>
        <v>2348139201347</v>
      </c>
      <c r="F618" s="6" t="s">
        <v>97</v>
      </c>
      <c r="G618" s="6" t="s">
        <v>1654</v>
      </c>
    </row>
    <row r="619" ht="15.75" customHeight="1">
      <c r="A619" s="150">
        <v>43431.0</v>
      </c>
      <c r="B619" s="151" t="s">
        <v>2887</v>
      </c>
      <c r="C619" s="151" t="s">
        <v>2888</v>
      </c>
      <c r="D619" s="151">
        <f>+2348050363312</f>
        <v>2348050363312</v>
      </c>
      <c r="F619" s="6" t="s">
        <v>97</v>
      </c>
      <c r="G619" s="6" t="s">
        <v>1654</v>
      </c>
    </row>
    <row r="620" ht="15.75" customHeight="1">
      <c r="A620" s="150">
        <v>43431.0</v>
      </c>
      <c r="B620" s="151" t="s">
        <v>2889</v>
      </c>
      <c r="C620" s="151" t="s">
        <v>2890</v>
      </c>
      <c r="D620" s="151">
        <f>+2348034799112</f>
        <v>2348034799112</v>
      </c>
      <c r="F620" s="6" t="s">
        <v>97</v>
      </c>
      <c r="G620" s="6" t="s">
        <v>1654</v>
      </c>
    </row>
    <row r="621" ht="15.75" customHeight="1">
      <c r="A621" s="150">
        <v>43431.0</v>
      </c>
      <c r="B621" s="151" t="s">
        <v>2891</v>
      </c>
      <c r="C621" s="151" t="s">
        <v>2892</v>
      </c>
      <c r="D621" s="151">
        <f>+2348065552575</f>
        <v>2348065552575</v>
      </c>
      <c r="F621" s="6" t="s">
        <v>97</v>
      </c>
      <c r="G621" s="6" t="s">
        <v>1654</v>
      </c>
    </row>
    <row r="622" ht="15.75" customHeight="1">
      <c r="A622" s="150">
        <v>43431.0</v>
      </c>
      <c r="B622" s="151" t="s">
        <v>2893</v>
      </c>
      <c r="C622" s="151" t="s">
        <v>2894</v>
      </c>
      <c r="D622" s="151">
        <f>+2349031840952</f>
        <v>2349031840952</v>
      </c>
      <c r="F622" s="6" t="s">
        <v>97</v>
      </c>
      <c r="G622" s="6" t="s">
        <v>1654</v>
      </c>
    </row>
    <row r="623" ht="15.75" customHeight="1">
      <c r="A623" s="150">
        <v>43431.0</v>
      </c>
      <c r="B623" s="151" t="s">
        <v>2895</v>
      </c>
      <c r="C623" s="151" t="s">
        <v>2896</v>
      </c>
      <c r="D623" s="151">
        <v>8.029504061E9</v>
      </c>
      <c r="F623" s="6" t="s">
        <v>97</v>
      </c>
      <c r="G623" s="6" t="s">
        <v>1654</v>
      </c>
    </row>
    <row r="624" ht="15.75" customHeight="1">
      <c r="A624" s="150">
        <v>43431.0</v>
      </c>
      <c r="B624" s="151" t="s">
        <v>2897</v>
      </c>
      <c r="C624" s="151" t="s">
        <v>2898</v>
      </c>
      <c r="D624" s="151">
        <f>+2347080224429</f>
        <v>2347080224429</v>
      </c>
      <c r="F624" s="6" t="s">
        <v>97</v>
      </c>
      <c r="G624" s="6" t="s">
        <v>1654</v>
      </c>
    </row>
    <row r="625" ht="15.75" customHeight="1">
      <c r="A625" s="150">
        <v>43431.0</v>
      </c>
      <c r="B625" s="151" t="s">
        <v>2899</v>
      </c>
      <c r="C625" s="151" t="s">
        <v>2900</v>
      </c>
      <c r="D625" s="151">
        <f>+2348053041711</f>
        <v>2348053041711</v>
      </c>
      <c r="F625" s="6" t="s">
        <v>97</v>
      </c>
      <c r="G625" s="6" t="s">
        <v>1654</v>
      </c>
    </row>
    <row r="626" ht="15.75" customHeight="1">
      <c r="A626" s="150">
        <v>43431.0</v>
      </c>
      <c r="B626" s="151" t="s">
        <v>2901</v>
      </c>
      <c r="C626" s="151" t="s">
        <v>2902</v>
      </c>
      <c r="D626" s="151">
        <f>+2348038119223</f>
        <v>2348038119223</v>
      </c>
      <c r="F626" s="6" t="s">
        <v>97</v>
      </c>
      <c r="G626" s="6" t="s">
        <v>1654</v>
      </c>
    </row>
    <row r="627" ht="15.75" customHeight="1">
      <c r="A627" s="150">
        <v>43431.0</v>
      </c>
      <c r="B627" s="151" t="s">
        <v>2903</v>
      </c>
      <c r="C627" s="151" t="s">
        <v>2904</v>
      </c>
      <c r="D627" s="151">
        <f>+2348038291169</f>
        <v>2348038291169</v>
      </c>
      <c r="F627" s="6" t="s">
        <v>97</v>
      </c>
      <c r="G627" s="6" t="s">
        <v>1654</v>
      </c>
    </row>
    <row r="628" ht="15.75" customHeight="1">
      <c r="A628" s="150">
        <v>43431.0</v>
      </c>
      <c r="B628" s="151" t="s">
        <v>2905</v>
      </c>
      <c r="C628" s="151" t="s">
        <v>2906</v>
      </c>
      <c r="D628" s="151">
        <f>+2348038544585</f>
        <v>2348038544585</v>
      </c>
      <c r="F628" s="6" t="s">
        <v>97</v>
      </c>
      <c r="G628" s="6" t="s">
        <v>1654</v>
      </c>
    </row>
    <row r="629" ht="15.75" customHeight="1">
      <c r="A629" s="150">
        <v>43431.0</v>
      </c>
      <c r="B629" s="151" t="s">
        <v>2907</v>
      </c>
      <c r="C629" s="151" t="s">
        <v>2908</v>
      </c>
      <c r="D629" s="151">
        <f>+2348176438042</f>
        <v>2348176438042</v>
      </c>
      <c r="F629" s="6" t="s">
        <v>97</v>
      </c>
      <c r="G629" s="6" t="s">
        <v>1654</v>
      </c>
    </row>
    <row r="630" ht="15.75" customHeight="1">
      <c r="A630" s="150">
        <v>43431.0</v>
      </c>
      <c r="B630" s="151" t="s">
        <v>2909</v>
      </c>
      <c r="C630" s="151" t="s">
        <v>2910</v>
      </c>
      <c r="D630" s="151">
        <f>+2348084276565</f>
        <v>2348084276565</v>
      </c>
      <c r="F630" s="6" t="s">
        <v>97</v>
      </c>
      <c r="G630" s="6" t="s">
        <v>1654</v>
      </c>
    </row>
    <row r="631" ht="15.75" customHeight="1">
      <c r="A631" s="150">
        <v>43431.0</v>
      </c>
      <c r="B631" s="151" t="s">
        <v>2911</v>
      </c>
      <c r="C631" s="151" t="s">
        <v>2912</v>
      </c>
      <c r="D631" s="151">
        <f>+2348028864247</f>
        <v>2348028864247</v>
      </c>
      <c r="F631" s="6" t="s">
        <v>97</v>
      </c>
      <c r="G631" s="6" t="s">
        <v>1654</v>
      </c>
    </row>
    <row r="632" ht="15.75" customHeight="1">
      <c r="A632" s="150">
        <v>43431.0</v>
      </c>
      <c r="B632" s="151" t="s">
        <v>2913</v>
      </c>
      <c r="C632" s="151" t="s">
        <v>2914</v>
      </c>
      <c r="D632" s="151">
        <f>+2347036517550</f>
        <v>2347036517550</v>
      </c>
      <c r="F632" s="6" t="s">
        <v>97</v>
      </c>
      <c r="G632" s="6" t="s">
        <v>1654</v>
      </c>
    </row>
    <row r="633" ht="15.75" customHeight="1">
      <c r="A633" s="150">
        <v>43431.0</v>
      </c>
      <c r="B633" s="151" t="s">
        <v>1086</v>
      </c>
      <c r="C633" s="151" t="s">
        <v>2915</v>
      </c>
      <c r="D633" s="151">
        <f>+2348026841284</f>
        <v>2348026841284</v>
      </c>
      <c r="F633" s="6" t="s">
        <v>97</v>
      </c>
      <c r="G633" s="6" t="s">
        <v>1654</v>
      </c>
    </row>
    <row r="634" ht="15.75" customHeight="1">
      <c r="A634" s="150">
        <v>43431.0</v>
      </c>
      <c r="B634" s="151" t="s">
        <v>2916</v>
      </c>
      <c r="C634" s="151" t="s">
        <v>2917</v>
      </c>
      <c r="D634" s="151">
        <f>+2348179436465</f>
        <v>2348179436465</v>
      </c>
      <c r="F634" s="6" t="s">
        <v>97</v>
      </c>
      <c r="G634" s="6" t="s">
        <v>1654</v>
      </c>
    </row>
    <row r="635" ht="15.75" customHeight="1">
      <c r="A635" s="150">
        <v>43431.0</v>
      </c>
      <c r="B635" s="151" t="s">
        <v>2918</v>
      </c>
      <c r="C635" s="151" t="s">
        <v>2919</v>
      </c>
      <c r="D635" s="151">
        <f>+2348023963759</f>
        <v>2348023963759</v>
      </c>
      <c r="F635" s="6" t="s">
        <v>97</v>
      </c>
      <c r="G635" s="6" t="s">
        <v>1654</v>
      </c>
    </row>
    <row r="636" ht="15.75" customHeight="1">
      <c r="A636" s="150">
        <v>43431.0</v>
      </c>
      <c r="B636" s="151" t="s">
        <v>2920</v>
      </c>
      <c r="C636" s="151" t="s">
        <v>2921</v>
      </c>
      <c r="D636" s="151">
        <f>+23408032115418</f>
        <v>23408032115418</v>
      </c>
      <c r="F636" s="6" t="s">
        <v>97</v>
      </c>
      <c r="G636" s="6" t="s">
        <v>1654</v>
      </c>
    </row>
    <row r="637" ht="15.75" customHeight="1">
      <c r="A637" s="150">
        <v>43431.0</v>
      </c>
      <c r="B637" s="151" t="s">
        <v>2922</v>
      </c>
      <c r="C637" s="151" t="s">
        <v>2923</v>
      </c>
      <c r="D637" s="151">
        <f>+2348131042826</f>
        <v>2348131042826</v>
      </c>
      <c r="F637" s="6" t="s">
        <v>97</v>
      </c>
      <c r="G637" s="6" t="s">
        <v>1654</v>
      </c>
    </row>
    <row r="638" ht="15.75" customHeight="1">
      <c r="A638" s="150">
        <v>43431.0</v>
      </c>
      <c r="B638" s="151" t="s">
        <v>2924</v>
      </c>
      <c r="C638" s="151" t="s">
        <v>2925</v>
      </c>
      <c r="D638" s="151">
        <f>+2348025631993</f>
        <v>2348025631993</v>
      </c>
      <c r="F638" s="6" t="s">
        <v>97</v>
      </c>
      <c r="G638" s="6" t="s">
        <v>1654</v>
      </c>
    </row>
    <row r="639" ht="15.75" customHeight="1">
      <c r="A639" s="150">
        <v>43431.0</v>
      </c>
      <c r="B639" s="151" t="s">
        <v>2926</v>
      </c>
      <c r="C639" s="151" t="s">
        <v>2927</v>
      </c>
      <c r="D639" s="151">
        <f>+2348123090260</f>
        <v>2348123090260</v>
      </c>
      <c r="F639" s="6" t="s">
        <v>168</v>
      </c>
      <c r="G639" s="6" t="s">
        <v>1654</v>
      </c>
    </row>
    <row r="640" ht="15.75" customHeight="1">
      <c r="A640" s="150">
        <v>43431.0</v>
      </c>
      <c r="B640" s="151" t="s">
        <v>2928</v>
      </c>
      <c r="C640" s="151" t="s">
        <v>2929</v>
      </c>
      <c r="D640" s="151">
        <f>+2348070321696</f>
        <v>2348070321696</v>
      </c>
      <c r="F640" s="6" t="s">
        <v>168</v>
      </c>
      <c r="G640" s="6" t="s">
        <v>1654</v>
      </c>
    </row>
    <row r="641" ht="15.75" customHeight="1">
      <c r="A641" s="150">
        <v>43431.0</v>
      </c>
      <c r="B641" s="151" t="s">
        <v>2930</v>
      </c>
      <c r="C641" s="151" t="s">
        <v>2931</v>
      </c>
      <c r="D641" s="151">
        <f>+2348098282055</f>
        <v>2348098282055</v>
      </c>
      <c r="F641" s="6" t="s">
        <v>168</v>
      </c>
      <c r="G641" s="6" t="s">
        <v>1654</v>
      </c>
    </row>
    <row r="642" ht="15.75" customHeight="1">
      <c r="A642" s="150">
        <v>43431.0</v>
      </c>
      <c r="B642" s="151" t="s">
        <v>2932</v>
      </c>
      <c r="C642" s="151" t="s">
        <v>2933</v>
      </c>
      <c r="D642" s="151">
        <f>+2348023558195</f>
        <v>2348023558195</v>
      </c>
      <c r="F642" s="6" t="s">
        <v>168</v>
      </c>
      <c r="G642" s="6" t="s">
        <v>1654</v>
      </c>
    </row>
    <row r="643" ht="15.75" customHeight="1">
      <c r="A643" s="150">
        <v>43431.0</v>
      </c>
      <c r="B643" s="151" t="s">
        <v>2934</v>
      </c>
      <c r="C643" s="151" t="s">
        <v>2935</v>
      </c>
      <c r="D643" s="151">
        <f>+2348064369757</f>
        <v>2348064369757</v>
      </c>
      <c r="F643" s="6" t="s">
        <v>168</v>
      </c>
      <c r="G643" s="6" t="s">
        <v>1654</v>
      </c>
    </row>
    <row r="644" ht="15.75" customHeight="1">
      <c r="A644" s="150">
        <v>43431.0</v>
      </c>
      <c r="B644" s="151" t="s">
        <v>2936</v>
      </c>
      <c r="C644" s="151" t="s">
        <v>2937</v>
      </c>
      <c r="D644" s="151">
        <f>+2348037119445</f>
        <v>2348037119445</v>
      </c>
      <c r="F644" s="6" t="s">
        <v>168</v>
      </c>
      <c r="G644" s="6" t="s">
        <v>1654</v>
      </c>
    </row>
    <row r="645" ht="15.75" customHeight="1">
      <c r="A645" s="150">
        <v>43431.0</v>
      </c>
      <c r="B645" s="151" t="s">
        <v>2938</v>
      </c>
      <c r="C645" s="151" t="s">
        <v>2939</v>
      </c>
      <c r="D645" s="151">
        <f>+2347031313061</f>
        <v>2347031313061</v>
      </c>
      <c r="F645" s="6" t="s">
        <v>168</v>
      </c>
      <c r="G645" s="6" t="s">
        <v>1654</v>
      </c>
    </row>
    <row r="646" ht="15.75" customHeight="1">
      <c r="A646" s="150">
        <v>43431.0</v>
      </c>
      <c r="B646" s="151" t="s">
        <v>2940</v>
      </c>
      <c r="C646" s="151" t="s">
        <v>2941</v>
      </c>
      <c r="D646" s="151">
        <f>+2348056075403</f>
        <v>2348056075403</v>
      </c>
      <c r="F646" s="6" t="s">
        <v>168</v>
      </c>
      <c r="G646" s="6" t="s">
        <v>1654</v>
      </c>
    </row>
    <row r="647" ht="15.75" customHeight="1">
      <c r="A647" s="150">
        <v>43431.0</v>
      </c>
      <c r="B647" s="151" t="s">
        <v>2942</v>
      </c>
      <c r="C647" s="151" t="s">
        <v>2943</v>
      </c>
      <c r="D647" s="151">
        <f>+2348032213273</f>
        <v>2348032213273</v>
      </c>
      <c r="F647" s="6" t="s">
        <v>168</v>
      </c>
      <c r="G647" s="6" t="s">
        <v>1654</v>
      </c>
    </row>
    <row r="648" ht="15.75" customHeight="1">
      <c r="A648" s="150">
        <v>43431.0</v>
      </c>
      <c r="B648" s="151" t="s">
        <v>2944</v>
      </c>
      <c r="C648" s="151" t="s">
        <v>2945</v>
      </c>
      <c r="D648" s="151">
        <f>+2348093596442</f>
        <v>2348093596442</v>
      </c>
      <c r="F648" s="6" t="s">
        <v>168</v>
      </c>
      <c r="G648" s="6" t="s">
        <v>1654</v>
      </c>
    </row>
    <row r="649" ht="15.75" customHeight="1">
      <c r="A649" s="150">
        <v>43431.0</v>
      </c>
      <c r="B649" s="151" t="s">
        <v>2946</v>
      </c>
      <c r="C649" s="151" t="s">
        <v>2947</v>
      </c>
      <c r="D649" s="151">
        <f>+2348094243535</f>
        <v>2348094243535</v>
      </c>
      <c r="F649" s="6" t="s">
        <v>168</v>
      </c>
      <c r="G649" s="6" t="s">
        <v>1654</v>
      </c>
    </row>
    <row r="650" ht="15.75" customHeight="1">
      <c r="A650" s="150">
        <v>43431.0</v>
      </c>
      <c r="B650" s="151" t="s">
        <v>2948</v>
      </c>
      <c r="C650" s="151" t="s">
        <v>2949</v>
      </c>
      <c r="D650" s="151">
        <f>+2348033520041</f>
        <v>2348033520041</v>
      </c>
      <c r="F650" s="6" t="s">
        <v>168</v>
      </c>
      <c r="G650" s="6" t="s">
        <v>1654</v>
      </c>
    </row>
    <row r="651" ht="15.75" customHeight="1">
      <c r="A651" s="150">
        <v>43431.0</v>
      </c>
      <c r="B651" s="151" t="s">
        <v>2950</v>
      </c>
      <c r="C651" s="151" t="s">
        <v>2951</v>
      </c>
      <c r="D651" s="151">
        <f>+2348056830749</f>
        <v>2348056830749</v>
      </c>
      <c r="F651" s="6" t="s">
        <v>168</v>
      </c>
      <c r="G651" s="6" t="s">
        <v>1654</v>
      </c>
    </row>
    <row r="652" ht="15.75" customHeight="1">
      <c r="A652" s="150">
        <v>43431.0</v>
      </c>
      <c r="B652" s="151" t="s">
        <v>2952</v>
      </c>
      <c r="C652" s="151" t="s">
        <v>2953</v>
      </c>
      <c r="D652" s="151">
        <f>+2348079512919</f>
        <v>2348079512919</v>
      </c>
      <c r="F652" s="6" t="s">
        <v>168</v>
      </c>
      <c r="G652" s="6" t="s">
        <v>1654</v>
      </c>
    </row>
    <row r="653" ht="15.75" customHeight="1">
      <c r="A653" s="150">
        <v>43431.0</v>
      </c>
      <c r="B653" s="151" t="s">
        <v>2954</v>
      </c>
      <c r="C653" s="151" t="s">
        <v>2955</v>
      </c>
      <c r="D653" s="151">
        <f>+2348188328877</f>
        <v>2348188328877</v>
      </c>
      <c r="F653" s="6" t="s">
        <v>168</v>
      </c>
      <c r="G653" s="6" t="s">
        <v>1654</v>
      </c>
    </row>
    <row r="654" ht="15.75" customHeight="1">
      <c r="A654" s="150">
        <v>43431.0</v>
      </c>
      <c r="B654" s="151" t="s">
        <v>2956</v>
      </c>
      <c r="C654" s="151" t="s">
        <v>2957</v>
      </c>
      <c r="D654" s="151">
        <f>+2347060787060</f>
        <v>2347060787060</v>
      </c>
      <c r="F654" s="6" t="s">
        <v>168</v>
      </c>
      <c r="G654" s="6" t="s">
        <v>1654</v>
      </c>
    </row>
    <row r="655" ht="15.75" customHeight="1">
      <c r="A655" s="150">
        <v>43431.0</v>
      </c>
      <c r="B655" s="151" t="s">
        <v>2958</v>
      </c>
      <c r="C655" s="151" t="s">
        <v>2959</v>
      </c>
      <c r="D655" s="151">
        <f>+2348058563892</f>
        <v>2348058563892</v>
      </c>
      <c r="F655" s="6" t="s">
        <v>168</v>
      </c>
      <c r="G655" s="6" t="s">
        <v>1654</v>
      </c>
    </row>
    <row r="656" ht="15.75" customHeight="1">
      <c r="A656" s="150">
        <v>43431.0</v>
      </c>
      <c r="B656" s="151" t="s">
        <v>2960</v>
      </c>
      <c r="C656" s="151" t="s">
        <v>2961</v>
      </c>
      <c r="D656" s="151">
        <f>+2348098752221</f>
        <v>2348098752221</v>
      </c>
      <c r="F656" s="6" t="s">
        <v>168</v>
      </c>
      <c r="G656" s="6" t="s">
        <v>1654</v>
      </c>
    </row>
    <row r="657" ht="15.75" customHeight="1">
      <c r="A657" s="150">
        <v>43431.0</v>
      </c>
      <c r="B657" s="151" t="s">
        <v>2962</v>
      </c>
      <c r="C657" s="151" t="s">
        <v>2963</v>
      </c>
      <c r="D657" s="151">
        <f>+2348071604504</f>
        <v>2348071604504</v>
      </c>
      <c r="F657" s="6" t="s">
        <v>168</v>
      </c>
      <c r="G657" s="6" t="s">
        <v>1654</v>
      </c>
    </row>
    <row r="658" ht="15.75" customHeight="1">
      <c r="A658" s="150">
        <v>43431.0</v>
      </c>
      <c r="B658" s="151" t="s">
        <v>2964</v>
      </c>
      <c r="C658" s="151" t="s">
        <v>2965</v>
      </c>
      <c r="D658" s="151">
        <f>+2348023514071</f>
        <v>2348023514071</v>
      </c>
      <c r="F658" s="6" t="s">
        <v>168</v>
      </c>
      <c r="G658" s="6" t="s">
        <v>1654</v>
      </c>
    </row>
    <row r="659" ht="15.75" customHeight="1">
      <c r="A659" s="150">
        <v>43431.0</v>
      </c>
      <c r="B659" s="151" t="s">
        <v>2966</v>
      </c>
      <c r="C659" s="151" t="s">
        <v>2967</v>
      </c>
      <c r="D659" s="151">
        <f>+2348025104567</f>
        <v>2348025104567</v>
      </c>
      <c r="F659" s="6" t="s">
        <v>168</v>
      </c>
      <c r="G659" s="6" t="s">
        <v>1654</v>
      </c>
    </row>
    <row r="660" ht="15.75" customHeight="1">
      <c r="A660" s="150">
        <v>43431.0</v>
      </c>
      <c r="B660" s="151" t="s">
        <v>2968</v>
      </c>
      <c r="C660" s="151" t="s">
        <v>2969</v>
      </c>
      <c r="D660" s="151">
        <f>+23409027754545</f>
        <v>23409027754545</v>
      </c>
      <c r="F660" s="6" t="s">
        <v>168</v>
      </c>
      <c r="G660" s="6" t="s">
        <v>1654</v>
      </c>
    </row>
    <row r="661" ht="15.75" customHeight="1">
      <c r="A661" s="150">
        <v>43431.0</v>
      </c>
      <c r="B661" s="151" t="s">
        <v>2970</v>
      </c>
      <c r="C661" s="151" t="s">
        <v>2971</v>
      </c>
      <c r="D661" s="151">
        <f>+2348027581359</f>
        <v>2348027581359</v>
      </c>
      <c r="F661" s="6" t="s">
        <v>168</v>
      </c>
      <c r="G661" s="6" t="s">
        <v>1654</v>
      </c>
    </row>
    <row r="662" ht="15.75" customHeight="1">
      <c r="A662" s="150">
        <v>43431.0</v>
      </c>
      <c r="B662" s="151" t="s">
        <v>2972</v>
      </c>
      <c r="C662" s="151" t="s">
        <v>2973</v>
      </c>
      <c r="D662" s="151">
        <f>+2348078929470</f>
        <v>2348078929470</v>
      </c>
      <c r="F662" s="6" t="s">
        <v>168</v>
      </c>
      <c r="G662" s="6" t="s">
        <v>1654</v>
      </c>
    </row>
    <row r="663" ht="15.75" customHeight="1">
      <c r="A663" s="150">
        <v>43431.0</v>
      </c>
      <c r="B663" s="151" t="s">
        <v>2974</v>
      </c>
      <c r="C663" s="151" t="s">
        <v>2975</v>
      </c>
      <c r="D663" s="151">
        <f>+2348187191267</f>
        <v>2348187191267</v>
      </c>
      <c r="F663" s="6" t="s">
        <v>168</v>
      </c>
      <c r="G663" s="6" t="s">
        <v>1654</v>
      </c>
    </row>
    <row r="664" ht="15.75" customHeight="1">
      <c r="A664" s="150">
        <v>43431.0</v>
      </c>
      <c r="B664" s="151" t="s">
        <v>2976</v>
      </c>
      <c r="C664" s="151" t="s">
        <v>2977</v>
      </c>
      <c r="D664" s="151">
        <f>+2348030597576</f>
        <v>2348030597576</v>
      </c>
      <c r="F664" s="6" t="s">
        <v>168</v>
      </c>
      <c r="G664" s="6" t="s">
        <v>1654</v>
      </c>
    </row>
    <row r="665" ht="15.75" customHeight="1">
      <c r="A665" s="150">
        <v>43431.0</v>
      </c>
      <c r="B665" s="151" t="s">
        <v>2978</v>
      </c>
      <c r="C665" s="151" t="s">
        <v>2979</v>
      </c>
      <c r="D665" s="151">
        <f>+2348060645345</f>
        <v>2348060645345</v>
      </c>
      <c r="F665" s="6" t="s">
        <v>168</v>
      </c>
      <c r="G665" s="6" t="s">
        <v>1654</v>
      </c>
    </row>
    <row r="666" ht="15.75" customHeight="1">
      <c r="A666" s="150">
        <v>43431.0</v>
      </c>
      <c r="B666" s="151" t="s">
        <v>2980</v>
      </c>
      <c r="C666" s="151" t="s">
        <v>2981</v>
      </c>
      <c r="D666" s="151">
        <f>+2348021312129</f>
        <v>2348021312129</v>
      </c>
      <c r="F666" s="6" t="s">
        <v>168</v>
      </c>
      <c r="G666" s="6" t="s">
        <v>1654</v>
      </c>
    </row>
    <row r="667" ht="15.75" customHeight="1">
      <c r="A667" s="150">
        <v>43431.0</v>
      </c>
      <c r="B667" s="151" t="s">
        <v>2982</v>
      </c>
      <c r="C667" s="151" t="s">
        <v>2983</v>
      </c>
      <c r="D667" s="151">
        <f>+2348033040150</f>
        <v>2348033040150</v>
      </c>
      <c r="F667" s="6" t="s">
        <v>168</v>
      </c>
      <c r="G667" s="6" t="s">
        <v>1654</v>
      </c>
    </row>
    <row r="668" ht="15.75" customHeight="1">
      <c r="A668" s="150">
        <v>43431.0</v>
      </c>
      <c r="B668" s="151" t="s">
        <v>2984</v>
      </c>
      <c r="C668" s="151" t="s">
        <v>2985</v>
      </c>
      <c r="D668" s="151">
        <f>+2348036309287</f>
        <v>2348036309287</v>
      </c>
      <c r="F668" s="6" t="s">
        <v>168</v>
      </c>
      <c r="G668" s="6" t="s">
        <v>1654</v>
      </c>
    </row>
    <row r="669" ht="15.75" customHeight="1">
      <c r="A669" s="150">
        <v>43431.0</v>
      </c>
      <c r="B669" s="151" t="s">
        <v>2986</v>
      </c>
      <c r="C669" s="151" t="s">
        <v>2987</v>
      </c>
      <c r="D669" s="151">
        <f>+2348022195089</f>
        <v>2348022195089</v>
      </c>
      <c r="F669" s="6" t="s">
        <v>168</v>
      </c>
      <c r="G669" s="6" t="s">
        <v>1654</v>
      </c>
    </row>
    <row r="670" ht="15.75" customHeight="1">
      <c r="A670" s="150">
        <v>43431.0</v>
      </c>
      <c r="B670" s="151" t="s">
        <v>2988</v>
      </c>
      <c r="C670" s="151" t="s">
        <v>2989</v>
      </c>
      <c r="D670" s="151">
        <f>+2348059055572</f>
        <v>2348059055572</v>
      </c>
      <c r="F670" s="6" t="s">
        <v>168</v>
      </c>
      <c r="G670" s="6" t="s">
        <v>1654</v>
      </c>
    </row>
    <row r="671" ht="15.75" customHeight="1">
      <c r="A671" s="150">
        <v>43431.0</v>
      </c>
      <c r="B671" s="151" t="s">
        <v>2990</v>
      </c>
      <c r="C671" s="151" t="s">
        <v>2991</v>
      </c>
      <c r="D671" s="151">
        <f>+2348033771542</f>
        <v>2348033771542</v>
      </c>
      <c r="F671" s="6" t="s">
        <v>168</v>
      </c>
      <c r="G671" s="6" t="s">
        <v>1654</v>
      </c>
    </row>
    <row r="672" ht="15.75" customHeight="1">
      <c r="A672" s="150">
        <v>43431.0</v>
      </c>
      <c r="B672" s="151" t="s">
        <v>2992</v>
      </c>
      <c r="C672" s="151" t="s">
        <v>2993</v>
      </c>
      <c r="D672" s="151">
        <f>+2348053019281</f>
        <v>2348053019281</v>
      </c>
      <c r="F672" s="6" t="s">
        <v>168</v>
      </c>
      <c r="G672" s="6" t="s">
        <v>1654</v>
      </c>
    </row>
    <row r="673" ht="15.75" customHeight="1">
      <c r="A673" s="150">
        <v>43431.0</v>
      </c>
      <c r="B673" s="151" t="s">
        <v>2994</v>
      </c>
      <c r="C673" s="151" t="s">
        <v>2995</v>
      </c>
      <c r="D673" s="151">
        <f>+2348035249714</f>
        <v>2348035249714</v>
      </c>
      <c r="F673" s="6" t="s">
        <v>168</v>
      </c>
      <c r="G673" s="6" t="s">
        <v>1654</v>
      </c>
    </row>
    <row r="674" ht="15.75" customHeight="1">
      <c r="A674" s="150">
        <v>43431.0</v>
      </c>
      <c r="B674" s="151" t="s">
        <v>2675</v>
      </c>
      <c r="C674" s="151" t="s">
        <v>2676</v>
      </c>
      <c r="D674" s="151">
        <f>+23408035480993</f>
        <v>23408035480993</v>
      </c>
      <c r="F674" s="6" t="s">
        <v>168</v>
      </c>
      <c r="G674" s="6" t="s">
        <v>1654</v>
      </c>
    </row>
    <row r="675" ht="15.75" customHeight="1">
      <c r="A675" s="150">
        <v>43431.0</v>
      </c>
      <c r="B675" s="151" t="s">
        <v>2677</v>
      </c>
      <c r="C675" s="151" t="s">
        <v>2678</v>
      </c>
      <c r="D675" s="151">
        <f>+2349031566288</f>
        <v>2349031566288</v>
      </c>
      <c r="F675" s="6" t="s">
        <v>168</v>
      </c>
      <c r="G675" s="6" t="s">
        <v>1654</v>
      </c>
    </row>
    <row r="676" ht="15.75" customHeight="1">
      <c r="A676" s="150">
        <v>43431.0</v>
      </c>
      <c r="B676" s="151" t="s">
        <v>2679</v>
      </c>
      <c r="C676" s="151" t="s">
        <v>2680</v>
      </c>
      <c r="D676" s="151">
        <f>+2348034494917</f>
        <v>2348034494917</v>
      </c>
      <c r="F676" s="6" t="s">
        <v>168</v>
      </c>
      <c r="G676" s="6" t="s">
        <v>1654</v>
      </c>
    </row>
    <row r="677" ht="15.75" customHeight="1">
      <c r="A677" s="150">
        <v>43431.0</v>
      </c>
      <c r="B677" s="151" t="s">
        <v>2681</v>
      </c>
      <c r="C677" s="151" t="s">
        <v>2682</v>
      </c>
      <c r="D677" s="151">
        <f>+2349039151191</f>
        <v>2349039151191</v>
      </c>
      <c r="F677" s="6" t="s">
        <v>168</v>
      </c>
      <c r="G677" s="6" t="s">
        <v>1654</v>
      </c>
    </row>
    <row r="678" ht="15.75" customHeight="1">
      <c r="A678" s="150">
        <v>43431.0</v>
      </c>
      <c r="B678" s="151" t="s">
        <v>2683</v>
      </c>
      <c r="C678" s="151" t="s">
        <v>2684</v>
      </c>
      <c r="D678" s="151">
        <f>+2348065357467</f>
        <v>2348065357467</v>
      </c>
      <c r="F678" s="6" t="s">
        <v>168</v>
      </c>
      <c r="G678" s="6" t="s">
        <v>1654</v>
      </c>
    </row>
    <row r="679" ht="15.75" customHeight="1">
      <c r="A679" s="150">
        <v>43431.0</v>
      </c>
      <c r="B679" s="151" t="s">
        <v>2685</v>
      </c>
      <c r="C679" s="151" t="s">
        <v>2686</v>
      </c>
      <c r="D679" s="151">
        <f>+2348033117307</f>
        <v>2348033117307</v>
      </c>
      <c r="F679" s="6" t="s">
        <v>168</v>
      </c>
      <c r="G679" s="6" t="s">
        <v>1654</v>
      </c>
    </row>
    <row r="680" ht="15.75" customHeight="1">
      <c r="A680" s="150">
        <v>43431.0</v>
      </c>
      <c r="B680" s="151" t="s">
        <v>2687</v>
      </c>
      <c r="C680" s="151" t="s">
        <v>2688</v>
      </c>
      <c r="D680" s="151">
        <f>+2348037054254</f>
        <v>2348037054254</v>
      </c>
      <c r="F680" s="6" t="s">
        <v>168</v>
      </c>
      <c r="G680" s="6" t="s">
        <v>1654</v>
      </c>
    </row>
    <row r="681" ht="15.75" customHeight="1">
      <c r="A681" s="150">
        <v>43431.0</v>
      </c>
      <c r="B681" s="151" t="s">
        <v>2689</v>
      </c>
      <c r="C681" s="151" t="s">
        <v>2690</v>
      </c>
      <c r="D681" s="151">
        <f>+2348091403082</f>
        <v>2348091403082</v>
      </c>
      <c r="F681" s="6" t="s">
        <v>168</v>
      </c>
      <c r="G681" s="6" t="s">
        <v>1654</v>
      </c>
    </row>
    <row r="682" ht="15.75" customHeight="1">
      <c r="A682" s="150">
        <v>43431.0</v>
      </c>
      <c r="B682" s="151" t="s">
        <v>2691</v>
      </c>
      <c r="C682" s="151" t="s">
        <v>2692</v>
      </c>
      <c r="D682" s="151">
        <f>+2348029443326</f>
        <v>2348029443326</v>
      </c>
      <c r="F682" s="6" t="s">
        <v>168</v>
      </c>
      <c r="G682" s="6" t="s">
        <v>1654</v>
      </c>
    </row>
    <row r="683" ht="15.75" customHeight="1">
      <c r="A683" s="150">
        <v>43431.0</v>
      </c>
      <c r="B683" s="151" t="s">
        <v>2693</v>
      </c>
      <c r="C683" s="151" t="s">
        <v>2694</v>
      </c>
      <c r="D683" s="151">
        <f>+2348037377064</f>
        <v>2348037377064</v>
      </c>
      <c r="F683" s="6" t="s">
        <v>168</v>
      </c>
      <c r="G683" s="6" t="s">
        <v>1654</v>
      </c>
    </row>
    <row r="684" ht="15.75" customHeight="1">
      <c r="A684" s="150">
        <v>43431.0</v>
      </c>
      <c r="B684" s="151" t="s">
        <v>2695</v>
      </c>
      <c r="C684" s="151" t="s">
        <v>2696</v>
      </c>
      <c r="D684" s="151">
        <f>+2348058735589</f>
        <v>2348058735589</v>
      </c>
      <c r="F684" s="6" t="s">
        <v>168</v>
      </c>
      <c r="G684" s="6" t="s">
        <v>1654</v>
      </c>
    </row>
    <row r="685" ht="15.75" customHeight="1">
      <c r="A685" s="150">
        <v>43431.0</v>
      </c>
      <c r="B685" s="151" t="s">
        <v>2697</v>
      </c>
      <c r="C685" s="151" t="s">
        <v>2698</v>
      </c>
      <c r="D685" s="151">
        <f>+2347032883757</f>
        <v>2347032883757</v>
      </c>
      <c r="F685" s="6" t="s">
        <v>168</v>
      </c>
      <c r="G685" s="6" t="s">
        <v>1654</v>
      </c>
    </row>
    <row r="686" ht="15.75" customHeight="1">
      <c r="A686" s="150">
        <v>43431.0</v>
      </c>
      <c r="B686" s="151" t="s">
        <v>2699</v>
      </c>
      <c r="C686" s="151" t="s">
        <v>2700</v>
      </c>
      <c r="D686" s="151">
        <f>+2348082018294</f>
        <v>2348082018294</v>
      </c>
      <c r="F686" s="6" t="s">
        <v>168</v>
      </c>
      <c r="G686" s="6" t="s">
        <v>1654</v>
      </c>
    </row>
    <row r="687" ht="15.75" customHeight="1">
      <c r="A687" s="150">
        <v>43431.0</v>
      </c>
      <c r="B687" s="151" t="s">
        <v>2701</v>
      </c>
      <c r="C687" s="151" t="s">
        <v>2702</v>
      </c>
      <c r="D687" s="151">
        <f>+2348124521955</f>
        <v>2348124521955</v>
      </c>
      <c r="F687" s="6" t="s">
        <v>168</v>
      </c>
      <c r="G687" s="6" t="s">
        <v>1654</v>
      </c>
    </row>
    <row r="688" ht="15.75" customHeight="1">
      <c r="A688" s="150">
        <v>43431.0</v>
      </c>
      <c r="B688" s="151" t="s">
        <v>2703</v>
      </c>
      <c r="C688" s="151" t="s">
        <v>2704</v>
      </c>
      <c r="D688" s="151">
        <f>+23408069643428</f>
        <v>23408069643428</v>
      </c>
      <c r="F688" s="6" t="s">
        <v>168</v>
      </c>
      <c r="G688" s="6" t="s">
        <v>1654</v>
      </c>
    </row>
    <row r="689" ht="15.75" customHeight="1">
      <c r="A689" s="150">
        <v>43431.0</v>
      </c>
      <c r="B689" s="151" t="s">
        <v>2705</v>
      </c>
      <c r="C689" s="151" t="s">
        <v>2706</v>
      </c>
      <c r="D689" s="151">
        <f>+23408023179772</f>
        <v>23408023179772</v>
      </c>
      <c r="F689" s="6" t="s">
        <v>168</v>
      </c>
      <c r="G689" s="6" t="s">
        <v>1654</v>
      </c>
    </row>
    <row r="690" ht="15.75" customHeight="1">
      <c r="A690" s="150">
        <v>43431.0</v>
      </c>
      <c r="B690" s="151" t="s">
        <v>2707</v>
      </c>
      <c r="C690" s="151" t="s">
        <v>2708</v>
      </c>
      <c r="D690" s="151">
        <f>+2347062853396</f>
        <v>2347062853396</v>
      </c>
      <c r="F690" s="6" t="s">
        <v>168</v>
      </c>
      <c r="G690" s="6" t="s">
        <v>1654</v>
      </c>
    </row>
    <row r="691" ht="15.75" customHeight="1">
      <c r="A691" s="150">
        <v>43431.0</v>
      </c>
      <c r="B691" s="151" t="s">
        <v>2709</v>
      </c>
      <c r="C691" s="151" t="s">
        <v>2710</v>
      </c>
      <c r="D691" s="151">
        <f>+2348037243463</f>
        <v>2348037243463</v>
      </c>
      <c r="F691" s="6" t="s">
        <v>168</v>
      </c>
      <c r="G691" s="6" t="s">
        <v>1654</v>
      </c>
    </row>
    <row r="692" ht="15.75" customHeight="1">
      <c r="A692" s="150">
        <v>43431.0</v>
      </c>
      <c r="B692" s="151" t="s">
        <v>2711</v>
      </c>
      <c r="C692" s="151" t="s">
        <v>2712</v>
      </c>
      <c r="D692" s="151">
        <f>+2348055292390</f>
        <v>2348055292390</v>
      </c>
      <c r="F692" s="6" t="s">
        <v>168</v>
      </c>
      <c r="G692" s="6" t="s">
        <v>1654</v>
      </c>
    </row>
    <row r="693" ht="15.75" customHeight="1">
      <c r="A693" s="150">
        <v>43431.0</v>
      </c>
      <c r="B693" s="151" t="s">
        <v>2713</v>
      </c>
      <c r="C693" s="151" t="s">
        <v>2714</v>
      </c>
      <c r="D693" s="151">
        <f>+2348029655142</f>
        <v>2348029655142</v>
      </c>
      <c r="F693" s="6" t="s">
        <v>168</v>
      </c>
      <c r="G693" s="6" t="s">
        <v>1654</v>
      </c>
    </row>
    <row r="694" ht="15.75" customHeight="1">
      <c r="A694" s="150">
        <v>43431.0</v>
      </c>
      <c r="B694" s="151" t="s">
        <v>2715</v>
      </c>
      <c r="C694" s="151" t="s">
        <v>2716</v>
      </c>
      <c r="D694" s="151">
        <f>+2348022700069</f>
        <v>2348022700069</v>
      </c>
      <c r="F694" s="6" t="s">
        <v>168</v>
      </c>
      <c r="G694" s="6" t="s">
        <v>1654</v>
      </c>
    </row>
    <row r="695" ht="15.75" customHeight="1">
      <c r="A695" s="150">
        <v>43431.0</v>
      </c>
      <c r="B695" s="151" t="s">
        <v>2717</v>
      </c>
      <c r="C695" s="151" t="s">
        <v>2718</v>
      </c>
      <c r="D695" s="151">
        <f>+2347017029203</f>
        <v>2347017029203</v>
      </c>
      <c r="F695" s="6" t="s">
        <v>168</v>
      </c>
      <c r="G695" s="6" t="s">
        <v>1654</v>
      </c>
    </row>
    <row r="696" ht="15.75" customHeight="1">
      <c r="A696" s="150">
        <v>43431.0</v>
      </c>
      <c r="B696" s="151" t="s">
        <v>2719</v>
      </c>
      <c r="C696" s="151" t="s">
        <v>2720</v>
      </c>
      <c r="D696" s="151">
        <f>+2348033329033</f>
        <v>2348033329033</v>
      </c>
      <c r="F696" s="6" t="s">
        <v>168</v>
      </c>
      <c r="G696" s="6" t="s">
        <v>1654</v>
      </c>
    </row>
    <row r="697" ht="15.75" customHeight="1">
      <c r="A697" s="150">
        <v>43431.0</v>
      </c>
      <c r="B697" s="153" t="s">
        <v>2721</v>
      </c>
      <c r="C697" s="151" t="s">
        <v>2722</v>
      </c>
      <c r="D697" s="151">
        <f>+2348025110386</f>
        <v>2348025110386</v>
      </c>
      <c r="F697" s="6" t="s">
        <v>168</v>
      </c>
      <c r="G697" s="6" t="s">
        <v>1654</v>
      </c>
    </row>
    <row r="698" ht="15.75" customHeight="1">
      <c r="A698" s="150">
        <v>43431.0</v>
      </c>
      <c r="B698" s="151" t="s">
        <v>2723</v>
      </c>
      <c r="C698" s="151" t="s">
        <v>2724</v>
      </c>
      <c r="D698" s="151">
        <f>+23408039421901</f>
        <v>23408039421901</v>
      </c>
      <c r="F698" s="6" t="s">
        <v>168</v>
      </c>
      <c r="G698" s="6" t="s">
        <v>1654</v>
      </c>
    </row>
    <row r="699" ht="15.75" customHeight="1">
      <c r="A699" s="150">
        <v>43431.0</v>
      </c>
      <c r="B699" s="151" t="s">
        <v>2725</v>
      </c>
      <c r="C699" s="151" t="s">
        <v>2726</v>
      </c>
      <c r="D699" s="151">
        <f>+2348023100369</f>
        <v>2348023100369</v>
      </c>
      <c r="F699" s="6" t="s">
        <v>168</v>
      </c>
      <c r="G699" s="6" t="s">
        <v>1654</v>
      </c>
    </row>
    <row r="700" ht="15.75" customHeight="1">
      <c r="A700" s="150">
        <v>43431.0</v>
      </c>
      <c r="B700" s="151" t="s">
        <v>2727</v>
      </c>
      <c r="C700" s="151" t="s">
        <v>2728</v>
      </c>
      <c r="D700" s="151">
        <f>+2348172636544</f>
        <v>2348172636544</v>
      </c>
      <c r="F700" s="6" t="s">
        <v>168</v>
      </c>
      <c r="G700" s="6" t="s">
        <v>1654</v>
      </c>
    </row>
    <row r="701" ht="15.75" customHeight="1">
      <c r="A701" s="150">
        <v>43431.0</v>
      </c>
      <c r="B701" s="151" t="s">
        <v>2729</v>
      </c>
      <c r="C701" s="151" t="s">
        <v>2730</v>
      </c>
      <c r="D701" s="151">
        <f>+2349055468491</f>
        <v>2349055468491</v>
      </c>
      <c r="F701" s="6" t="s">
        <v>168</v>
      </c>
      <c r="G701" s="6" t="s">
        <v>1654</v>
      </c>
    </row>
    <row r="702" ht="15.75" customHeight="1">
      <c r="A702" s="150">
        <v>43431.0</v>
      </c>
      <c r="B702" s="151" t="s">
        <v>2731</v>
      </c>
      <c r="C702" s="151" t="s">
        <v>2732</v>
      </c>
      <c r="D702" s="151">
        <f>+2348072209768</f>
        <v>2348072209768</v>
      </c>
      <c r="F702" s="6" t="s">
        <v>168</v>
      </c>
      <c r="G702" s="6" t="s">
        <v>1654</v>
      </c>
    </row>
    <row r="703" ht="15.75" customHeight="1">
      <c r="A703" s="150">
        <v>43431.0</v>
      </c>
      <c r="B703" s="151" t="s">
        <v>2733</v>
      </c>
      <c r="C703" s="151" t="s">
        <v>2734</v>
      </c>
      <c r="D703" s="151">
        <f>+2348032662218</f>
        <v>2348032662218</v>
      </c>
      <c r="F703" s="6" t="s">
        <v>168</v>
      </c>
      <c r="G703" s="6" t="s">
        <v>1654</v>
      </c>
    </row>
    <row r="704" ht="15.75" customHeight="1">
      <c r="A704" s="150">
        <v>43431.0</v>
      </c>
      <c r="B704" s="151" t="s">
        <v>2735</v>
      </c>
      <c r="C704" s="151" t="s">
        <v>2736</v>
      </c>
      <c r="D704" s="151">
        <f>+2348022689171</f>
        <v>2348022689171</v>
      </c>
      <c r="F704" s="6" t="s">
        <v>168</v>
      </c>
      <c r="G704" s="6" t="s">
        <v>1654</v>
      </c>
    </row>
    <row r="705" ht="15.75" customHeight="1">
      <c r="A705" s="150">
        <v>43431.0</v>
      </c>
      <c r="B705" s="151" t="s">
        <v>2737</v>
      </c>
      <c r="C705" s="151" t="s">
        <v>2738</v>
      </c>
      <c r="D705" s="151">
        <f>+2348065313122</f>
        <v>2348065313122</v>
      </c>
      <c r="F705" s="6" t="s">
        <v>168</v>
      </c>
      <c r="G705" s="6" t="s">
        <v>1654</v>
      </c>
    </row>
    <row r="706" ht="15.75" customHeight="1">
      <c r="A706" s="150">
        <v>43431.0</v>
      </c>
      <c r="B706" s="151" t="s">
        <v>2739</v>
      </c>
      <c r="C706" s="151" t="s">
        <v>2740</v>
      </c>
      <c r="D706" s="151">
        <f>+2347068352954</f>
        <v>2347068352954</v>
      </c>
      <c r="F706" s="6" t="s">
        <v>168</v>
      </c>
      <c r="G706" s="6" t="s">
        <v>1654</v>
      </c>
    </row>
    <row r="707" ht="15.75" customHeight="1">
      <c r="A707" s="150">
        <v>43431.0</v>
      </c>
      <c r="B707" s="151" t="s">
        <v>2741</v>
      </c>
      <c r="C707" s="151" t="s">
        <v>2742</v>
      </c>
      <c r="D707" s="151">
        <f>+2347033850381</f>
        <v>2347033850381</v>
      </c>
      <c r="F707" s="6" t="s">
        <v>168</v>
      </c>
      <c r="G707" s="6" t="s">
        <v>1654</v>
      </c>
    </row>
    <row r="708" ht="15.75" customHeight="1">
      <c r="A708" s="150">
        <v>43431.0</v>
      </c>
      <c r="B708" s="151" t="s">
        <v>2743</v>
      </c>
      <c r="C708" s="151" t="s">
        <v>2744</v>
      </c>
      <c r="D708" s="151">
        <f>+2348035343607</f>
        <v>2348035343607</v>
      </c>
      <c r="F708" s="6" t="s">
        <v>168</v>
      </c>
      <c r="G708" s="6" t="s">
        <v>1654</v>
      </c>
    </row>
    <row r="709" ht="15.75" customHeight="1">
      <c r="A709" s="150">
        <v>43431.0</v>
      </c>
      <c r="B709" s="151" t="s">
        <v>2745</v>
      </c>
      <c r="C709" s="151" t="s">
        <v>2746</v>
      </c>
      <c r="D709" s="151">
        <f>+2348037620993</f>
        <v>2348037620993</v>
      </c>
      <c r="F709" s="6" t="s">
        <v>168</v>
      </c>
      <c r="G709" s="6" t="s">
        <v>1654</v>
      </c>
    </row>
    <row r="710" ht="15.75" customHeight="1">
      <c r="A710" s="150">
        <v>43431.0</v>
      </c>
      <c r="B710" s="151" t="s">
        <v>2747</v>
      </c>
      <c r="C710" s="151" t="s">
        <v>2748</v>
      </c>
      <c r="D710" s="151">
        <f>+2348024497828</f>
        <v>2348024497828</v>
      </c>
      <c r="F710" s="6" t="s">
        <v>168</v>
      </c>
      <c r="G710" s="6" t="s">
        <v>1654</v>
      </c>
    </row>
    <row r="711" ht="15.75" customHeight="1">
      <c r="A711" s="150">
        <v>43431.0</v>
      </c>
      <c r="B711" s="151" t="s">
        <v>2749</v>
      </c>
      <c r="C711" s="151" t="s">
        <v>2750</v>
      </c>
      <c r="D711" s="151">
        <f>+2348137999666</f>
        <v>2348137999666</v>
      </c>
      <c r="F711" s="6" t="s">
        <v>168</v>
      </c>
      <c r="G711" s="6" t="s">
        <v>1654</v>
      </c>
    </row>
    <row r="712" ht="15.75" customHeight="1">
      <c r="A712" s="150">
        <v>43431.0</v>
      </c>
      <c r="B712" s="151" t="s">
        <v>2751</v>
      </c>
      <c r="C712" s="151" t="s">
        <v>2752</v>
      </c>
      <c r="D712" s="151">
        <f>+2348030611265</f>
        <v>2348030611265</v>
      </c>
      <c r="F712" s="6" t="s">
        <v>168</v>
      </c>
      <c r="G712" s="6" t="s">
        <v>1654</v>
      </c>
    </row>
    <row r="713" ht="15.75" customHeight="1">
      <c r="A713" s="150">
        <v>43431.0</v>
      </c>
      <c r="B713" s="151" t="s">
        <v>2753</v>
      </c>
      <c r="C713" s="151" t="s">
        <v>2754</v>
      </c>
      <c r="D713" s="151">
        <f>+2348039366525</f>
        <v>2348039366525</v>
      </c>
      <c r="F713" s="6" t="s">
        <v>168</v>
      </c>
      <c r="G713" s="6" t="s">
        <v>1654</v>
      </c>
    </row>
    <row r="714" ht="15.75" customHeight="1">
      <c r="A714" s="150">
        <v>43431.0</v>
      </c>
      <c r="B714" s="151" t="s">
        <v>2755</v>
      </c>
      <c r="C714" s="151" t="s">
        <v>2756</v>
      </c>
      <c r="D714" s="151">
        <f>+2348068764893</f>
        <v>2348068764893</v>
      </c>
      <c r="F714" s="6" t="s">
        <v>168</v>
      </c>
      <c r="G714" s="6" t="s">
        <v>1654</v>
      </c>
    </row>
    <row r="715" ht="15.75" customHeight="1">
      <c r="A715" s="150">
        <v>43431.0</v>
      </c>
      <c r="B715" s="151" t="s">
        <v>2757</v>
      </c>
      <c r="C715" s="151" t="s">
        <v>2758</v>
      </c>
      <c r="D715" s="151">
        <f>+2348068489735</f>
        <v>2348068489735</v>
      </c>
      <c r="F715" s="6" t="s">
        <v>168</v>
      </c>
      <c r="G715" s="6" t="s">
        <v>1654</v>
      </c>
    </row>
    <row r="716" ht="15.75" customHeight="1">
      <c r="A716" s="150">
        <v>43431.0</v>
      </c>
      <c r="B716" s="151" t="s">
        <v>2759</v>
      </c>
      <c r="C716" s="151" t="s">
        <v>2760</v>
      </c>
      <c r="D716" s="151">
        <f>+2348034889161</f>
        <v>2348034889161</v>
      </c>
      <c r="F716" s="6" t="s">
        <v>168</v>
      </c>
      <c r="G716" s="6" t="s">
        <v>1654</v>
      </c>
    </row>
    <row r="717" ht="15.75" customHeight="1">
      <c r="A717" s="150">
        <v>43431.0</v>
      </c>
      <c r="B717" s="151" t="s">
        <v>2761</v>
      </c>
      <c r="C717" s="151" t="s">
        <v>2762</v>
      </c>
      <c r="D717" s="151">
        <f>+2347067664359</f>
        <v>2347067664359</v>
      </c>
      <c r="F717" s="6" t="s">
        <v>168</v>
      </c>
      <c r="G717" s="6" t="s">
        <v>1654</v>
      </c>
    </row>
    <row r="718" ht="15.75" customHeight="1">
      <c r="A718" s="150">
        <v>43431.0</v>
      </c>
      <c r="B718" s="151" t="s">
        <v>2763</v>
      </c>
      <c r="C718" s="151" t="s">
        <v>2764</v>
      </c>
      <c r="D718" s="151">
        <f>+2347045722445</f>
        <v>2347045722445</v>
      </c>
      <c r="F718" s="6" t="s">
        <v>168</v>
      </c>
      <c r="G718" s="6" t="s">
        <v>1654</v>
      </c>
    </row>
    <row r="719" ht="15.75" customHeight="1">
      <c r="A719" s="150">
        <v>43431.0</v>
      </c>
      <c r="B719" s="151" t="s">
        <v>2765</v>
      </c>
      <c r="C719" s="151" t="s">
        <v>2766</v>
      </c>
      <c r="D719" s="151">
        <f>+2348140280638</f>
        <v>2348140280638</v>
      </c>
      <c r="F719" s="6" t="s">
        <v>168</v>
      </c>
      <c r="G719" s="6" t="s">
        <v>1654</v>
      </c>
    </row>
    <row r="720" ht="15.75" customHeight="1">
      <c r="A720" s="150">
        <v>43431.0</v>
      </c>
      <c r="B720" s="151" t="s">
        <v>2767</v>
      </c>
      <c r="C720" s="151" t="s">
        <v>2768</v>
      </c>
      <c r="D720" s="151">
        <f>+2348035307364</f>
        <v>2348035307364</v>
      </c>
      <c r="F720" s="6" t="s">
        <v>168</v>
      </c>
      <c r="G720" s="6" t="s">
        <v>1654</v>
      </c>
    </row>
    <row r="721" ht="15.75" customHeight="1">
      <c r="A721" s="150">
        <v>43431.0</v>
      </c>
      <c r="B721" s="151" t="s">
        <v>2769</v>
      </c>
      <c r="C721" s="151" t="s">
        <v>2770</v>
      </c>
      <c r="D721" s="151">
        <f>+2348026006966</f>
        <v>2348026006966</v>
      </c>
      <c r="F721" s="6" t="s">
        <v>168</v>
      </c>
      <c r="G721" s="6" t="s">
        <v>1654</v>
      </c>
    </row>
    <row r="722" ht="15.75" customHeight="1">
      <c r="A722" s="150">
        <v>43431.0</v>
      </c>
      <c r="B722" s="151" t="s">
        <v>2771</v>
      </c>
      <c r="C722" s="151" t="s">
        <v>2772</v>
      </c>
      <c r="D722" s="151">
        <f>+2348103859022</f>
        <v>2348103859022</v>
      </c>
      <c r="F722" s="6" t="s">
        <v>168</v>
      </c>
      <c r="G722" s="6" t="s">
        <v>1654</v>
      </c>
    </row>
    <row r="723" ht="15.75" customHeight="1">
      <c r="A723" s="150">
        <v>43431.0</v>
      </c>
      <c r="B723" s="151" t="s">
        <v>2773</v>
      </c>
      <c r="C723" s="151" t="s">
        <v>2774</v>
      </c>
      <c r="D723" s="151">
        <f>+2348134990782</f>
        <v>2348134990782</v>
      </c>
      <c r="F723" s="6" t="s">
        <v>168</v>
      </c>
      <c r="G723" s="6" t="s">
        <v>1654</v>
      </c>
    </row>
    <row r="724" ht="15.75" customHeight="1">
      <c r="A724" s="150">
        <v>43431.0</v>
      </c>
      <c r="B724" s="151" t="s">
        <v>2775</v>
      </c>
      <c r="C724" s="151" t="s">
        <v>2776</v>
      </c>
      <c r="D724" s="151">
        <f>+2348174781550</f>
        <v>2348174781550</v>
      </c>
      <c r="F724" s="6" t="s">
        <v>168</v>
      </c>
      <c r="G724" s="6" t="s">
        <v>1654</v>
      </c>
    </row>
    <row r="725" ht="15.75" customHeight="1">
      <c r="A725" s="150">
        <v>43431.0</v>
      </c>
      <c r="B725" s="151" t="s">
        <v>2777</v>
      </c>
      <c r="C725" s="151" t="s">
        <v>2778</v>
      </c>
      <c r="D725" s="151">
        <f>+2348161117512</f>
        <v>2348161117512</v>
      </c>
      <c r="F725" s="6" t="s">
        <v>168</v>
      </c>
      <c r="G725" s="6" t="s">
        <v>1654</v>
      </c>
    </row>
    <row r="726" ht="15.75" customHeight="1">
      <c r="A726" s="150">
        <v>43431.0</v>
      </c>
      <c r="B726" s="151" t="s">
        <v>2779</v>
      </c>
      <c r="C726" s="151" t="s">
        <v>2780</v>
      </c>
      <c r="D726" s="151">
        <f>+2348065200682</f>
        <v>2348065200682</v>
      </c>
      <c r="F726" s="6" t="s">
        <v>168</v>
      </c>
      <c r="G726" s="6" t="s">
        <v>1654</v>
      </c>
    </row>
    <row r="727" ht="15.75" customHeight="1">
      <c r="A727" s="150">
        <v>43431.0</v>
      </c>
      <c r="B727" s="151" t="s">
        <v>2781</v>
      </c>
      <c r="C727" s="151" t="s">
        <v>2782</v>
      </c>
      <c r="D727" s="151">
        <f>+2347036309869</f>
        <v>2347036309869</v>
      </c>
      <c r="F727" s="6" t="s">
        <v>168</v>
      </c>
      <c r="G727" s="6" t="s">
        <v>1654</v>
      </c>
    </row>
    <row r="728" ht="15.75" customHeight="1">
      <c r="A728" s="150">
        <v>43431.0</v>
      </c>
      <c r="B728" s="151" t="s">
        <v>2783</v>
      </c>
      <c r="C728" s="151" t="s">
        <v>2784</v>
      </c>
      <c r="D728" s="151">
        <f>+2348023122209</f>
        <v>2348023122209</v>
      </c>
      <c r="F728" s="6" t="s">
        <v>168</v>
      </c>
      <c r="G728" s="6" t="s">
        <v>1654</v>
      </c>
    </row>
    <row r="729" ht="15.75" customHeight="1">
      <c r="A729" s="150">
        <v>43431.0</v>
      </c>
      <c r="B729" s="151" t="s">
        <v>2785</v>
      </c>
      <c r="C729" s="151" t="s">
        <v>2786</v>
      </c>
      <c r="D729" s="151">
        <f>+2347064962928</f>
        <v>2347064962928</v>
      </c>
      <c r="F729" s="6" t="s">
        <v>168</v>
      </c>
      <c r="G729" s="6" t="s">
        <v>1654</v>
      </c>
    </row>
    <row r="730" ht="15.75" customHeight="1">
      <c r="A730" s="150">
        <v>43431.0</v>
      </c>
      <c r="B730" s="151" t="s">
        <v>2787</v>
      </c>
      <c r="C730" s="151" t="s">
        <v>2788</v>
      </c>
      <c r="D730" s="151">
        <f>+2349097615588</f>
        <v>2349097615588</v>
      </c>
      <c r="F730" s="6" t="s">
        <v>168</v>
      </c>
      <c r="G730" s="6" t="s">
        <v>1654</v>
      </c>
    </row>
    <row r="731" ht="15.75" customHeight="1">
      <c r="A731" s="150">
        <v>43431.0</v>
      </c>
      <c r="B731" s="151" t="s">
        <v>2789</v>
      </c>
      <c r="C731" s="151" t="s">
        <v>2790</v>
      </c>
      <c r="D731" s="151">
        <f>+2348055607063</f>
        <v>2348055607063</v>
      </c>
      <c r="F731" s="6" t="s">
        <v>168</v>
      </c>
      <c r="G731" s="6" t="s">
        <v>1654</v>
      </c>
    </row>
    <row r="732" ht="15.75" customHeight="1">
      <c r="A732" s="150">
        <v>43431.0</v>
      </c>
      <c r="B732" s="151" t="s">
        <v>2791</v>
      </c>
      <c r="C732" s="151" t="s">
        <v>2792</v>
      </c>
      <c r="D732" s="151">
        <f>+2348032470303</f>
        <v>2348032470303</v>
      </c>
      <c r="F732" s="6" t="s">
        <v>168</v>
      </c>
      <c r="G732" s="6" t="s">
        <v>1654</v>
      </c>
    </row>
    <row r="733" ht="15.75" customHeight="1">
      <c r="A733" s="150">
        <v>43431.0</v>
      </c>
      <c r="B733" s="151" t="s">
        <v>2793</v>
      </c>
      <c r="C733" s="151" t="s">
        <v>2794</v>
      </c>
      <c r="D733" s="151">
        <f>+2347067834389</f>
        <v>2347067834389</v>
      </c>
      <c r="F733" s="6" t="s">
        <v>168</v>
      </c>
      <c r="G733" s="6" t="s">
        <v>1654</v>
      </c>
    </row>
    <row r="734" ht="15.75" customHeight="1">
      <c r="A734" s="150">
        <v>43431.0</v>
      </c>
      <c r="B734" s="151" t="s">
        <v>2795</v>
      </c>
      <c r="C734" s="151" t="s">
        <v>2796</v>
      </c>
      <c r="D734" s="151">
        <f>+2347066860126</f>
        <v>2347066860126</v>
      </c>
      <c r="F734" s="6" t="s">
        <v>168</v>
      </c>
      <c r="G734" s="6" t="s">
        <v>1654</v>
      </c>
    </row>
    <row r="735" ht="15.75" customHeight="1">
      <c r="A735" s="150">
        <v>43431.0</v>
      </c>
      <c r="B735" s="151" t="s">
        <v>2797</v>
      </c>
      <c r="C735" s="151" t="s">
        <v>2798</v>
      </c>
      <c r="D735" s="151">
        <f>+2348035141067</f>
        <v>2348035141067</v>
      </c>
      <c r="F735" s="6" t="s">
        <v>168</v>
      </c>
      <c r="G735" s="6" t="s">
        <v>1654</v>
      </c>
    </row>
    <row r="736" ht="15.75" customHeight="1">
      <c r="A736" s="150">
        <v>43431.0</v>
      </c>
      <c r="B736" s="151" t="s">
        <v>2799</v>
      </c>
      <c r="C736" s="151" t="s">
        <v>2800</v>
      </c>
      <c r="D736" s="151">
        <f>+2348077907955</f>
        <v>2348077907955</v>
      </c>
      <c r="F736" s="6" t="s">
        <v>168</v>
      </c>
      <c r="G736" s="6" t="s">
        <v>1654</v>
      </c>
    </row>
    <row r="737" ht="15.75" customHeight="1">
      <c r="A737" s="150">
        <v>43431.0</v>
      </c>
      <c r="B737" s="151" t="s">
        <v>2801</v>
      </c>
      <c r="C737" s="151" t="s">
        <v>2802</v>
      </c>
      <c r="D737" s="151">
        <f>+2348028310978</f>
        <v>2348028310978</v>
      </c>
      <c r="F737" s="6" t="s">
        <v>168</v>
      </c>
      <c r="G737" s="6" t="s">
        <v>1654</v>
      </c>
    </row>
    <row r="738" ht="15.75" customHeight="1">
      <c r="A738" s="150">
        <v>43431.0</v>
      </c>
      <c r="B738" s="151" t="s">
        <v>2803</v>
      </c>
      <c r="C738" s="151" t="s">
        <v>2804</v>
      </c>
      <c r="D738" s="151">
        <f>+18134743193</f>
        <v>18134743193</v>
      </c>
      <c r="F738" s="6" t="s">
        <v>168</v>
      </c>
      <c r="G738" s="6" t="s">
        <v>1654</v>
      </c>
    </row>
    <row r="739" ht="15.75" customHeight="1">
      <c r="A739" s="150">
        <v>43431.0</v>
      </c>
      <c r="B739" s="151" t="s">
        <v>2805</v>
      </c>
      <c r="C739" s="151" t="s">
        <v>2806</v>
      </c>
      <c r="D739" s="151">
        <f>+2348034926820</f>
        <v>2348034926820</v>
      </c>
      <c r="F739" s="6" t="s">
        <v>168</v>
      </c>
      <c r="G739" s="6" t="s">
        <v>1654</v>
      </c>
    </row>
    <row r="740" ht="15.75" customHeight="1">
      <c r="A740" s="150">
        <v>43431.0</v>
      </c>
      <c r="B740" s="151" t="s">
        <v>2807</v>
      </c>
      <c r="C740" s="151" t="s">
        <v>2808</v>
      </c>
      <c r="D740" s="151">
        <f>+2347069543506</f>
        <v>2347069543506</v>
      </c>
      <c r="F740" s="6" t="s">
        <v>168</v>
      </c>
      <c r="G740" s="6" t="s">
        <v>1654</v>
      </c>
    </row>
    <row r="741" ht="15.75" customHeight="1">
      <c r="A741" s="150">
        <v>43431.0</v>
      </c>
      <c r="B741" s="151" t="s">
        <v>2809</v>
      </c>
      <c r="C741" s="151" t="s">
        <v>2810</v>
      </c>
      <c r="D741" s="151">
        <f>+2348037225845</f>
        <v>2348037225845</v>
      </c>
      <c r="F741" s="6" t="s">
        <v>168</v>
      </c>
      <c r="G741" s="6" t="s">
        <v>1654</v>
      </c>
    </row>
    <row r="742" ht="15.75" customHeight="1">
      <c r="A742" s="150">
        <v>43431.0</v>
      </c>
      <c r="B742" s="151" t="s">
        <v>2811</v>
      </c>
      <c r="C742" s="151" t="s">
        <v>2812</v>
      </c>
      <c r="D742" s="151">
        <f>+2348028960508</f>
        <v>2348028960508</v>
      </c>
      <c r="F742" s="6" t="s">
        <v>168</v>
      </c>
      <c r="G742" s="6" t="s">
        <v>1654</v>
      </c>
    </row>
    <row r="743" ht="15.75" customHeight="1">
      <c r="A743" s="150">
        <v>43431.0</v>
      </c>
      <c r="B743" s="151" t="s">
        <v>2813</v>
      </c>
      <c r="C743" s="151" t="s">
        <v>2814</v>
      </c>
      <c r="D743" s="151">
        <f>+2348132360769</f>
        <v>2348132360769</v>
      </c>
      <c r="F743" s="6" t="s">
        <v>168</v>
      </c>
      <c r="G743" s="6" t="s">
        <v>1654</v>
      </c>
    </row>
    <row r="744" ht="15.75" customHeight="1">
      <c r="A744" s="150">
        <v>43431.0</v>
      </c>
      <c r="B744" s="151" t="s">
        <v>2815</v>
      </c>
      <c r="C744" s="151" t="s">
        <v>2816</v>
      </c>
      <c r="D744" s="151">
        <f>+2348060211800</f>
        <v>2348060211800</v>
      </c>
      <c r="F744" s="6" t="s">
        <v>168</v>
      </c>
      <c r="G744" s="6" t="s">
        <v>1654</v>
      </c>
    </row>
    <row r="745" ht="15.75" customHeight="1">
      <c r="A745" s="150">
        <v>43431.0</v>
      </c>
      <c r="B745" s="151" t="s">
        <v>2817</v>
      </c>
      <c r="C745" s="151" t="s">
        <v>2818</v>
      </c>
      <c r="D745" s="151">
        <f>+2348181321730</f>
        <v>2348181321730</v>
      </c>
      <c r="F745" s="6" t="s">
        <v>168</v>
      </c>
      <c r="G745" s="6" t="s">
        <v>1654</v>
      </c>
    </row>
    <row r="746" ht="15.75" customHeight="1">
      <c r="A746" s="150">
        <v>43431.0</v>
      </c>
      <c r="B746" s="151" t="s">
        <v>2819</v>
      </c>
      <c r="C746" s="151" t="s">
        <v>2820</v>
      </c>
      <c r="D746" s="151">
        <f>+2348091100544</f>
        <v>2348091100544</v>
      </c>
      <c r="F746" s="6" t="s">
        <v>168</v>
      </c>
      <c r="G746" s="6" t="s">
        <v>1654</v>
      </c>
    </row>
    <row r="747" ht="15.75" customHeight="1">
      <c r="A747" s="150">
        <v>43431.0</v>
      </c>
      <c r="B747" s="151" t="s">
        <v>2821</v>
      </c>
      <c r="C747" s="151" t="s">
        <v>2822</v>
      </c>
      <c r="D747" s="151">
        <f>+2348095493936</f>
        <v>2348095493936</v>
      </c>
      <c r="F747" s="6" t="s">
        <v>168</v>
      </c>
      <c r="G747" s="6" t="s">
        <v>1654</v>
      </c>
    </row>
    <row r="748" ht="15.75" customHeight="1">
      <c r="A748" s="150">
        <v>43431.0</v>
      </c>
      <c r="B748" s="151" t="s">
        <v>2823</v>
      </c>
      <c r="C748" s="151" t="s">
        <v>2824</v>
      </c>
      <c r="D748" s="151">
        <f>+2347064399920</f>
        <v>2347064399920</v>
      </c>
      <c r="F748" s="6" t="s">
        <v>168</v>
      </c>
      <c r="G748" s="6" t="s">
        <v>1654</v>
      </c>
    </row>
    <row r="749" ht="15.75" customHeight="1">
      <c r="A749" s="150">
        <v>43431.0</v>
      </c>
      <c r="B749" s="151" t="s">
        <v>2825</v>
      </c>
      <c r="C749" s="151" t="s">
        <v>2826</v>
      </c>
      <c r="D749" s="151">
        <f>+2348064312323</f>
        <v>2348064312323</v>
      </c>
      <c r="F749" s="6" t="s">
        <v>168</v>
      </c>
      <c r="G749" s="6" t="s">
        <v>1654</v>
      </c>
    </row>
    <row r="750" ht="15.75" customHeight="1">
      <c r="A750" s="150">
        <v>43431.0</v>
      </c>
      <c r="B750" s="151" t="s">
        <v>2827</v>
      </c>
      <c r="C750" s="151" t="s">
        <v>2828</v>
      </c>
      <c r="D750" s="151">
        <f>+2347013267816</f>
        <v>2347013267816</v>
      </c>
      <c r="F750" s="6" t="s">
        <v>168</v>
      </c>
      <c r="G750" s="6" t="s">
        <v>1654</v>
      </c>
    </row>
    <row r="751" ht="15.75" customHeight="1">
      <c r="A751" s="150">
        <v>43431.0</v>
      </c>
      <c r="B751" s="151" t="s">
        <v>2829</v>
      </c>
      <c r="C751" s="151" t="s">
        <v>2830</v>
      </c>
      <c r="D751" s="151">
        <f>+2349080442114</f>
        <v>2349080442114</v>
      </c>
      <c r="F751" s="6" t="s">
        <v>168</v>
      </c>
      <c r="G751" s="6" t="s">
        <v>1654</v>
      </c>
    </row>
    <row r="752" ht="15.75" customHeight="1">
      <c r="A752" s="150">
        <v>43431.0</v>
      </c>
      <c r="B752" s="151" t="s">
        <v>2831</v>
      </c>
      <c r="C752" s="151" t="s">
        <v>2832</v>
      </c>
      <c r="D752" s="151">
        <f>+2348053370090</f>
        <v>2348053370090</v>
      </c>
      <c r="F752" s="6" t="s">
        <v>168</v>
      </c>
      <c r="G752" s="6" t="s">
        <v>1654</v>
      </c>
    </row>
    <row r="753" ht="15.75" customHeight="1">
      <c r="A753" s="150">
        <v>43431.0</v>
      </c>
      <c r="B753" s="151" t="s">
        <v>2833</v>
      </c>
      <c r="C753" s="151" t="s">
        <v>2834</v>
      </c>
      <c r="D753" s="151">
        <f>+2348036338229</f>
        <v>2348036338229</v>
      </c>
      <c r="F753" s="6" t="s">
        <v>168</v>
      </c>
      <c r="G753" s="6" t="s">
        <v>1654</v>
      </c>
    </row>
    <row r="754" ht="15.75" customHeight="1">
      <c r="A754" s="150">
        <v>43431.0</v>
      </c>
      <c r="B754" s="151" t="s">
        <v>2835</v>
      </c>
      <c r="C754" s="151" t="s">
        <v>2836</v>
      </c>
      <c r="D754" s="151">
        <f>+2348037606150</f>
        <v>2348037606150</v>
      </c>
      <c r="F754" s="6" t="s">
        <v>168</v>
      </c>
      <c r="G754" s="6" t="s">
        <v>1654</v>
      </c>
    </row>
    <row r="755" ht="15.75" customHeight="1">
      <c r="A755" s="150">
        <v>43431.0</v>
      </c>
      <c r="B755" s="151" t="s">
        <v>2837</v>
      </c>
      <c r="C755" s="151" t="s">
        <v>2838</v>
      </c>
      <c r="D755" s="151">
        <f>+2348149924682</f>
        <v>2348149924682</v>
      </c>
      <c r="F755" s="6" t="s">
        <v>168</v>
      </c>
      <c r="G755" s="6" t="s">
        <v>1654</v>
      </c>
    </row>
    <row r="756" ht="15.75" customHeight="1">
      <c r="A756" s="150">
        <v>43431.0</v>
      </c>
      <c r="B756" s="151" t="s">
        <v>2839</v>
      </c>
      <c r="C756" s="151" t="s">
        <v>2840</v>
      </c>
      <c r="D756" s="151">
        <f>+23408122871661</f>
        <v>23408122871661</v>
      </c>
      <c r="F756" s="6" t="s">
        <v>168</v>
      </c>
      <c r="G756" s="6" t="s">
        <v>1654</v>
      </c>
    </row>
    <row r="757" ht="15.75" customHeight="1">
      <c r="A757" s="150">
        <v>43431.0</v>
      </c>
      <c r="B757" s="151" t="s">
        <v>2841</v>
      </c>
      <c r="C757" s="151" t="s">
        <v>2842</v>
      </c>
      <c r="D757" s="151">
        <f>+2348159276170</f>
        <v>2348159276170</v>
      </c>
      <c r="F757" s="6" t="s">
        <v>168</v>
      </c>
      <c r="G757" s="6" t="s">
        <v>1654</v>
      </c>
    </row>
    <row r="758" ht="15.75" customHeight="1">
      <c r="A758" s="150">
        <v>43431.0</v>
      </c>
      <c r="B758" s="151" t="s">
        <v>2843</v>
      </c>
      <c r="C758" s="151" t="s">
        <v>2844</v>
      </c>
      <c r="D758" s="151">
        <f>+2348065688946</f>
        <v>2348065688946</v>
      </c>
      <c r="F758" s="6" t="s">
        <v>168</v>
      </c>
      <c r="G758" s="6" t="s">
        <v>1654</v>
      </c>
    </row>
    <row r="759" ht="15.75" customHeight="1">
      <c r="A759" s="150">
        <v>43431.0</v>
      </c>
      <c r="B759" s="151" t="s">
        <v>2845</v>
      </c>
      <c r="C759" s="151" t="s">
        <v>2846</v>
      </c>
      <c r="D759" s="151">
        <f>+2347030177373</f>
        <v>2347030177373</v>
      </c>
      <c r="F759" s="6" t="s">
        <v>168</v>
      </c>
      <c r="G759" s="6" t="s">
        <v>1654</v>
      </c>
    </row>
    <row r="760" ht="15.75" customHeight="1">
      <c r="A760" s="150">
        <v>43431.0</v>
      </c>
      <c r="B760" s="151" t="s">
        <v>2847</v>
      </c>
      <c r="C760" s="151" t="s">
        <v>2848</v>
      </c>
      <c r="D760" s="151">
        <f>+2348056562827</f>
        <v>2348056562827</v>
      </c>
      <c r="F760" s="6" t="s">
        <v>168</v>
      </c>
      <c r="G760" s="6" t="s">
        <v>1654</v>
      </c>
    </row>
    <row r="761" ht="15.75" customHeight="1">
      <c r="A761" s="150">
        <v>43431.0</v>
      </c>
      <c r="B761" s="151" t="s">
        <v>2849</v>
      </c>
      <c r="C761" s="151" t="s">
        <v>2850</v>
      </c>
      <c r="D761" s="151">
        <f>+2348059872920</f>
        <v>2348059872920</v>
      </c>
      <c r="F761" s="6" t="s">
        <v>168</v>
      </c>
      <c r="G761" s="6" t="s">
        <v>1654</v>
      </c>
    </row>
    <row r="762" ht="15.75" customHeight="1">
      <c r="A762" s="150">
        <v>43431.0</v>
      </c>
      <c r="B762" s="151" t="s">
        <v>2851</v>
      </c>
      <c r="C762" s="151" t="s">
        <v>2852</v>
      </c>
      <c r="D762" s="151">
        <f>+23408189102274</f>
        <v>23408189102274</v>
      </c>
      <c r="F762" s="6" t="s">
        <v>168</v>
      </c>
      <c r="G762" s="6" t="s">
        <v>1654</v>
      </c>
    </row>
    <row r="763" ht="15.75" customHeight="1">
      <c r="A763" s="150">
        <v>43431.0</v>
      </c>
      <c r="B763" s="151" t="s">
        <v>2853</v>
      </c>
      <c r="C763" s="151" t="s">
        <v>2854</v>
      </c>
      <c r="D763" s="151">
        <f>+2347040966294</f>
        <v>2347040966294</v>
      </c>
      <c r="F763" s="6" t="s">
        <v>168</v>
      </c>
      <c r="G763" s="6" t="s">
        <v>1654</v>
      </c>
    </row>
    <row r="764" ht="15.75" customHeight="1">
      <c r="A764" s="150">
        <v>43432.0</v>
      </c>
      <c r="B764" s="151" t="s">
        <v>2996</v>
      </c>
      <c r="C764" s="151" t="s">
        <v>2997</v>
      </c>
      <c r="D764" s="151">
        <f>+2348172460307</f>
        <v>2348172460307</v>
      </c>
      <c r="F764" s="6" t="s">
        <v>97</v>
      </c>
      <c r="G764" s="6" t="s">
        <v>1654</v>
      </c>
    </row>
    <row r="765" ht="15.75" customHeight="1">
      <c r="A765" s="150">
        <v>43432.0</v>
      </c>
      <c r="B765" s="151" t="s">
        <v>2998</v>
      </c>
      <c r="C765" s="151" t="s">
        <v>2999</v>
      </c>
      <c r="D765" s="151">
        <f>+2348060285275</f>
        <v>2348060285275</v>
      </c>
      <c r="F765" s="6" t="s">
        <v>97</v>
      </c>
      <c r="G765" s="6" t="s">
        <v>1654</v>
      </c>
    </row>
    <row r="766" ht="15.75" customHeight="1">
      <c r="A766" s="150">
        <v>43432.0</v>
      </c>
      <c r="B766" s="151" t="s">
        <v>3000</v>
      </c>
      <c r="C766" s="151" t="s">
        <v>3001</v>
      </c>
      <c r="D766" s="151">
        <f>+2348064467968</f>
        <v>2348064467968</v>
      </c>
      <c r="F766" s="6" t="s">
        <v>97</v>
      </c>
      <c r="G766" s="6" t="s">
        <v>1654</v>
      </c>
    </row>
    <row r="767" ht="15.75" customHeight="1">
      <c r="A767" s="150">
        <v>43432.0</v>
      </c>
      <c r="B767" s="151" t="s">
        <v>3002</v>
      </c>
      <c r="C767" s="151" t="s">
        <v>3003</v>
      </c>
      <c r="D767" s="151">
        <f>+2348036227424</f>
        <v>2348036227424</v>
      </c>
      <c r="F767" s="6" t="s">
        <v>97</v>
      </c>
      <c r="G767" s="6" t="s">
        <v>1654</v>
      </c>
    </row>
    <row r="768" ht="15.75" customHeight="1">
      <c r="A768" s="150">
        <v>43432.0</v>
      </c>
      <c r="B768" s="151" t="s">
        <v>3004</v>
      </c>
      <c r="C768" s="151" t="s">
        <v>3005</v>
      </c>
      <c r="D768" s="151">
        <f>+2348177471519</f>
        <v>2348177471519</v>
      </c>
      <c r="F768" s="6" t="s">
        <v>97</v>
      </c>
      <c r="G768" s="6" t="s">
        <v>1654</v>
      </c>
    </row>
    <row r="769" ht="15.75" customHeight="1">
      <c r="A769" s="150">
        <v>43432.0</v>
      </c>
      <c r="B769" s="151" t="s">
        <v>3006</v>
      </c>
      <c r="C769" s="151" t="s">
        <v>3007</v>
      </c>
      <c r="D769" s="151">
        <f>+2348123280158</f>
        <v>2348123280158</v>
      </c>
      <c r="F769" s="6" t="s">
        <v>97</v>
      </c>
      <c r="G769" s="6" t="s">
        <v>1654</v>
      </c>
    </row>
    <row r="770" ht="15.75" customHeight="1">
      <c r="A770" s="150">
        <v>43432.0</v>
      </c>
      <c r="B770" s="151" t="s">
        <v>3008</v>
      </c>
      <c r="C770" s="151" t="s">
        <v>3009</v>
      </c>
      <c r="D770" s="151">
        <f>+2347039053539</f>
        <v>2347039053539</v>
      </c>
      <c r="F770" s="6" t="s">
        <v>97</v>
      </c>
      <c r="G770" s="6" t="s">
        <v>1654</v>
      </c>
    </row>
    <row r="771" ht="15.75" customHeight="1">
      <c r="A771" s="150">
        <v>43432.0</v>
      </c>
      <c r="B771" s="151" t="s">
        <v>3010</v>
      </c>
      <c r="C771" s="151" t="s">
        <v>3011</v>
      </c>
      <c r="D771" s="151">
        <f>+2348034988088</f>
        <v>2348034988088</v>
      </c>
      <c r="F771" s="6" t="s">
        <v>97</v>
      </c>
      <c r="G771" s="6" t="s">
        <v>1654</v>
      </c>
    </row>
    <row r="772" ht="15.75" customHeight="1">
      <c r="A772" s="150">
        <v>43432.0</v>
      </c>
      <c r="B772" s="151" t="s">
        <v>3012</v>
      </c>
      <c r="C772" s="151" t="s">
        <v>3013</v>
      </c>
      <c r="D772" s="151">
        <f>+2348139009967</f>
        <v>2348139009967</v>
      </c>
      <c r="F772" s="6" t="s">
        <v>97</v>
      </c>
      <c r="G772" s="6" t="s">
        <v>1654</v>
      </c>
    </row>
    <row r="773" ht="15.75" customHeight="1">
      <c r="A773" s="150">
        <v>43432.0</v>
      </c>
      <c r="B773" s="151" t="s">
        <v>3014</v>
      </c>
      <c r="C773" s="151" t="s">
        <v>3015</v>
      </c>
      <c r="D773" s="151">
        <f>+2348183445511</f>
        <v>2348183445511</v>
      </c>
      <c r="F773" s="6" t="s">
        <v>97</v>
      </c>
      <c r="G773" s="6" t="s">
        <v>1654</v>
      </c>
    </row>
    <row r="774" ht="15.75" customHeight="1">
      <c r="A774" s="150">
        <v>43432.0</v>
      </c>
      <c r="B774" s="151" t="s">
        <v>3016</v>
      </c>
      <c r="C774" s="151" t="s">
        <v>3017</v>
      </c>
      <c r="D774" s="151">
        <f>+2348030588403</f>
        <v>2348030588403</v>
      </c>
      <c r="F774" s="6" t="s">
        <v>97</v>
      </c>
      <c r="G774" s="6" t="s">
        <v>1654</v>
      </c>
    </row>
    <row r="775" ht="15.75" customHeight="1">
      <c r="A775" s="150">
        <v>43432.0</v>
      </c>
      <c r="B775" s="151" t="s">
        <v>3018</v>
      </c>
      <c r="C775" s="151" t="s">
        <v>3019</v>
      </c>
      <c r="D775" s="151">
        <f>+2348032579701</f>
        <v>2348032579701</v>
      </c>
      <c r="F775" s="6" t="s">
        <v>97</v>
      </c>
      <c r="G775" s="6" t="s">
        <v>1654</v>
      </c>
    </row>
    <row r="776" ht="15.75" customHeight="1">
      <c r="A776" s="150">
        <v>43432.0</v>
      </c>
      <c r="B776" s="151" t="s">
        <v>3020</v>
      </c>
      <c r="C776" s="151" t="s">
        <v>3021</v>
      </c>
      <c r="D776" s="151">
        <f>+2348135726570</f>
        <v>2348135726570</v>
      </c>
      <c r="F776" s="6" t="s">
        <v>97</v>
      </c>
      <c r="G776" s="6" t="s">
        <v>1654</v>
      </c>
    </row>
    <row r="777" ht="15.75" customHeight="1">
      <c r="A777" s="150">
        <v>43432.0</v>
      </c>
      <c r="B777" s="151" t="s">
        <v>3022</v>
      </c>
      <c r="C777" s="151" t="s">
        <v>3023</v>
      </c>
      <c r="D777" s="151">
        <f>+2348131172056</f>
        <v>2348131172056</v>
      </c>
      <c r="F777" s="6" t="s">
        <v>97</v>
      </c>
      <c r="G777" s="6" t="s">
        <v>1654</v>
      </c>
    </row>
    <row r="778" ht="15.75" customHeight="1">
      <c r="A778" s="150">
        <v>43432.0</v>
      </c>
      <c r="B778" s="151" t="s">
        <v>3024</v>
      </c>
      <c r="C778" s="151" t="s">
        <v>3025</v>
      </c>
      <c r="D778" s="151">
        <f>+2348058180874</f>
        <v>2348058180874</v>
      </c>
      <c r="F778" s="6" t="s">
        <v>97</v>
      </c>
      <c r="G778" s="6" t="s">
        <v>1654</v>
      </c>
    </row>
    <row r="779" ht="15.75" customHeight="1">
      <c r="A779" s="150">
        <v>43432.0</v>
      </c>
      <c r="B779" s="151" t="s">
        <v>3026</v>
      </c>
      <c r="C779" s="151" t="s">
        <v>3027</v>
      </c>
      <c r="D779" s="151">
        <f>+971527493796</f>
        <v>971527493796</v>
      </c>
      <c r="F779" s="6" t="s">
        <v>97</v>
      </c>
      <c r="G779" s="6" t="s">
        <v>1654</v>
      </c>
    </row>
    <row r="780" ht="15.75" customHeight="1">
      <c r="A780" s="150">
        <v>43432.0</v>
      </c>
      <c r="B780" s="151" t="s">
        <v>3028</v>
      </c>
      <c r="C780" s="151" t="s">
        <v>3029</v>
      </c>
      <c r="D780" s="151">
        <f>+2348034820183</f>
        <v>2348034820183</v>
      </c>
      <c r="F780" s="6" t="s">
        <v>97</v>
      </c>
      <c r="G780" s="6" t="s">
        <v>1654</v>
      </c>
    </row>
    <row r="781" ht="15.75" customHeight="1">
      <c r="A781" s="150">
        <v>43432.0</v>
      </c>
      <c r="B781" s="151" t="s">
        <v>3030</v>
      </c>
      <c r="C781" s="151" t="s">
        <v>3031</v>
      </c>
      <c r="D781" s="151">
        <f>+2348037881586</f>
        <v>2348037881586</v>
      </c>
      <c r="F781" s="6" t="s">
        <v>97</v>
      </c>
      <c r="G781" s="6" t="s">
        <v>1654</v>
      </c>
    </row>
    <row r="782" ht="15.75" customHeight="1">
      <c r="A782" s="150">
        <v>43432.0</v>
      </c>
      <c r="B782" s="151" t="s">
        <v>3032</v>
      </c>
      <c r="C782" s="151" t="s">
        <v>3033</v>
      </c>
      <c r="D782" s="151">
        <f>+2348138393990</f>
        <v>2348138393990</v>
      </c>
      <c r="F782" s="6" t="s">
        <v>97</v>
      </c>
      <c r="G782" s="6" t="s">
        <v>1654</v>
      </c>
    </row>
    <row r="783" ht="15.75" customHeight="1">
      <c r="A783" s="150">
        <v>43432.0</v>
      </c>
      <c r="B783" s="151" t="s">
        <v>3034</v>
      </c>
      <c r="C783" s="151" t="s">
        <v>3035</v>
      </c>
      <c r="D783" s="151">
        <f>+2348065569697</f>
        <v>2348065569697</v>
      </c>
      <c r="F783" s="6" t="s">
        <v>97</v>
      </c>
      <c r="G783" s="6" t="s">
        <v>1654</v>
      </c>
    </row>
    <row r="784" ht="15.75" customHeight="1">
      <c r="A784" s="150">
        <v>43432.0</v>
      </c>
      <c r="B784" s="151" t="s">
        <v>3036</v>
      </c>
      <c r="C784" s="151" t="s">
        <v>3037</v>
      </c>
      <c r="D784" s="151">
        <f>+2348023340078</f>
        <v>2348023340078</v>
      </c>
      <c r="F784" s="6" t="s">
        <v>97</v>
      </c>
      <c r="G784" s="6" t="s">
        <v>1654</v>
      </c>
    </row>
    <row r="785" ht="15.75" customHeight="1">
      <c r="A785" s="150">
        <v>43432.0</v>
      </c>
      <c r="B785" s="151" t="s">
        <v>3038</v>
      </c>
      <c r="C785" s="151" t="s">
        <v>3039</v>
      </c>
      <c r="D785" s="151">
        <f>+2348036760880</f>
        <v>2348036760880</v>
      </c>
      <c r="F785" s="6" t="s">
        <v>97</v>
      </c>
      <c r="G785" s="6" t="s">
        <v>1654</v>
      </c>
    </row>
    <row r="786" ht="15.75" customHeight="1">
      <c r="A786" s="150">
        <v>43432.0</v>
      </c>
      <c r="B786" s="151" t="s">
        <v>3040</v>
      </c>
      <c r="C786" s="151" t="s">
        <v>3041</v>
      </c>
      <c r="D786" s="151">
        <f>+2349091432658</f>
        <v>2349091432658</v>
      </c>
      <c r="F786" s="6" t="s">
        <v>97</v>
      </c>
      <c r="G786" s="6" t="s">
        <v>1654</v>
      </c>
    </row>
    <row r="787" ht="15.75" customHeight="1">
      <c r="A787" s="150">
        <v>43432.0</v>
      </c>
      <c r="B787" s="151" t="s">
        <v>3042</v>
      </c>
      <c r="C787" s="151" t="s">
        <v>3043</v>
      </c>
      <c r="D787" s="151">
        <f>+2348033089613</f>
        <v>2348033089613</v>
      </c>
      <c r="F787" s="6" t="s">
        <v>97</v>
      </c>
      <c r="G787" s="6" t="s">
        <v>1654</v>
      </c>
    </row>
    <row r="788" ht="15.75" customHeight="1">
      <c r="A788" s="150">
        <v>43432.0</v>
      </c>
      <c r="B788" s="151" t="s">
        <v>3044</v>
      </c>
      <c r="C788" s="151" t="s">
        <v>3045</v>
      </c>
      <c r="D788" s="151">
        <f>+2348036169280</f>
        <v>2348036169280</v>
      </c>
      <c r="F788" s="6" t="s">
        <v>97</v>
      </c>
      <c r="G788" s="6" t="s">
        <v>1654</v>
      </c>
    </row>
    <row r="789" ht="15.75" customHeight="1">
      <c r="A789" s="150">
        <v>43432.0</v>
      </c>
      <c r="B789" s="151" t="s">
        <v>3046</v>
      </c>
      <c r="C789" s="151" t="s">
        <v>3047</v>
      </c>
      <c r="D789" s="151">
        <f>+2348089455069</f>
        <v>2348089455069</v>
      </c>
      <c r="F789" s="6" t="s">
        <v>97</v>
      </c>
      <c r="G789" s="6" t="s">
        <v>1654</v>
      </c>
    </row>
    <row r="790" ht="15.75" customHeight="1">
      <c r="A790" s="150">
        <v>43432.0</v>
      </c>
      <c r="B790" s="151" t="s">
        <v>3048</v>
      </c>
      <c r="C790" s="151" t="s">
        <v>3049</v>
      </c>
      <c r="D790" s="151">
        <f>+2348134713121</f>
        <v>2348134713121</v>
      </c>
      <c r="F790" s="6" t="s">
        <v>97</v>
      </c>
      <c r="G790" s="6" t="s">
        <v>1654</v>
      </c>
    </row>
    <row r="791" ht="15.75" customHeight="1">
      <c r="A791" s="150">
        <v>43432.0</v>
      </c>
      <c r="B791" s="151" t="s">
        <v>3050</v>
      </c>
      <c r="C791" s="151" t="s">
        <v>3051</v>
      </c>
      <c r="D791" s="151">
        <f>+2348026269262</f>
        <v>2348026269262</v>
      </c>
      <c r="F791" s="6" t="s">
        <v>97</v>
      </c>
      <c r="G791" s="6" t="s">
        <v>1654</v>
      </c>
    </row>
    <row r="792" ht="15.75" customHeight="1">
      <c r="A792" s="150">
        <v>43432.0</v>
      </c>
      <c r="B792" s="151" t="s">
        <v>3052</v>
      </c>
      <c r="C792" s="151" t="s">
        <v>3053</v>
      </c>
      <c r="D792" s="151">
        <f>+2348037848278</f>
        <v>2348037848278</v>
      </c>
      <c r="F792" s="6" t="s">
        <v>97</v>
      </c>
      <c r="G792" s="6" t="s">
        <v>1654</v>
      </c>
    </row>
    <row r="793" ht="15.75" customHeight="1">
      <c r="A793" s="150">
        <v>43432.0</v>
      </c>
      <c r="B793" s="151" t="s">
        <v>3054</v>
      </c>
      <c r="C793" s="151" t="s">
        <v>3055</v>
      </c>
      <c r="D793" s="151">
        <f>+2348080614232</f>
        <v>2348080614232</v>
      </c>
      <c r="F793" s="6" t="s">
        <v>97</v>
      </c>
      <c r="G793" s="6" t="s">
        <v>1654</v>
      </c>
    </row>
    <row r="794" ht="15.75" customHeight="1">
      <c r="A794" s="150">
        <v>43432.0</v>
      </c>
      <c r="B794" s="151" t="s">
        <v>3056</v>
      </c>
      <c r="C794" s="151" t="s">
        <v>3057</v>
      </c>
      <c r="D794" s="151">
        <f>+2348077011126</f>
        <v>2348077011126</v>
      </c>
      <c r="F794" s="6" t="s">
        <v>97</v>
      </c>
      <c r="G794" s="6" t="s">
        <v>1654</v>
      </c>
    </row>
    <row r="795" ht="15.75" customHeight="1">
      <c r="A795" s="150">
        <v>43432.0</v>
      </c>
      <c r="B795" s="151" t="s">
        <v>3058</v>
      </c>
      <c r="C795" s="151" t="s">
        <v>3059</v>
      </c>
      <c r="D795" s="151">
        <f>+2348057076858</f>
        <v>2348057076858</v>
      </c>
      <c r="F795" s="6" t="s">
        <v>97</v>
      </c>
      <c r="G795" s="6" t="s">
        <v>1654</v>
      </c>
    </row>
    <row r="796" ht="15.75" customHeight="1">
      <c r="A796" s="150">
        <v>43432.0</v>
      </c>
      <c r="B796" s="151" t="s">
        <v>3060</v>
      </c>
      <c r="C796" s="151" t="s">
        <v>3061</v>
      </c>
      <c r="D796" s="151">
        <f>+2348062141919</f>
        <v>2348062141919</v>
      </c>
      <c r="F796" s="6" t="s">
        <v>97</v>
      </c>
      <c r="G796" s="6" t="s">
        <v>1654</v>
      </c>
    </row>
    <row r="797" ht="15.75" customHeight="1">
      <c r="A797" s="150">
        <v>43432.0</v>
      </c>
      <c r="B797" s="151" t="s">
        <v>3062</v>
      </c>
      <c r="C797" s="151" t="s">
        <v>3063</v>
      </c>
      <c r="D797" s="151">
        <f>+2348036585118</f>
        <v>2348036585118</v>
      </c>
      <c r="F797" s="6" t="s">
        <v>97</v>
      </c>
      <c r="G797" s="6" t="s">
        <v>1654</v>
      </c>
    </row>
    <row r="798" ht="15.75" customHeight="1">
      <c r="A798" s="150">
        <v>43432.0</v>
      </c>
      <c r="B798" s="151" t="s">
        <v>3064</v>
      </c>
      <c r="C798" s="151" t="s">
        <v>3065</v>
      </c>
      <c r="D798" s="151">
        <f>+2348034100179</f>
        <v>2348034100179</v>
      </c>
      <c r="F798" s="6" t="s">
        <v>97</v>
      </c>
      <c r="G798" s="6" t="s">
        <v>1654</v>
      </c>
    </row>
    <row r="799" ht="15.75" customHeight="1">
      <c r="A799" s="150">
        <v>43432.0</v>
      </c>
      <c r="B799" s="151" t="s">
        <v>3066</v>
      </c>
      <c r="C799" s="151" t="s">
        <v>3067</v>
      </c>
      <c r="D799" s="151">
        <f>+23408024612331</f>
        <v>23408024612331</v>
      </c>
      <c r="F799" s="6" t="s">
        <v>97</v>
      </c>
      <c r="G799" s="6" t="s">
        <v>1654</v>
      </c>
    </row>
    <row r="800" ht="15.75" customHeight="1">
      <c r="A800" s="150">
        <v>43432.0</v>
      </c>
      <c r="B800" s="151" t="s">
        <v>3068</v>
      </c>
      <c r="C800" s="151" t="s">
        <v>3069</v>
      </c>
      <c r="D800" s="151">
        <f>+2348029069149</f>
        <v>2348029069149</v>
      </c>
      <c r="F800" s="6" t="s">
        <v>97</v>
      </c>
      <c r="G800" s="6" t="s">
        <v>1654</v>
      </c>
    </row>
    <row r="801" ht="15.75" customHeight="1">
      <c r="A801" s="150">
        <v>43432.0</v>
      </c>
      <c r="B801" s="151" t="s">
        <v>3070</v>
      </c>
      <c r="C801" s="151" t="s">
        <v>3071</v>
      </c>
      <c r="D801" s="151">
        <f>+2348093764817</f>
        <v>2348093764817</v>
      </c>
      <c r="F801" s="6" t="s">
        <v>168</v>
      </c>
      <c r="G801" s="6" t="s">
        <v>1654</v>
      </c>
    </row>
    <row r="802" ht="15.75" customHeight="1">
      <c r="A802" s="150">
        <v>43432.0</v>
      </c>
      <c r="B802" s="151" t="s">
        <v>3072</v>
      </c>
      <c r="C802" s="151" t="s">
        <v>3073</v>
      </c>
      <c r="D802" s="151">
        <f>+2348054570954</f>
        <v>2348054570954</v>
      </c>
      <c r="F802" s="6" t="s">
        <v>168</v>
      </c>
      <c r="G802" s="6" t="s">
        <v>1654</v>
      </c>
    </row>
    <row r="803" ht="15.75" customHeight="1">
      <c r="A803" s="150">
        <v>43432.0</v>
      </c>
      <c r="B803" s="151" t="s">
        <v>3074</v>
      </c>
      <c r="C803" s="151" t="s">
        <v>3075</v>
      </c>
      <c r="D803" s="151">
        <f>+2348033464113</f>
        <v>2348033464113</v>
      </c>
      <c r="F803" s="6" t="s">
        <v>168</v>
      </c>
      <c r="G803" s="6" t="s">
        <v>1654</v>
      </c>
    </row>
    <row r="804" ht="15.75" customHeight="1">
      <c r="A804" s="150">
        <v>43432.0</v>
      </c>
      <c r="B804" s="151" t="s">
        <v>3076</v>
      </c>
      <c r="C804" s="151" t="s">
        <v>3077</v>
      </c>
      <c r="D804" s="151">
        <f>+23408096101850</f>
        <v>23408096101850</v>
      </c>
      <c r="F804" s="6" t="s">
        <v>168</v>
      </c>
      <c r="G804" s="6" t="s">
        <v>1654</v>
      </c>
    </row>
    <row r="805" ht="15.75" customHeight="1">
      <c r="A805" s="150">
        <v>43432.0</v>
      </c>
      <c r="B805" s="151" t="s">
        <v>3078</v>
      </c>
      <c r="C805" s="151" t="s">
        <v>3079</v>
      </c>
      <c r="D805" s="151">
        <f>+2347058152104</f>
        <v>2347058152104</v>
      </c>
      <c r="F805" s="6" t="s">
        <v>168</v>
      </c>
      <c r="G805" s="6" t="s">
        <v>1654</v>
      </c>
    </row>
    <row r="806" ht="15.75" customHeight="1">
      <c r="A806" s="150">
        <v>43432.0</v>
      </c>
      <c r="B806" s="151" t="s">
        <v>3080</v>
      </c>
      <c r="C806" s="151" t="s">
        <v>3081</v>
      </c>
      <c r="D806" s="151">
        <f>+2348169434131</f>
        <v>2348169434131</v>
      </c>
      <c r="F806" s="6" t="s">
        <v>168</v>
      </c>
      <c r="G806" s="6" t="s">
        <v>1654</v>
      </c>
    </row>
    <row r="807" ht="15.75" customHeight="1">
      <c r="A807" s="150">
        <v>43432.0</v>
      </c>
      <c r="B807" s="151" t="s">
        <v>3082</v>
      </c>
      <c r="C807" s="151" t="s">
        <v>3083</v>
      </c>
      <c r="D807" s="151">
        <f>+2349031856237</f>
        <v>2349031856237</v>
      </c>
      <c r="F807" s="6" t="s">
        <v>168</v>
      </c>
      <c r="G807" s="6" t="s">
        <v>1654</v>
      </c>
    </row>
    <row r="808" ht="15.75" customHeight="1">
      <c r="A808" s="150">
        <v>43432.0</v>
      </c>
      <c r="B808" s="151" t="s">
        <v>3084</v>
      </c>
      <c r="C808" s="151" t="s">
        <v>3085</v>
      </c>
      <c r="D808" s="151">
        <f>+2348036111785</f>
        <v>2348036111785</v>
      </c>
      <c r="F808" s="6" t="s">
        <v>168</v>
      </c>
      <c r="G808" s="6" t="s">
        <v>1654</v>
      </c>
    </row>
    <row r="809" ht="15.75" customHeight="1">
      <c r="A809" s="150">
        <v>43432.0</v>
      </c>
      <c r="B809" s="151" t="s">
        <v>3086</v>
      </c>
      <c r="C809" s="151" t="s">
        <v>3087</v>
      </c>
      <c r="D809" s="151">
        <f>+2348036887122</f>
        <v>2348036887122</v>
      </c>
      <c r="F809" s="6" t="s">
        <v>168</v>
      </c>
      <c r="G809" s="6" t="s">
        <v>1654</v>
      </c>
    </row>
    <row r="810" ht="15.75" customHeight="1">
      <c r="A810" s="150">
        <v>43432.0</v>
      </c>
      <c r="B810" s="151" t="s">
        <v>3088</v>
      </c>
      <c r="C810" s="151" t="s">
        <v>3089</v>
      </c>
      <c r="D810" s="151">
        <f>+2348036683632</f>
        <v>2348036683632</v>
      </c>
      <c r="F810" s="6" t="s">
        <v>168</v>
      </c>
      <c r="G810" s="6" t="s">
        <v>1654</v>
      </c>
    </row>
    <row r="811" ht="15.75" customHeight="1">
      <c r="A811" s="150">
        <v>43432.0</v>
      </c>
      <c r="B811" s="151" t="s">
        <v>3090</v>
      </c>
      <c r="C811" s="151" t="s">
        <v>3091</v>
      </c>
      <c r="D811" s="151">
        <f>+2347036798515</f>
        <v>2347036798515</v>
      </c>
      <c r="F811" s="6" t="s">
        <v>168</v>
      </c>
      <c r="G811" s="6" t="s">
        <v>1654</v>
      </c>
    </row>
    <row r="812" ht="15.75" customHeight="1">
      <c r="A812" s="150">
        <v>43432.0</v>
      </c>
      <c r="B812" s="151" t="s">
        <v>3092</v>
      </c>
      <c r="C812" s="151" t="s">
        <v>3093</v>
      </c>
      <c r="D812" s="151">
        <f>+2348160095553</f>
        <v>2348160095553</v>
      </c>
      <c r="F812" s="6" t="s">
        <v>168</v>
      </c>
      <c r="G812" s="6" t="s">
        <v>1654</v>
      </c>
    </row>
    <row r="813" ht="15.75" customHeight="1">
      <c r="A813" s="150">
        <v>43432.0</v>
      </c>
      <c r="B813" s="151" t="s">
        <v>3094</v>
      </c>
      <c r="C813" s="151" t="s">
        <v>3095</v>
      </c>
      <c r="D813" s="151">
        <f>+23407038156584</f>
        <v>23407038156584</v>
      </c>
      <c r="F813" s="6" t="s">
        <v>168</v>
      </c>
      <c r="G813" s="6" t="s">
        <v>1654</v>
      </c>
    </row>
    <row r="814" ht="15.75" customHeight="1">
      <c r="A814" s="150">
        <v>43432.0</v>
      </c>
      <c r="B814" s="151" t="s">
        <v>3096</v>
      </c>
      <c r="C814" s="151" t="s">
        <v>3097</v>
      </c>
      <c r="D814" s="151">
        <f>+2349094888887</f>
        <v>2349094888887</v>
      </c>
      <c r="F814" s="6" t="s">
        <v>168</v>
      </c>
      <c r="G814" s="6" t="s">
        <v>1654</v>
      </c>
    </row>
    <row r="815" ht="15.75" customHeight="1">
      <c r="A815" s="150">
        <v>43432.0</v>
      </c>
      <c r="B815" s="151" t="s">
        <v>3098</v>
      </c>
      <c r="C815" s="151" t="s">
        <v>3099</v>
      </c>
      <c r="D815" s="151">
        <f>+2348061584445</f>
        <v>2348061584445</v>
      </c>
      <c r="F815" s="6" t="s">
        <v>168</v>
      </c>
      <c r="G815" s="6" t="s">
        <v>1654</v>
      </c>
    </row>
    <row r="816" ht="15.75" customHeight="1">
      <c r="A816" s="150">
        <v>43432.0</v>
      </c>
      <c r="B816" s="151" t="s">
        <v>3100</v>
      </c>
      <c r="C816" s="151" t="s">
        <v>3101</v>
      </c>
      <c r="D816" s="151">
        <f>+2347066954220</f>
        <v>2347066954220</v>
      </c>
      <c r="F816" s="6" t="s">
        <v>168</v>
      </c>
      <c r="G816" s="6" t="s">
        <v>1654</v>
      </c>
    </row>
    <row r="817" ht="15.75" customHeight="1">
      <c r="A817" s="150">
        <v>43432.0</v>
      </c>
      <c r="B817" s="151" t="s">
        <v>3102</v>
      </c>
      <c r="C817" s="151" t="s">
        <v>3103</v>
      </c>
      <c r="D817" s="151">
        <f>+2348138625929</f>
        <v>2348138625929</v>
      </c>
      <c r="F817" s="6" t="s">
        <v>168</v>
      </c>
      <c r="G817" s="6" t="s">
        <v>1654</v>
      </c>
    </row>
    <row r="818" ht="15.75" customHeight="1">
      <c r="A818" s="150">
        <v>43432.0</v>
      </c>
      <c r="B818" s="151" t="s">
        <v>3104</v>
      </c>
      <c r="C818" s="151" t="s">
        <v>3105</v>
      </c>
      <c r="D818" s="151">
        <f>+2349097903011</f>
        <v>2349097903011</v>
      </c>
      <c r="F818" s="6" t="s">
        <v>168</v>
      </c>
      <c r="G818" s="6" t="s">
        <v>1654</v>
      </c>
    </row>
    <row r="819" ht="15.75" customHeight="1">
      <c r="A819" s="150">
        <v>43432.0</v>
      </c>
      <c r="B819" s="151" t="s">
        <v>3106</v>
      </c>
      <c r="C819" s="151" t="s">
        <v>3107</v>
      </c>
      <c r="D819" s="151">
        <f>+2348055418535</f>
        <v>2348055418535</v>
      </c>
      <c r="F819" s="6" t="s">
        <v>168</v>
      </c>
      <c r="G819" s="6" t="s">
        <v>1654</v>
      </c>
    </row>
    <row r="820" ht="15.75" customHeight="1">
      <c r="A820" s="150">
        <v>43432.0</v>
      </c>
      <c r="B820" s="151" t="s">
        <v>3108</v>
      </c>
      <c r="C820" s="151" t="s">
        <v>3109</v>
      </c>
      <c r="D820" s="151">
        <f>+2348023742092</f>
        <v>2348023742092</v>
      </c>
      <c r="F820" s="6" t="s">
        <v>168</v>
      </c>
      <c r="G820" s="6" t="s">
        <v>1654</v>
      </c>
    </row>
    <row r="821" ht="15.75" customHeight="1">
      <c r="A821" s="150">
        <v>43432.0</v>
      </c>
      <c r="B821" s="151" t="s">
        <v>3110</v>
      </c>
      <c r="C821" s="151" t="s">
        <v>3111</v>
      </c>
      <c r="D821" s="151">
        <f>+2348067567263</f>
        <v>2348067567263</v>
      </c>
      <c r="F821" s="6" t="s">
        <v>168</v>
      </c>
      <c r="G821" s="6" t="s">
        <v>1654</v>
      </c>
    </row>
    <row r="822" ht="15.75" customHeight="1">
      <c r="A822" s="150">
        <v>43432.0</v>
      </c>
      <c r="B822" s="151" t="s">
        <v>3112</v>
      </c>
      <c r="C822" s="151" t="s">
        <v>3113</v>
      </c>
      <c r="D822" s="151">
        <f>+2348023880000</f>
        <v>2348023880000</v>
      </c>
      <c r="F822" s="6" t="s">
        <v>168</v>
      </c>
      <c r="G822" s="6" t="s">
        <v>1654</v>
      </c>
    </row>
    <row r="823" ht="15.75" customHeight="1">
      <c r="A823" s="150">
        <v>43432.0</v>
      </c>
      <c r="B823" s="151" t="s">
        <v>3114</v>
      </c>
      <c r="C823" s="151" t="s">
        <v>3115</v>
      </c>
      <c r="D823" s="151">
        <f>+2348185741800</f>
        <v>2348185741800</v>
      </c>
      <c r="F823" s="6" t="s">
        <v>168</v>
      </c>
      <c r="G823" s="6" t="s">
        <v>1654</v>
      </c>
    </row>
    <row r="824" ht="15.75" customHeight="1">
      <c r="A824" s="150">
        <v>43432.0</v>
      </c>
      <c r="B824" s="151" t="s">
        <v>3116</v>
      </c>
      <c r="C824" s="151" t="s">
        <v>3117</v>
      </c>
      <c r="D824" s="151">
        <f>+2348053200003</f>
        <v>2348053200003</v>
      </c>
      <c r="F824" s="6" t="s">
        <v>168</v>
      </c>
      <c r="G824" s="6" t="s">
        <v>1654</v>
      </c>
    </row>
    <row r="825" ht="15.75" customHeight="1">
      <c r="A825" s="150">
        <v>43432.0</v>
      </c>
      <c r="B825" s="151" t="s">
        <v>3118</v>
      </c>
      <c r="C825" s="151" t="s">
        <v>3119</v>
      </c>
      <c r="D825" s="151">
        <f>+2348161145020</f>
        <v>2348161145020</v>
      </c>
      <c r="F825" s="6" t="s">
        <v>168</v>
      </c>
      <c r="G825" s="6" t="s">
        <v>1654</v>
      </c>
    </row>
    <row r="826" ht="15.75" customHeight="1">
      <c r="A826" s="150">
        <v>43432.0</v>
      </c>
      <c r="B826" s="151" t="s">
        <v>3120</v>
      </c>
      <c r="C826" s="151" t="s">
        <v>3121</v>
      </c>
      <c r="D826" s="151">
        <f>+2347030336253</f>
        <v>2347030336253</v>
      </c>
      <c r="F826" s="6" t="s">
        <v>168</v>
      </c>
      <c r="G826" s="6" t="s">
        <v>1654</v>
      </c>
    </row>
    <row r="827" ht="15.75" customHeight="1">
      <c r="A827" s="150">
        <v>43432.0</v>
      </c>
      <c r="B827" s="151" t="s">
        <v>3122</v>
      </c>
      <c r="C827" s="151" t="s">
        <v>3123</v>
      </c>
      <c r="D827" s="151">
        <f>+2347055557700</f>
        <v>2347055557700</v>
      </c>
      <c r="F827" s="6" t="s">
        <v>168</v>
      </c>
      <c r="G827" s="6" t="s">
        <v>1654</v>
      </c>
    </row>
    <row r="828" ht="15.75" customHeight="1">
      <c r="A828" s="150">
        <v>43432.0</v>
      </c>
      <c r="B828" s="151" t="s">
        <v>3124</v>
      </c>
      <c r="C828" s="151" t="s">
        <v>3125</v>
      </c>
      <c r="D828" s="151">
        <f>+2348160750097</f>
        <v>2348160750097</v>
      </c>
      <c r="F828" s="6" t="s">
        <v>168</v>
      </c>
      <c r="G828" s="6" t="s">
        <v>1654</v>
      </c>
    </row>
    <row r="829" ht="15.75" customHeight="1">
      <c r="A829" s="150">
        <v>43432.0</v>
      </c>
      <c r="B829" s="151" t="s">
        <v>3126</v>
      </c>
      <c r="C829" s="151" t="s">
        <v>3127</v>
      </c>
      <c r="D829" s="151">
        <f>+2349096209599</f>
        <v>2349096209599</v>
      </c>
      <c r="F829" s="6" t="s">
        <v>168</v>
      </c>
      <c r="G829" s="6" t="s">
        <v>1654</v>
      </c>
    </row>
    <row r="830" ht="15.75" customHeight="1">
      <c r="A830" s="150">
        <v>43432.0</v>
      </c>
      <c r="B830" s="151" t="s">
        <v>3128</v>
      </c>
      <c r="C830" s="151" t="s">
        <v>3129</v>
      </c>
      <c r="D830" s="151">
        <f>+2348054300938</f>
        <v>2348054300938</v>
      </c>
      <c r="F830" s="6" t="s">
        <v>168</v>
      </c>
      <c r="G830" s="6" t="s">
        <v>1654</v>
      </c>
    </row>
    <row r="831" ht="15.75" customHeight="1">
      <c r="A831" s="150">
        <v>43432.0</v>
      </c>
      <c r="B831" s="151" t="s">
        <v>3130</v>
      </c>
      <c r="C831" s="151" t="s">
        <v>3131</v>
      </c>
      <c r="D831" s="151">
        <f>+2348025525055</f>
        <v>2348025525055</v>
      </c>
      <c r="F831" s="6" t="s">
        <v>168</v>
      </c>
      <c r="G831" s="6" t="s">
        <v>1654</v>
      </c>
    </row>
    <row r="832" ht="15.75" customHeight="1">
      <c r="A832" s="150">
        <v>43432.0</v>
      </c>
      <c r="B832" s="151" t="s">
        <v>3132</v>
      </c>
      <c r="C832" s="151" t="s">
        <v>3133</v>
      </c>
      <c r="D832" s="151">
        <f>+2348183564197</f>
        <v>2348183564197</v>
      </c>
      <c r="F832" s="6" t="s">
        <v>168</v>
      </c>
      <c r="G832" s="6" t="s">
        <v>1654</v>
      </c>
    </row>
    <row r="833" ht="15.75" customHeight="1">
      <c r="A833" s="150">
        <v>43432.0</v>
      </c>
      <c r="B833" s="151" t="s">
        <v>3134</v>
      </c>
      <c r="C833" s="151" t="s">
        <v>3135</v>
      </c>
      <c r="D833" s="151">
        <f>+2348063301300</f>
        <v>2348063301300</v>
      </c>
      <c r="F833" s="6" t="s">
        <v>168</v>
      </c>
      <c r="G833" s="6" t="s">
        <v>1654</v>
      </c>
    </row>
    <row r="834" ht="15.75" customHeight="1">
      <c r="A834" s="150">
        <v>43432.0</v>
      </c>
      <c r="B834" s="151" t="s">
        <v>3136</v>
      </c>
      <c r="C834" s="151" t="s">
        <v>3137</v>
      </c>
      <c r="D834" s="151">
        <f>+2348146962508</f>
        <v>2348146962508</v>
      </c>
      <c r="F834" s="6" t="s">
        <v>168</v>
      </c>
      <c r="G834" s="6" t="s">
        <v>1654</v>
      </c>
    </row>
    <row r="835" ht="16.5" customHeight="1">
      <c r="A835" s="150">
        <v>43432.0</v>
      </c>
      <c r="B835" s="151" t="s">
        <v>3138</v>
      </c>
      <c r="C835" s="151" t="s">
        <v>3139</v>
      </c>
      <c r="D835" s="151">
        <f>+2347031185890</f>
        <v>2347031185890</v>
      </c>
      <c r="F835" s="6" t="s">
        <v>168</v>
      </c>
      <c r="G835" s="6" t="s">
        <v>1654</v>
      </c>
    </row>
    <row r="836" ht="12.75" customHeight="1">
      <c r="A836" s="150">
        <v>43433.0</v>
      </c>
      <c r="B836" s="151" t="s">
        <v>3140</v>
      </c>
      <c r="C836" s="151" t="s">
        <v>3141</v>
      </c>
      <c r="D836" s="151">
        <f>+35808124749431</f>
        <v>35808124749431</v>
      </c>
      <c r="F836" s="4" t="s">
        <v>168</v>
      </c>
      <c r="G836" s="6" t="s">
        <v>1654</v>
      </c>
    </row>
    <row r="837" ht="15.75" customHeight="1">
      <c r="A837" s="150">
        <v>43433.0</v>
      </c>
      <c r="B837" s="151" t="s">
        <v>3142</v>
      </c>
      <c r="C837" s="151" t="s">
        <v>3143</v>
      </c>
      <c r="D837" s="151">
        <f>+2349094965426</f>
        <v>2349094965426</v>
      </c>
      <c r="F837" s="6" t="s">
        <v>168</v>
      </c>
      <c r="G837" s="6" t="s">
        <v>1654</v>
      </c>
    </row>
    <row r="838" ht="15.75" customHeight="1">
      <c r="A838" s="150">
        <v>43433.0</v>
      </c>
      <c r="B838" s="151" t="s">
        <v>3144</v>
      </c>
      <c r="C838" s="151" t="s">
        <v>3145</v>
      </c>
      <c r="D838" s="151">
        <f>+2348035215245</f>
        <v>2348035215245</v>
      </c>
      <c r="F838" s="6" t="s">
        <v>168</v>
      </c>
      <c r="G838" s="6" t="s">
        <v>1654</v>
      </c>
    </row>
    <row r="839" ht="15.75" customHeight="1">
      <c r="A839" s="150">
        <v>43433.0</v>
      </c>
      <c r="B839" s="151" t="s">
        <v>3146</v>
      </c>
      <c r="C839" s="151" t="s">
        <v>3147</v>
      </c>
      <c r="D839" s="151">
        <f>+2348088257826</f>
        <v>2348088257826</v>
      </c>
      <c r="F839" s="6" t="s">
        <v>168</v>
      </c>
      <c r="G839" s="6" t="s">
        <v>1654</v>
      </c>
    </row>
    <row r="840" ht="15.75" customHeight="1">
      <c r="A840" s="150">
        <v>43433.0</v>
      </c>
      <c r="B840" s="151" t="s">
        <v>3012</v>
      </c>
      <c r="C840" s="151" t="s">
        <v>3013</v>
      </c>
      <c r="D840" s="151">
        <f>+2348139009967</f>
        <v>2348139009967</v>
      </c>
      <c r="F840" s="6" t="s">
        <v>168</v>
      </c>
      <c r="G840" s="6" t="s">
        <v>1654</v>
      </c>
    </row>
    <row r="841" ht="15.75" customHeight="1">
      <c r="A841" s="150">
        <v>43433.0</v>
      </c>
      <c r="B841" s="151" t="s">
        <v>3148</v>
      </c>
      <c r="C841" s="151" t="s">
        <v>3149</v>
      </c>
      <c r="D841" s="151">
        <f>+2347036969344</f>
        <v>2347036969344</v>
      </c>
      <c r="F841" s="6" t="s">
        <v>168</v>
      </c>
      <c r="G841" s="6" t="s">
        <v>1654</v>
      </c>
    </row>
    <row r="842" ht="15.75" customHeight="1">
      <c r="A842" s="150">
        <v>43433.0</v>
      </c>
      <c r="B842" s="152" t="s">
        <v>3150</v>
      </c>
      <c r="C842" s="151" t="s">
        <v>3151</v>
      </c>
      <c r="D842" s="151">
        <f>+2348180109802</f>
        <v>2348180109802</v>
      </c>
      <c r="F842" s="6" t="s">
        <v>168</v>
      </c>
      <c r="G842" s="6" t="s">
        <v>1654</v>
      </c>
    </row>
    <row r="843" ht="15.75" customHeight="1">
      <c r="A843" s="150">
        <v>43433.0</v>
      </c>
      <c r="B843" s="151" t="s">
        <v>3152</v>
      </c>
      <c r="C843" s="151" t="s">
        <v>3153</v>
      </c>
      <c r="D843" s="151">
        <f>+2347066696340</f>
        <v>2347066696340</v>
      </c>
      <c r="F843" s="6" t="s">
        <v>168</v>
      </c>
      <c r="G843" s="6" t="s">
        <v>1654</v>
      </c>
    </row>
    <row r="844" ht="15.75" customHeight="1">
      <c r="A844" s="150">
        <v>43433.0</v>
      </c>
      <c r="B844" s="151" t="s">
        <v>3154</v>
      </c>
      <c r="C844" s="151" t="s">
        <v>3155</v>
      </c>
      <c r="D844" s="151">
        <f>+2348033786645</f>
        <v>2348033786645</v>
      </c>
      <c r="F844" s="6" t="s">
        <v>168</v>
      </c>
      <c r="G844" s="6" t="s">
        <v>1654</v>
      </c>
    </row>
    <row r="845" ht="15.75" customHeight="1">
      <c r="A845" s="150">
        <v>43433.0</v>
      </c>
      <c r="B845" s="151" t="s">
        <v>3156</v>
      </c>
      <c r="C845" s="151" t="s">
        <v>3157</v>
      </c>
      <c r="D845" s="151">
        <f>+2348037104924</f>
        <v>2348037104924</v>
      </c>
      <c r="F845" s="6" t="s">
        <v>168</v>
      </c>
      <c r="G845" s="6" t="s">
        <v>1654</v>
      </c>
    </row>
    <row r="846" ht="15.75" customHeight="1">
      <c r="A846" s="150">
        <v>43433.0</v>
      </c>
      <c r="B846" s="151" t="s">
        <v>3158</v>
      </c>
      <c r="C846" s="151" t="s">
        <v>3159</v>
      </c>
      <c r="D846" s="151">
        <f>+2348023375013</f>
        <v>2348023375013</v>
      </c>
      <c r="F846" s="6" t="s">
        <v>168</v>
      </c>
      <c r="G846" s="6" t="s">
        <v>1654</v>
      </c>
    </row>
    <row r="847" ht="15.75" customHeight="1">
      <c r="A847" s="150">
        <v>43433.0</v>
      </c>
      <c r="B847" s="151" t="s">
        <v>3160</v>
      </c>
      <c r="C847" s="151" t="s">
        <v>3161</v>
      </c>
      <c r="D847" s="151">
        <f>+2348037997701</f>
        <v>2348037997701</v>
      </c>
      <c r="F847" s="6" t="s">
        <v>168</v>
      </c>
      <c r="G847" s="6" t="s">
        <v>1654</v>
      </c>
    </row>
    <row r="848" ht="15.75" customHeight="1">
      <c r="A848" s="150">
        <v>43433.0</v>
      </c>
      <c r="B848" s="151" t="s">
        <v>3162</v>
      </c>
      <c r="C848" s="151" t="s">
        <v>3163</v>
      </c>
      <c r="D848" s="151">
        <f>+2348034232136</f>
        <v>2348034232136</v>
      </c>
      <c r="F848" s="6" t="s">
        <v>168</v>
      </c>
      <c r="G848" s="6" t="s">
        <v>1654</v>
      </c>
    </row>
    <row r="849" ht="15.75" customHeight="1">
      <c r="A849" s="150">
        <v>43433.0</v>
      </c>
      <c r="B849" s="151" t="s">
        <v>3164</v>
      </c>
      <c r="C849" s="151" t="s">
        <v>3165</v>
      </c>
      <c r="D849" s="151">
        <f>+2348030527873</f>
        <v>2348030527873</v>
      </c>
      <c r="F849" s="6" t="s">
        <v>168</v>
      </c>
      <c r="G849" s="6" t="s">
        <v>1654</v>
      </c>
    </row>
    <row r="850" ht="15.75" customHeight="1">
      <c r="A850" s="150">
        <v>43433.0</v>
      </c>
      <c r="B850" s="151" t="s">
        <v>3166</v>
      </c>
      <c r="C850" s="151" t="s">
        <v>3167</v>
      </c>
      <c r="D850" s="151">
        <f>+2348037541078</f>
        <v>2348037541078</v>
      </c>
      <c r="F850" s="6" t="s">
        <v>168</v>
      </c>
      <c r="G850" s="6" t="s">
        <v>1654</v>
      </c>
    </row>
    <row r="851" ht="15.75" customHeight="1">
      <c r="A851" s="150">
        <v>43433.0</v>
      </c>
      <c r="B851" s="151" t="s">
        <v>3168</v>
      </c>
      <c r="C851" s="151" t="s">
        <v>3169</v>
      </c>
      <c r="D851" s="151">
        <f>+2348081200079</f>
        <v>2348081200079</v>
      </c>
      <c r="F851" s="6" t="s">
        <v>168</v>
      </c>
      <c r="G851" s="6" t="s">
        <v>1654</v>
      </c>
    </row>
    <row r="852" ht="15.75" customHeight="1">
      <c r="A852" s="150">
        <v>43433.0</v>
      </c>
      <c r="B852" s="151" t="s">
        <v>3170</v>
      </c>
      <c r="C852" s="151" t="s">
        <v>3171</v>
      </c>
      <c r="D852" s="151">
        <f>+2347037426750</f>
        <v>2347037426750</v>
      </c>
      <c r="F852" s="6" t="s">
        <v>168</v>
      </c>
      <c r="G852" s="6" t="s">
        <v>1654</v>
      </c>
    </row>
    <row r="853" ht="15.75" customHeight="1">
      <c r="A853" s="150">
        <v>43433.0</v>
      </c>
      <c r="B853" s="151" t="s">
        <v>3172</v>
      </c>
      <c r="C853" s="151" t="s">
        <v>3173</v>
      </c>
      <c r="D853" s="151">
        <f>+2348033469589</f>
        <v>2348033469589</v>
      </c>
      <c r="F853" s="6" t="s">
        <v>168</v>
      </c>
      <c r="G853" s="6" t="s">
        <v>1654</v>
      </c>
    </row>
    <row r="854" ht="15.75" customHeight="1">
      <c r="A854" s="150">
        <v>43433.0</v>
      </c>
      <c r="B854" s="151" t="s">
        <v>3174</v>
      </c>
      <c r="C854" s="151" t="s">
        <v>3175</v>
      </c>
      <c r="D854" s="151">
        <f>+2348062451194</f>
        <v>2348062451194</v>
      </c>
      <c r="F854" s="6" t="s">
        <v>168</v>
      </c>
      <c r="G854" s="6" t="s">
        <v>1654</v>
      </c>
    </row>
    <row r="855" ht="15.75" customHeight="1">
      <c r="A855" s="150">
        <v>43433.0</v>
      </c>
      <c r="B855" s="151" t="s">
        <v>3176</v>
      </c>
      <c r="C855" s="151" t="s">
        <v>3177</v>
      </c>
      <c r="D855" s="151">
        <f>+2348034164374</f>
        <v>2348034164374</v>
      </c>
      <c r="F855" s="6" t="s">
        <v>168</v>
      </c>
      <c r="G855" s="6" t="s">
        <v>1654</v>
      </c>
    </row>
    <row r="856" ht="15.75" customHeight="1">
      <c r="A856" s="150">
        <v>43433.0</v>
      </c>
      <c r="B856" s="151" t="s">
        <v>3178</v>
      </c>
      <c r="C856" s="151" t="s">
        <v>3179</v>
      </c>
      <c r="D856" s="151">
        <f>+23408075134475</f>
        <v>23408075134475</v>
      </c>
      <c r="F856" s="6" t="s">
        <v>168</v>
      </c>
      <c r="G856" s="6" t="s">
        <v>1654</v>
      </c>
    </row>
    <row r="857" ht="15.75" customHeight="1">
      <c r="A857" s="150">
        <v>43433.0</v>
      </c>
      <c r="B857" s="151" t="s">
        <v>3180</v>
      </c>
      <c r="C857" s="151" t="s">
        <v>3181</v>
      </c>
      <c r="D857" s="151">
        <f>+23407010199472</f>
        <v>23407010199472</v>
      </c>
      <c r="F857" s="6" t="s">
        <v>168</v>
      </c>
      <c r="G857" s="6" t="s">
        <v>1654</v>
      </c>
    </row>
    <row r="858" ht="15.75" customHeight="1">
      <c r="A858" s="150">
        <v>43433.0</v>
      </c>
      <c r="B858" s="151" t="s">
        <v>3182</v>
      </c>
      <c r="C858" s="151" t="s">
        <v>3183</v>
      </c>
      <c r="D858" s="151">
        <f>+2348022374037</f>
        <v>2348022374037</v>
      </c>
      <c r="F858" s="6" t="s">
        <v>168</v>
      </c>
      <c r="G858" s="6" t="s">
        <v>1654</v>
      </c>
    </row>
    <row r="859" ht="15.75" customHeight="1">
      <c r="A859" s="150">
        <v>43433.0</v>
      </c>
      <c r="B859" s="151" t="s">
        <v>3184</v>
      </c>
      <c r="C859" s="151" t="s">
        <v>3185</v>
      </c>
      <c r="D859" s="151">
        <f>+2348032774265</f>
        <v>2348032774265</v>
      </c>
      <c r="F859" s="6" t="s">
        <v>168</v>
      </c>
      <c r="G859" s="6" t="s">
        <v>1654</v>
      </c>
    </row>
    <row r="860" ht="15.75" customHeight="1">
      <c r="A860" s="150">
        <v>43433.0</v>
      </c>
      <c r="B860" s="151" t="s">
        <v>3186</v>
      </c>
      <c r="C860" s="151" t="s">
        <v>3187</v>
      </c>
      <c r="D860" s="151">
        <f>+22796077171</f>
        <v>22796077171</v>
      </c>
      <c r="F860" s="6" t="s">
        <v>168</v>
      </c>
      <c r="G860" s="6" t="s">
        <v>1654</v>
      </c>
    </row>
    <row r="861" ht="15.75" customHeight="1">
      <c r="A861" s="150">
        <v>43433.0</v>
      </c>
      <c r="B861" s="151" t="s">
        <v>3188</v>
      </c>
      <c r="C861" s="151" t="s">
        <v>3189</v>
      </c>
      <c r="D861" s="151">
        <f>+2347018500973</f>
        <v>2347018500973</v>
      </c>
      <c r="F861" s="6" t="s">
        <v>168</v>
      </c>
      <c r="G861" s="6" t="s">
        <v>1654</v>
      </c>
    </row>
    <row r="862" ht="15.75" customHeight="1">
      <c r="A862" s="150">
        <v>43433.0</v>
      </c>
      <c r="B862" s="151" t="s">
        <v>3190</v>
      </c>
      <c r="C862" s="151" t="s">
        <v>3191</v>
      </c>
      <c r="D862" s="151">
        <f>+2348035234404</f>
        <v>2348035234404</v>
      </c>
      <c r="F862" s="6" t="s">
        <v>168</v>
      </c>
      <c r="G862" s="6" t="s">
        <v>1654</v>
      </c>
    </row>
    <row r="863" ht="15.75" customHeight="1">
      <c r="A863" s="150">
        <v>43433.0</v>
      </c>
      <c r="B863" s="151" t="s">
        <v>3192</v>
      </c>
      <c r="C863" s="151" t="s">
        <v>3193</v>
      </c>
      <c r="D863" s="151">
        <f>+2348121453979</f>
        <v>2348121453979</v>
      </c>
      <c r="F863" s="6" t="s">
        <v>168</v>
      </c>
      <c r="G863" s="6" t="s">
        <v>1654</v>
      </c>
    </row>
    <row r="864" ht="15.75" customHeight="1">
      <c r="A864" s="150">
        <v>43433.0</v>
      </c>
      <c r="B864" s="151" t="s">
        <v>3194</v>
      </c>
      <c r="C864" s="151" t="s">
        <v>3195</v>
      </c>
      <c r="D864" s="151">
        <f>+2348094940406</f>
        <v>2348094940406</v>
      </c>
      <c r="F864" s="6" t="s">
        <v>168</v>
      </c>
      <c r="G864" s="6" t="s">
        <v>1654</v>
      </c>
    </row>
    <row r="865" ht="15.75" customHeight="1">
      <c r="A865" s="150">
        <v>43433.0</v>
      </c>
      <c r="B865" s="151" t="s">
        <v>3196</v>
      </c>
      <c r="C865" s="151" t="s">
        <v>3197</v>
      </c>
      <c r="D865" s="151">
        <f>+2348055219694</f>
        <v>2348055219694</v>
      </c>
      <c r="F865" s="6" t="s">
        <v>168</v>
      </c>
      <c r="G865" s="6" t="s">
        <v>1654</v>
      </c>
    </row>
    <row r="866" ht="15.75" customHeight="1">
      <c r="A866" s="150">
        <v>43433.0</v>
      </c>
      <c r="B866" s="151" t="s">
        <v>3198</v>
      </c>
      <c r="C866" s="151" t="s">
        <v>3199</v>
      </c>
      <c r="D866" s="151">
        <f>+2347067066169</f>
        <v>2347067066169</v>
      </c>
      <c r="F866" s="6" t="s">
        <v>168</v>
      </c>
      <c r="G866" s="6" t="s">
        <v>1654</v>
      </c>
    </row>
    <row r="867" ht="15.75" customHeight="1">
      <c r="A867" s="150">
        <v>43433.0</v>
      </c>
      <c r="B867" s="151" t="s">
        <v>3200</v>
      </c>
      <c r="C867" s="151" t="s">
        <v>3201</v>
      </c>
      <c r="D867" s="151">
        <f>+2348032079389</f>
        <v>2348032079389</v>
      </c>
      <c r="F867" s="6" t="s">
        <v>168</v>
      </c>
      <c r="G867" s="6" t="s">
        <v>1654</v>
      </c>
    </row>
    <row r="868" ht="15.75" customHeight="1">
      <c r="A868" s="150">
        <v>43433.0</v>
      </c>
      <c r="B868" s="151" t="s">
        <v>3202</v>
      </c>
      <c r="C868" s="151" t="s">
        <v>3203</v>
      </c>
      <c r="D868" s="151">
        <f>+2348033969178</f>
        <v>2348033969178</v>
      </c>
      <c r="F868" s="6" t="s">
        <v>168</v>
      </c>
      <c r="G868" s="6" t="s">
        <v>1654</v>
      </c>
    </row>
    <row r="869" ht="15.75" customHeight="1">
      <c r="A869" s="150">
        <v>43433.0</v>
      </c>
      <c r="B869" s="151" t="s">
        <v>3204</v>
      </c>
      <c r="C869" s="151" t="s">
        <v>3205</v>
      </c>
      <c r="D869" s="151">
        <f>+2348035565440</f>
        <v>2348035565440</v>
      </c>
      <c r="F869" s="6" t="s">
        <v>168</v>
      </c>
      <c r="G869" s="6" t="s">
        <v>1654</v>
      </c>
    </row>
    <row r="870" ht="15.75" customHeight="1">
      <c r="A870" s="150">
        <v>43433.0</v>
      </c>
      <c r="B870" s="151" t="s">
        <v>3206</v>
      </c>
      <c r="C870" s="151" t="s">
        <v>3207</v>
      </c>
      <c r="D870" s="151">
        <f>+2348036044708</f>
        <v>2348036044708</v>
      </c>
      <c r="F870" s="6" t="s">
        <v>168</v>
      </c>
      <c r="G870" s="6" t="s">
        <v>1654</v>
      </c>
    </row>
    <row r="871" ht="15.75" customHeight="1">
      <c r="A871" s="150">
        <v>43433.0</v>
      </c>
      <c r="B871" s="151" t="s">
        <v>3208</v>
      </c>
      <c r="C871" s="151" t="s">
        <v>3209</v>
      </c>
      <c r="D871" s="151">
        <f>+2348088398280</f>
        <v>2348088398280</v>
      </c>
      <c r="F871" s="6" t="s">
        <v>168</v>
      </c>
      <c r="G871" s="6" t="s">
        <v>1654</v>
      </c>
    </row>
    <row r="872" ht="15.75" customHeight="1">
      <c r="A872" s="150">
        <v>43433.0</v>
      </c>
      <c r="B872" s="151" t="s">
        <v>3210</v>
      </c>
      <c r="C872" s="151" t="s">
        <v>3211</v>
      </c>
      <c r="D872" s="151">
        <f>+2348089523524</f>
        <v>2348089523524</v>
      </c>
      <c r="F872" s="6" t="s">
        <v>168</v>
      </c>
      <c r="G872" s="6" t="s">
        <v>1654</v>
      </c>
    </row>
    <row r="873" ht="15.75" customHeight="1">
      <c r="A873" s="150">
        <v>43433.0</v>
      </c>
      <c r="B873" s="151" t="s">
        <v>3212</v>
      </c>
      <c r="C873" s="151" t="s">
        <v>3213</v>
      </c>
      <c r="D873" s="151">
        <f>+2348066913522</f>
        <v>2348066913522</v>
      </c>
      <c r="F873" s="6" t="s">
        <v>168</v>
      </c>
      <c r="G873" s="6" t="s">
        <v>1654</v>
      </c>
    </row>
    <row r="874" ht="15.75" customHeight="1">
      <c r="A874" s="150">
        <v>43433.0</v>
      </c>
      <c r="B874" s="151" t="s">
        <v>3214</v>
      </c>
      <c r="C874" s="151" t="s">
        <v>3215</v>
      </c>
      <c r="D874" s="151">
        <f>+2348032546134</f>
        <v>2348032546134</v>
      </c>
      <c r="F874" s="6" t="s">
        <v>168</v>
      </c>
      <c r="G874" s="6" t="s">
        <v>1654</v>
      </c>
    </row>
    <row r="875" ht="15.75" customHeight="1">
      <c r="A875" s="150">
        <v>43433.0</v>
      </c>
      <c r="B875" s="151" t="s">
        <v>3216</v>
      </c>
      <c r="C875" s="151" t="s">
        <v>3217</v>
      </c>
      <c r="D875" s="151">
        <f>+2348101392994</f>
        <v>2348101392994</v>
      </c>
      <c r="F875" s="6" t="s">
        <v>168</v>
      </c>
      <c r="G875" s="6" t="s">
        <v>1654</v>
      </c>
    </row>
    <row r="876" ht="15.75" customHeight="1">
      <c r="A876" s="150">
        <v>43433.0</v>
      </c>
      <c r="B876" s="151" t="s">
        <v>3218</v>
      </c>
      <c r="C876" s="151" t="s">
        <v>3219</v>
      </c>
      <c r="D876" s="151">
        <f>+2348163938001</f>
        <v>2348163938001</v>
      </c>
      <c r="F876" s="6" t="s">
        <v>168</v>
      </c>
      <c r="G876" s="6" t="s">
        <v>1654</v>
      </c>
    </row>
    <row r="877" ht="15.75" customHeight="1">
      <c r="A877" s="150">
        <v>43433.0</v>
      </c>
      <c r="B877" s="151" t="s">
        <v>3220</v>
      </c>
      <c r="C877" s="151" t="s">
        <v>3221</v>
      </c>
      <c r="D877" s="151">
        <f>+2349036425606</f>
        <v>2349036425606</v>
      </c>
      <c r="F877" s="6" t="s">
        <v>168</v>
      </c>
      <c r="G877" s="6" t="s">
        <v>1654</v>
      </c>
    </row>
    <row r="878" ht="15.75" customHeight="1">
      <c r="A878" s="150">
        <v>43433.0</v>
      </c>
      <c r="B878" s="151" t="s">
        <v>3222</v>
      </c>
      <c r="C878" s="151" t="s">
        <v>3223</v>
      </c>
      <c r="D878" s="151">
        <f>+2348035030908</f>
        <v>2348035030908</v>
      </c>
      <c r="F878" s="6" t="s">
        <v>168</v>
      </c>
      <c r="G878" s="6" t="s">
        <v>1654</v>
      </c>
    </row>
    <row r="879" ht="15.75" customHeight="1">
      <c r="A879" s="150">
        <v>43433.0</v>
      </c>
      <c r="B879" s="151" t="s">
        <v>3224</v>
      </c>
      <c r="C879" s="151" t="s">
        <v>3225</v>
      </c>
      <c r="D879" s="151">
        <f>+2348037195364</f>
        <v>2348037195364</v>
      </c>
      <c r="F879" s="6" t="s">
        <v>168</v>
      </c>
      <c r="G879" s="6" t="s">
        <v>1654</v>
      </c>
    </row>
    <row r="880" ht="15.75" customHeight="1">
      <c r="A880" s="150">
        <v>43433.0</v>
      </c>
      <c r="B880" s="151" t="s">
        <v>3226</v>
      </c>
      <c r="C880" s="151" t="s">
        <v>3227</v>
      </c>
      <c r="D880" s="151">
        <f>+2348033404737</f>
        <v>2348033404737</v>
      </c>
      <c r="F880" s="6" t="s">
        <v>168</v>
      </c>
      <c r="G880" s="6" t="s">
        <v>1654</v>
      </c>
    </row>
    <row r="881" ht="15.75" customHeight="1">
      <c r="A881" s="150">
        <v>43433.0</v>
      </c>
      <c r="B881" s="151" t="s">
        <v>3228</v>
      </c>
      <c r="C881" s="151" t="s">
        <v>3229</v>
      </c>
      <c r="D881" s="151">
        <f>+2348135813451</f>
        <v>2348135813451</v>
      </c>
      <c r="F881" s="6" t="s">
        <v>168</v>
      </c>
      <c r="G881" s="6" t="s">
        <v>1654</v>
      </c>
    </row>
    <row r="882" ht="15.75" customHeight="1">
      <c r="A882" s="150">
        <v>43433.0</v>
      </c>
      <c r="B882" s="151" t="s">
        <v>3230</v>
      </c>
      <c r="C882" s="151" t="s">
        <v>3231</v>
      </c>
      <c r="D882" s="151">
        <f>+2348030656544</f>
        <v>2348030656544</v>
      </c>
      <c r="F882" s="6" t="s">
        <v>97</v>
      </c>
      <c r="G882" s="6" t="s">
        <v>1654</v>
      </c>
    </row>
    <row r="883" ht="15.75" customHeight="1">
      <c r="A883" s="150">
        <v>43433.0</v>
      </c>
      <c r="B883" s="151" t="s">
        <v>3232</v>
      </c>
      <c r="C883" s="151" t="s">
        <v>3233</v>
      </c>
      <c r="D883" s="151">
        <f>+2348035289569</f>
        <v>2348035289569</v>
      </c>
      <c r="F883" s="6" t="s">
        <v>97</v>
      </c>
      <c r="G883" s="6" t="s">
        <v>1654</v>
      </c>
    </row>
    <row r="884" ht="15.75" customHeight="1">
      <c r="A884" s="150">
        <v>43433.0</v>
      </c>
      <c r="B884" s="151" t="s">
        <v>3234</v>
      </c>
      <c r="C884" s="151" t="s">
        <v>3235</v>
      </c>
      <c r="D884" s="151">
        <f>+2348173260171</f>
        <v>2348173260171</v>
      </c>
      <c r="F884" s="6" t="s">
        <v>97</v>
      </c>
      <c r="G884" s="6" t="s">
        <v>1654</v>
      </c>
    </row>
    <row r="885" ht="15.75" customHeight="1">
      <c r="A885" s="150">
        <v>43433.0</v>
      </c>
      <c r="B885" s="151" t="s">
        <v>3236</v>
      </c>
      <c r="C885" s="151" t="s">
        <v>3237</v>
      </c>
      <c r="D885" s="151">
        <f>+2348051300344</f>
        <v>2348051300344</v>
      </c>
      <c r="F885" s="6" t="s">
        <v>97</v>
      </c>
      <c r="G885" s="6" t="s">
        <v>1654</v>
      </c>
    </row>
    <row r="886" ht="15.75" customHeight="1">
      <c r="A886" s="150">
        <v>43433.0</v>
      </c>
      <c r="B886" s="151" t="s">
        <v>3238</v>
      </c>
      <c r="C886" s="151" t="s">
        <v>3239</v>
      </c>
      <c r="D886" s="151">
        <f>+2348055255898</f>
        <v>2348055255898</v>
      </c>
      <c r="F886" s="6" t="s">
        <v>97</v>
      </c>
      <c r="G886" s="6" t="s">
        <v>1654</v>
      </c>
    </row>
    <row r="887" ht="15.75" customHeight="1">
      <c r="A887" s="150">
        <v>43433.0</v>
      </c>
      <c r="B887" s="151" t="s">
        <v>3240</v>
      </c>
      <c r="C887" s="151" t="s">
        <v>3241</v>
      </c>
      <c r="D887" s="151">
        <f>+2348130201230</f>
        <v>2348130201230</v>
      </c>
      <c r="F887" s="6" t="s">
        <v>97</v>
      </c>
      <c r="G887" s="6" t="s">
        <v>1654</v>
      </c>
    </row>
    <row r="888" ht="15.75" customHeight="1">
      <c r="A888" s="150">
        <v>43433.0</v>
      </c>
      <c r="B888" s="151" t="s">
        <v>3242</v>
      </c>
      <c r="C888" s="151" t="s">
        <v>3243</v>
      </c>
      <c r="D888" s="151">
        <f>+2348127933271</f>
        <v>2348127933271</v>
      </c>
      <c r="F888" s="6" t="s">
        <v>97</v>
      </c>
      <c r="G888" s="6" t="s">
        <v>1654</v>
      </c>
    </row>
    <row r="889" ht="15.75" customHeight="1">
      <c r="A889" s="150">
        <v>43433.0</v>
      </c>
      <c r="B889" s="151" t="s">
        <v>3244</v>
      </c>
      <c r="C889" s="151" t="s">
        <v>3245</v>
      </c>
      <c r="D889" s="151">
        <f>+2348134656541</f>
        <v>2348134656541</v>
      </c>
      <c r="F889" s="6" t="s">
        <v>97</v>
      </c>
      <c r="G889" s="6" t="s">
        <v>1654</v>
      </c>
    </row>
    <row r="890" ht="15.75" customHeight="1">
      <c r="A890" s="150">
        <v>43433.0</v>
      </c>
      <c r="B890" s="151" t="s">
        <v>3246</v>
      </c>
      <c r="C890" s="151" t="s">
        <v>3247</v>
      </c>
      <c r="D890" s="151">
        <f>+2348035052226</f>
        <v>2348035052226</v>
      </c>
      <c r="F890" s="6" t="s">
        <v>97</v>
      </c>
      <c r="G890" s="6" t="s">
        <v>1654</v>
      </c>
    </row>
    <row r="891" ht="15.75" customHeight="1">
      <c r="A891" s="150">
        <v>43433.0</v>
      </c>
      <c r="B891" s="151" t="s">
        <v>3248</v>
      </c>
      <c r="C891" s="151" t="s">
        <v>3249</v>
      </c>
      <c r="D891" s="151">
        <f>+2348034415092</f>
        <v>2348034415092</v>
      </c>
      <c r="F891" s="6" t="s">
        <v>97</v>
      </c>
      <c r="G891" s="6" t="s">
        <v>1654</v>
      </c>
    </row>
    <row r="892" ht="15.75" customHeight="1">
      <c r="A892" s="150">
        <v>43433.0</v>
      </c>
      <c r="B892" s="151" t="s">
        <v>3250</v>
      </c>
      <c r="C892" s="151" t="s">
        <v>3251</v>
      </c>
      <c r="D892" s="151">
        <f>+2348101596534</f>
        <v>2348101596534</v>
      </c>
      <c r="F892" s="6" t="s">
        <v>97</v>
      </c>
      <c r="G892" s="6" t="s">
        <v>1654</v>
      </c>
    </row>
    <row r="893" ht="15.75" customHeight="1">
      <c r="A893" s="150">
        <v>43433.0</v>
      </c>
      <c r="B893" s="151" t="s">
        <v>1873</v>
      </c>
      <c r="C893" s="151" t="s">
        <v>3252</v>
      </c>
      <c r="D893" s="151">
        <f>+2348039593686</f>
        <v>2348039593686</v>
      </c>
      <c r="F893" s="6" t="s">
        <v>97</v>
      </c>
      <c r="G893" s="6" t="s">
        <v>1654</v>
      </c>
    </row>
    <row r="894" ht="15.75" customHeight="1">
      <c r="A894" s="150">
        <v>43433.0</v>
      </c>
      <c r="B894" s="151" t="s">
        <v>3253</v>
      </c>
      <c r="C894" s="151" t="s">
        <v>3254</v>
      </c>
      <c r="D894" s="151">
        <f>+2347037795929</f>
        <v>2347037795929</v>
      </c>
      <c r="F894" s="6" t="s">
        <v>97</v>
      </c>
      <c r="G894" s="6" t="s">
        <v>1654</v>
      </c>
    </row>
    <row r="895" ht="15.75" customHeight="1">
      <c r="A895" s="150">
        <v>43433.0</v>
      </c>
      <c r="B895" s="151" t="s">
        <v>3255</v>
      </c>
      <c r="C895" s="151" t="s">
        <v>3256</v>
      </c>
      <c r="D895" s="151">
        <f>+2348038051923</f>
        <v>2348038051923</v>
      </c>
      <c r="F895" s="6" t="s">
        <v>97</v>
      </c>
      <c r="G895" s="6" t="s">
        <v>1654</v>
      </c>
    </row>
    <row r="896" ht="15.75" customHeight="1">
      <c r="A896" s="150">
        <v>43433.0</v>
      </c>
      <c r="B896" s="151" t="s">
        <v>3257</v>
      </c>
      <c r="C896" s="151" t="s">
        <v>3258</v>
      </c>
      <c r="D896" s="151">
        <f>+2347018448918</f>
        <v>2347018448918</v>
      </c>
      <c r="F896" s="6" t="s">
        <v>97</v>
      </c>
      <c r="G896" s="6" t="s">
        <v>1654</v>
      </c>
    </row>
    <row r="897" ht="15.75" customHeight="1">
      <c r="A897" s="150">
        <v>43433.0</v>
      </c>
      <c r="B897" s="151" t="s">
        <v>3259</v>
      </c>
      <c r="C897" s="151" t="s">
        <v>3260</v>
      </c>
      <c r="D897" s="151">
        <f>+2348138959994</f>
        <v>2348138959994</v>
      </c>
      <c r="F897" s="6" t="s">
        <v>97</v>
      </c>
      <c r="G897" s="6" t="s">
        <v>1654</v>
      </c>
    </row>
    <row r="898" ht="15.75" customHeight="1">
      <c r="A898" s="150">
        <v>43433.0</v>
      </c>
      <c r="B898" s="151" t="s">
        <v>3261</v>
      </c>
      <c r="C898" s="151" t="s">
        <v>3262</v>
      </c>
      <c r="D898" s="151">
        <f>+2348067633754</f>
        <v>2348067633754</v>
      </c>
      <c r="F898" s="6" t="s">
        <v>97</v>
      </c>
      <c r="G898" s="6" t="s">
        <v>1654</v>
      </c>
    </row>
    <row r="899" ht="15.75" customHeight="1">
      <c r="A899" s="150">
        <v>43433.0</v>
      </c>
      <c r="B899" s="151" t="s">
        <v>3263</v>
      </c>
      <c r="C899" s="151" t="s">
        <v>3264</v>
      </c>
      <c r="D899" s="151">
        <f>+2347089733490</f>
        <v>2347089733490</v>
      </c>
      <c r="F899" s="6" t="s">
        <v>97</v>
      </c>
      <c r="G899" s="6" t="s">
        <v>1654</v>
      </c>
    </row>
    <row r="900" ht="15.75" customHeight="1">
      <c r="A900" s="150">
        <v>43433.0</v>
      </c>
      <c r="B900" s="151" t="s">
        <v>3265</v>
      </c>
      <c r="C900" s="151" t="s">
        <v>3266</v>
      </c>
      <c r="D900" s="151">
        <f>+2348038085505</f>
        <v>2348038085505</v>
      </c>
      <c r="F900" s="6" t="s">
        <v>97</v>
      </c>
      <c r="G900" s="6" t="s">
        <v>1654</v>
      </c>
    </row>
    <row r="901" ht="15.75" customHeight="1">
      <c r="A901" s="150">
        <v>43433.0</v>
      </c>
      <c r="B901" s="151" t="s">
        <v>3267</v>
      </c>
      <c r="C901" s="151" t="s">
        <v>3268</v>
      </c>
      <c r="D901" s="151">
        <f>+2348067866799</f>
        <v>2348067866799</v>
      </c>
      <c r="F901" s="6" t="s">
        <v>97</v>
      </c>
      <c r="G901" s="6" t="s">
        <v>1654</v>
      </c>
    </row>
    <row r="902" ht="15.75" customHeight="1">
      <c r="A902" s="150">
        <v>43433.0</v>
      </c>
      <c r="B902" s="151" t="s">
        <v>3269</v>
      </c>
      <c r="C902" s="151" t="s">
        <v>3270</v>
      </c>
      <c r="D902" s="151">
        <f>+2348030579927</f>
        <v>2348030579927</v>
      </c>
      <c r="F902" s="6" t="s">
        <v>97</v>
      </c>
      <c r="G902" s="6" t="s">
        <v>1654</v>
      </c>
    </row>
    <row r="903" ht="15.75" customHeight="1">
      <c r="A903" s="150">
        <v>43433.0</v>
      </c>
      <c r="B903" s="151" t="s">
        <v>3271</v>
      </c>
      <c r="C903" s="151" t="s">
        <v>3272</v>
      </c>
      <c r="D903" s="151">
        <f>+2348060002586</f>
        <v>2348060002586</v>
      </c>
      <c r="F903" s="6" t="s">
        <v>97</v>
      </c>
      <c r="G903" s="6" t="s">
        <v>1654</v>
      </c>
    </row>
    <row r="904" ht="15.75" customHeight="1">
      <c r="A904" s="150">
        <v>43433.0</v>
      </c>
      <c r="B904" s="151" t="s">
        <v>3273</v>
      </c>
      <c r="C904" s="151" t="s">
        <v>3274</v>
      </c>
      <c r="D904" s="151">
        <f>+2348068439449</f>
        <v>2348068439449</v>
      </c>
      <c r="F904" s="6" t="s">
        <v>97</v>
      </c>
      <c r="G904" s="6" t="s">
        <v>1654</v>
      </c>
    </row>
    <row r="905" ht="15.75" customHeight="1">
      <c r="A905" s="150">
        <v>43433.0</v>
      </c>
      <c r="B905" s="151" t="s">
        <v>3275</v>
      </c>
      <c r="C905" s="151" t="s">
        <v>3276</v>
      </c>
      <c r="D905" s="151">
        <f>+2348092785788</f>
        <v>2348092785788</v>
      </c>
      <c r="F905" s="6" t="s">
        <v>97</v>
      </c>
      <c r="G905" s="6" t="s">
        <v>1654</v>
      </c>
    </row>
    <row r="906" ht="15.75" customHeight="1">
      <c r="A906" s="150">
        <v>43433.0</v>
      </c>
      <c r="B906" s="151" t="s">
        <v>3277</v>
      </c>
      <c r="C906" s="151" t="s">
        <v>3278</v>
      </c>
      <c r="D906" s="151">
        <f>+2348066649298</f>
        <v>2348066649298</v>
      </c>
      <c r="F906" s="6" t="s">
        <v>97</v>
      </c>
      <c r="G906" s="6" t="s">
        <v>1654</v>
      </c>
    </row>
    <row r="907" ht="15.75" customHeight="1">
      <c r="A907" s="150">
        <v>43433.0</v>
      </c>
      <c r="B907" s="151" t="s">
        <v>3279</v>
      </c>
      <c r="C907" s="151" t="s">
        <v>3280</v>
      </c>
      <c r="D907" s="151">
        <f>+2348130131290</f>
        <v>2348130131290</v>
      </c>
      <c r="F907" s="6" t="s">
        <v>97</v>
      </c>
      <c r="G907" s="6" t="s">
        <v>1654</v>
      </c>
    </row>
    <row r="908" ht="15.75" customHeight="1">
      <c r="A908" s="150">
        <v>43433.0</v>
      </c>
      <c r="B908" s="151" t="s">
        <v>3281</v>
      </c>
      <c r="C908" s="151" t="s">
        <v>3282</v>
      </c>
      <c r="D908" s="151">
        <f>+23409038349994</f>
        <v>23409038349994</v>
      </c>
      <c r="F908" s="6" t="s">
        <v>97</v>
      </c>
      <c r="G908" s="6" t="s">
        <v>1654</v>
      </c>
    </row>
    <row r="909" ht="15.75" customHeight="1">
      <c r="A909" s="150">
        <v>43433.0</v>
      </c>
      <c r="B909" s="151" t="s">
        <v>3283</v>
      </c>
      <c r="C909" s="151" t="s">
        <v>3284</v>
      </c>
      <c r="D909" s="151">
        <f>+23408052723230</f>
        <v>23408052723230</v>
      </c>
      <c r="F909" s="6" t="s">
        <v>97</v>
      </c>
      <c r="G909" s="6" t="s">
        <v>1654</v>
      </c>
    </row>
    <row r="910" ht="15.75" customHeight="1">
      <c r="A910" s="150">
        <v>43433.0</v>
      </c>
      <c r="B910" s="151" t="s">
        <v>3285</v>
      </c>
      <c r="C910" s="151" t="s">
        <v>3286</v>
      </c>
      <c r="D910" s="151">
        <f>+2348029510085</f>
        <v>2348029510085</v>
      </c>
      <c r="F910" s="6" t="s">
        <v>97</v>
      </c>
      <c r="G910" s="6" t="s">
        <v>1654</v>
      </c>
    </row>
    <row r="911" ht="15.75" customHeight="1">
      <c r="A911" s="150">
        <v>43433.0</v>
      </c>
      <c r="B911" s="151" t="s">
        <v>3287</v>
      </c>
      <c r="C911" s="151" t="s">
        <v>3288</v>
      </c>
      <c r="D911" s="151">
        <f>+2348068265769</f>
        <v>2348068265769</v>
      </c>
      <c r="F911" s="6" t="s">
        <v>97</v>
      </c>
      <c r="G911" s="6" t="s">
        <v>1654</v>
      </c>
    </row>
    <row r="912" ht="15.75" customHeight="1">
      <c r="A912" s="150">
        <v>43433.0</v>
      </c>
      <c r="B912" s="151" t="s">
        <v>3289</v>
      </c>
      <c r="C912" s="151" t="s">
        <v>3290</v>
      </c>
      <c r="D912" s="151">
        <f>+2348060499584</f>
        <v>2348060499584</v>
      </c>
      <c r="F912" s="6" t="s">
        <v>97</v>
      </c>
      <c r="G912" s="6" t="s">
        <v>1654</v>
      </c>
    </row>
    <row r="913" ht="15.75" customHeight="1">
      <c r="A913" s="150">
        <v>43433.0</v>
      </c>
      <c r="B913" s="151" t="s">
        <v>3291</v>
      </c>
      <c r="C913" s="151" t="s">
        <v>3292</v>
      </c>
      <c r="D913" s="151">
        <f>+2348024662729</f>
        <v>2348024662729</v>
      </c>
      <c r="F913" s="6" t="s">
        <v>97</v>
      </c>
      <c r="G913" s="6" t="s">
        <v>1654</v>
      </c>
    </row>
    <row r="914" ht="15.75" customHeight="1">
      <c r="A914" s="150">
        <v>43433.0</v>
      </c>
      <c r="B914" s="151" t="s">
        <v>3293</v>
      </c>
      <c r="C914" s="151" t="s">
        <v>3294</v>
      </c>
      <c r="D914" s="151">
        <f>+23408023249092</f>
        <v>23408023249092</v>
      </c>
      <c r="F914" s="6" t="s">
        <v>97</v>
      </c>
      <c r="G914" s="6" t="s">
        <v>1654</v>
      </c>
    </row>
    <row r="915" ht="15.75" customHeight="1">
      <c r="A915" s="150">
        <v>43433.0</v>
      </c>
      <c r="B915" s="151" t="s">
        <v>3295</v>
      </c>
      <c r="C915" s="151" t="s">
        <v>3296</v>
      </c>
      <c r="D915" s="151">
        <f>+2348098310871</f>
        <v>2348098310871</v>
      </c>
      <c r="F915" s="6" t="s">
        <v>97</v>
      </c>
      <c r="G915" s="6" t="s">
        <v>1654</v>
      </c>
    </row>
    <row r="916" ht="15.75" customHeight="1">
      <c r="A916" s="150">
        <v>43433.0</v>
      </c>
      <c r="B916" s="151" t="s">
        <v>3297</v>
      </c>
      <c r="C916" s="151" t="s">
        <v>3298</v>
      </c>
      <c r="D916" s="151">
        <f>+2348169265626</f>
        <v>2348169265626</v>
      </c>
      <c r="F916" s="6" t="s">
        <v>97</v>
      </c>
      <c r="G916" s="6" t="s">
        <v>1654</v>
      </c>
    </row>
    <row r="917" ht="15.75" customHeight="1">
      <c r="A917" s="150">
        <v>43433.0</v>
      </c>
      <c r="B917" s="151" t="s">
        <v>3299</v>
      </c>
      <c r="C917" s="151" t="s">
        <v>3300</v>
      </c>
      <c r="D917" s="151">
        <f>+2348124760976</f>
        <v>2348124760976</v>
      </c>
      <c r="F917" s="6" t="s">
        <v>97</v>
      </c>
      <c r="G917" s="6" t="s">
        <v>1654</v>
      </c>
    </row>
    <row r="918" ht="15.75" customHeight="1">
      <c r="A918" s="150">
        <v>43433.0</v>
      </c>
      <c r="B918" s="151" t="s">
        <v>3301</v>
      </c>
      <c r="C918" s="151" t="s">
        <v>3302</v>
      </c>
      <c r="D918" s="151">
        <f>+2348131661946</f>
        <v>2348131661946</v>
      </c>
      <c r="F918" s="6" t="s">
        <v>97</v>
      </c>
      <c r="G918" s="6" t="s">
        <v>1654</v>
      </c>
    </row>
    <row r="919" ht="15.75" customHeight="1">
      <c r="A919" s="150">
        <v>43433.0</v>
      </c>
      <c r="B919" s="151" t="s">
        <v>3303</v>
      </c>
      <c r="C919" s="151" t="s">
        <v>3304</v>
      </c>
      <c r="D919" s="151">
        <f>+2347030367619</f>
        <v>2347030367619</v>
      </c>
      <c r="F919" s="6" t="s">
        <v>97</v>
      </c>
      <c r="G919" s="6" t="s">
        <v>1654</v>
      </c>
    </row>
    <row r="920" ht="15.75" customHeight="1">
      <c r="A920" s="150">
        <v>43433.0</v>
      </c>
      <c r="B920" s="151" t="s">
        <v>3305</v>
      </c>
      <c r="C920" s="151" t="s">
        <v>3306</v>
      </c>
      <c r="D920" s="151">
        <f>+2348036010841</f>
        <v>2348036010841</v>
      </c>
      <c r="F920" s="6" t="s">
        <v>97</v>
      </c>
      <c r="G920" s="6" t="s">
        <v>1654</v>
      </c>
    </row>
    <row r="921" ht="15.75" customHeight="1">
      <c r="A921" s="150">
        <v>43433.0</v>
      </c>
      <c r="B921" s="151" t="s">
        <v>3307</v>
      </c>
      <c r="C921" s="151" t="s">
        <v>3308</v>
      </c>
      <c r="D921" s="151">
        <f>+2348189962436</f>
        <v>2348189962436</v>
      </c>
      <c r="F921" s="6" t="s">
        <v>97</v>
      </c>
      <c r="G921" s="6" t="s">
        <v>1654</v>
      </c>
    </row>
    <row r="922" ht="15.75" customHeight="1">
      <c r="A922" s="150">
        <v>43433.0</v>
      </c>
      <c r="B922" s="151" t="s">
        <v>3309</v>
      </c>
      <c r="C922" s="151" t="s">
        <v>3310</v>
      </c>
      <c r="D922" s="151">
        <f>+2348033355079</f>
        <v>2348033355079</v>
      </c>
      <c r="F922" s="6" t="s">
        <v>97</v>
      </c>
      <c r="G922" s="6" t="s">
        <v>1654</v>
      </c>
    </row>
    <row r="923" ht="15.75" customHeight="1">
      <c r="A923" s="150">
        <v>43433.0</v>
      </c>
      <c r="B923" s="151" t="s">
        <v>3311</v>
      </c>
      <c r="C923" s="151" t="s">
        <v>3312</v>
      </c>
      <c r="D923" s="151">
        <f>+23408036808999</f>
        <v>23408036808999</v>
      </c>
      <c r="F923" s="6" t="s">
        <v>97</v>
      </c>
      <c r="G923" s="6" t="s">
        <v>1654</v>
      </c>
    </row>
    <row r="924" ht="15.75" customHeight="1">
      <c r="A924" s="150">
        <v>43433.0</v>
      </c>
      <c r="B924" s="151" t="s">
        <v>3313</v>
      </c>
      <c r="C924" s="151" t="s">
        <v>3314</v>
      </c>
      <c r="D924" s="151">
        <f>+23408167624630</f>
        <v>23408167624630</v>
      </c>
      <c r="F924" s="6" t="s">
        <v>97</v>
      </c>
      <c r="G924" s="6" t="s">
        <v>1654</v>
      </c>
    </row>
    <row r="925" ht="15.75" customHeight="1">
      <c r="A925" s="150">
        <v>43433.0</v>
      </c>
      <c r="B925" s="151" t="s">
        <v>3315</v>
      </c>
      <c r="C925" s="151" t="s">
        <v>3316</v>
      </c>
      <c r="D925" s="151">
        <f>+2348114920192</f>
        <v>2348114920192</v>
      </c>
      <c r="F925" s="6" t="s">
        <v>97</v>
      </c>
      <c r="G925" s="6" t="s">
        <v>1654</v>
      </c>
    </row>
    <row r="926" ht="15.75" customHeight="1">
      <c r="A926" s="150">
        <v>43433.0</v>
      </c>
      <c r="B926" s="151" t="s">
        <v>3317</v>
      </c>
      <c r="C926" s="151" t="s">
        <v>3318</v>
      </c>
      <c r="D926" s="151">
        <f>+2348089873894</f>
        <v>2348089873894</v>
      </c>
      <c r="F926" s="6" t="s">
        <v>97</v>
      </c>
      <c r="G926" s="6" t="s">
        <v>1654</v>
      </c>
    </row>
    <row r="927" ht="15.75" customHeight="1">
      <c r="A927" s="150">
        <v>43433.0</v>
      </c>
      <c r="B927" s="151" t="s">
        <v>2449</v>
      </c>
      <c r="C927" s="151" t="s">
        <v>2450</v>
      </c>
      <c r="D927" s="151">
        <f>+2348065681752</f>
        <v>2348065681752</v>
      </c>
      <c r="F927" s="6" t="s">
        <v>97</v>
      </c>
      <c r="G927" s="6" t="s">
        <v>1654</v>
      </c>
    </row>
    <row r="928" ht="15.75" customHeight="1">
      <c r="A928" s="150">
        <v>43433.0</v>
      </c>
      <c r="B928" s="151" t="s">
        <v>3319</v>
      </c>
      <c r="C928" s="151" t="s">
        <v>3320</v>
      </c>
      <c r="D928" s="151">
        <f>+2347031538769</f>
        <v>2347031538769</v>
      </c>
      <c r="F928" s="6" t="s">
        <v>97</v>
      </c>
      <c r="G928" s="6" t="s">
        <v>1654</v>
      </c>
    </row>
    <row r="929" ht="15.75" customHeight="1">
      <c r="A929" s="150">
        <v>43433.0</v>
      </c>
      <c r="B929" s="151" t="s">
        <v>3321</v>
      </c>
      <c r="C929" s="151" t="s">
        <v>3322</v>
      </c>
      <c r="D929" s="151">
        <f>+2348028482787</f>
        <v>2348028482787</v>
      </c>
      <c r="F929" s="6" t="s">
        <v>97</v>
      </c>
      <c r="G929" s="6" t="s">
        <v>1654</v>
      </c>
    </row>
    <row r="930" ht="15.75" customHeight="1">
      <c r="A930" s="150">
        <v>43433.0</v>
      </c>
      <c r="B930" s="151" t="s">
        <v>3323</v>
      </c>
      <c r="C930" s="151" t="s">
        <v>3324</v>
      </c>
      <c r="D930" s="151">
        <f>+2348133649563</f>
        <v>2348133649563</v>
      </c>
      <c r="F930" s="6" t="s">
        <v>97</v>
      </c>
      <c r="G930" s="6" t="s">
        <v>1654</v>
      </c>
    </row>
    <row r="931" ht="15.75" customHeight="1">
      <c r="A931" s="150">
        <v>43433.0</v>
      </c>
      <c r="B931" s="151" t="s">
        <v>3325</v>
      </c>
      <c r="C931" s="151" t="s">
        <v>3326</v>
      </c>
      <c r="D931" s="151">
        <f>+2348024501454</f>
        <v>2348024501454</v>
      </c>
      <c r="F931" s="6" t="s">
        <v>97</v>
      </c>
      <c r="G931" s="6" t="s">
        <v>1654</v>
      </c>
    </row>
    <row r="932" ht="15.75" customHeight="1">
      <c r="A932" s="150">
        <v>43433.0</v>
      </c>
      <c r="B932" s="151" t="s">
        <v>3327</v>
      </c>
      <c r="C932" s="151" t="s">
        <v>3328</v>
      </c>
      <c r="D932" s="151">
        <f>+2348125558069</f>
        <v>2348125558069</v>
      </c>
      <c r="F932" s="6" t="s">
        <v>97</v>
      </c>
      <c r="G932" s="6" t="s">
        <v>1654</v>
      </c>
    </row>
    <row r="933" ht="15.75" customHeight="1">
      <c r="A933" s="150">
        <v>43433.0</v>
      </c>
      <c r="B933" s="151" t="s">
        <v>3329</v>
      </c>
      <c r="C933" s="151" t="s">
        <v>3330</v>
      </c>
      <c r="D933" s="151">
        <f>+2348036203474</f>
        <v>2348036203474</v>
      </c>
      <c r="F933" s="6" t="s">
        <v>97</v>
      </c>
      <c r="G933" s="6" t="s">
        <v>1654</v>
      </c>
    </row>
    <row r="934" ht="15.75" customHeight="1">
      <c r="A934" s="150">
        <v>43433.0</v>
      </c>
      <c r="B934" s="151" t="s">
        <v>3022</v>
      </c>
      <c r="C934" s="151" t="s">
        <v>3023</v>
      </c>
      <c r="D934" s="151">
        <f>+2348131172056</f>
        <v>2348131172056</v>
      </c>
      <c r="F934" s="6" t="s">
        <v>97</v>
      </c>
      <c r="G934" s="6" t="s">
        <v>1654</v>
      </c>
    </row>
    <row r="935" ht="15.75" customHeight="1">
      <c r="A935" s="150">
        <v>43433.0</v>
      </c>
      <c r="B935" s="151" t="s">
        <v>3331</v>
      </c>
      <c r="C935" s="151" t="s">
        <v>3332</v>
      </c>
      <c r="D935" s="151">
        <f>+2348031177777</f>
        <v>2348031177777</v>
      </c>
      <c r="F935" s="6" t="s">
        <v>97</v>
      </c>
      <c r="G935" s="6" t="s">
        <v>1654</v>
      </c>
    </row>
    <row r="936" ht="15.75" customHeight="1">
      <c r="A936" s="150">
        <v>43433.0</v>
      </c>
      <c r="B936" s="151" t="s">
        <v>2657</v>
      </c>
      <c r="C936" s="151" t="s">
        <v>2658</v>
      </c>
      <c r="D936" s="151">
        <f>+2347068325700</f>
        <v>2347068325700</v>
      </c>
      <c r="F936" s="6" t="s">
        <v>97</v>
      </c>
      <c r="G936" s="6" t="s">
        <v>1654</v>
      </c>
    </row>
    <row r="937" ht="15.75" customHeight="1">
      <c r="A937" s="150">
        <v>43433.0</v>
      </c>
      <c r="B937" s="151" t="s">
        <v>3333</v>
      </c>
      <c r="C937" s="151" t="s">
        <v>3334</v>
      </c>
      <c r="D937" s="151">
        <f>+2348110832512</f>
        <v>2348110832512</v>
      </c>
      <c r="F937" s="6" t="s">
        <v>97</v>
      </c>
      <c r="G937" s="6" t="s">
        <v>1654</v>
      </c>
    </row>
    <row r="938" ht="15.75" customHeight="1">
      <c r="A938" s="150">
        <v>43433.0</v>
      </c>
      <c r="B938" s="151" t="s">
        <v>3335</v>
      </c>
      <c r="C938" s="151" t="s">
        <v>3336</v>
      </c>
      <c r="D938" s="151">
        <f>+2348034882478</f>
        <v>2348034882478</v>
      </c>
      <c r="F938" s="6" t="s">
        <v>97</v>
      </c>
      <c r="G938" s="6" t="s">
        <v>1654</v>
      </c>
    </row>
    <row r="939" ht="15.75" customHeight="1">
      <c r="A939" s="150">
        <v>43433.0</v>
      </c>
      <c r="B939" s="151" t="s">
        <v>3337</v>
      </c>
      <c r="C939" s="151" t="s">
        <v>3338</v>
      </c>
      <c r="D939" s="151">
        <f>+2348033021799</f>
        <v>2348033021799</v>
      </c>
      <c r="F939" s="6" t="s">
        <v>97</v>
      </c>
      <c r="G939" s="6" t="s">
        <v>1654</v>
      </c>
    </row>
    <row r="940" ht="15.75" customHeight="1">
      <c r="A940" s="150">
        <v>43433.0</v>
      </c>
      <c r="B940" s="154" t="s">
        <v>3339</v>
      </c>
      <c r="C940" s="151" t="s">
        <v>3340</v>
      </c>
      <c r="D940" s="151">
        <f>+2348085029332</f>
        <v>2348085029332</v>
      </c>
      <c r="F940" s="6" t="s">
        <v>168</v>
      </c>
      <c r="G940" s="6" t="s">
        <v>1654</v>
      </c>
    </row>
    <row r="941" ht="15.75" customHeight="1">
      <c r="A941" s="150">
        <v>43433.0</v>
      </c>
      <c r="B941" s="151" t="s">
        <v>3341</v>
      </c>
      <c r="C941" s="151" t="s">
        <v>3342</v>
      </c>
      <c r="D941" s="151">
        <f>+2348033825109</f>
        <v>2348033825109</v>
      </c>
      <c r="F941" s="6" t="s">
        <v>168</v>
      </c>
      <c r="G941" s="6" t="s">
        <v>1654</v>
      </c>
    </row>
    <row r="942" ht="15.75" customHeight="1">
      <c r="A942" s="150">
        <v>43433.0</v>
      </c>
      <c r="B942" s="151" t="s">
        <v>3343</v>
      </c>
      <c r="C942" s="151" t="s">
        <v>3344</v>
      </c>
      <c r="D942" s="151">
        <f>+2348038828733</f>
        <v>2348038828733</v>
      </c>
      <c r="F942" s="6" t="s">
        <v>168</v>
      </c>
      <c r="G942" s="6" t="s">
        <v>1654</v>
      </c>
    </row>
    <row r="943" ht="15.75" customHeight="1">
      <c r="A943" s="150">
        <v>43433.0</v>
      </c>
      <c r="B943" s="151" t="s">
        <v>3345</v>
      </c>
      <c r="C943" s="151" t="s">
        <v>3346</v>
      </c>
      <c r="D943" s="151">
        <v>8.036344762E9</v>
      </c>
      <c r="F943" s="6" t="s">
        <v>168</v>
      </c>
      <c r="G943" s="6" t="s">
        <v>1654</v>
      </c>
    </row>
    <row r="944" ht="15.75" customHeight="1">
      <c r="A944" s="150">
        <v>43433.0</v>
      </c>
      <c r="B944" s="151" t="s">
        <v>3347</v>
      </c>
      <c r="C944" s="151" t="s">
        <v>3348</v>
      </c>
      <c r="D944" s="151">
        <v>2.348036425321E12</v>
      </c>
      <c r="F944" s="6" t="s">
        <v>168</v>
      </c>
      <c r="G944" s="6" t="s">
        <v>1654</v>
      </c>
    </row>
    <row r="945" ht="15.75" customHeight="1">
      <c r="A945" s="150">
        <v>43433.0</v>
      </c>
      <c r="B945" s="151" t="s">
        <v>3349</v>
      </c>
      <c r="C945" s="151" t="s">
        <v>3350</v>
      </c>
      <c r="D945" s="151">
        <f>+2349095289280</f>
        <v>2349095289280</v>
      </c>
      <c r="F945" s="6" t="s">
        <v>168</v>
      </c>
      <c r="G945" s="6" t="s">
        <v>1654</v>
      </c>
    </row>
    <row r="946" ht="15.75" customHeight="1">
      <c r="A946" s="150">
        <v>43433.0</v>
      </c>
      <c r="B946" s="151" t="s">
        <v>3351</v>
      </c>
      <c r="C946" s="151" t="s">
        <v>3352</v>
      </c>
      <c r="D946" s="151">
        <f>+2348167431244</f>
        <v>2348167431244</v>
      </c>
      <c r="F946" s="6" t="s">
        <v>168</v>
      </c>
      <c r="G946" s="6" t="s">
        <v>1654</v>
      </c>
    </row>
    <row r="947" ht="15.75" customHeight="1">
      <c r="A947" s="150">
        <v>43433.0</v>
      </c>
      <c r="B947" s="151" t="s">
        <v>3353</v>
      </c>
      <c r="C947" s="151" t="s">
        <v>3354</v>
      </c>
      <c r="D947" s="151">
        <f>+2347053843395</f>
        <v>2347053843395</v>
      </c>
      <c r="F947" s="6" t="s">
        <v>168</v>
      </c>
      <c r="G947" s="6" t="s">
        <v>1654</v>
      </c>
    </row>
    <row r="948" ht="15.75" customHeight="1">
      <c r="A948" s="150">
        <v>43433.0</v>
      </c>
      <c r="B948" s="151" t="s">
        <v>3355</v>
      </c>
      <c r="C948" s="151" t="s">
        <v>3356</v>
      </c>
      <c r="D948" s="151">
        <f>+2348030948150</f>
        <v>2348030948150</v>
      </c>
      <c r="F948" s="6" t="s">
        <v>168</v>
      </c>
      <c r="G948" s="6" t="s">
        <v>1654</v>
      </c>
    </row>
    <row r="949" ht="15.75" customHeight="1">
      <c r="A949" s="150">
        <v>43433.0</v>
      </c>
      <c r="B949" s="151" t="s">
        <v>3357</v>
      </c>
      <c r="C949" s="151" t="s">
        <v>3358</v>
      </c>
      <c r="D949" s="151">
        <f>+2348064506731</f>
        <v>2348064506731</v>
      </c>
      <c r="F949" s="6" t="s">
        <v>168</v>
      </c>
      <c r="G949" s="6" t="s">
        <v>1654</v>
      </c>
    </row>
    <row r="950" ht="15.75" customHeight="1">
      <c r="A950" s="150">
        <v>43433.0</v>
      </c>
      <c r="B950" s="151" t="s">
        <v>3359</v>
      </c>
      <c r="C950" s="151" t="s">
        <v>3360</v>
      </c>
      <c r="D950" s="151">
        <f>+2348184964336</f>
        <v>2348184964336</v>
      </c>
      <c r="F950" s="6" t="s">
        <v>168</v>
      </c>
      <c r="G950" s="6" t="s">
        <v>1654</v>
      </c>
    </row>
    <row r="951" ht="15.75" customHeight="1">
      <c r="A951" s="150">
        <v>43433.0</v>
      </c>
      <c r="B951" s="151" t="s">
        <v>3361</v>
      </c>
      <c r="C951" s="151" t="s">
        <v>3362</v>
      </c>
      <c r="D951" s="151">
        <f>+2348108100900</f>
        <v>2348108100900</v>
      </c>
      <c r="F951" s="6" t="s">
        <v>168</v>
      </c>
      <c r="G951" s="6" t="s">
        <v>1654</v>
      </c>
    </row>
    <row r="952" ht="15.75" customHeight="1">
      <c r="A952" s="150">
        <v>43433.0</v>
      </c>
      <c r="B952" s="151" t="s">
        <v>3363</v>
      </c>
      <c r="C952" s="151" t="s">
        <v>3364</v>
      </c>
      <c r="D952" s="151">
        <f>+2348060920350</f>
        <v>2348060920350</v>
      </c>
      <c r="F952" s="6" t="s">
        <v>168</v>
      </c>
      <c r="G952" s="6" t="s">
        <v>1654</v>
      </c>
    </row>
    <row r="953" ht="15.75" customHeight="1">
      <c r="A953" s="150">
        <v>43433.0</v>
      </c>
      <c r="B953" s="151" t="s">
        <v>3365</v>
      </c>
      <c r="C953" s="151" t="s">
        <v>3366</v>
      </c>
      <c r="D953" s="151">
        <f>+2347081362372</f>
        <v>2347081362372</v>
      </c>
      <c r="F953" s="6" t="s">
        <v>168</v>
      </c>
      <c r="G953" s="6" t="s">
        <v>1654</v>
      </c>
    </row>
    <row r="954" ht="15.75" customHeight="1">
      <c r="A954" s="150">
        <v>43433.0</v>
      </c>
      <c r="B954" s="151" t="s">
        <v>3367</v>
      </c>
      <c r="C954" s="151" t="s">
        <v>3368</v>
      </c>
      <c r="D954" s="151">
        <f>+2348060639249</f>
        <v>2348060639249</v>
      </c>
      <c r="F954" s="6" t="s">
        <v>168</v>
      </c>
      <c r="G954" s="6" t="s">
        <v>1654</v>
      </c>
    </row>
    <row r="955" ht="15.75" customHeight="1">
      <c r="A955" s="150">
        <v>43433.0</v>
      </c>
      <c r="B955" s="151" t="s">
        <v>3369</v>
      </c>
      <c r="C955" s="151" t="s">
        <v>3370</v>
      </c>
      <c r="D955" s="151">
        <f>+2347089434595</f>
        <v>2347089434595</v>
      </c>
      <c r="F955" s="6" t="s">
        <v>168</v>
      </c>
      <c r="G955" s="6" t="s">
        <v>1654</v>
      </c>
    </row>
    <row r="956" ht="15.75" customHeight="1">
      <c r="A956" s="150">
        <v>43433.0</v>
      </c>
      <c r="B956" s="151" t="s">
        <v>3371</v>
      </c>
      <c r="C956" s="151" t="s">
        <v>3372</v>
      </c>
      <c r="D956" s="151">
        <f>+2348184454839</f>
        <v>2348184454839</v>
      </c>
      <c r="F956" s="6" t="s">
        <v>168</v>
      </c>
      <c r="G956" s="6" t="s">
        <v>1654</v>
      </c>
    </row>
    <row r="957" ht="15.75" customHeight="1">
      <c r="A957" s="150">
        <v>43433.0</v>
      </c>
      <c r="B957" s="151" t="s">
        <v>3373</v>
      </c>
      <c r="C957" s="151" t="s">
        <v>3374</v>
      </c>
      <c r="D957" s="151">
        <f>+2348023704987</f>
        <v>2348023704987</v>
      </c>
      <c r="F957" s="6" t="s">
        <v>168</v>
      </c>
      <c r="G957" s="6" t="s">
        <v>1654</v>
      </c>
    </row>
    <row r="958" ht="15.75" customHeight="1">
      <c r="A958" s="150">
        <v>43433.0</v>
      </c>
      <c r="B958" s="151" t="s">
        <v>3375</v>
      </c>
      <c r="C958" s="151" t="s">
        <v>3376</v>
      </c>
      <c r="D958" s="151">
        <f>+2348169669999</f>
        <v>2348169669999</v>
      </c>
      <c r="F958" s="6" t="s">
        <v>168</v>
      </c>
      <c r="G958" s="6" t="s">
        <v>1654</v>
      </c>
    </row>
    <row r="959" ht="15.75" customHeight="1">
      <c r="A959" s="150">
        <v>43433.0</v>
      </c>
      <c r="B959" s="151" t="s">
        <v>3377</v>
      </c>
      <c r="C959" s="151" t="s">
        <v>3378</v>
      </c>
      <c r="D959" s="151">
        <f>+2347030908297</f>
        <v>2347030908297</v>
      </c>
      <c r="F959" s="6" t="s">
        <v>168</v>
      </c>
      <c r="G959" s="6" t="s">
        <v>1654</v>
      </c>
    </row>
    <row r="960" ht="15.75" customHeight="1">
      <c r="A960" s="150">
        <v>43433.0</v>
      </c>
      <c r="B960" s="151" t="s">
        <v>3379</v>
      </c>
      <c r="C960" s="151" t="s">
        <v>3380</v>
      </c>
      <c r="D960" s="151">
        <f>+2348156781416</f>
        <v>2348156781416</v>
      </c>
      <c r="F960" s="6" t="s">
        <v>168</v>
      </c>
      <c r="G960" s="6" t="s">
        <v>1654</v>
      </c>
    </row>
    <row r="961" ht="15.75" customHeight="1">
      <c r="A961" s="150">
        <v>43433.0</v>
      </c>
      <c r="B961" s="151" t="s">
        <v>3214</v>
      </c>
      <c r="C961" s="151" t="s">
        <v>3215</v>
      </c>
      <c r="D961" s="151">
        <f>+2348032546134</f>
        <v>2348032546134</v>
      </c>
      <c r="F961" s="6" t="s">
        <v>168</v>
      </c>
      <c r="G961" s="6" t="s">
        <v>1654</v>
      </c>
    </row>
    <row r="962" ht="15.75" customHeight="1">
      <c r="A962" s="150">
        <v>43433.0</v>
      </c>
      <c r="B962" s="151" t="s">
        <v>3381</v>
      </c>
      <c r="C962" s="151" t="s">
        <v>3382</v>
      </c>
      <c r="D962" s="151">
        <f>+2348186648503</f>
        <v>2348186648503</v>
      </c>
      <c r="F962" s="6" t="s">
        <v>168</v>
      </c>
      <c r="G962" s="6" t="s">
        <v>1654</v>
      </c>
    </row>
    <row r="963" ht="15.75" customHeight="1">
      <c r="A963" s="150">
        <v>43433.0</v>
      </c>
      <c r="B963" s="151" t="s">
        <v>3383</v>
      </c>
      <c r="C963" s="151" t="s">
        <v>3384</v>
      </c>
      <c r="D963" s="151">
        <f>+23408055123903</f>
        <v>23408055123903</v>
      </c>
      <c r="F963" s="6" t="s">
        <v>168</v>
      </c>
      <c r="G963" s="6" t="s">
        <v>1654</v>
      </c>
    </row>
    <row r="964" ht="15.75" customHeight="1">
      <c r="A964" s="150">
        <v>43433.0</v>
      </c>
      <c r="B964" s="151" t="s">
        <v>3385</v>
      </c>
      <c r="C964" s="151" t="s">
        <v>3386</v>
      </c>
      <c r="D964" s="151">
        <f>+2348036053955</f>
        <v>2348036053955</v>
      </c>
      <c r="F964" s="6" t="s">
        <v>168</v>
      </c>
      <c r="G964" s="6" t="s">
        <v>1654</v>
      </c>
    </row>
    <row r="965" ht="15.75" customHeight="1">
      <c r="A965" s="150">
        <v>43433.0</v>
      </c>
      <c r="B965" s="151" t="s">
        <v>3387</v>
      </c>
      <c r="C965" s="151" t="s">
        <v>3388</v>
      </c>
      <c r="D965" s="151">
        <f>+2347032966693</f>
        <v>2347032966693</v>
      </c>
      <c r="F965" s="6" t="s">
        <v>168</v>
      </c>
      <c r="G965" s="6" t="s">
        <v>1654</v>
      </c>
    </row>
    <row r="966" ht="15.75" customHeight="1">
      <c r="A966" s="150">
        <v>43433.0</v>
      </c>
      <c r="B966" s="151" t="s">
        <v>3389</v>
      </c>
      <c r="C966" s="151" t="s">
        <v>3390</v>
      </c>
      <c r="D966" s="151">
        <f>+2347032673840</f>
        <v>2347032673840</v>
      </c>
      <c r="F966" s="6" t="s">
        <v>168</v>
      </c>
      <c r="G966" s="6" t="s">
        <v>1654</v>
      </c>
    </row>
    <row r="967" ht="15.75" customHeight="1">
      <c r="A967" s="150">
        <v>43433.0</v>
      </c>
      <c r="B967" s="151" t="s">
        <v>3391</v>
      </c>
      <c r="C967" s="151" t="s">
        <v>3392</v>
      </c>
      <c r="D967" s="151">
        <f>+2348037364251</f>
        <v>2348037364251</v>
      </c>
      <c r="F967" s="6" t="s">
        <v>168</v>
      </c>
      <c r="G967" s="6" t="s">
        <v>1654</v>
      </c>
    </row>
    <row r="968" ht="15.75" customHeight="1">
      <c r="A968" s="150">
        <v>43433.0</v>
      </c>
      <c r="B968" s="151" t="s">
        <v>3393</v>
      </c>
      <c r="C968" s="151" t="s">
        <v>3394</v>
      </c>
      <c r="D968" s="151">
        <f>+2347065602888</f>
        <v>2347065602888</v>
      </c>
      <c r="F968" s="6" t="s">
        <v>168</v>
      </c>
      <c r="G968" s="6" t="s">
        <v>1654</v>
      </c>
    </row>
    <row r="969" ht="15.75" customHeight="1">
      <c r="A969" s="150">
        <v>43433.0</v>
      </c>
      <c r="B969" s="151" t="s">
        <v>3395</v>
      </c>
      <c r="C969" s="151" t="s">
        <v>3396</v>
      </c>
      <c r="D969" s="151">
        <f>+23407038441392</f>
        <v>23407038441392</v>
      </c>
      <c r="F969" s="6" t="s">
        <v>97</v>
      </c>
      <c r="G969" s="6" t="s">
        <v>1654</v>
      </c>
    </row>
    <row r="970" ht="15.75" customHeight="1">
      <c r="A970" s="150">
        <v>43433.0</v>
      </c>
      <c r="B970" s="151" t="s">
        <v>3397</v>
      </c>
      <c r="C970" s="151" t="s">
        <v>3398</v>
      </c>
      <c r="D970" s="151">
        <f>+2348039659087</f>
        <v>2348039659087</v>
      </c>
      <c r="F970" s="6" t="s">
        <v>97</v>
      </c>
      <c r="G970" s="6" t="s">
        <v>1654</v>
      </c>
    </row>
    <row r="971" ht="15.75" customHeight="1">
      <c r="A971" s="150">
        <v>43433.0</v>
      </c>
      <c r="B971" s="151" t="s">
        <v>3399</v>
      </c>
      <c r="C971" s="151" t="s">
        <v>3400</v>
      </c>
      <c r="D971" s="151">
        <f>+2349038573524</f>
        <v>2349038573524</v>
      </c>
      <c r="F971" s="6" t="s">
        <v>97</v>
      </c>
      <c r="G971" s="6" t="s">
        <v>1654</v>
      </c>
    </row>
    <row r="972" ht="15.75" customHeight="1">
      <c r="A972" s="150">
        <v>43433.0</v>
      </c>
      <c r="B972" s="151" t="s">
        <v>3401</v>
      </c>
      <c r="C972" s="151" t="s">
        <v>3402</v>
      </c>
      <c r="D972" s="151">
        <f>+2348097444391</f>
        <v>2348097444391</v>
      </c>
      <c r="F972" s="6" t="s">
        <v>97</v>
      </c>
      <c r="G972" s="6" t="s">
        <v>1654</v>
      </c>
    </row>
    <row r="973" ht="15.75" customHeight="1">
      <c r="A973" s="150">
        <v>43433.0</v>
      </c>
      <c r="B973" s="151" t="s">
        <v>3403</v>
      </c>
      <c r="C973" s="151" t="s">
        <v>3404</v>
      </c>
      <c r="D973" s="151">
        <f>+2349037733165</f>
        <v>2349037733165</v>
      </c>
      <c r="F973" s="6" t="s">
        <v>97</v>
      </c>
      <c r="G973" s="6" t="s">
        <v>1654</v>
      </c>
    </row>
    <row r="974" ht="15.75" customHeight="1">
      <c r="A974" s="150">
        <v>43433.0</v>
      </c>
      <c r="B974" s="151" t="s">
        <v>3405</v>
      </c>
      <c r="C974" s="151" t="s">
        <v>3406</v>
      </c>
      <c r="D974" s="151">
        <f>+2347034709988</f>
        <v>2347034709988</v>
      </c>
      <c r="F974" s="6" t="s">
        <v>97</v>
      </c>
      <c r="G974" s="6" t="s">
        <v>1654</v>
      </c>
    </row>
    <row r="975" ht="15.75" customHeight="1">
      <c r="A975" s="150">
        <v>43433.0</v>
      </c>
      <c r="B975" s="151" t="s">
        <v>3407</v>
      </c>
      <c r="C975" s="151" t="s">
        <v>3408</v>
      </c>
      <c r="D975" s="151">
        <f>+2348025408491</f>
        <v>2348025408491</v>
      </c>
      <c r="F975" s="6" t="s">
        <v>97</v>
      </c>
      <c r="G975" s="6" t="s">
        <v>1654</v>
      </c>
    </row>
    <row r="976" ht="15.75" customHeight="1">
      <c r="A976" s="150">
        <v>43433.0</v>
      </c>
      <c r="B976" s="151" t="s">
        <v>3409</v>
      </c>
      <c r="C976" s="151" t="s">
        <v>3410</v>
      </c>
      <c r="D976" s="151">
        <f>+2348058484001</f>
        <v>2348058484001</v>
      </c>
      <c r="F976" s="6" t="s">
        <v>97</v>
      </c>
      <c r="G976" s="6" t="s">
        <v>1654</v>
      </c>
    </row>
    <row r="977" ht="15.75" customHeight="1">
      <c r="A977" s="150">
        <v>43433.0</v>
      </c>
      <c r="B977" s="151" t="s">
        <v>3411</v>
      </c>
      <c r="C977" s="151" t="s">
        <v>3412</v>
      </c>
      <c r="D977" s="151">
        <f>+2348037790847</f>
        <v>2348037790847</v>
      </c>
      <c r="F977" s="6" t="s">
        <v>97</v>
      </c>
      <c r="G977" s="6" t="s">
        <v>1654</v>
      </c>
    </row>
    <row r="978" ht="15.75" customHeight="1">
      <c r="A978" s="150">
        <v>43433.0</v>
      </c>
      <c r="B978" s="151" t="s">
        <v>3413</v>
      </c>
      <c r="C978" s="151" t="s">
        <v>3414</v>
      </c>
      <c r="D978" s="151">
        <f>+2348037137805</f>
        <v>2348037137805</v>
      </c>
      <c r="F978" s="6" t="s">
        <v>97</v>
      </c>
      <c r="G978" s="6" t="s">
        <v>1654</v>
      </c>
    </row>
    <row r="979" ht="15.75" customHeight="1">
      <c r="A979" s="150">
        <v>43433.0</v>
      </c>
      <c r="B979" s="151" t="s">
        <v>3415</v>
      </c>
      <c r="C979" s="151" t="s">
        <v>3416</v>
      </c>
      <c r="D979" s="151">
        <f>+2348077779159</f>
        <v>2348077779159</v>
      </c>
      <c r="F979" s="6" t="s">
        <v>97</v>
      </c>
      <c r="G979" s="6" t="s">
        <v>1654</v>
      </c>
    </row>
    <row r="980" ht="15.75" customHeight="1">
      <c r="A980" s="150">
        <v>43433.0</v>
      </c>
      <c r="B980" s="151" t="s">
        <v>3417</v>
      </c>
      <c r="C980" s="151" t="s">
        <v>3418</v>
      </c>
      <c r="D980" s="151">
        <f>+2348034696103</f>
        <v>2348034696103</v>
      </c>
      <c r="F980" s="6" t="s">
        <v>97</v>
      </c>
      <c r="G980" s="6" t="s">
        <v>1654</v>
      </c>
    </row>
    <row r="981" ht="15.75" customHeight="1">
      <c r="A981" s="150">
        <v>43433.0</v>
      </c>
      <c r="B981" s="151" t="s">
        <v>3419</v>
      </c>
      <c r="C981" s="151" t="s">
        <v>3420</v>
      </c>
      <c r="D981" s="151">
        <v>8.078011918E9</v>
      </c>
      <c r="F981" s="6" t="s">
        <v>97</v>
      </c>
      <c r="G981" s="6" t="s">
        <v>1654</v>
      </c>
    </row>
    <row r="982" ht="15.75" customHeight="1">
      <c r="A982" s="150">
        <v>43433.0</v>
      </c>
      <c r="B982" s="151" t="s">
        <v>3421</v>
      </c>
      <c r="C982" s="151" t="s">
        <v>3422</v>
      </c>
      <c r="D982" s="151">
        <f>+2347032777744</f>
        <v>2347032777744</v>
      </c>
      <c r="F982" s="6" t="s">
        <v>97</v>
      </c>
      <c r="G982" s="6" t="s">
        <v>1654</v>
      </c>
    </row>
    <row r="983" ht="15.75" customHeight="1">
      <c r="A983" s="150">
        <v>43433.0</v>
      </c>
      <c r="B983" s="151" t="s">
        <v>3423</v>
      </c>
      <c r="C983" s="151" t="s">
        <v>3424</v>
      </c>
      <c r="D983" s="151">
        <f>+2348069185860</f>
        <v>2348069185860</v>
      </c>
      <c r="F983" s="6" t="s">
        <v>97</v>
      </c>
      <c r="G983" s="6" t="s">
        <v>1654</v>
      </c>
    </row>
    <row r="984" ht="15.75" customHeight="1">
      <c r="A984" s="150">
        <v>43433.0</v>
      </c>
      <c r="B984" s="151" t="s">
        <v>3425</v>
      </c>
      <c r="C984" s="151" t="s">
        <v>3426</v>
      </c>
      <c r="D984" s="151">
        <f>+2348076802677</f>
        <v>2348076802677</v>
      </c>
      <c r="F984" s="6" t="s">
        <v>97</v>
      </c>
      <c r="G984" s="6" t="s">
        <v>1654</v>
      </c>
    </row>
    <row r="985" ht="15.75" customHeight="1">
      <c r="A985" s="150">
        <v>43433.0</v>
      </c>
      <c r="B985" s="151" t="s">
        <v>3427</v>
      </c>
      <c r="C985" s="151" t="s">
        <v>3428</v>
      </c>
      <c r="D985" s="151">
        <f>+2347032138153</f>
        <v>2347032138153</v>
      </c>
      <c r="F985" s="6" t="s">
        <v>97</v>
      </c>
      <c r="G985" s="6" t="s">
        <v>1654</v>
      </c>
    </row>
    <row r="986" ht="15.75" customHeight="1">
      <c r="A986" s="150">
        <v>43433.0</v>
      </c>
      <c r="B986" s="151" t="s">
        <v>3429</v>
      </c>
      <c r="C986" s="151" t="s">
        <v>3430</v>
      </c>
      <c r="D986" s="151">
        <f>+2347038198295</f>
        <v>2347038198295</v>
      </c>
      <c r="F986" s="6" t="s">
        <v>97</v>
      </c>
      <c r="G986" s="6" t="s">
        <v>1654</v>
      </c>
    </row>
    <row r="987" ht="15.75" customHeight="1">
      <c r="A987" s="150">
        <v>43433.0</v>
      </c>
      <c r="B987" s="151" t="s">
        <v>3431</v>
      </c>
      <c r="C987" s="151" t="s">
        <v>3432</v>
      </c>
      <c r="D987" s="151">
        <f>+2347034722084</f>
        <v>2347034722084</v>
      </c>
      <c r="F987" s="6" t="s">
        <v>97</v>
      </c>
      <c r="G987" s="6" t="s">
        <v>1654</v>
      </c>
    </row>
    <row r="988" ht="15.75" customHeight="1">
      <c r="A988" s="150">
        <v>43433.0</v>
      </c>
      <c r="B988" s="151" t="s">
        <v>3433</v>
      </c>
      <c r="C988" s="151" t="s">
        <v>3434</v>
      </c>
      <c r="D988" s="151">
        <f>+2348037796084</f>
        <v>2348037796084</v>
      </c>
      <c r="F988" s="6" t="s">
        <v>97</v>
      </c>
      <c r="G988" s="6" t="s">
        <v>1654</v>
      </c>
    </row>
    <row r="989" ht="15.75" customHeight="1">
      <c r="A989" s="150">
        <v>43433.0</v>
      </c>
      <c r="B989" s="151" t="s">
        <v>3435</v>
      </c>
      <c r="C989" s="151" t="s">
        <v>3436</v>
      </c>
      <c r="D989" s="151">
        <f>+2348023732347</f>
        <v>2348023732347</v>
      </c>
      <c r="F989" s="6" t="s">
        <v>97</v>
      </c>
      <c r="G989" s="6" t="s">
        <v>1654</v>
      </c>
    </row>
    <row r="990" ht="15.75" customHeight="1">
      <c r="A990" s="150">
        <v>43433.0</v>
      </c>
      <c r="B990" s="151" t="s">
        <v>3437</v>
      </c>
      <c r="C990" s="151" t="s">
        <v>3438</v>
      </c>
      <c r="D990" s="151">
        <f>+23408176626777</f>
        <v>23408176626777</v>
      </c>
      <c r="F990" s="6" t="s">
        <v>97</v>
      </c>
      <c r="G990" s="6" t="s">
        <v>1654</v>
      </c>
    </row>
    <row r="991" ht="15.75" customHeight="1">
      <c r="A991" s="150">
        <v>43433.0</v>
      </c>
      <c r="B991" s="151" t="s">
        <v>3439</v>
      </c>
      <c r="C991" s="151" t="s">
        <v>3440</v>
      </c>
      <c r="D991" s="151">
        <f>+2348036113202</f>
        <v>2348036113202</v>
      </c>
      <c r="F991" s="6" t="s">
        <v>97</v>
      </c>
      <c r="G991" s="6" t="s">
        <v>1654</v>
      </c>
    </row>
    <row r="992" ht="15.75" customHeight="1">
      <c r="A992" s="150">
        <v>43433.0</v>
      </c>
      <c r="B992" s="151" t="s">
        <v>3441</v>
      </c>
      <c r="C992" s="151" t="s">
        <v>3442</v>
      </c>
      <c r="D992" s="151">
        <f>+2348032506790</f>
        <v>2348032506790</v>
      </c>
      <c r="F992" s="6" t="s">
        <v>97</v>
      </c>
      <c r="G992" s="6" t="s">
        <v>1654</v>
      </c>
    </row>
    <row r="993" ht="15.75" customHeight="1">
      <c r="A993" s="150">
        <v>43433.0</v>
      </c>
      <c r="B993" s="151" t="s">
        <v>3443</v>
      </c>
      <c r="C993" s="151" t="s">
        <v>3444</v>
      </c>
      <c r="D993" s="151">
        <f>+2347030658316</f>
        <v>2347030658316</v>
      </c>
      <c r="F993" s="6" t="s">
        <v>97</v>
      </c>
      <c r="G993" s="6" t="s">
        <v>1654</v>
      </c>
    </row>
    <row r="994" ht="15.75" customHeight="1">
      <c r="A994" s="150">
        <v>43433.0</v>
      </c>
      <c r="B994" s="151" t="s">
        <v>3445</v>
      </c>
      <c r="C994" s="151" t="s">
        <v>3446</v>
      </c>
      <c r="D994" s="151">
        <f>+2348030722545</f>
        <v>2348030722545</v>
      </c>
      <c r="F994" s="6" t="s">
        <v>97</v>
      </c>
      <c r="G994" s="6" t="s">
        <v>1654</v>
      </c>
    </row>
    <row r="995" ht="15.75" customHeight="1">
      <c r="A995" s="150">
        <v>43433.0</v>
      </c>
      <c r="B995" s="151" t="s">
        <v>3447</v>
      </c>
      <c r="C995" s="151" t="s">
        <v>3448</v>
      </c>
      <c r="D995" s="151">
        <f>+2348051363597</f>
        <v>2348051363597</v>
      </c>
      <c r="F995" s="6" t="s">
        <v>97</v>
      </c>
      <c r="G995" s="6" t="s">
        <v>1654</v>
      </c>
    </row>
    <row r="996" ht="15.75" customHeight="1">
      <c r="A996" s="150">
        <v>43433.0</v>
      </c>
      <c r="B996" s="151" t="s">
        <v>3449</v>
      </c>
      <c r="C996" s="151" t="s">
        <v>3450</v>
      </c>
      <c r="D996" s="151">
        <f>+2349034670144</f>
        <v>2349034670144</v>
      </c>
      <c r="F996" s="6" t="s">
        <v>97</v>
      </c>
      <c r="G996" s="6" t="s">
        <v>1654</v>
      </c>
    </row>
    <row r="997" ht="15.75" customHeight="1">
      <c r="A997" s="150">
        <v>43433.0</v>
      </c>
      <c r="B997" s="151" t="s">
        <v>3451</v>
      </c>
      <c r="C997" s="151" t="s">
        <v>3452</v>
      </c>
      <c r="D997" s="151">
        <f>+2347067772016</f>
        <v>2347067772016</v>
      </c>
      <c r="F997" s="6" t="s">
        <v>97</v>
      </c>
      <c r="G997" s="6" t="s">
        <v>1654</v>
      </c>
    </row>
    <row r="998" ht="15.75" customHeight="1">
      <c r="A998" s="150">
        <v>43433.0</v>
      </c>
      <c r="B998" s="151" t="s">
        <v>3453</v>
      </c>
      <c r="C998" s="151" t="s">
        <v>3454</v>
      </c>
      <c r="D998" s="151">
        <f>+2348037330018</f>
        <v>2348037330018</v>
      </c>
      <c r="F998" s="6" t="s">
        <v>97</v>
      </c>
      <c r="G998" s="6" t="s">
        <v>1654</v>
      </c>
    </row>
    <row r="999" ht="15.75" customHeight="1">
      <c r="A999" s="150">
        <v>43433.0</v>
      </c>
      <c r="B999" s="151" t="s">
        <v>3455</v>
      </c>
      <c r="C999" s="151" t="s">
        <v>3456</v>
      </c>
      <c r="D999" s="151">
        <f>+2348023386539</f>
        <v>2348023386539</v>
      </c>
      <c r="F999" s="6" t="s">
        <v>97</v>
      </c>
      <c r="G999" s="6" t="s">
        <v>1654</v>
      </c>
    </row>
    <row r="1000" ht="15.75" customHeight="1">
      <c r="A1000" s="150">
        <v>43433.0</v>
      </c>
      <c r="B1000" s="151" t="s">
        <v>3457</v>
      </c>
      <c r="C1000" s="151" t="s">
        <v>3458</v>
      </c>
      <c r="D1000" s="151">
        <f>+2347033090280</f>
        <v>2347033090280</v>
      </c>
      <c r="F1000" s="6" t="s">
        <v>97</v>
      </c>
      <c r="G1000" s="6" t="s">
        <v>1654</v>
      </c>
    </row>
    <row r="1001" ht="15.75" customHeight="1">
      <c r="A1001" s="150">
        <v>43433.0</v>
      </c>
      <c r="B1001" s="151" t="s">
        <v>3459</v>
      </c>
      <c r="C1001" s="151" t="s">
        <v>3460</v>
      </c>
      <c r="D1001" s="151">
        <f>+2348033710654</f>
        <v>2348033710654</v>
      </c>
      <c r="F1001" s="6" t="s">
        <v>97</v>
      </c>
      <c r="G1001" s="6" t="s">
        <v>1654</v>
      </c>
    </row>
    <row r="1002" ht="15.75" customHeight="1">
      <c r="A1002" s="150">
        <v>43433.0</v>
      </c>
      <c r="B1002" s="151" t="s">
        <v>3461</v>
      </c>
      <c r="C1002" s="151" t="s">
        <v>3462</v>
      </c>
      <c r="D1002" s="151">
        <f>+2348033575179</f>
        <v>2348033575179</v>
      </c>
      <c r="F1002" s="6" t="s">
        <v>97</v>
      </c>
      <c r="G1002" s="6" t="s">
        <v>1654</v>
      </c>
    </row>
    <row r="1003" ht="15.75" customHeight="1">
      <c r="A1003" s="150">
        <v>43433.0</v>
      </c>
      <c r="B1003" s="151" t="s">
        <v>3463</v>
      </c>
      <c r="C1003" s="151" t="s">
        <v>3464</v>
      </c>
      <c r="D1003" s="151">
        <f>+2348137780437</f>
        <v>2348137780437</v>
      </c>
      <c r="F1003" s="6" t="s">
        <v>97</v>
      </c>
      <c r="G1003" s="6" t="s">
        <v>1654</v>
      </c>
    </row>
    <row r="1004" ht="15.75" customHeight="1">
      <c r="A1004" s="150">
        <v>43433.0</v>
      </c>
      <c r="B1004" s="151" t="s">
        <v>3465</v>
      </c>
      <c r="C1004" s="151" t="s">
        <v>3466</v>
      </c>
      <c r="D1004" s="151">
        <f>+2348033588880</f>
        <v>2348033588880</v>
      </c>
      <c r="F1004" s="6" t="s">
        <v>97</v>
      </c>
      <c r="G1004" s="6" t="s">
        <v>1654</v>
      </c>
    </row>
    <row r="1005" ht="15.75" customHeight="1">
      <c r="A1005" s="150">
        <v>43433.0</v>
      </c>
      <c r="B1005" s="151" t="s">
        <v>3467</v>
      </c>
      <c r="C1005" s="151" t="s">
        <v>3468</v>
      </c>
      <c r="D1005" s="151">
        <f>+2347065718004</f>
        <v>2347065718004</v>
      </c>
      <c r="F1005" s="6" t="s">
        <v>97</v>
      </c>
      <c r="G1005" s="6" t="s">
        <v>1654</v>
      </c>
    </row>
    <row r="1006" ht="15.75" customHeight="1">
      <c r="A1006" s="150">
        <v>43433.0</v>
      </c>
      <c r="B1006" s="151" t="s">
        <v>3469</v>
      </c>
      <c r="C1006" s="151" t="s">
        <v>3470</v>
      </c>
      <c r="D1006" s="151">
        <f>+2348182830000</f>
        <v>2348182830000</v>
      </c>
      <c r="F1006" s="6" t="s">
        <v>97</v>
      </c>
      <c r="G1006" s="6" t="s">
        <v>1654</v>
      </c>
    </row>
    <row r="1007" ht="15.75" customHeight="1">
      <c r="A1007" s="150">
        <v>43433.0</v>
      </c>
      <c r="B1007" s="151" t="s">
        <v>3471</v>
      </c>
      <c r="C1007" s="151" t="s">
        <v>3472</v>
      </c>
      <c r="D1007" s="151">
        <f>+2348034507591</f>
        <v>2348034507591</v>
      </c>
      <c r="F1007" s="6" t="s">
        <v>97</v>
      </c>
      <c r="G1007" s="6" t="s">
        <v>1654</v>
      </c>
    </row>
    <row r="1008" ht="15.75" customHeight="1">
      <c r="A1008" s="150">
        <v>43433.0</v>
      </c>
      <c r="B1008" s="151" t="s">
        <v>3473</v>
      </c>
      <c r="C1008" s="151" t="s">
        <v>3474</v>
      </c>
      <c r="D1008" s="151">
        <f>+2348034742402</f>
        <v>2348034742402</v>
      </c>
      <c r="F1008" s="6" t="s">
        <v>97</v>
      </c>
      <c r="G1008" s="6" t="s">
        <v>1654</v>
      </c>
    </row>
    <row r="1009" ht="15.75" customHeight="1">
      <c r="A1009" s="150">
        <v>43433.0</v>
      </c>
      <c r="B1009" s="151" t="s">
        <v>3475</v>
      </c>
      <c r="C1009" s="151" t="s">
        <v>3476</v>
      </c>
      <c r="D1009" s="151">
        <f>+2348037811195</f>
        <v>2348037811195</v>
      </c>
      <c r="F1009" s="6" t="s">
        <v>97</v>
      </c>
      <c r="G1009" s="6" t="s">
        <v>1654</v>
      </c>
    </row>
    <row r="1010" ht="15.75" customHeight="1">
      <c r="A1010" s="150">
        <v>43433.0</v>
      </c>
      <c r="B1010" s="151" t="s">
        <v>3477</v>
      </c>
      <c r="C1010" s="151" t="s">
        <v>3478</v>
      </c>
      <c r="D1010" s="151">
        <f>+2347089200671</f>
        <v>2347089200671</v>
      </c>
      <c r="F1010" s="6" t="s">
        <v>97</v>
      </c>
      <c r="G1010" s="6" t="s">
        <v>1654</v>
      </c>
    </row>
    <row r="1011" ht="15.75" customHeight="1">
      <c r="A1011" s="150">
        <v>43433.0</v>
      </c>
      <c r="B1011" s="151" t="s">
        <v>3479</v>
      </c>
      <c r="C1011" s="151" t="s">
        <v>3480</v>
      </c>
      <c r="D1011" s="151">
        <f>+2348169592675</f>
        <v>2348169592675</v>
      </c>
      <c r="F1011" s="6" t="s">
        <v>97</v>
      </c>
      <c r="G1011" s="6" t="s">
        <v>1654</v>
      </c>
    </row>
    <row r="1012" ht="15.75" customHeight="1">
      <c r="A1012" s="150">
        <v>43433.0</v>
      </c>
      <c r="B1012" s="151" t="s">
        <v>3481</v>
      </c>
      <c r="C1012" s="151" t="s">
        <v>3482</v>
      </c>
      <c r="D1012" s="151">
        <f>+2348088579901</f>
        <v>2348088579901</v>
      </c>
      <c r="F1012" s="6" t="s">
        <v>97</v>
      </c>
      <c r="G1012" s="6" t="s">
        <v>1654</v>
      </c>
    </row>
    <row r="1013" ht="15.75" customHeight="1">
      <c r="A1013" s="150">
        <v>43433.0</v>
      </c>
      <c r="B1013" s="151" t="s">
        <v>3483</v>
      </c>
      <c r="C1013" s="151" t="s">
        <v>3484</v>
      </c>
      <c r="D1013" s="151">
        <f>+2347061649278</f>
        <v>2347061649278</v>
      </c>
      <c r="F1013" s="6" t="s">
        <v>97</v>
      </c>
      <c r="G1013" s="6" t="s">
        <v>1654</v>
      </c>
    </row>
    <row r="1014" ht="15.75" customHeight="1">
      <c r="A1014" s="150">
        <v>43433.0</v>
      </c>
      <c r="B1014" s="151" t="s">
        <v>3485</v>
      </c>
      <c r="C1014" s="151" t="s">
        <v>3486</v>
      </c>
      <c r="D1014" s="151">
        <f>+2349030122565</f>
        <v>2349030122565</v>
      </c>
      <c r="F1014" s="6" t="s">
        <v>97</v>
      </c>
      <c r="G1014" s="6" t="s">
        <v>1654</v>
      </c>
    </row>
    <row r="1015" ht="15.75" customHeight="1">
      <c r="A1015" s="150">
        <v>43433.0</v>
      </c>
      <c r="B1015" s="151" t="s">
        <v>3487</v>
      </c>
      <c r="C1015" s="151" t="s">
        <v>3488</v>
      </c>
      <c r="D1015" s="151">
        <f>+2348108805351</f>
        <v>2348108805351</v>
      </c>
      <c r="F1015" s="6" t="s">
        <v>97</v>
      </c>
      <c r="G1015" s="6" t="s">
        <v>1654</v>
      </c>
    </row>
    <row r="1016" ht="15.75" customHeight="1">
      <c r="A1016" s="150">
        <v>43433.0</v>
      </c>
      <c r="B1016" s="151" t="s">
        <v>3489</v>
      </c>
      <c r="C1016" s="151" t="s">
        <v>3490</v>
      </c>
      <c r="D1016" s="151">
        <f>+2348029203618</f>
        <v>2348029203618</v>
      </c>
      <c r="F1016" s="6" t="s">
        <v>97</v>
      </c>
      <c r="G1016" s="6" t="s">
        <v>1654</v>
      </c>
    </row>
    <row r="1017" ht="15.75" customHeight="1">
      <c r="A1017" s="155">
        <v>6763897.0</v>
      </c>
      <c r="B1017" s="154" t="s">
        <v>3491</v>
      </c>
      <c r="C1017" s="154" t="s">
        <v>3492</v>
      </c>
      <c r="D1017" s="154">
        <f>+2348036117805</f>
        <v>2348036117805</v>
      </c>
      <c r="F1017" s="6" t="s">
        <v>97</v>
      </c>
      <c r="G1017" s="6" t="s">
        <v>1654</v>
      </c>
    </row>
    <row r="1018" ht="15.75" customHeight="1">
      <c r="A1018" s="155">
        <v>6763897.0</v>
      </c>
      <c r="B1018" s="151" t="s">
        <v>3493</v>
      </c>
      <c r="C1018" s="151" t="s">
        <v>3494</v>
      </c>
      <c r="D1018" s="151">
        <f>+2347033946564</f>
        <v>2347033946564</v>
      </c>
      <c r="F1018" s="6" t="s">
        <v>97</v>
      </c>
      <c r="G1018" s="6" t="s">
        <v>1654</v>
      </c>
    </row>
    <row r="1019" ht="15.75" customHeight="1">
      <c r="A1019" s="155">
        <v>6763897.0</v>
      </c>
      <c r="B1019" s="151" t="s">
        <v>3495</v>
      </c>
      <c r="C1019" s="151" t="s">
        <v>3496</v>
      </c>
      <c r="D1019" s="151">
        <f>+2349020392587</f>
        <v>2349020392587</v>
      </c>
      <c r="F1019" s="6" t="s">
        <v>97</v>
      </c>
      <c r="G1019" s="6" t="s">
        <v>1654</v>
      </c>
    </row>
    <row r="1020" ht="15.75" customHeight="1">
      <c r="A1020" s="155">
        <v>6763897.0</v>
      </c>
      <c r="B1020" s="151" t="s">
        <v>3497</v>
      </c>
      <c r="C1020" s="151" t="s">
        <v>3498</v>
      </c>
      <c r="D1020" s="151">
        <f>+2348039694491</f>
        <v>2348039694491</v>
      </c>
      <c r="F1020" s="6" t="s">
        <v>97</v>
      </c>
      <c r="G1020" s="6" t="s">
        <v>1654</v>
      </c>
    </row>
    <row r="1021" ht="15.75" customHeight="1">
      <c r="A1021" s="155">
        <v>6763897.0</v>
      </c>
      <c r="B1021" s="151" t="s">
        <v>3499</v>
      </c>
      <c r="C1021" s="151" t="s">
        <v>3500</v>
      </c>
      <c r="D1021" s="151">
        <f>+2348033630650</f>
        <v>2348033630650</v>
      </c>
      <c r="F1021" s="6" t="s">
        <v>97</v>
      </c>
      <c r="G1021" s="6" t="s">
        <v>1654</v>
      </c>
    </row>
    <row r="1022" ht="15.75" customHeight="1">
      <c r="A1022" s="155">
        <v>6763897.0</v>
      </c>
      <c r="B1022" s="151" t="s">
        <v>3501</v>
      </c>
      <c r="C1022" s="151" t="s">
        <v>3502</v>
      </c>
      <c r="D1022" s="151">
        <f>+2348051439146</f>
        <v>2348051439146</v>
      </c>
      <c r="F1022" s="6" t="s">
        <v>97</v>
      </c>
      <c r="G1022" s="6" t="s">
        <v>1654</v>
      </c>
    </row>
    <row r="1023" ht="15.75" customHeight="1">
      <c r="A1023" s="155">
        <v>6763897.0</v>
      </c>
      <c r="B1023" s="151" t="s">
        <v>3503</v>
      </c>
      <c r="C1023" s="151" t="s">
        <v>3504</v>
      </c>
      <c r="D1023" s="151">
        <f>+218923812763</f>
        <v>218923812763</v>
      </c>
      <c r="F1023" s="6" t="s">
        <v>97</v>
      </c>
      <c r="G1023" s="6" t="s">
        <v>1654</v>
      </c>
    </row>
    <row r="1024" ht="15.75" customHeight="1">
      <c r="A1024" s="155">
        <v>6763897.0</v>
      </c>
      <c r="B1024" s="151" t="s">
        <v>3505</v>
      </c>
      <c r="C1024" s="151" t="s">
        <v>3506</v>
      </c>
      <c r="D1024" s="151">
        <f>+2348033842159</f>
        <v>2348033842159</v>
      </c>
      <c r="F1024" s="6" t="s">
        <v>97</v>
      </c>
      <c r="G1024" s="6" t="s">
        <v>1654</v>
      </c>
    </row>
    <row r="1025" ht="15.75" customHeight="1">
      <c r="A1025" s="155">
        <v>6763897.0</v>
      </c>
      <c r="B1025" s="151" t="s">
        <v>3507</v>
      </c>
      <c r="C1025" s="151" t="s">
        <v>3508</v>
      </c>
      <c r="D1025" s="151">
        <f>+2348130312113</f>
        <v>2348130312113</v>
      </c>
      <c r="F1025" s="6" t="s">
        <v>97</v>
      </c>
      <c r="G1025" s="6" t="s">
        <v>1654</v>
      </c>
    </row>
    <row r="1026" ht="15.75" customHeight="1">
      <c r="A1026" s="155">
        <v>6763897.0</v>
      </c>
      <c r="B1026" s="151" t="s">
        <v>3509</v>
      </c>
      <c r="C1026" s="151" t="s">
        <v>3510</v>
      </c>
      <c r="D1026" s="151">
        <f>+2348039413803</f>
        <v>2348039413803</v>
      </c>
      <c r="F1026" s="6" t="s">
        <v>97</v>
      </c>
      <c r="G1026" s="6" t="s">
        <v>1654</v>
      </c>
    </row>
    <row r="1027" ht="15.75" customHeight="1">
      <c r="A1027" s="155">
        <v>6763897.0</v>
      </c>
      <c r="B1027" s="151" t="s">
        <v>3511</v>
      </c>
      <c r="C1027" s="151" t="s">
        <v>3512</v>
      </c>
      <c r="D1027" s="151">
        <f>+2348067020507</f>
        <v>2348067020507</v>
      </c>
      <c r="F1027" s="6" t="s">
        <v>97</v>
      </c>
      <c r="G1027" s="6" t="s">
        <v>1654</v>
      </c>
    </row>
    <row r="1028" ht="15.75" customHeight="1">
      <c r="A1028" s="155">
        <v>6763897.0</v>
      </c>
      <c r="B1028" s="151" t="s">
        <v>3513</v>
      </c>
      <c r="C1028" s="151" t="s">
        <v>3514</v>
      </c>
      <c r="D1028" s="151">
        <f>+2347033873575</f>
        <v>2347033873575</v>
      </c>
      <c r="F1028" s="6" t="s">
        <v>97</v>
      </c>
      <c r="G1028" s="6" t="s">
        <v>1654</v>
      </c>
    </row>
    <row r="1029" ht="15.75" customHeight="1">
      <c r="A1029" s="155">
        <v>6763897.0</v>
      </c>
      <c r="B1029" s="151" t="s">
        <v>3515</v>
      </c>
      <c r="C1029" s="151" t="s">
        <v>3516</v>
      </c>
      <c r="D1029" s="151">
        <f>+2348037824742</f>
        <v>2348037824742</v>
      </c>
      <c r="F1029" s="6" t="s">
        <v>97</v>
      </c>
      <c r="G1029" s="6" t="s">
        <v>1654</v>
      </c>
    </row>
    <row r="1030" ht="15.75" customHeight="1">
      <c r="A1030" s="155">
        <v>6763897.0</v>
      </c>
      <c r="B1030" s="151" t="s">
        <v>3517</v>
      </c>
      <c r="C1030" s="151" t="s">
        <v>3518</v>
      </c>
      <c r="D1030" s="151">
        <f>+2348032405073</f>
        <v>2348032405073</v>
      </c>
      <c r="F1030" s="6" t="s">
        <v>97</v>
      </c>
      <c r="G1030" s="6" t="s">
        <v>1654</v>
      </c>
    </row>
    <row r="1031" ht="15.75" customHeight="1">
      <c r="A1031" s="155">
        <v>6763897.0</v>
      </c>
      <c r="B1031" s="151" t="s">
        <v>3519</v>
      </c>
      <c r="C1031" s="151" t="s">
        <v>3520</v>
      </c>
      <c r="D1031" s="151">
        <f>+2348098407979</f>
        <v>2348098407979</v>
      </c>
      <c r="F1031" s="6" t="s">
        <v>97</v>
      </c>
      <c r="G1031" s="6" t="s">
        <v>1654</v>
      </c>
    </row>
    <row r="1032" ht="15.75" customHeight="1">
      <c r="A1032" s="155">
        <v>6763897.0</v>
      </c>
      <c r="B1032" s="151" t="s">
        <v>3521</v>
      </c>
      <c r="C1032" s="151" t="s">
        <v>3522</v>
      </c>
      <c r="D1032" s="151">
        <f>+2348096474897</f>
        <v>2348096474897</v>
      </c>
      <c r="F1032" s="6" t="s">
        <v>97</v>
      </c>
      <c r="G1032" s="6" t="s">
        <v>1654</v>
      </c>
    </row>
    <row r="1033" ht="15.75" customHeight="1">
      <c r="A1033" s="155">
        <v>6763897.0</v>
      </c>
      <c r="B1033" s="151" t="s">
        <v>3523</v>
      </c>
      <c r="C1033" s="151" t="s">
        <v>3524</v>
      </c>
      <c r="D1033" s="151">
        <f>+2348033119569</f>
        <v>2348033119569</v>
      </c>
      <c r="F1033" s="6" t="s">
        <v>97</v>
      </c>
      <c r="G1033" s="6" t="s">
        <v>1654</v>
      </c>
    </row>
    <row r="1034" ht="15.75" customHeight="1">
      <c r="A1034" s="155">
        <v>6763897.0</v>
      </c>
      <c r="B1034" s="151" t="s">
        <v>3525</v>
      </c>
      <c r="C1034" s="151" t="s">
        <v>3526</v>
      </c>
      <c r="D1034" s="151">
        <f>+2348168827990</f>
        <v>2348168827990</v>
      </c>
      <c r="F1034" s="6" t="s">
        <v>97</v>
      </c>
      <c r="G1034" s="6" t="s">
        <v>1654</v>
      </c>
    </row>
    <row r="1035" ht="15.75" customHeight="1">
      <c r="A1035" s="155">
        <v>6763897.0</v>
      </c>
      <c r="B1035" s="151" t="s">
        <v>3527</v>
      </c>
      <c r="C1035" s="151" t="s">
        <v>3528</v>
      </c>
      <c r="D1035" s="151">
        <f>+2348105560396</f>
        <v>2348105560396</v>
      </c>
      <c r="F1035" s="6" t="s">
        <v>97</v>
      </c>
      <c r="G1035" s="6" t="s">
        <v>1654</v>
      </c>
    </row>
    <row r="1036" ht="15.75" customHeight="1">
      <c r="A1036" s="155">
        <v>6763897.0</v>
      </c>
      <c r="B1036" s="151" t="s">
        <v>3529</v>
      </c>
      <c r="C1036" s="151" t="s">
        <v>3530</v>
      </c>
      <c r="D1036" s="151">
        <f>+2348051730552</f>
        <v>2348051730552</v>
      </c>
      <c r="F1036" s="6" t="s">
        <v>97</v>
      </c>
      <c r="G1036" s="6" t="s">
        <v>1654</v>
      </c>
    </row>
    <row r="1037" ht="15.75" customHeight="1">
      <c r="A1037" s="155">
        <v>6763897.0</v>
      </c>
      <c r="B1037" s="151" t="s">
        <v>3531</v>
      </c>
      <c r="C1037" s="151" t="s">
        <v>3532</v>
      </c>
      <c r="D1037" s="151">
        <f>+2348067576374</f>
        <v>2348067576374</v>
      </c>
      <c r="F1037" s="6" t="s">
        <v>97</v>
      </c>
      <c r="G1037" s="6" t="s">
        <v>1654</v>
      </c>
    </row>
    <row r="1038" ht="15.75" customHeight="1">
      <c r="A1038" s="155">
        <v>6763897.0</v>
      </c>
      <c r="B1038" s="151" t="s">
        <v>3533</v>
      </c>
      <c r="C1038" s="151" t="s">
        <v>3534</v>
      </c>
      <c r="D1038" s="151">
        <f>+2348150521893</f>
        <v>2348150521893</v>
      </c>
      <c r="F1038" s="6" t="s">
        <v>97</v>
      </c>
      <c r="G1038" s="6" t="s">
        <v>1654</v>
      </c>
    </row>
    <row r="1039" ht="15.75" customHeight="1">
      <c r="A1039" s="155">
        <v>6763897.0</v>
      </c>
      <c r="B1039" s="151" t="s">
        <v>3535</v>
      </c>
      <c r="C1039" s="151" t="s">
        <v>3536</v>
      </c>
      <c r="D1039" s="151">
        <f>+2348069492865</f>
        <v>2348069492865</v>
      </c>
      <c r="F1039" s="6" t="s">
        <v>97</v>
      </c>
      <c r="G1039" s="6" t="s">
        <v>1654</v>
      </c>
    </row>
    <row r="1040" ht="15.75" customHeight="1">
      <c r="A1040" s="155">
        <v>6763897.0</v>
      </c>
      <c r="B1040" s="151" t="s">
        <v>3537</v>
      </c>
      <c r="C1040" s="151" t="s">
        <v>3538</v>
      </c>
      <c r="D1040" s="151">
        <f>+2348030490049</f>
        <v>2348030490049</v>
      </c>
      <c r="F1040" s="6" t="s">
        <v>97</v>
      </c>
      <c r="G1040" s="6" t="s">
        <v>1654</v>
      </c>
    </row>
    <row r="1041" ht="15.75" customHeight="1">
      <c r="A1041" s="155">
        <v>6763897.0</v>
      </c>
      <c r="B1041" s="151" t="s">
        <v>3539</v>
      </c>
      <c r="C1041" s="151" t="s">
        <v>3540</v>
      </c>
      <c r="D1041" s="151">
        <f>+2348183398192</f>
        <v>2348183398192</v>
      </c>
      <c r="F1041" s="6" t="s">
        <v>97</v>
      </c>
      <c r="G1041" s="6" t="s">
        <v>1654</v>
      </c>
    </row>
    <row r="1042" ht="15.75" customHeight="1">
      <c r="A1042" s="155">
        <v>6763897.0</v>
      </c>
      <c r="B1042" s="151" t="s">
        <v>3541</v>
      </c>
      <c r="C1042" s="151" t="s">
        <v>3542</v>
      </c>
      <c r="D1042" s="151">
        <f>+2348062860878</f>
        <v>2348062860878</v>
      </c>
      <c r="F1042" s="6" t="s">
        <v>97</v>
      </c>
      <c r="G1042" s="6" t="s">
        <v>1654</v>
      </c>
    </row>
    <row r="1043" ht="15.75" customHeight="1">
      <c r="A1043" s="155">
        <v>6763897.0</v>
      </c>
      <c r="B1043" s="151" t="s">
        <v>3543</v>
      </c>
      <c r="C1043" s="151" t="s">
        <v>3544</v>
      </c>
      <c r="D1043" s="151">
        <f>+2348034717322</f>
        <v>2348034717322</v>
      </c>
      <c r="F1043" s="6" t="s">
        <v>97</v>
      </c>
      <c r="G1043" s="6" t="s">
        <v>1654</v>
      </c>
    </row>
    <row r="1044" ht="15.75" customHeight="1">
      <c r="A1044" s="155">
        <v>6763897.0</v>
      </c>
      <c r="B1044" s="151" t="s">
        <v>3545</v>
      </c>
      <c r="C1044" s="151" t="s">
        <v>3546</v>
      </c>
      <c r="D1044" s="151">
        <f>+2348063173111</f>
        <v>2348063173111</v>
      </c>
      <c r="F1044" s="6" t="s">
        <v>97</v>
      </c>
      <c r="G1044" s="6" t="s">
        <v>1654</v>
      </c>
    </row>
    <row r="1045" ht="15.75" customHeight="1">
      <c r="A1045" s="155">
        <v>6763897.0</v>
      </c>
      <c r="B1045" s="151" t="s">
        <v>3547</v>
      </c>
      <c r="C1045" s="151" t="s">
        <v>3548</v>
      </c>
      <c r="D1045" s="151">
        <f>+2347033071137</f>
        <v>2347033071137</v>
      </c>
      <c r="F1045" s="6" t="s">
        <v>97</v>
      </c>
      <c r="G1045" s="6" t="s">
        <v>1654</v>
      </c>
    </row>
    <row r="1046" ht="15.75" customHeight="1">
      <c r="A1046" s="155">
        <v>6763897.0</v>
      </c>
      <c r="B1046" s="151" t="s">
        <v>3549</v>
      </c>
      <c r="C1046" s="151" t="s">
        <v>3550</v>
      </c>
      <c r="D1046" s="151">
        <f>+2348133772488</f>
        <v>2348133772488</v>
      </c>
      <c r="F1046" s="6" t="s">
        <v>97</v>
      </c>
      <c r="G1046" s="6" t="s">
        <v>1654</v>
      </c>
    </row>
    <row r="1047" ht="15.75" customHeight="1">
      <c r="A1047" s="155">
        <v>6763897.0</v>
      </c>
      <c r="B1047" s="151" t="s">
        <v>3551</v>
      </c>
      <c r="C1047" s="151" t="s">
        <v>3552</v>
      </c>
      <c r="D1047" s="151">
        <f>+2348068068915</f>
        <v>2348068068915</v>
      </c>
      <c r="F1047" s="6" t="s">
        <v>97</v>
      </c>
      <c r="G1047" s="6" t="s">
        <v>1654</v>
      </c>
    </row>
    <row r="1048" ht="15.75" customHeight="1">
      <c r="A1048" s="155">
        <v>6763897.0</v>
      </c>
      <c r="B1048" s="151" t="s">
        <v>3553</v>
      </c>
      <c r="C1048" s="151" t="s">
        <v>3554</v>
      </c>
      <c r="D1048" s="151">
        <f>+2348037105552</f>
        <v>2348037105552</v>
      </c>
      <c r="F1048" s="6" t="s">
        <v>97</v>
      </c>
      <c r="G1048" s="6" t="s">
        <v>1654</v>
      </c>
    </row>
    <row r="1049" ht="15.75" customHeight="1">
      <c r="A1049" s="155">
        <v>6763897.0</v>
      </c>
      <c r="B1049" s="151" t="s">
        <v>3555</v>
      </c>
      <c r="C1049" s="151" t="s">
        <v>3556</v>
      </c>
      <c r="D1049" s="151">
        <f>+2348026850700</f>
        <v>2348026850700</v>
      </c>
      <c r="F1049" s="6" t="s">
        <v>97</v>
      </c>
      <c r="G1049" s="6" t="s">
        <v>1654</v>
      </c>
    </row>
    <row r="1050" ht="15.75" customHeight="1">
      <c r="A1050" s="155">
        <v>6763897.0</v>
      </c>
      <c r="B1050" s="151" t="s">
        <v>3557</v>
      </c>
      <c r="C1050" s="151" t="s">
        <v>3558</v>
      </c>
      <c r="D1050" s="151">
        <f>+2348034205484</f>
        <v>2348034205484</v>
      </c>
      <c r="F1050" s="6" t="s">
        <v>97</v>
      </c>
      <c r="G1050" s="6" t="s">
        <v>1654</v>
      </c>
    </row>
    <row r="1051" ht="15.75" customHeight="1">
      <c r="A1051" s="155">
        <v>6763897.0</v>
      </c>
      <c r="B1051" s="151" t="s">
        <v>3559</v>
      </c>
      <c r="C1051" s="151" t="s">
        <v>3560</v>
      </c>
      <c r="D1051" s="151">
        <f>+2348028708799</f>
        <v>2348028708799</v>
      </c>
      <c r="F1051" s="6" t="s">
        <v>97</v>
      </c>
      <c r="G1051" s="6" t="s">
        <v>1654</v>
      </c>
    </row>
    <row r="1052" ht="15.75" customHeight="1">
      <c r="A1052" s="155">
        <v>6763897.0</v>
      </c>
      <c r="B1052" s="151" t="s">
        <v>3561</v>
      </c>
      <c r="C1052" s="151" t="s">
        <v>3562</v>
      </c>
      <c r="D1052" s="151">
        <f>+2348036450043</f>
        <v>2348036450043</v>
      </c>
      <c r="F1052" s="6" t="s">
        <v>97</v>
      </c>
      <c r="G1052" s="6" t="s">
        <v>1654</v>
      </c>
    </row>
    <row r="1053" ht="15.75" customHeight="1">
      <c r="A1053" s="155">
        <v>6763897.0</v>
      </c>
      <c r="B1053" s="151" t="s">
        <v>3563</v>
      </c>
      <c r="C1053" s="151" t="s">
        <v>3564</v>
      </c>
      <c r="D1053" s="151">
        <f>+2348165826870</f>
        <v>2348165826870</v>
      </c>
      <c r="F1053" s="6" t="s">
        <v>97</v>
      </c>
      <c r="G1053" s="6" t="s">
        <v>1654</v>
      </c>
    </row>
    <row r="1054" ht="15.75" customHeight="1">
      <c r="A1054" s="155">
        <v>6763897.0</v>
      </c>
      <c r="B1054" s="151" t="s">
        <v>3565</v>
      </c>
      <c r="C1054" s="151" t="s">
        <v>3566</v>
      </c>
      <c r="D1054" s="151">
        <f>+2348068731976</f>
        <v>2348068731976</v>
      </c>
      <c r="F1054" s="6" t="s">
        <v>97</v>
      </c>
      <c r="G1054" s="6" t="s">
        <v>1654</v>
      </c>
    </row>
    <row r="1055" ht="15.75" customHeight="1">
      <c r="A1055" s="155">
        <v>6763897.0</v>
      </c>
      <c r="B1055" s="151" t="s">
        <v>3567</v>
      </c>
      <c r="C1055" s="151" t="s">
        <v>3568</v>
      </c>
      <c r="D1055" s="151">
        <f>+2348033422114</f>
        <v>2348033422114</v>
      </c>
      <c r="F1055" s="6" t="s">
        <v>97</v>
      </c>
      <c r="G1055" s="6" t="s">
        <v>1654</v>
      </c>
    </row>
    <row r="1056" ht="15.75" customHeight="1">
      <c r="A1056" s="155">
        <v>6763897.0</v>
      </c>
      <c r="B1056" s="151" t="s">
        <v>3569</v>
      </c>
      <c r="C1056" s="151" t="s">
        <v>3570</v>
      </c>
      <c r="D1056" s="151">
        <f>+2348038078440</f>
        <v>2348038078440</v>
      </c>
      <c r="F1056" s="6" t="s">
        <v>97</v>
      </c>
      <c r="G1056" s="6" t="s">
        <v>1654</v>
      </c>
    </row>
    <row r="1057" ht="15.75" customHeight="1">
      <c r="A1057" s="155">
        <v>6763897.0</v>
      </c>
      <c r="B1057" s="151" t="s">
        <v>3571</v>
      </c>
      <c r="C1057" s="151" t="s">
        <v>3572</v>
      </c>
      <c r="D1057" s="151">
        <f>+2348060568559</f>
        <v>2348060568559</v>
      </c>
      <c r="F1057" s="6" t="s">
        <v>97</v>
      </c>
      <c r="G1057" s="6" t="s">
        <v>1654</v>
      </c>
    </row>
    <row r="1058" ht="15.75" customHeight="1">
      <c r="A1058" s="155">
        <v>6763897.0</v>
      </c>
      <c r="B1058" s="151" t="s">
        <v>3573</v>
      </c>
      <c r="C1058" s="151" t="s">
        <v>3574</v>
      </c>
      <c r="D1058" s="151">
        <f>+2348102517471</f>
        <v>2348102517471</v>
      </c>
      <c r="F1058" s="6" t="s">
        <v>97</v>
      </c>
      <c r="G1058" s="6" t="s">
        <v>1654</v>
      </c>
    </row>
    <row r="1059" ht="15.75" customHeight="1">
      <c r="A1059" s="155">
        <v>6763897.0</v>
      </c>
      <c r="B1059" s="151" t="s">
        <v>3575</v>
      </c>
      <c r="C1059" s="151" t="s">
        <v>3576</v>
      </c>
      <c r="D1059" s="151">
        <f>+2348060152949</f>
        <v>2348060152949</v>
      </c>
      <c r="F1059" s="6" t="s">
        <v>97</v>
      </c>
      <c r="G1059" s="6" t="s">
        <v>1654</v>
      </c>
    </row>
    <row r="1060" ht="15.75" customHeight="1">
      <c r="A1060" s="155">
        <v>6763897.0</v>
      </c>
      <c r="B1060" s="151" t="s">
        <v>3577</v>
      </c>
      <c r="C1060" s="151" t="s">
        <v>3578</v>
      </c>
      <c r="D1060" s="151">
        <f>+2348060566696</f>
        <v>2348060566696</v>
      </c>
      <c r="F1060" s="6" t="s">
        <v>97</v>
      </c>
      <c r="G1060" s="6" t="s">
        <v>1654</v>
      </c>
    </row>
    <row r="1061" ht="15.75" customHeight="1">
      <c r="A1061" s="155">
        <v>6763897.0</v>
      </c>
      <c r="B1061" s="151" t="s">
        <v>2659</v>
      </c>
      <c r="C1061" s="151" t="s">
        <v>2660</v>
      </c>
      <c r="D1061" s="151">
        <f>+2348039779429</f>
        <v>2348039779429</v>
      </c>
      <c r="F1061" s="6" t="s">
        <v>97</v>
      </c>
      <c r="G1061" s="6" t="s">
        <v>1654</v>
      </c>
    </row>
    <row r="1062" ht="15.75" customHeight="1">
      <c r="A1062" s="155">
        <v>6763897.0</v>
      </c>
      <c r="B1062" s="151" t="s">
        <v>3579</v>
      </c>
      <c r="C1062" s="151" t="s">
        <v>3580</v>
      </c>
      <c r="D1062" s="151">
        <f>+2348037502169</f>
        <v>2348037502169</v>
      </c>
      <c r="F1062" s="6" t="s">
        <v>97</v>
      </c>
      <c r="G1062" s="6" t="s">
        <v>1654</v>
      </c>
    </row>
    <row r="1063" ht="15.75" customHeight="1">
      <c r="A1063" s="155">
        <v>6763897.0</v>
      </c>
      <c r="B1063" s="151" t="s">
        <v>3581</v>
      </c>
      <c r="C1063" s="151" t="s">
        <v>3582</v>
      </c>
      <c r="D1063" s="151">
        <f>+2347064193082</f>
        <v>2347064193082</v>
      </c>
      <c r="F1063" s="6" t="s">
        <v>97</v>
      </c>
      <c r="G1063" s="6" t="s">
        <v>1654</v>
      </c>
    </row>
    <row r="1064" ht="15.75" customHeight="1">
      <c r="A1064" s="155">
        <v>6763897.0</v>
      </c>
      <c r="B1064" s="151" t="s">
        <v>3583</v>
      </c>
      <c r="C1064" s="151" t="s">
        <v>3584</v>
      </c>
      <c r="D1064" s="151">
        <f>+2349020605133</f>
        <v>2349020605133</v>
      </c>
      <c r="F1064" s="6" t="s">
        <v>97</v>
      </c>
      <c r="G1064" s="6" t="s">
        <v>1654</v>
      </c>
    </row>
    <row r="1065" ht="15.75" customHeight="1">
      <c r="A1065" s="155">
        <v>6763897.0</v>
      </c>
      <c r="B1065" s="151" t="s">
        <v>3585</v>
      </c>
      <c r="C1065" s="151" t="s">
        <v>3586</v>
      </c>
      <c r="D1065" s="151">
        <f>+2347035316014</f>
        <v>2347035316014</v>
      </c>
      <c r="F1065" s="6" t="s">
        <v>97</v>
      </c>
      <c r="G1065" s="6" t="s">
        <v>1654</v>
      </c>
    </row>
    <row r="1066" ht="15.75" customHeight="1">
      <c r="A1066" s="155">
        <v>6763897.0</v>
      </c>
      <c r="B1066" s="151" t="s">
        <v>3587</v>
      </c>
      <c r="C1066" s="151" t="s">
        <v>3588</v>
      </c>
      <c r="D1066" s="151">
        <f>+2347063494046</f>
        <v>2347063494046</v>
      </c>
      <c r="F1066" s="6" t="s">
        <v>97</v>
      </c>
      <c r="G1066" s="6" t="s">
        <v>1654</v>
      </c>
    </row>
    <row r="1067" ht="15.75" customHeight="1">
      <c r="A1067" s="155">
        <v>6763897.0</v>
      </c>
      <c r="B1067" s="151" t="s">
        <v>3589</v>
      </c>
      <c r="C1067" s="151" t="s">
        <v>3590</v>
      </c>
      <c r="D1067" s="151">
        <f>+2349090433525</f>
        <v>2349090433525</v>
      </c>
      <c r="F1067" s="6" t="s">
        <v>97</v>
      </c>
      <c r="G1067" s="6" t="s">
        <v>1654</v>
      </c>
    </row>
    <row r="1068" ht="15.75" customHeight="1">
      <c r="A1068" s="155">
        <v>6763897.0</v>
      </c>
      <c r="B1068" s="151" t="s">
        <v>3591</v>
      </c>
      <c r="C1068" s="151" t="s">
        <v>3592</v>
      </c>
      <c r="D1068" s="151">
        <f>+2348023237358</f>
        <v>2348023237358</v>
      </c>
      <c r="F1068" s="6" t="s">
        <v>97</v>
      </c>
      <c r="G1068" s="6" t="s">
        <v>1654</v>
      </c>
    </row>
    <row r="1069" ht="15.75" customHeight="1">
      <c r="A1069" s="155">
        <v>6763897.0</v>
      </c>
      <c r="B1069" s="151" t="s">
        <v>3593</v>
      </c>
      <c r="C1069" s="151" t="s">
        <v>3594</v>
      </c>
      <c r="D1069" s="151">
        <f>+2347030173965</f>
        <v>2347030173965</v>
      </c>
      <c r="F1069" s="6" t="s">
        <v>97</v>
      </c>
      <c r="G1069" s="6" t="s">
        <v>1654</v>
      </c>
    </row>
    <row r="1070" ht="15.75" customHeight="1">
      <c r="A1070" s="155">
        <v>6763897.0</v>
      </c>
      <c r="B1070" s="151" t="s">
        <v>3595</v>
      </c>
      <c r="C1070" s="151" t="s">
        <v>3596</v>
      </c>
      <c r="D1070" s="151">
        <f>+2348056010425</f>
        <v>2348056010425</v>
      </c>
      <c r="F1070" s="6" t="s">
        <v>97</v>
      </c>
      <c r="G1070" s="6" t="s">
        <v>1654</v>
      </c>
    </row>
    <row r="1071" ht="15.75" customHeight="1">
      <c r="A1071" s="155">
        <v>6763897.0</v>
      </c>
      <c r="B1071" s="151" t="s">
        <v>3597</v>
      </c>
      <c r="C1071" s="151" t="s">
        <v>3598</v>
      </c>
      <c r="D1071" s="151">
        <f>+2348134603218</f>
        <v>2348134603218</v>
      </c>
      <c r="F1071" s="6" t="s">
        <v>97</v>
      </c>
      <c r="G1071" s="6" t="s">
        <v>1654</v>
      </c>
    </row>
    <row r="1072" ht="15.75" customHeight="1">
      <c r="A1072" s="155">
        <v>6763897.0</v>
      </c>
      <c r="B1072" s="151" t="s">
        <v>3599</v>
      </c>
      <c r="C1072" s="151" t="s">
        <v>3600</v>
      </c>
      <c r="D1072" s="151">
        <f>+2348025950510</f>
        <v>2348025950510</v>
      </c>
      <c r="F1072" s="6" t="s">
        <v>97</v>
      </c>
      <c r="G1072" s="6" t="s">
        <v>1654</v>
      </c>
    </row>
    <row r="1073" ht="15.75" customHeight="1">
      <c r="A1073" s="155">
        <v>6763897.0</v>
      </c>
      <c r="B1073" s="151" t="s">
        <v>3601</v>
      </c>
      <c r="C1073" s="151" t="s">
        <v>3602</v>
      </c>
      <c r="D1073" s="151">
        <f>+2348060605822</f>
        <v>2348060605822</v>
      </c>
      <c r="F1073" s="6" t="s">
        <v>97</v>
      </c>
      <c r="G1073" s="6" t="s">
        <v>1654</v>
      </c>
    </row>
    <row r="1074" ht="15.75" customHeight="1">
      <c r="A1074" s="155">
        <v>6763897.0</v>
      </c>
      <c r="B1074" s="151" t="s">
        <v>3603</v>
      </c>
      <c r="C1074" s="151" t="s">
        <v>3604</v>
      </c>
      <c r="D1074" s="151">
        <f>+2347037717963</f>
        <v>2347037717963</v>
      </c>
      <c r="F1074" s="6" t="s">
        <v>97</v>
      </c>
      <c r="G1074" s="6" t="s">
        <v>1654</v>
      </c>
    </row>
    <row r="1075" ht="15.75" customHeight="1">
      <c r="A1075" s="155">
        <v>6763897.0</v>
      </c>
      <c r="B1075" s="151" t="s">
        <v>3605</v>
      </c>
      <c r="C1075" s="151" t="s">
        <v>3606</v>
      </c>
      <c r="D1075" s="151">
        <f>+2348033542708</f>
        <v>2348033542708</v>
      </c>
      <c r="F1075" s="6" t="s">
        <v>97</v>
      </c>
      <c r="G1075" s="6" t="s">
        <v>1654</v>
      </c>
    </row>
    <row r="1076" ht="15.75" customHeight="1">
      <c r="A1076" s="155">
        <v>6763897.0</v>
      </c>
      <c r="B1076" s="151" t="s">
        <v>3607</v>
      </c>
      <c r="C1076" s="151" t="s">
        <v>3608</v>
      </c>
      <c r="D1076" s="151">
        <f>+23408038627373</f>
        <v>23408038627373</v>
      </c>
      <c r="F1076" s="6" t="s">
        <v>168</v>
      </c>
      <c r="G1076" s="6" t="s">
        <v>1654</v>
      </c>
    </row>
    <row r="1077" ht="15.75" customHeight="1">
      <c r="A1077" s="155">
        <v>6763897.0</v>
      </c>
      <c r="B1077" s="151" t="s">
        <v>3609</v>
      </c>
      <c r="C1077" s="151" t="s">
        <v>3610</v>
      </c>
      <c r="D1077" s="151">
        <f>+2348035653080</f>
        <v>2348035653080</v>
      </c>
      <c r="F1077" s="6" t="s">
        <v>168</v>
      </c>
      <c r="G1077" s="6" t="s">
        <v>1654</v>
      </c>
    </row>
    <row r="1078" ht="15.75" customHeight="1">
      <c r="A1078" s="155">
        <v>6763897.0</v>
      </c>
      <c r="B1078" s="151" t="s">
        <v>3611</v>
      </c>
      <c r="C1078" s="151" t="s">
        <v>3612</v>
      </c>
      <c r="D1078" s="151">
        <f>+23408139781926</f>
        <v>23408139781926</v>
      </c>
      <c r="F1078" s="6" t="s">
        <v>168</v>
      </c>
      <c r="G1078" s="6" t="s">
        <v>1654</v>
      </c>
    </row>
    <row r="1079" ht="15.75" customHeight="1">
      <c r="A1079" s="155">
        <v>6763897.0</v>
      </c>
      <c r="B1079" s="151" t="s">
        <v>3613</v>
      </c>
      <c r="C1079" s="151" t="s">
        <v>3614</v>
      </c>
      <c r="D1079" s="151">
        <f>+2348034899799</f>
        <v>2348034899799</v>
      </c>
      <c r="F1079" s="6" t="s">
        <v>168</v>
      </c>
      <c r="G1079" s="6" t="s">
        <v>1654</v>
      </c>
    </row>
    <row r="1080" ht="15.75" customHeight="1">
      <c r="A1080" s="155">
        <v>6763897.0</v>
      </c>
      <c r="B1080" s="151" t="s">
        <v>3615</v>
      </c>
      <c r="C1080" s="151" t="s">
        <v>3616</v>
      </c>
      <c r="D1080" s="151">
        <f>+23407066212021</f>
        <v>23407066212021</v>
      </c>
      <c r="F1080" s="6" t="s">
        <v>168</v>
      </c>
      <c r="G1080" s="6" t="s">
        <v>1654</v>
      </c>
    </row>
    <row r="1081" ht="15.75" customHeight="1">
      <c r="A1081" s="155">
        <v>6763897.0</v>
      </c>
      <c r="B1081" s="151" t="s">
        <v>3617</v>
      </c>
      <c r="C1081" s="151" t="s">
        <v>3618</v>
      </c>
      <c r="D1081" s="151">
        <f>+23408033006436</f>
        <v>23408033006436</v>
      </c>
      <c r="F1081" s="6" t="s">
        <v>168</v>
      </c>
      <c r="G1081" s="6" t="s">
        <v>1654</v>
      </c>
    </row>
    <row r="1082" ht="15.75" customHeight="1">
      <c r="A1082" s="155">
        <v>6763897.0</v>
      </c>
      <c r="B1082" s="151" t="s">
        <v>3619</v>
      </c>
      <c r="C1082" s="151" t="s">
        <v>3620</v>
      </c>
      <c r="D1082" s="151">
        <f>+2348033097012</f>
        <v>2348033097012</v>
      </c>
      <c r="F1082" s="6" t="s">
        <v>168</v>
      </c>
      <c r="G1082" s="6" t="s">
        <v>1654</v>
      </c>
    </row>
    <row r="1083" ht="15.75" customHeight="1">
      <c r="A1083" s="155">
        <v>6763897.0</v>
      </c>
      <c r="B1083" s="151" t="s">
        <v>3621</v>
      </c>
      <c r="C1083" s="151" t="s">
        <v>3622</v>
      </c>
      <c r="D1083" s="151">
        <f>+2348069115614</f>
        <v>2348069115614</v>
      </c>
      <c r="F1083" s="6" t="s">
        <v>168</v>
      </c>
      <c r="G1083" s="6" t="s">
        <v>1654</v>
      </c>
    </row>
    <row r="1084" ht="15.75" customHeight="1">
      <c r="A1084" s="155">
        <v>6763897.0</v>
      </c>
      <c r="B1084" s="151" t="s">
        <v>3623</v>
      </c>
      <c r="C1084" s="151" t="s">
        <v>3624</v>
      </c>
      <c r="D1084" s="151">
        <f>+2348187851862</f>
        <v>2348187851862</v>
      </c>
      <c r="F1084" s="6" t="s">
        <v>168</v>
      </c>
      <c r="G1084" s="6" t="s">
        <v>1654</v>
      </c>
    </row>
    <row r="1085" ht="15.75" customHeight="1">
      <c r="A1085" s="155">
        <v>6763897.0</v>
      </c>
      <c r="B1085" s="151" t="s">
        <v>3625</v>
      </c>
      <c r="C1085" s="151" t="s">
        <v>3626</v>
      </c>
      <c r="D1085" s="151">
        <f>+2348182180003</f>
        <v>2348182180003</v>
      </c>
      <c r="F1085" s="6" t="s">
        <v>168</v>
      </c>
      <c r="G1085" s="6" t="s">
        <v>1654</v>
      </c>
    </row>
    <row r="1086" ht="15.75" customHeight="1">
      <c r="A1086" s="155">
        <v>6763897.0</v>
      </c>
      <c r="B1086" s="151" t="s">
        <v>3627</v>
      </c>
      <c r="C1086" s="151" t="s">
        <v>3628</v>
      </c>
      <c r="D1086" s="151">
        <f>+2348109668076</f>
        <v>2348109668076</v>
      </c>
      <c r="F1086" s="6" t="s">
        <v>168</v>
      </c>
      <c r="G1086" s="6" t="s">
        <v>1654</v>
      </c>
    </row>
    <row r="1087" ht="15.75" customHeight="1">
      <c r="A1087" s="155">
        <v>6763897.0</v>
      </c>
      <c r="B1087" s="151" t="s">
        <v>3629</v>
      </c>
      <c r="C1087" s="151" t="s">
        <v>3630</v>
      </c>
      <c r="D1087" s="151">
        <f>+2348032062829</f>
        <v>2348032062829</v>
      </c>
      <c r="F1087" s="6" t="s">
        <v>168</v>
      </c>
      <c r="G1087" s="6" t="s">
        <v>1654</v>
      </c>
    </row>
    <row r="1088" ht="15.75" customHeight="1">
      <c r="A1088" s="155">
        <v>6763897.0</v>
      </c>
      <c r="B1088" s="151" t="s">
        <v>3631</v>
      </c>
      <c r="C1088" s="151" t="s">
        <v>3632</v>
      </c>
      <c r="D1088" s="151">
        <f>+2348038305555</f>
        <v>2348038305555</v>
      </c>
      <c r="F1088" s="6" t="s">
        <v>168</v>
      </c>
      <c r="G1088" s="6" t="s">
        <v>1654</v>
      </c>
    </row>
    <row r="1089" ht="15.75" customHeight="1">
      <c r="A1089" s="155">
        <v>6763897.0</v>
      </c>
      <c r="B1089" s="151" t="s">
        <v>3633</v>
      </c>
      <c r="C1089" s="151" t="s">
        <v>3634</v>
      </c>
      <c r="D1089" s="151">
        <f>+2348065689975</f>
        <v>2348065689975</v>
      </c>
      <c r="F1089" s="6" t="s">
        <v>168</v>
      </c>
      <c r="G1089" s="6" t="s">
        <v>1654</v>
      </c>
    </row>
    <row r="1090" ht="15.75" customHeight="1">
      <c r="A1090" s="155">
        <v>6763897.0</v>
      </c>
      <c r="B1090" s="151" t="s">
        <v>3635</v>
      </c>
      <c r="C1090" s="151" t="s">
        <v>3636</v>
      </c>
      <c r="D1090" s="151">
        <f>+2348022552255</f>
        <v>2348022552255</v>
      </c>
      <c r="F1090" s="6" t="s">
        <v>168</v>
      </c>
      <c r="G1090" s="6" t="s">
        <v>1654</v>
      </c>
    </row>
    <row r="1091" ht="15.75" customHeight="1">
      <c r="A1091" s="155">
        <v>6763897.0</v>
      </c>
      <c r="B1091" s="151" t="s">
        <v>3637</v>
      </c>
      <c r="C1091" s="151" t="s">
        <v>3638</v>
      </c>
      <c r="D1091" s="151">
        <f>+23407030110886</f>
        <v>23407030110886</v>
      </c>
      <c r="F1091" s="6" t="s">
        <v>168</v>
      </c>
      <c r="G1091" s="6" t="s">
        <v>1654</v>
      </c>
    </row>
    <row r="1092" ht="15.75" customHeight="1">
      <c r="A1092" s="155">
        <v>6763897.0</v>
      </c>
      <c r="B1092" s="151" t="s">
        <v>3639</v>
      </c>
      <c r="C1092" s="151" t="s">
        <v>3640</v>
      </c>
      <c r="D1092" s="151">
        <f>+2348039445903</f>
        <v>2348039445903</v>
      </c>
      <c r="F1092" s="6" t="s">
        <v>168</v>
      </c>
      <c r="G1092" s="6" t="s">
        <v>1654</v>
      </c>
    </row>
    <row r="1093" ht="15.75" customHeight="1">
      <c r="A1093" s="155">
        <v>6763897.0</v>
      </c>
      <c r="B1093" s="151" t="s">
        <v>3641</v>
      </c>
      <c r="C1093" s="151" t="s">
        <v>3642</v>
      </c>
      <c r="D1093" s="151">
        <f>+2347088249196</f>
        <v>2347088249196</v>
      </c>
      <c r="F1093" s="6" t="s">
        <v>168</v>
      </c>
      <c r="G1093" s="6" t="s">
        <v>1654</v>
      </c>
    </row>
    <row r="1094" ht="15.75" customHeight="1">
      <c r="A1094" s="155">
        <v>6763897.0</v>
      </c>
      <c r="B1094" s="151" t="s">
        <v>3643</v>
      </c>
      <c r="C1094" s="151" t="s">
        <v>3644</v>
      </c>
      <c r="D1094" s="151">
        <f>+2348035295743</f>
        <v>2348035295743</v>
      </c>
      <c r="F1094" s="6" t="s">
        <v>168</v>
      </c>
      <c r="G1094" s="6" t="s">
        <v>1654</v>
      </c>
    </row>
    <row r="1095" ht="15.75" customHeight="1">
      <c r="A1095" s="155">
        <v>6763897.0</v>
      </c>
      <c r="B1095" s="151" t="s">
        <v>3645</v>
      </c>
      <c r="C1095" s="151" t="s">
        <v>3646</v>
      </c>
      <c r="D1095" s="151">
        <f>+2348035612372</f>
        <v>2348035612372</v>
      </c>
      <c r="F1095" s="6" t="s">
        <v>168</v>
      </c>
      <c r="G1095" s="6" t="s">
        <v>1654</v>
      </c>
    </row>
    <row r="1096" ht="15.75" customHeight="1">
      <c r="A1096" s="155">
        <v>6763897.0</v>
      </c>
      <c r="B1096" s="151" t="s">
        <v>3647</v>
      </c>
      <c r="C1096" s="151" t="s">
        <v>3648</v>
      </c>
      <c r="D1096" s="151">
        <f>+2348091203080</f>
        <v>2348091203080</v>
      </c>
      <c r="F1096" s="6" t="s">
        <v>168</v>
      </c>
      <c r="G1096" s="6" t="s">
        <v>1654</v>
      </c>
    </row>
    <row r="1097" ht="15.75" customHeight="1">
      <c r="A1097" s="155">
        <v>6763897.0</v>
      </c>
      <c r="B1097" s="151" t="s">
        <v>3649</v>
      </c>
      <c r="C1097" s="151" t="s">
        <v>3650</v>
      </c>
      <c r="D1097" s="151">
        <f>+23407061570429</f>
        <v>23407061570429</v>
      </c>
      <c r="F1097" s="6" t="s">
        <v>168</v>
      </c>
      <c r="G1097" s="6" t="s">
        <v>1654</v>
      </c>
    </row>
    <row r="1098" ht="15.75" customHeight="1">
      <c r="A1098" s="155">
        <v>6763897.0</v>
      </c>
      <c r="B1098" s="151" t="s">
        <v>3651</v>
      </c>
      <c r="C1098" s="151" t="s">
        <v>3652</v>
      </c>
      <c r="D1098" s="151">
        <f>+2347067222864</f>
        <v>2347067222864</v>
      </c>
      <c r="F1098" s="6" t="s">
        <v>168</v>
      </c>
      <c r="G1098" s="6" t="s">
        <v>1654</v>
      </c>
    </row>
    <row r="1099" ht="15.75" customHeight="1">
      <c r="A1099" s="155">
        <v>6763897.0</v>
      </c>
      <c r="B1099" s="151" t="s">
        <v>3653</v>
      </c>
      <c r="C1099" s="151" t="s">
        <v>3654</v>
      </c>
      <c r="D1099" s="151">
        <f>+2348172024435</f>
        <v>2348172024435</v>
      </c>
      <c r="F1099" s="6" t="s">
        <v>168</v>
      </c>
      <c r="G1099" s="6" t="s">
        <v>1654</v>
      </c>
    </row>
    <row r="1100" ht="15.75" customHeight="1">
      <c r="A1100" s="155">
        <v>6763897.0</v>
      </c>
      <c r="B1100" s="151" t="s">
        <v>3655</v>
      </c>
      <c r="C1100" s="151" t="s">
        <v>3656</v>
      </c>
      <c r="D1100" s="151">
        <f>+2347037904946</f>
        <v>2347037904946</v>
      </c>
      <c r="F1100" s="6" t="s">
        <v>168</v>
      </c>
      <c r="G1100" s="6" t="s">
        <v>1654</v>
      </c>
    </row>
    <row r="1101" ht="15.75" customHeight="1">
      <c r="A1101" s="155">
        <v>6763897.0</v>
      </c>
      <c r="B1101" s="151" t="s">
        <v>3657</v>
      </c>
      <c r="C1101" s="151" t="s">
        <v>3658</v>
      </c>
      <c r="D1101" s="151">
        <f>+2348067262919</f>
        <v>2348067262919</v>
      </c>
      <c r="F1101" s="6" t="s">
        <v>168</v>
      </c>
      <c r="G1101" s="6" t="s">
        <v>1654</v>
      </c>
    </row>
    <row r="1102" ht="15.75" customHeight="1">
      <c r="A1102" s="155">
        <v>6763897.0</v>
      </c>
      <c r="B1102" s="151" t="s">
        <v>3659</v>
      </c>
      <c r="C1102" s="151" t="s">
        <v>3660</v>
      </c>
      <c r="D1102" s="151">
        <f>+2348023252351</f>
        <v>2348023252351</v>
      </c>
      <c r="F1102" s="6" t="s">
        <v>168</v>
      </c>
      <c r="G1102" s="6" t="s">
        <v>1654</v>
      </c>
    </row>
    <row r="1103" ht="15.75" customHeight="1">
      <c r="A1103" s="155">
        <v>6763897.0</v>
      </c>
      <c r="B1103" s="151" t="s">
        <v>3661</v>
      </c>
      <c r="C1103" s="151" t="s">
        <v>3662</v>
      </c>
      <c r="D1103" s="151">
        <f>+2348037461807</f>
        <v>2348037461807</v>
      </c>
      <c r="F1103" s="6" t="s">
        <v>168</v>
      </c>
      <c r="G1103" s="6" t="s">
        <v>1654</v>
      </c>
    </row>
    <row r="1104" ht="15.75" customHeight="1">
      <c r="A1104" s="155">
        <v>6763897.0</v>
      </c>
      <c r="B1104" s="151" t="s">
        <v>3663</v>
      </c>
      <c r="C1104" s="151" t="s">
        <v>3664</v>
      </c>
      <c r="D1104" s="151">
        <f>+2348162135001</f>
        <v>2348162135001</v>
      </c>
      <c r="F1104" s="6" t="s">
        <v>168</v>
      </c>
      <c r="G1104" s="6" t="s">
        <v>1654</v>
      </c>
    </row>
    <row r="1105" ht="15.75" customHeight="1">
      <c r="A1105" s="155">
        <v>6763897.0</v>
      </c>
      <c r="B1105" s="151" t="s">
        <v>3665</v>
      </c>
      <c r="C1105" s="151" t="s">
        <v>3666</v>
      </c>
      <c r="D1105" s="151">
        <f>+2348087150940</f>
        <v>2348087150940</v>
      </c>
      <c r="F1105" s="6" t="s">
        <v>168</v>
      </c>
      <c r="G1105" s="6" t="s">
        <v>1654</v>
      </c>
    </row>
    <row r="1106" ht="15.75" customHeight="1">
      <c r="A1106" s="155">
        <v>6763897.0</v>
      </c>
      <c r="B1106" s="151" t="s">
        <v>3667</v>
      </c>
      <c r="C1106" s="151" t="s">
        <v>3668</v>
      </c>
      <c r="D1106" s="151">
        <f>+2347013577042</f>
        <v>2347013577042</v>
      </c>
      <c r="F1106" s="6" t="s">
        <v>168</v>
      </c>
      <c r="G1106" s="6" t="s">
        <v>1654</v>
      </c>
    </row>
    <row r="1107" ht="15.75" customHeight="1">
      <c r="A1107" s="155">
        <v>6763897.0</v>
      </c>
      <c r="B1107" s="151" t="s">
        <v>3669</v>
      </c>
      <c r="C1107" s="151" t="s">
        <v>3670</v>
      </c>
      <c r="D1107" s="151">
        <f>+2348187602533</f>
        <v>2348187602533</v>
      </c>
      <c r="F1107" s="6" t="s">
        <v>168</v>
      </c>
      <c r="G1107" s="6" t="s">
        <v>1654</v>
      </c>
    </row>
    <row r="1108" ht="15.75" customHeight="1">
      <c r="A1108" s="155">
        <v>6763897.0</v>
      </c>
      <c r="B1108" s="151" t="s">
        <v>3671</v>
      </c>
      <c r="C1108" s="151" t="s">
        <v>3672</v>
      </c>
      <c r="D1108" s="151">
        <f>+2347059592309</f>
        <v>2347059592309</v>
      </c>
      <c r="F1108" s="6" t="s">
        <v>168</v>
      </c>
      <c r="G1108" s="6" t="s">
        <v>1654</v>
      </c>
    </row>
    <row r="1109" ht="15.75" customHeight="1">
      <c r="A1109" s="155">
        <v>6763897.0</v>
      </c>
      <c r="B1109" s="151" t="s">
        <v>3673</v>
      </c>
      <c r="C1109" s="151" t="s">
        <v>3674</v>
      </c>
      <c r="D1109" s="151">
        <f>+2348038829093</f>
        <v>2348038829093</v>
      </c>
      <c r="F1109" s="6" t="s">
        <v>168</v>
      </c>
      <c r="G1109" s="6" t="s">
        <v>1654</v>
      </c>
    </row>
    <row r="1110" ht="15.75" customHeight="1">
      <c r="A1110" s="155">
        <v>6763897.0</v>
      </c>
      <c r="B1110" s="151" t="s">
        <v>3675</v>
      </c>
      <c r="C1110" s="151" t="s">
        <v>3676</v>
      </c>
      <c r="D1110" s="151">
        <f>+2349020735440</f>
        <v>2349020735440</v>
      </c>
      <c r="F1110" s="6" t="s">
        <v>168</v>
      </c>
      <c r="G1110" s="6" t="s">
        <v>1654</v>
      </c>
    </row>
    <row r="1111" ht="15.75" customHeight="1">
      <c r="A1111" s="155">
        <v>6763897.0</v>
      </c>
      <c r="B1111" s="151" t="s">
        <v>1679</v>
      </c>
      <c r="C1111" s="151" t="s">
        <v>1680</v>
      </c>
      <c r="D1111" s="151">
        <f>+2347033577545</f>
        <v>2347033577545</v>
      </c>
      <c r="F1111" s="6" t="s">
        <v>168</v>
      </c>
      <c r="G1111" s="6" t="s">
        <v>1654</v>
      </c>
    </row>
    <row r="1112" ht="15.75" customHeight="1">
      <c r="A1112" s="155">
        <v>6763897.0</v>
      </c>
      <c r="B1112" s="151" t="s">
        <v>3677</v>
      </c>
      <c r="C1112" s="151" t="s">
        <v>3678</v>
      </c>
      <c r="D1112" s="151">
        <f>+2348069495617</f>
        <v>2348069495617</v>
      </c>
      <c r="F1112" s="6" t="s">
        <v>168</v>
      </c>
      <c r="G1112" s="6" t="s">
        <v>1654</v>
      </c>
    </row>
    <row r="1113" ht="15.75" customHeight="1">
      <c r="A1113" s="155">
        <v>6763897.0</v>
      </c>
      <c r="B1113" s="151" t="s">
        <v>3679</v>
      </c>
      <c r="C1113" s="151" t="s">
        <v>3680</v>
      </c>
      <c r="D1113" s="151">
        <f>+2348036228357</f>
        <v>2348036228357</v>
      </c>
      <c r="F1113" s="6" t="s">
        <v>168</v>
      </c>
      <c r="G1113" s="6" t="s">
        <v>1654</v>
      </c>
    </row>
    <row r="1114" ht="15.75" customHeight="1">
      <c r="A1114" s="155">
        <v>6763897.0</v>
      </c>
      <c r="B1114" s="151" t="s">
        <v>3681</v>
      </c>
      <c r="C1114" s="151" t="s">
        <v>3682</v>
      </c>
      <c r="D1114" s="151">
        <f>+2348069509626</f>
        <v>2348069509626</v>
      </c>
      <c r="F1114" s="6" t="s">
        <v>168</v>
      </c>
      <c r="G1114" s="6" t="s">
        <v>1654</v>
      </c>
    </row>
    <row r="1115" ht="15.75" customHeight="1">
      <c r="A1115" s="155">
        <v>6763897.0</v>
      </c>
      <c r="B1115" s="151" t="s">
        <v>3683</v>
      </c>
      <c r="C1115" s="151" t="s">
        <v>3684</v>
      </c>
      <c r="D1115" s="151">
        <f>+2348034355381</f>
        <v>2348034355381</v>
      </c>
      <c r="F1115" s="6" t="s">
        <v>168</v>
      </c>
      <c r="G1115" s="6" t="s">
        <v>1654</v>
      </c>
    </row>
    <row r="1116" ht="15.75" customHeight="1">
      <c r="A1116" s="155">
        <v>6763897.0</v>
      </c>
      <c r="B1116" s="151" t="s">
        <v>3685</v>
      </c>
      <c r="C1116" s="151" t="s">
        <v>3686</v>
      </c>
      <c r="D1116" s="151">
        <f>+2347038913251</f>
        <v>2347038913251</v>
      </c>
      <c r="F1116" s="6" t="s">
        <v>168</v>
      </c>
      <c r="G1116" s="6" t="s">
        <v>1654</v>
      </c>
    </row>
    <row r="1117" ht="15.75" customHeight="1">
      <c r="A1117" s="155">
        <v>6763897.0</v>
      </c>
      <c r="B1117" s="151" t="s">
        <v>3687</v>
      </c>
      <c r="C1117" s="151" t="s">
        <v>3688</v>
      </c>
      <c r="D1117" s="151">
        <f>+2347032114981</f>
        <v>2347032114981</v>
      </c>
      <c r="F1117" s="6" t="s">
        <v>168</v>
      </c>
      <c r="G1117" s="6" t="s">
        <v>1654</v>
      </c>
    </row>
    <row r="1118" ht="15.75" customHeight="1">
      <c r="A1118" s="155">
        <v>6763897.0</v>
      </c>
      <c r="B1118" s="151" t="s">
        <v>3689</v>
      </c>
      <c r="C1118" s="151" t="s">
        <v>3690</v>
      </c>
      <c r="D1118" s="151">
        <f>+2348023975254</f>
        <v>2348023975254</v>
      </c>
      <c r="F1118" s="6" t="s">
        <v>168</v>
      </c>
      <c r="G1118" s="6" t="s">
        <v>1654</v>
      </c>
    </row>
    <row r="1119" ht="15.75" customHeight="1">
      <c r="A1119" s="155">
        <v>6763897.0</v>
      </c>
      <c r="B1119" s="151" t="s">
        <v>3691</v>
      </c>
      <c r="C1119" s="151" t="s">
        <v>3692</v>
      </c>
      <c r="D1119" s="151">
        <f>+2347037722587</f>
        <v>2347037722587</v>
      </c>
      <c r="F1119" s="6" t="s">
        <v>168</v>
      </c>
      <c r="G1119" s="6" t="s">
        <v>1654</v>
      </c>
    </row>
    <row r="1120" ht="15.75" customHeight="1">
      <c r="A1120" s="155">
        <v>6763897.0</v>
      </c>
      <c r="B1120" s="151" t="s">
        <v>2113</v>
      </c>
      <c r="C1120" s="151" t="s">
        <v>2114</v>
      </c>
      <c r="D1120" s="151">
        <f>+2348132142746</f>
        <v>2348132142746</v>
      </c>
      <c r="F1120" s="6" t="s">
        <v>168</v>
      </c>
      <c r="G1120" s="6" t="s">
        <v>1654</v>
      </c>
    </row>
    <row r="1121" ht="15.75" customHeight="1">
      <c r="A1121" s="155">
        <v>6763897.0</v>
      </c>
      <c r="B1121" s="151" t="s">
        <v>3693</v>
      </c>
      <c r="C1121" s="151" t="s">
        <v>3694</v>
      </c>
      <c r="D1121" s="151">
        <f>+2347056958244</f>
        <v>2347056958244</v>
      </c>
      <c r="F1121" s="6" t="s">
        <v>168</v>
      </c>
      <c r="G1121" s="6" t="s">
        <v>1654</v>
      </c>
    </row>
    <row r="1122" ht="15.75" customHeight="1">
      <c r="A1122" s="155">
        <v>6763897.0</v>
      </c>
      <c r="B1122" s="151" t="s">
        <v>3695</v>
      </c>
      <c r="C1122" s="151" t="s">
        <v>3696</v>
      </c>
      <c r="D1122" s="151">
        <f>+2348089082146</f>
        <v>2348089082146</v>
      </c>
      <c r="F1122" s="6" t="s">
        <v>168</v>
      </c>
      <c r="G1122" s="6" t="s">
        <v>1654</v>
      </c>
    </row>
    <row r="1123" ht="15.75" customHeight="1">
      <c r="A1123" s="155">
        <v>6763897.0</v>
      </c>
      <c r="B1123" s="151" t="s">
        <v>3697</v>
      </c>
      <c r="C1123" s="151" t="s">
        <v>3698</v>
      </c>
      <c r="D1123" s="151">
        <f>+2348109273483</f>
        <v>2348109273483</v>
      </c>
      <c r="F1123" s="6" t="s">
        <v>168</v>
      </c>
      <c r="G1123" s="6" t="s">
        <v>1654</v>
      </c>
    </row>
    <row r="1124" ht="15.75" customHeight="1">
      <c r="A1124" s="155">
        <v>6763897.0</v>
      </c>
      <c r="B1124" s="151" t="s">
        <v>3699</v>
      </c>
      <c r="C1124" s="151" t="s">
        <v>3700</v>
      </c>
      <c r="D1124" s="151">
        <f>+2348169226465</f>
        <v>2348169226465</v>
      </c>
      <c r="F1124" s="6" t="s">
        <v>168</v>
      </c>
      <c r="G1124" s="6" t="s">
        <v>1654</v>
      </c>
    </row>
    <row r="1125" ht="15.75" customHeight="1">
      <c r="A1125" s="155">
        <v>6763897.0</v>
      </c>
      <c r="B1125" s="151" t="s">
        <v>3701</v>
      </c>
      <c r="C1125" s="151" t="s">
        <v>3702</v>
      </c>
      <c r="D1125" s="151">
        <f>+2348027616465</f>
        <v>2348027616465</v>
      </c>
      <c r="F1125" s="6" t="s">
        <v>168</v>
      </c>
      <c r="G1125" s="6" t="s">
        <v>1654</v>
      </c>
    </row>
    <row r="1126" ht="15.75" customHeight="1">
      <c r="A1126" s="155">
        <v>6763897.0</v>
      </c>
      <c r="B1126" s="151" t="s">
        <v>3703</v>
      </c>
      <c r="C1126" s="151" t="s">
        <v>3704</v>
      </c>
      <c r="D1126" s="151">
        <f>+2348099496748</f>
        <v>2348099496748</v>
      </c>
      <c r="F1126" s="6" t="s">
        <v>168</v>
      </c>
      <c r="G1126" s="6" t="s">
        <v>1654</v>
      </c>
    </row>
    <row r="1127" ht="15.75" customHeight="1">
      <c r="A1127" s="155">
        <v>6763897.0</v>
      </c>
      <c r="B1127" s="151" t="s">
        <v>3705</v>
      </c>
      <c r="C1127" s="151" t="s">
        <v>3706</v>
      </c>
      <c r="D1127" s="151">
        <f>+2348036356314</f>
        <v>2348036356314</v>
      </c>
      <c r="F1127" s="6" t="s">
        <v>168</v>
      </c>
      <c r="G1127" s="6" t="s">
        <v>1654</v>
      </c>
    </row>
    <row r="1128" ht="15.75" customHeight="1">
      <c r="A1128" s="155">
        <v>6763897.0</v>
      </c>
      <c r="B1128" s="151" t="s">
        <v>3707</v>
      </c>
      <c r="C1128" s="151" t="s">
        <v>3708</v>
      </c>
      <c r="D1128" s="151">
        <f>+2348094495458</f>
        <v>2348094495458</v>
      </c>
      <c r="F1128" s="6" t="s">
        <v>168</v>
      </c>
      <c r="G1128" s="6" t="s">
        <v>1654</v>
      </c>
    </row>
    <row r="1129" ht="15.75" customHeight="1">
      <c r="A1129" s="155">
        <v>6763897.0</v>
      </c>
      <c r="B1129" s="151" t="s">
        <v>3709</v>
      </c>
      <c r="C1129" s="151" t="s">
        <v>3710</v>
      </c>
      <c r="D1129" s="151">
        <f>+2347033399416</f>
        <v>2347033399416</v>
      </c>
      <c r="F1129" s="6" t="s">
        <v>168</v>
      </c>
      <c r="G1129" s="6" t="s">
        <v>1654</v>
      </c>
    </row>
    <row r="1130" ht="15.75" customHeight="1">
      <c r="A1130" s="155">
        <v>6763897.0</v>
      </c>
      <c r="B1130" s="151" t="s">
        <v>3711</v>
      </c>
      <c r="C1130" s="151" t="s">
        <v>3712</v>
      </c>
      <c r="D1130" s="151">
        <f>+2348033084312</f>
        <v>2348033084312</v>
      </c>
      <c r="F1130" s="6" t="s">
        <v>168</v>
      </c>
      <c r="G1130" s="6" t="s">
        <v>1654</v>
      </c>
    </row>
    <row r="1131" ht="15.75" customHeight="1">
      <c r="A1131" s="155">
        <v>6763897.0</v>
      </c>
      <c r="B1131" s="151" t="s">
        <v>3713</v>
      </c>
      <c r="C1131" s="151" t="s">
        <v>3714</v>
      </c>
      <c r="D1131" s="151">
        <f>+2348035985103</f>
        <v>2348035985103</v>
      </c>
      <c r="F1131" s="6" t="s">
        <v>168</v>
      </c>
      <c r="G1131" s="6" t="s">
        <v>1654</v>
      </c>
    </row>
    <row r="1132" ht="15.75" customHeight="1">
      <c r="A1132" s="155">
        <v>6763897.0</v>
      </c>
      <c r="B1132" s="151" t="s">
        <v>1939</v>
      </c>
      <c r="C1132" s="151" t="s">
        <v>1940</v>
      </c>
      <c r="D1132" s="151">
        <f>+2348135462122</f>
        <v>2348135462122</v>
      </c>
      <c r="F1132" s="6" t="s">
        <v>168</v>
      </c>
      <c r="G1132" s="6" t="s">
        <v>1654</v>
      </c>
    </row>
    <row r="1133" ht="15.75" customHeight="1">
      <c r="A1133" s="155">
        <v>6763897.0</v>
      </c>
      <c r="B1133" s="151" t="s">
        <v>3715</v>
      </c>
      <c r="C1133" s="151" t="s">
        <v>3716</v>
      </c>
      <c r="D1133" s="151">
        <f>+2347054408299</f>
        <v>2347054408299</v>
      </c>
      <c r="F1133" s="6" t="s">
        <v>168</v>
      </c>
      <c r="G1133" s="6" t="s">
        <v>1654</v>
      </c>
    </row>
    <row r="1134" ht="15.75" customHeight="1">
      <c r="A1134" s="155">
        <v>6763897.0</v>
      </c>
      <c r="B1134" s="151" t="s">
        <v>3717</v>
      </c>
      <c r="C1134" s="151" t="s">
        <v>3718</v>
      </c>
      <c r="D1134" s="151">
        <f>+2348036866538</f>
        <v>2348036866538</v>
      </c>
      <c r="F1134" s="6" t="s">
        <v>168</v>
      </c>
      <c r="G1134" s="6" t="s">
        <v>1654</v>
      </c>
    </row>
    <row r="1135" ht="15.75" customHeight="1">
      <c r="A1135" s="155">
        <v>6763897.0</v>
      </c>
      <c r="B1135" s="151" t="s">
        <v>3719</v>
      </c>
      <c r="C1135" s="151" t="s">
        <v>3720</v>
      </c>
      <c r="D1135" s="151">
        <f>+2349093749482</f>
        <v>2349093749482</v>
      </c>
      <c r="F1135" s="6" t="s">
        <v>168</v>
      </c>
      <c r="G1135" s="6" t="s">
        <v>1654</v>
      </c>
    </row>
    <row r="1136" ht="15.75" customHeight="1">
      <c r="A1136" s="155">
        <v>6763897.0</v>
      </c>
      <c r="B1136" s="151" t="s">
        <v>3721</v>
      </c>
      <c r="C1136" s="151" t="s">
        <v>3722</v>
      </c>
      <c r="D1136" s="151">
        <f>+2347035865565</f>
        <v>2347035865565</v>
      </c>
      <c r="F1136" s="6" t="s">
        <v>168</v>
      </c>
      <c r="G1136" s="6" t="s">
        <v>1654</v>
      </c>
    </row>
    <row r="1137" ht="15.75" customHeight="1">
      <c r="A1137" s="155">
        <v>6763897.0</v>
      </c>
      <c r="B1137" s="151" t="s">
        <v>3723</v>
      </c>
      <c r="C1137" s="151" t="s">
        <v>3724</v>
      </c>
      <c r="D1137" s="151">
        <f>+2348068973200</f>
        <v>2348068973200</v>
      </c>
      <c r="F1137" s="6" t="s">
        <v>168</v>
      </c>
      <c r="G1137" s="6" t="s">
        <v>1654</v>
      </c>
    </row>
    <row r="1138" ht="15.75" customHeight="1">
      <c r="A1138" s="155">
        <v>6763897.0</v>
      </c>
      <c r="B1138" s="151" t="s">
        <v>3725</v>
      </c>
      <c r="C1138" s="151" t="s">
        <v>3726</v>
      </c>
      <c r="D1138" s="151">
        <f>+2347068297408</f>
        <v>2347068297408</v>
      </c>
      <c r="F1138" s="6" t="s">
        <v>168</v>
      </c>
      <c r="G1138" s="6" t="s">
        <v>1654</v>
      </c>
    </row>
    <row r="1139" ht="15.75" customHeight="1">
      <c r="A1139" s="155">
        <v>6763897.0</v>
      </c>
      <c r="B1139" s="151" t="s">
        <v>3727</v>
      </c>
      <c r="C1139" s="151" t="s">
        <v>3728</v>
      </c>
      <c r="D1139" s="151">
        <f>+2348034321831</f>
        <v>2348034321831</v>
      </c>
      <c r="F1139" s="6" t="s">
        <v>168</v>
      </c>
      <c r="G1139" s="6" t="s">
        <v>1654</v>
      </c>
    </row>
    <row r="1140" ht="15.75" customHeight="1">
      <c r="A1140" s="155">
        <v>6763897.0</v>
      </c>
      <c r="B1140" s="151" t="s">
        <v>3729</v>
      </c>
      <c r="C1140" s="151" t="s">
        <v>3730</v>
      </c>
      <c r="D1140" s="151">
        <f>+2348064900723</f>
        <v>2348064900723</v>
      </c>
      <c r="F1140" s="6" t="s">
        <v>168</v>
      </c>
      <c r="G1140" s="6" t="s">
        <v>1654</v>
      </c>
    </row>
    <row r="1141" ht="15.75" customHeight="1">
      <c r="A1141" s="155">
        <v>6763897.0</v>
      </c>
      <c r="B1141" s="151" t="s">
        <v>3731</v>
      </c>
      <c r="C1141" s="151" t="s">
        <v>3732</v>
      </c>
      <c r="D1141" s="151">
        <f>+2348130400287</f>
        <v>2348130400287</v>
      </c>
      <c r="F1141" s="6" t="s">
        <v>168</v>
      </c>
      <c r="G1141" s="6" t="s">
        <v>1654</v>
      </c>
    </row>
    <row r="1142" ht="15.75" customHeight="1">
      <c r="A1142" s="155">
        <v>6763897.0</v>
      </c>
      <c r="B1142" s="151" t="s">
        <v>3733</v>
      </c>
      <c r="C1142" s="151" t="s">
        <v>3734</v>
      </c>
      <c r="D1142" s="151">
        <f>+2347031350582</f>
        <v>2347031350582</v>
      </c>
      <c r="F1142" s="6" t="s">
        <v>168</v>
      </c>
      <c r="G1142" s="6" t="s">
        <v>1654</v>
      </c>
    </row>
    <row r="1143" ht="15.75" customHeight="1">
      <c r="A1143" s="155">
        <v>6763897.0</v>
      </c>
      <c r="B1143" s="151" t="s">
        <v>3735</v>
      </c>
      <c r="C1143" s="151" t="s">
        <v>3736</v>
      </c>
      <c r="D1143" s="151">
        <f>+2348064667440</f>
        <v>2348064667440</v>
      </c>
      <c r="F1143" s="6" t="s">
        <v>168</v>
      </c>
      <c r="G1143" s="6" t="s">
        <v>1654</v>
      </c>
    </row>
    <row r="1144" ht="15.75" customHeight="1">
      <c r="A1144" s="155">
        <v>6763897.0</v>
      </c>
      <c r="B1144" s="151" t="s">
        <v>3737</v>
      </c>
      <c r="C1144" s="151" t="s">
        <v>3738</v>
      </c>
      <c r="D1144" s="151">
        <f>+2348064795400</f>
        <v>2348064795400</v>
      </c>
      <c r="F1144" s="6" t="s">
        <v>168</v>
      </c>
      <c r="G1144" s="6" t="s">
        <v>1654</v>
      </c>
    </row>
    <row r="1145" ht="15.75" customHeight="1">
      <c r="A1145" s="155">
        <v>6763897.0</v>
      </c>
      <c r="B1145" s="151" t="s">
        <v>3739</v>
      </c>
      <c r="C1145" s="151" t="s">
        <v>3740</v>
      </c>
      <c r="D1145" s="151">
        <f>+2347066512788</f>
        <v>2347066512788</v>
      </c>
      <c r="F1145" s="6" t="s">
        <v>168</v>
      </c>
      <c r="G1145" s="6" t="s">
        <v>1654</v>
      </c>
    </row>
    <row r="1146" ht="15.75" customHeight="1">
      <c r="A1146" s="155">
        <v>6763897.0</v>
      </c>
      <c r="B1146" s="151" t="s">
        <v>3741</v>
      </c>
      <c r="C1146" s="151" t="s">
        <v>3742</v>
      </c>
      <c r="D1146" s="151">
        <f>+2348035170040</f>
        <v>2348035170040</v>
      </c>
      <c r="F1146" s="6" t="s">
        <v>168</v>
      </c>
      <c r="G1146" s="6" t="s">
        <v>1654</v>
      </c>
    </row>
    <row r="1147" ht="15.75" customHeight="1">
      <c r="A1147" s="155">
        <v>6763897.0</v>
      </c>
      <c r="B1147" s="151" t="s">
        <v>3743</v>
      </c>
      <c r="C1147" s="151" t="s">
        <v>3744</v>
      </c>
      <c r="D1147" s="151">
        <f>+2348035157453</f>
        <v>2348035157453</v>
      </c>
      <c r="F1147" s="6" t="s">
        <v>168</v>
      </c>
      <c r="G1147" s="6" t="s">
        <v>1654</v>
      </c>
    </row>
    <row r="1148" ht="15.75" customHeight="1">
      <c r="A1148" s="155">
        <v>6763897.0</v>
      </c>
      <c r="B1148" s="151" t="s">
        <v>3745</v>
      </c>
      <c r="C1148" s="151" t="s">
        <v>3746</v>
      </c>
      <c r="D1148" s="151">
        <f>+2348038094791</f>
        <v>2348038094791</v>
      </c>
      <c r="F1148" s="6" t="s">
        <v>168</v>
      </c>
      <c r="G1148" s="6" t="s">
        <v>1654</v>
      </c>
    </row>
    <row r="1149" ht="15.75" customHeight="1">
      <c r="A1149" s="155">
        <v>6763897.0</v>
      </c>
      <c r="B1149" s="151" t="s">
        <v>3747</v>
      </c>
      <c r="C1149" s="151" t="s">
        <v>3748</v>
      </c>
      <c r="D1149" s="151">
        <f>+23408163748595</f>
        <v>23408163748595</v>
      </c>
      <c r="F1149" s="6" t="s">
        <v>168</v>
      </c>
      <c r="G1149" s="6" t="s">
        <v>1654</v>
      </c>
    </row>
    <row r="1150" ht="15.75" customHeight="1">
      <c r="A1150" s="155">
        <v>6763897.0</v>
      </c>
      <c r="B1150" s="151" t="s">
        <v>3749</v>
      </c>
      <c r="C1150" s="151" t="s">
        <v>3750</v>
      </c>
      <c r="D1150" s="151">
        <f>+2347037505743</f>
        <v>2347037505743</v>
      </c>
      <c r="F1150" s="6" t="s">
        <v>168</v>
      </c>
      <c r="G1150" s="6" t="s">
        <v>1654</v>
      </c>
    </row>
    <row r="1151" ht="15.75" customHeight="1">
      <c r="A1151" s="155">
        <v>6763897.0</v>
      </c>
      <c r="B1151" s="151" t="s">
        <v>3751</v>
      </c>
      <c r="C1151" s="151" t="s">
        <v>3752</v>
      </c>
      <c r="D1151" s="151">
        <f>+23408053607629</f>
        <v>23408053607629</v>
      </c>
      <c r="F1151" s="6" t="s">
        <v>168</v>
      </c>
      <c r="G1151" s="6" t="s">
        <v>1654</v>
      </c>
    </row>
    <row r="1152" ht="15.75" customHeight="1">
      <c r="A1152" s="155">
        <v>6763897.0</v>
      </c>
      <c r="B1152" s="151" t="s">
        <v>3753</v>
      </c>
      <c r="C1152" s="151" t="s">
        <v>3754</v>
      </c>
      <c r="D1152" s="151">
        <f>+2348106121444</f>
        <v>2348106121444</v>
      </c>
      <c r="F1152" s="6" t="s">
        <v>168</v>
      </c>
      <c r="G1152" s="6" t="s">
        <v>1654</v>
      </c>
    </row>
    <row r="1153" ht="15.75" customHeight="1">
      <c r="A1153" s="155">
        <v>6763897.0</v>
      </c>
      <c r="B1153" s="151" t="s">
        <v>3755</v>
      </c>
      <c r="C1153" s="151" t="s">
        <v>3756</v>
      </c>
      <c r="D1153" s="151">
        <f>+2348032817187</f>
        <v>2348032817187</v>
      </c>
      <c r="F1153" s="6" t="s">
        <v>168</v>
      </c>
      <c r="G1153" s="6" t="s">
        <v>1654</v>
      </c>
    </row>
    <row r="1154" ht="15.75" customHeight="1">
      <c r="A1154" s="155">
        <v>6763897.0</v>
      </c>
      <c r="B1154" s="151" t="s">
        <v>3757</v>
      </c>
      <c r="C1154" s="151" t="s">
        <v>3758</v>
      </c>
      <c r="D1154" s="151">
        <f>+2348065532486</f>
        <v>2348065532486</v>
      </c>
      <c r="F1154" s="6" t="s">
        <v>168</v>
      </c>
      <c r="G1154" s="6" t="s">
        <v>1654</v>
      </c>
    </row>
    <row r="1155" ht="15.75" customHeight="1">
      <c r="A1155" s="155">
        <v>6763897.0</v>
      </c>
      <c r="B1155" s="151" t="s">
        <v>3759</v>
      </c>
      <c r="C1155" s="151" t="s">
        <v>3760</v>
      </c>
      <c r="D1155" s="151">
        <f>+2347060940468</f>
        <v>2347060940468</v>
      </c>
      <c r="F1155" s="6" t="s">
        <v>168</v>
      </c>
      <c r="G1155" s="6" t="s">
        <v>1654</v>
      </c>
    </row>
    <row r="1156" ht="15.75" customHeight="1">
      <c r="A1156" s="155">
        <v>6763897.0</v>
      </c>
      <c r="B1156" s="151" t="s">
        <v>3761</v>
      </c>
      <c r="C1156" s="151" t="s">
        <v>3762</v>
      </c>
      <c r="D1156" s="151">
        <f>+2348067709889</f>
        <v>2348067709889</v>
      </c>
      <c r="F1156" s="6" t="s">
        <v>168</v>
      </c>
      <c r="G1156" s="6" t="s">
        <v>1654</v>
      </c>
    </row>
    <row r="1157" ht="15.75" customHeight="1">
      <c r="A1157" s="155">
        <v>6763897.0</v>
      </c>
      <c r="B1157" s="151" t="s">
        <v>3763</v>
      </c>
      <c r="C1157" s="151" t="s">
        <v>3764</v>
      </c>
      <c r="D1157" s="151">
        <f>+2348144156630</f>
        <v>2348144156630</v>
      </c>
      <c r="F1157" s="6" t="s">
        <v>168</v>
      </c>
      <c r="G1157" s="6" t="s">
        <v>1654</v>
      </c>
    </row>
    <row r="1158" ht="15.75" customHeight="1">
      <c r="A1158" s="155">
        <v>6763897.0</v>
      </c>
      <c r="B1158" s="151" t="s">
        <v>3765</v>
      </c>
      <c r="C1158" s="151" t="s">
        <v>3766</v>
      </c>
      <c r="D1158" s="151">
        <f>+23408024088886</f>
        <v>23408024088886</v>
      </c>
      <c r="F1158" s="6" t="s">
        <v>168</v>
      </c>
      <c r="G1158" s="6" t="s">
        <v>1654</v>
      </c>
    </row>
    <row r="1159" ht="15.75" customHeight="1">
      <c r="A1159" s="155">
        <v>6763897.0</v>
      </c>
      <c r="B1159" s="151" t="s">
        <v>3767</v>
      </c>
      <c r="C1159" s="151" t="s">
        <v>3768</v>
      </c>
      <c r="D1159" s="151">
        <f>+2348023194770</f>
        <v>2348023194770</v>
      </c>
      <c r="F1159" s="6" t="s">
        <v>168</v>
      </c>
      <c r="G1159" s="6" t="s">
        <v>1654</v>
      </c>
    </row>
    <row r="1160" ht="15.75" customHeight="1">
      <c r="A1160" s="155">
        <v>6763897.0</v>
      </c>
      <c r="B1160" s="151" t="s">
        <v>3769</v>
      </c>
      <c r="C1160" s="151" t="s">
        <v>3770</v>
      </c>
      <c r="D1160" s="151">
        <f>+2348036256085</f>
        <v>2348036256085</v>
      </c>
      <c r="F1160" s="6" t="s">
        <v>168</v>
      </c>
      <c r="G1160" s="6" t="s">
        <v>1654</v>
      </c>
    </row>
    <row r="1161" ht="15.75" customHeight="1">
      <c r="A1161" s="155">
        <v>6763897.0</v>
      </c>
      <c r="B1161" s="151" t="s">
        <v>3771</v>
      </c>
      <c r="C1161" s="151" t="s">
        <v>3772</v>
      </c>
      <c r="D1161" s="151">
        <f>+2347066458225</f>
        <v>2347066458225</v>
      </c>
      <c r="F1161" s="6" t="s">
        <v>168</v>
      </c>
      <c r="G1161" s="6" t="s">
        <v>1654</v>
      </c>
    </row>
    <row r="1162" ht="15.75" customHeight="1">
      <c r="A1162" s="155">
        <v>6763897.0</v>
      </c>
      <c r="B1162" s="151" t="s">
        <v>3773</v>
      </c>
      <c r="C1162" s="151" t="s">
        <v>3774</v>
      </c>
      <c r="D1162" s="151">
        <f>+2347011261814</f>
        <v>2347011261814</v>
      </c>
      <c r="F1162" s="6" t="s">
        <v>168</v>
      </c>
      <c r="G1162" s="6" t="s">
        <v>1654</v>
      </c>
    </row>
    <row r="1163" ht="15.75" customHeight="1">
      <c r="A1163" s="155">
        <v>6763897.0</v>
      </c>
      <c r="B1163" s="151" t="s">
        <v>3775</v>
      </c>
      <c r="C1163" s="151" t="s">
        <v>3776</v>
      </c>
      <c r="D1163" s="151">
        <f>+2348067903539</f>
        <v>2348067903539</v>
      </c>
      <c r="F1163" s="6" t="s">
        <v>168</v>
      </c>
      <c r="G1163" s="6" t="s">
        <v>1654</v>
      </c>
    </row>
    <row r="1164" ht="15.75" customHeight="1">
      <c r="A1164" s="155">
        <v>6763897.0</v>
      </c>
      <c r="B1164" s="151" t="s">
        <v>3777</v>
      </c>
      <c r="C1164" s="151" t="s">
        <v>3778</v>
      </c>
      <c r="D1164" s="151">
        <f>+23408117278494</f>
        <v>23408117278494</v>
      </c>
      <c r="F1164" s="6" t="s">
        <v>168</v>
      </c>
      <c r="G1164" s="6" t="s">
        <v>1654</v>
      </c>
    </row>
    <row r="1165" ht="15.75" customHeight="1">
      <c r="A1165" s="155">
        <v>6763897.0</v>
      </c>
      <c r="B1165" s="151" t="s">
        <v>3779</v>
      </c>
      <c r="C1165" s="151" t="s">
        <v>3780</v>
      </c>
      <c r="D1165" s="151">
        <f>+2348036631963</f>
        <v>2348036631963</v>
      </c>
      <c r="F1165" s="6" t="s">
        <v>168</v>
      </c>
      <c r="G1165" s="6" t="s">
        <v>1654</v>
      </c>
    </row>
    <row r="1166" ht="15.75" customHeight="1">
      <c r="A1166" s="155">
        <v>6763897.0</v>
      </c>
      <c r="B1166" s="151" t="s">
        <v>3781</v>
      </c>
      <c r="C1166" s="151" t="s">
        <v>3782</v>
      </c>
      <c r="D1166" s="151">
        <f>+2348061391414</f>
        <v>2348061391414</v>
      </c>
      <c r="F1166" s="6" t="s">
        <v>168</v>
      </c>
      <c r="G1166" s="6" t="s">
        <v>1654</v>
      </c>
    </row>
    <row r="1167" ht="15.75" customHeight="1">
      <c r="A1167" s="155">
        <v>6763897.0</v>
      </c>
      <c r="B1167" s="151" t="s">
        <v>3783</v>
      </c>
      <c r="C1167" s="151" t="s">
        <v>3784</v>
      </c>
      <c r="D1167" s="151">
        <f>+2348181990496</f>
        <v>2348181990496</v>
      </c>
      <c r="F1167" s="6" t="s">
        <v>168</v>
      </c>
      <c r="G1167" s="6" t="s">
        <v>1654</v>
      </c>
    </row>
    <row r="1168" ht="15.75" customHeight="1">
      <c r="A1168" s="155">
        <v>6763897.0</v>
      </c>
      <c r="B1168" s="151" t="s">
        <v>3785</v>
      </c>
      <c r="C1168" s="151" t="s">
        <v>3786</v>
      </c>
      <c r="D1168" s="151">
        <f>+2347035025570</f>
        <v>2347035025570</v>
      </c>
      <c r="F1168" s="6" t="s">
        <v>168</v>
      </c>
      <c r="G1168" s="6" t="s">
        <v>1654</v>
      </c>
    </row>
    <row r="1169" ht="15.75" customHeight="1">
      <c r="A1169" s="155">
        <v>6763897.0</v>
      </c>
      <c r="B1169" s="151" t="s">
        <v>3787</v>
      </c>
      <c r="C1169" s="151" t="s">
        <v>3788</v>
      </c>
      <c r="D1169" s="151">
        <f>+2348023958005</f>
        <v>2348023958005</v>
      </c>
      <c r="F1169" s="6" t="s">
        <v>168</v>
      </c>
      <c r="G1169" s="6" t="s">
        <v>1654</v>
      </c>
    </row>
    <row r="1170" ht="15.75" customHeight="1">
      <c r="A1170" s="155">
        <v>6763897.0</v>
      </c>
      <c r="B1170" s="151" t="s">
        <v>3789</v>
      </c>
      <c r="C1170" s="151" t="s">
        <v>3790</v>
      </c>
      <c r="D1170" s="151">
        <f>+2347057708380</f>
        <v>2347057708380</v>
      </c>
      <c r="F1170" s="6" t="s">
        <v>168</v>
      </c>
      <c r="G1170" s="6" t="s">
        <v>1654</v>
      </c>
    </row>
    <row r="1171" ht="15.75" customHeight="1">
      <c r="A1171" s="155">
        <v>6763897.0</v>
      </c>
      <c r="B1171" s="151" t="s">
        <v>3791</v>
      </c>
      <c r="C1171" s="151" t="s">
        <v>3792</v>
      </c>
      <c r="D1171" s="151">
        <f>+2348130037375</f>
        <v>2348130037375</v>
      </c>
      <c r="F1171" s="6" t="s">
        <v>168</v>
      </c>
      <c r="G1171" s="6" t="s">
        <v>1654</v>
      </c>
    </row>
    <row r="1172" ht="15.75" customHeight="1">
      <c r="A1172" s="155">
        <v>6763897.0</v>
      </c>
      <c r="B1172" s="151" t="s">
        <v>3793</v>
      </c>
      <c r="C1172" s="151" t="s">
        <v>3794</v>
      </c>
      <c r="D1172" s="151">
        <f>+2348037208184</f>
        <v>2348037208184</v>
      </c>
      <c r="F1172" s="6" t="s">
        <v>168</v>
      </c>
      <c r="G1172" s="6" t="s">
        <v>1654</v>
      </c>
    </row>
    <row r="1173" ht="15.75" customHeight="1">
      <c r="A1173" s="155">
        <v>6763897.0</v>
      </c>
      <c r="B1173" s="151" t="s">
        <v>3795</v>
      </c>
      <c r="C1173" s="151" t="s">
        <v>3796</v>
      </c>
      <c r="D1173" s="151">
        <f>+23408053441188</f>
        <v>23408053441188</v>
      </c>
      <c r="F1173" s="6" t="s">
        <v>168</v>
      </c>
      <c r="G1173" s="6" t="s">
        <v>1654</v>
      </c>
    </row>
    <row r="1174" ht="15.75" customHeight="1">
      <c r="A1174" s="155">
        <v>6763897.0</v>
      </c>
      <c r="B1174" s="151" t="s">
        <v>3797</v>
      </c>
      <c r="C1174" s="151" t="s">
        <v>3798</v>
      </c>
      <c r="D1174" s="151">
        <f>+2348068048522</f>
        <v>2348068048522</v>
      </c>
      <c r="F1174" s="6" t="s">
        <v>168</v>
      </c>
      <c r="G1174" s="6" t="s">
        <v>1654</v>
      </c>
    </row>
    <row r="1175" ht="15.75" customHeight="1">
      <c r="A1175" s="155">
        <v>6763897.0</v>
      </c>
      <c r="B1175" s="151" t="s">
        <v>3799</v>
      </c>
      <c r="C1175" s="151" t="s">
        <v>3800</v>
      </c>
      <c r="D1175" s="151">
        <f>+2348023043996</f>
        <v>2348023043996</v>
      </c>
      <c r="F1175" s="6" t="s">
        <v>168</v>
      </c>
      <c r="G1175" s="6" t="s">
        <v>1654</v>
      </c>
    </row>
    <row r="1176" ht="15.75" customHeight="1">
      <c r="A1176" s="155">
        <v>6763897.0</v>
      </c>
      <c r="B1176" s="151" t="s">
        <v>3801</v>
      </c>
      <c r="C1176" s="151" t="s">
        <v>3802</v>
      </c>
      <c r="D1176" s="151">
        <f>+2348032853215</f>
        <v>2348032853215</v>
      </c>
      <c r="F1176" s="6" t="s">
        <v>168</v>
      </c>
      <c r="G1176" s="6" t="s">
        <v>1654</v>
      </c>
    </row>
    <row r="1177" ht="15.75" customHeight="1">
      <c r="A1177" s="155">
        <v>6763897.0</v>
      </c>
      <c r="B1177" s="151" t="s">
        <v>3803</v>
      </c>
      <c r="C1177" s="151" t="s">
        <v>3804</v>
      </c>
      <c r="D1177" s="151">
        <f>+2348033837596</f>
        <v>2348033837596</v>
      </c>
      <c r="F1177" s="6" t="s">
        <v>168</v>
      </c>
      <c r="G1177" s="6" t="s">
        <v>1654</v>
      </c>
    </row>
    <row r="1178" ht="15.75" customHeight="1">
      <c r="A1178" s="155">
        <v>6763897.0</v>
      </c>
      <c r="B1178" s="151" t="s">
        <v>3805</v>
      </c>
      <c r="C1178" s="151" t="s">
        <v>3806</v>
      </c>
      <c r="D1178" s="151">
        <f>+2348055139478</f>
        <v>2348055139478</v>
      </c>
      <c r="F1178" s="6" t="s">
        <v>168</v>
      </c>
      <c r="G1178" s="6" t="s">
        <v>1654</v>
      </c>
    </row>
    <row r="1179" ht="15.75" customHeight="1">
      <c r="A1179" s="155">
        <v>6763897.0</v>
      </c>
      <c r="B1179" s="151" t="s">
        <v>3807</v>
      </c>
      <c r="C1179" s="151" t="s">
        <v>3808</v>
      </c>
      <c r="D1179" s="151">
        <f>+2347039415695</f>
        <v>2347039415695</v>
      </c>
      <c r="F1179" s="6" t="s">
        <v>168</v>
      </c>
      <c r="G1179" s="6" t="s">
        <v>1654</v>
      </c>
    </row>
    <row r="1180" ht="15.75" customHeight="1">
      <c r="A1180" s="155">
        <v>6763897.0</v>
      </c>
      <c r="B1180" s="151" t="s">
        <v>3809</v>
      </c>
      <c r="C1180" s="151" t="s">
        <v>3810</v>
      </c>
      <c r="D1180" s="151">
        <f>+2348036847451</f>
        <v>2348036847451</v>
      </c>
      <c r="F1180" s="6" t="s">
        <v>168</v>
      </c>
      <c r="G1180" s="6" t="s">
        <v>1654</v>
      </c>
    </row>
    <row r="1181" ht="15.75" customHeight="1">
      <c r="A1181" s="155">
        <v>6763897.0</v>
      </c>
      <c r="B1181" s="151" t="s">
        <v>3811</v>
      </c>
      <c r="C1181" s="151" t="s">
        <v>3812</v>
      </c>
      <c r="D1181" s="151">
        <f>+2348081104414</f>
        <v>2348081104414</v>
      </c>
      <c r="F1181" s="6" t="s">
        <v>168</v>
      </c>
      <c r="G1181" s="6" t="s">
        <v>1654</v>
      </c>
    </row>
    <row r="1182" ht="15.75" customHeight="1">
      <c r="A1182" s="155">
        <v>6763897.0</v>
      </c>
      <c r="B1182" s="151" t="s">
        <v>3813</v>
      </c>
      <c r="C1182" s="151" t="s">
        <v>3814</v>
      </c>
      <c r="D1182" s="151">
        <f>+2347032520231</f>
        <v>2347032520231</v>
      </c>
      <c r="F1182" s="6" t="s">
        <v>168</v>
      </c>
      <c r="G1182" s="6" t="s">
        <v>1654</v>
      </c>
    </row>
    <row r="1183" ht="15.75" customHeight="1">
      <c r="A1183" s="155">
        <v>6763897.0</v>
      </c>
      <c r="B1183" s="151" t="s">
        <v>3815</v>
      </c>
      <c r="C1183" s="151" t="s">
        <v>3816</v>
      </c>
      <c r="D1183" s="151">
        <f>+2348055003006</f>
        <v>2348055003006</v>
      </c>
      <c r="F1183" s="6" t="s">
        <v>168</v>
      </c>
      <c r="G1183" s="6" t="s">
        <v>1654</v>
      </c>
    </row>
    <row r="1184" ht="15.75" customHeight="1">
      <c r="A1184" s="155">
        <v>6763897.0</v>
      </c>
      <c r="B1184" s="151" t="s">
        <v>3817</v>
      </c>
      <c r="C1184" s="151" t="s">
        <v>3818</v>
      </c>
      <c r="D1184" s="151">
        <f>+2348188896396</f>
        <v>2348188896396</v>
      </c>
      <c r="F1184" s="6" t="s">
        <v>168</v>
      </c>
      <c r="G1184" s="6" t="s">
        <v>1654</v>
      </c>
    </row>
    <row r="1185" ht="15.75" customHeight="1">
      <c r="A1185" s="155">
        <v>6763897.0</v>
      </c>
      <c r="B1185" s="151" t="s">
        <v>3819</v>
      </c>
      <c r="C1185" s="151" t="s">
        <v>3820</v>
      </c>
      <c r="D1185" s="151">
        <f>+2348031367031</f>
        <v>2348031367031</v>
      </c>
      <c r="F1185" s="6" t="s">
        <v>168</v>
      </c>
      <c r="G1185" s="6" t="s">
        <v>1654</v>
      </c>
    </row>
    <row r="1186" ht="15.75" customHeight="1">
      <c r="A1186" s="155">
        <v>6763897.0</v>
      </c>
      <c r="B1186" s="151" t="s">
        <v>2323</v>
      </c>
      <c r="C1186" s="151" t="s">
        <v>2324</v>
      </c>
      <c r="D1186" s="151">
        <f>+918374215172</f>
        <v>918374215172</v>
      </c>
      <c r="F1186" s="6" t="s">
        <v>168</v>
      </c>
      <c r="G1186" s="6" t="s">
        <v>1654</v>
      </c>
    </row>
    <row r="1187" ht="15.75" customHeight="1">
      <c r="A1187" s="155">
        <v>6763897.0</v>
      </c>
      <c r="B1187" s="151" t="s">
        <v>3821</v>
      </c>
      <c r="C1187" s="151" t="s">
        <v>3822</v>
      </c>
      <c r="D1187" s="151">
        <f>+2348058456100</f>
        <v>2348058456100</v>
      </c>
      <c r="F1187" s="6" t="s">
        <v>168</v>
      </c>
      <c r="G1187" s="6" t="s">
        <v>1654</v>
      </c>
    </row>
    <row r="1188" ht="15.75" customHeight="1">
      <c r="A1188" s="155">
        <v>6763897.0</v>
      </c>
      <c r="B1188" s="151" t="s">
        <v>3823</v>
      </c>
      <c r="C1188" s="151" t="s">
        <v>3824</v>
      </c>
      <c r="D1188" s="151">
        <f>+2348069199190</f>
        <v>2348069199190</v>
      </c>
      <c r="F1188" s="6" t="s">
        <v>168</v>
      </c>
      <c r="G1188" s="6" t="s">
        <v>1654</v>
      </c>
    </row>
    <row r="1189" ht="15.75" customHeight="1">
      <c r="A1189" s="155">
        <v>6763897.0</v>
      </c>
      <c r="B1189" s="151" t="s">
        <v>3825</v>
      </c>
      <c r="C1189" s="151" t="s">
        <v>3826</v>
      </c>
      <c r="D1189" s="151">
        <f>+2348036239035</f>
        <v>2348036239035</v>
      </c>
      <c r="F1189" s="6" t="s">
        <v>168</v>
      </c>
      <c r="G1189" s="6" t="s">
        <v>1654</v>
      </c>
    </row>
    <row r="1190" ht="15.75" customHeight="1">
      <c r="A1190" s="155">
        <v>6763897.0</v>
      </c>
      <c r="B1190" s="151" t="s">
        <v>3827</v>
      </c>
      <c r="C1190" s="151" t="s">
        <v>3828</v>
      </c>
      <c r="D1190" s="151">
        <f>+2349020268799</f>
        <v>2349020268799</v>
      </c>
      <c r="F1190" s="6" t="s">
        <v>168</v>
      </c>
      <c r="G1190" s="6" t="s">
        <v>1654</v>
      </c>
    </row>
    <row r="1191" ht="15.75" customHeight="1">
      <c r="A1191" s="155">
        <v>6763897.0</v>
      </c>
      <c r="B1191" s="151" t="s">
        <v>3829</v>
      </c>
      <c r="C1191" s="151" t="s">
        <v>3830</v>
      </c>
      <c r="D1191" s="151">
        <f>+2347035162032</f>
        <v>2347035162032</v>
      </c>
      <c r="F1191" s="6" t="s">
        <v>168</v>
      </c>
      <c r="G1191" s="6" t="s">
        <v>1654</v>
      </c>
    </row>
    <row r="1192" ht="15.75" customHeight="1">
      <c r="A1192" s="155">
        <v>6763897.0</v>
      </c>
      <c r="B1192" s="151" t="s">
        <v>3831</v>
      </c>
      <c r="C1192" s="151" t="s">
        <v>3832</v>
      </c>
      <c r="D1192" s="151">
        <f>+2348134022973</f>
        <v>2348134022973</v>
      </c>
      <c r="F1192" s="6" t="s">
        <v>168</v>
      </c>
      <c r="G1192" s="6" t="s">
        <v>1654</v>
      </c>
    </row>
    <row r="1193" ht="15.75" customHeight="1">
      <c r="A1193" s="155">
        <v>6763897.0</v>
      </c>
      <c r="B1193" s="151" t="s">
        <v>3833</v>
      </c>
      <c r="C1193" s="151" t="s">
        <v>3834</v>
      </c>
      <c r="D1193" s="151">
        <f>+2348037874018</f>
        <v>2348037874018</v>
      </c>
      <c r="F1193" s="6" t="s">
        <v>168</v>
      </c>
      <c r="G1193" s="6" t="s">
        <v>1654</v>
      </c>
    </row>
    <row r="1194" ht="15.75" customHeight="1">
      <c r="A1194" s="155">
        <v>6763897.0</v>
      </c>
      <c r="B1194" s="151" t="s">
        <v>3835</v>
      </c>
      <c r="C1194" s="151" t="s">
        <v>3836</v>
      </c>
      <c r="D1194" s="151">
        <f>+2348105328685</f>
        <v>2348105328685</v>
      </c>
      <c r="F1194" s="6" t="s">
        <v>168</v>
      </c>
      <c r="G1194" s="6" t="s">
        <v>1654</v>
      </c>
    </row>
    <row r="1195" ht="15.75" customHeight="1">
      <c r="A1195" s="155">
        <v>6763897.0</v>
      </c>
      <c r="B1195" s="151" t="s">
        <v>3837</v>
      </c>
      <c r="C1195" s="151" t="s">
        <v>3838</v>
      </c>
      <c r="D1195" s="151">
        <f>+2347038097185</f>
        <v>2347038097185</v>
      </c>
      <c r="F1195" s="6" t="s">
        <v>168</v>
      </c>
      <c r="G1195" s="6" t="s">
        <v>1654</v>
      </c>
    </row>
    <row r="1196" ht="15.75" customHeight="1">
      <c r="A1196" s="155">
        <v>6763897.0</v>
      </c>
      <c r="B1196" s="151" t="s">
        <v>3839</v>
      </c>
      <c r="C1196" s="151" t="s">
        <v>3840</v>
      </c>
      <c r="D1196" s="151">
        <f>+2349091281194</f>
        <v>2349091281194</v>
      </c>
      <c r="F1196" s="6" t="s">
        <v>168</v>
      </c>
      <c r="G1196" s="6" t="s">
        <v>1654</v>
      </c>
    </row>
    <row r="1197" ht="15.75" customHeight="1">
      <c r="A1197" s="155">
        <v>6763897.0</v>
      </c>
      <c r="B1197" s="151" t="s">
        <v>3841</v>
      </c>
      <c r="C1197" s="151" t="s">
        <v>3842</v>
      </c>
      <c r="D1197" s="151">
        <f>+2348056089298</f>
        <v>2348056089298</v>
      </c>
      <c r="F1197" s="6" t="s">
        <v>168</v>
      </c>
      <c r="G1197" s="6" t="s">
        <v>1654</v>
      </c>
    </row>
    <row r="1198" ht="15.75" customHeight="1">
      <c r="A1198" s="155">
        <v>6763897.0</v>
      </c>
      <c r="B1198" s="151" t="s">
        <v>3843</v>
      </c>
      <c r="C1198" s="151" t="s">
        <v>3844</v>
      </c>
      <c r="D1198" s="151">
        <f>+2348180068989</f>
        <v>2348180068989</v>
      </c>
      <c r="F1198" s="6" t="s">
        <v>168</v>
      </c>
      <c r="G1198" s="6" t="s">
        <v>1654</v>
      </c>
    </row>
    <row r="1199" ht="15.75" customHeight="1">
      <c r="A1199" s="155">
        <v>6763897.0</v>
      </c>
      <c r="B1199" s="151" t="s">
        <v>2421</v>
      </c>
      <c r="C1199" s="151" t="s">
        <v>2422</v>
      </c>
      <c r="D1199" s="151">
        <f>+2348069045504</f>
        <v>2348069045504</v>
      </c>
      <c r="F1199" s="6" t="s">
        <v>168</v>
      </c>
      <c r="G1199" s="6" t="s">
        <v>1654</v>
      </c>
    </row>
    <row r="1200" ht="15.75" customHeight="1">
      <c r="A1200" s="155">
        <v>6763897.0</v>
      </c>
      <c r="B1200" s="151" t="s">
        <v>3845</v>
      </c>
      <c r="C1200" s="151" t="s">
        <v>3846</v>
      </c>
      <c r="D1200" s="151">
        <f>+2348033378315</f>
        <v>2348033378315</v>
      </c>
      <c r="F1200" s="6" t="s">
        <v>168</v>
      </c>
      <c r="G1200" s="6" t="s">
        <v>1654</v>
      </c>
    </row>
    <row r="1201" ht="15.75" customHeight="1">
      <c r="A1201" s="155">
        <v>6763897.0</v>
      </c>
      <c r="B1201" s="151" t="s">
        <v>3847</v>
      </c>
      <c r="C1201" s="151" t="s">
        <v>3848</v>
      </c>
      <c r="D1201" s="151">
        <f>+2348033248716</f>
        <v>2348033248716</v>
      </c>
      <c r="F1201" s="6" t="s">
        <v>168</v>
      </c>
      <c r="G1201" s="6" t="s">
        <v>1654</v>
      </c>
    </row>
    <row r="1202" ht="15.75" customHeight="1">
      <c r="A1202" s="155">
        <v>6763897.0</v>
      </c>
      <c r="B1202" s="151" t="s">
        <v>3849</v>
      </c>
      <c r="C1202" s="151" t="s">
        <v>3850</v>
      </c>
      <c r="D1202" s="151">
        <f>+2348128285790</f>
        <v>2348128285790</v>
      </c>
      <c r="F1202" s="6" t="s">
        <v>168</v>
      </c>
      <c r="G1202" s="6" t="s">
        <v>1654</v>
      </c>
    </row>
    <row r="1203" ht="15.75" customHeight="1">
      <c r="A1203" s="155">
        <v>6763897.0</v>
      </c>
      <c r="B1203" s="151" t="s">
        <v>3851</v>
      </c>
      <c r="C1203" s="151" t="s">
        <v>3852</v>
      </c>
      <c r="D1203" s="151">
        <f>+23408064243421</f>
        <v>23408064243421</v>
      </c>
      <c r="F1203" s="6" t="s">
        <v>168</v>
      </c>
      <c r="G1203" s="6" t="s">
        <v>1654</v>
      </c>
    </row>
    <row r="1204" ht="15.75" customHeight="1">
      <c r="A1204" s="155">
        <v>6763897.0</v>
      </c>
      <c r="B1204" s="151" t="s">
        <v>3853</v>
      </c>
      <c r="C1204" s="151" t="s">
        <v>3854</v>
      </c>
      <c r="D1204" s="151">
        <f>+2348038537321</f>
        <v>2348038537321</v>
      </c>
      <c r="F1204" s="6" t="s">
        <v>168</v>
      </c>
      <c r="G1204" s="6" t="s">
        <v>1654</v>
      </c>
    </row>
    <row r="1205" ht="15.75" customHeight="1">
      <c r="A1205" s="155">
        <v>6763897.0</v>
      </c>
      <c r="B1205" s="151" t="s">
        <v>3855</v>
      </c>
      <c r="C1205" s="151" t="s">
        <v>3856</v>
      </c>
      <c r="D1205" s="151">
        <f>+2348168845064</f>
        <v>2348168845064</v>
      </c>
      <c r="F1205" s="6" t="s">
        <v>168</v>
      </c>
      <c r="G1205" s="6" t="s">
        <v>1654</v>
      </c>
    </row>
    <row r="1206" ht="15.75" customHeight="1">
      <c r="A1206" s="155">
        <v>6763897.0</v>
      </c>
      <c r="B1206" s="151" t="s">
        <v>3857</v>
      </c>
      <c r="C1206" s="151" t="s">
        <v>3858</v>
      </c>
      <c r="D1206" s="151">
        <f>+2347012720200</f>
        <v>2347012720200</v>
      </c>
      <c r="F1206" s="6" t="s">
        <v>168</v>
      </c>
      <c r="G1206" s="6" t="s">
        <v>1654</v>
      </c>
    </row>
    <row r="1207" ht="15.75" customHeight="1">
      <c r="A1207" s="155">
        <v>6763897.0</v>
      </c>
      <c r="B1207" s="151" t="s">
        <v>3859</v>
      </c>
      <c r="C1207" s="151" t="s">
        <v>3860</v>
      </c>
      <c r="D1207" s="151">
        <f>+2348039322468</f>
        <v>2348039322468</v>
      </c>
      <c r="F1207" s="6" t="s">
        <v>168</v>
      </c>
      <c r="G1207" s="6" t="s">
        <v>1654</v>
      </c>
    </row>
    <row r="1208" ht="15.75" customHeight="1">
      <c r="A1208" s="155">
        <v>6763897.0</v>
      </c>
      <c r="B1208" s="151" t="s">
        <v>3861</v>
      </c>
      <c r="C1208" s="151" t="s">
        <v>3862</v>
      </c>
      <c r="D1208" s="151">
        <f>+2348053957830</f>
        <v>2348053957830</v>
      </c>
      <c r="F1208" s="6" t="s">
        <v>168</v>
      </c>
      <c r="G1208" s="6" t="s">
        <v>1654</v>
      </c>
    </row>
    <row r="1209" ht="15.75" customHeight="1">
      <c r="A1209" s="155">
        <v>6763897.0</v>
      </c>
      <c r="B1209" s="151" t="s">
        <v>3863</v>
      </c>
      <c r="C1209" s="151" t="s">
        <v>3864</v>
      </c>
      <c r="D1209" s="151">
        <f>+2347061949161</f>
        <v>2347061949161</v>
      </c>
      <c r="F1209" s="6" t="s">
        <v>168</v>
      </c>
      <c r="G1209" s="6" t="s">
        <v>1654</v>
      </c>
    </row>
    <row r="1210" ht="15.75" customHeight="1">
      <c r="A1210" s="155">
        <v>6763897.0</v>
      </c>
      <c r="B1210" s="151" t="s">
        <v>3865</v>
      </c>
      <c r="C1210" s="151" t="s">
        <v>3866</v>
      </c>
      <c r="D1210" s="151">
        <f>+2348062898148</f>
        <v>2348062898148</v>
      </c>
      <c r="F1210" s="6" t="s">
        <v>168</v>
      </c>
      <c r="G1210" s="6" t="s">
        <v>1654</v>
      </c>
    </row>
    <row r="1211" ht="15.75" customHeight="1">
      <c r="A1211" s="155">
        <v>6763897.0</v>
      </c>
      <c r="B1211" s="151" t="s">
        <v>3867</v>
      </c>
      <c r="C1211" s="151" t="s">
        <v>3868</v>
      </c>
      <c r="D1211" s="151">
        <f>+2347035879718</f>
        <v>2347035879718</v>
      </c>
      <c r="F1211" s="6" t="s">
        <v>168</v>
      </c>
      <c r="G1211" s="6" t="s">
        <v>1654</v>
      </c>
    </row>
    <row r="1212" ht="15.75" customHeight="1">
      <c r="A1212" s="155">
        <v>6763897.0</v>
      </c>
      <c r="B1212" s="151" t="s">
        <v>3869</v>
      </c>
      <c r="C1212" s="151" t="s">
        <v>3870</v>
      </c>
      <c r="D1212" s="151">
        <f>+2348099623609</f>
        <v>2348099623609</v>
      </c>
      <c r="F1212" s="6" t="s">
        <v>168</v>
      </c>
      <c r="G1212" s="6" t="s">
        <v>1654</v>
      </c>
    </row>
    <row r="1213" ht="15.75" customHeight="1">
      <c r="A1213" s="155">
        <v>6763897.0</v>
      </c>
      <c r="B1213" s="151" t="s">
        <v>3871</v>
      </c>
      <c r="C1213" s="151" t="s">
        <v>3872</v>
      </c>
      <c r="D1213" s="151">
        <f>+23408103826120</f>
        <v>23408103826120</v>
      </c>
      <c r="F1213" s="6" t="s">
        <v>168</v>
      </c>
      <c r="G1213" s="6" t="s">
        <v>1654</v>
      </c>
    </row>
    <row r="1214" ht="15.75" customHeight="1">
      <c r="A1214" s="155">
        <v>6763897.0</v>
      </c>
      <c r="B1214" s="151" t="s">
        <v>3873</v>
      </c>
      <c r="C1214" s="151" t="s">
        <v>3874</v>
      </c>
      <c r="D1214" s="151">
        <f>+2348057305494</f>
        <v>2348057305494</v>
      </c>
      <c r="F1214" s="6" t="s">
        <v>168</v>
      </c>
      <c r="G1214" s="6" t="s">
        <v>1654</v>
      </c>
    </row>
    <row r="1215" ht="15.75" customHeight="1">
      <c r="A1215" s="155">
        <v>6763897.0</v>
      </c>
      <c r="B1215" s="151" t="s">
        <v>3875</v>
      </c>
      <c r="C1215" s="151" t="s">
        <v>3876</v>
      </c>
      <c r="D1215" s="151">
        <f>+2347089367905</f>
        <v>2347089367905</v>
      </c>
      <c r="F1215" s="6" t="s">
        <v>168</v>
      </c>
      <c r="G1215" s="6" t="s">
        <v>1654</v>
      </c>
    </row>
    <row r="1216" ht="15.75" customHeight="1">
      <c r="A1216" s="155">
        <v>6763897.0</v>
      </c>
      <c r="B1216" s="151" t="s">
        <v>3877</v>
      </c>
      <c r="C1216" s="151" t="s">
        <v>3878</v>
      </c>
      <c r="D1216" s="151">
        <f>+2348137235017</f>
        <v>2348137235017</v>
      </c>
      <c r="F1216" s="6" t="s">
        <v>168</v>
      </c>
      <c r="G1216" s="6" t="s">
        <v>1654</v>
      </c>
    </row>
    <row r="1217" ht="15.75" customHeight="1">
      <c r="A1217" s="155">
        <v>6763897.0</v>
      </c>
      <c r="B1217" s="151" t="s">
        <v>3879</v>
      </c>
      <c r="C1217" s="151" t="s">
        <v>3880</v>
      </c>
      <c r="D1217" s="151">
        <f>+23408038033417</f>
        <v>23408038033417</v>
      </c>
      <c r="F1217" s="6" t="s">
        <v>168</v>
      </c>
      <c r="G1217" s="6" t="s">
        <v>1654</v>
      </c>
    </row>
    <row r="1218" ht="15.75" customHeight="1">
      <c r="A1218" s="155">
        <v>6763897.0</v>
      </c>
      <c r="B1218" s="151" t="s">
        <v>3881</v>
      </c>
      <c r="C1218" s="151" t="s">
        <v>3882</v>
      </c>
      <c r="D1218" s="151">
        <f>+2348033748006</f>
        <v>2348033748006</v>
      </c>
      <c r="F1218" s="6" t="s">
        <v>168</v>
      </c>
      <c r="G1218" s="6" t="s">
        <v>1654</v>
      </c>
    </row>
    <row r="1219" ht="15.75" customHeight="1">
      <c r="A1219" s="155">
        <v>6763897.0</v>
      </c>
      <c r="B1219" s="151" t="s">
        <v>3883</v>
      </c>
      <c r="C1219" s="151" t="s">
        <v>3884</v>
      </c>
      <c r="D1219" s="151">
        <f>+971552649565</f>
        <v>971552649565</v>
      </c>
      <c r="F1219" s="6" t="s">
        <v>168</v>
      </c>
      <c r="G1219" s="6" t="s">
        <v>1654</v>
      </c>
    </row>
    <row r="1220" ht="15.75" customHeight="1">
      <c r="A1220" s="155">
        <v>6763897.0</v>
      </c>
      <c r="B1220" s="151" t="s">
        <v>3885</v>
      </c>
      <c r="C1220" s="151" t="s">
        <v>3886</v>
      </c>
      <c r="D1220" s="151">
        <f>+2347036984014</f>
        <v>2347036984014</v>
      </c>
      <c r="F1220" s="6" t="s">
        <v>168</v>
      </c>
      <c r="G1220" s="6" t="s">
        <v>1654</v>
      </c>
    </row>
    <row r="1221" ht="15.75" customHeight="1">
      <c r="A1221" s="155">
        <v>6763897.0</v>
      </c>
      <c r="B1221" s="151" t="s">
        <v>3887</v>
      </c>
      <c r="C1221" s="151" t="s">
        <v>3888</v>
      </c>
      <c r="D1221" s="151">
        <f>+2348168380896</f>
        <v>2348168380896</v>
      </c>
      <c r="F1221" s="6" t="s">
        <v>168</v>
      </c>
      <c r="G1221" s="6" t="s">
        <v>1654</v>
      </c>
    </row>
    <row r="1222" ht="15.75" customHeight="1">
      <c r="A1222" s="155">
        <v>6763897.0</v>
      </c>
      <c r="B1222" s="151" t="s">
        <v>3889</v>
      </c>
      <c r="C1222" s="151" t="s">
        <v>3890</v>
      </c>
      <c r="D1222" s="151">
        <f>+2348033487090</f>
        <v>2348033487090</v>
      </c>
      <c r="F1222" s="6" t="s">
        <v>168</v>
      </c>
      <c r="G1222" s="6" t="s">
        <v>1654</v>
      </c>
    </row>
    <row r="1223" ht="15.75" customHeight="1">
      <c r="A1223" s="155">
        <v>6763897.0</v>
      </c>
      <c r="B1223" s="151" t="s">
        <v>3891</v>
      </c>
      <c r="C1223" s="151" t="s">
        <v>3892</v>
      </c>
      <c r="D1223" s="151">
        <f>+2348107341117</f>
        <v>2348107341117</v>
      </c>
      <c r="F1223" s="6" t="s">
        <v>168</v>
      </c>
      <c r="G1223" s="6" t="s">
        <v>1654</v>
      </c>
    </row>
    <row r="1224" ht="15.75" customHeight="1">
      <c r="A1224" s="155">
        <v>6763897.0</v>
      </c>
      <c r="B1224" s="151" t="s">
        <v>3893</v>
      </c>
      <c r="C1224" s="151" t="s">
        <v>3894</v>
      </c>
      <c r="D1224" s="151">
        <f>+2348188602848</f>
        <v>2348188602848</v>
      </c>
      <c r="F1224" s="6" t="s">
        <v>168</v>
      </c>
      <c r="G1224" s="6" t="s">
        <v>1654</v>
      </c>
    </row>
    <row r="1225" ht="15.75" customHeight="1">
      <c r="A1225" s="155">
        <v>6763897.0</v>
      </c>
      <c r="B1225" s="151" t="s">
        <v>3895</v>
      </c>
      <c r="C1225" s="151" t="s">
        <v>3896</v>
      </c>
      <c r="D1225" s="151">
        <f>+2348145003511</f>
        <v>2348145003511</v>
      </c>
      <c r="F1225" s="6" t="s">
        <v>168</v>
      </c>
      <c r="G1225" s="6" t="s">
        <v>1654</v>
      </c>
    </row>
    <row r="1226" ht="15.75" customHeight="1">
      <c r="A1226" s="155">
        <v>6763897.0</v>
      </c>
      <c r="B1226" s="151" t="s">
        <v>3897</v>
      </c>
      <c r="C1226" s="151" t="s">
        <v>3898</v>
      </c>
      <c r="D1226" s="151">
        <f>+2348037624635</f>
        <v>2348037624635</v>
      </c>
      <c r="F1226" s="6" t="s">
        <v>168</v>
      </c>
      <c r="G1226" s="6" t="s">
        <v>1654</v>
      </c>
    </row>
    <row r="1227" ht="15.75" customHeight="1">
      <c r="A1227" s="155">
        <v>6763897.0</v>
      </c>
      <c r="B1227" s="151" t="s">
        <v>3899</v>
      </c>
      <c r="C1227" s="151" t="s">
        <v>3900</v>
      </c>
      <c r="D1227" s="151">
        <f>+2348138843564</f>
        <v>2348138843564</v>
      </c>
      <c r="F1227" s="6" t="s">
        <v>168</v>
      </c>
      <c r="G1227" s="6" t="s">
        <v>1654</v>
      </c>
    </row>
    <row r="1228" ht="15.75" customHeight="1">
      <c r="A1228" s="155">
        <v>6763897.0</v>
      </c>
      <c r="B1228" s="151" t="s">
        <v>3901</v>
      </c>
      <c r="C1228" s="151" t="s">
        <v>3902</v>
      </c>
      <c r="D1228" s="151">
        <f>+2348146137031</f>
        <v>2348146137031</v>
      </c>
      <c r="F1228" s="6" t="s">
        <v>168</v>
      </c>
      <c r="G1228" s="6" t="s">
        <v>1654</v>
      </c>
    </row>
    <row r="1229" ht="15.75" customHeight="1">
      <c r="A1229" s="155">
        <v>6763897.0</v>
      </c>
      <c r="B1229" s="151" t="s">
        <v>3903</v>
      </c>
      <c r="C1229" s="151" t="s">
        <v>3904</v>
      </c>
      <c r="D1229" s="151">
        <f>+2348036790282</f>
        <v>2348036790282</v>
      </c>
      <c r="F1229" s="6" t="s">
        <v>168</v>
      </c>
      <c r="G1229" s="6" t="s">
        <v>1654</v>
      </c>
    </row>
    <row r="1230" ht="15.75" customHeight="1">
      <c r="A1230" s="155">
        <v>6763897.0</v>
      </c>
      <c r="B1230" s="151" t="s">
        <v>3905</v>
      </c>
      <c r="C1230" s="151" t="s">
        <v>3906</v>
      </c>
      <c r="D1230" s="151">
        <f>+2348028764832</f>
        <v>2348028764832</v>
      </c>
      <c r="F1230" s="6" t="s">
        <v>168</v>
      </c>
      <c r="G1230" s="6" t="s">
        <v>1654</v>
      </c>
    </row>
    <row r="1231" ht="15.75" customHeight="1">
      <c r="A1231" s="155">
        <v>6763897.0</v>
      </c>
      <c r="B1231" s="151" t="s">
        <v>3907</v>
      </c>
      <c r="C1231" s="151" t="s">
        <v>3908</v>
      </c>
      <c r="D1231" s="151">
        <f>+2348033544315</f>
        <v>2348033544315</v>
      </c>
      <c r="F1231" s="6" t="s">
        <v>168</v>
      </c>
      <c r="G1231" s="6" t="s">
        <v>1654</v>
      </c>
    </row>
    <row r="1232" ht="15.75" customHeight="1">
      <c r="A1232" s="155">
        <v>6763897.0</v>
      </c>
      <c r="B1232" s="151" t="s">
        <v>3909</v>
      </c>
      <c r="C1232" s="151" t="s">
        <v>3910</v>
      </c>
      <c r="D1232" s="151">
        <f>+2347037153511</f>
        <v>2347037153511</v>
      </c>
      <c r="F1232" s="6" t="s">
        <v>168</v>
      </c>
      <c r="G1232" s="6" t="s">
        <v>1654</v>
      </c>
    </row>
    <row r="1233" ht="15.75" customHeight="1">
      <c r="A1233" s="155">
        <v>6763897.0</v>
      </c>
      <c r="B1233" s="151" t="s">
        <v>3911</v>
      </c>
      <c r="C1233" s="151" t="s">
        <v>3912</v>
      </c>
      <c r="D1233" s="151">
        <f>+2347031272010</f>
        <v>2347031272010</v>
      </c>
      <c r="F1233" s="6" t="s">
        <v>168</v>
      </c>
      <c r="G1233" s="6" t="s">
        <v>1654</v>
      </c>
    </row>
    <row r="1234" ht="15.75" customHeight="1">
      <c r="A1234" s="155">
        <v>6763897.0</v>
      </c>
      <c r="B1234" s="151" t="s">
        <v>3913</v>
      </c>
      <c r="C1234" s="151" t="s">
        <v>3914</v>
      </c>
      <c r="D1234" s="151">
        <f>+2348037939551</f>
        <v>2348037939551</v>
      </c>
      <c r="F1234" s="6" t="s">
        <v>168</v>
      </c>
      <c r="G1234" s="6" t="s">
        <v>1654</v>
      </c>
    </row>
    <row r="1235" ht="15.75" customHeight="1">
      <c r="A1235" s="155">
        <v>6763897.0</v>
      </c>
      <c r="B1235" s="151" t="s">
        <v>3915</v>
      </c>
      <c r="C1235" s="151" t="s">
        <v>3916</v>
      </c>
      <c r="D1235" s="151">
        <f>+2348059756933</f>
        <v>2348059756933</v>
      </c>
      <c r="F1235" s="6" t="s">
        <v>168</v>
      </c>
      <c r="G1235" s="6" t="s">
        <v>1654</v>
      </c>
    </row>
    <row r="1236" ht="15.75" customHeight="1">
      <c r="A1236" s="155">
        <v>6763897.0</v>
      </c>
      <c r="B1236" s="151" t="s">
        <v>3917</v>
      </c>
      <c r="C1236" s="151" t="s">
        <v>3918</v>
      </c>
      <c r="D1236" s="151">
        <f>+23408058376185</f>
        <v>23408058376185</v>
      </c>
      <c r="F1236" s="6" t="s">
        <v>168</v>
      </c>
      <c r="G1236" s="6" t="s">
        <v>1654</v>
      </c>
    </row>
    <row r="1237" ht="15.75" customHeight="1">
      <c r="A1237" s="155">
        <v>6763897.0</v>
      </c>
      <c r="B1237" s="151" t="s">
        <v>3919</v>
      </c>
      <c r="C1237" s="151" t="s">
        <v>3920</v>
      </c>
      <c r="D1237" s="151">
        <f>+2347038415464</f>
        <v>2347038415464</v>
      </c>
      <c r="F1237" s="6" t="s">
        <v>168</v>
      </c>
      <c r="G1237" s="6" t="s">
        <v>1654</v>
      </c>
    </row>
    <row r="1238" ht="15.75" customHeight="1">
      <c r="A1238" s="155">
        <v>6763897.0</v>
      </c>
      <c r="B1238" s="151" t="s">
        <v>3921</v>
      </c>
      <c r="C1238" s="151" t="s">
        <v>3922</v>
      </c>
      <c r="D1238" s="151">
        <f>+2347037076066</f>
        <v>2347037076066</v>
      </c>
      <c r="F1238" s="6" t="s">
        <v>168</v>
      </c>
      <c r="G1238" s="6" t="s">
        <v>1654</v>
      </c>
    </row>
    <row r="1239" ht="15.75" customHeight="1">
      <c r="A1239" s="155">
        <v>6763897.0</v>
      </c>
      <c r="B1239" s="151" t="s">
        <v>3923</v>
      </c>
      <c r="C1239" s="151" t="s">
        <v>3924</v>
      </c>
      <c r="D1239" s="151">
        <f>+18038334533</f>
        <v>18038334533</v>
      </c>
      <c r="F1239" s="6" t="s">
        <v>168</v>
      </c>
      <c r="G1239" s="6" t="s">
        <v>1654</v>
      </c>
    </row>
    <row r="1240" ht="15.75" customHeight="1">
      <c r="A1240" s="155">
        <v>6763897.0</v>
      </c>
      <c r="B1240" s="151" t="s">
        <v>3925</v>
      </c>
      <c r="C1240" s="151" t="s">
        <v>3926</v>
      </c>
      <c r="D1240" s="151">
        <f>+2347082082033</f>
        <v>2347082082033</v>
      </c>
      <c r="F1240" s="6" t="s">
        <v>168</v>
      </c>
      <c r="G1240" s="6" t="s">
        <v>1654</v>
      </c>
    </row>
    <row r="1241" ht="15.75" customHeight="1">
      <c r="A1241" s="155">
        <v>6763897.0</v>
      </c>
      <c r="B1241" s="151" t="s">
        <v>3927</v>
      </c>
      <c r="C1241" s="151" t="s">
        <v>3928</v>
      </c>
      <c r="D1241" s="151">
        <f>+2348028777899</f>
        <v>2348028777899</v>
      </c>
      <c r="F1241" s="6" t="s">
        <v>168</v>
      </c>
      <c r="G1241" s="6" t="s">
        <v>1654</v>
      </c>
    </row>
    <row r="1242" ht="15.75" customHeight="1">
      <c r="A1242" s="155">
        <v>6763897.0</v>
      </c>
      <c r="B1242" s="151" t="s">
        <v>3929</v>
      </c>
      <c r="C1242" s="151" t="s">
        <v>3930</v>
      </c>
      <c r="D1242" s="151">
        <f>+2348025204046</f>
        <v>2348025204046</v>
      </c>
      <c r="F1242" s="6" t="s">
        <v>168</v>
      </c>
      <c r="G1242" s="6" t="s">
        <v>1654</v>
      </c>
    </row>
    <row r="1243" ht="15.75" customHeight="1">
      <c r="A1243" s="155">
        <v>6763897.0</v>
      </c>
      <c r="B1243" s="151" t="s">
        <v>3931</v>
      </c>
      <c r="C1243" s="151" t="s">
        <v>3932</v>
      </c>
      <c r="D1243" s="151">
        <f>+2348033377251</f>
        <v>2348033377251</v>
      </c>
      <c r="F1243" s="6" t="s">
        <v>168</v>
      </c>
      <c r="G1243" s="6" t="s">
        <v>1654</v>
      </c>
    </row>
    <row r="1244" ht="15.75" customHeight="1">
      <c r="A1244" s="155">
        <v>6763897.0</v>
      </c>
      <c r="B1244" s="151" t="s">
        <v>3933</v>
      </c>
      <c r="C1244" s="151" t="s">
        <v>3934</v>
      </c>
      <c r="D1244" s="151">
        <f>+23407066616309</f>
        <v>23407066616309</v>
      </c>
      <c r="F1244" s="6" t="s">
        <v>168</v>
      </c>
      <c r="G1244" s="6" t="s">
        <v>1654</v>
      </c>
    </row>
    <row r="1245" ht="15.75" customHeight="1">
      <c r="A1245" s="155">
        <v>6763897.0</v>
      </c>
      <c r="B1245" s="151" t="s">
        <v>3935</v>
      </c>
      <c r="C1245" s="151" t="s">
        <v>3936</v>
      </c>
      <c r="D1245" s="151">
        <f>+2348064791328</f>
        <v>2348064791328</v>
      </c>
      <c r="F1245" s="6" t="s">
        <v>168</v>
      </c>
      <c r="G1245" s="6" t="s">
        <v>1654</v>
      </c>
    </row>
    <row r="1246" ht="15.75" customHeight="1">
      <c r="A1246" s="155">
        <v>6763897.0</v>
      </c>
      <c r="B1246" s="151" t="s">
        <v>3937</v>
      </c>
      <c r="C1246" s="151" t="s">
        <v>3938</v>
      </c>
      <c r="D1246" s="151">
        <f>+2348161332345</f>
        <v>2348161332345</v>
      </c>
      <c r="F1246" s="6" t="s">
        <v>168</v>
      </c>
      <c r="G1246" s="6" t="s">
        <v>1654</v>
      </c>
    </row>
    <row r="1247" ht="15.75" customHeight="1">
      <c r="A1247" s="155">
        <v>6763897.0</v>
      </c>
      <c r="B1247" s="151" t="s">
        <v>3939</v>
      </c>
      <c r="C1247" s="151" t="s">
        <v>3940</v>
      </c>
      <c r="D1247" s="151">
        <f>+2348037214421</f>
        <v>2348037214421</v>
      </c>
      <c r="F1247" s="6" t="s">
        <v>168</v>
      </c>
      <c r="G1247" s="6" t="s">
        <v>1654</v>
      </c>
    </row>
    <row r="1248" ht="15.75" customHeight="1">
      <c r="A1248" s="155">
        <v>6763897.0</v>
      </c>
      <c r="B1248" s="151" t="s">
        <v>3941</v>
      </c>
      <c r="C1248" s="151" t="s">
        <v>3942</v>
      </c>
      <c r="D1248" s="151">
        <f>+23408120546717</f>
        <v>23408120546717</v>
      </c>
      <c r="F1248" s="6" t="s">
        <v>168</v>
      </c>
      <c r="G1248" s="6" t="s">
        <v>1654</v>
      </c>
    </row>
    <row r="1249" ht="15.75" customHeight="1">
      <c r="A1249" s="155">
        <v>6763897.0</v>
      </c>
      <c r="B1249" s="151" t="s">
        <v>3943</v>
      </c>
      <c r="C1249" s="151" t="s">
        <v>3944</v>
      </c>
      <c r="D1249" s="151">
        <f>+2348165791199</f>
        <v>2348165791199</v>
      </c>
      <c r="F1249" s="6" t="s">
        <v>168</v>
      </c>
      <c r="G1249" s="6" t="s">
        <v>1654</v>
      </c>
    </row>
    <row r="1250" ht="15.75" customHeight="1">
      <c r="A1250" s="155">
        <v>6763897.0</v>
      </c>
      <c r="B1250" s="151" t="s">
        <v>3945</v>
      </c>
      <c r="C1250" s="151" t="s">
        <v>3946</v>
      </c>
      <c r="D1250" s="151">
        <f>+2348063158290</f>
        <v>2348063158290</v>
      </c>
      <c r="F1250" s="6" t="s">
        <v>168</v>
      </c>
      <c r="G1250" s="6" t="s">
        <v>1654</v>
      </c>
    </row>
    <row r="1251" ht="15.75" customHeight="1">
      <c r="A1251" s="155">
        <v>6763897.0</v>
      </c>
      <c r="B1251" s="151" t="s">
        <v>3947</v>
      </c>
      <c r="C1251" s="151" t="s">
        <v>3948</v>
      </c>
      <c r="D1251" s="151">
        <f>+23408060215574</f>
        <v>23408060215574</v>
      </c>
      <c r="F1251" s="6" t="s">
        <v>168</v>
      </c>
      <c r="G1251" s="6" t="s">
        <v>1654</v>
      </c>
    </row>
    <row r="1252" ht="15.75" customHeight="1">
      <c r="A1252" s="155">
        <v>6763897.0</v>
      </c>
      <c r="B1252" s="151" t="s">
        <v>3949</v>
      </c>
      <c r="C1252" s="151" t="s">
        <v>3950</v>
      </c>
      <c r="D1252" s="151">
        <f>+2348034589211</f>
        <v>2348034589211</v>
      </c>
      <c r="F1252" s="6" t="s">
        <v>168</v>
      </c>
      <c r="G1252" s="6" t="s">
        <v>1654</v>
      </c>
    </row>
    <row r="1253" ht="15.75" customHeight="1">
      <c r="A1253" s="155">
        <v>6763897.0</v>
      </c>
      <c r="B1253" s="151" t="s">
        <v>3951</v>
      </c>
      <c r="C1253" s="151" t="s">
        <v>3952</v>
      </c>
      <c r="D1253" s="151">
        <f>+2348023818525</f>
        <v>2348023818525</v>
      </c>
      <c r="F1253" s="6" t="s">
        <v>168</v>
      </c>
      <c r="G1253" s="6" t="s">
        <v>1654</v>
      </c>
    </row>
    <row r="1254" ht="15.75" customHeight="1">
      <c r="A1254" s="155">
        <v>6763897.0</v>
      </c>
      <c r="B1254" s="151" t="s">
        <v>3953</v>
      </c>
      <c r="C1254" s="151" t="s">
        <v>3954</v>
      </c>
      <c r="D1254" s="151">
        <f>+2348029733864</f>
        <v>2348029733864</v>
      </c>
      <c r="F1254" s="6" t="s">
        <v>168</v>
      </c>
      <c r="G1254" s="6" t="s">
        <v>1654</v>
      </c>
    </row>
    <row r="1255" ht="15.75" customHeight="1">
      <c r="A1255" s="155">
        <v>6763897.0</v>
      </c>
      <c r="B1255" s="151" t="s">
        <v>3955</v>
      </c>
      <c r="C1255" s="151" t="s">
        <v>3956</v>
      </c>
      <c r="D1255" s="151">
        <f>+2347055207962</f>
        <v>2347055207962</v>
      </c>
      <c r="F1255" s="6" t="s">
        <v>168</v>
      </c>
      <c r="G1255" s="6" t="s">
        <v>1654</v>
      </c>
    </row>
    <row r="1256" ht="15.75" customHeight="1">
      <c r="A1256" s="155">
        <v>6763897.0</v>
      </c>
      <c r="B1256" s="151" t="s">
        <v>3957</v>
      </c>
      <c r="C1256" s="151" t="s">
        <v>3958</v>
      </c>
      <c r="D1256" s="151">
        <f>+2348037060242</f>
        <v>2348037060242</v>
      </c>
      <c r="F1256" s="6" t="s">
        <v>168</v>
      </c>
      <c r="G1256" s="6" t="s">
        <v>1654</v>
      </c>
    </row>
    <row r="1257" ht="15.75" customHeight="1">
      <c r="A1257" s="155">
        <v>6763897.0</v>
      </c>
      <c r="B1257" s="151" t="s">
        <v>3959</v>
      </c>
      <c r="C1257" s="151" t="s">
        <v>3960</v>
      </c>
      <c r="D1257" s="151">
        <f>+23408036360015</f>
        <v>23408036360015</v>
      </c>
      <c r="F1257" s="6" t="s">
        <v>168</v>
      </c>
      <c r="G1257" s="6" t="s">
        <v>1654</v>
      </c>
    </row>
    <row r="1258" ht="15.75" customHeight="1">
      <c r="A1258" s="155">
        <v>6763897.0</v>
      </c>
      <c r="B1258" s="151" t="s">
        <v>1977</v>
      </c>
      <c r="C1258" s="151" t="s">
        <v>1978</v>
      </c>
      <c r="D1258" s="151">
        <f>+2349098398194</f>
        <v>2349098398194</v>
      </c>
      <c r="F1258" s="6" t="s">
        <v>168</v>
      </c>
      <c r="G1258" s="6" t="s">
        <v>1654</v>
      </c>
    </row>
    <row r="1259" ht="15.75" customHeight="1">
      <c r="A1259" s="155">
        <v>6763897.0</v>
      </c>
      <c r="B1259" s="151" t="s">
        <v>3961</v>
      </c>
      <c r="C1259" s="151" t="s">
        <v>3962</v>
      </c>
      <c r="D1259" s="151">
        <f>+2348033078842</f>
        <v>2348033078842</v>
      </c>
      <c r="F1259" s="6" t="s">
        <v>168</v>
      </c>
      <c r="G1259" s="6" t="s">
        <v>1654</v>
      </c>
    </row>
    <row r="1260" ht="15.75" customHeight="1">
      <c r="A1260" s="155">
        <v>6763897.0</v>
      </c>
      <c r="B1260" s="151" t="s">
        <v>3963</v>
      </c>
      <c r="C1260" s="151" t="s">
        <v>3964</v>
      </c>
      <c r="D1260" s="151">
        <f>+2347030937118</f>
        <v>2347030937118</v>
      </c>
      <c r="F1260" s="6" t="s">
        <v>168</v>
      </c>
      <c r="G1260" s="6" t="s">
        <v>1654</v>
      </c>
    </row>
    <row r="1261" ht="15.75" customHeight="1">
      <c r="A1261" s="155">
        <v>6763897.0</v>
      </c>
      <c r="B1261" s="151" t="s">
        <v>3965</v>
      </c>
      <c r="C1261" s="151" t="s">
        <v>3966</v>
      </c>
      <c r="D1261" s="151">
        <f>+2348033119906</f>
        <v>2348033119906</v>
      </c>
      <c r="F1261" s="6" t="s">
        <v>168</v>
      </c>
      <c r="G1261" s="6" t="s">
        <v>1654</v>
      </c>
    </row>
    <row r="1262" ht="15.75" customHeight="1">
      <c r="A1262" s="155">
        <v>6763897.0</v>
      </c>
      <c r="B1262" s="151" t="s">
        <v>3967</v>
      </c>
      <c r="C1262" s="151" t="s">
        <v>3968</v>
      </c>
      <c r="D1262" s="151">
        <f>+2348026647460</f>
        <v>2348026647460</v>
      </c>
      <c r="F1262" s="6" t="s">
        <v>168</v>
      </c>
      <c r="G1262" s="6" t="s">
        <v>1654</v>
      </c>
    </row>
    <row r="1263" ht="15.75" customHeight="1">
      <c r="A1263" s="155">
        <v>6763897.0</v>
      </c>
      <c r="B1263" s="151" t="s">
        <v>3969</v>
      </c>
      <c r="C1263" s="151" t="s">
        <v>3970</v>
      </c>
      <c r="D1263" s="151">
        <f>+2348050955915</f>
        <v>2348050955915</v>
      </c>
      <c r="F1263" s="6" t="s">
        <v>168</v>
      </c>
      <c r="G1263" s="6" t="s">
        <v>1654</v>
      </c>
    </row>
    <row r="1264" ht="15.75" customHeight="1">
      <c r="A1264" s="155">
        <v>6763897.0</v>
      </c>
      <c r="B1264" s="151" t="s">
        <v>3971</v>
      </c>
      <c r="C1264" s="151" t="s">
        <v>3972</v>
      </c>
      <c r="D1264" s="151">
        <f>+2348027679493</f>
        <v>2348027679493</v>
      </c>
      <c r="F1264" s="6" t="s">
        <v>168</v>
      </c>
      <c r="G1264" s="6" t="s">
        <v>1654</v>
      </c>
    </row>
    <row r="1265" ht="15.75" customHeight="1">
      <c r="A1265" s="155">
        <v>6763897.0</v>
      </c>
      <c r="B1265" s="151" t="s">
        <v>3973</v>
      </c>
      <c r="C1265" s="151" t="s">
        <v>3974</v>
      </c>
      <c r="D1265" s="151">
        <f>+2348036861227</f>
        <v>2348036861227</v>
      </c>
      <c r="F1265" s="6" t="s">
        <v>168</v>
      </c>
      <c r="G1265" s="6" t="s">
        <v>1654</v>
      </c>
    </row>
    <row r="1266" ht="15.75" customHeight="1">
      <c r="A1266" s="155">
        <v>6763897.0</v>
      </c>
      <c r="B1266" s="151" t="s">
        <v>3975</v>
      </c>
      <c r="C1266" s="151" t="s">
        <v>3976</v>
      </c>
      <c r="D1266" s="151">
        <f>+2348023425501</f>
        <v>2348023425501</v>
      </c>
      <c r="F1266" s="6" t="s">
        <v>168</v>
      </c>
      <c r="G1266" s="6" t="s">
        <v>1654</v>
      </c>
    </row>
    <row r="1267" ht="15.75" customHeight="1">
      <c r="A1267" s="155">
        <v>6763897.0</v>
      </c>
      <c r="B1267" s="151" t="s">
        <v>3977</v>
      </c>
      <c r="C1267" s="151" t="s">
        <v>3978</v>
      </c>
      <c r="D1267" s="151">
        <f>+2347063194709</f>
        <v>2347063194709</v>
      </c>
      <c r="F1267" s="6" t="s">
        <v>168</v>
      </c>
      <c r="G1267" s="6" t="s">
        <v>1654</v>
      </c>
    </row>
    <row r="1268" ht="15.75" customHeight="1">
      <c r="A1268" s="155">
        <v>6763897.0</v>
      </c>
      <c r="B1268" s="151" t="s">
        <v>3979</v>
      </c>
      <c r="C1268" s="151" t="s">
        <v>3980</v>
      </c>
      <c r="D1268" s="151">
        <f>+2348162945244</f>
        <v>2348162945244</v>
      </c>
      <c r="F1268" s="6" t="s">
        <v>168</v>
      </c>
      <c r="G1268" s="6" t="s">
        <v>1654</v>
      </c>
    </row>
    <row r="1269" ht="15.75" customHeight="1">
      <c r="A1269" s="155">
        <v>6763897.0</v>
      </c>
      <c r="B1269" s="151" t="s">
        <v>3981</v>
      </c>
      <c r="C1269" s="151" t="s">
        <v>3982</v>
      </c>
      <c r="D1269" s="151">
        <f>+2347034832340</f>
        <v>2347034832340</v>
      </c>
      <c r="F1269" s="6" t="s">
        <v>168</v>
      </c>
      <c r="G1269" s="6" t="s">
        <v>1654</v>
      </c>
    </row>
    <row r="1270" ht="15.75" customHeight="1">
      <c r="A1270" s="155">
        <v>6763897.0</v>
      </c>
      <c r="B1270" s="151" t="s">
        <v>3983</v>
      </c>
      <c r="C1270" s="151" t="s">
        <v>3984</v>
      </c>
      <c r="D1270" s="151">
        <f>+23408033115896</f>
        <v>23408033115896</v>
      </c>
      <c r="F1270" s="6" t="s">
        <v>168</v>
      </c>
      <c r="G1270" s="6" t="s">
        <v>1654</v>
      </c>
    </row>
    <row r="1271" ht="15.75" customHeight="1">
      <c r="A1271" s="155">
        <v>6763897.0</v>
      </c>
      <c r="B1271" s="151" t="s">
        <v>3985</v>
      </c>
      <c r="C1271" s="151" t="s">
        <v>3986</v>
      </c>
      <c r="D1271" s="151">
        <f>+2348067520064</f>
        <v>2348067520064</v>
      </c>
      <c r="F1271" s="6" t="s">
        <v>168</v>
      </c>
      <c r="G1271" s="6" t="s">
        <v>1654</v>
      </c>
    </row>
    <row r="1272" ht="15.75" customHeight="1">
      <c r="A1272" s="155">
        <v>6763897.0</v>
      </c>
      <c r="B1272" s="151" t="s">
        <v>3987</v>
      </c>
      <c r="C1272" s="151" t="s">
        <v>3988</v>
      </c>
      <c r="D1272" s="151">
        <f>+23408030680493</f>
        <v>23408030680493</v>
      </c>
      <c r="F1272" s="6" t="s">
        <v>168</v>
      </c>
      <c r="G1272" s="6" t="s">
        <v>1654</v>
      </c>
    </row>
    <row r="1273" ht="15.75" customHeight="1">
      <c r="A1273" s="155">
        <v>6763897.0</v>
      </c>
      <c r="B1273" s="151" t="s">
        <v>3989</v>
      </c>
      <c r="C1273" s="151" t="s">
        <v>3990</v>
      </c>
      <c r="D1273" s="151">
        <f>+2348068682324</f>
        <v>2348068682324</v>
      </c>
      <c r="F1273" s="6" t="s">
        <v>168</v>
      </c>
      <c r="G1273" s="6" t="s">
        <v>1654</v>
      </c>
    </row>
    <row r="1274" ht="15.75" customHeight="1">
      <c r="A1274" s="155">
        <v>6763897.0</v>
      </c>
      <c r="B1274" s="151" t="s">
        <v>3991</v>
      </c>
      <c r="C1274" s="151" t="s">
        <v>3992</v>
      </c>
      <c r="D1274" s="151">
        <f>+2347089663435</f>
        <v>2347089663435</v>
      </c>
      <c r="F1274" s="6" t="s">
        <v>168</v>
      </c>
      <c r="G1274" s="6" t="s">
        <v>1654</v>
      </c>
    </row>
    <row r="1275" ht="15.75" customHeight="1">
      <c r="A1275" s="155">
        <v>6763897.0</v>
      </c>
      <c r="B1275" s="151" t="s">
        <v>3993</v>
      </c>
      <c r="C1275" s="151" t="s">
        <v>3994</v>
      </c>
      <c r="D1275" s="151">
        <f>+2348077111999</f>
        <v>2348077111999</v>
      </c>
      <c r="F1275" s="6" t="s">
        <v>168</v>
      </c>
      <c r="G1275" s="6" t="s">
        <v>1654</v>
      </c>
    </row>
    <row r="1276" ht="15.75" customHeight="1">
      <c r="A1276" s="155">
        <v>6763897.0</v>
      </c>
      <c r="B1276" s="151" t="s">
        <v>1791</v>
      </c>
      <c r="C1276" s="151" t="s">
        <v>1792</v>
      </c>
      <c r="D1276" s="151">
        <f>+2348036539498</f>
        <v>2348036539498</v>
      </c>
      <c r="F1276" s="6" t="s">
        <v>168</v>
      </c>
      <c r="G1276" s="6" t="s">
        <v>1654</v>
      </c>
    </row>
    <row r="1277" ht="15.75" customHeight="1">
      <c r="A1277" s="155">
        <v>6763897.0</v>
      </c>
      <c r="B1277" s="151" t="s">
        <v>3995</v>
      </c>
      <c r="C1277" s="151" t="s">
        <v>3996</v>
      </c>
      <c r="D1277" s="151">
        <f>+2348066380548</f>
        <v>2348066380548</v>
      </c>
      <c r="F1277" s="6" t="s">
        <v>168</v>
      </c>
      <c r="G1277" s="6" t="s">
        <v>1654</v>
      </c>
    </row>
    <row r="1278" ht="15.75" customHeight="1">
      <c r="A1278" s="155">
        <v>6763897.0</v>
      </c>
      <c r="B1278" s="151" t="s">
        <v>3997</v>
      </c>
      <c r="C1278" s="151" t="s">
        <v>3998</v>
      </c>
      <c r="D1278" s="151">
        <f>+2348135979894</f>
        <v>2348135979894</v>
      </c>
      <c r="F1278" s="6" t="s">
        <v>168</v>
      </c>
      <c r="G1278" s="6" t="s">
        <v>1654</v>
      </c>
    </row>
    <row r="1279" ht="15.75" customHeight="1">
      <c r="A1279" s="155">
        <v>6763897.0</v>
      </c>
      <c r="B1279" s="151" t="s">
        <v>3999</v>
      </c>
      <c r="C1279" s="151" t="s">
        <v>4000</v>
      </c>
      <c r="D1279" s="151">
        <f>+2348163753099</f>
        <v>2348163753099</v>
      </c>
      <c r="F1279" s="6" t="s">
        <v>168</v>
      </c>
      <c r="G1279" s="6" t="s">
        <v>1654</v>
      </c>
    </row>
    <row r="1280" ht="15.75" customHeight="1">
      <c r="A1280" s="155">
        <v>6763897.0</v>
      </c>
      <c r="B1280" s="151" t="s">
        <v>4001</v>
      </c>
      <c r="C1280" s="151" t="s">
        <v>4002</v>
      </c>
      <c r="D1280" s="151">
        <f>+2348033208101</f>
        <v>2348033208101</v>
      </c>
      <c r="F1280" s="6" t="s">
        <v>168</v>
      </c>
      <c r="G1280" s="6" t="s">
        <v>1654</v>
      </c>
    </row>
    <row r="1281" ht="15.75" customHeight="1">
      <c r="A1281" s="155">
        <v>6763897.0</v>
      </c>
      <c r="B1281" s="151" t="s">
        <v>4003</v>
      </c>
      <c r="C1281" s="151" t="s">
        <v>4004</v>
      </c>
      <c r="D1281" s="151">
        <f>+2348053827979</f>
        <v>2348053827979</v>
      </c>
      <c r="F1281" s="6" t="s">
        <v>168</v>
      </c>
      <c r="G1281" s="6" t="s">
        <v>1654</v>
      </c>
    </row>
    <row r="1282" ht="15.75" customHeight="1">
      <c r="A1282" s="155">
        <v>6763897.0</v>
      </c>
      <c r="B1282" s="151" t="s">
        <v>4005</v>
      </c>
      <c r="C1282" s="151" t="s">
        <v>4006</v>
      </c>
      <c r="D1282" s="151">
        <f>+2348035158921</f>
        <v>2348035158921</v>
      </c>
      <c r="F1282" s="6" t="s">
        <v>168</v>
      </c>
      <c r="G1282" s="6" t="s">
        <v>1654</v>
      </c>
    </row>
    <row r="1283" ht="15.75" customHeight="1">
      <c r="A1283" s="155">
        <v>6763897.0</v>
      </c>
      <c r="B1283" s="151" t="s">
        <v>4007</v>
      </c>
      <c r="C1283" s="151" t="s">
        <v>4008</v>
      </c>
      <c r="D1283" s="151">
        <f>+2348110834481</f>
        <v>2348110834481</v>
      </c>
      <c r="F1283" s="6" t="s">
        <v>168</v>
      </c>
      <c r="G1283" s="6" t="s">
        <v>1654</v>
      </c>
    </row>
    <row r="1284" ht="15.75" customHeight="1">
      <c r="A1284" s="155">
        <v>6763897.0</v>
      </c>
      <c r="B1284" s="151" t="s">
        <v>4009</v>
      </c>
      <c r="C1284" s="151" t="s">
        <v>4010</v>
      </c>
      <c r="D1284" s="151">
        <f>+2348064683590</f>
        <v>2348064683590</v>
      </c>
      <c r="F1284" s="6" t="s">
        <v>168</v>
      </c>
      <c r="G1284" s="6" t="s">
        <v>1654</v>
      </c>
    </row>
    <row r="1285" ht="15.75" customHeight="1">
      <c r="A1285" s="155">
        <v>6763897.0</v>
      </c>
      <c r="B1285" s="151" t="s">
        <v>4011</v>
      </c>
      <c r="C1285" s="151" t="s">
        <v>4012</v>
      </c>
      <c r="D1285" s="151">
        <f>+23408101526321</f>
        <v>23408101526321</v>
      </c>
      <c r="F1285" s="6" t="s">
        <v>168</v>
      </c>
      <c r="G1285" s="6" t="s">
        <v>1654</v>
      </c>
    </row>
    <row r="1286" ht="15.75" customHeight="1">
      <c r="A1286" s="155">
        <v>6763897.0</v>
      </c>
      <c r="B1286" s="151" t="s">
        <v>3445</v>
      </c>
      <c r="C1286" s="151" t="s">
        <v>3446</v>
      </c>
      <c r="D1286" s="151">
        <f>+23408030722545</f>
        <v>23408030722545</v>
      </c>
      <c r="F1286" s="6" t="s">
        <v>168</v>
      </c>
      <c r="G1286" s="6" t="s">
        <v>1654</v>
      </c>
    </row>
    <row r="1287" ht="15.75" customHeight="1">
      <c r="A1287" s="155">
        <v>6763897.0</v>
      </c>
      <c r="B1287" s="151" t="s">
        <v>4013</v>
      </c>
      <c r="C1287" s="151" t="s">
        <v>4014</v>
      </c>
      <c r="D1287" s="151">
        <f>+2348036995841</f>
        <v>2348036995841</v>
      </c>
      <c r="F1287" s="6" t="s">
        <v>168</v>
      </c>
      <c r="G1287" s="6" t="s">
        <v>1654</v>
      </c>
    </row>
    <row r="1288" ht="15.75" customHeight="1">
      <c r="A1288" s="155">
        <v>6763897.0</v>
      </c>
      <c r="B1288" s="151" t="s">
        <v>4015</v>
      </c>
      <c r="C1288" s="151" t="s">
        <v>4016</v>
      </c>
      <c r="D1288" s="151">
        <f>+2347066091700</f>
        <v>2347066091700</v>
      </c>
      <c r="F1288" s="6" t="s">
        <v>168</v>
      </c>
      <c r="G1288" s="6" t="s">
        <v>1654</v>
      </c>
    </row>
    <row r="1289" ht="15.75" customHeight="1">
      <c r="A1289" s="155">
        <v>6763897.0</v>
      </c>
      <c r="B1289" s="151" t="s">
        <v>4017</v>
      </c>
      <c r="C1289" s="151" t="s">
        <v>4018</v>
      </c>
      <c r="D1289" s="151">
        <f>+2348120399905</f>
        <v>2348120399905</v>
      </c>
      <c r="F1289" s="6" t="s">
        <v>168</v>
      </c>
      <c r="G1289" s="6" t="s">
        <v>1654</v>
      </c>
    </row>
    <row r="1290" ht="15.75" customHeight="1">
      <c r="A1290" s="155">
        <v>6763897.0</v>
      </c>
      <c r="B1290" s="151" t="s">
        <v>4019</v>
      </c>
      <c r="C1290" s="151" t="s">
        <v>4020</v>
      </c>
      <c r="D1290" s="151">
        <f>+2348058428002</f>
        <v>2348058428002</v>
      </c>
      <c r="F1290" s="6" t="s">
        <v>168</v>
      </c>
      <c r="G1290" s="6" t="s">
        <v>1654</v>
      </c>
    </row>
    <row r="1291" ht="15.75" customHeight="1">
      <c r="A1291" s="155">
        <v>6763897.0</v>
      </c>
      <c r="B1291" s="151" t="s">
        <v>4021</v>
      </c>
      <c r="C1291" s="151" t="s">
        <v>4022</v>
      </c>
      <c r="D1291" s="151">
        <f>+2348038484893</f>
        <v>2348038484893</v>
      </c>
      <c r="F1291" s="6" t="s">
        <v>168</v>
      </c>
      <c r="G1291" s="6" t="s">
        <v>1654</v>
      </c>
    </row>
    <row r="1292" ht="15.75" customHeight="1">
      <c r="A1292" s="155">
        <v>6763897.0</v>
      </c>
      <c r="B1292" s="151" t="s">
        <v>4023</v>
      </c>
      <c r="C1292" s="151" t="s">
        <v>4024</v>
      </c>
      <c r="D1292" s="151">
        <f>+2348134339989</f>
        <v>2348134339989</v>
      </c>
      <c r="F1292" s="6" t="s">
        <v>168</v>
      </c>
      <c r="G1292" s="6" t="s">
        <v>1654</v>
      </c>
    </row>
    <row r="1293" ht="15.75" customHeight="1">
      <c r="A1293" s="155">
        <v>6763897.0</v>
      </c>
      <c r="B1293" s="151" t="s">
        <v>4025</v>
      </c>
      <c r="C1293" s="151" t="s">
        <v>4026</v>
      </c>
      <c r="D1293" s="151">
        <f>+2348033230325</f>
        <v>2348033230325</v>
      </c>
      <c r="F1293" s="6" t="s">
        <v>168</v>
      </c>
      <c r="G1293" s="6" t="s">
        <v>1654</v>
      </c>
    </row>
    <row r="1294" ht="15.75" customHeight="1">
      <c r="A1294" s="155">
        <v>6763897.0</v>
      </c>
      <c r="B1294" s="151" t="s">
        <v>4027</v>
      </c>
      <c r="C1294" s="151" t="s">
        <v>4028</v>
      </c>
      <c r="D1294" s="151">
        <f>+2348064627103</f>
        <v>2348064627103</v>
      </c>
      <c r="F1294" s="6" t="s">
        <v>168</v>
      </c>
      <c r="G1294" s="6" t="s">
        <v>1654</v>
      </c>
    </row>
    <row r="1295" ht="15.75" customHeight="1">
      <c r="A1295" s="155">
        <v>6763897.0</v>
      </c>
      <c r="B1295" s="151" t="s">
        <v>4029</v>
      </c>
      <c r="C1295" s="151" t="s">
        <v>4030</v>
      </c>
      <c r="D1295" s="151">
        <f>+2348064572642</f>
        <v>2348064572642</v>
      </c>
      <c r="F1295" s="6" t="s">
        <v>168</v>
      </c>
      <c r="G1295" s="6" t="s">
        <v>1654</v>
      </c>
    </row>
    <row r="1296" ht="15.75" customHeight="1">
      <c r="A1296" s="155">
        <v>6763897.0</v>
      </c>
      <c r="B1296" s="151" t="s">
        <v>4031</v>
      </c>
      <c r="C1296" s="151" t="s">
        <v>4032</v>
      </c>
      <c r="D1296" s="151">
        <f>+2348036857731</f>
        <v>2348036857731</v>
      </c>
      <c r="F1296" s="6" t="s">
        <v>168</v>
      </c>
      <c r="G1296" s="6" t="s">
        <v>1654</v>
      </c>
    </row>
    <row r="1297" ht="15.75" customHeight="1">
      <c r="A1297" s="155">
        <v>6763897.0</v>
      </c>
      <c r="B1297" s="151" t="s">
        <v>4033</v>
      </c>
      <c r="C1297" s="151" t="s">
        <v>4034</v>
      </c>
      <c r="D1297" s="151">
        <f>+2348064651961</f>
        <v>2348064651961</v>
      </c>
      <c r="F1297" s="6" t="s">
        <v>168</v>
      </c>
      <c r="G1297" s="6" t="s">
        <v>1654</v>
      </c>
    </row>
    <row r="1298" ht="15.75" customHeight="1">
      <c r="A1298" s="155">
        <v>6763897.0</v>
      </c>
      <c r="B1298" s="151" t="s">
        <v>4035</v>
      </c>
      <c r="C1298" s="151" t="s">
        <v>4036</v>
      </c>
      <c r="D1298" s="151">
        <f>+23407069633563</f>
        <v>23407069633563</v>
      </c>
      <c r="F1298" s="6" t="s">
        <v>168</v>
      </c>
      <c r="G1298" s="6" t="s">
        <v>1654</v>
      </c>
    </row>
    <row r="1299" ht="15.75" customHeight="1">
      <c r="A1299" s="155">
        <v>6763897.0</v>
      </c>
      <c r="B1299" s="151" t="s">
        <v>4037</v>
      </c>
      <c r="C1299" s="151" t="s">
        <v>4038</v>
      </c>
      <c r="D1299" s="151">
        <f>+2348093342010</f>
        <v>2348093342010</v>
      </c>
      <c r="F1299" s="6" t="s">
        <v>168</v>
      </c>
      <c r="G1299" s="6" t="s">
        <v>1654</v>
      </c>
    </row>
    <row r="1300" ht="15.75" customHeight="1">
      <c r="A1300" s="155">
        <v>6763897.0</v>
      </c>
      <c r="B1300" s="151" t="s">
        <v>4039</v>
      </c>
      <c r="C1300" s="151" t="s">
        <v>2132</v>
      </c>
      <c r="D1300" s="151">
        <f>+23409030012080</f>
        <v>23409030012080</v>
      </c>
      <c r="F1300" s="6" t="s">
        <v>168</v>
      </c>
      <c r="G1300" s="6" t="s">
        <v>1654</v>
      </c>
    </row>
    <row r="1301" ht="15.75" customHeight="1">
      <c r="A1301" s="155">
        <v>6763897.0</v>
      </c>
      <c r="B1301" s="151" t="s">
        <v>4040</v>
      </c>
      <c r="C1301" s="151" t="s">
        <v>4041</v>
      </c>
      <c r="D1301" s="151">
        <f>+2348063291272</f>
        <v>2348063291272</v>
      </c>
      <c r="F1301" s="6" t="s">
        <v>168</v>
      </c>
      <c r="G1301" s="6" t="s">
        <v>1654</v>
      </c>
    </row>
    <row r="1302" ht="15.75" customHeight="1">
      <c r="A1302" s="155">
        <v>6763897.0</v>
      </c>
      <c r="B1302" s="151" t="s">
        <v>4042</v>
      </c>
      <c r="C1302" s="151" t="s">
        <v>4043</v>
      </c>
      <c r="D1302" s="151">
        <f>+2348033319489</f>
        <v>2348033319489</v>
      </c>
      <c r="F1302" s="6" t="s">
        <v>168</v>
      </c>
      <c r="G1302" s="6" t="s">
        <v>1654</v>
      </c>
    </row>
    <row r="1303" ht="15.75" customHeight="1">
      <c r="A1303" s="155">
        <v>6763897.0</v>
      </c>
      <c r="B1303" s="151" t="s">
        <v>4044</v>
      </c>
      <c r="C1303" s="151" t="s">
        <v>4045</v>
      </c>
      <c r="D1303" s="151">
        <f>+2348062801570</f>
        <v>2348062801570</v>
      </c>
      <c r="F1303" s="6" t="s">
        <v>168</v>
      </c>
      <c r="G1303" s="6" t="s">
        <v>1654</v>
      </c>
    </row>
    <row r="1304" ht="15.75" customHeight="1">
      <c r="A1304" s="155">
        <v>6763897.0</v>
      </c>
      <c r="B1304" s="151" t="s">
        <v>4046</v>
      </c>
      <c r="C1304" s="151" t="s">
        <v>4047</v>
      </c>
      <c r="D1304" s="151">
        <f>+2347031314121</f>
        <v>2347031314121</v>
      </c>
      <c r="F1304" s="6" t="s">
        <v>168</v>
      </c>
      <c r="G1304" s="6" t="s">
        <v>1654</v>
      </c>
    </row>
    <row r="1305" ht="15.75" customHeight="1">
      <c r="A1305" s="155">
        <v>6763897.0</v>
      </c>
      <c r="B1305" s="151" t="s">
        <v>4048</v>
      </c>
      <c r="C1305" s="151" t="s">
        <v>4049</v>
      </c>
      <c r="D1305" s="151">
        <f>+2348032823565</f>
        <v>2348032823565</v>
      </c>
      <c r="F1305" s="6" t="s">
        <v>168</v>
      </c>
      <c r="G1305" s="6" t="s">
        <v>1654</v>
      </c>
    </row>
    <row r="1306" ht="15.75" customHeight="1">
      <c r="A1306" s="155">
        <v>6763897.0</v>
      </c>
      <c r="B1306" s="151" t="s">
        <v>4050</v>
      </c>
      <c r="C1306" s="151" t="s">
        <v>4051</v>
      </c>
      <c r="D1306" s="151">
        <f>+2348090470127</f>
        <v>2348090470127</v>
      </c>
      <c r="F1306" s="6" t="s">
        <v>168</v>
      </c>
      <c r="G1306" s="6" t="s">
        <v>1654</v>
      </c>
    </row>
    <row r="1307" ht="15.75" customHeight="1">
      <c r="A1307" s="155">
        <v>6763897.0</v>
      </c>
      <c r="B1307" s="151" t="s">
        <v>4052</v>
      </c>
      <c r="C1307" s="151" t="s">
        <v>4053</v>
      </c>
      <c r="D1307" s="151">
        <f>+2348127845969</f>
        <v>2348127845969</v>
      </c>
      <c r="F1307" s="6" t="s">
        <v>168</v>
      </c>
      <c r="G1307" s="6" t="s">
        <v>1654</v>
      </c>
    </row>
    <row r="1308" ht="15.75" customHeight="1">
      <c r="A1308" s="155">
        <v>6763897.0</v>
      </c>
      <c r="B1308" s="151" t="s">
        <v>4054</v>
      </c>
      <c r="C1308" s="151" t="s">
        <v>4055</v>
      </c>
      <c r="D1308" s="151">
        <f>+23408082688898</f>
        <v>23408082688898</v>
      </c>
      <c r="F1308" s="6" t="s">
        <v>168</v>
      </c>
      <c r="G1308" s="6" t="s">
        <v>1654</v>
      </c>
    </row>
    <row r="1309" ht="15.75" customHeight="1">
      <c r="A1309" s="155">
        <v>6763897.0</v>
      </c>
      <c r="B1309" s="151" t="s">
        <v>4056</v>
      </c>
      <c r="C1309" s="151" t="s">
        <v>4057</v>
      </c>
      <c r="D1309" s="151">
        <f>+23795884673</f>
        <v>23795884673</v>
      </c>
      <c r="F1309" s="6" t="s">
        <v>168</v>
      </c>
      <c r="G1309" s="6" t="s">
        <v>1654</v>
      </c>
    </row>
    <row r="1310" ht="15.75" customHeight="1">
      <c r="A1310" s="155">
        <v>6763897.0</v>
      </c>
      <c r="B1310" s="151" t="s">
        <v>4058</v>
      </c>
      <c r="C1310" s="151" t="s">
        <v>4059</v>
      </c>
      <c r="D1310" s="151">
        <f>+2348055084892</f>
        <v>2348055084892</v>
      </c>
      <c r="F1310" s="6" t="s">
        <v>168</v>
      </c>
      <c r="G1310" s="6" t="s">
        <v>1654</v>
      </c>
    </row>
    <row r="1311" ht="15.75" customHeight="1">
      <c r="A1311" s="155">
        <v>6763897.0</v>
      </c>
      <c r="B1311" s="151" t="s">
        <v>4060</v>
      </c>
      <c r="C1311" s="151" t="s">
        <v>4061</v>
      </c>
      <c r="D1311" s="151">
        <f>+2347068349439</f>
        <v>2347068349439</v>
      </c>
      <c r="F1311" s="6" t="s">
        <v>168</v>
      </c>
      <c r="G1311" s="6" t="s">
        <v>1654</v>
      </c>
    </row>
    <row r="1312" ht="15.75" customHeight="1">
      <c r="A1312" s="155">
        <v>6763897.0</v>
      </c>
      <c r="B1312" s="151" t="s">
        <v>1901</v>
      </c>
      <c r="C1312" s="151" t="s">
        <v>4062</v>
      </c>
      <c r="D1312" s="151">
        <f>+2348038850404</f>
        <v>2348038850404</v>
      </c>
      <c r="F1312" s="6" t="s">
        <v>168</v>
      </c>
      <c r="G1312" s="6" t="s">
        <v>1654</v>
      </c>
    </row>
    <row r="1313" ht="15.75" customHeight="1">
      <c r="A1313" s="155">
        <v>6763897.0</v>
      </c>
      <c r="B1313" s="151" t="s">
        <v>4063</v>
      </c>
      <c r="C1313" s="151" t="s">
        <v>4064</v>
      </c>
      <c r="D1313" s="151">
        <f>+2348051246721</f>
        <v>2348051246721</v>
      </c>
      <c r="F1313" s="6" t="s">
        <v>168</v>
      </c>
      <c r="G1313" s="6" t="s">
        <v>1654</v>
      </c>
    </row>
    <row r="1314" ht="15.75" customHeight="1">
      <c r="A1314" s="155">
        <v>6763897.0</v>
      </c>
      <c r="B1314" s="151" t="s">
        <v>4065</v>
      </c>
      <c r="C1314" s="151" t="s">
        <v>4066</v>
      </c>
      <c r="D1314" s="151">
        <f>+2349034607564</f>
        <v>2349034607564</v>
      </c>
      <c r="F1314" s="6" t="s">
        <v>168</v>
      </c>
      <c r="G1314" s="6" t="s">
        <v>1654</v>
      </c>
    </row>
    <row r="1315" ht="15.75" customHeight="1">
      <c r="A1315" s="155">
        <v>6763897.0</v>
      </c>
      <c r="B1315" s="151" t="s">
        <v>4067</v>
      </c>
      <c r="C1315" s="151" t="s">
        <v>4068</v>
      </c>
      <c r="D1315" s="151">
        <f>+2348091142379</f>
        <v>2348091142379</v>
      </c>
      <c r="F1315" s="6" t="s">
        <v>168</v>
      </c>
      <c r="G1315" s="6" t="s">
        <v>1654</v>
      </c>
    </row>
    <row r="1316" ht="15.75" customHeight="1">
      <c r="A1316" s="155">
        <v>6763897.0</v>
      </c>
      <c r="B1316" s="151" t="s">
        <v>4069</v>
      </c>
      <c r="C1316" s="151" t="s">
        <v>4070</v>
      </c>
      <c r="D1316" s="151">
        <f>+2348099321237</f>
        <v>2348099321237</v>
      </c>
      <c r="F1316" s="6" t="s">
        <v>168</v>
      </c>
      <c r="G1316" s="6" t="s">
        <v>1654</v>
      </c>
    </row>
    <row r="1317" ht="15.75" customHeight="1">
      <c r="A1317" s="155">
        <v>6763897.0</v>
      </c>
      <c r="B1317" s="151" t="s">
        <v>4071</v>
      </c>
      <c r="C1317" s="151" t="s">
        <v>4072</v>
      </c>
      <c r="D1317" s="151">
        <f>+2348032378299</f>
        <v>2348032378299</v>
      </c>
      <c r="F1317" s="6" t="s">
        <v>168</v>
      </c>
      <c r="G1317" s="6" t="s">
        <v>1654</v>
      </c>
    </row>
    <row r="1318" ht="15.75" customHeight="1">
      <c r="A1318" s="155">
        <v>6763897.0</v>
      </c>
      <c r="B1318" s="151" t="s">
        <v>4073</v>
      </c>
      <c r="C1318" s="151" t="s">
        <v>4074</v>
      </c>
      <c r="D1318" s="151">
        <f>+2348154152984</f>
        <v>2348154152984</v>
      </c>
      <c r="F1318" s="6" t="s">
        <v>168</v>
      </c>
      <c r="G1318" s="6" t="s">
        <v>1654</v>
      </c>
    </row>
    <row r="1319" ht="15.75" customHeight="1">
      <c r="A1319" s="155">
        <v>6763897.0</v>
      </c>
      <c r="B1319" s="151" t="s">
        <v>4075</v>
      </c>
      <c r="C1319" s="151" t="s">
        <v>4076</v>
      </c>
      <c r="D1319" s="151">
        <f>+2348148694149</f>
        <v>2348148694149</v>
      </c>
      <c r="F1319" s="6" t="s">
        <v>168</v>
      </c>
      <c r="G1319" s="6" t="s">
        <v>1654</v>
      </c>
    </row>
    <row r="1320" ht="15.75" customHeight="1">
      <c r="A1320" s="155">
        <v>6763897.0</v>
      </c>
      <c r="B1320" s="151" t="s">
        <v>4077</v>
      </c>
      <c r="C1320" s="151" t="s">
        <v>4078</v>
      </c>
      <c r="D1320" s="151">
        <f>+2348036383947</f>
        <v>2348036383947</v>
      </c>
      <c r="F1320" s="6" t="s">
        <v>168</v>
      </c>
      <c r="G1320" s="6" t="s">
        <v>1654</v>
      </c>
    </row>
    <row r="1321" ht="15.75" customHeight="1">
      <c r="A1321" s="155">
        <v>6763897.0</v>
      </c>
      <c r="B1321" s="151" t="s">
        <v>4079</v>
      </c>
      <c r="C1321" s="151" t="s">
        <v>4080</v>
      </c>
      <c r="D1321" s="151">
        <f>+2348029052683</f>
        <v>2348029052683</v>
      </c>
      <c r="F1321" s="6" t="s">
        <v>168</v>
      </c>
      <c r="G1321" s="6" t="s">
        <v>1654</v>
      </c>
    </row>
    <row r="1322" ht="15.75" customHeight="1">
      <c r="A1322" s="155">
        <v>6763897.0</v>
      </c>
      <c r="B1322" s="151" t="s">
        <v>4081</v>
      </c>
      <c r="C1322" s="151" t="s">
        <v>4082</v>
      </c>
      <c r="D1322" s="151">
        <f>+2348173263366</f>
        <v>2348173263366</v>
      </c>
      <c r="F1322" s="6" t="s">
        <v>168</v>
      </c>
      <c r="G1322" s="6" t="s">
        <v>1654</v>
      </c>
    </row>
    <row r="1323" ht="15.75" customHeight="1">
      <c r="A1323" s="155">
        <v>6763897.0</v>
      </c>
      <c r="B1323" s="151" t="s">
        <v>4083</v>
      </c>
      <c r="C1323" s="151" t="s">
        <v>4084</v>
      </c>
      <c r="D1323" s="151">
        <f>+2349030308936</f>
        <v>2349030308936</v>
      </c>
      <c r="F1323" s="6" t="s">
        <v>168</v>
      </c>
      <c r="G1323" s="6" t="s">
        <v>1654</v>
      </c>
    </row>
    <row r="1324" ht="15.75" customHeight="1">
      <c r="A1324" s="155">
        <v>6763897.0</v>
      </c>
      <c r="B1324" s="151" t="s">
        <v>4085</v>
      </c>
      <c r="C1324" s="151" t="s">
        <v>4086</v>
      </c>
      <c r="D1324" s="151">
        <f>+2347033993990</f>
        <v>2347033993990</v>
      </c>
      <c r="F1324" s="6" t="s">
        <v>168</v>
      </c>
      <c r="G1324" s="6" t="s">
        <v>1654</v>
      </c>
    </row>
    <row r="1325" ht="15.75" customHeight="1">
      <c r="A1325" s="155">
        <v>6763897.0</v>
      </c>
      <c r="B1325" s="151" t="s">
        <v>1837</v>
      </c>
      <c r="C1325" s="151" t="s">
        <v>1838</v>
      </c>
      <c r="D1325" s="151">
        <f>+2348035660798</f>
        <v>2348035660798</v>
      </c>
      <c r="F1325" s="6" t="s">
        <v>168</v>
      </c>
      <c r="G1325" s="6" t="s">
        <v>1654</v>
      </c>
    </row>
    <row r="1326" ht="15.75" customHeight="1">
      <c r="A1326" s="155">
        <v>6763897.0</v>
      </c>
      <c r="B1326" s="151" t="s">
        <v>4087</v>
      </c>
      <c r="C1326" s="151" t="s">
        <v>4088</v>
      </c>
      <c r="D1326" s="151">
        <f>+2348023493304</f>
        <v>2348023493304</v>
      </c>
      <c r="F1326" s="6" t="s">
        <v>168</v>
      </c>
      <c r="G1326" s="6" t="s">
        <v>1654</v>
      </c>
    </row>
    <row r="1327" ht="15.75" customHeight="1">
      <c r="A1327" s="155">
        <v>6763897.0</v>
      </c>
      <c r="B1327" s="151" t="s">
        <v>4089</v>
      </c>
      <c r="C1327" s="151" t="s">
        <v>4090</v>
      </c>
      <c r="D1327" s="151">
        <f>+2348026367246</f>
        <v>2348026367246</v>
      </c>
      <c r="F1327" s="6" t="s">
        <v>168</v>
      </c>
      <c r="G1327" s="6" t="s">
        <v>1654</v>
      </c>
    </row>
    <row r="1328" ht="15.75" customHeight="1">
      <c r="A1328" s="155">
        <v>6763897.0</v>
      </c>
      <c r="B1328" s="151" t="s">
        <v>4091</v>
      </c>
      <c r="C1328" s="151" t="s">
        <v>4092</v>
      </c>
      <c r="D1328" s="151">
        <f>+2347036267881</f>
        <v>2347036267881</v>
      </c>
      <c r="F1328" s="6" t="s">
        <v>168</v>
      </c>
      <c r="G1328" s="6" t="s">
        <v>1654</v>
      </c>
    </row>
    <row r="1329" ht="15.75" customHeight="1">
      <c r="A1329" s="155">
        <v>6763897.0</v>
      </c>
      <c r="B1329" s="151" t="s">
        <v>4093</v>
      </c>
      <c r="C1329" s="151" t="s">
        <v>4094</v>
      </c>
      <c r="D1329" s="151">
        <f>+2348029591306</f>
        <v>2348029591306</v>
      </c>
      <c r="F1329" s="6" t="s">
        <v>168</v>
      </c>
      <c r="G1329" s="6" t="s">
        <v>1654</v>
      </c>
    </row>
    <row r="1330" ht="15.75" customHeight="1">
      <c r="A1330" s="155">
        <v>6763897.0</v>
      </c>
      <c r="B1330" s="151" t="s">
        <v>4095</v>
      </c>
      <c r="C1330" s="151" t="s">
        <v>4096</v>
      </c>
      <c r="D1330" s="151">
        <f>+2348035386397</f>
        <v>2348035386397</v>
      </c>
      <c r="F1330" s="6" t="s">
        <v>168</v>
      </c>
      <c r="G1330" s="6" t="s">
        <v>1654</v>
      </c>
    </row>
    <row r="1331" ht="15.75" customHeight="1">
      <c r="A1331" s="155">
        <v>6763897.0</v>
      </c>
      <c r="B1331" s="151" t="s">
        <v>4097</v>
      </c>
      <c r="C1331" s="151" t="s">
        <v>4098</v>
      </c>
      <c r="D1331" s="151">
        <f>+2348151305875</f>
        <v>2348151305875</v>
      </c>
      <c r="F1331" s="6" t="s">
        <v>168</v>
      </c>
      <c r="G1331" s="6" t="s">
        <v>1654</v>
      </c>
    </row>
    <row r="1332" ht="15.75" customHeight="1">
      <c r="A1332" s="155">
        <v>6763897.0</v>
      </c>
      <c r="B1332" s="151" t="s">
        <v>4099</v>
      </c>
      <c r="C1332" s="151" t="s">
        <v>4100</v>
      </c>
      <c r="D1332" s="151">
        <f>+2348091500719</f>
        <v>2348091500719</v>
      </c>
      <c r="F1332" s="6" t="s">
        <v>168</v>
      </c>
      <c r="G1332" s="6" t="s">
        <v>1654</v>
      </c>
    </row>
    <row r="1333" ht="15.75" customHeight="1">
      <c r="A1333" s="155">
        <v>6763897.0</v>
      </c>
      <c r="B1333" s="151" t="s">
        <v>4101</v>
      </c>
      <c r="C1333" s="151" t="s">
        <v>4102</v>
      </c>
      <c r="D1333" s="151">
        <f>+2348034300322</f>
        <v>2348034300322</v>
      </c>
      <c r="F1333" s="6" t="s">
        <v>168</v>
      </c>
      <c r="G1333" s="6" t="s">
        <v>1654</v>
      </c>
    </row>
    <row r="1334" ht="15.75" customHeight="1">
      <c r="A1334" s="155">
        <v>6763897.0</v>
      </c>
      <c r="B1334" s="151" t="s">
        <v>4103</v>
      </c>
      <c r="C1334" s="151" t="s">
        <v>4104</v>
      </c>
      <c r="D1334" s="151">
        <f>+2348138695581</f>
        <v>2348138695581</v>
      </c>
      <c r="F1334" s="6" t="s">
        <v>168</v>
      </c>
      <c r="G1334" s="6" t="s">
        <v>1654</v>
      </c>
    </row>
    <row r="1335" ht="15.75" customHeight="1">
      <c r="A1335" s="155">
        <v>6763897.0</v>
      </c>
      <c r="B1335" s="151" t="s">
        <v>4105</v>
      </c>
      <c r="C1335" s="151" t="s">
        <v>4106</v>
      </c>
      <c r="D1335" s="151">
        <f>+2348038561820</f>
        <v>2348038561820</v>
      </c>
      <c r="F1335" s="6" t="s">
        <v>168</v>
      </c>
      <c r="G1335" s="6" t="s">
        <v>1654</v>
      </c>
    </row>
    <row r="1336" ht="15.75" customHeight="1">
      <c r="A1336" s="155">
        <v>6763897.0</v>
      </c>
      <c r="B1336" s="151" t="s">
        <v>4107</v>
      </c>
      <c r="C1336" s="151" t="s">
        <v>4108</v>
      </c>
      <c r="D1336" s="151">
        <f>+2348127684303</f>
        <v>2348127684303</v>
      </c>
      <c r="F1336" s="6" t="s">
        <v>168</v>
      </c>
      <c r="G1336" s="6" t="s">
        <v>1654</v>
      </c>
    </row>
    <row r="1337" ht="15.75" customHeight="1">
      <c r="A1337" s="155">
        <v>6763897.0</v>
      </c>
      <c r="B1337" s="151" t="s">
        <v>4109</v>
      </c>
      <c r="C1337" s="151" t="s">
        <v>4110</v>
      </c>
      <c r="D1337" s="151">
        <f>+2348083434211</f>
        <v>2348083434211</v>
      </c>
      <c r="F1337" s="6" t="s">
        <v>168</v>
      </c>
      <c r="G1337" s="6" t="s">
        <v>1654</v>
      </c>
    </row>
    <row r="1338" ht="15.75" customHeight="1">
      <c r="A1338" s="155">
        <v>6763897.0</v>
      </c>
      <c r="B1338" s="151" t="s">
        <v>4111</v>
      </c>
      <c r="C1338" s="151" t="s">
        <v>4112</v>
      </c>
      <c r="D1338" s="151">
        <f>+2348065116662</f>
        <v>2348065116662</v>
      </c>
      <c r="F1338" s="6" t="s">
        <v>168</v>
      </c>
      <c r="G1338" s="6" t="s">
        <v>1654</v>
      </c>
    </row>
    <row r="1339" ht="15.75" customHeight="1">
      <c r="A1339" s="155">
        <v>6763897.0</v>
      </c>
      <c r="B1339" s="151" t="s">
        <v>4113</v>
      </c>
      <c r="C1339" s="151" t="s">
        <v>4114</v>
      </c>
      <c r="D1339" s="151">
        <f>+2347031395090</f>
        <v>2347031395090</v>
      </c>
      <c r="F1339" s="6" t="s">
        <v>97</v>
      </c>
      <c r="G1339" s="6" t="s">
        <v>1654</v>
      </c>
    </row>
    <row r="1340" ht="15.75" customHeight="1">
      <c r="A1340" s="155">
        <v>6763897.0</v>
      </c>
      <c r="B1340" s="151" t="s">
        <v>4115</v>
      </c>
      <c r="C1340" s="151" t="s">
        <v>4116</v>
      </c>
      <c r="D1340" s="151">
        <f>+2348138282834</f>
        <v>2348138282834</v>
      </c>
      <c r="F1340" s="6" t="s">
        <v>97</v>
      </c>
      <c r="G1340" s="6" t="s">
        <v>1654</v>
      </c>
    </row>
    <row r="1341" ht="15.75" customHeight="1">
      <c r="A1341" s="155">
        <v>6763897.0</v>
      </c>
      <c r="B1341" s="151" t="s">
        <v>4117</v>
      </c>
      <c r="C1341" s="151" t="s">
        <v>4118</v>
      </c>
      <c r="D1341" s="151">
        <f>+23408024305236</f>
        <v>23408024305236</v>
      </c>
      <c r="F1341" s="6" t="s">
        <v>97</v>
      </c>
      <c r="G1341" s="6" t="s">
        <v>1654</v>
      </c>
    </row>
    <row r="1342" ht="15.75" customHeight="1">
      <c r="A1342" s="155">
        <v>6763897.0</v>
      </c>
      <c r="B1342" s="151" t="s">
        <v>4119</v>
      </c>
      <c r="C1342" s="151" t="s">
        <v>4120</v>
      </c>
      <c r="D1342" s="151">
        <f>+2347034671381</f>
        <v>2347034671381</v>
      </c>
      <c r="F1342" s="6" t="s">
        <v>97</v>
      </c>
      <c r="G1342" s="6" t="s">
        <v>1654</v>
      </c>
    </row>
    <row r="1343" ht="15.75" customHeight="1">
      <c r="A1343" s="155">
        <v>6763897.0</v>
      </c>
      <c r="B1343" s="151" t="s">
        <v>4121</v>
      </c>
      <c r="C1343" s="151" t="s">
        <v>4122</v>
      </c>
      <c r="D1343" s="151">
        <f>+2348034058200</f>
        <v>2348034058200</v>
      </c>
      <c r="F1343" s="6" t="s">
        <v>97</v>
      </c>
      <c r="G1343" s="6" t="s">
        <v>1654</v>
      </c>
    </row>
    <row r="1344" ht="15.75" customHeight="1">
      <c r="A1344" s="155">
        <v>6763897.0</v>
      </c>
      <c r="B1344" s="151" t="s">
        <v>4123</v>
      </c>
      <c r="C1344" s="151" t="s">
        <v>4124</v>
      </c>
      <c r="D1344" s="151">
        <f>+2348037064015</f>
        <v>2348037064015</v>
      </c>
      <c r="F1344" s="6" t="s">
        <v>97</v>
      </c>
      <c r="G1344" s="6" t="s">
        <v>1654</v>
      </c>
    </row>
    <row r="1345" ht="15.75" customHeight="1">
      <c r="A1345" s="155">
        <v>6763897.0</v>
      </c>
      <c r="B1345" s="151" t="s">
        <v>4125</v>
      </c>
      <c r="C1345" s="151" t="s">
        <v>4126</v>
      </c>
      <c r="D1345" s="151">
        <f>+2348185205934</f>
        <v>2348185205934</v>
      </c>
      <c r="F1345" s="6" t="s">
        <v>97</v>
      </c>
      <c r="G1345" s="6" t="s">
        <v>1654</v>
      </c>
    </row>
    <row r="1346" ht="15.75" customHeight="1">
      <c r="A1346" s="155">
        <v>6763897.0</v>
      </c>
      <c r="B1346" s="151" t="s">
        <v>4127</v>
      </c>
      <c r="C1346" s="151" t="s">
        <v>4128</v>
      </c>
      <c r="D1346" s="151">
        <f>+2348069652028</f>
        <v>2348069652028</v>
      </c>
      <c r="F1346" s="6" t="s">
        <v>97</v>
      </c>
      <c r="G1346" s="6" t="s">
        <v>1654</v>
      </c>
    </row>
    <row r="1347" ht="15.75" customHeight="1">
      <c r="A1347" s="155">
        <v>6763897.0</v>
      </c>
      <c r="B1347" s="151" t="s">
        <v>4129</v>
      </c>
      <c r="C1347" s="151" t="s">
        <v>4130</v>
      </c>
      <c r="D1347" s="151">
        <f>+2348035277301</f>
        <v>2348035277301</v>
      </c>
      <c r="F1347" s="6" t="s">
        <v>97</v>
      </c>
      <c r="G1347" s="6" t="s">
        <v>1654</v>
      </c>
    </row>
    <row r="1348" ht="15.75" customHeight="1">
      <c r="A1348" s="155">
        <v>6763897.0</v>
      </c>
      <c r="B1348" s="151" t="s">
        <v>4131</v>
      </c>
      <c r="C1348" s="151" t="s">
        <v>4132</v>
      </c>
      <c r="D1348" s="151">
        <f>+2348141976817</f>
        <v>2348141976817</v>
      </c>
      <c r="F1348" s="6" t="s">
        <v>97</v>
      </c>
      <c r="G1348" s="6" t="s">
        <v>1654</v>
      </c>
    </row>
    <row r="1349" ht="15.75" customHeight="1">
      <c r="A1349" s="155">
        <v>6763897.0</v>
      </c>
      <c r="B1349" s="151" t="s">
        <v>4133</v>
      </c>
      <c r="C1349" s="151" t="s">
        <v>4134</v>
      </c>
      <c r="D1349" s="151">
        <f>+2348069644211</f>
        <v>2348069644211</v>
      </c>
      <c r="F1349" s="6" t="s">
        <v>97</v>
      </c>
      <c r="G1349" s="6" t="s">
        <v>1654</v>
      </c>
    </row>
    <row r="1350" ht="15.75" customHeight="1">
      <c r="A1350" s="155">
        <v>6763897.0</v>
      </c>
      <c r="B1350" s="151" t="s">
        <v>4135</v>
      </c>
      <c r="C1350" s="151" t="s">
        <v>4136</v>
      </c>
      <c r="D1350" s="151">
        <f>+2348137048527</f>
        <v>2348137048527</v>
      </c>
      <c r="F1350" s="6" t="s">
        <v>97</v>
      </c>
      <c r="G1350" s="6" t="s">
        <v>1654</v>
      </c>
    </row>
    <row r="1351" ht="15.75" customHeight="1">
      <c r="A1351" s="155">
        <v>6763897.0</v>
      </c>
      <c r="B1351" s="151" t="s">
        <v>4137</v>
      </c>
      <c r="C1351" s="151" t="s">
        <v>4138</v>
      </c>
      <c r="D1351" s="151">
        <f>+2348034552044</f>
        <v>2348034552044</v>
      </c>
      <c r="F1351" s="6" t="s">
        <v>97</v>
      </c>
      <c r="G1351" s="6" t="s">
        <v>1654</v>
      </c>
    </row>
    <row r="1352" ht="15.75" customHeight="1">
      <c r="A1352" s="155">
        <v>43437.0</v>
      </c>
      <c r="B1352" s="154" t="s">
        <v>4139</v>
      </c>
      <c r="C1352" s="151" t="s">
        <v>4140</v>
      </c>
      <c r="D1352" s="151">
        <f>+2348098434385</f>
        <v>2348098434385</v>
      </c>
      <c r="F1352" s="6" t="s">
        <v>168</v>
      </c>
      <c r="G1352" s="6" t="s">
        <v>1654</v>
      </c>
    </row>
    <row r="1353" ht="15.75" customHeight="1">
      <c r="A1353" s="155">
        <v>43437.0</v>
      </c>
      <c r="B1353" s="151" t="s">
        <v>4141</v>
      </c>
      <c r="C1353" s="151" t="s">
        <v>4142</v>
      </c>
      <c r="D1353" s="151">
        <f>+2348166807794</f>
        <v>2348166807794</v>
      </c>
      <c r="F1353" s="6" t="s">
        <v>168</v>
      </c>
      <c r="G1353" s="6" t="s">
        <v>1654</v>
      </c>
    </row>
    <row r="1354" ht="15.75" customHeight="1">
      <c r="A1354" s="155">
        <v>43437.0</v>
      </c>
      <c r="B1354" s="151" t="s">
        <v>4143</v>
      </c>
      <c r="C1354" s="151" t="s">
        <v>4144</v>
      </c>
      <c r="D1354" s="151">
        <f>+2348067000826</f>
        <v>2348067000826</v>
      </c>
      <c r="F1354" s="6" t="s">
        <v>168</v>
      </c>
      <c r="G1354" s="6" t="s">
        <v>1654</v>
      </c>
    </row>
    <row r="1355" ht="15.75" customHeight="1">
      <c r="A1355" s="155">
        <v>43437.0</v>
      </c>
      <c r="B1355" s="151" t="s">
        <v>4145</v>
      </c>
      <c r="C1355" s="151" t="s">
        <v>4146</v>
      </c>
      <c r="D1355" s="151">
        <f>+23407057085865</f>
        <v>23407057085865</v>
      </c>
      <c r="F1355" s="6" t="s">
        <v>168</v>
      </c>
      <c r="G1355" s="6" t="s">
        <v>1654</v>
      </c>
    </row>
    <row r="1356" ht="15.75" customHeight="1">
      <c r="A1356" s="155">
        <v>43437.0</v>
      </c>
      <c r="B1356" s="151" t="s">
        <v>4147</v>
      </c>
      <c r="C1356" s="151" t="s">
        <v>4148</v>
      </c>
      <c r="D1356" s="151">
        <f>+2347033177997</f>
        <v>2347033177997</v>
      </c>
      <c r="F1356" s="6" t="s">
        <v>168</v>
      </c>
      <c r="G1356" s="6" t="s">
        <v>1654</v>
      </c>
    </row>
    <row r="1357" ht="15.75" customHeight="1">
      <c r="A1357" s="155">
        <v>43437.0</v>
      </c>
      <c r="B1357" s="151" t="s">
        <v>4149</v>
      </c>
      <c r="C1357" s="151" t="s">
        <v>4150</v>
      </c>
      <c r="D1357" s="151">
        <f>+2349020416221</f>
        <v>2349020416221</v>
      </c>
      <c r="F1357" s="6" t="s">
        <v>168</v>
      </c>
      <c r="G1357" s="6" t="s">
        <v>1654</v>
      </c>
    </row>
    <row r="1358" ht="15.75" customHeight="1">
      <c r="A1358" s="155">
        <v>43437.0</v>
      </c>
      <c r="B1358" s="151" t="s">
        <v>4151</v>
      </c>
      <c r="C1358" s="151" t="s">
        <v>4152</v>
      </c>
      <c r="D1358" s="151">
        <f>+2348050395172</f>
        <v>2348050395172</v>
      </c>
      <c r="F1358" s="6" t="s">
        <v>168</v>
      </c>
      <c r="G1358" s="6" t="s">
        <v>1654</v>
      </c>
    </row>
    <row r="1359" ht="15.75" customHeight="1">
      <c r="A1359" s="155">
        <v>43437.0</v>
      </c>
      <c r="B1359" s="151" t="s">
        <v>4153</v>
      </c>
      <c r="C1359" s="151" t="s">
        <v>4154</v>
      </c>
      <c r="D1359" s="151">
        <f>+2348034039909</f>
        <v>2348034039909</v>
      </c>
      <c r="F1359" s="6" t="s">
        <v>168</v>
      </c>
      <c r="G1359" s="6" t="s">
        <v>1654</v>
      </c>
    </row>
    <row r="1360" ht="15.75" customHeight="1">
      <c r="A1360" s="155">
        <v>43437.0</v>
      </c>
      <c r="B1360" s="151" t="s">
        <v>4155</v>
      </c>
      <c r="C1360" s="151" t="s">
        <v>4156</v>
      </c>
      <c r="D1360" s="151">
        <f>+2349097787719</f>
        <v>2349097787719</v>
      </c>
      <c r="F1360" s="6" t="s">
        <v>168</v>
      </c>
      <c r="G1360" s="6" t="s">
        <v>1654</v>
      </c>
    </row>
    <row r="1361" ht="15.75" customHeight="1">
      <c r="A1361" s="155">
        <v>43437.0</v>
      </c>
      <c r="B1361" s="151" t="s">
        <v>4157</v>
      </c>
      <c r="C1361" s="151" t="s">
        <v>4158</v>
      </c>
      <c r="D1361" s="151">
        <f>+2348038208502</f>
        <v>2348038208502</v>
      </c>
      <c r="F1361" s="6" t="s">
        <v>168</v>
      </c>
      <c r="G1361" s="6" t="s">
        <v>1654</v>
      </c>
    </row>
    <row r="1362" ht="15.75" customHeight="1">
      <c r="A1362" s="155">
        <v>43437.0</v>
      </c>
      <c r="B1362" s="151" t="s">
        <v>4159</v>
      </c>
      <c r="C1362" s="151" t="s">
        <v>4160</v>
      </c>
      <c r="D1362" s="151">
        <f>+2347063854001</f>
        <v>2347063854001</v>
      </c>
      <c r="F1362" s="6" t="s">
        <v>168</v>
      </c>
      <c r="G1362" s="6" t="s">
        <v>1654</v>
      </c>
    </row>
    <row r="1363" ht="15.75" customHeight="1">
      <c r="A1363" s="155">
        <v>43437.0</v>
      </c>
      <c r="B1363" s="151" t="s">
        <v>4161</v>
      </c>
      <c r="C1363" s="151" t="s">
        <v>4162</v>
      </c>
      <c r="D1363" s="151">
        <f>+2348036059828</f>
        <v>2348036059828</v>
      </c>
      <c r="F1363" s="6" t="s">
        <v>168</v>
      </c>
      <c r="G1363" s="6" t="s">
        <v>1654</v>
      </c>
    </row>
    <row r="1364" ht="15.75" customHeight="1">
      <c r="A1364" s="155">
        <v>43437.0</v>
      </c>
      <c r="B1364" s="151" t="s">
        <v>4163</v>
      </c>
      <c r="C1364" s="151" t="s">
        <v>4164</v>
      </c>
      <c r="D1364" s="151">
        <f>+23408035862991</f>
        <v>23408035862991</v>
      </c>
      <c r="F1364" s="6" t="s">
        <v>168</v>
      </c>
      <c r="G1364" s="6" t="s">
        <v>1654</v>
      </c>
    </row>
    <row r="1365" ht="15.75" customHeight="1">
      <c r="A1365" s="155">
        <v>43437.0</v>
      </c>
      <c r="B1365" s="151" t="s">
        <v>4165</v>
      </c>
      <c r="C1365" s="151" t="s">
        <v>4166</v>
      </c>
      <c r="D1365" s="151">
        <f>+2348057946077</f>
        <v>2348057946077</v>
      </c>
      <c r="F1365" s="6" t="s">
        <v>168</v>
      </c>
      <c r="G1365" s="6" t="s">
        <v>1654</v>
      </c>
    </row>
    <row r="1366" ht="15.75" customHeight="1">
      <c r="A1366" s="155">
        <v>43437.0</v>
      </c>
      <c r="B1366" s="151" t="s">
        <v>4167</v>
      </c>
      <c r="C1366" s="151" t="s">
        <v>4168</v>
      </c>
      <c r="D1366" s="151">
        <f>+23408038380412</f>
        <v>23408038380412</v>
      </c>
      <c r="F1366" s="6" t="s">
        <v>168</v>
      </c>
      <c r="G1366" s="6" t="s">
        <v>1654</v>
      </c>
    </row>
    <row r="1367" ht="15.75" customHeight="1">
      <c r="A1367" s="155">
        <v>43437.0</v>
      </c>
      <c r="B1367" s="151" t="s">
        <v>4169</v>
      </c>
      <c r="C1367" s="151" t="s">
        <v>4170</v>
      </c>
      <c r="D1367" s="151">
        <f>+2348076508733</f>
        <v>2348076508733</v>
      </c>
      <c r="F1367" s="6" t="s">
        <v>168</v>
      </c>
      <c r="G1367" s="6" t="s">
        <v>1654</v>
      </c>
    </row>
    <row r="1368" ht="15.75" customHeight="1">
      <c r="A1368" s="155">
        <v>43437.0</v>
      </c>
      <c r="B1368" s="151" t="s">
        <v>4171</v>
      </c>
      <c r="C1368" s="151" t="s">
        <v>4172</v>
      </c>
      <c r="D1368" s="151">
        <f>+2348060060644</f>
        <v>2348060060644</v>
      </c>
      <c r="F1368" s="6" t="s">
        <v>168</v>
      </c>
      <c r="G1368" s="6" t="s">
        <v>1654</v>
      </c>
    </row>
    <row r="1369" ht="15.75" customHeight="1">
      <c r="A1369" s="155">
        <v>43437.0</v>
      </c>
      <c r="B1369" s="151" t="s">
        <v>4173</v>
      </c>
      <c r="C1369" s="151" t="s">
        <v>4174</v>
      </c>
      <c r="D1369" s="151">
        <f>+2348091327615</f>
        <v>2348091327615</v>
      </c>
      <c r="F1369" s="6" t="s">
        <v>168</v>
      </c>
      <c r="G1369" s="6" t="s">
        <v>1654</v>
      </c>
    </row>
    <row r="1370" ht="15.75" customHeight="1">
      <c r="A1370" s="155">
        <v>43437.0</v>
      </c>
      <c r="B1370" s="151" t="s">
        <v>4175</v>
      </c>
      <c r="C1370" s="151" t="s">
        <v>4176</v>
      </c>
      <c r="D1370" s="151">
        <f>+2348035881978</f>
        <v>2348035881978</v>
      </c>
      <c r="F1370" s="6" t="s">
        <v>168</v>
      </c>
      <c r="G1370" s="6" t="s">
        <v>1654</v>
      </c>
    </row>
    <row r="1371" ht="15.75" customHeight="1">
      <c r="A1371" s="155">
        <v>43437.0</v>
      </c>
      <c r="B1371" s="151" t="s">
        <v>4177</v>
      </c>
      <c r="C1371" s="151" t="s">
        <v>4178</v>
      </c>
      <c r="D1371" s="151">
        <f>+2348058790302</f>
        <v>2348058790302</v>
      </c>
      <c r="F1371" s="6" t="s">
        <v>168</v>
      </c>
      <c r="G1371" s="6" t="s">
        <v>1654</v>
      </c>
    </row>
    <row r="1372" ht="15.75" customHeight="1">
      <c r="A1372" s="155">
        <v>43437.0</v>
      </c>
      <c r="B1372" s="151" t="s">
        <v>4179</v>
      </c>
      <c r="C1372" s="151" t="s">
        <v>4180</v>
      </c>
      <c r="D1372" s="151">
        <f>+2348036176512</f>
        <v>2348036176512</v>
      </c>
      <c r="F1372" s="6" t="s">
        <v>168</v>
      </c>
      <c r="G1372" s="6" t="s">
        <v>1654</v>
      </c>
    </row>
    <row r="1373" ht="15.75" customHeight="1">
      <c r="A1373" s="155">
        <v>43437.0</v>
      </c>
      <c r="B1373" s="151" t="s">
        <v>4181</v>
      </c>
      <c r="C1373" s="151" t="s">
        <v>4182</v>
      </c>
      <c r="D1373" s="151">
        <f>+2347088993513</f>
        <v>2347088993513</v>
      </c>
      <c r="F1373" s="6" t="s">
        <v>168</v>
      </c>
      <c r="G1373" s="6" t="s">
        <v>1654</v>
      </c>
    </row>
    <row r="1374" ht="15.75" customHeight="1">
      <c r="A1374" s="155">
        <v>43437.0</v>
      </c>
      <c r="B1374" s="151" t="s">
        <v>4183</v>
      </c>
      <c r="C1374" s="151" t="s">
        <v>4184</v>
      </c>
      <c r="D1374" s="151">
        <f>+2348030609518</f>
        <v>2348030609518</v>
      </c>
      <c r="F1374" s="6" t="s">
        <v>168</v>
      </c>
      <c r="G1374" s="6" t="s">
        <v>1654</v>
      </c>
    </row>
    <row r="1375" ht="15.75" customHeight="1">
      <c r="A1375" s="155">
        <v>43437.0</v>
      </c>
      <c r="B1375" s="151" t="s">
        <v>4185</v>
      </c>
      <c r="C1375" s="151" t="s">
        <v>4186</v>
      </c>
      <c r="D1375" s="151">
        <f>+2347064462435</f>
        <v>2347064462435</v>
      </c>
      <c r="F1375" s="6" t="s">
        <v>168</v>
      </c>
      <c r="G1375" s="6" t="s">
        <v>1654</v>
      </c>
    </row>
    <row r="1376" ht="15.75" customHeight="1">
      <c r="A1376" s="155">
        <v>43437.0</v>
      </c>
      <c r="B1376" s="151" t="s">
        <v>4187</v>
      </c>
      <c r="C1376" s="151" t="s">
        <v>4188</v>
      </c>
      <c r="D1376" s="151">
        <f>+2348036340400</f>
        <v>2348036340400</v>
      </c>
      <c r="F1376" s="6" t="s">
        <v>168</v>
      </c>
      <c r="G1376" s="6" t="s">
        <v>1654</v>
      </c>
    </row>
    <row r="1377" ht="15.75" customHeight="1">
      <c r="A1377" s="155">
        <v>43437.0</v>
      </c>
      <c r="B1377" s="151" t="s">
        <v>4189</v>
      </c>
      <c r="C1377" s="151" t="s">
        <v>4190</v>
      </c>
      <c r="D1377" s="151">
        <f>+2347087865429</f>
        <v>2347087865429</v>
      </c>
      <c r="F1377" s="6" t="s">
        <v>168</v>
      </c>
      <c r="G1377" s="6" t="s">
        <v>1654</v>
      </c>
    </row>
    <row r="1378" ht="15.75" customHeight="1">
      <c r="A1378" s="155">
        <v>43437.0</v>
      </c>
      <c r="B1378" s="151" t="s">
        <v>4191</v>
      </c>
      <c r="C1378" s="151" t="s">
        <v>4192</v>
      </c>
      <c r="D1378" s="151">
        <f>+2348023254623</f>
        <v>2348023254623</v>
      </c>
      <c r="F1378" s="6" t="s">
        <v>168</v>
      </c>
      <c r="G1378" s="6" t="s">
        <v>1654</v>
      </c>
    </row>
    <row r="1379" ht="15.75" customHeight="1">
      <c r="A1379" s="155">
        <v>43437.0</v>
      </c>
      <c r="B1379" s="151" t="s">
        <v>4193</v>
      </c>
      <c r="C1379" s="151" t="s">
        <v>4194</v>
      </c>
      <c r="D1379" s="151">
        <f>+2348064378845</f>
        <v>2348064378845</v>
      </c>
      <c r="F1379" s="6" t="s">
        <v>168</v>
      </c>
      <c r="G1379" s="6" t="s">
        <v>1654</v>
      </c>
    </row>
    <row r="1380" ht="15.75" customHeight="1">
      <c r="A1380" s="155">
        <v>43437.0</v>
      </c>
      <c r="B1380" s="151" t="s">
        <v>4195</v>
      </c>
      <c r="C1380" s="151" t="s">
        <v>4196</v>
      </c>
      <c r="D1380" s="151">
        <f>+2348026139469</f>
        <v>2348026139469</v>
      </c>
      <c r="F1380" s="6" t="s">
        <v>168</v>
      </c>
      <c r="G1380" s="6" t="s">
        <v>1654</v>
      </c>
    </row>
    <row r="1381" ht="15.75" customHeight="1">
      <c r="A1381" s="155">
        <v>43437.0</v>
      </c>
      <c r="B1381" s="151" t="s">
        <v>4197</v>
      </c>
      <c r="C1381" s="151" t="s">
        <v>4198</v>
      </c>
      <c r="D1381" s="151">
        <f>+2348126511736</f>
        <v>2348126511736</v>
      </c>
      <c r="F1381" s="6" t="s">
        <v>168</v>
      </c>
      <c r="G1381" s="6" t="s">
        <v>1654</v>
      </c>
    </row>
    <row r="1382" ht="15.75" customHeight="1">
      <c r="A1382" s="155">
        <v>43437.0</v>
      </c>
      <c r="B1382" s="151" t="s">
        <v>3355</v>
      </c>
      <c r="C1382" s="151" t="s">
        <v>4199</v>
      </c>
      <c r="D1382" s="151">
        <f>+2348030948150</f>
        <v>2348030948150</v>
      </c>
      <c r="F1382" s="6" t="s">
        <v>168</v>
      </c>
      <c r="G1382" s="6" t="s">
        <v>1654</v>
      </c>
    </row>
    <row r="1383" ht="15.75" customHeight="1">
      <c r="A1383" s="155">
        <v>43437.0</v>
      </c>
      <c r="B1383" s="151" t="s">
        <v>4200</v>
      </c>
      <c r="C1383" s="151" t="s">
        <v>4201</v>
      </c>
      <c r="D1383" s="151">
        <f>+2348035272221</f>
        <v>2348035272221</v>
      </c>
      <c r="F1383" s="6" t="s">
        <v>168</v>
      </c>
      <c r="G1383" s="6" t="s">
        <v>1654</v>
      </c>
    </row>
    <row r="1384" ht="15.75" customHeight="1">
      <c r="A1384" s="155">
        <v>43437.0</v>
      </c>
      <c r="B1384" s="151" t="s">
        <v>4202</v>
      </c>
      <c r="C1384" s="151" t="s">
        <v>4203</v>
      </c>
      <c r="D1384" s="151">
        <f>+2347088992005</f>
        <v>2347088992005</v>
      </c>
      <c r="F1384" s="6" t="s">
        <v>168</v>
      </c>
      <c r="G1384" s="6" t="s">
        <v>1654</v>
      </c>
    </row>
    <row r="1385" ht="15.75" customHeight="1">
      <c r="A1385" s="155">
        <v>43437.0</v>
      </c>
      <c r="B1385" s="151" t="s">
        <v>4204</v>
      </c>
      <c r="C1385" s="151" t="s">
        <v>4205</v>
      </c>
      <c r="D1385" s="151">
        <f>+2348144292177</f>
        <v>2348144292177</v>
      </c>
      <c r="F1385" s="6" t="s">
        <v>168</v>
      </c>
      <c r="G1385" s="6" t="s">
        <v>1654</v>
      </c>
    </row>
    <row r="1386" ht="15.75" customHeight="1">
      <c r="A1386" s="155">
        <v>43437.0</v>
      </c>
      <c r="B1386" s="151" t="s">
        <v>4206</v>
      </c>
      <c r="C1386" s="151" t="s">
        <v>4207</v>
      </c>
      <c r="D1386" s="151">
        <f>+2347055243355</f>
        <v>2347055243355</v>
      </c>
      <c r="F1386" s="6" t="s">
        <v>168</v>
      </c>
      <c r="G1386" s="6" t="s">
        <v>1654</v>
      </c>
    </row>
    <row r="1387" ht="15.75" customHeight="1">
      <c r="A1387" s="155">
        <v>43437.0</v>
      </c>
      <c r="B1387" s="151" t="s">
        <v>4208</v>
      </c>
      <c r="C1387" s="151" t="s">
        <v>4209</v>
      </c>
      <c r="D1387" s="151">
        <f>+2348069518717</f>
        <v>2348069518717</v>
      </c>
      <c r="F1387" s="6" t="s">
        <v>168</v>
      </c>
      <c r="G1387" s="6" t="s">
        <v>1654</v>
      </c>
    </row>
    <row r="1388" ht="15.75" customHeight="1">
      <c r="A1388" s="155">
        <v>43437.0</v>
      </c>
      <c r="B1388" s="151" t="s">
        <v>4210</v>
      </c>
      <c r="C1388" s="151" t="s">
        <v>4211</v>
      </c>
      <c r="D1388" s="151">
        <f>+2348032481554</f>
        <v>2348032481554</v>
      </c>
      <c r="F1388" s="6" t="s">
        <v>168</v>
      </c>
      <c r="G1388" s="6" t="s">
        <v>1654</v>
      </c>
    </row>
    <row r="1389" ht="15.75" customHeight="1">
      <c r="A1389" s="155">
        <v>43437.0</v>
      </c>
      <c r="B1389" s="151" t="s">
        <v>4212</v>
      </c>
      <c r="C1389" s="151" t="s">
        <v>4213</v>
      </c>
      <c r="D1389" s="151">
        <f>+2348060021407</f>
        <v>2348060021407</v>
      </c>
      <c r="F1389" s="6" t="s">
        <v>168</v>
      </c>
      <c r="G1389" s="6" t="s">
        <v>1654</v>
      </c>
    </row>
    <row r="1390" ht="15.75" customHeight="1">
      <c r="A1390" s="155">
        <v>43437.0</v>
      </c>
      <c r="B1390" s="151" t="s">
        <v>4214</v>
      </c>
      <c r="C1390" s="151" t="s">
        <v>4215</v>
      </c>
      <c r="D1390" s="151">
        <f>+2349036582553</f>
        <v>2349036582553</v>
      </c>
      <c r="F1390" s="6" t="s">
        <v>168</v>
      </c>
      <c r="G1390" s="6" t="s">
        <v>1654</v>
      </c>
    </row>
    <row r="1391" ht="15.75" customHeight="1">
      <c r="A1391" s="155">
        <v>43437.0</v>
      </c>
      <c r="B1391" s="151" t="s">
        <v>4216</v>
      </c>
      <c r="C1391" s="151" t="s">
        <v>4217</v>
      </c>
      <c r="D1391" s="151">
        <f>+2348077088588</f>
        <v>2348077088588</v>
      </c>
      <c r="F1391" s="6" t="s">
        <v>168</v>
      </c>
      <c r="G1391" s="6" t="s">
        <v>1654</v>
      </c>
    </row>
    <row r="1392" ht="15.75" customHeight="1">
      <c r="A1392" s="155">
        <v>43437.0</v>
      </c>
      <c r="B1392" s="151" t="s">
        <v>4218</v>
      </c>
      <c r="C1392" s="151" t="s">
        <v>4219</v>
      </c>
      <c r="D1392" s="151">
        <f>+2348142540072</f>
        <v>2348142540072</v>
      </c>
      <c r="F1392" s="6" t="s">
        <v>168</v>
      </c>
      <c r="G1392" s="6" t="s">
        <v>1654</v>
      </c>
    </row>
    <row r="1393" ht="15.75" customHeight="1">
      <c r="A1393" s="155">
        <v>43437.0</v>
      </c>
      <c r="B1393" s="151" t="s">
        <v>4220</v>
      </c>
      <c r="C1393" s="151" t="s">
        <v>4221</v>
      </c>
      <c r="D1393" s="151">
        <f>+2348055651414</f>
        <v>2348055651414</v>
      </c>
      <c r="F1393" s="6" t="s">
        <v>168</v>
      </c>
      <c r="G1393" s="6" t="s">
        <v>1654</v>
      </c>
    </row>
    <row r="1394" ht="15.75" customHeight="1">
      <c r="A1394" s="155">
        <v>43437.0</v>
      </c>
      <c r="B1394" s="151" t="s">
        <v>4222</v>
      </c>
      <c r="C1394" s="151" t="s">
        <v>4223</v>
      </c>
      <c r="D1394" s="151">
        <f>+2348164059509</f>
        <v>2348164059509</v>
      </c>
      <c r="F1394" s="6" t="s">
        <v>168</v>
      </c>
      <c r="G1394" s="6" t="s">
        <v>1654</v>
      </c>
    </row>
    <row r="1395" ht="15.75" customHeight="1">
      <c r="A1395" s="155">
        <v>43437.0</v>
      </c>
      <c r="B1395" s="151" t="s">
        <v>4224</v>
      </c>
      <c r="C1395" s="151" t="s">
        <v>4225</v>
      </c>
      <c r="D1395" s="151">
        <f>+2349091985012</f>
        <v>2349091985012</v>
      </c>
      <c r="F1395" s="6" t="s">
        <v>168</v>
      </c>
      <c r="G1395" s="6" t="s">
        <v>1654</v>
      </c>
    </row>
    <row r="1396" ht="15.75" customHeight="1">
      <c r="A1396" s="155">
        <v>43437.0</v>
      </c>
      <c r="B1396" s="151" t="s">
        <v>4226</v>
      </c>
      <c r="C1396" s="151" t="s">
        <v>4227</v>
      </c>
      <c r="D1396" s="151">
        <f>+2348030540082</f>
        <v>2348030540082</v>
      </c>
      <c r="F1396" s="6" t="s">
        <v>168</v>
      </c>
      <c r="G1396" s="6" t="s">
        <v>1654</v>
      </c>
    </row>
    <row r="1397" ht="15.75" customHeight="1">
      <c r="A1397" s="155">
        <v>43437.0</v>
      </c>
      <c r="B1397" s="151" t="s">
        <v>4228</v>
      </c>
      <c r="C1397" s="151" t="s">
        <v>4229</v>
      </c>
      <c r="D1397" s="151">
        <f>+2348037388650</f>
        <v>2348037388650</v>
      </c>
      <c r="F1397" s="6" t="s">
        <v>168</v>
      </c>
      <c r="G1397" s="6" t="s">
        <v>1654</v>
      </c>
    </row>
    <row r="1398" ht="15.75" customHeight="1">
      <c r="A1398" s="155">
        <v>43437.0</v>
      </c>
      <c r="B1398" s="151" t="s">
        <v>4230</v>
      </c>
      <c r="C1398" s="151" t="s">
        <v>4231</v>
      </c>
      <c r="D1398" s="151">
        <f>+2348038862300</f>
        <v>2348038862300</v>
      </c>
      <c r="F1398" s="6" t="s">
        <v>168</v>
      </c>
      <c r="G1398" s="6" t="s">
        <v>1654</v>
      </c>
    </row>
    <row r="1399" ht="15.75" customHeight="1">
      <c r="A1399" s="155">
        <v>43437.0</v>
      </c>
      <c r="B1399" s="151" t="s">
        <v>4232</v>
      </c>
      <c r="C1399" s="151" t="s">
        <v>4233</v>
      </c>
      <c r="D1399" s="151">
        <f>+2348028164728</f>
        <v>2348028164728</v>
      </c>
      <c r="F1399" s="6" t="s">
        <v>168</v>
      </c>
      <c r="G1399" s="6" t="s">
        <v>1654</v>
      </c>
    </row>
    <row r="1400" ht="15.75" customHeight="1">
      <c r="A1400" s="155">
        <v>43437.0</v>
      </c>
      <c r="B1400" s="151" t="s">
        <v>4234</v>
      </c>
      <c r="C1400" s="151" t="s">
        <v>4235</v>
      </c>
      <c r="D1400" s="151">
        <f>+23408028995038</f>
        <v>23408028995038</v>
      </c>
      <c r="F1400" s="6" t="s">
        <v>168</v>
      </c>
      <c r="G1400" s="6" t="s">
        <v>1654</v>
      </c>
    </row>
    <row r="1401" ht="15.75" customHeight="1">
      <c r="A1401" s="155">
        <v>43437.0</v>
      </c>
      <c r="B1401" s="151" t="s">
        <v>4236</v>
      </c>
      <c r="C1401" s="151" t="s">
        <v>4237</v>
      </c>
      <c r="D1401" s="151">
        <f>+23408065621784</f>
        <v>23408065621784</v>
      </c>
      <c r="F1401" s="6" t="s">
        <v>168</v>
      </c>
      <c r="G1401" s="6" t="s">
        <v>1654</v>
      </c>
    </row>
    <row r="1402" ht="15.75" customHeight="1">
      <c r="A1402" s="155">
        <v>43437.0</v>
      </c>
      <c r="B1402" s="151" t="s">
        <v>4238</v>
      </c>
      <c r="C1402" s="151" t="s">
        <v>4239</v>
      </c>
      <c r="D1402" s="151">
        <f>+2348114678909</f>
        <v>2348114678909</v>
      </c>
      <c r="F1402" s="6" t="s">
        <v>168</v>
      </c>
      <c r="G1402" s="6" t="s">
        <v>1654</v>
      </c>
    </row>
    <row r="1403" ht="15.75" customHeight="1">
      <c r="A1403" s="155">
        <v>43437.0</v>
      </c>
      <c r="B1403" s="151" t="s">
        <v>4240</v>
      </c>
      <c r="C1403" s="151" t="s">
        <v>4241</v>
      </c>
      <c r="D1403" s="151">
        <f>+2348072617443</f>
        <v>2348072617443</v>
      </c>
      <c r="F1403" s="6" t="s">
        <v>168</v>
      </c>
      <c r="G1403" s="6" t="s">
        <v>1654</v>
      </c>
    </row>
    <row r="1404" ht="15.75" customHeight="1">
      <c r="A1404" s="155">
        <v>43437.0</v>
      </c>
      <c r="B1404" s="151" t="s">
        <v>4242</v>
      </c>
      <c r="C1404" s="151" t="s">
        <v>4243</v>
      </c>
      <c r="D1404" s="151">
        <f>+2349094487300</f>
        <v>2349094487300</v>
      </c>
      <c r="F1404" s="6" t="s">
        <v>168</v>
      </c>
      <c r="G1404" s="6" t="s">
        <v>1654</v>
      </c>
    </row>
    <row r="1405" ht="15.75" customHeight="1">
      <c r="A1405" s="155">
        <v>43437.0</v>
      </c>
      <c r="B1405" s="151" t="s">
        <v>4244</v>
      </c>
      <c r="C1405" s="151" t="s">
        <v>4245</v>
      </c>
      <c r="D1405" s="151">
        <f>+2348177381809</f>
        <v>2348177381809</v>
      </c>
      <c r="F1405" s="6" t="s">
        <v>168</v>
      </c>
      <c r="G1405" s="6" t="s">
        <v>1654</v>
      </c>
    </row>
    <row r="1406" ht="15.75" customHeight="1">
      <c r="A1406" s="155">
        <v>43437.0</v>
      </c>
      <c r="B1406" s="151" t="s">
        <v>4246</v>
      </c>
      <c r="C1406" s="151" t="s">
        <v>4247</v>
      </c>
      <c r="D1406" s="151">
        <f>+2348033895961</f>
        <v>2348033895961</v>
      </c>
      <c r="F1406" s="6" t="s">
        <v>168</v>
      </c>
      <c r="G1406" s="6" t="s">
        <v>1654</v>
      </c>
    </row>
    <row r="1407" ht="15.75" customHeight="1">
      <c r="A1407" s="155">
        <v>43437.0</v>
      </c>
      <c r="B1407" s="151" t="s">
        <v>4248</v>
      </c>
      <c r="C1407" s="151" t="s">
        <v>4249</v>
      </c>
      <c r="D1407" s="151">
        <f>+2348076250129</f>
        <v>2348076250129</v>
      </c>
      <c r="F1407" s="6" t="s">
        <v>168</v>
      </c>
      <c r="G1407" s="6" t="s">
        <v>1654</v>
      </c>
    </row>
    <row r="1408" ht="15.75" customHeight="1">
      <c r="A1408" s="155">
        <v>43437.0</v>
      </c>
      <c r="B1408" s="151" t="s">
        <v>4250</v>
      </c>
      <c r="C1408" s="151" t="s">
        <v>4251</v>
      </c>
      <c r="D1408" s="151">
        <f>+2348038515188</f>
        <v>2348038515188</v>
      </c>
      <c r="F1408" s="6" t="s">
        <v>168</v>
      </c>
      <c r="G1408" s="6" t="s">
        <v>1654</v>
      </c>
    </row>
    <row r="1409" ht="15.75" customHeight="1">
      <c r="A1409" s="155">
        <v>43437.0</v>
      </c>
      <c r="B1409" s="151" t="s">
        <v>1873</v>
      </c>
      <c r="C1409" s="151" t="s">
        <v>1874</v>
      </c>
      <c r="D1409" s="151">
        <f>+2348100000193</f>
        <v>2348100000193</v>
      </c>
      <c r="F1409" s="6" t="s">
        <v>168</v>
      </c>
      <c r="G1409" s="6" t="s">
        <v>1654</v>
      </c>
    </row>
    <row r="1410" ht="15.75" customHeight="1">
      <c r="A1410" s="155">
        <v>43437.0</v>
      </c>
      <c r="B1410" s="151" t="s">
        <v>4252</v>
      </c>
      <c r="C1410" s="151" t="s">
        <v>4253</v>
      </c>
      <c r="D1410" s="151">
        <f>+2348037305563</f>
        <v>2348037305563</v>
      </c>
      <c r="F1410" s="6" t="s">
        <v>168</v>
      </c>
      <c r="G1410" s="6" t="s">
        <v>1654</v>
      </c>
    </row>
    <row r="1411" ht="15.75" customHeight="1">
      <c r="A1411" s="155">
        <v>43437.0</v>
      </c>
      <c r="B1411" s="151" t="s">
        <v>4254</v>
      </c>
      <c r="C1411" s="151" t="s">
        <v>4255</v>
      </c>
      <c r="D1411" s="151">
        <f>+2348056010589</f>
        <v>2348056010589</v>
      </c>
      <c r="F1411" s="6" t="s">
        <v>168</v>
      </c>
      <c r="G1411" s="6" t="s">
        <v>1654</v>
      </c>
    </row>
    <row r="1412" ht="15.75" customHeight="1">
      <c r="A1412" s="155">
        <v>43437.0</v>
      </c>
      <c r="B1412" s="151" t="s">
        <v>4256</v>
      </c>
      <c r="C1412" s="151" t="s">
        <v>4257</v>
      </c>
      <c r="D1412" s="151">
        <f>+2348068750079</f>
        <v>2348068750079</v>
      </c>
      <c r="F1412" s="6" t="s">
        <v>168</v>
      </c>
      <c r="G1412" s="6" t="s">
        <v>1654</v>
      </c>
    </row>
    <row r="1413" ht="15.75" customHeight="1">
      <c r="A1413" s="155">
        <v>43437.0</v>
      </c>
      <c r="B1413" s="151" t="s">
        <v>4258</v>
      </c>
      <c r="C1413" s="151" t="s">
        <v>4259</v>
      </c>
      <c r="D1413" s="151">
        <f>+2348035899919</f>
        <v>2348035899919</v>
      </c>
      <c r="F1413" s="6" t="s">
        <v>168</v>
      </c>
      <c r="G1413" s="6" t="s">
        <v>1654</v>
      </c>
    </row>
    <row r="1414" ht="15.75" customHeight="1">
      <c r="A1414" s="155">
        <v>43437.0</v>
      </c>
      <c r="B1414" s="151" t="s">
        <v>4260</v>
      </c>
      <c r="C1414" s="151" t="s">
        <v>4261</v>
      </c>
      <c r="D1414" s="151">
        <f>+2348057178916</f>
        <v>2348057178916</v>
      </c>
      <c r="F1414" s="6" t="s">
        <v>168</v>
      </c>
      <c r="G1414" s="6" t="s">
        <v>1654</v>
      </c>
    </row>
    <row r="1415" ht="15.75" customHeight="1">
      <c r="A1415" s="155">
        <v>43437.0</v>
      </c>
      <c r="B1415" s="151" t="s">
        <v>4262</v>
      </c>
      <c r="C1415" s="151" t="s">
        <v>4263</v>
      </c>
      <c r="D1415" s="151">
        <f>+2348033819427</f>
        <v>2348033819427</v>
      </c>
      <c r="F1415" s="6" t="s">
        <v>168</v>
      </c>
      <c r="G1415" s="6" t="s">
        <v>1654</v>
      </c>
    </row>
    <row r="1416" ht="15.75" customHeight="1">
      <c r="A1416" s="155">
        <v>43437.0</v>
      </c>
      <c r="B1416" s="151" t="s">
        <v>4264</v>
      </c>
      <c r="C1416" s="151" t="s">
        <v>4265</v>
      </c>
      <c r="D1416" s="151">
        <f>+2347011927080</f>
        <v>2347011927080</v>
      </c>
      <c r="F1416" s="6" t="s">
        <v>168</v>
      </c>
      <c r="G1416" s="6" t="s">
        <v>1654</v>
      </c>
    </row>
    <row r="1417" ht="15.75" customHeight="1">
      <c r="A1417" s="155">
        <v>43437.0</v>
      </c>
      <c r="B1417" s="151" t="s">
        <v>4266</v>
      </c>
      <c r="C1417" s="151" t="s">
        <v>4267</v>
      </c>
      <c r="D1417" s="151">
        <f>+2348032899337</f>
        <v>2348032899337</v>
      </c>
      <c r="F1417" s="6" t="s">
        <v>168</v>
      </c>
      <c r="G1417" s="6" t="s">
        <v>1654</v>
      </c>
    </row>
    <row r="1418" ht="15.75" customHeight="1">
      <c r="A1418" s="155">
        <v>43437.0</v>
      </c>
      <c r="B1418" s="151" t="s">
        <v>4268</v>
      </c>
      <c r="C1418" s="151" t="s">
        <v>4269</v>
      </c>
      <c r="D1418" s="151">
        <f>+2348037052813</f>
        <v>2348037052813</v>
      </c>
      <c r="F1418" s="6" t="s">
        <v>168</v>
      </c>
      <c r="G1418" s="6" t="s">
        <v>1654</v>
      </c>
    </row>
    <row r="1419" ht="15.75" customHeight="1">
      <c r="A1419" s="155">
        <v>43437.0</v>
      </c>
      <c r="B1419" s="151" t="s">
        <v>4270</v>
      </c>
      <c r="C1419" s="151" t="s">
        <v>4271</v>
      </c>
      <c r="D1419" s="151">
        <f>+2348099330841</f>
        <v>2348099330841</v>
      </c>
      <c r="F1419" s="6" t="s">
        <v>168</v>
      </c>
      <c r="G1419" s="6" t="s">
        <v>1654</v>
      </c>
    </row>
    <row r="1420" ht="15.75" customHeight="1">
      <c r="A1420" s="155">
        <v>43437.0</v>
      </c>
      <c r="B1420" s="151" t="s">
        <v>4272</v>
      </c>
      <c r="C1420" s="151" t="s">
        <v>4273</v>
      </c>
      <c r="D1420" s="151">
        <f>+2348033399400</f>
        <v>2348033399400</v>
      </c>
      <c r="F1420" s="6" t="s">
        <v>168</v>
      </c>
      <c r="G1420" s="6" t="s">
        <v>1654</v>
      </c>
    </row>
    <row r="1421" ht="15.75" customHeight="1">
      <c r="A1421" s="155">
        <v>43437.0</v>
      </c>
      <c r="B1421" s="151" t="s">
        <v>4274</v>
      </c>
      <c r="C1421" s="151" t="s">
        <v>4275</v>
      </c>
      <c r="D1421" s="151">
        <f>+2348065664285</f>
        <v>2348065664285</v>
      </c>
      <c r="F1421" s="6" t="s">
        <v>168</v>
      </c>
      <c r="G1421" s="6" t="s">
        <v>1654</v>
      </c>
    </row>
    <row r="1422" ht="15.75" customHeight="1">
      <c r="A1422" s="155">
        <v>43437.0</v>
      </c>
      <c r="B1422" s="151" t="s">
        <v>4276</v>
      </c>
      <c r="C1422" s="151" t="s">
        <v>4277</v>
      </c>
      <c r="D1422" s="151">
        <f>+23407069556479</f>
        <v>23407069556479</v>
      </c>
      <c r="F1422" s="6" t="s">
        <v>168</v>
      </c>
      <c r="G1422" s="6" t="s">
        <v>1654</v>
      </c>
    </row>
    <row r="1423" ht="15.75" customHeight="1">
      <c r="A1423" s="155">
        <v>43437.0</v>
      </c>
      <c r="B1423" s="151" t="s">
        <v>4278</v>
      </c>
      <c r="C1423" s="151" t="s">
        <v>4279</v>
      </c>
      <c r="D1423" s="151">
        <f>+2348064651775</f>
        <v>2348064651775</v>
      </c>
      <c r="F1423" s="6" t="s">
        <v>168</v>
      </c>
      <c r="G1423" s="6" t="s">
        <v>1654</v>
      </c>
    </row>
    <row r="1424" ht="15.75" customHeight="1">
      <c r="A1424" s="155">
        <v>43437.0</v>
      </c>
      <c r="B1424" s="151" t="s">
        <v>4280</v>
      </c>
      <c r="C1424" s="151" t="s">
        <v>4281</v>
      </c>
      <c r="D1424" s="151">
        <f>+23408036790247</f>
        <v>23408036790247</v>
      </c>
      <c r="F1424" s="6" t="s">
        <v>168</v>
      </c>
      <c r="G1424" s="6" t="s">
        <v>1654</v>
      </c>
    </row>
    <row r="1425" ht="15.75" customHeight="1">
      <c r="A1425" s="155">
        <v>43437.0</v>
      </c>
      <c r="B1425" s="151" t="s">
        <v>4282</v>
      </c>
      <c r="C1425" s="151" t="s">
        <v>4283</v>
      </c>
      <c r="D1425" s="151">
        <f>+2348055526616</f>
        <v>2348055526616</v>
      </c>
      <c r="F1425" s="6" t="s">
        <v>168</v>
      </c>
      <c r="G1425" s="6" t="s">
        <v>1654</v>
      </c>
    </row>
    <row r="1426" ht="15.75" customHeight="1">
      <c r="A1426" s="155">
        <v>43437.0</v>
      </c>
      <c r="B1426" s="151" t="s">
        <v>4284</v>
      </c>
      <c r="C1426" s="151" t="s">
        <v>4285</v>
      </c>
      <c r="D1426" s="151">
        <f>+2348148279732</f>
        <v>2348148279732</v>
      </c>
      <c r="F1426" s="6" t="s">
        <v>168</v>
      </c>
      <c r="G1426" s="6" t="s">
        <v>1654</v>
      </c>
    </row>
    <row r="1427" ht="15.75" customHeight="1">
      <c r="A1427" s="155">
        <v>43437.0</v>
      </c>
      <c r="B1427" s="151" t="s">
        <v>4286</v>
      </c>
      <c r="C1427" s="151" t="s">
        <v>4287</v>
      </c>
      <c r="D1427" s="151">
        <f>+2348189123201</f>
        <v>2348189123201</v>
      </c>
      <c r="F1427" s="6" t="s">
        <v>168</v>
      </c>
      <c r="G1427" s="6" t="s">
        <v>1654</v>
      </c>
    </row>
    <row r="1428" ht="15.75" customHeight="1">
      <c r="A1428" s="155">
        <v>43437.0</v>
      </c>
      <c r="B1428" s="151" t="s">
        <v>4288</v>
      </c>
      <c r="C1428" s="151" t="s">
        <v>4289</v>
      </c>
      <c r="D1428" s="151">
        <f>+2348054213577</f>
        <v>2348054213577</v>
      </c>
      <c r="F1428" s="6" t="s">
        <v>168</v>
      </c>
      <c r="G1428" s="6" t="s">
        <v>1654</v>
      </c>
    </row>
    <row r="1429" ht="15.75" customHeight="1">
      <c r="A1429" s="155">
        <v>43437.0</v>
      </c>
      <c r="B1429" s="151" t="s">
        <v>4290</v>
      </c>
      <c r="C1429" s="151" t="s">
        <v>4291</v>
      </c>
      <c r="D1429" s="151">
        <f>+2348039430503</f>
        <v>2348039430503</v>
      </c>
      <c r="F1429" s="6" t="s">
        <v>168</v>
      </c>
      <c r="G1429" s="6" t="s">
        <v>1654</v>
      </c>
    </row>
    <row r="1430" ht="15.75" customHeight="1">
      <c r="A1430" s="155">
        <v>43437.0</v>
      </c>
      <c r="B1430" s="151" t="s">
        <v>4292</v>
      </c>
      <c r="C1430" s="151" t="s">
        <v>4293</v>
      </c>
      <c r="D1430" s="151">
        <f>+2348143924429</f>
        <v>2348143924429</v>
      </c>
      <c r="F1430" s="6" t="s">
        <v>168</v>
      </c>
      <c r="G1430" s="6" t="s">
        <v>1654</v>
      </c>
    </row>
    <row r="1431" ht="15.75" customHeight="1">
      <c r="A1431" s="155">
        <v>43437.0</v>
      </c>
      <c r="B1431" s="151" t="s">
        <v>4294</v>
      </c>
      <c r="C1431" s="151" t="s">
        <v>4295</v>
      </c>
      <c r="D1431" s="151">
        <f>+2348065020607</f>
        <v>2348065020607</v>
      </c>
      <c r="F1431" s="6" t="s">
        <v>168</v>
      </c>
      <c r="G1431" s="6" t="s">
        <v>1654</v>
      </c>
    </row>
    <row r="1432" ht="15.75" customHeight="1">
      <c r="A1432" s="155">
        <v>43437.0</v>
      </c>
      <c r="B1432" s="151" t="s">
        <v>4296</v>
      </c>
      <c r="C1432" s="151" t="s">
        <v>4297</v>
      </c>
      <c r="D1432" s="151">
        <f>+2348069825073</f>
        <v>2348069825073</v>
      </c>
      <c r="F1432" s="6" t="s">
        <v>168</v>
      </c>
      <c r="G1432" s="6" t="s">
        <v>1654</v>
      </c>
    </row>
    <row r="1433" ht="15.75" customHeight="1">
      <c r="A1433" s="155">
        <v>43437.0</v>
      </c>
      <c r="B1433" s="151" t="s">
        <v>4298</v>
      </c>
      <c r="C1433" s="151" t="s">
        <v>4299</v>
      </c>
      <c r="D1433" s="151">
        <f>+2348037871970</f>
        <v>2348037871970</v>
      </c>
      <c r="F1433" s="6" t="s">
        <v>168</v>
      </c>
      <c r="G1433" s="6" t="s">
        <v>1654</v>
      </c>
    </row>
    <row r="1434" ht="15.75" customHeight="1">
      <c r="A1434" s="155">
        <v>43437.0</v>
      </c>
      <c r="B1434" s="151" t="s">
        <v>4300</v>
      </c>
      <c r="C1434" s="151" t="s">
        <v>4301</v>
      </c>
      <c r="D1434" s="151">
        <f>+2348138731625</f>
        <v>2348138731625</v>
      </c>
      <c r="F1434" s="6" t="s">
        <v>168</v>
      </c>
      <c r="G1434" s="6" t="s">
        <v>1654</v>
      </c>
    </row>
    <row r="1435" ht="15.75" customHeight="1">
      <c r="A1435" s="155">
        <v>43437.0</v>
      </c>
      <c r="B1435" s="151" t="s">
        <v>4302</v>
      </c>
      <c r="C1435" s="151" t="s">
        <v>4303</v>
      </c>
      <c r="D1435" s="151">
        <f>+2348163260048</f>
        <v>2348163260048</v>
      </c>
      <c r="F1435" s="6" t="s">
        <v>168</v>
      </c>
      <c r="G1435" s="6" t="s">
        <v>1654</v>
      </c>
    </row>
    <row r="1436" ht="15.75" customHeight="1">
      <c r="A1436" s="155">
        <v>43437.0</v>
      </c>
      <c r="B1436" s="151" t="s">
        <v>4304</v>
      </c>
      <c r="C1436" s="151" t="s">
        <v>4305</v>
      </c>
      <c r="D1436" s="151">
        <f>+2348037659640</f>
        <v>2348037659640</v>
      </c>
      <c r="F1436" s="6" t="s">
        <v>168</v>
      </c>
      <c r="G1436" s="6" t="s">
        <v>1654</v>
      </c>
    </row>
    <row r="1437" ht="15.75" customHeight="1">
      <c r="A1437" s="155">
        <v>43437.0</v>
      </c>
      <c r="B1437" s="151" t="s">
        <v>4306</v>
      </c>
      <c r="C1437" s="151" t="s">
        <v>4307</v>
      </c>
      <c r="D1437" s="151">
        <f>+2348168871729</f>
        <v>2348168871729</v>
      </c>
      <c r="F1437" s="6" t="s">
        <v>168</v>
      </c>
      <c r="G1437" s="6" t="s">
        <v>1654</v>
      </c>
    </row>
    <row r="1438" ht="15.75" customHeight="1">
      <c r="A1438" s="155">
        <v>43437.0</v>
      </c>
      <c r="B1438" s="151" t="s">
        <v>4308</v>
      </c>
      <c r="C1438" s="151" t="s">
        <v>4309</v>
      </c>
      <c r="D1438" s="151">
        <f>+2348132696170</f>
        <v>2348132696170</v>
      </c>
      <c r="F1438" s="6" t="s">
        <v>168</v>
      </c>
      <c r="G1438" s="6" t="s">
        <v>1654</v>
      </c>
    </row>
    <row r="1439" ht="15.75" customHeight="1">
      <c r="A1439" s="155">
        <v>43437.0</v>
      </c>
      <c r="B1439" s="151" t="s">
        <v>4310</v>
      </c>
      <c r="C1439" s="151" t="s">
        <v>4311</v>
      </c>
      <c r="D1439" s="151">
        <f>+2348027662502</f>
        <v>2348027662502</v>
      </c>
      <c r="F1439" s="6" t="s">
        <v>168</v>
      </c>
      <c r="G1439" s="6" t="s">
        <v>1654</v>
      </c>
    </row>
    <row r="1440" ht="15.75" customHeight="1">
      <c r="A1440" s="155">
        <v>43437.0</v>
      </c>
      <c r="B1440" s="151" t="s">
        <v>4312</v>
      </c>
      <c r="C1440" s="151" t="s">
        <v>4313</v>
      </c>
      <c r="D1440" s="151">
        <f>+2348083190251</f>
        <v>2348083190251</v>
      </c>
      <c r="F1440" s="6" t="s">
        <v>168</v>
      </c>
      <c r="G1440" s="6" t="s">
        <v>1654</v>
      </c>
    </row>
    <row r="1441" ht="15.75" customHeight="1">
      <c r="A1441" s="155">
        <v>43437.0</v>
      </c>
      <c r="B1441" s="151" t="s">
        <v>4314</v>
      </c>
      <c r="C1441" s="151" t="s">
        <v>4315</v>
      </c>
      <c r="D1441" s="151">
        <f>+2348122667192</f>
        <v>2348122667192</v>
      </c>
      <c r="F1441" s="6" t="s">
        <v>168</v>
      </c>
      <c r="G1441" s="6" t="s">
        <v>1654</v>
      </c>
    </row>
    <row r="1442" ht="15.75" customHeight="1">
      <c r="A1442" s="155">
        <v>43437.0</v>
      </c>
      <c r="B1442" s="151" t="s">
        <v>4316</v>
      </c>
      <c r="C1442" s="151" t="s">
        <v>4317</v>
      </c>
      <c r="D1442" s="151">
        <f>+2348037476773</f>
        <v>2348037476773</v>
      </c>
      <c r="F1442" s="6" t="s">
        <v>168</v>
      </c>
      <c r="G1442" s="6" t="s">
        <v>1654</v>
      </c>
    </row>
    <row r="1443" ht="15.75" customHeight="1">
      <c r="A1443" s="155">
        <v>43437.0</v>
      </c>
      <c r="B1443" s="151" t="s">
        <v>4318</v>
      </c>
      <c r="C1443" s="151" t="s">
        <v>4319</v>
      </c>
      <c r="D1443" s="151">
        <f>+2347068137600</f>
        <v>2347068137600</v>
      </c>
      <c r="F1443" s="6" t="s">
        <v>168</v>
      </c>
      <c r="G1443" s="6" t="s">
        <v>1654</v>
      </c>
    </row>
    <row r="1444" ht="15.75" customHeight="1">
      <c r="A1444" s="155">
        <v>43437.0</v>
      </c>
      <c r="B1444" s="151" t="s">
        <v>4320</v>
      </c>
      <c r="C1444" s="151" t="s">
        <v>4321</v>
      </c>
      <c r="D1444" s="151">
        <f>+2348068669494</f>
        <v>2348068669494</v>
      </c>
      <c r="F1444" s="6" t="s">
        <v>168</v>
      </c>
      <c r="G1444" s="6" t="s">
        <v>1654</v>
      </c>
    </row>
    <row r="1445" ht="15.75" customHeight="1">
      <c r="A1445" s="155">
        <v>43437.0</v>
      </c>
      <c r="B1445" s="151" t="s">
        <v>4322</v>
      </c>
      <c r="C1445" s="151" t="s">
        <v>4323</v>
      </c>
      <c r="D1445" s="151">
        <f>+2348181094033</f>
        <v>2348181094033</v>
      </c>
      <c r="F1445" s="6" t="s">
        <v>168</v>
      </c>
      <c r="G1445" s="6" t="s">
        <v>1654</v>
      </c>
    </row>
    <row r="1446" ht="15.75" customHeight="1">
      <c r="A1446" s="155">
        <v>43437.0</v>
      </c>
      <c r="B1446" s="151" t="s">
        <v>4324</v>
      </c>
      <c r="C1446" s="151" t="s">
        <v>4325</v>
      </c>
      <c r="D1446" s="151">
        <f>+2347065450080</f>
        <v>2347065450080</v>
      </c>
      <c r="F1446" s="6" t="s">
        <v>168</v>
      </c>
      <c r="G1446" s="6" t="s">
        <v>1654</v>
      </c>
    </row>
    <row r="1447" ht="15.75" customHeight="1">
      <c r="A1447" s="155">
        <v>43437.0</v>
      </c>
      <c r="B1447" s="151" t="s">
        <v>4326</v>
      </c>
      <c r="C1447" s="151" t="s">
        <v>4327</v>
      </c>
      <c r="D1447" s="151">
        <f>+2348036127022</f>
        <v>2348036127022</v>
      </c>
      <c r="F1447" s="6" t="s">
        <v>168</v>
      </c>
      <c r="G1447" s="6" t="s">
        <v>1654</v>
      </c>
    </row>
    <row r="1448" ht="15.75" customHeight="1">
      <c r="A1448" s="155">
        <v>43437.0</v>
      </c>
      <c r="B1448" s="151" t="s">
        <v>4328</v>
      </c>
      <c r="C1448" s="151" t="s">
        <v>4329</v>
      </c>
      <c r="D1448" s="151">
        <f>+2347010000964</f>
        <v>2347010000964</v>
      </c>
      <c r="F1448" s="6" t="s">
        <v>168</v>
      </c>
      <c r="G1448" s="6" t="s">
        <v>1654</v>
      </c>
    </row>
    <row r="1449" ht="15.75" customHeight="1">
      <c r="A1449" s="155">
        <v>43437.0</v>
      </c>
      <c r="B1449" s="151" t="s">
        <v>4330</v>
      </c>
      <c r="C1449" s="151" t="s">
        <v>4331</v>
      </c>
      <c r="D1449" s="151">
        <f>+2348184132204</f>
        <v>2348184132204</v>
      </c>
      <c r="F1449" s="6" t="s">
        <v>168</v>
      </c>
      <c r="G1449" s="6" t="s">
        <v>1654</v>
      </c>
    </row>
    <row r="1450" ht="15.75" customHeight="1">
      <c r="A1450" s="155">
        <v>43437.0</v>
      </c>
      <c r="B1450" s="151" t="s">
        <v>4332</v>
      </c>
      <c r="C1450" s="151" t="s">
        <v>4333</v>
      </c>
      <c r="D1450" s="151">
        <f>+23408180531266</f>
        <v>23408180531266</v>
      </c>
      <c r="F1450" s="6" t="s">
        <v>168</v>
      </c>
      <c r="G1450" s="6" t="s">
        <v>1654</v>
      </c>
    </row>
    <row r="1451" ht="15.75" customHeight="1">
      <c r="A1451" s="155">
        <v>43437.0</v>
      </c>
      <c r="B1451" s="151" t="s">
        <v>4334</v>
      </c>
      <c r="C1451" s="151" t="s">
        <v>4335</v>
      </c>
      <c r="D1451" s="151">
        <f>+2349031687876</f>
        <v>2349031687876</v>
      </c>
      <c r="F1451" s="6" t="s">
        <v>168</v>
      </c>
      <c r="G1451" s="6" t="s">
        <v>1654</v>
      </c>
    </row>
    <row r="1452" ht="15.75" customHeight="1">
      <c r="A1452" s="155">
        <v>43437.0</v>
      </c>
      <c r="B1452" s="151" t="s">
        <v>4336</v>
      </c>
      <c r="C1452" s="151" t="s">
        <v>4337</v>
      </c>
      <c r="D1452" s="151">
        <f>+2348137709961</f>
        <v>2348137709961</v>
      </c>
      <c r="F1452" s="6" t="s">
        <v>168</v>
      </c>
      <c r="G1452" s="6" t="s">
        <v>1654</v>
      </c>
    </row>
    <row r="1453" ht="15.75" customHeight="1">
      <c r="A1453" s="155">
        <v>43437.0</v>
      </c>
      <c r="B1453" s="151" t="s">
        <v>4338</v>
      </c>
      <c r="C1453" s="151" t="s">
        <v>4339</v>
      </c>
      <c r="D1453" s="151">
        <f>+23408024141634</f>
        <v>23408024141634</v>
      </c>
      <c r="F1453" s="6" t="s">
        <v>168</v>
      </c>
      <c r="G1453" s="6" t="s">
        <v>1654</v>
      </c>
    </row>
    <row r="1454" ht="15.75" customHeight="1">
      <c r="A1454" s="155">
        <v>43437.0</v>
      </c>
      <c r="B1454" s="151" t="s">
        <v>4340</v>
      </c>
      <c r="C1454" s="151" t="s">
        <v>4341</v>
      </c>
      <c r="D1454" s="151">
        <f>+2348062611512</f>
        <v>2348062611512</v>
      </c>
      <c r="F1454" s="6" t="s">
        <v>168</v>
      </c>
      <c r="G1454" s="6" t="s">
        <v>1654</v>
      </c>
    </row>
    <row r="1455" ht="15.75" customHeight="1">
      <c r="A1455" s="155">
        <v>43437.0</v>
      </c>
      <c r="B1455" s="151" t="s">
        <v>4342</v>
      </c>
      <c r="C1455" s="151" t="s">
        <v>4343</v>
      </c>
      <c r="D1455" s="151">
        <f>+2348024585496</f>
        <v>2348024585496</v>
      </c>
      <c r="F1455" s="6" t="s">
        <v>168</v>
      </c>
      <c r="G1455" s="6" t="s">
        <v>1654</v>
      </c>
    </row>
    <row r="1456" ht="15.75" customHeight="1">
      <c r="A1456" s="155">
        <v>43437.0</v>
      </c>
      <c r="B1456" s="151" t="s">
        <v>4344</v>
      </c>
      <c r="C1456" s="151" t="s">
        <v>4345</v>
      </c>
      <c r="D1456" s="151">
        <f>+2348069604776</f>
        <v>2348069604776</v>
      </c>
      <c r="F1456" s="6" t="s">
        <v>168</v>
      </c>
      <c r="G1456" s="6" t="s">
        <v>1654</v>
      </c>
    </row>
    <row r="1457" ht="15.75" customHeight="1">
      <c r="A1457" s="155">
        <v>43437.0</v>
      </c>
      <c r="B1457" s="151" t="s">
        <v>4346</v>
      </c>
      <c r="C1457" s="151" t="s">
        <v>4347</v>
      </c>
      <c r="D1457" s="151">
        <f>+2347060875864</f>
        <v>2347060875864</v>
      </c>
      <c r="F1457" s="6" t="s">
        <v>168</v>
      </c>
      <c r="G1457" s="6" t="s">
        <v>1654</v>
      </c>
    </row>
    <row r="1458" ht="15.75" customHeight="1">
      <c r="A1458" s="155">
        <v>43437.0</v>
      </c>
      <c r="B1458" s="151" t="s">
        <v>4348</v>
      </c>
      <c r="C1458" s="151" t="s">
        <v>4349</v>
      </c>
      <c r="D1458" s="151">
        <f>+2348024488689</f>
        <v>2348024488689</v>
      </c>
      <c r="F1458" s="6" t="s">
        <v>168</v>
      </c>
      <c r="G1458" s="6" t="s">
        <v>1654</v>
      </c>
    </row>
    <row r="1459" ht="15.75" customHeight="1">
      <c r="A1459" s="155">
        <v>43437.0</v>
      </c>
      <c r="B1459" s="151" t="s">
        <v>4350</v>
      </c>
      <c r="C1459" s="151" t="s">
        <v>4351</v>
      </c>
      <c r="D1459" s="151">
        <f>+971555627059</f>
        <v>971555627059</v>
      </c>
      <c r="F1459" s="6" t="s">
        <v>168</v>
      </c>
      <c r="G1459" s="6" t="s">
        <v>1654</v>
      </c>
    </row>
    <row r="1460" ht="15.75" customHeight="1">
      <c r="A1460" s="155">
        <v>43437.0</v>
      </c>
      <c r="B1460" s="151" t="s">
        <v>4352</v>
      </c>
      <c r="C1460" s="151" t="s">
        <v>4353</v>
      </c>
      <c r="D1460" s="151">
        <f>+2348064545365</f>
        <v>2348064545365</v>
      </c>
      <c r="F1460" s="6" t="s">
        <v>168</v>
      </c>
      <c r="G1460" s="6" t="s">
        <v>1654</v>
      </c>
    </row>
    <row r="1461" ht="15.75" customHeight="1">
      <c r="A1461" s="155">
        <v>43437.0</v>
      </c>
      <c r="B1461" s="151" t="s">
        <v>4354</v>
      </c>
      <c r="C1461" s="151" t="s">
        <v>4355</v>
      </c>
      <c r="D1461" s="151">
        <f>+2348068620421</f>
        <v>2348068620421</v>
      </c>
      <c r="F1461" s="6" t="s">
        <v>168</v>
      </c>
      <c r="G1461" s="6" t="s">
        <v>1654</v>
      </c>
    </row>
    <row r="1462" ht="15.75" customHeight="1">
      <c r="A1462" s="155">
        <v>43437.0</v>
      </c>
      <c r="B1462" s="151" t="s">
        <v>4356</v>
      </c>
      <c r="C1462" s="151" t="s">
        <v>4357</v>
      </c>
      <c r="D1462" s="151">
        <f>+2348030869624</f>
        <v>2348030869624</v>
      </c>
      <c r="F1462" s="6" t="s">
        <v>168</v>
      </c>
      <c r="G1462" s="6" t="s">
        <v>1654</v>
      </c>
    </row>
    <row r="1463" ht="15.75" customHeight="1">
      <c r="A1463" s="155">
        <v>43437.0</v>
      </c>
      <c r="B1463" s="151" t="s">
        <v>4358</v>
      </c>
      <c r="C1463" s="151" t="s">
        <v>4359</v>
      </c>
      <c r="D1463" s="151">
        <f>+23409096811827</f>
        <v>23409096811827</v>
      </c>
      <c r="F1463" s="6" t="s">
        <v>168</v>
      </c>
      <c r="G1463" s="6" t="s">
        <v>1654</v>
      </c>
    </row>
    <row r="1464" ht="15.75" customHeight="1">
      <c r="A1464" s="155">
        <v>43437.0</v>
      </c>
      <c r="B1464" s="151" t="s">
        <v>4360</v>
      </c>
      <c r="C1464" s="151" t="s">
        <v>4361</v>
      </c>
      <c r="D1464" s="151">
        <f>+2348034384103</f>
        <v>2348034384103</v>
      </c>
      <c r="F1464" s="6" t="s">
        <v>168</v>
      </c>
      <c r="G1464" s="6" t="s">
        <v>1654</v>
      </c>
    </row>
    <row r="1465" ht="15.75" customHeight="1">
      <c r="A1465" s="155">
        <v>43437.0</v>
      </c>
      <c r="B1465" s="151" t="s">
        <v>4362</v>
      </c>
      <c r="C1465" s="151" t="s">
        <v>4363</v>
      </c>
      <c r="D1465" s="151">
        <f>+2348027851771</f>
        <v>2348027851771</v>
      </c>
      <c r="F1465" s="6" t="s">
        <v>168</v>
      </c>
      <c r="G1465" s="6" t="s">
        <v>1654</v>
      </c>
    </row>
    <row r="1466" ht="15.75" customHeight="1">
      <c r="A1466" s="155">
        <v>43437.0</v>
      </c>
      <c r="B1466" s="151" t="s">
        <v>4364</v>
      </c>
      <c r="C1466" s="151" t="s">
        <v>4365</v>
      </c>
      <c r="D1466" s="151">
        <f>+2348189693209</f>
        <v>2348189693209</v>
      </c>
      <c r="F1466" s="6" t="s">
        <v>168</v>
      </c>
      <c r="G1466" s="6" t="s">
        <v>1654</v>
      </c>
    </row>
    <row r="1467" ht="15.75" customHeight="1">
      <c r="A1467" s="155">
        <v>43437.0</v>
      </c>
      <c r="B1467" s="151" t="s">
        <v>4366</v>
      </c>
      <c r="C1467" s="151" t="s">
        <v>4367</v>
      </c>
      <c r="D1467" s="151">
        <f>+2348068204628</f>
        <v>2348068204628</v>
      </c>
      <c r="F1467" s="6" t="s">
        <v>168</v>
      </c>
      <c r="G1467" s="6" t="s">
        <v>1654</v>
      </c>
    </row>
    <row r="1468" ht="15.75" customHeight="1">
      <c r="A1468" s="155">
        <v>43437.0</v>
      </c>
      <c r="B1468" s="151" t="s">
        <v>4368</v>
      </c>
      <c r="C1468" s="151" t="s">
        <v>4369</v>
      </c>
      <c r="D1468" s="151">
        <f>+2348023701109</f>
        <v>2348023701109</v>
      </c>
      <c r="F1468" s="6" t="s">
        <v>168</v>
      </c>
      <c r="G1468" s="6" t="s">
        <v>1654</v>
      </c>
    </row>
    <row r="1469" ht="15.75" customHeight="1">
      <c r="A1469" s="155">
        <v>43437.0</v>
      </c>
      <c r="B1469" s="151" t="s">
        <v>4370</v>
      </c>
      <c r="C1469" s="151" t="s">
        <v>4371</v>
      </c>
      <c r="D1469" s="151">
        <f>+2348066009733</f>
        <v>2348066009733</v>
      </c>
      <c r="F1469" s="6" t="s">
        <v>168</v>
      </c>
      <c r="G1469" s="6" t="s">
        <v>1654</v>
      </c>
    </row>
    <row r="1470" ht="15.75" customHeight="1">
      <c r="A1470" s="155">
        <v>43437.0</v>
      </c>
      <c r="B1470" s="151" t="s">
        <v>4372</v>
      </c>
      <c r="C1470" s="151" t="s">
        <v>4373</v>
      </c>
      <c r="D1470" s="151">
        <f>+23408060888986</f>
        <v>23408060888986</v>
      </c>
      <c r="F1470" s="6" t="s">
        <v>168</v>
      </c>
      <c r="G1470" s="6" t="s">
        <v>1654</v>
      </c>
    </row>
    <row r="1471" ht="15.75" customHeight="1">
      <c r="A1471" s="155">
        <v>43437.0</v>
      </c>
      <c r="B1471" s="151" t="s">
        <v>4374</v>
      </c>
      <c r="C1471" s="151" t="s">
        <v>4375</v>
      </c>
      <c r="D1471" s="151">
        <f>+2348060235057</f>
        <v>2348060235057</v>
      </c>
      <c r="F1471" s="6" t="s">
        <v>168</v>
      </c>
      <c r="G1471" s="6" t="s">
        <v>1654</v>
      </c>
    </row>
    <row r="1472" ht="15.75" customHeight="1">
      <c r="A1472" s="155">
        <v>43437.0</v>
      </c>
      <c r="B1472" s="151" t="s">
        <v>4376</v>
      </c>
      <c r="C1472" s="151" t="s">
        <v>4377</v>
      </c>
      <c r="D1472" s="151">
        <f>+2348066344176</f>
        <v>2348066344176</v>
      </c>
      <c r="F1472" s="6" t="s">
        <v>168</v>
      </c>
      <c r="G1472" s="6" t="s">
        <v>1654</v>
      </c>
    </row>
    <row r="1473" ht="15.75" customHeight="1">
      <c r="A1473" s="155">
        <v>43437.0</v>
      </c>
      <c r="B1473" s="151" t="s">
        <v>4378</v>
      </c>
      <c r="C1473" s="151" t="s">
        <v>4379</v>
      </c>
      <c r="D1473" s="151">
        <f>+2348133873716</f>
        <v>2348133873716</v>
      </c>
      <c r="F1473" s="6" t="s">
        <v>168</v>
      </c>
      <c r="G1473" s="6" t="s">
        <v>1654</v>
      </c>
    </row>
    <row r="1474" ht="15.75" customHeight="1">
      <c r="A1474" s="155">
        <v>43437.0</v>
      </c>
      <c r="B1474" s="151" t="s">
        <v>4380</v>
      </c>
      <c r="C1474" s="151" t="s">
        <v>4381</v>
      </c>
      <c r="D1474" s="151">
        <f>+2348036713765</f>
        <v>2348036713765</v>
      </c>
      <c r="F1474" s="6" t="s">
        <v>168</v>
      </c>
      <c r="G1474" s="6" t="s">
        <v>1654</v>
      </c>
    </row>
    <row r="1475" ht="15.75" customHeight="1">
      <c r="A1475" s="155">
        <v>43437.0</v>
      </c>
      <c r="B1475" s="151" t="s">
        <v>4382</v>
      </c>
      <c r="C1475" s="151" t="s">
        <v>4383</v>
      </c>
      <c r="D1475" s="151">
        <f>+2348089149114</f>
        <v>2348089149114</v>
      </c>
      <c r="F1475" s="6" t="s">
        <v>168</v>
      </c>
      <c r="G1475" s="6" t="s">
        <v>1654</v>
      </c>
    </row>
    <row r="1476" ht="15.75" customHeight="1">
      <c r="A1476" s="155">
        <v>43437.0</v>
      </c>
      <c r="B1476" s="151" t="s">
        <v>4384</v>
      </c>
      <c r="C1476" s="151" t="s">
        <v>4385</v>
      </c>
      <c r="D1476" s="151">
        <f>+2347066665795</f>
        <v>2347066665795</v>
      </c>
      <c r="F1476" s="6" t="s">
        <v>168</v>
      </c>
      <c r="G1476" s="6" t="s">
        <v>1654</v>
      </c>
    </row>
    <row r="1477" ht="15.75" customHeight="1">
      <c r="A1477" s="155">
        <v>43437.0</v>
      </c>
      <c r="B1477" s="151" t="s">
        <v>4386</v>
      </c>
      <c r="C1477" s="151" t="s">
        <v>4387</v>
      </c>
      <c r="D1477" s="151">
        <f>+2348033974259</f>
        <v>2348033974259</v>
      </c>
      <c r="F1477" s="6" t="s">
        <v>168</v>
      </c>
      <c r="G1477" s="6" t="s">
        <v>1654</v>
      </c>
    </row>
    <row r="1478" ht="15.75" customHeight="1">
      <c r="A1478" s="155">
        <v>43437.0</v>
      </c>
      <c r="B1478" s="151" t="s">
        <v>4388</v>
      </c>
      <c r="C1478" s="151" t="s">
        <v>4389</v>
      </c>
      <c r="D1478" s="151">
        <f>+2347068379132</f>
        <v>2347068379132</v>
      </c>
      <c r="F1478" s="6" t="s">
        <v>168</v>
      </c>
      <c r="G1478" s="6" t="s">
        <v>1654</v>
      </c>
    </row>
    <row r="1479" ht="15.75" customHeight="1">
      <c r="A1479" s="155">
        <v>43437.0</v>
      </c>
      <c r="B1479" s="151" t="s">
        <v>4390</v>
      </c>
      <c r="C1479" s="151" t="s">
        <v>4391</v>
      </c>
      <c r="D1479" s="151">
        <f>+2348067948897</f>
        <v>2348067948897</v>
      </c>
      <c r="F1479" s="6" t="s">
        <v>168</v>
      </c>
      <c r="G1479" s="6" t="s">
        <v>1654</v>
      </c>
    </row>
    <row r="1480" ht="15.75" customHeight="1">
      <c r="A1480" s="155">
        <v>43437.0</v>
      </c>
      <c r="B1480" s="151" t="s">
        <v>4392</v>
      </c>
      <c r="C1480" s="151" t="s">
        <v>4393</v>
      </c>
      <c r="D1480" s="151">
        <f>+2348037803896</f>
        <v>2348037803896</v>
      </c>
      <c r="F1480" s="6" t="s">
        <v>168</v>
      </c>
      <c r="G1480" s="6" t="s">
        <v>1654</v>
      </c>
    </row>
    <row r="1481" ht="15.75" customHeight="1">
      <c r="A1481" s="155">
        <v>43437.0</v>
      </c>
      <c r="B1481" s="151" t="s">
        <v>4394</v>
      </c>
      <c r="C1481" s="151" t="s">
        <v>4395</v>
      </c>
      <c r="D1481" s="151">
        <f>+23408037211367</f>
        <v>23408037211367</v>
      </c>
      <c r="F1481" s="6" t="s">
        <v>168</v>
      </c>
      <c r="G1481" s="6" t="s">
        <v>1654</v>
      </c>
    </row>
    <row r="1482" ht="15.75" customHeight="1">
      <c r="A1482" s="155">
        <v>43437.0</v>
      </c>
      <c r="B1482" s="151" t="s">
        <v>4396</v>
      </c>
      <c r="C1482" s="151" t="s">
        <v>4397</v>
      </c>
      <c r="D1482" s="151">
        <f>+2349025567525</f>
        <v>2349025567525</v>
      </c>
      <c r="F1482" s="6" t="s">
        <v>168</v>
      </c>
      <c r="G1482" s="6" t="s">
        <v>1654</v>
      </c>
    </row>
    <row r="1483" ht="15.75" customHeight="1">
      <c r="A1483" s="155">
        <v>43437.0</v>
      </c>
      <c r="B1483" s="151" t="s">
        <v>4398</v>
      </c>
      <c r="C1483" s="151" t="s">
        <v>4399</v>
      </c>
      <c r="D1483" s="151">
        <f>+2348178856113</f>
        <v>2348178856113</v>
      </c>
      <c r="F1483" s="6" t="s">
        <v>168</v>
      </c>
      <c r="G1483" s="6" t="s">
        <v>1654</v>
      </c>
    </row>
    <row r="1484" ht="15.75" customHeight="1">
      <c r="A1484" s="155">
        <v>43437.0</v>
      </c>
      <c r="B1484" s="151" t="s">
        <v>4400</v>
      </c>
      <c r="C1484" s="151" t="s">
        <v>4401</v>
      </c>
      <c r="D1484" s="151">
        <f>+2349022418684</f>
        <v>2349022418684</v>
      </c>
      <c r="F1484" s="6" t="s">
        <v>168</v>
      </c>
      <c r="G1484" s="6" t="s">
        <v>1654</v>
      </c>
    </row>
    <row r="1485" ht="15.75" customHeight="1">
      <c r="A1485" s="155">
        <v>43437.0</v>
      </c>
      <c r="B1485" s="151" t="s">
        <v>4402</v>
      </c>
      <c r="C1485" s="151" t="s">
        <v>4403</v>
      </c>
      <c r="D1485" s="151">
        <f>+23407038272705</f>
        <v>23407038272705</v>
      </c>
      <c r="F1485" s="6" t="s">
        <v>168</v>
      </c>
      <c r="G1485" s="6" t="s">
        <v>1654</v>
      </c>
    </row>
    <row r="1486" ht="15.75" customHeight="1">
      <c r="A1486" s="155">
        <v>43437.0</v>
      </c>
      <c r="B1486" s="151" t="s">
        <v>4404</v>
      </c>
      <c r="C1486" s="151" t="s">
        <v>4405</v>
      </c>
      <c r="D1486" s="151">
        <f>+2348033425181</f>
        <v>2348033425181</v>
      </c>
      <c r="F1486" s="6" t="s">
        <v>168</v>
      </c>
      <c r="G1486" s="6" t="s">
        <v>1654</v>
      </c>
    </row>
    <row r="1487" ht="15.75" customHeight="1">
      <c r="A1487" s="155">
        <v>43437.0</v>
      </c>
      <c r="B1487" s="151" t="s">
        <v>4406</v>
      </c>
      <c r="C1487" s="151" t="s">
        <v>4407</v>
      </c>
      <c r="D1487" s="151">
        <f>+2349038269741</f>
        <v>2349038269741</v>
      </c>
      <c r="F1487" s="6" t="s">
        <v>168</v>
      </c>
      <c r="G1487" s="6" t="s">
        <v>1654</v>
      </c>
    </row>
    <row r="1488" ht="15.75" customHeight="1">
      <c r="A1488" s="155">
        <v>43437.0</v>
      </c>
      <c r="B1488" s="151" t="s">
        <v>4408</v>
      </c>
      <c r="C1488" s="151" t="s">
        <v>4409</v>
      </c>
      <c r="D1488" s="151">
        <f>+2348035235085</f>
        <v>2348035235085</v>
      </c>
      <c r="F1488" s="6" t="s">
        <v>168</v>
      </c>
      <c r="G1488" s="6" t="s">
        <v>1654</v>
      </c>
    </row>
    <row r="1489" ht="15.75" customHeight="1">
      <c r="A1489" s="155">
        <v>43437.0</v>
      </c>
      <c r="B1489" s="151" t="s">
        <v>4410</v>
      </c>
      <c r="C1489" s="151" t="s">
        <v>4411</v>
      </c>
      <c r="D1489" s="151">
        <f>+2348160315269</f>
        <v>2348160315269</v>
      </c>
      <c r="F1489" s="6" t="s">
        <v>168</v>
      </c>
      <c r="G1489" s="6" t="s">
        <v>1654</v>
      </c>
    </row>
    <row r="1490" ht="15.75" customHeight="1">
      <c r="A1490" s="155">
        <v>43437.0</v>
      </c>
      <c r="B1490" s="151" t="s">
        <v>4412</v>
      </c>
      <c r="C1490" s="151" t="s">
        <v>4413</v>
      </c>
      <c r="D1490" s="151">
        <f>+2348138470046</f>
        <v>2348138470046</v>
      </c>
      <c r="F1490" s="6" t="s">
        <v>168</v>
      </c>
      <c r="G1490" s="6" t="s">
        <v>1654</v>
      </c>
    </row>
    <row r="1491" ht="15.75" customHeight="1">
      <c r="A1491" s="155">
        <v>43437.0</v>
      </c>
      <c r="B1491" s="151" t="s">
        <v>4414</v>
      </c>
      <c r="C1491" s="151" t="s">
        <v>4415</v>
      </c>
      <c r="D1491" s="151">
        <f>+2348065595450</f>
        <v>2348065595450</v>
      </c>
      <c r="F1491" s="6" t="s">
        <v>168</v>
      </c>
      <c r="G1491" s="6" t="s">
        <v>1654</v>
      </c>
    </row>
    <row r="1492" ht="15.75" customHeight="1">
      <c r="A1492" s="155">
        <v>43437.0</v>
      </c>
      <c r="B1492" s="151" t="s">
        <v>4416</v>
      </c>
      <c r="C1492" s="151" t="s">
        <v>4417</v>
      </c>
      <c r="D1492" s="151">
        <f>+2348176156157</f>
        <v>2348176156157</v>
      </c>
      <c r="F1492" s="6" t="s">
        <v>168</v>
      </c>
      <c r="G1492" s="6" t="s">
        <v>1654</v>
      </c>
    </row>
    <row r="1493" ht="15.75" customHeight="1">
      <c r="A1493" s="155">
        <v>43437.0</v>
      </c>
      <c r="B1493" s="151" t="s">
        <v>4418</v>
      </c>
      <c r="C1493" s="151" t="s">
        <v>4419</v>
      </c>
      <c r="D1493" s="151">
        <f>+2347034909595</f>
        <v>2347034909595</v>
      </c>
      <c r="F1493" s="6" t="s">
        <v>168</v>
      </c>
      <c r="G1493" s="6" t="s">
        <v>1654</v>
      </c>
    </row>
    <row r="1494" ht="15.75" customHeight="1">
      <c r="A1494" s="155">
        <v>43437.0</v>
      </c>
      <c r="B1494" s="151" t="s">
        <v>4420</v>
      </c>
      <c r="C1494" s="151" t="s">
        <v>4421</v>
      </c>
      <c r="D1494" s="151">
        <f>+2348033901467</f>
        <v>2348033901467</v>
      </c>
      <c r="F1494" s="6" t="s">
        <v>168</v>
      </c>
      <c r="G1494" s="6" t="s">
        <v>1654</v>
      </c>
    </row>
    <row r="1495" ht="15.75" customHeight="1">
      <c r="A1495" s="155">
        <v>43437.0</v>
      </c>
      <c r="B1495" s="151" t="s">
        <v>4422</v>
      </c>
      <c r="C1495" s="151" t="s">
        <v>4423</v>
      </c>
      <c r="D1495" s="151">
        <f>+2348038022411</f>
        <v>2348038022411</v>
      </c>
      <c r="F1495" s="6" t="s">
        <v>168</v>
      </c>
      <c r="G1495" s="6" t="s">
        <v>1654</v>
      </c>
    </row>
    <row r="1496" ht="15.75" customHeight="1">
      <c r="A1496" s="155">
        <v>43437.0</v>
      </c>
      <c r="B1496" s="151" t="s">
        <v>4424</v>
      </c>
      <c r="C1496" s="151" t="s">
        <v>4425</v>
      </c>
      <c r="D1496" s="151">
        <f>+2347033086545</f>
        <v>2347033086545</v>
      </c>
      <c r="F1496" s="6" t="s">
        <v>168</v>
      </c>
      <c r="G1496" s="6" t="s">
        <v>1654</v>
      </c>
    </row>
    <row r="1497" ht="15.75" customHeight="1">
      <c r="A1497" s="155">
        <v>43437.0</v>
      </c>
      <c r="B1497" s="151" t="s">
        <v>4426</v>
      </c>
      <c r="C1497" s="151" t="s">
        <v>4427</v>
      </c>
      <c r="D1497" s="151">
        <f>+2348109953678</f>
        <v>2348109953678</v>
      </c>
      <c r="F1497" s="6" t="s">
        <v>168</v>
      </c>
      <c r="G1497" s="6" t="s">
        <v>1654</v>
      </c>
    </row>
    <row r="1498" ht="15.75" customHeight="1">
      <c r="A1498" s="155">
        <v>43437.0</v>
      </c>
      <c r="B1498" s="151" t="s">
        <v>4428</v>
      </c>
      <c r="C1498" s="151" t="s">
        <v>4429</v>
      </c>
      <c r="D1498" s="151">
        <f>+2348086566424</f>
        <v>2348086566424</v>
      </c>
      <c r="F1498" s="6" t="s">
        <v>168</v>
      </c>
      <c r="G1498" s="6" t="s">
        <v>1654</v>
      </c>
    </row>
    <row r="1499" ht="15.75" customHeight="1">
      <c r="A1499" s="155">
        <v>43437.0</v>
      </c>
      <c r="B1499" s="151" t="s">
        <v>4430</v>
      </c>
      <c r="C1499" s="151" t="s">
        <v>4431</v>
      </c>
      <c r="D1499" s="151">
        <f>+23408050597988</f>
        <v>23408050597988</v>
      </c>
      <c r="F1499" s="6" t="s">
        <v>168</v>
      </c>
      <c r="G1499" s="6" t="s">
        <v>1654</v>
      </c>
    </row>
    <row r="1500" ht="15.75" customHeight="1">
      <c r="A1500" s="155">
        <v>43437.0</v>
      </c>
      <c r="B1500" s="151" t="s">
        <v>4432</v>
      </c>
      <c r="C1500" s="151" t="s">
        <v>4433</v>
      </c>
      <c r="D1500" s="151">
        <f>+2348038060789</f>
        <v>2348038060789</v>
      </c>
      <c r="F1500" s="6" t="s">
        <v>168</v>
      </c>
      <c r="G1500" s="6" t="s">
        <v>1654</v>
      </c>
    </row>
    <row r="1501" ht="15.75" customHeight="1">
      <c r="A1501" s="155">
        <v>43437.0</v>
      </c>
      <c r="B1501" s="151" t="s">
        <v>4434</v>
      </c>
      <c r="C1501" s="151" t="s">
        <v>4435</v>
      </c>
      <c r="D1501" s="151">
        <f>+2349030410898</f>
        <v>2349030410898</v>
      </c>
      <c r="F1501" s="6" t="s">
        <v>168</v>
      </c>
      <c r="G1501" s="6" t="s">
        <v>1654</v>
      </c>
    </row>
    <row r="1502" ht="15.75" customHeight="1">
      <c r="A1502" s="155">
        <v>43437.0</v>
      </c>
      <c r="B1502" s="151" t="s">
        <v>4436</v>
      </c>
      <c r="C1502" s="151" t="s">
        <v>4437</v>
      </c>
      <c r="D1502" s="151">
        <f>+971525410223</f>
        <v>971525410223</v>
      </c>
      <c r="F1502" s="6" t="s">
        <v>168</v>
      </c>
      <c r="G1502" s="6" t="s">
        <v>1654</v>
      </c>
    </row>
    <row r="1503" ht="15.75" customHeight="1">
      <c r="A1503" s="155">
        <v>43437.0</v>
      </c>
      <c r="B1503" s="151" t="s">
        <v>4438</v>
      </c>
      <c r="C1503" s="151" t="s">
        <v>4439</v>
      </c>
      <c r="D1503" s="151">
        <f>+2348062506620</f>
        <v>2348062506620</v>
      </c>
      <c r="F1503" s="6" t="s">
        <v>168</v>
      </c>
      <c r="G1503" s="6" t="s">
        <v>1654</v>
      </c>
    </row>
    <row r="1504" ht="15.75" customHeight="1">
      <c r="A1504" s="155">
        <v>43437.0</v>
      </c>
      <c r="B1504" s="151" t="s">
        <v>4440</v>
      </c>
      <c r="C1504" s="151" t="s">
        <v>4441</v>
      </c>
      <c r="D1504" s="151">
        <f>+2347087354404</f>
        <v>2347087354404</v>
      </c>
      <c r="F1504" s="6" t="s">
        <v>168</v>
      </c>
      <c r="G1504" s="6" t="s">
        <v>1654</v>
      </c>
    </row>
    <row r="1505" ht="15.75" customHeight="1">
      <c r="A1505" s="155">
        <v>43437.0</v>
      </c>
      <c r="B1505" s="151" t="s">
        <v>4442</v>
      </c>
      <c r="C1505" s="151" t="s">
        <v>4443</v>
      </c>
      <c r="D1505" s="151">
        <f>+2347037452096</f>
        <v>2347037452096</v>
      </c>
      <c r="F1505" s="6" t="s">
        <v>168</v>
      </c>
      <c r="G1505" s="6" t="s">
        <v>1654</v>
      </c>
    </row>
    <row r="1506" ht="15.75" customHeight="1">
      <c r="A1506" s="155">
        <v>43437.0</v>
      </c>
      <c r="B1506" s="151" t="s">
        <v>4444</v>
      </c>
      <c r="C1506" s="151" t="s">
        <v>4445</v>
      </c>
      <c r="D1506" s="151">
        <f>+2348060080906</f>
        <v>2348060080906</v>
      </c>
      <c r="F1506" s="6" t="s">
        <v>168</v>
      </c>
      <c r="G1506" s="6" t="s">
        <v>1654</v>
      </c>
    </row>
    <row r="1507" ht="15.75" customHeight="1">
      <c r="A1507" s="155">
        <v>43437.0</v>
      </c>
      <c r="B1507" s="151" t="s">
        <v>1859</v>
      </c>
      <c r="C1507" s="151" t="s">
        <v>4446</v>
      </c>
      <c r="D1507" s="151">
        <f>+2349093062814</f>
        <v>2349093062814</v>
      </c>
      <c r="F1507" s="6" t="s">
        <v>168</v>
      </c>
      <c r="G1507" s="6" t="s">
        <v>1654</v>
      </c>
    </row>
    <row r="1508" ht="15.75" customHeight="1">
      <c r="A1508" s="155">
        <v>43437.0</v>
      </c>
      <c r="B1508" s="151" t="s">
        <v>4447</v>
      </c>
      <c r="C1508" s="151" t="s">
        <v>4448</v>
      </c>
      <c r="D1508" s="151">
        <f>+2348025743706</f>
        <v>2348025743706</v>
      </c>
      <c r="F1508" s="6" t="s">
        <v>168</v>
      </c>
      <c r="G1508" s="6" t="s">
        <v>1654</v>
      </c>
    </row>
    <row r="1509" ht="15.75" customHeight="1">
      <c r="A1509" s="155">
        <v>43437.0</v>
      </c>
      <c r="B1509" s="151" t="s">
        <v>4449</v>
      </c>
      <c r="C1509" s="151" t="s">
        <v>4450</v>
      </c>
      <c r="D1509" s="151">
        <f>+23408138772720</f>
        <v>23408138772720</v>
      </c>
      <c r="F1509" s="6" t="s">
        <v>168</v>
      </c>
      <c r="G1509" s="6" t="s">
        <v>1654</v>
      </c>
    </row>
    <row r="1510" ht="15.75" customHeight="1">
      <c r="A1510" s="155">
        <v>43437.0</v>
      </c>
      <c r="B1510" s="151" t="s">
        <v>2986</v>
      </c>
      <c r="C1510" s="151" t="s">
        <v>2987</v>
      </c>
      <c r="D1510" s="151">
        <f>+2348022195089</f>
        <v>2348022195089</v>
      </c>
      <c r="F1510" s="6" t="s">
        <v>168</v>
      </c>
      <c r="G1510" s="6" t="s">
        <v>1654</v>
      </c>
    </row>
    <row r="1511" ht="15.75" customHeight="1">
      <c r="A1511" s="155">
        <v>43437.0</v>
      </c>
      <c r="B1511" s="151" t="s">
        <v>4451</v>
      </c>
      <c r="C1511" s="151" t="s">
        <v>4452</v>
      </c>
      <c r="D1511" s="151">
        <f>+2348021075555</f>
        <v>2348021075555</v>
      </c>
      <c r="F1511" s="6" t="s">
        <v>168</v>
      </c>
      <c r="G1511" s="6" t="s">
        <v>1654</v>
      </c>
    </row>
    <row r="1512" ht="15.75" customHeight="1">
      <c r="A1512" s="155">
        <v>43437.0</v>
      </c>
      <c r="B1512" s="151" t="s">
        <v>4453</v>
      </c>
      <c r="C1512" s="151" t="s">
        <v>4454</v>
      </c>
      <c r="D1512" s="151">
        <f>+2348022528450</f>
        <v>2348022528450</v>
      </c>
      <c r="F1512" s="6" t="s">
        <v>168</v>
      </c>
      <c r="G1512" s="6" t="s">
        <v>1654</v>
      </c>
    </row>
    <row r="1513" ht="15.75" customHeight="1">
      <c r="A1513" s="155">
        <v>43437.0</v>
      </c>
      <c r="B1513" s="151" t="s">
        <v>4455</v>
      </c>
      <c r="C1513" s="151" t="s">
        <v>4456</v>
      </c>
      <c r="D1513" s="151">
        <f>+2348058305347</f>
        <v>2348058305347</v>
      </c>
      <c r="F1513" s="6" t="s">
        <v>168</v>
      </c>
      <c r="G1513" s="6" t="s">
        <v>1654</v>
      </c>
    </row>
    <row r="1514" ht="15.75" customHeight="1">
      <c r="A1514" s="155">
        <v>43437.0</v>
      </c>
      <c r="B1514" s="151" t="s">
        <v>4457</v>
      </c>
      <c r="C1514" s="151" t="s">
        <v>4458</v>
      </c>
      <c r="D1514" s="151">
        <f>+2348037926407</f>
        <v>2348037926407</v>
      </c>
      <c r="F1514" s="6" t="s">
        <v>168</v>
      </c>
      <c r="G1514" s="6" t="s">
        <v>1654</v>
      </c>
    </row>
    <row r="1515" ht="15.75" customHeight="1">
      <c r="A1515" s="155">
        <v>43437.0</v>
      </c>
      <c r="B1515" s="151" t="s">
        <v>4459</v>
      </c>
      <c r="C1515" s="151" t="s">
        <v>4460</v>
      </c>
      <c r="D1515" s="151">
        <f>+2347064481074</f>
        <v>2347064481074</v>
      </c>
      <c r="F1515" s="6" t="s">
        <v>168</v>
      </c>
      <c r="G1515" s="6" t="s">
        <v>1654</v>
      </c>
    </row>
    <row r="1516" ht="15.75" customHeight="1">
      <c r="A1516" s="155">
        <v>43437.0</v>
      </c>
      <c r="B1516" s="151" t="s">
        <v>4461</v>
      </c>
      <c r="C1516" s="151" t="s">
        <v>4462</v>
      </c>
      <c r="D1516" s="151">
        <f>+2348097177970</f>
        <v>2348097177970</v>
      </c>
      <c r="F1516" s="6" t="s">
        <v>168</v>
      </c>
      <c r="G1516" s="6" t="s">
        <v>1654</v>
      </c>
    </row>
    <row r="1517" ht="15.75" customHeight="1">
      <c r="A1517" s="155">
        <v>43437.0</v>
      </c>
      <c r="B1517" s="151" t="s">
        <v>4463</v>
      </c>
      <c r="C1517" s="151" t="s">
        <v>4464</v>
      </c>
      <c r="D1517" s="151">
        <f>+23408039396846</f>
        <v>23408039396846</v>
      </c>
      <c r="F1517" s="6" t="s">
        <v>168</v>
      </c>
      <c r="G1517" s="6" t="s">
        <v>1654</v>
      </c>
    </row>
    <row r="1518" ht="15.75" customHeight="1">
      <c r="A1518" s="155">
        <v>43437.0</v>
      </c>
      <c r="B1518" s="151" t="s">
        <v>4465</v>
      </c>
      <c r="C1518" s="151" t="s">
        <v>4466</v>
      </c>
      <c r="D1518" s="151">
        <f>+2348030717079</f>
        <v>2348030717079</v>
      </c>
      <c r="F1518" s="6" t="s">
        <v>168</v>
      </c>
      <c r="G1518" s="6" t="s">
        <v>1654</v>
      </c>
    </row>
    <row r="1519" ht="15.75" customHeight="1">
      <c r="A1519" s="155">
        <v>43437.0</v>
      </c>
      <c r="B1519" s="151" t="s">
        <v>4467</v>
      </c>
      <c r="C1519" s="151" t="s">
        <v>4468</v>
      </c>
      <c r="D1519" s="151">
        <f>+2348059202736</f>
        <v>2348059202736</v>
      </c>
      <c r="F1519" s="6" t="s">
        <v>168</v>
      </c>
      <c r="G1519" s="6" t="s">
        <v>1654</v>
      </c>
    </row>
    <row r="1520" ht="15.75" customHeight="1">
      <c r="A1520" s="155">
        <v>43437.0</v>
      </c>
      <c r="B1520" s="151" t="s">
        <v>4469</v>
      </c>
      <c r="C1520" s="151" t="s">
        <v>4470</v>
      </c>
      <c r="D1520" s="151">
        <f>+2349033672589</f>
        <v>2349033672589</v>
      </c>
      <c r="F1520" s="6" t="s">
        <v>168</v>
      </c>
      <c r="G1520" s="6" t="s">
        <v>1654</v>
      </c>
    </row>
    <row r="1521" ht="15.75" customHeight="1">
      <c r="A1521" s="155">
        <v>43437.0</v>
      </c>
      <c r="B1521" s="151" t="s">
        <v>4471</v>
      </c>
      <c r="C1521" s="151" t="s">
        <v>4472</v>
      </c>
      <c r="D1521" s="151">
        <f>+2348054501665</f>
        <v>2348054501665</v>
      </c>
      <c r="F1521" s="6" t="s">
        <v>168</v>
      </c>
      <c r="G1521" s="6" t="s">
        <v>1654</v>
      </c>
    </row>
    <row r="1522" ht="15.75" customHeight="1">
      <c r="A1522" s="155">
        <v>43437.0</v>
      </c>
      <c r="B1522" s="151" t="s">
        <v>4473</v>
      </c>
      <c r="C1522" s="151" t="s">
        <v>4474</v>
      </c>
      <c r="D1522" s="151">
        <f>+2347030302019</f>
        <v>2347030302019</v>
      </c>
      <c r="F1522" s="6" t="s">
        <v>168</v>
      </c>
      <c r="G1522" s="6" t="s">
        <v>1654</v>
      </c>
    </row>
    <row r="1523" ht="15.75" customHeight="1">
      <c r="A1523" s="155">
        <v>43437.0</v>
      </c>
      <c r="B1523" s="151" t="s">
        <v>4475</v>
      </c>
      <c r="C1523" s="151" t="s">
        <v>4476</v>
      </c>
      <c r="D1523" s="151">
        <f>+2348033831743</f>
        <v>2348033831743</v>
      </c>
      <c r="F1523" s="6" t="s">
        <v>168</v>
      </c>
      <c r="G1523" s="6" t="s">
        <v>1654</v>
      </c>
    </row>
    <row r="1524" ht="15.75" customHeight="1">
      <c r="A1524" s="155">
        <v>43437.0</v>
      </c>
      <c r="B1524" s="151" t="s">
        <v>4477</v>
      </c>
      <c r="C1524" s="151" t="s">
        <v>4478</v>
      </c>
      <c r="D1524" s="151">
        <f>+2348033562815</f>
        <v>2348033562815</v>
      </c>
      <c r="F1524" s="6" t="s">
        <v>168</v>
      </c>
      <c r="G1524" s="6" t="s">
        <v>1654</v>
      </c>
    </row>
    <row r="1525" ht="15.75" customHeight="1">
      <c r="A1525" s="155">
        <v>43437.0</v>
      </c>
      <c r="B1525" s="151" t="s">
        <v>4479</v>
      </c>
      <c r="C1525" s="151" t="s">
        <v>4480</v>
      </c>
      <c r="D1525" s="151">
        <f>+2348139090000</f>
        <v>2348139090000</v>
      </c>
      <c r="F1525" s="6" t="s">
        <v>168</v>
      </c>
      <c r="G1525" s="6" t="s">
        <v>1654</v>
      </c>
    </row>
    <row r="1526" ht="15.75" customHeight="1">
      <c r="A1526" s="155">
        <v>43437.0</v>
      </c>
      <c r="B1526" s="151" t="s">
        <v>4481</v>
      </c>
      <c r="C1526" s="151" t="s">
        <v>4482</v>
      </c>
      <c r="D1526" s="151">
        <f>+2347066011964</f>
        <v>2347066011964</v>
      </c>
      <c r="F1526" s="6" t="s">
        <v>168</v>
      </c>
      <c r="G1526" s="6" t="s">
        <v>1654</v>
      </c>
    </row>
    <row r="1527" ht="15.75" customHeight="1">
      <c r="A1527" s="155">
        <v>43437.0</v>
      </c>
      <c r="B1527" s="151" t="s">
        <v>4483</v>
      </c>
      <c r="C1527" s="151" t="s">
        <v>4484</v>
      </c>
      <c r="D1527" s="151">
        <f>+2348029721432</f>
        <v>2348029721432</v>
      </c>
      <c r="F1527" s="6" t="s">
        <v>168</v>
      </c>
      <c r="G1527" s="6" t="s">
        <v>1654</v>
      </c>
    </row>
    <row r="1528" ht="15.75" customHeight="1">
      <c r="A1528" s="155">
        <v>43437.0</v>
      </c>
      <c r="B1528" s="151" t="s">
        <v>4485</v>
      </c>
      <c r="C1528" s="151" t="s">
        <v>4486</v>
      </c>
      <c r="D1528" s="151">
        <f>+2348069640259</f>
        <v>2348069640259</v>
      </c>
      <c r="F1528" s="6" t="s">
        <v>168</v>
      </c>
      <c r="G1528" s="6" t="s">
        <v>1654</v>
      </c>
    </row>
    <row r="1529" ht="15.75" customHeight="1">
      <c r="A1529" s="155">
        <v>43437.0</v>
      </c>
      <c r="B1529" s="151" t="s">
        <v>4487</v>
      </c>
      <c r="C1529" s="151" t="s">
        <v>4488</v>
      </c>
      <c r="D1529" s="151">
        <f>+2348023183880</f>
        <v>2348023183880</v>
      </c>
      <c r="F1529" s="6" t="s">
        <v>168</v>
      </c>
      <c r="G1529" s="6" t="s">
        <v>1654</v>
      </c>
    </row>
    <row r="1530" ht="15.75" customHeight="1">
      <c r="A1530" s="155">
        <v>43437.0</v>
      </c>
      <c r="B1530" s="151" t="s">
        <v>4489</v>
      </c>
      <c r="C1530" s="151" t="s">
        <v>4490</v>
      </c>
      <c r="D1530" s="151">
        <f>+2347030310665</f>
        <v>2347030310665</v>
      </c>
      <c r="F1530" s="6" t="s">
        <v>168</v>
      </c>
      <c r="G1530" s="6" t="s">
        <v>1654</v>
      </c>
    </row>
    <row r="1531" ht="15.75" customHeight="1">
      <c r="A1531" s="155">
        <v>43437.0</v>
      </c>
      <c r="B1531" s="151" t="s">
        <v>4491</v>
      </c>
      <c r="C1531" s="151" t="s">
        <v>4492</v>
      </c>
      <c r="D1531" s="151">
        <f>+23407031074311</f>
        <v>23407031074311</v>
      </c>
      <c r="F1531" s="6" t="s">
        <v>97</v>
      </c>
      <c r="G1531" s="6" t="s">
        <v>1654</v>
      </c>
    </row>
    <row r="1532" ht="15.75" customHeight="1">
      <c r="A1532" s="155">
        <v>43437.0</v>
      </c>
      <c r="B1532" s="151" t="s">
        <v>4493</v>
      </c>
      <c r="C1532" s="151" t="s">
        <v>4494</v>
      </c>
      <c r="D1532" s="151">
        <f>+2348035537765</f>
        <v>2348035537765</v>
      </c>
      <c r="F1532" s="6" t="s">
        <v>97</v>
      </c>
      <c r="G1532" s="6" t="s">
        <v>1654</v>
      </c>
    </row>
    <row r="1533" ht="15.75" customHeight="1">
      <c r="A1533" s="155">
        <v>43437.0</v>
      </c>
      <c r="B1533" s="151" t="s">
        <v>4495</v>
      </c>
      <c r="C1533" s="151" t="s">
        <v>4496</v>
      </c>
      <c r="D1533" s="151">
        <f>+2348037334514</f>
        <v>2348037334514</v>
      </c>
      <c r="F1533" s="6" t="s">
        <v>97</v>
      </c>
      <c r="G1533" s="6" t="s">
        <v>1654</v>
      </c>
    </row>
    <row r="1534" ht="15.75" customHeight="1">
      <c r="A1534" s="155">
        <v>43437.0</v>
      </c>
      <c r="B1534" s="151" t="s">
        <v>4497</v>
      </c>
      <c r="C1534" s="151" t="s">
        <v>4498</v>
      </c>
      <c r="D1534" s="151">
        <f>+23408032805028</f>
        <v>23408032805028</v>
      </c>
      <c r="F1534" s="6" t="s">
        <v>97</v>
      </c>
      <c r="G1534" s="6" t="s">
        <v>1654</v>
      </c>
    </row>
    <row r="1535" ht="15.75" customHeight="1">
      <c r="A1535" s="155">
        <v>43437.0</v>
      </c>
      <c r="B1535" s="151" t="s">
        <v>4499</v>
      </c>
      <c r="C1535" s="151" t="s">
        <v>4500</v>
      </c>
      <c r="D1535" s="151">
        <f>+2348036996653</f>
        <v>2348036996653</v>
      </c>
      <c r="F1535" s="6" t="s">
        <v>97</v>
      </c>
      <c r="G1535" s="6" t="s">
        <v>1654</v>
      </c>
    </row>
    <row r="1536" ht="15.75" customHeight="1">
      <c r="A1536" s="155">
        <v>43437.0</v>
      </c>
      <c r="B1536" s="151" t="s">
        <v>4501</v>
      </c>
      <c r="C1536" s="151" t="s">
        <v>4502</v>
      </c>
      <c r="D1536" s="151">
        <f>+2348065474979</f>
        <v>2348065474979</v>
      </c>
      <c r="F1536" s="6" t="s">
        <v>97</v>
      </c>
      <c r="G1536" s="6" t="s">
        <v>1654</v>
      </c>
    </row>
    <row r="1537" ht="15.75" customHeight="1">
      <c r="A1537" s="155">
        <v>43437.0</v>
      </c>
      <c r="B1537" s="151" t="s">
        <v>4503</v>
      </c>
      <c r="C1537" s="151" t="s">
        <v>4504</v>
      </c>
      <c r="D1537" s="151">
        <f>+2347052156296</f>
        <v>2347052156296</v>
      </c>
      <c r="F1537" s="6" t="s">
        <v>97</v>
      </c>
      <c r="G1537" s="6" t="s">
        <v>1654</v>
      </c>
    </row>
    <row r="1538" ht="15.75" customHeight="1">
      <c r="A1538" s="155">
        <v>43437.0</v>
      </c>
      <c r="B1538" s="151" t="s">
        <v>4505</v>
      </c>
      <c r="C1538" s="151" t="s">
        <v>4506</v>
      </c>
      <c r="D1538" s="151">
        <f>+2348066175917</f>
        <v>2348066175917</v>
      </c>
      <c r="F1538" s="6" t="s">
        <v>97</v>
      </c>
      <c r="G1538" s="6" t="s">
        <v>1654</v>
      </c>
    </row>
    <row r="1539" ht="15.75" customHeight="1">
      <c r="A1539" s="155">
        <v>43437.0</v>
      </c>
      <c r="B1539" s="151" t="s">
        <v>4507</v>
      </c>
      <c r="C1539" s="151" t="s">
        <v>4508</v>
      </c>
      <c r="D1539" s="151">
        <f>+2348062666894</f>
        <v>2348062666894</v>
      </c>
      <c r="F1539" s="6" t="s">
        <v>97</v>
      </c>
      <c r="G1539" s="6" t="s">
        <v>1654</v>
      </c>
    </row>
    <row r="1540" ht="15.75" customHeight="1">
      <c r="A1540" s="155">
        <v>43437.0</v>
      </c>
      <c r="B1540" s="151" t="s">
        <v>4509</v>
      </c>
      <c r="C1540" s="151" t="s">
        <v>4510</v>
      </c>
      <c r="D1540" s="151">
        <f>+2348108560479</f>
        <v>2348108560479</v>
      </c>
      <c r="F1540" s="6" t="s">
        <v>97</v>
      </c>
      <c r="G1540" s="6" t="s">
        <v>1654</v>
      </c>
    </row>
    <row r="1541" ht="15.75" customHeight="1">
      <c r="A1541" s="155">
        <v>43437.0</v>
      </c>
      <c r="B1541" s="151" t="s">
        <v>4511</v>
      </c>
      <c r="C1541" s="151" t="s">
        <v>4512</v>
      </c>
      <c r="D1541" s="151">
        <f>+2348064230823</f>
        <v>2348064230823</v>
      </c>
      <c r="F1541" s="6" t="s">
        <v>97</v>
      </c>
      <c r="G1541" s="6" t="s">
        <v>1654</v>
      </c>
    </row>
    <row r="1542" ht="15.75" customHeight="1">
      <c r="A1542" s="155">
        <v>43437.0</v>
      </c>
      <c r="B1542" s="151" t="s">
        <v>4513</v>
      </c>
      <c r="C1542" s="151" t="s">
        <v>4514</v>
      </c>
      <c r="D1542" s="151">
        <f>+2348033363298</f>
        <v>2348033363298</v>
      </c>
      <c r="F1542" s="6" t="s">
        <v>97</v>
      </c>
      <c r="G1542" s="6" t="s">
        <v>1654</v>
      </c>
    </row>
    <row r="1543" ht="15.75" customHeight="1">
      <c r="A1543" s="155">
        <v>43437.0</v>
      </c>
      <c r="B1543" s="151" t="s">
        <v>4515</v>
      </c>
      <c r="C1543" s="151" t="s">
        <v>4516</v>
      </c>
      <c r="D1543" s="151">
        <f>+2348137050259</f>
        <v>2348137050259</v>
      </c>
      <c r="F1543" s="6" t="s">
        <v>97</v>
      </c>
      <c r="G1543" s="6" t="s">
        <v>1654</v>
      </c>
    </row>
    <row r="1544" ht="15.75" customHeight="1">
      <c r="A1544" s="155">
        <v>43437.0</v>
      </c>
      <c r="B1544" s="151" t="s">
        <v>4517</v>
      </c>
      <c r="C1544" s="151" t="s">
        <v>4518</v>
      </c>
      <c r="D1544" s="151">
        <f>+2348096242548</f>
        <v>2348096242548</v>
      </c>
      <c r="F1544" s="6" t="s">
        <v>97</v>
      </c>
      <c r="G1544" s="6" t="s">
        <v>1654</v>
      </c>
    </row>
    <row r="1545" ht="15.75" customHeight="1">
      <c r="A1545" s="155">
        <v>43437.0</v>
      </c>
      <c r="B1545" s="151" t="s">
        <v>4519</v>
      </c>
      <c r="C1545" s="151" t="s">
        <v>4520</v>
      </c>
      <c r="D1545" s="151">
        <f>+2348159399282</f>
        <v>2348159399282</v>
      </c>
      <c r="F1545" s="6" t="s">
        <v>97</v>
      </c>
      <c r="G1545" s="6" t="s">
        <v>1654</v>
      </c>
    </row>
    <row r="1546" ht="15.75" customHeight="1">
      <c r="A1546" s="155">
        <v>43437.0</v>
      </c>
      <c r="B1546" s="151" t="s">
        <v>4521</v>
      </c>
      <c r="C1546" s="151" t="s">
        <v>4522</v>
      </c>
      <c r="D1546" s="151">
        <f>+2347064256636</f>
        <v>2347064256636</v>
      </c>
      <c r="F1546" s="6" t="s">
        <v>97</v>
      </c>
      <c r="G1546" s="6" t="s">
        <v>1654</v>
      </c>
    </row>
    <row r="1547" ht="15.75" customHeight="1">
      <c r="A1547" s="155">
        <v>43437.0</v>
      </c>
      <c r="B1547" s="151" t="s">
        <v>4523</v>
      </c>
      <c r="C1547" s="151" t="s">
        <v>4524</v>
      </c>
      <c r="D1547" s="151">
        <f>+2348028119942</f>
        <v>2348028119942</v>
      </c>
      <c r="F1547" s="6" t="s">
        <v>97</v>
      </c>
      <c r="G1547" s="6" t="s">
        <v>1654</v>
      </c>
    </row>
    <row r="1548" ht="15.75" customHeight="1">
      <c r="A1548" s="155">
        <v>43437.0</v>
      </c>
      <c r="B1548" s="151" t="s">
        <v>4525</v>
      </c>
      <c r="C1548" s="151" t="s">
        <v>4526</v>
      </c>
      <c r="D1548" s="151">
        <f>+2348062420362</f>
        <v>2348062420362</v>
      </c>
      <c r="F1548" s="6" t="s">
        <v>97</v>
      </c>
      <c r="G1548" s="6" t="s">
        <v>1654</v>
      </c>
    </row>
    <row r="1549" ht="15.75" customHeight="1">
      <c r="A1549" s="155">
        <v>43437.0</v>
      </c>
      <c r="B1549" s="151" t="s">
        <v>4527</v>
      </c>
      <c r="C1549" s="151" t="s">
        <v>4528</v>
      </c>
      <c r="D1549" s="151">
        <f>+23408038734147</f>
        <v>23408038734147</v>
      </c>
      <c r="F1549" s="6" t="s">
        <v>97</v>
      </c>
      <c r="G1549" s="6" t="s">
        <v>1654</v>
      </c>
    </row>
    <row r="1550" ht="15.75" customHeight="1">
      <c r="A1550" s="155">
        <v>43437.0</v>
      </c>
      <c r="B1550" s="151" t="s">
        <v>4529</v>
      </c>
      <c r="C1550" s="151" t="s">
        <v>4530</v>
      </c>
      <c r="D1550" s="151">
        <f>+2348069102090</f>
        <v>2348069102090</v>
      </c>
      <c r="F1550" s="6" t="s">
        <v>97</v>
      </c>
      <c r="G1550" s="6" t="s">
        <v>1654</v>
      </c>
    </row>
    <row r="1551" ht="15.75" customHeight="1">
      <c r="A1551" s="155">
        <v>43437.0</v>
      </c>
      <c r="B1551" s="151" t="s">
        <v>4531</v>
      </c>
      <c r="C1551" s="151" t="s">
        <v>4532</v>
      </c>
      <c r="D1551" s="151">
        <f>+2348038809460</f>
        <v>2348038809460</v>
      </c>
      <c r="F1551" s="6" t="s">
        <v>97</v>
      </c>
      <c r="G1551" s="6" t="s">
        <v>1654</v>
      </c>
    </row>
    <row r="1552" ht="15.75" customHeight="1">
      <c r="A1552" s="155">
        <v>43437.0</v>
      </c>
      <c r="B1552" s="151" t="s">
        <v>4533</v>
      </c>
      <c r="C1552" s="151" t="s">
        <v>4534</v>
      </c>
      <c r="D1552" s="151">
        <f>+23408065255651</f>
        <v>23408065255651</v>
      </c>
      <c r="F1552" s="6" t="s">
        <v>97</v>
      </c>
      <c r="G1552" s="6" t="s">
        <v>1654</v>
      </c>
    </row>
    <row r="1553" ht="15.75" customHeight="1">
      <c r="A1553" s="155">
        <v>43437.0</v>
      </c>
      <c r="B1553" s="151" t="s">
        <v>4535</v>
      </c>
      <c r="C1553" s="151" t="s">
        <v>4536</v>
      </c>
      <c r="D1553" s="151">
        <f>+2348066848410</f>
        <v>2348066848410</v>
      </c>
      <c r="F1553" s="6" t="s">
        <v>97</v>
      </c>
      <c r="G1553" s="6" t="s">
        <v>1654</v>
      </c>
    </row>
    <row r="1554" ht="15.75" customHeight="1">
      <c r="A1554" s="155">
        <v>43437.0</v>
      </c>
      <c r="B1554" s="151" t="s">
        <v>4537</v>
      </c>
      <c r="C1554" s="151" t="s">
        <v>4538</v>
      </c>
      <c r="D1554" s="151">
        <f>+2348033916673</f>
        <v>2348033916673</v>
      </c>
      <c r="F1554" s="6" t="s">
        <v>97</v>
      </c>
      <c r="G1554" s="6" t="s">
        <v>1654</v>
      </c>
    </row>
    <row r="1555" ht="15.75" customHeight="1">
      <c r="A1555" s="155">
        <v>43437.0</v>
      </c>
      <c r="B1555" s="151" t="s">
        <v>4539</v>
      </c>
      <c r="C1555" s="151" t="s">
        <v>4540</v>
      </c>
      <c r="D1555" s="151">
        <f>+2347065439199</f>
        <v>2347065439199</v>
      </c>
      <c r="F1555" s="6" t="s">
        <v>97</v>
      </c>
      <c r="G1555" s="6" t="s">
        <v>1654</v>
      </c>
    </row>
    <row r="1556" ht="15.75" customHeight="1">
      <c r="A1556" s="155">
        <v>43437.0</v>
      </c>
      <c r="B1556" s="151" t="s">
        <v>4541</v>
      </c>
      <c r="C1556" s="151" t="s">
        <v>4542</v>
      </c>
      <c r="D1556" s="151">
        <f>+2347039050377</f>
        <v>2347039050377</v>
      </c>
      <c r="F1556" s="6" t="s">
        <v>97</v>
      </c>
      <c r="G1556" s="6" t="s">
        <v>1654</v>
      </c>
    </row>
    <row r="1557" ht="15.75" customHeight="1">
      <c r="A1557" s="155">
        <v>43437.0</v>
      </c>
      <c r="B1557" s="151" t="s">
        <v>4543</v>
      </c>
      <c r="C1557" s="151" t="s">
        <v>4544</v>
      </c>
      <c r="D1557" s="151">
        <f>+23408083630105</f>
        <v>23408083630105</v>
      </c>
      <c r="F1557" s="6" t="s">
        <v>97</v>
      </c>
      <c r="G1557" s="6" t="s">
        <v>1654</v>
      </c>
    </row>
    <row r="1558" ht="15.75" customHeight="1">
      <c r="A1558" s="155">
        <v>43437.0</v>
      </c>
      <c r="B1558" s="151" t="s">
        <v>4545</v>
      </c>
      <c r="C1558" s="151" t="s">
        <v>4546</v>
      </c>
      <c r="D1558" s="151">
        <f>+23408146311804</f>
        <v>23408146311804</v>
      </c>
      <c r="F1558" s="6" t="s">
        <v>97</v>
      </c>
      <c r="G1558" s="6" t="s">
        <v>1654</v>
      </c>
    </row>
    <row r="1559" ht="15.75" customHeight="1">
      <c r="A1559" s="155">
        <v>43437.0</v>
      </c>
      <c r="B1559" s="151" t="s">
        <v>4547</v>
      </c>
      <c r="C1559" s="151" t="s">
        <v>4548</v>
      </c>
      <c r="D1559" s="151">
        <f>+2348087307787</f>
        <v>2348087307787</v>
      </c>
      <c r="F1559" s="6" t="s">
        <v>97</v>
      </c>
      <c r="G1559" s="6" t="s">
        <v>1654</v>
      </c>
    </row>
    <row r="1560" ht="15.75" customHeight="1">
      <c r="A1560" s="155">
        <v>43437.0</v>
      </c>
      <c r="B1560" s="151" t="s">
        <v>4549</v>
      </c>
      <c r="C1560" s="151" t="s">
        <v>4550</v>
      </c>
      <c r="D1560" s="151">
        <f>+2348033586689</f>
        <v>2348033586689</v>
      </c>
      <c r="F1560" s="6" t="s">
        <v>97</v>
      </c>
      <c r="G1560" s="6" t="s">
        <v>1654</v>
      </c>
    </row>
    <row r="1561" ht="15.75" customHeight="1">
      <c r="A1561" s="155">
        <v>43437.0</v>
      </c>
      <c r="B1561" s="151" t="s">
        <v>4551</v>
      </c>
      <c r="C1561" s="151" t="s">
        <v>4552</v>
      </c>
      <c r="D1561" s="151">
        <f>+2348029545199</f>
        <v>2348029545199</v>
      </c>
      <c r="F1561" s="6" t="s">
        <v>97</v>
      </c>
      <c r="G1561" s="6" t="s">
        <v>1654</v>
      </c>
    </row>
    <row r="1562" ht="15.75" customHeight="1">
      <c r="A1562" s="155">
        <v>43437.0</v>
      </c>
      <c r="B1562" s="151" t="s">
        <v>4553</v>
      </c>
      <c r="C1562" s="151" t="s">
        <v>4554</v>
      </c>
      <c r="D1562" s="151">
        <f>+2348034192852</f>
        <v>2348034192852</v>
      </c>
      <c r="F1562" s="6" t="s">
        <v>97</v>
      </c>
      <c r="G1562" s="6" t="s">
        <v>1654</v>
      </c>
    </row>
    <row r="1563" ht="15.75" customHeight="1">
      <c r="A1563" s="155">
        <v>43437.0</v>
      </c>
      <c r="B1563" s="151" t="s">
        <v>4555</v>
      </c>
      <c r="C1563" s="151" t="s">
        <v>4556</v>
      </c>
      <c r="D1563" s="151">
        <f>+2348032252544</f>
        <v>2348032252544</v>
      </c>
      <c r="F1563" s="6" t="s">
        <v>97</v>
      </c>
      <c r="G1563" s="6" t="s">
        <v>1654</v>
      </c>
    </row>
    <row r="1564" ht="15.75" customHeight="1">
      <c r="A1564" s="155">
        <v>43437.0</v>
      </c>
      <c r="B1564" s="151" t="s">
        <v>4557</v>
      </c>
      <c r="C1564" s="151" t="s">
        <v>4558</v>
      </c>
      <c r="D1564" s="151">
        <f>+2348032803601</f>
        <v>2348032803601</v>
      </c>
      <c r="F1564" s="6" t="s">
        <v>97</v>
      </c>
      <c r="G1564" s="6" t="s">
        <v>1654</v>
      </c>
    </row>
    <row r="1565" ht="15.75" customHeight="1">
      <c r="A1565" s="155">
        <v>43437.0</v>
      </c>
      <c r="B1565" s="151" t="s">
        <v>4559</v>
      </c>
      <c r="C1565" s="151" t="s">
        <v>4560</v>
      </c>
      <c r="D1565" s="151">
        <f>+2348090161444</f>
        <v>2348090161444</v>
      </c>
      <c r="F1565" s="6" t="s">
        <v>97</v>
      </c>
      <c r="G1565" s="6" t="s">
        <v>1654</v>
      </c>
    </row>
    <row r="1566" ht="15.75" customHeight="1">
      <c r="A1566" s="155">
        <v>43437.0</v>
      </c>
      <c r="B1566" s="151" t="s">
        <v>4561</v>
      </c>
      <c r="C1566" s="151" t="s">
        <v>4562</v>
      </c>
      <c r="D1566" s="151">
        <f>+2348097243867</f>
        <v>2348097243867</v>
      </c>
      <c r="F1566" s="6" t="s">
        <v>97</v>
      </c>
      <c r="G1566" s="6" t="s">
        <v>1654</v>
      </c>
    </row>
    <row r="1567" ht="15.75" customHeight="1">
      <c r="A1567" s="155">
        <v>43437.0</v>
      </c>
      <c r="B1567" s="151" t="s">
        <v>4563</v>
      </c>
      <c r="C1567" s="151" t="s">
        <v>4564</v>
      </c>
      <c r="D1567" s="151">
        <f>+2348022493697</f>
        <v>2348022493697</v>
      </c>
      <c r="F1567" s="6" t="s">
        <v>97</v>
      </c>
      <c r="G1567" s="6" t="s">
        <v>1654</v>
      </c>
    </row>
    <row r="1568" ht="15.75" customHeight="1">
      <c r="A1568" s="155">
        <v>43437.0</v>
      </c>
      <c r="B1568" s="151" t="s">
        <v>4565</v>
      </c>
      <c r="C1568" s="151" t="s">
        <v>4566</v>
      </c>
      <c r="D1568" s="151">
        <f>+2348068180844</f>
        <v>2348068180844</v>
      </c>
      <c r="F1568" s="6" t="s">
        <v>97</v>
      </c>
      <c r="G1568" s="6" t="s">
        <v>1654</v>
      </c>
    </row>
    <row r="1569" ht="15.75" customHeight="1">
      <c r="A1569" s="155">
        <v>43437.0</v>
      </c>
      <c r="B1569" s="151" t="s">
        <v>4567</v>
      </c>
      <c r="C1569" s="151" t="s">
        <v>4568</v>
      </c>
      <c r="D1569" s="151">
        <f>+2348099767083</f>
        <v>2348099767083</v>
      </c>
      <c r="F1569" s="6" t="s">
        <v>97</v>
      </c>
      <c r="G1569" s="6" t="s">
        <v>1654</v>
      </c>
    </row>
    <row r="1570" ht="15.75" customHeight="1">
      <c r="A1570" s="155">
        <v>43437.0</v>
      </c>
      <c r="B1570" s="151" t="s">
        <v>4569</v>
      </c>
      <c r="C1570" s="151" t="s">
        <v>4570</v>
      </c>
      <c r="D1570" s="151">
        <f>+2348165672306</f>
        <v>2348165672306</v>
      </c>
      <c r="F1570" s="6" t="s">
        <v>97</v>
      </c>
      <c r="G1570" s="6" t="s">
        <v>1654</v>
      </c>
    </row>
    <row r="1571" ht="15.75" customHeight="1">
      <c r="A1571" s="155">
        <v>43437.0</v>
      </c>
      <c r="B1571" s="151" t="s">
        <v>4571</v>
      </c>
      <c r="C1571" s="151" t="s">
        <v>4572</v>
      </c>
      <c r="D1571" s="151">
        <f>+2348028892226</f>
        <v>2348028892226</v>
      </c>
      <c r="F1571" s="6" t="s">
        <v>97</v>
      </c>
      <c r="G1571" s="6" t="s">
        <v>1654</v>
      </c>
    </row>
    <row r="1572" ht="15.75" customHeight="1">
      <c r="A1572" s="155">
        <v>43437.0</v>
      </c>
      <c r="B1572" s="151" t="s">
        <v>4573</v>
      </c>
      <c r="C1572" s="151" t="s">
        <v>4574</v>
      </c>
      <c r="D1572" s="151">
        <f>+2348035049512</f>
        <v>2348035049512</v>
      </c>
      <c r="F1572" s="6" t="s">
        <v>97</v>
      </c>
      <c r="G1572" s="6" t="s">
        <v>1654</v>
      </c>
    </row>
    <row r="1573" ht="15.75" customHeight="1">
      <c r="A1573" s="155">
        <v>43437.0</v>
      </c>
      <c r="B1573" s="151" t="s">
        <v>4575</v>
      </c>
      <c r="C1573" s="151" t="s">
        <v>4576</v>
      </c>
      <c r="D1573" s="151">
        <f>+2348098009525</f>
        <v>2348098009525</v>
      </c>
      <c r="F1573" s="6" t="s">
        <v>97</v>
      </c>
      <c r="G1573" s="6" t="s">
        <v>1654</v>
      </c>
    </row>
    <row r="1574" ht="15.75" customHeight="1">
      <c r="A1574" s="155">
        <v>43437.0</v>
      </c>
      <c r="B1574" s="151" t="s">
        <v>4577</v>
      </c>
      <c r="C1574" s="151" t="s">
        <v>4578</v>
      </c>
      <c r="D1574" s="151">
        <f>+2348031930016</f>
        <v>2348031930016</v>
      </c>
      <c r="F1574" s="6" t="s">
        <v>97</v>
      </c>
      <c r="G1574" s="6" t="s">
        <v>1654</v>
      </c>
    </row>
    <row r="1575" ht="15.75" customHeight="1">
      <c r="A1575" s="155">
        <v>43437.0</v>
      </c>
      <c r="B1575" s="151" t="s">
        <v>2063</v>
      </c>
      <c r="C1575" s="151" t="s">
        <v>2064</v>
      </c>
      <c r="D1575" s="151">
        <f>+23408115632306</f>
        <v>23408115632306</v>
      </c>
      <c r="F1575" s="6" t="s">
        <v>97</v>
      </c>
      <c r="G1575" s="6" t="s">
        <v>1654</v>
      </c>
    </row>
    <row r="1576" ht="15.75" customHeight="1">
      <c r="A1576" s="155">
        <v>43437.0</v>
      </c>
      <c r="B1576" s="151" t="s">
        <v>4579</v>
      </c>
      <c r="C1576" s="151" t="s">
        <v>4580</v>
      </c>
      <c r="D1576" s="151">
        <f>+2348037393630</f>
        <v>2348037393630</v>
      </c>
      <c r="F1576" s="6" t="s">
        <v>97</v>
      </c>
      <c r="G1576" s="6" t="s">
        <v>1654</v>
      </c>
    </row>
    <row r="1577" ht="15.75" customHeight="1">
      <c r="A1577" s="155">
        <v>43437.0</v>
      </c>
      <c r="B1577" s="151" t="s">
        <v>4581</v>
      </c>
      <c r="C1577" s="151" t="s">
        <v>4582</v>
      </c>
      <c r="D1577" s="151">
        <f>+2349025121957</f>
        <v>2349025121957</v>
      </c>
      <c r="F1577" s="6" t="s">
        <v>97</v>
      </c>
      <c r="G1577" s="6" t="s">
        <v>1654</v>
      </c>
    </row>
    <row r="1578" ht="15.75" customHeight="1">
      <c r="A1578" s="155">
        <v>43437.0</v>
      </c>
      <c r="B1578" s="151" t="s">
        <v>4583</v>
      </c>
      <c r="C1578" s="151" t="s">
        <v>4584</v>
      </c>
      <c r="D1578" s="151">
        <f>+2348138330105</f>
        <v>2348138330105</v>
      </c>
      <c r="F1578" s="6" t="s">
        <v>97</v>
      </c>
      <c r="G1578" s="6" t="s">
        <v>1654</v>
      </c>
    </row>
    <row r="1579" ht="15.75" customHeight="1">
      <c r="A1579" s="155">
        <v>43437.0</v>
      </c>
      <c r="B1579" s="151" t="s">
        <v>4585</v>
      </c>
      <c r="C1579" s="151" t="s">
        <v>4586</v>
      </c>
      <c r="D1579" s="151">
        <f>+2348068685881</f>
        <v>2348068685881</v>
      </c>
      <c r="F1579" s="6" t="s">
        <v>97</v>
      </c>
      <c r="G1579" s="6" t="s">
        <v>1654</v>
      </c>
    </row>
    <row r="1580" ht="15.75" customHeight="1">
      <c r="A1580" s="155">
        <v>43437.0</v>
      </c>
      <c r="B1580" s="151" t="s">
        <v>4587</v>
      </c>
      <c r="C1580" s="151" t="s">
        <v>4588</v>
      </c>
      <c r="D1580" s="151">
        <f>+2348146218976</f>
        <v>2348146218976</v>
      </c>
      <c r="F1580" s="6" t="s">
        <v>97</v>
      </c>
      <c r="G1580" s="6" t="s">
        <v>1654</v>
      </c>
    </row>
    <row r="1581" ht="15.75" customHeight="1">
      <c r="A1581" s="155">
        <v>43437.0</v>
      </c>
      <c r="B1581" s="151" t="s">
        <v>4589</v>
      </c>
      <c r="C1581" s="151" t="s">
        <v>4590</v>
      </c>
      <c r="D1581" s="151">
        <f>+2348163280977</f>
        <v>2348163280977</v>
      </c>
      <c r="F1581" s="6" t="s">
        <v>97</v>
      </c>
      <c r="G1581" s="6" t="s">
        <v>1654</v>
      </c>
    </row>
    <row r="1582" ht="15.75" customHeight="1">
      <c r="A1582" s="155">
        <v>43437.0</v>
      </c>
      <c r="B1582" s="151" t="s">
        <v>4591</v>
      </c>
      <c r="C1582" s="151" t="s">
        <v>4592</v>
      </c>
      <c r="D1582" s="151">
        <f>+2348036924182</f>
        <v>2348036924182</v>
      </c>
      <c r="F1582" s="6" t="s">
        <v>97</v>
      </c>
      <c r="G1582" s="6" t="s">
        <v>1654</v>
      </c>
    </row>
    <row r="1583" ht="15.75" customHeight="1">
      <c r="A1583" s="155">
        <v>43437.0</v>
      </c>
      <c r="B1583" s="151" t="s">
        <v>4593</v>
      </c>
      <c r="C1583" s="151" t="s">
        <v>4594</v>
      </c>
      <c r="D1583" s="151">
        <f>+23408065294410</f>
        <v>23408065294410</v>
      </c>
      <c r="F1583" s="6" t="s">
        <v>97</v>
      </c>
      <c r="G1583" s="6" t="s">
        <v>1654</v>
      </c>
    </row>
    <row r="1584" ht="15.75" customHeight="1">
      <c r="A1584" s="155">
        <v>43437.0</v>
      </c>
      <c r="B1584" s="151" t="s">
        <v>4595</v>
      </c>
      <c r="C1584" s="151" t="s">
        <v>4596</v>
      </c>
      <c r="D1584" s="151">
        <f>+2347086773053</f>
        <v>2347086773053</v>
      </c>
      <c r="F1584" s="6" t="s">
        <v>97</v>
      </c>
      <c r="G1584" s="6" t="s">
        <v>1654</v>
      </c>
    </row>
    <row r="1585" ht="15.75" customHeight="1">
      <c r="A1585" s="155">
        <v>43437.0</v>
      </c>
      <c r="B1585" s="151" t="s">
        <v>4597</v>
      </c>
      <c r="C1585" s="151" t="s">
        <v>4598</v>
      </c>
      <c r="D1585" s="151">
        <f>+2348037888895</f>
        <v>2348037888895</v>
      </c>
      <c r="F1585" s="6" t="s">
        <v>97</v>
      </c>
      <c r="G1585" s="6" t="s">
        <v>1654</v>
      </c>
    </row>
    <row r="1586" ht="15.75" customHeight="1">
      <c r="A1586" s="155">
        <v>43437.0</v>
      </c>
      <c r="B1586" s="151" t="s">
        <v>4599</v>
      </c>
      <c r="C1586" s="151" t="s">
        <v>4600</v>
      </c>
      <c r="D1586" s="151">
        <f>+2347032944472</f>
        <v>2347032944472</v>
      </c>
      <c r="F1586" s="6" t="s">
        <v>97</v>
      </c>
      <c r="G1586" s="6" t="s">
        <v>1654</v>
      </c>
    </row>
    <row r="1587" ht="15.75" customHeight="1">
      <c r="A1587" s="155">
        <v>43437.0</v>
      </c>
      <c r="B1587" s="151" t="s">
        <v>4601</v>
      </c>
      <c r="C1587" s="151" t="s">
        <v>4602</v>
      </c>
      <c r="D1587" s="151">
        <f>+2347033372570</f>
        <v>2347033372570</v>
      </c>
      <c r="F1587" s="6" t="s">
        <v>97</v>
      </c>
      <c r="G1587" s="6" t="s">
        <v>1654</v>
      </c>
    </row>
    <row r="1588" ht="15.75" customHeight="1">
      <c r="A1588" s="155">
        <v>43437.0</v>
      </c>
      <c r="B1588" s="151" t="s">
        <v>4603</v>
      </c>
      <c r="C1588" s="151" t="s">
        <v>4604</v>
      </c>
      <c r="D1588" s="151">
        <f>+2348031198385</f>
        <v>2348031198385</v>
      </c>
      <c r="F1588" s="6" t="s">
        <v>97</v>
      </c>
      <c r="G1588" s="6" t="s">
        <v>1654</v>
      </c>
    </row>
    <row r="1589" ht="15.75" customHeight="1">
      <c r="A1589" s="155">
        <v>43437.0</v>
      </c>
      <c r="B1589" s="151" t="s">
        <v>4605</v>
      </c>
      <c r="C1589" s="151" t="s">
        <v>4606</v>
      </c>
      <c r="D1589" s="151">
        <f>+2347036957611</f>
        <v>2347036957611</v>
      </c>
      <c r="F1589" s="6" t="s">
        <v>97</v>
      </c>
      <c r="G1589" s="6" t="s">
        <v>1654</v>
      </c>
    </row>
    <row r="1590" ht="15.75" customHeight="1">
      <c r="A1590" s="155">
        <v>43437.0</v>
      </c>
      <c r="B1590" s="151" t="s">
        <v>4607</v>
      </c>
      <c r="C1590" s="151" t="s">
        <v>4608</v>
      </c>
      <c r="D1590" s="151">
        <f>+2348062226979</f>
        <v>2348062226979</v>
      </c>
      <c r="F1590" s="6" t="s">
        <v>97</v>
      </c>
      <c r="G1590" s="6" t="s">
        <v>4609</v>
      </c>
    </row>
    <row r="1591" ht="15.75" customHeight="1">
      <c r="A1591" s="155">
        <v>43437.0</v>
      </c>
      <c r="B1591" s="151" t="s">
        <v>4610</v>
      </c>
      <c r="C1591" s="151" t="s">
        <v>4611</v>
      </c>
      <c r="D1591" s="151">
        <f>+2347062328087</f>
        <v>2347062328087</v>
      </c>
      <c r="F1591" s="6" t="s">
        <v>97</v>
      </c>
      <c r="G1591" s="6" t="s">
        <v>4609</v>
      </c>
    </row>
    <row r="1592" ht="15.75" customHeight="1">
      <c r="A1592" s="155">
        <v>43437.0</v>
      </c>
      <c r="B1592" s="151" t="s">
        <v>4612</v>
      </c>
      <c r="C1592" s="151" t="s">
        <v>4613</v>
      </c>
      <c r="D1592" s="151">
        <f>+2347034569677</f>
        <v>2347034569677</v>
      </c>
      <c r="F1592" s="6" t="s">
        <v>97</v>
      </c>
      <c r="G1592" s="6" t="s">
        <v>4609</v>
      </c>
    </row>
    <row r="1593" ht="15.75" customHeight="1">
      <c r="A1593" s="155">
        <v>43437.0</v>
      </c>
      <c r="B1593" s="151" t="s">
        <v>4614</v>
      </c>
      <c r="C1593" s="151" t="s">
        <v>4615</v>
      </c>
      <c r="D1593" s="151">
        <f>+2348033136022</f>
        <v>2348033136022</v>
      </c>
      <c r="F1593" s="6" t="s">
        <v>97</v>
      </c>
      <c r="G1593" s="6" t="s">
        <v>4609</v>
      </c>
    </row>
    <row r="1594" ht="15.75" customHeight="1">
      <c r="A1594" s="155">
        <v>43437.0</v>
      </c>
      <c r="B1594" s="151" t="s">
        <v>4616</v>
      </c>
      <c r="C1594" s="151" t="s">
        <v>4617</v>
      </c>
      <c r="D1594" s="151">
        <f>+23408064094913</f>
        <v>23408064094913</v>
      </c>
      <c r="F1594" s="6" t="s">
        <v>97</v>
      </c>
      <c r="G1594" s="6" t="s">
        <v>4609</v>
      </c>
    </row>
    <row r="1595" ht="15.75" customHeight="1">
      <c r="A1595" s="155">
        <v>43437.0</v>
      </c>
      <c r="B1595" s="151" t="s">
        <v>4618</v>
      </c>
      <c r="C1595" s="151" t="s">
        <v>4619</v>
      </c>
      <c r="D1595" s="151">
        <f>+2348165970907</f>
        <v>2348165970907</v>
      </c>
      <c r="F1595" s="6" t="s">
        <v>97</v>
      </c>
      <c r="G1595" s="6" t="s">
        <v>4609</v>
      </c>
    </row>
    <row r="1596" ht="15.75" customHeight="1">
      <c r="A1596" s="155">
        <v>43437.0</v>
      </c>
      <c r="B1596" s="151" t="s">
        <v>4620</v>
      </c>
      <c r="C1596" s="151" t="s">
        <v>4621</v>
      </c>
      <c r="D1596" s="151">
        <f>+2348037024012</f>
        <v>2348037024012</v>
      </c>
      <c r="F1596" s="6" t="s">
        <v>97</v>
      </c>
      <c r="G1596" s="6" t="s">
        <v>4609</v>
      </c>
    </row>
    <row r="1597" ht="15.75" customHeight="1">
      <c r="A1597" s="155">
        <v>43437.0</v>
      </c>
      <c r="B1597" s="151" t="s">
        <v>4622</v>
      </c>
      <c r="C1597" s="151" t="s">
        <v>4623</v>
      </c>
      <c r="D1597" s="151">
        <f>+2348034935371</f>
        <v>2348034935371</v>
      </c>
      <c r="F1597" s="6" t="s">
        <v>97</v>
      </c>
      <c r="G1597" s="6" t="s">
        <v>4609</v>
      </c>
    </row>
    <row r="1598" ht="15.75" customHeight="1">
      <c r="A1598" s="155">
        <v>43437.0</v>
      </c>
      <c r="B1598" s="151" t="s">
        <v>4624</v>
      </c>
      <c r="C1598" s="151" t="s">
        <v>4625</v>
      </c>
      <c r="D1598" s="151">
        <f>+2348147452704</f>
        <v>2348147452704</v>
      </c>
      <c r="F1598" s="6" t="s">
        <v>97</v>
      </c>
      <c r="G1598" s="6" t="s">
        <v>4609</v>
      </c>
    </row>
    <row r="1599" ht="15.75" customHeight="1">
      <c r="A1599" s="155">
        <v>43437.0</v>
      </c>
      <c r="B1599" s="151" t="s">
        <v>4626</v>
      </c>
      <c r="C1599" s="151" t="s">
        <v>4627</v>
      </c>
      <c r="D1599" s="151">
        <f>+2347036797109</f>
        <v>2347036797109</v>
      </c>
      <c r="F1599" s="6" t="s">
        <v>97</v>
      </c>
      <c r="G1599" s="6" t="s">
        <v>4609</v>
      </c>
    </row>
    <row r="1600" ht="15.75" customHeight="1">
      <c r="A1600" s="155">
        <v>43437.0</v>
      </c>
      <c r="B1600" s="151" t="s">
        <v>4628</v>
      </c>
      <c r="C1600" s="151" t="s">
        <v>4629</v>
      </c>
      <c r="D1600" s="151">
        <f>+2348067727970</f>
        <v>2348067727970</v>
      </c>
      <c r="F1600" s="6" t="s">
        <v>97</v>
      </c>
      <c r="G1600" s="6" t="s">
        <v>4609</v>
      </c>
    </row>
    <row r="1601" ht="15.75" customHeight="1">
      <c r="A1601" s="155">
        <v>43437.0</v>
      </c>
      <c r="B1601" s="151" t="s">
        <v>4630</v>
      </c>
      <c r="C1601" s="151" t="s">
        <v>4631</v>
      </c>
      <c r="D1601" s="151">
        <f>+2348137330690</f>
        <v>2348137330690</v>
      </c>
      <c r="F1601" s="6" t="s">
        <v>97</v>
      </c>
      <c r="G1601" s="6" t="s">
        <v>4609</v>
      </c>
    </row>
    <row r="1602" ht="15.75" customHeight="1">
      <c r="A1602" s="155">
        <v>43437.0</v>
      </c>
      <c r="B1602" s="151" t="s">
        <v>4632</v>
      </c>
      <c r="C1602" s="151" t="s">
        <v>4633</v>
      </c>
      <c r="D1602" s="151">
        <f>+2347065944512</f>
        <v>2347065944512</v>
      </c>
      <c r="F1602" s="6" t="s">
        <v>97</v>
      </c>
      <c r="G1602" s="6" t="s">
        <v>4609</v>
      </c>
    </row>
    <row r="1603" ht="15.75" customHeight="1">
      <c r="A1603" s="155">
        <v>43437.0</v>
      </c>
      <c r="B1603" s="151" t="s">
        <v>4634</v>
      </c>
      <c r="C1603" s="151" t="s">
        <v>4635</v>
      </c>
      <c r="D1603" s="151">
        <f>+2348175156710</f>
        <v>2348175156710</v>
      </c>
      <c r="F1603" s="6" t="s">
        <v>97</v>
      </c>
      <c r="G1603" s="6" t="s">
        <v>4609</v>
      </c>
    </row>
    <row r="1604" ht="15.75" customHeight="1">
      <c r="A1604" s="155">
        <v>43437.0</v>
      </c>
      <c r="B1604" s="151" t="s">
        <v>2689</v>
      </c>
      <c r="C1604" s="151" t="s">
        <v>2690</v>
      </c>
      <c r="D1604" s="151">
        <f>+2348091403082</f>
        <v>2348091403082</v>
      </c>
      <c r="F1604" s="6" t="s">
        <v>97</v>
      </c>
      <c r="G1604" s="6" t="s">
        <v>4609</v>
      </c>
    </row>
    <row r="1605" ht="15.75" customHeight="1">
      <c r="A1605" s="155">
        <v>43437.0</v>
      </c>
      <c r="B1605" s="151" t="s">
        <v>4636</v>
      </c>
      <c r="C1605" s="151" t="s">
        <v>4637</v>
      </c>
      <c r="D1605" s="151">
        <f>+2347030088600</f>
        <v>2347030088600</v>
      </c>
      <c r="F1605" s="6" t="s">
        <v>97</v>
      </c>
      <c r="G1605" s="6" t="s">
        <v>4609</v>
      </c>
    </row>
    <row r="1606" ht="15.75" customHeight="1">
      <c r="A1606" s="155">
        <v>43437.0</v>
      </c>
      <c r="B1606" s="151" t="s">
        <v>4638</v>
      </c>
      <c r="C1606" s="151" t="s">
        <v>4639</v>
      </c>
      <c r="D1606" s="151">
        <f>+2348038510841</f>
        <v>2348038510841</v>
      </c>
      <c r="F1606" s="6" t="s">
        <v>97</v>
      </c>
      <c r="G1606" s="6" t="s">
        <v>4609</v>
      </c>
    </row>
    <row r="1607" ht="15.75" customHeight="1">
      <c r="A1607" s="155">
        <v>43437.0</v>
      </c>
      <c r="B1607" s="151" t="s">
        <v>4640</v>
      </c>
      <c r="C1607" s="151" t="s">
        <v>4641</v>
      </c>
      <c r="D1607" s="151">
        <f>+23409025653867</f>
        <v>23409025653867</v>
      </c>
      <c r="F1607" s="6" t="s">
        <v>97</v>
      </c>
      <c r="G1607" s="6" t="s">
        <v>4609</v>
      </c>
    </row>
    <row r="1608" ht="15.75" customHeight="1">
      <c r="A1608" s="155">
        <v>43437.0</v>
      </c>
      <c r="B1608" s="151" t="s">
        <v>4642</v>
      </c>
      <c r="C1608" s="151" t="s">
        <v>4643</v>
      </c>
      <c r="D1608" s="151">
        <f>+2348034272524</f>
        <v>2348034272524</v>
      </c>
      <c r="F1608" s="6" t="s">
        <v>97</v>
      </c>
      <c r="G1608" s="6" t="s">
        <v>4609</v>
      </c>
    </row>
    <row r="1609" ht="15.75" customHeight="1">
      <c r="A1609" s="155">
        <v>43437.0</v>
      </c>
      <c r="B1609" s="151" t="s">
        <v>4644</v>
      </c>
      <c r="C1609" s="151" t="s">
        <v>4645</v>
      </c>
      <c r="D1609" s="151">
        <f>+2348068306601</f>
        <v>2348068306601</v>
      </c>
      <c r="F1609" s="6" t="s">
        <v>97</v>
      </c>
      <c r="G1609" s="6" t="s">
        <v>4609</v>
      </c>
    </row>
    <row r="1610" ht="15.75" customHeight="1">
      <c r="A1610" s="155">
        <v>43437.0</v>
      </c>
      <c r="B1610" s="151" t="s">
        <v>4646</v>
      </c>
      <c r="C1610" s="151" t="s">
        <v>4647</v>
      </c>
      <c r="D1610" s="151">
        <f>+2348067043382</f>
        <v>2348067043382</v>
      </c>
      <c r="F1610" s="6" t="s">
        <v>97</v>
      </c>
      <c r="G1610" s="6" t="s">
        <v>4609</v>
      </c>
    </row>
    <row r="1611" ht="15.75" customHeight="1">
      <c r="A1611" s="155">
        <v>43437.0</v>
      </c>
      <c r="B1611" s="151" t="s">
        <v>4648</v>
      </c>
      <c r="C1611" s="151" t="s">
        <v>4649</v>
      </c>
      <c r="D1611" s="151">
        <f>+2348060503282</f>
        <v>2348060503282</v>
      </c>
      <c r="F1611" s="6" t="s">
        <v>97</v>
      </c>
      <c r="G1611" s="6" t="s">
        <v>4609</v>
      </c>
    </row>
    <row r="1612" ht="15.75" customHeight="1">
      <c r="A1612" s="155">
        <v>43437.0</v>
      </c>
      <c r="B1612" s="151" t="s">
        <v>4650</v>
      </c>
      <c r="C1612" s="151" t="s">
        <v>4651</v>
      </c>
      <c r="D1612" s="151">
        <f>+2347065731147</f>
        <v>2347065731147</v>
      </c>
      <c r="F1612" s="6" t="s">
        <v>97</v>
      </c>
      <c r="G1612" s="6" t="s">
        <v>4609</v>
      </c>
    </row>
    <row r="1613" ht="15.75" customHeight="1">
      <c r="A1613" s="155">
        <v>43437.0</v>
      </c>
      <c r="B1613" s="151" t="s">
        <v>4652</v>
      </c>
      <c r="C1613" s="151" t="s">
        <v>4653</v>
      </c>
      <c r="D1613" s="151">
        <f>+2347066630457</f>
        <v>2347066630457</v>
      </c>
      <c r="F1613" s="6" t="s">
        <v>97</v>
      </c>
      <c r="G1613" s="6" t="s">
        <v>4609</v>
      </c>
    </row>
    <row r="1614" ht="15.75" customHeight="1">
      <c r="A1614" s="155">
        <v>43437.0</v>
      </c>
      <c r="B1614" s="151" t="s">
        <v>4654</v>
      </c>
      <c r="C1614" s="151" t="s">
        <v>4655</v>
      </c>
      <c r="D1614" s="151">
        <f>+2348095050765</f>
        <v>2348095050765</v>
      </c>
      <c r="F1614" s="6" t="s">
        <v>97</v>
      </c>
      <c r="G1614" s="6" t="s">
        <v>4609</v>
      </c>
    </row>
    <row r="1615" ht="15.75" customHeight="1">
      <c r="A1615" s="155">
        <v>43437.0</v>
      </c>
      <c r="B1615" s="151" t="s">
        <v>4656</v>
      </c>
      <c r="C1615" s="151" t="s">
        <v>4657</v>
      </c>
      <c r="D1615" s="151">
        <f>+2348164520118</f>
        <v>2348164520118</v>
      </c>
      <c r="F1615" s="6" t="s">
        <v>97</v>
      </c>
      <c r="G1615" s="6" t="s">
        <v>4609</v>
      </c>
    </row>
    <row r="1616" ht="15.75" customHeight="1">
      <c r="A1616" s="155">
        <v>43437.0</v>
      </c>
      <c r="B1616" s="151" t="s">
        <v>4658</v>
      </c>
      <c r="C1616" s="151" t="s">
        <v>4659</v>
      </c>
      <c r="D1616" s="151">
        <f>+23408032560824</f>
        <v>23408032560824</v>
      </c>
      <c r="F1616" s="6" t="s">
        <v>97</v>
      </c>
      <c r="G1616" s="6" t="s">
        <v>4609</v>
      </c>
    </row>
    <row r="1617" ht="15.75" customHeight="1">
      <c r="A1617" s="155">
        <v>43437.0</v>
      </c>
      <c r="B1617" s="151" t="s">
        <v>4660</v>
      </c>
      <c r="C1617" s="151" t="s">
        <v>4661</v>
      </c>
      <c r="D1617" s="151">
        <f>+2348034793703</f>
        <v>2348034793703</v>
      </c>
      <c r="F1617" s="6" t="s">
        <v>97</v>
      </c>
      <c r="G1617" s="6" t="s">
        <v>4609</v>
      </c>
    </row>
    <row r="1618" ht="15.75" customHeight="1">
      <c r="A1618" s="155">
        <v>43437.0</v>
      </c>
      <c r="B1618" s="151" t="s">
        <v>4662</v>
      </c>
      <c r="C1618" s="151" t="s">
        <v>4663</v>
      </c>
      <c r="D1618" s="151">
        <f>+23408033879870</f>
        <v>23408033879870</v>
      </c>
      <c r="F1618" s="6" t="s">
        <v>97</v>
      </c>
      <c r="G1618" s="6" t="s">
        <v>4609</v>
      </c>
    </row>
    <row r="1619" ht="15.75" customHeight="1">
      <c r="A1619" s="155">
        <v>43437.0</v>
      </c>
      <c r="B1619" s="151" t="s">
        <v>4664</v>
      </c>
      <c r="C1619" s="151" t="s">
        <v>4665</v>
      </c>
      <c r="D1619" s="151">
        <f>+2348062183003</f>
        <v>2348062183003</v>
      </c>
      <c r="F1619" s="6" t="s">
        <v>97</v>
      </c>
      <c r="G1619" s="6" t="s">
        <v>4609</v>
      </c>
    </row>
    <row r="1620" ht="15.75" customHeight="1">
      <c r="A1620" s="155">
        <v>43437.0</v>
      </c>
      <c r="B1620" s="151" t="s">
        <v>4666</v>
      </c>
      <c r="C1620" s="151" t="s">
        <v>4667</v>
      </c>
      <c r="D1620" s="151">
        <f>+2348187255276</f>
        <v>2348187255276</v>
      </c>
      <c r="F1620" s="6" t="s">
        <v>97</v>
      </c>
      <c r="G1620" s="6" t="s">
        <v>4609</v>
      </c>
    </row>
    <row r="1621" ht="15.75" customHeight="1">
      <c r="A1621" s="155">
        <v>43437.0</v>
      </c>
      <c r="B1621" s="151" t="s">
        <v>4668</v>
      </c>
      <c r="C1621" s="151" t="s">
        <v>4669</v>
      </c>
      <c r="D1621" s="151">
        <f>+2348035775930</f>
        <v>2348035775930</v>
      </c>
      <c r="F1621" s="6" t="s">
        <v>97</v>
      </c>
      <c r="G1621" s="6" t="s">
        <v>4609</v>
      </c>
    </row>
    <row r="1622" ht="15.75" customHeight="1">
      <c r="A1622" s="155">
        <v>43437.0</v>
      </c>
      <c r="B1622" s="151" t="s">
        <v>4670</v>
      </c>
      <c r="C1622" s="151" t="s">
        <v>4671</v>
      </c>
      <c r="D1622" s="151">
        <f>+2348053617675</f>
        <v>2348053617675</v>
      </c>
      <c r="F1622" s="6" t="s">
        <v>97</v>
      </c>
      <c r="G1622" s="6" t="s">
        <v>4609</v>
      </c>
    </row>
    <row r="1623" ht="15.75" customHeight="1">
      <c r="A1623" s="155">
        <v>43437.0</v>
      </c>
      <c r="B1623" s="151" t="s">
        <v>4672</v>
      </c>
      <c r="C1623" s="151" t="s">
        <v>4673</v>
      </c>
      <c r="D1623" s="151">
        <f>+2349090570081</f>
        <v>2349090570081</v>
      </c>
      <c r="F1623" s="6" t="s">
        <v>97</v>
      </c>
      <c r="G1623" s="6" t="s">
        <v>4609</v>
      </c>
    </row>
    <row r="1624" ht="15.75" customHeight="1">
      <c r="A1624" s="155">
        <v>43437.0</v>
      </c>
      <c r="B1624" s="151" t="s">
        <v>4674</v>
      </c>
      <c r="C1624" s="151" t="s">
        <v>4675</v>
      </c>
      <c r="D1624" s="151">
        <f>+2348038296169</f>
        <v>2348038296169</v>
      </c>
      <c r="F1624" s="6" t="s">
        <v>97</v>
      </c>
      <c r="G1624" s="6" t="s">
        <v>4609</v>
      </c>
    </row>
    <row r="1625" ht="15.75" customHeight="1">
      <c r="A1625" s="155">
        <v>43437.0</v>
      </c>
      <c r="B1625" s="151" t="s">
        <v>4676</v>
      </c>
      <c r="C1625" s="151" t="s">
        <v>4677</v>
      </c>
      <c r="D1625" s="151">
        <f>+18129596356</f>
        <v>18129596356</v>
      </c>
      <c r="F1625" s="6" t="s">
        <v>97</v>
      </c>
      <c r="G1625" s="6" t="s">
        <v>4609</v>
      </c>
    </row>
    <row r="1626" ht="15.75" customHeight="1">
      <c r="A1626" s="155">
        <v>43437.0</v>
      </c>
      <c r="B1626" s="151" t="s">
        <v>4678</v>
      </c>
      <c r="C1626" s="151" t="s">
        <v>4679</v>
      </c>
      <c r="D1626" s="151">
        <f>+23408166545508</f>
        <v>23408166545508</v>
      </c>
      <c r="F1626" s="6" t="s">
        <v>97</v>
      </c>
      <c r="G1626" s="6" t="s">
        <v>4609</v>
      </c>
    </row>
    <row r="1627" ht="15.75" customHeight="1">
      <c r="A1627" s="155">
        <v>43437.0</v>
      </c>
      <c r="B1627" s="151" t="s">
        <v>4680</v>
      </c>
      <c r="C1627" s="151" t="s">
        <v>4681</v>
      </c>
      <c r="D1627" s="151">
        <f>+2348164643827</f>
        <v>2348164643827</v>
      </c>
      <c r="F1627" s="6" t="s">
        <v>97</v>
      </c>
      <c r="G1627" s="6" t="s">
        <v>4609</v>
      </c>
    </row>
    <row r="1628" ht="15.75" customHeight="1">
      <c r="A1628" s="155">
        <v>43437.0</v>
      </c>
      <c r="B1628" s="151" t="s">
        <v>4682</v>
      </c>
      <c r="C1628" s="151" t="s">
        <v>4683</v>
      </c>
      <c r="D1628" s="151">
        <f>+23407068718518</f>
        <v>23407068718518</v>
      </c>
      <c r="F1628" s="6" t="s">
        <v>97</v>
      </c>
      <c r="G1628" s="6" t="s">
        <v>4609</v>
      </c>
    </row>
    <row r="1629" ht="15.75" customHeight="1">
      <c r="A1629" s="155">
        <v>43437.0</v>
      </c>
      <c r="B1629" s="151" t="s">
        <v>4684</v>
      </c>
      <c r="C1629" s="151" t="s">
        <v>4685</v>
      </c>
      <c r="D1629" s="151">
        <f>+2347032765854</f>
        <v>2347032765854</v>
      </c>
      <c r="F1629" s="6" t="s">
        <v>97</v>
      </c>
      <c r="G1629" s="6" t="s">
        <v>4609</v>
      </c>
    </row>
    <row r="1630" ht="15.75" customHeight="1">
      <c r="A1630" s="155">
        <v>43437.0</v>
      </c>
      <c r="B1630" s="151" t="s">
        <v>4686</v>
      </c>
      <c r="C1630" s="151" t="s">
        <v>4687</v>
      </c>
      <c r="D1630" s="151">
        <f>+2348060077177</f>
        <v>2348060077177</v>
      </c>
      <c r="F1630" s="6" t="s">
        <v>97</v>
      </c>
      <c r="G1630" s="6" t="s">
        <v>4609</v>
      </c>
    </row>
    <row r="1631" ht="15.75" customHeight="1">
      <c r="A1631" s="155">
        <v>43437.0</v>
      </c>
      <c r="B1631" s="151" t="s">
        <v>4688</v>
      </c>
      <c r="C1631" s="151" t="s">
        <v>4689</v>
      </c>
      <c r="D1631" s="151">
        <f>+2348033838824</f>
        <v>2348033838824</v>
      </c>
      <c r="F1631" s="6" t="s">
        <v>97</v>
      </c>
      <c r="G1631" s="6" t="s">
        <v>4609</v>
      </c>
    </row>
    <row r="1632" ht="15.75" customHeight="1">
      <c r="A1632" s="155">
        <v>43437.0</v>
      </c>
      <c r="B1632" s="151" t="s">
        <v>4690</v>
      </c>
      <c r="C1632" s="151" t="s">
        <v>4691</v>
      </c>
      <c r="D1632" s="151">
        <f>+2347084577072</f>
        <v>2347084577072</v>
      </c>
      <c r="F1632" s="6" t="s">
        <v>97</v>
      </c>
      <c r="G1632" s="6" t="s">
        <v>4609</v>
      </c>
    </row>
    <row r="1633" ht="15.75" customHeight="1">
      <c r="A1633" s="155">
        <v>43437.0</v>
      </c>
      <c r="B1633" s="151" t="s">
        <v>4692</v>
      </c>
      <c r="C1633" s="151" t="s">
        <v>4693</v>
      </c>
      <c r="D1633" s="151">
        <f>+2348034934875</f>
        <v>2348034934875</v>
      </c>
      <c r="F1633" s="6" t="s">
        <v>97</v>
      </c>
      <c r="G1633" s="6" t="s">
        <v>4609</v>
      </c>
    </row>
    <row r="1634" ht="15.75" customHeight="1">
      <c r="A1634" s="155">
        <v>43437.0</v>
      </c>
      <c r="B1634" s="151" t="s">
        <v>4694</v>
      </c>
      <c r="C1634" s="151" t="s">
        <v>4695</v>
      </c>
      <c r="D1634" s="151">
        <f>+2347032248410</f>
        <v>2347032248410</v>
      </c>
      <c r="F1634" s="6" t="s">
        <v>97</v>
      </c>
      <c r="G1634" s="6" t="s">
        <v>4609</v>
      </c>
    </row>
    <row r="1635" ht="15.75" customHeight="1">
      <c r="A1635" s="155">
        <v>43437.0</v>
      </c>
      <c r="B1635" s="151" t="s">
        <v>4696</v>
      </c>
      <c r="C1635" s="151" t="s">
        <v>4697</v>
      </c>
      <c r="D1635" s="151">
        <f>+2347030849331</f>
        <v>2347030849331</v>
      </c>
      <c r="F1635" s="6" t="s">
        <v>97</v>
      </c>
      <c r="G1635" s="6" t="s">
        <v>4609</v>
      </c>
    </row>
    <row r="1636" ht="15.75" customHeight="1">
      <c r="A1636" s="155">
        <v>43437.0</v>
      </c>
      <c r="B1636" s="151" t="s">
        <v>4698</v>
      </c>
      <c r="C1636" s="151" t="s">
        <v>4699</v>
      </c>
      <c r="D1636" s="151">
        <f>+2348057403181</f>
        <v>2348057403181</v>
      </c>
      <c r="F1636" s="6" t="s">
        <v>97</v>
      </c>
      <c r="G1636" s="6" t="s">
        <v>4609</v>
      </c>
    </row>
    <row r="1637" ht="15.75" customHeight="1">
      <c r="A1637" s="155">
        <v>43437.0</v>
      </c>
      <c r="B1637" s="151" t="s">
        <v>4700</v>
      </c>
      <c r="C1637" s="151" t="s">
        <v>4701</v>
      </c>
      <c r="D1637" s="151">
        <f>+2348033206028</f>
        <v>2348033206028</v>
      </c>
      <c r="F1637" s="6" t="s">
        <v>97</v>
      </c>
      <c r="G1637" s="6" t="s">
        <v>4609</v>
      </c>
    </row>
    <row r="1638" ht="15.75" customHeight="1">
      <c r="A1638" s="155">
        <v>43437.0</v>
      </c>
      <c r="B1638" s="151" t="s">
        <v>4702</v>
      </c>
      <c r="C1638" s="151" t="s">
        <v>4703</v>
      </c>
      <c r="D1638" s="151">
        <f>+23407062923890</f>
        <v>23407062923890</v>
      </c>
      <c r="F1638" s="6" t="s">
        <v>97</v>
      </c>
      <c r="G1638" s="6" t="s">
        <v>4609</v>
      </c>
    </row>
    <row r="1639" ht="15.75" customHeight="1">
      <c r="A1639" s="155">
        <v>43437.0</v>
      </c>
      <c r="B1639" s="151" t="s">
        <v>4704</v>
      </c>
      <c r="C1639" s="151" t="s">
        <v>4705</v>
      </c>
      <c r="D1639" s="151">
        <f>+2347033108979</f>
        <v>2347033108979</v>
      </c>
      <c r="F1639" s="6" t="s">
        <v>97</v>
      </c>
      <c r="G1639" s="6" t="s">
        <v>4609</v>
      </c>
    </row>
    <row r="1640" ht="15.75" customHeight="1">
      <c r="A1640" s="155">
        <v>43437.0</v>
      </c>
      <c r="B1640" s="151" t="s">
        <v>4706</v>
      </c>
      <c r="C1640" s="151" t="s">
        <v>4707</v>
      </c>
      <c r="D1640" s="151">
        <f>+2348138121727</f>
        <v>2348138121727</v>
      </c>
      <c r="F1640" s="6" t="s">
        <v>97</v>
      </c>
      <c r="G1640" s="6" t="s">
        <v>4609</v>
      </c>
    </row>
    <row r="1641" ht="15.75" customHeight="1">
      <c r="A1641" s="155">
        <v>43437.0</v>
      </c>
      <c r="B1641" s="151" t="s">
        <v>4708</v>
      </c>
      <c r="C1641" s="151" t="s">
        <v>4709</v>
      </c>
      <c r="D1641" s="151">
        <f>+2347060968891</f>
        <v>2347060968891</v>
      </c>
      <c r="F1641" s="6" t="s">
        <v>97</v>
      </c>
      <c r="G1641" s="6" t="s">
        <v>4609</v>
      </c>
    </row>
    <row r="1642" ht="15.75" customHeight="1">
      <c r="A1642" s="155">
        <v>43437.0</v>
      </c>
      <c r="B1642" s="151" t="s">
        <v>4710</v>
      </c>
      <c r="C1642" s="151" t="s">
        <v>4711</v>
      </c>
      <c r="D1642" s="151">
        <f>+2348031800004</f>
        <v>2348031800004</v>
      </c>
      <c r="F1642" s="6" t="s">
        <v>97</v>
      </c>
      <c r="G1642" s="6" t="s">
        <v>4609</v>
      </c>
    </row>
    <row r="1643" ht="15.75" customHeight="1">
      <c r="A1643" s="155">
        <v>43437.0</v>
      </c>
      <c r="B1643" s="151" t="s">
        <v>4712</v>
      </c>
      <c r="C1643" s="151" t="s">
        <v>4713</v>
      </c>
      <c r="D1643" s="151">
        <f>+2348060942924</f>
        <v>2348060942924</v>
      </c>
      <c r="F1643" s="6" t="s">
        <v>97</v>
      </c>
      <c r="G1643" s="6" t="s">
        <v>4609</v>
      </c>
    </row>
    <row r="1644" ht="15.75" customHeight="1">
      <c r="A1644" s="155">
        <v>43437.0</v>
      </c>
      <c r="B1644" s="151" t="s">
        <v>4714</v>
      </c>
      <c r="C1644" s="151" t="s">
        <v>4715</v>
      </c>
      <c r="D1644" s="151">
        <f>+2348098386813</f>
        <v>2348098386813</v>
      </c>
      <c r="F1644" s="6" t="s">
        <v>97</v>
      </c>
      <c r="G1644" s="6" t="s">
        <v>4609</v>
      </c>
    </row>
    <row r="1645" ht="15.75" customHeight="1">
      <c r="A1645" s="155">
        <v>43437.0</v>
      </c>
      <c r="B1645" s="151" t="s">
        <v>2495</v>
      </c>
      <c r="C1645" s="151" t="s">
        <v>2496</v>
      </c>
      <c r="D1645" s="151">
        <f>+2347065530664</f>
        <v>2347065530664</v>
      </c>
      <c r="F1645" s="6" t="s">
        <v>97</v>
      </c>
      <c r="G1645" s="6" t="s">
        <v>4609</v>
      </c>
    </row>
    <row r="1646" ht="15.75" customHeight="1">
      <c r="A1646" s="155">
        <v>43437.0</v>
      </c>
      <c r="B1646" s="151" t="s">
        <v>4716</v>
      </c>
      <c r="C1646" s="151" t="s">
        <v>4717</v>
      </c>
      <c r="D1646" s="151">
        <f>+2348139082674</f>
        <v>2348139082674</v>
      </c>
      <c r="F1646" s="6" t="s">
        <v>97</v>
      </c>
      <c r="G1646" s="6" t="s">
        <v>4609</v>
      </c>
    </row>
    <row r="1647" ht="15.75" customHeight="1">
      <c r="A1647" s="155">
        <v>43437.0</v>
      </c>
      <c r="B1647" s="151" t="s">
        <v>4718</v>
      </c>
      <c r="C1647" s="151" t="s">
        <v>4719</v>
      </c>
      <c r="D1647" s="151">
        <f>+2347051414623</f>
        <v>2347051414623</v>
      </c>
      <c r="F1647" s="6" t="s">
        <v>97</v>
      </c>
      <c r="G1647" s="6" t="s">
        <v>4609</v>
      </c>
    </row>
    <row r="1648" ht="15.75" customHeight="1">
      <c r="A1648" s="155">
        <v>43437.0</v>
      </c>
      <c r="B1648" s="151" t="s">
        <v>4720</v>
      </c>
      <c r="C1648" s="151" t="s">
        <v>4721</v>
      </c>
      <c r="D1648" s="151">
        <f>+23408038886196</f>
        <v>23408038886196</v>
      </c>
      <c r="F1648" s="6" t="s">
        <v>97</v>
      </c>
      <c r="G1648" s="6" t="s">
        <v>4609</v>
      </c>
    </row>
    <row r="1649" ht="15.75" customHeight="1">
      <c r="A1649" s="155">
        <v>43437.0</v>
      </c>
      <c r="B1649" s="151" t="s">
        <v>4722</v>
      </c>
      <c r="C1649" s="151" t="s">
        <v>4723</v>
      </c>
      <c r="D1649" s="151">
        <f>+2348038851228</f>
        <v>2348038851228</v>
      </c>
      <c r="F1649" s="6" t="s">
        <v>97</v>
      </c>
      <c r="G1649" s="6" t="s">
        <v>4724</v>
      </c>
    </row>
    <row r="1650" ht="15.75" customHeight="1">
      <c r="A1650" s="155">
        <v>43437.0</v>
      </c>
      <c r="B1650" s="151" t="s">
        <v>4725</v>
      </c>
      <c r="C1650" s="151" t="s">
        <v>4726</v>
      </c>
      <c r="D1650" s="151">
        <f>+2348036434648</f>
        <v>2348036434648</v>
      </c>
      <c r="F1650" s="6" t="s">
        <v>97</v>
      </c>
      <c r="G1650" s="6" t="s">
        <v>4724</v>
      </c>
    </row>
    <row r="1651" ht="15.75" customHeight="1">
      <c r="A1651" s="155">
        <v>43437.0</v>
      </c>
      <c r="B1651" s="151" t="s">
        <v>4727</v>
      </c>
      <c r="C1651" s="151" t="s">
        <v>4728</v>
      </c>
      <c r="D1651" s="151">
        <f>+2348062068085</f>
        <v>2348062068085</v>
      </c>
      <c r="F1651" s="6" t="s">
        <v>97</v>
      </c>
      <c r="G1651" s="6" t="s">
        <v>4724</v>
      </c>
    </row>
    <row r="1652" ht="15.75" customHeight="1">
      <c r="A1652" s="155">
        <v>43437.0</v>
      </c>
      <c r="B1652" s="151" t="s">
        <v>4729</v>
      </c>
      <c r="C1652" s="151" t="s">
        <v>4730</v>
      </c>
      <c r="D1652" s="151">
        <f>+2347030634657</f>
        <v>2347030634657</v>
      </c>
      <c r="F1652" s="6" t="s">
        <v>97</v>
      </c>
      <c r="G1652" s="6" t="s">
        <v>4724</v>
      </c>
    </row>
    <row r="1653" ht="15.75" customHeight="1">
      <c r="A1653" s="155">
        <v>43437.0</v>
      </c>
      <c r="B1653" s="151" t="s">
        <v>4731</v>
      </c>
      <c r="C1653" s="151" t="s">
        <v>4732</v>
      </c>
      <c r="D1653" s="151">
        <f>+2348055228887</f>
        <v>2348055228887</v>
      </c>
      <c r="F1653" s="6" t="s">
        <v>97</v>
      </c>
      <c r="G1653" s="6" t="s">
        <v>4724</v>
      </c>
    </row>
    <row r="1654" ht="15.75" customHeight="1">
      <c r="A1654" s="155">
        <v>43437.0</v>
      </c>
      <c r="B1654" s="151" t="s">
        <v>4733</v>
      </c>
      <c r="C1654" s="151" t="s">
        <v>4734</v>
      </c>
      <c r="D1654" s="151">
        <f>+2348084951511</f>
        <v>2348084951511</v>
      </c>
      <c r="F1654" s="6" t="s">
        <v>97</v>
      </c>
      <c r="G1654" s="6" t="s">
        <v>4724</v>
      </c>
    </row>
    <row r="1655" ht="15.75" customHeight="1">
      <c r="A1655" s="155">
        <v>43437.0</v>
      </c>
      <c r="B1655" s="151" t="s">
        <v>4735</v>
      </c>
      <c r="C1655" s="151" t="s">
        <v>4736</v>
      </c>
      <c r="D1655" s="151">
        <f>+2348180245257</f>
        <v>2348180245257</v>
      </c>
      <c r="F1655" s="6" t="s">
        <v>97</v>
      </c>
      <c r="G1655" s="6" t="s">
        <v>4724</v>
      </c>
    </row>
    <row r="1656" ht="15.75" customHeight="1">
      <c r="A1656" s="155">
        <v>43437.0</v>
      </c>
      <c r="B1656" s="151" t="s">
        <v>4737</v>
      </c>
      <c r="C1656" s="151" t="s">
        <v>4738</v>
      </c>
      <c r="D1656" s="151">
        <f>+2348068961652</f>
        <v>2348068961652</v>
      </c>
      <c r="F1656" s="6" t="s">
        <v>97</v>
      </c>
      <c r="G1656" s="6" t="s">
        <v>4724</v>
      </c>
    </row>
    <row r="1657" ht="15.75" customHeight="1">
      <c r="A1657" s="155">
        <v>43437.0</v>
      </c>
      <c r="B1657" s="151" t="s">
        <v>4739</v>
      </c>
      <c r="C1657" s="151" t="s">
        <v>4740</v>
      </c>
      <c r="D1657" s="151">
        <f>+2348104033998</f>
        <v>2348104033998</v>
      </c>
      <c r="F1657" s="6" t="s">
        <v>97</v>
      </c>
      <c r="G1657" s="6" t="s">
        <v>4724</v>
      </c>
    </row>
    <row r="1658" ht="15.75" customHeight="1">
      <c r="A1658" s="155">
        <v>43437.0</v>
      </c>
      <c r="B1658" s="151" t="s">
        <v>4741</v>
      </c>
      <c r="C1658" s="151" t="s">
        <v>4742</v>
      </c>
      <c r="D1658" s="151">
        <f>+2348166182202</f>
        <v>2348166182202</v>
      </c>
      <c r="F1658" s="6" t="s">
        <v>97</v>
      </c>
      <c r="G1658" s="6" t="s">
        <v>4724</v>
      </c>
    </row>
    <row r="1659" ht="15.75" customHeight="1">
      <c r="A1659" s="155">
        <v>43437.0</v>
      </c>
      <c r="B1659" s="151" t="s">
        <v>4743</v>
      </c>
      <c r="C1659" s="151" t="s">
        <v>4744</v>
      </c>
      <c r="D1659" s="151">
        <f>+2347069694880</f>
        <v>2347069694880</v>
      </c>
      <c r="F1659" s="6" t="s">
        <v>97</v>
      </c>
      <c r="G1659" s="6" t="s">
        <v>4724</v>
      </c>
    </row>
    <row r="1660" ht="15.75" customHeight="1">
      <c r="A1660" s="155">
        <v>43437.0</v>
      </c>
      <c r="B1660" s="151" t="s">
        <v>4745</v>
      </c>
      <c r="C1660" s="151" t="s">
        <v>4746</v>
      </c>
      <c r="D1660" s="151">
        <f>+2348023162257</f>
        <v>2348023162257</v>
      </c>
      <c r="F1660" s="6" t="s">
        <v>97</v>
      </c>
      <c r="G1660" s="6" t="s">
        <v>4724</v>
      </c>
    </row>
    <row r="1661" ht="15.75" customHeight="1">
      <c r="A1661" s="155">
        <v>43437.0</v>
      </c>
      <c r="B1661" s="151" t="s">
        <v>4747</v>
      </c>
      <c r="C1661" s="151" t="s">
        <v>4748</v>
      </c>
      <c r="D1661" s="151">
        <f>+2349085455764</f>
        <v>2349085455764</v>
      </c>
      <c r="F1661" s="6" t="s">
        <v>97</v>
      </c>
      <c r="G1661" s="6" t="s">
        <v>4724</v>
      </c>
    </row>
    <row r="1662" ht="15.75" customHeight="1">
      <c r="A1662" s="155">
        <v>43437.0</v>
      </c>
      <c r="B1662" s="151" t="s">
        <v>4749</v>
      </c>
      <c r="C1662" s="151" t="s">
        <v>4750</v>
      </c>
      <c r="D1662" s="151">
        <f>+2340855555916</f>
        <v>2340855555916</v>
      </c>
      <c r="F1662" s="6" t="s">
        <v>97</v>
      </c>
      <c r="G1662" s="6" t="s">
        <v>4724</v>
      </c>
    </row>
    <row r="1663" ht="15.75" customHeight="1">
      <c r="A1663" s="155">
        <v>43437.0</v>
      </c>
      <c r="B1663" s="151" t="s">
        <v>4751</v>
      </c>
      <c r="C1663" s="151" t="s">
        <v>4752</v>
      </c>
      <c r="D1663" s="151">
        <f>+2347037132620</f>
        <v>2347037132620</v>
      </c>
      <c r="F1663" s="6" t="s">
        <v>97</v>
      </c>
      <c r="G1663" s="6" t="s">
        <v>4724</v>
      </c>
    </row>
    <row r="1664" ht="15.75" customHeight="1">
      <c r="A1664" s="155">
        <v>43437.0</v>
      </c>
      <c r="B1664" s="151" t="s">
        <v>4753</v>
      </c>
      <c r="C1664" s="151" t="s">
        <v>4754</v>
      </c>
      <c r="D1664" s="151">
        <f>+2348037328932</f>
        <v>2348037328932</v>
      </c>
      <c r="F1664" s="6" t="s">
        <v>97</v>
      </c>
      <c r="G1664" s="6" t="s">
        <v>4724</v>
      </c>
    </row>
    <row r="1665" ht="15.75" customHeight="1">
      <c r="A1665" s="155">
        <v>43437.0</v>
      </c>
      <c r="B1665" s="151" t="s">
        <v>4755</v>
      </c>
      <c r="C1665" s="151" t="s">
        <v>4756</v>
      </c>
      <c r="D1665" s="151">
        <f>+2348025356141</f>
        <v>2348025356141</v>
      </c>
      <c r="F1665" s="6" t="s">
        <v>97</v>
      </c>
      <c r="G1665" s="6" t="s">
        <v>4724</v>
      </c>
    </row>
    <row r="1666" ht="15.75" customHeight="1">
      <c r="A1666" s="155">
        <v>43437.0</v>
      </c>
      <c r="B1666" s="151" t="s">
        <v>4757</v>
      </c>
      <c r="C1666" s="151" t="s">
        <v>4758</v>
      </c>
      <c r="D1666" s="151">
        <f>+2348061396716</f>
        <v>2348061396716</v>
      </c>
      <c r="F1666" s="6" t="s">
        <v>97</v>
      </c>
      <c r="G1666" s="6" t="s">
        <v>4724</v>
      </c>
    </row>
    <row r="1667" ht="15.75" customHeight="1">
      <c r="A1667" s="155">
        <v>43437.0</v>
      </c>
      <c r="B1667" s="151" t="s">
        <v>4759</v>
      </c>
      <c r="C1667" s="151" t="s">
        <v>4760</v>
      </c>
      <c r="D1667" s="151">
        <f>+2347033149695</f>
        <v>2347033149695</v>
      </c>
      <c r="F1667" s="6" t="s">
        <v>97</v>
      </c>
      <c r="G1667" s="6" t="s">
        <v>4724</v>
      </c>
    </row>
    <row r="1668" ht="15.75" customHeight="1">
      <c r="A1668" s="155">
        <v>43437.0</v>
      </c>
      <c r="B1668" s="151" t="s">
        <v>4761</v>
      </c>
      <c r="C1668" s="151" t="s">
        <v>4762</v>
      </c>
      <c r="D1668" s="151">
        <f>+2347033820522</f>
        <v>2347033820522</v>
      </c>
      <c r="F1668" s="6" t="s">
        <v>97</v>
      </c>
      <c r="G1668" s="6" t="s">
        <v>4724</v>
      </c>
    </row>
    <row r="1669" ht="15.75" customHeight="1">
      <c r="A1669" s="155">
        <v>43437.0</v>
      </c>
      <c r="B1669" s="151" t="s">
        <v>4763</v>
      </c>
      <c r="C1669" s="151" t="s">
        <v>4764</v>
      </c>
      <c r="D1669" s="151">
        <f>+2348066040042</f>
        <v>2348066040042</v>
      </c>
      <c r="F1669" s="6" t="s">
        <v>97</v>
      </c>
      <c r="G1669" s="6" t="s">
        <v>4724</v>
      </c>
    </row>
    <row r="1670" ht="15.75" customHeight="1">
      <c r="A1670" s="155">
        <v>43437.0</v>
      </c>
      <c r="B1670" s="151" t="s">
        <v>4765</v>
      </c>
      <c r="C1670" s="151" t="s">
        <v>4766</v>
      </c>
      <c r="D1670" s="151">
        <f>+2347032322020</f>
        <v>2347032322020</v>
      </c>
      <c r="F1670" s="6" t="s">
        <v>97</v>
      </c>
      <c r="G1670" s="6" t="s">
        <v>4724</v>
      </c>
    </row>
    <row r="1671" ht="15.75" customHeight="1">
      <c r="A1671" s="155">
        <v>43437.0</v>
      </c>
      <c r="B1671" s="151" t="s">
        <v>4767</v>
      </c>
      <c r="C1671" s="151" t="s">
        <v>4768</v>
      </c>
      <c r="D1671" s="151">
        <f>+2348033543386</f>
        <v>2348033543386</v>
      </c>
      <c r="F1671" s="6" t="s">
        <v>97</v>
      </c>
      <c r="G1671" s="6" t="s">
        <v>4724</v>
      </c>
    </row>
    <row r="1672" ht="15.75" customHeight="1">
      <c r="A1672" s="155">
        <v>43437.0</v>
      </c>
      <c r="B1672" s="151" t="s">
        <v>4769</v>
      </c>
      <c r="C1672" s="151" t="s">
        <v>4770</v>
      </c>
      <c r="D1672" s="151">
        <f>+2347031555678</f>
        <v>2347031555678</v>
      </c>
      <c r="F1672" s="6" t="s">
        <v>97</v>
      </c>
      <c r="G1672" s="6" t="s">
        <v>4724</v>
      </c>
    </row>
    <row r="1673" ht="15.75" customHeight="1">
      <c r="A1673" s="155">
        <v>43437.0</v>
      </c>
      <c r="B1673" s="151" t="s">
        <v>4771</v>
      </c>
      <c r="C1673" s="151" t="s">
        <v>4772</v>
      </c>
      <c r="D1673" s="151">
        <f>+2348030592656</f>
        <v>2348030592656</v>
      </c>
      <c r="F1673" s="6" t="s">
        <v>97</v>
      </c>
      <c r="G1673" s="6" t="s">
        <v>4724</v>
      </c>
    </row>
    <row r="1674" ht="15.75" customHeight="1">
      <c r="A1674" s="155">
        <v>43437.0</v>
      </c>
      <c r="B1674" s="151" t="s">
        <v>4773</v>
      </c>
      <c r="C1674" s="151" t="s">
        <v>4774</v>
      </c>
      <c r="D1674" s="151">
        <f>+2348053024965</f>
        <v>2348053024965</v>
      </c>
      <c r="F1674" s="6" t="s">
        <v>97</v>
      </c>
      <c r="G1674" s="6" t="s">
        <v>4724</v>
      </c>
    </row>
    <row r="1675" ht="15.75" customHeight="1">
      <c r="A1675" s="155">
        <v>43437.0</v>
      </c>
      <c r="B1675" s="151" t="s">
        <v>4173</v>
      </c>
      <c r="C1675" s="151" t="s">
        <v>4174</v>
      </c>
      <c r="D1675" s="151">
        <f>+2348091327615</f>
        <v>2348091327615</v>
      </c>
      <c r="F1675" s="6" t="s">
        <v>97</v>
      </c>
      <c r="G1675" s="6" t="s">
        <v>4724</v>
      </c>
    </row>
    <row r="1676" ht="15.75" customHeight="1">
      <c r="A1676" s="155">
        <v>43437.0</v>
      </c>
      <c r="B1676" s="151" t="s">
        <v>4775</v>
      </c>
      <c r="C1676" s="151" t="s">
        <v>4776</v>
      </c>
      <c r="D1676" s="151">
        <f>+2348180025166</f>
        <v>2348180025166</v>
      </c>
      <c r="F1676" s="6" t="s">
        <v>97</v>
      </c>
      <c r="G1676" s="6" t="s">
        <v>4724</v>
      </c>
    </row>
    <row r="1677" ht="15.75" customHeight="1">
      <c r="A1677" s="155">
        <v>43437.0</v>
      </c>
      <c r="B1677" s="151" t="s">
        <v>4777</v>
      </c>
      <c r="C1677" s="151" t="s">
        <v>4778</v>
      </c>
      <c r="D1677" s="151">
        <f>+23408188487581</f>
        <v>23408188487581</v>
      </c>
      <c r="F1677" s="6" t="s">
        <v>97</v>
      </c>
      <c r="G1677" s="6" t="s">
        <v>4724</v>
      </c>
    </row>
    <row r="1678" ht="15.75" customHeight="1">
      <c r="A1678" s="155">
        <v>43437.0</v>
      </c>
      <c r="B1678" s="151" t="s">
        <v>4779</v>
      </c>
      <c r="C1678" s="151" t="s">
        <v>4780</v>
      </c>
      <c r="D1678" s="151">
        <f>+2348091123680</f>
        <v>2348091123680</v>
      </c>
      <c r="F1678" s="6" t="s">
        <v>97</v>
      </c>
      <c r="G1678" s="6" t="s">
        <v>4724</v>
      </c>
    </row>
    <row r="1679" ht="15.75" customHeight="1">
      <c r="A1679" s="155">
        <v>43437.0</v>
      </c>
      <c r="B1679" s="151" t="s">
        <v>4781</v>
      </c>
      <c r="C1679" s="151" t="s">
        <v>4782</v>
      </c>
      <c r="D1679" s="151">
        <f>+2348184768497</f>
        <v>2348184768497</v>
      </c>
      <c r="F1679" s="6" t="s">
        <v>97</v>
      </c>
      <c r="G1679" s="6" t="s">
        <v>4724</v>
      </c>
    </row>
    <row r="1680" ht="15.75" customHeight="1">
      <c r="A1680" s="155">
        <v>43437.0</v>
      </c>
      <c r="B1680" s="151" t="s">
        <v>4783</v>
      </c>
      <c r="C1680" s="151" t="s">
        <v>4784</v>
      </c>
      <c r="D1680" s="151">
        <f>+2348037731193</f>
        <v>2348037731193</v>
      </c>
      <c r="F1680" s="6" t="s">
        <v>97</v>
      </c>
      <c r="G1680" s="6" t="s">
        <v>4724</v>
      </c>
    </row>
    <row r="1681" ht="15.75" customHeight="1">
      <c r="A1681" s="155">
        <v>43437.0</v>
      </c>
      <c r="B1681" s="151" t="s">
        <v>4785</v>
      </c>
      <c r="C1681" s="151" t="s">
        <v>4786</v>
      </c>
      <c r="D1681" s="151">
        <f>+2348023378209</f>
        <v>2348023378209</v>
      </c>
      <c r="F1681" s="6" t="s">
        <v>97</v>
      </c>
      <c r="G1681" s="6" t="s">
        <v>4724</v>
      </c>
    </row>
    <row r="1682" ht="15.75" customHeight="1">
      <c r="A1682" s="155">
        <v>43437.0</v>
      </c>
      <c r="B1682" s="151" t="s">
        <v>4787</v>
      </c>
      <c r="C1682" s="151" t="s">
        <v>4788</v>
      </c>
      <c r="D1682" s="151">
        <f>+2347013001061</f>
        <v>2347013001061</v>
      </c>
      <c r="F1682" s="6" t="s">
        <v>97</v>
      </c>
      <c r="G1682" s="6" t="s">
        <v>4724</v>
      </c>
    </row>
    <row r="1683" ht="15.75" customHeight="1">
      <c r="A1683" s="155">
        <v>43437.0</v>
      </c>
      <c r="B1683" s="151" t="s">
        <v>4789</v>
      </c>
      <c r="C1683" s="151" t="s">
        <v>4790</v>
      </c>
      <c r="D1683" s="151">
        <f>+2349034228575</f>
        <v>2349034228575</v>
      </c>
      <c r="F1683" s="6" t="s">
        <v>97</v>
      </c>
      <c r="G1683" s="6" t="s">
        <v>4724</v>
      </c>
    </row>
    <row r="1684" ht="15.75" customHeight="1">
      <c r="A1684" s="155">
        <v>43437.0</v>
      </c>
      <c r="B1684" s="151" t="s">
        <v>4791</v>
      </c>
      <c r="C1684" s="151" t="s">
        <v>4792</v>
      </c>
      <c r="D1684" s="151">
        <f>+2347081562551</f>
        <v>2347081562551</v>
      </c>
      <c r="F1684" s="6" t="s">
        <v>97</v>
      </c>
      <c r="G1684" s="6" t="s">
        <v>4724</v>
      </c>
    </row>
    <row r="1685" ht="15.75" customHeight="1">
      <c r="A1685" s="155">
        <v>43437.0</v>
      </c>
      <c r="B1685" s="151" t="s">
        <v>4793</v>
      </c>
      <c r="C1685" s="151" t="s">
        <v>4794</v>
      </c>
      <c r="D1685" s="151">
        <f>+23408118921820</f>
        <v>23408118921820</v>
      </c>
      <c r="F1685" s="6" t="s">
        <v>97</v>
      </c>
      <c r="G1685" s="6" t="s">
        <v>4724</v>
      </c>
    </row>
    <row r="1686" ht="15.75" customHeight="1">
      <c r="A1686" s="155">
        <v>43437.0</v>
      </c>
      <c r="B1686" s="151" t="s">
        <v>4795</v>
      </c>
      <c r="C1686" s="151" t="s">
        <v>4796</v>
      </c>
      <c r="D1686" s="151">
        <f>+2348020665835</f>
        <v>2348020665835</v>
      </c>
      <c r="F1686" s="6" t="s">
        <v>97</v>
      </c>
      <c r="G1686" s="6" t="s">
        <v>4724</v>
      </c>
    </row>
    <row r="1687" ht="15.75" customHeight="1">
      <c r="A1687" s="155">
        <v>43437.0</v>
      </c>
      <c r="B1687" s="151" t="s">
        <v>4797</v>
      </c>
      <c r="C1687" s="151" t="s">
        <v>4798</v>
      </c>
      <c r="D1687" s="151">
        <f>+2348057080585</f>
        <v>2348057080585</v>
      </c>
      <c r="F1687" s="6" t="s">
        <v>97</v>
      </c>
      <c r="G1687" s="6" t="s">
        <v>4724</v>
      </c>
    </row>
    <row r="1688" ht="15.75" customHeight="1">
      <c r="A1688" s="155">
        <v>43437.0</v>
      </c>
      <c r="B1688" s="151" t="s">
        <v>4799</v>
      </c>
      <c r="C1688" s="151" t="s">
        <v>4800</v>
      </c>
      <c r="D1688" s="151">
        <f>+2348063451812</f>
        <v>2348063451812</v>
      </c>
      <c r="F1688" s="6" t="s">
        <v>97</v>
      </c>
      <c r="G1688" s="6" t="s">
        <v>4724</v>
      </c>
    </row>
    <row r="1689" ht="15.75" customHeight="1">
      <c r="A1689" s="155">
        <v>43437.0</v>
      </c>
      <c r="B1689" s="151" t="s">
        <v>4801</v>
      </c>
      <c r="C1689" s="151" t="s">
        <v>4802</v>
      </c>
      <c r="D1689" s="151">
        <f>+2348166902928</f>
        <v>2348166902928</v>
      </c>
      <c r="F1689" s="6" t="s">
        <v>97</v>
      </c>
      <c r="G1689" s="6" t="s">
        <v>4724</v>
      </c>
    </row>
    <row r="1690" ht="15.75" customHeight="1">
      <c r="A1690" s="155">
        <v>43437.0</v>
      </c>
      <c r="B1690" s="151" t="s">
        <v>4803</v>
      </c>
      <c r="C1690" s="151" t="s">
        <v>4804</v>
      </c>
      <c r="D1690" s="151">
        <f>+2348020308518</f>
        <v>2348020308518</v>
      </c>
      <c r="F1690" s="6" t="s">
        <v>168</v>
      </c>
      <c r="G1690" s="6" t="s">
        <v>4724</v>
      </c>
    </row>
    <row r="1691" ht="15.75" customHeight="1">
      <c r="A1691" s="155">
        <v>43437.0</v>
      </c>
      <c r="B1691" s="151" t="s">
        <v>4805</v>
      </c>
      <c r="C1691" s="151" t="s">
        <v>4806</v>
      </c>
      <c r="D1691" s="151">
        <f>+2348134189585</f>
        <v>2348134189585</v>
      </c>
      <c r="F1691" s="6" t="s">
        <v>168</v>
      </c>
      <c r="G1691" s="6" t="s">
        <v>4724</v>
      </c>
    </row>
    <row r="1692" ht="15.75" customHeight="1">
      <c r="A1692" s="155">
        <v>43437.0</v>
      </c>
      <c r="B1692" s="151" t="s">
        <v>4807</v>
      </c>
      <c r="C1692" s="151" t="s">
        <v>4808</v>
      </c>
      <c r="D1692" s="151">
        <f>+2348095862359</f>
        <v>2348095862359</v>
      </c>
      <c r="F1692" s="6" t="s">
        <v>168</v>
      </c>
      <c r="G1692" s="6" t="s">
        <v>4724</v>
      </c>
    </row>
    <row r="1693" ht="15.75" customHeight="1">
      <c r="A1693" s="155">
        <v>43437.0</v>
      </c>
      <c r="B1693" s="151" t="s">
        <v>4809</v>
      </c>
      <c r="C1693" s="151" t="s">
        <v>4810</v>
      </c>
      <c r="D1693" s="151">
        <f>+2348036964102</f>
        <v>2348036964102</v>
      </c>
      <c r="F1693" s="6" t="s">
        <v>168</v>
      </c>
      <c r="G1693" s="6" t="s">
        <v>4724</v>
      </c>
    </row>
    <row r="1694" ht="15.75" customHeight="1">
      <c r="A1694" s="155">
        <v>43437.0</v>
      </c>
      <c r="B1694" s="151" t="s">
        <v>4811</v>
      </c>
      <c r="C1694" s="151" t="s">
        <v>4812</v>
      </c>
      <c r="D1694" s="151">
        <f>+2347030058301</f>
        <v>2347030058301</v>
      </c>
      <c r="F1694" s="6" t="s">
        <v>168</v>
      </c>
      <c r="G1694" s="6" t="s">
        <v>4724</v>
      </c>
    </row>
    <row r="1695" ht="15.75" customHeight="1">
      <c r="A1695" s="155">
        <v>43437.0</v>
      </c>
      <c r="B1695" s="151" t="s">
        <v>4813</v>
      </c>
      <c r="C1695" s="151" t="s">
        <v>4814</v>
      </c>
      <c r="D1695" s="151">
        <f>+2348085514846</f>
        <v>2348085514846</v>
      </c>
      <c r="F1695" s="6" t="s">
        <v>168</v>
      </c>
      <c r="G1695" s="6" t="s">
        <v>4724</v>
      </c>
    </row>
    <row r="1696" ht="15.75" customHeight="1">
      <c r="A1696" s="155">
        <v>43437.0</v>
      </c>
      <c r="B1696" s="151" t="s">
        <v>4815</v>
      </c>
      <c r="C1696" s="151" t="s">
        <v>4816</v>
      </c>
      <c r="D1696" s="151">
        <f>+2347068156470</f>
        <v>2347068156470</v>
      </c>
      <c r="F1696" s="6" t="s">
        <v>168</v>
      </c>
      <c r="G1696" s="6" t="s">
        <v>4724</v>
      </c>
    </row>
    <row r="1697" ht="15.75" customHeight="1">
      <c r="A1697" s="155">
        <v>43437.0</v>
      </c>
      <c r="B1697" s="151" t="s">
        <v>4817</v>
      </c>
      <c r="C1697" s="151" t="s">
        <v>4818</v>
      </c>
      <c r="D1697" s="151">
        <f>+2348066459778</f>
        <v>2348066459778</v>
      </c>
      <c r="F1697" s="6" t="s">
        <v>168</v>
      </c>
      <c r="G1697" s="6" t="s">
        <v>4724</v>
      </c>
    </row>
    <row r="1698" ht="15.75" customHeight="1">
      <c r="A1698" s="155">
        <v>43437.0</v>
      </c>
      <c r="B1698" s="151" t="s">
        <v>4819</v>
      </c>
      <c r="C1698" s="151" t="s">
        <v>4820</v>
      </c>
      <c r="D1698" s="151">
        <f>+2347038495452</f>
        <v>2347038495452</v>
      </c>
      <c r="F1698" s="6" t="s">
        <v>168</v>
      </c>
      <c r="G1698" s="6" t="s">
        <v>4724</v>
      </c>
    </row>
    <row r="1699" ht="15.75" customHeight="1">
      <c r="A1699" s="155">
        <v>43437.0</v>
      </c>
      <c r="B1699" s="151" t="s">
        <v>4821</v>
      </c>
      <c r="C1699" s="151" t="s">
        <v>4822</v>
      </c>
      <c r="D1699" s="151">
        <f>+2348037037921</f>
        <v>2348037037921</v>
      </c>
      <c r="F1699" s="6" t="s">
        <v>168</v>
      </c>
      <c r="G1699" s="6" t="s">
        <v>4724</v>
      </c>
    </row>
    <row r="1700" ht="15.75" customHeight="1">
      <c r="A1700" s="155">
        <v>43437.0</v>
      </c>
      <c r="B1700" s="151" t="s">
        <v>4823</v>
      </c>
      <c r="C1700" s="151" t="s">
        <v>4824</v>
      </c>
      <c r="D1700" s="151">
        <f>+2347055252556</f>
        <v>2347055252556</v>
      </c>
      <c r="F1700" s="6" t="s">
        <v>168</v>
      </c>
      <c r="G1700" s="6" t="s">
        <v>4724</v>
      </c>
    </row>
    <row r="1701" ht="15.75" customHeight="1">
      <c r="A1701" s="155">
        <v>43437.0</v>
      </c>
      <c r="B1701" s="151" t="s">
        <v>4825</v>
      </c>
      <c r="C1701" s="151" t="s">
        <v>4826</v>
      </c>
      <c r="D1701" s="151">
        <f>+2348037763812</f>
        <v>2348037763812</v>
      </c>
      <c r="F1701" s="6" t="s">
        <v>168</v>
      </c>
      <c r="G1701" s="6" t="s">
        <v>4724</v>
      </c>
    </row>
    <row r="1702" ht="15.75" customHeight="1">
      <c r="A1702" s="155">
        <v>43437.0</v>
      </c>
      <c r="B1702" s="151" t="s">
        <v>4827</v>
      </c>
      <c r="C1702" s="151" t="s">
        <v>4828</v>
      </c>
      <c r="D1702" s="151">
        <f>+2348069040106</f>
        <v>2348069040106</v>
      </c>
      <c r="F1702" s="6" t="s">
        <v>168</v>
      </c>
      <c r="G1702" s="6" t="s">
        <v>4724</v>
      </c>
    </row>
    <row r="1703" ht="15.75" customHeight="1">
      <c r="A1703" s="155">
        <v>43437.0</v>
      </c>
      <c r="B1703" s="151" t="s">
        <v>4829</v>
      </c>
      <c r="C1703" s="151" t="s">
        <v>4830</v>
      </c>
      <c r="D1703" s="151">
        <f>+2348122235176</f>
        <v>2348122235176</v>
      </c>
      <c r="F1703" s="6" t="s">
        <v>168</v>
      </c>
      <c r="G1703" s="6" t="s">
        <v>4724</v>
      </c>
    </row>
    <row r="1704" ht="15.75" customHeight="1">
      <c r="A1704" s="155">
        <v>43437.0</v>
      </c>
      <c r="B1704" s="151" t="s">
        <v>4831</v>
      </c>
      <c r="C1704" s="151" t="s">
        <v>4832</v>
      </c>
      <c r="D1704" s="151">
        <f>+2348034016130</f>
        <v>2348034016130</v>
      </c>
      <c r="F1704" s="6" t="s">
        <v>168</v>
      </c>
      <c r="G1704" s="6" t="s">
        <v>4724</v>
      </c>
    </row>
    <row r="1705" ht="15.75" customHeight="1">
      <c r="A1705" s="155">
        <v>43437.0</v>
      </c>
      <c r="B1705" s="151" t="s">
        <v>4833</v>
      </c>
      <c r="C1705" s="151" t="s">
        <v>4834</v>
      </c>
      <c r="D1705" s="151">
        <f>+2348110127100</f>
        <v>2348110127100</v>
      </c>
      <c r="F1705" s="6" t="s">
        <v>168</v>
      </c>
      <c r="G1705" s="6" t="s">
        <v>4724</v>
      </c>
    </row>
    <row r="1706" ht="15.75" customHeight="1">
      <c r="A1706" s="155">
        <v>43437.0</v>
      </c>
      <c r="B1706" s="151" t="s">
        <v>4835</v>
      </c>
      <c r="C1706" s="151" t="s">
        <v>4836</v>
      </c>
      <c r="D1706" s="151">
        <f>+2348029990406</f>
        <v>2348029990406</v>
      </c>
      <c r="F1706" s="6" t="s">
        <v>168</v>
      </c>
      <c r="G1706" s="6" t="s">
        <v>4724</v>
      </c>
    </row>
    <row r="1707" ht="15.75" customHeight="1">
      <c r="A1707" s="155">
        <v>43437.0</v>
      </c>
      <c r="B1707" s="151" t="s">
        <v>4837</v>
      </c>
      <c r="C1707" s="151" t="s">
        <v>4838</v>
      </c>
      <c r="D1707" s="151">
        <f>+2348022231436</f>
        <v>2348022231436</v>
      </c>
      <c r="F1707" s="6" t="s">
        <v>168</v>
      </c>
      <c r="G1707" s="6" t="s">
        <v>4724</v>
      </c>
    </row>
    <row r="1708" ht="15.75" customHeight="1">
      <c r="A1708" s="155">
        <v>43437.0</v>
      </c>
      <c r="B1708" s="151" t="s">
        <v>4839</v>
      </c>
      <c r="C1708" s="151" t="s">
        <v>4840</v>
      </c>
      <c r="D1708" s="151">
        <f>+2348158808672</f>
        <v>2348158808672</v>
      </c>
      <c r="F1708" s="6" t="s">
        <v>168</v>
      </c>
      <c r="G1708" s="6" t="s">
        <v>4724</v>
      </c>
    </row>
    <row r="1709" ht="15.75" customHeight="1">
      <c r="A1709" s="155">
        <v>43437.0</v>
      </c>
      <c r="B1709" s="151" t="s">
        <v>4841</v>
      </c>
      <c r="C1709" s="151" t="s">
        <v>4842</v>
      </c>
      <c r="D1709" s="151">
        <f>+2348030880235</f>
        <v>2348030880235</v>
      </c>
      <c r="F1709" s="6" t="s">
        <v>168</v>
      </c>
      <c r="G1709" s="6" t="s">
        <v>4724</v>
      </c>
    </row>
    <row r="1710" ht="15.75" customHeight="1">
      <c r="A1710" s="155">
        <v>43437.0</v>
      </c>
      <c r="B1710" s="151" t="s">
        <v>4843</v>
      </c>
      <c r="C1710" s="151" t="s">
        <v>4844</v>
      </c>
      <c r="D1710" s="151">
        <f>+23408146610677</f>
        <v>23408146610677</v>
      </c>
      <c r="F1710" s="6" t="s">
        <v>168</v>
      </c>
      <c r="G1710" s="6" t="s">
        <v>4724</v>
      </c>
    </row>
    <row r="1711" ht="15.75" customHeight="1">
      <c r="A1711" s="155">
        <v>43437.0</v>
      </c>
      <c r="B1711" s="151" t="s">
        <v>4845</v>
      </c>
      <c r="C1711" s="151" t="s">
        <v>4846</v>
      </c>
      <c r="D1711" s="151">
        <f>+2348111033006</f>
        <v>2348111033006</v>
      </c>
      <c r="F1711" s="6" t="s">
        <v>168</v>
      </c>
      <c r="G1711" s="6" t="s">
        <v>4724</v>
      </c>
    </row>
    <row r="1712" ht="15.75" customHeight="1">
      <c r="A1712" s="155">
        <v>43437.0</v>
      </c>
      <c r="B1712" s="151" t="s">
        <v>4847</v>
      </c>
      <c r="C1712" s="151" t="s">
        <v>4848</v>
      </c>
      <c r="D1712" s="151">
        <f>+2347030482399</f>
        <v>2347030482399</v>
      </c>
      <c r="F1712" s="6" t="s">
        <v>168</v>
      </c>
      <c r="G1712" s="6" t="s">
        <v>4724</v>
      </c>
    </row>
    <row r="1713" ht="15.75" customHeight="1">
      <c r="A1713" s="155">
        <v>43437.0</v>
      </c>
      <c r="B1713" s="151" t="s">
        <v>4849</v>
      </c>
      <c r="C1713" s="151" t="s">
        <v>4850</v>
      </c>
      <c r="D1713" s="151">
        <f>+2348136782768</f>
        <v>2348136782768</v>
      </c>
      <c r="F1713" s="6" t="s">
        <v>168</v>
      </c>
      <c r="G1713" s="6" t="s">
        <v>4724</v>
      </c>
    </row>
    <row r="1714" ht="15.75" customHeight="1">
      <c r="A1714" s="155">
        <v>43437.0</v>
      </c>
      <c r="B1714" s="151" t="s">
        <v>4851</v>
      </c>
      <c r="C1714" s="151" t="s">
        <v>4852</v>
      </c>
      <c r="D1714" s="151">
        <f>+23408035767772</f>
        <v>23408035767772</v>
      </c>
      <c r="F1714" s="6" t="s">
        <v>168</v>
      </c>
      <c r="G1714" s="6" t="s">
        <v>4724</v>
      </c>
    </row>
    <row r="1715" ht="15.75" customHeight="1">
      <c r="A1715" s="155">
        <v>43437.0</v>
      </c>
      <c r="B1715" s="151" t="s">
        <v>4853</v>
      </c>
      <c r="C1715" s="151" t="s">
        <v>4854</v>
      </c>
      <c r="D1715" s="151">
        <f>+2348130121182</f>
        <v>2348130121182</v>
      </c>
      <c r="F1715" s="6" t="s">
        <v>168</v>
      </c>
      <c r="G1715" s="6" t="s">
        <v>4724</v>
      </c>
    </row>
    <row r="1716" ht="15.75" customHeight="1">
      <c r="A1716" s="155">
        <v>43437.0</v>
      </c>
      <c r="B1716" s="151" t="s">
        <v>4855</v>
      </c>
      <c r="C1716" s="151" t="s">
        <v>4856</v>
      </c>
      <c r="D1716" s="151">
        <f>+2348033422729</f>
        <v>2348033422729</v>
      </c>
      <c r="F1716" s="6" t="s">
        <v>168</v>
      </c>
      <c r="G1716" s="6" t="s">
        <v>4724</v>
      </c>
    </row>
    <row r="1717" ht="15.75" customHeight="1">
      <c r="A1717" s="155">
        <v>43437.0</v>
      </c>
      <c r="B1717" s="151" t="s">
        <v>4857</v>
      </c>
      <c r="C1717" s="151" t="s">
        <v>4858</v>
      </c>
      <c r="D1717" s="151">
        <f>+2348098740901</f>
        <v>2348098740901</v>
      </c>
      <c r="F1717" s="6" t="s">
        <v>168</v>
      </c>
      <c r="G1717" s="6" t="s">
        <v>4724</v>
      </c>
    </row>
    <row r="1718" ht="15.75" customHeight="1">
      <c r="A1718" s="155">
        <v>43437.0</v>
      </c>
      <c r="B1718" s="151" t="s">
        <v>4859</v>
      </c>
      <c r="C1718" s="151" t="s">
        <v>4860</v>
      </c>
      <c r="D1718" s="151">
        <f>+2349030502523</f>
        <v>2349030502523</v>
      </c>
      <c r="F1718" s="6" t="s">
        <v>168</v>
      </c>
      <c r="G1718" s="6" t="s">
        <v>4724</v>
      </c>
    </row>
    <row r="1719" ht="15.75" customHeight="1">
      <c r="A1719" s="155">
        <v>43437.0</v>
      </c>
      <c r="B1719" s="151" t="s">
        <v>4861</v>
      </c>
      <c r="C1719" s="151" t="s">
        <v>4862</v>
      </c>
      <c r="D1719" s="151">
        <f>+2347055095822</f>
        <v>2347055095822</v>
      </c>
      <c r="F1719" s="6" t="s">
        <v>168</v>
      </c>
      <c r="G1719" s="6" t="s">
        <v>4724</v>
      </c>
    </row>
    <row r="1720" ht="15.75" customHeight="1">
      <c r="A1720" s="155">
        <v>43437.0</v>
      </c>
      <c r="B1720" s="151" t="s">
        <v>4863</v>
      </c>
      <c r="C1720" s="151" t="s">
        <v>4864</v>
      </c>
      <c r="D1720" s="151">
        <f>+2348091105784</f>
        <v>2348091105784</v>
      </c>
      <c r="F1720" s="6" t="s">
        <v>168</v>
      </c>
      <c r="G1720" s="6" t="s">
        <v>4724</v>
      </c>
    </row>
    <row r="1721" ht="15.75" customHeight="1">
      <c r="A1721" s="155">
        <v>43437.0</v>
      </c>
      <c r="B1721" s="151" t="s">
        <v>4865</v>
      </c>
      <c r="C1721" s="151" t="s">
        <v>4866</v>
      </c>
      <c r="D1721" s="151">
        <f>+2348035887607</f>
        <v>2348035887607</v>
      </c>
      <c r="F1721" s="6" t="s">
        <v>168</v>
      </c>
      <c r="G1721" s="6" t="s">
        <v>4724</v>
      </c>
    </row>
    <row r="1722" ht="15.75" customHeight="1">
      <c r="A1722" s="155">
        <v>43437.0</v>
      </c>
      <c r="B1722" s="151" t="s">
        <v>4867</v>
      </c>
      <c r="C1722" s="151" t="s">
        <v>4868</v>
      </c>
      <c r="D1722" s="151">
        <f>+23408152133896</f>
        <v>23408152133896</v>
      </c>
      <c r="F1722" s="6" t="s">
        <v>168</v>
      </c>
      <c r="G1722" s="6" t="s">
        <v>4724</v>
      </c>
    </row>
    <row r="1723" ht="15.75" customHeight="1">
      <c r="A1723" s="155">
        <v>43437.0</v>
      </c>
      <c r="B1723" s="151" t="s">
        <v>4869</v>
      </c>
      <c r="C1723" s="151" t="s">
        <v>4870</v>
      </c>
      <c r="D1723" s="151">
        <f>+2348065778092</f>
        <v>2348065778092</v>
      </c>
      <c r="F1723" s="6" t="s">
        <v>168</v>
      </c>
      <c r="G1723" s="6" t="s">
        <v>4724</v>
      </c>
    </row>
    <row r="1724" ht="15.75" customHeight="1">
      <c r="A1724" s="155">
        <v>43437.0</v>
      </c>
      <c r="B1724" s="151" t="s">
        <v>4871</v>
      </c>
      <c r="C1724" s="151" t="s">
        <v>4872</v>
      </c>
      <c r="D1724" s="151">
        <f>+2348056209276</f>
        <v>2348056209276</v>
      </c>
      <c r="F1724" s="6" t="s">
        <v>168</v>
      </c>
      <c r="G1724" s="6" t="s">
        <v>4724</v>
      </c>
    </row>
    <row r="1725" ht="15.75" customHeight="1">
      <c r="A1725" s="155">
        <v>43437.0</v>
      </c>
      <c r="B1725" s="151" t="s">
        <v>4873</v>
      </c>
      <c r="C1725" s="151" t="s">
        <v>4874</v>
      </c>
      <c r="D1725" s="151">
        <f>+2348142125142</f>
        <v>2348142125142</v>
      </c>
      <c r="F1725" s="6" t="s">
        <v>168</v>
      </c>
      <c r="G1725" s="6" t="s">
        <v>4724</v>
      </c>
    </row>
    <row r="1726" ht="15.75" customHeight="1">
      <c r="A1726" s="155">
        <v>43437.0</v>
      </c>
      <c r="B1726" s="151" t="s">
        <v>4875</v>
      </c>
      <c r="C1726" s="151" t="s">
        <v>4876</v>
      </c>
      <c r="D1726" s="151">
        <f>+2349020790730</f>
        <v>2349020790730</v>
      </c>
      <c r="F1726" s="6" t="s">
        <v>168</v>
      </c>
      <c r="G1726" s="6" t="s">
        <v>4724</v>
      </c>
    </row>
    <row r="1727" ht="15.75" customHeight="1">
      <c r="A1727" s="155">
        <v>43437.0</v>
      </c>
      <c r="B1727" s="151" t="s">
        <v>4877</v>
      </c>
      <c r="C1727" s="151" t="s">
        <v>4878</v>
      </c>
      <c r="D1727" s="151">
        <f>+2348096323875</f>
        <v>2348096323875</v>
      </c>
      <c r="F1727" s="6" t="s">
        <v>168</v>
      </c>
      <c r="G1727" s="6" t="s">
        <v>4724</v>
      </c>
    </row>
    <row r="1728" ht="15.75" customHeight="1">
      <c r="A1728" s="155">
        <v>43437.0</v>
      </c>
      <c r="B1728" s="151" t="s">
        <v>4879</v>
      </c>
      <c r="C1728" s="151" t="s">
        <v>4880</v>
      </c>
      <c r="D1728" s="151">
        <f>+2348058118686</f>
        <v>2348058118686</v>
      </c>
      <c r="F1728" s="6" t="s">
        <v>168</v>
      </c>
      <c r="G1728" s="6" t="s">
        <v>4724</v>
      </c>
    </row>
    <row r="1729" ht="15.75" customHeight="1">
      <c r="A1729" s="155">
        <v>43437.0</v>
      </c>
      <c r="B1729" s="151" t="s">
        <v>4881</v>
      </c>
      <c r="C1729" s="151" t="s">
        <v>4882</v>
      </c>
      <c r="D1729" s="151">
        <f>+2348124342178</f>
        <v>2348124342178</v>
      </c>
      <c r="F1729" s="6" t="s">
        <v>168</v>
      </c>
      <c r="G1729" s="6" t="s">
        <v>4724</v>
      </c>
    </row>
    <row r="1730" ht="15.75" customHeight="1">
      <c r="A1730" s="155">
        <v>43437.0</v>
      </c>
      <c r="B1730" s="151" t="s">
        <v>4883</v>
      </c>
      <c r="C1730" s="151" t="s">
        <v>4884</v>
      </c>
      <c r="D1730" s="151">
        <f>+2348062360894</f>
        <v>2348062360894</v>
      </c>
      <c r="F1730" s="6" t="s">
        <v>168</v>
      </c>
      <c r="G1730" s="6" t="s">
        <v>4724</v>
      </c>
    </row>
    <row r="1731" ht="15.75" customHeight="1">
      <c r="A1731" s="155">
        <v>43437.0</v>
      </c>
      <c r="B1731" s="151" t="s">
        <v>4885</v>
      </c>
      <c r="C1731" s="151" t="s">
        <v>4886</v>
      </c>
      <c r="D1731" s="151">
        <f>+2348034369707</f>
        <v>2348034369707</v>
      </c>
      <c r="F1731" s="6" t="s">
        <v>168</v>
      </c>
      <c r="G1731" s="6" t="s">
        <v>4724</v>
      </c>
    </row>
    <row r="1732" ht="15.75" customHeight="1">
      <c r="A1732" s="155">
        <v>43437.0</v>
      </c>
      <c r="B1732" s="151" t="s">
        <v>4887</v>
      </c>
      <c r="C1732" s="151" t="s">
        <v>4888</v>
      </c>
      <c r="D1732" s="151">
        <f>+2348066609518</f>
        <v>2348066609518</v>
      </c>
      <c r="F1732" s="6" t="s">
        <v>168</v>
      </c>
      <c r="G1732" s="6" t="s">
        <v>4724</v>
      </c>
    </row>
    <row r="1733" ht="15.75" customHeight="1">
      <c r="A1733" s="155">
        <v>43437.0</v>
      </c>
      <c r="B1733" s="151" t="s">
        <v>4889</v>
      </c>
      <c r="C1733" s="151" t="s">
        <v>4890</v>
      </c>
      <c r="D1733" s="151">
        <f>+2348068867181</f>
        <v>2348068867181</v>
      </c>
      <c r="F1733" s="6" t="s">
        <v>168</v>
      </c>
      <c r="G1733" s="6" t="s">
        <v>4724</v>
      </c>
    </row>
    <row r="1734" ht="15.75" customHeight="1">
      <c r="A1734" s="155">
        <v>43437.0</v>
      </c>
      <c r="B1734" s="151" t="s">
        <v>4891</v>
      </c>
      <c r="C1734" s="151" t="s">
        <v>4892</v>
      </c>
      <c r="D1734" s="151">
        <f>+2348084792652</f>
        <v>2348084792652</v>
      </c>
      <c r="F1734" s="6" t="s">
        <v>168</v>
      </c>
      <c r="G1734" s="6" t="s">
        <v>4724</v>
      </c>
    </row>
    <row r="1735" ht="15.75" customHeight="1">
      <c r="A1735" s="155">
        <v>43437.0</v>
      </c>
      <c r="B1735" s="151" t="s">
        <v>4893</v>
      </c>
      <c r="C1735" s="151" t="s">
        <v>4894</v>
      </c>
      <c r="D1735" s="151">
        <f>+23407064604542</f>
        <v>23407064604542</v>
      </c>
      <c r="F1735" s="6" t="s">
        <v>168</v>
      </c>
      <c r="G1735" s="6" t="s">
        <v>4724</v>
      </c>
    </row>
    <row r="1736" ht="15.75" customHeight="1">
      <c r="A1736" s="155">
        <v>43437.0</v>
      </c>
      <c r="B1736" s="151" t="s">
        <v>4895</v>
      </c>
      <c r="C1736" s="151" t="s">
        <v>4896</v>
      </c>
      <c r="D1736" s="151">
        <f>+2348061195881</f>
        <v>2348061195881</v>
      </c>
      <c r="F1736" s="6" t="s">
        <v>168</v>
      </c>
      <c r="G1736" s="6" t="s">
        <v>4724</v>
      </c>
    </row>
    <row r="1737" ht="15.75" customHeight="1">
      <c r="A1737" s="155">
        <v>43437.0</v>
      </c>
      <c r="B1737" s="151" t="s">
        <v>4897</v>
      </c>
      <c r="C1737" s="151" t="s">
        <v>4898</v>
      </c>
      <c r="D1737" s="151">
        <f>+2348054281733</f>
        <v>2348054281733</v>
      </c>
      <c r="F1737" s="6" t="s">
        <v>168</v>
      </c>
      <c r="G1737" s="6" t="s">
        <v>4724</v>
      </c>
    </row>
    <row r="1738" ht="15.75" customHeight="1">
      <c r="A1738" s="155">
        <v>43437.0</v>
      </c>
      <c r="B1738" s="151" t="s">
        <v>4899</v>
      </c>
      <c r="C1738" s="151" t="s">
        <v>4900</v>
      </c>
      <c r="D1738" s="151">
        <f>+2348164082333</f>
        <v>2348164082333</v>
      </c>
      <c r="F1738" s="6" t="s">
        <v>168</v>
      </c>
      <c r="G1738" s="6" t="s">
        <v>4724</v>
      </c>
    </row>
    <row r="1739" ht="15.75" customHeight="1">
      <c r="A1739" s="155">
        <v>43437.0</v>
      </c>
      <c r="B1739" s="151" t="s">
        <v>4901</v>
      </c>
      <c r="C1739" s="151" t="s">
        <v>4902</v>
      </c>
      <c r="D1739" s="151">
        <f>+2348039294071</f>
        <v>2348039294071</v>
      </c>
      <c r="F1739" s="6" t="s">
        <v>168</v>
      </c>
      <c r="G1739" s="6" t="s">
        <v>4724</v>
      </c>
    </row>
    <row r="1740" ht="15.75" customHeight="1">
      <c r="A1740" s="155">
        <v>43437.0</v>
      </c>
      <c r="B1740" s="151" t="s">
        <v>4903</v>
      </c>
      <c r="C1740" s="151" t="s">
        <v>4904</v>
      </c>
      <c r="D1740" s="151">
        <f>+2348065944272</f>
        <v>2348065944272</v>
      </c>
      <c r="F1740" s="6" t="s">
        <v>168</v>
      </c>
      <c r="G1740" s="6" t="s">
        <v>4724</v>
      </c>
    </row>
    <row r="1741" ht="15.75" customHeight="1">
      <c r="A1741" s="155">
        <v>43437.0</v>
      </c>
      <c r="B1741" s="151" t="s">
        <v>4905</v>
      </c>
      <c r="C1741" s="151" t="s">
        <v>4906</v>
      </c>
      <c r="D1741" s="151">
        <f>+23408097445682</f>
        <v>23408097445682</v>
      </c>
      <c r="F1741" s="6" t="s">
        <v>168</v>
      </c>
      <c r="G1741" s="6" t="s">
        <v>4724</v>
      </c>
    </row>
    <row r="1742" ht="15.75" customHeight="1">
      <c r="A1742" s="155">
        <v>43437.0</v>
      </c>
      <c r="B1742" s="151" t="s">
        <v>4907</v>
      </c>
      <c r="C1742" s="151" t="s">
        <v>4908</v>
      </c>
      <c r="D1742" s="151">
        <f>+2347031273267</f>
        <v>2347031273267</v>
      </c>
      <c r="F1742" s="6" t="s">
        <v>168</v>
      </c>
      <c r="G1742" s="6" t="s">
        <v>4724</v>
      </c>
    </row>
    <row r="1743" ht="15.75" customHeight="1">
      <c r="A1743" s="155">
        <v>43437.0</v>
      </c>
      <c r="B1743" s="151" t="s">
        <v>4909</v>
      </c>
      <c r="C1743" s="151" t="s">
        <v>4910</v>
      </c>
      <c r="D1743" s="151">
        <f>+2348034080312</f>
        <v>2348034080312</v>
      </c>
      <c r="F1743" s="6" t="s">
        <v>168</v>
      </c>
      <c r="G1743" s="6" t="s">
        <v>4724</v>
      </c>
    </row>
    <row r="1744" ht="15.75" customHeight="1">
      <c r="A1744" s="155">
        <v>43437.0</v>
      </c>
      <c r="B1744" s="151" t="s">
        <v>4911</v>
      </c>
      <c r="C1744" s="151" t="s">
        <v>4912</v>
      </c>
      <c r="D1744" s="151">
        <f>+2348086675653</f>
        <v>2348086675653</v>
      </c>
      <c r="F1744" s="6" t="s">
        <v>168</v>
      </c>
      <c r="G1744" s="6" t="s">
        <v>4724</v>
      </c>
    </row>
    <row r="1745" ht="15.75" customHeight="1">
      <c r="A1745" s="155">
        <v>43437.0</v>
      </c>
      <c r="B1745" s="151" t="s">
        <v>4913</v>
      </c>
      <c r="C1745" s="151" t="s">
        <v>4914</v>
      </c>
      <c r="D1745" s="151">
        <f>+2348069563094</f>
        <v>2348069563094</v>
      </c>
      <c r="F1745" s="6" t="s">
        <v>168</v>
      </c>
      <c r="G1745" s="6" t="s">
        <v>4724</v>
      </c>
    </row>
    <row r="1746" ht="15.75" customHeight="1">
      <c r="A1746" s="155">
        <v>43437.0</v>
      </c>
      <c r="B1746" s="151" t="s">
        <v>4915</v>
      </c>
      <c r="C1746" s="151" t="s">
        <v>4916</v>
      </c>
      <c r="D1746" s="151">
        <f>+2348028761529</f>
        <v>2348028761529</v>
      </c>
      <c r="F1746" s="6" t="s">
        <v>168</v>
      </c>
      <c r="G1746" s="6" t="s">
        <v>4724</v>
      </c>
    </row>
    <row r="1747" ht="15.75" customHeight="1">
      <c r="A1747" s="155">
        <v>43437.0</v>
      </c>
      <c r="B1747" s="151" t="s">
        <v>4917</v>
      </c>
      <c r="C1747" s="151" t="s">
        <v>4918</v>
      </c>
      <c r="D1747" s="151">
        <f>+2348055241115</f>
        <v>2348055241115</v>
      </c>
      <c r="F1747" s="6" t="s">
        <v>168</v>
      </c>
      <c r="G1747" s="6" t="s">
        <v>4724</v>
      </c>
    </row>
    <row r="1748" ht="15.75" customHeight="1">
      <c r="A1748" s="155">
        <v>43437.0</v>
      </c>
      <c r="B1748" s="151" t="s">
        <v>4919</v>
      </c>
      <c r="C1748" s="151" t="s">
        <v>4920</v>
      </c>
      <c r="D1748" s="151">
        <f>+2348038002713</f>
        <v>2348038002713</v>
      </c>
      <c r="F1748" s="6" t="s">
        <v>168</v>
      </c>
      <c r="G1748" s="6" t="s">
        <v>4724</v>
      </c>
    </row>
    <row r="1749" ht="15.75" customHeight="1">
      <c r="A1749" s="155">
        <v>43437.0</v>
      </c>
      <c r="B1749" s="151" t="s">
        <v>4921</v>
      </c>
      <c r="C1749" s="151" t="s">
        <v>4922</v>
      </c>
      <c r="D1749" s="151">
        <f>+2348099736601</f>
        <v>2348099736601</v>
      </c>
      <c r="F1749" s="6" t="s">
        <v>168</v>
      </c>
      <c r="G1749" s="6" t="s">
        <v>4724</v>
      </c>
    </row>
    <row r="1750" ht="15.75" customHeight="1">
      <c r="A1750" s="155">
        <v>43437.0</v>
      </c>
      <c r="B1750" s="151" t="s">
        <v>4923</v>
      </c>
      <c r="C1750" s="151" t="s">
        <v>4924</v>
      </c>
      <c r="D1750" s="151">
        <f>+2348034461001</f>
        <v>2348034461001</v>
      </c>
      <c r="F1750" s="6" t="s">
        <v>168</v>
      </c>
      <c r="G1750" s="6" t="s">
        <v>4724</v>
      </c>
    </row>
    <row r="1751" ht="15.75" customHeight="1">
      <c r="A1751" s="155">
        <v>43437.0</v>
      </c>
      <c r="B1751" s="151" t="s">
        <v>4925</v>
      </c>
      <c r="C1751" s="151" t="s">
        <v>4926</v>
      </c>
      <c r="D1751" s="151">
        <f>+2347032314943</f>
        <v>2347032314943</v>
      </c>
      <c r="F1751" s="6" t="s">
        <v>168</v>
      </c>
      <c r="G1751" s="6" t="s">
        <v>4724</v>
      </c>
    </row>
    <row r="1752" ht="15.75" customHeight="1">
      <c r="A1752" s="155">
        <v>43437.0</v>
      </c>
      <c r="B1752" s="151" t="s">
        <v>4668</v>
      </c>
      <c r="C1752" s="151" t="s">
        <v>4669</v>
      </c>
      <c r="D1752" s="151">
        <f>+2348035775930</f>
        <v>2348035775930</v>
      </c>
      <c r="F1752" s="6" t="s">
        <v>168</v>
      </c>
      <c r="G1752" s="6" t="s">
        <v>4724</v>
      </c>
    </row>
    <row r="1753" ht="15.75" customHeight="1">
      <c r="A1753" s="155">
        <v>43437.0</v>
      </c>
      <c r="B1753" s="151" t="s">
        <v>4927</v>
      </c>
      <c r="C1753" s="151" t="s">
        <v>4928</v>
      </c>
      <c r="D1753" s="151">
        <f>+2348032106131</f>
        <v>2348032106131</v>
      </c>
      <c r="F1753" s="6" t="s">
        <v>168</v>
      </c>
      <c r="G1753" s="6" t="s">
        <v>4724</v>
      </c>
    </row>
    <row r="1754" ht="15.75" customHeight="1">
      <c r="A1754" s="155">
        <v>43437.0</v>
      </c>
      <c r="B1754" s="151" t="s">
        <v>4658</v>
      </c>
      <c r="C1754" s="151" t="s">
        <v>4929</v>
      </c>
      <c r="D1754" s="151">
        <f>+2348161528260</f>
        <v>2348161528260</v>
      </c>
      <c r="F1754" s="6" t="s">
        <v>168</v>
      </c>
      <c r="G1754" s="6" t="s">
        <v>4724</v>
      </c>
    </row>
    <row r="1755" ht="15.75" customHeight="1">
      <c r="A1755" s="155">
        <v>43437.0</v>
      </c>
      <c r="B1755" s="151" t="s">
        <v>4930</v>
      </c>
      <c r="C1755" s="151" t="s">
        <v>4931</v>
      </c>
      <c r="D1755" s="151">
        <f>+2348038066049</f>
        <v>2348038066049</v>
      </c>
      <c r="F1755" s="6" t="s">
        <v>168</v>
      </c>
      <c r="G1755" s="6" t="s">
        <v>4724</v>
      </c>
    </row>
    <row r="1756" ht="15.75" customHeight="1">
      <c r="A1756" s="155">
        <v>43437.0</v>
      </c>
      <c r="B1756" s="151" t="s">
        <v>4932</v>
      </c>
      <c r="C1756" s="151" t="s">
        <v>4933</v>
      </c>
      <c r="D1756" s="151">
        <f>+2348033344881</f>
        <v>2348033344881</v>
      </c>
      <c r="F1756" s="6" t="s">
        <v>168</v>
      </c>
      <c r="G1756" s="6" t="s">
        <v>4724</v>
      </c>
    </row>
    <row r="1757" ht="15.75" customHeight="1">
      <c r="A1757" s="155">
        <v>43437.0</v>
      </c>
      <c r="B1757" s="151" t="s">
        <v>4934</v>
      </c>
      <c r="C1757" s="151" t="s">
        <v>4935</v>
      </c>
      <c r="D1757" s="151">
        <f>+2347066553838</f>
        <v>2347066553838</v>
      </c>
      <c r="F1757" s="6" t="s">
        <v>168</v>
      </c>
      <c r="G1757" s="6" t="s">
        <v>4724</v>
      </c>
    </row>
    <row r="1758" ht="15.75" customHeight="1">
      <c r="A1758" s="155">
        <v>43437.0</v>
      </c>
      <c r="B1758" s="151" t="s">
        <v>4936</v>
      </c>
      <c r="C1758" s="151" t="s">
        <v>4937</v>
      </c>
      <c r="D1758" s="151">
        <f>+2348083415263</f>
        <v>2348083415263</v>
      </c>
      <c r="F1758" s="6" t="s">
        <v>168</v>
      </c>
      <c r="G1758" s="6" t="s">
        <v>4724</v>
      </c>
    </row>
    <row r="1759" ht="15.75" customHeight="1">
      <c r="A1759" s="155">
        <v>43437.0</v>
      </c>
      <c r="B1759" s="151" t="s">
        <v>4938</v>
      </c>
      <c r="C1759" s="151" t="s">
        <v>4939</v>
      </c>
      <c r="D1759" s="151">
        <f>+2348030737340</f>
        <v>2348030737340</v>
      </c>
      <c r="F1759" s="6" t="s">
        <v>168</v>
      </c>
      <c r="G1759" s="6" t="s">
        <v>4724</v>
      </c>
    </row>
    <row r="1760" ht="15.75" customHeight="1">
      <c r="A1760" s="155">
        <v>43437.0</v>
      </c>
      <c r="B1760" s="151" t="s">
        <v>4940</v>
      </c>
      <c r="C1760" s="151" t="s">
        <v>4941</v>
      </c>
      <c r="D1760" s="151">
        <f>+2348035675084</f>
        <v>2348035675084</v>
      </c>
      <c r="F1760" s="6" t="s">
        <v>168</v>
      </c>
      <c r="G1760" s="6" t="s">
        <v>4724</v>
      </c>
    </row>
    <row r="1761" ht="15.75" customHeight="1">
      <c r="A1761" s="155">
        <v>43437.0</v>
      </c>
      <c r="B1761" s="151" t="s">
        <v>4942</v>
      </c>
      <c r="C1761" s="151" t="s">
        <v>4943</v>
      </c>
      <c r="D1761" s="151">
        <f>+2348171857267</f>
        <v>2348171857267</v>
      </c>
      <c r="F1761" s="6" t="s">
        <v>168</v>
      </c>
      <c r="G1761" s="6" t="s">
        <v>4724</v>
      </c>
    </row>
    <row r="1762" ht="15.75" customHeight="1">
      <c r="A1762" s="155">
        <v>43437.0</v>
      </c>
      <c r="B1762" s="151" t="s">
        <v>4944</v>
      </c>
      <c r="C1762" s="151" t="s">
        <v>4945</v>
      </c>
      <c r="D1762" s="151">
        <f>+2348032385620</f>
        <v>2348032385620</v>
      </c>
      <c r="F1762" s="6" t="s">
        <v>168</v>
      </c>
      <c r="G1762" s="6" t="s">
        <v>4724</v>
      </c>
    </row>
    <row r="1763" ht="15.75" customHeight="1">
      <c r="A1763" s="155">
        <v>43437.0</v>
      </c>
      <c r="B1763" s="151" t="s">
        <v>4946</v>
      </c>
      <c r="C1763" s="151" t="s">
        <v>4947</v>
      </c>
      <c r="D1763" s="151">
        <f>+2348053992637</f>
        <v>2348053992637</v>
      </c>
      <c r="F1763" s="6" t="s">
        <v>168</v>
      </c>
      <c r="G1763" s="6" t="s">
        <v>4724</v>
      </c>
    </row>
    <row r="1764" ht="15.75" customHeight="1">
      <c r="A1764" s="155">
        <v>43437.0</v>
      </c>
      <c r="B1764" s="151" t="s">
        <v>4948</v>
      </c>
      <c r="C1764" s="151" t="s">
        <v>4949</v>
      </c>
      <c r="D1764" s="151">
        <f>+2348037505654</f>
        <v>2348037505654</v>
      </c>
      <c r="F1764" s="6" t="s">
        <v>168</v>
      </c>
      <c r="G1764" s="6" t="s">
        <v>4724</v>
      </c>
    </row>
    <row r="1765" ht="15.75" customHeight="1">
      <c r="A1765" s="155">
        <v>43437.0</v>
      </c>
      <c r="B1765" s="151" t="s">
        <v>4950</v>
      </c>
      <c r="C1765" s="151" t="s">
        <v>4951</v>
      </c>
      <c r="D1765" s="151">
        <f>+2348028515533</f>
        <v>2348028515533</v>
      </c>
      <c r="F1765" s="6" t="s">
        <v>168</v>
      </c>
      <c r="G1765" s="6" t="s">
        <v>4724</v>
      </c>
    </row>
    <row r="1766" ht="15.75" customHeight="1">
      <c r="A1766" s="155">
        <v>43437.0</v>
      </c>
      <c r="B1766" s="151" t="s">
        <v>4952</v>
      </c>
      <c r="C1766" s="151" t="s">
        <v>4953</v>
      </c>
      <c r="D1766" s="151">
        <f>+2347034721984</f>
        <v>2347034721984</v>
      </c>
      <c r="F1766" s="6" t="s">
        <v>168</v>
      </c>
      <c r="G1766" s="6" t="s">
        <v>4724</v>
      </c>
    </row>
    <row r="1767" ht="15.75" customHeight="1">
      <c r="A1767" s="155">
        <v>43437.0</v>
      </c>
      <c r="B1767" s="151" t="s">
        <v>4954</v>
      </c>
      <c r="C1767" s="151" t="s">
        <v>4955</v>
      </c>
      <c r="D1767" s="151">
        <f>+2348030734379</f>
        <v>2348030734379</v>
      </c>
      <c r="F1767" s="6" t="s">
        <v>168</v>
      </c>
      <c r="G1767" s="6" t="s">
        <v>4724</v>
      </c>
    </row>
    <row r="1768" ht="15.75" customHeight="1">
      <c r="A1768" s="155">
        <v>43437.0</v>
      </c>
      <c r="B1768" s="151" t="s">
        <v>4956</v>
      </c>
      <c r="C1768" s="151" t="s">
        <v>4957</v>
      </c>
      <c r="D1768" s="151">
        <f>+2349099352294</f>
        <v>2349099352294</v>
      </c>
      <c r="F1768" s="6" t="s">
        <v>168</v>
      </c>
      <c r="G1768" s="6" t="s">
        <v>4724</v>
      </c>
    </row>
    <row r="1769" ht="15.75" customHeight="1">
      <c r="A1769" s="155">
        <v>43437.0</v>
      </c>
      <c r="B1769" s="151" t="s">
        <v>4958</v>
      </c>
      <c r="C1769" s="151" t="s">
        <v>4959</v>
      </c>
      <c r="D1769" s="151">
        <f>+2348096614800</f>
        <v>2348096614800</v>
      </c>
      <c r="F1769" s="6" t="s">
        <v>168</v>
      </c>
      <c r="G1769" s="6" t="s">
        <v>4724</v>
      </c>
    </row>
    <row r="1770" ht="15.75" customHeight="1">
      <c r="A1770" s="155">
        <v>43437.0</v>
      </c>
      <c r="B1770" s="151" t="s">
        <v>4960</v>
      </c>
      <c r="C1770" s="151" t="s">
        <v>4961</v>
      </c>
      <c r="D1770" s="151">
        <f>+2348148460046</f>
        <v>2348148460046</v>
      </c>
      <c r="F1770" s="6" t="s">
        <v>168</v>
      </c>
      <c r="G1770" s="6" t="s">
        <v>4724</v>
      </c>
    </row>
    <row r="1771" ht="15.75" customHeight="1">
      <c r="A1771" s="155">
        <v>43437.0</v>
      </c>
      <c r="B1771" s="151" t="s">
        <v>4962</v>
      </c>
      <c r="C1771" s="151" t="s">
        <v>4963</v>
      </c>
      <c r="D1771" s="151">
        <f>+2348132610268</f>
        <v>2348132610268</v>
      </c>
      <c r="F1771" s="6" t="s">
        <v>168</v>
      </c>
      <c r="G1771" s="6" t="s">
        <v>4724</v>
      </c>
    </row>
    <row r="1772" ht="15.75" customHeight="1">
      <c r="A1772" s="155">
        <v>43437.0</v>
      </c>
      <c r="B1772" s="151" t="s">
        <v>4964</v>
      </c>
      <c r="C1772" s="151" t="s">
        <v>4965</v>
      </c>
      <c r="D1772" s="151">
        <f>+2348069546537</f>
        <v>2348069546537</v>
      </c>
      <c r="F1772" s="6" t="s">
        <v>168</v>
      </c>
      <c r="G1772" s="6" t="s">
        <v>4724</v>
      </c>
    </row>
    <row r="1773" ht="15.75" customHeight="1">
      <c r="A1773" s="155">
        <v>43437.0</v>
      </c>
      <c r="B1773" s="151" t="s">
        <v>4966</v>
      </c>
      <c r="C1773" s="151" t="s">
        <v>4967</v>
      </c>
      <c r="D1773" s="151">
        <f>+2348067286057</f>
        <v>2348067286057</v>
      </c>
      <c r="F1773" s="6" t="s">
        <v>168</v>
      </c>
      <c r="G1773" s="6" t="s">
        <v>4724</v>
      </c>
    </row>
    <row r="1774" ht="15.75" customHeight="1">
      <c r="A1774" s="155">
        <v>43437.0</v>
      </c>
      <c r="B1774" s="151" t="s">
        <v>4968</v>
      </c>
      <c r="C1774" s="151" t="s">
        <v>4969</v>
      </c>
      <c r="D1774" s="151">
        <f>+2348109286655</f>
        <v>2348109286655</v>
      </c>
      <c r="F1774" s="6" t="s">
        <v>168</v>
      </c>
      <c r="G1774" s="6" t="s">
        <v>4724</v>
      </c>
    </row>
    <row r="1775" ht="15.75" customHeight="1">
      <c r="A1775" s="155">
        <v>43437.0</v>
      </c>
      <c r="B1775" s="151" t="s">
        <v>4970</v>
      </c>
      <c r="C1775" s="151" t="s">
        <v>4971</v>
      </c>
      <c r="D1775" s="151">
        <f>+2348108583028</f>
        <v>2348108583028</v>
      </c>
      <c r="F1775" s="6" t="s">
        <v>168</v>
      </c>
      <c r="G1775" s="6" t="s">
        <v>4724</v>
      </c>
    </row>
    <row r="1776" ht="15.75" customHeight="1">
      <c r="A1776" s="155">
        <v>43437.0</v>
      </c>
      <c r="B1776" s="151" t="s">
        <v>4972</v>
      </c>
      <c r="C1776" s="151" t="s">
        <v>4973</v>
      </c>
      <c r="D1776" s="151">
        <f>+2348062747811</f>
        <v>2348062747811</v>
      </c>
      <c r="F1776" s="6" t="s">
        <v>168</v>
      </c>
      <c r="G1776" s="6" t="s">
        <v>4724</v>
      </c>
    </row>
    <row r="1777" ht="15.75" customHeight="1">
      <c r="A1777" s="155">
        <v>43437.0</v>
      </c>
      <c r="B1777" s="151" t="s">
        <v>4974</v>
      </c>
      <c r="C1777" s="151" t="s">
        <v>4975</v>
      </c>
      <c r="D1777" s="151">
        <f>+2348106663120</f>
        <v>2348106663120</v>
      </c>
      <c r="F1777" s="6" t="s">
        <v>168</v>
      </c>
      <c r="G1777" s="6" t="s">
        <v>4724</v>
      </c>
    </row>
    <row r="1778" ht="15.75" customHeight="1">
      <c r="A1778" s="155">
        <v>43437.0</v>
      </c>
      <c r="B1778" s="151" t="s">
        <v>4976</v>
      </c>
      <c r="C1778" s="151" t="s">
        <v>4977</v>
      </c>
      <c r="D1778" s="151">
        <f>+2348155200778</f>
        <v>2348155200778</v>
      </c>
      <c r="F1778" s="6" t="s">
        <v>168</v>
      </c>
      <c r="G1778" s="6" t="s">
        <v>4724</v>
      </c>
    </row>
    <row r="1779" ht="15.75" customHeight="1">
      <c r="A1779" s="155">
        <v>43437.0</v>
      </c>
      <c r="B1779" s="151" t="s">
        <v>4978</v>
      </c>
      <c r="C1779" s="151" t="s">
        <v>4979</v>
      </c>
      <c r="D1779" s="151">
        <f>+2347060932443</f>
        <v>2347060932443</v>
      </c>
      <c r="F1779" s="6" t="s">
        <v>168</v>
      </c>
      <c r="G1779" s="6" t="s">
        <v>4724</v>
      </c>
    </row>
    <row r="1780" ht="15.75" customHeight="1">
      <c r="A1780" s="155">
        <v>43437.0</v>
      </c>
      <c r="B1780" s="151" t="s">
        <v>4980</v>
      </c>
      <c r="C1780" s="151" t="s">
        <v>4981</v>
      </c>
      <c r="D1780" s="151">
        <f>+2348184964460</f>
        <v>2348184964460</v>
      </c>
      <c r="F1780" s="6" t="s">
        <v>168</v>
      </c>
      <c r="G1780" s="6" t="s">
        <v>4724</v>
      </c>
    </row>
    <row r="1781" ht="15.75" customHeight="1">
      <c r="A1781" s="155">
        <v>43438.0</v>
      </c>
      <c r="B1781" s="151" t="s">
        <v>4982</v>
      </c>
      <c r="C1781" s="151" t="s">
        <v>4983</v>
      </c>
      <c r="D1781" s="151">
        <f>+2348065573569</f>
        <v>2348065573569</v>
      </c>
      <c r="F1781" s="6" t="s">
        <v>97</v>
      </c>
      <c r="G1781" s="6" t="s">
        <v>4609</v>
      </c>
    </row>
    <row r="1782" ht="15.75" customHeight="1">
      <c r="A1782" s="155">
        <v>43438.0</v>
      </c>
      <c r="B1782" s="151" t="s">
        <v>4984</v>
      </c>
      <c r="C1782" s="151" t="s">
        <v>4985</v>
      </c>
      <c r="D1782" s="151">
        <f>+2348062364262</f>
        <v>2348062364262</v>
      </c>
      <c r="F1782" s="6" t="s">
        <v>97</v>
      </c>
      <c r="G1782" s="6" t="s">
        <v>4609</v>
      </c>
    </row>
    <row r="1783" ht="15.75" customHeight="1">
      <c r="A1783" s="155">
        <v>43438.0</v>
      </c>
      <c r="B1783" s="151" t="s">
        <v>4986</v>
      </c>
      <c r="C1783" s="151" t="s">
        <v>4987</v>
      </c>
      <c r="D1783" s="151">
        <f>+2348035177000</f>
        <v>2348035177000</v>
      </c>
      <c r="F1783" s="6" t="s">
        <v>97</v>
      </c>
      <c r="G1783" s="6" t="s">
        <v>4609</v>
      </c>
    </row>
    <row r="1784" ht="15.75" customHeight="1">
      <c r="A1784" s="155">
        <v>43438.0</v>
      </c>
      <c r="B1784" s="151" t="s">
        <v>4988</v>
      </c>
      <c r="C1784" s="151" t="s">
        <v>4989</v>
      </c>
      <c r="D1784" s="151">
        <f>+2348068687102</f>
        <v>2348068687102</v>
      </c>
      <c r="F1784" s="6" t="s">
        <v>97</v>
      </c>
      <c r="G1784" s="6" t="s">
        <v>4609</v>
      </c>
    </row>
    <row r="1785" ht="15.75" customHeight="1">
      <c r="A1785" s="155">
        <v>43438.0</v>
      </c>
      <c r="B1785" s="151" t="s">
        <v>4990</v>
      </c>
      <c r="C1785" s="151" t="s">
        <v>4991</v>
      </c>
      <c r="D1785" s="151">
        <f>+2348036900043</f>
        <v>2348036900043</v>
      </c>
      <c r="F1785" s="6" t="s">
        <v>97</v>
      </c>
      <c r="G1785" s="6" t="s">
        <v>4609</v>
      </c>
    </row>
    <row r="1786" ht="15.75" customHeight="1">
      <c r="A1786" s="155">
        <v>43438.0</v>
      </c>
      <c r="B1786" s="151" t="s">
        <v>4992</v>
      </c>
      <c r="C1786" s="151" t="s">
        <v>4993</v>
      </c>
      <c r="D1786" s="151">
        <f>+2348153994915</f>
        <v>2348153994915</v>
      </c>
      <c r="F1786" s="6" t="s">
        <v>97</v>
      </c>
      <c r="G1786" s="6" t="s">
        <v>4609</v>
      </c>
    </row>
    <row r="1787" ht="15.75" customHeight="1">
      <c r="A1787" s="155">
        <v>43438.0</v>
      </c>
      <c r="B1787" s="151" t="s">
        <v>4994</v>
      </c>
      <c r="C1787" s="151" t="s">
        <v>4995</v>
      </c>
      <c r="D1787" s="151">
        <f>+2349035916224</f>
        <v>2349035916224</v>
      </c>
      <c r="F1787" s="6" t="s">
        <v>97</v>
      </c>
      <c r="G1787" s="6" t="s">
        <v>4609</v>
      </c>
    </row>
    <row r="1788" ht="15.75" customHeight="1">
      <c r="A1788" s="155">
        <v>43438.0</v>
      </c>
      <c r="B1788" s="151" t="s">
        <v>4996</v>
      </c>
      <c r="C1788" s="151" t="s">
        <v>4997</v>
      </c>
      <c r="D1788" s="151">
        <f>+2347065091451</f>
        <v>2347065091451</v>
      </c>
      <c r="F1788" s="6" t="s">
        <v>97</v>
      </c>
      <c r="G1788" s="6" t="s">
        <v>4609</v>
      </c>
    </row>
    <row r="1789" ht="15.75" customHeight="1">
      <c r="A1789" s="155">
        <v>43438.0</v>
      </c>
      <c r="B1789" s="151" t="s">
        <v>4998</v>
      </c>
      <c r="C1789" s="151" t="s">
        <v>4999</v>
      </c>
      <c r="D1789" s="151">
        <f>+2348130863531</f>
        <v>2348130863531</v>
      </c>
      <c r="F1789" s="6" t="s">
        <v>97</v>
      </c>
      <c r="G1789" s="6" t="s">
        <v>4609</v>
      </c>
    </row>
    <row r="1790" ht="15.75" customHeight="1">
      <c r="A1790" s="155">
        <v>43438.0</v>
      </c>
      <c r="B1790" s="151" t="s">
        <v>5000</v>
      </c>
      <c r="C1790" s="151" t="s">
        <v>5001</v>
      </c>
      <c r="D1790" s="151">
        <f>+2348027390649</f>
        <v>2348027390649</v>
      </c>
      <c r="F1790" s="6" t="s">
        <v>97</v>
      </c>
      <c r="G1790" s="6" t="s">
        <v>4609</v>
      </c>
    </row>
    <row r="1791" ht="15.75" customHeight="1">
      <c r="A1791" s="155">
        <v>43438.0</v>
      </c>
      <c r="B1791" s="151" t="s">
        <v>5002</v>
      </c>
      <c r="C1791" s="151" t="s">
        <v>5003</v>
      </c>
      <c r="D1791" s="151">
        <f>+2348065868264</f>
        <v>2348065868264</v>
      </c>
      <c r="F1791" s="6" t="s">
        <v>97</v>
      </c>
      <c r="G1791" s="6" t="s">
        <v>4609</v>
      </c>
    </row>
    <row r="1792" ht="15.75" customHeight="1">
      <c r="A1792" s="155">
        <v>43438.0</v>
      </c>
      <c r="B1792" s="151" t="s">
        <v>5004</v>
      </c>
      <c r="C1792" s="151" t="s">
        <v>5005</v>
      </c>
      <c r="D1792" s="151">
        <f>+2348165098157</f>
        <v>2348165098157</v>
      </c>
      <c r="F1792" s="6" t="s">
        <v>97</v>
      </c>
      <c r="G1792" s="6" t="s">
        <v>4609</v>
      </c>
    </row>
    <row r="1793" ht="15.75" customHeight="1">
      <c r="A1793" s="155">
        <v>43438.0</v>
      </c>
      <c r="B1793" s="151" t="s">
        <v>5006</v>
      </c>
      <c r="C1793" s="151" t="s">
        <v>5007</v>
      </c>
      <c r="D1793" s="151">
        <f>+2347068840348</f>
        <v>2347068840348</v>
      </c>
      <c r="F1793" s="6" t="s">
        <v>97</v>
      </c>
      <c r="G1793" s="6" t="s">
        <v>4609</v>
      </c>
    </row>
    <row r="1794" ht="15.75" customHeight="1">
      <c r="A1794" s="155">
        <v>43438.0</v>
      </c>
      <c r="B1794" s="151" t="s">
        <v>5008</v>
      </c>
      <c r="C1794" s="151" t="s">
        <v>5009</v>
      </c>
      <c r="D1794" s="151">
        <f>+23408066316986</f>
        <v>23408066316986</v>
      </c>
      <c r="F1794" s="6" t="s">
        <v>97</v>
      </c>
      <c r="G1794" s="6" t="s">
        <v>4609</v>
      </c>
    </row>
    <row r="1795" ht="15.75" customHeight="1">
      <c r="A1795" s="155">
        <v>43438.0</v>
      </c>
      <c r="B1795" s="151" t="s">
        <v>5010</v>
      </c>
      <c r="C1795" s="151" t="s">
        <v>5011</v>
      </c>
      <c r="D1795" s="151">
        <f>+2349034542946</f>
        <v>2349034542946</v>
      </c>
      <c r="F1795" s="6" t="s">
        <v>97</v>
      </c>
      <c r="G1795" s="6" t="s">
        <v>4609</v>
      </c>
    </row>
    <row r="1796" ht="15.75" customHeight="1">
      <c r="A1796" s="155">
        <v>43438.0</v>
      </c>
      <c r="B1796" s="151" t="s">
        <v>5012</v>
      </c>
      <c r="C1796" s="151" t="s">
        <v>5013</v>
      </c>
      <c r="D1796" s="151">
        <f>+2348034343490</f>
        <v>2348034343490</v>
      </c>
      <c r="F1796" s="6" t="s">
        <v>97</v>
      </c>
      <c r="G1796" s="6" t="s">
        <v>4609</v>
      </c>
    </row>
    <row r="1797" ht="15.75" customHeight="1">
      <c r="A1797" s="155">
        <v>43438.0</v>
      </c>
      <c r="B1797" s="151" t="s">
        <v>5014</v>
      </c>
      <c r="C1797" s="151" t="s">
        <v>5015</v>
      </c>
      <c r="D1797" s="151">
        <f>+2348033830802</f>
        <v>2348033830802</v>
      </c>
      <c r="F1797" s="6" t="s">
        <v>168</v>
      </c>
      <c r="G1797" s="6" t="s">
        <v>4609</v>
      </c>
    </row>
    <row r="1798" ht="15.75" customHeight="1">
      <c r="A1798" s="155">
        <v>43438.0</v>
      </c>
      <c r="B1798" s="151" t="s">
        <v>5016</v>
      </c>
      <c r="C1798" s="151" t="s">
        <v>5017</v>
      </c>
      <c r="D1798" s="151">
        <f>+2348035677559</f>
        <v>2348035677559</v>
      </c>
      <c r="F1798" s="6" t="s">
        <v>168</v>
      </c>
      <c r="G1798" s="6" t="s">
        <v>4609</v>
      </c>
    </row>
    <row r="1799" ht="15.75" customHeight="1">
      <c r="A1799" s="155">
        <v>43438.0</v>
      </c>
      <c r="B1799" s="151" t="s">
        <v>5018</v>
      </c>
      <c r="C1799" s="151" t="s">
        <v>5019</v>
      </c>
      <c r="D1799" s="151">
        <f>+2347039586699</f>
        <v>2347039586699</v>
      </c>
      <c r="F1799" s="6" t="s">
        <v>168</v>
      </c>
      <c r="G1799" s="6" t="s">
        <v>4609</v>
      </c>
    </row>
    <row r="1800" ht="15.75" customHeight="1">
      <c r="A1800" s="155">
        <v>43438.0</v>
      </c>
      <c r="B1800" s="151" t="s">
        <v>5020</v>
      </c>
      <c r="C1800" s="151" t="s">
        <v>5021</v>
      </c>
      <c r="D1800" s="151">
        <f>+2347068084514</f>
        <v>2347068084514</v>
      </c>
      <c r="F1800" s="6" t="s">
        <v>168</v>
      </c>
      <c r="G1800" s="6" t="s">
        <v>4609</v>
      </c>
    </row>
    <row r="1801" ht="15.75" customHeight="1">
      <c r="A1801" s="155">
        <v>43438.0</v>
      </c>
      <c r="B1801" s="151" t="s">
        <v>5022</v>
      </c>
      <c r="C1801" s="151" t="s">
        <v>5023</v>
      </c>
      <c r="D1801" s="151">
        <f>+2348062086062</f>
        <v>2348062086062</v>
      </c>
      <c r="F1801" s="6" t="s">
        <v>168</v>
      </c>
      <c r="G1801" s="6" t="s">
        <v>4609</v>
      </c>
    </row>
    <row r="1802" ht="15.75" customHeight="1">
      <c r="A1802" s="155">
        <v>43438.0</v>
      </c>
      <c r="B1802" s="151" t="s">
        <v>5024</v>
      </c>
      <c r="C1802" s="151" t="s">
        <v>5025</v>
      </c>
      <c r="D1802" s="151">
        <f>+2348062104040</f>
        <v>2348062104040</v>
      </c>
      <c r="F1802" s="6" t="s">
        <v>168</v>
      </c>
      <c r="G1802" s="6" t="s">
        <v>4609</v>
      </c>
    </row>
    <row r="1803" ht="15.75" customHeight="1">
      <c r="A1803" s="155">
        <v>43438.0</v>
      </c>
      <c r="B1803" s="151" t="s">
        <v>5026</v>
      </c>
      <c r="C1803" s="151" t="s">
        <v>5027</v>
      </c>
      <c r="D1803" s="151">
        <f>+2349092219945</f>
        <v>2349092219945</v>
      </c>
      <c r="F1803" s="6" t="s">
        <v>168</v>
      </c>
      <c r="G1803" s="6" t="s">
        <v>4609</v>
      </c>
    </row>
    <row r="1804" ht="15.75" customHeight="1">
      <c r="A1804" s="155">
        <v>43438.0</v>
      </c>
      <c r="B1804" s="151" t="s">
        <v>5028</v>
      </c>
      <c r="C1804" s="151" t="s">
        <v>5029</v>
      </c>
      <c r="D1804" s="151">
        <f>+2348094808570</f>
        <v>2348094808570</v>
      </c>
      <c r="F1804" s="6" t="s">
        <v>168</v>
      </c>
      <c r="G1804" s="6" t="s">
        <v>4609</v>
      </c>
    </row>
    <row r="1805" ht="15.75" customHeight="1">
      <c r="A1805" s="155">
        <v>43438.0</v>
      </c>
      <c r="B1805" s="151" t="s">
        <v>5030</v>
      </c>
      <c r="C1805" s="151" t="s">
        <v>5031</v>
      </c>
      <c r="D1805" s="151">
        <f>+2347036953183</f>
        <v>2347036953183</v>
      </c>
      <c r="F1805" s="6" t="s">
        <v>168</v>
      </c>
      <c r="G1805" s="6" t="s">
        <v>4609</v>
      </c>
    </row>
    <row r="1806" ht="15.75" customHeight="1">
      <c r="A1806" s="155">
        <v>43438.0</v>
      </c>
      <c r="B1806" s="151" t="s">
        <v>5032</v>
      </c>
      <c r="C1806" s="151" t="s">
        <v>5033</v>
      </c>
      <c r="D1806" s="151">
        <f>+23408133356827</f>
        <v>23408133356827</v>
      </c>
      <c r="F1806" s="6" t="s">
        <v>168</v>
      </c>
      <c r="G1806" s="6" t="s">
        <v>4609</v>
      </c>
    </row>
    <row r="1807" ht="15.75" customHeight="1">
      <c r="A1807" s="155">
        <v>43438.0</v>
      </c>
      <c r="B1807" s="151" t="s">
        <v>5034</v>
      </c>
      <c r="C1807" s="151" t="s">
        <v>5035</v>
      </c>
      <c r="D1807" s="151">
        <f>+2348035729259</f>
        <v>2348035729259</v>
      </c>
      <c r="F1807" s="6" t="s">
        <v>168</v>
      </c>
      <c r="G1807" s="6" t="s">
        <v>4609</v>
      </c>
    </row>
    <row r="1808" ht="15.75" customHeight="1">
      <c r="A1808" s="155">
        <v>43438.0</v>
      </c>
      <c r="B1808" s="151" t="s">
        <v>5036</v>
      </c>
      <c r="C1808" s="151" t="s">
        <v>5037</v>
      </c>
      <c r="D1808" s="151">
        <f>+2347030204217</f>
        <v>2347030204217</v>
      </c>
      <c r="F1808" s="6" t="s">
        <v>168</v>
      </c>
      <c r="G1808" s="6" t="s">
        <v>4609</v>
      </c>
    </row>
    <row r="1809" ht="15.75" customHeight="1">
      <c r="A1809" s="155">
        <v>43438.0</v>
      </c>
      <c r="B1809" s="151" t="s">
        <v>5038</v>
      </c>
      <c r="C1809" s="151" t="s">
        <v>5039</v>
      </c>
      <c r="D1809" s="151">
        <f>+2348130626662</f>
        <v>2348130626662</v>
      </c>
      <c r="F1809" s="6" t="s">
        <v>168</v>
      </c>
      <c r="G1809" s="6" t="s">
        <v>4609</v>
      </c>
    </row>
    <row r="1810" ht="15.75" customHeight="1">
      <c r="A1810" s="155">
        <v>43438.0</v>
      </c>
      <c r="B1810" s="151" t="s">
        <v>5040</v>
      </c>
      <c r="C1810" s="151" t="s">
        <v>5041</v>
      </c>
      <c r="D1810" s="151">
        <f>+2347054802352</f>
        <v>2347054802352</v>
      </c>
      <c r="F1810" s="6" t="s">
        <v>168</v>
      </c>
      <c r="G1810" s="6" t="s">
        <v>4609</v>
      </c>
    </row>
    <row r="1811" ht="15.75" customHeight="1">
      <c r="A1811" s="155">
        <v>43438.0</v>
      </c>
      <c r="B1811" s="151" t="s">
        <v>5042</v>
      </c>
      <c r="C1811" s="151" t="s">
        <v>5043</v>
      </c>
      <c r="D1811" s="151">
        <f>+2348091390402</f>
        <v>2348091390402</v>
      </c>
      <c r="F1811" s="6" t="s">
        <v>168</v>
      </c>
      <c r="G1811" s="6" t="s">
        <v>4609</v>
      </c>
    </row>
    <row r="1812" ht="15.75" customHeight="1">
      <c r="A1812" s="155">
        <v>43438.0</v>
      </c>
      <c r="B1812" s="151" t="s">
        <v>5044</v>
      </c>
      <c r="C1812" s="151" t="s">
        <v>5045</v>
      </c>
      <c r="D1812" s="151">
        <f>+2347064448797</f>
        <v>2347064448797</v>
      </c>
      <c r="F1812" s="6" t="s">
        <v>168</v>
      </c>
      <c r="G1812" s="6" t="s">
        <v>4609</v>
      </c>
    </row>
    <row r="1813" ht="15.75" customHeight="1">
      <c r="A1813" s="155">
        <v>43438.0</v>
      </c>
      <c r="B1813" s="151" t="s">
        <v>5046</v>
      </c>
      <c r="C1813" s="151" t="s">
        <v>5047</v>
      </c>
      <c r="D1813" s="151">
        <f>+2348022881949</f>
        <v>2348022881949</v>
      </c>
      <c r="F1813" s="6" t="s">
        <v>168</v>
      </c>
      <c r="G1813" s="6" t="s">
        <v>4609</v>
      </c>
    </row>
    <row r="1814" ht="15.75" customHeight="1">
      <c r="A1814" s="155">
        <v>43438.0</v>
      </c>
      <c r="B1814" s="151" t="s">
        <v>5048</v>
      </c>
      <c r="C1814" s="151" t="s">
        <v>5049</v>
      </c>
      <c r="D1814" s="151">
        <f>+2348141113623</f>
        <v>2348141113623</v>
      </c>
      <c r="F1814" s="6" t="s">
        <v>168</v>
      </c>
      <c r="G1814" s="6" t="s">
        <v>4609</v>
      </c>
    </row>
    <row r="1815" ht="15.75" customHeight="1">
      <c r="A1815" s="155">
        <v>43438.0</v>
      </c>
      <c r="B1815" s="151" t="s">
        <v>5050</v>
      </c>
      <c r="C1815" s="151" t="s">
        <v>5051</v>
      </c>
      <c r="D1815" s="151">
        <f>+2348036446983</f>
        <v>2348036446983</v>
      </c>
      <c r="F1815" s="6" t="s">
        <v>168</v>
      </c>
      <c r="G1815" s="6" t="s">
        <v>4609</v>
      </c>
    </row>
    <row r="1816" ht="15.75" customHeight="1">
      <c r="A1816" s="155">
        <v>43438.0</v>
      </c>
      <c r="B1816" s="151" t="s">
        <v>5052</v>
      </c>
      <c r="C1816" s="151" t="s">
        <v>5053</v>
      </c>
      <c r="D1816" s="151">
        <f>+2347035470978</f>
        <v>2347035470978</v>
      </c>
      <c r="F1816" s="6" t="s">
        <v>168</v>
      </c>
      <c r="G1816" s="6" t="s">
        <v>4609</v>
      </c>
    </row>
    <row r="1817" ht="15.75" customHeight="1">
      <c r="A1817" s="155">
        <v>43438.0</v>
      </c>
      <c r="B1817" s="151" t="s">
        <v>5054</v>
      </c>
      <c r="C1817" s="151" t="s">
        <v>5055</v>
      </c>
      <c r="D1817" s="151">
        <f>+2347037680738</f>
        <v>2347037680738</v>
      </c>
      <c r="F1817" s="6" t="s">
        <v>168</v>
      </c>
      <c r="G1817" s="6" t="s">
        <v>4609</v>
      </c>
    </row>
    <row r="1818" ht="15.75" customHeight="1">
      <c r="A1818" s="155">
        <v>43438.0</v>
      </c>
      <c r="B1818" s="151" t="s">
        <v>5056</v>
      </c>
      <c r="C1818" s="151" t="s">
        <v>5057</v>
      </c>
      <c r="D1818" s="151">
        <f>+2348138450106</f>
        <v>2348138450106</v>
      </c>
      <c r="F1818" s="6" t="s">
        <v>168</v>
      </c>
      <c r="G1818" s="6" t="s">
        <v>4609</v>
      </c>
    </row>
    <row r="1819" ht="15.75" customHeight="1">
      <c r="A1819" s="155">
        <v>43438.0</v>
      </c>
      <c r="B1819" s="151" t="s">
        <v>5058</v>
      </c>
      <c r="C1819" s="151" t="s">
        <v>5059</v>
      </c>
      <c r="D1819" s="151">
        <f>+2348062088468</f>
        <v>2348062088468</v>
      </c>
      <c r="F1819" s="6" t="s">
        <v>168</v>
      </c>
      <c r="G1819" s="6" t="s">
        <v>4609</v>
      </c>
    </row>
    <row r="1820" ht="15.75" customHeight="1">
      <c r="A1820" s="155">
        <v>43438.0</v>
      </c>
      <c r="B1820" s="151" t="s">
        <v>5060</v>
      </c>
      <c r="C1820" s="151" t="s">
        <v>5061</v>
      </c>
      <c r="D1820" s="151">
        <f>+2348069452994</f>
        <v>2348069452994</v>
      </c>
      <c r="F1820" s="6" t="s">
        <v>168</v>
      </c>
      <c r="G1820" s="6" t="s">
        <v>4609</v>
      </c>
    </row>
    <row r="1821" ht="15.75" customHeight="1">
      <c r="A1821" s="155">
        <v>43438.0</v>
      </c>
      <c r="B1821" s="151" t="s">
        <v>5062</v>
      </c>
      <c r="C1821" s="151" t="s">
        <v>5063</v>
      </c>
      <c r="D1821" s="151">
        <f>+2348033736522</f>
        <v>2348033736522</v>
      </c>
      <c r="F1821" s="6" t="s">
        <v>168</v>
      </c>
      <c r="G1821" s="6" t="s">
        <v>4609</v>
      </c>
    </row>
    <row r="1822" ht="15.75" customHeight="1">
      <c r="A1822" s="155">
        <v>43438.0</v>
      </c>
      <c r="B1822" s="151" t="s">
        <v>5064</v>
      </c>
      <c r="C1822" s="151" t="s">
        <v>5065</v>
      </c>
      <c r="D1822" s="151">
        <f>+2348030833001</f>
        <v>2348030833001</v>
      </c>
      <c r="F1822" s="6" t="s">
        <v>168</v>
      </c>
      <c r="G1822" s="6" t="s">
        <v>4609</v>
      </c>
    </row>
    <row r="1823" ht="15.75" customHeight="1">
      <c r="A1823" s="155">
        <v>43438.0</v>
      </c>
      <c r="B1823" s="151" t="s">
        <v>5066</v>
      </c>
      <c r="C1823" s="151" t="s">
        <v>5067</v>
      </c>
      <c r="D1823" s="151">
        <f>+2347032027943</f>
        <v>2347032027943</v>
      </c>
      <c r="F1823" s="6" t="s">
        <v>168</v>
      </c>
      <c r="G1823" s="6" t="s">
        <v>4609</v>
      </c>
    </row>
    <row r="1824" ht="15.75" customHeight="1">
      <c r="A1824" s="155">
        <v>43438.0</v>
      </c>
      <c r="B1824" s="151" t="s">
        <v>5068</v>
      </c>
      <c r="C1824" s="151" t="s">
        <v>5069</v>
      </c>
      <c r="D1824" s="151">
        <f>+2348038566426</f>
        <v>2348038566426</v>
      </c>
      <c r="F1824" s="6" t="s">
        <v>168</v>
      </c>
      <c r="G1824" s="6" t="s">
        <v>4609</v>
      </c>
    </row>
    <row r="1825" ht="15.75" customHeight="1">
      <c r="A1825" s="155">
        <v>43438.0</v>
      </c>
      <c r="B1825" s="151" t="s">
        <v>5070</v>
      </c>
      <c r="C1825" s="151" t="s">
        <v>5071</v>
      </c>
      <c r="D1825" s="151">
        <f>+2348066731114</f>
        <v>2348066731114</v>
      </c>
      <c r="F1825" s="6" t="s">
        <v>168</v>
      </c>
      <c r="G1825" s="6" t="s">
        <v>4609</v>
      </c>
    </row>
    <row r="1826" ht="15.75" customHeight="1">
      <c r="A1826" s="155">
        <v>43438.0</v>
      </c>
      <c r="B1826" s="151" t="s">
        <v>5072</v>
      </c>
      <c r="C1826" s="151" t="s">
        <v>5073</v>
      </c>
      <c r="D1826" s="151">
        <f>+2348032259509</f>
        <v>2348032259509</v>
      </c>
      <c r="F1826" s="6" t="s">
        <v>168</v>
      </c>
      <c r="G1826" s="6" t="s">
        <v>4609</v>
      </c>
    </row>
    <row r="1827" ht="15.75" customHeight="1">
      <c r="A1827" s="155">
        <v>43438.0</v>
      </c>
      <c r="B1827" s="151" t="s">
        <v>5074</v>
      </c>
      <c r="C1827" s="151" t="s">
        <v>5075</v>
      </c>
      <c r="D1827" s="151">
        <f>+23408033337369</f>
        <v>23408033337369</v>
      </c>
      <c r="F1827" s="6" t="s">
        <v>168</v>
      </c>
      <c r="G1827" s="6" t="s">
        <v>4609</v>
      </c>
    </row>
    <row r="1828" ht="15.75" customHeight="1">
      <c r="A1828" s="155">
        <v>43438.0</v>
      </c>
      <c r="B1828" s="151" t="s">
        <v>5076</v>
      </c>
      <c r="C1828" s="151" t="s">
        <v>5077</v>
      </c>
      <c r="D1828" s="151">
        <f>+2348028104935</f>
        <v>2348028104935</v>
      </c>
      <c r="F1828" s="6" t="s">
        <v>168</v>
      </c>
      <c r="G1828" s="6" t="s">
        <v>4609</v>
      </c>
    </row>
    <row r="1829" ht="15.75" customHeight="1">
      <c r="A1829" s="155">
        <v>43438.0</v>
      </c>
      <c r="B1829" s="151" t="s">
        <v>5078</v>
      </c>
      <c r="C1829" s="151" t="s">
        <v>5079</v>
      </c>
      <c r="D1829" s="151">
        <f>+2348187521618</f>
        <v>2348187521618</v>
      </c>
      <c r="F1829" s="6" t="s">
        <v>168</v>
      </c>
      <c r="G1829" s="6" t="s">
        <v>4609</v>
      </c>
    </row>
    <row r="1830" ht="15.75" customHeight="1">
      <c r="A1830" s="155">
        <v>43438.0</v>
      </c>
      <c r="B1830" s="151" t="s">
        <v>5080</v>
      </c>
      <c r="C1830" s="151" t="s">
        <v>5081</v>
      </c>
      <c r="D1830" s="151">
        <f>+2348084679265</f>
        <v>2348084679265</v>
      </c>
      <c r="F1830" s="6" t="s">
        <v>168</v>
      </c>
      <c r="G1830" s="6" t="s">
        <v>4609</v>
      </c>
    </row>
    <row r="1831" ht="15.75" customHeight="1">
      <c r="A1831" s="155">
        <v>43438.0</v>
      </c>
      <c r="B1831" s="151" t="s">
        <v>5082</v>
      </c>
      <c r="C1831" s="151" t="s">
        <v>5083</v>
      </c>
      <c r="D1831" s="151">
        <f>+2347086722731</f>
        <v>2347086722731</v>
      </c>
      <c r="F1831" s="6" t="s">
        <v>168</v>
      </c>
      <c r="G1831" s="6" t="s">
        <v>4609</v>
      </c>
    </row>
    <row r="1832" ht="15.75" customHeight="1">
      <c r="A1832" s="155">
        <v>43438.0</v>
      </c>
      <c r="B1832" s="151" t="s">
        <v>5084</v>
      </c>
      <c r="C1832" s="151" t="s">
        <v>5085</v>
      </c>
      <c r="D1832" s="151">
        <f>+2348074354338</f>
        <v>2348074354338</v>
      </c>
      <c r="F1832" s="6" t="s">
        <v>168</v>
      </c>
      <c r="G1832" s="6" t="s">
        <v>4609</v>
      </c>
    </row>
    <row r="1833" ht="15.75" customHeight="1">
      <c r="A1833" s="155">
        <v>43438.0</v>
      </c>
      <c r="B1833" s="151" t="s">
        <v>5086</v>
      </c>
      <c r="C1833" s="151" t="s">
        <v>5087</v>
      </c>
      <c r="D1833" s="151">
        <f>+2348134565529</f>
        <v>2348134565529</v>
      </c>
      <c r="F1833" s="6" t="s">
        <v>168</v>
      </c>
      <c r="G1833" s="6" t="s">
        <v>4609</v>
      </c>
    </row>
    <row r="1834" ht="15.75" customHeight="1">
      <c r="A1834" s="155">
        <v>43438.0</v>
      </c>
      <c r="B1834" s="151" t="s">
        <v>5088</v>
      </c>
      <c r="C1834" s="151" t="s">
        <v>5089</v>
      </c>
      <c r="D1834" s="151">
        <f>+2348039226127</f>
        <v>2348039226127</v>
      </c>
      <c r="F1834" s="6" t="s">
        <v>168</v>
      </c>
      <c r="G1834" s="6" t="s">
        <v>4609</v>
      </c>
    </row>
    <row r="1835" ht="15.75" customHeight="1">
      <c r="A1835" s="155">
        <v>43438.0</v>
      </c>
      <c r="B1835" s="151" t="s">
        <v>5090</v>
      </c>
      <c r="C1835" s="151" t="s">
        <v>5091</v>
      </c>
      <c r="D1835" s="151">
        <f>+2348066667077</f>
        <v>2348066667077</v>
      </c>
      <c r="F1835" s="6" t="s">
        <v>168</v>
      </c>
      <c r="G1835" s="6" t="s">
        <v>4609</v>
      </c>
    </row>
    <row r="1836" ht="15.75" customHeight="1">
      <c r="A1836" s="155">
        <v>43438.0</v>
      </c>
      <c r="B1836" s="151" t="s">
        <v>5092</v>
      </c>
      <c r="C1836" s="151" t="s">
        <v>5093</v>
      </c>
      <c r="D1836" s="151">
        <f>+2348138147358</f>
        <v>2348138147358</v>
      </c>
      <c r="F1836" s="6" t="s">
        <v>168</v>
      </c>
      <c r="G1836" s="6" t="s">
        <v>4609</v>
      </c>
    </row>
    <row r="1837" ht="15.75" customHeight="1">
      <c r="A1837" s="155">
        <v>43438.0</v>
      </c>
      <c r="B1837" s="151" t="s">
        <v>5094</v>
      </c>
      <c r="C1837" s="151" t="s">
        <v>5095</v>
      </c>
      <c r="D1837" s="151">
        <f>+2348034959943</f>
        <v>2348034959943</v>
      </c>
      <c r="F1837" s="6" t="s">
        <v>168</v>
      </c>
      <c r="G1837" s="6" t="s">
        <v>4609</v>
      </c>
    </row>
    <row r="1838" ht="15.75" customHeight="1">
      <c r="A1838" s="155">
        <v>43438.0</v>
      </c>
      <c r="B1838" s="151" t="s">
        <v>5096</v>
      </c>
      <c r="C1838" s="151" t="s">
        <v>5097</v>
      </c>
      <c r="D1838" s="151">
        <f>+2347039883834</f>
        <v>2347039883834</v>
      </c>
      <c r="F1838" s="6" t="s">
        <v>168</v>
      </c>
      <c r="G1838" s="6" t="s">
        <v>4609</v>
      </c>
    </row>
    <row r="1839" ht="15.75" customHeight="1">
      <c r="A1839" s="155">
        <v>43438.0</v>
      </c>
      <c r="B1839" s="151" t="s">
        <v>5098</v>
      </c>
      <c r="C1839" s="151" t="s">
        <v>5099</v>
      </c>
      <c r="D1839" s="151">
        <f>+2348023629908</f>
        <v>2348023629908</v>
      </c>
      <c r="F1839" s="6" t="s">
        <v>168</v>
      </c>
      <c r="G1839" s="6" t="s">
        <v>4609</v>
      </c>
    </row>
    <row r="1840" ht="15.75" customHeight="1">
      <c r="A1840" s="155">
        <v>43438.0</v>
      </c>
      <c r="B1840" s="151" t="s">
        <v>5100</v>
      </c>
      <c r="C1840" s="151" t="s">
        <v>5101</v>
      </c>
      <c r="D1840" s="151">
        <f>+2348038933445</f>
        <v>2348038933445</v>
      </c>
      <c r="F1840" s="6" t="s">
        <v>168</v>
      </c>
      <c r="G1840" s="6" t="s">
        <v>4609</v>
      </c>
    </row>
    <row r="1841" ht="15.75" customHeight="1">
      <c r="A1841" s="155">
        <v>43438.0</v>
      </c>
      <c r="B1841" s="151" t="s">
        <v>5102</v>
      </c>
      <c r="C1841" s="151" t="s">
        <v>5103</v>
      </c>
      <c r="D1841" s="151">
        <f>+2348064097159</f>
        <v>2348064097159</v>
      </c>
      <c r="F1841" s="6" t="s">
        <v>168</v>
      </c>
      <c r="G1841" s="6" t="s">
        <v>4609</v>
      </c>
    </row>
    <row r="1842" ht="15.75" customHeight="1">
      <c r="A1842" s="155">
        <v>43438.0</v>
      </c>
      <c r="B1842" s="151" t="s">
        <v>5104</v>
      </c>
      <c r="C1842" s="151" t="s">
        <v>5105</v>
      </c>
      <c r="D1842" s="151">
        <f>+2347034564263</f>
        <v>2347034564263</v>
      </c>
      <c r="F1842" s="6" t="s">
        <v>168</v>
      </c>
      <c r="G1842" s="6" t="s">
        <v>4609</v>
      </c>
    </row>
    <row r="1843" ht="15.75" customHeight="1">
      <c r="A1843" s="155">
        <v>43438.0</v>
      </c>
      <c r="B1843" s="151" t="s">
        <v>2367</v>
      </c>
      <c r="C1843" s="151" t="s">
        <v>2368</v>
      </c>
      <c r="D1843" s="151">
        <f>+23408021016695</f>
        <v>23408021016695</v>
      </c>
      <c r="F1843" s="6" t="s">
        <v>168</v>
      </c>
      <c r="G1843" s="6" t="s">
        <v>4609</v>
      </c>
    </row>
    <row r="1844" ht="15.75" customHeight="1">
      <c r="A1844" s="155">
        <v>43438.0</v>
      </c>
      <c r="B1844" s="151" t="s">
        <v>5106</v>
      </c>
      <c r="C1844" s="151" t="s">
        <v>5107</v>
      </c>
      <c r="D1844" s="151">
        <f>+2348065917399</f>
        <v>2348065917399</v>
      </c>
      <c r="F1844" s="6" t="s">
        <v>168</v>
      </c>
      <c r="G1844" s="6" t="s">
        <v>4609</v>
      </c>
    </row>
    <row r="1845" ht="15.75" customHeight="1">
      <c r="A1845" s="155">
        <v>43438.0</v>
      </c>
      <c r="B1845" s="151" t="s">
        <v>5108</v>
      </c>
      <c r="C1845" s="151" t="s">
        <v>5109</v>
      </c>
      <c r="D1845" s="151">
        <f>+2348139680360</f>
        <v>2348139680360</v>
      </c>
      <c r="F1845" s="6" t="s">
        <v>168</v>
      </c>
      <c r="G1845" s="6" t="s">
        <v>4609</v>
      </c>
    </row>
    <row r="1846" ht="15.75" customHeight="1">
      <c r="A1846" s="155">
        <v>43438.0</v>
      </c>
      <c r="B1846" s="151" t="s">
        <v>5110</v>
      </c>
      <c r="C1846" s="151" t="s">
        <v>5111</v>
      </c>
      <c r="D1846" s="151">
        <f>+2348099511794</f>
        <v>2348099511794</v>
      </c>
      <c r="F1846" s="6" t="s">
        <v>168</v>
      </c>
      <c r="G1846" s="6" t="s">
        <v>4609</v>
      </c>
    </row>
    <row r="1847" ht="15.75" customHeight="1">
      <c r="A1847" s="155">
        <v>43438.0</v>
      </c>
      <c r="B1847" s="151" t="s">
        <v>5112</v>
      </c>
      <c r="C1847" s="151" t="s">
        <v>5113</v>
      </c>
      <c r="D1847" s="151">
        <f>+2348166437721</f>
        <v>2348166437721</v>
      </c>
      <c r="F1847" s="6" t="s">
        <v>168</v>
      </c>
      <c r="G1847" s="6" t="s">
        <v>4609</v>
      </c>
    </row>
    <row r="1848" ht="15.75" customHeight="1">
      <c r="A1848" s="155">
        <v>43438.0</v>
      </c>
      <c r="B1848" s="151" t="s">
        <v>5114</v>
      </c>
      <c r="C1848" s="151" t="s">
        <v>5115</v>
      </c>
      <c r="D1848" s="151">
        <f>+2348034900011</f>
        <v>2348034900011</v>
      </c>
      <c r="F1848" s="6" t="s">
        <v>168</v>
      </c>
      <c r="G1848" s="6" t="s">
        <v>4609</v>
      </c>
    </row>
    <row r="1849" ht="15.75" customHeight="1">
      <c r="A1849" s="155">
        <v>43438.0</v>
      </c>
      <c r="B1849" s="151" t="s">
        <v>5116</v>
      </c>
      <c r="C1849" s="151" t="s">
        <v>5117</v>
      </c>
      <c r="D1849" s="151">
        <f>+2347037685094</f>
        <v>2347037685094</v>
      </c>
      <c r="F1849" s="6" t="s">
        <v>168</v>
      </c>
      <c r="G1849" s="6" t="s">
        <v>4609</v>
      </c>
    </row>
    <row r="1850" ht="15.75" customHeight="1">
      <c r="A1850" s="155">
        <v>43438.0</v>
      </c>
      <c r="B1850" s="151" t="s">
        <v>5118</v>
      </c>
      <c r="C1850" s="151" t="s">
        <v>5119</v>
      </c>
      <c r="D1850" s="151">
        <f>+2347032957911</f>
        <v>2347032957911</v>
      </c>
      <c r="F1850" s="6" t="s">
        <v>168</v>
      </c>
      <c r="G1850" s="6" t="s">
        <v>4609</v>
      </c>
    </row>
    <row r="1851" ht="15.75" customHeight="1">
      <c r="A1851" s="155">
        <v>43438.0</v>
      </c>
      <c r="B1851" s="151" t="s">
        <v>5120</v>
      </c>
      <c r="C1851" s="151" t="s">
        <v>5121</v>
      </c>
      <c r="D1851" s="151">
        <f>+2349097927300</f>
        <v>2349097927300</v>
      </c>
      <c r="F1851" s="6" t="s">
        <v>168</v>
      </c>
      <c r="G1851" s="6" t="s">
        <v>4609</v>
      </c>
    </row>
    <row r="1852" ht="15.75" customHeight="1">
      <c r="A1852" s="155">
        <v>43438.0</v>
      </c>
      <c r="B1852" s="151" t="s">
        <v>5122</v>
      </c>
      <c r="C1852" s="151" t="s">
        <v>5123</v>
      </c>
      <c r="D1852" s="151">
        <f>+2348108649757</f>
        <v>2348108649757</v>
      </c>
      <c r="F1852" s="6" t="s">
        <v>168</v>
      </c>
      <c r="G1852" s="6" t="s">
        <v>4609</v>
      </c>
    </row>
    <row r="1853" ht="15.75" customHeight="1">
      <c r="A1853" s="155">
        <v>43438.0</v>
      </c>
      <c r="B1853" s="151" t="s">
        <v>5124</v>
      </c>
      <c r="C1853" s="151" t="s">
        <v>5125</v>
      </c>
      <c r="D1853" s="151">
        <f>+2347069341045</f>
        <v>2347069341045</v>
      </c>
      <c r="F1853" s="6" t="s">
        <v>168</v>
      </c>
      <c r="G1853" s="6" t="s">
        <v>4609</v>
      </c>
    </row>
    <row r="1854" ht="15.75" customHeight="1">
      <c r="A1854" s="155">
        <v>43438.0</v>
      </c>
      <c r="B1854" s="151" t="s">
        <v>5126</v>
      </c>
      <c r="C1854" s="151" t="s">
        <v>5127</v>
      </c>
      <c r="D1854" s="151">
        <f>+2348130427230</f>
        <v>2348130427230</v>
      </c>
      <c r="F1854" s="6" t="s">
        <v>168</v>
      </c>
      <c r="G1854" s="6" t="s">
        <v>4609</v>
      </c>
    </row>
    <row r="1855" ht="15.75" customHeight="1">
      <c r="A1855" s="155">
        <v>43438.0</v>
      </c>
      <c r="B1855" s="151" t="s">
        <v>5128</v>
      </c>
      <c r="C1855" s="151" t="s">
        <v>5129</v>
      </c>
      <c r="D1855" s="151">
        <f>+23408023742582</f>
        <v>23408023742582</v>
      </c>
      <c r="F1855" s="6" t="s">
        <v>168</v>
      </c>
      <c r="G1855" s="6" t="s">
        <v>4609</v>
      </c>
    </row>
    <row r="1856" ht="15.75" customHeight="1">
      <c r="A1856" s="155">
        <v>43438.0</v>
      </c>
      <c r="B1856" s="151" t="s">
        <v>5130</v>
      </c>
      <c r="C1856" s="151" t="s">
        <v>5131</v>
      </c>
      <c r="D1856" s="151">
        <f>+2348131240214</f>
        <v>2348131240214</v>
      </c>
      <c r="F1856" s="6" t="s">
        <v>168</v>
      </c>
      <c r="G1856" s="6" t="s">
        <v>4609</v>
      </c>
    </row>
    <row r="1857" ht="15.75" customHeight="1">
      <c r="A1857" s="155">
        <v>43438.0</v>
      </c>
      <c r="B1857" s="151" t="s">
        <v>5132</v>
      </c>
      <c r="C1857" s="151" t="s">
        <v>5133</v>
      </c>
      <c r="D1857" s="151">
        <f>+2348065603746</f>
        <v>2348065603746</v>
      </c>
      <c r="F1857" s="6" t="s">
        <v>168</v>
      </c>
      <c r="G1857" s="6" t="s">
        <v>4609</v>
      </c>
    </row>
    <row r="1858" ht="15.75" customHeight="1">
      <c r="A1858" s="155">
        <v>43438.0</v>
      </c>
      <c r="B1858" s="151" t="s">
        <v>5134</v>
      </c>
      <c r="C1858" s="151" t="s">
        <v>5135</v>
      </c>
      <c r="D1858" s="151">
        <f>+2348101947141</f>
        <v>2348101947141</v>
      </c>
      <c r="F1858" s="6" t="s">
        <v>168</v>
      </c>
      <c r="G1858" s="6" t="s">
        <v>4609</v>
      </c>
    </row>
    <row r="1859" ht="15.75" customHeight="1">
      <c r="A1859" s="155">
        <v>43438.0</v>
      </c>
      <c r="B1859" s="151" t="s">
        <v>5136</v>
      </c>
      <c r="C1859" s="151" t="s">
        <v>5137</v>
      </c>
      <c r="D1859" s="151">
        <f>+2348107728448</f>
        <v>2348107728448</v>
      </c>
      <c r="F1859" s="6" t="s">
        <v>168</v>
      </c>
      <c r="G1859" s="6" t="s">
        <v>4609</v>
      </c>
    </row>
    <row r="1860" ht="15.75" customHeight="1">
      <c r="A1860" s="155">
        <v>43438.0</v>
      </c>
      <c r="B1860" s="151" t="s">
        <v>5138</v>
      </c>
      <c r="C1860" s="151" t="s">
        <v>5139</v>
      </c>
      <c r="D1860" s="151">
        <f>+2348039603395</f>
        <v>2348039603395</v>
      </c>
      <c r="F1860" s="6" t="s">
        <v>168</v>
      </c>
      <c r="G1860" s="6" t="s">
        <v>4609</v>
      </c>
    </row>
    <row r="1861" ht="15.75" customHeight="1">
      <c r="A1861" s="155">
        <v>43438.0</v>
      </c>
      <c r="B1861" s="151" t="s">
        <v>5140</v>
      </c>
      <c r="C1861" s="151" t="s">
        <v>5141</v>
      </c>
      <c r="D1861" s="151">
        <f>+2348032523074</f>
        <v>2348032523074</v>
      </c>
      <c r="F1861" s="6" t="s">
        <v>168</v>
      </c>
      <c r="G1861" s="6" t="s">
        <v>4609</v>
      </c>
    </row>
    <row r="1862" ht="15.75" customHeight="1">
      <c r="A1862" s="155">
        <v>43438.0</v>
      </c>
      <c r="B1862" s="151" t="s">
        <v>5142</v>
      </c>
      <c r="C1862" s="151" t="s">
        <v>5143</v>
      </c>
      <c r="D1862" s="151">
        <f>+23408065950672</f>
        <v>23408065950672</v>
      </c>
      <c r="F1862" s="6" t="s">
        <v>168</v>
      </c>
      <c r="G1862" s="6" t="s">
        <v>4609</v>
      </c>
    </row>
    <row r="1863" ht="15.75" customHeight="1">
      <c r="A1863" s="155">
        <v>43438.0</v>
      </c>
      <c r="B1863" s="151" t="s">
        <v>5144</v>
      </c>
      <c r="C1863" s="151" t="s">
        <v>5145</v>
      </c>
      <c r="D1863" s="151">
        <f>+2348151954697</f>
        <v>2348151954697</v>
      </c>
      <c r="F1863" s="6" t="s">
        <v>168</v>
      </c>
      <c r="G1863" s="6" t="s">
        <v>4609</v>
      </c>
    </row>
    <row r="1864" ht="15.75" customHeight="1">
      <c r="A1864" s="155">
        <v>43438.0</v>
      </c>
      <c r="B1864" s="151" t="s">
        <v>4885</v>
      </c>
      <c r="C1864" s="151" t="s">
        <v>4886</v>
      </c>
      <c r="D1864" s="151">
        <f>+2348034369707</f>
        <v>2348034369707</v>
      </c>
      <c r="F1864" s="6" t="s">
        <v>168</v>
      </c>
      <c r="G1864" s="6" t="s">
        <v>4609</v>
      </c>
    </row>
    <row r="1865" ht="15.75" customHeight="1">
      <c r="A1865" s="155">
        <v>43438.0</v>
      </c>
      <c r="B1865" s="151" t="s">
        <v>5146</v>
      </c>
      <c r="C1865" s="151" t="s">
        <v>5147</v>
      </c>
      <c r="D1865" s="151">
        <f>+2348039391039</f>
        <v>2348039391039</v>
      </c>
      <c r="F1865" s="6" t="s">
        <v>168</v>
      </c>
      <c r="G1865" s="6" t="s">
        <v>4609</v>
      </c>
    </row>
    <row r="1866" ht="15.75" customHeight="1">
      <c r="A1866" s="155">
        <v>43438.0</v>
      </c>
      <c r="B1866" s="151" t="s">
        <v>5148</v>
      </c>
      <c r="C1866" s="151" t="s">
        <v>5149</v>
      </c>
      <c r="D1866" s="151">
        <f>+2348104241075</f>
        <v>2348104241075</v>
      </c>
      <c r="F1866" s="6" t="s">
        <v>168</v>
      </c>
      <c r="G1866" s="6" t="s">
        <v>4609</v>
      </c>
    </row>
    <row r="1867" ht="15.75" customHeight="1">
      <c r="A1867" s="155">
        <v>43438.0</v>
      </c>
      <c r="B1867" s="151" t="s">
        <v>5150</v>
      </c>
      <c r="C1867" s="151" t="s">
        <v>5151</v>
      </c>
      <c r="D1867" s="151">
        <f>+2348134981988</f>
        <v>2348134981988</v>
      </c>
      <c r="F1867" s="6" t="s">
        <v>168</v>
      </c>
      <c r="G1867" s="6" t="s">
        <v>4609</v>
      </c>
    </row>
    <row r="1868" ht="15.75" customHeight="1">
      <c r="A1868" s="155">
        <v>43438.0</v>
      </c>
      <c r="B1868" s="151" t="s">
        <v>5152</v>
      </c>
      <c r="C1868" s="151" t="s">
        <v>5153</v>
      </c>
      <c r="D1868" s="151">
        <f>+2348029968956</f>
        <v>2348029968956</v>
      </c>
      <c r="F1868" s="6" t="s">
        <v>168</v>
      </c>
      <c r="G1868" s="6" t="s">
        <v>4609</v>
      </c>
    </row>
    <row r="1869" ht="15.75" customHeight="1">
      <c r="A1869" s="155">
        <v>43438.0</v>
      </c>
      <c r="B1869" s="151" t="s">
        <v>5154</v>
      </c>
      <c r="C1869" s="151" t="s">
        <v>5155</v>
      </c>
      <c r="D1869" s="151">
        <f>+2348038035420</f>
        <v>2348038035420</v>
      </c>
      <c r="F1869" s="6" t="s">
        <v>168</v>
      </c>
      <c r="G1869" s="6" t="s">
        <v>4609</v>
      </c>
    </row>
    <row r="1870" ht="15.75" customHeight="1">
      <c r="A1870" s="155">
        <v>43438.0</v>
      </c>
      <c r="B1870" s="151" t="s">
        <v>5156</v>
      </c>
      <c r="C1870" s="151" t="s">
        <v>5157</v>
      </c>
      <c r="D1870" s="151">
        <f>+2348035576453</f>
        <v>2348035576453</v>
      </c>
      <c r="F1870" s="6" t="s">
        <v>168</v>
      </c>
      <c r="G1870" s="6" t="s">
        <v>4609</v>
      </c>
    </row>
    <row r="1871" ht="15.75" customHeight="1">
      <c r="A1871" s="155">
        <v>43438.0</v>
      </c>
      <c r="B1871" s="151" t="s">
        <v>5158</v>
      </c>
      <c r="C1871" s="151" t="s">
        <v>5159</v>
      </c>
      <c r="D1871" s="151">
        <f>+2347032319830</f>
        <v>2347032319830</v>
      </c>
      <c r="F1871" s="6" t="s">
        <v>168</v>
      </c>
      <c r="G1871" s="6" t="s">
        <v>4609</v>
      </c>
    </row>
    <row r="1872" ht="15.75" customHeight="1">
      <c r="A1872" s="155">
        <v>43438.0</v>
      </c>
      <c r="B1872" s="151" t="s">
        <v>2869</v>
      </c>
      <c r="C1872" s="151" t="s">
        <v>2870</v>
      </c>
      <c r="D1872" s="151">
        <f>+2348108934017</f>
        <v>2348108934017</v>
      </c>
      <c r="F1872" s="6" t="s">
        <v>168</v>
      </c>
      <c r="G1872" s="6" t="s">
        <v>4609</v>
      </c>
    </row>
    <row r="1873" ht="15.75" customHeight="1">
      <c r="A1873" s="155">
        <v>43438.0</v>
      </c>
      <c r="B1873" s="151" t="s">
        <v>5160</v>
      </c>
      <c r="C1873" s="151" t="s">
        <v>5161</v>
      </c>
      <c r="D1873" s="151">
        <f>+2348036552191</f>
        <v>2348036552191</v>
      </c>
      <c r="F1873" s="6" t="s">
        <v>168</v>
      </c>
      <c r="G1873" s="6" t="s">
        <v>4609</v>
      </c>
    </row>
    <row r="1874" ht="15.75" customHeight="1">
      <c r="A1874" s="155">
        <v>43438.0</v>
      </c>
      <c r="B1874" s="151" t="s">
        <v>5162</v>
      </c>
      <c r="C1874" s="151" t="s">
        <v>5163</v>
      </c>
      <c r="D1874" s="151">
        <f>+23408035737010</f>
        <v>23408035737010</v>
      </c>
      <c r="F1874" s="6" t="s">
        <v>168</v>
      </c>
      <c r="G1874" s="6" t="s">
        <v>4609</v>
      </c>
    </row>
    <row r="1875" ht="15.75" customHeight="1">
      <c r="A1875" s="155">
        <v>43438.0</v>
      </c>
      <c r="B1875" s="151" t="s">
        <v>5164</v>
      </c>
      <c r="C1875" s="151" t="s">
        <v>5165</v>
      </c>
      <c r="D1875" s="151">
        <f>+2348032369484</f>
        <v>2348032369484</v>
      </c>
      <c r="F1875" s="6" t="s">
        <v>168</v>
      </c>
      <c r="G1875" s="6" t="s">
        <v>4609</v>
      </c>
    </row>
    <row r="1876" ht="15.75" customHeight="1">
      <c r="A1876" s="155">
        <v>43438.0</v>
      </c>
      <c r="B1876" s="151" t="s">
        <v>5166</v>
      </c>
      <c r="C1876" s="151" t="s">
        <v>5167</v>
      </c>
      <c r="D1876" s="151">
        <f>+2348133557079</f>
        <v>2348133557079</v>
      </c>
      <c r="F1876" s="6" t="s">
        <v>168</v>
      </c>
      <c r="G1876" s="6" t="s">
        <v>4609</v>
      </c>
    </row>
    <row r="1877" ht="15.75" customHeight="1">
      <c r="A1877" s="155">
        <v>43438.0</v>
      </c>
      <c r="B1877" s="151" t="s">
        <v>5168</v>
      </c>
      <c r="C1877" s="151" t="s">
        <v>5169</v>
      </c>
      <c r="D1877" s="151">
        <f>+2348065537963</f>
        <v>2348065537963</v>
      </c>
      <c r="F1877" s="6" t="s">
        <v>168</v>
      </c>
      <c r="G1877" s="6" t="s">
        <v>4609</v>
      </c>
    </row>
    <row r="1878" ht="15.75" customHeight="1">
      <c r="A1878" s="155">
        <v>43438.0</v>
      </c>
      <c r="B1878" s="151" t="s">
        <v>5170</v>
      </c>
      <c r="C1878" s="151" t="s">
        <v>5171</v>
      </c>
      <c r="D1878" s="151">
        <f>+2347063442293</f>
        <v>2347063442293</v>
      </c>
      <c r="F1878" s="6" t="s">
        <v>168</v>
      </c>
      <c r="G1878" s="6" t="s">
        <v>4609</v>
      </c>
    </row>
    <row r="1879" ht="15.75" customHeight="1">
      <c r="A1879" s="155">
        <v>43438.0</v>
      </c>
      <c r="B1879" s="151" t="s">
        <v>5172</v>
      </c>
      <c r="C1879" s="151" t="s">
        <v>5173</v>
      </c>
      <c r="D1879" s="151">
        <f>+2348068378633</f>
        <v>2348068378633</v>
      </c>
      <c r="F1879" s="6" t="s">
        <v>168</v>
      </c>
      <c r="G1879" s="6" t="s">
        <v>4609</v>
      </c>
    </row>
    <row r="1880" ht="15.75" customHeight="1">
      <c r="A1880" s="155">
        <v>43438.0</v>
      </c>
      <c r="B1880" s="151" t="s">
        <v>5174</v>
      </c>
      <c r="C1880" s="151" t="s">
        <v>5175</v>
      </c>
      <c r="D1880" s="151">
        <f>+23408107496314</f>
        <v>23408107496314</v>
      </c>
      <c r="F1880" s="6" t="s">
        <v>168</v>
      </c>
      <c r="G1880" s="6" t="s">
        <v>4609</v>
      </c>
    </row>
    <row r="1881" ht="15.75" customHeight="1">
      <c r="A1881" s="155">
        <v>43438.0</v>
      </c>
      <c r="B1881" s="151" t="s">
        <v>2667</v>
      </c>
      <c r="C1881" s="151" t="s">
        <v>2668</v>
      </c>
      <c r="D1881" s="151">
        <f>+2347030327593</f>
        <v>2347030327593</v>
      </c>
      <c r="F1881" s="6" t="s">
        <v>168</v>
      </c>
      <c r="G1881" s="6" t="s">
        <v>4609</v>
      </c>
    </row>
    <row r="1882" ht="15.75" customHeight="1">
      <c r="A1882" s="155">
        <v>43438.0</v>
      </c>
      <c r="B1882" s="151" t="s">
        <v>5176</v>
      </c>
      <c r="C1882" s="151" t="s">
        <v>5177</v>
      </c>
      <c r="D1882" s="151">
        <f>+23408068705446</f>
        <v>23408068705446</v>
      </c>
      <c r="F1882" s="6" t="s">
        <v>168</v>
      </c>
      <c r="G1882" s="6" t="s">
        <v>4609</v>
      </c>
    </row>
    <row r="1883" ht="15.75" customHeight="1">
      <c r="A1883" s="155">
        <v>43438.0</v>
      </c>
      <c r="B1883" s="151" t="s">
        <v>5178</v>
      </c>
      <c r="C1883" s="151" t="s">
        <v>5179</v>
      </c>
      <c r="D1883" s="151">
        <f>+218910126789</f>
        <v>218910126789</v>
      </c>
      <c r="F1883" s="6" t="s">
        <v>168</v>
      </c>
      <c r="G1883" s="6" t="s">
        <v>4609</v>
      </c>
    </row>
    <row r="1884" ht="15.75" customHeight="1">
      <c r="A1884" s="155">
        <v>43438.0</v>
      </c>
      <c r="B1884" s="151" t="s">
        <v>5180</v>
      </c>
      <c r="C1884" s="151" t="s">
        <v>5181</v>
      </c>
      <c r="D1884" s="151">
        <f>+2348052519130</f>
        <v>2348052519130</v>
      </c>
      <c r="F1884" s="6" t="s">
        <v>168</v>
      </c>
      <c r="G1884" s="6" t="s">
        <v>4609</v>
      </c>
    </row>
    <row r="1885" ht="15.75" customHeight="1">
      <c r="A1885" s="155">
        <v>43438.0</v>
      </c>
      <c r="B1885" s="151" t="s">
        <v>5182</v>
      </c>
      <c r="C1885" s="151" t="s">
        <v>5183</v>
      </c>
      <c r="D1885" s="151">
        <f>+2348156756140</f>
        <v>2348156756140</v>
      </c>
      <c r="F1885" s="6" t="s">
        <v>168</v>
      </c>
      <c r="G1885" s="6" t="s">
        <v>4609</v>
      </c>
    </row>
    <row r="1886" ht="15.75" customHeight="1">
      <c r="A1886" s="155">
        <v>43438.0</v>
      </c>
      <c r="B1886" s="151" t="s">
        <v>5184</v>
      </c>
      <c r="C1886" s="151" t="s">
        <v>5185</v>
      </c>
      <c r="D1886" s="151">
        <f>+2348033115367</f>
        <v>2348033115367</v>
      </c>
      <c r="F1886" s="6" t="s">
        <v>168</v>
      </c>
      <c r="G1886" s="6" t="s">
        <v>4609</v>
      </c>
    </row>
    <row r="1887" ht="15.75" customHeight="1">
      <c r="A1887" s="155">
        <v>43438.0</v>
      </c>
      <c r="B1887" s="151" t="s">
        <v>5186</v>
      </c>
      <c r="C1887" s="151" t="s">
        <v>5187</v>
      </c>
      <c r="D1887" s="151">
        <f>+2348096779991</f>
        <v>2348096779991</v>
      </c>
      <c r="F1887" s="6" t="s">
        <v>168</v>
      </c>
      <c r="G1887" s="6" t="s">
        <v>4609</v>
      </c>
    </row>
    <row r="1888" ht="15.75" customHeight="1">
      <c r="A1888" s="155">
        <v>43438.0</v>
      </c>
      <c r="B1888" s="151" t="s">
        <v>5188</v>
      </c>
      <c r="C1888" s="151" t="s">
        <v>5189</v>
      </c>
      <c r="D1888" s="151">
        <f>+2347039472273</f>
        <v>2347039472273</v>
      </c>
      <c r="F1888" s="6" t="s">
        <v>168</v>
      </c>
      <c r="G1888" s="6" t="s">
        <v>4609</v>
      </c>
    </row>
    <row r="1889" ht="15.75" customHeight="1">
      <c r="A1889" s="155">
        <v>43438.0</v>
      </c>
      <c r="B1889" s="151" t="s">
        <v>5190</v>
      </c>
      <c r="C1889" s="151" t="s">
        <v>5191</v>
      </c>
      <c r="D1889" s="151">
        <f>+2348052970721</f>
        <v>2348052970721</v>
      </c>
      <c r="F1889" s="6" t="s">
        <v>168</v>
      </c>
      <c r="G1889" s="6" t="s">
        <v>4609</v>
      </c>
    </row>
    <row r="1890" ht="15.75" customHeight="1">
      <c r="A1890" s="155">
        <v>43438.0</v>
      </c>
      <c r="B1890" s="151" t="s">
        <v>5192</v>
      </c>
      <c r="C1890" s="151" t="s">
        <v>5193</v>
      </c>
      <c r="D1890" s="151">
        <f>+2348032675370</f>
        <v>2348032675370</v>
      </c>
      <c r="F1890" s="6" t="s">
        <v>168</v>
      </c>
      <c r="G1890" s="6" t="s">
        <v>4609</v>
      </c>
    </row>
    <row r="1891" ht="15.75" customHeight="1">
      <c r="A1891" s="155">
        <v>43438.0</v>
      </c>
      <c r="B1891" s="151" t="s">
        <v>5194</v>
      </c>
      <c r="C1891" s="151" t="s">
        <v>5195</v>
      </c>
      <c r="D1891" s="151">
        <f>+2348092413057</f>
        <v>2348092413057</v>
      </c>
      <c r="F1891" s="6" t="s">
        <v>168</v>
      </c>
      <c r="G1891" s="6" t="s">
        <v>4609</v>
      </c>
    </row>
    <row r="1892" ht="15.75" customHeight="1">
      <c r="A1892" s="155">
        <v>43438.0</v>
      </c>
      <c r="B1892" s="151" t="s">
        <v>5196</v>
      </c>
      <c r="C1892" s="151" t="s">
        <v>5197</v>
      </c>
      <c r="D1892" s="151">
        <f>+2348066419005</f>
        <v>2348066419005</v>
      </c>
      <c r="F1892" s="6" t="s">
        <v>168</v>
      </c>
      <c r="G1892" s="6" t="s">
        <v>4609</v>
      </c>
    </row>
    <row r="1893" ht="15.75" customHeight="1">
      <c r="A1893" s="155">
        <v>43438.0</v>
      </c>
      <c r="B1893" s="151" t="s">
        <v>5198</v>
      </c>
      <c r="C1893" s="151" t="s">
        <v>5199</v>
      </c>
      <c r="D1893" s="151">
        <f>+2348038043265</f>
        <v>2348038043265</v>
      </c>
      <c r="F1893" s="6" t="s">
        <v>168</v>
      </c>
      <c r="G1893" s="6" t="s">
        <v>4609</v>
      </c>
    </row>
    <row r="1894" ht="15.75" customHeight="1">
      <c r="A1894" s="155">
        <v>43438.0</v>
      </c>
      <c r="B1894" s="151" t="s">
        <v>5200</v>
      </c>
      <c r="C1894" s="151" t="s">
        <v>5201</v>
      </c>
      <c r="D1894" s="151">
        <f>+2348032680110</f>
        <v>2348032680110</v>
      </c>
      <c r="F1894" s="6" t="s">
        <v>168</v>
      </c>
      <c r="G1894" s="6" t="s">
        <v>4609</v>
      </c>
    </row>
    <row r="1895" ht="15.75" customHeight="1">
      <c r="A1895" s="155">
        <v>43439.0</v>
      </c>
      <c r="B1895" s="151" t="s">
        <v>5202</v>
      </c>
      <c r="C1895" s="151" t="s">
        <v>5203</v>
      </c>
      <c r="D1895" s="151">
        <f>+2348055222456</f>
        <v>2348055222456</v>
      </c>
      <c r="E1895" s="151"/>
      <c r="F1895" s="6" t="s">
        <v>168</v>
      </c>
      <c r="G1895" s="6" t="s">
        <v>4724</v>
      </c>
    </row>
    <row r="1896" ht="15.75" customHeight="1">
      <c r="A1896" s="155">
        <v>43439.0</v>
      </c>
      <c r="B1896" s="151" t="s">
        <v>5204</v>
      </c>
      <c r="C1896" s="151" t="s">
        <v>5205</v>
      </c>
      <c r="D1896" s="151">
        <f>+2348131634635</f>
        <v>2348131634635</v>
      </c>
      <c r="E1896" s="151"/>
      <c r="F1896" s="6" t="s">
        <v>168</v>
      </c>
      <c r="G1896" s="6" t="s">
        <v>4724</v>
      </c>
    </row>
    <row r="1897" ht="15.75" customHeight="1">
      <c r="A1897" s="155">
        <v>43439.0</v>
      </c>
      <c r="B1897" s="151" t="s">
        <v>5206</v>
      </c>
      <c r="C1897" s="151" t="s">
        <v>5207</v>
      </c>
      <c r="D1897" s="151">
        <f>+2348128880300</f>
        <v>2348128880300</v>
      </c>
      <c r="E1897" s="151"/>
      <c r="F1897" s="6" t="s">
        <v>168</v>
      </c>
      <c r="G1897" s="6" t="s">
        <v>4724</v>
      </c>
    </row>
    <row r="1898" ht="15.75" customHeight="1">
      <c r="A1898" s="155">
        <v>43439.0</v>
      </c>
      <c r="B1898" s="151" t="s">
        <v>5208</v>
      </c>
      <c r="C1898" s="151" t="s">
        <v>5209</v>
      </c>
      <c r="D1898" s="151">
        <f>+2347030649661</f>
        <v>2347030649661</v>
      </c>
      <c r="E1898" s="151"/>
      <c r="F1898" s="6" t="s">
        <v>168</v>
      </c>
      <c r="G1898" s="6" t="s">
        <v>4724</v>
      </c>
    </row>
    <row r="1899" ht="15.75" customHeight="1">
      <c r="A1899" s="155">
        <v>43439.0</v>
      </c>
      <c r="B1899" s="151" t="s">
        <v>5210</v>
      </c>
      <c r="C1899" s="151" t="s">
        <v>5211</v>
      </c>
      <c r="D1899" s="151">
        <f>+2348084448123</f>
        <v>2348084448123</v>
      </c>
      <c r="E1899" s="151"/>
      <c r="F1899" s="6" t="s">
        <v>168</v>
      </c>
      <c r="G1899" s="6" t="s">
        <v>4724</v>
      </c>
    </row>
    <row r="1900" ht="15.75" customHeight="1">
      <c r="A1900" s="155">
        <v>43439.0</v>
      </c>
      <c r="B1900" s="151" t="s">
        <v>5212</v>
      </c>
      <c r="C1900" s="151" t="s">
        <v>5213</v>
      </c>
      <c r="D1900" s="151">
        <f>+2347039443673</f>
        <v>2347039443673</v>
      </c>
      <c r="E1900" s="151"/>
      <c r="F1900" s="6" t="s">
        <v>168</v>
      </c>
      <c r="G1900" s="6" t="s">
        <v>4724</v>
      </c>
    </row>
    <row r="1901" ht="15.75" customHeight="1">
      <c r="A1901" s="155">
        <v>43439.0</v>
      </c>
      <c r="B1901" s="151" t="s">
        <v>5214</v>
      </c>
      <c r="C1901" s="151" t="s">
        <v>5215</v>
      </c>
      <c r="D1901" s="151">
        <f>+2348163744943</f>
        <v>2348163744943</v>
      </c>
      <c r="E1901" s="151"/>
      <c r="F1901" s="6" t="s">
        <v>168</v>
      </c>
      <c r="G1901" s="6" t="s">
        <v>4724</v>
      </c>
    </row>
    <row r="1902" ht="15.75" customHeight="1">
      <c r="A1902" s="155">
        <v>43439.0</v>
      </c>
      <c r="B1902" s="151" t="s">
        <v>5216</v>
      </c>
      <c r="C1902" s="151" t="s">
        <v>5217</v>
      </c>
      <c r="D1902" s="151">
        <f>+23408171213791</f>
        <v>23408171213791</v>
      </c>
      <c r="E1902" s="151"/>
      <c r="F1902" s="6" t="s">
        <v>168</v>
      </c>
      <c r="G1902" s="6" t="s">
        <v>4724</v>
      </c>
    </row>
    <row r="1903" ht="15.75" customHeight="1">
      <c r="A1903" s="155">
        <v>43439.0</v>
      </c>
      <c r="B1903" s="151" t="s">
        <v>5218</v>
      </c>
      <c r="C1903" s="151" t="s">
        <v>5219</v>
      </c>
      <c r="D1903" s="151">
        <f>+2348166776104</f>
        <v>2348166776104</v>
      </c>
      <c r="E1903" s="151"/>
      <c r="F1903" s="6" t="s">
        <v>168</v>
      </c>
      <c r="G1903" s="6" t="s">
        <v>4724</v>
      </c>
    </row>
    <row r="1904" ht="15.75" customHeight="1">
      <c r="A1904" s="155">
        <v>43439.0</v>
      </c>
      <c r="B1904" s="151" t="s">
        <v>5220</v>
      </c>
      <c r="C1904" s="151" t="s">
        <v>5221</v>
      </c>
      <c r="D1904" s="151">
        <f>+2348034371746</f>
        <v>2348034371746</v>
      </c>
      <c r="E1904" s="151"/>
      <c r="F1904" s="6" t="s">
        <v>168</v>
      </c>
      <c r="G1904" s="6" t="s">
        <v>4724</v>
      </c>
    </row>
    <row r="1905" ht="15.75" customHeight="1">
      <c r="A1905" s="155">
        <v>43439.0</v>
      </c>
      <c r="B1905" s="151" t="s">
        <v>5222</v>
      </c>
      <c r="C1905" s="151" t="s">
        <v>5223</v>
      </c>
      <c r="D1905" s="151">
        <f>+2348050201626</f>
        <v>2348050201626</v>
      </c>
      <c r="E1905" s="151"/>
      <c r="F1905" s="6" t="s">
        <v>168</v>
      </c>
      <c r="G1905" s="6" t="s">
        <v>4724</v>
      </c>
    </row>
    <row r="1906" ht="15.75" customHeight="1">
      <c r="A1906" s="155">
        <v>43439.0</v>
      </c>
      <c r="B1906" s="151" t="s">
        <v>5224</v>
      </c>
      <c r="C1906" s="151" t="s">
        <v>5225</v>
      </c>
      <c r="D1906" s="151">
        <f>+2349094190333</f>
        <v>2349094190333</v>
      </c>
      <c r="E1906" s="151"/>
      <c r="F1906" s="6" t="s">
        <v>168</v>
      </c>
      <c r="G1906" s="6" t="s">
        <v>4724</v>
      </c>
    </row>
    <row r="1907" ht="15.75" customHeight="1">
      <c r="A1907" s="155">
        <v>43439.0</v>
      </c>
      <c r="B1907" s="151" t="s">
        <v>5226</v>
      </c>
      <c r="C1907" s="151" t="s">
        <v>5227</v>
      </c>
      <c r="D1907" s="151">
        <f>+2347037778892</f>
        <v>2347037778892</v>
      </c>
      <c r="E1907" s="151"/>
      <c r="F1907" s="6" t="s">
        <v>168</v>
      </c>
      <c r="G1907" s="6" t="s">
        <v>4724</v>
      </c>
    </row>
    <row r="1908" ht="15.75" customHeight="1">
      <c r="A1908" s="155">
        <v>43439.0</v>
      </c>
      <c r="B1908" s="151" t="s">
        <v>5228</v>
      </c>
      <c r="C1908" s="151" t="s">
        <v>5229</v>
      </c>
      <c r="D1908" s="151">
        <f>+2347038166198</f>
        <v>2347038166198</v>
      </c>
      <c r="E1908" s="151"/>
      <c r="F1908" s="6" t="s">
        <v>168</v>
      </c>
      <c r="G1908" s="6" t="s">
        <v>4724</v>
      </c>
    </row>
    <row r="1909" ht="15.75" customHeight="1">
      <c r="A1909" s="155">
        <v>43439.0</v>
      </c>
      <c r="B1909" s="151" t="s">
        <v>5230</v>
      </c>
      <c r="C1909" s="151" t="s">
        <v>5231</v>
      </c>
      <c r="D1909" s="151">
        <f>+2347064582355</f>
        <v>2347064582355</v>
      </c>
      <c r="E1909" s="151"/>
      <c r="F1909" s="6" t="s">
        <v>168</v>
      </c>
      <c r="G1909" s="6" t="s">
        <v>4724</v>
      </c>
    </row>
    <row r="1910" ht="15.75" customHeight="1">
      <c r="A1910" s="155">
        <v>43439.0</v>
      </c>
      <c r="B1910" s="151" t="s">
        <v>5232</v>
      </c>
      <c r="C1910" s="151" t="s">
        <v>5233</v>
      </c>
      <c r="D1910" s="151">
        <f>+2348120070435</f>
        <v>2348120070435</v>
      </c>
      <c r="E1910" s="151"/>
      <c r="F1910" s="6" t="s">
        <v>168</v>
      </c>
      <c r="G1910" s="6" t="s">
        <v>4724</v>
      </c>
    </row>
    <row r="1911" ht="15.75" customHeight="1">
      <c r="A1911" s="155">
        <v>43439.0</v>
      </c>
      <c r="B1911" s="151" t="s">
        <v>5234</v>
      </c>
      <c r="C1911" s="151" t="s">
        <v>5235</v>
      </c>
      <c r="D1911" s="151">
        <f>+2348105680973</f>
        <v>2348105680973</v>
      </c>
      <c r="E1911" s="151"/>
      <c r="F1911" s="6" t="s">
        <v>168</v>
      </c>
      <c r="G1911" s="6" t="s">
        <v>4724</v>
      </c>
    </row>
    <row r="1912" ht="15.75" customHeight="1">
      <c r="A1912" s="155">
        <v>43439.0</v>
      </c>
      <c r="B1912" s="151" t="s">
        <v>5236</v>
      </c>
      <c r="C1912" s="151" t="s">
        <v>5237</v>
      </c>
      <c r="D1912" s="151">
        <f>+2348027257291</f>
        <v>2348027257291</v>
      </c>
      <c r="E1912" s="151"/>
      <c r="F1912" s="6" t="s">
        <v>168</v>
      </c>
      <c r="G1912" s="6" t="s">
        <v>4724</v>
      </c>
    </row>
    <row r="1913" ht="15.75" customHeight="1">
      <c r="A1913" s="155">
        <v>43439.0</v>
      </c>
      <c r="B1913" s="151" t="s">
        <v>5238</v>
      </c>
      <c r="C1913" s="151" t="s">
        <v>5239</v>
      </c>
      <c r="D1913" s="151">
        <f>+2347013639363</f>
        <v>2347013639363</v>
      </c>
      <c r="E1913" s="151"/>
      <c r="F1913" s="6" t="s">
        <v>168</v>
      </c>
      <c r="G1913" s="6" t="s">
        <v>4724</v>
      </c>
    </row>
    <row r="1914" ht="15.75" customHeight="1">
      <c r="A1914" s="155">
        <v>43439.0</v>
      </c>
      <c r="B1914" s="151" t="s">
        <v>5240</v>
      </c>
      <c r="C1914" s="151" t="s">
        <v>5241</v>
      </c>
      <c r="D1914" s="151">
        <f>+2348035071440</f>
        <v>2348035071440</v>
      </c>
      <c r="E1914" s="151"/>
      <c r="F1914" s="6" t="s">
        <v>168</v>
      </c>
      <c r="G1914" s="6" t="s">
        <v>4724</v>
      </c>
    </row>
    <row r="1915" ht="15.75" customHeight="1">
      <c r="A1915" s="155">
        <v>43439.0</v>
      </c>
      <c r="B1915" s="151" t="s">
        <v>5242</v>
      </c>
      <c r="C1915" s="151" t="s">
        <v>5243</v>
      </c>
      <c r="D1915" s="151">
        <f>+2348182775968</f>
        <v>2348182775968</v>
      </c>
      <c r="E1915" s="151"/>
      <c r="F1915" s="6" t="s">
        <v>168</v>
      </c>
      <c r="G1915" s="6" t="s">
        <v>4724</v>
      </c>
    </row>
    <row r="1916" ht="15.75" customHeight="1">
      <c r="A1916" s="155">
        <v>43439.0</v>
      </c>
      <c r="B1916" s="151" t="s">
        <v>5244</v>
      </c>
      <c r="C1916" s="151" t="s">
        <v>5245</v>
      </c>
      <c r="D1916" s="151">
        <f>+2348173441117</f>
        <v>2348173441117</v>
      </c>
      <c r="E1916" s="151"/>
      <c r="F1916" s="6" t="s">
        <v>168</v>
      </c>
      <c r="G1916" s="6" t="s">
        <v>4724</v>
      </c>
    </row>
    <row r="1917" ht="15.75" customHeight="1">
      <c r="A1917" s="155">
        <v>43439.0</v>
      </c>
      <c r="B1917" s="151" t="s">
        <v>5246</v>
      </c>
      <c r="C1917" s="151" t="s">
        <v>5247</v>
      </c>
      <c r="D1917" s="151">
        <f>+2348035843218</f>
        <v>2348035843218</v>
      </c>
      <c r="E1917" s="151"/>
      <c r="F1917" s="6" t="s">
        <v>168</v>
      </c>
      <c r="G1917" s="6" t="s">
        <v>4724</v>
      </c>
    </row>
    <row r="1918" ht="15.75" customHeight="1">
      <c r="A1918" s="155">
        <v>43439.0</v>
      </c>
      <c r="B1918" s="151" t="s">
        <v>5248</v>
      </c>
      <c r="C1918" s="151" t="s">
        <v>5249</v>
      </c>
      <c r="D1918" s="151">
        <f>+2347051991723</f>
        <v>2347051991723</v>
      </c>
      <c r="E1918" s="151"/>
      <c r="F1918" s="6" t="s">
        <v>168</v>
      </c>
      <c r="G1918" s="6" t="s">
        <v>4724</v>
      </c>
    </row>
    <row r="1919" ht="15.75" customHeight="1">
      <c r="A1919" s="155">
        <v>43439.0</v>
      </c>
      <c r="B1919" s="151" t="s">
        <v>5250</v>
      </c>
      <c r="C1919" s="151" t="s">
        <v>5251</v>
      </c>
      <c r="D1919" s="151">
        <f>+2348023152790</f>
        <v>2348023152790</v>
      </c>
      <c r="E1919" s="151"/>
      <c r="F1919" s="6" t="s">
        <v>168</v>
      </c>
      <c r="G1919" s="6" t="s">
        <v>4724</v>
      </c>
    </row>
    <row r="1920" ht="15.75" customHeight="1">
      <c r="A1920" s="155">
        <v>43439.0</v>
      </c>
      <c r="B1920" s="151" t="s">
        <v>5252</v>
      </c>
      <c r="C1920" s="151" t="s">
        <v>5253</v>
      </c>
      <c r="D1920" s="151">
        <f>+2348133035995</f>
        <v>2348133035995</v>
      </c>
      <c r="E1920" s="151"/>
      <c r="F1920" s="6" t="s">
        <v>168</v>
      </c>
      <c r="G1920" s="6" t="s">
        <v>4724</v>
      </c>
    </row>
    <row r="1921" ht="15.75" customHeight="1">
      <c r="A1921" s="155">
        <v>43439.0</v>
      </c>
      <c r="B1921" s="151" t="s">
        <v>5254</v>
      </c>
      <c r="C1921" s="151" t="s">
        <v>5255</v>
      </c>
      <c r="D1921" s="151">
        <f>+2348037057487</f>
        <v>2348037057487</v>
      </c>
      <c r="E1921" s="151"/>
      <c r="F1921" s="6" t="s">
        <v>168</v>
      </c>
      <c r="G1921" s="6" t="s">
        <v>4724</v>
      </c>
    </row>
    <row r="1922" ht="15.75" customHeight="1">
      <c r="A1922" s="155">
        <v>43439.0</v>
      </c>
      <c r="B1922" s="151" t="s">
        <v>5256</v>
      </c>
      <c r="C1922" s="151" t="s">
        <v>5257</v>
      </c>
      <c r="D1922" s="151">
        <f>+2348033005127</f>
        <v>2348033005127</v>
      </c>
      <c r="E1922" s="151"/>
      <c r="F1922" s="6" t="s">
        <v>168</v>
      </c>
      <c r="G1922" s="6" t="s">
        <v>4724</v>
      </c>
    </row>
    <row r="1923" ht="15.75" customHeight="1">
      <c r="A1923" s="155">
        <v>43439.0</v>
      </c>
      <c r="B1923" s="151" t="s">
        <v>5258</v>
      </c>
      <c r="C1923" s="151" t="s">
        <v>5259</v>
      </c>
      <c r="D1923" s="151">
        <f>+2348039769798</f>
        <v>2348039769798</v>
      </c>
      <c r="E1923" s="151"/>
      <c r="F1923" s="6" t="s">
        <v>168</v>
      </c>
      <c r="G1923" s="6" t="s">
        <v>4724</v>
      </c>
    </row>
    <row r="1924" ht="15.75" customHeight="1">
      <c r="A1924" s="155">
        <v>43439.0</v>
      </c>
      <c r="B1924" s="151" t="s">
        <v>5260</v>
      </c>
      <c r="C1924" s="151" t="s">
        <v>5261</v>
      </c>
      <c r="D1924" s="151">
        <f>+2348139294441</f>
        <v>2348139294441</v>
      </c>
      <c r="E1924" s="151"/>
      <c r="F1924" s="6" t="s">
        <v>168</v>
      </c>
      <c r="G1924" s="6" t="s">
        <v>4724</v>
      </c>
    </row>
    <row r="1925" ht="15.75" customHeight="1">
      <c r="A1925" s="155">
        <v>43439.0</v>
      </c>
      <c r="B1925" s="151" t="s">
        <v>5262</v>
      </c>
      <c r="C1925" s="151" t="s">
        <v>5263</v>
      </c>
      <c r="D1925" s="151">
        <f>+2348066169899</f>
        <v>2348066169899</v>
      </c>
      <c r="E1925" s="151"/>
      <c r="F1925" s="6" t="s">
        <v>168</v>
      </c>
      <c r="G1925" s="6" t="s">
        <v>4724</v>
      </c>
    </row>
    <row r="1926" ht="15.75" customHeight="1">
      <c r="A1926" s="155">
        <v>43439.0</v>
      </c>
      <c r="B1926" s="151" t="s">
        <v>5264</v>
      </c>
      <c r="C1926" s="151" t="s">
        <v>5265</v>
      </c>
      <c r="D1926" s="151">
        <f>+2349032645886</f>
        <v>2349032645886</v>
      </c>
      <c r="E1926" s="151"/>
      <c r="F1926" s="6" t="s">
        <v>168</v>
      </c>
      <c r="G1926" s="6" t="s">
        <v>4724</v>
      </c>
    </row>
    <row r="1927" ht="15.75" customHeight="1">
      <c r="A1927" s="155">
        <v>43439.0</v>
      </c>
      <c r="B1927" s="151" t="s">
        <v>5266</v>
      </c>
      <c r="C1927" s="151" t="s">
        <v>5267</v>
      </c>
      <c r="D1927" s="151">
        <f>+2348160388990</f>
        <v>2348160388990</v>
      </c>
      <c r="E1927" s="151"/>
      <c r="F1927" s="6" t="s">
        <v>168</v>
      </c>
      <c r="G1927" s="6" t="s">
        <v>4724</v>
      </c>
    </row>
    <row r="1928" ht="15.75" customHeight="1">
      <c r="A1928" s="155">
        <v>43442.0</v>
      </c>
      <c r="B1928" s="20" t="s">
        <v>5268</v>
      </c>
      <c r="C1928" s="20" t="s">
        <v>5269</v>
      </c>
      <c r="D1928" s="19" t="s">
        <v>5270</v>
      </c>
      <c r="F1928" s="6" t="s">
        <v>168</v>
      </c>
      <c r="G1928" s="6" t="s">
        <v>5271</v>
      </c>
    </row>
    <row r="1929" ht="15.75" customHeight="1">
      <c r="A1929" s="155">
        <v>43442.0</v>
      </c>
      <c r="B1929" s="20" t="s">
        <v>5272</v>
      </c>
      <c r="C1929" s="20" t="s">
        <v>5273</v>
      </c>
      <c r="D1929" s="19" t="s">
        <v>5274</v>
      </c>
      <c r="F1929" s="6" t="s">
        <v>168</v>
      </c>
      <c r="G1929" s="6" t="s">
        <v>5271</v>
      </c>
    </row>
    <row r="1930" ht="15.75" customHeight="1">
      <c r="A1930" s="155">
        <v>43442.0</v>
      </c>
      <c r="B1930" s="20" t="s">
        <v>5275</v>
      </c>
      <c r="C1930" s="20" t="s">
        <v>5276</v>
      </c>
      <c r="D1930" s="19" t="s">
        <v>5277</v>
      </c>
      <c r="E1930" s="18"/>
      <c r="F1930" s="6" t="s">
        <v>168</v>
      </c>
      <c r="G1930" s="6" t="s">
        <v>5271</v>
      </c>
    </row>
    <row r="1931" ht="15.75" customHeight="1">
      <c r="A1931" s="155">
        <v>43442.0</v>
      </c>
      <c r="B1931" s="20" t="s">
        <v>5278</v>
      </c>
      <c r="C1931" s="20" t="s">
        <v>5279</v>
      </c>
      <c r="D1931" s="19" t="s">
        <v>5280</v>
      </c>
      <c r="F1931" s="6" t="s">
        <v>168</v>
      </c>
      <c r="G1931" s="6" t="s">
        <v>5271</v>
      </c>
    </row>
    <row r="1932" ht="15.75" customHeight="1">
      <c r="A1932" s="155">
        <v>43442.0</v>
      </c>
      <c r="B1932" s="20" t="s">
        <v>5281</v>
      </c>
      <c r="C1932" s="20" t="s">
        <v>5282</v>
      </c>
      <c r="D1932" s="19" t="s">
        <v>5283</v>
      </c>
      <c r="F1932" s="6" t="s">
        <v>168</v>
      </c>
      <c r="G1932" s="6" t="s">
        <v>5271</v>
      </c>
    </row>
    <row r="1933" ht="15.75" customHeight="1">
      <c r="A1933" s="155">
        <v>43442.0</v>
      </c>
      <c r="B1933" s="20" t="s">
        <v>5284</v>
      </c>
      <c r="C1933" s="20" t="s">
        <v>5285</v>
      </c>
      <c r="D1933" s="19" t="s">
        <v>5286</v>
      </c>
      <c r="E1933" s="18"/>
      <c r="F1933" s="6" t="s">
        <v>168</v>
      </c>
      <c r="G1933" s="6" t="s">
        <v>5271</v>
      </c>
    </row>
    <row r="1934" ht="15.75" customHeight="1">
      <c r="A1934" s="155">
        <v>43442.0</v>
      </c>
      <c r="B1934" s="20" t="s">
        <v>2539</v>
      </c>
      <c r="C1934" s="20" t="s">
        <v>5287</v>
      </c>
      <c r="D1934" s="19" t="s">
        <v>5288</v>
      </c>
      <c r="F1934" s="6" t="s">
        <v>168</v>
      </c>
      <c r="G1934" s="6" t="s">
        <v>5271</v>
      </c>
    </row>
    <row r="1935" ht="15.75" customHeight="1">
      <c r="A1935" s="155">
        <v>43442.0</v>
      </c>
      <c r="B1935" s="20" t="s">
        <v>5289</v>
      </c>
      <c r="C1935" s="20" t="s">
        <v>5290</v>
      </c>
      <c r="D1935" s="19" t="s">
        <v>5291</v>
      </c>
      <c r="F1935" s="6" t="s">
        <v>168</v>
      </c>
      <c r="G1935" s="6" t="s">
        <v>5271</v>
      </c>
    </row>
    <row r="1936" ht="15.75" customHeight="1">
      <c r="A1936" s="155">
        <v>43442.0</v>
      </c>
      <c r="B1936" s="20" t="s">
        <v>5292</v>
      </c>
      <c r="C1936" s="20" t="s">
        <v>5293</v>
      </c>
      <c r="D1936" s="19" t="s">
        <v>5294</v>
      </c>
      <c r="E1936" s="18"/>
      <c r="F1936" s="6" t="s">
        <v>97</v>
      </c>
      <c r="G1936" s="6" t="s">
        <v>5271</v>
      </c>
    </row>
    <row r="1937" ht="15.75" customHeight="1">
      <c r="A1937" s="155">
        <v>43442.0</v>
      </c>
      <c r="B1937" s="20" t="s">
        <v>5295</v>
      </c>
      <c r="C1937" s="20" t="s">
        <v>5296</v>
      </c>
      <c r="D1937" s="19" t="s">
        <v>5297</v>
      </c>
      <c r="E1937" s="18"/>
      <c r="F1937" s="6" t="s">
        <v>97</v>
      </c>
      <c r="G1937" s="6" t="s">
        <v>5271</v>
      </c>
    </row>
    <row r="1938" ht="15.75" customHeight="1">
      <c r="A1938" s="155">
        <v>43442.0</v>
      </c>
      <c r="B1938" s="20" t="s">
        <v>5298</v>
      </c>
      <c r="C1938" s="20" t="s">
        <v>5299</v>
      </c>
      <c r="D1938" s="19" t="s">
        <v>5300</v>
      </c>
      <c r="E1938" s="18"/>
      <c r="F1938" s="6" t="s">
        <v>97</v>
      </c>
      <c r="G1938" s="6" t="s">
        <v>5271</v>
      </c>
    </row>
    <row r="1939" ht="15.75" customHeight="1">
      <c r="A1939" s="155">
        <v>43442.0</v>
      </c>
      <c r="B1939" s="20" t="s">
        <v>5301</v>
      </c>
      <c r="C1939" s="20" t="s">
        <v>5302</v>
      </c>
      <c r="D1939" s="19" t="s">
        <v>5303</v>
      </c>
      <c r="E1939" s="18"/>
      <c r="F1939" s="6" t="s">
        <v>97</v>
      </c>
      <c r="G1939" s="6" t="s">
        <v>5271</v>
      </c>
    </row>
    <row r="1940" ht="15.75" customHeight="1">
      <c r="A1940" s="155">
        <v>43442.0</v>
      </c>
      <c r="B1940" s="20" t="s">
        <v>5304</v>
      </c>
      <c r="C1940" s="20" t="s">
        <v>5305</v>
      </c>
      <c r="D1940" s="19" t="s">
        <v>5286</v>
      </c>
      <c r="E1940" s="18"/>
      <c r="F1940" s="6" t="s">
        <v>97</v>
      </c>
      <c r="G1940" s="6" t="s">
        <v>5271</v>
      </c>
    </row>
    <row r="1941" ht="15.75" customHeight="1">
      <c r="A1941" s="155">
        <v>43442.0</v>
      </c>
      <c r="B1941" s="20" t="s">
        <v>5306</v>
      </c>
      <c r="C1941" s="20" t="s">
        <v>5307</v>
      </c>
      <c r="D1941" s="19" t="s">
        <v>5286</v>
      </c>
      <c r="E1941" s="18"/>
      <c r="F1941" s="6" t="s">
        <v>97</v>
      </c>
      <c r="G1941" s="6" t="s">
        <v>5271</v>
      </c>
    </row>
    <row r="1942" ht="15.75" customHeight="1">
      <c r="A1942" s="155">
        <v>43442.0</v>
      </c>
      <c r="B1942" s="20" t="s">
        <v>5308</v>
      </c>
      <c r="C1942" s="20" t="s">
        <v>5309</v>
      </c>
      <c r="D1942" s="19" t="s">
        <v>5310</v>
      </c>
      <c r="E1942" s="18"/>
      <c r="F1942" s="6" t="s">
        <v>97</v>
      </c>
      <c r="G1942" s="6" t="s">
        <v>5271</v>
      </c>
    </row>
    <row r="1943" ht="15.75" customHeight="1">
      <c r="A1943" s="155">
        <v>43442.0</v>
      </c>
      <c r="B1943" s="20" t="s">
        <v>5311</v>
      </c>
      <c r="C1943" s="20" t="s">
        <v>5312</v>
      </c>
      <c r="D1943" s="19" t="s">
        <v>5313</v>
      </c>
      <c r="E1943" s="18"/>
      <c r="F1943" s="6" t="s">
        <v>97</v>
      </c>
      <c r="G1943" s="6" t="s">
        <v>5271</v>
      </c>
    </row>
    <row r="1944" ht="15.75" customHeight="1">
      <c r="A1944" s="155">
        <v>43442.0</v>
      </c>
      <c r="B1944" s="20" t="s">
        <v>5314</v>
      </c>
      <c r="C1944" s="20" t="s">
        <v>5315</v>
      </c>
      <c r="D1944" s="19" t="s">
        <v>5316</v>
      </c>
      <c r="E1944" s="18"/>
      <c r="F1944" s="6" t="s">
        <v>97</v>
      </c>
      <c r="G1944" s="6" t="s">
        <v>5271</v>
      </c>
    </row>
    <row r="1945" ht="15.75" customHeight="1">
      <c r="A1945" s="155">
        <v>43442.0</v>
      </c>
      <c r="B1945" s="20" t="s">
        <v>5317</v>
      </c>
      <c r="C1945" s="20" t="s">
        <v>5318</v>
      </c>
      <c r="D1945" s="19" t="s">
        <v>5319</v>
      </c>
      <c r="E1945" s="18"/>
      <c r="F1945" s="6" t="s">
        <v>97</v>
      </c>
      <c r="G1945" s="6" t="s">
        <v>5271</v>
      </c>
    </row>
    <row r="1946" ht="15.75" customHeight="1">
      <c r="A1946" s="155">
        <v>43442.0</v>
      </c>
      <c r="B1946" s="20" t="s">
        <v>5320</v>
      </c>
      <c r="C1946" s="20" t="s">
        <v>5321</v>
      </c>
      <c r="D1946" s="18">
        <v>8.077697301E9</v>
      </c>
      <c r="E1946" s="156"/>
      <c r="F1946" s="6" t="s">
        <v>168</v>
      </c>
      <c r="G1946" s="6" t="s">
        <v>5271</v>
      </c>
    </row>
    <row r="1947" ht="15.75" customHeight="1">
      <c r="A1947" s="155">
        <v>43442.0</v>
      </c>
      <c r="B1947" s="20" t="s">
        <v>5322</v>
      </c>
      <c r="C1947" s="20" t="s">
        <v>5323</v>
      </c>
      <c r="D1947" s="18">
        <v>8.060755857E9</v>
      </c>
      <c r="E1947" s="156"/>
      <c r="F1947" s="6" t="s">
        <v>168</v>
      </c>
      <c r="G1947" s="6" t="s">
        <v>5271</v>
      </c>
    </row>
    <row r="1948" ht="15.75" customHeight="1">
      <c r="A1948" s="155">
        <v>43442.0</v>
      </c>
      <c r="B1948" s="20" t="s">
        <v>5324</v>
      </c>
      <c r="C1948" s="20" t="s">
        <v>5325</v>
      </c>
      <c r="D1948" s="19" t="s">
        <v>5326</v>
      </c>
      <c r="E1948" s="20"/>
      <c r="F1948" s="6" t="s">
        <v>168</v>
      </c>
      <c r="G1948" s="6" t="s">
        <v>5271</v>
      </c>
    </row>
    <row r="1949" ht="15.75" customHeight="1">
      <c r="A1949" s="155">
        <v>43442.0</v>
      </c>
      <c r="B1949" s="20" t="s">
        <v>5327</v>
      </c>
      <c r="C1949" s="20" t="s">
        <v>5328</v>
      </c>
      <c r="D1949" s="19" t="s">
        <v>5329</v>
      </c>
      <c r="E1949" s="20"/>
      <c r="F1949" s="6" t="s">
        <v>168</v>
      </c>
      <c r="G1949" s="6" t="s">
        <v>5271</v>
      </c>
    </row>
    <row r="1950" ht="15.75" customHeight="1">
      <c r="A1950" s="155">
        <v>43442.0</v>
      </c>
      <c r="B1950" s="20" t="s">
        <v>5330</v>
      </c>
      <c r="C1950" s="20" t="s">
        <v>5331</v>
      </c>
      <c r="D1950" s="19" t="s">
        <v>5332</v>
      </c>
      <c r="E1950" s="20"/>
      <c r="F1950" s="6" t="s">
        <v>168</v>
      </c>
      <c r="G1950" s="6" t="s">
        <v>5271</v>
      </c>
    </row>
    <row r="1951" ht="15.75" customHeight="1">
      <c r="A1951" s="155">
        <v>43442.0</v>
      </c>
      <c r="B1951" s="20" t="s">
        <v>5333</v>
      </c>
      <c r="C1951" s="20" t="s">
        <v>5334</v>
      </c>
      <c r="D1951" s="19" t="s">
        <v>5335</v>
      </c>
      <c r="E1951" s="20"/>
      <c r="F1951" s="6" t="s">
        <v>168</v>
      </c>
      <c r="G1951" s="6" t="s">
        <v>5271</v>
      </c>
    </row>
    <row r="1952" ht="15.75" customHeight="1">
      <c r="A1952" s="155">
        <v>43442.0</v>
      </c>
      <c r="B1952" s="20" t="s">
        <v>2539</v>
      </c>
      <c r="C1952" s="20" t="s">
        <v>5287</v>
      </c>
      <c r="D1952" s="19" t="s">
        <v>5288</v>
      </c>
      <c r="E1952" s="20"/>
      <c r="F1952" s="6" t="s">
        <v>168</v>
      </c>
      <c r="G1952" s="6" t="s">
        <v>5271</v>
      </c>
    </row>
    <row r="1953" ht="15.75" customHeight="1">
      <c r="A1953" s="155">
        <v>43442.0</v>
      </c>
      <c r="B1953" s="20" t="s">
        <v>5336</v>
      </c>
      <c r="C1953" s="20" t="s">
        <v>5337</v>
      </c>
      <c r="D1953" s="19" t="s">
        <v>5338</v>
      </c>
      <c r="E1953" s="156"/>
      <c r="F1953" s="6" t="s">
        <v>168</v>
      </c>
      <c r="G1953" s="6" t="s">
        <v>5271</v>
      </c>
    </row>
    <row r="1954" ht="15.75" customHeight="1">
      <c r="A1954" s="155">
        <v>43442.0</v>
      </c>
      <c r="B1954" s="20" t="s">
        <v>5339</v>
      </c>
      <c r="C1954" s="20" t="s">
        <v>5340</v>
      </c>
      <c r="D1954" s="19" t="s">
        <v>5341</v>
      </c>
      <c r="E1954" s="156"/>
      <c r="F1954" s="6" t="s">
        <v>168</v>
      </c>
      <c r="G1954" s="6" t="s">
        <v>5271</v>
      </c>
    </row>
    <row r="1955" ht="15.75" customHeight="1">
      <c r="A1955" s="155">
        <v>43443.0</v>
      </c>
      <c r="B1955" s="157" t="s">
        <v>5342</v>
      </c>
      <c r="C1955" s="20" t="s">
        <v>5343</v>
      </c>
      <c r="D1955" s="19" t="s">
        <v>5344</v>
      </c>
      <c r="F1955" s="6" t="s">
        <v>168</v>
      </c>
      <c r="G1955" s="6" t="s">
        <v>5271</v>
      </c>
    </row>
    <row r="1956" ht="15.75" customHeight="1">
      <c r="A1956" s="155">
        <v>43443.0</v>
      </c>
      <c r="B1956" s="20" t="s">
        <v>5345</v>
      </c>
      <c r="C1956" s="20" t="s">
        <v>5346</v>
      </c>
      <c r="D1956" s="19" t="s">
        <v>5347</v>
      </c>
      <c r="F1956" s="6" t="s">
        <v>168</v>
      </c>
      <c r="G1956" s="6" t="s">
        <v>5271</v>
      </c>
    </row>
    <row r="1957" ht="15.75" customHeight="1">
      <c r="A1957" s="155">
        <v>43443.0</v>
      </c>
      <c r="B1957" s="20" t="s">
        <v>5348</v>
      </c>
      <c r="C1957" s="20" t="s">
        <v>5349</v>
      </c>
      <c r="D1957" s="19" t="s">
        <v>5350</v>
      </c>
      <c r="F1957" s="6" t="s">
        <v>168</v>
      </c>
      <c r="G1957" s="6" t="s">
        <v>5271</v>
      </c>
    </row>
    <row r="1958" ht="15.75" customHeight="1">
      <c r="A1958" s="155">
        <v>43443.0</v>
      </c>
      <c r="B1958" s="20" t="s">
        <v>5351</v>
      </c>
      <c r="C1958" s="20" t="s">
        <v>5352</v>
      </c>
      <c r="D1958" s="19" t="s">
        <v>5353</v>
      </c>
      <c r="E1958" s="20"/>
      <c r="F1958" s="6" t="s">
        <v>168</v>
      </c>
      <c r="G1958" s="6" t="s">
        <v>5271</v>
      </c>
    </row>
    <row r="1959" ht="15.75" customHeight="1">
      <c r="A1959" s="155">
        <v>43443.0</v>
      </c>
      <c r="B1959" s="20" t="s">
        <v>5354</v>
      </c>
      <c r="C1959" s="20" t="s">
        <v>1330</v>
      </c>
      <c r="D1959" s="19" t="s">
        <v>5355</v>
      </c>
      <c r="E1959" s="20"/>
      <c r="F1959" s="6" t="s">
        <v>168</v>
      </c>
      <c r="G1959" s="6" t="s">
        <v>5271</v>
      </c>
    </row>
    <row r="1960" ht="15.75" customHeight="1">
      <c r="A1960" s="155">
        <v>43443.0</v>
      </c>
      <c r="B1960" s="20" t="s">
        <v>5356</v>
      </c>
      <c r="C1960" s="20" t="s">
        <v>5357</v>
      </c>
      <c r="D1960" s="19" t="s">
        <v>5358</v>
      </c>
      <c r="F1960" s="6" t="s">
        <v>168</v>
      </c>
      <c r="G1960" s="6" t="s">
        <v>5271</v>
      </c>
    </row>
    <row r="1961" ht="15.75" customHeight="1">
      <c r="A1961" s="150">
        <v>43444.0</v>
      </c>
      <c r="B1961" s="20" t="s">
        <v>5359</v>
      </c>
      <c r="C1961" s="20" t="s">
        <v>5360</v>
      </c>
      <c r="D1961" s="19" t="s">
        <v>5361</v>
      </c>
      <c r="F1961" s="6" t="s">
        <v>168</v>
      </c>
      <c r="G1961" s="6" t="s">
        <v>5271</v>
      </c>
    </row>
    <row r="1962" ht="15.75" customHeight="1">
      <c r="A1962" s="150">
        <v>43444.0</v>
      </c>
      <c r="B1962" s="20" t="s">
        <v>5362</v>
      </c>
      <c r="C1962" s="20" t="s">
        <v>5363</v>
      </c>
      <c r="D1962" s="19" t="s">
        <v>5364</v>
      </c>
      <c r="F1962" s="6" t="s">
        <v>168</v>
      </c>
      <c r="G1962" s="6" t="s">
        <v>5271</v>
      </c>
    </row>
    <row r="1963" ht="15.75" customHeight="1">
      <c r="A1963" s="150">
        <v>43444.0</v>
      </c>
      <c r="B1963" s="20" t="s">
        <v>5365</v>
      </c>
      <c r="C1963" s="20" t="s">
        <v>5366</v>
      </c>
      <c r="D1963" s="19" t="s">
        <v>5367</v>
      </c>
      <c r="E1963" s="20"/>
      <c r="F1963" s="6" t="s">
        <v>168</v>
      </c>
      <c r="G1963" s="6" t="s">
        <v>5271</v>
      </c>
    </row>
    <row r="1964" ht="15.75" customHeight="1">
      <c r="A1964" s="150">
        <v>43444.0</v>
      </c>
      <c r="B1964" s="20" t="s">
        <v>5368</v>
      </c>
      <c r="C1964" s="20" t="s">
        <v>5369</v>
      </c>
      <c r="D1964" s="19" t="s">
        <v>5370</v>
      </c>
      <c r="E1964" s="20"/>
      <c r="F1964" s="6" t="s">
        <v>168</v>
      </c>
      <c r="G1964" s="6" t="s">
        <v>5271</v>
      </c>
    </row>
    <row r="1965" ht="15.75" customHeight="1">
      <c r="A1965" s="150">
        <v>43444.0</v>
      </c>
      <c r="B1965" s="20" t="s">
        <v>5371</v>
      </c>
      <c r="C1965" s="20" t="s">
        <v>5372</v>
      </c>
      <c r="D1965" s="19" t="s">
        <v>5367</v>
      </c>
      <c r="E1965" s="20"/>
      <c r="F1965" s="6" t="s">
        <v>168</v>
      </c>
      <c r="G1965" s="6" t="s">
        <v>5271</v>
      </c>
    </row>
    <row r="1966" ht="15.75" customHeight="1">
      <c r="A1966" s="150">
        <v>43444.0</v>
      </c>
      <c r="B1966" s="20" t="s">
        <v>5373</v>
      </c>
      <c r="C1966" s="20" t="s">
        <v>1333</v>
      </c>
      <c r="D1966" s="19" t="s">
        <v>5374</v>
      </c>
      <c r="F1966" s="6" t="s">
        <v>168</v>
      </c>
      <c r="G1966" s="6" t="s">
        <v>5271</v>
      </c>
    </row>
    <row r="1967" ht="15.75" customHeight="1">
      <c r="A1967" s="150">
        <v>43444.0</v>
      </c>
      <c r="B1967" s="20" t="s">
        <v>5375</v>
      </c>
      <c r="C1967" s="20" t="s">
        <v>5376</v>
      </c>
      <c r="D1967" s="19" t="s">
        <v>5377</v>
      </c>
      <c r="F1967" s="6" t="s">
        <v>168</v>
      </c>
      <c r="G1967" s="6" t="s">
        <v>5271</v>
      </c>
    </row>
    <row r="1968" ht="15.75" customHeight="1">
      <c r="A1968" s="150">
        <v>43444.0</v>
      </c>
      <c r="B1968" s="20" t="s">
        <v>5378</v>
      </c>
      <c r="C1968" s="20" t="s">
        <v>5379</v>
      </c>
      <c r="D1968" s="19" t="s">
        <v>5319</v>
      </c>
      <c r="E1968" s="20"/>
      <c r="F1968" s="6" t="s">
        <v>168</v>
      </c>
      <c r="G1968" s="6" t="s">
        <v>5271</v>
      </c>
    </row>
    <row r="1969" ht="15.75" customHeight="1">
      <c r="A1969" s="150">
        <v>43444.0</v>
      </c>
      <c r="B1969" s="20" t="s">
        <v>2539</v>
      </c>
      <c r="C1969" s="20" t="s">
        <v>5380</v>
      </c>
      <c r="D1969" s="19" t="s">
        <v>5381</v>
      </c>
      <c r="F1969" s="6" t="s">
        <v>168</v>
      </c>
      <c r="G1969" s="6" t="s">
        <v>5271</v>
      </c>
    </row>
    <row r="1970" ht="15.75" customHeight="1">
      <c r="A1970" s="150">
        <v>43444.0</v>
      </c>
      <c r="B1970" s="20" t="s">
        <v>5382</v>
      </c>
      <c r="C1970" s="20" t="s">
        <v>5383</v>
      </c>
      <c r="D1970" s="19" t="s">
        <v>5384</v>
      </c>
      <c r="E1970" s="20"/>
      <c r="F1970" s="6" t="s">
        <v>168</v>
      </c>
      <c r="G1970" s="6" t="s">
        <v>5271</v>
      </c>
    </row>
    <row r="1971" ht="15.75" customHeight="1">
      <c r="A1971" s="150">
        <v>43444.0</v>
      </c>
      <c r="B1971" s="20" t="s">
        <v>5385</v>
      </c>
      <c r="C1971" s="20" t="s">
        <v>5386</v>
      </c>
      <c r="D1971" s="19" t="s">
        <v>5286</v>
      </c>
      <c r="E1971" s="20"/>
      <c r="F1971" s="6" t="s">
        <v>168</v>
      </c>
      <c r="G1971" s="6" t="s">
        <v>5271</v>
      </c>
    </row>
    <row r="1972" ht="15.75" customHeight="1">
      <c r="A1972" s="150">
        <v>43445.0</v>
      </c>
      <c r="B1972" s="18" t="s">
        <v>5387</v>
      </c>
      <c r="C1972" s="18" t="s">
        <v>2034</v>
      </c>
      <c r="D1972" s="19" t="s">
        <v>5388</v>
      </c>
      <c r="F1972" s="6" t="s">
        <v>168</v>
      </c>
      <c r="G1972" s="6" t="s">
        <v>5271</v>
      </c>
    </row>
    <row r="1973" ht="15.75" customHeight="1">
      <c r="A1973" s="150">
        <v>43445.0</v>
      </c>
      <c r="B1973" s="18" t="s">
        <v>5389</v>
      </c>
      <c r="C1973" s="18" t="s">
        <v>5390</v>
      </c>
      <c r="D1973" s="19" t="s">
        <v>5391</v>
      </c>
      <c r="F1973" s="6" t="s">
        <v>168</v>
      </c>
      <c r="G1973" s="6" t="s">
        <v>5271</v>
      </c>
    </row>
    <row r="1974" ht="15.75" customHeight="1">
      <c r="A1974" s="150">
        <v>43445.0</v>
      </c>
      <c r="B1974" s="18" t="s">
        <v>452</v>
      </c>
      <c r="C1974" s="18" t="s">
        <v>2212</v>
      </c>
      <c r="D1974" s="19" t="s">
        <v>5286</v>
      </c>
      <c r="E1974" s="20"/>
      <c r="F1974" s="6" t="s">
        <v>168</v>
      </c>
      <c r="G1974" s="6" t="s">
        <v>5271</v>
      </c>
    </row>
    <row r="1975" ht="15.75" customHeight="1">
      <c r="A1975" s="150">
        <v>43445.0</v>
      </c>
      <c r="B1975" s="18" t="s">
        <v>5392</v>
      </c>
      <c r="C1975" s="18" t="s">
        <v>5393</v>
      </c>
      <c r="D1975" s="19" t="s">
        <v>5394</v>
      </c>
      <c r="F1975" s="6" t="s">
        <v>168</v>
      </c>
      <c r="G1975" s="6" t="s">
        <v>5271</v>
      </c>
    </row>
    <row r="1976" ht="15.75" customHeight="1">
      <c r="A1976" s="150">
        <v>43445.0</v>
      </c>
      <c r="B1976" s="18" t="s">
        <v>5395</v>
      </c>
      <c r="C1976" s="18" t="s">
        <v>5396</v>
      </c>
      <c r="D1976" s="19" t="s">
        <v>5397</v>
      </c>
      <c r="E1976" s="20"/>
      <c r="F1976" s="6" t="s">
        <v>168</v>
      </c>
      <c r="G1976" s="6" t="s">
        <v>5271</v>
      </c>
    </row>
    <row r="1977" ht="15.75" customHeight="1">
      <c r="A1977" s="150">
        <v>43445.0</v>
      </c>
      <c r="B1977" s="18" t="s">
        <v>5398</v>
      </c>
      <c r="C1977" s="18" t="s">
        <v>5399</v>
      </c>
      <c r="D1977" s="19" t="s">
        <v>5400</v>
      </c>
      <c r="E1977" s="18"/>
      <c r="F1977" s="20" t="s">
        <v>97</v>
      </c>
      <c r="G1977" s="6" t="s">
        <v>5271</v>
      </c>
    </row>
    <row r="1978" ht="15.75" customHeight="1">
      <c r="A1978" s="150">
        <v>43445.0</v>
      </c>
      <c r="B1978" s="18" t="s">
        <v>5401</v>
      </c>
      <c r="C1978" s="18" t="s">
        <v>5402</v>
      </c>
      <c r="D1978" s="19" t="s">
        <v>5403</v>
      </c>
      <c r="E1978" s="18"/>
      <c r="F1978" s="20" t="s">
        <v>97</v>
      </c>
      <c r="G1978" s="6" t="s">
        <v>5271</v>
      </c>
    </row>
    <row r="1979" ht="15.75" customHeight="1">
      <c r="A1979" s="150">
        <v>43445.0</v>
      </c>
      <c r="B1979" s="18" t="s">
        <v>5404</v>
      </c>
      <c r="C1979" s="18" t="s">
        <v>5405</v>
      </c>
      <c r="D1979" s="19" t="s">
        <v>5406</v>
      </c>
      <c r="E1979" s="18"/>
      <c r="F1979" s="20" t="s">
        <v>97</v>
      </c>
      <c r="G1979" s="6" t="s">
        <v>5271</v>
      </c>
    </row>
    <row r="1980" ht="15.75" customHeight="1">
      <c r="A1980" s="150">
        <v>43445.0</v>
      </c>
      <c r="B1980" s="18" t="s">
        <v>5407</v>
      </c>
      <c r="C1980" s="18" t="s">
        <v>5408</v>
      </c>
      <c r="D1980" s="19" t="s">
        <v>5409</v>
      </c>
      <c r="E1980" s="20"/>
      <c r="F1980" s="20" t="s">
        <v>97</v>
      </c>
      <c r="G1980" s="6" t="s">
        <v>5271</v>
      </c>
    </row>
    <row r="1981" ht="15.75" customHeight="1">
      <c r="A1981" s="150">
        <v>43445.0</v>
      </c>
      <c r="B1981" s="18" t="s">
        <v>5410</v>
      </c>
      <c r="C1981" s="18" t="s">
        <v>5411</v>
      </c>
      <c r="D1981" s="19" t="s">
        <v>5412</v>
      </c>
      <c r="E1981" s="18"/>
      <c r="F1981" s="20" t="s">
        <v>97</v>
      </c>
      <c r="G1981" s="6" t="s">
        <v>5271</v>
      </c>
    </row>
    <row r="1982" ht="15.75" customHeight="1">
      <c r="A1982" s="150">
        <v>43445.0</v>
      </c>
      <c r="B1982" s="18" t="s">
        <v>5413</v>
      </c>
      <c r="C1982" s="18" t="s">
        <v>5414</v>
      </c>
      <c r="D1982" s="19" t="s">
        <v>5415</v>
      </c>
      <c r="E1982" s="18"/>
      <c r="F1982" s="6" t="s">
        <v>168</v>
      </c>
      <c r="G1982" s="6" t="s">
        <v>5271</v>
      </c>
    </row>
    <row r="1983" ht="15.75" customHeight="1">
      <c r="A1983" s="150">
        <v>43445.0</v>
      </c>
      <c r="B1983" s="18" t="s">
        <v>5416</v>
      </c>
      <c r="C1983" s="18" t="s">
        <v>5417</v>
      </c>
      <c r="D1983" s="19" t="s">
        <v>5418</v>
      </c>
      <c r="F1983" s="6" t="s">
        <v>168</v>
      </c>
      <c r="G1983" s="6" t="s">
        <v>5271</v>
      </c>
    </row>
    <row r="1984" ht="15.75" customHeight="1">
      <c r="A1984" s="150">
        <v>43445.0</v>
      </c>
      <c r="B1984" s="18" t="s">
        <v>5419</v>
      </c>
      <c r="C1984" s="18" t="s">
        <v>5420</v>
      </c>
      <c r="D1984" s="19" t="s">
        <v>5421</v>
      </c>
      <c r="F1984" s="6" t="s">
        <v>168</v>
      </c>
      <c r="G1984" s="6" t="s">
        <v>5271</v>
      </c>
    </row>
    <row r="1985" ht="15.75" customHeight="1">
      <c r="A1985" s="150">
        <v>43445.0</v>
      </c>
      <c r="B1985" s="18" t="s">
        <v>5422</v>
      </c>
      <c r="C1985" s="18" t="s">
        <v>5423</v>
      </c>
      <c r="D1985" s="19" t="s">
        <v>5424</v>
      </c>
      <c r="F1985" s="6" t="s">
        <v>168</v>
      </c>
      <c r="G1985" s="6" t="s">
        <v>5271</v>
      </c>
    </row>
    <row r="1986" ht="15.75" customHeight="1">
      <c r="A1986" s="150">
        <v>43445.0</v>
      </c>
      <c r="B1986" s="18" t="s">
        <v>5425</v>
      </c>
      <c r="C1986" s="18" t="s">
        <v>5426</v>
      </c>
      <c r="D1986" s="19" t="s">
        <v>5427</v>
      </c>
      <c r="F1986" s="6" t="s">
        <v>168</v>
      </c>
      <c r="G1986" s="6" t="s">
        <v>5271</v>
      </c>
    </row>
    <row r="1987" ht="15.75" customHeight="1">
      <c r="A1987" s="150">
        <v>43445.0</v>
      </c>
      <c r="B1987" s="18" t="s">
        <v>5428</v>
      </c>
      <c r="C1987" s="18" t="s">
        <v>5429</v>
      </c>
      <c r="D1987" s="19" t="s">
        <v>5430</v>
      </c>
      <c r="E1987" s="20"/>
      <c r="F1987" s="6" t="s">
        <v>168</v>
      </c>
      <c r="G1987" s="6" t="s">
        <v>5271</v>
      </c>
    </row>
    <row r="1988" ht="15.75" customHeight="1">
      <c r="A1988" s="150">
        <v>43445.0</v>
      </c>
      <c r="B1988" s="18" t="s">
        <v>5431</v>
      </c>
      <c r="C1988" s="18" t="s">
        <v>5432</v>
      </c>
      <c r="D1988" s="19" t="s">
        <v>5433</v>
      </c>
      <c r="E1988" s="20"/>
      <c r="F1988" s="6" t="s">
        <v>168</v>
      </c>
      <c r="G1988" s="6" t="s">
        <v>5271</v>
      </c>
    </row>
    <row r="1989" ht="15.75" customHeight="1">
      <c r="A1989" s="150">
        <v>43445.0</v>
      </c>
      <c r="B1989" s="18" t="s">
        <v>5434</v>
      </c>
      <c r="C1989" s="18" t="s">
        <v>5435</v>
      </c>
      <c r="D1989" s="19" t="s">
        <v>5436</v>
      </c>
      <c r="F1989" s="6" t="s">
        <v>168</v>
      </c>
      <c r="G1989" s="6" t="s">
        <v>5271</v>
      </c>
    </row>
    <row r="1990" ht="15.75" customHeight="1">
      <c r="A1990" s="150">
        <v>43445.0</v>
      </c>
      <c r="B1990" s="18" t="s">
        <v>5437</v>
      </c>
      <c r="C1990" s="18" t="s">
        <v>5438</v>
      </c>
      <c r="D1990" s="19" t="s">
        <v>5439</v>
      </c>
      <c r="F1990" s="6" t="s">
        <v>168</v>
      </c>
      <c r="G1990" s="6" t="s">
        <v>5271</v>
      </c>
    </row>
    <row r="1991" ht="15.75" customHeight="1">
      <c r="A1991" s="150">
        <v>43445.0</v>
      </c>
      <c r="B1991" s="18" t="s">
        <v>5440</v>
      </c>
      <c r="C1991" s="18" t="s">
        <v>5441</v>
      </c>
      <c r="D1991" s="19" t="s">
        <v>5442</v>
      </c>
      <c r="F1991" s="6" t="s">
        <v>168</v>
      </c>
      <c r="G1991" s="6" t="s">
        <v>5271</v>
      </c>
    </row>
    <row r="1992" ht="15.75" customHeight="1">
      <c r="A1992" s="150">
        <v>43445.0</v>
      </c>
      <c r="B1992" s="18" t="s">
        <v>5443</v>
      </c>
      <c r="C1992" s="18" t="s">
        <v>5444</v>
      </c>
      <c r="D1992" s="19" t="s">
        <v>5286</v>
      </c>
      <c r="E1992" s="20"/>
      <c r="F1992" s="20" t="s">
        <v>97</v>
      </c>
      <c r="G1992" s="6" t="s">
        <v>5271</v>
      </c>
    </row>
    <row r="1993" ht="15.75" customHeight="1">
      <c r="A1993" s="150">
        <v>43445.0</v>
      </c>
      <c r="B1993" s="18" t="s">
        <v>5445</v>
      </c>
      <c r="C1993" s="18" t="s">
        <v>5446</v>
      </c>
      <c r="D1993" s="19" t="s">
        <v>5447</v>
      </c>
      <c r="E1993" s="18"/>
      <c r="F1993" s="20" t="s">
        <v>97</v>
      </c>
      <c r="G1993" s="6" t="s">
        <v>5271</v>
      </c>
    </row>
    <row r="1994" ht="15.75" customHeight="1">
      <c r="A1994" s="150">
        <v>43445.0</v>
      </c>
      <c r="B1994" s="18" t="s">
        <v>5448</v>
      </c>
      <c r="C1994" s="18" t="s">
        <v>5449</v>
      </c>
      <c r="D1994" s="19" t="s">
        <v>5450</v>
      </c>
      <c r="E1994" s="18"/>
      <c r="F1994" s="20" t="s">
        <v>97</v>
      </c>
      <c r="G1994" s="6" t="s">
        <v>5271</v>
      </c>
    </row>
    <row r="1995" ht="15.75" customHeight="1">
      <c r="A1995" s="150">
        <v>43445.0</v>
      </c>
      <c r="B1995" s="18" t="s">
        <v>5451</v>
      </c>
      <c r="C1995" s="18" t="s">
        <v>5452</v>
      </c>
      <c r="D1995" s="19" t="s">
        <v>5453</v>
      </c>
      <c r="E1995" s="18"/>
      <c r="F1995" s="20" t="s">
        <v>97</v>
      </c>
      <c r="G1995" s="6" t="s">
        <v>5271</v>
      </c>
    </row>
    <row r="1996" ht="15.75" customHeight="1">
      <c r="A1996" s="150">
        <v>43445.0</v>
      </c>
      <c r="B1996" s="18" t="s">
        <v>5454</v>
      </c>
      <c r="C1996" s="18" t="s">
        <v>5455</v>
      </c>
      <c r="D1996" s="19" t="s">
        <v>5456</v>
      </c>
      <c r="E1996" s="20"/>
      <c r="F1996" s="20" t="s">
        <v>97</v>
      </c>
      <c r="G1996" s="6" t="s">
        <v>5271</v>
      </c>
    </row>
    <row r="1997" ht="15.75" customHeight="1">
      <c r="A1997" s="150">
        <v>43445.0</v>
      </c>
      <c r="B1997" s="21" t="s">
        <v>5457</v>
      </c>
      <c r="C1997" s="18" t="s">
        <v>5458</v>
      </c>
      <c r="D1997" s="19" t="s">
        <v>5459</v>
      </c>
      <c r="E1997" s="151"/>
      <c r="F1997" s="6" t="s">
        <v>168</v>
      </c>
      <c r="G1997" s="6" t="s">
        <v>5271</v>
      </c>
    </row>
    <row r="1998" ht="15.75" customHeight="1">
      <c r="A1998" s="150">
        <v>43445.0</v>
      </c>
      <c r="B1998" s="18" t="s">
        <v>5460</v>
      </c>
      <c r="C1998" s="18" t="s">
        <v>5461</v>
      </c>
      <c r="D1998" s="19" t="s">
        <v>5462</v>
      </c>
      <c r="E1998" s="151"/>
      <c r="F1998" s="6" t="s">
        <v>168</v>
      </c>
      <c r="G1998" s="6" t="s">
        <v>5271</v>
      </c>
    </row>
    <row r="1999" ht="15.75" customHeight="1">
      <c r="A1999" s="150">
        <v>43445.0</v>
      </c>
      <c r="B1999" s="18" t="s">
        <v>5463</v>
      </c>
      <c r="C1999" s="18" t="s">
        <v>5464</v>
      </c>
      <c r="D1999" s="19" t="s">
        <v>5465</v>
      </c>
      <c r="E1999" s="151"/>
      <c r="F1999" s="6" t="s">
        <v>168</v>
      </c>
      <c r="G1999" s="6" t="s">
        <v>5271</v>
      </c>
    </row>
    <row r="2000" ht="15.75" customHeight="1">
      <c r="A2000" s="150">
        <v>43445.0</v>
      </c>
      <c r="B2000" s="18" t="s">
        <v>5466</v>
      </c>
      <c r="C2000" s="18" t="s">
        <v>5467</v>
      </c>
      <c r="D2000" s="19" t="s">
        <v>5468</v>
      </c>
      <c r="E2000" s="151"/>
      <c r="F2000" s="6" t="s">
        <v>168</v>
      </c>
      <c r="G2000" s="6" t="s">
        <v>5271</v>
      </c>
    </row>
    <row r="2001" ht="15.75" customHeight="1">
      <c r="A2001" s="150">
        <v>43445.0</v>
      </c>
      <c r="B2001" s="18" t="s">
        <v>5469</v>
      </c>
      <c r="C2001" s="18" t="s">
        <v>5470</v>
      </c>
      <c r="D2001" s="19" t="s">
        <v>5471</v>
      </c>
      <c r="E2001" s="151"/>
      <c r="F2001" s="6" t="s">
        <v>168</v>
      </c>
      <c r="G2001" s="6" t="s">
        <v>5271</v>
      </c>
    </row>
    <row r="2002" ht="15.75" customHeight="1">
      <c r="A2002" s="150">
        <v>43445.0</v>
      </c>
      <c r="B2002" s="18" t="s">
        <v>5472</v>
      </c>
      <c r="C2002" s="18" t="s">
        <v>5473</v>
      </c>
      <c r="D2002" s="19" t="s">
        <v>5474</v>
      </c>
      <c r="E2002" s="151"/>
      <c r="F2002" s="6" t="s">
        <v>168</v>
      </c>
      <c r="G2002" s="6" t="s">
        <v>5271</v>
      </c>
    </row>
    <row r="2003" ht="15.75" customHeight="1">
      <c r="A2003" s="150">
        <v>43445.0</v>
      </c>
      <c r="B2003" s="18" t="s">
        <v>5475</v>
      </c>
      <c r="C2003" s="18" t="s">
        <v>5476</v>
      </c>
      <c r="D2003" s="19" t="s">
        <v>5477</v>
      </c>
      <c r="E2003" s="151"/>
      <c r="F2003" s="6" t="s">
        <v>168</v>
      </c>
      <c r="G2003" s="6" t="s">
        <v>5271</v>
      </c>
    </row>
    <row r="2004" ht="15.75" customHeight="1">
      <c r="A2004" s="150">
        <v>43445.0</v>
      </c>
      <c r="B2004" s="18" t="s">
        <v>5478</v>
      </c>
      <c r="C2004" s="18" t="s">
        <v>5479</v>
      </c>
      <c r="D2004" s="19" t="s">
        <v>5480</v>
      </c>
      <c r="E2004" s="151"/>
      <c r="F2004" s="6" t="s">
        <v>168</v>
      </c>
      <c r="G2004" s="6" t="s">
        <v>5271</v>
      </c>
    </row>
    <row r="2005" ht="15.75" customHeight="1">
      <c r="A2005" s="150">
        <v>43445.0</v>
      </c>
      <c r="B2005" s="18" t="s">
        <v>5481</v>
      </c>
      <c r="C2005" s="18" t="s">
        <v>5482</v>
      </c>
      <c r="D2005" s="19" t="s">
        <v>5483</v>
      </c>
      <c r="E2005" s="151"/>
      <c r="F2005" s="6" t="s">
        <v>168</v>
      </c>
      <c r="G2005" s="6" t="s">
        <v>5271</v>
      </c>
    </row>
    <row r="2006" ht="15.75" customHeight="1">
      <c r="A2006" s="150">
        <v>43445.0</v>
      </c>
      <c r="B2006" s="18" t="s">
        <v>5484</v>
      </c>
      <c r="C2006" s="18" t="s">
        <v>5485</v>
      </c>
      <c r="D2006" s="19" t="s">
        <v>5486</v>
      </c>
      <c r="E2006" s="151"/>
      <c r="F2006" s="20" t="s">
        <v>97</v>
      </c>
      <c r="G2006" s="6" t="s">
        <v>5271</v>
      </c>
    </row>
    <row r="2007" ht="15.75" customHeight="1">
      <c r="A2007" s="150">
        <v>43445.0</v>
      </c>
      <c r="B2007" s="18" t="s">
        <v>5487</v>
      </c>
      <c r="C2007" s="18" t="s">
        <v>5488</v>
      </c>
      <c r="D2007" s="19" t="s">
        <v>5489</v>
      </c>
      <c r="E2007" s="151"/>
      <c r="F2007" s="20" t="s">
        <v>97</v>
      </c>
      <c r="G2007" s="6" t="s">
        <v>5271</v>
      </c>
    </row>
    <row r="2008" ht="15.75" customHeight="1">
      <c r="A2008" s="150">
        <v>43445.0</v>
      </c>
      <c r="B2008" s="18" t="s">
        <v>5490</v>
      </c>
      <c r="C2008" s="18" t="s">
        <v>5491</v>
      </c>
      <c r="D2008" s="19" t="s">
        <v>5492</v>
      </c>
      <c r="E2008" s="151"/>
      <c r="F2008" s="20" t="s">
        <v>97</v>
      </c>
      <c r="G2008" s="6" t="s">
        <v>5271</v>
      </c>
    </row>
    <row r="2009" ht="15.75" customHeight="1">
      <c r="A2009" s="150">
        <v>43445.0</v>
      </c>
      <c r="B2009" s="18" t="s">
        <v>5275</v>
      </c>
      <c r="C2009" s="18" t="s">
        <v>5493</v>
      </c>
      <c r="D2009" s="19" t="s">
        <v>5494</v>
      </c>
      <c r="E2009" s="151"/>
      <c r="F2009" s="20" t="s">
        <v>97</v>
      </c>
      <c r="G2009" s="6" t="s">
        <v>5271</v>
      </c>
    </row>
    <row r="2010" ht="15.75" customHeight="1">
      <c r="A2010" s="150">
        <v>43445.0</v>
      </c>
      <c r="B2010" s="18" t="s">
        <v>5495</v>
      </c>
      <c r="C2010" s="18" t="s">
        <v>5496</v>
      </c>
      <c r="D2010" s="19" t="s">
        <v>5497</v>
      </c>
      <c r="E2010" s="151"/>
      <c r="F2010" s="20" t="s">
        <v>97</v>
      </c>
      <c r="G2010" s="6" t="s">
        <v>5271</v>
      </c>
    </row>
    <row r="2011" ht="15.75" customHeight="1">
      <c r="A2011" s="150">
        <v>43445.0</v>
      </c>
      <c r="B2011" s="18" t="s">
        <v>5498</v>
      </c>
      <c r="C2011" s="18" t="s">
        <v>5499</v>
      </c>
      <c r="D2011" s="19" t="s">
        <v>5500</v>
      </c>
      <c r="E2011" s="151"/>
      <c r="F2011" s="20" t="s">
        <v>97</v>
      </c>
      <c r="G2011" s="6" t="s">
        <v>5271</v>
      </c>
    </row>
    <row r="2012" ht="15.75" customHeight="1">
      <c r="A2012" s="150">
        <v>43445.0</v>
      </c>
      <c r="B2012" s="18" t="s">
        <v>5501</v>
      </c>
      <c r="C2012" s="18" t="s">
        <v>5502</v>
      </c>
      <c r="D2012" s="18">
        <v>8.023145102E9</v>
      </c>
      <c r="E2012" s="151"/>
      <c r="F2012" s="20" t="s">
        <v>97</v>
      </c>
      <c r="G2012" s="6" t="s">
        <v>5271</v>
      </c>
    </row>
    <row r="2013" ht="15.75" customHeight="1">
      <c r="A2013" s="150">
        <v>43446.0</v>
      </c>
      <c r="B2013" s="20" t="s">
        <v>5322</v>
      </c>
      <c r="C2013" s="20" t="s">
        <v>5503</v>
      </c>
      <c r="D2013" s="19" t="s">
        <v>5504</v>
      </c>
      <c r="E2013" s="20"/>
      <c r="F2013" s="20" t="s">
        <v>97</v>
      </c>
      <c r="G2013" s="6" t="s">
        <v>5271</v>
      </c>
    </row>
    <row r="2014" ht="15.75" customHeight="1">
      <c r="A2014" s="150">
        <v>43446.0</v>
      </c>
      <c r="B2014" s="20" t="s">
        <v>5505</v>
      </c>
      <c r="C2014" s="20" t="s">
        <v>5506</v>
      </c>
      <c r="D2014" s="19" t="s">
        <v>5507</v>
      </c>
      <c r="E2014" s="20"/>
      <c r="F2014" s="20" t="s">
        <v>97</v>
      </c>
      <c r="G2014" s="6" t="s">
        <v>5271</v>
      </c>
    </row>
    <row r="2015" ht="15.75" customHeight="1">
      <c r="A2015" s="150">
        <v>43446.0</v>
      </c>
      <c r="B2015" s="20" t="s">
        <v>5508</v>
      </c>
      <c r="C2015" s="20" t="s">
        <v>5509</v>
      </c>
      <c r="D2015" s="19" t="s">
        <v>5286</v>
      </c>
      <c r="E2015" s="20"/>
      <c r="F2015" s="20" t="s">
        <v>97</v>
      </c>
      <c r="G2015" s="6" t="s">
        <v>5271</v>
      </c>
    </row>
    <row r="2016" ht="15.75" customHeight="1">
      <c r="A2016" s="150">
        <v>43446.0</v>
      </c>
      <c r="B2016" s="20" t="s">
        <v>5510</v>
      </c>
      <c r="C2016" s="20" t="s">
        <v>5511</v>
      </c>
      <c r="D2016" s="19" t="s">
        <v>5512</v>
      </c>
      <c r="E2016" s="20"/>
      <c r="F2016" s="20" t="s">
        <v>97</v>
      </c>
      <c r="G2016" s="6" t="s">
        <v>5271</v>
      </c>
    </row>
    <row r="2017" ht="15.75" customHeight="1">
      <c r="A2017" s="150">
        <v>43446.0</v>
      </c>
      <c r="B2017" s="20" t="s">
        <v>5513</v>
      </c>
      <c r="C2017" s="20" t="s">
        <v>5514</v>
      </c>
      <c r="D2017" s="19" t="s">
        <v>5515</v>
      </c>
      <c r="E2017" s="20"/>
      <c r="F2017" s="20" t="s">
        <v>97</v>
      </c>
      <c r="G2017" s="6" t="s">
        <v>5271</v>
      </c>
    </row>
    <row r="2018" ht="15.75" customHeight="1">
      <c r="A2018" s="150">
        <v>43446.0</v>
      </c>
      <c r="B2018" s="20" t="s">
        <v>5516</v>
      </c>
      <c r="C2018" s="20" t="s">
        <v>1374</v>
      </c>
      <c r="D2018" s="19" t="s">
        <v>5355</v>
      </c>
      <c r="E2018" s="20"/>
      <c r="F2018" s="20" t="s">
        <v>97</v>
      </c>
      <c r="G2018" s="6" t="s">
        <v>5271</v>
      </c>
    </row>
    <row r="2019" ht="15.75" customHeight="1">
      <c r="A2019" s="150">
        <v>43446.0</v>
      </c>
      <c r="B2019" s="20" t="s">
        <v>5517</v>
      </c>
      <c r="C2019" s="20" t="s">
        <v>5518</v>
      </c>
      <c r="D2019" s="19" t="s">
        <v>5519</v>
      </c>
      <c r="E2019" s="20"/>
      <c r="F2019" s="20" t="s">
        <v>97</v>
      </c>
      <c r="G2019" s="6" t="s">
        <v>5271</v>
      </c>
    </row>
    <row r="2020" ht="15.75" customHeight="1">
      <c r="A2020" s="150">
        <v>43446.0</v>
      </c>
      <c r="B2020" s="20" t="s">
        <v>5520</v>
      </c>
      <c r="C2020" s="20" t="s">
        <v>5521</v>
      </c>
      <c r="D2020" s="19" t="s">
        <v>5522</v>
      </c>
      <c r="E2020" s="20"/>
      <c r="F2020" s="20" t="s">
        <v>97</v>
      </c>
      <c r="G2020" s="6" t="s">
        <v>5271</v>
      </c>
    </row>
    <row r="2021" ht="15.75" customHeight="1">
      <c r="A2021" s="150">
        <v>43446.0</v>
      </c>
      <c r="B2021" s="20" t="s">
        <v>5457</v>
      </c>
      <c r="C2021" s="20" t="s">
        <v>5458</v>
      </c>
      <c r="D2021" s="19" t="s">
        <v>5523</v>
      </c>
      <c r="E2021" s="20"/>
      <c r="F2021" s="20" t="s">
        <v>97</v>
      </c>
      <c r="G2021" s="6" t="s">
        <v>5271</v>
      </c>
    </row>
    <row r="2022" ht="15.75" customHeight="1">
      <c r="A2022" s="150">
        <v>43446.0</v>
      </c>
      <c r="B2022" s="20" t="s">
        <v>5460</v>
      </c>
      <c r="C2022" s="20" t="s">
        <v>5461</v>
      </c>
      <c r="D2022" s="19" t="s">
        <v>5286</v>
      </c>
      <c r="E2022" s="20"/>
      <c r="F2022" s="20" t="s">
        <v>97</v>
      </c>
      <c r="G2022" s="6" t="s">
        <v>5271</v>
      </c>
    </row>
    <row r="2023" ht="15.75" customHeight="1">
      <c r="A2023" s="150">
        <v>43446.0</v>
      </c>
      <c r="B2023" s="20" t="s">
        <v>5463</v>
      </c>
      <c r="C2023" s="20" t="s">
        <v>5464</v>
      </c>
      <c r="D2023" s="19" t="s">
        <v>5465</v>
      </c>
      <c r="E2023" s="20"/>
      <c r="F2023" s="20" t="s">
        <v>97</v>
      </c>
      <c r="G2023" s="6" t="s">
        <v>5271</v>
      </c>
    </row>
    <row r="2024" ht="15.75" customHeight="1">
      <c r="A2024" s="150">
        <v>43446.0</v>
      </c>
      <c r="B2024" s="20" t="s">
        <v>5466</v>
      </c>
      <c r="C2024" s="20" t="s">
        <v>5467</v>
      </c>
      <c r="D2024" s="19" t="s">
        <v>5316</v>
      </c>
      <c r="E2024" s="20"/>
      <c r="F2024" s="20" t="s">
        <v>97</v>
      </c>
      <c r="G2024" s="6" t="s">
        <v>5271</v>
      </c>
    </row>
    <row r="2025" ht="15.75" customHeight="1">
      <c r="A2025" s="150">
        <v>43446.0</v>
      </c>
      <c r="B2025" s="20" t="s">
        <v>5469</v>
      </c>
      <c r="C2025" s="20" t="s">
        <v>5470</v>
      </c>
      <c r="D2025" s="19" t="s">
        <v>5277</v>
      </c>
      <c r="E2025" s="20"/>
      <c r="F2025" s="20" t="s">
        <v>97</v>
      </c>
      <c r="G2025" s="6" t="s">
        <v>5271</v>
      </c>
    </row>
    <row r="2026" ht="15.75" customHeight="1">
      <c r="A2026" s="150">
        <v>43446.0</v>
      </c>
      <c r="B2026" s="20" t="s">
        <v>5472</v>
      </c>
      <c r="C2026" s="20" t="s">
        <v>5473</v>
      </c>
      <c r="D2026" s="19" t="s">
        <v>5474</v>
      </c>
      <c r="E2026" s="20"/>
      <c r="F2026" s="20" t="s">
        <v>97</v>
      </c>
      <c r="G2026" s="6" t="s">
        <v>5271</v>
      </c>
    </row>
    <row r="2027" ht="15.75" customHeight="1">
      <c r="A2027" s="150">
        <v>43446.0</v>
      </c>
      <c r="B2027" s="20" t="s">
        <v>5475</v>
      </c>
      <c r="C2027" s="20" t="s">
        <v>5476</v>
      </c>
      <c r="D2027" s="19" t="s">
        <v>5277</v>
      </c>
      <c r="E2027" s="20"/>
      <c r="F2027" s="20" t="s">
        <v>97</v>
      </c>
      <c r="G2027" s="6" t="s">
        <v>5271</v>
      </c>
    </row>
    <row r="2028" ht="15.75" customHeight="1">
      <c r="A2028" s="150">
        <v>43446.0</v>
      </c>
      <c r="B2028" s="20" t="s">
        <v>5478</v>
      </c>
      <c r="C2028" s="20" t="s">
        <v>5479</v>
      </c>
      <c r="D2028" s="19" t="s">
        <v>5524</v>
      </c>
      <c r="E2028" s="20"/>
      <c r="F2028" s="20" t="s">
        <v>97</v>
      </c>
      <c r="G2028" s="6" t="s">
        <v>5271</v>
      </c>
    </row>
    <row r="2029" ht="15.75" customHeight="1">
      <c r="A2029" s="150">
        <v>43446.0</v>
      </c>
      <c r="B2029" s="20" t="s">
        <v>5481</v>
      </c>
      <c r="C2029" s="20" t="s">
        <v>5482</v>
      </c>
      <c r="D2029" s="19" t="s">
        <v>5525</v>
      </c>
      <c r="E2029" s="20"/>
      <c r="F2029" s="20" t="s">
        <v>97</v>
      </c>
      <c r="G2029" s="6" t="s">
        <v>5271</v>
      </c>
    </row>
    <row r="2030" ht="15.75" customHeight="1">
      <c r="A2030" s="150">
        <v>43446.0</v>
      </c>
      <c r="B2030" s="20" t="s">
        <v>5526</v>
      </c>
      <c r="C2030" s="20" t="s">
        <v>3334</v>
      </c>
      <c r="D2030" s="19" t="s">
        <v>5527</v>
      </c>
      <c r="E2030" s="20"/>
      <c r="F2030" s="20" t="s">
        <v>97</v>
      </c>
      <c r="G2030" s="6" t="s">
        <v>5271</v>
      </c>
    </row>
    <row r="2031" ht="15.75" customHeight="1">
      <c r="A2031" s="150">
        <v>43446.0</v>
      </c>
      <c r="B2031" s="20" t="s">
        <v>5528</v>
      </c>
      <c r="C2031" s="20" t="s">
        <v>1386</v>
      </c>
      <c r="D2031" s="19" t="s">
        <v>5529</v>
      </c>
      <c r="E2031" s="20"/>
      <c r="F2031" s="20" t="s">
        <v>97</v>
      </c>
      <c r="G2031" s="6" t="s">
        <v>5271</v>
      </c>
    </row>
    <row r="2032" ht="15.75" customHeight="1">
      <c r="A2032" s="150">
        <v>43446.0</v>
      </c>
      <c r="B2032" s="20" t="s">
        <v>5530</v>
      </c>
      <c r="C2032" s="20" t="s">
        <v>5531</v>
      </c>
      <c r="D2032" s="19" t="s">
        <v>5532</v>
      </c>
      <c r="E2032" s="20"/>
      <c r="F2032" s="20" t="s">
        <v>97</v>
      </c>
      <c r="G2032" s="6" t="s">
        <v>5271</v>
      </c>
    </row>
    <row r="2033" ht="15.75" customHeight="1">
      <c r="A2033" s="150">
        <v>43446.0</v>
      </c>
      <c r="B2033" s="20" t="s">
        <v>5533</v>
      </c>
      <c r="C2033" s="20" t="s">
        <v>5534</v>
      </c>
      <c r="D2033" s="19" t="s">
        <v>5535</v>
      </c>
      <c r="E2033" s="20"/>
      <c r="F2033" s="20" t="s">
        <v>97</v>
      </c>
      <c r="G2033" s="6" t="s">
        <v>5271</v>
      </c>
    </row>
    <row r="2034" ht="15.75" customHeight="1">
      <c r="A2034" s="150">
        <v>43446.0</v>
      </c>
      <c r="B2034" s="20" t="s">
        <v>5490</v>
      </c>
      <c r="C2034" s="20" t="s">
        <v>5536</v>
      </c>
      <c r="D2034" s="19" t="s">
        <v>5286</v>
      </c>
      <c r="E2034" s="20"/>
      <c r="F2034" s="20" t="s">
        <v>97</v>
      </c>
      <c r="G2034" s="6" t="s">
        <v>5271</v>
      </c>
    </row>
    <row r="2035" ht="15.75" customHeight="1">
      <c r="A2035" s="150">
        <v>43446.0</v>
      </c>
      <c r="B2035" s="20" t="s">
        <v>5537</v>
      </c>
      <c r="C2035" s="20" t="s">
        <v>5538</v>
      </c>
      <c r="D2035" s="19" t="s">
        <v>5539</v>
      </c>
      <c r="E2035" s="20"/>
      <c r="F2035" s="20" t="s">
        <v>97</v>
      </c>
      <c r="G2035" s="6" t="s">
        <v>5271</v>
      </c>
    </row>
    <row r="2036" ht="15.75" customHeight="1">
      <c r="A2036" s="150">
        <v>43446.0</v>
      </c>
      <c r="B2036" s="20" t="s">
        <v>5404</v>
      </c>
      <c r="C2036" s="20" t="s">
        <v>5540</v>
      </c>
      <c r="D2036" s="19" t="s">
        <v>5541</v>
      </c>
      <c r="E2036" s="20"/>
      <c r="F2036" s="20" t="s">
        <v>97</v>
      </c>
      <c r="G2036" s="6" t="s">
        <v>5271</v>
      </c>
    </row>
    <row r="2037" ht="15.75" customHeight="1">
      <c r="A2037" s="150">
        <v>43446.0</v>
      </c>
      <c r="B2037" s="20" t="s">
        <v>5542</v>
      </c>
      <c r="C2037" s="20" t="s">
        <v>5543</v>
      </c>
      <c r="D2037" s="19" t="s">
        <v>5544</v>
      </c>
      <c r="E2037" s="20"/>
      <c r="F2037" s="20" t="s">
        <v>97</v>
      </c>
      <c r="G2037" s="6" t="s">
        <v>5271</v>
      </c>
    </row>
    <row r="2038" ht="15.75" customHeight="1">
      <c r="A2038" s="150">
        <v>43446.0</v>
      </c>
      <c r="B2038" s="20" t="s">
        <v>5545</v>
      </c>
      <c r="C2038" s="20" t="s">
        <v>5546</v>
      </c>
      <c r="D2038" s="19" t="s">
        <v>5547</v>
      </c>
      <c r="E2038" s="20"/>
      <c r="F2038" s="20" t="s">
        <v>97</v>
      </c>
      <c r="G2038" s="6" t="s">
        <v>5271</v>
      </c>
    </row>
    <row r="2039" ht="15.75" customHeight="1">
      <c r="A2039" s="150">
        <v>43446.0</v>
      </c>
      <c r="B2039" s="20" t="s">
        <v>5548</v>
      </c>
      <c r="C2039" s="20" t="s">
        <v>5549</v>
      </c>
      <c r="D2039" s="19" t="s">
        <v>5550</v>
      </c>
      <c r="E2039" s="20"/>
      <c r="F2039" s="20" t="s">
        <v>97</v>
      </c>
      <c r="G2039" s="6" t="s">
        <v>5271</v>
      </c>
    </row>
    <row r="2040" ht="15.75" customHeight="1">
      <c r="A2040" s="150">
        <v>43446.0</v>
      </c>
      <c r="B2040" s="20" t="s">
        <v>5551</v>
      </c>
      <c r="C2040" s="20" t="s">
        <v>5552</v>
      </c>
      <c r="D2040" s="19" t="s">
        <v>5553</v>
      </c>
      <c r="E2040" s="20"/>
      <c r="F2040" s="20" t="s">
        <v>97</v>
      </c>
      <c r="G2040" s="6" t="s">
        <v>5271</v>
      </c>
    </row>
    <row r="2041" ht="15.75" customHeight="1">
      <c r="A2041" s="150">
        <v>43446.0</v>
      </c>
      <c r="B2041" s="20" t="s">
        <v>5554</v>
      </c>
      <c r="C2041" s="20" t="s">
        <v>5555</v>
      </c>
      <c r="D2041" s="19" t="s">
        <v>5556</v>
      </c>
      <c r="E2041" s="20"/>
      <c r="F2041" s="20" t="s">
        <v>97</v>
      </c>
      <c r="G2041" s="6" t="s">
        <v>5271</v>
      </c>
    </row>
    <row r="2042" ht="15.75" customHeight="1">
      <c r="A2042" s="150">
        <v>43446.0</v>
      </c>
      <c r="B2042" s="20" t="s">
        <v>5557</v>
      </c>
      <c r="C2042" s="20" t="s">
        <v>5558</v>
      </c>
      <c r="D2042" s="19" t="s">
        <v>5559</v>
      </c>
      <c r="E2042" s="20"/>
      <c r="F2042" s="20" t="s">
        <v>97</v>
      </c>
      <c r="G2042" s="6" t="s">
        <v>5271</v>
      </c>
    </row>
    <row r="2043" ht="15.75" customHeight="1">
      <c r="A2043" s="150" t="s">
        <v>5560</v>
      </c>
      <c r="B2043" s="20" t="s">
        <v>5561</v>
      </c>
      <c r="C2043" s="20" t="s">
        <v>5562</v>
      </c>
      <c r="D2043" s="18">
        <v>8.022228921E9</v>
      </c>
      <c r="E2043" s="151"/>
      <c r="F2043" s="20" t="s">
        <v>97</v>
      </c>
      <c r="G2043" s="6" t="s">
        <v>5271</v>
      </c>
      <c r="H2043" s="6">
        <v>1.0</v>
      </c>
    </row>
    <row r="2044" ht="15.75" customHeight="1">
      <c r="A2044" s="150" t="s">
        <v>5560</v>
      </c>
      <c r="B2044" s="20" t="s">
        <v>5563</v>
      </c>
      <c r="C2044" s="20" t="s">
        <v>5564</v>
      </c>
      <c r="D2044" s="19" t="s">
        <v>5565</v>
      </c>
      <c r="E2044" s="151"/>
      <c r="F2044" s="20" t="s">
        <v>97</v>
      </c>
      <c r="G2044" s="6" t="s">
        <v>5271</v>
      </c>
      <c r="H2044" s="6">
        <v>2.0</v>
      </c>
    </row>
    <row r="2045" ht="15.75" customHeight="1">
      <c r="A2045" s="150" t="s">
        <v>5560</v>
      </c>
      <c r="B2045" s="20" t="s">
        <v>5566</v>
      </c>
      <c r="C2045" s="20" t="s">
        <v>5567</v>
      </c>
      <c r="D2045" s="19" t="s">
        <v>5568</v>
      </c>
      <c r="E2045" s="151"/>
      <c r="F2045" s="20" t="s">
        <v>97</v>
      </c>
      <c r="G2045" s="6" t="s">
        <v>5271</v>
      </c>
      <c r="H2045" s="6">
        <v>3.0</v>
      </c>
    </row>
    <row r="2046" ht="15.75" customHeight="1">
      <c r="A2046" s="150" t="s">
        <v>5560</v>
      </c>
      <c r="B2046" s="20" t="s">
        <v>5404</v>
      </c>
      <c r="C2046" s="20" t="s">
        <v>5569</v>
      </c>
      <c r="D2046" s="19" t="s">
        <v>5570</v>
      </c>
      <c r="E2046" s="151"/>
      <c r="F2046" s="20" t="s">
        <v>97</v>
      </c>
      <c r="G2046" s="6" t="s">
        <v>5271</v>
      </c>
      <c r="H2046" s="6">
        <v>4.0</v>
      </c>
    </row>
    <row r="2047" ht="15.75" customHeight="1">
      <c r="A2047" s="150" t="s">
        <v>5560</v>
      </c>
      <c r="B2047" s="20" t="s">
        <v>5392</v>
      </c>
      <c r="C2047" s="20" t="s">
        <v>5571</v>
      </c>
      <c r="D2047" s="19" t="s">
        <v>5572</v>
      </c>
      <c r="E2047" s="151"/>
      <c r="F2047" s="20" t="s">
        <v>97</v>
      </c>
      <c r="G2047" s="6" t="s">
        <v>5271</v>
      </c>
      <c r="H2047" s="6">
        <v>5.0</v>
      </c>
    </row>
    <row r="2048" ht="15.75" customHeight="1">
      <c r="A2048" s="150" t="s">
        <v>5560</v>
      </c>
      <c r="B2048" s="20" t="s">
        <v>5573</v>
      </c>
      <c r="C2048" s="20" t="s">
        <v>5574</v>
      </c>
      <c r="D2048" s="19" t="s">
        <v>5575</v>
      </c>
      <c r="E2048" s="151"/>
      <c r="F2048" s="20" t="s">
        <v>97</v>
      </c>
      <c r="G2048" s="6" t="s">
        <v>5271</v>
      </c>
      <c r="H2048" s="6">
        <v>6.0</v>
      </c>
    </row>
    <row r="2049" ht="15.75" customHeight="1">
      <c r="A2049" s="150" t="s">
        <v>5560</v>
      </c>
      <c r="B2049" s="20" t="s">
        <v>5576</v>
      </c>
      <c r="C2049" s="20" t="s">
        <v>5577</v>
      </c>
      <c r="D2049" s="19" t="s">
        <v>5578</v>
      </c>
      <c r="E2049" s="151"/>
      <c r="F2049" s="20" t="s">
        <v>97</v>
      </c>
      <c r="G2049" s="6" t="s">
        <v>5271</v>
      </c>
      <c r="H2049" s="6">
        <v>7.0</v>
      </c>
    </row>
    <row r="2050" ht="15.75" customHeight="1">
      <c r="A2050" s="150" t="s">
        <v>5560</v>
      </c>
      <c r="B2050" s="20" t="s">
        <v>5579</v>
      </c>
      <c r="C2050" s="20" t="s">
        <v>5580</v>
      </c>
      <c r="D2050" s="19" t="s">
        <v>5581</v>
      </c>
      <c r="E2050" s="151"/>
      <c r="F2050" s="20" t="s">
        <v>97</v>
      </c>
      <c r="G2050" s="6" t="s">
        <v>5271</v>
      </c>
      <c r="H2050" s="6">
        <v>8.0</v>
      </c>
    </row>
    <row r="2051" ht="15.75" customHeight="1">
      <c r="A2051" s="150" t="s">
        <v>5560</v>
      </c>
      <c r="B2051" s="20" t="s">
        <v>5348</v>
      </c>
      <c r="C2051" s="20" t="s">
        <v>5582</v>
      </c>
      <c r="D2051" s="19" t="s">
        <v>5583</v>
      </c>
      <c r="E2051" s="151"/>
      <c r="F2051" s="42" t="s">
        <v>168</v>
      </c>
      <c r="G2051" s="6" t="s">
        <v>5271</v>
      </c>
      <c r="H2051" s="6">
        <v>9.0</v>
      </c>
    </row>
    <row r="2052" ht="15.75" customHeight="1">
      <c r="A2052" s="150" t="s">
        <v>5560</v>
      </c>
      <c r="B2052" s="20" t="s">
        <v>5584</v>
      </c>
      <c r="C2052" s="20" t="s">
        <v>5585</v>
      </c>
      <c r="D2052" s="19" t="s">
        <v>5586</v>
      </c>
      <c r="E2052" s="151"/>
      <c r="F2052" s="42" t="s">
        <v>168</v>
      </c>
      <c r="G2052" s="6" t="s">
        <v>5271</v>
      </c>
      <c r="H2052" s="6">
        <v>10.0</v>
      </c>
    </row>
    <row r="2053" ht="15.75" customHeight="1">
      <c r="A2053" s="150" t="s">
        <v>5560</v>
      </c>
      <c r="B2053" s="20" t="s">
        <v>5587</v>
      </c>
      <c r="C2053" s="20" t="s">
        <v>5588</v>
      </c>
      <c r="D2053" s="19" t="s">
        <v>5589</v>
      </c>
      <c r="E2053" s="151"/>
      <c r="F2053" s="42" t="s">
        <v>168</v>
      </c>
      <c r="G2053" s="6" t="s">
        <v>5271</v>
      </c>
      <c r="H2053" s="6">
        <v>11.0</v>
      </c>
    </row>
    <row r="2054" ht="15.75" customHeight="1">
      <c r="A2054" s="150" t="s">
        <v>5560</v>
      </c>
      <c r="B2054" s="20" t="s">
        <v>5590</v>
      </c>
      <c r="C2054" s="20" t="s">
        <v>5591</v>
      </c>
      <c r="D2054" s="18">
        <v>8.022220962E9</v>
      </c>
      <c r="E2054" s="151"/>
      <c r="F2054" s="42" t="s">
        <v>168</v>
      </c>
      <c r="G2054" s="6" t="s">
        <v>5271</v>
      </c>
      <c r="H2054" s="6">
        <v>12.0</v>
      </c>
    </row>
    <row r="2055" ht="15.75" customHeight="1">
      <c r="A2055" s="150" t="s">
        <v>5560</v>
      </c>
      <c r="B2055" s="20" t="s">
        <v>5592</v>
      </c>
      <c r="C2055" s="20" t="s">
        <v>5593</v>
      </c>
      <c r="D2055" s="18" t="s">
        <v>5594</v>
      </c>
      <c r="E2055" s="151"/>
      <c r="F2055" s="42" t="s">
        <v>168</v>
      </c>
      <c r="G2055" s="6" t="s">
        <v>5271</v>
      </c>
      <c r="H2055" s="6">
        <v>13.0</v>
      </c>
    </row>
    <row r="2056" ht="15.75" customHeight="1">
      <c r="A2056" s="150" t="s">
        <v>5560</v>
      </c>
      <c r="B2056" s="20" t="s">
        <v>5595</v>
      </c>
      <c r="C2056" s="20" t="s">
        <v>5596</v>
      </c>
      <c r="D2056" s="18">
        <v>8.174701694E9</v>
      </c>
      <c r="E2056" s="151"/>
      <c r="F2056" s="42" t="s">
        <v>168</v>
      </c>
      <c r="G2056" s="6" t="s">
        <v>5271</v>
      </c>
      <c r="H2056" s="6">
        <v>14.0</v>
      </c>
    </row>
    <row r="2057" ht="15.75" customHeight="1">
      <c r="A2057" s="150" t="s">
        <v>5560</v>
      </c>
      <c r="B2057" s="20" t="s">
        <v>5597</v>
      </c>
      <c r="C2057" s="20" t="s">
        <v>5598</v>
      </c>
      <c r="D2057" s="18">
        <v>8.165299097E9</v>
      </c>
      <c r="E2057" s="151"/>
      <c r="F2057" s="42" t="s">
        <v>168</v>
      </c>
      <c r="G2057" s="6" t="s">
        <v>5271</v>
      </c>
      <c r="H2057" s="6">
        <v>15.0</v>
      </c>
    </row>
    <row r="2058" ht="15.75" customHeight="1">
      <c r="A2058" s="150" t="s">
        <v>5560</v>
      </c>
      <c r="B2058" s="20" t="s">
        <v>5599</v>
      </c>
      <c r="C2058" s="20" t="s">
        <v>5600</v>
      </c>
      <c r="D2058" s="18">
        <v>8.037369474E9</v>
      </c>
      <c r="E2058" s="151"/>
      <c r="F2058" s="42" t="s">
        <v>168</v>
      </c>
      <c r="G2058" s="6" t="s">
        <v>5271</v>
      </c>
      <c r="H2058" s="6">
        <v>16.0</v>
      </c>
    </row>
    <row r="2059" ht="15.75" customHeight="1">
      <c r="A2059" s="150" t="s">
        <v>5560</v>
      </c>
      <c r="B2059" s="20" t="s">
        <v>5601</v>
      </c>
      <c r="C2059" s="20" t="s">
        <v>5602</v>
      </c>
      <c r="D2059" s="18">
        <v>8.162735178E9</v>
      </c>
      <c r="E2059" s="151"/>
      <c r="F2059" s="42" t="s">
        <v>168</v>
      </c>
      <c r="G2059" s="6" t="s">
        <v>5271</v>
      </c>
      <c r="H2059" s="6">
        <v>17.0</v>
      </c>
    </row>
    <row r="2060" ht="15.75" customHeight="1">
      <c r="A2060" s="150" t="s">
        <v>5560</v>
      </c>
      <c r="B2060" s="20" t="s">
        <v>5359</v>
      </c>
      <c r="C2060" s="20" t="s">
        <v>5603</v>
      </c>
      <c r="D2060" s="18">
        <v>7.066039655E9</v>
      </c>
      <c r="E2060" s="151"/>
      <c r="F2060" s="42" t="s">
        <v>168</v>
      </c>
      <c r="G2060" s="6" t="s">
        <v>5271</v>
      </c>
      <c r="H2060" s="6">
        <v>18.0</v>
      </c>
    </row>
    <row r="2061" ht="15.75" customHeight="1">
      <c r="A2061" s="150" t="s">
        <v>5560</v>
      </c>
      <c r="B2061" s="157" t="s">
        <v>5604</v>
      </c>
      <c r="C2061" s="20" t="s">
        <v>5605</v>
      </c>
      <c r="D2061" s="158" t="s">
        <v>5606</v>
      </c>
      <c r="E2061" s="20"/>
      <c r="F2061" s="72" t="s">
        <v>97</v>
      </c>
      <c r="G2061" s="42" t="s">
        <v>5271</v>
      </c>
      <c r="H2061" s="6">
        <v>1.0</v>
      </c>
    </row>
    <row r="2062" ht="15.75" customHeight="1">
      <c r="A2062" s="150" t="s">
        <v>5560</v>
      </c>
      <c r="B2062" s="20" t="s">
        <v>5607</v>
      </c>
      <c r="C2062" s="20" t="s">
        <v>5608</v>
      </c>
      <c r="D2062" s="158" t="s">
        <v>5609</v>
      </c>
      <c r="E2062" s="20"/>
      <c r="F2062" s="72" t="s">
        <v>97</v>
      </c>
      <c r="G2062" s="42" t="s">
        <v>5271</v>
      </c>
      <c r="H2062" s="6">
        <v>2.0</v>
      </c>
    </row>
    <row r="2063" ht="15.75" customHeight="1">
      <c r="A2063" s="150" t="s">
        <v>5560</v>
      </c>
      <c r="B2063" s="20" t="s">
        <v>5610</v>
      </c>
      <c r="C2063" s="20" t="s">
        <v>5611</v>
      </c>
      <c r="D2063" s="158" t="s">
        <v>5612</v>
      </c>
      <c r="E2063" s="20"/>
      <c r="F2063" s="72" t="s">
        <v>97</v>
      </c>
      <c r="G2063" s="42" t="s">
        <v>5271</v>
      </c>
      <c r="H2063" s="6">
        <v>3.0</v>
      </c>
    </row>
    <row r="2064" ht="15.75" customHeight="1">
      <c r="A2064" s="150" t="s">
        <v>5560</v>
      </c>
      <c r="B2064" s="20" t="s">
        <v>5613</v>
      </c>
      <c r="C2064" s="20" t="s">
        <v>5614</v>
      </c>
      <c r="D2064" s="159" t="s">
        <v>5286</v>
      </c>
      <c r="E2064" s="20"/>
      <c r="F2064" s="72" t="s">
        <v>97</v>
      </c>
      <c r="G2064" s="42" t="s">
        <v>5271</v>
      </c>
      <c r="H2064" s="6">
        <v>4.0</v>
      </c>
    </row>
    <row r="2065" ht="15.75" customHeight="1">
      <c r="A2065" s="150" t="s">
        <v>5560</v>
      </c>
      <c r="B2065" s="20" t="s">
        <v>5615</v>
      </c>
      <c r="C2065" s="20" t="s">
        <v>5616</v>
      </c>
      <c r="D2065" s="159" t="s">
        <v>5355</v>
      </c>
      <c r="E2065" s="20"/>
      <c r="F2065" s="72" t="s">
        <v>97</v>
      </c>
      <c r="G2065" s="42" t="s">
        <v>5271</v>
      </c>
      <c r="H2065" s="6">
        <v>5.0</v>
      </c>
    </row>
    <row r="2066" ht="15.75" customHeight="1">
      <c r="A2066" s="150" t="s">
        <v>5560</v>
      </c>
      <c r="B2066" s="20" t="s">
        <v>5617</v>
      </c>
      <c r="C2066" s="20" t="s">
        <v>5618</v>
      </c>
      <c r="D2066" s="159" t="s">
        <v>5277</v>
      </c>
      <c r="E2066" s="20"/>
      <c r="F2066" s="72" t="s">
        <v>97</v>
      </c>
      <c r="G2066" s="42" t="s">
        <v>5271</v>
      </c>
      <c r="H2066" s="6">
        <v>6.0</v>
      </c>
    </row>
    <row r="2067" ht="15.75" customHeight="1">
      <c r="A2067" s="150" t="s">
        <v>5560</v>
      </c>
      <c r="B2067" s="20" t="s">
        <v>5619</v>
      </c>
      <c r="C2067" s="20" t="s">
        <v>5620</v>
      </c>
      <c r="D2067" s="159" t="s">
        <v>5621</v>
      </c>
      <c r="E2067" s="20"/>
      <c r="F2067" s="72" t="s">
        <v>97</v>
      </c>
      <c r="G2067" s="42" t="s">
        <v>5271</v>
      </c>
      <c r="H2067" s="6">
        <v>7.0</v>
      </c>
    </row>
    <row r="2068" ht="15.75" customHeight="1">
      <c r="A2068" s="150" t="s">
        <v>5560</v>
      </c>
      <c r="B2068" s="20" t="s">
        <v>5622</v>
      </c>
      <c r="C2068" s="20" t="s">
        <v>5623</v>
      </c>
      <c r="D2068" s="159" t="s">
        <v>5624</v>
      </c>
      <c r="E2068" s="20"/>
      <c r="F2068" s="72" t="s">
        <v>97</v>
      </c>
      <c r="G2068" s="42" t="s">
        <v>5271</v>
      </c>
      <c r="H2068" s="6">
        <v>8.0</v>
      </c>
    </row>
    <row r="2069" ht="15.75" customHeight="1">
      <c r="A2069" s="150" t="s">
        <v>5560</v>
      </c>
      <c r="B2069" s="20" t="s">
        <v>5625</v>
      </c>
      <c r="C2069" s="20" t="s">
        <v>5626</v>
      </c>
      <c r="D2069" s="159" t="s">
        <v>5310</v>
      </c>
      <c r="E2069" s="20"/>
      <c r="F2069" s="72" t="s">
        <v>97</v>
      </c>
      <c r="G2069" s="42" t="s">
        <v>5271</v>
      </c>
      <c r="H2069" s="6">
        <v>9.0</v>
      </c>
    </row>
    <row r="2070" ht="15.75" customHeight="1">
      <c r="A2070" s="150" t="s">
        <v>5560</v>
      </c>
      <c r="B2070" s="20" t="s">
        <v>5627</v>
      </c>
      <c r="C2070" s="20" t="s">
        <v>5628</v>
      </c>
      <c r="D2070" s="159" t="s">
        <v>5430</v>
      </c>
      <c r="E2070" s="20"/>
      <c r="F2070" s="72" t="s">
        <v>97</v>
      </c>
      <c r="G2070" s="42" t="s">
        <v>5271</v>
      </c>
      <c r="H2070" s="6">
        <v>10.0</v>
      </c>
    </row>
    <row r="2071" ht="15.75" customHeight="1">
      <c r="A2071" s="150"/>
      <c r="C2071" s="151"/>
      <c r="D2071" s="151"/>
      <c r="E2071" s="151"/>
    </row>
    <row r="2072" ht="15.75" customHeight="1">
      <c r="A2072" s="150"/>
      <c r="C2072" s="151"/>
      <c r="D2072" s="151"/>
      <c r="E2072" s="151"/>
    </row>
    <row r="2073" ht="15.75" customHeight="1">
      <c r="A2073" s="150"/>
      <c r="C2073" s="151"/>
      <c r="D2073" s="151"/>
      <c r="E2073" s="151"/>
    </row>
    <row r="2074" ht="15.75" customHeight="1">
      <c r="A2074" s="150"/>
      <c r="C2074" s="151"/>
      <c r="D2074" s="151"/>
      <c r="E2074" s="151"/>
    </row>
    <row r="2075" ht="15.75" customHeight="1">
      <c r="A2075" s="150"/>
      <c r="C2075" s="151"/>
      <c r="D2075" s="151"/>
      <c r="E2075" s="151"/>
    </row>
    <row r="2076" ht="15.75" customHeight="1">
      <c r="A2076" s="150"/>
      <c r="C2076" s="151"/>
      <c r="D2076" s="151"/>
      <c r="E2076" s="151"/>
    </row>
    <row r="2077" ht="15.75" customHeight="1">
      <c r="A2077" s="150"/>
      <c r="C2077" s="151"/>
      <c r="D2077" s="151"/>
      <c r="E2077" s="151"/>
    </row>
    <row r="2078" ht="15.75" customHeight="1">
      <c r="A2078" s="150"/>
      <c r="C2078" s="151"/>
      <c r="D2078" s="151"/>
      <c r="E2078" s="151"/>
    </row>
    <row r="2079" ht="15.75" customHeight="1">
      <c r="A2079" s="150"/>
      <c r="C2079" s="151"/>
      <c r="D2079" s="151"/>
      <c r="E2079" s="151"/>
    </row>
    <row r="2080" ht="15.75" customHeight="1">
      <c r="A2080" s="150"/>
      <c r="C2080" s="151"/>
      <c r="D2080" s="151"/>
      <c r="E2080" s="151"/>
    </row>
    <row r="2081" ht="15.75" customHeight="1">
      <c r="A2081" s="150"/>
      <c r="C2081" s="151"/>
      <c r="D2081" s="151"/>
      <c r="E2081" s="151"/>
    </row>
    <row r="2082" ht="15.75" customHeight="1">
      <c r="A2082" s="150"/>
      <c r="C2082" s="151"/>
      <c r="D2082" s="151"/>
      <c r="E2082" s="151"/>
    </row>
    <row r="2083" ht="15.75" customHeight="1">
      <c r="A2083" s="150"/>
      <c r="C2083" s="151"/>
      <c r="D2083" s="151"/>
      <c r="E2083" s="151"/>
    </row>
    <row r="2084" ht="15.75" customHeight="1">
      <c r="A2084" s="150"/>
      <c r="C2084" s="151"/>
      <c r="D2084" s="151"/>
      <c r="E2084" s="151"/>
    </row>
    <row r="2085" ht="15.75" customHeight="1">
      <c r="A2085" s="150"/>
      <c r="C2085" s="151"/>
      <c r="D2085" s="151"/>
      <c r="E2085" s="151"/>
    </row>
    <row r="2086" ht="15.75" customHeight="1">
      <c r="A2086" s="150"/>
      <c r="C2086" s="151"/>
      <c r="D2086" s="151"/>
      <c r="E2086" s="151"/>
    </row>
    <row r="2087" ht="15.75" customHeight="1">
      <c r="A2087" s="150"/>
      <c r="C2087" s="151"/>
      <c r="D2087" s="151"/>
      <c r="E2087" s="151"/>
    </row>
    <row r="2088" ht="15.75" customHeight="1">
      <c r="A2088" s="150"/>
      <c r="C2088" s="151"/>
      <c r="D2088" s="151"/>
      <c r="E2088" s="151"/>
    </row>
    <row r="2089" ht="15.75" customHeight="1">
      <c r="A2089" s="150"/>
      <c r="C2089" s="151"/>
      <c r="D2089" s="151"/>
      <c r="E2089" s="151"/>
    </row>
    <row r="2090" ht="15.75" customHeight="1">
      <c r="A2090" s="150"/>
      <c r="C2090" s="151"/>
      <c r="D2090" s="151"/>
      <c r="E2090" s="151"/>
    </row>
    <row r="2091" ht="15.75" customHeight="1">
      <c r="A2091" s="150"/>
      <c r="C2091" s="151"/>
      <c r="D2091" s="151"/>
      <c r="E2091" s="151"/>
    </row>
    <row r="2092" ht="15.75" customHeight="1">
      <c r="A2092" s="150"/>
      <c r="C2092" s="151"/>
      <c r="D2092" s="151"/>
      <c r="E2092" s="151"/>
    </row>
    <row r="2093" ht="15.75" customHeight="1">
      <c r="C2093" s="151"/>
      <c r="D2093" s="151"/>
      <c r="E2093" s="151"/>
    </row>
    <row r="2094" ht="15.75" customHeight="1">
      <c r="C2094" s="151"/>
      <c r="D2094" s="151"/>
      <c r="E2094" s="151"/>
    </row>
    <row r="2095" ht="15.75" customHeight="1">
      <c r="C2095" s="151"/>
      <c r="D2095" s="151"/>
      <c r="E2095" s="151"/>
    </row>
    <row r="2096" ht="15.75" customHeight="1">
      <c r="C2096" s="151"/>
      <c r="D2096" s="151"/>
      <c r="E2096" s="151"/>
    </row>
    <row r="2097" ht="15.75" customHeight="1">
      <c r="C2097" s="151"/>
      <c r="D2097" s="151"/>
      <c r="E2097" s="151"/>
    </row>
    <row r="2098" ht="15.75" customHeight="1">
      <c r="C2098" s="151"/>
      <c r="D2098" s="151"/>
      <c r="E2098" s="151"/>
    </row>
    <row r="2099" ht="15.75" customHeight="1">
      <c r="C2099" s="151"/>
      <c r="D2099" s="151"/>
      <c r="E2099" s="151"/>
    </row>
    <row r="2100" ht="15.75" customHeight="1">
      <c r="C2100" s="151"/>
      <c r="D2100" s="151"/>
      <c r="E2100" s="151"/>
    </row>
    <row r="2101" ht="15.75" customHeight="1">
      <c r="C2101" s="151"/>
      <c r="D2101" s="151"/>
      <c r="E2101" s="151"/>
    </row>
    <row r="2102" ht="15.75" customHeight="1">
      <c r="C2102" s="151"/>
      <c r="D2102" s="151"/>
      <c r="E2102" s="151"/>
    </row>
    <row r="2103" ht="15.75" customHeight="1">
      <c r="C2103" s="151"/>
      <c r="D2103" s="151"/>
      <c r="E2103" s="151"/>
    </row>
    <row r="2104" ht="15.75" customHeight="1">
      <c r="C2104" s="151"/>
      <c r="D2104" s="151"/>
      <c r="E2104" s="151"/>
    </row>
    <row r="2105" ht="15.75" customHeight="1">
      <c r="C2105" s="151"/>
      <c r="D2105" s="151"/>
      <c r="E2105" s="151"/>
    </row>
    <row r="2106" ht="15.75" customHeight="1">
      <c r="C2106" s="151"/>
      <c r="D2106" s="151"/>
      <c r="E2106" s="151"/>
    </row>
    <row r="2107" ht="15.75" customHeight="1">
      <c r="C2107" s="151"/>
      <c r="D2107" s="151"/>
      <c r="E2107" s="151"/>
    </row>
    <row r="2108" ht="15.75" customHeight="1">
      <c r="C2108" s="151"/>
      <c r="D2108" s="151"/>
      <c r="E2108" s="151"/>
    </row>
    <row r="2109" ht="15.75" customHeight="1">
      <c r="C2109" s="151"/>
      <c r="D2109" s="151"/>
      <c r="E2109" s="151"/>
    </row>
    <row r="2110" ht="15.75" customHeight="1">
      <c r="C2110" s="151"/>
      <c r="D2110" s="151"/>
      <c r="E2110" s="151"/>
    </row>
    <row r="2111" ht="15.75" customHeight="1">
      <c r="C2111" s="151"/>
      <c r="D2111" s="151"/>
      <c r="E2111" s="151"/>
    </row>
    <row r="2112" ht="15.75" customHeight="1">
      <c r="C2112" s="151"/>
      <c r="D2112" s="151"/>
      <c r="E2112" s="151"/>
    </row>
    <row r="2113" ht="15.75" customHeight="1">
      <c r="C2113" s="151"/>
      <c r="D2113" s="151"/>
      <c r="E2113" s="151"/>
    </row>
    <row r="2114" ht="15.75" customHeight="1">
      <c r="C2114" s="151"/>
      <c r="D2114" s="151"/>
      <c r="E2114" s="151"/>
    </row>
    <row r="2115" ht="15.75" customHeight="1">
      <c r="C2115" s="151"/>
      <c r="D2115" s="151"/>
      <c r="E2115" s="151"/>
    </row>
    <row r="2116" ht="15.75" customHeight="1">
      <c r="C2116" s="151"/>
      <c r="D2116" s="151"/>
      <c r="E2116" s="151"/>
    </row>
    <row r="2117" ht="15.75" customHeight="1">
      <c r="C2117" s="151"/>
      <c r="D2117" s="151"/>
      <c r="E2117" s="151"/>
    </row>
    <row r="2118" ht="15.75" customHeight="1">
      <c r="C2118" s="151"/>
      <c r="D2118" s="151"/>
      <c r="E2118" s="151"/>
    </row>
    <row r="2119" ht="15.75" customHeight="1">
      <c r="C2119" s="151"/>
      <c r="D2119" s="151"/>
      <c r="E2119" s="151"/>
    </row>
    <row r="2120" ht="15.75" customHeight="1">
      <c r="C2120" s="151"/>
      <c r="D2120" s="151"/>
      <c r="E2120" s="151"/>
    </row>
    <row r="2121" ht="15.75" customHeight="1">
      <c r="C2121" s="151"/>
      <c r="D2121" s="151"/>
      <c r="E2121" s="151"/>
    </row>
    <row r="2122" ht="15.75" customHeight="1">
      <c r="C2122" s="151"/>
      <c r="D2122" s="151"/>
      <c r="E2122" s="151"/>
    </row>
    <row r="2123" ht="15.75" customHeight="1">
      <c r="C2123" s="151"/>
      <c r="D2123" s="151"/>
      <c r="E2123" s="151"/>
    </row>
    <row r="2124" ht="15.75" customHeight="1">
      <c r="C2124" s="151"/>
      <c r="D2124" s="151"/>
      <c r="E2124" s="151"/>
    </row>
    <row r="2125" ht="15.75" customHeight="1">
      <c r="C2125" s="151"/>
      <c r="D2125" s="151"/>
      <c r="E2125" s="151"/>
    </row>
    <row r="2126" ht="15.75" customHeight="1">
      <c r="C2126" s="151"/>
      <c r="D2126" s="151"/>
      <c r="E2126" s="151"/>
    </row>
    <row r="2127" ht="15.75" customHeight="1">
      <c r="C2127" s="151"/>
      <c r="D2127" s="151"/>
      <c r="E2127" s="151"/>
    </row>
    <row r="2128" ht="15.75" customHeight="1">
      <c r="C2128" s="151"/>
      <c r="D2128" s="151"/>
      <c r="E2128" s="151"/>
    </row>
    <row r="2129" ht="15.75" customHeight="1">
      <c r="C2129" s="151"/>
      <c r="D2129" s="151"/>
      <c r="E2129" s="151"/>
    </row>
    <row r="2130" ht="15.75" customHeight="1">
      <c r="C2130" s="151"/>
      <c r="D2130" s="151"/>
      <c r="E2130" s="151"/>
    </row>
    <row r="2131" ht="15.75" customHeight="1">
      <c r="C2131" s="151"/>
      <c r="D2131" s="151"/>
      <c r="E2131" s="151"/>
    </row>
    <row r="2132" ht="15.75" customHeight="1">
      <c r="C2132" s="151"/>
      <c r="D2132" s="151"/>
      <c r="E2132" s="151"/>
    </row>
    <row r="2133" ht="15.75" customHeight="1">
      <c r="C2133" s="151"/>
      <c r="D2133" s="151"/>
      <c r="E2133" s="151"/>
    </row>
    <row r="2134" ht="15.75" customHeight="1">
      <c r="C2134" s="151"/>
      <c r="D2134" s="151"/>
      <c r="E2134" s="151"/>
    </row>
    <row r="2135" ht="15.75" customHeight="1">
      <c r="C2135" s="151"/>
      <c r="D2135" s="151"/>
      <c r="E2135" s="151"/>
    </row>
    <row r="2136" ht="15.75" customHeight="1">
      <c r="C2136" s="151"/>
      <c r="D2136" s="151"/>
      <c r="E2136" s="151"/>
    </row>
    <row r="2137" ht="15.75" customHeight="1">
      <c r="C2137" s="151"/>
      <c r="D2137" s="151"/>
      <c r="E2137" s="151"/>
    </row>
    <row r="2138" ht="15.75" customHeight="1">
      <c r="C2138" s="151"/>
      <c r="D2138" s="151"/>
      <c r="E2138" s="151"/>
    </row>
    <row r="2139" ht="15.75" customHeight="1">
      <c r="C2139" s="151"/>
      <c r="D2139" s="151"/>
      <c r="E2139" s="151"/>
    </row>
    <row r="2140" ht="15.75" customHeight="1">
      <c r="C2140" s="151"/>
      <c r="D2140" s="151"/>
      <c r="E2140" s="151"/>
    </row>
    <row r="2141" ht="15.75" customHeight="1">
      <c r="C2141" s="151"/>
      <c r="D2141" s="151"/>
      <c r="E2141" s="151"/>
    </row>
    <row r="2142" ht="15.75" customHeight="1">
      <c r="C2142" s="151"/>
      <c r="D2142" s="151"/>
      <c r="E2142" s="151"/>
    </row>
    <row r="2143" ht="15.75" customHeight="1">
      <c r="C2143" s="151"/>
      <c r="D2143" s="151"/>
      <c r="E2143" s="151"/>
    </row>
    <row r="2144" ht="15.75" customHeight="1">
      <c r="C2144" s="151"/>
      <c r="D2144" s="151"/>
      <c r="E2144" s="151"/>
    </row>
    <row r="2145" ht="15.75" customHeight="1">
      <c r="C2145" s="151"/>
      <c r="D2145" s="151"/>
      <c r="E2145" s="151"/>
    </row>
    <row r="2146" ht="15.75" customHeight="1">
      <c r="C2146" s="151"/>
      <c r="D2146" s="151"/>
      <c r="E2146" s="151"/>
    </row>
    <row r="2147" ht="15.75" customHeight="1">
      <c r="C2147" s="151"/>
      <c r="D2147" s="151"/>
      <c r="E2147" s="151"/>
    </row>
    <row r="2148" ht="15.75" customHeight="1">
      <c r="C2148" s="151"/>
      <c r="D2148" s="151"/>
      <c r="E2148" s="151"/>
    </row>
    <row r="2149" ht="15.75" customHeight="1">
      <c r="C2149" s="151"/>
      <c r="D2149" s="151"/>
      <c r="E2149" s="151"/>
    </row>
    <row r="2150" ht="15.75" customHeight="1">
      <c r="C2150" s="151"/>
      <c r="D2150" s="151"/>
      <c r="E2150" s="151"/>
    </row>
    <row r="2151" ht="15.75" customHeight="1">
      <c r="C2151" s="151"/>
      <c r="D2151" s="151"/>
      <c r="E2151" s="151"/>
    </row>
    <row r="2152" ht="15.75" customHeight="1">
      <c r="C2152" s="151"/>
      <c r="D2152" s="151"/>
      <c r="E2152" s="151"/>
    </row>
    <row r="2153" ht="15.75" customHeight="1">
      <c r="C2153" s="151"/>
      <c r="D2153" s="151"/>
      <c r="E2153" s="151"/>
    </row>
    <row r="2154" ht="15.75" customHeight="1">
      <c r="C2154" s="151"/>
      <c r="D2154" s="151"/>
      <c r="E2154" s="151"/>
    </row>
    <row r="2155" ht="15.75" customHeight="1">
      <c r="C2155" s="151"/>
      <c r="D2155" s="151"/>
      <c r="E2155" s="151"/>
    </row>
    <row r="2156" ht="15.75" customHeight="1">
      <c r="C2156" s="151"/>
      <c r="D2156" s="151"/>
      <c r="E2156" s="151"/>
    </row>
    <row r="2157" ht="15.75" customHeight="1">
      <c r="C2157" s="151"/>
      <c r="D2157" s="151"/>
      <c r="E2157" s="151"/>
    </row>
    <row r="2158" ht="15.75" customHeight="1">
      <c r="C2158" s="151"/>
      <c r="D2158" s="151"/>
      <c r="E2158" s="151"/>
    </row>
    <row r="2159" ht="15.75" customHeight="1">
      <c r="C2159" s="151"/>
      <c r="D2159" s="151"/>
      <c r="E2159" s="151"/>
    </row>
    <row r="2160" ht="15.75" customHeight="1">
      <c r="C2160" s="151"/>
      <c r="D2160" s="151"/>
      <c r="E2160" s="151"/>
    </row>
    <row r="2161" ht="15.75" customHeight="1">
      <c r="C2161" s="151"/>
      <c r="D2161" s="151"/>
      <c r="E2161" s="151"/>
    </row>
    <row r="2162" ht="15.75" customHeight="1">
      <c r="C2162" s="151"/>
      <c r="D2162" s="151"/>
      <c r="E2162" s="151"/>
    </row>
    <row r="2163" ht="15.75" customHeight="1">
      <c r="C2163" s="151"/>
      <c r="D2163" s="151"/>
      <c r="E2163" s="151"/>
    </row>
    <row r="2164" ht="15.75" customHeight="1">
      <c r="C2164" s="151"/>
      <c r="D2164" s="151"/>
      <c r="E2164" s="151"/>
    </row>
    <row r="2165" ht="15.75" customHeight="1">
      <c r="C2165" s="151"/>
      <c r="D2165" s="151"/>
      <c r="E2165" s="151"/>
    </row>
    <row r="2166" ht="15.75" customHeight="1">
      <c r="C2166" s="151"/>
      <c r="D2166" s="151"/>
      <c r="E2166" s="151"/>
    </row>
    <row r="2167" ht="15.75" customHeight="1">
      <c r="C2167" s="151"/>
      <c r="D2167" s="151"/>
      <c r="E2167" s="151"/>
    </row>
    <row r="2168" ht="15.75" customHeight="1">
      <c r="C2168" s="151"/>
      <c r="D2168" s="151"/>
      <c r="E2168" s="151"/>
    </row>
    <row r="2169" ht="15.75" customHeight="1">
      <c r="C2169" s="151"/>
      <c r="D2169" s="151"/>
      <c r="E2169" s="151"/>
    </row>
    <row r="2170" ht="15.75" customHeight="1">
      <c r="C2170" s="151"/>
      <c r="D2170" s="151"/>
      <c r="E2170" s="151"/>
    </row>
    <row r="2171" ht="15.75" customHeight="1">
      <c r="C2171" s="151"/>
      <c r="D2171" s="151"/>
      <c r="E2171" s="151"/>
    </row>
    <row r="2172" ht="15.75" customHeight="1">
      <c r="C2172" s="151"/>
      <c r="D2172" s="151"/>
      <c r="E2172" s="151"/>
    </row>
    <row r="2173" ht="15.75" customHeight="1">
      <c r="C2173" s="151"/>
      <c r="D2173" s="151"/>
      <c r="E2173" s="151"/>
    </row>
    <row r="2174" ht="15.75" customHeight="1">
      <c r="C2174" s="151"/>
      <c r="D2174" s="151"/>
      <c r="E2174" s="151"/>
    </row>
    <row r="2175" ht="15.75" customHeight="1">
      <c r="C2175" s="151"/>
      <c r="D2175" s="151"/>
      <c r="E2175" s="151"/>
    </row>
    <row r="2176" ht="15.75" customHeight="1">
      <c r="C2176" s="151"/>
      <c r="D2176" s="151"/>
      <c r="E2176" s="151"/>
    </row>
    <row r="2177" ht="15.75" customHeight="1">
      <c r="C2177" s="151"/>
      <c r="D2177" s="151"/>
      <c r="E2177" s="151"/>
    </row>
    <row r="2178" ht="15.75" customHeight="1">
      <c r="C2178" s="151"/>
      <c r="D2178" s="151"/>
      <c r="E2178" s="151"/>
    </row>
    <row r="2179" ht="15.75" customHeight="1">
      <c r="C2179" s="151"/>
      <c r="D2179" s="151"/>
      <c r="E2179" s="151"/>
    </row>
    <row r="2180" ht="15.75" customHeight="1">
      <c r="C2180" s="151"/>
      <c r="D2180" s="151"/>
      <c r="E2180" s="151"/>
    </row>
    <row r="2181" ht="15.75" customHeight="1">
      <c r="C2181" s="151"/>
      <c r="D2181" s="151"/>
      <c r="E2181" s="151"/>
    </row>
    <row r="2182" ht="15.75" customHeight="1">
      <c r="C2182" s="151"/>
      <c r="D2182" s="151"/>
      <c r="E2182" s="151"/>
    </row>
    <row r="2183" ht="15.75" customHeight="1">
      <c r="C2183" s="151"/>
      <c r="D2183" s="151"/>
      <c r="E2183" s="151"/>
    </row>
    <row r="2184" ht="15.75" customHeight="1">
      <c r="C2184" s="151"/>
      <c r="D2184" s="151"/>
      <c r="E2184" s="151"/>
    </row>
    <row r="2185" ht="15.75" customHeight="1">
      <c r="C2185" s="151"/>
      <c r="D2185" s="151"/>
      <c r="E2185" s="151"/>
    </row>
    <row r="2186" ht="15.75" customHeight="1">
      <c r="C2186" s="151"/>
      <c r="D2186" s="151"/>
      <c r="E2186" s="151"/>
    </row>
    <row r="2187" ht="15.75" customHeight="1">
      <c r="C2187" s="151"/>
      <c r="D2187" s="151"/>
      <c r="E2187" s="151"/>
    </row>
    <row r="2188" ht="15.75" customHeight="1">
      <c r="C2188" s="151"/>
      <c r="D2188" s="151"/>
      <c r="E2188" s="151"/>
    </row>
    <row r="2189" ht="15.75" customHeight="1">
      <c r="C2189" s="151"/>
      <c r="D2189" s="151"/>
      <c r="E2189" s="151"/>
    </row>
    <row r="2190" ht="15.75" customHeight="1">
      <c r="C2190" s="151"/>
      <c r="D2190" s="151"/>
      <c r="E2190" s="151"/>
    </row>
    <row r="2191" ht="15.75" customHeight="1">
      <c r="C2191" s="151"/>
      <c r="D2191" s="151"/>
      <c r="E2191" s="151"/>
    </row>
    <row r="2192" ht="15.75" customHeight="1">
      <c r="C2192" s="151"/>
      <c r="D2192" s="151"/>
      <c r="E2192" s="151"/>
    </row>
    <row r="2193" ht="15.75" customHeight="1">
      <c r="C2193" s="151"/>
      <c r="D2193" s="151"/>
      <c r="E2193" s="151"/>
    </row>
    <row r="2194" ht="15.75" customHeight="1">
      <c r="C2194" s="151"/>
      <c r="D2194" s="151"/>
      <c r="E2194" s="151"/>
    </row>
    <row r="2195" ht="15.75" customHeight="1">
      <c r="C2195" s="151"/>
      <c r="D2195" s="151"/>
      <c r="E2195" s="151"/>
    </row>
    <row r="2196" ht="15.75" customHeight="1">
      <c r="C2196" s="151"/>
      <c r="D2196" s="151"/>
      <c r="E2196" s="151"/>
    </row>
    <row r="2197" ht="15.75" customHeight="1">
      <c r="C2197" s="151"/>
      <c r="D2197" s="151"/>
      <c r="E2197" s="151"/>
    </row>
    <row r="2198" ht="15.75" customHeight="1">
      <c r="C2198" s="151"/>
      <c r="D2198" s="151"/>
      <c r="E2198" s="151"/>
    </row>
    <row r="2199" ht="15.75" customHeight="1">
      <c r="C2199" s="151"/>
      <c r="D2199" s="151"/>
      <c r="E2199" s="151"/>
    </row>
    <row r="2200" ht="15.75" customHeight="1">
      <c r="C2200" s="151"/>
      <c r="D2200" s="151"/>
      <c r="E2200" s="151"/>
    </row>
    <row r="2201" ht="15.75" customHeight="1">
      <c r="C2201" s="151"/>
      <c r="D2201" s="151"/>
      <c r="E2201" s="151"/>
    </row>
    <row r="2202" ht="15.75" customHeight="1">
      <c r="C2202" s="151"/>
      <c r="D2202" s="151"/>
      <c r="E2202" s="151"/>
    </row>
    <row r="2203" ht="15.75" customHeight="1">
      <c r="C2203" s="151"/>
      <c r="D2203" s="151"/>
      <c r="E2203" s="151"/>
    </row>
    <row r="2204" ht="15.75" customHeight="1">
      <c r="C2204" s="151"/>
      <c r="D2204" s="151"/>
      <c r="E2204" s="151"/>
    </row>
    <row r="2205" ht="15.75" customHeight="1">
      <c r="C2205" s="151"/>
      <c r="D2205" s="151"/>
      <c r="E2205" s="151"/>
    </row>
    <row r="2206" ht="15.75" customHeight="1">
      <c r="C2206" s="151"/>
      <c r="D2206" s="151"/>
      <c r="E2206" s="151"/>
    </row>
    <row r="2207" ht="15.75" customHeight="1">
      <c r="C2207" s="151"/>
      <c r="D2207" s="151"/>
      <c r="E2207" s="151"/>
    </row>
    <row r="2208" ht="15.75" customHeight="1">
      <c r="C2208" s="151"/>
      <c r="D2208" s="151"/>
      <c r="E2208" s="151"/>
    </row>
    <row r="2209" ht="15.75" customHeight="1">
      <c r="C2209" s="151"/>
      <c r="D2209" s="151"/>
      <c r="E2209" s="151"/>
    </row>
    <row r="2210" ht="15.75" customHeight="1">
      <c r="C2210" s="151"/>
      <c r="D2210" s="151"/>
      <c r="E2210" s="151"/>
    </row>
    <row r="2211" ht="15.75" customHeight="1">
      <c r="C2211" s="151"/>
      <c r="D2211" s="151"/>
      <c r="E2211" s="151"/>
    </row>
    <row r="2212" ht="15.75" customHeight="1">
      <c r="C2212" s="151"/>
      <c r="D2212" s="151"/>
      <c r="E2212" s="151"/>
    </row>
    <row r="2213" ht="15.75" customHeight="1">
      <c r="C2213" s="151"/>
      <c r="D2213" s="151"/>
      <c r="E2213" s="151"/>
    </row>
    <row r="2214" ht="15.75" customHeight="1">
      <c r="C2214" s="151"/>
      <c r="D2214" s="151"/>
      <c r="E2214" s="151"/>
    </row>
    <row r="2215" ht="15.75" customHeight="1">
      <c r="C2215" s="151"/>
      <c r="D2215" s="151"/>
      <c r="E2215" s="151"/>
    </row>
    <row r="2216" ht="15.75" customHeight="1">
      <c r="C2216" s="151"/>
      <c r="D2216" s="151"/>
      <c r="E2216" s="151"/>
    </row>
    <row r="2217" ht="15.75" customHeight="1">
      <c r="C2217" s="151"/>
      <c r="D2217" s="151"/>
      <c r="E2217" s="151"/>
    </row>
    <row r="2218" ht="15.75" customHeight="1">
      <c r="C2218" s="151"/>
      <c r="D2218" s="151"/>
      <c r="E2218" s="151"/>
    </row>
    <row r="2219" ht="15.75" customHeight="1">
      <c r="C2219" s="151"/>
      <c r="D2219" s="151"/>
      <c r="E2219" s="151"/>
    </row>
    <row r="2220" ht="15.75" customHeight="1">
      <c r="C2220" s="151"/>
      <c r="D2220" s="151"/>
      <c r="E2220" s="151"/>
    </row>
    <row r="2221" ht="15.75" customHeight="1">
      <c r="C2221" s="151"/>
      <c r="D2221" s="151"/>
      <c r="E2221" s="151"/>
    </row>
    <row r="2222" ht="15.75" customHeight="1">
      <c r="C2222" s="151"/>
      <c r="D2222" s="151"/>
      <c r="E2222" s="151"/>
    </row>
    <row r="2223" ht="15.75" customHeight="1">
      <c r="C2223" s="151"/>
      <c r="D2223" s="151"/>
      <c r="E2223" s="151"/>
    </row>
    <row r="2224" ht="15.75" customHeight="1">
      <c r="C2224" s="151"/>
      <c r="D2224" s="151"/>
      <c r="E2224" s="151"/>
    </row>
    <row r="2225" ht="15.75" customHeight="1">
      <c r="C2225" s="151"/>
      <c r="D2225" s="151"/>
      <c r="E2225" s="151"/>
    </row>
    <row r="2226" ht="15.75" customHeight="1">
      <c r="C2226" s="151"/>
      <c r="D2226" s="151"/>
      <c r="E2226" s="151"/>
    </row>
    <row r="2227" ht="15.75" customHeight="1">
      <c r="C2227" s="151"/>
      <c r="D2227" s="151"/>
      <c r="E2227" s="151"/>
    </row>
    <row r="2228" ht="15.75" customHeight="1">
      <c r="C2228" s="151"/>
      <c r="D2228" s="151"/>
      <c r="E2228" s="151"/>
    </row>
    <row r="2229" ht="15.75" customHeight="1">
      <c r="C2229" s="151"/>
      <c r="D2229" s="151"/>
      <c r="E2229" s="151"/>
    </row>
    <row r="2230" ht="15.75" customHeight="1">
      <c r="C2230" s="151"/>
      <c r="D2230" s="151"/>
      <c r="E2230" s="151"/>
    </row>
    <row r="2231" ht="15.75" customHeight="1">
      <c r="C2231" s="151"/>
      <c r="D2231" s="151"/>
      <c r="E2231" s="151"/>
    </row>
    <row r="2232" ht="15.75" customHeight="1">
      <c r="C2232" s="151"/>
      <c r="D2232" s="151"/>
      <c r="E2232" s="151"/>
    </row>
    <row r="2233" ht="15.75" customHeight="1">
      <c r="C2233" s="151"/>
      <c r="D2233" s="151"/>
      <c r="E2233" s="151"/>
    </row>
    <row r="2234" ht="15.75" customHeight="1">
      <c r="C2234" s="151"/>
      <c r="D2234" s="151"/>
      <c r="E2234" s="151"/>
    </row>
    <row r="2235" ht="15.75" customHeight="1">
      <c r="C2235" s="151"/>
      <c r="D2235" s="151"/>
      <c r="E2235" s="151"/>
    </row>
    <row r="2236" ht="15.75" customHeight="1">
      <c r="C2236" s="151"/>
      <c r="D2236" s="151"/>
      <c r="E2236" s="151"/>
    </row>
    <row r="2237" ht="15.75" customHeight="1">
      <c r="C2237" s="151"/>
      <c r="D2237" s="151"/>
      <c r="E2237" s="151"/>
    </row>
    <row r="2238" ht="15.75" customHeight="1">
      <c r="C2238" s="151"/>
      <c r="D2238" s="151"/>
      <c r="E2238" s="151"/>
    </row>
    <row r="2239" ht="15.75" customHeight="1">
      <c r="C2239" s="151"/>
      <c r="D2239" s="151"/>
      <c r="E2239" s="151"/>
    </row>
    <row r="2240" ht="15.75" customHeight="1">
      <c r="C2240" s="151"/>
      <c r="D2240" s="151"/>
      <c r="E2240" s="151"/>
    </row>
    <row r="2241" ht="15.75" customHeight="1">
      <c r="C2241" s="151"/>
      <c r="D2241" s="151"/>
      <c r="E2241" s="151"/>
    </row>
    <row r="2242" ht="15.75" customHeight="1">
      <c r="C2242" s="151"/>
      <c r="D2242" s="151"/>
      <c r="E2242" s="151"/>
    </row>
    <row r="2243" ht="15.75" customHeight="1">
      <c r="C2243" s="151"/>
      <c r="D2243" s="151"/>
      <c r="E2243" s="151"/>
    </row>
    <row r="2244" ht="15.75" customHeight="1">
      <c r="C2244" s="151"/>
      <c r="D2244" s="151"/>
      <c r="E2244" s="151"/>
    </row>
    <row r="2245" ht="15.75" customHeight="1">
      <c r="C2245" s="151"/>
      <c r="D2245" s="151"/>
      <c r="E2245" s="151"/>
    </row>
    <row r="2246" ht="15.75" customHeight="1">
      <c r="C2246" s="151"/>
      <c r="D2246" s="151"/>
      <c r="E2246" s="151"/>
    </row>
    <row r="2247" ht="15.75" customHeight="1">
      <c r="C2247" s="151"/>
      <c r="D2247" s="151"/>
      <c r="E2247" s="151"/>
    </row>
    <row r="2248" ht="15.75" customHeight="1">
      <c r="C2248" s="151"/>
      <c r="D2248" s="151"/>
      <c r="E2248" s="151"/>
    </row>
    <row r="2249" ht="15.75" customHeight="1">
      <c r="C2249" s="151"/>
      <c r="D2249" s="151"/>
      <c r="E2249" s="151"/>
    </row>
    <row r="2250" ht="15.75" customHeight="1">
      <c r="C2250" s="151"/>
      <c r="D2250" s="151"/>
      <c r="E2250" s="151"/>
    </row>
    <row r="2251" ht="15.75" customHeight="1">
      <c r="C2251" s="151"/>
      <c r="D2251" s="151"/>
      <c r="E2251" s="151"/>
    </row>
    <row r="2252" ht="15.75" customHeight="1">
      <c r="C2252" s="151"/>
      <c r="D2252" s="151"/>
      <c r="E2252" s="151"/>
    </row>
    <row r="2253" ht="15.75" customHeight="1">
      <c r="C2253" s="151"/>
      <c r="D2253" s="151"/>
      <c r="E2253" s="151"/>
    </row>
    <row r="2254" ht="15.75" customHeight="1">
      <c r="C2254" s="151"/>
      <c r="D2254" s="151"/>
      <c r="E2254" s="151"/>
    </row>
    <row r="2255" ht="15.75" customHeight="1">
      <c r="C2255" s="151"/>
      <c r="D2255" s="151"/>
      <c r="E2255" s="151"/>
    </row>
    <row r="2256" ht="15.75" customHeight="1">
      <c r="C2256" s="151"/>
      <c r="D2256" s="151"/>
      <c r="E2256" s="151"/>
    </row>
    <row r="2257" ht="15.75" customHeight="1">
      <c r="C2257" s="151"/>
      <c r="D2257" s="151"/>
      <c r="E2257" s="151"/>
    </row>
    <row r="2258" ht="15.75" customHeight="1">
      <c r="C2258" s="151"/>
      <c r="D2258" s="151"/>
      <c r="E2258" s="151"/>
    </row>
    <row r="2259" ht="15.75" customHeight="1">
      <c r="C2259" s="151"/>
      <c r="D2259" s="151"/>
      <c r="E2259" s="151"/>
    </row>
    <row r="2260" ht="15.75" customHeight="1">
      <c r="C2260" s="151"/>
      <c r="D2260" s="151"/>
      <c r="E2260" s="151"/>
    </row>
    <row r="2261" ht="15.75" customHeight="1">
      <c r="C2261" s="151"/>
      <c r="D2261" s="151"/>
      <c r="E2261" s="151"/>
    </row>
    <row r="2262" ht="15.75" customHeight="1">
      <c r="C2262" s="151"/>
      <c r="D2262" s="151"/>
      <c r="E2262" s="151"/>
    </row>
    <row r="2263" ht="15.75" customHeight="1">
      <c r="C2263" s="151"/>
      <c r="D2263" s="151"/>
      <c r="E2263" s="151"/>
    </row>
    <row r="2264" ht="15.75" customHeight="1">
      <c r="C2264" s="151"/>
      <c r="D2264" s="151"/>
      <c r="E2264" s="151"/>
    </row>
    <row r="2265" ht="15.75" customHeight="1">
      <c r="C2265" s="151"/>
      <c r="D2265" s="151"/>
      <c r="E2265" s="151"/>
    </row>
    <row r="2266" ht="15.75" customHeight="1">
      <c r="C2266" s="151"/>
      <c r="D2266" s="151"/>
      <c r="E2266" s="151"/>
    </row>
    <row r="2267" ht="15.75" customHeight="1">
      <c r="C2267" s="151"/>
      <c r="D2267" s="151"/>
      <c r="E2267" s="151"/>
    </row>
    <row r="2268" ht="15.75" customHeight="1">
      <c r="C2268" s="151"/>
      <c r="D2268" s="151"/>
      <c r="E2268" s="151"/>
    </row>
    <row r="2269" ht="15.75" customHeight="1">
      <c r="C2269" s="151"/>
      <c r="D2269" s="151"/>
      <c r="E2269" s="151"/>
    </row>
    <row r="2270" ht="15.75" customHeight="1">
      <c r="C2270" s="151"/>
      <c r="D2270" s="151"/>
      <c r="E2270" s="151"/>
    </row>
  </sheetData>
  <customSheetViews>
    <customSheetView guid="{A7FEB666-445D-48CC-9CDF-55921C2C9E74}" filter="1" showAutoFilter="1">
      <autoFilter ref="$A$1:$Z$2270"/>
      <extLst>
        <ext uri="GoogleSheetsCustomDataVersion1">
          <go:sheetsCustomData xmlns:go="http://customooxmlschemas.google.com/" filterViewId="1083504122"/>
        </ext>
      </extLst>
    </customSheetView>
    <customSheetView guid="{E3432889-4B8C-4A16-BA7C-BA7887E47210}" filter="1" showAutoFilter="1">
      <autoFilter ref="$B$1:$B$1900"/>
      <extLst>
        <ext uri="GoogleSheetsCustomDataVersion1">
          <go:sheetsCustomData xmlns:go="http://customooxmlschemas.google.com/" filterViewId="1241728671"/>
        </ext>
      </extLst>
    </customSheetView>
  </customSheetViews>
  <mergeCells count="25">
    <mergeCell ref="D1928:E1928"/>
    <mergeCell ref="D1929:E1929"/>
    <mergeCell ref="D1931:E1931"/>
    <mergeCell ref="D1932:E1932"/>
    <mergeCell ref="D1934:E1934"/>
    <mergeCell ref="D1935:E1935"/>
    <mergeCell ref="D1955:E1955"/>
    <mergeCell ref="D1956:E1956"/>
    <mergeCell ref="D1957:E1957"/>
    <mergeCell ref="D1960:E1960"/>
    <mergeCell ref="D1961:E1961"/>
    <mergeCell ref="D1962:E1962"/>
    <mergeCell ref="D1966:E1966"/>
    <mergeCell ref="D1967:E1967"/>
    <mergeCell ref="D1986:E1986"/>
    <mergeCell ref="D1989:E1989"/>
    <mergeCell ref="D1990:E1990"/>
    <mergeCell ref="D1991:E1991"/>
    <mergeCell ref="D1969:E1969"/>
    <mergeCell ref="D1972:E1972"/>
    <mergeCell ref="D1973:E1973"/>
    <mergeCell ref="D1975:E1975"/>
    <mergeCell ref="D1983:E1983"/>
    <mergeCell ref="D1984:E1984"/>
    <mergeCell ref="D1985:E198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3.63"/>
    <col customWidth="1" min="2" max="2" width="15.63"/>
    <col customWidth="1" min="3" max="3" width="20.25"/>
    <col customWidth="1" min="4" max="4" width="25.88"/>
    <col customWidth="1" min="5" max="5" width="23.25"/>
    <col customWidth="1" min="6" max="6" width="10.63"/>
    <col customWidth="1" min="7" max="8" width="14.38"/>
    <col customWidth="1" min="9" max="9" width="11.25"/>
    <col customWidth="1" min="10" max="27" width="14.38"/>
  </cols>
  <sheetData>
    <row r="1" ht="15.75" customHeight="1">
      <c r="A1" s="4"/>
      <c r="B1" s="4" t="s">
        <v>0</v>
      </c>
      <c r="C1" s="4" t="s">
        <v>1</v>
      </c>
      <c r="D1" s="4" t="s">
        <v>2</v>
      </c>
      <c r="E1" s="4" t="s">
        <v>3</v>
      </c>
      <c r="F1" s="4" t="s">
        <v>4</v>
      </c>
      <c r="G1" s="4" t="s">
        <v>5</v>
      </c>
      <c r="H1" s="4" t="s">
        <v>5629</v>
      </c>
      <c r="I1" s="4" t="s">
        <v>5630</v>
      </c>
      <c r="J1" s="4"/>
      <c r="K1" s="4"/>
      <c r="L1" s="4"/>
      <c r="M1" s="4"/>
      <c r="N1" s="4"/>
      <c r="O1" s="4"/>
      <c r="P1" s="4"/>
      <c r="Q1" s="4"/>
      <c r="R1" s="4"/>
      <c r="S1" s="4"/>
      <c r="T1" s="4"/>
      <c r="U1" s="4"/>
      <c r="V1" s="4"/>
      <c r="W1" s="4"/>
      <c r="X1" s="4"/>
      <c r="Y1" s="4"/>
      <c r="Z1" s="4"/>
      <c r="AA1" s="4"/>
    </row>
    <row r="2" ht="15.75" customHeight="1">
      <c r="B2" s="160">
        <v>43419.0</v>
      </c>
      <c r="C2" s="161" t="s">
        <v>5631</v>
      </c>
      <c r="D2" s="161" t="s">
        <v>5632</v>
      </c>
      <c r="E2" s="161">
        <f>+85254230123</f>
        <v>85254230123</v>
      </c>
      <c r="F2" s="162"/>
      <c r="G2" s="6" t="s">
        <v>5633</v>
      </c>
      <c r="H2" s="6" t="s">
        <v>678</v>
      </c>
      <c r="I2" s="162" t="s">
        <v>427</v>
      </c>
    </row>
    <row r="3" ht="16.5" customHeight="1">
      <c r="B3" s="150">
        <v>43419.0</v>
      </c>
      <c r="C3" s="151" t="s">
        <v>5634</v>
      </c>
      <c r="D3" s="151" t="s">
        <v>5635</v>
      </c>
      <c r="E3" s="151">
        <f>+8615638218437</f>
        <v>8615638218437</v>
      </c>
      <c r="F3" s="163"/>
      <c r="G3" s="6" t="s">
        <v>5633</v>
      </c>
      <c r="H3" s="6" t="s">
        <v>678</v>
      </c>
      <c r="I3" s="6" t="s">
        <v>562</v>
      </c>
    </row>
    <row r="4" ht="15.75" customHeight="1">
      <c r="B4" s="160">
        <v>43419.0</v>
      </c>
      <c r="C4" s="161" t="s">
        <v>5636</v>
      </c>
      <c r="D4" s="161" t="s">
        <v>5637</v>
      </c>
      <c r="E4" s="161">
        <f>+8618664775453</f>
        <v>8618664775453</v>
      </c>
      <c r="F4" s="162"/>
      <c r="G4" s="6" t="s">
        <v>5633</v>
      </c>
      <c r="H4" s="6" t="s">
        <v>678</v>
      </c>
      <c r="I4" s="162" t="s">
        <v>398</v>
      </c>
    </row>
    <row r="5" ht="15.75" customHeight="1">
      <c r="B5" s="160">
        <v>43419.0</v>
      </c>
      <c r="C5" s="161" t="s">
        <v>5638</v>
      </c>
      <c r="D5" s="161" t="s">
        <v>5639</v>
      </c>
      <c r="E5" s="161">
        <f>+8615803101676</f>
        <v>8615803101676</v>
      </c>
      <c r="F5" s="162"/>
      <c r="G5" s="6" t="s">
        <v>5633</v>
      </c>
      <c r="H5" s="6" t="s">
        <v>678</v>
      </c>
      <c r="I5" s="162" t="s">
        <v>427</v>
      </c>
    </row>
    <row r="6" ht="15.75" customHeight="1">
      <c r="B6" s="150">
        <v>43419.0</v>
      </c>
      <c r="C6" s="151" t="s">
        <v>5640</v>
      </c>
      <c r="D6" s="151" t="s">
        <v>5641</v>
      </c>
      <c r="E6" s="151">
        <f>+8618520764447</f>
        <v>8618520764447</v>
      </c>
      <c r="F6" s="163"/>
      <c r="G6" s="6" t="s">
        <v>5633</v>
      </c>
      <c r="H6" s="6" t="s">
        <v>678</v>
      </c>
      <c r="I6" s="6" t="s">
        <v>562</v>
      </c>
    </row>
    <row r="7" ht="15.75" customHeight="1">
      <c r="B7" s="160">
        <v>43419.0</v>
      </c>
      <c r="C7" s="161" t="s">
        <v>5642</v>
      </c>
      <c r="D7" s="161" t="s">
        <v>5643</v>
      </c>
      <c r="E7" s="161">
        <f>+8615625149849</f>
        <v>8615625149849</v>
      </c>
      <c r="F7" s="162"/>
      <c r="G7" s="6" t="s">
        <v>5633</v>
      </c>
      <c r="H7" s="6" t="s">
        <v>678</v>
      </c>
      <c r="I7" s="162" t="s">
        <v>398</v>
      </c>
    </row>
    <row r="8" ht="15.75" customHeight="1">
      <c r="B8" s="160">
        <v>43419.0</v>
      </c>
      <c r="C8" s="161" t="s">
        <v>5644</v>
      </c>
      <c r="D8" s="161" t="s">
        <v>5645</v>
      </c>
      <c r="E8" s="161">
        <f>+85262138672</f>
        <v>85262138672</v>
      </c>
      <c r="F8" s="162"/>
      <c r="G8" s="6" t="s">
        <v>5633</v>
      </c>
      <c r="H8" s="6" t="s">
        <v>678</v>
      </c>
      <c r="I8" s="162" t="s">
        <v>427</v>
      </c>
    </row>
    <row r="9" ht="15.75" customHeight="1">
      <c r="B9" s="150">
        <v>43419.0</v>
      </c>
      <c r="C9" s="151" t="s">
        <v>5646</v>
      </c>
      <c r="D9" s="151" t="s">
        <v>5647</v>
      </c>
      <c r="E9" s="151">
        <f>+8613809882288</f>
        <v>8613809882288</v>
      </c>
      <c r="F9" s="163"/>
      <c r="G9" s="6" t="s">
        <v>5633</v>
      </c>
      <c r="H9" s="6" t="s">
        <v>678</v>
      </c>
      <c r="I9" s="6" t="s">
        <v>562</v>
      </c>
    </row>
    <row r="10" ht="15.75" customHeight="1">
      <c r="B10" s="160">
        <v>43419.0</v>
      </c>
      <c r="C10" s="161" t="s">
        <v>5648</v>
      </c>
      <c r="D10" s="161" t="s">
        <v>5649</v>
      </c>
      <c r="E10" s="161">
        <f>+8618607528556</f>
        <v>8618607528556</v>
      </c>
      <c r="F10" s="162"/>
      <c r="G10" s="6" t="s">
        <v>5633</v>
      </c>
      <c r="H10" s="6" t="s">
        <v>678</v>
      </c>
      <c r="I10" s="162" t="s">
        <v>398</v>
      </c>
    </row>
    <row r="11" ht="15.75" customHeight="1">
      <c r="B11" s="150">
        <v>43419.0</v>
      </c>
      <c r="C11" s="151" t="s">
        <v>5650</v>
      </c>
      <c r="D11" s="151" t="s">
        <v>5651</v>
      </c>
      <c r="E11" s="151">
        <f>+8613400056889</f>
        <v>8613400056889</v>
      </c>
      <c r="F11" s="163"/>
      <c r="G11" s="6" t="s">
        <v>5633</v>
      </c>
      <c r="H11" s="6" t="s">
        <v>678</v>
      </c>
      <c r="I11" s="6" t="s">
        <v>562</v>
      </c>
    </row>
    <row r="12" ht="15.75" customHeight="1">
      <c r="B12" s="160">
        <v>43419.0</v>
      </c>
      <c r="C12" s="161" t="s">
        <v>5652</v>
      </c>
      <c r="D12" s="161" t="s">
        <v>5653</v>
      </c>
      <c r="E12" s="161">
        <f>+8613527103404</f>
        <v>8613527103404</v>
      </c>
      <c r="F12" s="162"/>
      <c r="G12" s="6" t="s">
        <v>5633</v>
      </c>
      <c r="H12" s="6" t="s">
        <v>678</v>
      </c>
      <c r="I12" s="162" t="s">
        <v>427</v>
      </c>
    </row>
    <row r="13" ht="15.75" customHeight="1">
      <c r="B13" s="160">
        <v>43419.0</v>
      </c>
      <c r="C13" s="161" t="s">
        <v>5654</v>
      </c>
      <c r="D13" s="161" t="s">
        <v>5655</v>
      </c>
      <c r="E13" s="161">
        <f>+8618612499657</f>
        <v>8618612499657</v>
      </c>
      <c r="F13" s="162"/>
      <c r="G13" s="6" t="s">
        <v>5633</v>
      </c>
      <c r="H13" s="6" t="s">
        <v>678</v>
      </c>
      <c r="I13" s="162" t="s">
        <v>398</v>
      </c>
    </row>
    <row r="14" ht="15.75" customHeight="1">
      <c r="B14" s="160">
        <v>43419.0</v>
      </c>
      <c r="C14" s="161" t="s">
        <v>5656</v>
      </c>
      <c r="D14" s="161" t="s">
        <v>5657</v>
      </c>
      <c r="E14" s="161">
        <f>+85256104747</f>
        <v>85256104747</v>
      </c>
      <c r="F14" s="162"/>
      <c r="G14" s="6" t="s">
        <v>5633</v>
      </c>
      <c r="H14" s="6" t="s">
        <v>678</v>
      </c>
      <c r="I14" s="162" t="s">
        <v>427</v>
      </c>
    </row>
    <row r="15" ht="15.75" customHeight="1">
      <c r="B15" s="150">
        <v>43419.0</v>
      </c>
      <c r="C15" s="151" t="s">
        <v>5658</v>
      </c>
      <c r="D15" s="151" t="s">
        <v>5659</v>
      </c>
      <c r="E15" s="151">
        <f>+8618600243735</f>
        <v>8618600243735</v>
      </c>
      <c r="G15" s="6" t="s">
        <v>5633</v>
      </c>
      <c r="H15" s="6" t="s">
        <v>678</v>
      </c>
      <c r="I15" s="6" t="s">
        <v>562</v>
      </c>
    </row>
    <row r="16" ht="15.75" customHeight="1">
      <c r="B16" s="160">
        <v>43419.0</v>
      </c>
      <c r="C16" s="161" t="s">
        <v>5660</v>
      </c>
      <c r="D16" s="161" t="s">
        <v>5661</v>
      </c>
      <c r="E16" s="161">
        <f>+256772581025</f>
        <v>256772581025</v>
      </c>
      <c r="F16" s="162"/>
      <c r="G16" s="6" t="s">
        <v>5633</v>
      </c>
      <c r="H16" s="6" t="s">
        <v>678</v>
      </c>
      <c r="I16" s="162" t="s">
        <v>398</v>
      </c>
    </row>
    <row r="17" ht="15.75" customHeight="1">
      <c r="B17" s="160">
        <v>43419.0</v>
      </c>
      <c r="C17" s="161" t="s">
        <v>5662</v>
      </c>
      <c r="D17" s="161" t="s">
        <v>5663</v>
      </c>
      <c r="E17" s="161">
        <f>+8618666013371</f>
        <v>8618666013371</v>
      </c>
      <c r="F17" s="162"/>
      <c r="G17" s="6" t="s">
        <v>5633</v>
      </c>
      <c r="H17" s="6" t="s">
        <v>678</v>
      </c>
      <c r="I17" s="162" t="s">
        <v>427</v>
      </c>
    </row>
    <row r="18" ht="15.75" customHeight="1">
      <c r="B18" s="150">
        <v>43419.0</v>
      </c>
      <c r="C18" s="151" t="s">
        <v>5664</v>
      </c>
      <c r="D18" s="151" t="s">
        <v>5665</v>
      </c>
      <c r="E18" s="151">
        <f>+8613533900004</f>
        <v>8613533900004</v>
      </c>
      <c r="G18" s="6" t="s">
        <v>5633</v>
      </c>
      <c r="H18" s="6" t="s">
        <v>678</v>
      </c>
      <c r="I18" s="6" t="s">
        <v>562</v>
      </c>
    </row>
    <row r="19" ht="15.75" customHeight="1">
      <c r="B19" s="160">
        <v>43419.0</v>
      </c>
      <c r="C19" s="161" t="s">
        <v>5666</v>
      </c>
      <c r="D19" s="161" t="s">
        <v>5667</v>
      </c>
      <c r="E19" s="161">
        <f>+231770492194</f>
        <v>231770492194</v>
      </c>
      <c r="F19" s="162"/>
      <c r="G19" s="6" t="s">
        <v>5633</v>
      </c>
      <c r="H19" s="6" t="s">
        <v>678</v>
      </c>
      <c r="I19" s="162" t="s">
        <v>427</v>
      </c>
    </row>
    <row r="20" ht="15.75" customHeight="1">
      <c r="B20" s="160">
        <v>43419.0</v>
      </c>
      <c r="C20" s="161" t="s">
        <v>5668</v>
      </c>
      <c r="D20" s="161" t="s">
        <v>5669</v>
      </c>
      <c r="E20" s="161">
        <f>+18018652887</f>
        <v>18018652887</v>
      </c>
      <c r="F20" s="162"/>
      <c r="G20" s="6" t="s">
        <v>5633</v>
      </c>
      <c r="H20" s="6" t="s">
        <v>678</v>
      </c>
      <c r="I20" s="162" t="s">
        <v>398</v>
      </c>
    </row>
    <row r="21" ht="15.75" customHeight="1">
      <c r="B21" s="160">
        <v>43419.0</v>
      </c>
      <c r="C21" s="161" t="s">
        <v>5670</v>
      </c>
      <c r="D21" s="161" t="s">
        <v>5671</v>
      </c>
      <c r="E21" s="161">
        <f>+9203444444381</f>
        <v>9203444444381</v>
      </c>
      <c r="F21" s="162"/>
      <c r="G21" s="6" t="s">
        <v>5633</v>
      </c>
      <c r="H21" s="6" t="s">
        <v>678</v>
      </c>
      <c r="I21" s="162" t="s">
        <v>427</v>
      </c>
    </row>
    <row r="22" ht="15.75" customHeight="1">
      <c r="B22" s="160">
        <v>43419.0</v>
      </c>
      <c r="C22" s="161" t="s">
        <v>5672</v>
      </c>
      <c r="D22" s="161" t="s">
        <v>5673</v>
      </c>
      <c r="E22" s="161">
        <f>+8613535399668</f>
        <v>8613535399668</v>
      </c>
      <c r="F22" s="162"/>
      <c r="G22" s="6" t="s">
        <v>5633</v>
      </c>
      <c r="H22" s="6" t="s">
        <v>678</v>
      </c>
      <c r="I22" s="162" t="s">
        <v>398</v>
      </c>
    </row>
    <row r="23" ht="15.75" customHeight="1">
      <c r="B23" s="160">
        <v>43419.0</v>
      </c>
      <c r="C23" s="161" t="s">
        <v>5674</v>
      </c>
      <c r="D23" s="161" t="s">
        <v>5675</v>
      </c>
      <c r="E23" s="161">
        <f>+8615600225390</f>
        <v>8615600225390</v>
      </c>
      <c r="F23" s="162"/>
      <c r="G23" s="6" t="s">
        <v>5633</v>
      </c>
      <c r="H23" s="6" t="s">
        <v>678</v>
      </c>
      <c r="I23" s="162" t="s">
        <v>427</v>
      </c>
    </row>
    <row r="24" ht="15.75" customHeight="1">
      <c r="B24" s="160">
        <v>43419.0</v>
      </c>
      <c r="C24" s="161" t="s">
        <v>5676</v>
      </c>
      <c r="D24" s="161" t="s">
        <v>5677</v>
      </c>
      <c r="E24" s="161">
        <f>+8801771727871</f>
        <v>8801771727871</v>
      </c>
      <c r="F24" s="162"/>
      <c r="G24" s="6" t="s">
        <v>5633</v>
      </c>
      <c r="H24" s="6" t="s">
        <v>678</v>
      </c>
      <c r="I24" s="162" t="s">
        <v>398</v>
      </c>
    </row>
    <row r="25" ht="15.75" customHeight="1">
      <c r="B25" s="150" t="s">
        <v>5678</v>
      </c>
      <c r="C25" s="164" t="s">
        <v>5679</v>
      </c>
      <c r="D25" s="164" t="s">
        <v>5680</v>
      </c>
      <c r="E25" s="164">
        <f>+8613823191932</f>
        <v>8613823191932</v>
      </c>
      <c r="G25" s="6" t="s">
        <v>5633</v>
      </c>
      <c r="H25" s="6" t="s">
        <v>678</v>
      </c>
      <c r="I25" s="6" t="s">
        <v>562</v>
      </c>
    </row>
    <row r="26" ht="15.75" customHeight="1">
      <c r="B26" s="150" t="s">
        <v>5678</v>
      </c>
      <c r="C26" s="164" t="s">
        <v>5681</v>
      </c>
      <c r="D26" s="164" t="s">
        <v>5682</v>
      </c>
      <c r="E26" s="164">
        <f>+8613802785171</f>
        <v>8613802785171</v>
      </c>
      <c r="G26" s="6" t="s">
        <v>5633</v>
      </c>
      <c r="H26" s="6" t="s">
        <v>678</v>
      </c>
      <c r="I26" s="6" t="s">
        <v>562</v>
      </c>
    </row>
    <row r="27" ht="15.75" customHeight="1">
      <c r="B27" s="150" t="s">
        <v>5678</v>
      </c>
      <c r="C27" s="164" t="s">
        <v>5683</v>
      </c>
      <c r="D27" s="164" t="s">
        <v>5684</v>
      </c>
      <c r="E27" s="164">
        <f>+8618072939222</f>
        <v>8618072939222</v>
      </c>
      <c r="G27" s="6" t="s">
        <v>5633</v>
      </c>
      <c r="H27" s="6" t="s">
        <v>678</v>
      </c>
      <c r="I27" s="6" t="s">
        <v>562</v>
      </c>
    </row>
    <row r="28" ht="15.75" customHeight="1">
      <c r="B28" s="160" t="s">
        <v>5678</v>
      </c>
      <c r="C28" s="161" t="s">
        <v>5685</v>
      </c>
      <c r="D28" s="161" t="s">
        <v>5686</v>
      </c>
      <c r="E28" s="161">
        <f>+8613631482700</f>
        <v>8613631482700</v>
      </c>
      <c r="F28" s="162"/>
      <c r="G28" s="6" t="s">
        <v>5633</v>
      </c>
      <c r="H28" s="6" t="s">
        <v>678</v>
      </c>
      <c r="I28" s="162" t="s">
        <v>398</v>
      </c>
    </row>
    <row r="29" ht="15.75" customHeight="1">
      <c r="B29" s="150" t="s">
        <v>5678</v>
      </c>
      <c r="C29" s="164" t="s">
        <v>5687</v>
      </c>
      <c r="D29" s="164" t="s">
        <v>5688</v>
      </c>
      <c r="E29" s="164">
        <f>+8613037282168</f>
        <v>8613037282168</v>
      </c>
      <c r="G29" s="6" t="s">
        <v>5633</v>
      </c>
      <c r="H29" s="6" t="s">
        <v>678</v>
      </c>
      <c r="I29" s="6" t="s">
        <v>562</v>
      </c>
    </row>
    <row r="30" ht="15.75" customHeight="1">
      <c r="B30" s="160" t="s">
        <v>5678</v>
      </c>
      <c r="C30" s="161" t="s">
        <v>5689</v>
      </c>
      <c r="D30" s="161" t="s">
        <v>5690</v>
      </c>
      <c r="E30" s="161">
        <f>+8618826402881</f>
        <v>8618826402881</v>
      </c>
      <c r="F30" s="162"/>
      <c r="G30" s="6" t="s">
        <v>5633</v>
      </c>
      <c r="H30" s="6" t="s">
        <v>678</v>
      </c>
      <c r="I30" s="162" t="s">
        <v>398</v>
      </c>
    </row>
    <row r="31" ht="15.75" customHeight="1">
      <c r="B31" s="160" t="s">
        <v>5678</v>
      </c>
      <c r="C31" s="161" t="s">
        <v>5691</v>
      </c>
      <c r="D31" s="161" t="s">
        <v>5692</v>
      </c>
      <c r="E31" s="161">
        <f>+919843967214</f>
        <v>919843967214</v>
      </c>
      <c r="F31" s="162"/>
      <c r="G31" s="6" t="s">
        <v>5633</v>
      </c>
      <c r="H31" s="6" t="s">
        <v>678</v>
      </c>
      <c r="I31" s="162" t="s">
        <v>427</v>
      </c>
    </row>
    <row r="32" ht="15.75" customHeight="1">
      <c r="B32" s="150" t="s">
        <v>5678</v>
      </c>
      <c r="C32" s="164" t="s">
        <v>5693</v>
      </c>
      <c r="D32" s="164" t="s">
        <v>5694</v>
      </c>
      <c r="E32" s="164">
        <f>+8613560002804</f>
        <v>8613560002804</v>
      </c>
      <c r="G32" s="6" t="s">
        <v>5633</v>
      </c>
      <c r="H32" s="6" t="s">
        <v>678</v>
      </c>
      <c r="I32" s="6" t="s">
        <v>562</v>
      </c>
    </row>
    <row r="33" ht="15.75" customHeight="1">
      <c r="B33" s="160" t="s">
        <v>5678</v>
      </c>
      <c r="C33" s="161" t="s">
        <v>5695</v>
      </c>
      <c r="D33" s="161" t="s">
        <v>5696</v>
      </c>
      <c r="E33" s="161">
        <f>+8613922215163</f>
        <v>8613922215163</v>
      </c>
      <c r="F33" s="162"/>
      <c r="G33" s="6" t="s">
        <v>5633</v>
      </c>
      <c r="H33" s="6" t="s">
        <v>678</v>
      </c>
      <c r="I33" s="162" t="s">
        <v>398</v>
      </c>
    </row>
    <row r="34" ht="15.75" customHeight="1">
      <c r="B34" s="150" t="s">
        <v>5678</v>
      </c>
      <c r="C34" s="164" t="s">
        <v>5697</v>
      </c>
      <c r="D34" s="164" t="s">
        <v>5698</v>
      </c>
      <c r="E34" s="164">
        <f>+8618511075502</f>
        <v>8618511075502</v>
      </c>
      <c r="G34" s="6" t="s">
        <v>5633</v>
      </c>
      <c r="H34" s="6" t="s">
        <v>678</v>
      </c>
      <c r="I34" s="6" t="s">
        <v>562</v>
      </c>
    </row>
    <row r="35" ht="15.75" customHeight="1">
      <c r="B35" s="150" t="s">
        <v>5678</v>
      </c>
      <c r="C35" s="164" t="s">
        <v>5699</v>
      </c>
      <c r="D35" s="164" t="s">
        <v>5700</v>
      </c>
      <c r="E35" s="164">
        <f>+85290158802</f>
        <v>85290158802</v>
      </c>
      <c r="G35" s="6" t="s">
        <v>5633</v>
      </c>
      <c r="H35" s="6" t="s">
        <v>678</v>
      </c>
      <c r="I35" s="6" t="s">
        <v>562</v>
      </c>
    </row>
    <row r="36" ht="15.75" customHeight="1">
      <c r="B36" s="150" t="s">
        <v>5678</v>
      </c>
      <c r="C36" s="164" t="s">
        <v>5701</v>
      </c>
      <c r="D36" s="164" t="s">
        <v>5702</v>
      </c>
      <c r="E36" s="164">
        <f>+8613910900432</f>
        <v>8613910900432</v>
      </c>
      <c r="G36" s="6" t="s">
        <v>5633</v>
      </c>
      <c r="H36" s="6" t="s">
        <v>678</v>
      </c>
      <c r="I36" s="6" t="s">
        <v>562</v>
      </c>
    </row>
    <row r="37" ht="15.75" customHeight="1">
      <c r="B37" s="150" t="s">
        <v>5678</v>
      </c>
      <c r="C37" s="164" t="s">
        <v>5703</v>
      </c>
      <c r="D37" s="164" t="s">
        <v>5704</v>
      </c>
      <c r="E37" s="164">
        <f>+8615160089474</f>
        <v>8615160089474</v>
      </c>
      <c r="G37" s="6" t="s">
        <v>5633</v>
      </c>
      <c r="H37" s="6" t="s">
        <v>678</v>
      </c>
      <c r="I37" s="6" t="s">
        <v>562</v>
      </c>
    </row>
    <row r="38" ht="15.75" customHeight="1">
      <c r="B38" s="160" t="s">
        <v>5678</v>
      </c>
      <c r="C38" s="161" t="s">
        <v>5705</v>
      </c>
      <c r="D38" s="161" t="s">
        <v>5706</v>
      </c>
      <c r="E38" s="161">
        <f>+8613556098446</f>
        <v>8613556098446</v>
      </c>
      <c r="F38" s="162"/>
      <c r="G38" s="6" t="s">
        <v>5633</v>
      </c>
      <c r="H38" s="6" t="s">
        <v>678</v>
      </c>
      <c r="I38" s="162" t="s">
        <v>427</v>
      </c>
    </row>
    <row r="39" ht="15.75" customHeight="1">
      <c r="B39" s="160" t="s">
        <v>5678</v>
      </c>
      <c r="C39" s="161" t="s">
        <v>5707</v>
      </c>
      <c r="D39" s="161" t="s">
        <v>5708</v>
      </c>
      <c r="E39" s="161">
        <f>+8618210138113</f>
        <v>8618210138113</v>
      </c>
      <c r="F39" s="162"/>
      <c r="G39" s="6" t="s">
        <v>5633</v>
      </c>
      <c r="H39" s="6" t="s">
        <v>678</v>
      </c>
      <c r="I39" s="162" t="s">
        <v>398</v>
      </c>
    </row>
    <row r="40" ht="15.75" customHeight="1">
      <c r="B40" s="150" t="s">
        <v>5678</v>
      </c>
      <c r="C40" s="164" t="s">
        <v>5709</v>
      </c>
      <c r="D40" s="164" t="s">
        <v>5710</v>
      </c>
      <c r="E40" s="164">
        <f>+8618610288077</f>
        <v>8618610288077</v>
      </c>
      <c r="G40" s="6" t="s">
        <v>5633</v>
      </c>
      <c r="H40" s="6" t="s">
        <v>678</v>
      </c>
      <c r="I40" s="6" t="s">
        <v>562</v>
      </c>
    </row>
    <row r="41" ht="15.75" customHeight="1">
      <c r="B41" s="150" t="s">
        <v>5678</v>
      </c>
      <c r="C41" s="164" t="s">
        <v>5711</v>
      </c>
      <c r="D41" s="164" t="s">
        <v>5712</v>
      </c>
      <c r="E41" s="164">
        <f>+8618516180084</f>
        <v>8618516180084</v>
      </c>
      <c r="G41" s="6" t="s">
        <v>5633</v>
      </c>
      <c r="H41" s="6" t="s">
        <v>678</v>
      </c>
      <c r="I41" s="6" t="s">
        <v>562</v>
      </c>
    </row>
    <row r="42" ht="15.75" customHeight="1">
      <c r="B42" s="160" t="s">
        <v>5678</v>
      </c>
      <c r="C42" s="161" t="s">
        <v>5713</v>
      </c>
      <c r="D42" s="161" t="s">
        <v>5714</v>
      </c>
      <c r="E42" s="161">
        <f>+33761051555</f>
        <v>33761051555</v>
      </c>
      <c r="F42" s="162"/>
      <c r="G42" s="6" t="s">
        <v>5633</v>
      </c>
      <c r="H42" s="6" t="s">
        <v>678</v>
      </c>
      <c r="I42" s="162" t="s">
        <v>427</v>
      </c>
    </row>
    <row r="43" ht="15.75" customHeight="1">
      <c r="B43" s="160" t="s">
        <v>5678</v>
      </c>
      <c r="C43" s="161" t="s">
        <v>5715</v>
      </c>
      <c r="D43" s="161" t="s">
        <v>5716</v>
      </c>
      <c r="E43" s="161">
        <f>+923124336173</f>
        <v>923124336173</v>
      </c>
      <c r="F43" s="162"/>
      <c r="G43" s="6" t="s">
        <v>5633</v>
      </c>
      <c r="H43" s="6" t="s">
        <v>678</v>
      </c>
      <c r="I43" s="162" t="s">
        <v>398</v>
      </c>
    </row>
    <row r="44" ht="15.75" customHeight="1">
      <c r="B44" s="150" t="s">
        <v>5678</v>
      </c>
      <c r="C44" s="164" t="s">
        <v>5717</v>
      </c>
      <c r="D44" s="164" t="s">
        <v>5718</v>
      </c>
      <c r="E44" s="164">
        <f>+8615011568559</f>
        <v>8615011568559</v>
      </c>
      <c r="G44" s="6" t="s">
        <v>5633</v>
      </c>
      <c r="H44" s="6" t="s">
        <v>678</v>
      </c>
      <c r="I44" s="6" t="s">
        <v>562</v>
      </c>
    </row>
    <row r="45" ht="15.75" customHeight="1">
      <c r="B45" s="150" t="s">
        <v>5678</v>
      </c>
      <c r="C45" s="164" t="s">
        <v>5719</v>
      </c>
      <c r="D45" s="164" t="s">
        <v>5720</v>
      </c>
      <c r="E45" s="164">
        <f>+85251157379</f>
        <v>85251157379</v>
      </c>
      <c r="G45" s="6" t="s">
        <v>5633</v>
      </c>
      <c r="H45" s="6" t="s">
        <v>678</v>
      </c>
      <c r="I45" s="6" t="s">
        <v>562</v>
      </c>
    </row>
    <row r="46" ht="15.75" customHeight="1">
      <c r="B46" s="160" t="s">
        <v>5678</v>
      </c>
      <c r="C46" s="161" t="s">
        <v>5721</v>
      </c>
      <c r="D46" s="161" t="s">
        <v>5722</v>
      </c>
      <c r="E46" s="161">
        <f>+8613622241776</f>
        <v>8613622241776</v>
      </c>
      <c r="F46" s="162"/>
      <c r="G46" s="6" t="s">
        <v>5633</v>
      </c>
      <c r="H46" s="6" t="s">
        <v>678</v>
      </c>
      <c r="I46" s="162" t="s">
        <v>427</v>
      </c>
    </row>
    <row r="47" ht="15.75" customHeight="1">
      <c r="B47" s="150" t="s">
        <v>5678</v>
      </c>
      <c r="C47" s="164" t="s">
        <v>5723</v>
      </c>
      <c r="D47" s="164" t="s">
        <v>5724</v>
      </c>
      <c r="E47" s="164">
        <f>+8618668261286</f>
        <v>8618668261286</v>
      </c>
      <c r="G47" s="6" t="s">
        <v>5633</v>
      </c>
      <c r="H47" s="6" t="s">
        <v>678</v>
      </c>
      <c r="I47" s="6" t="s">
        <v>562</v>
      </c>
    </row>
    <row r="48" ht="15.75" customHeight="1">
      <c r="B48" s="160" t="s">
        <v>5678</v>
      </c>
      <c r="C48" s="161" t="s">
        <v>5725</v>
      </c>
      <c r="D48" s="161" t="s">
        <v>5726</v>
      </c>
      <c r="E48" s="161">
        <f>+8613924049391</f>
        <v>8613924049391</v>
      </c>
      <c r="F48" s="162"/>
      <c r="G48" s="6" t="s">
        <v>5633</v>
      </c>
      <c r="H48" s="6" t="s">
        <v>678</v>
      </c>
      <c r="I48" s="162" t="s">
        <v>398</v>
      </c>
    </row>
    <row r="49" ht="15.75" customHeight="1">
      <c r="B49" s="160" t="s">
        <v>5678</v>
      </c>
      <c r="C49" s="161" t="s">
        <v>5727</v>
      </c>
      <c r="D49" s="161" t="s">
        <v>5728</v>
      </c>
      <c r="E49" s="161">
        <f>+5595991177030</f>
        <v>5595991177030</v>
      </c>
      <c r="F49" s="162"/>
      <c r="G49" s="6" t="s">
        <v>5633</v>
      </c>
      <c r="H49" s="6" t="s">
        <v>678</v>
      </c>
      <c r="I49" s="162" t="s">
        <v>427</v>
      </c>
    </row>
    <row r="50" ht="15.75" customHeight="1">
      <c r="B50" s="160" t="s">
        <v>5678</v>
      </c>
      <c r="C50" s="161" t="s">
        <v>5729</v>
      </c>
      <c r="D50" s="161" t="s">
        <v>5730</v>
      </c>
      <c r="E50" s="161">
        <f>+920912258745</f>
        <v>920912258745</v>
      </c>
      <c r="F50" s="162"/>
      <c r="G50" s="6" t="s">
        <v>5633</v>
      </c>
      <c r="H50" s="6" t="s">
        <v>678</v>
      </c>
      <c r="I50" s="162" t="s">
        <v>398</v>
      </c>
    </row>
    <row r="51" ht="15.75" customHeight="1">
      <c r="B51" s="160" t="s">
        <v>5678</v>
      </c>
      <c r="C51" s="161" t="s">
        <v>5731</v>
      </c>
      <c r="D51" s="161" t="s">
        <v>5732</v>
      </c>
      <c r="E51" s="161">
        <f>+8618819488740</f>
        <v>8618819488740</v>
      </c>
      <c r="F51" s="162"/>
      <c r="G51" s="6" t="s">
        <v>5633</v>
      </c>
      <c r="H51" s="6" t="s">
        <v>678</v>
      </c>
      <c r="I51" s="162" t="s">
        <v>427</v>
      </c>
    </row>
    <row r="52" ht="15.75" customHeight="1">
      <c r="B52" s="160" t="s">
        <v>5678</v>
      </c>
      <c r="C52" s="161" t="s">
        <v>5733</v>
      </c>
      <c r="D52" s="161" t="s">
        <v>5734</v>
      </c>
      <c r="E52" s="161">
        <f>+8615116125956</f>
        <v>8615116125956</v>
      </c>
      <c r="F52" s="162"/>
      <c r="G52" s="6" t="s">
        <v>5633</v>
      </c>
      <c r="H52" s="6" t="s">
        <v>678</v>
      </c>
      <c r="I52" s="162" t="s">
        <v>398</v>
      </c>
    </row>
    <row r="53" ht="15.75" customHeight="1">
      <c r="B53" s="160" t="s">
        <v>5678</v>
      </c>
      <c r="C53" s="161" t="s">
        <v>5735</v>
      </c>
      <c r="D53" s="161" t="s">
        <v>5736</v>
      </c>
      <c r="E53" s="161">
        <f>+8613710585991</f>
        <v>8613710585991</v>
      </c>
      <c r="F53" s="162"/>
      <c r="G53" s="6" t="s">
        <v>5633</v>
      </c>
      <c r="H53" s="6" t="s">
        <v>678</v>
      </c>
      <c r="I53" s="162" t="s">
        <v>427</v>
      </c>
    </row>
    <row r="54" ht="15.75" customHeight="1">
      <c r="B54" s="165" t="s">
        <v>5678</v>
      </c>
      <c r="C54" s="161" t="s">
        <v>5737</v>
      </c>
      <c r="D54" s="161" t="s">
        <v>5738</v>
      </c>
      <c r="E54" s="161">
        <f>+233209592257</f>
        <v>233209592257</v>
      </c>
      <c r="F54" s="162"/>
      <c r="G54" s="6" t="s">
        <v>5633</v>
      </c>
      <c r="H54" s="6" t="s">
        <v>678</v>
      </c>
      <c r="I54" s="162" t="s">
        <v>398</v>
      </c>
    </row>
    <row r="55" ht="15.75" customHeight="1">
      <c r="B55" s="150" t="s">
        <v>5678</v>
      </c>
      <c r="C55" s="151" t="s">
        <v>5739</v>
      </c>
      <c r="D55" s="151" t="s">
        <v>5740</v>
      </c>
      <c r="E55" s="151">
        <f>+85296992046</f>
        <v>85296992046</v>
      </c>
      <c r="G55" s="6" t="s">
        <v>5633</v>
      </c>
      <c r="H55" s="6" t="s">
        <v>678</v>
      </c>
      <c r="I55" s="6" t="s">
        <v>562</v>
      </c>
    </row>
    <row r="56" ht="15.75" customHeight="1">
      <c r="B56" s="160" t="s">
        <v>5678</v>
      </c>
      <c r="C56" s="166" t="s">
        <v>5741</v>
      </c>
      <c r="D56" s="161" t="s">
        <v>5742</v>
      </c>
      <c r="E56" s="161">
        <f>+249118224666</f>
        <v>249118224666</v>
      </c>
      <c r="F56" s="162"/>
      <c r="G56" s="6" t="s">
        <v>5633</v>
      </c>
      <c r="H56" s="6" t="s">
        <v>678</v>
      </c>
      <c r="I56" s="162" t="s">
        <v>427</v>
      </c>
    </row>
    <row r="57" ht="15.75" customHeight="1">
      <c r="B57" s="150" t="s">
        <v>5678</v>
      </c>
      <c r="C57" s="151" t="s">
        <v>5743</v>
      </c>
      <c r="D57" s="151" t="s">
        <v>5744</v>
      </c>
      <c r="E57" s="151">
        <f>+8618520534000</f>
        <v>8618520534000</v>
      </c>
      <c r="G57" s="6" t="s">
        <v>5633</v>
      </c>
      <c r="H57" s="6" t="s">
        <v>678</v>
      </c>
      <c r="I57" s="6" t="s">
        <v>562</v>
      </c>
    </row>
    <row r="58" ht="15.75" customHeight="1">
      <c r="B58" s="160" t="s">
        <v>5678</v>
      </c>
      <c r="C58" s="161" t="s">
        <v>5745</v>
      </c>
      <c r="D58" s="161" t="s">
        <v>5746</v>
      </c>
      <c r="E58" s="161">
        <f>+8613291805722</f>
        <v>8613291805722</v>
      </c>
      <c r="F58" s="162"/>
      <c r="G58" s="6" t="s">
        <v>5633</v>
      </c>
      <c r="H58" s="6" t="s">
        <v>678</v>
      </c>
      <c r="I58" s="162" t="s">
        <v>398</v>
      </c>
    </row>
    <row r="59" ht="15.75" customHeight="1">
      <c r="B59" s="150" t="s">
        <v>5678</v>
      </c>
      <c r="C59" s="151" t="s">
        <v>5747</v>
      </c>
      <c r="D59" s="151" t="s">
        <v>5748</v>
      </c>
      <c r="E59" s="151">
        <f>+8613906226220</f>
        <v>8613906226220</v>
      </c>
      <c r="G59" s="6" t="s">
        <v>5633</v>
      </c>
      <c r="H59" s="6" t="s">
        <v>678</v>
      </c>
      <c r="I59" s="6" t="s">
        <v>562</v>
      </c>
    </row>
    <row r="60" ht="15.75" customHeight="1">
      <c r="B60" s="160" t="s">
        <v>5678</v>
      </c>
      <c r="C60" s="161" t="s">
        <v>5749</v>
      </c>
      <c r="D60" s="161" t="s">
        <v>5750</v>
      </c>
      <c r="E60" s="161">
        <f>+2348056582530</f>
        <v>2348056582530</v>
      </c>
      <c r="F60" s="162"/>
      <c r="G60" s="6" t="s">
        <v>5633</v>
      </c>
      <c r="H60" s="6" t="s">
        <v>678</v>
      </c>
      <c r="I60" s="162" t="s">
        <v>427</v>
      </c>
    </row>
    <row r="61" ht="15.75" customHeight="1">
      <c r="B61" s="160" t="s">
        <v>5678</v>
      </c>
      <c r="C61" s="161" t="s">
        <v>5751</v>
      </c>
      <c r="D61" s="161" t="s">
        <v>5752</v>
      </c>
      <c r="E61" s="161">
        <f>+8618613194023</f>
        <v>8618613194023</v>
      </c>
      <c r="F61" s="162"/>
      <c r="G61" s="6" t="s">
        <v>5633</v>
      </c>
      <c r="H61" s="6" t="s">
        <v>678</v>
      </c>
      <c r="I61" s="162" t="s">
        <v>398</v>
      </c>
    </row>
    <row r="62" ht="15.75" customHeight="1">
      <c r="B62" s="160" t="s">
        <v>5678</v>
      </c>
      <c r="C62" s="161" t="s">
        <v>5753</v>
      </c>
      <c r="D62" s="161" t="s">
        <v>5754</v>
      </c>
      <c r="E62" s="161">
        <f>+252633504522</f>
        <v>252633504522</v>
      </c>
      <c r="F62" s="162"/>
      <c r="G62" s="6" t="s">
        <v>5633</v>
      </c>
      <c r="H62" s="6" t="s">
        <v>678</v>
      </c>
      <c r="I62" s="162" t="s">
        <v>427</v>
      </c>
    </row>
    <row r="63" ht="15.75" customHeight="1">
      <c r="B63" s="165">
        <v>43423.0</v>
      </c>
      <c r="C63" s="161" t="s">
        <v>5755</v>
      </c>
      <c r="D63" s="161" t="s">
        <v>5756</v>
      </c>
      <c r="E63" s="161">
        <f>+8618621920747</f>
        <v>8618621920747</v>
      </c>
      <c r="F63" s="162"/>
      <c r="G63" s="6" t="s">
        <v>5633</v>
      </c>
      <c r="H63" s="6" t="s">
        <v>678</v>
      </c>
      <c r="I63" s="162" t="s">
        <v>398</v>
      </c>
    </row>
    <row r="64" ht="15.75" customHeight="1">
      <c r="B64" s="150">
        <v>43423.0</v>
      </c>
      <c r="C64" s="151" t="s">
        <v>5757</v>
      </c>
      <c r="D64" s="151" t="s">
        <v>5758</v>
      </c>
      <c r="E64" s="151">
        <f>+8613124855739</f>
        <v>8613124855739</v>
      </c>
      <c r="G64" s="6" t="s">
        <v>5633</v>
      </c>
      <c r="H64" s="6" t="s">
        <v>678</v>
      </c>
      <c r="I64" s="6" t="s">
        <v>562</v>
      </c>
    </row>
    <row r="65" ht="15.75" customHeight="1">
      <c r="B65" s="150">
        <v>43423.0</v>
      </c>
      <c r="C65" s="151" t="s">
        <v>5759</v>
      </c>
      <c r="D65" s="151" t="s">
        <v>5760</v>
      </c>
      <c r="E65" s="151">
        <f>+8618621019927</f>
        <v>8618621019927</v>
      </c>
      <c r="G65" s="6" t="s">
        <v>5633</v>
      </c>
      <c r="H65" s="6" t="s">
        <v>678</v>
      </c>
      <c r="I65" s="6" t="s">
        <v>562</v>
      </c>
    </row>
    <row r="66" ht="15.75" customHeight="1">
      <c r="B66" s="150">
        <v>43423.0</v>
      </c>
      <c r="C66" s="151" t="s">
        <v>5761</v>
      </c>
      <c r="D66" s="151" t="s">
        <v>5762</v>
      </c>
      <c r="E66" s="151">
        <f>+841237565044</f>
        <v>841237565044</v>
      </c>
      <c r="G66" s="6" t="s">
        <v>5633</v>
      </c>
      <c r="H66" s="6" t="s">
        <v>678</v>
      </c>
      <c r="I66" s="6" t="s">
        <v>562</v>
      </c>
    </row>
    <row r="67" ht="15.75" customHeight="1">
      <c r="B67" s="150">
        <v>43423.0</v>
      </c>
      <c r="C67" s="151" t="s">
        <v>5763</v>
      </c>
      <c r="D67" s="151" t="s">
        <v>5764</v>
      </c>
      <c r="E67" s="151">
        <f>+8613928092562</f>
        <v>8613928092562</v>
      </c>
      <c r="G67" s="6" t="s">
        <v>5633</v>
      </c>
      <c r="H67" s="6" t="s">
        <v>678</v>
      </c>
      <c r="I67" s="6" t="s">
        <v>562</v>
      </c>
    </row>
    <row r="68" ht="15.75" customHeight="1">
      <c r="B68" s="160">
        <v>43423.0</v>
      </c>
      <c r="C68" s="161" t="s">
        <v>5765</v>
      </c>
      <c r="D68" s="161" t="s">
        <v>5766</v>
      </c>
      <c r="E68" s="161">
        <f>+17607107066</f>
        <v>17607107066</v>
      </c>
      <c r="G68" s="6" t="s">
        <v>5633</v>
      </c>
      <c r="H68" s="6" t="s">
        <v>678</v>
      </c>
      <c r="I68" s="162" t="s">
        <v>427</v>
      </c>
    </row>
    <row r="69" ht="15.75" customHeight="1">
      <c r="B69" s="150">
        <v>43423.0</v>
      </c>
      <c r="C69" s="151" t="s">
        <v>5767</v>
      </c>
      <c r="D69" s="151" t="s">
        <v>5768</v>
      </c>
      <c r="E69" s="151">
        <f>+8615039812272</f>
        <v>8615039812272</v>
      </c>
      <c r="G69" s="6" t="s">
        <v>5633</v>
      </c>
      <c r="H69" s="6" t="s">
        <v>678</v>
      </c>
      <c r="I69" s="6" t="s">
        <v>562</v>
      </c>
    </row>
    <row r="70" ht="15.75" customHeight="1">
      <c r="B70" s="160">
        <v>43423.0</v>
      </c>
      <c r="C70" s="161" t="s">
        <v>5769</v>
      </c>
      <c r="D70" s="161" t="s">
        <v>5770</v>
      </c>
      <c r="E70" s="161">
        <f>+8613104870122</f>
        <v>8613104870122</v>
      </c>
      <c r="F70" s="162"/>
      <c r="G70" s="6" t="s">
        <v>5633</v>
      </c>
      <c r="H70" s="6" t="s">
        <v>678</v>
      </c>
      <c r="I70" s="162" t="s">
        <v>398</v>
      </c>
    </row>
    <row r="71" ht="15.75" customHeight="1">
      <c r="B71" s="160">
        <v>43423.0</v>
      </c>
      <c r="C71" s="161" t="s">
        <v>5771</v>
      </c>
      <c r="D71" s="161" t="s">
        <v>5772</v>
      </c>
      <c r="E71" s="161">
        <f>+601112820922</f>
        <v>601112820922</v>
      </c>
      <c r="G71" s="6" t="s">
        <v>5633</v>
      </c>
      <c r="H71" s="6" t="s">
        <v>678</v>
      </c>
      <c r="I71" s="162" t="s">
        <v>427</v>
      </c>
    </row>
    <row r="72" ht="15.75" customHeight="1">
      <c r="B72" s="150">
        <v>43423.0</v>
      </c>
      <c r="C72" s="151" t="s">
        <v>5773</v>
      </c>
      <c r="D72" s="151" t="s">
        <v>5774</v>
      </c>
      <c r="E72" s="151">
        <f>+85290110913</f>
        <v>85290110913</v>
      </c>
      <c r="G72" s="6" t="s">
        <v>5633</v>
      </c>
      <c r="H72" s="6" t="s">
        <v>678</v>
      </c>
      <c r="I72" s="6" t="s">
        <v>562</v>
      </c>
    </row>
    <row r="73" ht="15.75" customHeight="1">
      <c r="B73" s="160">
        <v>43423.0</v>
      </c>
      <c r="C73" s="161" t="s">
        <v>5775</v>
      </c>
      <c r="D73" s="161" t="s">
        <v>5776</v>
      </c>
      <c r="E73" s="161">
        <f>+8613554879033</f>
        <v>8613554879033</v>
      </c>
      <c r="F73" s="162"/>
      <c r="G73" s="6" t="s">
        <v>5633</v>
      </c>
      <c r="H73" s="6" t="s">
        <v>678</v>
      </c>
      <c r="I73" s="162" t="s">
        <v>398</v>
      </c>
    </row>
    <row r="74" ht="15.75" customHeight="1">
      <c r="B74" s="160">
        <v>43423.0</v>
      </c>
      <c r="C74" s="161" t="s">
        <v>5777</v>
      </c>
      <c r="D74" s="161" t="s">
        <v>5778</v>
      </c>
      <c r="E74" s="161">
        <f>+8618802047912</f>
        <v>8618802047912</v>
      </c>
      <c r="G74" s="6" t="s">
        <v>5633</v>
      </c>
      <c r="H74" s="6" t="s">
        <v>678</v>
      </c>
      <c r="I74" s="162" t="s">
        <v>427</v>
      </c>
    </row>
    <row r="75" ht="15.75" customHeight="1">
      <c r="B75" s="150">
        <v>43423.0</v>
      </c>
      <c r="C75" s="151" t="s">
        <v>5779</v>
      </c>
      <c r="D75" s="151" t="s">
        <v>5780</v>
      </c>
      <c r="E75" s="151">
        <f>+8613706645409</f>
        <v>8613706645409</v>
      </c>
      <c r="G75" s="6" t="s">
        <v>5633</v>
      </c>
      <c r="H75" s="6" t="s">
        <v>678</v>
      </c>
      <c r="I75" s="6" t="s">
        <v>562</v>
      </c>
    </row>
    <row r="76" ht="15.75" customHeight="1">
      <c r="B76" s="160">
        <v>43423.0</v>
      </c>
      <c r="C76" s="161" t="s">
        <v>5781</v>
      </c>
      <c r="D76" s="161" t="s">
        <v>5782</v>
      </c>
      <c r="E76" s="161">
        <f>+66866242145</f>
        <v>66866242145</v>
      </c>
      <c r="F76" s="162"/>
      <c r="G76" s="6" t="s">
        <v>5633</v>
      </c>
      <c r="H76" s="6" t="s">
        <v>678</v>
      </c>
      <c r="I76" s="162" t="s">
        <v>398</v>
      </c>
    </row>
    <row r="77" ht="15.75" customHeight="1">
      <c r="B77" s="160">
        <v>43423.0</v>
      </c>
      <c r="C77" s="161" t="s">
        <v>5783</v>
      </c>
      <c r="D77" s="161" t="s">
        <v>5784</v>
      </c>
      <c r="E77" s="161">
        <f>+8618520255145</f>
        <v>8618520255145</v>
      </c>
      <c r="G77" s="6" t="s">
        <v>5633</v>
      </c>
      <c r="H77" s="6" t="s">
        <v>678</v>
      </c>
      <c r="I77" s="162" t="s">
        <v>427</v>
      </c>
    </row>
    <row r="78" ht="15.75" customHeight="1">
      <c r="B78" s="160">
        <v>43423.0</v>
      </c>
      <c r="C78" s="161" t="s">
        <v>5785</v>
      </c>
      <c r="D78" s="161" t="s">
        <v>5786</v>
      </c>
      <c r="E78" s="161">
        <f>+923006650524</f>
        <v>923006650524</v>
      </c>
      <c r="G78" s="6" t="s">
        <v>5633</v>
      </c>
      <c r="H78" s="6" t="s">
        <v>678</v>
      </c>
      <c r="I78" s="162" t="s">
        <v>398</v>
      </c>
    </row>
    <row r="79" ht="15.75" customHeight="1">
      <c r="B79" s="160">
        <v>43423.0</v>
      </c>
      <c r="C79" s="166" t="s">
        <v>5787</v>
      </c>
      <c r="D79" s="161" t="s">
        <v>5788</v>
      </c>
      <c r="E79" s="161">
        <f>+8613533382034</f>
        <v>8613533382034</v>
      </c>
      <c r="G79" s="6" t="s">
        <v>5633</v>
      </c>
      <c r="H79" s="6" t="s">
        <v>678</v>
      </c>
      <c r="I79" s="162" t="s">
        <v>427</v>
      </c>
    </row>
    <row r="80" ht="15.75" customHeight="1">
      <c r="B80" s="160">
        <v>43423.0</v>
      </c>
      <c r="C80" s="161" t="s">
        <v>5789</v>
      </c>
      <c r="D80" s="161" t="s">
        <v>5790</v>
      </c>
      <c r="E80" s="161">
        <f>+8613570084240</f>
        <v>8613570084240</v>
      </c>
      <c r="F80" s="162"/>
      <c r="G80" s="6" t="s">
        <v>5633</v>
      </c>
      <c r="H80" s="6" t="s">
        <v>678</v>
      </c>
      <c r="I80" s="162" t="s">
        <v>398</v>
      </c>
    </row>
    <row r="81" ht="15.75" customHeight="1">
      <c r="B81" s="150">
        <v>43424.0</v>
      </c>
      <c r="C81" s="151" t="s">
        <v>5791</v>
      </c>
      <c r="D81" s="151" t="s">
        <v>5792</v>
      </c>
      <c r="E81" s="151">
        <f>+85296763186</f>
        <v>85296763186</v>
      </c>
      <c r="G81" s="6" t="s">
        <v>5633</v>
      </c>
      <c r="H81" s="6" t="s">
        <v>678</v>
      </c>
      <c r="I81" s="6" t="s">
        <v>562</v>
      </c>
    </row>
    <row r="82" ht="15.75" customHeight="1">
      <c r="B82" s="150">
        <v>43424.0</v>
      </c>
      <c r="C82" s="151" t="s">
        <v>5793</v>
      </c>
      <c r="D82" s="151" t="s">
        <v>5794</v>
      </c>
      <c r="E82" s="151">
        <f>+8613919423680</f>
        <v>8613919423680</v>
      </c>
      <c r="G82" s="6" t="s">
        <v>5633</v>
      </c>
      <c r="H82" s="6" t="s">
        <v>678</v>
      </c>
      <c r="I82" s="6" t="s">
        <v>562</v>
      </c>
    </row>
    <row r="83" ht="15.75" customHeight="1">
      <c r="B83" s="150">
        <v>43424.0</v>
      </c>
      <c r="C83" s="151" t="s">
        <v>5795</v>
      </c>
      <c r="D83" s="151" t="s">
        <v>5796</v>
      </c>
      <c r="E83" s="151">
        <f>+85298313830</f>
        <v>85298313830</v>
      </c>
      <c r="G83" s="6" t="s">
        <v>5633</v>
      </c>
      <c r="H83" s="6" t="s">
        <v>678</v>
      </c>
      <c r="I83" s="6" t="s">
        <v>562</v>
      </c>
    </row>
    <row r="84" ht="15.75" customHeight="1">
      <c r="B84" s="150">
        <v>43424.0</v>
      </c>
      <c r="C84" s="151" t="s">
        <v>5797</v>
      </c>
      <c r="D84" s="151" t="s">
        <v>5798</v>
      </c>
      <c r="E84" s="151">
        <f>+8615623309737</f>
        <v>8615623309737</v>
      </c>
      <c r="G84" s="6" t="s">
        <v>5633</v>
      </c>
      <c r="H84" s="6" t="s">
        <v>678</v>
      </c>
      <c r="I84" s="6" t="s">
        <v>562</v>
      </c>
    </row>
    <row r="85" ht="15.75" customHeight="1">
      <c r="B85" s="160">
        <v>43424.0</v>
      </c>
      <c r="C85" s="161" t="s">
        <v>5799</v>
      </c>
      <c r="D85" s="161" t="s">
        <v>5800</v>
      </c>
      <c r="E85" s="161">
        <f>+8613161250134</f>
        <v>8613161250134</v>
      </c>
      <c r="G85" s="6" t="s">
        <v>5633</v>
      </c>
      <c r="H85" s="6" t="s">
        <v>678</v>
      </c>
      <c r="I85" s="162" t="s">
        <v>427</v>
      </c>
    </row>
    <row r="86" ht="15.75" customHeight="1">
      <c r="B86" s="160">
        <v>43424.0</v>
      </c>
      <c r="C86" s="161" t="s">
        <v>5801</v>
      </c>
      <c r="D86" s="161" t="s">
        <v>5802</v>
      </c>
      <c r="E86" s="161">
        <f>+8613527784552</f>
        <v>8613527784552</v>
      </c>
      <c r="F86" s="162"/>
      <c r="G86" s="6" t="s">
        <v>5633</v>
      </c>
      <c r="H86" s="6" t="s">
        <v>678</v>
      </c>
      <c r="I86" s="162" t="s">
        <v>398</v>
      </c>
    </row>
    <row r="87" ht="15.75" customHeight="1">
      <c r="B87" s="160">
        <v>43424.0</v>
      </c>
      <c r="C87" s="161" t="s">
        <v>5803</v>
      </c>
      <c r="D87" s="161" t="s">
        <v>5804</v>
      </c>
      <c r="E87" s="161">
        <f>+8613157554186</f>
        <v>8613157554186</v>
      </c>
      <c r="G87" s="6" t="s">
        <v>5633</v>
      </c>
      <c r="H87" s="6" t="s">
        <v>678</v>
      </c>
      <c r="I87" s="162" t="s">
        <v>427</v>
      </c>
    </row>
    <row r="88" ht="15.75" customHeight="1">
      <c r="B88" s="160">
        <v>43424.0</v>
      </c>
      <c r="C88" s="161" t="s">
        <v>5805</v>
      </c>
      <c r="D88" s="161" t="s">
        <v>5806</v>
      </c>
      <c r="E88" s="161">
        <f>+6285334653493</f>
        <v>6285334653493</v>
      </c>
      <c r="F88" s="162"/>
      <c r="G88" s="6" t="s">
        <v>5633</v>
      </c>
      <c r="H88" s="6" t="s">
        <v>678</v>
      </c>
      <c r="I88" s="162" t="s">
        <v>398</v>
      </c>
    </row>
    <row r="89" ht="15.75" customHeight="1">
      <c r="B89" s="150">
        <v>43424.0</v>
      </c>
      <c r="C89" s="151" t="s">
        <v>5807</v>
      </c>
      <c r="D89" s="151" t="s">
        <v>5808</v>
      </c>
      <c r="E89" s="151">
        <f>+8618351002939</f>
        <v>8618351002939</v>
      </c>
      <c r="G89" s="6" t="s">
        <v>5633</v>
      </c>
      <c r="H89" s="6" t="s">
        <v>678</v>
      </c>
      <c r="I89" s="6" t="s">
        <v>562</v>
      </c>
    </row>
    <row r="90" ht="15.75" customHeight="1">
      <c r="B90" s="150">
        <v>43424.0</v>
      </c>
      <c r="C90" s="151" t="s">
        <v>5809</v>
      </c>
      <c r="D90" s="151" t="s">
        <v>5810</v>
      </c>
      <c r="E90" s="151">
        <f>+8615558192119</f>
        <v>8615558192119</v>
      </c>
      <c r="G90" s="6" t="s">
        <v>5633</v>
      </c>
      <c r="H90" s="6" t="s">
        <v>678</v>
      </c>
      <c r="I90" s="6" t="s">
        <v>562</v>
      </c>
    </row>
    <row r="91" ht="15.75" customHeight="1">
      <c r="B91" s="160">
        <v>43424.0</v>
      </c>
      <c r="C91" s="161" t="s">
        <v>5811</v>
      </c>
      <c r="D91" s="161" t="s">
        <v>5812</v>
      </c>
      <c r="E91" s="161">
        <f>+8618825089980</f>
        <v>8618825089980</v>
      </c>
      <c r="F91" s="162"/>
      <c r="G91" s="6" t="s">
        <v>5633</v>
      </c>
      <c r="H91" s="6" t="s">
        <v>678</v>
      </c>
      <c r="I91" s="162" t="s">
        <v>398</v>
      </c>
    </row>
    <row r="92" ht="15.75" customHeight="1">
      <c r="B92" s="150">
        <v>43425.0</v>
      </c>
      <c r="C92" s="151" t="s">
        <v>5813</v>
      </c>
      <c r="D92" s="151" t="s">
        <v>5814</v>
      </c>
      <c r="E92" s="151">
        <f>+8613026867120</f>
        <v>8613026867120</v>
      </c>
      <c r="G92" s="6" t="s">
        <v>5633</v>
      </c>
      <c r="H92" s="6" t="s">
        <v>678</v>
      </c>
      <c r="I92" s="6" t="s">
        <v>562</v>
      </c>
    </row>
    <row r="93" ht="15.75" customHeight="1">
      <c r="B93" s="160">
        <v>43425.0</v>
      </c>
      <c r="C93" s="161" t="s">
        <v>5815</v>
      </c>
      <c r="D93" s="161" t="s">
        <v>5816</v>
      </c>
      <c r="E93" s="161">
        <f>+8801768540075</f>
        <v>8801768540075</v>
      </c>
      <c r="G93" s="6" t="s">
        <v>5633</v>
      </c>
      <c r="H93" s="6" t="s">
        <v>678</v>
      </c>
      <c r="I93" s="162" t="s">
        <v>427</v>
      </c>
    </row>
    <row r="94" ht="15.75" customHeight="1">
      <c r="B94" s="150">
        <v>43425.0</v>
      </c>
      <c r="C94" s="151" t="s">
        <v>5817</v>
      </c>
      <c r="D94" s="151" t="s">
        <v>5818</v>
      </c>
      <c r="E94" s="151">
        <f>+85266430733</f>
        <v>85266430733</v>
      </c>
      <c r="G94" s="6" t="s">
        <v>5633</v>
      </c>
      <c r="H94" s="6" t="s">
        <v>678</v>
      </c>
      <c r="I94" s="6" t="s">
        <v>562</v>
      </c>
    </row>
    <row r="95" ht="15.75" customHeight="1">
      <c r="B95" s="160">
        <v>43425.0</v>
      </c>
      <c r="C95" s="161" t="s">
        <v>5819</v>
      </c>
      <c r="D95" s="161" t="s">
        <v>5820</v>
      </c>
      <c r="E95" s="161">
        <f>+8618810228247</f>
        <v>8618810228247</v>
      </c>
      <c r="F95" s="162"/>
      <c r="G95" s="6" t="s">
        <v>5633</v>
      </c>
      <c r="H95" s="6" t="s">
        <v>678</v>
      </c>
      <c r="I95" s="162" t="s">
        <v>398</v>
      </c>
    </row>
    <row r="96" ht="15.75" customHeight="1">
      <c r="B96" s="160">
        <v>43425.0</v>
      </c>
      <c r="C96" s="161" t="s">
        <v>5821</v>
      </c>
      <c r="D96" s="161" t="s">
        <v>5822</v>
      </c>
      <c r="E96" s="161">
        <f>+8613185198743</f>
        <v>8613185198743</v>
      </c>
      <c r="F96" s="162"/>
      <c r="G96" s="6" t="s">
        <v>5633</v>
      </c>
      <c r="H96" s="6" t="s">
        <v>678</v>
      </c>
      <c r="I96" s="162" t="s">
        <v>398</v>
      </c>
    </row>
    <row r="97" ht="15.75" customHeight="1">
      <c r="B97" s="160">
        <v>43425.0</v>
      </c>
      <c r="C97" s="161" t="s">
        <v>5823</v>
      </c>
      <c r="D97" s="161" t="s">
        <v>5824</v>
      </c>
      <c r="E97" s="161">
        <f>+8615816822038</f>
        <v>8615816822038</v>
      </c>
      <c r="F97" s="162"/>
      <c r="G97" s="6" t="s">
        <v>5633</v>
      </c>
      <c r="H97" s="6" t="s">
        <v>678</v>
      </c>
      <c r="I97" s="162" t="s">
        <v>398</v>
      </c>
    </row>
    <row r="98" ht="15.75" customHeight="1">
      <c r="B98" s="160">
        <v>43425.0</v>
      </c>
      <c r="C98" s="161" t="s">
        <v>5825</v>
      </c>
      <c r="D98" s="161" t="s">
        <v>5826</v>
      </c>
      <c r="E98" s="161">
        <f>+85295174355</f>
        <v>85295174355</v>
      </c>
      <c r="F98" s="162"/>
      <c r="G98" s="6" t="s">
        <v>5633</v>
      </c>
      <c r="H98" s="6" t="s">
        <v>678</v>
      </c>
      <c r="I98" s="162" t="s">
        <v>427</v>
      </c>
    </row>
    <row r="99" ht="15.75" customHeight="1">
      <c r="B99" s="150">
        <v>43425.0</v>
      </c>
      <c r="C99" s="151" t="s">
        <v>5827</v>
      </c>
      <c r="D99" s="151" t="s">
        <v>5828</v>
      </c>
      <c r="E99" s="151">
        <f>+8618016225001</f>
        <v>8618016225001</v>
      </c>
      <c r="G99" s="6" t="s">
        <v>5633</v>
      </c>
      <c r="H99" s="6" t="s">
        <v>678</v>
      </c>
      <c r="I99" s="6" t="s">
        <v>562</v>
      </c>
    </row>
    <row r="100" ht="15.75" customHeight="1">
      <c r="B100" s="150">
        <v>43428.0</v>
      </c>
      <c r="C100" s="6" t="s">
        <v>5701</v>
      </c>
      <c r="D100" s="6" t="s">
        <v>5702</v>
      </c>
      <c r="E100" s="7" t="s">
        <v>5829</v>
      </c>
      <c r="G100" s="6" t="s">
        <v>5633</v>
      </c>
      <c r="H100" s="6" t="s">
        <v>678</v>
      </c>
      <c r="I100" s="162" t="s">
        <v>427</v>
      </c>
    </row>
    <row r="101" ht="15.75" customHeight="1">
      <c r="B101" s="160">
        <v>43429.0</v>
      </c>
      <c r="C101" s="162" t="s">
        <v>5666</v>
      </c>
      <c r="D101" s="162" t="s">
        <v>5667</v>
      </c>
      <c r="E101" s="167" t="s">
        <v>5830</v>
      </c>
      <c r="F101" s="162"/>
      <c r="G101" s="162" t="s">
        <v>5831</v>
      </c>
      <c r="I101" s="162" t="s">
        <v>427</v>
      </c>
    </row>
    <row r="102" ht="15.75" customHeight="1">
      <c r="B102" s="160">
        <v>43429.0</v>
      </c>
      <c r="C102" s="151" t="s">
        <v>5832</v>
      </c>
      <c r="D102" s="151" t="s">
        <v>5833</v>
      </c>
      <c r="E102" s="151">
        <f>+525567069894</f>
        <v>525567069894</v>
      </c>
      <c r="F102" s="162"/>
      <c r="G102" s="6" t="s">
        <v>5633</v>
      </c>
      <c r="H102" s="6" t="s">
        <v>678</v>
      </c>
      <c r="I102" s="162" t="s">
        <v>427</v>
      </c>
    </row>
    <row r="103" ht="15.75" customHeight="1">
      <c r="B103" s="160">
        <v>43429.0</v>
      </c>
      <c r="C103" s="151" t="s">
        <v>5834</v>
      </c>
      <c r="D103" s="151" t="s">
        <v>5835</v>
      </c>
      <c r="E103" s="151">
        <f>+8618588744786</f>
        <v>8618588744786</v>
      </c>
      <c r="F103" s="162"/>
      <c r="G103" s="6" t="s">
        <v>5633</v>
      </c>
      <c r="H103" s="6" t="s">
        <v>678</v>
      </c>
      <c r="I103" s="162" t="s">
        <v>427</v>
      </c>
    </row>
    <row r="104" ht="15.75" customHeight="1">
      <c r="B104" s="160">
        <v>43429.0</v>
      </c>
      <c r="C104" s="151" t="s">
        <v>5836</v>
      </c>
      <c r="D104" s="151" t="s">
        <v>5837</v>
      </c>
      <c r="E104" s="151">
        <f>+8618302090243</f>
        <v>8618302090243</v>
      </c>
      <c r="F104" s="162"/>
      <c r="G104" s="6" t="s">
        <v>5633</v>
      </c>
      <c r="H104" s="6" t="s">
        <v>678</v>
      </c>
      <c r="I104" s="162" t="s">
        <v>427</v>
      </c>
    </row>
    <row r="105" ht="15.75" customHeight="1">
      <c r="B105" s="160">
        <v>43429.0</v>
      </c>
      <c r="C105" s="151" t="s">
        <v>5838</v>
      </c>
      <c r="D105" s="151" t="s">
        <v>5839</v>
      </c>
      <c r="E105" s="151">
        <f>+85363113113</f>
        <v>85363113113</v>
      </c>
      <c r="F105" s="162"/>
      <c r="G105" s="6" t="s">
        <v>5633</v>
      </c>
      <c r="H105" s="6" t="s">
        <v>678</v>
      </c>
      <c r="I105" s="162" t="s">
        <v>427</v>
      </c>
    </row>
    <row r="106" ht="15.75" customHeight="1">
      <c r="B106" s="160">
        <v>43429.0</v>
      </c>
      <c r="C106" s="151" t="s">
        <v>5840</v>
      </c>
      <c r="D106" s="151" t="s">
        <v>5841</v>
      </c>
      <c r="E106" s="151">
        <f>+994558950520</f>
        <v>994558950520</v>
      </c>
      <c r="F106" s="162"/>
      <c r="G106" s="6" t="s">
        <v>5633</v>
      </c>
      <c r="H106" s="6" t="s">
        <v>678</v>
      </c>
      <c r="I106" s="162" t="s">
        <v>427</v>
      </c>
    </row>
    <row r="107" ht="15.75" customHeight="1">
      <c r="B107" s="160">
        <v>43429.0</v>
      </c>
      <c r="C107" s="151" t="s">
        <v>5842</v>
      </c>
      <c r="D107" s="151" t="s">
        <v>5843</v>
      </c>
      <c r="E107" s="151">
        <f>+8613265332359</f>
        <v>8613265332359</v>
      </c>
      <c r="F107" s="162"/>
      <c r="G107" s="6" t="s">
        <v>5633</v>
      </c>
      <c r="H107" s="6" t="s">
        <v>678</v>
      </c>
      <c r="I107" s="162" t="s">
        <v>427</v>
      </c>
    </row>
    <row r="108" ht="15.75" customHeight="1">
      <c r="B108" s="160">
        <v>43429.0</v>
      </c>
      <c r="C108" s="151" t="s">
        <v>5844</v>
      </c>
      <c r="D108" s="151" t="s">
        <v>5845</v>
      </c>
      <c r="E108" s="151">
        <f>+85293462006</f>
        <v>85293462006</v>
      </c>
      <c r="F108" s="162"/>
      <c r="G108" s="6" t="s">
        <v>5633</v>
      </c>
      <c r="H108" s="6" t="s">
        <v>678</v>
      </c>
      <c r="I108" s="162" t="s">
        <v>427</v>
      </c>
    </row>
    <row r="109" ht="15.75" customHeight="1">
      <c r="B109" s="160">
        <v>43431.0</v>
      </c>
      <c r="C109" s="151" t="s">
        <v>5846</v>
      </c>
      <c r="D109" s="151" t="s">
        <v>5847</v>
      </c>
      <c r="E109" s="151">
        <f>+923336573537</f>
        <v>923336573537</v>
      </c>
      <c r="F109" s="162"/>
      <c r="G109" s="6" t="s">
        <v>5633</v>
      </c>
      <c r="H109" s="6" t="s">
        <v>678</v>
      </c>
      <c r="I109" s="168" t="s">
        <v>427</v>
      </c>
    </row>
    <row r="110" ht="15.75" customHeight="1">
      <c r="B110" s="160">
        <v>43431.0</v>
      </c>
      <c r="C110" s="151" t="s">
        <v>5848</v>
      </c>
      <c r="D110" s="151" t="s">
        <v>5849</v>
      </c>
      <c r="E110" s="151">
        <f>+8613735305196</f>
        <v>8613735305196</v>
      </c>
      <c r="G110" s="6" t="s">
        <v>5633</v>
      </c>
      <c r="H110" s="6" t="s">
        <v>678</v>
      </c>
      <c r="I110" s="168" t="s">
        <v>427</v>
      </c>
    </row>
    <row r="111" ht="15.75" customHeight="1">
      <c r="B111" s="160">
        <v>43431.0</v>
      </c>
      <c r="C111" s="151" t="s">
        <v>5850</v>
      </c>
      <c r="D111" s="151" t="s">
        <v>5851</v>
      </c>
      <c r="E111" s="151">
        <f>+85362823198</f>
        <v>85362823198</v>
      </c>
      <c r="G111" s="6" t="s">
        <v>5633</v>
      </c>
      <c r="H111" s="6" t="s">
        <v>678</v>
      </c>
      <c r="I111" s="168" t="s">
        <v>427</v>
      </c>
    </row>
    <row r="112" ht="15.75" customHeight="1">
      <c r="B112" s="160">
        <v>43431.0</v>
      </c>
      <c r="C112" s="151" t="s">
        <v>5852</v>
      </c>
      <c r="D112" s="151" t="s">
        <v>5853</v>
      </c>
      <c r="E112" s="151">
        <f>+16048768769</f>
        <v>16048768769</v>
      </c>
      <c r="G112" s="6" t="s">
        <v>5633</v>
      </c>
      <c r="H112" s="6" t="s">
        <v>678</v>
      </c>
      <c r="I112" s="168" t="s">
        <v>427</v>
      </c>
    </row>
    <row r="113" ht="15.75" customHeight="1">
      <c r="B113" s="160">
        <v>43431.0</v>
      </c>
      <c r="C113" s="151" t="s">
        <v>5854</v>
      </c>
      <c r="D113" s="151" t="s">
        <v>5855</v>
      </c>
      <c r="E113" s="151">
        <f>+8615008287870</f>
        <v>8615008287870</v>
      </c>
      <c r="G113" s="6" t="s">
        <v>5633</v>
      </c>
      <c r="H113" s="6" t="s">
        <v>678</v>
      </c>
      <c r="I113" s="168" t="s">
        <v>427</v>
      </c>
    </row>
    <row r="114" ht="15.75" customHeight="1">
      <c r="B114" s="160">
        <v>43431.0</v>
      </c>
      <c r="C114" s="151" t="s">
        <v>5856</v>
      </c>
      <c r="D114" s="151" t="s">
        <v>5857</v>
      </c>
      <c r="E114" s="151">
        <f>+5513991230710</f>
        <v>5513991230710</v>
      </c>
      <c r="G114" s="6" t="s">
        <v>5633</v>
      </c>
      <c r="H114" s="6" t="s">
        <v>678</v>
      </c>
      <c r="I114" s="168" t="s">
        <v>427</v>
      </c>
    </row>
    <row r="115" ht="15.75" customHeight="1">
      <c r="B115" s="160">
        <v>43431.0</v>
      </c>
      <c r="C115" s="151" t="s">
        <v>5858</v>
      </c>
      <c r="D115" s="151" t="s">
        <v>5859</v>
      </c>
      <c r="E115" s="151">
        <f>+93799336645</f>
        <v>93799336645</v>
      </c>
      <c r="G115" s="6" t="s">
        <v>5633</v>
      </c>
      <c r="H115" s="6" t="s">
        <v>678</v>
      </c>
      <c r="I115" s="168" t="s">
        <v>427</v>
      </c>
    </row>
    <row r="116" ht="15.75" customHeight="1">
      <c r="B116" s="160">
        <v>43431.0</v>
      </c>
      <c r="C116" s="151" t="s">
        <v>5860</v>
      </c>
      <c r="D116" s="151" t="s">
        <v>5861</v>
      </c>
      <c r="E116" s="151">
        <f>+919544024091</f>
        <v>919544024091</v>
      </c>
      <c r="G116" s="6" t="s">
        <v>5633</v>
      </c>
      <c r="H116" s="6" t="s">
        <v>678</v>
      </c>
      <c r="I116" s="168" t="s">
        <v>427</v>
      </c>
    </row>
    <row r="117" ht="15.75" customHeight="1">
      <c r="B117" s="160">
        <v>43431.0</v>
      </c>
      <c r="C117" s="151" t="s">
        <v>5862</v>
      </c>
      <c r="D117" s="151" t="s">
        <v>5863</v>
      </c>
      <c r="E117" s="151">
        <f>+8615528127072</f>
        <v>8615528127072</v>
      </c>
      <c r="G117" s="6" t="s">
        <v>5633</v>
      </c>
      <c r="H117" s="6" t="s">
        <v>678</v>
      </c>
      <c r="I117" s="168" t="s">
        <v>427</v>
      </c>
    </row>
    <row r="118" ht="15.75" customHeight="1">
      <c r="B118" s="150">
        <v>43432.0</v>
      </c>
      <c r="C118" s="151" t="s">
        <v>5864</v>
      </c>
      <c r="D118" s="151" t="s">
        <v>5865</v>
      </c>
      <c r="E118" s="151">
        <f>+85254443152</f>
        <v>85254443152</v>
      </c>
      <c r="G118" s="6" t="s">
        <v>5633</v>
      </c>
      <c r="H118" s="6" t="s">
        <v>678</v>
      </c>
      <c r="I118" s="168" t="s">
        <v>427</v>
      </c>
    </row>
    <row r="119" ht="15.75" customHeight="1">
      <c r="B119" s="150">
        <v>43432.0</v>
      </c>
      <c r="C119" s="151" t="s">
        <v>5866</v>
      </c>
      <c r="D119" s="151" t="s">
        <v>5867</v>
      </c>
      <c r="E119" s="151">
        <f>+8613544533063</f>
        <v>8613544533063</v>
      </c>
      <c r="G119" s="6" t="s">
        <v>5633</v>
      </c>
      <c r="H119" s="6" t="s">
        <v>678</v>
      </c>
      <c r="I119" s="168" t="s">
        <v>427</v>
      </c>
    </row>
    <row r="120" ht="15.75" customHeight="1">
      <c r="B120" s="150">
        <v>43432.0</v>
      </c>
      <c r="C120" s="151" t="s">
        <v>5868</v>
      </c>
      <c r="D120" s="151" t="s">
        <v>5869</v>
      </c>
      <c r="E120" s="151">
        <f>+8615975575240</f>
        <v>8615975575240</v>
      </c>
      <c r="G120" s="6" t="s">
        <v>5633</v>
      </c>
      <c r="H120" s="6" t="s">
        <v>678</v>
      </c>
      <c r="I120" s="168" t="s">
        <v>427</v>
      </c>
    </row>
    <row r="121" ht="15.75" customHeight="1">
      <c r="B121" s="150">
        <v>43433.0</v>
      </c>
      <c r="C121" s="151" t="s">
        <v>5870</v>
      </c>
      <c r="D121" s="151" t="s">
        <v>5871</v>
      </c>
      <c r="E121" s="153" t="s">
        <v>5872</v>
      </c>
      <c r="G121" s="6" t="s">
        <v>5633</v>
      </c>
      <c r="H121" s="6" t="s">
        <v>678</v>
      </c>
      <c r="I121" s="151"/>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A7FEB666-445D-48CC-9CDF-55921C2C9E74}" filter="1" showAutoFilter="1">
      <autoFilter ref="$G$1:$G$121">
        <filterColumn colId="0">
          <filters>
            <filter val="From: Facebook/ China event"/>
            <filter val="China Events"/>
          </filters>
        </filterColumn>
      </autoFilter>
      <extLst>
        <ext uri="GoogleSheetsCustomDataVersion1">
          <go:sheetsCustomData xmlns:go="http://customooxmlschemas.google.com/" filterViewId="1439408494"/>
        </ext>
      </extLst>
    </customSheetView>
    <customSheetView guid="{E3432889-4B8C-4A16-BA7C-BA7887E47210}" filter="1" showAutoFilter="1">
      <autoFilter ref="$F$1:$F$121"/>
      <extLst>
        <ext uri="GoogleSheetsCustomDataVersion1">
          <go:sheetsCustomData xmlns:go="http://customooxmlschemas.google.com/" filterViewId="1682326877"/>
        </ext>
      </extLst>
    </customSheetView>
    <customSheetView guid="{341F73BF-F400-48DD-B434-4EDBF1053A5C}" filter="1" showAutoFilter="1">
      <autoFilter ref="$F$1:$F$121"/>
      <extLst>
        <ext uri="GoogleSheetsCustomDataVersion1">
          <go:sheetsCustomData xmlns:go="http://customooxmlschemas.google.com/" filterViewId="575337405"/>
        </ext>
      </extLst>
    </customSheetView>
    <customSheetView guid="{12CB2CCC-8D27-44DB-9F40-633793C33FFC}" filter="1" showAutoFilter="1">
      <autoFilter ref="$A$1:$AA$121">
        <filterColumn colId="6">
          <filters>
            <filter val="From: Facebook/ China event"/>
            <filter val="China Events"/>
          </filters>
        </filterColumn>
      </autoFilter>
      <extLst>
        <ext uri="GoogleSheetsCustomDataVersion1">
          <go:sheetsCustomData xmlns:go="http://customooxmlschemas.google.com/" filterViewId="586691093"/>
        </ext>
      </extLst>
    </customSheetView>
    <customSheetView guid="{81861F5D-CB05-46E0-BCFB-BABE13E8E2F3}" filter="1" showAutoFilter="1">
      <autoFilter ref="$A$1:$AA$99">
        <filterColumn colId="6">
          <filters>
            <filter val="China Events"/>
          </filters>
        </filterColumn>
      </autoFilter>
      <extLst>
        <ext uri="GoogleSheetsCustomDataVersion1">
          <go:sheetsCustomData xmlns:go="http://customooxmlschemas.google.com/" filterViewId="745819171"/>
        </ext>
      </extLst>
    </customSheetView>
  </customSheetView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14.38"/>
    <col customWidth="1" min="2" max="2" width="20.38"/>
    <col customWidth="1" min="3" max="3" width="21.75"/>
    <col customWidth="1" min="4" max="6" width="14.38"/>
    <col customWidth="1" min="7" max="7" width="11.38"/>
    <col customWidth="1" min="8" max="27" width="14.38"/>
  </cols>
  <sheetData>
    <row r="1" ht="15.75" customHeight="1">
      <c r="A1" s="2" t="s">
        <v>0</v>
      </c>
      <c r="B1" s="4" t="s">
        <v>1</v>
      </c>
      <c r="C1" s="4" t="s">
        <v>2</v>
      </c>
      <c r="D1" s="4" t="s">
        <v>3</v>
      </c>
      <c r="E1" s="4" t="s">
        <v>4</v>
      </c>
      <c r="F1" s="4" t="s">
        <v>5873</v>
      </c>
      <c r="G1" s="4" t="s">
        <v>5629</v>
      </c>
      <c r="H1" s="4" t="s">
        <v>5</v>
      </c>
      <c r="I1" s="4" t="s">
        <v>1651</v>
      </c>
      <c r="J1" s="4" t="s">
        <v>7</v>
      </c>
      <c r="K1" s="4"/>
      <c r="L1" s="4"/>
      <c r="M1" s="4"/>
      <c r="N1" s="4"/>
      <c r="O1" s="4"/>
      <c r="P1" s="4"/>
      <c r="Q1" s="4"/>
      <c r="R1" s="4"/>
      <c r="S1" s="4"/>
      <c r="T1" s="4"/>
      <c r="U1" s="4"/>
      <c r="V1" s="4"/>
      <c r="W1" s="4"/>
      <c r="X1" s="4"/>
      <c r="Y1" s="4"/>
      <c r="Z1" s="4"/>
      <c r="AA1" s="4"/>
    </row>
    <row r="2" ht="15.75" customHeight="1">
      <c r="A2" s="81">
        <v>43418.0</v>
      </c>
      <c r="B2" s="151" t="s">
        <v>5874</v>
      </c>
      <c r="C2" s="151" t="s">
        <v>5875</v>
      </c>
      <c r="D2" s="151">
        <f>+263774935195</f>
        <v>263774935195</v>
      </c>
      <c r="E2" s="151" t="s">
        <v>5876</v>
      </c>
      <c r="F2" s="151" t="s">
        <v>97</v>
      </c>
      <c r="G2" s="6" t="s">
        <v>381</v>
      </c>
      <c r="H2" s="6" t="s">
        <v>5877</v>
      </c>
      <c r="J2" s="4" t="s">
        <v>698</v>
      </c>
    </row>
    <row r="3" ht="15.75" customHeight="1">
      <c r="A3" s="81">
        <v>43418.0</v>
      </c>
      <c r="B3" s="151" t="s">
        <v>5878</v>
      </c>
      <c r="C3" s="151" t="s">
        <v>5879</v>
      </c>
      <c r="D3" s="151">
        <f>+9710561023901</f>
        <v>9710561023901</v>
      </c>
      <c r="E3" s="151" t="s">
        <v>5876</v>
      </c>
      <c r="F3" s="151" t="s">
        <v>228</v>
      </c>
      <c r="G3" s="6" t="s">
        <v>381</v>
      </c>
      <c r="H3" s="6" t="s">
        <v>5877</v>
      </c>
      <c r="J3" s="4" t="s">
        <v>698</v>
      </c>
    </row>
    <row r="4" ht="15.75" customHeight="1">
      <c r="A4" s="81">
        <v>43418.0</v>
      </c>
      <c r="B4" s="151" t="s">
        <v>5880</v>
      </c>
      <c r="C4" s="151" t="s">
        <v>5881</v>
      </c>
      <c r="D4" s="151">
        <f>+212604818754</f>
        <v>212604818754</v>
      </c>
      <c r="E4" s="151" t="s">
        <v>261</v>
      </c>
      <c r="F4" s="151" t="s">
        <v>86</v>
      </c>
      <c r="G4" s="6" t="s">
        <v>381</v>
      </c>
      <c r="H4" s="6" t="s">
        <v>5877</v>
      </c>
      <c r="J4" s="4" t="s">
        <v>698</v>
      </c>
    </row>
    <row r="5" ht="15.75" customHeight="1">
      <c r="A5" s="81">
        <v>43418.0</v>
      </c>
      <c r="B5" s="151" t="s">
        <v>5882</v>
      </c>
      <c r="C5" s="151" t="s">
        <v>5883</v>
      </c>
      <c r="D5" s="151">
        <f>+962790728525</f>
        <v>962790728525</v>
      </c>
      <c r="E5" s="151" t="s">
        <v>261</v>
      </c>
      <c r="F5" s="151" t="s">
        <v>65</v>
      </c>
      <c r="G5" s="6" t="s">
        <v>381</v>
      </c>
      <c r="H5" s="6" t="s">
        <v>5877</v>
      </c>
      <c r="J5" s="4" t="s">
        <v>698</v>
      </c>
    </row>
    <row r="6" ht="15.75" customHeight="1">
      <c r="A6" s="81">
        <v>43418.0</v>
      </c>
      <c r="B6" s="151" t="s">
        <v>5884</v>
      </c>
      <c r="C6" s="151" t="s">
        <v>5885</v>
      </c>
      <c r="D6" s="151">
        <f>+962790411321</f>
        <v>962790411321</v>
      </c>
      <c r="E6" s="151" t="s">
        <v>5886</v>
      </c>
      <c r="F6" s="151" t="s">
        <v>13</v>
      </c>
      <c r="G6" s="6" t="s">
        <v>381</v>
      </c>
      <c r="H6" s="6" t="s">
        <v>5877</v>
      </c>
      <c r="J6" s="4" t="s">
        <v>698</v>
      </c>
    </row>
    <row r="7" ht="15.75" customHeight="1">
      <c r="A7" s="81">
        <v>43418.0</v>
      </c>
      <c r="B7" s="151" t="s">
        <v>5887</v>
      </c>
      <c r="C7" s="151" t="s">
        <v>5888</v>
      </c>
      <c r="D7" s="151">
        <f>+9710522865015</f>
        <v>9710522865015</v>
      </c>
      <c r="E7" s="151" t="s">
        <v>261</v>
      </c>
      <c r="F7" s="151" t="s">
        <v>102</v>
      </c>
      <c r="G7" s="6" t="s">
        <v>381</v>
      </c>
      <c r="H7" s="6" t="s">
        <v>5877</v>
      </c>
    </row>
    <row r="8" ht="15.75" customHeight="1">
      <c r="A8" s="81">
        <v>43419.0</v>
      </c>
      <c r="B8" s="151" t="s">
        <v>5889</v>
      </c>
      <c r="C8" s="151" t="s">
        <v>5890</v>
      </c>
      <c r="D8" s="151">
        <f>+962795363836</f>
        <v>962795363836</v>
      </c>
      <c r="E8" s="151" t="s">
        <v>261</v>
      </c>
      <c r="F8" s="6" t="s">
        <v>5891</v>
      </c>
      <c r="G8" s="6" t="s">
        <v>381</v>
      </c>
      <c r="H8" s="6" t="s">
        <v>5877</v>
      </c>
      <c r="J8" s="4" t="s">
        <v>102</v>
      </c>
    </row>
    <row r="9" ht="15.75" customHeight="1">
      <c r="A9" s="81">
        <v>43419.0</v>
      </c>
      <c r="B9" s="151" t="s">
        <v>5892</v>
      </c>
      <c r="C9" s="151" t="s">
        <v>5893</v>
      </c>
      <c r="D9" s="151">
        <f>+971506457964</f>
        <v>971506457964</v>
      </c>
      <c r="E9" s="151" t="s">
        <v>5886</v>
      </c>
      <c r="F9" s="6" t="s">
        <v>222</v>
      </c>
      <c r="G9" s="6" t="s">
        <v>381</v>
      </c>
      <c r="H9" s="6" t="s">
        <v>5877</v>
      </c>
      <c r="J9" s="4" t="s">
        <v>102</v>
      </c>
    </row>
    <row r="10" ht="15.75" customHeight="1">
      <c r="A10" s="81">
        <v>43419.0</v>
      </c>
      <c r="B10" s="151" t="s">
        <v>5894</v>
      </c>
      <c r="C10" s="151" t="s">
        <v>5895</v>
      </c>
      <c r="D10" s="151">
        <v>9.6599860322E10</v>
      </c>
      <c r="E10" s="151" t="s">
        <v>261</v>
      </c>
      <c r="F10" s="6" t="s">
        <v>222</v>
      </c>
      <c r="G10" s="6" t="s">
        <v>381</v>
      </c>
      <c r="H10" s="6" t="s">
        <v>5877</v>
      </c>
      <c r="J10" s="4" t="s">
        <v>102</v>
      </c>
    </row>
    <row r="11" ht="15.75" customHeight="1">
      <c r="A11" s="81">
        <v>43421.0</v>
      </c>
      <c r="B11" s="152" t="s">
        <v>5896</v>
      </c>
      <c r="C11" s="151" t="s">
        <v>5897</v>
      </c>
      <c r="D11" s="151">
        <f>+962799093159</f>
        <v>962799093159</v>
      </c>
      <c r="E11" s="151" t="s">
        <v>261</v>
      </c>
      <c r="F11" s="6" t="s">
        <v>5898</v>
      </c>
      <c r="G11" s="6" t="s">
        <v>381</v>
      </c>
      <c r="H11" s="6" t="s">
        <v>5877</v>
      </c>
      <c r="J11" s="4" t="s">
        <v>102</v>
      </c>
    </row>
    <row r="12" ht="15.75" customHeight="1">
      <c r="A12" s="81">
        <v>43421.0</v>
      </c>
      <c r="B12" s="151" t="s">
        <v>5899</v>
      </c>
      <c r="C12" s="151" t="s">
        <v>5900</v>
      </c>
      <c r="D12" s="151">
        <f>+966501897267</f>
        <v>966501897267</v>
      </c>
      <c r="E12" s="151" t="s">
        <v>261</v>
      </c>
      <c r="F12" s="6" t="s">
        <v>151</v>
      </c>
      <c r="G12" s="6" t="s">
        <v>381</v>
      </c>
      <c r="H12" s="6" t="s">
        <v>5877</v>
      </c>
      <c r="J12" s="4" t="s">
        <v>102</v>
      </c>
    </row>
    <row r="13" ht="15.75" customHeight="1">
      <c r="A13" s="81">
        <v>43421.0</v>
      </c>
      <c r="B13" s="151" t="s">
        <v>5889</v>
      </c>
      <c r="C13" s="151" t="s">
        <v>5890</v>
      </c>
      <c r="D13" s="151">
        <f>+962795363836</f>
        <v>962795363836</v>
      </c>
      <c r="E13" s="151" t="s">
        <v>261</v>
      </c>
      <c r="F13" s="6" t="s">
        <v>50</v>
      </c>
      <c r="G13" s="6" t="s">
        <v>381</v>
      </c>
      <c r="H13" s="6" t="s">
        <v>5877</v>
      </c>
      <c r="J13" s="4" t="s">
        <v>102</v>
      </c>
    </row>
    <row r="14" ht="15.75" customHeight="1">
      <c r="A14" s="81">
        <v>43423.0</v>
      </c>
      <c r="B14" s="151" t="s">
        <v>5901</v>
      </c>
      <c r="C14" s="151" t="s">
        <v>5902</v>
      </c>
      <c r="D14" s="151">
        <f>+966532424114</f>
        <v>966532424114</v>
      </c>
      <c r="E14" s="151" t="s">
        <v>261</v>
      </c>
      <c r="F14" s="6" t="s">
        <v>92</v>
      </c>
      <c r="G14" s="6" t="s">
        <v>381</v>
      </c>
      <c r="H14" s="6" t="s">
        <v>5877</v>
      </c>
      <c r="J14" s="4" t="s">
        <v>102</v>
      </c>
    </row>
    <row r="15" ht="15.75" customHeight="1">
      <c r="A15" s="81">
        <v>43423.0</v>
      </c>
      <c r="B15" s="151" t="s">
        <v>5903</v>
      </c>
      <c r="C15" s="151" t="s">
        <v>5904</v>
      </c>
      <c r="D15" s="151">
        <f>+96550101124</f>
        <v>96550101124</v>
      </c>
      <c r="E15" s="151" t="s">
        <v>5876</v>
      </c>
      <c r="F15" s="6" t="s">
        <v>92</v>
      </c>
      <c r="G15" s="6" t="s">
        <v>381</v>
      </c>
      <c r="H15" s="6" t="s">
        <v>5877</v>
      </c>
      <c r="J15" s="4" t="s">
        <v>102</v>
      </c>
    </row>
    <row r="16" ht="15.75" customHeight="1">
      <c r="A16" s="81">
        <v>43423.0</v>
      </c>
      <c r="B16" s="151" t="s">
        <v>5905</v>
      </c>
      <c r="C16" s="151" t="s">
        <v>5906</v>
      </c>
      <c r="D16" s="151">
        <f>+249908377787</f>
        <v>249908377787</v>
      </c>
      <c r="E16" s="151" t="s">
        <v>261</v>
      </c>
      <c r="F16" s="6" t="s">
        <v>97</v>
      </c>
      <c r="G16" s="6" t="s">
        <v>381</v>
      </c>
      <c r="H16" s="6" t="s">
        <v>5877</v>
      </c>
      <c r="J16" s="4" t="s">
        <v>102</v>
      </c>
    </row>
    <row r="17" ht="15.75" customHeight="1">
      <c r="A17" s="81">
        <v>43423.0</v>
      </c>
      <c r="B17" s="151" t="s">
        <v>5907</v>
      </c>
      <c r="C17" s="151" t="s">
        <v>5908</v>
      </c>
      <c r="D17" s="151">
        <f>+96560646692</f>
        <v>96560646692</v>
      </c>
      <c r="E17" s="151" t="s">
        <v>261</v>
      </c>
      <c r="F17" s="6" t="s">
        <v>91</v>
      </c>
      <c r="G17" s="6" t="s">
        <v>381</v>
      </c>
      <c r="H17" s="6" t="s">
        <v>5877</v>
      </c>
      <c r="J17" s="4" t="s">
        <v>5898</v>
      </c>
    </row>
    <row r="18" ht="15.75" customHeight="1">
      <c r="A18" s="81">
        <v>43423.0</v>
      </c>
      <c r="B18" s="151" t="s">
        <v>5909</v>
      </c>
      <c r="C18" s="151" t="s">
        <v>5910</v>
      </c>
      <c r="D18" s="151">
        <f>+971568349642</f>
        <v>971568349642</v>
      </c>
      <c r="E18" s="151" t="s">
        <v>5876</v>
      </c>
      <c r="F18" s="6" t="s">
        <v>97</v>
      </c>
      <c r="G18" s="6" t="s">
        <v>381</v>
      </c>
      <c r="H18" s="6" t="s">
        <v>5877</v>
      </c>
      <c r="J18" s="4" t="s">
        <v>5898</v>
      </c>
    </row>
    <row r="19" ht="15.75" customHeight="1">
      <c r="A19" s="81">
        <v>43424.0</v>
      </c>
      <c r="B19" s="151" t="s">
        <v>5911</v>
      </c>
      <c r="C19" s="151" t="s">
        <v>5912</v>
      </c>
      <c r="D19" s="151">
        <f>+966501134673</f>
        <v>966501134673</v>
      </c>
      <c r="E19" s="151" t="s">
        <v>5886</v>
      </c>
      <c r="F19" s="6" t="s">
        <v>92</v>
      </c>
      <c r="G19" s="6" t="s">
        <v>381</v>
      </c>
      <c r="H19" s="6" t="s">
        <v>5877</v>
      </c>
      <c r="J19" s="4" t="s">
        <v>5898</v>
      </c>
    </row>
    <row r="20" ht="15.75" customHeight="1">
      <c r="A20" s="81">
        <v>43424.0</v>
      </c>
      <c r="B20" s="151" t="s">
        <v>5913</v>
      </c>
      <c r="C20" s="151" t="s">
        <v>5914</v>
      </c>
      <c r="D20" s="151">
        <f>+96598850887</f>
        <v>96598850887</v>
      </c>
      <c r="E20" s="151" t="s">
        <v>261</v>
      </c>
      <c r="F20" s="6" t="s">
        <v>92</v>
      </c>
      <c r="G20" s="6" t="s">
        <v>381</v>
      </c>
      <c r="H20" s="6" t="s">
        <v>5877</v>
      </c>
      <c r="J20" s="4" t="s">
        <v>5898</v>
      </c>
    </row>
    <row r="21" ht="15.75" customHeight="1">
      <c r="A21" s="39"/>
      <c r="B21" s="169"/>
      <c r="C21" s="169"/>
      <c r="D21" s="169"/>
      <c r="E21" s="151"/>
      <c r="F21" s="151"/>
      <c r="G21" s="151"/>
      <c r="H21" s="151"/>
      <c r="I21" s="151"/>
    </row>
    <row r="22" ht="15.75" customHeight="1">
      <c r="A22" s="39"/>
      <c r="B22" s="169"/>
      <c r="C22" s="169"/>
      <c r="D22" s="169"/>
      <c r="E22" s="151"/>
      <c r="F22" s="151"/>
      <c r="G22" s="151"/>
      <c r="H22" s="151"/>
      <c r="I22" s="151"/>
    </row>
    <row r="23" ht="15.75" customHeight="1">
      <c r="A23" s="39"/>
      <c r="B23" s="169"/>
      <c r="C23" s="169"/>
      <c r="D23" s="169"/>
    </row>
    <row r="24" ht="15.75" customHeight="1">
      <c r="A24" s="39"/>
    </row>
    <row r="25" ht="15.75" customHeight="1">
      <c r="A25" s="39"/>
    </row>
    <row r="26" ht="15.75" customHeight="1">
      <c r="A26" s="39"/>
    </row>
    <row r="27" ht="15.75" customHeight="1">
      <c r="A27" s="39"/>
    </row>
    <row r="28" ht="15.75" customHeight="1">
      <c r="A28" s="39"/>
    </row>
    <row r="29" ht="15.75" customHeight="1">
      <c r="A29" s="39"/>
    </row>
    <row r="30" ht="15.75" customHeight="1">
      <c r="A30" s="39"/>
    </row>
    <row r="31" ht="15.75" customHeight="1">
      <c r="A31" s="39"/>
    </row>
    <row r="32" ht="15.75" customHeight="1">
      <c r="A32" s="39"/>
    </row>
    <row r="33" ht="15.75" customHeight="1">
      <c r="A33" s="39"/>
    </row>
    <row r="34" ht="15.75" customHeight="1">
      <c r="A34" s="39"/>
    </row>
    <row r="35" ht="15.75" customHeight="1">
      <c r="A35" s="39"/>
    </row>
    <row r="36" ht="15.75" customHeight="1">
      <c r="A36" s="39"/>
    </row>
    <row r="37" ht="15.75" customHeight="1">
      <c r="A37" s="39"/>
    </row>
    <row r="38" ht="15.75" customHeight="1">
      <c r="A38" s="39"/>
    </row>
    <row r="39" ht="15.75" customHeight="1">
      <c r="A39" s="39"/>
    </row>
    <row r="40" ht="15.75" customHeight="1">
      <c r="A40" s="39"/>
    </row>
    <row r="41" ht="15.75" customHeight="1">
      <c r="A41" s="39"/>
    </row>
    <row r="42" ht="15.75" customHeight="1">
      <c r="A42" s="39"/>
    </row>
    <row r="43" ht="15.75" customHeight="1">
      <c r="A43" s="39"/>
    </row>
    <row r="44" ht="15.75" customHeight="1">
      <c r="A44" s="39"/>
    </row>
    <row r="45" ht="15.75" customHeight="1">
      <c r="A45" s="39"/>
    </row>
    <row r="46" ht="15.75" customHeight="1">
      <c r="A46" s="39"/>
    </row>
    <row r="47" ht="15.75" customHeight="1">
      <c r="A47" s="39"/>
    </row>
    <row r="48" ht="15.75" customHeight="1">
      <c r="A48" s="39"/>
    </row>
    <row r="49" ht="15.75" customHeight="1">
      <c r="A49" s="39"/>
    </row>
    <row r="50" ht="15.75" customHeight="1">
      <c r="A50" s="39"/>
    </row>
    <row r="51" ht="15.75" customHeight="1">
      <c r="A51" s="39"/>
    </row>
    <row r="52" ht="15.75" customHeight="1">
      <c r="A52" s="39"/>
    </row>
    <row r="53" ht="15.75" customHeight="1">
      <c r="A53" s="39"/>
    </row>
    <row r="54" ht="15.75" customHeight="1">
      <c r="A54" s="39"/>
    </row>
    <row r="55" ht="15.75" customHeight="1">
      <c r="A55" s="39"/>
    </row>
    <row r="56" ht="15.75" customHeight="1">
      <c r="A56" s="39"/>
    </row>
    <row r="57" ht="15.75" customHeight="1">
      <c r="A57" s="39"/>
    </row>
    <row r="58" ht="15.75" customHeight="1">
      <c r="A58" s="39"/>
    </row>
    <row r="59" ht="15.75" customHeight="1">
      <c r="A59" s="39"/>
    </row>
    <row r="60" ht="15.75" customHeight="1">
      <c r="A60" s="39"/>
    </row>
    <row r="61" ht="15.75" customHeight="1">
      <c r="A61" s="39"/>
    </row>
    <row r="62" ht="15.75" customHeight="1">
      <c r="A62" s="39"/>
    </row>
    <row r="63" ht="15.75" customHeight="1">
      <c r="A63" s="39"/>
    </row>
    <row r="64" ht="15.75" customHeight="1">
      <c r="A64" s="39"/>
    </row>
    <row r="65" ht="15.75" customHeight="1">
      <c r="A65" s="39"/>
    </row>
    <row r="66" ht="15.75" customHeight="1">
      <c r="A66" s="39"/>
    </row>
    <row r="67" ht="15.75" customHeight="1">
      <c r="A67" s="39"/>
    </row>
    <row r="68" ht="15.75" customHeight="1">
      <c r="A68" s="39"/>
    </row>
    <row r="69" ht="15.75" customHeight="1">
      <c r="A69" s="39"/>
    </row>
    <row r="70" ht="15.75" customHeight="1">
      <c r="A70" s="39"/>
    </row>
    <row r="71" ht="15.75" customHeight="1">
      <c r="A71" s="39"/>
    </row>
    <row r="72" ht="15.75" customHeight="1">
      <c r="A72" s="39"/>
    </row>
    <row r="73" ht="15.75" customHeight="1">
      <c r="A73" s="39"/>
    </row>
    <row r="74" ht="15.75" customHeight="1">
      <c r="A74" s="39"/>
    </row>
    <row r="75" ht="15.75" customHeight="1">
      <c r="A75" s="39"/>
    </row>
    <row r="76" ht="15.75" customHeight="1">
      <c r="A76" s="39"/>
    </row>
    <row r="77" ht="15.75" customHeight="1">
      <c r="A77" s="39"/>
    </row>
    <row r="78" ht="15.75" customHeight="1">
      <c r="A78" s="39"/>
    </row>
    <row r="79" ht="15.75" customHeight="1">
      <c r="A79" s="39"/>
    </row>
    <row r="80" ht="15.75" customHeight="1">
      <c r="A80" s="39"/>
    </row>
    <row r="81" ht="15.75" customHeight="1">
      <c r="A81" s="39"/>
    </row>
    <row r="82" ht="15.75" customHeight="1">
      <c r="A82" s="39"/>
    </row>
    <row r="83" ht="15.75" customHeight="1">
      <c r="A83" s="39"/>
    </row>
    <row r="84" ht="15.75" customHeight="1">
      <c r="A84" s="39"/>
    </row>
    <row r="85" ht="15.75" customHeight="1">
      <c r="A85" s="39"/>
    </row>
    <row r="86" ht="15.75" customHeight="1">
      <c r="A86" s="39"/>
    </row>
    <row r="87" ht="15.75" customHeight="1">
      <c r="A87" s="39"/>
    </row>
    <row r="88" ht="15.75" customHeight="1">
      <c r="A88" s="39"/>
    </row>
    <row r="89" ht="15.75" customHeight="1">
      <c r="A89" s="39"/>
    </row>
    <row r="90" ht="15.75" customHeight="1">
      <c r="A90" s="39"/>
    </row>
    <row r="91" ht="15.75" customHeight="1">
      <c r="A91" s="39"/>
    </row>
    <row r="92" ht="15.75" customHeight="1">
      <c r="A92" s="39"/>
    </row>
    <row r="93" ht="15.75" customHeight="1">
      <c r="A93" s="39"/>
    </row>
    <row r="94" ht="15.75" customHeight="1">
      <c r="A94" s="39"/>
    </row>
    <row r="95" ht="15.75" customHeight="1">
      <c r="A95" s="39"/>
    </row>
    <row r="96" ht="15.75" customHeight="1">
      <c r="A96" s="39"/>
    </row>
    <row r="97" ht="15.75" customHeight="1">
      <c r="A97" s="39"/>
    </row>
    <row r="98" ht="15.75" customHeight="1">
      <c r="A98" s="39"/>
    </row>
    <row r="99" ht="15.75" customHeight="1">
      <c r="A99" s="39"/>
    </row>
    <row r="100" ht="15.75" customHeight="1">
      <c r="A100" s="39"/>
    </row>
    <row r="101" ht="15.75" customHeight="1">
      <c r="A101" s="39"/>
    </row>
    <row r="102" ht="15.75" customHeight="1">
      <c r="A102" s="39"/>
    </row>
    <row r="103" ht="15.75" customHeight="1">
      <c r="A103" s="39"/>
    </row>
    <row r="104" ht="15.75" customHeight="1">
      <c r="A104" s="39"/>
    </row>
    <row r="105" ht="15.75" customHeight="1">
      <c r="A105" s="39"/>
    </row>
    <row r="106" ht="15.75" customHeight="1">
      <c r="A106" s="39"/>
    </row>
    <row r="107" ht="15.75" customHeight="1">
      <c r="A107" s="39"/>
    </row>
    <row r="108" ht="15.75" customHeight="1">
      <c r="A108" s="39"/>
    </row>
    <row r="109" ht="15.75" customHeight="1">
      <c r="A109" s="39"/>
    </row>
    <row r="110" ht="15.75" customHeight="1">
      <c r="A110" s="39"/>
    </row>
    <row r="111" ht="15.75" customHeight="1">
      <c r="A111" s="39"/>
    </row>
    <row r="112" ht="15.75" customHeight="1">
      <c r="A112" s="39"/>
    </row>
    <row r="113" ht="15.75" customHeight="1">
      <c r="A113" s="39"/>
    </row>
    <row r="114" ht="15.75" customHeight="1">
      <c r="A114" s="39"/>
    </row>
    <row r="115" ht="15.75" customHeight="1">
      <c r="A115" s="39"/>
    </row>
    <row r="116" ht="15.75" customHeight="1">
      <c r="A116" s="39"/>
    </row>
    <row r="117" ht="15.75" customHeight="1">
      <c r="A117" s="39"/>
    </row>
    <row r="118" ht="15.75" customHeight="1">
      <c r="A118" s="39"/>
    </row>
    <row r="119" ht="15.75" customHeight="1">
      <c r="A119" s="39"/>
    </row>
    <row r="120" ht="15.75" customHeight="1">
      <c r="A120" s="39"/>
    </row>
    <row r="121" ht="15.75" customHeight="1">
      <c r="A121" s="39"/>
    </row>
    <row r="122" ht="15.75" customHeight="1">
      <c r="A122" s="39"/>
    </row>
    <row r="123" ht="15.75" customHeight="1">
      <c r="A123" s="39"/>
    </row>
    <row r="124" ht="15.75" customHeight="1">
      <c r="A124" s="39"/>
    </row>
    <row r="125" ht="15.75" customHeight="1">
      <c r="A125" s="39"/>
    </row>
    <row r="126" ht="15.75" customHeight="1">
      <c r="A126" s="39"/>
    </row>
    <row r="127" ht="15.75" customHeight="1">
      <c r="A127" s="39"/>
    </row>
    <row r="128" ht="15.75" customHeight="1">
      <c r="A128" s="39"/>
    </row>
    <row r="129" ht="15.75" customHeight="1">
      <c r="A129" s="39"/>
    </row>
    <row r="130" ht="15.75" customHeight="1">
      <c r="A130" s="39"/>
    </row>
    <row r="131" ht="15.75" customHeight="1">
      <c r="A131" s="39"/>
    </row>
    <row r="132" ht="15.75" customHeight="1">
      <c r="A132" s="39"/>
    </row>
    <row r="133" ht="15.75" customHeight="1">
      <c r="A133" s="39"/>
    </row>
    <row r="134" ht="15.75" customHeight="1">
      <c r="A134" s="39"/>
    </row>
    <row r="135" ht="15.75" customHeight="1">
      <c r="A135" s="39"/>
    </row>
    <row r="136" ht="15.75" customHeight="1">
      <c r="A136" s="39"/>
    </row>
    <row r="137" ht="15.75" customHeight="1">
      <c r="A137" s="39"/>
    </row>
    <row r="138" ht="15.75" customHeight="1">
      <c r="A138" s="39"/>
    </row>
    <row r="139" ht="15.75" customHeight="1">
      <c r="A139" s="39"/>
    </row>
    <row r="140" ht="15.75" customHeight="1">
      <c r="A140" s="39"/>
    </row>
    <row r="141" ht="15.75" customHeight="1">
      <c r="A141" s="39"/>
    </row>
    <row r="142" ht="15.75" customHeight="1">
      <c r="A142" s="39"/>
    </row>
    <row r="143" ht="15.75" customHeight="1">
      <c r="A143" s="39"/>
    </row>
    <row r="144" ht="15.75" customHeight="1">
      <c r="A144" s="39"/>
    </row>
    <row r="145" ht="15.75" customHeight="1">
      <c r="A145" s="39"/>
    </row>
    <row r="146" ht="15.75" customHeight="1">
      <c r="A146" s="39"/>
    </row>
    <row r="147" ht="15.75" customHeight="1">
      <c r="A147" s="39"/>
    </row>
    <row r="148" ht="15.75" customHeight="1">
      <c r="A148" s="39"/>
    </row>
    <row r="149" ht="15.75" customHeight="1">
      <c r="A149" s="39"/>
    </row>
    <row r="150" ht="15.75" customHeight="1">
      <c r="A150" s="39"/>
    </row>
    <row r="151" ht="15.75" customHeight="1">
      <c r="A151" s="39"/>
    </row>
    <row r="152" ht="15.75" customHeight="1">
      <c r="A152" s="39"/>
    </row>
    <row r="153" ht="15.75" customHeight="1">
      <c r="A153" s="39"/>
    </row>
    <row r="154" ht="15.75" customHeight="1">
      <c r="A154" s="39"/>
    </row>
    <row r="155" ht="15.75" customHeight="1">
      <c r="A155" s="39"/>
    </row>
    <row r="156" ht="15.75" customHeight="1">
      <c r="A156" s="39"/>
    </row>
    <row r="157" ht="15.75" customHeight="1">
      <c r="A157" s="39"/>
    </row>
    <row r="158" ht="15.75" customHeight="1">
      <c r="A158" s="39"/>
    </row>
    <row r="159" ht="15.75" customHeight="1">
      <c r="A159" s="39"/>
    </row>
    <row r="160" ht="15.75" customHeight="1">
      <c r="A160" s="39"/>
    </row>
    <row r="161" ht="15.75" customHeight="1">
      <c r="A161" s="39"/>
    </row>
    <row r="162" ht="15.75" customHeight="1">
      <c r="A162" s="39"/>
    </row>
    <row r="163" ht="15.75" customHeight="1">
      <c r="A163" s="39"/>
    </row>
    <row r="164" ht="15.75" customHeight="1">
      <c r="A164" s="39"/>
    </row>
    <row r="165" ht="15.75" customHeight="1">
      <c r="A165" s="39"/>
    </row>
    <row r="166" ht="15.75" customHeight="1">
      <c r="A166" s="39"/>
    </row>
    <row r="167" ht="15.75" customHeight="1">
      <c r="A167" s="39"/>
    </row>
    <row r="168" ht="15.75" customHeight="1">
      <c r="A168" s="39"/>
    </row>
    <row r="169" ht="15.75" customHeight="1">
      <c r="A169" s="39"/>
    </row>
    <row r="170" ht="15.75" customHeight="1">
      <c r="A170" s="39"/>
    </row>
    <row r="171" ht="15.75" customHeight="1">
      <c r="A171" s="39"/>
    </row>
    <row r="172" ht="15.75" customHeight="1">
      <c r="A172" s="39"/>
    </row>
    <row r="173" ht="15.75" customHeight="1">
      <c r="A173" s="39"/>
    </row>
    <row r="174" ht="15.75" customHeight="1">
      <c r="A174" s="39"/>
    </row>
    <row r="175" ht="15.75" customHeight="1">
      <c r="A175" s="39"/>
    </row>
    <row r="176" ht="15.75" customHeight="1">
      <c r="A176" s="39"/>
    </row>
    <row r="177" ht="15.75" customHeight="1">
      <c r="A177" s="39"/>
    </row>
    <row r="178" ht="15.75" customHeight="1">
      <c r="A178" s="39"/>
    </row>
    <row r="179" ht="15.75" customHeight="1">
      <c r="A179" s="39"/>
    </row>
    <row r="180" ht="15.75" customHeight="1">
      <c r="A180" s="39"/>
    </row>
    <row r="181" ht="15.75" customHeight="1">
      <c r="A181" s="39"/>
    </row>
    <row r="182" ht="15.75" customHeight="1">
      <c r="A182" s="39"/>
    </row>
    <row r="183" ht="15.75" customHeight="1">
      <c r="A183" s="39"/>
    </row>
    <row r="184" ht="15.75" customHeight="1">
      <c r="A184" s="39"/>
    </row>
    <row r="185" ht="15.75" customHeight="1">
      <c r="A185" s="39"/>
    </row>
    <row r="186" ht="15.75" customHeight="1">
      <c r="A186" s="39"/>
    </row>
    <row r="187" ht="15.75" customHeight="1">
      <c r="A187" s="39"/>
    </row>
    <row r="188" ht="15.75" customHeight="1">
      <c r="A188" s="39"/>
    </row>
    <row r="189" ht="15.75" customHeight="1">
      <c r="A189" s="39"/>
    </row>
    <row r="190" ht="15.75" customHeight="1">
      <c r="A190" s="39"/>
    </row>
    <row r="191" ht="15.75" customHeight="1">
      <c r="A191" s="39"/>
    </row>
    <row r="192" ht="15.75" customHeight="1">
      <c r="A192" s="39"/>
    </row>
    <row r="193" ht="15.75" customHeight="1">
      <c r="A193" s="39"/>
    </row>
    <row r="194" ht="15.75" customHeight="1">
      <c r="A194" s="39"/>
    </row>
    <row r="195" ht="15.75" customHeight="1">
      <c r="A195" s="39"/>
    </row>
    <row r="196" ht="15.75" customHeight="1">
      <c r="A196" s="39"/>
    </row>
    <row r="197" ht="15.75" customHeight="1">
      <c r="A197" s="39"/>
    </row>
    <row r="198" ht="15.75" customHeight="1">
      <c r="A198" s="39"/>
    </row>
    <row r="199" ht="15.75" customHeight="1">
      <c r="A199" s="39"/>
    </row>
    <row r="200" ht="15.75" customHeight="1">
      <c r="A200" s="39"/>
    </row>
    <row r="201" ht="15.75" customHeight="1">
      <c r="A201" s="39"/>
    </row>
    <row r="202" ht="15.75" customHeight="1">
      <c r="A202" s="39"/>
    </row>
    <row r="203" ht="15.75" customHeight="1">
      <c r="A203" s="39"/>
    </row>
    <row r="204" ht="15.75" customHeight="1">
      <c r="A204" s="39"/>
    </row>
    <row r="205" ht="15.75" customHeight="1">
      <c r="A205" s="39"/>
    </row>
    <row r="206" ht="15.75" customHeight="1">
      <c r="A206" s="39"/>
    </row>
    <row r="207" ht="15.75" customHeight="1">
      <c r="A207" s="39"/>
    </row>
    <row r="208" ht="15.75" customHeight="1">
      <c r="A208" s="39"/>
    </row>
    <row r="209" ht="15.75" customHeight="1">
      <c r="A209" s="39"/>
    </row>
    <row r="210" ht="15.75" customHeight="1">
      <c r="A210" s="39"/>
    </row>
    <row r="211" ht="15.75" customHeight="1">
      <c r="A211" s="39"/>
    </row>
    <row r="212" ht="15.75" customHeight="1">
      <c r="A212" s="39"/>
    </row>
    <row r="213" ht="15.75" customHeight="1">
      <c r="A213" s="39"/>
    </row>
    <row r="214" ht="15.75" customHeight="1">
      <c r="A214" s="39"/>
    </row>
    <row r="215" ht="15.75" customHeight="1">
      <c r="A215" s="39"/>
    </row>
    <row r="216" ht="15.75" customHeight="1">
      <c r="A216" s="39"/>
    </row>
    <row r="217" ht="15.75" customHeight="1">
      <c r="A217" s="39"/>
    </row>
    <row r="218" ht="15.75" customHeight="1">
      <c r="A218" s="39"/>
    </row>
    <row r="219" ht="15.75" customHeight="1">
      <c r="A219" s="39"/>
    </row>
    <row r="220" ht="15.75" customHeight="1">
      <c r="A220" s="3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27" width="14.38"/>
  </cols>
  <sheetData>
    <row r="1" ht="15.75" customHeight="1">
      <c r="A1" s="4"/>
      <c r="B1" s="4" t="s">
        <v>0</v>
      </c>
      <c r="C1" s="4" t="s">
        <v>1</v>
      </c>
      <c r="D1" s="4" t="s">
        <v>2</v>
      </c>
      <c r="E1" s="4" t="s">
        <v>3</v>
      </c>
      <c r="F1" s="4" t="s">
        <v>4</v>
      </c>
      <c r="G1" s="4"/>
      <c r="H1" s="4" t="s">
        <v>5</v>
      </c>
      <c r="I1" s="4" t="s">
        <v>1651</v>
      </c>
      <c r="J1" s="4"/>
      <c r="K1" s="4"/>
      <c r="L1" s="4"/>
      <c r="M1" s="4"/>
      <c r="N1" s="4"/>
      <c r="O1" s="4"/>
      <c r="P1" s="4"/>
      <c r="Q1" s="4"/>
      <c r="R1" s="4"/>
      <c r="S1" s="4"/>
      <c r="T1" s="4"/>
      <c r="U1" s="4"/>
      <c r="V1" s="4"/>
      <c r="W1" s="4"/>
      <c r="X1" s="4"/>
      <c r="Y1" s="4"/>
      <c r="Z1" s="4"/>
      <c r="AA1" s="4"/>
    </row>
    <row r="2" ht="15.75" customHeight="1">
      <c r="A2" s="6">
        <v>1.0</v>
      </c>
      <c r="B2" s="170">
        <v>43412.0</v>
      </c>
      <c r="C2" s="171" t="s">
        <v>5915</v>
      </c>
      <c r="D2" s="171" t="s">
        <v>5916</v>
      </c>
      <c r="E2" s="171">
        <v>6.596873322E9</v>
      </c>
      <c r="F2" s="171"/>
      <c r="G2" s="171"/>
      <c r="H2" s="171" t="s">
        <v>5917</v>
      </c>
      <c r="I2" s="171"/>
      <c r="K2" s="151"/>
      <c r="L2" s="151"/>
      <c r="M2" s="151"/>
    </row>
    <row r="3" ht="15.75" customHeight="1">
      <c r="A3" s="6">
        <v>2.0</v>
      </c>
      <c r="B3" s="155">
        <v>43412.0</v>
      </c>
      <c r="C3" s="6" t="s">
        <v>5918</v>
      </c>
      <c r="D3" s="6" t="s">
        <v>5919</v>
      </c>
      <c r="E3" s="6">
        <v>6.583216538E9</v>
      </c>
      <c r="H3" s="6" t="s">
        <v>5917</v>
      </c>
      <c r="K3" s="151"/>
      <c r="L3" s="151"/>
      <c r="M3" s="151"/>
    </row>
    <row r="4" ht="15.75" customHeight="1">
      <c r="A4" s="6">
        <v>3.0</v>
      </c>
      <c r="B4" s="155">
        <v>43412.0</v>
      </c>
      <c r="C4" s="6" t="s">
        <v>5920</v>
      </c>
      <c r="D4" s="6" t="s">
        <v>5921</v>
      </c>
      <c r="E4" s="172">
        <v>6.596562165E9</v>
      </c>
      <c r="H4" s="6" t="s">
        <v>5917</v>
      </c>
    </row>
    <row r="5" ht="15.75" customHeight="1">
      <c r="A5" s="6">
        <v>4.0</v>
      </c>
      <c r="B5" s="155">
        <v>43412.0</v>
      </c>
      <c r="C5" s="6" t="s">
        <v>5922</v>
      </c>
      <c r="D5" s="6" t="s">
        <v>5923</v>
      </c>
      <c r="E5" s="173">
        <f>+6597117810</f>
        <v>6597117810</v>
      </c>
      <c r="H5" s="6" t="s">
        <v>5917</v>
      </c>
    </row>
    <row r="6" ht="15.75" customHeight="1">
      <c r="A6" s="6">
        <v>5.0</v>
      </c>
      <c r="B6" s="155">
        <v>43413.0</v>
      </c>
      <c r="C6" s="6" t="s">
        <v>5924</v>
      </c>
      <c r="D6" s="6" t="s">
        <v>5925</v>
      </c>
      <c r="E6" s="174">
        <f>+6583114818</f>
        <v>6583114818</v>
      </c>
      <c r="H6" s="6" t="s">
        <v>5917</v>
      </c>
    </row>
    <row r="7" ht="15.75" customHeight="1">
      <c r="A7" s="6">
        <v>6.0</v>
      </c>
      <c r="B7" s="155">
        <v>43413.0</v>
      </c>
      <c r="C7" s="6" t="s">
        <v>5926</v>
      </c>
      <c r="D7" s="6" t="s">
        <v>5927</v>
      </c>
      <c r="E7" s="174">
        <f>+6594309948</f>
        <v>6594309948</v>
      </c>
      <c r="H7" s="6" t="s">
        <v>5917</v>
      </c>
    </row>
    <row r="8" ht="15.75" customHeight="1">
      <c r="A8" s="6">
        <v>7.0</v>
      </c>
      <c r="B8" s="155">
        <v>43413.0</v>
      </c>
      <c r="C8" s="6" t="s">
        <v>5928</v>
      </c>
      <c r="D8" s="6" t="s">
        <v>5929</v>
      </c>
      <c r="E8" s="174">
        <f>+6585009546</f>
        <v>6585009546</v>
      </c>
      <c r="H8" s="6" t="s">
        <v>5917</v>
      </c>
    </row>
    <row r="9" ht="15.75" customHeight="1">
      <c r="A9" s="6">
        <v>8.0</v>
      </c>
      <c r="B9" s="150">
        <v>43414.0</v>
      </c>
      <c r="C9" s="6" t="s">
        <v>5930</v>
      </c>
      <c r="D9" s="6" t="s">
        <v>5931</v>
      </c>
      <c r="E9" s="174">
        <f>+6593802206</f>
        <v>6593802206</v>
      </c>
      <c r="H9" s="6" t="s">
        <v>5917</v>
      </c>
    </row>
    <row r="10" ht="15.75" customHeight="1">
      <c r="A10" s="6">
        <v>9.0</v>
      </c>
      <c r="B10" s="150">
        <v>43414.0</v>
      </c>
      <c r="C10" s="6" t="s">
        <v>5932</v>
      </c>
      <c r="D10" s="6" t="s">
        <v>5933</v>
      </c>
      <c r="E10" s="173">
        <f>+6581113522</f>
        <v>6581113522</v>
      </c>
      <c r="H10" s="6" t="s">
        <v>5917</v>
      </c>
    </row>
    <row r="11" ht="15.75" customHeight="1">
      <c r="A11" s="6">
        <v>10.0</v>
      </c>
      <c r="B11" s="150">
        <v>43414.0</v>
      </c>
      <c r="C11" s="6" t="s">
        <v>5934</v>
      </c>
      <c r="D11" s="6" t="s">
        <v>5935</v>
      </c>
      <c r="E11" s="174">
        <f>+6585931787</f>
        <v>6585931787</v>
      </c>
      <c r="H11" s="6" t="s">
        <v>5917</v>
      </c>
    </row>
    <row r="12" ht="15.75" customHeight="1">
      <c r="A12" s="6">
        <v>11.0</v>
      </c>
      <c r="B12" s="150">
        <v>43414.0</v>
      </c>
      <c r="C12" s="6" t="s">
        <v>5936</v>
      </c>
      <c r="D12" s="6" t="s">
        <v>5937</v>
      </c>
      <c r="E12" s="174">
        <f>+6592287126</f>
        <v>6592287126</v>
      </c>
      <c r="H12" s="6" t="s">
        <v>5917</v>
      </c>
    </row>
    <row r="13" ht="15.75" customHeight="1">
      <c r="A13" s="6">
        <v>12.0</v>
      </c>
      <c r="B13" s="175">
        <v>43414.0</v>
      </c>
      <c r="C13" s="57" t="s">
        <v>5938</v>
      </c>
      <c r="D13" s="57" t="s">
        <v>5939</v>
      </c>
      <c r="E13" s="57">
        <f>6596374450</f>
        <v>6596374450</v>
      </c>
      <c r="F13" s="57"/>
      <c r="G13" s="57"/>
      <c r="H13" s="57" t="s">
        <v>5917</v>
      </c>
      <c r="I13" s="57"/>
    </row>
    <row r="14" ht="15.75" customHeight="1">
      <c r="A14" s="6">
        <v>13.0</v>
      </c>
      <c r="B14" s="150">
        <v>43414.0</v>
      </c>
      <c r="C14" s="6" t="s">
        <v>5940</v>
      </c>
      <c r="D14" s="6" t="s">
        <v>5941</v>
      </c>
      <c r="E14" s="174">
        <f>+6598164420</f>
        <v>6598164420</v>
      </c>
      <c r="H14" s="6" t="s">
        <v>5917</v>
      </c>
    </row>
    <row r="15" ht="15.75" customHeight="1">
      <c r="A15" s="6">
        <v>14.0</v>
      </c>
      <c r="B15" s="150">
        <v>43414.0</v>
      </c>
      <c r="C15" s="6" t="s">
        <v>5942</v>
      </c>
      <c r="D15" s="6" t="s">
        <v>5943</v>
      </c>
      <c r="E15" s="174">
        <f>+6594245418</f>
        <v>6594245418</v>
      </c>
      <c r="H15" s="6" t="s">
        <v>5917</v>
      </c>
    </row>
    <row r="16" ht="15.75" customHeight="1">
      <c r="A16" s="6">
        <v>15.0</v>
      </c>
      <c r="B16" s="150">
        <v>43415.0</v>
      </c>
      <c r="C16" s="6" t="s">
        <v>5944</v>
      </c>
      <c r="D16" s="6" t="s">
        <v>5945</v>
      </c>
      <c r="E16" s="174">
        <f>+6585418439</f>
        <v>6585418439</v>
      </c>
      <c r="H16" s="6" t="s">
        <v>5917</v>
      </c>
    </row>
    <row r="17" ht="15.75" customHeight="1">
      <c r="A17" s="6">
        <v>16.0</v>
      </c>
      <c r="B17" s="150">
        <v>43415.0</v>
      </c>
      <c r="C17" s="6" t="s">
        <v>5946</v>
      </c>
      <c r="D17" s="6" t="s">
        <v>5947</v>
      </c>
      <c r="E17" s="174">
        <f>+6590606193</f>
        <v>6590606193</v>
      </c>
      <c r="H17" s="6" t="s">
        <v>5917</v>
      </c>
    </row>
    <row r="18" ht="15.75" customHeight="1">
      <c r="A18" s="6">
        <v>17.0</v>
      </c>
      <c r="B18" s="150">
        <v>43415.0</v>
      </c>
      <c r="C18" s="6" t="s">
        <v>5948</v>
      </c>
      <c r="D18" s="6" t="s">
        <v>5949</v>
      </c>
      <c r="E18" s="174">
        <f>+6596449088</f>
        <v>6596449088</v>
      </c>
      <c r="H18" s="6" t="s">
        <v>5917</v>
      </c>
    </row>
    <row r="19" ht="15.75" customHeight="1">
      <c r="A19" s="6">
        <v>18.0</v>
      </c>
      <c r="B19" s="150">
        <v>43415.0</v>
      </c>
      <c r="C19" s="6" t="s">
        <v>5950</v>
      </c>
      <c r="D19" s="6" t="s">
        <v>5951</v>
      </c>
      <c r="E19" s="174">
        <f>+6596606453</f>
        <v>6596606453</v>
      </c>
      <c r="H19" s="6" t="s">
        <v>5917</v>
      </c>
    </row>
    <row r="20" ht="15.75" customHeight="1">
      <c r="A20" s="6">
        <v>19.0</v>
      </c>
      <c r="B20" s="150">
        <v>43415.0</v>
      </c>
      <c r="C20" s="6" t="s">
        <v>5952</v>
      </c>
      <c r="D20" s="6" t="s">
        <v>5953</v>
      </c>
      <c r="E20" s="174">
        <f>+6598794479</f>
        <v>6598794479</v>
      </c>
      <c r="H20" s="6" t="s">
        <v>5917</v>
      </c>
    </row>
    <row r="21" ht="15.75" customHeight="1">
      <c r="A21" s="6">
        <v>20.0</v>
      </c>
      <c r="B21" s="150">
        <v>43415.0</v>
      </c>
      <c r="C21" s="6" t="s">
        <v>5954</v>
      </c>
      <c r="D21" s="6" t="s">
        <v>5955</v>
      </c>
      <c r="E21" s="174">
        <f>+6591802759</f>
        <v>6591802759</v>
      </c>
      <c r="H21" s="6" t="s">
        <v>5917</v>
      </c>
    </row>
    <row r="22" ht="15.75" customHeight="1">
      <c r="A22" s="6">
        <v>21.0</v>
      </c>
      <c r="B22" s="150">
        <v>43415.0</v>
      </c>
      <c r="C22" s="6" t="s">
        <v>5956</v>
      </c>
      <c r="D22" s="6" t="s">
        <v>5957</v>
      </c>
      <c r="E22" s="174">
        <f>+6587428940</f>
        <v>6587428940</v>
      </c>
      <c r="H22" s="6" t="s">
        <v>5917</v>
      </c>
    </row>
    <row r="23" ht="15.75" customHeight="1">
      <c r="A23" s="6">
        <v>22.0</v>
      </c>
      <c r="B23" s="150">
        <v>43415.0</v>
      </c>
      <c r="C23" s="6" t="s">
        <v>5958</v>
      </c>
      <c r="D23" s="6" t="s">
        <v>5959</v>
      </c>
      <c r="E23" s="174">
        <f>+6581421868</f>
        <v>6581421868</v>
      </c>
      <c r="H23" s="6" t="s">
        <v>5917</v>
      </c>
    </row>
    <row r="24" ht="15.75" customHeight="1">
      <c r="A24" s="6">
        <v>23.0</v>
      </c>
      <c r="B24" s="150">
        <v>43415.0</v>
      </c>
      <c r="C24" s="6" t="s">
        <v>5960</v>
      </c>
      <c r="D24" s="6" t="s">
        <v>5961</v>
      </c>
      <c r="E24" s="174">
        <f>+6590570166</f>
        <v>6590570166</v>
      </c>
      <c r="H24" s="6" t="s">
        <v>5917</v>
      </c>
    </row>
    <row r="25" ht="15.75" customHeight="1">
      <c r="A25" s="6">
        <v>24.0</v>
      </c>
      <c r="B25" s="150">
        <v>43416.0</v>
      </c>
      <c r="C25" s="6" t="s">
        <v>5962</v>
      </c>
      <c r="D25" s="6" t="s">
        <v>5963</v>
      </c>
      <c r="E25" s="9">
        <f>+6593283107</f>
        <v>6593283107</v>
      </c>
      <c r="H25" s="6" t="s">
        <v>5917</v>
      </c>
      <c r="X25" s="6" t="s">
        <v>1459</v>
      </c>
    </row>
    <row r="26" ht="15.75" customHeight="1">
      <c r="A26" s="6">
        <v>25.0</v>
      </c>
      <c r="B26" s="150">
        <v>43416.0</v>
      </c>
      <c r="C26" s="6" t="s">
        <v>5964</v>
      </c>
      <c r="D26" s="6" t="s">
        <v>5965</v>
      </c>
      <c r="E26" s="9">
        <f>+6582068066</f>
        <v>6582068066</v>
      </c>
      <c r="H26" s="6" t="s">
        <v>5917</v>
      </c>
    </row>
    <row r="27" ht="15.75" customHeight="1">
      <c r="A27" s="6">
        <v>26.0</v>
      </c>
      <c r="B27" s="150">
        <v>43416.0</v>
      </c>
      <c r="C27" s="6" t="s">
        <v>5966</v>
      </c>
      <c r="D27" s="6" t="s">
        <v>5967</v>
      </c>
      <c r="E27" s="9">
        <f>+6590893998</f>
        <v>6590893998</v>
      </c>
      <c r="H27" s="6" t="s">
        <v>5917</v>
      </c>
    </row>
    <row r="28" ht="15.75" customHeight="1">
      <c r="A28" s="57">
        <v>27.0</v>
      </c>
      <c r="B28" s="175">
        <v>43416.0</v>
      </c>
      <c r="C28" s="57" t="s">
        <v>5968</v>
      </c>
      <c r="D28" s="57" t="s">
        <v>958</v>
      </c>
      <c r="E28" s="176">
        <f>+6596930120</f>
        <v>6596930120</v>
      </c>
      <c r="F28" s="57"/>
      <c r="G28" s="57"/>
      <c r="H28" s="57" t="s">
        <v>5917</v>
      </c>
      <c r="I28" s="57"/>
    </row>
    <row r="29" ht="15.75" customHeight="1">
      <c r="A29" s="57">
        <v>28.0</v>
      </c>
      <c r="B29" s="175">
        <v>43416.0</v>
      </c>
      <c r="C29" s="57" t="s">
        <v>5969</v>
      </c>
      <c r="D29" s="57" t="s">
        <v>5970</v>
      </c>
      <c r="E29" s="176">
        <f>+6591799832</f>
        <v>6591799832</v>
      </c>
      <c r="F29" s="57"/>
      <c r="G29" s="57"/>
      <c r="H29" s="57" t="s">
        <v>5917</v>
      </c>
      <c r="I29" s="57"/>
    </row>
    <row r="30" ht="15.75" customHeight="1">
      <c r="A30" s="6">
        <v>29.0</v>
      </c>
      <c r="B30" s="150">
        <v>43416.0</v>
      </c>
      <c r="C30" s="6" t="s">
        <v>5971</v>
      </c>
      <c r="D30" s="6" t="s">
        <v>5972</v>
      </c>
      <c r="E30" s="9">
        <f>+6581630443</f>
        <v>6581630443</v>
      </c>
      <c r="H30" s="6" t="s">
        <v>5917</v>
      </c>
    </row>
    <row r="31" ht="15.75" customHeight="1">
      <c r="A31" s="6">
        <v>30.0</v>
      </c>
      <c r="B31" s="150">
        <v>43416.0</v>
      </c>
      <c r="C31" s="6" t="s">
        <v>5973</v>
      </c>
      <c r="D31" s="6" t="s">
        <v>5974</v>
      </c>
      <c r="H31" s="6" t="s">
        <v>5917</v>
      </c>
    </row>
    <row r="32" ht="15.75" customHeight="1">
      <c r="A32" s="6">
        <v>31.0</v>
      </c>
      <c r="B32" s="150">
        <v>43416.0</v>
      </c>
      <c r="C32" s="6" t="s">
        <v>5975</v>
      </c>
      <c r="D32" s="6" t="s">
        <v>5976</v>
      </c>
      <c r="E32" s="9">
        <f>+6587546530</f>
        <v>6587546530</v>
      </c>
      <c r="H32" s="6" t="s">
        <v>5917</v>
      </c>
    </row>
    <row r="33" ht="15.75" customHeight="1">
      <c r="A33" s="6">
        <v>32.0</v>
      </c>
      <c r="B33" s="150">
        <v>43416.0</v>
      </c>
      <c r="C33" s="6" t="s">
        <v>5977</v>
      </c>
      <c r="D33" s="6" t="s">
        <v>5978</v>
      </c>
      <c r="E33" s="9">
        <f>+6598516911</f>
        <v>6598516911</v>
      </c>
      <c r="H33" s="6" t="s">
        <v>5917</v>
      </c>
    </row>
    <row r="34" ht="15.75" customHeight="1">
      <c r="A34" s="6">
        <v>33.0</v>
      </c>
      <c r="B34" s="150">
        <v>43416.0</v>
      </c>
      <c r="C34" s="6" t="s">
        <v>5979</v>
      </c>
      <c r="D34" s="6" t="s">
        <v>5980</v>
      </c>
      <c r="E34" s="9">
        <f>+6582991621</f>
        <v>6582991621</v>
      </c>
      <c r="H34" s="6" t="s">
        <v>5917</v>
      </c>
      <c r="Q34" s="6">
        <v>1.0</v>
      </c>
    </row>
    <row r="35" ht="15.75" customHeight="1">
      <c r="A35" s="6">
        <v>34.0</v>
      </c>
      <c r="B35" s="150">
        <v>43416.0</v>
      </c>
      <c r="C35" s="6" t="s">
        <v>5981</v>
      </c>
      <c r="D35" s="9" t="s">
        <v>5982</v>
      </c>
      <c r="E35" s="9">
        <f>+6590118807</f>
        <v>6590118807</v>
      </c>
      <c r="H35" s="6" t="s">
        <v>5917</v>
      </c>
    </row>
    <row r="36" ht="15.75" customHeight="1">
      <c r="A36" s="6">
        <v>35.0</v>
      </c>
      <c r="B36" s="150">
        <v>43416.0</v>
      </c>
      <c r="C36" s="9" t="s">
        <v>5983</v>
      </c>
      <c r="D36" s="6" t="s">
        <v>5984</v>
      </c>
      <c r="E36" s="177" t="s">
        <v>5985</v>
      </c>
      <c r="H36" s="6" t="s">
        <v>5917</v>
      </c>
    </row>
    <row r="37" ht="15.75" customHeight="1">
      <c r="A37" s="6">
        <v>36.0</v>
      </c>
      <c r="B37" s="150">
        <v>43416.0</v>
      </c>
      <c r="C37" s="6" t="s">
        <v>5986</v>
      </c>
      <c r="D37" s="6" t="s">
        <v>925</v>
      </c>
      <c r="E37" s="9">
        <f>6587481320</f>
        <v>6587481320</v>
      </c>
      <c r="H37" s="6" t="s">
        <v>5917</v>
      </c>
    </row>
    <row r="38" ht="15.75" customHeight="1">
      <c r="A38" s="6">
        <v>37.0</v>
      </c>
      <c r="B38" s="150">
        <v>43416.0</v>
      </c>
      <c r="C38" s="6" t="s">
        <v>5987</v>
      </c>
      <c r="D38" s="6" t="s">
        <v>5988</v>
      </c>
      <c r="E38" s="9">
        <f>+6591267797</f>
        <v>6591267797</v>
      </c>
      <c r="H38" s="6" t="s">
        <v>5917</v>
      </c>
    </row>
    <row r="39" ht="15.75" customHeight="1">
      <c r="A39" s="6">
        <v>38.0</v>
      </c>
      <c r="B39" s="150">
        <v>43416.0</v>
      </c>
      <c r="C39" s="6" t="s">
        <v>5989</v>
      </c>
      <c r="D39" s="6" t="s">
        <v>5990</v>
      </c>
      <c r="E39" s="173">
        <f>+6591098299</f>
        <v>6591098299</v>
      </c>
      <c r="H39" s="6" t="s">
        <v>5917</v>
      </c>
    </row>
    <row r="40" ht="15.75" customHeight="1">
      <c r="A40" s="6">
        <v>39.0</v>
      </c>
      <c r="B40" s="150">
        <v>43416.0</v>
      </c>
      <c r="C40" s="6" t="s">
        <v>5991</v>
      </c>
      <c r="D40" s="6" t="s">
        <v>5992</v>
      </c>
      <c r="E40" s="173">
        <f>+6596511317</f>
        <v>6596511317</v>
      </c>
      <c r="H40" s="6" t="s">
        <v>5917</v>
      </c>
    </row>
    <row r="41" ht="15.75" customHeight="1">
      <c r="A41" s="6">
        <v>40.0</v>
      </c>
      <c r="B41" s="150">
        <v>43416.0</v>
      </c>
      <c r="C41" s="6" t="s">
        <v>5993</v>
      </c>
      <c r="D41" s="6" t="s">
        <v>5994</v>
      </c>
      <c r="E41" s="174">
        <f>+6598344534</f>
        <v>6598344534</v>
      </c>
      <c r="H41" s="6" t="s">
        <v>5917</v>
      </c>
    </row>
    <row r="42" ht="15.75" customHeight="1">
      <c r="A42" s="6">
        <v>41.0</v>
      </c>
      <c r="B42" s="150">
        <v>43416.0</v>
      </c>
      <c r="C42" s="6" t="s">
        <v>5995</v>
      </c>
      <c r="D42" s="6" t="s">
        <v>5996</v>
      </c>
      <c r="E42" s="173">
        <f>+6594244238</f>
        <v>6594244238</v>
      </c>
      <c r="H42" s="6" t="s">
        <v>5917</v>
      </c>
    </row>
    <row r="43" ht="15.75" customHeight="1">
      <c r="A43" s="57">
        <v>42.0</v>
      </c>
      <c r="B43" s="175">
        <v>43416.0</v>
      </c>
      <c r="C43" s="57" t="s">
        <v>5997</v>
      </c>
      <c r="D43" s="57" t="s">
        <v>5998</v>
      </c>
      <c r="E43" s="178">
        <f>+6596867527</f>
        <v>6596867527</v>
      </c>
      <c r="F43" s="57"/>
      <c r="G43" s="57"/>
      <c r="H43" s="57" t="s">
        <v>5917</v>
      </c>
      <c r="I43" s="57"/>
    </row>
    <row r="44" ht="15.75" customHeight="1">
      <c r="A44" s="6">
        <v>43.0</v>
      </c>
      <c r="B44" s="150">
        <v>43416.0</v>
      </c>
      <c r="C44" s="6" t="s">
        <v>5999</v>
      </c>
      <c r="D44" s="6" t="s">
        <v>6000</v>
      </c>
      <c r="E44" s="173">
        <f>+6593801873</f>
        <v>6593801873</v>
      </c>
      <c r="H44" s="6" t="s">
        <v>5917</v>
      </c>
    </row>
    <row r="45" ht="15.75" customHeight="1">
      <c r="A45" s="6">
        <v>44.0</v>
      </c>
      <c r="B45" s="150">
        <v>43416.0</v>
      </c>
      <c r="C45" s="6" t="s">
        <v>6001</v>
      </c>
      <c r="D45" s="6" t="s">
        <v>6002</v>
      </c>
      <c r="E45" s="174">
        <f>+6581011340</f>
        <v>6581011340</v>
      </c>
      <c r="H45" s="6" t="s">
        <v>5917</v>
      </c>
    </row>
    <row r="46" ht="15.75" customHeight="1">
      <c r="A46" s="6">
        <v>45.0</v>
      </c>
      <c r="B46" s="150">
        <v>43416.0</v>
      </c>
      <c r="C46" s="6" t="s">
        <v>6003</v>
      </c>
      <c r="D46" s="6" t="s">
        <v>6004</v>
      </c>
      <c r="E46" s="174">
        <f>+6594301500</f>
        <v>6594301500</v>
      </c>
      <c r="H46" s="6" t="s">
        <v>5917</v>
      </c>
    </row>
    <row r="47" ht="15.75" customHeight="1">
      <c r="A47" s="6">
        <v>46.0</v>
      </c>
      <c r="B47" s="150">
        <v>43416.0</v>
      </c>
      <c r="C47" s="6" t="s">
        <v>6005</v>
      </c>
      <c r="D47" s="6" t="s">
        <v>6006</v>
      </c>
      <c r="E47" s="173">
        <f>+6583227253</f>
        <v>6583227253</v>
      </c>
      <c r="H47" s="6" t="s">
        <v>5917</v>
      </c>
    </row>
    <row r="48" ht="15.75" customHeight="1">
      <c r="A48" s="6">
        <v>47.0</v>
      </c>
      <c r="B48" s="150">
        <v>43417.0</v>
      </c>
      <c r="C48" s="6" t="s">
        <v>5993</v>
      </c>
      <c r="D48" s="6" t="s">
        <v>5994</v>
      </c>
      <c r="E48" s="173">
        <f>+6598344534</f>
        <v>6598344534</v>
      </c>
      <c r="H48" s="6" t="s">
        <v>5917</v>
      </c>
    </row>
    <row r="49" ht="15.75" customHeight="1">
      <c r="A49" s="6">
        <v>48.0</v>
      </c>
      <c r="B49" s="150">
        <v>43418.0</v>
      </c>
      <c r="C49" s="6" t="s">
        <v>6007</v>
      </c>
      <c r="D49" s="6" t="s">
        <v>6008</v>
      </c>
      <c r="E49" s="173">
        <f>+6586913534</f>
        <v>6586913534</v>
      </c>
      <c r="H49" s="6" t="s">
        <v>5917</v>
      </c>
    </row>
    <row r="50" ht="15.75" customHeight="1">
      <c r="A50" s="6">
        <v>49.0</v>
      </c>
      <c r="B50" s="150">
        <v>43418.0</v>
      </c>
      <c r="C50" s="6" t="s">
        <v>6009</v>
      </c>
      <c r="D50" s="6" t="s">
        <v>6010</v>
      </c>
      <c r="E50" s="173">
        <f>+6596862812</f>
        <v>6596862812</v>
      </c>
      <c r="H50" s="6" t="s">
        <v>5917</v>
      </c>
    </row>
    <row r="51" ht="15.75" customHeight="1">
      <c r="A51" s="6">
        <v>50.0</v>
      </c>
      <c r="B51" s="150">
        <v>43418.0</v>
      </c>
      <c r="C51" s="6" t="s">
        <v>6011</v>
      </c>
      <c r="D51" s="6" t="s">
        <v>6012</v>
      </c>
      <c r="E51" s="173">
        <f>+6594329143</f>
        <v>6594329143</v>
      </c>
      <c r="H51" s="6" t="s">
        <v>5917</v>
      </c>
    </row>
    <row r="52" ht="15.75" customHeight="1">
      <c r="A52" s="6">
        <v>1.0</v>
      </c>
      <c r="B52" s="175">
        <v>43418.0</v>
      </c>
      <c r="C52" s="179" t="s">
        <v>6013</v>
      </c>
      <c r="D52" s="180" t="s">
        <v>6014</v>
      </c>
      <c r="E52" s="180">
        <f>+6591598365</f>
        <v>6591598365</v>
      </c>
      <c r="F52" s="180" t="s">
        <v>263</v>
      </c>
      <c r="G52" s="180"/>
      <c r="H52" s="57" t="s">
        <v>6015</v>
      </c>
    </row>
    <row r="53" ht="15.75" customHeight="1">
      <c r="A53" s="6">
        <v>2.0</v>
      </c>
      <c r="B53" s="150">
        <v>43418.0</v>
      </c>
      <c r="C53" s="151" t="s">
        <v>6016</v>
      </c>
      <c r="D53" s="151" t="s">
        <v>6017</v>
      </c>
      <c r="E53" s="151">
        <f>+6586085681</f>
        <v>6586085681</v>
      </c>
      <c r="F53" s="151" t="s">
        <v>263</v>
      </c>
      <c r="G53" s="151"/>
      <c r="H53" s="6" t="s">
        <v>6015</v>
      </c>
    </row>
    <row r="54" ht="15.75" customHeight="1">
      <c r="A54" s="6">
        <v>3.0</v>
      </c>
      <c r="B54" s="150">
        <v>43418.0</v>
      </c>
      <c r="C54" s="151" t="s">
        <v>5926</v>
      </c>
      <c r="D54" s="151" t="s">
        <v>5927</v>
      </c>
      <c r="E54" s="151">
        <f>+6594309948</f>
        <v>6594309948</v>
      </c>
      <c r="F54" s="151" t="s">
        <v>263</v>
      </c>
      <c r="G54" s="151"/>
      <c r="H54" s="6" t="s">
        <v>6015</v>
      </c>
    </row>
    <row r="55" ht="15.75" customHeight="1">
      <c r="A55" s="6">
        <v>4.0</v>
      </c>
      <c r="B55" s="150">
        <v>43418.0</v>
      </c>
      <c r="C55" s="151" t="s">
        <v>6018</v>
      </c>
      <c r="D55" s="151" t="s">
        <v>6019</v>
      </c>
      <c r="E55" s="151">
        <f>+6588339970</f>
        <v>6588339970</v>
      </c>
      <c r="F55" s="151" t="s">
        <v>263</v>
      </c>
      <c r="G55" s="151"/>
      <c r="H55" s="6" t="s">
        <v>6015</v>
      </c>
    </row>
    <row r="56" ht="15.75" customHeight="1">
      <c r="A56" s="6">
        <v>5.0</v>
      </c>
      <c r="B56" s="150">
        <v>43418.0</v>
      </c>
      <c r="C56" s="151" t="s">
        <v>6020</v>
      </c>
      <c r="D56" s="151" t="s">
        <v>6021</v>
      </c>
      <c r="E56" s="151">
        <f>+6590613445</f>
        <v>6590613445</v>
      </c>
      <c r="F56" s="151" t="s">
        <v>263</v>
      </c>
      <c r="G56" s="151"/>
      <c r="H56" s="6" t="s">
        <v>6015</v>
      </c>
    </row>
    <row r="57" ht="15.75" customHeight="1">
      <c r="A57" s="57">
        <v>6.0</v>
      </c>
      <c r="B57" s="175">
        <v>43418.0</v>
      </c>
      <c r="C57" s="179" t="s">
        <v>6022</v>
      </c>
      <c r="D57" s="180" t="s">
        <v>6023</v>
      </c>
      <c r="E57" s="180">
        <f>+6593389319</f>
        <v>6593389319</v>
      </c>
      <c r="F57" s="180" t="s">
        <v>562</v>
      </c>
      <c r="G57" s="180"/>
      <c r="H57" s="57" t="s">
        <v>6015</v>
      </c>
      <c r="I57" s="57"/>
      <c r="J57" s="6" t="s">
        <v>993</v>
      </c>
    </row>
    <row r="58" ht="15.75" customHeight="1">
      <c r="A58" s="6">
        <v>7.0</v>
      </c>
      <c r="B58" s="150">
        <v>43419.0</v>
      </c>
      <c r="C58" s="181" t="s">
        <v>6024</v>
      </c>
      <c r="D58" s="164" t="s">
        <v>6025</v>
      </c>
      <c r="E58" s="164">
        <f>+6596687775</f>
        <v>6596687775</v>
      </c>
      <c r="F58" s="151" t="s">
        <v>263</v>
      </c>
      <c r="H58" s="6" t="s">
        <v>6015</v>
      </c>
      <c r="J58" s="6" t="s">
        <v>993</v>
      </c>
    </row>
    <row r="59" ht="15.75" customHeight="1">
      <c r="A59" s="6">
        <v>8.0</v>
      </c>
      <c r="B59" s="150">
        <v>43419.0</v>
      </c>
      <c r="C59" s="164" t="s">
        <v>6026</v>
      </c>
      <c r="D59" s="164" t="s">
        <v>6027</v>
      </c>
      <c r="E59" s="164">
        <f>+6586177851</f>
        <v>6586177851</v>
      </c>
      <c r="F59" s="151" t="s">
        <v>263</v>
      </c>
      <c r="H59" s="6" t="s">
        <v>6015</v>
      </c>
      <c r="J59" s="6" t="s">
        <v>993</v>
      </c>
    </row>
    <row r="60" ht="15.75" customHeight="1">
      <c r="A60" s="6">
        <v>9.0</v>
      </c>
      <c r="B60" s="150">
        <v>43419.0</v>
      </c>
      <c r="C60" s="164" t="s">
        <v>6028</v>
      </c>
      <c r="D60" s="164" t="s">
        <v>6029</v>
      </c>
      <c r="E60" s="164">
        <f>+65866482918</f>
        <v>65866482918</v>
      </c>
      <c r="F60" s="151" t="s">
        <v>263</v>
      </c>
      <c r="H60" s="6" t="s">
        <v>6015</v>
      </c>
      <c r="J60" s="6" t="s">
        <v>993</v>
      </c>
    </row>
    <row r="61" ht="15.75" customHeight="1">
      <c r="A61" s="6">
        <v>10.0</v>
      </c>
      <c r="B61" s="150">
        <v>43419.0</v>
      </c>
      <c r="C61" s="164" t="s">
        <v>6030</v>
      </c>
      <c r="D61" s="164" t="s">
        <v>6031</v>
      </c>
      <c r="E61" s="164">
        <f>+6594999299</f>
        <v>6594999299</v>
      </c>
      <c r="F61" s="151" t="s">
        <v>263</v>
      </c>
      <c r="H61" s="6" t="s">
        <v>6015</v>
      </c>
      <c r="J61" s="6" t="s">
        <v>993</v>
      </c>
    </row>
    <row r="62" ht="15.75" customHeight="1">
      <c r="A62" s="6">
        <v>11.0</v>
      </c>
      <c r="B62" s="150">
        <v>43419.0</v>
      </c>
      <c r="C62" s="164" t="s">
        <v>6032</v>
      </c>
      <c r="D62" s="164" t="s">
        <v>6033</v>
      </c>
      <c r="E62" s="164">
        <f>+6591397178</f>
        <v>6591397178</v>
      </c>
      <c r="F62" s="151" t="s">
        <v>263</v>
      </c>
      <c r="H62" s="6" t="s">
        <v>6015</v>
      </c>
      <c r="J62" s="6" t="s">
        <v>993</v>
      </c>
    </row>
    <row r="63" ht="15.75" customHeight="1">
      <c r="A63" s="6">
        <v>12.0</v>
      </c>
      <c r="B63" s="150">
        <v>43419.0</v>
      </c>
      <c r="C63" s="164" t="s">
        <v>6034</v>
      </c>
      <c r="D63" s="164" t="s">
        <v>6035</v>
      </c>
      <c r="E63" s="164">
        <f>+6587000773</f>
        <v>6587000773</v>
      </c>
      <c r="F63" s="151" t="s">
        <v>263</v>
      </c>
      <c r="H63" s="6" t="s">
        <v>6015</v>
      </c>
      <c r="J63" s="6" t="s">
        <v>993</v>
      </c>
    </row>
    <row r="64" ht="15.75" customHeight="1">
      <c r="A64" s="171">
        <v>13.0</v>
      </c>
      <c r="B64" s="182">
        <v>43419.0</v>
      </c>
      <c r="C64" s="183" t="s">
        <v>6036</v>
      </c>
      <c r="D64" s="183" t="s">
        <v>6037</v>
      </c>
      <c r="E64" s="183">
        <f>+6597274941</f>
        <v>6597274941</v>
      </c>
      <c r="F64" s="183" t="s">
        <v>263</v>
      </c>
      <c r="G64" s="171"/>
      <c r="H64" s="171" t="s">
        <v>6015</v>
      </c>
      <c r="I64" s="171"/>
      <c r="J64" s="171" t="s">
        <v>993</v>
      </c>
    </row>
    <row r="65" ht="15.75" customHeight="1">
      <c r="A65" s="6">
        <v>14.0</v>
      </c>
      <c r="B65" s="150">
        <v>43419.0</v>
      </c>
      <c r="C65" s="164" t="s">
        <v>6038</v>
      </c>
      <c r="D65" s="164" t="s">
        <v>6039</v>
      </c>
      <c r="E65" s="164">
        <f>+8801678100119</f>
        <v>8801678100119</v>
      </c>
      <c r="F65" s="151" t="s">
        <v>263</v>
      </c>
      <c r="H65" s="6" t="s">
        <v>6015</v>
      </c>
      <c r="J65" s="6" t="s">
        <v>993</v>
      </c>
    </row>
    <row r="66" ht="15.75" customHeight="1">
      <c r="A66" s="6">
        <v>15.0</v>
      </c>
      <c r="B66" s="150">
        <v>43419.0</v>
      </c>
      <c r="C66" s="181" t="s">
        <v>6040</v>
      </c>
      <c r="D66" s="164" t="s">
        <v>6041</v>
      </c>
      <c r="E66" s="164">
        <f>+6591317436</f>
        <v>6591317436</v>
      </c>
      <c r="F66" s="151" t="s">
        <v>263</v>
      </c>
      <c r="H66" s="6" t="s">
        <v>6015</v>
      </c>
      <c r="J66" s="6" t="s">
        <v>993</v>
      </c>
    </row>
    <row r="67" ht="15.75" customHeight="1">
      <c r="A67" s="6">
        <v>51.0</v>
      </c>
      <c r="B67" s="150">
        <v>43419.0</v>
      </c>
      <c r="C67" s="6" t="s">
        <v>6042</v>
      </c>
      <c r="D67" s="6" t="s">
        <v>6043</v>
      </c>
      <c r="E67" s="184" t="s">
        <v>6044</v>
      </c>
      <c r="F67" s="151" t="s">
        <v>263</v>
      </c>
      <c r="H67" s="6" t="s">
        <v>5917</v>
      </c>
      <c r="J67" s="6" t="s">
        <v>993</v>
      </c>
    </row>
    <row r="68" ht="15.75" customHeight="1">
      <c r="A68" s="6">
        <v>52.0</v>
      </c>
      <c r="B68" s="150">
        <v>43419.0</v>
      </c>
      <c r="C68" s="6" t="s">
        <v>6045</v>
      </c>
      <c r="D68" s="6" t="s">
        <v>6046</v>
      </c>
      <c r="E68" s="174">
        <f>6590097566</f>
        <v>6590097566</v>
      </c>
      <c r="F68" s="151" t="s">
        <v>263</v>
      </c>
      <c r="H68" s="6" t="s">
        <v>5917</v>
      </c>
      <c r="J68" s="6" t="s">
        <v>993</v>
      </c>
    </row>
    <row r="69" ht="15.75" customHeight="1">
      <c r="A69" s="57">
        <v>53.0</v>
      </c>
      <c r="B69" s="175">
        <v>43419.0</v>
      </c>
      <c r="C69" s="57" t="s">
        <v>6047</v>
      </c>
      <c r="D69" s="57" t="s">
        <v>6048</v>
      </c>
      <c r="E69" s="57">
        <f>6596655179</f>
        <v>6596655179</v>
      </c>
      <c r="F69" s="180" t="s">
        <v>263</v>
      </c>
      <c r="G69" s="57"/>
      <c r="H69" s="57" t="s">
        <v>5917</v>
      </c>
      <c r="I69" s="57"/>
      <c r="J69" s="57" t="s">
        <v>993</v>
      </c>
    </row>
    <row r="70" ht="15.75" customHeight="1">
      <c r="A70" s="6">
        <v>54.0</v>
      </c>
      <c r="B70" s="150">
        <v>43419.0</v>
      </c>
      <c r="C70" s="6" t="s">
        <v>6049</v>
      </c>
      <c r="D70" s="6" t="s">
        <v>6050</v>
      </c>
      <c r="E70" s="174">
        <f>6594592654</f>
        <v>6594592654</v>
      </c>
      <c r="F70" s="151" t="s">
        <v>263</v>
      </c>
      <c r="H70" s="6" t="s">
        <v>5917</v>
      </c>
      <c r="J70" s="6" t="s">
        <v>993</v>
      </c>
    </row>
    <row r="71" ht="15.75" customHeight="1">
      <c r="A71" s="6">
        <v>55.0</v>
      </c>
      <c r="B71" s="150">
        <v>43419.0</v>
      </c>
      <c r="C71" s="6" t="s">
        <v>6051</v>
      </c>
      <c r="D71" s="6" t="s">
        <v>6052</v>
      </c>
      <c r="E71" s="174">
        <f>6596443456</f>
        <v>6596443456</v>
      </c>
      <c r="F71" s="151" t="s">
        <v>263</v>
      </c>
      <c r="H71" s="6" t="s">
        <v>5917</v>
      </c>
      <c r="J71" s="6" t="s">
        <v>993</v>
      </c>
    </row>
    <row r="72" ht="15.75" customHeight="1">
      <c r="A72" s="6">
        <v>56.0</v>
      </c>
      <c r="B72" s="150">
        <v>43419.0</v>
      </c>
      <c r="C72" s="6" t="s">
        <v>6053</v>
      </c>
      <c r="D72" s="6" t="s">
        <v>6054</v>
      </c>
      <c r="E72" s="174">
        <f>6591888607</f>
        <v>6591888607</v>
      </c>
      <c r="F72" s="151" t="s">
        <v>263</v>
      </c>
      <c r="H72" s="6" t="s">
        <v>5917</v>
      </c>
      <c r="J72" s="6" t="s">
        <v>993</v>
      </c>
    </row>
    <row r="73" ht="15.75" customHeight="1">
      <c r="A73" s="6">
        <v>57.0</v>
      </c>
      <c r="B73" s="150">
        <v>43419.0</v>
      </c>
      <c r="C73" s="6" t="s">
        <v>6055</v>
      </c>
      <c r="D73" s="6" t="s">
        <v>6056</v>
      </c>
      <c r="E73" s="174">
        <f>6598570443</f>
        <v>6598570443</v>
      </c>
      <c r="F73" s="151" t="s">
        <v>263</v>
      </c>
      <c r="H73" s="6" t="s">
        <v>5917</v>
      </c>
      <c r="J73" s="6" t="s">
        <v>993</v>
      </c>
    </row>
    <row r="74" ht="15.75" customHeight="1">
      <c r="A74" s="6">
        <v>58.0</v>
      </c>
      <c r="B74" s="150">
        <v>43419.0</v>
      </c>
      <c r="C74" s="6" t="s">
        <v>6057</v>
      </c>
      <c r="D74" s="6" t="s">
        <v>6058</v>
      </c>
      <c r="E74" s="174">
        <f>+6596456050</f>
        <v>6596456050</v>
      </c>
      <c r="F74" s="151" t="s">
        <v>263</v>
      </c>
      <c r="H74" s="6" t="s">
        <v>5917</v>
      </c>
      <c r="J74" s="6" t="s">
        <v>993</v>
      </c>
    </row>
    <row r="75" ht="15.75" customHeight="1">
      <c r="A75" s="6">
        <v>16.0</v>
      </c>
      <c r="B75" s="150">
        <v>43419.0</v>
      </c>
      <c r="C75" s="151" t="s">
        <v>5993</v>
      </c>
      <c r="D75" s="151" t="s">
        <v>5994</v>
      </c>
      <c r="E75" s="151">
        <f>+6598344534</f>
        <v>6598344534</v>
      </c>
      <c r="F75" s="151" t="s">
        <v>263</v>
      </c>
      <c r="H75" s="6" t="s">
        <v>6015</v>
      </c>
      <c r="J75" s="6" t="s">
        <v>993</v>
      </c>
    </row>
    <row r="76" ht="15.75" customHeight="1">
      <c r="A76" s="6">
        <v>17.0</v>
      </c>
      <c r="B76" s="150">
        <v>43419.0</v>
      </c>
      <c r="C76" s="151" t="s">
        <v>6059</v>
      </c>
      <c r="D76" s="151" t="s">
        <v>6060</v>
      </c>
      <c r="E76" s="151">
        <f>+6590037550</f>
        <v>6590037550</v>
      </c>
      <c r="F76" s="151" t="s">
        <v>263</v>
      </c>
      <c r="H76" s="6" t="s">
        <v>6015</v>
      </c>
      <c r="J76" s="6" t="s">
        <v>993</v>
      </c>
    </row>
    <row r="77" ht="15.75" customHeight="1">
      <c r="A77" s="6">
        <v>18.0</v>
      </c>
      <c r="B77" s="150">
        <v>43421.0</v>
      </c>
      <c r="C77" s="151" t="s">
        <v>6061</v>
      </c>
      <c r="D77" s="151" t="s">
        <v>6062</v>
      </c>
      <c r="E77" s="151">
        <f>+6597941883</f>
        <v>6597941883</v>
      </c>
      <c r="F77" s="151" t="s">
        <v>263</v>
      </c>
      <c r="H77" s="6" t="s">
        <v>6015</v>
      </c>
      <c r="J77" s="6" t="s">
        <v>993</v>
      </c>
      <c r="K77" s="151"/>
      <c r="L77" s="151"/>
      <c r="M77" s="151"/>
    </row>
    <row r="78" ht="15.75" customHeight="1">
      <c r="A78" s="6">
        <v>19.0</v>
      </c>
      <c r="B78" s="150">
        <v>43421.0</v>
      </c>
      <c r="C78" s="151" t="s">
        <v>6063</v>
      </c>
      <c r="D78" s="151" t="s">
        <v>6064</v>
      </c>
      <c r="E78" s="151">
        <f>+6586695681</f>
        <v>6586695681</v>
      </c>
      <c r="F78" s="151" t="s">
        <v>263</v>
      </c>
      <c r="H78" s="6" t="s">
        <v>6015</v>
      </c>
      <c r="J78" s="6" t="s">
        <v>993</v>
      </c>
    </row>
    <row r="79" ht="15.75" customHeight="1">
      <c r="A79" s="6">
        <v>20.0</v>
      </c>
      <c r="B79" s="150">
        <v>43421.0</v>
      </c>
      <c r="C79" s="151" t="s">
        <v>6065</v>
      </c>
      <c r="D79" s="151" t="s">
        <v>6066</v>
      </c>
      <c r="E79" s="151">
        <f>+6592996260</f>
        <v>6592996260</v>
      </c>
      <c r="F79" s="151" t="s">
        <v>263</v>
      </c>
      <c r="H79" s="6" t="s">
        <v>6015</v>
      </c>
      <c r="J79" s="6" t="s">
        <v>993</v>
      </c>
    </row>
    <row r="80" ht="15.75" customHeight="1">
      <c r="A80" s="6">
        <v>21.0</v>
      </c>
      <c r="B80" s="150">
        <v>43421.0</v>
      </c>
      <c r="C80" s="151" t="s">
        <v>6067</v>
      </c>
      <c r="D80" s="151" t="s">
        <v>6068</v>
      </c>
      <c r="E80" s="151">
        <f>+6585761305</f>
        <v>6585761305</v>
      </c>
      <c r="F80" s="151" t="s">
        <v>263</v>
      </c>
      <c r="H80" s="6" t="s">
        <v>6015</v>
      </c>
      <c r="J80" s="6" t="s">
        <v>993</v>
      </c>
    </row>
    <row r="81" ht="15.75" customHeight="1">
      <c r="A81" s="6">
        <v>22.0</v>
      </c>
      <c r="B81" s="150">
        <v>43421.0</v>
      </c>
      <c r="C81" s="151" t="s">
        <v>6069</v>
      </c>
      <c r="D81" s="151" t="s">
        <v>6070</v>
      </c>
      <c r="E81" s="151">
        <f>+6583183018</f>
        <v>6583183018</v>
      </c>
      <c r="F81" s="151" t="s">
        <v>263</v>
      </c>
      <c r="H81" s="6" t="s">
        <v>6015</v>
      </c>
      <c r="J81" s="6" t="s">
        <v>993</v>
      </c>
    </row>
    <row r="82" ht="15.75" customHeight="1">
      <c r="A82" s="6">
        <v>23.0</v>
      </c>
      <c r="B82" s="150">
        <v>43421.0</v>
      </c>
      <c r="C82" s="151" t="s">
        <v>6071</v>
      </c>
      <c r="D82" s="151" t="s">
        <v>6072</v>
      </c>
      <c r="E82" s="151">
        <f>+600125491341</f>
        <v>600125491341</v>
      </c>
      <c r="F82" s="151" t="s">
        <v>263</v>
      </c>
      <c r="H82" s="6" t="s">
        <v>6015</v>
      </c>
      <c r="J82" s="6" t="s">
        <v>993</v>
      </c>
    </row>
    <row r="83" ht="15.75" customHeight="1">
      <c r="A83" s="6">
        <v>24.0</v>
      </c>
      <c r="B83" s="150">
        <v>43421.0</v>
      </c>
      <c r="C83" s="151" t="s">
        <v>6073</v>
      </c>
      <c r="D83" s="151" t="s">
        <v>6074</v>
      </c>
      <c r="E83" s="151">
        <f>+6598533679</f>
        <v>6598533679</v>
      </c>
      <c r="F83" s="151" t="s">
        <v>263</v>
      </c>
      <c r="H83" s="6" t="s">
        <v>6015</v>
      </c>
      <c r="J83" s="6" t="s">
        <v>993</v>
      </c>
    </row>
    <row r="84" ht="15.75" customHeight="1">
      <c r="A84" s="6">
        <v>25.0</v>
      </c>
      <c r="B84" s="150">
        <v>43421.0</v>
      </c>
      <c r="C84" s="151" t="s">
        <v>6075</v>
      </c>
      <c r="D84" s="151" t="s">
        <v>6076</v>
      </c>
      <c r="E84" s="151">
        <f>+6591017062</f>
        <v>6591017062</v>
      </c>
      <c r="F84" s="151" t="s">
        <v>263</v>
      </c>
      <c r="H84" s="6" t="s">
        <v>6015</v>
      </c>
      <c r="J84" s="6" t="s">
        <v>993</v>
      </c>
    </row>
    <row r="85" ht="15.75" customHeight="1">
      <c r="A85" s="6">
        <v>26.0</v>
      </c>
      <c r="B85" s="150">
        <v>43421.0</v>
      </c>
      <c r="C85" s="151" t="s">
        <v>6077</v>
      </c>
      <c r="D85" s="151" t="s">
        <v>6078</v>
      </c>
      <c r="E85" s="151">
        <f>+6593696720</f>
        <v>6593696720</v>
      </c>
      <c r="F85" s="151" t="s">
        <v>263</v>
      </c>
      <c r="H85" s="6" t="s">
        <v>6015</v>
      </c>
      <c r="I85" s="185"/>
      <c r="J85" s="6" t="s">
        <v>993</v>
      </c>
    </row>
    <row r="86" ht="15.75" customHeight="1">
      <c r="A86" s="6">
        <v>27.0</v>
      </c>
      <c r="B86" s="150">
        <v>43421.0</v>
      </c>
      <c r="C86" s="151" t="s">
        <v>6079</v>
      </c>
      <c r="D86" s="151" t="s">
        <v>6080</v>
      </c>
      <c r="E86" s="151">
        <f>+6581682480</f>
        <v>6581682480</v>
      </c>
      <c r="F86" s="151" t="s">
        <v>263</v>
      </c>
      <c r="H86" s="6" t="s">
        <v>6015</v>
      </c>
      <c r="J86" s="6" t="s">
        <v>993</v>
      </c>
    </row>
    <row r="87" ht="15.75" customHeight="1">
      <c r="A87" s="186">
        <v>28.0</v>
      </c>
      <c r="B87" s="175">
        <v>43421.0</v>
      </c>
      <c r="C87" s="180" t="s">
        <v>6081</v>
      </c>
      <c r="D87" s="180" t="s">
        <v>6082</v>
      </c>
      <c r="E87" s="180">
        <f>+971556893301</f>
        <v>971556893301</v>
      </c>
      <c r="F87" s="180" t="s">
        <v>263</v>
      </c>
      <c r="G87" s="57"/>
      <c r="H87" s="57" t="s">
        <v>6015</v>
      </c>
      <c r="I87" s="57"/>
      <c r="J87" s="57" t="s">
        <v>993</v>
      </c>
    </row>
    <row r="88" ht="15.75" customHeight="1">
      <c r="A88" s="6">
        <v>59.0</v>
      </c>
      <c r="B88" s="150">
        <v>43421.0</v>
      </c>
      <c r="C88" s="6" t="s">
        <v>6083</v>
      </c>
      <c r="D88" s="6" t="s">
        <v>6084</v>
      </c>
      <c r="E88" s="9">
        <f>+6584884536</f>
        <v>6584884536</v>
      </c>
      <c r="F88" s="151" t="s">
        <v>263</v>
      </c>
      <c r="H88" s="6" t="s">
        <v>5917</v>
      </c>
      <c r="J88" s="6" t="s">
        <v>993</v>
      </c>
    </row>
    <row r="89" ht="15.75" customHeight="1">
      <c r="A89" s="6">
        <v>60.0</v>
      </c>
      <c r="B89" s="150">
        <v>43421.0</v>
      </c>
      <c r="C89" s="6" t="s">
        <v>6085</v>
      </c>
      <c r="D89" s="6" t="s">
        <v>6086</v>
      </c>
      <c r="E89" s="9">
        <f>+6591118719</f>
        <v>6591118719</v>
      </c>
      <c r="F89" s="151" t="s">
        <v>263</v>
      </c>
      <c r="H89" s="6" t="s">
        <v>5917</v>
      </c>
      <c r="J89" s="6" t="s">
        <v>993</v>
      </c>
    </row>
    <row r="90" ht="15.75" customHeight="1">
      <c r="A90" s="6">
        <v>61.0</v>
      </c>
      <c r="B90" s="150">
        <v>43421.0</v>
      </c>
      <c r="C90" s="6" t="s">
        <v>6087</v>
      </c>
      <c r="D90" s="6" t="s">
        <v>6088</v>
      </c>
      <c r="E90" s="9">
        <f>+6591111618</f>
        <v>6591111618</v>
      </c>
      <c r="F90" s="151" t="s">
        <v>263</v>
      </c>
      <c r="H90" s="6" t="s">
        <v>5917</v>
      </c>
      <c r="J90" s="6" t="s">
        <v>993</v>
      </c>
    </row>
    <row r="91" ht="15.75" customHeight="1">
      <c r="A91" s="6">
        <v>62.0</v>
      </c>
      <c r="B91" s="150">
        <v>43421.0</v>
      </c>
      <c r="C91" s="6" t="s">
        <v>6089</v>
      </c>
      <c r="D91" s="6" t="s">
        <v>6090</v>
      </c>
      <c r="E91" s="9">
        <f>+4691024445</f>
        <v>4691024445</v>
      </c>
      <c r="F91" s="151" t="s">
        <v>263</v>
      </c>
      <c r="H91" s="6" t="s">
        <v>5917</v>
      </c>
      <c r="J91" s="6" t="s">
        <v>993</v>
      </c>
    </row>
    <row r="92" ht="15.75" customHeight="1">
      <c r="A92" s="6">
        <v>63.0</v>
      </c>
      <c r="B92" s="150">
        <v>43421.0</v>
      </c>
      <c r="C92" s="6" t="s">
        <v>6091</v>
      </c>
      <c r="D92" s="6" t="s">
        <v>6092</v>
      </c>
      <c r="E92" s="9">
        <f>+6581291086</f>
        <v>6581291086</v>
      </c>
      <c r="F92" s="151" t="s">
        <v>263</v>
      </c>
      <c r="H92" s="6" t="s">
        <v>5917</v>
      </c>
      <c r="J92" s="6" t="s">
        <v>993</v>
      </c>
    </row>
    <row r="93" ht="15.75" customHeight="1">
      <c r="A93" s="6">
        <v>64.0</v>
      </c>
      <c r="B93" s="150">
        <v>43421.0</v>
      </c>
      <c r="C93" s="6" t="s">
        <v>6079</v>
      </c>
      <c r="D93" s="6" t="s">
        <v>6080</v>
      </c>
      <c r="E93" s="9">
        <f>+6581682480</f>
        <v>6581682480</v>
      </c>
      <c r="F93" s="151" t="s">
        <v>263</v>
      </c>
      <c r="H93" s="6" t="s">
        <v>5917</v>
      </c>
      <c r="J93" s="6" t="s">
        <v>993</v>
      </c>
    </row>
    <row r="94" ht="15.75" customHeight="1">
      <c r="A94" s="4">
        <v>65.0</v>
      </c>
      <c r="B94" s="187">
        <v>43421.0</v>
      </c>
      <c r="C94" s="108" t="s">
        <v>6061</v>
      </c>
      <c r="D94" s="108" t="s">
        <v>6062</v>
      </c>
      <c r="E94" s="108">
        <v>6.597941883E9</v>
      </c>
      <c r="F94" s="151" t="s">
        <v>263</v>
      </c>
      <c r="G94" s="108"/>
      <c r="H94" s="108" t="s">
        <v>5917</v>
      </c>
      <c r="I94" s="108"/>
      <c r="J94" s="6" t="s">
        <v>993</v>
      </c>
    </row>
    <row r="95" ht="15.75" customHeight="1">
      <c r="A95" s="6">
        <v>66.0</v>
      </c>
      <c r="B95" s="187">
        <v>43421.0</v>
      </c>
      <c r="C95" s="108" t="s">
        <v>6063</v>
      </c>
      <c r="D95" s="108" t="s">
        <v>6064</v>
      </c>
      <c r="E95" s="108">
        <v>6.586695681E9</v>
      </c>
      <c r="F95" s="151" t="s">
        <v>263</v>
      </c>
      <c r="G95" s="108"/>
      <c r="H95" s="108" t="s">
        <v>5917</v>
      </c>
      <c r="I95" s="108"/>
      <c r="J95" s="6" t="s">
        <v>993</v>
      </c>
    </row>
    <row r="96" ht="15.75" customHeight="1">
      <c r="A96" s="6">
        <v>67.0</v>
      </c>
      <c r="B96" s="187">
        <v>43421.0</v>
      </c>
      <c r="C96" s="108" t="s">
        <v>6065</v>
      </c>
      <c r="D96" s="108" t="s">
        <v>6066</v>
      </c>
      <c r="E96" s="108">
        <v>6.59299626E9</v>
      </c>
      <c r="F96" s="151" t="s">
        <v>263</v>
      </c>
      <c r="G96" s="108"/>
      <c r="H96" s="108" t="s">
        <v>5917</v>
      </c>
      <c r="I96" s="108"/>
      <c r="J96" s="6" t="s">
        <v>993</v>
      </c>
    </row>
    <row r="97" ht="15.75" customHeight="1">
      <c r="A97" s="6">
        <v>68.0</v>
      </c>
      <c r="B97" s="187">
        <v>43421.0</v>
      </c>
      <c r="C97" s="108" t="s">
        <v>6067</v>
      </c>
      <c r="D97" s="108" t="s">
        <v>6068</v>
      </c>
      <c r="E97" s="108">
        <v>6.585761305E9</v>
      </c>
      <c r="F97" s="151" t="s">
        <v>263</v>
      </c>
      <c r="G97" s="108"/>
      <c r="H97" s="108" t="s">
        <v>5917</v>
      </c>
      <c r="I97" s="108"/>
      <c r="J97" s="6" t="s">
        <v>993</v>
      </c>
    </row>
    <row r="98" ht="15.75" customHeight="1">
      <c r="A98" s="6">
        <v>69.0</v>
      </c>
      <c r="B98" s="187">
        <v>43421.0</v>
      </c>
      <c r="C98" s="108" t="s">
        <v>6069</v>
      </c>
      <c r="D98" s="108" t="s">
        <v>6070</v>
      </c>
      <c r="E98" s="108">
        <v>6.583183018E9</v>
      </c>
      <c r="F98" s="151" t="s">
        <v>263</v>
      </c>
      <c r="G98" s="108"/>
      <c r="H98" s="108" t="s">
        <v>5917</v>
      </c>
      <c r="I98" s="108"/>
      <c r="J98" s="6" t="s">
        <v>993</v>
      </c>
    </row>
    <row r="99" ht="15.75" customHeight="1">
      <c r="A99" s="6">
        <v>70.0</v>
      </c>
      <c r="B99" s="187">
        <v>43421.0</v>
      </c>
      <c r="C99" s="108" t="s">
        <v>6071</v>
      </c>
      <c r="D99" s="108" t="s">
        <v>6072</v>
      </c>
      <c r="E99" s="108">
        <v>6.00125491341E11</v>
      </c>
      <c r="F99" s="151" t="s">
        <v>263</v>
      </c>
      <c r="G99" s="108"/>
      <c r="H99" s="108" t="s">
        <v>5917</v>
      </c>
      <c r="I99" s="108"/>
      <c r="J99" s="6" t="s">
        <v>993</v>
      </c>
    </row>
    <row r="100" ht="15.75" customHeight="1">
      <c r="A100" s="6">
        <v>71.0</v>
      </c>
      <c r="B100" s="187">
        <v>43421.0</v>
      </c>
      <c r="C100" s="108" t="s">
        <v>6073</v>
      </c>
      <c r="D100" s="108" t="s">
        <v>6074</v>
      </c>
      <c r="E100" s="108">
        <v>6.598533679E9</v>
      </c>
      <c r="F100" s="151" t="s">
        <v>263</v>
      </c>
      <c r="G100" s="108"/>
      <c r="H100" s="108" t="s">
        <v>5917</v>
      </c>
      <c r="I100" s="108"/>
      <c r="J100" s="6" t="s">
        <v>993</v>
      </c>
    </row>
    <row r="101" ht="15.75" customHeight="1">
      <c r="A101" s="6">
        <v>72.0</v>
      </c>
      <c r="B101" s="187">
        <v>43421.0</v>
      </c>
      <c r="C101" s="108" t="s">
        <v>6075</v>
      </c>
      <c r="D101" s="108" t="s">
        <v>6076</v>
      </c>
      <c r="E101" s="108">
        <v>6.591017062E9</v>
      </c>
      <c r="F101" s="151" t="s">
        <v>263</v>
      </c>
      <c r="G101" s="108"/>
      <c r="H101" s="108" t="s">
        <v>5917</v>
      </c>
      <c r="I101" s="108"/>
      <c r="J101" s="6" t="s">
        <v>993</v>
      </c>
    </row>
    <row r="102" ht="15.75" customHeight="1">
      <c r="A102" s="6">
        <v>73.0</v>
      </c>
      <c r="B102" s="187">
        <v>43421.0</v>
      </c>
      <c r="C102" s="108" t="s">
        <v>6077</v>
      </c>
      <c r="D102" s="108" t="s">
        <v>6078</v>
      </c>
      <c r="E102" s="108">
        <v>6.59369672E9</v>
      </c>
      <c r="F102" s="151" t="s">
        <v>263</v>
      </c>
      <c r="G102" s="108"/>
      <c r="H102" s="108" t="s">
        <v>5917</v>
      </c>
      <c r="I102" s="108"/>
      <c r="J102" s="6" t="s">
        <v>993</v>
      </c>
    </row>
    <row r="103" ht="15.75" customHeight="1">
      <c r="A103" s="6">
        <v>74.0</v>
      </c>
      <c r="B103" s="187">
        <v>43421.0</v>
      </c>
      <c r="C103" s="108" t="s">
        <v>6079</v>
      </c>
      <c r="D103" s="108" t="s">
        <v>6080</v>
      </c>
      <c r="E103" s="108">
        <v>6.58168248E9</v>
      </c>
      <c r="F103" s="151" t="s">
        <v>263</v>
      </c>
      <c r="G103" s="108"/>
      <c r="H103" s="108" t="s">
        <v>5917</v>
      </c>
      <c r="I103" s="108"/>
      <c r="J103" s="6" t="s">
        <v>993</v>
      </c>
    </row>
    <row r="104" ht="15.75" customHeight="1">
      <c r="A104" s="57">
        <v>75.0</v>
      </c>
      <c r="B104" s="182">
        <v>43421.0</v>
      </c>
      <c r="C104" s="171" t="s">
        <v>6081</v>
      </c>
      <c r="D104" s="171" t="s">
        <v>6082</v>
      </c>
      <c r="E104" s="171">
        <v>9.71556893301E11</v>
      </c>
      <c r="F104" s="180" t="s">
        <v>263</v>
      </c>
      <c r="G104" s="171"/>
      <c r="H104" s="171" t="s">
        <v>5917</v>
      </c>
      <c r="I104" s="171"/>
      <c r="J104" s="57" t="s">
        <v>993</v>
      </c>
    </row>
    <row r="105" ht="15.75" customHeight="1">
      <c r="A105" s="6">
        <v>76.0</v>
      </c>
      <c r="B105" s="187">
        <v>43421.0</v>
      </c>
      <c r="C105" s="108" t="s">
        <v>6093</v>
      </c>
      <c r="D105" s="108" t="s">
        <v>6094</v>
      </c>
      <c r="E105" s="108">
        <f>6591461684</f>
        <v>6591461684</v>
      </c>
      <c r="F105" s="151" t="s">
        <v>263</v>
      </c>
      <c r="G105" s="108"/>
      <c r="H105" s="108" t="s">
        <v>5917</v>
      </c>
      <c r="I105" s="108"/>
      <c r="J105" s="6" t="s">
        <v>993</v>
      </c>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autoFilter ref="$C$1:$C$1008"/>
  <customSheetViews>
    <customSheetView guid="{A7FEB666-445D-48CC-9CDF-55921C2C9E74}" filter="1" showAutoFilter="1">
      <autoFilter ref="$A$1:$AA$109"/>
      <extLst>
        <ext uri="GoogleSheetsCustomDataVersion1">
          <go:sheetsCustomData xmlns:go="http://customooxmlschemas.google.com/" filterViewId="248806061"/>
        </ext>
      </extLst>
    </customSheetView>
    <customSheetView guid="{E3432889-4B8C-4A16-BA7C-BA7887E47210}" filter="1" showAutoFilter="1">
      <autoFilter ref="$D$1:$D$1008"/>
      <extLst>
        <ext uri="GoogleSheetsCustomDataVersion1">
          <go:sheetsCustomData xmlns:go="http://customooxmlschemas.google.com/" filterViewId="597343058"/>
        </ext>
      </extLst>
    </customSheetView>
  </customSheetView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7" width="14.38"/>
    <col customWidth="1" min="8" max="8" width="21.75"/>
    <col customWidth="1" min="9" max="9" width="38.25"/>
    <col customWidth="1" min="10" max="26" width="14.38"/>
  </cols>
  <sheetData>
    <row r="1" ht="15.75" customHeight="1">
      <c r="A1" s="42" t="s">
        <v>0</v>
      </c>
      <c r="B1" s="42" t="s">
        <v>1</v>
      </c>
      <c r="C1" s="188" t="s">
        <v>3</v>
      </c>
      <c r="D1" s="42"/>
      <c r="E1" s="42" t="s">
        <v>2</v>
      </c>
      <c r="F1" s="42"/>
      <c r="G1" s="42"/>
      <c r="H1" s="42" t="s">
        <v>5</v>
      </c>
      <c r="I1" s="42"/>
      <c r="J1" s="188" t="s">
        <v>6095</v>
      </c>
      <c r="K1" s="42"/>
      <c r="L1" s="42"/>
      <c r="M1" s="42"/>
      <c r="N1" s="42"/>
      <c r="O1" s="42"/>
      <c r="P1" s="42"/>
      <c r="Q1" s="42"/>
      <c r="R1" s="42"/>
      <c r="S1" s="42"/>
      <c r="T1" s="42"/>
      <c r="U1" s="42"/>
      <c r="V1" s="42"/>
      <c r="W1" s="42"/>
      <c r="X1" s="42"/>
      <c r="Y1" s="42"/>
    </row>
    <row r="2" ht="15.75" customHeight="1">
      <c r="A2" s="189">
        <v>43423.0</v>
      </c>
      <c r="B2" s="72" t="s">
        <v>6096</v>
      </c>
      <c r="C2" s="72">
        <v>2.348022908415E12</v>
      </c>
      <c r="D2" s="42"/>
      <c r="E2" s="190" t="s">
        <v>6097</v>
      </c>
      <c r="F2" s="42"/>
      <c r="G2" s="42"/>
      <c r="H2" s="20" t="s">
        <v>6098</v>
      </c>
      <c r="I2" s="42"/>
      <c r="J2" s="42" t="s">
        <v>1052</v>
      </c>
      <c r="K2" s="42"/>
      <c r="L2" s="42"/>
      <c r="M2" s="42"/>
      <c r="N2" s="42"/>
      <c r="O2" s="42"/>
      <c r="P2" s="42"/>
      <c r="Q2" s="42"/>
      <c r="R2" s="42"/>
      <c r="S2" s="42"/>
      <c r="T2" s="42"/>
      <c r="U2" s="42"/>
      <c r="V2" s="42"/>
      <c r="W2" s="42"/>
      <c r="X2" s="42"/>
      <c r="Y2" s="42"/>
    </row>
    <row r="3" ht="15.75" customHeight="1">
      <c r="A3" s="189">
        <v>43423.0</v>
      </c>
      <c r="B3" s="72" t="s">
        <v>6099</v>
      </c>
      <c r="C3" s="72" t="s">
        <v>6100</v>
      </c>
      <c r="D3" s="42"/>
      <c r="E3" s="190" t="s">
        <v>6101</v>
      </c>
      <c r="F3" s="42"/>
      <c r="G3" s="42"/>
      <c r="H3" s="20" t="s">
        <v>6102</v>
      </c>
      <c r="I3" s="42"/>
      <c r="J3" s="188" t="s">
        <v>1052</v>
      </c>
      <c r="K3" s="42"/>
      <c r="L3" s="42"/>
      <c r="M3" s="42"/>
      <c r="N3" s="42"/>
      <c r="O3" s="42"/>
      <c r="P3" s="42"/>
      <c r="Q3" s="42"/>
      <c r="R3" s="42"/>
      <c r="S3" s="42"/>
      <c r="T3" s="42"/>
      <c r="U3" s="42"/>
      <c r="V3" s="42"/>
      <c r="W3" s="42"/>
      <c r="X3" s="42"/>
      <c r="Y3" s="42"/>
    </row>
    <row r="4" ht="15.75" customHeight="1">
      <c r="A4" s="189">
        <v>43423.0</v>
      </c>
      <c r="B4" s="72" t="s">
        <v>6103</v>
      </c>
      <c r="C4" s="72" t="s">
        <v>6104</v>
      </c>
      <c r="D4" s="72"/>
      <c r="E4" s="20" t="s">
        <v>6103</v>
      </c>
      <c r="F4" s="42"/>
      <c r="G4" s="42"/>
      <c r="H4" s="20" t="s">
        <v>6105</v>
      </c>
      <c r="I4" s="42"/>
      <c r="J4" s="188" t="s">
        <v>1052</v>
      </c>
      <c r="K4" s="42"/>
      <c r="L4" s="42"/>
      <c r="M4" s="42"/>
      <c r="N4" s="42"/>
      <c r="O4" s="42"/>
      <c r="P4" s="42"/>
      <c r="Q4" s="42"/>
      <c r="R4" s="42"/>
      <c r="S4" s="42"/>
      <c r="T4" s="42"/>
      <c r="U4" s="42"/>
      <c r="V4" s="42"/>
      <c r="W4" s="42"/>
      <c r="X4" s="42"/>
      <c r="Y4" s="42"/>
    </row>
    <row r="5" ht="15.75" customHeight="1">
      <c r="A5" s="189">
        <v>43423.0</v>
      </c>
      <c r="B5" s="72" t="s">
        <v>6106</v>
      </c>
      <c r="C5" s="72" t="s">
        <v>6107</v>
      </c>
      <c r="D5" s="42"/>
      <c r="E5" s="190" t="s">
        <v>6108</v>
      </c>
      <c r="F5" s="42"/>
      <c r="G5" s="42"/>
      <c r="H5" s="20" t="s">
        <v>6109</v>
      </c>
      <c r="I5" s="42"/>
      <c r="J5" s="188" t="s">
        <v>1052</v>
      </c>
      <c r="K5" s="42"/>
      <c r="L5" s="42"/>
      <c r="M5" s="42"/>
      <c r="N5" s="42"/>
      <c r="O5" s="42"/>
      <c r="P5" s="42"/>
      <c r="Q5" s="42"/>
      <c r="R5" s="42"/>
      <c r="S5" s="42"/>
      <c r="T5" s="42"/>
      <c r="U5" s="42"/>
      <c r="V5" s="42"/>
      <c r="W5" s="42"/>
      <c r="X5" s="42"/>
      <c r="Y5" s="42"/>
    </row>
    <row r="6" ht="15.75" customHeight="1">
      <c r="A6" s="189">
        <v>43423.0</v>
      </c>
      <c r="B6" s="72" t="s">
        <v>6110</v>
      </c>
      <c r="C6" s="72" t="s">
        <v>6111</v>
      </c>
      <c r="D6" s="42"/>
      <c r="E6" s="190" t="s">
        <v>6112</v>
      </c>
      <c r="F6" s="42"/>
      <c r="G6" s="42"/>
      <c r="H6" s="20" t="s">
        <v>6113</v>
      </c>
      <c r="I6" s="42"/>
      <c r="J6" s="188" t="s">
        <v>1052</v>
      </c>
      <c r="K6" s="42"/>
      <c r="L6" s="42"/>
      <c r="M6" s="42"/>
      <c r="N6" s="42"/>
      <c r="O6" s="42"/>
      <c r="P6" s="42"/>
      <c r="Q6" s="42"/>
      <c r="R6" s="42"/>
      <c r="S6" s="42"/>
      <c r="T6" s="42"/>
      <c r="U6" s="42"/>
      <c r="V6" s="42"/>
      <c r="W6" s="42"/>
      <c r="X6" s="42"/>
      <c r="Y6" s="42"/>
    </row>
    <row r="7" ht="15.75" customHeight="1">
      <c r="A7" s="189">
        <v>43423.0</v>
      </c>
      <c r="B7" s="72" t="s">
        <v>6114</v>
      </c>
      <c r="C7" s="72" t="s">
        <v>6115</v>
      </c>
      <c r="D7" s="42"/>
      <c r="E7" s="190" t="s">
        <v>6116</v>
      </c>
      <c r="F7" s="42"/>
      <c r="G7" s="42"/>
      <c r="H7" s="20" t="s">
        <v>6117</v>
      </c>
      <c r="I7" s="42"/>
      <c r="J7" s="188" t="s">
        <v>1052</v>
      </c>
      <c r="K7" s="42"/>
      <c r="L7" s="42"/>
      <c r="M7" s="42"/>
      <c r="N7" s="42"/>
      <c r="O7" s="42"/>
      <c r="P7" s="42"/>
      <c r="Q7" s="42"/>
      <c r="R7" s="42"/>
      <c r="S7" s="42"/>
      <c r="T7" s="42"/>
      <c r="U7" s="42"/>
      <c r="V7" s="42"/>
      <c r="W7" s="42"/>
      <c r="X7" s="42"/>
      <c r="Y7" s="42"/>
    </row>
    <row r="8" ht="15.75" customHeight="1">
      <c r="A8" s="189">
        <v>43423.0</v>
      </c>
      <c r="B8" s="191" t="s">
        <v>6118</v>
      </c>
      <c r="C8" s="192" t="s">
        <v>6119</v>
      </c>
      <c r="D8" s="42"/>
      <c r="E8" s="42"/>
      <c r="F8" s="42"/>
      <c r="G8" s="42"/>
      <c r="H8" s="42" t="s">
        <v>6120</v>
      </c>
      <c r="I8" s="42"/>
      <c r="J8" s="188" t="s">
        <v>1052</v>
      </c>
      <c r="K8" s="42"/>
      <c r="L8" s="42"/>
      <c r="M8" s="42"/>
      <c r="N8" s="42"/>
      <c r="O8" s="42"/>
      <c r="P8" s="42"/>
      <c r="Q8" s="42"/>
      <c r="R8" s="42"/>
      <c r="S8" s="42"/>
      <c r="T8" s="42"/>
      <c r="U8" s="42"/>
      <c r="V8" s="42"/>
      <c r="W8" s="42"/>
      <c r="X8" s="42"/>
      <c r="Y8" s="42"/>
    </row>
    <row r="9" ht="15.75" customHeight="1">
      <c r="A9" s="189">
        <v>43423.0</v>
      </c>
      <c r="B9" s="193" t="s">
        <v>6121</v>
      </c>
      <c r="C9" s="193">
        <v>2.34832060048E11</v>
      </c>
      <c r="D9" s="193"/>
      <c r="E9" s="194">
        <v>0.0</v>
      </c>
      <c r="F9" s="42"/>
      <c r="G9" s="42"/>
      <c r="H9" s="195" t="s">
        <v>6122</v>
      </c>
      <c r="I9" s="193" t="s">
        <v>6123</v>
      </c>
      <c r="J9" s="188" t="s">
        <v>1052</v>
      </c>
      <c r="K9" s="42"/>
      <c r="L9" s="42"/>
      <c r="M9" s="42"/>
      <c r="N9" s="42"/>
      <c r="O9" s="42"/>
      <c r="P9" s="42"/>
      <c r="Q9" s="42"/>
      <c r="R9" s="42"/>
      <c r="S9" s="42"/>
      <c r="T9" s="42"/>
      <c r="U9" s="42"/>
      <c r="V9" s="42"/>
      <c r="W9" s="42"/>
      <c r="X9" s="42"/>
      <c r="Y9" s="42"/>
    </row>
    <row r="10" ht="15.75" customHeight="1">
      <c r="A10" s="189">
        <v>43423.0</v>
      </c>
      <c r="B10" s="193" t="s">
        <v>6124</v>
      </c>
      <c r="C10" s="193" t="s">
        <v>6125</v>
      </c>
      <c r="D10" s="193"/>
      <c r="E10" s="196" t="s">
        <v>6126</v>
      </c>
      <c r="F10" s="42"/>
      <c r="G10" s="42"/>
      <c r="H10" s="195" t="s">
        <v>6127</v>
      </c>
      <c r="I10" s="194">
        <v>3103.0</v>
      </c>
      <c r="J10" s="188" t="s">
        <v>1052</v>
      </c>
      <c r="K10" s="42"/>
      <c r="L10" s="42"/>
      <c r="M10" s="42"/>
      <c r="N10" s="42"/>
      <c r="O10" s="42"/>
      <c r="P10" s="42"/>
      <c r="Q10" s="42"/>
      <c r="R10" s="42"/>
      <c r="S10" s="42"/>
      <c r="T10" s="42"/>
      <c r="U10" s="42"/>
      <c r="V10" s="42"/>
      <c r="W10" s="42"/>
      <c r="X10" s="42"/>
      <c r="Y10" s="42"/>
    </row>
    <row r="11" ht="15.75" customHeight="1">
      <c r="A11" s="189">
        <v>43423.0</v>
      </c>
      <c r="B11" s="193" t="s">
        <v>6128</v>
      </c>
      <c r="C11" s="193" t="s">
        <v>6129</v>
      </c>
      <c r="D11" s="193"/>
      <c r="E11" s="196" t="s">
        <v>6130</v>
      </c>
      <c r="F11" s="42"/>
      <c r="G11" s="42"/>
      <c r="H11" s="195" t="s">
        <v>6131</v>
      </c>
      <c r="I11" s="194">
        <v>1604.0</v>
      </c>
      <c r="J11" s="188" t="s">
        <v>1052</v>
      </c>
      <c r="K11" s="42"/>
      <c r="L11" s="42"/>
      <c r="M11" s="42"/>
      <c r="N11" s="42"/>
      <c r="O11" s="42"/>
      <c r="P11" s="42"/>
      <c r="Q11" s="42"/>
      <c r="R11" s="42"/>
      <c r="S11" s="42"/>
      <c r="T11" s="42"/>
      <c r="U11" s="42"/>
      <c r="V11" s="42"/>
      <c r="W11" s="42"/>
      <c r="X11" s="42"/>
      <c r="Y11" s="42"/>
    </row>
    <row r="12" ht="15.75" customHeight="1">
      <c r="A12" s="189">
        <v>43423.0</v>
      </c>
      <c r="B12" s="193" t="s">
        <v>6132</v>
      </c>
      <c r="C12" s="193" t="s">
        <v>6133</v>
      </c>
      <c r="D12" s="193"/>
      <c r="E12" s="196" t="s">
        <v>6134</v>
      </c>
      <c r="F12" s="42"/>
      <c r="G12" s="42"/>
      <c r="H12" s="195" t="s">
        <v>6135</v>
      </c>
      <c r="I12" s="194">
        <v>403.0</v>
      </c>
      <c r="J12" s="188" t="s">
        <v>1052</v>
      </c>
      <c r="K12" s="42"/>
      <c r="L12" s="42"/>
      <c r="M12" s="42"/>
      <c r="N12" s="42"/>
      <c r="O12" s="42"/>
      <c r="P12" s="42"/>
      <c r="Q12" s="42"/>
      <c r="R12" s="42"/>
      <c r="S12" s="42"/>
      <c r="T12" s="42"/>
      <c r="U12" s="42"/>
      <c r="V12" s="42"/>
      <c r="W12" s="42"/>
      <c r="X12" s="42"/>
      <c r="Y12" s="42"/>
    </row>
    <row r="13" ht="15.75" customHeight="1">
      <c r="A13" s="189">
        <v>43423.0</v>
      </c>
      <c r="B13" s="197" t="s">
        <v>6136</v>
      </c>
      <c r="C13" s="197" t="s">
        <v>6137</v>
      </c>
      <c r="D13" s="42"/>
      <c r="E13" s="190" t="s">
        <v>6138</v>
      </c>
      <c r="F13" s="42"/>
      <c r="G13" s="42"/>
      <c r="H13" s="42" t="s">
        <v>6139</v>
      </c>
      <c r="I13" s="42"/>
      <c r="J13" s="188" t="s">
        <v>1052</v>
      </c>
      <c r="K13" s="42"/>
      <c r="L13" s="42"/>
      <c r="M13" s="42"/>
      <c r="N13" s="42"/>
      <c r="O13" s="42"/>
      <c r="P13" s="42"/>
      <c r="Q13" s="42"/>
      <c r="R13" s="42"/>
      <c r="S13" s="42"/>
      <c r="T13" s="42"/>
      <c r="U13" s="42"/>
      <c r="V13" s="42"/>
      <c r="W13" s="42"/>
      <c r="X13" s="42"/>
      <c r="Y13" s="42"/>
    </row>
    <row r="14" ht="15.75" customHeight="1">
      <c r="A14" s="189">
        <v>43423.0</v>
      </c>
      <c r="B14" s="72" t="s">
        <v>6140</v>
      </c>
      <c r="C14" s="72" t="s">
        <v>6141</v>
      </c>
      <c r="D14" s="72"/>
      <c r="E14" s="20" t="s">
        <v>6142</v>
      </c>
      <c r="F14" s="42"/>
      <c r="G14" s="42"/>
      <c r="H14" s="72" t="s">
        <v>6143</v>
      </c>
      <c r="I14" s="72" t="s">
        <v>6144</v>
      </c>
      <c r="J14" s="188" t="s">
        <v>1052</v>
      </c>
      <c r="K14" s="42"/>
      <c r="L14" s="42"/>
      <c r="M14" s="42"/>
      <c r="N14" s="42"/>
      <c r="O14" s="42"/>
      <c r="P14" s="42"/>
      <c r="Q14" s="42"/>
      <c r="R14" s="42"/>
      <c r="S14" s="42"/>
      <c r="T14" s="42"/>
      <c r="U14" s="42"/>
      <c r="V14" s="42"/>
      <c r="W14" s="42"/>
      <c r="X14" s="42"/>
      <c r="Y14" s="42"/>
    </row>
    <row r="15" ht="15.75" customHeight="1">
      <c r="A15" s="189">
        <v>43423.0</v>
      </c>
      <c r="B15" s="42" t="s">
        <v>6145</v>
      </c>
      <c r="C15" s="198" t="s">
        <v>6146</v>
      </c>
      <c r="D15" s="42"/>
      <c r="E15" s="42" t="s">
        <v>6145</v>
      </c>
      <c r="F15" s="42"/>
      <c r="G15" s="42"/>
      <c r="H15" s="42" t="s">
        <v>6147</v>
      </c>
      <c r="I15" s="42"/>
      <c r="J15" s="188" t="s">
        <v>1052</v>
      </c>
      <c r="K15" s="42"/>
      <c r="L15" s="42"/>
      <c r="M15" s="42"/>
      <c r="N15" s="42"/>
      <c r="O15" s="42"/>
      <c r="P15" s="42"/>
      <c r="Q15" s="42"/>
      <c r="R15" s="42"/>
      <c r="S15" s="42"/>
      <c r="T15" s="42"/>
      <c r="U15" s="42"/>
      <c r="V15" s="42"/>
      <c r="W15" s="42"/>
      <c r="X15" s="42"/>
      <c r="Y15" s="42"/>
    </row>
    <row r="16" ht="15.75" customHeight="1">
      <c r="A16" s="189">
        <v>43423.0</v>
      </c>
      <c r="B16" s="72" t="s">
        <v>6148</v>
      </c>
      <c r="C16" s="72" t="s">
        <v>6149</v>
      </c>
      <c r="D16" s="72" t="s">
        <v>6149</v>
      </c>
      <c r="E16" s="20" t="s">
        <v>6150</v>
      </c>
      <c r="F16" s="42"/>
      <c r="G16" s="42"/>
      <c r="H16" s="20" t="s">
        <v>6151</v>
      </c>
      <c r="I16" s="42"/>
      <c r="J16" s="188" t="s">
        <v>1052</v>
      </c>
      <c r="K16" s="42"/>
      <c r="L16" s="42"/>
      <c r="M16" s="42"/>
      <c r="N16" s="42"/>
      <c r="O16" s="42"/>
      <c r="P16" s="42"/>
      <c r="Q16" s="42"/>
      <c r="R16" s="42"/>
      <c r="S16" s="42"/>
      <c r="T16" s="42"/>
      <c r="U16" s="42"/>
      <c r="V16" s="42"/>
      <c r="W16" s="42"/>
      <c r="X16" s="42"/>
      <c r="Y16" s="42"/>
    </row>
    <row r="17" ht="15.75" customHeight="1">
      <c r="A17" s="189">
        <v>43423.0</v>
      </c>
      <c r="B17" s="72" t="s">
        <v>6152</v>
      </c>
      <c r="C17" s="72" t="s">
        <v>6153</v>
      </c>
      <c r="D17" s="72" t="s">
        <v>6153</v>
      </c>
      <c r="E17" s="20" t="s">
        <v>6154</v>
      </c>
      <c r="F17" s="42"/>
      <c r="G17" s="42"/>
      <c r="H17" s="20" t="s">
        <v>6155</v>
      </c>
      <c r="I17" s="42"/>
      <c r="J17" s="188" t="s">
        <v>1052</v>
      </c>
      <c r="K17" s="42"/>
      <c r="L17" s="42"/>
      <c r="M17" s="42"/>
      <c r="N17" s="42"/>
      <c r="O17" s="42"/>
      <c r="P17" s="42"/>
      <c r="Q17" s="42"/>
      <c r="R17" s="42"/>
      <c r="S17" s="42"/>
      <c r="T17" s="42"/>
      <c r="U17" s="42"/>
      <c r="V17" s="42"/>
      <c r="W17" s="42"/>
      <c r="X17" s="42"/>
      <c r="Y17" s="42"/>
    </row>
    <row r="18" ht="15.75" customHeight="1">
      <c r="A18" s="189">
        <v>43423.0</v>
      </c>
      <c r="B18" s="72" t="s">
        <v>6156</v>
      </c>
      <c r="C18" s="72" t="s">
        <v>6157</v>
      </c>
      <c r="D18" s="72" t="s">
        <v>6157</v>
      </c>
      <c r="E18" s="20" t="s">
        <v>6158</v>
      </c>
      <c r="F18" s="42"/>
      <c r="G18" s="42"/>
      <c r="H18" s="20" t="s">
        <v>6159</v>
      </c>
      <c r="I18" s="42"/>
      <c r="J18" s="188" t="s">
        <v>1052</v>
      </c>
      <c r="K18" s="42"/>
      <c r="L18" s="42"/>
      <c r="M18" s="42"/>
      <c r="N18" s="42"/>
      <c r="O18" s="42"/>
      <c r="P18" s="42"/>
      <c r="Q18" s="42"/>
      <c r="R18" s="42"/>
      <c r="S18" s="42"/>
      <c r="T18" s="42"/>
      <c r="U18" s="42"/>
      <c r="V18" s="42"/>
      <c r="W18" s="42"/>
      <c r="X18" s="42"/>
      <c r="Y18" s="42"/>
    </row>
    <row r="19" ht="15.75" customHeight="1">
      <c r="A19" s="189">
        <v>43423.0</v>
      </c>
      <c r="B19" s="72" t="s">
        <v>6160</v>
      </c>
      <c r="C19" s="72" t="s">
        <v>6161</v>
      </c>
      <c r="D19" s="72" t="s">
        <v>6161</v>
      </c>
      <c r="E19" s="20" t="s">
        <v>6162</v>
      </c>
      <c r="F19" s="42"/>
      <c r="G19" s="42"/>
      <c r="H19" s="20" t="s">
        <v>6163</v>
      </c>
      <c r="I19" s="42"/>
      <c r="J19" s="188" t="s">
        <v>1052</v>
      </c>
      <c r="K19" s="42"/>
      <c r="L19" s="42"/>
      <c r="M19" s="42"/>
      <c r="N19" s="42"/>
      <c r="O19" s="42"/>
      <c r="P19" s="42"/>
      <c r="Q19" s="42"/>
      <c r="R19" s="42"/>
      <c r="S19" s="42"/>
      <c r="T19" s="42"/>
      <c r="U19" s="42"/>
      <c r="V19" s="42"/>
      <c r="W19" s="42"/>
      <c r="X19" s="42"/>
      <c r="Y19" s="42"/>
    </row>
    <row r="20" ht="15.75" customHeight="1">
      <c r="A20" s="189">
        <v>43423.0</v>
      </c>
      <c r="B20" s="72" t="s">
        <v>6164</v>
      </c>
      <c r="C20" s="72" t="s">
        <v>6165</v>
      </c>
      <c r="D20" s="72" t="s">
        <v>6165</v>
      </c>
      <c r="E20" s="20" t="s">
        <v>6166</v>
      </c>
      <c r="F20" s="42"/>
      <c r="G20" s="42"/>
      <c r="H20" s="20" t="s">
        <v>6167</v>
      </c>
      <c r="I20" s="42"/>
      <c r="J20" s="188" t="s">
        <v>1052</v>
      </c>
      <c r="K20" s="42"/>
      <c r="L20" s="42"/>
      <c r="M20" s="42"/>
      <c r="N20" s="42"/>
      <c r="O20" s="42"/>
      <c r="P20" s="42"/>
      <c r="Q20" s="42"/>
      <c r="R20" s="42"/>
      <c r="S20" s="42"/>
      <c r="T20" s="42"/>
      <c r="U20" s="42"/>
      <c r="V20" s="42"/>
      <c r="W20" s="42"/>
      <c r="X20" s="42"/>
      <c r="Y20" s="42"/>
    </row>
    <row r="21" ht="15.75" customHeight="1">
      <c r="A21" s="189">
        <v>43423.0</v>
      </c>
      <c r="B21" s="72" t="s">
        <v>6168</v>
      </c>
      <c r="C21" s="72" t="s">
        <v>6169</v>
      </c>
      <c r="D21" s="72" t="s">
        <v>6169</v>
      </c>
      <c r="E21" s="20" t="s">
        <v>6170</v>
      </c>
      <c r="F21" s="42"/>
      <c r="G21" s="42"/>
      <c r="H21" s="20" t="s">
        <v>6171</v>
      </c>
      <c r="I21" s="42"/>
      <c r="J21" s="188" t="s">
        <v>1052</v>
      </c>
      <c r="K21" s="42"/>
      <c r="L21" s="42"/>
      <c r="M21" s="42"/>
      <c r="N21" s="42"/>
      <c r="O21" s="42"/>
      <c r="P21" s="42"/>
      <c r="Q21" s="42"/>
      <c r="R21" s="42"/>
      <c r="S21" s="42"/>
      <c r="T21" s="42"/>
      <c r="U21" s="42"/>
      <c r="V21" s="42"/>
      <c r="W21" s="42"/>
      <c r="X21" s="42"/>
      <c r="Y21" s="42"/>
    </row>
    <row r="22" ht="15.75" customHeight="1">
      <c r="A22" s="189">
        <v>43423.0</v>
      </c>
      <c r="B22" s="72" t="s">
        <v>6172</v>
      </c>
      <c r="C22" s="72" t="s">
        <v>6173</v>
      </c>
      <c r="D22" s="72" t="s">
        <v>6173</v>
      </c>
      <c r="E22" s="20" t="s">
        <v>6174</v>
      </c>
      <c r="F22" s="42"/>
      <c r="G22" s="42"/>
      <c r="H22" s="20" t="s">
        <v>6175</v>
      </c>
      <c r="I22" s="42"/>
      <c r="J22" s="188" t="s">
        <v>1052</v>
      </c>
      <c r="K22" s="42"/>
      <c r="L22" s="42"/>
      <c r="M22" s="42"/>
      <c r="N22" s="42"/>
      <c r="O22" s="42"/>
      <c r="P22" s="42"/>
      <c r="Q22" s="42"/>
      <c r="R22" s="42"/>
      <c r="S22" s="42"/>
      <c r="T22" s="42"/>
      <c r="U22" s="42"/>
      <c r="V22" s="42"/>
      <c r="W22" s="42"/>
      <c r="X22" s="42"/>
      <c r="Y22" s="42"/>
    </row>
    <row r="23" ht="15.75" customHeight="1">
      <c r="A23" s="189">
        <v>43423.0</v>
      </c>
      <c r="B23" s="72" t="s">
        <v>6176</v>
      </c>
      <c r="C23" s="72" t="s">
        <v>6177</v>
      </c>
      <c r="D23" s="72" t="s">
        <v>6177</v>
      </c>
      <c r="E23" s="20" t="s">
        <v>6178</v>
      </c>
      <c r="F23" s="42"/>
      <c r="G23" s="42"/>
      <c r="H23" s="20" t="s">
        <v>6179</v>
      </c>
      <c r="I23" s="42"/>
      <c r="J23" s="188" t="s">
        <v>1052</v>
      </c>
      <c r="K23" s="42"/>
      <c r="L23" s="42"/>
      <c r="M23" s="42"/>
      <c r="N23" s="42"/>
      <c r="O23" s="42"/>
      <c r="P23" s="42"/>
      <c r="Q23" s="42"/>
      <c r="R23" s="42"/>
      <c r="S23" s="42"/>
      <c r="T23" s="42"/>
      <c r="U23" s="42"/>
      <c r="V23" s="42"/>
      <c r="W23" s="42"/>
      <c r="X23" s="42"/>
      <c r="Y23" s="42"/>
    </row>
    <row r="24" ht="15.75" customHeight="1">
      <c r="A24" s="189">
        <v>43423.0</v>
      </c>
      <c r="B24" s="72" t="s">
        <v>6176</v>
      </c>
      <c r="C24" s="72" t="s">
        <v>6177</v>
      </c>
      <c r="D24" s="72" t="s">
        <v>6177</v>
      </c>
      <c r="E24" s="20" t="s">
        <v>6178</v>
      </c>
      <c r="F24" s="42"/>
      <c r="G24" s="42"/>
      <c r="H24" s="20" t="s">
        <v>6180</v>
      </c>
      <c r="I24" s="42"/>
      <c r="J24" s="188" t="s">
        <v>1052</v>
      </c>
      <c r="K24" s="42"/>
      <c r="L24" s="42"/>
      <c r="M24" s="42"/>
      <c r="N24" s="42"/>
      <c r="O24" s="42"/>
      <c r="P24" s="42"/>
      <c r="Q24" s="42"/>
      <c r="R24" s="42"/>
      <c r="S24" s="42"/>
      <c r="T24" s="42"/>
      <c r="U24" s="42"/>
      <c r="V24" s="42"/>
      <c r="W24" s="42"/>
      <c r="X24" s="42"/>
      <c r="Y24" s="42"/>
    </row>
    <row r="25" ht="15.75" customHeight="1">
      <c r="A25" s="189">
        <v>43423.0</v>
      </c>
      <c r="B25" s="72" t="s">
        <v>6181</v>
      </c>
      <c r="C25" s="72" t="s">
        <v>6182</v>
      </c>
      <c r="D25" s="72" t="s">
        <v>6182</v>
      </c>
      <c r="E25" s="20" t="s">
        <v>6183</v>
      </c>
      <c r="F25" s="42"/>
      <c r="G25" s="42"/>
      <c r="H25" s="72" t="s">
        <v>6184</v>
      </c>
      <c r="I25" s="42"/>
      <c r="J25" s="188" t="s">
        <v>1052</v>
      </c>
      <c r="K25" s="42"/>
      <c r="L25" s="42"/>
      <c r="M25" s="42"/>
      <c r="N25" s="42"/>
      <c r="O25" s="42"/>
      <c r="P25" s="42"/>
      <c r="Q25" s="42"/>
      <c r="R25" s="42"/>
      <c r="S25" s="42"/>
      <c r="T25" s="42"/>
      <c r="U25" s="42"/>
      <c r="V25" s="42"/>
      <c r="W25" s="42"/>
      <c r="X25" s="42"/>
      <c r="Y25" s="42"/>
    </row>
    <row r="26" ht="15.75" customHeight="1">
      <c r="A26" s="189">
        <v>43423.0</v>
      </c>
      <c r="B26" s="72" t="s">
        <v>6185</v>
      </c>
      <c r="C26" s="72" t="s">
        <v>6186</v>
      </c>
      <c r="D26" s="72" t="s">
        <v>6186</v>
      </c>
      <c r="E26" s="20" t="s">
        <v>6187</v>
      </c>
      <c r="F26" s="42"/>
      <c r="G26" s="42"/>
      <c r="H26" s="20" t="s">
        <v>6188</v>
      </c>
      <c r="I26" s="42"/>
      <c r="J26" s="188" t="s">
        <v>1052</v>
      </c>
      <c r="K26" s="42"/>
      <c r="L26" s="42"/>
      <c r="M26" s="42"/>
      <c r="N26" s="42"/>
      <c r="O26" s="42"/>
      <c r="P26" s="42"/>
      <c r="Q26" s="42"/>
      <c r="R26" s="42"/>
      <c r="S26" s="42"/>
      <c r="T26" s="42"/>
      <c r="U26" s="42"/>
      <c r="V26" s="42"/>
      <c r="W26" s="42"/>
      <c r="X26" s="42"/>
      <c r="Y26" s="42"/>
    </row>
    <row r="27" ht="15.75" customHeight="1">
      <c r="A27" s="189">
        <v>43423.0</v>
      </c>
      <c r="B27" s="72" t="s">
        <v>6189</v>
      </c>
      <c r="C27" s="72" t="s">
        <v>6190</v>
      </c>
      <c r="D27" s="72" t="s">
        <v>6190</v>
      </c>
      <c r="E27" s="20" t="s">
        <v>6191</v>
      </c>
      <c r="F27" s="42"/>
      <c r="G27" s="42"/>
      <c r="H27" s="72" t="s">
        <v>6192</v>
      </c>
      <c r="I27" s="42" t="s">
        <v>6193</v>
      </c>
      <c r="J27" s="188" t="s">
        <v>1052</v>
      </c>
      <c r="K27" s="42"/>
      <c r="L27" s="42"/>
      <c r="M27" s="42"/>
      <c r="N27" s="42"/>
      <c r="O27" s="42"/>
      <c r="P27" s="42"/>
      <c r="Q27" s="42"/>
      <c r="R27" s="42"/>
      <c r="S27" s="42"/>
      <c r="T27" s="42"/>
      <c r="U27" s="42"/>
      <c r="V27" s="42"/>
      <c r="W27" s="42"/>
      <c r="X27" s="42"/>
      <c r="Y27" s="42"/>
    </row>
    <row r="28" ht="15.75" customHeight="1">
      <c r="A28" s="189">
        <v>43423.0</v>
      </c>
      <c r="B28" s="72" t="s">
        <v>6194</v>
      </c>
      <c r="C28" s="72" t="s">
        <v>6195</v>
      </c>
      <c r="D28" s="72" t="s">
        <v>6195</v>
      </c>
      <c r="E28" s="20" t="s">
        <v>6196</v>
      </c>
      <c r="F28" s="42"/>
      <c r="G28" s="42"/>
      <c r="H28" s="72" t="s">
        <v>6197</v>
      </c>
      <c r="I28" s="42" t="s">
        <v>6193</v>
      </c>
      <c r="J28" s="188" t="s">
        <v>1052</v>
      </c>
      <c r="K28" s="42"/>
      <c r="L28" s="42"/>
      <c r="M28" s="42"/>
      <c r="N28" s="42"/>
      <c r="O28" s="42"/>
      <c r="P28" s="42"/>
      <c r="Q28" s="42"/>
      <c r="R28" s="42"/>
      <c r="S28" s="42"/>
      <c r="T28" s="42"/>
      <c r="U28" s="42"/>
      <c r="V28" s="42"/>
      <c r="W28" s="42"/>
      <c r="X28" s="42"/>
      <c r="Y28" s="42"/>
    </row>
    <row r="29" ht="15.75" customHeight="1">
      <c r="A29" s="189">
        <v>43423.0</v>
      </c>
      <c r="B29" s="72" t="s">
        <v>6198</v>
      </c>
      <c r="C29" s="72" t="s">
        <v>6199</v>
      </c>
      <c r="D29" s="72" t="s">
        <v>6199</v>
      </c>
      <c r="E29" s="72" t="s">
        <v>6200</v>
      </c>
      <c r="F29" s="42"/>
      <c r="G29" s="42"/>
      <c r="H29" s="72" t="s">
        <v>6201</v>
      </c>
      <c r="I29" s="42" t="s">
        <v>6193</v>
      </c>
      <c r="J29" s="188" t="s">
        <v>1052</v>
      </c>
      <c r="K29" s="42"/>
      <c r="L29" s="42"/>
      <c r="M29" s="42"/>
      <c r="N29" s="42"/>
      <c r="O29" s="42"/>
      <c r="P29" s="42"/>
      <c r="Q29" s="42"/>
      <c r="R29" s="42"/>
      <c r="S29" s="42"/>
      <c r="T29" s="42"/>
      <c r="U29" s="42"/>
      <c r="V29" s="42"/>
      <c r="W29" s="42"/>
      <c r="X29" s="42"/>
      <c r="Y29" s="42"/>
    </row>
    <row r="30" ht="15.75" customHeight="1">
      <c r="A30" s="189">
        <v>43423.0</v>
      </c>
      <c r="B30" s="72" t="s">
        <v>6202</v>
      </c>
      <c r="C30" s="72" t="s">
        <v>6203</v>
      </c>
      <c r="D30" s="72" t="s">
        <v>6203</v>
      </c>
      <c r="E30" s="20" t="s">
        <v>6204</v>
      </c>
      <c r="F30" s="42"/>
      <c r="G30" s="42"/>
      <c r="H30" s="72" t="s">
        <v>6205</v>
      </c>
      <c r="I30" s="42" t="s">
        <v>6193</v>
      </c>
      <c r="J30" s="188" t="s">
        <v>1052</v>
      </c>
      <c r="K30" s="42"/>
      <c r="L30" s="42"/>
      <c r="M30" s="42"/>
      <c r="N30" s="42"/>
      <c r="O30" s="42"/>
      <c r="P30" s="42"/>
      <c r="Q30" s="42"/>
      <c r="R30" s="42"/>
      <c r="S30" s="42"/>
      <c r="T30" s="42"/>
      <c r="U30" s="42"/>
      <c r="V30" s="42"/>
      <c r="W30" s="42"/>
      <c r="X30" s="42"/>
      <c r="Y30" s="42"/>
    </row>
    <row r="31" ht="15.75" customHeight="1">
      <c r="A31" s="189">
        <v>43423.0</v>
      </c>
      <c r="B31" s="72" t="s">
        <v>6206</v>
      </c>
      <c r="C31" s="72" t="s">
        <v>6207</v>
      </c>
      <c r="D31" s="72" t="s">
        <v>6207</v>
      </c>
      <c r="E31" s="20" t="s">
        <v>6208</v>
      </c>
      <c r="F31" s="42"/>
      <c r="G31" s="42"/>
      <c r="H31" s="72" t="s">
        <v>6209</v>
      </c>
      <c r="I31" s="42" t="s">
        <v>6193</v>
      </c>
      <c r="J31" s="188" t="s">
        <v>1052</v>
      </c>
      <c r="K31" s="42"/>
      <c r="L31" s="42"/>
      <c r="M31" s="42"/>
      <c r="N31" s="42"/>
      <c r="O31" s="42"/>
      <c r="P31" s="42"/>
      <c r="Q31" s="42"/>
      <c r="R31" s="42"/>
      <c r="S31" s="42"/>
      <c r="T31" s="42"/>
      <c r="U31" s="42"/>
      <c r="V31" s="42"/>
      <c r="W31" s="42"/>
      <c r="X31" s="42"/>
      <c r="Y31" s="42"/>
    </row>
    <row r="32" ht="15.75" customHeight="1">
      <c r="A32" s="189">
        <v>43423.0</v>
      </c>
      <c r="B32" s="72" t="s">
        <v>6210</v>
      </c>
      <c r="C32" s="72" t="s">
        <v>6211</v>
      </c>
      <c r="D32" s="72" t="s">
        <v>6211</v>
      </c>
      <c r="E32" s="20" t="s">
        <v>6212</v>
      </c>
      <c r="F32" s="42"/>
      <c r="G32" s="42"/>
      <c r="H32" s="72" t="s">
        <v>6213</v>
      </c>
      <c r="I32" s="42" t="s">
        <v>6193</v>
      </c>
      <c r="J32" s="188" t="s">
        <v>1052</v>
      </c>
      <c r="K32" s="42"/>
      <c r="L32" s="42"/>
      <c r="M32" s="42"/>
      <c r="N32" s="42"/>
      <c r="O32" s="42"/>
      <c r="P32" s="42"/>
      <c r="Q32" s="42"/>
      <c r="R32" s="42"/>
      <c r="S32" s="42"/>
      <c r="T32" s="42"/>
      <c r="U32" s="42"/>
      <c r="V32" s="42"/>
      <c r="W32" s="42"/>
      <c r="X32" s="42"/>
      <c r="Y32" s="42"/>
    </row>
    <row r="33" ht="15.75" customHeight="1">
      <c r="A33" s="189">
        <v>43423.0</v>
      </c>
      <c r="B33" s="72" t="s">
        <v>6181</v>
      </c>
      <c r="C33" s="72" t="s">
        <v>6182</v>
      </c>
      <c r="D33" s="72" t="s">
        <v>6182</v>
      </c>
      <c r="E33" s="20" t="s">
        <v>6183</v>
      </c>
      <c r="F33" s="42"/>
      <c r="G33" s="42"/>
      <c r="H33" s="72" t="s">
        <v>6214</v>
      </c>
      <c r="I33" s="42" t="s">
        <v>6193</v>
      </c>
      <c r="J33" s="188" t="s">
        <v>1052</v>
      </c>
      <c r="K33" s="42"/>
      <c r="L33" s="42"/>
      <c r="M33" s="42"/>
      <c r="N33" s="42"/>
      <c r="O33" s="42"/>
      <c r="P33" s="42"/>
      <c r="Q33" s="42"/>
      <c r="R33" s="42"/>
      <c r="S33" s="42"/>
      <c r="T33" s="42"/>
      <c r="U33" s="42"/>
      <c r="V33" s="42"/>
      <c r="W33" s="42"/>
      <c r="X33" s="42"/>
      <c r="Y33" s="42"/>
    </row>
    <row r="34" ht="15.75" customHeight="1">
      <c r="A34" s="189">
        <v>43423.0</v>
      </c>
      <c r="B34" s="72" t="s">
        <v>6215</v>
      </c>
      <c r="C34" s="72" t="s">
        <v>6216</v>
      </c>
      <c r="D34" s="72" t="s">
        <v>6216</v>
      </c>
      <c r="E34" s="20" t="s">
        <v>6217</v>
      </c>
      <c r="F34" s="42"/>
      <c r="G34" s="42"/>
      <c r="H34" s="72" t="s">
        <v>6218</v>
      </c>
      <c r="I34" s="42" t="s">
        <v>6193</v>
      </c>
      <c r="J34" s="188" t="s">
        <v>1052</v>
      </c>
      <c r="K34" s="42"/>
      <c r="L34" s="42"/>
      <c r="M34" s="42"/>
      <c r="N34" s="42"/>
      <c r="O34" s="42"/>
      <c r="P34" s="42"/>
      <c r="Q34" s="42"/>
      <c r="R34" s="42"/>
      <c r="S34" s="42"/>
      <c r="T34" s="42"/>
      <c r="U34" s="42"/>
      <c r="V34" s="42"/>
      <c r="W34" s="42"/>
      <c r="X34" s="42"/>
      <c r="Y34" s="42"/>
    </row>
    <row r="35" ht="15.75" customHeight="1">
      <c r="A35" s="189">
        <v>43423.0</v>
      </c>
      <c r="B35" s="72" t="s">
        <v>6219</v>
      </c>
      <c r="C35" s="72" t="s">
        <v>6220</v>
      </c>
      <c r="D35" s="72" t="s">
        <v>6220</v>
      </c>
      <c r="E35" s="20" t="s">
        <v>6221</v>
      </c>
      <c r="F35" s="42"/>
      <c r="G35" s="42"/>
      <c r="H35" s="72" t="s">
        <v>6222</v>
      </c>
      <c r="I35" s="42" t="s">
        <v>6193</v>
      </c>
      <c r="J35" s="188" t="s">
        <v>1052</v>
      </c>
      <c r="K35" s="42"/>
      <c r="L35" s="42"/>
      <c r="M35" s="42"/>
      <c r="N35" s="42"/>
      <c r="O35" s="42"/>
      <c r="P35" s="42"/>
      <c r="Q35" s="42"/>
      <c r="R35" s="42"/>
      <c r="S35" s="42"/>
      <c r="T35" s="42"/>
      <c r="U35" s="42"/>
      <c r="V35" s="42"/>
      <c r="W35" s="42"/>
      <c r="X35" s="42"/>
      <c r="Y35" s="42"/>
    </row>
    <row r="36" ht="15.75" customHeight="1">
      <c r="A36" s="189">
        <v>43423.0</v>
      </c>
      <c r="B36" s="72" t="s">
        <v>6223</v>
      </c>
      <c r="C36" s="72" t="s">
        <v>6224</v>
      </c>
      <c r="D36" s="72" t="s">
        <v>6224</v>
      </c>
      <c r="E36" s="20" t="s">
        <v>6225</v>
      </c>
      <c r="F36" s="42"/>
      <c r="G36" s="42"/>
      <c r="H36" s="72" t="s">
        <v>6226</v>
      </c>
      <c r="I36" s="42" t="s">
        <v>6193</v>
      </c>
      <c r="J36" s="188" t="s">
        <v>1052</v>
      </c>
      <c r="K36" s="42"/>
      <c r="L36" s="42"/>
      <c r="M36" s="42"/>
      <c r="N36" s="42"/>
      <c r="O36" s="42"/>
      <c r="P36" s="42"/>
      <c r="Q36" s="42"/>
      <c r="R36" s="42"/>
      <c r="S36" s="42"/>
      <c r="T36" s="42"/>
      <c r="U36" s="42"/>
      <c r="V36" s="42"/>
      <c r="W36" s="42"/>
      <c r="X36" s="42"/>
      <c r="Y36" s="42"/>
    </row>
    <row r="37" ht="15.75" customHeight="1">
      <c r="A37" s="189">
        <v>43423.0</v>
      </c>
      <c r="B37" s="72" t="s">
        <v>6140</v>
      </c>
      <c r="C37" s="72" t="s">
        <v>6141</v>
      </c>
      <c r="D37" s="42"/>
      <c r="E37" s="20" t="s">
        <v>6142</v>
      </c>
      <c r="F37" s="42"/>
      <c r="G37" s="42"/>
      <c r="H37" s="72" t="s">
        <v>6144</v>
      </c>
      <c r="I37" s="42" t="s">
        <v>6227</v>
      </c>
      <c r="J37" s="188" t="s">
        <v>1052</v>
      </c>
      <c r="K37" s="42"/>
      <c r="L37" s="42"/>
      <c r="M37" s="42"/>
      <c r="N37" s="42"/>
      <c r="O37" s="42"/>
      <c r="P37" s="42"/>
      <c r="Q37" s="42"/>
      <c r="R37" s="42"/>
      <c r="S37" s="42"/>
      <c r="T37" s="42"/>
      <c r="U37" s="42"/>
      <c r="V37" s="42"/>
      <c r="W37" s="42"/>
      <c r="X37" s="42"/>
      <c r="Y37" s="42"/>
    </row>
    <row r="38" ht="15.75" customHeight="1">
      <c r="A38" s="189">
        <v>43423.0</v>
      </c>
      <c r="B38" s="72" t="s">
        <v>6202</v>
      </c>
      <c r="C38" s="72" t="s">
        <v>6203</v>
      </c>
      <c r="D38" s="42"/>
      <c r="E38" s="20" t="s">
        <v>6204</v>
      </c>
      <c r="F38" s="42"/>
      <c r="G38" s="42"/>
      <c r="H38" s="72" t="s">
        <v>6205</v>
      </c>
      <c r="I38" s="42" t="s">
        <v>6228</v>
      </c>
      <c r="J38" s="188" t="s">
        <v>1052</v>
      </c>
      <c r="K38" s="42"/>
      <c r="L38" s="42"/>
      <c r="M38" s="42"/>
      <c r="N38" s="42"/>
      <c r="O38" s="42"/>
      <c r="P38" s="42"/>
      <c r="Q38" s="42"/>
      <c r="R38" s="42"/>
      <c r="S38" s="42"/>
      <c r="T38" s="42"/>
      <c r="U38" s="42"/>
      <c r="V38" s="42"/>
      <c r="W38" s="42"/>
      <c r="X38" s="42"/>
      <c r="Y38" s="42"/>
    </row>
    <row r="39" ht="15.75" customHeight="1">
      <c r="A39" s="189">
        <v>43423.0</v>
      </c>
      <c r="B39" s="72" t="s">
        <v>6194</v>
      </c>
      <c r="C39" s="72" t="s">
        <v>6195</v>
      </c>
      <c r="D39" s="42"/>
      <c r="E39" s="20" t="s">
        <v>6196</v>
      </c>
      <c r="F39" s="42"/>
      <c r="G39" s="42"/>
      <c r="H39" s="72" t="s">
        <v>6197</v>
      </c>
      <c r="I39" s="42" t="s">
        <v>6228</v>
      </c>
      <c r="J39" s="188" t="s">
        <v>1052</v>
      </c>
      <c r="K39" s="42"/>
      <c r="L39" s="42"/>
      <c r="M39" s="42"/>
      <c r="N39" s="42"/>
      <c r="O39" s="42"/>
      <c r="P39" s="42"/>
      <c r="Q39" s="42"/>
      <c r="R39" s="42"/>
      <c r="S39" s="42"/>
      <c r="T39" s="42"/>
      <c r="U39" s="42"/>
      <c r="V39" s="42"/>
      <c r="W39" s="42"/>
      <c r="X39" s="42"/>
      <c r="Y39" s="42"/>
    </row>
    <row r="40" ht="15.75" customHeight="1">
      <c r="A40" s="189">
        <v>43423.0</v>
      </c>
      <c r="B40" s="72" t="s">
        <v>6210</v>
      </c>
      <c r="C40" s="72" t="s">
        <v>6211</v>
      </c>
      <c r="D40" s="42"/>
      <c r="E40" s="20" t="s">
        <v>6212</v>
      </c>
      <c r="F40" s="42"/>
      <c r="G40" s="42"/>
      <c r="H40" s="72" t="s">
        <v>6213</v>
      </c>
      <c r="I40" s="42" t="s">
        <v>6228</v>
      </c>
      <c r="J40" s="188" t="s">
        <v>1052</v>
      </c>
      <c r="K40" s="42"/>
      <c r="L40" s="42"/>
      <c r="M40" s="42"/>
      <c r="N40" s="42"/>
      <c r="O40" s="42"/>
      <c r="P40" s="42"/>
      <c r="Q40" s="42"/>
      <c r="R40" s="42"/>
      <c r="S40" s="42"/>
      <c r="T40" s="42"/>
      <c r="U40" s="42"/>
      <c r="V40" s="42"/>
      <c r="W40" s="42"/>
      <c r="X40" s="42"/>
      <c r="Y40" s="42"/>
    </row>
    <row r="41" ht="15.75" customHeight="1">
      <c r="A41" s="189">
        <v>43423.0</v>
      </c>
      <c r="B41" s="72" t="s">
        <v>6181</v>
      </c>
      <c r="C41" s="72" t="s">
        <v>6182</v>
      </c>
      <c r="D41" s="42"/>
      <c r="E41" s="20" t="s">
        <v>6183</v>
      </c>
      <c r="F41" s="42"/>
      <c r="G41" s="42"/>
      <c r="H41" s="72" t="s">
        <v>6214</v>
      </c>
      <c r="I41" s="42" t="s">
        <v>6228</v>
      </c>
      <c r="J41" s="188" t="s">
        <v>1052</v>
      </c>
      <c r="K41" s="42"/>
      <c r="L41" s="42"/>
      <c r="M41" s="42"/>
      <c r="N41" s="42"/>
      <c r="O41" s="42"/>
      <c r="P41" s="42"/>
      <c r="Q41" s="42"/>
      <c r="R41" s="42"/>
      <c r="S41" s="42"/>
      <c r="T41" s="42"/>
      <c r="U41" s="42"/>
      <c r="V41" s="42"/>
      <c r="W41" s="42"/>
      <c r="X41" s="42"/>
      <c r="Y41" s="42"/>
    </row>
    <row r="42" ht="15.75" customHeight="1">
      <c r="A42" s="199">
        <v>43423.0</v>
      </c>
      <c r="B42" s="200" t="s">
        <v>6223</v>
      </c>
      <c r="C42" s="200" t="s">
        <v>6224</v>
      </c>
      <c r="D42" s="68"/>
      <c r="E42" s="201" t="s">
        <v>6225</v>
      </c>
      <c r="F42" s="68"/>
      <c r="G42" s="68"/>
      <c r="H42" s="200" t="s">
        <v>6226</v>
      </c>
      <c r="I42" s="193" t="s">
        <v>6228</v>
      </c>
      <c r="J42" s="188" t="s">
        <v>1052</v>
      </c>
      <c r="K42" s="42"/>
      <c r="L42" s="42"/>
      <c r="M42" s="42"/>
      <c r="N42" s="42"/>
      <c r="O42" s="42"/>
      <c r="P42" s="42"/>
      <c r="Q42" s="42"/>
      <c r="R42" s="42"/>
      <c r="S42" s="42"/>
      <c r="T42" s="42"/>
      <c r="U42" s="42"/>
      <c r="V42" s="42"/>
      <c r="W42" s="42"/>
      <c r="X42" s="42"/>
      <c r="Y42" s="42"/>
    </row>
    <row r="43" ht="15.75" customHeight="1">
      <c r="A43" s="199">
        <v>43423.0</v>
      </c>
      <c r="B43" s="200" t="s">
        <v>6229</v>
      </c>
      <c r="C43" s="200" t="s">
        <v>6230</v>
      </c>
      <c r="D43" s="68"/>
      <c r="E43" s="201" t="s">
        <v>6231</v>
      </c>
      <c r="F43" s="68"/>
      <c r="G43" s="68"/>
      <c r="H43" s="200" t="s">
        <v>6232</v>
      </c>
      <c r="I43" s="193" t="s">
        <v>6228</v>
      </c>
      <c r="J43" s="188" t="s">
        <v>1052</v>
      </c>
      <c r="K43" s="42"/>
      <c r="L43" s="42"/>
      <c r="M43" s="42"/>
      <c r="N43" s="42"/>
      <c r="O43" s="42"/>
      <c r="P43" s="42"/>
      <c r="Q43" s="42"/>
      <c r="R43" s="42"/>
      <c r="S43" s="42"/>
      <c r="T43" s="42"/>
      <c r="U43" s="42"/>
      <c r="V43" s="42"/>
      <c r="W43" s="42"/>
      <c r="X43" s="42"/>
      <c r="Y43" s="42"/>
    </row>
    <row r="44" ht="15.75" customHeight="1">
      <c r="A44" s="199">
        <v>43423.0</v>
      </c>
      <c r="B44" s="200" t="s">
        <v>6206</v>
      </c>
      <c r="C44" s="200" t="s">
        <v>6207</v>
      </c>
      <c r="D44" s="68"/>
      <c r="E44" s="201" t="s">
        <v>6208</v>
      </c>
      <c r="F44" s="68"/>
      <c r="G44" s="68"/>
      <c r="H44" s="200" t="s">
        <v>6209</v>
      </c>
      <c r="I44" s="193" t="s">
        <v>6228</v>
      </c>
      <c r="J44" s="188" t="s">
        <v>1052</v>
      </c>
      <c r="K44" s="42"/>
      <c r="L44" s="42"/>
      <c r="M44" s="42"/>
      <c r="N44" s="42"/>
      <c r="O44" s="42"/>
      <c r="P44" s="42"/>
      <c r="Q44" s="42"/>
      <c r="R44" s="42"/>
      <c r="S44" s="42"/>
      <c r="T44" s="42"/>
      <c r="U44" s="42"/>
      <c r="V44" s="42"/>
      <c r="W44" s="42"/>
      <c r="X44" s="42"/>
      <c r="Y44" s="42"/>
    </row>
    <row r="45" ht="15.75" customHeight="1">
      <c r="A45" s="199">
        <v>43423.0</v>
      </c>
      <c r="B45" s="200" t="s">
        <v>6215</v>
      </c>
      <c r="C45" s="200" t="s">
        <v>6216</v>
      </c>
      <c r="D45" s="68"/>
      <c r="E45" s="201" t="s">
        <v>6217</v>
      </c>
      <c r="F45" s="68"/>
      <c r="G45" s="68"/>
      <c r="H45" s="200" t="s">
        <v>6218</v>
      </c>
      <c r="I45" s="193" t="s">
        <v>6228</v>
      </c>
      <c r="J45" s="188" t="s">
        <v>1052</v>
      </c>
      <c r="K45" s="42"/>
      <c r="L45" s="42"/>
      <c r="M45" s="42"/>
      <c r="N45" s="42"/>
      <c r="O45" s="42"/>
      <c r="P45" s="42"/>
      <c r="Q45" s="42"/>
      <c r="R45" s="42"/>
      <c r="S45" s="42"/>
      <c r="T45" s="42"/>
      <c r="U45" s="42"/>
      <c r="V45" s="42"/>
      <c r="W45" s="42"/>
      <c r="X45" s="42"/>
      <c r="Y45" s="42"/>
    </row>
    <row r="46" ht="15.75" customHeight="1">
      <c r="A46" s="199">
        <v>43423.0</v>
      </c>
      <c r="B46" s="200" t="s">
        <v>6219</v>
      </c>
      <c r="C46" s="200" t="s">
        <v>6220</v>
      </c>
      <c r="D46" s="68"/>
      <c r="E46" s="201" t="s">
        <v>6221</v>
      </c>
      <c r="F46" s="68"/>
      <c r="G46" s="68"/>
      <c r="H46" s="200" t="s">
        <v>6222</v>
      </c>
      <c r="I46" s="193" t="s">
        <v>6228</v>
      </c>
      <c r="J46" s="188" t="s">
        <v>1052</v>
      </c>
      <c r="K46" s="42"/>
      <c r="L46" s="42"/>
      <c r="M46" s="42"/>
      <c r="N46" s="42"/>
      <c r="O46" s="42"/>
      <c r="P46" s="42"/>
      <c r="Q46" s="42"/>
      <c r="R46" s="42"/>
      <c r="S46" s="42"/>
      <c r="T46" s="42"/>
      <c r="U46" s="42"/>
      <c r="V46" s="42"/>
      <c r="W46" s="42"/>
      <c r="X46" s="42"/>
      <c r="Y46" s="42"/>
    </row>
    <row r="47" ht="15.75" customHeight="1">
      <c r="A47" s="189">
        <v>43423.0</v>
      </c>
      <c r="B47" s="72" t="s">
        <v>6189</v>
      </c>
      <c r="C47" s="72" t="s">
        <v>6190</v>
      </c>
      <c r="D47" s="42"/>
      <c r="E47" s="20" t="s">
        <v>6191</v>
      </c>
      <c r="F47" s="42"/>
      <c r="G47" s="42"/>
      <c r="H47" s="72" t="s">
        <v>6192</v>
      </c>
      <c r="I47" s="42" t="s">
        <v>6228</v>
      </c>
      <c r="J47" s="188" t="s">
        <v>1052</v>
      </c>
      <c r="K47" s="42"/>
      <c r="L47" s="42"/>
      <c r="M47" s="42"/>
      <c r="N47" s="42"/>
      <c r="O47" s="42"/>
      <c r="P47" s="42"/>
      <c r="Q47" s="42"/>
      <c r="R47" s="42"/>
      <c r="S47" s="42"/>
      <c r="T47" s="42"/>
      <c r="U47" s="42"/>
      <c r="V47" s="42"/>
      <c r="W47" s="42"/>
      <c r="X47" s="42"/>
      <c r="Y47" s="42"/>
    </row>
    <row r="48" ht="15.75" customHeight="1">
      <c r="A48" s="189">
        <v>43423.0</v>
      </c>
      <c r="B48" s="72" t="s">
        <v>6233</v>
      </c>
      <c r="C48" s="72" t="s">
        <v>6234</v>
      </c>
      <c r="D48" s="72" t="s">
        <v>6234</v>
      </c>
      <c r="E48" s="20" t="s">
        <v>6235</v>
      </c>
      <c r="F48" s="42"/>
      <c r="G48" s="42"/>
      <c r="H48" s="72" t="s">
        <v>6236</v>
      </c>
      <c r="I48" s="42" t="s">
        <v>6237</v>
      </c>
      <c r="J48" s="188" t="s">
        <v>1052</v>
      </c>
      <c r="K48" s="42"/>
      <c r="L48" s="42"/>
      <c r="M48" s="42"/>
      <c r="N48" s="42"/>
      <c r="O48" s="42"/>
      <c r="P48" s="42"/>
      <c r="Q48" s="42"/>
      <c r="R48" s="42"/>
      <c r="S48" s="42"/>
      <c r="T48" s="42"/>
      <c r="U48" s="42"/>
      <c r="V48" s="42"/>
      <c r="W48" s="42"/>
      <c r="X48" s="42"/>
      <c r="Y48" s="42"/>
    </row>
    <row r="49" ht="15.75" customHeight="1">
      <c r="A49" s="189">
        <v>43423.0</v>
      </c>
      <c r="B49" s="72" t="s">
        <v>6238</v>
      </c>
      <c r="C49" s="72" t="s">
        <v>6239</v>
      </c>
      <c r="D49" s="72" t="s">
        <v>6239</v>
      </c>
      <c r="E49" s="202">
        <v>0.0</v>
      </c>
      <c r="F49" s="42"/>
      <c r="G49" s="42"/>
      <c r="H49" s="72" t="s">
        <v>6240</v>
      </c>
      <c r="I49" s="42" t="s">
        <v>6237</v>
      </c>
      <c r="J49" s="188" t="s">
        <v>1052</v>
      </c>
      <c r="K49" s="42"/>
      <c r="L49" s="42"/>
      <c r="M49" s="42"/>
      <c r="N49" s="42"/>
      <c r="O49" s="42"/>
      <c r="P49" s="42"/>
      <c r="Q49" s="42"/>
      <c r="R49" s="42"/>
      <c r="S49" s="42"/>
      <c r="T49" s="42"/>
      <c r="U49" s="42"/>
      <c r="V49" s="42"/>
      <c r="W49" s="42"/>
      <c r="X49" s="42"/>
      <c r="Y49" s="42"/>
    </row>
    <row r="50" ht="15.75" customHeight="1">
      <c r="A50" s="189">
        <v>43423.0</v>
      </c>
      <c r="B50" s="72" t="s">
        <v>6241</v>
      </c>
      <c r="C50" s="72" t="s">
        <v>6242</v>
      </c>
      <c r="D50" s="72" t="s">
        <v>6242</v>
      </c>
      <c r="E50" s="20" t="s">
        <v>6243</v>
      </c>
      <c r="F50" s="42"/>
      <c r="G50" s="42"/>
      <c r="H50" s="72" t="s">
        <v>6244</v>
      </c>
      <c r="I50" s="42" t="s">
        <v>6237</v>
      </c>
      <c r="J50" s="188" t="s">
        <v>1052</v>
      </c>
      <c r="K50" s="42"/>
      <c r="L50" s="42"/>
      <c r="M50" s="42"/>
      <c r="N50" s="42"/>
      <c r="O50" s="42"/>
      <c r="P50" s="42"/>
      <c r="Q50" s="42"/>
      <c r="R50" s="42"/>
      <c r="S50" s="42"/>
      <c r="T50" s="42"/>
      <c r="U50" s="42"/>
      <c r="V50" s="42"/>
      <c r="W50" s="42"/>
      <c r="X50" s="42"/>
      <c r="Y50" s="42"/>
    </row>
    <row r="51" ht="15.75" customHeight="1">
      <c r="A51" s="189">
        <v>43423.0</v>
      </c>
      <c r="B51" s="72" t="s">
        <v>6241</v>
      </c>
      <c r="C51" s="72" t="s">
        <v>6242</v>
      </c>
      <c r="D51" s="72" t="s">
        <v>6242</v>
      </c>
      <c r="E51" s="20" t="s">
        <v>6243</v>
      </c>
      <c r="F51" s="42"/>
      <c r="G51" s="42"/>
      <c r="H51" s="72" t="s">
        <v>6245</v>
      </c>
      <c r="I51" s="42" t="s">
        <v>6237</v>
      </c>
      <c r="J51" s="188" t="s">
        <v>1052</v>
      </c>
      <c r="K51" s="42"/>
      <c r="L51" s="42"/>
      <c r="M51" s="42"/>
      <c r="N51" s="42"/>
      <c r="O51" s="42"/>
      <c r="P51" s="42"/>
      <c r="Q51" s="42"/>
      <c r="R51" s="42"/>
      <c r="S51" s="42"/>
      <c r="T51" s="42"/>
      <c r="U51" s="42"/>
      <c r="V51" s="42"/>
      <c r="W51" s="42"/>
      <c r="X51" s="42"/>
      <c r="Y51" s="42"/>
    </row>
    <row r="52" ht="15.75" customHeight="1">
      <c r="A52" s="189">
        <v>43423.0</v>
      </c>
      <c r="B52" s="72" t="s">
        <v>6246</v>
      </c>
      <c r="C52" s="42"/>
      <c r="D52" s="72" t="s">
        <v>6247</v>
      </c>
      <c r="E52" s="20" t="s">
        <v>6248</v>
      </c>
      <c r="F52" s="42"/>
      <c r="G52" s="42"/>
      <c r="H52" s="72" t="s">
        <v>6249</v>
      </c>
      <c r="I52" s="42" t="s">
        <v>6237</v>
      </c>
      <c r="J52" s="188" t="s">
        <v>1052</v>
      </c>
      <c r="K52" s="42"/>
      <c r="L52" s="42"/>
      <c r="M52" s="42"/>
      <c r="N52" s="42"/>
      <c r="O52" s="42"/>
      <c r="P52" s="42"/>
      <c r="Q52" s="42"/>
      <c r="R52" s="42"/>
      <c r="S52" s="42"/>
      <c r="T52" s="42"/>
      <c r="U52" s="42"/>
      <c r="V52" s="42"/>
      <c r="W52" s="42"/>
      <c r="X52" s="42"/>
      <c r="Y52" s="42"/>
    </row>
    <row r="53" ht="15.75" customHeight="1">
      <c r="A53" s="42"/>
      <c r="B53" s="42"/>
      <c r="C53" s="42"/>
      <c r="D53" s="42"/>
      <c r="E53" s="42"/>
      <c r="F53" s="42"/>
      <c r="G53" s="42"/>
      <c r="H53" s="42"/>
      <c r="I53" s="42"/>
      <c r="J53" s="188" t="s">
        <v>1052</v>
      </c>
      <c r="K53" s="42"/>
      <c r="L53" s="42"/>
      <c r="M53" s="42"/>
      <c r="N53" s="42"/>
      <c r="O53" s="42"/>
      <c r="P53" s="42"/>
      <c r="Q53" s="42"/>
      <c r="R53" s="42"/>
      <c r="S53" s="42"/>
      <c r="T53" s="42"/>
      <c r="U53" s="42"/>
      <c r="V53" s="42"/>
      <c r="W53" s="42"/>
      <c r="X53" s="42"/>
      <c r="Y53" s="42"/>
    </row>
    <row r="54" ht="15.75" customHeight="1">
      <c r="A54" s="189">
        <v>43424.0</v>
      </c>
      <c r="B54" s="203" t="s">
        <v>6250</v>
      </c>
      <c r="C54" s="42"/>
      <c r="D54" s="204" t="s">
        <v>6251</v>
      </c>
      <c r="E54" s="42"/>
      <c r="F54" s="42"/>
      <c r="G54" s="42"/>
      <c r="H54" s="204" t="s">
        <v>6252</v>
      </c>
      <c r="I54" s="42"/>
      <c r="J54" s="188" t="s">
        <v>1052</v>
      </c>
      <c r="K54" s="42"/>
      <c r="L54" s="42"/>
      <c r="M54" s="42"/>
      <c r="N54" s="42"/>
      <c r="O54" s="42"/>
      <c r="P54" s="42"/>
      <c r="Q54" s="42"/>
      <c r="R54" s="42"/>
      <c r="S54" s="42"/>
      <c r="T54" s="42"/>
      <c r="U54" s="42"/>
      <c r="V54" s="42"/>
      <c r="W54" s="42"/>
      <c r="X54" s="42"/>
      <c r="Y54" s="42"/>
    </row>
    <row r="55" ht="15.75" customHeight="1">
      <c r="A55" s="189">
        <v>43424.0</v>
      </c>
      <c r="B55" s="203" t="s">
        <v>6253</v>
      </c>
      <c r="C55" s="42"/>
      <c r="D55" s="203" t="s">
        <v>6254</v>
      </c>
      <c r="E55" s="204" t="s">
        <v>6255</v>
      </c>
      <c r="F55" s="42"/>
      <c r="G55" s="42"/>
      <c r="H55" s="204" t="s">
        <v>6256</v>
      </c>
      <c r="I55" s="42"/>
      <c r="J55" s="188" t="s">
        <v>1052</v>
      </c>
      <c r="K55" s="42"/>
      <c r="L55" s="42"/>
      <c r="M55" s="42"/>
      <c r="N55" s="42"/>
      <c r="O55" s="42"/>
      <c r="P55" s="42"/>
      <c r="Q55" s="42"/>
      <c r="R55" s="42"/>
      <c r="S55" s="42"/>
      <c r="T55" s="42"/>
      <c r="U55" s="42"/>
      <c r="V55" s="42"/>
      <c r="W55" s="42"/>
      <c r="X55" s="42"/>
      <c r="Y55" s="42"/>
    </row>
    <row r="56" ht="15.75" customHeight="1">
      <c r="A56" s="189">
        <v>43424.0</v>
      </c>
      <c r="B56" s="203" t="s">
        <v>6257</v>
      </c>
      <c r="C56" s="42"/>
      <c r="D56" s="203" t="s">
        <v>6258</v>
      </c>
      <c r="E56" s="204" t="s">
        <v>6259</v>
      </c>
      <c r="F56" s="42"/>
      <c r="G56" s="42"/>
      <c r="H56" s="204" t="s">
        <v>6260</v>
      </c>
      <c r="I56" s="42"/>
      <c r="J56" s="188" t="s">
        <v>1052</v>
      </c>
      <c r="K56" s="42"/>
      <c r="L56" s="42"/>
      <c r="M56" s="42"/>
      <c r="N56" s="42"/>
      <c r="O56" s="42"/>
      <c r="P56" s="42"/>
      <c r="Q56" s="42"/>
      <c r="R56" s="42"/>
      <c r="S56" s="42"/>
      <c r="T56" s="42"/>
      <c r="U56" s="42"/>
      <c r="V56" s="42"/>
      <c r="W56" s="42"/>
      <c r="X56" s="42"/>
      <c r="Y56" s="42"/>
    </row>
    <row r="57" ht="15.75" customHeight="1">
      <c r="A57" s="189">
        <v>43424.0</v>
      </c>
      <c r="B57" s="42" t="s">
        <v>6261</v>
      </c>
      <c r="C57" s="42" t="s">
        <v>6262</v>
      </c>
      <c r="D57" s="42"/>
      <c r="E57" s="43" t="s">
        <v>6263</v>
      </c>
      <c r="F57" s="42"/>
      <c r="G57" s="42"/>
      <c r="H57" s="42" t="s">
        <v>6264</v>
      </c>
      <c r="I57" s="42"/>
      <c r="J57" s="188" t="s">
        <v>1052</v>
      </c>
      <c r="K57" s="42"/>
      <c r="L57" s="42"/>
      <c r="M57" s="42"/>
      <c r="N57" s="42"/>
      <c r="O57" s="42"/>
      <c r="P57" s="42"/>
      <c r="Q57" s="42"/>
      <c r="R57" s="42"/>
      <c r="S57" s="42"/>
      <c r="T57" s="42"/>
      <c r="U57" s="42"/>
      <c r="V57" s="42"/>
      <c r="W57" s="42"/>
      <c r="X57" s="42"/>
      <c r="Y57" s="42"/>
    </row>
    <row r="58" ht="15.75" customHeight="1">
      <c r="A58" s="189">
        <v>43424.0</v>
      </c>
      <c r="B58" s="205" t="s">
        <v>6265</v>
      </c>
      <c r="C58" s="205" t="s">
        <v>6266</v>
      </c>
      <c r="D58" s="205" t="s">
        <v>6267</v>
      </c>
      <c r="E58" s="206" t="s">
        <v>6268</v>
      </c>
      <c r="F58" s="42"/>
      <c r="G58" s="42"/>
      <c r="H58" s="42"/>
      <c r="I58" s="42"/>
      <c r="J58" s="188" t="s">
        <v>1052</v>
      </c>
      <c r="K58" s="42"/>
      <c r="L58" s="42"/>
      <c r="M58" s="42"/>
      <c r="N58" s="42"/>
      <c r="O58" s="42"/>
      <c r="P58" s="42"/>
      <c r="Q58" s="42"/>
      <c r="R58" s="42"/>
      <c r="S58" s="42"/>
      <c r="T58" s="42"/>
      <c r="U58" s="42"/>
      <c r="V58" s="42"/>
      <c r="W58" s="42"/>
      <c r="X58" s="42"/>
      <c r="Y58" s="42"/>
    </row>
    <row r="59" ht="15.75" customHeight="1">
      <c r="A59" s="189">
        <v>43424.0</v>
      </c>
      <c r="B59" s="207" t="s">
        <v>6269</v>
      </c>
      <c r="C59" s="207">
        <v>2.3417903799E10</v>
      </c>
      <c r="D59" s="42"/>
      <c r="E59" s="208" t="s">
        <v>6270</v>
      </c>
      <c r="F59" s="42"/>
      <c r="G59" s="42"/>
      <c r="H59" s="208" t="s">
        <v>6271</v>
      </c>
      <c r="I59" s="42"/>
      <c r="J59" s="188" t="s">
        <v>1052</v>
      </c>
      <c r="K59" s="42"/>
      <c r="L59" s="42"/>
      <c r="M59" s="42"/>
      <c r="N59" s="42"/>
      <c r="O59" s="42"/>
      <c r="P59" s="42"/>
      <c r="Q59" s="42"/>
      <c r="R59" s="42"/>
      <c r="S59" s="42"/>
      <c r="T59" s="42"/>
      <c r="U59" s="42"/>
      <c r="V59" s="42"/>
      <c r="W59" s="42"/>
      <c r="X59" s="42"/>
      <c r="Y59" s="42"/>
    </row>
    <row r="60" ht="15.75" customHeight="1">
      <c r="A60" s="209">
        <v>43424.0</v>
      </c>
      <c r="B60" s="210" t="s">
        <v>6272</v>
      </c>
      <c r="C60" s="210">
        <v>2.3417913088E10</v>
      </c>
      <c r="D60" s="211">
        <v>2.348023811177E12</v>
      </c>
      <c r="E60" s="212" t="s">
        <v>6273</v>
      </c>
      <c r="F60" s="213"/>
      <c r="G60" s="213"/>
      <c r="H60" s="212" t="s">
        <v>6274</v>
      </c>
      <c r="I60" s="42"/>
      <c r="J60" s="188" t="s">
        <v>1052</v>
      </c>
      <c r="K60" s="42"/>
      <c r="L60" s="42"/>
      <c r="M60" s="42"/>
      <c r="N60" s="42"/>
      <c r="O60" s="42"/>
      <c r="P60" s="42"/>
      <c r="Q60" s="42"/>
      <c r="R60" s="42"/>
      <c r="S60" s="42"/>
      <c r="T60" s="42"/>
      <c r="U60" s="42"/>
      <c r="V60" s="42"/>
      <c r="W60" s="42"/>
      <c r="X60" s="42"/>
      <c r="Y60" s="42"/>
    </row>
    <row r="61" ht="15.75" customHeight="1">
      <c r="A61" s="209">
        <v>43424.0</v>
      </c>
      <c r="B61" s="210" t="s">
        <v>6272</v>
      </c>
      <c r="C61" s="210">
        <v>2.3417913088E10</v>
      </c>
      <c r="D61" s="211">
        <v>2.348023811177E12</v>
      </c>
      <c r="E61" s="212" t="s">
        <v>6273</v>
      </c>
      <c r="F61" s="213"/>
      <c r="G61" s="214" t="s">
        <v>6270</v>
      </c>
      <c r="H61" s="212" t="s">
        <v>6275</v>
      </c>
      <c r="I61" s="42"/>
      <c r="J61" s="188" t="s">
        <v>1052</v>
      </c>
      <c r="K61" s="42"/>
      <c r="L61" s="42"/>
      <c r="M61" s="42"/>
      <c r="N61" s="42"/>
      <c r="O61" s="42"/>
      <c r="P61" s="42"/>
      <c r="Q61" s="42"/>
      <c r="R61" s="42"/>
      <c r="S61" s="42"/>
      <c r="T61" s="42"/>
      <c r="U61" s="42"/>
      <c r="V61" s="42"/>
      <c r="W61" s="42"/>
      <c r="X61" s="42"/>
      <c r="Y61" s="42"/>
    </row>
    <row r="62" ht="15.75" customHeight="1">
      <c r="A62" s="209">
        <v>43424.0</v>
      </c>
      <c r="B62" s="210" t="s">
        <v>6272</v>
      </c>
      <c r="C62" s="210">
        <v>2.3417913088E10</v>
      </c>
      <c r="D62" s="211">
        <v>2.348023811177E12</v>
      </c>
      <c r="E62" s="212" t="s">
        <v>6273</v>
      </c>
      <c r="F62" s="213"/>
      <c r="G62" s="213"/>
      <c r="H62" s="212" t="s">
        <v>6276</v>
      </c>
      <c r="I62" s="42"/>
      <c r="J62" s="188" t="s">
        <v>1052</v>
      </c>
      <c r="K62" s="42"/>
      <c r="L62" s="42"/>
      <c r="M62" s="42"/>
      <c r="N62" s="42"/>
      <c r="O62" s="42"/>
      <c r="P62" s="42"/>
      <c r="Q62" s="42"/>
      <c r="R62" s="42"/>
      <c r="S62" s="42"/>
      <c r="T62" s="42"/>
      <c r="U62" s="42"/>
      <c r="V62" s="42"/>
      <c r="W62" s="42"/>
      <c r="X62" s="42"/>
      <c r="Y62" s="42"/>
    </row>
    <row r="63" ht="15.75" customHeight="1">
      <c r="A63" s="209">
        <v>43424.0</v>
      </c>
      <c r="B63" s="210" t="s">
        <v>6272</v>
      </c>
      <c r="C63" s="210">
        <v>2.3417913088E10</v>
      </c>
      <c r="D63" s="211">
        <v>2.348023811177E12</v>
      </c>
      <c r="E63" s="212" t="s">
        <v>6273</v>
      </c>
      <c r="F63" s="213"/>
      <c r="G63" s="213"/>
      <c r="H63" s="212" t="s">
        <v>6277</v>
      </c>
      <c r="I63" s="42"/>
      <c r="J63" s="188" t="s">
        <v>1052</v>
      </c>
      <c r="K63" s="42"/>
      <c r="L63" s="42"/>
      <c r="M63" s="42"/>
      <c r="N63" s="42"/>
      <c r="O63" s="42"/>
      <c r="P63" s="42"/>
      <c r="Q63" s="42"/>
      <c r="R63" s="42"/>
      <c r="S63" s="42"/>
      <c r="T63" s="42"/>
      <c r="U63" s="42"/>
      <c r="V63" s="42"/>
      <c r="W63" s="42"/>
      <c r="X63" s="42"/>
      <c r="Y63" s="42"/>
    </row>
    <row r="64" ht="15.75" customHeight="1">
      <c r="A64" s="209">
        <v>43424.0</v>
      </c>
      <c r="B64" s="210" t="s">
        <v>6272</v>
      </c>
      <c r="C64" s="210">
        <v>2.3417913088E10</v>
      </c>
      <c r="D64" s="211">
        <v>2.348023811177E12</v>
      </c>
      <c r="E64" s="212" t="s">
        <v>6273</v>
      </c>
      <c r="F64" s="213"/>
      <c r="G64" s="213"/>
      <c r="H64" s="212" t="s">
        <v>6278</v>
      </c>
      <c r="I64" s="42"/>
      <c r="J64" s="188" t="s">
        <v>1052</v>
      </c>
      <c r="K64" s="42"/>
      <c r="L64" s="42"/>
      <c r="M64" s="42"/>
      <c r="N64" s="42"/>
      <c r="O64" s="42"/>
      <c r="P64" s="42"/>
      <c r="Q64" s="42"/>
      <c r="R64" s="42"/>
      <c r="S64" s="42"/>
      <c r="T64" s="42"/>
      <c r="U64" s="42"/>
      <c r="V64" s="42"/>
      <c r="W64" s="42"/>
      <c r="X64" s="42"/>
      <c r="Y64" s="42"/>
    </row>
    <row r="65" ht="15.75" customHeight="1">
      <c r="A65" s="209">
        <v>43424.0</v>
      </c>
      <c r="B65" s="210" t="s">
        <v>6272</v>
      </c>
      <c r="C65" s="210">
        <v>2.3417913088E10</v>
      </c>
      <c r="D65" s="211">
        <v>2.348023811177E12</v>
      </c>
      <c r="E65" s="212" t="s">
        <v>6273</v>
      </c>
      <c r="F65" s="213"/>
      <c r="G65" s="213"/>
      <c r="H65" s="212" t="s">
        <v>6279</v>
      </c>
      <c r="I65" s="42"/>
      <c r="J65" s="188" t="s">
        <v>1052</v>
      </c>
      <c r="K65" s="42"/>
      <c r="L65" s="42"/>
      <c r="M65" s="42"/>
      <c r="N65" s="42"/>
      <c r="O65" s="42"/>
      <c r="P65" s="42"/>
      <c r="Q65" s="42"/>
      <c r="R65" s="42"/>
      <c r="S65" s="42"/>
      <c r="T65" s="42"/>
      <c r="U65" s="42"/>
      <c r="V65" s="42"/>
      <c r="W65" s="42"/>
      <c r="X65" s="42"/>
      <c r="Y65" s="42"/>
    </row>
    <row r="66" ht="15.75" customHeight="1">
      <c r="A66" s="209">
        <v>43424.0</v>
      </c>
      <c r="B66" s="210" t="s">
        <v>6272</v>
      </c>
      <c r="C66" s="210">
        <v>2.3417913088E10</v>
      </c>
      <c r="D66" s="211">
        <v>2.348023811177E12</v>
      </c>
      <c r="E66" s="212" t="s">
        <v>6273</v>
      </c>
      <c r="F66" s="213"/>
      <c r="G66" s="213"/>
      <c r="H66" s="212" t="s">
        <v>6280</v>
      </c>
      <c r="I66" s="42"/>
      <c r="J66" s="188" t="s">
        <v>1052</v>
      </c>
      <c r="K66" s="42"/>
      <c r="L66" s="42"/>
      <c r="M66" s="42"/>
      <c r="N66" s="42"/>
      <c r="O66" s="42"/>
      <c r="P66" s="42"/>
      <c r="Q66" s="42"/>
      <c r="R66" s="42"/>
      <c r="S66" s="42"/>
      <c r="T66" s="42"/>
      <c r="U66" s="42"/>
      <c r="V66" s="42"/>
      <c r="W66" s="42"/>
      <c r="X66" s="42"/>
      <c r="Y66" s="42"/>
    </row>
    <row r="67" ht="15.75" customHeight="1">
      <c r="A67" s="209">
        <v>43424.0</v>
      </c>
      <c r="B67" s="210" t="s">
        <v>6272</v>
      </c>
      <c r="C67" s="210">
        <v>2.3417913088E10</v>
      </c>
      <c r="D67" s="211">
        <v>2.348023811177E12</v>
      </c>
      <c r="E67" s="212" t="s">
        <v>6273</v>
      </c>
      <c r="F67" s="213"/>
      <c r="G67" s="213"/>
      <c r="H67" s="212" t="s">
        <v>6281</v>
      </c>
      <c r="I67" s="42"/>
      <c r="J67" s="188" t="s">
        <v>1052</v>
      </c>
      <c r="K67" s="42"/>
      <c r="L67" s="42"/>
      <c r="M67" s="42"/>
      <c r="N67" s="42"/>
      <c r="O67" s="42"/>
      <c r="P67" s="42"/>
      <c r="Q67" s="42"/>
      <c r="R67" s="42"/>
      <c r="S67" s="42"/>
      <c r="T67" s="42"/>
      <c r="U67" s="42"/>
      <c r="V67" s="42"/>
      <c r="W67" s="42"/>
      <c r="X67" s="42"/>
      <c r="Y67" s="42"/>
    </row>
    <row r="68" ht="15.75" customHeight="1">
      <c r="A68" s="209">
        <v>43424.0</v>
      </c>
      <c r="B68" s="210" t="s">
        <v>6272</v>
      </c>
      <c r="C68" s="210">
        <v>2.3417913088E10</v>
      </c>
      <c r="D68" s="211">
        <v>2.348023811177E12</v>
      </c>
      <c r="E68" s="212" t="s">
        <v>6273</v>
      </c>
      <c r="F68" s="213"/>
      <c r="G68" s="213"/>
      <c r="H68" s="212" t="s">
        <v>6282</v>
      </c>
      <c r="I68" s="42"/>
      <c r="J68" s="188" t="s">
        <v>1052</v>
      </c>
      <c r="K68" s="42"/>
      <c r="L68" s="42"/>
      <c r="M68" s="42"/>
      <c r="N68" s="42"/>
      <c r="O68" s="42"/>
      <c r="P68" s="42"/>
      <c r="Q68" s="42"/>
      <c r="R68" s="42"/>
      <c r="S68" s="42"/>
      <c r="T68" s="42"/>
      <c r="U68" s="42"/>
      <c r="V68" s="42"/>
      <c r="W68" s="42"/>
      <c r="X68" s="42"/>
      <c r="Y68" s="42"/>
    </row>
    <row r="69" ht="15.75" customHeight="1">
      <c r="A69" s="209">
        <v>43424.0</v>
      </c>
      <c r="B69" s="210" t="s">
        <v>6272</v>
      </c>
      <c r="C69" s="210">
        <v>2.3417913088E10</v>
      </c>
      <c r="D69" s="211">
        <v>2.348023811177E12</v>
      </c>
      <c r="E69" s="212" t="s">
        <v>6273</v>
      </c>
      <c r="F69" s="213"/>
      <c r="G69" s="213"/>
      <c r="H69" s="212" t="s">
        <v>6283</v>
      </c>
      <c r="I69" s="42"/>
      <c r="J69" s="188" t="s">
        <v>1052</v>
      </c>
      <c r="K69" s="42"/>
      <c r="L69" s="42"/>
      <c r="M69" s="42"/>
      <c r="N69" s="42"/>
      <c r="O69" s="42"/>
      <c r="P69" s="42"/>
      <c r="Q69" s="42"/>
      <c r="R69" s="42"/>
      <c r="S69" s="42"/>
      <c r="T69" s="42"/>
      <c r="U69" s="42"/>
      <c r="V69" s="42"/>
      <c r="W69" s="42"/>
      <c r="X69" s="42"/>
      <c r="Y69" s="42"/>
    </row>
    <row r="70" ht="15.75" customHeight="1">
      <c r="A70" s="209">
        <v>43424.0</v>
      </c>
      <c r="B70" s="210" t="s">
        <v>6272</v>
      </c>
      <c r="C70" s="210">
        <v>2.3417913088E10</v>
      </c>
      <c r="D70" s="211">
        <v>2.348023811177E12</v>
      </c>
      <c r="E70" s="212" t="s">
        <v>6273</v>
      </c>
      <c r="F70" s="213"/>
      <c r="G70" s="213"/>
      <c r="H70" s="212" t="s">
        <v>6284</v>
      </c>
      <c r="I70" s="42"/>
      <c r="J70" s="188" t="s">
        <v>1052</v>
      </c>
      <c r="K70" s="42"/>
      <c r="L70" s="42"/>
      <c r="M70" s="42"/>
      <c r="N70" s="42"/>
      <c r="O70" s="42"/>
      <c r="P70" s="42"/>
      <c r="Q70" s="42"/>
      <c r="R70" s="42"/>
      <c r="S70" s="42"/>
      <c r="T70" s="42"/>
      <c r="U70" s="42"/>
      <c r="V70" s="42"/>
      <c r="W70" s="42"/>
      <c r="X70" s="42"/>
      <c r="Y70" s="42"/>
    </row>
    <row r="71" ht="15.75" customHeight="1">
      <c r="A71" s="209">
        <v>43424.0</v>
      </c>
      <c r="B71" s="210" t="s">
        <v>6272</v>
      </c>
      <c r="C71" s="210">
        <v>2.3417913088E10</v>
      </c>
      <c r="D71" s="211">
        <v>2.348023811177E12</v>
      </c>
      <c r="E71" s="212" t="s">
        <v>6273</v>
      </c>
      <c r="F71" s="213"/>
      <c r="G71" s="213"/>
      <c r="H71" s="212" t="s">
        <v>6285</v>
      </c>
      <c r="I71" s="42"/>
      <c r="J71" s="188" t="s">
        <v>1052</v>
      </c>
      <c r="K71" s="42"/>
      <c r="L71" s="42"/>
      <c r="M71" s="42"/>
      <c r="N71" s="42"/>
      <c r="O71" s="42"/>
      <c r="P71" s="42"/>
      <c r="Q71" s="42"/>
      <c r="R71" s="42"/>
      <c r="S71" s="42"/>
      <c r="T71" s="42"/>
      <c r="U71" s="42"/>
      <c r="V71" s="42"/>
      <c r="W71" s="42"/>
      <c r="X71" s="42"/>
      <c r="Y71" s="42"/>
    </row>
    <row r="72" ht="15.75" customHeight="1">
      <c r="A72" s="209">
        <v>43424.0</v>
      </c>
      <c r="B72" s="210" t="s">
        <v>6272</v>
      </c>
      <c r="C72" s="210">
        <v>2.3417913088E10</v>
      </c>
      <c r="D72" s="211">
        <v>2.348023811177E12</v>
      </c>
      <c r="E72" s="212" t="s">
        <v>6273</v>
      </c>
      <c r="F72" s="213"/>
      <c r="G72" s="213"/>
      <c r="H72" s="212" t="s">
        <v>6286</v>
      </c>
      <c r="I72" s="42"/>
      <c r="J72" s="188" t="s">
        <v>1052</v>
      </c>
      <c r="K72" s="42"/>
      <c r="L72" s="42"/>
      <c r="M72" s="42"/>
      <c r="N72" s="42"/>
      <c r="O72" s="42"/>
      <c r="P72" s="42"/>
      <c r="Q72" s="42"/>
      <c r="R72" s="42"/>
      <c r="S72" s="42"/>
      <c r="T72" s="42"/>
      <c r="U72" s="42"/>
      <c r="V72" s="42"/>
      <c r="W72" s="42"/>
      <c r="X72" s="42"/>
      <c r="Y72" s="42"/>
    </row>
    <row r="73" ht="15.75" customHeight="1">
      <c r="A73" s="209">
        <v>43424.0</v>
      </c>
      <c r="B73" s="210" t="s">
        <v>6272</v>
      </c>
      <c r="C73" s="210">
        <v>2.3417913088E10</v>
      </c>
      <c r="D73" s="211">
        <v>2.348023811177E12</v>
      </c>
      <c r="E73" s="212" t="s">
        <v>6273</v>
      </c>
      <c r="F73" s="213"/>
      <c r="G73" s="213"/>
      <c r="H73" s="212" t="s">
        <v>6287</v>
      </c>
      <c r="I73" s="42"/>
      <c r="J73" s="188" t="s">
        <v>1052</v>
      </c>
      <c r="K73" s="42"/>
      <c r="L73" s="42"/>
      <c r="M73" s="42"/>
      <c r="N73" s="42"/>
      <c r="O73" s="42"/>
      <c r="P73" s="42"/>
      <c r="Q73" s="42"/>
      <c r="R73" s="42"/>
      <c r="S73" s="42"/>
      <c r="T73" s="42"/>
      <c r="U73" s="42"/>
      <c r="V73" s="42"/>
      <c r="W73" s="42"/>
      <c r="X73" s="42"/>
      <c r="Y73" s="42"/>
    </row>
    <row r="74" ht="15.75" customHeight="1">
      <c r="A74" s="209">
        <v>43424.0</v>
      </c>
      <c r="B74" s="210" t="s">
        <v>6272</v>
      </c>
      <c r="C74" s="210">
        <v>2.3417913088E10</v>
      </c>
      <c r="D74" s="211">
        <v>2.348023811177E12</v>
      </c>
      <c r="E74" s="212" t="s">
        <v>6273</v>
      </c>
      <c r="F74" s="213"/>
      <c r="G74" s="213"/>
      <c r="H74" s="212" t="s">
        <v>6288</v>
      </c>
      <c r="I74" s="42"/>
      <c r="J74" s="188" t="s">
        <v>1052</v>
      </c>
      <c r="K74" s="42"/>
      <c r="L74" s="42"/>
      <c r="M74" s="42"/>
      <c r="N74" s="42"/>
      <c r="O74" s="42"/>
      <c r="P74" s="42"/>
      <c r="Q74" s="42"/>
      <c r="R74" s="42"/>
      <c r="S74" s="42"/>
      <c r="T74" s="42"/>
      <c r="U74" s="42"/>
      <c r="V74" s="42"/>
      <c r="W74" s="42"/>
      <c r="X74" s="42"/>
      <c r="Y74" s="42"/>
    </row>
    <row r="75" ht="15.75" customHeight="1">
      <c r="A75" s="209">
        <v>43424.0</v>
      </c>
      <c r="B75" s="210" t="s">
        <v>6272</v>
      </c>
      <c r="C75" s="210">
        <v>2.3417913088E10</v>
      </c>
      <c r="D75" s="211">
        <v>2.348023811177E12</v>
      </c>
      <c r="E75" s="212" t="s">
        <v>6273</v>
      </c>
      <c r="F75" s="213"/>
      <c r="G75" s="213"/>
      <c r="H75" s="212" t="s">
        <v>6289</v>
      </c>
      <c r="I75" s="42"/>
      <c r="J75" s="188" t="s">
        <v>1052</v>
      </c>
      <c r="K75" s="42"/>
      <c r="L75" s="42"/>
      <c r="M75" s="42"/>
      <c r="N75" s="42"/>
      <c r="O75" s="42"/>
      <c r="P75" s="42"/>
      <c r="Q75" s="42"/>
      <c r="R75" s="42"/>
      <c r="S75" s="42"/>
      <c r="T75" s="42"/>
      <c r="U75" s="42"/>
      <c r="V75" s="42"/>
      <c r="W75" s="42"/>
      <c r="X75" s="42"/>
      <c r="Y75" s="42"/>
    </row>
    <row r="76" ht="15.75" customHeight="1">
      <c r="A76" s="209">
        <v>43424.0</v>
      </c>
      <c r="B76" s="210" t="s">
        <v>6272</v>
      </c>
      <c r="C76" s="210">
        <v>2.3417913088E10</v>
      </c>
      <c r="D76" s="211">
        <v>2.348023811177E12</v>
      </c>
      <c r="E76" s="212" t="s">
        <v>6273</v>
      </c>
      <c r="F76" s="213"/>
      <c r="G76" s="213"/>
      <c r="H76" s="212" t="s">
        <v>6290</v>
      </c>
      <c r="I76" s="42"/>
      <c r="J76" s="188" t="s">
        <v>1052</v>
      </c>
      <c r="K76" s="42"/>
      <c r="L76" s="42"/>
      <c r="M76" s="42"/>
      <c r="N76" s="42"/>
      <c r="O76" s="42"/>
      <c r="P76" s="42"/>
      <c r="Q76" s="42"/>
      <c r="R76" s="42"/>
      <c r="S76" s="42"/>
      <c r="T76" s="42"/>
      <c r="U76" s="42"/>
      <c r="V76" s="42"/>
      <c r="W76" s="42"/>
      <c r="X76" s="42"/>
      <c r="Y76" s="42"/>
    </row>
    <row r="77" ht="15.75" customHeight="1">
      <c r="A77" s="209">
        <v>43424.0</v>
      </c>
      <c r="B77" s="210" t="s">
        <v>6272</v>
      </c>
      <c r="C77" s="210">
        <v>2.3417913088E10</v>
      </c>
      <c r="D77" s="211">
        <v>2.348023811177E12</v>
      </c>
      <c r="E77" s="212" t="s">
        <v>6273</v>
      </c>
      <c r="F77" s="213"/>
      <c r="G77" s="213"/>
      <c r="H77" s="212" t="s">
        <v>6291</v>
      </c>
      <c r="I77" s="42"/>
      <c r="J77" s="188" t="s">
        <v>1052</v>
      </c>
      <c r="K77" s="42"/>
      <c r="L77" s="42"/>
      <c r="M77" s="42"/>
      <c r="N77" s="42"/>
      <c r="O77" s="42"/>
      <c r="P77" s="42"/>
      <c r="Q77" s="42"/>
      <c r="R77" s="42"/>
      <c r="S77" s="42"/>
      <c r="T77" s="42"/>
      <c r="U77" s="42"/>
      <c r="V77" s="42"/>
      <c r="W77" s="42"/>
      <c r="X77" s="42"/>
      <c r="Y77" s="42"/>
    </row>
    <row r="78" ht="15.75" customHeight="1">
      <c r="A78" s="209">
        <v>43424.0</v>
      </c>
      <c r="B78" s="210" t="s">
        <v>6272</v>
      </c>
      <c r="C78" s="210">
        <v>2.3417913088E10</v>
      </c>
      <c r="D78" s="211">
        <v>2.348023811177E12</v>
      </c>
      <c r="E78" s="212" t="s">
        <v>6273</v>
      </c>
      <c r="F78" s="213"/>
      <c r="G78" s="213"/>
      <c r="H78" s="212" t="s">
        <v>6292</v>
      </c>
      <c r="I78" s="42"/>
      <c r="J78" s="188" t="s">
        <v>1052</v>
      </c>
      <c r="K78" s="42"/>
      <c r="L78" s="42"/>
      <c r="M78" s="42"/>
      <c r="N78" s="42"/>
      <c r="O78" s="42"/>
      <c r="P78" s="42"/>
      <c r="Q78" s="42"/>
      <c r="R78" s="42"/>
      <c r="S78" s="42"/>
      <c r="T78" s="42"/>
      <c r="U78" s="42"/>
      <c r="V78" s="42"/>
      <c r="W78" s="42"/>
      <c r="X78" s="42"/>
      <c r="Y78" s="42"/>
    </row>
    <row r="79" ht="15.75" customHeight="1">
      <c r="A79" s="209">
        <v>43424.0</v>
      </c>
      <c r="B79" s="210" t="s">
        <v>6272</v>
      </c>
      <c r="C79" s="210">
        <v>2.3417913088E10</v>
      </c>
      <c r="D79" s="211">
        <v>2.348023811177E12</v>
      </c>
      <c r="E79" s="212" t="s">
        <v>6273</v>
      </c>
      <c r="F79" s="213"/>
      <c r="G79" s="213"/>
      <c r="H79" s="212" t="s">
        <v>6293</v>
      </c>
      <c r="I79" s="42"/>
      <c r="J79" s="188" t="s">
        <v>1052</v>
      </c>
      <c r="K79" s="42"/>
      <c r="L79" s="42"/>
      <c r="M79" s="42"/>
      <c r="N79" s="42"/>
      <c r="O79" s="42"/>
      <c r="P79" s="42"/>
      <c r="Q79" s="42"/>
      <c r="R79" s="42"/>
      <c r="S79" s="42"/>
      <c r="T79" s="42"/>
      <c r="U79" s="42"/>
      <c r="V79" s="42"/>
      <c r="W79" s="42"/>
      <c r="X79" s="42"/>
      <c r="Y79" s="42"/>
    </row>
    <row r="80" ht="15.75" customHeight="1">
      <c r="A80" s="209">
        <v>43424.0</v>
      </c>
      <c r="B80" s="210" t="s">
        <v>6272</v>
      </c>
      <c r="C80" s="210">
        <v>2.3417913088E10</v>
      </c>
      <c r="D80" s="211">
        <v>2.348023811177E12</v>
      </c>
      <c r="E80" s="212" t="s">
        <v>6273</v>
      </c>
      <c r="F80" s="213"/>
      <c r="G80" s="213"/>
      <c r="H80" s="212" t="s">
        <v>6294</v>
      </c>
      <c r="I80" s="42"/>
      <c r="J80" s="188" t="s">
        <v>1052</v>
      </c>
      <c r="K80" s="42"/>
      <c r="L80" s="42"/>
      <c r="M80" s="42"/>
      <c r="N80" s="42"/>
      <c r="O80" s="42"/>
      <c r="P80" s="42"/>
      <c r="Q80" s="42"/>
      <c r="R80" s="42"/>
      <c r="S80" s="42"/>
      <c r="T80" s="42"/>
      <c r="U80" s="42"/>
      <c r="V80" s="42"/>
      <c r="W80" s="42"/>
      <c r="X80" s="42"/>
      <c r="Y80" s="42"/>
    </row>
    <row r="81" ht="15.75" customHeight="1">
      <c r="A81" s="209">
        <v>43424.0</v>
      </c>
      <c r="B81" s="210" t="s">
        <v>6272</v>
      </c>
      <c r="C81" s="210">
        <v>2.3417913088E10</v>
      </c>
      <c r="D81" s="211">
        <v>2.348023811177E12</v>
      </c>
      <c r="E81" s="212" t="s">
        <v>6273</v>
      </c>
      <c r="F81" s="213"/>
      <c r="G81" s="213"/>
      <c r="H81" s="212" t="s">
        <v>6295</v>
      </c>
      <c r="I81" s="42"/>
      <c r="J81" s="188" t="s">
        <v>1052</v>
      </c>
      <c r="K81" s="42"/>
      <c r="L81" s="42"/>
      <c r="M81" s="42"/>
      <c r="N81" s="42"/>
      <c r="O81" s="42"/>
      <c r="P81" s="42"/>
      <c r="Q81" s="42"/>
      <c r="R81" s="42"/>
      <c r="S81" s="42"/>
      <c r="T81" s="42"/>
      <c r="U81" s="42"/>
      <c r="V81" s="42"/>
      <c r="W81" s="42"/>
      <c r="X81" s="42"/>
      <c r="Y81" s="42"/>
    </row>
    <row r="82" ht="15.75" customHeight="1">
      <c r="A82" s="209">
        <v>43424.0</v>
      </c>
      <c r="B82" s="210" t="s">
        <v>6272</v>
      </c>
      <c r="C82" s="210">
        <v>2.3417913088E10</v>
      </c>
      <c r="D82" s="211">
        <v>2.348023811177E12</v>
      </c>
      <c r="E82" s="212" t="s">
        <v>6273</v>
      </c>
      <c r="F82" s="213"/>
      <c r="G82" s="213"/>
      <c r="H82" s="212" t="s">
        <v>6296</v>
      </c>
      <c r="I82" s="42"/>
      <c r="J82" s="188" t="s">
        <v>1052</v>
      </c>
      <c r="K82" s="42"/>
      <c r="L82" s="42"/>
      <c r="M82" s="42"/>
      <c r="N82" s="42"/>
      <c r="O82" s="42"/>
      <c r="P82" s="42"/>
      <c r="Q82" s="42"/>
      <c r="R82" s="42"/>
      <c r="S82" s="42"/>
      <c r="T82" s="42"/>
      <c r="U82" s="42"/>
      <c r="V82" s="42"/>
      <c r="W82" s="42"/>
      <c r="X82" s="42"/>
      <c r="Y82" s="42"/>
    </row>
    <row r="83" ht="15.75" customHeight="1">
      <c r="A83" s="209">
        <v>43424.0</v>
      </c>
      <c r="B83" s="210" t="s">
        <v>6272</v>
      </c>
      <c r="C83" s="210">
        <v>2.3417913088E10</v>
      </c>
      <c r="D83" s="211">
        <v>2.348023811177E12</v>
      </c>
      <c r="E83" s="212" t="s">
        <v>6273</v>
      </c>
      <c r="F83" s="213"/>
      <c r="G83" s="213"/>
      <c r="H83" s="212" t="s">
        <v>6297</v>
      </c>
      <c r="I83" s="42"/>
      <c r="J83" s="188" t="s">
        <v>1052</v>
      </c>
      <c r="K83" s="42"/>
      <c r="L83" s="42"/>
      <c r="M83" s="42"/>
      <c r="N83" s="42"/>
      <c r="O83" s="42"/>
      <c r="P83" s="42"/>
      <c r="Q83" s="42"/>
      <c r="R83" s="42"/>
      <c r="S83" s="42"/>
      <c r="T83" s="42"/>
      <c r="U83" s="42"/>
      <c r="V83" s="42"/>
      <c r="W83" s="42"/>
      <c r="X83" s="42"/>
      <c r="Y83" s="42"/>
    </row>
    <row r="84" ht="15.75" customHeight="1">
      <c r="A84" s="209">
        <v>43424.0</v>
      </c>
      <c r="B84" s="210" t="s">
        <v>6272</v>
      </c>
      <c r="C84" s="210">
        <v>2.3417913088E10</v>
      </c>
      <c r="D84" s="211">
        <v>2.348023811177E12</v>
      </c>
      <c r="E84" s="212" t="s">
        <v>6273</v>
      </c>
      <c r="F84" s="213"/>
      <c r="G84" s="213"/>
      <c r="H84" s="212" t="s">
        <v>6298</v>
      </c>
      <c r="I84" s="42"/>
      <c r="J84" s="188" t="s">
        <v>1052</v>
      </c>
      <c r="K84" s="42"/>
      <c r="L84" s="42"/>
      <c r="M84" s="42"/>
      <c r="N84" s="42"/>
      <c r="O84" s="42"/>
      <c r="P84" s="42"/>
      <c r="Q84" s="42"/>
      <c r="R84" s="42"/>
      <c r="S84" s="42"/>
      <c r="T84" s="42"/>
      <c r="U84" s="42"/>
      <c r="V84" s="42"/>
      <c r="W84" s="42"/>
      <c r="X84" s="42"/>
      <c r="Y84" s="42"/>
    </row>
    <row r="85" ht="15.75" customHeight="1">
      <c r="A85" s="209">
        <v>43424.0</v>
      </c>
      <c r="B85" s="210" t="s">
        <v>6272</v>
      </c>
      <c r="C85" s="210">
        <v>2.3417913088E10</v>
      </c>
      <c r="D85" s="211">
        <v>2.348023811177E12</v>
      </c>
      <c r="E85" s="212" t="s">
        <v>6273</v>
      </c>
      <c r="F85" s="213"/>
      <c r="G85" s="213"/>
      <c r="H85" s="212" t="s">
        <v>6299</v>
      </c>
      <c r="I85" s="42"/>
      <c r="J85" s="188" t="s">
        <v>1052</v>
      </c>
      <c r="K85" s="42"/>
      <c r="L85" s="42"/>
      <c r="M85" s="42"/>
      <c r="N85" s="42"/>
      <c r="O85" s="42"/>
      <c r="P85" s="42"/>
      <c r="Q85" s="42"/>
      <c r="R85" s="42"/>
      <c r="S85" s="42"/>
      <c r="T85" s="42"/>
      <c r="U85" s="42"/>
      <c r="V85" s="42"/>
      <c r="W85" s="42"/>
      <c r="X85" s="42"/>
      <c r="Y85" s="42"/>
    </row>
    <row r="86" ht="15.75" customHeight="1">
      <c r="A86" s="209">
        <v>43424.0</v>
      </c>
      <c r="B86" s="210" t="s">
        <v>6272</v>
      </c>
      <c r="C86" s="210">
        <v>2.3417913088E10</v>
      </c>
      <c r="D86" s="211">
        <v>2.348023811177E12</v>
      </c>
      <c r="E86" s="212" t="s">
        <v>6273</v>
      </c>
      <c r="F86" s="213"/>
      <c r="G86" s="213"/>
      <c r="H86" s="212" t="s">
        <v>6300</v>
      </c>
      <c r="I86" s="42"/>
      <c r="J86" s="188" t="s">
        <v>1052</v>
      </c>
      <c r="K86" s="42"/>
      <c r="L86" s="42"/>
      <c r="M86" s="42"/>
      <c r="N86" s="42"/>
      <c r="O86" s="42"/>
      <c r="P86" s="42"/>
      <c r="Q86" s="42"/>
      <c r="R86" s="42"/>
      <c r="S86" s="42"/>
      <c r="T86" s="42"/>
      <c r="U86" s="42"/>
      <c r="V86" s="42"/>
      <c r="W86" s="42"/>
      <c r="X86" s="42"/>
      <c r="Y86" s="42"/>
    </row>
    <row r="87" ht="15.75" customHeight="1">
      <c r="A87" s="209">
        <v>43424.0</v>
      </c>
      <c r="B87" s="210" t="s">
        <v>6272</v>
      </c>
      <c r="C87" s="210">
        <v>2.3417913088E10</v>
      </c>
      <c r="D87" s="211">
        <v>2.348023811177E12</v>
      </c>
      <c r="E87" s="212" t="s">
        <v>6273</v>
      </c>
      <c r="F87" s="213"/>
      <c r="G87" s="213"/>
      <c r="H87" s="212" t="s">
        <v>6301</v>
      </c>
      <c r="I87" s="42"/>
      <c r="J87" s="188" t="s">
        <v>1052</v>
      </c>
      <c r="K87" s="42"/>
      <c r="L87" s="42"/>
      <c r="M87" s="42"/>
      <c r="N87" s="42"/>
      <c r="O87" s="42"/>
      <c r="P87" s="42"/>
      <c r="Q87" s="42"/>
      <c r="R87" s="42"/>
      <c r="S87" s="42"/>
      <c r="T87" s="42"/>
      <c r="U87" s="42"/>
      <c r="V87" s="42"/>
      <c r="W87" s="42"/>
      <c r="X87" s="42"/>
      <c r="Y87" s="42"/>
    </row>
    <row r="88" ht="15.75" customHeight="1">
      <c r="A88" s="209">
        <v>43424.0</v>
      </c>
      <c r="B88" s="210" t="s">
        <v>6272</v>
      </c>
      <c r="C88" s="210">
        <v>2.3417913088E10</v>
      </c>
      <c r="D88" s="211">
        <v>2.348023811177E12</v>
      </c>
      <c r="E88" s="212" t="s">
        <v>6273</v>
      </c>
      <c r="F88" s="213"/>
      <c r="G88" s="213"/>
      <c r="H88" s="212" t="s">
        <v>6302</v>
      </c>
      <c r="I88" s="42"/>
      <c r="J88" s="188" t="s">
        <v>1052</v>
      </c>
      <c r="K88" s="42"/>
      <c r="L88" s="42"/>
      <c r="M88" s="42"/>
      <c r="N88" s="42"/>
      <c r="O88" s="42"/>
      <c r="P88" s="42"/>
      <c r="Q88" s="42"/>
      <c r="R88" s="42"/>
      <c r="S88" s="42"/>
      <c r="T88" s="42"/>
      <c r="U88" s="42"/>
      <c r="V88" s="42"/>
      <c r="W88" s="42"/>
      <c r="X88" s="42"/>
      <c r="Y88" s="42"/>
    </row>
    <row r="89" ht="15.75" customHeight="1">
      <c r="A89" s="209">
        <v>43424.0</v>
      </c>
      <c r="B89" s="210" t="s">
        <v>6272</v>
      </c>
      <c r="C89" s="210">
        <v>2.3417913088E10</v>
      </c>
      <c r="D89" s="211">
        <v>2.348023811177E12</v>
      </c>
      <c r="E89" s="212" t="s">
        <v>6273</v>
      </c>
      <c r="F89" s="213"/>
      <c r="G89" s="213"/>
      <c r="H89" s="212" t="s">
        <v>6303</v>
      </c>
      <c r="I89" s="42"/>
      <c r="J89" s="188" t="s">
        <v>1052</v>
      </c>
      <c r="K89" s="42"/>
      <c r="L89" s="42"/>
      <c r="M89" s="42"/>
      <c r="N89" s="42"/>
      <c r="O89" s="42"/>
      <c r="P89" s="42"/>
      <c r="Q89" s="42"/>
      <c r="R89" s="42"/>
      <c r="S89" s="42"/>
      <c r="T89" s="42"/>
      <c r="U89" s="42"/>
      <c r="V89" s="42"/>
      <c r="W89" s="42"/>
      <c r="X89" s="42"/>
      <c r="Y89" s="42"/>
    </row>
    <row r="90" ht="15.75" customHeight="1">
      <c r="A90" s="209">
        <v>43424.0</v>
      </c>
      <c r="B90" s="210" t="s">
        <v>6272</v>
      </c>
      <c r="C90" s="210">
        <v>2.3417913088E10</v>
      </c>
      <c r="D90" s="211">
        <v>2.348023811177E12</v>
      </c>
      <c r="E90" s="212" t="s">
        <v>6273</v>
      </c>
      <c r="F90" s="213"/>
      <c r="G90" s="213"/>
      <c r="H90" s="212" t="s">
        <v>6304</v>
      </c>
      <c r="I90" s="42"/>
      <c r="J90" s="188" t="s">
        <v>1052</v>
      </c>
      <c r="K90" s="42"/>
      <c r="L90" s="42"/>
      <c r="M90" s="42"/>
      <c r="N90" s="42"/>
      <c r="O90" s="42"/>
      <c r="P90" s="42"/>
      <c r="Q90" s="42"/>
      <c r="R90" s="42"/>
      <c r="S90" s="42"/>
      <c r="T90" s="42"/>
      <c r="U90" s="42"/>
      <c r="V90" s="42"/>
      <c r="W90" s="42"/>
      <c r="X90" s="42"/>
      <c r="Y90" s="42"/>
    </row>
    <row r="91" ht="15.75" customHeight="1">
      <c r="A91" s="189">
        <v>43424.0</v>
      </c>
      <c r="B91" s="42"/>
      <c r="C91" s="42"/>
      <c r="D91" s="202">
        <v>2.3493148844E10</v>
      </c>
      <c r="E91" s="20" t="s">
        <v>6305</v>
      </c>
      <c r="F91" s="42"/>
      <c r="G91" s="42"/>
      <c r="H91" s="20" t="s">
        <v>6306</v>
      </c>
      <c r="I91" s="42"/>
      <c r="J91" s="188" t="s">
        <v>1052</v>
      </c>
      <c r="K91" s="42"/>
      <c r="L91" s="42"/>
      <c r="M91" s="42"/>
      <c r="N91" s="42"/>
      <c r="O91" s="42"/>
      <c r="P91" s="42"/>
      <c r="Q91" s="42"/>
      <c r="R91" s="42"/>
      <c r="S91" s="42"/>
      <c r="T91" s="42"/>
      <c r="U91" s="42"/>
      <c r="V91" s="42"/>
      <c r="W91" s="42"/>
      <c r="X91" s="42"/>
      <c r="Y91" s="42"/>
    </row>
    <row r="92" ht="15.75" customHeight="1">
      <c r="A92" s="189">
        <v>43424.0</v>
      </c>
      <c r="B92" s="72" t="s">
        <v>6307</v>
      </c>
      <c r="C92" s="72">
        <v>2.349780184E10</v>
      </c>
      <c r="D92" s="202">
        <v>2.348036590216E12</v>
      </c>
      <c r="E92" s="42"/>
      <c r="F92" s="42"/>
      <c r="G92" s="42"/>
      <c r="H92" s="20" t="s">
        <v>6308</v>
      </c>
      <c r="I92" s="42"/>
      <c r="J92" s="188" t="s">
        <v>1052</v>
      </c>
      <c r="K92" s="42"/>
      <c r="L92" s="42"/>
      <c r="M92" s="42"/>
      <c r="N92" s="42"/>
      <c r="O92" s="42"/>
      <c r="P92" s="42"/>
      <c r="Q92" s="42"/>
      <c r="R92" s="42"/>
      <c r="S92" s="42"/>
      <c r="T92" s="42"/>
      <c r="U92" s="42"/>
      <c r="V92" s="42"/>
      <c r="W92" s="42"/>
      <c r="X92" s="42"/>
      <c r="Y92" s="42"/>
    </row>
    <row r="93" ht="15.75" customHeight="1">
      <c r="A93" s="189">
        <v>43424.0</v>
      </c>
      <c r="B93" s="72" t="s">
        <v>6309</v>
      </c>
      <c r="C93" s="42"/>
      <c r="D93" s="202">
        <v>2.348032083446E12</v>
      </c>
      <c r="E93" s="42"/>
      <c r="F93" s="42"/>
      <c r="G93" s="42"/>
      <c r="H93" s="20" t="s">
        <v>6310</v>
      </c>
      <c r="I93" s="42"/>
      <c r="J93" s="188" t="s">
        <v>1052</v>
      </c>
      <c r="K93" s="42"/>
      <c r="L93" s="42"/>
      <c r="M93" s="42"/>
      <c r="N93" s="42"/>
      <c r="O93" s="42"/>
      <c r="P93" s="42"/>
      <c r="Q93" s="42"/>
      <c r="R93" s="42"/>
      <c r="S93" s="42"/>
      <c r="T93" s="42"/>
      <c r="U93" s="42"/>
      <c r="V93" s="42"/>
      <c r="W93" s="42"/>
      <c r="X93" s="42"/>
      <c r="Y93" s="42"/>
    </row>
    <row r="94" ht="15.75" customHeight="1">
      <c r="A94" s="189">
        <v>43424.0</v>
      </c>
      <c r="B94" s="72" t="s">
        <v>6311</v>
      </c>
      <c r="C94" s="42"/>
      <c r="D94" s="202">
        <v>2.348058333333E12</v>
      </c>
      <c r="E94" s="42"/>
      <c r="F94" s="42"/>
      <c r="G94" s="42"/>
      <c r="H94" s="20" t="s">
        <v>6312</v>
      </c>
      <c r="I94" s="42"/>
      <c r="J94" s="188" t="s">
        <v>1052</v>
      </c>
      <c r="K94" s="42"/>
      <c r="L94" s="42"/>
      <c r="M94" s="42"/>
      <c r="N94" s="42"/>
      <c r="O94" s="42"/>
      <c r="P94" s="42"/>
      <c r="Q94" s="42"/>
      <c r="R94" s="42"/>
      <c r="S94" s="42"/>
      <c r="T94" s="42"/>
      <c r="U94" s="42"/>
      <c r="V94" s="42"/>
      <c r="W94" s="42"/>
      <c r="X94" s="42"/>
      <c r="Y94" s="42"/>
    </row>
    <row r="95" ht="15.75" customHeight="1">
      <c r="A95" s="189">
        <v>43424.0</v>
      </c>
      <c r="B95" s="72" t="s">
        <v>6313</v>
      </c>
      <c r="C95" s="42"/>
      <c r="D95" s="72" t="s">
        <v>6314</v>
      </c>
      <c r="E95" s="20" t="s">
        <v>6315</v>
      </c>
      <c r="F95" s="42"/>
      <c r="G95" s="42"/>
      <c r="H95" s="20" t="s">
        <v>6316</v>
      </c>
      <c r="I95" s="42"/>
      <c r="J95" s="188" t="s">
        <v>1052</v>
      </c>
      <c r="K95" s="42"/>
      <c r="L95" s="42"/>
      <c r="M95" s="42"/>
      <c r="N95" s="42"/>
      <c r="O95" s="42"/>
      <c r="P95" s="42"/>
      <c r="Q95" s="42"/>
      <c r="R95" s="42"/>
      <c r="S95" s="42"/>
      <c r="T95" s="42"/>
      <c r="U95" s="42"/>
      <c r="V95" s="42"/>
      <c r="W95" s="42"/>
      <c r="X95" s="42"/>
      <c r="Y95" s="42"/>
    </row>
    <row r="96" ht="15.75" customHeight="1">
      <c r="A96" s="189">
        <v>43424.0</v>
      </c>
      <c r="B96" s="72" t="s">
        <v>6317</v>
      </c>
      <c r="C96" s="42"/>
      <c r="D96" s="202">
        <v>2.3408034673208E13</v>
      </c>
      <c r="E96" s="42"/>
      <c r="F96" s="42"/>
      <c r="G96" s="42"/>
      <c r="H96" s="20" t="s">
        <v>6318</v>
      </c>
      <c r="I96" s="42"/>
      <c r="J96" s="188" t="s">
        <v>1052</v>
      </c>
      <c r="K96" s="42"/>
      <c r="L96" s="42"/>
      <c r="M96" s="42"/>
      <c r="N96" s="42"/>
      <c r="O96" s="42"/>
      <c r="P96" s="42"/>
      <c r="Q96" s="42"/>
      <c r="R96" s="42"/>
      <c r="S96" s="42"/>
      <c r="T96" s="42"/>
      <c r="U96" s="42"/>
      <c r="V96" s="42"/>
      <c r="W96" s="42"/>
      <c r="X96" s="42"/>
      <c r="Y96" s="42"/>
    </row>
    <row r="97" ht="15.75" customHeight="1">
      <c r="A97" s="189">
        <v>43424.0</v>
      </c>
      <c r="B97" s="72" t="s">
        <v>6319</v>
      </c>
      <c r="C97" s="42"/>
      <c r="D97" s="202">
        <v>2.348022911073E12</v>
      </c>
      <c r="E97" s="42"/>
      <c r="F97" s="42"/>
      <c r="G97" s="42"/>
      <c r="H97" s="20" t="s">
        <v>6318</v>
      </c>
      <c r="I97" s="42"/>
      <c r="J97" s="188" t="s">
        <v>1052</v>
      </c>
      <c r="K97" s="42"/>
      <c r="L97" s="42"/>
      <c r="M97" s="42"/>
      <c r="N97" s="42"/>
      <c r="O97" s="42"/>
      <c r="P97" s="42"/>
      <c r="Q97" s="42"/>
      <c r="R97" s="42"/>
      <c r="S97" s="42"/>
      <c r="T97" s="42"/>
      <c r="U97" s="42"/>
      <c r="V97" s="42"/>
      <c r="W97" s="42"/>
      <c r="X97" s="42"/>
      <c r="Y97" s="42"/>
    </row>
    <row r="98" ht="15.75" customHeight="1">
      <c r="A98" s="189">
        <v>43424.0</v>
      </c>
      <c r="B98" s="72" t="s">
        <v>6320</v>
      </c>
      <c r="C98" s="42"/>
      <c r="D98" s="202">
        <v>2.348035995499E12</v>
      </c>
      <c r="E98" s="20" t="s">
        <v>6321</v>
      </c>
      <c r="F98" s="42"/>
      <c r="G98" s="42"/>
      <c r="H98" s="20" t="s">
        <v>6318</v>
      </c>
      <c r="I98" s="42"/>
      <c r="J98" s="188" t="s">
        <v>1052</v>
      </c>
      <c r="K98" s="42"/>
      <c r="L98" s="42"/>
      <c r="M98" s="42"/>
      <c r="N98" s="42"/>
      <c r="O98" s="42"/>
      <c r="P98" s="42"/>
      <c r="Q98" s="42"/>
      <c r="R98" s="42"/>
      <c r="S98" s="42"/>
      <c r="T98" s="42"/>
      <c r="U98" s="42"/>
      <c r="V98" s="42"/>
      <c r="W98" s="42"/>
      <c r="X98" s="42"/>
      <c r="Y98" s="42"/>
    </row>
    <row r="99" ht="15.75" customHeight="1">
      <c r="A99" s="189">
        <v>43424.0</v>
      </c>
      <c r="B99" s="72" t="s">
        <v>6320</v>
      </c>
      <c r="C99" s="42"/>
      <c r="D99" s="202">
        <v>2.348035995499E12</v>
      </c>
      <c r="E99" s="20" t="s">
        <v>6321</v>
      </c>
      <c r="F99" s="42"/>
      <c r="G99" s="42"/>
      <c r="H99" s="20" t="s">
        <v>6318</v>
      </c>
      <c r="I99" s="42"/>
      <c r="J99" s="188" t="s">
        <v>1052</v>
      </c>
      <c r="K99" s="42"/>
      <c r="L99" s="42"/>
      <c r="M99" s="42"/>
      <c r="N99" s="42"/>
      <c r="O99" s="42"/>
      <c r="P99" s="42"/>
      <c r="Q99" s="42"/>
      <c r="R99" s="42"/>
      <c r="S99" s="42"/>
      <c r="T99" s="42"/>
      <c r="U99" s="42"/>
      <c r="V99" s="42"/>
      <c r="W99" s="42"/>
      <c r="X99" s="42"/>
      <c r="Y99" s="42"/>
    </row>
    <row r="100" ht="15.75" customHeight="1">
      <c r="A100" s="189">
        <v>43424.0</v>
      </c>
      <c r="B100" s="72" t="s">
        <v>6322</v>
      </c>
      <c r="C100" s="42"/>
      <c r="D100" s="202">
        <v>2.348033454502E12</v>
      </c>
      <c r="E100" s="20" t="s">
        <v>6323</v>
      </c>
      <c r="F100" s="42"/>
      <c r="G100" s="42"/>
      <c r="H100" s="20" t="s">
        <v>6318</v>
      </c>
      <c r="I100" s="42"/>
      <c r="J100" s="188" t="s">
        <v>1052</v>
      </c>
      <c r="K100" s="42"/>
      <c r="L100" s="42"/>
      <c r="M100" s="42"/>
      <c r="N100" s="42"/>
      <c r="O100" s="42"/>
      <c r="P100" s="42"/>
      <c r="Q100" s="42"/>
      <c r="R100" s="42"/>
      <c r="S100" s="42"/>
      <c r="T100" s="42"/>
      <c r="U100" s="42"/>
      <c r="V100" s="42"/>
      <c r="W100" s="42"/>
      <c r="X100" s="42"/>
      <c r="Y100" s="42"/>
    </row>
    <row r="101" ht="15.75" customHeight="1">
      <c r="A101" s="189">
        <v>43424.0</v>
      </c>
      <c r="B101" s="72" t="s">
        <v>6324</v>
      </c>
      <c r="C101" s="42"/>
      <c r="D101" s="202">
        <v>2.348033117248E12</v>
      </c>
      <c r="E101" s="20" t="s">
        <v>6325</v>
      </c>
      <c r="F101" s="42"/>
      <c r="G101" s="42"/>
      <c r="H101" s="20" t="s">
        <v>6318</v>
      </c>
      <c r="I101" s="42"/>
      <c r="J101" s="188" t="s">
        <v>1052</v>
      </c>
      <c r="K101" s="42"/>
      <c r="L101" s="42"/>
      <c r="M101" s="42"/>
      <c r="N101" s="42"/>
      <c r="O101" s="42"/>
      <c r="P101" s="42"/>
      <c r="Q101" s="42"/>
      <c r="R101" s="42"/>
      <c r="S101" s="42"/>
      <c r="T101" s="42"/>
      <c r="U101" s="42"/>
      <c r="V101" s="42"/>
      <c r="W101" s="42"/>
      <c r="X101" s="42"/>
      <c r="Y101" s="42"/>
    </row>
    <row r="102" ht="15.75" customHeight="1">
      <c r="A102" s="189">
        <v>43424.0</v>
      </c>
      <c r="B102" s="42"/>
      <c r="C102" s="42"/>
      <c r="D102" s="202">
        <v>2.342037001306E12</v>
      </c>
      <c r="E102" s="42"/>
      <c r="F102" s="42"/>
      <c r="G102" s="42"/>
      <c r="H102" s="20" t="s">
        <v>6318</v>
      </c>
      <c r="I102" s="42"/>
      <c r="J102" s="188" t="s">
        <v>1052</v>
      </c>
      <c r="K102" s="42"/>
      <c r="L102" s="42"/>
      <c r="M102" s="42"/>
      <c r="N102" s="42"/>
      <c r="O102" s="42"/>
      <c r="P102" s="42"/>
      <c r="Q102" s="42"/>
      <c r="R102" s="42"/>
      <c r="S102" s="42"/>
      <c r="T102" s="42"/>
      <c r="U102" s="42"/>
      <c r="V102" s="42"/>
      <c r="W102" s="42"/>
      <c r="X102" s="42"/>
      <c r="Y102" s="42"/>
    </row>
    <row r="103" ht="15.75" customHeight="1">
      <c r="A103" s="189">
        <v>43424.0</v>
      </c>
      <c r="B103" s="42"/>
      <c r="C103" s="42"/>
      <c r="D103" s="202">
        <v>2.342037001306E12</v>
      </c>
      <c r="E103" s="42"/>
      <c r="F103" s="42"/>
      <c r="G103" s="42"/>
      <c r="H103" s="20" t="s">
        <v>6318</v>
      </c>
      <c r="I103" s="42"/>
      <c r="J103" s="188" t="s">
        <v>1052</v>
      </c>
      <c r="K103" s="42"/>
      <c r="L103" s="42"/>
      <c r="M103" s="42"/>
      <c r="N103" s="42"/>
      <c r="O103" s="42"/>
      <c r="P103" s="42"/>
      <c r="Q103" s="42"/>
      <c r="R103" s="42"/>
      <c r="S103" s="42"/>
      <c r="T103" s="42"/>
      <c r="U103" s="42"/>
      <c r="V103" s="42"/>
      <c r="W103" s="42"/>
      <c r="X103" s="42"/>
      <c r="Y103" s="42"/>
    </row>
    <row r="104" ht="15.75" customHeight="1">
      <c r="A104" s="189">
        <v>43424.0</v>
      </c>
      <c r="B104" s="72" t="s">
        <v>6326</v>
      </c>
      <c r="C104" s="42"/>
      <c r="D104" s="202">
        <v>2.348033024644E12</v>
      </c>
      <c r="E104" s="42"/>
      <c r="F104" s="42"/>
      <c r="G104" s="42"/>
      <c r="H104" s="20" t="s">
        <v>6318</v>
      </c>
      <c r="I104" s="42"/>
      <c r="J104" s="188" t="s">
        <v>1052</v>
      </c>
      <c r="K104" s="42"/>
      <c r="L104" s="42"/>
      <c r="M104" s="42"/>
      <c r="N104" s="42"/>
      <c r="O104" s="42"/>
      <c r="P104" s="42"/>
      <c r="Q104" s="42"/>
      <c r="R104" s="42"/>
      <c r="S104" s="42"/>
      <c r="T104" s="42"/>
      <c r="U104" s="42"/>
      <c r="V104" s="42"/>
      <c r="W104" s="42"/>
      <c r="X104" s="42"/>
      <c r="Y104" s="42"/>
    </row>
    <row r="105" ht="15.75" customHeight="1">
      <c r="A105" s="189">
        <v>43424.0</v>
      </c>
      <c r="B105" s="72" t="s">
        <v>6327</v>
      </c>
      <c r="C105" s="42"/>
      <c r="D105" s="202">
        <v>2.34803592449E12</v>
      </c>
      <c r="E105" s="20" t="s">
        <v>6328</v>
      </c>
      <c r="F105" s="42"/>
      <c r="G105" s="42"/>
      <c r="H105" s="20" t="s">
        <v>6318</v>
      </c>
      <c r="I105" s="42"/>
      <c r="J105" s="188" t="s">
        <v>1052</v>
      </c>
      <c r="K105" s="42"/>
      <c r="L105" s="42"/>
      <c r="M105" s="42"/>
      <c r="N105" s="42"/>
      <c r="O105" s="42"/>
      <c r="P105" s="42"/>
      <c r="Q105" s="42"/>
      <c r="R105" s="42"/>
      <c r="S105" s="42"/>
      <c r="T105" s="42"/>
      <c r="U105" s="42"/>
      <c r="V105" s="42"/>
      <c r="W105" s="42"/>
      <c r="X105" s="42"/>
      <c r="Y105" s="42"/>
    </row>
    <row r="106" ht="15.75" customHeight="1">
      <c r="A106" s="189">
        <v>43424.0</v>
      </c>
      <c r="B106" s="72" t="s">
        <v>6329</v>
      </c>
      <c r="C106" s="42"/>
      <c r="D106" s="202">
        <v>2.348022909436E12</v>
      </c>
      <c r="E106" s="20" t="s">
        <v>6330</v>
      </c>
      <c r="F106" s="42"/>
      <c r="G106" s="42"/>
      <c r="H106" s="20" t="s">
        <v>6318</v>
      </c>
      <c r="I106" s="42"/>
      <c r="J106" s="188" t="s">
        <v>1052</v>
      </c>
      <c r="K106" s="42"/>
      <c r="L106" s="42"/>
      <c r="M106" s="42"/>
      <c r="N106" s="42"/>
      <c r="O106" s="42"/>
      <c r="P106" s="42"/>
      <c r="Q106" s="42"/>
      <c r="R106" s="42"/>
      <c r="S106" s="42"/>
      <c r="T106" s="42"/>
      <c r="U106" s="42"/>
      <c r="V106" s="42"/>
      <c r="W106" s="42"/>
      <c r="X106" s="42"/>
      <c r="Y106" s="42"/>
    </row>
    <row r="107" ht="15.75" customHeight="1">
      <c r="A107" s="189">
        <v>43424.0</v>
      </c>
      <c r="B107" s="42"/>
      <c r="C107" s="42"/>
      <c r="D107" s="202">
        <v>2.348062094142E12</v>
      </c>
      <c r="E107" s="20" t="s">
        <v>6331</v>
      </c>
      <c r="F107" s="42"/>
      <c r="G107" s="42"/>
      <c r="H107" s="20" t="s">
        <v>6318</v>
      </c>
      <c r="I107" s="42"/>
      <c r="J107" s="188" t="s">
        <v>1052</v>
      </c>
      <c r="K107" s="42"/>
      <c r="L107" s="42"/>
      <c r="M107" s="42"/>
      <c r="N107" s="42"/>
      <c r="O107" s="42"/>
      <c r="P107" s="42"/>
      <c r="Q107" s="42"/>
      <c r="R107" s="42"/>
      <c r="S107" s="42"/>
      <c r="T107" s="42"/>
      <c r="U107" s="42"/>
      <c r="V107" s="42"/>
      <c r="W107" s="42"/>
      <c r="X107" s="42"/>
      <c r="Y107" s="42"/>
    </row>
    <row r="108" ht="15.75" customHeight="1">
      <c r="A108" s="189">
        <v>43424.0</v>
      </c>
      <c r="B108" s="72" t="s">
        <v>6332</v>
      </c>
      <c r="C108" s="42"/>
      <c r="D108" s="202">
        <v>2.34803651E12</v>
      </c>
      <c r="E108" s="42"/>
      <c r="F108" s="42"/>
      <c r="G108" s="42"/>
      <c r="H108" s="20" t="s">
        <v>6318</v>
      </c>
      <c r="I108" s="42"/>
      <c r="J108" s="188" t="s">
        <v>1052</v>
      </c>
      <c r="K108" s="42"/>
      <c r="L108" s="42"/>
      <c r="M108" s="42"/>
      <c r="N108" s="42"/>
      <c r="O108" s="42"/>
      <c r="P108" s="42"/>
      <c r="Q108" s="42"/>
      <c r="R108" s="42"/>
      <c r="S108" s="42"/>
      <c r="T108" s="42"/>
      <c r="U108" s="42"/>
      <c r="V108" s="42"/>
      <c r="W108" s="42"/>
      <c r="X108" s="42"/>
      <c r="Y108" s="42"/>
    </row>
    <row r="109" ht="15.75" customHeight="1">
      <c r="A109" s="189">
        <v>43424.0</v>
      </c>
      <c r="B109" s="42"/>
      <c r="C109" s="42"/>
      <c r="D109" s="202">
        <v>2.3493148844E10</v>
      </c>
      <c r="E109" s="20" t="s">
        <v>6305</v>
      </c>
      <c r="F109" s="42"/>
      <c r="G109" s="42"/>
      <c r="H109" s="20" t="s">
        <v>6318</v>
      </c>
      <c r="I109" s="42"/>
      <c r="J109" s="188" t="s">
        <v>1052</v>
      </c>
      <c r="K109" s="42"/>
      <c r="L109" s="42"/>
      <c r="M109" s="42"/>
      <c r="N109" s="42"/>
      <c r="O109" s="42"/>
      <c r="P109" s="42"/>
      <c r="Q109" s="42"/>
      <c r="R109" s="42"/>
      <c r="S109" s="42"/>
      <c r="T109" s="42"/>
      <c r="U109" s="42"/>
      <c r="V109" s="42"/>
      <c r="W109" s="42"/>
      <c r="X109" s="42"/>
      <c r="Y109" s="42"/>
    </row>
    <row r="110" ht="15.75" customHeight="1">
      <c r="A110" s="189">
        <v>43424.0</v>
      </c>
      <c r="B110" s="72" t="s">
        <v>6333</v>
      </c>
      <c r="C110" s="42"/>
      <c r="D110" s="202">
        <v>2.348032901464E12</v>
      </c>
      <c r="E110" s="20" t="s">
        <v>6334</v>
      </c>
      <c r="F110" s="42"/>
      <c r="G110" s="42"/>
      <c r="H110" s="20" t="s">
        <v>6318</v>
      </c>
      <c r="I110" s="42"/>
      <c r="J110" s="188" t="s">
        <v>1052</v>
      </c>
      <c r="K110" s="42"/>
      <c r="L110" s="42"/>
      <c r="M110" s="42"/>
      <c r="N110" s="42"/>
      <c r="O110" s="42"/>
      <c r="P110" s="42"/>
      <c r="Q110" s="42"/>
      <c r="R110" s="42"/>
      <c r="S110" s="42"/>
      <c r="T110" s="42"/>
      <c r="U110" s="42"/>
      <c r="V110" s="42"/>
      <c r="W110" s="42"/>
      <c r="X110" s="42"/>
      <c r="Y110" s="42"/>
    </row>
    <row r="111" ht="15.75" customHeight="1">
      <c r="A111" s="189">
        <v>43424.0</v>
      </c>
      <c r="B111" s="72" t="s">
        <v>6335</v>
      </c>
      <c r="C111" s="42"/>
      <c r="D111" s="202">
        <v>2.348033157474E12</v>
      </c>
      <c r="E111" s="42"/>
      <c r="F111" s="42"/>
      <c r="G111" s="42"/>
      <c r="H111" s="20" t="s">
        <v>6318</v>
      </c>
      <c r="I111" s="42"/>
      <c r="J111" s="188" t="s">
        <v>1052</v>
      </c>
      <c r="K111" s="42"/>
      <c r="L111" s="42"/>
      <c r="M111" s="42"/>
      <c r="N111" s="42"/>
      <c r="O111" s="42"/>
      <c r="P111" s="42"/>
      <c r="Q111" s="42"/>
      <c r="R111" s="42"/>
      <c r="S111" s="42"/>
      <c r="T111" s="42"/>
      <c r="U111" s="42"/>
      <c r="V111" s="42"/>
      <c r="W111" s="42"/>
      <c r="X111" s="42"/>
      <c r="Y111" s="42"/>
    </row>
    <row r="112" ht="15.75" customHeight="1">
      <c r="A112" s="189">
        <v>43424.0</v>
      </c>
      <c r="B112" s="42"/>
      <c r="C112" s="42"/>
      <c r="D112" s="202">
        <v>2.348033223233E12</v>
      </c>
      <c r="E112" s="42"/>
      <c r="F112" s="42"/>
      <c r="G112" s="42"/>
      <c r="H112" s="20" t="s">
        <v>6318</v>
      </c>
      <c r="I112" s="42"/>
      <c r="J112" s="188" t="s">
        <v>1052</v>
      </c>
      <c r="K112" s="42"/>
      <c r="L112" s="42"/>
      <c r="M112" s="42"/>
      <c r="N112" s="42"/>
      <c r="O112" s="42"/>
      <c r="P112" s="42"/>
      <c r="Q112" s="42"/>
      <c r="R112" s="42"/>
      <c r="S112" s="42"/>
      <c r="T112" s="42"/>
      <c r="U112" s="42"/>
      <c r="V112" s="42"/>
      <c r="W112" s="42"/>
      <c r="X112" s="42"/>
      <c r="Y112" s="42"/>
    </row>
    <row r="113" ht="15.75" customHeight="1">
      <c r="A113" s="189">
        <v>43424.0</v>
      </c>
      <c r="B113" s="42"/>
      <c r="C113" s="42"/>
      <c r="D113" s="202">
        <v>2.348033223233E12</v>
      </c>
      <c r="E113" s="42"/>
      <c r="F113" s="42"/>
      <c r="G113" s="42"/>
      <c r="H113" s="20" t="s">
        <v>6318</v>
      </c>
      <c r="I113" s="42"/>
      <c r="J113" s="188" t="s">
        <v>1052</v>
      </c>
      <c r="K113" s="42"/>
      <c r="L113" s="42"/>
      <c r="M113" s="42"/>
      <c r="N113" s="42"/>
      <c r="O113" s="42"/>
      <c r="P113" s="42"/>
      <c r="Q113" s="42"/>
      <c r="R113" s="42"/>
      <c r="S113" s="42"/>
      <c r="T113" s="42"/>
      <c r="U113" s="42"/>
      <c r="V113" s="42"/>
      <c r="W113" s="42"/>
      <c r="X113" s="42"/>
      <c r="Y113" s="42"/>
    </row>
    <row r="114" ht="15.75" customHeight="1">
      <c r="A114" s="189">
        <v>43424.0</v>
      </c>
      <c r="B114" s="72" t="s">
        <v>6336</v>
      </c>
      <c r="C114" s="42"/>
      <c r="D114" s="202">
        <v>2.348027753844E12</v>
      </c>
      <c r="E114" s="20" t="s">
        <v>6337</v>
      </c>
      <c r="F114" s="42"/>
      <c r="G114" s="42"/>
      <c r="H114" s="20" t="s">
        <v>6318</v>
      </c>
      <c r="I114" s="42"/>
      <c r="J114" s="188" t="s">
        <v>1052</v>
      </c>
      <c r="K114" s="42"/>
      <c r="L114" s="42"/>
      <c r="M114" s="42"/>
      <c r="N114" s="42"/>
      <c r="O114" s="42"/>
      <c r="P114" s="42"/>
      <c r="Q114" s="42"/>
      <c r="R114" s="42"/>
      <c r="S114" s="42"/>
      <c r="T114" s="42"/>
      <c r="U114" s="42"/>
      <c r="V114" s="42"/>
      <c r="W114" s="42"/>
      <c r="X114" s="42"/>
      <c r="Y114" s="42"/>
    </row>
    <row r="115" ht="15.75" customHeight="1">
      <c r="A115" s="189">
        <v>43424.0</v>
      </c>
      <c r="B115" s="72" t="s">
        <v>6332</v>
      </c>
      <c r="C115" s="42"/>
      <c r="D115" s="202">
        <v>2.34803651E12</v>
      </c>
      <c r="E115" s="42"/>
      <c r="F115" s="42"/>
      <c r="G115" s="42"/>
      <c r="H115" s="20" t="s">
        <v>6318</v>
      </c>
      <c r="I115" s="42"/>
      <c r="J115" s="188" t="s">
        <v>1052</v>
      </c>
      <c r="K115" s="42"/>
      <c r="L115" s="42"/>
      <c r="M115" s="42"/>
      <c r="N115" s="42"/>
      <c r="O115" s="42"/>
      <c r="P115" s="42"/>
      <c r="Q115" s="42"/>
      <c r="R115" s="42"/>
      <c r="S115" s="42"/>
      <c r="T115" s="42"/>
      <c r="U115" s="42"/>
      <c r="V115" s="42"/>
      <c r="W115" s="42"/>
      <c r="X115" s="42"/>
      <c r="Y115" s="42"/>
    </row>
    <row r="116" ht="15.75" customHeight="1">
      <c r="A116" s="189">
        <v>43424.0</v>
      </c>
      <c r="B116" s="42"/>
      <c r="C116" s="42"/>
      <c r="D116" s="202">
        <v>2.3493148844E10</v>
      </c>
      <c r="E116" s="20" t="s">
        <v>6305</v>
      </c>
      <c r="F116" s="42"/>
      <c r="G116" s="42"/>
      <c r="H116" s="20" t="s">
        <v>6318</v>
      </c>
      <c r="I116" s="42"/>
      <c r="J116" s="188" t="s">
        <v>1052</v>
      </c>
      <c r="K116" s="42"/>
      <c r="L116" s="42"/>
      <c r="M116" s="42"/>
      <c r="N116" s="42"/>
      <c r="O116" s="42"/>
      <c r="P116" s="42"/>
      <c r="Q116" s="42"/>
      <c r="R116" s="42"/>
      <c r="S116" s="42"/>
      <c r="T116" s="42"/>
      <c r="U116" s="42"/>
      <c r="V116" s="42"/>
      <c r="W116" s="42"/>
      <c r="X116" s="42"/>
      <c r="Y116" s="42"/>
    </row>
    <row r="117" ht="15.75" customHeight="1">
      <c r="A117" s="189">
        <v>43424.0</v>
      </c>
      <c r="B117" s="72" t="s">
        <v>6338</v>
      </c>
      <c r="C117" s="42"/>
      <c r="D117" s="202">
        <v>2.348053472633E12</v>
      </c>
      <c r="E117" s="20" t="s">
        <v>6339</v>
      </c>
      <c r="F117" s="42"/>
      <c r="G117" s="42"/>
      <c r="H117" s="20" t="s">
        <v>6318</v>
      </c>
      <c r="I117" s="42"/>
      <c r="J117" s="188" t="s">
        <v>1052</v>
      </c>
      <c r="K117" s="42"/>
      <c r="L117" s="42"/>
      <c r="M117" s="42"/>
      <c r="N117" s="42"/>
      <c r="O117" s="42"/>
      <c r="P117" s="42"/>
      <c r="Q117" s="42"/>
      <c r="R117" s="42"/>
      <c r="S117" s="42"/>
      <c r="T117" s="42"/>
      <c r="U117" s="42"/>
      <c r="V117" s="42"/>
      <c r="W117" s="42"/>
      <c r="X117" s="42"/>
      <c r="Y117" s="42"/>
    </row>
    <row r="118" ht="15.75" customHeight="1">
      <c r="A118" s="189">
        <v>43424.0</v>
      </c>
      <c r="B118" s="42"/>
      <c r="C118" s="42"/>
      <c r="D118" s="202">
        <v>2.348022236722E12</v>
      </c>
      <c r="E118" s="20" t="s">
        <v>6340</v>
      </c>
      <c r="F118" s="42"/>
      <c r="G118" s="42"/>
      <c r="H118" s="20" t="s">
        <v>6318</v>
      </c>
      <c r="I118" s="42"/>
      <c r="J118" s="188" t="s">
        <v>1052</v>
      </c>
      <c r="K118" s="42"/>
      <c r="L118" s="42"/>
      <c r="M118" s="42"/>
      <c r="N118" s="42"/>
      <c r="O118" s="42"/>
      <c r="P118" s="42"/>
      <c r="Q118" s="42"/>
      <c r="R118" s="42"/>
      <c r="S118" s="42"/>
      <c r="T118" s="42"/>
      <c r="U118" s="42"/>
      <c r="V118" s="42"/>
      <c r="W118" s="42"/>
      <c r="X118" s="42"/>
      <c r="Y118" s="42"/>
    </row>
    <row r="119" ht="15.75" customHeight="1">
      <c r="A119" s="189">
        <v>43424.0</v>
      </c>
      <c r="B119" s="42"/>
      <c r="C119" s="42"/>
      <c r="D119" s="202">
        <v>2.348022236722E12</v>
      </c>
      <c r="E119" s="20" t="s">
        <v>6340</v>
      </c>
      <c r="F119" s="42"/>
      <c r="G119" s="42"/>
      <c r="H119" s="20" t="s">
        <v>6318</v>
      </c>
      <c r="I119" s="42"/>
      <c r="J119" s="188" t="s">
        <v>1052</v>
      </c>
      <c r="K119" s="42"/>
      <c r="L119" s="42"/>
      <c r="M119" s="42"/>
      <c r="N119" s="42"/>
      <c r="O119" s="42"/>
      <c r="P119" s="42"/>
      <c r="Q119" s="42"/>
      <c r="R119" s="42"/>
      <c r="S119" s="42"/>
      <c r="T119" s="42"/>
      <c r="U119" s="42"/>
      <c r="V119" s="42"/>
      <c r="W119" s="42"/>
      <c r="X119" s="42"/>
      <c r="Y119" s="42"/>
    </row>
    <row r="120" ht="15.75" customHeight="1">
      <c r="A120" s="189">
        <v>43424.0</v>
      </c>
      <c r="B120" s="42"/>
      <c r="C120" s="42"/>
      <c r="D120" s="202">
        <v>2.348022236722E12</v>
      </c>
      <c r="E120" s="20" t="s">
        <v>6340</v>
      </c>
      <c r="F120" s="42"/>
      <c r="G120" s="42"/>
      <c r="H120" s="20" t="s">
        <v>6318</v>
      </c>
      <c r="I120" s="42"/>
      <c r="J120" s="188" t="s">
        <v>1052</v>
      </c>
      <c r="K120" s="42"/>
      <c r="L120" s="42"/>
      <c r="M120" s="42"/>
      <c r="N120" s="42"/>
      <c r="O120" s="42"/>
      <c r="P120" s="42"/>
      <c r="Q120" s="42"/>
      <c r="R120" s="42"/>
      <c r="S120" s="42"/>
      <c r="T120" s="42"/>
      <c r="U120" s="42"/>
      <c r="V120" s="42"/>
      <c r="W120" s="42"/>
      <c r="X120" s="42"/>
      <c r="Y120" s="42"/>
    </row>
    <row r="121" ht="15.75" customHeight="1">
      <c r="A121" s="189">
        <v>43424.0</v>
      </c>
      <c r="B121" s="42"/>
      <c r="C121" s="42"/>
      <c r="D121" s="202">
        <v>2.348022236722E12</v>
      </c>
      <c r="E121" s="20" t="s">
        <v>6340</v>
      </c>
      <c r="F121" s="42"/>
      <c r="G121" s="42"/>
      <c r="H121" s="20" t="s">
        <v>6318</v>
      </c>
      <c r="I121" s="42"/>
      <c r="J121" s="188" t="s">
        <v>1052</v>
      </c>
      <c r="K121" s="42"/>
      <c r="L121" s="42"/>
      <c r="M121" s="42"/>
      <c r="N121" s="42"/>
      <c r="O121" s="42"/>
      <c r="P121" s="42"/>
      <c r="Q121" s="42"/>
      <c r="R121" s="42"/>
      <c r="S121" s="42"/>
      <c r="T121" s="42"/>
      <c r="U121" s="42"/>
      <c r="V121" s="42"/>
      <c r="W121" s="42"/>
      <c r="X121" s="42"/>
      <c r="Y121" s="42"/>
    </row>
    <row r="122" ht="15.75" customHeight="1">
      <c r="A122" s="189">
        <v>43424.0</v>
      </c>
      <c r="B122" s="72" t="s">
        <v>6341</v>
      </c>
      <c r="C122" s="42"/>
      <c r="D122" s="202">
        <v>2.348034021266E12</v>
      </c>
      <c r="E122" s="20" t="s">
        <v>6342</v>
      </c>
      <c r="F122" s="42"/>
      <c r="G122" s="42"/>
      <c r="H122" s="20" t="s">
        <v>6318</v>
      </c>
      <c r="I122" s="42"/>
      <c r="J122" s="188" t="s">
        <v>1052</v>
      </c>
      <c r="K122" s="42"/>
      <c r="L122" s="42"/>
      <c r="M122" s="42"/>
      <c r="N122" s="42"/>
      <c r="O122" s="42"/>
      <c r="P122" s="42"/>
      <c r="Q122" s="42"/>
      <c r="R122" s="42"/>
      <c r="S122" s="42"/>
      <c r="T122" s="42"/>
      <c r="U122" s="42"/>
      <c r="V122" s="42"/>
      <c r="W122" s="42"/>
      <c r="X122" s="42"/>
      <c r="Y122" s="42"/>
    </row>
    <row r="123" ht="15.75" customHeight="1">
      <c r="A123" s="189">
        <v>43424.0</v>
      </c>
      <c r="B123" s="72" t="s">
        <v>6341</v>
      </c>
      <c r="C123" s="42"/>
      <c r="D123" s="202">
        <v>2.348034021266E12</v>
      </c>
      <c r="E123" s="20" t="s">
        <v>6342</v>
      </c>
      <c r="F123" s="42"/>
      <c r="G123" s="42"/>
      <c r="H123" s="20" t="s">
        <v>6318</v>
      </c>
      <c r="I123" s="42"/>
      <c r="J123" s="188" t="s">
        <v>1052</v>
      </c>
      <c r="K123" s="42"/>
      <c r="L123" s="42"/>
      <c r="M123" s="42"/>
      <c r="N123" s="42"/>
      <c r="O123" s="42"/>
      <c r="P123" s="42"/>
      <c r="Q123" s="42"/>
      <c r="R123" s="42"/>
      <c r="S123" s="42"/>
      <c r="T123" s="42"/>
      <c r="U123" s="42"/>
      <c r="V123" s="42"/>
      <c r="W123" s="42"/>
      <c r="X123" s="42"/>
      <c r="Y123" s="42"/>
    </row>
    <row r="124" ht="15.75" customHeight="1">
      <c r="A124" s="189">
        <v>43424.0</v>
      </c>
      <c r="B124" s="42"/>
      <c r="C124" s="42"/>
      <c r="D124" s="202">
        <v>2.348023021714E12</v>
      </c>
      <c r="E124" s="42"/>
      <c r="F124" s="42"/>
      <c r="G124" s="42"/>
      <c r="H124" s="20" t="s">
        <v>6318</v>
      </c>
      <c r="I124" s="42"/>
      <c r="J124" s="188" t="s">
        <v>1052</v>
      </c>
      <c r="K124" s="42"/>
      <c r="L124" s="42"/>
      <c r="M124" s="42"/>
      <c r="N124" s="42"/>
      <c r="O124" s="42"/>
      <c r="P124" s="42"/>
      <c r="Q124" s="42"/>
      <c r="R124" s="42"/>
      <c r="S124" s="42"/>
      <c r="T124" s="42"/>
      <c r="U124" s="42"/>
      <c r="V124" s="42"/>
      <c r="W124" s="42"/>
      <c r="X124" s="42"/>
      <c r="Y124" s="42"/>
    </row>
    <row r="125" ht="15.75" customHeight="1">
      <c r="A125" s="189">
        <v>43424.0</v>
      </c>
      <c r="B125" s="72" t="s">
        <v>6329</v>
      </c>
      <c r="C125" s="42"/>
      <c r="D125" s="202">
        <v>2.348022909436E12</v>
      </c>
      <c r="E125" s="20" t="s">
        <v>6330</v>
      </c>
      <c r="F125" s="42"/>
      <c r="G125" s="42"/>
      <c r="H125" s="20" t="s">
        <v>6318</v>
      </c>
      <c r="I125" s="42"/>
      <c r="J125" s="188" t="s">
        <v>1052</v>
      </c>
      <c r="K125" s="42"/>
      <c r="L125" s="42"/>
      <c r="M125" s="42"/>
      <c r="N125" s="42"/>
      <c r="O125" s="42"/>
      <c r="P125" s="42"/>
      <c r="Q125" s="42"/>
      <c r="R125" s="42"/>
      <c r="S125" s="42"/>
      <c r="T125" s="42"/>
      <c r="U125" s="42"/>
      <c r="V125" s="42"/>
      <c r="W125" s="42"/>
      <c r="X125" s="42"/>
      <c r="Y125" s="42"/>
    </row>
    <row r="126" ht="15.75" customHeight="1">
      <c r="A126" s="189">
        <v>43424.0</v>
      </c>
      <c r="B126" s="42"/>
      <c r="C126" s="42"/>
      <c r="D126" s="202">
        <v>2.348033140233E12</v>
      </c>
      <c r="E126" s="42"/>
      <c r="F126" s="42"/>
      <c r="G126" s="42"/>
      <c r="H126" s="20" t="s">
        <v>6318</v>
      </c>
      <c r="I126" s="42"/>
      <c r="J126" s="188" t="s">
        <v>1052</v>
      </c>
      <c r="K126" s="42"/>
      <c r="L126" s="42"/>
      <c r="M126" s="42"/>
      <c r="N126" s="42"/>
      <c r="O126" s="42"/>
      <c r="P126" s="42"/>
      <c r="Q126" s="42"/>
      <c r="R126" s="42"/>
      <c r="S126" s="42"/>
      <c r="T126" s="42"/>
      <c r="U126" s="42"/>
      <c r="V126" s="42"/>
      <c r="W126" s="42"/>
      <c r="X126" s="42"/>
      <c r="Y126" s="42"/>
    </row>
    <row r="127" ht="15.75" customHeight="1">
      <c r="A127" s="189">
        <v>43424.0</v>
      </c>
      <c r="B127" s="42"/>
      <c r="C127" s="42"/>
      <c r="D127" s="202">
        <v>2.348033140233E12</v>
      </c>
      <c r="E127" s="42"/>
      <c r="F127" s="42"/>
      <c r="G127" s="42"/>
      <c r="H127" s="20" t="s">
        <v>6318</v>
      </c>
      <c r="I127" s="42"/>
      <c r="J127" s="188" t="s">
        <v>1052</v>
      </c>
      <c r="K127" s="42"/>
      <c r="L127" s="42"/>
      <c r="M127" s="42"/>
      <c r="N127" s="42"/>
      <c r="O127" s="42"/>
      <c r="P127" s="42"/>
      <c r="Q127" s="42"/>
      <c r="R127" s="42"/>
      <c r="S127" s="42"/>
      <c r="T127" s="42"/>
      <c r="U127" s="42"/>
      <c r="V127" s="42"/>
      <c r="W127" s="42"/>
      <c r="X127" s="42"/>
      <c r="Y127" s="42"/>
    </row>
    <row r="128" ht="15.75" customHeight="1">
      <c r="A128" s="189">
        <v>43424.0</v>
      </c>
      <c r="B128" s="42"/>
      <c r="C128" s="42"/>
      <c r="D128" s="202">
        <v>2.348033140233E12</v>
      </c>
      <c r="E128" s="42"/>
      <c r="F128" s="42"/>
      <c r="G128" s="42"/>
      <c r="H128" s="20" t="s">
        <v>6318</v>
      </c>
      <c r="I128" s="42"/>
      <c r="J128" s="188" t="s">
        <v>1052</v>
      </c>
      <c r="K128" s="42"/>
      <c r="L128" s="42"/>
      <c r="M128" s="42"/>
      <c r="N128" s="42"/>
      <c r="O128" s="42"/>
      <c r="P128" s="42"/>
      <c r="Q128" s="42"/>
      <c r="R128" s="42"/>
      <c r="S128" s="42"/>
      <c r="T128" s="42"/>
      <c r="U128" s="42"/>
      <c r="V128" s="42"/>
      <c r="W128" s="42"/>
      <c r="X128" s="42"/>
      <c r="Y128" s="42"/>
    </row>
    <row r="129" ht="15.75" customHeight="1">
      <c r="A129" s="189">
        <v>43424.0</v>
      </c>
      <c r="B129" s="42"/>
      <c r="C129" s="42"/>
      <c r="D129" s="202">
        <v>2.348037136322E12</v>
      </c>
      <c r="E129" s="20" t="s">
        <v>6343</v>
      </c>
      <c r="F129" s="42"/>
      <c r="G129" s="42"/>
      <c r="H129" s="20" t="s">
        <v>6318</v>
      </c>
      <c r="I129" s="42"/>
      <c r="J129" s="188" t="s">
        <v>1052</v>
      </c>
      <c r="K129" s="42"/>
      <c r="L129" s="42"/>
      <c r="M129" s="42"/>
      <c r="N129" s="42"/>
      <c r="O129" s="42"/>
      <c r="P129" s="42"/>
      <c r="Q129" s="42"/>
      <c r="R129" s="42"/>
      <c r="S129" s="42"/>
      <c r="T129" s="42"/>
      <c r="U129" s="42"/>
      <c r="V129" s="42"/>
      <c r="W129" s="42"/>
      <c r="X129" s="42"/>
      <c r="Y129" s="42"/>
    </row>
    <row r="130" ht="15.75" customHeight="1">
      <c r="A130" s="189">
        <v>43424.0</v>
      </c>
      <c r="B130" s="72" t="s">
        <v>6344</v>
      </c>
      <c r="C130" s="42"/>
      <c r="D130" s="202">
        <v>9.71506443234E11</v>
      </c>
      <c r="E130" s="20" t="s">
        <v>6345</v>
      </c>
      <c r="F130" s="42"/>
      <c r="G130" s="42"/>
      <c r="H130" s="20" t="s">
        <v>6318</v>
      </c>
      <c r="I130" s="42"/>
      <c r="J130" s="188" t="s">
        <v>1052</v>
      </c>
      <c r="K130" s="42"/>
      <c r="L130" s="42"/>
      <c r="M130" s="42"/>
      <c r="N130" s="42"/>
      <c r="O130" s="42"/>
      <c r="P130" s="42"/>
      <c r="Q130" s="42"/>
      <c r="R130" s="42"/>
      <c r="S130" s="42"/>
      <c r="T130" s="42"/>
      <c r="U130" s="42"/>
      <c r="V130" s="42"/>
      <c r="W130" s="42"/>
      <c r="X130" s="42"/>
      <c r="Y130" s="42"/>
    </row>
    <row r="131" ht="15.75" customHeight="1">
      <c r="A131" s="189">
        <v>43424.0</v>
      </c>
      <c r="B131" s="72" t="s">
        <v>6346</v>
      </c>
      <c r="C131" s="42"/>
      <c r="D131" s="202">
        <v>9.71506535234E11</v>
      </c>
      <c r="E131" s="72" t="s">
        <v>6347</v>
      </c>
      <c r="F131" s="42"/>
      <c r="G131" s="42"/>
      <c r="H131" s="20" t="s">
        <v>6318</v>
      </c>
      <c r="I131" s="42"/>
      <c r="J131" s="188" t="s">
        <v>1052</v>
      </c>
      <c r="K131" s="42"/>
      <c r="L131" s="42"/>
      <c r="M131" s="42"/>
      <c r="N131" s="42"/>
      <c r="O131" s="42"/>
      <c r="P131" s="42"/>
      <c r="Q131" s="42"/>
      <c r="R131" s="42"/>
      <c r="S131" s="42"/>
      <c r="T131" s="42"/>
      <c r="U131" s="42"/>
      <c r="V131" s="42"/>
      <c r="W131" s="42"/>
      <c r="X131" s="42"/>
      <c r="Y131" s="42"/>
    </row>
    <row r="132" ht="15.75" customHeight="1">
      <c r="A132" s="189">
        <v>43424.0</v>
      </c>
      <c r="B132" s="72" t="s">
        <v>6348</v>
      </c>
      <c r="C132" s="42"/>
      <c r="D132" s="72" t="s">
        <v>6349</v>
      </c>
      <c r="E132" s="20" t="s">
        <v>6350</v>
      </c>
      <c r="F132" s="42"/>
      <c r="G132" s="42"/>
      <c r="H132" s="20" t="s">
        <v>6318</v>
      </c>
      <c r="I132" s="42"/>
      <c r="J132" s="188" t="s">
        <v>1052</v>
      </c>
      <c r="K132" s="42"/>
      <c r="L132" s="42"/>
      <c r="M132" s="42"/>
      <c r="N132" s="42"/>
      <c r="O132" s="42"/>
      <c r="P132" s="42"/>
      <c r="Q132" s="42"/>
      <c r="R132" s="42"/>
      <c r="S132" s="42"/>
      <c r="T132" s="42"/>
      <c r="U132" s="42"/>
      <c r="V132" s="42"/>
      <c r="W132" s="42"/>
      <c r="X132" s="42"/>
      <c r="Y132" s="42"/>
    </row>
    <row r="133" ht="15.75" customHeight="1">
      <c r="A133" s="189">
        <v>43424.0</v>
      </c>
      <c r="B133" s="72" t="s">
        <v>6348</v>
      </c>
      <c r="C133" s="42"/>
      <c r="D133" s="72" t="s">
        <v>6349</v>
      </c>
      <c r="E133" s="20" t="s">
        <v>6350</v>
      </c>
      <c r="F133" s="42"/>
      <c r="G133" s="42"/>
      <c r="H133" s="20" t="s">
        <v>6318</v>
      </c>
      <c r="I133" s="42"/>
      <c r="J133" s="188" t="s">
        <v>1052</v>
      </c>
      <c r="K133" s="42"/>
      <c r="L133" s="42"/>
      <c r="M133" s="42"/>
      <c r="N133" s="42"/>
      <c r="O133" s="42"/>
      <c r="P133" s="42"/>
      <c r="Q133" s="42"/>
      <c r="R133" s="42"/>
      <c r="S133" s="42"/>
      <c r="T133" s="42"/>
      <c r="U133" s="42"/>
      <c r="V133" s="42"/>
      <c r="W133" s="42"/>
      <c r="X133" s="42"/>
      <c r="Y133" s="42"/>
    </row>
    <row r="134" ht="15.75" customHeight="1">
      <c r="A134" s="189">
        <v>43424.0</v>
      </c>
      <c r="B134" s="72" t="s">
        <v>6351</v>
      </c>
      <c r="C134" s="42"/>
      <c r="D134" s="72" t="s">
        <v>6352</v>
      </c>
      <c r="E134" s="20" t="s">
        <v>6353</v>
      </c>
      <c r="F134" s="42"/>
      <c r="G134" s="42"/>
      <c r="H134" s="20" t="s">
        <v>6318</v>
      </c>
      <c r="I134" s="42"/>
      <c r="J134" s="188" t="s">
        <v>1052</v>
      </c>
      <c r="K134" s="42"/>
      <c r="L134" s="42"/>
      <c r="M134" s="42"/>
      <c r="N134" s="42"/>
      <c r="O134" s="42"/>
      <c r="P134" s="42"/>
      <c r="Q134" s="42"/>
      <c r="R134" s="42"/>
      <c r="S134" s="42"/>
      <c r="T134" s="42"/>
      <c r="U134" s="42"/>
      <c r="V134" s="42"/>
      <c r="W134" s="42"/>
      <c r="X134" s="42"/>
      <c r="Y134" s="42"/>
    </row>
    <row r="135" ht="15.75" customHeight="1">
      <c r="A135" s="189">
        <v>43424.0</v>
      </c>
      <c r="B135" s="72" t="s">
        <v>6354</v>
      </c>
      <c r="C135" s="42"/>
      <c r="D135" s="202">
        <v>2.3418055024914E13</v>
      </c>
      <c r="E135" s="20" t="s">
        <v>6355</v>
      </c>
      <c r="F135" s="42"/>
      <c r="G135" s="42"/>
      <c r="H135" s="20" t="s">
        <v>6318</v>
      </c>
      <c r="I135" s="42"/>
      <c r="J135" s="188" t="s">
        <v>1052</v>
      </c>
      <c r="K135" s="42"/>
      <c r="L135" s="42"/>
      <c r="M135" s="42"/>
      <c r="N135" s="42"/>
      <c r="O135" s="42"/>
      <c r="P135" s="42"/>
      <c r="Q135" s="42"/>
      <c r="R135" s="42"/>
      <c r="S135" s="42"/>
      <c r="T135" s="42"/>
      <c r="U135" s="42"/>
      <c r="V135" s="42"/>
      <c r="W135" s="42"/>
      <c r="X135" s="42"/>
      <c r="Y135" s="42"/>
    </row>
    <row r="136" ht="15.75" customHeight="1">
      <c r="A136" s="189">
        <v>43424.0</v>
      </c>
      <c r="B136" s="42"/>
      <c r="C136" s="42"/>
      <c r="D136" s="202">
        <v>2.348033223233E12</v>
      </c>
      <c r="E136" s="42"/>
      <c r="F136" s="42"/>
      <c r="G136" s="42"/>
      <c r="H136" s="20" t="s">
        <v>6318</v>
      </c>
      <c r="I136" s="42"/>
      <c r="J136" s="188" t="s">
        <v>1052</v>
      </c>
      <c r="K136" s="42"/>
      <c r="L136" s="42"/>
      <c r="M136" s="42"/>
      <c r="N136" s="42"/>
      <c r="O136" s="42"/>
      <c r="P136" s="42"/>
      <c r="Q136" s="42"/>
      <c r="R136" s="42"/>
      <c r="S136" s="42"/>
      <c r="T136" s="42"/>
      <c r="U136" s="42"/>
      <c r="V136" s="42"/>
      <c r="W136" s="42"/>
      <c r="X136" s="42"/>
      <c r="Y136" s="42"/>
    </row>
    <row r="137" ht="15.75" customHeight="1">
      <c r="A137" s="215">
        <v>43424.0</v>
      </c>
      <c r="B137" s="216" t="s">
        <v>6356</v>
      </c>
      <c r="C137" s="217"/>
      <c r="D137" s="218">
        <v>9.710502349589E12</v>
      </c>
      <c r="E137" s="219" t="s">
        <v>6357</v>
      </c>
      <c r="F137" s="217"/>
      <c r="G137" s="217"/>
      <c r="H137" s="216" t="s">
        <v>6358</v>
      </c>
      <c r="I137" s="42"/>
      <c r="J137" s="188" t="s">
        <v>1052</v>
      </c>
      <c r="K137" s="42"/>
      <c r="L137" s="42"/>
      <c r="M137" s="42"/>
      <c r="N137" s="42"/>
      <c r="O137" s="42"/>
      <c r="P137" s="42"/>
      <c r="Q137" s="42"/>
      <c r="R137" s="42"/>
      <c r="S137" s="42"/>
      <c r="T137" s="42"/>
      <c r="U137" s="42"/>
      <c r="V137" s="42"/>
      <c r="W137" s="42"/>
      <c r="X137" s="42"/>
      <c r="Y137" s="42"/>
    </row>
    <row r="138" ht="15.75" customHeight="1">
      <c r="A138" s="215">
        <v>43424.0</v>
      </c>
      <c r="B138" s="216" t="s">
        <v>6356</v>
      </c>
      <c r="C138" s="217"/>
      <c r="D138" s="218">
        <v>9.710502349589E12</v>
      </c>
      <c r="E138" s="219" t="s">
        <v>6357</v>
      </c>
      <c r="F138" s="217"/>
      <c r="G138" s="217"/>
      <c r="H138" s="216" t="s">
        <v>6358</v>
      </c>
      <c r="I138" s="42"/>
      <c r="J138" s="188" t="s">
        <v>1052</v>
      </c>
      <c r="K138" s="42"/>
      <c r="L138" s="42"/>
      <c r="M138" s="42"/>
      <c r="N138" s="42"/>
      <c r="O138" s="42"/>
      <c r="P138" s="42"/>
      <c r="Q138" s="42"/>
      <c r="R138" s="42"/>
      <c r="S138" s="42"/>
      <c r="T138" s="42"/>
      <c r="U138" s="42"/>
      <c r="V138" s="42"/>
      <c r="W138" s="42"/>
      <c r="X138" s="42"/>
      <c r="Y138" s="42"/>
    </row>
    <row r="139" ht="15.75" customHeight="1">
      <c r="A139" s="215">
        <v>43424.0</v>
      </c>
      <c r="B139" s="216" t="s">
        <v>6356</v>
      </c>
      <c r="C139" s="217"/>
      <c r="D139" s="218">
        <v>9.710502349589E12</v>
      </c>
      <c r="E139" s="219" t="s">
        <v>6357</v>
      </c>
      <c r="F139" s="217"/>
      <c r="G139" s="217"/>
      <c r="H139" s="216" t="s">
        <v>6358</v>
      </c>
      <c r="I139" s="42"/>
      <c r="J139" s="188" t="s">
        <v>1052</v>
      </c>
      <c r="K139" s="42"/>
      <c r="L139" s="42"/>
      <c r="M139" s="42"/>
      <c r="N139" s="42"/>
      <c r="O139" s="42"/>
      <c r="P139" s="42"/>
      <c r="Q139" s="42"/>
      <c r="R139" s="42"/>
      <c r="S139" s="42"/>
      <c r="T139" s="42"/>
      <c r="U139" s="42"/>
      <c r="V139" s="42"/>
      <c r="W139" s="42"/>
      <c r="X139" s="42"/>
      <c r="Y139" s="42"/>
    </row>
    <row r="140" ht="15.75" customHeight="1">
      <c r="A140" s="215">
        <v>43424.0</v>
      </c>
      <c r="B140" s="216" t="s">
        <v>6356</v>
      </c>
      <c r="C140" s="217"/>
      <c r="D140" s="218">
        <v>9.710502349589E12</v>
      </c>
      <c r="E140" s="219" t="s">
        <v>6357</v>
      </c>
      <c r="F140" s="217"/>
      <c r="G140" s="217"/>
      <c r="H140" s="216" t="s">
        <v>6358</v>
      </c>
      <c r="I140" s="42"/>
      <c r="J140" s="188" t="s">
        <v>1052</v>
      </c>
      <c r="K140" s="42"/>
      <c r="L140" s="42"/>
      <c r="M140" s="42"/>
      <c r="N140" s="42"/>
      <c r="O140" s="42"/>
      <c r="P140" s="42"/>
      <c r="Q140" s="42"/>
      <c r="R140" s="42"/>
      <c r="S140" s="42"/>
      <c r="T140" s="42"/>
      <c r="U140" s="42"/>
      <c r="V140" s="42"/>
      <c r="W140" s="42"/>
      <c r="X140" s="42"/>
      <c r="Y140" s="42"/>
    </row>
    <row r="141" ht="15.75" customHeight="1">
      <c r="A141" s="215">
        <v>43424.0</v>
      </c>
      <c r="B141" s="216" t="s">
        <v>6356</v>
      </c>
      <c r="C141" s="217"/>
      <c r="D141" s="218">
        <v>9.710502349589E12</v>
      </c>
      <c r="E141" s="219" t="s">
        <v>6357</v>
      </c>
      <c r="F141" s="217"/>
      <c r="G141" s="217"/>
      <c r="H141" s="216" t="s">
        <v>6358</v>
      </c>
      <c r="I141" s="42"/>
      <c r="J141" s="188" t="s">
        <v>1052</v>
      </c>
      <c r="K141" s="42"/>
      <c r="L141" s="42"/>
      <c r="M141" s="42"/>
      <c r="N141" s="42"/>
      <c r="O141" s="42"/>
      <c r="P141" s="42"/>
      <c r="Q141" s="42"/>
      <c r="R141" s="42"/>
      <c r="S141" s="42"/>
      <c r="T141" s="42"/>
      <c r="U141" s="42"/>
      <c r="V141" s="42"/>
      <c r="W141" s="42"/>
      <c r="X141" s="42"/>
      <c r="Y141" s="42"/>
    </row>
    <row r="142" ht="15.75" customHeight="1">
      <c r="A142" s="215">
        <v>43424.0</v>
      </c>
      <c r="B142" s="216" t="s">
        <v>6356</v>
      </c>
      <c r="C142" s="217"/>
      <c r="D142" s="218">
        <v>9.710502349589E12</v>
      </c>
      <c r="E142" s="219" t="s">
        <v>6357</v>
      </c>
      <c r="F142" s="217"/>
      <c r="G142" s="217"/>
      <c r="H142" s="216" t="s">
        <v>6358</v>
      </c>
      <c r="I142" s="42"/>
      <c r="J142" s="188" t="s">
        <v>1052</v>
      </c>
      <c r="K142" s="42"/>
      <c r="L142" s="42"/>
      <c r="M142" s="42"/>
      <c r="N142" s="42"/>
      <c r="O142" s="42"/>
      <c r="P142" s="42"/>
      <c r="Q142" s="42"/>
      <c r="R142" s="42"/>
      <c r="S142" s="42"/>
      <c r="T142" s="42"/>
      <c r="U142" s="42"/>
      <c r="V142" s="42"/>
      <c r="W142" s="42"/>
      <c r="X142" s="42"/>
      <c r="Y142" s="42"/>
    </row>
    <row r="143" ht="15.75" customHeight="1">
      <c r="A143" s="215">
        <v>43424.0</v>
      </c>
      <c r="B143" s="220" t="s">
        <v>6359</v>
      </c>
      <c r="C143" s="217"/>
      <c r="D143" s="218">
        <v>9.7155416234E11</v>
      </c>
      <c r="E143" s="219" t="s">
        <v>6360</v>
      </c>
      <c r="F143" s="217"/>
      <c r="G143" s="217"/>
      <c r="H143" s="216" t="s">
        <v>6358</v>
      </c>
      <c r="I143" s="42"/>
      <c r="J143" s="188" t="s">
        <v>1052</v>
      </c>
      <c r="K143" s="42"/>
      <c r="L143" s="42"/>
      <c r="M143" s="42"/>
      <c r="N143" s="42"/>
      <c r="O143" s="42"/>
      <c r="P143" s="42"/>
      <c r="Q143" s="42"/>
      <c r="R143" s="42"/>
      <c r="S143" s="42"/>
      <c r="T143" s="42"/>
      <c r="U143" s="42"/>
      <c r="V143" s="42"/>
      <c r="W143" s="42"/>
      <c r="X143" s="42"/>
      <c r="Y143" s="42"/>
    </row>
    <row r="144" ht="15.75" customHeight="1">
      <c r="A144" s="215">
        <v>43424.0</v>
      </c>
      <c r="B144" s="220" t="s">
        <v>6359</v>
      </c>
      <c r="C144" s="217"/>
      <c r="D144" s="218">
        <v>9.7155416234E11</v>
      </c>
      <c r="E144" s="219" t="s">
        <v>6360</v>
      </c>
      <c r="F144" s="217"/>
      <c r="G144" s="217"/>
      <c r="H144" s="216" t="s">
        <v>6358</v>
      </c>
      <c r="I144" s="42"/>
      <c r="J144" s="188" t="s">
        <v>1052</v>
      </c>
      <c r="K144" s="42"/>
      <c r="L144" s="42"/>
      <c r="M144" s="42"/>
      <c r="N144" s="42"/>
      <c r="O144" s="42"/>
      <c r="P144" s="42"/>
      <c r="Q144" s="42"/>
      <c r="R144" s="42"/>
      <c r="S144" s="42"/>
      <c r="T144" s="42"/>
      <c r="U144" s="42"/>
      <c r="V144" s="42"/>
      <c r="W144" s="42"/>
      <c r="X144" s="42"/>
      <c r="Y144" s="42"/>
    </row>
    <row r="145" ht="15.75" customHeight="1">
      <c r="A145" s="215">
        <v>43424.0</v>
      </c>
      <c r="B145" s="220" t="s">
        <v>6359</v>
      </c>
      <c r="C145" s="217"/>
      <c r="D145" s="218">
        <v>9.7155416234E11</v>
      </c>
      <c r="E145" s="219" t="s">
        <v>6360</v>
      </c>
      <c r="F145" s="217"/>
      <c r="G145" s="217"/>
      <c r="H145" s="216" t="s">
        <v>6358</v>
      </c>
      <c r="I145" s="42"/>
      <c r="J145" s="188" t="s">
        <v>1052</v>
      </c>
      <c r="K145" s="42"/>
      <c r="L145" s="42"/>
      <c r="M145" s="42"/>
      <c r="N145" s="42"/>
      <c r="O145" s="42"/>
      <c r="P145" s="42"/>
      <c r="Q145" s="42"/>
      <c r="R145" s="42"/>
      <c r="S145" s="42"/>
      <c r="T145" s="42"/>
      <c r="U145" s="42"/>
      <c r="V145" s="42"/>
      <c r="W145" s="42"/>
      <c r="X145" s="42"/>
      <c r="Y145" s="42"/>
    </row>
    <row r="146" ht="15.75" customHeight="1">
      <c r="A146" s="215">
        <v>43424.0</v>
      </c>
      <c r="B146" s="220" t="s">
        <v>6359</v>
      </c>
      <c r="C146" s="217"/>
      <c r="D146" s="218">
        <v>9.7155416234E11</v>
      </c>
      <c r="E146" s="219" t="s">
        <v>6360</v>
      </c>
      <c r="F146" s="217"/>
      <c r="G146" s="217"/>
      <c r="H146" s="216" t="s">
        <v>6358</v>
      </c>
      <c r="I146" s="42"/>
      <c r="J146" s="188" t="s">
        <v>1052</v>
      </c>
      <c r="K146" s="42"/>
      <c r="L146" s="42"/>
      <c r="M146" s="42"/>
      <c r="N146" s="42"/>
      <c r="O146" s="42"/>
      <c r="P146" s="42"/>
      <c r="Q146" s="42"/>
      <c r="R146" s="42"/>
      <c r="S146" s="42"/>
      <c r="T146" s="42"/>
      <c r="U146" s="42"/>
      <c r="V146" s="42"/>
      <c r="W146" s="42"/>
      <c r="X146" s="42"/>
      <c r="Y146" s="42"/>
    </row>
    <row r="147" ht="15.75" customHeight="1">
      <c r="A147" s="215">
        <v>43424.0</v>
      </c>
      <c r="B147" s="220" t="s">
        <v>6359</v>
      </c>
      <c r="C147" s="217"/>
      <c r="D147" s="218">
        <v>9.7155416234E11</v>
      </c>
      <c r="E147" s="219" t="s">
        <v>6360</v>
      </c>
      <c r="F147" s="217"/>
      <c r="G147" s="217"/>
      <c r="H147" s="216" t="s">
        <v>6358</v>
      </c>
      <c r="I147" s="42"/>
      <c r="J147" s="188" t="s">
        <v>1052</v>
      </c>
      <c r="K147" s="42"/>
      <c r="L147" s="42"/>
      <c r="M147" s="42"/>
      <c r="N147" s="42"/>
      <c r="O147" s="42"/>
      <c r="P147" s="42"/>
      <c r="Q147" s="42"/>
      <c r="R147" s="42"/>
      <c r="S147" s="42"/>
      <c r="T147" s="42"/>
      <c r="U147" s="42"/>
      <c r="V147" s="42"/>
      <c r="W147" s="42"/>
      <c r="X147" s="42"/>
      <c r="Y147" s="42"/>
    </row>
    <row r="148" ht="15.75" customHeight="1">
      <c r="A148" s="215">
        <v>43424.0</v>
      </c>
      <c r="B148" s="220" t="s">
        <v>6359</v>
      </c>
      <c r="C148" s="217"/>
      <c r="D148" s="218">
        <v>9.7155416234E11</v>
      </c>
      <c r="E148" s="219" t="s">
        <v>6360</v>
      </c>
      <c r="F148" s="217"/>
      <c r="G148" s="217"/>
      <c r="H148" s="216" t="s">
        <v>6358</v>
      </c>
      <c r="I148" s="42"/>
      <c r="J148" s="188" t="s">
        <v>1052</v>
      </c>
      <c r="K148" s="42"/>
      <c r="L148" s="42"/>
      <c r="M148" s="42"/>
      <c r="N148" s="42"/>
      <c r="O148" s="42"/>
      <c r="P148" s="42"/>
      <c r="Q148" s="42"/>
      <c r="R148" s="42"/>
      <c r="S148" s="42"/>
      <c r="T148" s="42"/>
      <c r="U148" s="42"/>
      <c r="V148" s="42"/>
      <c r="W148" s="42"/>
      <c r="X148" s="42"/>
      <c r="Y148" s="42"/>
    </row>
    <row r="149" ht="15.75" customHeight="1">
      <c r="A149" s="215">
        <v>43424.0</v>
      </c>
      <c r="B149" s="220" t="s">
        <v>6359</v>
      </c>
      <c r="C149" s="217"/>
      <c r="D149" s="218">
        <v>9.7155416234E11</v>
      </c>
      <c r="E149" s="219" t="s">
        <v>6360</v>
      </c>
      <c r="F149" s="217"/>
      <c r="G149" s="217"/>
      <c r="H149" s="216" t="s">
        <v>6358</v>
      </c>
      <c r="I149" s="42"/>
      <c r="J149" s="188" t="s">
        <v>1052</v>
      </c>
      <c r="K149" s="42"/>
      <c r="L149" s="42"/>
      <c r="M149" s="42"/>
      <c r="N149" s="42"/>
      <c r="O149" s="42"/>
      <c r="P149" s="42"/>
      <c r="Q149" s="42"/>
      <c r="R149" s="42"/>
      <c r="S149" s="42"/>
      <c r="T149" s="42"/>
      <c r="U149" s="42"/>
      <c r="V149" s="42"/>
      <c r="W149" s="42"/>
      <c r="X149" s="42"/>
      <c r="Y149" s="42"/>
    </row>
    <row r="150" ht="15.75" customHeight="1">
      <c r="A150" s="189">
        <v>43424.0</v>
      </c>
      <c r="B150" s="42"/>
      <c r="C150" s="42"/>
      <c r="D150" s="202">
        <v>2.3448037879883E13</v>
      </c>
      <c r="E150" s="42"/>
      <c r="F150" s="42"/>
      <c r="G150" s="42"/>
      <c r="H150" s="20" t="s">
        <v>6318</v>
      </c>
      <c r="I150" s="42"/>
      <c r="J150" s="188" t="s">
        <v>1052</v>
      </c>
      <c r="K150" s="42"/>
      <c r="L150" s="42"/>
      <c r="M150" s="42"/>
      <c r="N150" s="42"/>
      <c r="O150" s="42"/>
      <c r="P150" s="42"/>
      <c r="Q150" s="42"/>
      <c r="R150" s="42"/>
      <c r="S150" s="42"/>
      <c r="T150" s="42"/>
      <c r="U150" s="42"/>
      <c r="V150" s="42"/>
      <c r="W150" s="42"/>
      <c r="X150" s="42"/>
      <c r="Y150" s="42"/>
    </row>
    <row r="151" ht="15.75" customHeight="1">
      <c r="A151" s="189">
        <v>43424.0</v>
      </c>
      <c r="B151" s="42"/>
      <c r="C151" s="42"/>
      <c r="D151" s="221" t="s">
        <v>6361</v>
      </c>
      <c r="E151" s="42"/>
      <c r="F151" s="42"/>
      <c r="G151" s="42"/>
      <c r="H151" s="20" t="s">
        <v>6318</v>
      </c>
      <c r="I151" s="42"/>
      <c r="J151" s="188" t="s">
        <v>1052</v>
      </c>
      <c r="K151" s="42"/>
      <c r="L151" s="42"/>
      <c r="M151" s="42"/>
      <c r="N151" s="42"/>
      <c r="O151" s="42"/>
      <c r="P151" s="42"/>
      <c r="Q151" s="42"/>
      <c r="R151" s="42"/>
      <c r="S151" s="42"/>
      <c r="T151" s="42"/>
      <c r="U151" s="42"/>
      <c r="V151" s="42"/>
      <c r="W151" s="42"/>
      <c r="X151" s="42"/>
      <c r="Y151" s="42"/>
    </row>
    <row r="152" ht="15.75" customHeight="1">
      <c r="A152" s="189">
        <v>43424.0</v>
      </c>
      <c r="B152" s="72" t="s">
        <v>6362</v>
      </c>
      <c r="C152" s="42"/>
      <c r="D152" s="202">
        <v>9.71507162348E11</v>
      </c>
      <c r="E152" s="20" t="s">
        <v>6363</v>
      </c>
      <c r="F152" s="42"/>
      <c r="G152" s="42"/>
      <c r="H152" s="20" t="s">
        <v>6318</v>
      </c>
      <c r="I152" s="42"/>
      <c r="J152" s="188" t="s">
        <v>1052</v>
      </c>
      <c r="K152" s="42"/>
      <c r="L152" s="42"/>
      <c r="M152" s="42"/>
      <c r="N152" s="42"/>
      <c r="O152" s="42"/>
      <c r="P152" s="42"/>
      <c r="Q152" s="42"/>
      <c r="R152" s="42"/>
      <c r="S152" s="42"/>
      <c r="T152" s="42"/>
      <c r="U152" s="42"/>
      <c r="V152" s="42"/>
      <c r="W152" s="42"/>
      <c r="X152" s="42"/>
      <c r="Y152" s="42"/>
    </row>
    <row r="153" ht="15.75" customHeight="1">
      <c r="A153" s="189">
        <v>43424.0</v>
      </c>
      <c r="B153" s="72" t="s">
        <v>6364</v>
      </c>
      <c r="C153" s="42"/>
      <c r="D153" s="202">
        <v>2.348032011967E12</v>
      </c>
      <c r="E153" s="42"/>
      <c r="F153" s="42"/>
      <c r="G153" s="42"/>
      <c r="H153" s="20" t="s">
        <v>6318</v>
      </c>
      <c r="I153" s="42"/>
      <c r="J153" s="188" t="s">
        <v>1052</v>
      </c>
      <c r="K153" s="42"/>
      <c r="L153" s="42"/>
      <c r="M153" s="42"/>
      <c r="N153" s="42"/>
      <c r="O153" s="42"/>
      <c r="P153" s="42"/>
      <c r="Q153" s="42"/>
      <c r="R153" s="42"/>
      <c r="S153" s="42"/>
      <c r="T153" s="42"/>
      <c r="U153" s="42"/>
      <c r="V153" s="42"/>
      <c r="W153" s="42"/>
      <c r="X153" s="42"/>
      <c r="Y153" s="42"/>
    </row>
    <row r="154" ht="15.75" customHeight="1">
      <c r="A154" s="189">
        <v>43424.0</v>
      </c>
      <c r="B154" s="72" t="s">
        <v>6365</v>
      </c>
      <c r="C154" s="42"/>
      <c r="D154" s="202">
        <v>2.34802716582E12</v>
      </c>
      <c r="E154" s="42"/>
      <c r="F154" s="42"/>
      <c r="G154" s="42"/>
      <c r="H154" s="20" t="s">
        <v>6318</v>
      </c>
      <c r="I154" s="42"/>
      <c r="J154" s="188" t="s">
        <v>1052</v>
      </c>
      <c r="K154" s="42"/>
      <c r="L154" s="42"/>
      <c r="M154" s="42"/>
      <c r="N154" s="42"/>
      <c r="O154" s="42"/>
      <c r="P154" s="42"/>
      <c r="Q154" s="42"/>
      <c r="R154" s="42"/>
      <c r="S154" s="42"/>
      <c r="T154" s="42"/>
      <c r="U154" s="42"/>
      <c r="V154" s="42"/>
      <c r="W154" s="42"/>
      <c r="X154" s="42"/>
      <c r="Y154" s="42"/>
    </row>
    <row r="155" ht="15.75" customHeight="1">
      <c r="A155" s="189">
        <v>43424.0</v>
      </c>
      <c r="B155" s="72" t="s">
        <v>6366</v>
      </c>
      <c r="C155" s="42"/>
      <c r="D155" s="202">
        <v>2.34703829445E12</v>
      </c>
      <c r="E155" s="20" t="s">
        <v>6367</v>
      </c>
      <c r="F155" s="42"/>
      <c r="G155" s="42"/>
      <c r="H155" s="20" t="s">
        <v>6318</v>
      </c>
      <c r="I155" s="42"/>
      <c r="J155" s="188" t="s">
        <v>1052</v>
      </c>
      <c r="K155" s="42"/>
      <c r="L155" s="42"/>
      <c r="M155" s="42"/>
      <c r="N155" s="42"/>
      <c r="O155" s="42"/>
      <c r="P155" s="42"/>
      <c r="Q155" s="42"/>
      <c r="R155" s="42"/>
      <c r="S155" s="42"/>
      <c r="T155" s="42"/>
      <c r="U155" s="42"/>
      <c r="V155" s="42"/>
      <c r="W155" s="42"/>
      <c r="X155" s="42"/>
      <c r="Y155" s="42"/>
    </row>
    <row r="156" ht="15.75" customHeight="1">
      <c r="A156" s="189">
        <v>43424.0</v>
      </c>
      <c r="B156" s="42"/>
      <c r="C156" s="42"/>
      <c r="D156" s="202">
        <v>9.71507892341E11</v>
      </c>
      <c r="E156" s="42"/>
      <c r="F156" s="42"/>
      <c r="G156" s="42"/>
      <c r="H156" s="20" t="s">
        <v>6318</v>
      </c>
      <c r="I156" s="42"/>
      <c r="J156" s="188" t="s">
        <v>1052</v>
      </c>
      <c r="K156" s="42"/>
      <c r="L156" s="42"/>
      <c r="M156" s="42"/>
      <c r="N156" s="42"/>
      <c r="O156" s="42"/>
      <c r="P156" s="42"/>
      <c r="Q156" s="42"/>
      <c r="R156" s="42"/>
      <c r="S156" s="42"/>
      <c r="T156" s="42"/>
      <c r="U156" s="42"/>
      <c r="V156" s="42"/>
      <c r="W156" s="42"/>
      <c r="X156" s="42"/>
      <c r="Y156" s="42"/>
    </row>
    <row r="157" ht="15.75" customHeight="1">
      <c r="A157" s="189">
        <v>43424.0</v>
      </c>
      <c r="B157" s="72" t="s">
        <v>6368</v>
      </c>
      <c r="C157" s="42"/>
      <c r="D157" s="202">
        <v>9.71507961234E11</v>
      </c>
      <c r="E157" s="20" t="s">
        <v>6369</v>
      </c>
      <c r="F157" s="42"/>
      <c r="G157" s="42"/>
      <c r="H157" s="20" t="s">
        <v>6318</v>
      </c>
      <c r="I157" s="42"/>
      <c r="J157" s="188" t="s">
        <v>1052</v>
      </c>
      <c r="K157" s="42"/>
      <c r="L157" s="42"/>
      <c r="M157" s="42"/>
      <c r="N157" s="42"/>
      <c r="O157" s="42"/>
      <c r="P157" s="42"/>
      <c r="Q157" s="42"/>
      <c r="R157" s="42"/>
      <c r="S157" s="42"/>
      <c r="T157" s="42"/>
      <c r="U157" s="42"/>
      <c r="V157" s="42"/>
      <c r="W157" s="42"/>
      <c r="X157" s="42"/>
      <c r="Y157" s="42"/>
    </row>
    <row r="158" ht="15.75" customHeight="1">
      <c r="A158" s="189">
        <v>43424.0</v>
      </c>
      <c r="B158" s="72" t="s">
        <v>6370</v>
      </c>
      <c r="C158" s="42"/>
      <c r="D158" s="202">
        <v>2.348023121962E12</v>
      </c>
      <c r="E158" s="20" t="s">
        <v>6371</v>
      </c>
      <c r="F158" s="42"/>
      <c r="G158" s="42"/>
      <c r="H158" s="20" t="s">
        <v>6318</v>
      </c>
      <c r="I158" s="42"/>
      <c r="J158" s="188" t="s">
        <v>1052</v>
      </c>
      <c r="K158" s="42"/>
      <c r="L158" s="42"/>
      <c r="M158" s="42"/>
      <c r="N158" s="42"/>
      <c r="O158" s="42"/>
      <c r="P158" s="42"/>
      <c r="Q158" s="42"/>
      <c r="R158" s="42"/>
      <c r="S158" s="42"/>
      <c r="T158" s="42"/>
      <c r="U158" s="42"/>
      <c r="V158" s="42"/>
      <c r="W158" s="42"/>
      <c r="X158" s="42"/>
      <c r="Y158" s="42"/>
    </row>
    <row r="159" ht="15.75" customHeight="1">
      <c r="A159" s="189">
        <v>43424.0</v>
      </c>
      <c r="B159" s="72" t="s">
        <v>6370</v>
      </c>
      <c r="C159" s="42"/>
      <c r="D159" s="202">
        <v>2.348023121962E12</v>
      </c>
      <c r="E159" s="20" t="s">
        <v>6371</v>
      </c>
      <c r="F159" s="42"/>
      <c r="G159" s="42"/>
      <c r="H159" s="20" t="s">
        <v>6318</v>
      </c>
      <c r="I159" s="42"/>
      <c r="J159" s="188" t="s">
        <v>1052</v>
      </c>
      <c r="K159" s="42"/>
      <c r="L159" s="42"/>
      <c r="M159" s="42"/>
      <c r="N159" s="42"/>
      <c r="O159" s="42"/>
      <c r="P159" s="42"/>
      <c r="Q159" s="42"/>
      <c r="R159" s="42"/>
      <c r="S159" s="42"/>
      <c r="T159" s="42"/>
      <c r="U159" s="42"/>
      <c r="V159" s="42"/>
      <c r="W159" s="42"/>
      <c r="X159" s="42"/>
      <c r="Y159" s="42"/>
    </row>
    <row r="160" ht="15.75" customHeight="1">
      <c r="A160" s="189">
        <v>43424.0</v>
      </c>
      <c r="B160" s="72" t="s">
        <v>6372</v>
      </c>
      <c r="C160" s="42"/>
      <c r="D160" s="202">
        <v>2.341264238E10</v>
      </c>
      <c r="E160" s="42"/>
      <c r="F160" s="42"/>
      <c r="G160" s="42"/>
      <c r="H160" s="20" t="s">
        <v>6318</v>
      </c>
      <c r="I160" s="42"/>
      <c r="J160" s="188" t="s">
        <v>1052</v>
      </c>
      <c r="K160" s="42"/>
      <c r="L160" s="42"/>
      <c r="M160" s="42"/>
      <c r="N160" s="42"/>
      <c r="O160" s="42"/>
      <c r="P160" s="42"/>
      <c r="Q160" s="42"/>
      <c r="R160" s="42"/>
      <c r="S160" s="42"/>
      <c r="T160" s="42"/>
      <c r="U160" s="42"/>
      <c r="V160" s="42"/>
      <c r="W160" s="42"/>
      <c r="X160" s="42"/>
      <c r="Y160" s="42"/>
    </row>
    <row r="161" ht="15.75" customHeight="1">
      <c r="A161" s="189">
        <v>43424.0</v>
      </c>
      <c r="B161" s="42"/>
      <c r="C161" s="42"/>
      <c r="D161" s="202">
        <v>2.348034080035E12</v>
      </c>
      <c r="E161" s="20" t="s">
        <v>6373</v>
      </c>
      <c r="F161" s="42"/>
      <c r="G161" s="42"/>
      <c r="H161" s="20" t="s">
        <v>6318</v>
      </c>
      <c r="I161" s="42"/>
      <c r="J161" s="188" t="s">
        <v>1052</v>
      </c>
      <c r="K161" s="42"/>
      <c r="L161" s="42"/>
      <c r="M161" s="42"/>
      <c r="N161" s="42"/>
      <c r="O161" s="42"/>
      <c r="P161" s="42"/>
      <c r="Q161" s="42"/>
      <c r="R161" s="42"/>
      <c r="S161" s="42"/>
      <c r="T161" s="42"/>
      <c r="U161" s="42"/>
      <c r="V161" s="42"/>
      <c r="W161" s="42"/>
      <c r="X161" s="42"/>
      <c r="Y161" s="42"/>
    </row>
    <row r="162" ht="15.75" customHeight="1">
      <c r="A162" s="189">
        <v>43424.0</v>
      </c>
      <c r="B162" s="72" t="s">
        <v>6374</v>
      </c>
      <c r="C162" s="42"/>
      <c r="D162" s="202">
        <v>2.348023358296E12</v>
      </c>
      <c r="E162" s="20" t="s">
        <v>6375</v>
      </c>
      <c r="F162" s="42"/>
      <c r="G162" s="42"/>
      <c r="H162" s="20" t="s">
        <v>6318</v>
      </c>
      <c r="I162" s="42"/>
      <c r="J162" s="188" t="s">
        <v>1052</v>
      </c>
      <c r="K162" s="42"/>
      <c r="L162" s="42"/>
      <c r="M162" s="42"/>
      <c r="N162" s="42"/>
      <c r="O162" s="42"/>
      <c r="P162" s="42"/>
      <c r="Q162" s="42"/>
      <c r="R162" s="42"/>
      <c r="S162" s="42"/>
      <c r="T162" s="42"/>
      <c r="U162" s="42"/>
      <c r="V162" s="42"/>
      <c r="W162" s="42"/>
      <c r="X162" s="42"/>
      <c r="Y162" s="42"/>
    </row>
    <row r="163" ht="15.75" customHeight="1">
      <c r="A163" s="189">
        <v>43424.0</v>
      </c>
      <c r="B163" s="72" t="s">
        <v>6376</v>
      </c>
      <c r="C163" s="42"/>
      <c r="D163" s="202">
        <v>2.348034007117E12</v>
      </c>
      <c r="E163" s="42"/>
      <c r="F163" s="42"/>
      <c r="G163" s="42"/>
      <c r="H163" s="20" t="s">
        <v>6318</v>
      </c>
      <c r="I163" s="42"/>
      <c r="J163" s="188" t="s">
        <v>1052</v>
      </c>
      <c r="K163" s="42"/>
      <c r="L163" s="42"/>
      <c r="M163" s="42"/>
      <c r="N163" s="42"/>
      <c r="O163" s="42"/>
      <c r="P163" s="42"/>
      <c r="Q163" s="42"/>
      <c r="R163" s="42"/>
      <c r="S163" s="42"/>
      <c r="T163" s="42"/>
      <c r="U163" s="42"/>
      <c r="V163" s="42"/>
      <c r="W163" s="42"/>
      <c r="X163" s="42"/>
      <c r="Y163" s="42"/>
    </row>
    <row r="164" ht="15.75" customHeight="1">
      <c r="A164" s="189">
        <v>43424.0</v>
      </c>
      <c r="B164" s="72" t="s">
        <v>6377</v>
      </c>
      <c r="C164" s="42"/>
      <c r="D164" s="202">
        <v>2.34802353544E13</v>
      </c>
      <c r="E164" s="20" t="s">
        <v>6378</v>
      </c>
      <c r="F164" s="42"/>
      <c r="G164" s="42"/>
      <c r="H164" s="20" t="s">
        <v>6318</v>
      </c>
      <c r="I164" s="42"/>
      <c r="J164" s="188" t="s">
        <v>1052</v>
      </c>
      <c r="K164" s="42"/>
      <c r="L164" s="42"/>
      <c r="M164" s="42"/>
      <c r="N164" s="42"/>
      <c r="O164" s="42"/>
      <c r="P164" s="42"/>
      <c r="Q164" s="42"/>
      <c r="R164" s="42"/>
      <c r="S164" s="42"/>
      <c r="T164" s="42"/>
      <c r="U164" s="42"/>
      <c r="V164" s="42"/>
      <c r="W164" s="42"/>
      <c r="X164" s="42"/>
      <c r="Y164" s="42"/>
    </row>
    <row r="165" ht="15.75" customHeight="1">
      <c r="A165" s="189">
        <v>43424.0</v>
      </c>
      <c r="B165" s="72" t="s">
        <v>6379</v>
      </c>
      <c r="C165" s="42"/>
      <c r="D165" s="202">
        <v>2.348033233466E12</v>
      </c>
      <c r="E165" s="20" t="s">
        <v>6380</v>
      </c>
      <c r="F165" s="42"/>
      <c r="G165" s="42"/>
      <c r="H165" s="20" t="s">
        <v>6318</v>
      </c>
      <c r="I165" s="42"/>
      <c r="J165" s="188" t="s">
        <v>1052</v>
      </c>
      <c r="K165" s="42"/>
      <c r="L165" s="42"/>
      <c r="M165" s="42"/>
      <c r="N165" s="42"/>
      <c r="O165" s="42"/>
      <c r="P165" s="42"/>
      <c r="Q165" s="42"/>
      <c r="R165" s="42"/>
      <c r="S165" s="42"/>
      <c r="T165" s="42"/>
      <c r="U165" s="42"/>
      <c r="V165" s="42"/>
      <c r="W165" s="42"/>
      <c r="X165" s="42"/>
      <c r="Y165" s="42"/>
    </row>
    <row r="166" ht="15.75" customHeight="1">
      <c r="A166" s="189">
        <v>43424.0</v>
      </c>
      <c r="B166" s="72" t="s">
        <v>6381</v>
      </c>
      <c r="C166" s="42"/>
      <c r="D166" s="202">
        <v>2.348033015208E12</v>
      </c>
      <c r="E166" s="20" t="s">
        <v>6382</v>
      </c>
      <c r="F166" s="42"/>
      <c r="G166" s="42"/>
      <c r="H166" s="20" t="s">
        <v>6318</v>
      </c>
      <c r="I166" s="42"/>
      <c r="J166" s="188" t="s">
        <v>1052</v>
      </c>
      <c r="K166" s="42"/>
      <c r="L166" s="42"/>
      <c r="M166" s="42"/>
      <c r="N166" s="42"/>
      <c r="O166" s="42"/>
      <c r="P166" s="42"/>
      <c r="Q166" s="42"/>
      <c r="R166" s="42"/>
      <c r="S166" s="42"/>
      <c r="T166" s="42"/>
      <c r="U166" s="42"/>
      <c r="V166" s="42"/>
      <c r="W166" s="42"/>
      <c r="X166" s="42"/>
      <c r="Y166" s="42"/>
    </row>
    <row r="167" ht="15.75" customHeight="1">
      <c r="A167" s="189">
        <v>43424.0</v>
      </c>
      <c r="B167" s="72" t="s">
        <v>6383</v>
      </c>
      <c r="C167" s="42"/>
      <c r="D167" s="202">
        <v>2.348033233466E12</v>
      </c>
      <c r="E167" s="20" t="s">
        <v>6380</v>
      </c>
      <c r="F167" s="42"/>
      <c r="G167" s="42"/>
      <c r="H167" s="20" t="s">
        <v>6318</v>
      </c>
      <c r="I167" s="42"/>
      <c r="J167" s="188" t="s">
        <v>1052</v>
      </c>
      <c r="K167" s="42"/>
      <c r="L167" s="42"/>
      <c r="M167" s="42"/>
      <c r="N167" s="42"/>
      <c r="O167" s="42"/>
      <c r="P167" s="42"/>
      <c r="Q167" s="42"/>
      <c r="R167" s="42"/>
      <c r="S167" s="42"/>
      <c r="T167" s="42"/>
      <c r="U167" s="42"/>
      <c r="V167" s="42"/>
      <c r="W167" s="42"/>
      <c r="X167" s="42"/>
      <c r="Y167" s="42"/>
    </row>
    <row r="168" ht="15.75" customHeight="1">
      <c r="A168" s="189">
        <v>43424.0</v>
      </c>
      <c r="B168" s="72" t="s">
        <v>6384</v>
      </c>
      <c r="C168" s="42"/>
      <c r="D168" s="202">
        <v>2.348034080026E12</v>
      </c>
      <c r="E168" s="42"/>
      <c r="F168" s="42"/>
      <c r="G168" s="42"/>
      <c r="H168" s="20" t="s">
        <v>6318</v>
      </c>
      <c r="I168" s="42"/>
      <c r="J168" s="188" t="s">
        <v>1052</v>
      </c>
      <c r="K168" s="42"/>
      <c r="L168" s="42"/>
      <c r="M168" s="42"/>
      <c r="N168" s="42"/>
      <c r="O168" s="42"/>
      <c r="P168" s="42"/>
      <c r="Q168" s="42"/>
      <c r="R168" s="42"/>
      <c r="S168" s="42"/>
      <c r="T168" s="42"/>
      <c r="U168" s="42"/>
      <c r="V168" s="42"/>
      <c r="W168" s="42"/>
      <c r="X168" s="42"/>
      <c r="Y168" s="42"/>
    </row>
    <row r="169" ht="15.75" customHeight="1">
      <c r="A169" s="189">
        <v>43424.0</v>
      </c>
      <c r="B169" s="72" t="s">
        <v>6385</v>
      </c>
      <c r="C169" s="42"/>
      <c r="D169" s="202">
        <v>2.3417943116E10</v>
      </c>
      <c r="E169" s="20" t="s">
        <v>6382</v>
      </c>
      <c r="F169" s="42"/>
      <c r="G169" s="42"/>
      <c r="H169" s="20" t="s">
        <v>6318</v>
      </c>
      <c r="I169" s="42"/>
      <c r="J169" s="188" t="s">
        <v>1052</v>
      </c>
      <c r="K169" s="42"/>
      <c r="L169" s="42"/>
      <c r="M169" s="42"/>
      <c r="N169" s="42"/>
      <c r="O169" s="42"/>
      <c r="P169" s="42"/>
      <c r="Q169" s="42"/>
      <c r="R169" s="42"/>
      <c r="S169" s="42"/>
      <c r="T169" s="42"/>
      <c r="U169" s="42"/>
      <c r="V169" s="42"/>
      <c r="W169" s="42"/>
      <c r="X169" s="42"/>
      <c r="Y169" s="42"/>
    </row>
    <row r="170" ht="15.75" customHeight="1">
      <c r="A170" s="189">
        <v>43424.0</v>
      </c>
      <c r="B170" s="72" t="s">
        <v>6386</v>
      </c>
      <c r="C170" s="42"/>
      <c r="D170" s="202">
        <v>2.34803371383E12</v>
      </c>
      <c r="E170" s="20" t="s">
        <v>6387</v>
      </c>
      <c r="F170" s="42"/>
      <c r="G170" s="42"/>
      <c r="H170" s="20" t="s">
        <v>6318</v>
      </c>
      <c r="I170" s="42"/>
      <c r="J170" s="188" t="s">
        <v>1052</v>
      </c>
      <c r="K170" s="42"/>
      <c r="L170" s="42"/>
      <c r="M170" s="42"/>
      <c r="N170" s="42"/>
      <c r="O170" s="42"/>
      <c r="P170" s="42"/>
      <c r="Q170" s="42"/>
      <c r="R170" s="42"/>
      <c r="S170" s="42"/>
      <c r="T170" s="42"/>
      <c r="U170" s="42"/>
      <c r="V170" s="42"/>
      <c r="W170" s="42"/>
      <c r="X170" s="42"/>
      <c r="Y170" s="42"/>
    </row>
    <row r="171" ht="15.75" customHeight="1">
      <c r="A171" s="189">
        <v>43424.0</v>
      </c>
      <c r="B171" s="72" t="s">
        <v>6388</v>
      </c>
      <c r="C171" s="42"/>
      <c r="D171" s="202">
        <v>2.348052313882E12</v>
      </c>
      <c r="E171" s="20" t="s">
        <v>6389</v>
      </c>
      <c r="F171" s="42"/>
      <c r="G171" s="42"/>
      <c r="H171" s="20" t="s">
        <v>6318</v>
      </c>
      <c r="I171" s="42"/>
      <c r="J171" s="188" t="s">
        <v>1052</v>
      </c>
      <c r="K171" s="42"/>
      <c r="L171" s="42"/>
      <c r="M171" s="42"/>
      <c r="N171" s="42"/>
      <c r="O171" s="42"/>
      <c r="P171" s="42"/>
      <c r="Q171" s="42"/>
      <c r="R171" s="42"/>
      <c r="S171" s="42"/>
      <c r="T171" s="42"/>
      <c r="U171" s="42"/>
      <c r="V171" s="42"/>
      <c r="W171" s="42"/>
      <c r="X171" s="42"/>
      <c r="Y171" s="42"/>
    </row>
    <row r="172" ht="15.75" customHeight="1">
      <c r="A172" s="189">
        <v>43424.0</v>
      </c>
      <c r="B172" s="72" t="s">
        <v>6390</v>
      </c>
      <c r="C172" s="42"/>
      <c r="D172" s="202">
        <v>2.34172009711E11</v>
      </c>
      <c r="E172" s="42"/>
      <c r="F172" s="42"/>
      <c r="G172" s="42"/>
      <c r="H172" s="20" t="s">
        <v>6318</v>
      </c>
      <c r="I172" s="42"/>
      <c r="J172" s="188" t="s">
        <v>1052</v>
      </c>
      <c r="K172" s="42"/>
      <c r="L172" s="42"/>
      <c r="M172" s="42"/>
      <c r="N172" s="42"/>
      <c r="O172" s="42"/>
      <c r="P172" s="42"/>
      <c r="Q172" s="42"/>
      <c r="R172" s="42"/>
      <c r="S172" s="42"/>
      <c r="T172" s="42"/>
      <c r="U172" s="42"/>
      <c r="V172" s="42"/>
      <c r="W172" s="42"/>
      <c r="X172" s="42"/>
      <c r="Y172" s="42"/>
    </row>
    <row r="173" ht="15.75" customHeight="1">
      <c r="A173" s="189">
        <v>43424.0</v>
      </c>
      <c r="B173" s="42"/>
      <c r="C173" s="42"/>
      <c r="D173" s="202">
        <v>2.34803401E12</v>
      </c>
      <c r="E173" s="20" t="s">
        <v>6391</v>
      </c>
      <c r="F173" s="42"/>
      <c r="G173" s="42"/>
      <c r="H173" s="20" t="s">
        <v>6318</v>
      </c>
      <c r="I173" s="42"/>
      <c r="J173" s="188" t="s">
        <v>1052</v>
      </c>
      <c r="K173" s="42"/>
      <c r="L173" s="42"/>
      <c r="M173" s="42"/>
      <c r="N173" s="42"/>
      <c r="O173" s="42"/>
      <c r="P173" s="42"/>
      <c r="Q173" s="42"/>
      <c r="R173" s="42"/>
      <c r="S173" s="42"/>
      <c r="T173" s="42"/>
      <c r="U173" s="42"/>
      <c r="V173" s="42"/>
      <c r="W173" s="42"/>
      <c r="X173" s="42"/>
      <c r="Y173" s="42"/>
    </row>
    <row r="174" ht="15.75" customHeight="1">
      <c r="A174" s="189">
        <v>43424.0</v>
      </c>
      <c r="B174" s="42"/>
      <c r="C174" s="42"/>
      <c r="D174" s="202">
        <v>2.348033014627E12</v>
      </c>
      <c r="E174" s="20" t="s">
        <v>6392</v>
      </c>
      <c r="F174" s="42"/>
      <c r="G174" s="42"/>
      <c r="H174" s="20" t="s">
        <v>6318</v>
      </c>
      <c r="I174" s="42"/>
      <c r="J174" s="188" t="s">
        <v>1052</v>
      </c>
      <c r="K174" s="42"/>
      <c r="L174" s="42"/>
      <c r="M174" s="42"/>
      <c r="N174" s="42"/>
      <c r="O174" s="42"/>
      <c r="P174" s="42"/>
      <c r="Q174" s="42"/>
      <c r="R174" s="42"/>
      <c r="S174" s="42"/>
      <c r="T174" s="42"/>
      <c r="U174" s="42"/>
      <c r="V174" s="42"/>
      <c r="W174" s="42"/>
      <c r="X174" s="42"/>
      <c r="Y174" s="42"/>
    </row>
    <row r="175" ht="15.75" customHeight="1">
      <c r="A175" s="189">
        <v>43426.0</v>
      </c>
      <c r="B175" s="222" t="s">
        <v>6393</v>
      </c>
      <c r="C175" s="42"/>
      <c r="D175" s="223" t="s">
        <v>6394</v>
      </c>
      <c r="E175" s="224" t="s">
        <v>6395</v>
      </c>
      <c r="F175" s="223"/>
      <c r="G175" s="223" t="s">
        <v>6394</v>
      </c>
      <c r="H175" s="223" t="s">
        <v>6396</v>
      </c>
      <c r="I175" s="225">
        <v>11121.0</v>
      </c>
      <c r="J175" s="188" t="s">
        <v>1052</v>
      </c>
      <c r="K175" s="42"/>
      <c r="L175" s="42"/>
      <c r="M175" s="42"/>
      <c r="N175" s="42"/>
      <c r="O175" s="42"/>
      <c r="P175" s="42"/>
      <c r="Q175" s="42"/>
      <c r="R175" s="42"/>
      <c r="S175" s="42"/>
      <c r="T175" s="42"/>
      <c r="U175" s="42"/>
      <c r="V175" s="42"/>
      <c r="W175" s="42"/>
      <c r="X175" s="42"/>
      <c r="Y175" s="42"/>
    </row>
    <row r="176" ht="15.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row>
    <row r="177" ht="15.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row>
    <row r="178"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row>
    <row r="179" ht="15.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row>
    <row r="180" ht="15.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row>
    <row r="181" ht="15.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row>
    <row r="182" ht="15.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row>
    <row r="183" ht="15.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row>
    <row r="184" ht="15.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row>
    <row r="185" ht="15.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row>
    <row r="186" ht="15.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row>
    <row r="187"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row>
    <row r="188" ht="15.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row>
    <row r="189" ht="15.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row>
    <row r="190" ht="15.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row>
    <row r="191" ht="15.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row>
    <row r="192" ht="15.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row>
    <row r="193" ht="15.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row>
    <row r="194"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row>
    <row r="195" ht="15.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row>
    <row r="196" ht="15.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row>
    <row r="197" ht="15.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row>
    <row r="198" ht="15.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row>
    <row r="199" ht="15.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row>
    <row r="200" ht="15.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row>
    <row r="201"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row>
    <row r="202" ht="15.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row>
    <row r="203" ht="15.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row>
    <row r="204" ht="15.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row>
    <row r="205" ht="15.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row>
    <row r="206" ht="15.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row>
    <row r="207" ht="15.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row>
    <row r="208"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row>
    <row r="209" ht="15.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row>
    <row r="210" ht="15.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row>
    <row r="211" ht="15.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row>
    <row r="212" ht="15.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row>
    <row r="213" ht="15.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row>
    <row r="214" ht="15.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row>
    <row r="215" ht="15.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row>
    <row r="216" ht="15.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row>
    <row r="217" ht="15.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row>
    <row r="218" ht="15.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row>
    <row r="219" ht="15.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row>
    <row r="220" ht="15.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row>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Y$175"/>
  <hyperlinks>
    <hyperlink r:id="rId1" ref="E2"/>
    <hyperlink r:id="rId2" ref="E3"/>
    <hyperlink r:id="rId3" ref="E5"/>
    <hyperlink r:id="rId4" ref="E6"/>
    <hyperlink r:id="rId5" ref="E7"/>
    <hyperlink r:id="rId6" ref="E13"/>
  </hyperlinks>
  <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C1130"/>
    <outlinePr summaryBelow="0" summaryRight="0"/>
    <pageSetUpPr fitToPage="1"/>
  </sheetPr>
  <sheetViews>
    <sheetView workbookViewId="0"/>
  </sheetViews>
  <sheetFormatPr customHeight="1" defaultColWidth="12.63" defaultRowHeight="15.0"/>
  <cols>
    <col customWidth="1" min="1" max="1" width="14.38"/>
    <col customWidth="1" min="2" max="2" width="25.25"/>
    <col customWidth="1" min="3" max="3" width="19.38"/>
    <col customWidth="1" min="4" max="31" width="14.38"/>
  </cols>
  <sheetData>
    <row r="1" ht="15.75" customHeight="1">
      <c r="A1" s="4" t="s">
        <v>0</v>
      </c>
      <c r="B1" s="4" t="s">
        <v>1</v>
      </c>
      <c r="C1" s="4" t="s">
        <v>2</v>
      </c>
      <c r="D1" s="4" t="s">
        <v>3</v>
      </c>
      <c r="E1" s="4" t="s">
        <v>4</v>
      </c>
      <c r="F1" s="4"/>
      <c r="G1" s="4" t="s">
        <v>5</v>
      </c>
      <c r="H1" s="4" t="s">
        <v>1651</v>
      </c>
      <c r="I1" s="4" t="s">
        <v>6</v>
      </c>
      <c r="J1" s="4" t="s">
        <v>6397</v>
      </c>
      <c r="K1" s="4" t="s">
        <v>6398</v>
      </c>
      <c r="L1" s="4"/>
      <c r="M1" s="4"/>
      <c r="N1" s="4"/>
      <c r="O1" s="4"/>
      <c r="P1" s="4"/>
      <c r="Q1" s="4"/>
      <c r="R1" s="4"/>
      <c r="S1" s="4"/>
      <c r="T1" s="4"/>
      <c r="U1" s="4"/>
      <c r="V1" s="4"/>
      <c r="W1" s="4"/>
      <c r="X1" s="4"/>
      <c r="Y1" s="4"/>
      <c r="Z1" s="4"/>
      <c r="AA1" s="4"/>
      <c r="AB1" s="4"/>
      <c r="AC1" s="4"/>
      <c r="AD1" s="4"/>
      <c r="AE1" s="4"/>
    </row>
    <row r="2" ht="15.75" customHeight="1">
      <c r="A2" s="175">
        <v>43417.0</v>
      </c>
      <c r="B2" s="57" t="s">
        <v>933</v>
      </c>
      <c r="C2" s="57" t="s">
        <v>934</v>
      </c>
      <c r="D2" s="59" t="s">
        <v>935</v>
      </c>
      <c r="E2" s="57"/>
      <c r="F2" s="57"/>
      <c r="G2" s="57" t="s">
        <v>863</v>
      </c>
      <c r="H2" s="57"/>
      <c r="I2" s="57" t="s">
        <v>6399</v>
      </c>
      <c r="J2" s="6" t="s">
        <v>6400</v>
      </c>
      <c r="K2" s="6" t="s">
        <v>6401</v>
      </c>
    </row>
    <row r="3" ht="15.75" customHeight="1">
      <c r="A3" s="175">
        <v>43416.0</v>
      </c>
      <c r="B3" s="57" t="s">
        <v>915</v>
      </c>
      <c r="C3" s="57" t="s">
        <v>916</v>
      </c>
      <c r="D3" s="59" t="s">
        <v>917</v>
      </c>
      <c r="E3" s="57"/>
      <c r="F3" s="57"/>
      <c r="G3" s="57" t="s">
        <v>863</v>
      </c>
      <c r="H3" s="57"/>
      <c r="I3" s="57" t="s">
        <v>6399</v>
      </c>
      <c r="J3" s="6" t="s">
        <v>6400</v>
      </c>
    </row>
    <row r="4" ht="15.75" customHeight="1">
      <c r="A4" s="175">
        <v>43421.0</v>
      </c>
      <c r="B4" s="180" t="s">
        <v>6081</v>
      </c>
      <c r="C4" s="180" t="s">
        <v>6082</v>
      </c>
      <c r="D4" s="180">
        <f>+971556893301</f>
        <v>971556893301</v>
      </c>
      <c r="E4" s="180" t="s">
        <v>263</v>
      </c>
      <c r="F4" s="57"/>
      <c r="G4" s="57" t="s">
        <v>6015</v>
      </c>
      <c r="H4" s="57"/>
      <c r="I4" s="57" t="s">
        <v>993</v>
      </c>
      <c r="J4" s="6" t="s">
        <v>6400</v>
      </c>
      <c r="K4" s="6" t="s">
        <v>6402</v>
      </c>
    </row>
    <row r="5" ht="15.75" customHeight="1">
      <c r="A5" s="182">
        <v>43421.0</v>
      </c>
      <c r="B5" s="171" t="s">
        <v>6081</v>
      </c>
      <c r="C5" s="171" t="s">
        <v>6082</v>
      </c>
      <c r="D5" s="171">
        <v>9.71556893301E11</v>
      </c>
      <c r="E5" s="180" t="s">
        <v>263</v>
      </c>
      <c r="F5" s="171"/>
      <c r="G5" s="171" t="s">
        <v>5917</v>
      </c>
      <c r="H5" s="171"/>
      <c r="I5" s="57" t="s">
        <v>993</v>
      </c>
      <c r="J5" s="6" t="s">
        <v>6400</v>
      </c>
    </row>
    <row r="6" ht="15.75" customHeight="1">
      <c r="A6" s="175">
        <v>43416.0</v>
      </c>
      <c r="B6" s="57" t="s">
        <v>5997</v>
      </c>
      <c r="C6" s="57" t="s">
        <v>5998</v>
      </c>
      <c r="D6" s="178">
        <f>+6596867527</f>
        <v>6596867527</v>
      </c>
      <c r="E6" s="57"/>
      <c r="F6" s="57"/>
      <c r="G6" s="57" t="s">
        <v>5917</v>
      </c>
      <c r="H6" s="57"/>
      <c r="I6" s="57"/>
      <c r="J6" s="6" t="s">
        <v>6400</v>
      </c>
    </row>
    <row r="7" ht="15.75" customHeight="1">
      <c r="A7" s="175">
        <v>43419.0</v>
      </c>
      <c r="B7" s="183" t="s">
        <v>6036</v>
      </c>
      <c r="C7" s="183" t="s">
        <v>6037</v>
      </c>
      <c r="D7" s="183">
        <f>+6597274941</f>
        <v>6597274941</v>
      </c>
      <c r="E7" s="180" t="s">
        <v>263</v>
      </c>
      <c r="F7" s="57"/>
      <c r="G7" s="57" t="s">
        <v>6015</v>
      </c>
      <c r="H7" s="57"/>
      <c r="I7" s="57" t="s">
        <v>993</v>
      </c>
      <c r="J7" s="6" t="s">
        <v>6400</v>
      </c>
    </row>
    <row r="8" ht="15.75" customHeight="1">
      <c r="A8" s="175">
        <v>43416.0</v>
      </c>
      <c r="B8" s="57" t="s">
        <v>5969</v>
      </c>
      <c r="C8" s="57" t="s">
        <v>5970</v>
      </c>
      <c r="D8" s="176">
        <f>+6591799832</f>
        <v>6591799832</v>
      </c>
      <c r="E8" s="57"/>
      <c r="F8" s="57"/>
      <c r="G8" s="57" t="s">
        <v>5917</v>
      </c>
      <c r="H8" s="57"/>
      <c r="I8" s="57"/>
      <c r="J8" s="6" t="s">
        <v>6400</v>
      </c>
      <c r="K8" s="6" t="s">
        <v>6403</v>
      </c>
    </row>
    <row r="9" ht="15.75" customHeight="1">
      <c r="A9" s="226">
        <v>43413.0</v>
      </c>
      <c r="B9" s="57" t="s">
        <v>860</v>
      </c>
      <c r="C9" s="57" t="s">
        <v>861</v>
      </c>
      <c r="D9" s="59" t="s">
        <v>862</v>
      </c>
      <c r="E9" s="57"/>
      <c r="F9" s="57"/>
      <c r="G9" s="57" t="s">
        <v>863</v>
      </c>
      <c r="H9" s="57"/>
      <c r="I9" s="57" t="s">
        <v>6399</v>
      </c>
      <c r="J9" s="6" t="s">
        <v>6400</v>
      </c>
    </row>
    <row r="10" ht="15.75" customHeight="1">
      <c r="A10" s="227">
        <v>43418.0</v>
      </c>
      <c r="B10" s="228" t="s">
        <v>6022</v>
      </c>
      <c r="C10" s="229" t="s">
        <v>6023</v>
      </c>
      <c r="D10" s="229">
        <f>+6593389319</f>
        <v>6593389319</v>
      </c>
      <c r="E10" s="229" t="s">
        <v>562</v>
      </c>
      <c r="F10" s="229"/>
      <c r="G10" s="65" t="s">
        <v>6015</v>
      </c>
      <c r="H10" s="65"/>
      <c r="I10" s="57"/>
      <c r="J10" s="6" t="s">
        <v>6400</v>
      </c>
      <c r="K10" s="6" t="s">
        <v>6404</v>
      </c>
    </row>
    <row r="11" ht="15.75" customHeight="1">
      <c r="A11" s="175">
        <v>43417.0</v>
      </c>
      <c r="B11" s="57" t="s">
        <v>930</v>
      </c>
      <c r="C11" s="57" t="s">
        <v>931</v>
      </c>
      <c r="D11" s="59" t="s">
        <v>932</v>
      </c>
      <c r="E11" s="57"/>
      <c r="F11" s="57"/>
      <c r="G11" s="57" t="s">
        <v>863</v>
      </c>
      <c r="H11" s="57"/>
      <c r="I11" s="57" t="s">
        <v>6399</v>
      </c>
      <c r="J11" s="6" t="s">
        <v>6400</v>
      </c>
    </row>
    <row r="12" ht="15.75" customHeight="1">
      <c r="A12" s="175">
        <v>43421.0</v>
      </c>
      <c r="B12" s="230" t="s">
        <v>1053</v>
      </c>
      <c r="C12" s="230" t="s">
        <v>1054</v>
      </c>
      <c r="D12" s="231" t="s">
        <v>1055</v>
      </c>
      <c r="E12" s="57"/>
      <c r="F12" s="57"/>
      <c r="G12" s="230" t="s">
        <v>1056</v>
      </c>
      <c r="H12" s="57"/>
      <c r="I12" s="57" t="s">
        <v>6399</v>
      </c>
      <c r="J12" s="6" t="s">
        <v>6400</v>
      </c>
    </row>
    <row r="13" ht="15.75" customHeight="1">
      <c r="A13" s="175">
        <v>43419.0</v>
      </c>
      <c r="B13" s="57" t="s">
        <v>990</v>
      </c>
      <c r="C13" s="57" t="s">
        <v>991</v>
      </c>
      <c r="D13" s="59" t="s">
        <v>992</v>
      </c>
      <c r="E13" s="57"/>
      <c r="F13" s="57"/>
      <c r="G13" s="57" t="s">
        <v>863</v>
      </c>
      <c r="H13" s="57"/>
      <c r="I13" s="57"/>
      <c r="J13" s="6" t="s">
        <v>6400</v>
      </c>
      <c r="K13" s="6" t="s">
        <v>6405</v>
      </c>
    </row>
    <row r="14" ht="15.75" customHeight="1">
      <c r="A14" s="175">
        <v>43418.0</v>
      </c>
      <c r="B14" s="179" t="s">
        <v>6013</v>
      </c>
      <c r="C14" s="180" t="s">
        <v>6014</v>
      </c>
      <c r="D14" s="180">
        <f>+6591598365</f>
        <v>6591598365</v>
      </c>
      <c r="E14" s="180" t="s">
        <v>263</v>
      </c>
      <c r="F14" s="180"/>
      <c r="G14" s="57" t="s">
        <v>6015</v>
      </c>
      <c r="H14" s="57"/>
      <c r="I14" s="57"/>
      <c r="J14" s="6" t="s">
        <v>6400</v>
      </c>
    </row>
    <row r="15" ht="15.75" customHeight="1">
      <c r="A15" s="175">
        <v>43420.0</v>
      </c>
      <c r="B15" s="57" t="s">
        <v>1021</v>
      </c>
      <c r="C15" s="57" t="s">
        <v>1022</v>
      </c>
      <c r="D15" s="59" t="s">
        <v>1023</v>
      </c>
      <c r="E15" s="57"/>
      <c r="F15" s="57"/>
      <c r="G15" s="57" t="s">
        <v>999</v>
      </c>
      <c r="H15" s="57"/>
      <c r="I15" s="57" t="s">
        <v>6399</v>
      </c>
      <c r="J15" s="6" t="s">
        <v>6400</v>
      </c>
    </row>
    <row r="16" ht="15.75" customHeight="1">
      <c r="A16" s="175">
        <v>43419.0</v>
      </c>
      <c r="B16" s="57" t="s">
        <v>1000</v>
      </c>
      <c r="C16" s="57" t="s">
        <v>1001</v>
      </c>
      <c r="D16" s="59" t="s">
        <v>1002</v>
      </c>
      <c r="E16" s="57"/>
      <c r="F16" s="57"/>
      <c r="G16" s="57" t="s">
        <v>999</v>
      </c>
      <c r="H16" s="57"/>
      <c r="I16" s="57" t="s">
        <v>6399</v>
      </c>
      <c r="J16" s="6" t="s">
        <v>6400</v>
      </c>
    </row>
    <row r="17" ht="15.75" customHeight="1">
      <c r="A17" s="175">
        <v>43414.0</v>
      </c>
      <c r="B17" s="57" t="s">
        <v>5938</v>
      </c>
      <c r="C17" s="57" t="s">
        <v>5939</v>
      </c>
      <c r="D17" s="57">
        <f>6596374450</f>
        <v>6596374450</v>
      </c>
      <c r="E17" s="57"/>
      <c r="F17" s="57"/>
      <c r="G17" s="57" t="s">
        <v>5917</v>
      </c>
      <c r="H17" s="57"/>
      <c r="I17" s="57"/>
      <c r="J17" s="6" t="s">
        <v>6400</v>
      </c>
    </row>
    <row r="18" ht="15.75" customHeight="1">
      <c r="A18" s="170">
        <v>43412.0</v>
      </c>
      <c r="B18" s="171" t="s">
        <v>5915</v>
      </c>
      <c r="C18" s="171" t="s">
        <v>5916</v>
      </c>
      <c r="D18" s="171">
        <v>6.596873322E9</v>
      </c>
      <c r="E18" s="171"/>
      <c r="F18" s="171"/>
      <c r="G18" s="171" t="s">
        <v>5917</v>
      </c>
      <c r="H18" s="171"/>
      <c r="I18" s="57"/>
      <c r="J18" s="6" t="s">
        <v>6400</v>
      </c>
      <c r="K18" s="6" t="s">
        <v>6406</v>
      </c>
    </row>
    <row r="19" ht="15.75" customHeight="1">
      <c r="A19" s="175">
        <v>43416.0</v>
      </c>
      <c r="B19" s="57" t="s">
        <v>5968</v>
      </c>
      <c r="C19" s="57" t="s">
        <v>958</v>
      </c>
      <c r="D19" s="176">
        <f>+6596930120</f>
        <v>6596930120</v>
      </c>
      <c r="E19" s="57"/>
      <c r="F19" s="57"/>
      <c r="G19" s="57" t="s">
        <v>5917</v>
      </c>
      <c r="H19" s="57" t="s">
        <v>5917</v>
      </c>
      <c r="I19" s="57"/>
      <c r="J19" s="6" t="s">
        <v>6400</v>
      </c>
    </row>
    <row r="20" ht="15.75" customHeight="1">
      <c r="A20" s="175">
        <v>43419.0</v>
      </c>
      <c r="B20" s="57" t="s">
        <v>6047</v>
      </c>
      <c r="C20" s="57" t="s">
        <v>6048</v>
      </c>
      <c r="D20" s="57">
        <f>6596655179</f>
        <v>6596655179</v>
      </c>
      <c r="E20" s="180" t="s">
        <v>263</v>
      </c>
      <c r="F20" s="57"/>
      <c r="G20" s="57" t="s">
        <v>5917</v>
      </c>
      <c r="H20" s="57"/>
      <c r="I20" s="57" t="s">
        <v>993</v>
      </c>
      <c r="J20" s="6" t="s">
        <v>6400</v>
      </c>
      <c r="K20" s="6" t="s">
        <v>6407</v>
      </c>
    </row>
    <row r="21" ht="15.75" customHeight="1">
      <c r="A21" s="226">
        <v>43413.0</v>
      </c>
      <c r="B21" s="57" t="s">
        <v>867</v>
      </c>
      <c r="C21" s="57" t="s">
        <v>868</v>
      </c>
      <c r="D21" s="59" t="s">
        <v>869</v>
      </c>
      <c r="E21" s="57" t="s">
        <v>6408</v>
      </c>
      <c r="F21" s="57"/>
      <c r="G21" s="57" t="s">
        <v>863</v>
      </c>
      <c r="H21" s="57"/>
      <c r="I21" s="57" t="s">
        <v>6399</v>
      </c>
    </row>
    <row r="22" ht="15.75" customHeight="1"/>
    <row r="23" ht="15.75" customHeight="1"/>
    <row r="24" ht="15.75" customHeight="1">
      <c r="A24" s="6" t="s">
        <v>6409</v>
      </c>
    </row>
    <row r="25" ht="15.75" customHeight="1">
      <c r="B25" s="6" t="s">
        <v>6410</v>
      </c>
      <c r="C25" s="6" t="s">
        <v>6411</v>
      </c>
      <c r="D25" s="7" t="s">
        <v>6412</v>
      </c>
      <c r="G25" s="6" t="s">
        <v>6413</v>
      </c>
      <c r="K25" s="6" t="s">
        <v>6414</v>
      </c>
    </row>
    <row r="26" ht="15.75" customHeight="1">
      <c r="B26" s="6" t="s">
        <v>6415</v>
      </c>
      <c r="C26" s="6" t="s">
        <v>6416</v>
      </c>
      <c r="D26" s="7" t="s">
        <v>6417</v>
      </c>
      <c r="G26" s="6" t="s">
        <v>6413</v>
      </c>
    </row>
    <row r="27" ht="15.75" customHeight="1">
      <c r="B27" s="6" t="s">
        <v>6418</v>
      </c>
      <c r="C27" s="6" t="s">
        <v>6419</v>
      </c>
      <c r="D27" s="6">
        <v>9.795444E7</v>
      </c>
      <c r="G27" s="6" t="s">
        <v>6413</v>
      </c>
    </row>
    <row r="28" ht="15.75" customHeight="1">
      <c r="B28" s="6" t="s">
        <v>6420</v>
      </c>
      <c r="C28" s="6" t="s">
        <v>6421</v>
      </c>
      <c r="D28" s="7" t="s">
        <v>6422</v>
      </c>
      <c r="G28" s="6" t="s">
        <v>6413</v>
      </c>
      <c r="K28" s="6" t="s">
        <v>6401</v>
      </c>
    </row>
    <row r="29" ht="15.75" customHeight="1">
      <c r="B29" s="6" t="s">
        <v>6423</v>
      </c>
      <c r="C29" s="6" t="s">
        <v>6424</v>
      </c>
      <c r="G29" s="6" t="s">
        <v>6413</v>
      </c>
      <c r="K29" s="6" t="s">
        <v>6425</v>
      </c>
    </row>
    <row r="30" ht="15.75" customHeight="1">
      <c r="B30" s="6" t="s">
        <v>6426</v>
      </c>
      <c r="C30" s="6" t="s">
        <v>6427</v>
      </c>
      <c r="D30" s="7" t="s">
        <v>6428</v>
      </c>
      <c r="G30" s="6" t="s">
        <v>6413</v>
      </c>
      <c r="K30" s="6" t="s">
        <v>6429</v>
      </c>
    </row>
    <row r="31" ht="15.75" customHeight="1">
      <c r="B31" s="6" t="s">
        <v>6430</v>
      </c>
      <c r="C31" s="6" t="s">
        <v>6431</v>
      </c>
      <c r="D31" s="7" t="s">
        <v>6432</v>
      </c>
      <c r="G31" s="6" t="s">
        <v>6413</v>
      </c>
      <c r="K31" s="6" t="s">
        <v>6433</v>
      </c>
    </row>
    <row r="32" ht="15.75" customHeight="1">
      <c r="B32" s="6" t="s">
        <v>6434</v>
      </c>
      <c r="C32" s="6" t="s">
        <v>6435</v>
      </c>
      <c r="D32" s="7" t="s">
        <v>6436</v>
      </c>
      <c r="G32" s="6" t="s">
        <v>6413</v>
      </c>
      <c r="K32" s="6" t="s">
        <v>6437</v>
      </c>
    </row>
    <row r="33" ht="15.75" customHeight="1">
      <c r="B33" s="6" t="s">
        <v>6438</v>
      </c>
      <c r="G33" s="6" t="s">
        <v>6413</v>
      </c>
      <c r="K33" s="6" t="s">
        <v>6439</v>
      </c>
    </row>
    <row r="34" ht="15.75" customHeight="1">
      <c r="B34" s="6" t="s">
        <v>6440</v>
      </c>
      <c r="C34" s="6" t="s">
        <v>6441</v>
      </c>
      <c r="D34" s="6">
        <v>9.116687E7</v>
      </c>
      <c r="G34" s="6" t="s">
        <v>6413</v>
      </c>
      <c r="K34" s="6" t="s">
        <v>6401</v>
      </c>
    </row>
    <row r="35" ht="15.75" customHeight="1">
      <c r="B35" s="6" t="s">
        <v>6442</v>
      </c>
      <c r="C35" s="6" t="s">
        <v>6443</v>
      </c>
      <c r="D35" s="7" t="s">
        <v>6444</v>
      </c>
      <c r="G35" s="6" t="s">
        <v>6413</v>
      </c>
      <c r="K35" s="6" t="s">
        <v>6445</v>
      </c>
    </row>
    <row r="36" ht="15.75" customHeight="1">
      <c r="B36" s="6" t="s">
        <v>6446</v>
      </c>
      <c r="G36" s="6" t="s">
        <v>6413</v>
      </c>
    </row>
    <row r="37" ht="15.75" customHeight="1">
      <c r="B37" s="6" t="s">
        <v>6447</v>
      </c>
      <c r="G37" s="6" t="s">
        <v>6413</v>
      </c>
    </row>
    <row r="38" ht="15.75" customHeight="1"/>
    <row r="39" ht="15.75" customHeight="1">
      <c r="C39" s="232" t="s">
        <v>6448</v>
      </c>
    </row>
    <row r="40" ht="15.75" customHeight="1">
      <c r="C40" s="233">
        <v>43405.0</v>
      </c>
    </row>
    <row r="41" ht="15.75" customHeight="1"/>
    <row r="42" ht="15.75" customHeight="1">
      <c r="A42" s="155">
        <v>43412.0</v>
      </c>
      <c r="B42" s="6" t="s">
        <v>856</v>
      </c>
      <c r="C42" s="6" t="s">
        <v>857</v>
      </c>
      <c r="D42" s="6">
        <v>9.1464922E7</v>
      </c>
      <c r="G42" s="6" t="s">
        <v>858</v>
      </c>
    </row>
    <row r="43" ht="15.75" customHeight="1">
      <c r="A43" s="226">
        <v>43413.0</v>
      </c>
      <c r="B43" s="57" t="s">
        <v>860</v>
      </c>
      <c r="C43" s="57" t="s">
        <v>861</v>
      </c>
      <c r="D43" s="59" t="s">
        <v>862</v>
      </c>
      <c r="E43" s="57"/>
      <c r="F43" s="57"/>
      <c r="G43" s="57" t="s">
        <v>863</v>
      </c>
      <c r="H43" s="57"/>
      <c r="I43" s="57" t="s">
        <v>6399</v>
      </c>
    </row>
    <row r="44" ht="15.75" customHeight="1">
      <c r="A44" s="155">
        <v>43413.0</v>
      </c>
      <c r="B44" s="6" t="s">
        <v>864</v>
      </c>
      <c r="C44" s="6" t="s">
        <v>865</v>
      </c>
      <c r="D44" s="7" t="s">
        <v>866</v>
      </c>
      <c r="G44" s="6" t="s">
        <v>863</v>
      </c>
      <c r="I44" s="6" t="s">
        <v>6399</v>
      </c>
    </row>
    <row r="45" ht="15.75" customHeight="1">
      <c r="A45" s="226">
        <v>43413.0</v>
      </c>
      <c r="B45" s="57" t="s">
        <v>867</v>
      </c>
      <c r="C45" s="57" t="s">
        <v>868</v>
      </c>
      <c r="D45" s="59" t="s">
        <v>869</v>
      </c>
      <c r="E45" s="57" t="s">
        <v>6408</v>
      </c>
      <c r="F45" s="57"/>
      <c r="G45" s="57" t="s">
        <v>863</v>
      </c>
      <c r="H45" s="57"/>
      <c r="I45" s="57" t="s">
        <v>6399</v>
      </c>
    </row>
    <row r="46" ht="15.75" customHeight="1">
      <c r="A46" s="155">
        <v>43413.0</v>
      </c>
      <c r="B46" s="6" t="s">
        <v>870</v>
      </c>
      <c r="C46" s="6" t="s">
        <v>871</v>
      </c>
      <c r="D46" s="6">
        <v>9.2323661E7</v>
      </c>
      <c r="G46" s="6" t="s">
        <v>863</v>
      </c>
      <c r="I46" s="6" t="s">
        <v>6399</v>
      </c>
    </row>
    <row r="47" ht="15.75" customHeight="1">
      <c r="A47" s="155">
        <v>43413.0</v>
      </c>
      <c r="B47" s="6" t="s">
        <v>872</v>
      </c>
      <c r="C47" s="7" t="s">
        <v>873</v>
      </c>
      <c r="D47" s="7" t="s">
        <v>874</v>
      </c>
      <c r="G47" s="6" t="s">
        <v>863</v>
      </c>
      <c r="I47" s="6" t="s">
        <v>6399</v>
      </c>
    </row>
    <row r="48" ht="15.75" customHeight="1">
      <c r="A48" s="150">
        <v>43414.0</v>
      </c>
      <c r="B48" s="6" t="s">
        <v>875</v>
      </c>
      <c r="C48" s="6" t="s">
        <v>876</v>
      </c>
      <c r="G48" s="6" t="s">
        <v>877</v>
      </c>
      <c r="I48" s="6" t="s">
        <v>6399</v>
      </c>
    </row>
    <row r="49" ht="15.75" customHeight="1">
      <c r="A49" s="150">
        <v>43414.0</v>
      </c>
      <c r="B49" s="6" t="s">
        <v>882</v>
      </c>
      <c r="C49" s="6" t="s">
        <v>883</v>
      </c>
      <c r="D49" s="7" t="s">
        <v>884</v>
      </c>
      <c r="E49" s="6" t="s">
        <v>6449</v>
      </c>
      <c r="G49" s="6" t="s">
        <v>863</v>
      </c>
      <c r="I49" s="6" t="s">
        <v>6399</v>
      </c>
    </row>
    <row r="50" ht="15.75" customHeight="1">
      <c r="A50" s="150">
        <v>43414.0</v>
      </c>
      <c r="B50" s="6" t="s">
        <v>885</v>
      </c>
      <c r="C50" s="6" t="s">
        <v>886</v>
      </c>
      <c r="D50" s="7" t="s">
        <v>887</v>
      </c>
      <c r="G50" s="6" t="s">
        <v>863</v>
      </c>
      <c r="I50" s="6" t="s">
        <v>6399</v>
      </c>
    </row>
    <row r="51" ht="15.75" customHeight="1">
      <c r="A51" s="150">
        <v>43415.0</v>
      </c>
      <c r="B51" s="6" t="s">
        <v>898</v>
      </c>
      <c r="C51" s="6" t="s">
        <v>899</v>
      </c>
      <c r="D51" s="7" t="s">
        <v>900</v>
      </c>
      <c r="G51" s="6" t="s">
        <v>863</v>
      </c>
      <c r="I51" s="6" t="s">
        <v>6399</v>
      </c>
    </row>
    <row r="52" ht="15.75" customHeight="1">
      <c r="A52" s="150">
        <v>43415.0</v>
      </c>
      <c r="B52" s="6" t="s">
        <v>901</v>
      </c>
      <c r="C52" s="6" t="s">
        <v>902</v>
      </c>
      <c r="D52" s="6">
        <v>8.742894E7</v>
      </c>
      <c r="E52" s="6" t="s">
        <v>6450</v>
      </c>
      <c r="G52" s="6" t="s">
        <v>863</v>
      </c>
      <c r="I52" s="6" t="s">
        <v>6399</v>
      </c>
    </row>
    <row r="53" ht="15.75" customHeight="1">
      <c r="A53" s="150">
        <v>43415.0</v>
      </c>
      <c r="B53" s="6" t="s">
        <v>903</v>
      </c>
      <c r="C53" s="6" t="s">
        <v>904</v>
      </c>
      <c r="D53" s="7" t="s">
        <v>905</v>
      </c>
      <c r="G53" s="6" t="s">
        <v>863</v>
      </c>
      <c r="I53" s="6" t="s">
        <v>6399</v>
      </c>
    </row>
    <row r="54" ht="15.75" customHeight="1">
      <c r="A54" s="150">
        <v>43415.0</v>
      </c>
      <c r="B54" s="6" t="s">
        <v>906</v>
      </c>
      <c r="C54" s="6" t="s">
        <v>907</v>
      </c>
      <c r="D54" s="6">
        <v>8.5418439E7</v>
      </c>
      <c r="G54" s="6" t="s">
        <v>863</v>
      </c>
      <c r="I54" s="6" t="s">
        <v>6399</v>
      </c>
    </row>
    <row r="55" ht="15.75" customHeight="1">
      <c r="A55" s="150">
        <v>43416.0</v>
      </c>
      <c r="B55" s="6" t="s">
        <v>910</v>
      </c>
      <c r="C55" s="6" t="s">
        <v>911</v>
      </c>
      <c r="D55" s="6">
        <v>9.1799832E7</v>
      </c>
      <c r="G55" s="6" t="s">
        <v>863</v>
      </c>
      <c r="I55" s="6" t="s">
        <v>6399</v>
      </c>
    </row>
    <row r="56" ht="15.75" customHeight="1">
      <c r="A56" s="175">
        <v>43416.0</v>
      </c>
      <c r="B56" s="57" t="s">
        <v>915</v>
      </c>
      <c r="C56" s="57" t="s">
        <v>916</v>
      </c>
      <c r="D56" s="59" t="s">
        <v>917</v>
      </c>
      <c r="E56" s="57"/>
      <c r="F56" s="57"/>
      <c r="G56" s="57" t="s">
        <v>863</v>
      </c>
      <c r="H56" s="57"/>
      <c r="I56" s="57" t="s">
        <v>6399</v>
      </c>
    </row>
    <row r="57" ht="15.75" customHeight="1">
      <c r="A57" s="150">
        <v>43416.0</v>
      </c>
      <c r="B57" s="6" t="s">
        <v>918</v>
      </c>
      <c r="C57" s="6" t="s">
        <v>919</v>
      </c>
      <c r="D57" s="7" t="s">
        <v>920</v>
      </c>
      <c r="G57" s="6" t="s">
        <v>863</v>
      </c>
      <c r="I57" s="6" t="s">
        <v>6399</v>
      </c>
    </row>
    <row r="58" ht="15.75" customHeight="1">
      <c r="A58" s="150">
        <v>43416.0</v>
      </c>
      <c r="B58" s="6" t="s">
        <v>921</v>
      </c>
      <c r="C58" s="6" t="s">
        <v>922</v>
      </c>
      <c r="D58" s="7" t="s">
        <v>923</v>
      </c>
      <c r="E58" s="6" t="s">
        <v>6451</v>
      </c>
      <c r="G58" s="6" t="s">
        <v>863</v>
      </c>
      <c r="I58" s="6" t="s">
        <v>6399</v>
      </c>
    </row>
    <row r="59" ht="15.75" customHeight="1">
      <c r="A59" s="150">
        <v>43416.0</v>
      </c>
      <c r="B59" s="6" t="s">
        <v>924</v>
      </c>
      <c r="C59" s="6" t="s">
        <v>925</v>
      </c>
      <c r="D59" s="7" t="s">
        <v>926</v>
      </c>
      <c r="E59" s="7" t="s">
        <v>6452</v>
      </c>
      <c r="G59" s="6" t="s">
        <v>863</v>
      </c>
      <c r="I59" s="6" t="s">
        <v>6399</v>
      </c>
    </row>
    <row r="60" ht="15.75" customHeight="1">
      <c r="A60" s="150">
        <v>43416.0</v>
      </c>
      <c r="B60" s="6" t="s">
        <v>927</v>
      </c>
      <c r="C60" s="6" t="s">
        <v>928</v>
      </c>
      <c r="D60" s="7" t="s">
        <v>929</v>
      </c>
      <c r="G60" s="6" t="s">
        <v>863</v>
      </c>
      <c r="I60" s="6" t="s">
        <v>6399</v>
      </c>
    </row>
    <row r="61" ht="15.75" customHeight="1">
      <c r="A61" s="175">
        <v>43417.0</v>
      </c>
      <c r="B61" s="57" t="s">
        <v>930</v>
      </c>
      <c r="C61" s="57" t="s">
        <v>931</v>
      </c>
      <c r="D61" s="59" t="s">
        <v>932</v>
      </c>
      <c r="E61" s="57"/>
      <c r="F61" s="57"/>
      <c r="G61" s="57" t="s">
        <v>863</v>
      </c>
      <c r="H61" s="57"/>
      <c r="I61" s="57" t="s">
        <v>6399</v>
      </c>
    </row>
    <row r="62" ht="15.75" customHeight="1">
      <c r="A62" s="175">
        <v>43417.0</v>
      </c>
      <c r="B62" s="57" t="s">
        <v>933</v>
      </c>
      <c r="C62" s="57" t="s">
        <v>934</v>
      </c>
      <c r="D62" s="59" t="s">
        <v>935</v>
      </c>
      <c r="E62" s="57"/>
      <c r="F62" s="57"/>
      <c r="G62" s="57" t="s">
        <v>863</v>
      </c>
      <c r="H62" s="57"/>
      <c r="I62" s="57" t="s">
        <v>6399</v>
      </c>
    </row>
    <row r="63" ht="15.75" customHeight="1">
      <c r="A63" s="150">
        <v>43417.0</v>
      </c>
      <c r="B63" s="6" t="s">
        <v>950</v>
      </c>
      <c r="C63" s="6" t="s">
        <v>137</v>
      </c>
      <c r="D63" s="7" t="s">
        <v>138</v>
      </c>
      <c r="G63" s="6" t="s">
        <v>863</v>
      </c>
      <c r="I63" s="6" t="s">
        <v>6399</v>
      </c>
    </row>
    <row r="64" ht="15.75" customHeight="1">
      <c r="A64" s="150">
        <v>43417.0</v>
      </c>
      <c r="B64" s="6" t="s">
        <v>951</v>
      </c>
      <c r="C64" s="6" t="s">
        <v>952</v>
      </c>
      <c r="D64" s="7" t="s">
        <v>953</v>
      </c>
      <c r="G64" s="6" t="s">
        <v>863</v>
      </c>
      <c r="I64" s="6" t="s">
        <v>6399</v>
      </c>
    </row>
    <row r="65" ht="15.75" customHeight="1">
      <c r="A65" s="150">
        <v>43417.0</v>
      </c>
      <c r="B65" s="6" t="s">
        <v>954</v>
      </c>
      <c r="C65" s="6" t="s">
        <v>955</v>
      </c>
      <c r="D65" s="7" t="s">
        <v>956</v>
      </c>
      <c r="G65" s="6" t="s">
        <v>863</v>
      </c>
      <c r="I65" s="6" t="s">
        <v>6399</v>
      </c>
    </row>
    <row r="66" ht="15.75" customHeight="1">
      <c r="A66" s="150">
        <v>43417.0</v>
      </c>
      <c r="B66" s="6" t="s">
        <v>957</v>
      </c>
      <c r="C66" s="6" t="s">
        <v>958</v>
      </c>
      <c r="D66" s="7" t="s">
        <v>959</v>
      </c>
      <c r="G66" s="6" t="s">
        <v>863</v>
      </c>
      <c r="I66" s="6" t="s">
        <v>6399</v>
      </c>
    </row>
    <row r="67" ht="15.75" customHeight="1">
      <c r="A67" s="150">
        <v>43417.0</v>
      </c>
      <c r="B67" s="6" t="s">
        <v>170</v>
      </c>
      <c r="C67" s="6" t="s">
        <v>170</v>
      </c>
      <c r="E67" s="6" t="s">
        <v>6453</v>
      </c>
      <c r="G67" s="6" t="s">
        <v>960</v>
      </c>
    </row>
    <row r="68" ht="15.75" customHeight="1">
      <c r="A68" s="150">
        <v>43417.0</v>
      </c>
      <c r="B68" s="6" t="s">
        <v>961</v>
      </c>
      <c r="C68" s="7" t="s">
        <v>962</v>
      </c>
      <c r="D68" s="7" t="s">
        <v>963</v>
      </c>
      <c r="G68" s="6" t="s">
        <v>863</v>
      </c>
      <c r="I68" s="6" t="s">
        <v>6399</v>
      </c>
    </row>
    <row r="69" ht="15.75" customHeight="1">
      <c r="A69" s="150">
        <v>43418.0</v>
      </c>
      <c r="B69" s="6" t="s">
        <v>965</v>
      </c>
      <c r="C69" s="6" t="s">
        <v>966</v>
      </c>
      <c r="D69" s="7" t="s">
        <v>967</v>
      </c>
      <c r="G69" s="6" t="s">
        <v>863</v>
      </c>
      <c r="I69" s="6" t="s">
        <v>6399</v>
      </c>
    </row>
    <row r="70" ht="15.75" customHeight="1">
      <c r="A70" s="150">
        <v>43418.0</v>
      </c>
      <c r="B70" s="6" t="s">
        <v>965</v>
      </c>
      <c r="C70" s="6" t="s">
        <v>968</v>
      </c>
      <c r="D70" s="7" t="s">
        <v>967</v>
      </c>
      <c r="G70" s="6" t="s">
        <v>863</v>
      </c>
      <c r="I70" s="6" t="s">
        <v>6399</v>
      </c>
    </row>
    <row r="71" ht="15.75" customHeight="1">
      <c r="A71" s="150">
        <v>43419.0</v>
      </c>
      <c r="B71" s="9" t="s">
        <v>969</v>
      </c>
      <c r="C71" s="6" t="s">
        <v>970</v>
      </c>
      <c r="D71" s="7" t="s">
        <v>971</v>
      </c>
      <c r="G71" s="6" t="s">
        <v>863</v>
      </c>
      <c r="I71" s="6" t="s">
        <v>6399</v>
      </c>
    </row>
    <row r="72" ht="15.75" customHeight="1">
      <c r="A72" s="150">
        <v>43419.0</v>
      </c>
      <c r="B72" s="9" t="s">
        <v>972</v>
      </c>
      <c r="C72" s="9" t="s">
        <v>973</v>
      </c>
      <c r="D72" s="7" t="s">
        <v>974</v>
      </c>
      <c r="G72" s="6" t="s">
        <v>863</v>
      </c>
      <c r="I72" s="6" t="s">
        <v>6399</v>
      </c>
    </row>
    <row r="73" ht="15.75" customHeight="1">
      <c r="A73" s="150">
        <v>43419.0</v>
      </c>
      <c r="B73" s="6" t="s">
        <v>975</v>
      </c>
      <c r="C73" s="6" t="s">
        <v>976</v>
      </c>
      <c r="D73" s="7" t="s">
        <v>977</v>
      </c>
      <c r="G73" s="6" t="s">
        <v>863</v>
      </c>
      <c r="I73" s="6" t="s">
        <v>6399</v>
      </c>
    </row>
    <row r="74" ht="15.75" customHeight="1">
      <c r="A74" s="150">
        <v>43419.0</v>
      </c>
      <c r="B74" s="12" t="s">
        <v>984</v>
      </c>
      <c r="C74" s="6" t="s">
        <v>985</v>
      </c>
      <c r="D74" s="7" t="s">
        <v>986</v>
      </c>
      <c r="G74" s="12" t="s">
        <v>863</v>
      </c>
    </row>
    <row r="75" ht="15.75" customHeight="1">
      <c r="A75" s="175">
        <v>43419.0</v>
      </c>
      <c r="B75" s="57" t="s">
        <v>990</v>
      </c>
      <c r="C75" s="57" t="s">
        <v>991</v>
      </c>
      <c r="D75" s="59" t="s">
        <v>992</v>
      </c>
      <c r="E75" s="57"/>
      <c r="F75" s="57"/>
      <c r="G75" s="57" t="s">
        <v>863</v>
      </c>
      <c r="H75" s="57"/>
      <c r="I75" s="57"/>
      <c r="J75" s="57" t="s">
        <v>993</v>
      </c>
    </row>
    <row r="76" ht="15.75" customHeight="1">
      <c r="A76" s="150">
        <v>43419.0</v>
      </c>
      <c r="B76" s="6" t="s">
        <v>996</v>
      </c>
      <c r="C76" s="6" t="s">
        <v>997</v>
      </c>
      <c r="D76" s="7" t="s">
        <v>998</v>
      </c>
      <c r="G76" s="6" t="s">
        <v>999</v>
      </c>
      <c r="I76" s="6" t="s">
        <v>6399</v>
      </c>
      <c r="J76" s="6" t="s">
        <v>993</v>
      </c>
    </row>
    <row r="77" ht="15.75" customHeight="1">
      <c r="A77" s="175">
        <v>43419.0</v>
      </c>
      <c r="B77" s="57" t="s">
        <v>1000</v>
      </c>
      <c r="C77" s="57" t="s">
        <v>1001</v>
      </c>
      <c r="D77" s="59" t="s">
        <v>1002</v>
      </c>
      <c r="E77" s="57"/>
      <c r="F77" s="57"/>
      <c r="G77" s="57" t="s">
        <v>999</v>
      </c>
      <c r="H77" s="57"/>
      <c r="I77" s="57" t="s">
        <v>6399</v>
      </c>
      <c r="J77" s="57" t="s">
        <v>993</v>
      </c>
    </row>
    <row r="78" ht="15.75" customHeight="1">
      <c r="A78" s="150">
        <v>43419.0</v>
      </c>
      <c r="B78" s="6" t="s">
        <v>1003</v>
      </c>
      <c r="C78" s="6" t="s">
        <v>1004</v>
      </c>
      <c r="D78" s="7" t="s">
        <v>1005</v>
      </c>
      <c r="G78" s="6" t="s">
        <v>999</v>
      </c>
      <c r="I78" s="6" t="s">
        <v>6399</v>
      </c>
      <c r="J78" s="6" t="s">
        <v>993</v>
      </c>
    </row>
    <row r="79" ht="15.75" customHeight="1">
      <c r="A79" s="150">
        <v>43419.0</v>
      </c>
      <c r="B79" s="6" t="s">
        <v>1006</v>
      </c>
      <c r="C79" s="6" t="s">
        <v>1007</v>
      </c>
      <c r="D79" s="7" t="s">
        <v>1008</v>
      </c>
      <c r="G79" s="6" t="s">
        <v>999</v>
      </c>
      <c r="I79" s="6" t="s">
        <v>6399</v>
      </c>
      <c r="J79" s="6" t="s">
        <v>993</v>
      </c>
    </row>
    <row r="80" ht="15.75" customHeight="1">
      <c r="A80" s="150">
        <v>43419.0</v>
      </c>
      <c r="B80" s="6" t="s">
        <v>1009</v>
      </c>
      <c r="C80" s="6" t="s">
        <v>1010</v>
      </c>
      <c r="D80" s="7" t="s">
        <v>1011</v>
      </c>
      <c r="G80" s="6" t="s">
        <v>999</v>
      </c>
      <c r="I80" s="6" t="s">
        <v>6399</v>
      </c>
      <c r="J80" s="6" t="s">
        <v>993</v>
      </c>
    </row>
    <row r="81" ht="15.75" customHeight="1">
      <c r="A81" s="150">
        <v>43419.0</v>
      </c>
      <c r="B81" s="6" t="s">
        <v>1012</v>
      </c>
      <c r="C81" s="6" t="s">
        <v>1013</v>
      </c>
      <c r="D81" s="7" t="s">
        <v>1014</v>
      </c>
      <c r="G81" s="6" t="s">
        <v>863</v>
      </c>
      <c r="I81" s="6" t="s">
        <v>6399</v>
      </c>
      <c r="J81" s="6" t="s">
        <v>993</v>
      </c>
    </row>
    <row r="82" ht="15.75" customHeight="1">
      <c r="A82" s="150">
        <v>43419.0</v>
      </c>
      <c r="B82" s="6" t="s">
        <v>1015</v>
      </c>
      <c r="C82" s="6" t="s">
        <v>1016</v>
      </c>
      <c r="D82" s="7" t="s">
        <v>1017</v>
      </c>
      <c r="G82" s="6" t="s">
        <v>863</v>
      </c>
      <c r="I82" s="6" t="s">
        <v>6399</v>
      </c>
      <c r="J82" s="6" t="s">
        <v>993</v>
      </c>
    </row>
    <row r="83" ht="15.75" customHeight="1">
      <c r="A83" s="150">
        <v>43419.0</v>
      </c>
      <c r="B83" s="6" t="s">
        <v>1018</v>
      </c>
      <c r="C83" s="6" t="s">
        <v>1019</v>
      </c>
      <c r="D83" s="7" t="s">
        <v>1020</v>
      </c>
      <c r="G83" s="6" t="s">
        <v>863</v>
      </c>
      <c r="I83" s="6" t="s">
        <v>6399</v>
      </c>
      <c r="J83" s="6" t="s">
        <v>993</v>
      </c>
    </row>
    <row r="84" ht="15.75" customHeight="1">
      <c r="A84" s="175">
        <v>43420.0</v>
      </c>
      <c r="B84" s="57" t="s">
        <v>1021</v>
      </c>
      <c r="C84" s="57" t="s">
        <v>1022</v>
      </c>
      <c r="D84" s="59" t="s">
        <v>1023</v>
      </c>
      <c r="E84" s="57"/>
      <c r="F84" s="57"/>
      <c r="G84" s="57" t="s">
        <v>999</v>
      </c>
      <c r="H84" s="57"/>
      <c r="I84" s="57" t="s">
        <v>6399</v>
      </c>
      <c r="J84" s="57" t="s">
        <v>993</v>
      </c>
    </row>
    <row r="85" ht="15.75" customHeight="1">
      <c r="A85" s="150">
        <v>43420.0</v>
      </c>
      <c r="B85" s="6" t="s">
        <v>1024</v>
      </c>
      <c r="C85" s="6" t="s">
        <v>1025</v>
      </c>
      <c r="D85" s="7" t="s">
        <v>1026</v>
      </c>
      <c r="G85" s="6" t="s">
        <v>999</v>
      </c>
      <c r="I85" s="6" t="s">
        <v>6399</v>
      </c>
      <c r="J85" s="6" t="s">
        <v>993</v>
      </c>
    </row>
    <row r="86" ht="15.75" customHeight="1">
      <c r="A86" s="150">
        <v>43420.0</v>
      </c>
      <c r="B86" s="6" t="s">
        <v>1027</v>
      </c>
      <c r="C86" s="6" t="s">
        <v>1028</v>
      </c>
      <c r="D86" s="7" t="s">
        <v>1029</v>
      </c>
      <c r="G86" s="6" t="s">
        <v>863</v>
      </c>
      <c r="I86" s="6" t="s">
        <v>6399</v>
      </c>
      <c r="J86" s="6" t="s">
        <v>993</v>
      </c>
    </row>
    <row r="87" ht="15.75" customHeight="1">
      <c r="A87" s="150">
        <v>43420.0</v>
      </c>
      <c r="B87" s="6" t="s">
        <v>1030</v>
      </c>
      <c r="C87" s="6" t="s">
        <v>1031</v>
      </c>
      <c r="D87" s="7" t="s">
        <v>1032</v>
      </c>
      <c r="G87" s="6" t="s">
        <v>999</v>
      </c>
      <c r="I87" s="6" t="s">
        <v>6399</v>
      </c>
      <c r="J87" s="6" t="s">
        <v>993</v>
      </c>
    </row>
    <row r="88" ht="15.75" customHeight="1">
      <c r="A88" s="150">
        <v>43421.0</v>
      </c>
      <c r="B88" s="6" t="s">
        <v>1033</v>
      </c>
      <c r="C88" s="6" t="s">
        <v>1034</v>
      </c>
      <c r="D88" s="7" t="s">
        <v>1035</v>
      </c>
      <c r="G88" s="6" t="s">
        <v>863</v>
      </c>
      <c r="I88" s="6" t="s">
        <v>6399</v>
      </c>
      <c r="J88" s="6" t="s">
        <v>993</v>
      </c>
    </row>
    <row r="89" ht="15.75" customHeight="1">
      <c r="A89" s="150">
        <v>43421.0</v>
      </c>
      <c r="B89" s="6" t="s">
        <v>1036</v>
      </c>
      <c r="C89" s="6" t="s">
        <v>1037</v>
      </c>
      <c r="D89" s="7" t="s">
        <v>1038</v>
      </c>
      <c r="G89" s="6" t="s">
        <v>999</v>
      </c>
      <c r="I89" s="6" t="s">
        <v>6399</v>
      </c>
      <c r="J89" s="6" t="s">
        <v>993</v>
      </c>
    </row>
    <row r="90" ht="15.75" customHeight="1">
      <c r="A90" s="150">
        <v>43421.0</v>
      </c>
      <c r="B90" s="6" t="s">
        <v>1039</v>
      </c>
      <c r="C90" s="6" t="s">
        <v>1040</v>
      </c>
      <c r="D90" s="7" t="s">
        <v>1041</v>
      </c>
      <c r="G90" s="6" t="s">
        <v>999</v>
      </c>
      <c r="I90" s="6" t="s">
        <v>6399</v>
      </c>
      <c r="J90" s="6" t="s">
        <v>993</v>
      </c>
    </row>
    <row r="91" ht="15.75" customHeight="1">
      <c r="A91" s="150">
        <v>43421.0</v>
      </c>
      <c r="B91" s="6" t="s">
        <v>1042</v>
      </c>
      <c r="C91" s="6" t="s">
        <v>1043</v>
      </c>
      <c r="D91" s="7" t="s">
        <v>1044</v>
      </c>
      <c r="G91" s="6" t="s">
        <v>999</v>
      </c>
      <c r="I91" s="6" t="s">
        <v>6399</v>
      </c>
      <c r="J91" s="6" t="s">
        <v>993</v>
      </c>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landscape" pageOrder="overThenDown"/>
  <drawing r:id="rId1"/>
</worksheet>
</file>